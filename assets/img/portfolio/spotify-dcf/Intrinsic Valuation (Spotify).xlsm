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About" sheetId="29" r:id="rId2"/>
    <sheet name="Corporate Governance" sheetId="66" r:id="rId3"/>
    <sheet name="Index" sheetId="4" r:id="rId4"/>
    <sheet name="Risk Free Rate &amp; ERP" sheetId="24" r:id="rId5"/>
    <sheet name="Beta Calculation Data" sheetId="67" r:id="rId6"/>
    <sheet name="Bottom Up Beta" sheetId="68" r:id="rId7"/>
    <sheet name="Cost of Equity, Debt &amp; WACC" sheetId="23" r:id="rId8"/>
    <sheet name="Cash Flows" sheetId="17" r:id="rId9"/>
    <sheet name="Accounting Adjustments" sheetId="49" r:id="rId10"/>
    <sheet name="Reinvestment" sheetId="32" r:id="rId11"/>
    <sheet name="FCFF &amp; FCFE" sheetId="35" r:id="rId12"/>
    <sheet name="Growth Rate &amp; TV" sheetId="36" r:id="rId13"/>
    <sheet name="Expected Growth Rate" sheetId="39" r:id="rId14"/>
    <sheet name="Key Performance Indicators" sheetId="74" r:id="rId15"/>
    <sheet name="Industry &amp; Revenues" sheetId="75" r:id="rId16"/>
    <sheet name="Future Cashflows (10 Yrs)" sheetId="37" r:id="rId17"/>
    <sheet name="Terminal Value" sheetId="40" r:id="rId18"/>
    <sheet name="Road to Fair Value of Share" sheetId="42" r:id="rId19"/>
    <sheet name="Cash &amp; Marketable Securities" sheetId="43" r:id="rId20"/>
    <sheet name="Future Value (Equity Options)" sheetId="57" r:id="rId21"/>
    <sheet name="Fair Value of Share" sheetId="48" r:id="rId22"/>
    <sheet name="Financing Decision" sheetId="70" r:id="rId23"/>
    <sheet name="Debt Design Explained" sheetId="71" r:id="rId24"/>
    <sheet name="Optimal Cost of Capital" sheetId="69" r:id="rId25"/>
    <sheet name="Adjusted Present Value" sheetId="72" r:id="rId26"/>
    <sheet name="Relative Analysis" sheetId="73" r:id="rId27"/>
  </sheets>
  <definedNames>
    <definedName name="_xlchart.v1.0" hidden="1">('Accounting Adjustments'!$B$4:$B$5,'Accounting Adjustments'!$B$7:$B$10)</definedName>
    <definedName name="_xlchart.v1.1" hidden="1">('Accounting Adjustments'!$G$4:$G$5,'Accounting Adjustments'!$G$7:$G$10)</definedName>
    <definedName name="_xlnm.Print_Area" localSheetId="25">'Adjusted Present Value'!$A$11:$H$27</definedName>
    <definedName name="_xlnm.Print_Area" localSheetId="0">Dashboard!$A$1:$AC$31</definedName>
    <definedName name="_xlnm.Print_Area" localSheetId="23">'Debt Design Explained'!$A$11:$H$27</definedName>
    <definedName name="_xlnm.Print_Area" localSheetId="21">'Fair Value of Share'!$A$11:$H$27</definedName>
    <definedName name="_xlnm.Print_Area" localSheetId="16">'Future Cashflows (10 Yrs)'!$B$3:$H$28</definedName>
    <definedName name="_xlnm.Print_Area" localSheetId="20">'Future Value (Equity Options)'!$B$3:$M$29</definedName>
    <definedName name="_xlnm.Print_Area" localSheetId="15">'Industry &amp; Revenues'!#REF!</definedName>
    <definedName name="_xlnm.Print_Area" localSheetId="14">'Key Performance Indicators'!#REF!</definedName>
    <definedName name="_xlnm.Print_Area" localSheetId="24">'Optimal Cost of Capital'!$A$11:$H$27</definedName>
    <definedName name="_xlnm.Print_Area" localSheetId="26">'Relative Analysis'!$A$11:$D$14</definedName>
  </definedNames>
  <calcPr calcId="162913" iterate="1"/>
</workbook>
</file>

<file path=xl/calcChain.xml><?xml version="1.0" encoding="utf-8"?>
<calcChain xmlns="http://schemas.openxmlformats.org/spreadsheetml/2006/main">
  <c r="B16" i="4" l="1"/>
  <c r="B17" i="4" s="1"/>
  <c r="B18" i="4" s="1"/>
  <c r="B19" i="4" s="1"/>
  <c r="B20" i="4" s="1"/>
  <c r="B21" i="4" s="1"/>
  <c r="B22" i="4" s="1"/>
  <c r="B23" i="4" s="1"/>
  <c r="B24" i="4" s="1"/>
  <c r="B25" i="4" s="1"/>
  <c r="B26" i="4" s="1"/>
  <c r="B27" i="4" s="1"/>
  <c r="B28" i="4" s="1"/>
  <c r="AB3" i="28"/>
  <c r="C29" i="57"/>
  <c r="F8" i="57"/>
  <c r="F5" i="57"/>
  <c r="E5" i="57"/>
  <c r="C24" i="48"/>
  <c r="P30" i="73"/>
  <c r="N8" i="73"/>
  <c r="O26" i="73" l="1"/>
  <c r="K26" i="73"/>
  <c r="L26" i="73" s="1"/>
  <c r="P29" i="73" s="1"/>
  <c r="J26" i="73"/>
  <c r="I26" i="73"/>
  <c r="L10" i="73"/>
  <c r="I25" i="73"/>
  <c r="M25" i="73" s="1"/>
  <c r="I24" i="73"/>
  <c r="M24" i="73" s="1"/>
  <c r="I23" i="73"/>
  <c r="M23" i="73" s="1"/>
  <c r="I22" i="73"/>
  <c r="I21" i="73"/>
  <c r="M21" i="73" s="1"/>
  <c r="I20" i="73"/>
  <c r="I19" i="73"/>
  <c r="I18" i="73"/>
  <c r="I17" i="73"/>
  <c r="I16" i="73"/>
  <c r="I15" i="73"/>
  <c r="I14" i="73"/>
  <c r="I13" i="73"/>
  <c r="I12" i="73"/>
  <c r="I11" i="73"/>
  <c r="I10" i="73"/>
  <c r="I9" i="73"/>
  <c r="I8" i="73"/>
  <c r="I7" i="73"/>
  <c r="I6" i="73"/>
  <c r="I5" i="73"/>
  <c r="I4" i="73"/>
  <c r="AH25" i="73"/>
  <c r="AG25" i="73"/>
  <c r="AF25" i="73"/>
  <c r="AE25" i="73"/>
  <c r="AH24" i="73"/>
  <c r="AG24" i="73"/>
  <c r="AF24" i="73"/>
  <c r="AE24" i="73"/>
  <c r="AH23" i="73"/>
  <c r="AG23" i="73"/>
  <c r="AF23" i="73"/>
  <c r="AH22" i="73"/>
  <c r="AG22" i="73"/>
  <c r="AF22" i="73"/>
  <c r="AH21" i="73"/>
  <c r="AG21" i="73"/>
  <c r="AF21" i="73"/>
  <c r="AH20" i="73"/>
  <c r="AG20" i="73"/>
  <c r="AF20" i="73"/>
  <c r="AH19" i="73"/>
  <c r="AG19" i="73"/>
  <c r="AF19" i="73"/>
  <c r="AH18" i="73"/>
  <c r="AG18" i="73"/>
  <c r="AF18" i="73"/>
  <c r="AH17" i="73"/>
  <c r="AG17" i="73"/>
  <c r="AF17" i="73"/>
  <c r="AH16" i="73"/>
  <c r="AG16" i="73"/>
  <c r="AF16" i="73"/>
  <c r="AH15" i="73"/>
  <c r="AG15" i="73"/>
  <c r="AF15" i="73"/>
  <c r="AH14" i="73"/>
  <c r="AG14" i="73"/>
  <c r="AF14" i="73"/>
  <c r="AH13" i="73"/>
  <c r="AG13" i="73"/>
  <c r="AF13" i="73"/>
  <c r="AH12" i="73"/>
  <c r="AG12" i="73"/>
  <c r="AF12" i="73"/>
  <c r="AH11" i="73"/>
  <c r="AG11" i="73"/>
  <c r="AF11" i="73"/>
  <c r="AH10" i="73"/>
  <c r="AG10" i="73"/>
  <c r="AF10" i="73"/>
  <c r="AH9" i="73"/>
  <c r="AG9" i="73"/>
  <c r="AF9" i="73"/>
  <c r="AH8" i="73"/>
  <c r="AG8" i="73"/>
  <c r="AF8" i="73"/>
  <c r="AH7" i="73"/>
  <c r="AG7" i="73"/>
  <c r="AF7" i="73"/>
  <c r="AH6" i="73"/>
  <c r="AG6" i="73"/>
  <c r="AF6" i="73"/>
  <c r="AH5" i="73"/>
  <c r="AG5" i="73"/>
  <c r="AF5" i="73"/>
  <c r="AH4" i="73"/>
  <c r="AG4" i="73"/>
  <c r="AF4" i="73"/>
  <c r="AE23" i="73"/>
  <c r="AE22" i="73"/>
  <c r="AE21" i="73"/>
  <c r="AE20" i="73"/>
  <c r="AE19" i="73"/>
  <c r="AE18" i="73"/>
  <c r="AE17" i="73"/>
  <c r="AE16" i="73"/>
  <c r="AE15" i="73"/>
  <c r="AE14" i="73"/>
  <c r="AE13" i="73"/>
  <c r="AE12" i="73"/>
  <c r="AE11" i="73"/>
  <c r="AE10" i="73"/>
  <c r="AE9" i="73"/>
  <c r="AE8" i="73"/>
  <c r="AE7" i="73"/>
  <c r="AE6" i="73"/>
  <c r="AE5" i="73"/>
  <c r="AE4" i="73"/>
  <c r="V25" i="73"/>
  <c r="V24" i="73"/>
  <c r="V23" i="73"/>
  <c r="V22" i="73"/>
  <c r="V21" i="73"/>
  <c r="V20" i="73"/>
  <c r="V19" i="73"/>
  <c r="V18" i="73"/>
  <c r="V17" i="73"/>
  <c r="V16" i="73"/>
  <c r="V15" i="73"/>
  <c r="V14" i="73"/>
  <c r="V13" i="73"/>
  <c r="V12" i="73"/>
  <c r="V11" i="73"/>
  <c r="V10" i="73"/>
  <c r="V9" i="73"/>
  <c r="V8" i="73"/>
  <c r="V7" i="73"/>
  <c r="V6" i="73"/>
  <c r="V5" i="73"/>
  <c r="V4" i="73"/>
  <c r="O25" i="73"/>
  <c r="N25" i="73"/>
  <c r="L25" i="73"/>
  <c r="O24" i="73"/>
  <c r="N24" i="73"/>
  <c r="L24" i="73"/>
  <c r="O23" i="73"/>
  <c r="N23" i="73"/>
  <c r="L23" i="73"/>
  <c r="O22" i="73"/>
  <c r="L22" i="73"/>
  <c r="N22" i="73"/>
  <c r="M22" i="73"/>
  <c r="O21" i="73"/>
  <c r="N21" i="73"/>
  <c r="L21" i="73"/>
  <c r="C33" i="72"/>
  <c r="E33" i="72"/>
  <c r="C34" i="72"/>
  <c r="E34" i="72"/>
  <c r="C35" i="72"/>
  <c r="E35" i="72"/>
  <c r="C36" i="72"/>
  <c r="E36" i="72"/>
  <c r="C37" i="72"/>
  <c r="E37" i="72"/>
  <c r="C38" i="72"/>
  <c r="E38" i="72"/>
  <c r="C39" i="72"/>
  <c r="E39" i="72"/>
  <c r="C40" i="72"/>
  <c r="E40" i="72"/>
  <c r="C41" i="72"/>
  <c r="E41" i="72"/>
  <c r="C42" i="72"/>
  <c r="E42" i="72"/>
  <c r="C16" i="68"/>
  <c r="C20" i="72"/>
  <c r="M26" i="73" l="1"/>
  <c r="N26" i="73"/>
  <c r="C13" i="71"/>
  <c r="C14" i="71"/>
  <c r="C12" i="71"/>
  <c r="C3" i="71"/>
  <c r="C4" i="71"/>
  <c r="C5" i="71"/>
  <c r="F6" i="71"/>
  <c r="H6" i="71"/>
  <c r="I6" i="71"/>
  <c r="J5" i="71"/>
  <c r="J4" i="71"/>
  <c r="J6" i="71" s="1"/>
  <c r="D5" i="57" l="1"/>
  <c r="C22" i="48"/>
  <c r="G6" i="40"/>
  <c r="G8" i="40" s="1"/>
  <c r="G20" i="40" s="1"/>
  <c r="G16" i="75"/>
  <c r="G15" i="75"/>
  <c r="B16" i="75"/>
  <c r="D28" i="37"/>
  <c r="D27" i="37"/>
  <c r="D26" i="37"/>
  <c r="D25" i="37"/>
  <c r="D24" i="37"/>
  <c r="D23" i="37"/>
  <c r="D22" i="37"/>
  <c r="D21" i="37"/>
  <c r="D20" i="37"/>
  <c r="D19" i="37"/>
  <c r="C6" i="37"/>
  <c r="C4" i="37"/>
  <c r="Q10" i="75"/>
  <c r="Q12" i="75" s="1"/>
  <c r="Q7" i="75"/>
  <c r="Q6" i="75" s="1"/>
  <c r="R5" i="75"/>
  <c r="P5" i="75"/>
  <c r="Q5" i="75"/>
  <c r="J30" i="74"/>
  <c r="M29" i="74"/>
  <c r="M30" i="74" s="1"/>
  <c r="L29" i="74"/>
  <c r="L30" i="74" s="1"/>
  <c r="K29" i="74"/>
  <c r="K30" i="74" s="1"/>
  <c r="J29" i="74"/>
  <c r="I29" i="74"/>
  <c r="I30" i="74" s="1"/>
  <c r="H29" i="74"/>
  <c r="H30" i="74" s="1"/>
  <c r="G30" i="74"/>
  <c r="G29" i="74"/>
  <c r="L25" i="74"/>
  <c r="K25" i="74"/>
  <c r="J25" i="74"/>
  <c r="I25" i="74"/>
  <c r="H25" i="74"/>
  <c r="G25" i="74"/>
  <c r="L27" i="74"/>
  <c r="K27" i="74"/>
  <c r="J27" i="74"/>
  <c r="I27" i="74"/>
  <c r="H27" i="74"/>
  <c r="G27" i="74"/>
  <c r="C6" i="75"/>
  <c r="C7" i="75" s="1"/>
  <c r="C8" i="75" s="1"/>
  <c r="J5" i="75"/>
  <c r="J6" i="75" s="1"/>
  <c r="J7" i="75" s="1"/>
  <c r="B7" i="75"/>
  <c r="B8" i="75" s="1"/>
  <c r="B9" i="75" s="1"/>
  <c r="B10" i="75" s="1"/>
  <c r="B11" i="75" s="1"/>
  <c r="B12" i="75" s="1"/>
  <c r="B13" i="75" s="1"/>
  <c r="B14" i="75" s="1"/>
  <c r="B15" i="75" s="1"/>
  <c r="E5" i="75"/>
  <c r="L5" i="75"/>
  <c r="C5" i="37" l="1"/>
  <c r="Q14" i="75"/>
  <c r="Q13" i="75"/>
  <c r="Q11" i="75"/>
  <c r="Q8" i="75"/>
  <c r="Q9" i="75"/>
  <c r="K5" i="75"/>
  <c r="K10" i="75" s="1"/>
  <c r="K7" i="75" s="1"/>
  <c r="L7" i="75" s="1"/>
  <c r="G5" i="75"/>
  <c r="H5" i="75" s="1"/>
  <c r="D5" i="75"/>
  <c r="D10" i="75" s="1"/>
  <c r="D12" i="75" s="1"/>
  <c r="N5" i="75"/>
  <c r="K12" i="75"/>
  <c r="J8" i="75"/>
  <c r="C7" i="37" s="1"/>
  <c r="C9" i="75"/>
  <c r="C10" i="75" s="1"/>
  <c r="C11" i="75" s="1"/>
  <c r="D14" i="75"/>
  <c r="D13" i="75" s="1"/>
  <c r="G10" i="75"/>
  <c r="D7" i="75" l="1"/>
  <c r="D6" i="75" s="1"/>
  <c r="E6" i="75" s="1"/>
  <c r="F6" i="75" s="1"/>
  <c r="D11" i="75"/>
  <c r="E10" i="75"/>
  <c r="H10" i="75"/>
  <c r="D9" i="75"/>
  <c r="E9" i="75" s="1"/>
  <c r="E7" i="75"/>
  <c r="F7" i="75" s="1"/>
  <c r="J9" i="75"/>
  <c r="C8" i="37" s="1"/>
  <c r="K14" i="75"/>
  <c r="K13" i="75" s="1"/>
  <c r="G8" i="75"/>
  <c r="K9" i="75"/>
  <c r="K8" i="75" s="1"/>
  <c r="L8" i="75" s="1"/>
  <c r="K6" i="75"/>
  <c r="L6" i="75" s="1"/>
  <c r="K11" i="75"/>
  <c r="D8" i="75"/>
  <c r="E8" i="75" s="1"/>
  <c r="F8" i="75" s="1"/>
  <c r="C12" i="75"/>
  <c r="E11" i="75"/>
  <c r="G12" i="75"/>
  <c r="F10" i="75" l="1"/>
  <c r="F11" i="75"/>
  <c r="H8" i="75"/>
  <c r="N8" i="75" s="1"/>
  <c r="G9" i="75"/>
  <c r="H9" i="75" s="1"/>
  <c r="G7" i="75"/>
  <c r="H7" i="75" s="1"/>
  <c r="N7" i="75" s="1"/>
  <c r="G11" i="75"/>
  <c r="H11" i="75" s="1"/>
  <c r="G13" i="75"/>
  <c r="J10" i="75"/>
  <c r="C9" i="37" s="1"/>
  <c r="L9" i="75"/>
  <c r="F9" i="75"/>
  <c r="C13" i="75"/>
  <c r="E12" i="75"/>
  <c r="F12" i="75" s="1"/>
  <c r="H12" i="75" l="1"/>
  <c r="G6" i="75"/>
  <c r="H6" i="75" s="1"/>
  <c r="N6" i="75" s="1"/>
  <c r="N9" i="75"/>
  <c r="G14" i="75"/>
  <c r="J11" i="75"/>
  <c r="C10" i="37" s="1"/>
  <c r="L10" i="75"/>
  <c r="N10" i="75" s="1"/>
  <c r="C14" i="75"/>
  <c r="E13" i="75"/>
  <c r="F13" i="75" s="1"/>
  <c r="H13" i="75" l="1"/>
  <c r="J12" i="75"/>
  <c r="C11" i="37" s="1"/>
  <c r="L11" i="75"/>
  <c r="N11" i="75" s="1"/>
  <c r="C15" i="75"/>
  <c r="E14" i="75"/>
  <c r="F14" i="75" s="1"/>
  <c r="E15" i="75" l="1"/>
  <c r="H15" i="75" s="1"/>
  <c r="C16" i="75"/>
  <c r="E16" i="75" s="1"/>
  <c r="H14" i="75"/>
  <c r="J13" i="75"/>
  <c r="C12" i="37" s="1"/>
  <c r="L12" i="75"/>
  <c r="N12" i="75" s="1"/>
  <c r="F15" i="75"/>
  <c r="F16" i="75" l="1"/>
  <c r="H16" i="75"/>
  <c r="J14" i="75"/>
  <c r="C13" i="37" s="1"/>
  <c r="L13" i="75"/>
  <c r="N13" i="75" s="1"/>
  <c r="J15" i="75" l="1"/>
  <c r="L14" i="75"/>
  <c r="N14" i="75" s="1"/>
  <c r="L15" i="75" l="1"/>
  <c r="N15" i="75" s="1"/>
  <c r="C14" i="37"/>
  <c r="J16" i="75"/>
  <c r="L16" i="75" s="1"/>
  <c r="N16" i="75" s="1"/>
  <c r="G21" i="74"/>
  <c r="L20" i="74"/>
  <c r="K20" i="74"/>
  <c r="J20" i="74"/>
  <c r="I20" i="74"/>
  <c r="H20" i="74"/>
  <c r="G20" i="74"/>
  <c r="G15" i="74"/>
  <c r="G5" i="74"/>
  <c r="L5" i="74"/>
  <c r="K5" i="74"/>
  <c r="J5" i="74"/>
  <c r="I5" i="74"/>
  <c r="H5" i="74"/>
  <c r="M6" i="74"/>
  <c r="M12" i="74" s="1"/>
  <c r="M13" i="74" s="1"/>
  <c r="L6" i="74"/>
  <c r="L12" i="74" s="1"/>
  <c r="L13" i="74" s="1"/>
  <c r="K6" i="74"/>
  <c r="K12" i="74" s="1"/>
  <c r="K13" i="74" s="1"/>
  <c r="J6" i="74"/>
  <c r="J12" i="74" s="1"/>
  <c r="J13" i="74" s="1"/>
  <c r="I6" i="74"/>
  <c r="I12" i="74" s="1"/>
  <c r="I13" i="74" s="1"/>
  <c r="H6" i="74"/>
  <c r="H12" i="74" s="1"/>
  <c r="H13" i="74" s="1"/>
  <c r="G6" i="74"/>
  <c r="G12" i="74" s="1"/>
  <c r="G13" i="74" s="1"/>
  <c r="L15" i="74"/>
  <c r="K15" i="74"/>
  <c r="J15" i="74"/>
  <c r="I15" i="74"/>
  <c r="H15" i="74"/>
  <c r="L9" i="74"/>
  <c r="K9" i="74"/>
  <c r="J9" i="74"/>
  <c r="I9" i="74"/>
  <c r="H9" i="74"/>
  <c r="G9" i="74"/>
  <c r="I5" i="39"/>
  <c r="C23" i="39"/>
  <c r="C22" i="39"/>
  <c r="C21" i="39"/>
  <c r="C20" i="39"/>
  <c r="C17" i="39"/>
  <c r="C16" i="39"/>
  <c r="C15" i="39"/>
  <c r="C14" i="39"/>
  <c r="K27" i="39"/>
  <c r="I27" i="39"/>
  <c r="J27" i="39"/>
  <c r="I23" i="39"/>
  <c r="I24" i="39"/>
  <c r="I25" i="39"/>
  <c r="I26" i="39"/>
  <c r="J17" i="35"/>
  <c r="J13" i="35"/>
  <c r="G6" i="35"/>
  <c r="J25" i="32"/>
  <c r="J21" i="32"/>
  <c r="F24" i="32"/>
  <c r="I21" i="32"/>
  <c r="G21" i="32"/>
  <c r="G19" i="32"/>
  <c r="F19" i="32"/>
  <c r="H13" i="32"/>
  <c r="H17" i="32"/>
  <c r="J17" i="32"/>
  <c r="F23" i="32"/>
  <c r="F17" i="32"/>
  <c r="F13" i="32"/>
  <c r="K8" i="32"/>
  <c r="F6" i="32"/>
  <c r="G6" i="32"/>
  <c r="K6" i="32" s="1"/>
  <c r="C4" i="32" s="1"/>
  <c r="H6" i="32"/>
  <c r="J6" i="32"/>
  <c r="I6" i="32"/>
  <c r="K5" i="32"/>
  <c r="F5" i="32"/>
  <c r="C38" i="49"/>
  <c r="C37" i="49"/>
  <c r="G35" i="49"/>
  <c r="G34" i="49"/>
  <c r="F33" i="49"/>
  <c r="E33" i="49"/>
  <c r="D33" i="49"/>
  <c r="G33" i="49"/>
  <c r="D32" i="49"/>
  <c r="F30" i="49"/>
  <c r="E30" i="49"/>
  <c r="D30" i="49"/>
  <c r="C30" i="49"/>
  <c r="G30" i="49"/>
  <c r="G29" i="49"/>
  <c r="F29" i="49"/>
  <c r="E29" i="49"/>
  <c r="C29" i="49"/>
  <c r="D29" i="49"/>
  <c r="E28" i="49"/>
  <c r="F28" i="49"/>
  <c r="G28" i="49"/>
  <c r="F25" i="49"/>
  <c r="E25" i="49"/>
  <c r="D25" i="49"/>
  <c r="C25" i="49"/>
  <c r="G25" i="49"/>
  <c r="F24" i="49"/>
  <c r="E24" i="49"/>
  <c r="D24" i="49"/>
  <c r="C24" i="49"/>
  <c r="G24" i="49"/>
  <c r="C9" i="49"/>
  <c r="D8" i="49"/>
  <c r="G7" i="49"/>
  <c r="H7" i="49" s="1"/>
  <c r="C7" i="49"/>
  <c r="C6" i="49"/>
  <c r="G6" i="49"/>
  <c r="G10" i="49" s="1"/>
  <c r="H7" i="74" l="1"/>
  <c r="I7" i="74"/>
  <c r="J7" i="74"/>
  <c r="G7" i="74"/>
  <c r="K7" i="74"/>
  <c r="L7" i="74"/>
  <c r="K7" i="23"/>
  <c r="L8" i="23"/>
  <c r="H7" i="23"/>
  <c r="G7" i="23"/>
  <c r="F7" i="23"/>
  <c r="H5" i="68"/>
  <c r="C15" i="68"/>
  <c r="C14" i="68"/>
  <c r="I5" i="68"/>
  <c r="C13" i="68"/>
  <c r="C7" i="68"/>
  <c r="C8" i="68"/>
  <c r="O27" i="67"/>
  <c r="O26" i="67" l="1"/>
  <c r="O25" i="67"/>
  <c r="O24" i="67"/>
  <c r="O23" i="67"/>
  <c r="O22" i="67"/>
  <c r="O21" i="67"/>
  <c r="O20" i="67"/>
  <c r="O19" i="67"/>
  <c r="O18" i="67"/>
  <c r="O17" i="67"/>
  <c r="O15" i="67"/>
  <c r="O14" i="67"/>
  <c r="O12" i="67"/>
  <c r="O11" i="67"/>
  <c r="O8" i="67"/>
  <c r="O6" i="67"/>
  <c r="M26" i="67"/>
  <c r="M25" i="67"/>
  <c r="M24" i="67"/>
  <c r="M23" i="67"/>
  <c r="M22" i="67"/>
  <c r="M21" i="67"/>
  <c r="M20" i="67"/>
  <c r="M19" i="67"/>
  <c r="M18" i="67"/>
  <c r="M17" i="67"/>
  <c r="M16" i="67"/>
  <c r="M15" i="67"/>
  <c r="M14" i="67"/>
  <c r="M13" i="67"/>
  <c r="M12" i="67"/>
  <c r="M11" i="67"/>
  <c r="M10" i="67"/>
  <c r="M9" i="67"/>
  <c r="M8" i="67"/>
  <c r="M7" i="67"/>
  <c r="M27" i="67" s="1"/>
  <c r="M6" i="67"/>
  <c r="M5" i="67"/>
  <c r="D27" i="67"/>
  <c r="J27" i="67"/>
  <c r="K27" i="67"/>
  <c r="K26" i="67"/>
  <c r="K25" i="67"/>
  <c r="K24" i="67"/>
  <c r="K23" i="67"/>
  <c r="K22" i="67"/>
  <c r="K21" i="67"/>
  <c r="K20" i="67"/>
  <c r="K19" i="67"/>
  <c r="K18" i="67"/>
  <c r="K17" i="67"/>
  <c r="K16" i="67"/>
  <c r="K15" i="67"/>
  <c r="K14" i="67"/>
  <c r="K13" i="67"/>
  <c r="K12" i="67"/>
  <c r="K11" i="67"/>
  <c r="K10" i="67"/>
  <c r="K9" i="67"/>
  <c r="K8" i="67"/>
  <c r="K7" i="67"/>
  <c r="K6" i="67"/>
  <c r="K5" i="67"/>
  <c r="J26" i="67"/>
  <c r="J25" i="67"/>
  <c r="J24" i="67"/>
  <c r="J23" i="67"/>
  <c r="J22" i="67"/>
  <c r="J21" i="67"/>
  <c r="J20" i="67"/>
  <c r="J19" i="67"/>
  <c r="J18" i="67"/>
  <c r="J17" i="67"/>
  <c r="J16" i="67"/>
  <c r="J15" i="67"/>
  <c r="J14" i="67"/>
  <c r="J13" i="67"/>
  <c r="J12" i="67"/>
  <c r="J11" i="67"/>
  <c r="J10" i="67"/>
  <c r="J9" i="67"/>
  <c r="J8" i="67"/>
  <c r="J7" i="67"/>
  <c r="J6" i="67"/>
  <c r="J5" i="67"/>
  <c r="I26" i="67"/>
  <c r="I25" i="67"/>
  <c r="I24" i="67"/>
  <c r="I23" i="67"/>
  <c r="I22" i="67"/>
  <c r="I21" i="67"/>
  <c r="I20" i="67"/>
  <c r="I19" i="67"/>
  <c r="I18" i="67"/>
  <c r="I17" i="67"/>
  <c r="I16" i="67"/>
  <c r="I15" i="67"/>
  <c r="I14" i="67"/>
  <c r="I13" i="67"/>
  <c r="I12" i="67"/>
  <c r="I11" i="67"/>
  <c r="I10" i="67"/>
  <c r="I9" i="67"/>
  <c r="I8" i="67"/>
  <c r="I7" i="67"/>
  <c r="I6" i="67"/>
  <c r="I5" i="67"/>
  <c r="G26" i="67"/>
  <c r="G25" i="67"/>
  <c r="G24" i="67"/>
  <c r="G23" i="67"/>
  <c r="G22" i="67"/>
  <c r="G21" i="67"/>
  <c r="G20" i="67"/>
  <c r="G19" i="67"/>
  <c r="G18" i="67"/>
  <c r="G17" i="67"/>
  <c r="G16" i="67"/>
  <c r="G15" i="67"/>
  <c r="G14" i="67"/>
  <c r="G13" i="67"/>
  <c r="G12" i="67"/>
  <c r="G11" i="67"/>
  <c r="G10" i="67"/>
  <c r="G9" i="67"/>
  <c r="G8" i="67"/>
  <c r="G7" i="67"/>
  <c r="G6" i="67"/>
  <c r="G5" i="67"/>
  <c r="Q25" i="24" l="1"/>
  <c r="C3" i="24" s="1"/>
  <c r="D13" i="24" l="1"/>
  <c r="G13" i="24"/>
  <c r="F13" i="24"/>
  <c r="H13" i="24"/>
  <c r="I26" i="24"/>
  <c r="K26" i="24"/>
  <c r="K25" i="24"/>
  <c r="K24" i="24"/>
  <c r="K23" i="24"/>
  <c r="K22" i="24"/>
  <c r="J26" i="24"/>
  <c r="H11" i="24"/>
  <c r="H10" i="24"/>
  <c r="H9" i="24"/>
  <c r="E30" i="24"/>
  <c r="F26" i="24" s="1"/>
  <c r="F11" i="24"/>
  <c r="E11" i="24" s="1"/>
  <c r="G9" i="24"/>
  <c r="F9" i="24"/>
  <c r="E9" i="24" s="1"/>
  <c r="G11" i="24"/>
  <c r="F27" i="24" l="1"/>
  <c r="F28" i="24"/>
  <c r="F29" i="24"/>
  <c r="F30" i="24" s="1"/>
  <c r="C30" i="24" l="1"/>
  <c r="F12" i="24" s="1"/>
  <c r="D30" i="24"/>
  <c r="G12" i="24" s="1"/>
  <c r="C37" i="66" l="1"/>
  <c r="L20" i="73" l="1"/>
  <c r="L19" i="73"/>
  <c r="L18" i="73"/>
  <c r="L17" i="73"/>
  <c r="L16" i="73"/>
  <c r="L15" i="73"/>
  <c r="L14" i="73"/>
  <c r="L13" i="73"/>
  <c r="L12" i="73"/>
  <c r="L11" i="73"/>
  <c r="L9" i="73"/>
  <c r="L8" i="73"/>
  <c r="L7" i="73"/>
  <c r="L6" i="73"/>
  <c r="L5" i="73"/>
  <c r="L4" i="73"/>
  <c r="O20" i="73" l="1"/>
  <c r="O19" i="73"/>
  <c r="O18" i="73"/>
  <c r="O17" i="73"/>
  <c r="O16" i="73"/>
  <c r="O15" i="73"/>
  <c r="O14" i="73"/>
  <c r="O13" i="73"/>
  <c r="O12" i="73"/>
  <c r="O11" i="73"/>
  <c r="O10" i="73"/>
  <c r="O9" i="73"/>
  <c r="O8" i="73"/>
  <c r="O7" i="73"/>
  <c r="O6" i="73"/>
  <c r="O5" i="73"/>
  <c r="O4" i="73"/>
  <c r="C6" i="43" l="1"/>
  <c r="J15" i="35"/>
  <c r="H23" i="32"/>
  <c r="G23" i="32"/>
  <c r="I23" i="32"/>
  <c r="J23" i="32"/>
  <c r="J13" i="32"/>
  <c r="C3" i="32"/>
  <c r="F7" i="32"/>
  <c r="H12" i="24"/>
  <c r="K20" i="24"/>
  <c r="J20" i="24"/>
  <c r="J25" i="24"/>
  <c r="J24" i="24"/>
  <c r="J19" i="24"/>
  <c r="K17" i="24" s="1"/>
  <c r="F23" i="24"/>
  <c r="J19" i="32" l="1"/>
  <c r="J24" i="32"/>
  <c r="C15" i="32"/>
  <c r="C18" i="32"/>
  <c r="K18" i="24"/>
  <c r="K19" i="24" s="1"/>
  <c r="I19" i="24"/>
  <c r="E12" i="24" l="1"/>
  <c r="C44" i="69"/>
  <c r="C43" i="69"/>
  <c r="C42" i="69"/>
  <c r="C41" i="69"/>
  <c r="C40" i="69"/>
  <c r="C39" i="69"/>
  <c r="C38" i="69"/>
  <c r="C37" i="69"/>
  <c r="C36" i="69"/>
  <c r="C35" i="69"/>
  <c r="C15" i="72"/>
  <c r="G4" i="72"/>
  <c r="H4" i="72" s="1"/>
  <c r="N11" i="73" l="1"/>
  <c r="M11" i="73"/>
  <c r="N19" i="73"/>
  <c r="M19" i="73"/>
  <c r="M4" i="73"/>
  <c r="N4" i="73"/>
  <c r="N12" i="73"/>
  <c r="M12" i="73"/>
  <c r="N16" i="73"/>
  <c r="M16" i="73"/>
  <c r="N5" i="73"/>
  <c r="M5" i="73"/>
  <c r="N9" i="73"/>
  <c r="M9" i="73"/>
  <c r="N13" i="73"/>
  <c r="M13" i="73"/>
  <c r="N17" i="73"/>
  <c r="M17" i="73"/>
  <c r="N7" i="73"/>
  <c r="M7" i="73"/>
  <c r="N15" i="73"/>
  <c r="M15" i="73"/>
  <c r="M8" i="73"/>
  <c r="N20" i="73"/>
  <c r="M20" i="73"/>
  <c r="N6" i="73"/>
  <c r="M6" i="73"/>
  <c r="N10" i="73"/>
  <c r="M10" i="73"/>
  <c r="N14" i="73"/>
  <c r="M14" i="73"/>
  <c r="N18" i="73"/>
  <c r="M18" i="73"/>
  <c r="C13" i="69"/>
  <c r="C12" i="69"/>
  <c r="C11" i="69"/>
  <c r="C10" i="69"/>
  <c r="C9" i="69"/>
  <c r="C8" i="69"/>
  <c r="C7" i="69"/>
  <c r="C6" i="69"/>
  <c r="C5" i="69"/>
  <c r="C4" i="69"/>
  <c r="Q26" i="28" l="1"/>
  <c r="Q22" i="28"/>
  <c r="Z3" i="28" l="1"/>
  <c r="Q3" i="28"/>
  <c r="H3" i="28"/>
  <c r="D4" i="37" l="1"/>
  <c r="I21" i="39"/>
  <c r="P45" i="49"/>
  <c r="C17" i="49" s="1"/>
  <c r="C22" i="49" s="1"/>
  <c r="O23" i="49"/>
  <c r="P23" i="49" s="1"/>
  <c r="C13" i="49" s="1"/>
  <c r="C21" i="49" s="1"/>
  <c r="M43" i="49"/>
  <c r="L42" i="49"/>
  <c r="N31" i="49"/>
  <c r="N30" i="49"/>
  <c r="N29" i="49"/>
  <c r="M29" i="49"/>
  <c r="L29" i="49"/>
  <c r="N22" i="49"/>
  <c r="M21" i="49"/>
  <c r="K19" i="49"/>
  <c r="N9" i="49"/>
  <c r="N8" i="49"/>
  <c r="E18" i="49"/>
  <c r="D18" i="49"/>
  <c r="C18" i="49"/>
  <c r="F18" i="49"/>
  <c r="E14" i="49"/>
  <c r="D14" i="49"/>
  <c r="C14" i="49"/>
  <c r="F14" i="49"/>
  <c r="O27" i="49"/>
  <c r="O37" i="49" s="1"/>
  <c r="N27" i="49"/>
  <c r="M27" i="49"/>
  <c r="M36" i="49" s="1"/>
  <c r="L27" i="49"/>
  <c r="L36" i="49" s="1"/>
  <c r="O5" i="49"/>
  <c r="O19" i="49" s="1"/>
  <c r="N5" i="49"/>
  <c r="N21" i="49" s="1"/>
  <c r="M5" i="49"/>
  <c r="M14" i="49" s="1"/>
  <c r="L5" i="49"/>
  <c r="L19" i="49" s="1"/>
  <c r="C10" i="49"/>
  <c r="D6" i="49"/>
  <c r="D10" i="49" s="1"/>
  <c r="E6" i="49"/>
  <c r="E10" i="49" s="1"/>
  <c r="F6" i="49"/>
  <c r="F10" i="49" s="1"/>
  <c r="F20" i="49" s="1"/>
  <c r="N36" i="49" l="1"/>
  <c r="O36" i="49"/>
  <c r="O15" i="49"/>
  <c r="O35" i="49"/>
  <c r="M19" i="49"/>
  <c r="N14" i="49"/>
  <c r="O22" i="49"/>
  <c r="P22" i="49" s="1"/>
  <c r="D13" i="49" s="1"/>
  <c r="D21" i="49" s="1"/>
  <c r="N38" i="49"/>
  <c r="N43" i="49"/>
  <c r="M42" i="49"/>
  <c r="P36" i="49"/>
  <c r="F16" i="49" s="1"/>
  <c r="D35" i="49"/>
  <c r="D34" i="49"/>
  <c r="O13" i="49"/>
  <c r="O14" i="49"/>
  <c r="N16" i="49"/>
  <c r="N19" i="49"/>
  <c r="M20" i="49"/>
  <c r="L35" i="49"/>
  <c r="M37" i="49"/>
  <c r="O38" i="49"/>
  <c r="N42" i="49"/>
  <c r="O43" i="49"/>
  <c r="O21" i="49"/>
  <c r="P21" i="49" s="1"/>
  <c r="E13" i="49" s="1"/>
  <c r="E21" i="49" s="1"/>
  <c r="L14" i="49"/>
  <c r="M15" i="49"/>
  <c r="O16" i="49"/>
  <c r="M35" i="49"/>
  <c r="N37" i="49"/>
  <c r="O39" i="49"/>
  <c r="P39" i="49" s="1"/>
  <c r="C16" i="49" s="1"/>
  <c r="O42" i="49"/>
  <c r="P42" i="49" s="1"/>
  <c r="F17" i="49" s="1"/>
  <c r="F22" i="49" s="1"/>
  <c r="O44" i="49"/>
  <c r="P44" i="49" s="1"/>
  <c r="D17" i="49" s="1"/>
  <c r="D22" i="49" s="1"/>
  <c r="O20" i="49"/>
  <c r="F35" i="49"/>
  <c r="F34" i="49"/>
  <c r="N15" i="49"/>
  <c r="O17" i="49"/>
  <c r="P17" i="49" s="1"/>
  <c r="C12" i="49" s="1"/>
  <c r="N20" i="49"/>
  <c r="N35" i="49"/>
  <c r="E35" i="49"/>
  <c r="E34" i="49"/>
  <c r="C6" i="57"/>
  <c r="I6" i="68"/>
  <c r="C20" i="49"/>
  <c r="C23" i="49" s="1"/>
  <c r="E20" i="49"/>
  <c r="D20" i="49"/>
  <c r="G17" i="32"/>
  <c r="I17" i="32"/>
  <c r="I13" i="32"/>
  <c r="L41" i="49"/>
  <c r="O41" i="49"/>
  <c r="N41" i="49"/>
  <c r="M41" i="49"/>
  <c r="N7" i="49"/>
  <c r="N13" i="49" s="1"/>
  <c r="M7" i="49"/>
  <c r="M13" i="49" s="1"/>
  <c r="L7" i="49"/>
  <c r="L13" i="49" s="1"/>
  <c r="K27" i="49"/>
  <c r="K35" i="49" s="1"/>
  <c r="I19" i="32" l="1"/>
  <c r="I24" i="32" s="1"/>
  <c r="P43" i="49"/>
  <c r="E17" i="49" s="1"/>
  <c r="E22" i="49" s="1"/>
  <c r="E23" i="49" s="1"/>
  <c r="E32" i="49" s="1"/>
  <c r="P15" i="49"/>
  <c r="E12" i="49" s="1"/>
  <c r="P38" i="49"/>
  <c r="D16" i="49" s="1"/>
  <c r="D23" i="49"/>
  <c r="P14" i="49"/>
  <c r="F12" i="49" s="1"/>
  <c r="P20" i="49"/>
  <c r="F13" i="49" s="1"/>
  <c r="F21" i="49" s="1"/>
  <c r="F23" i="49" s="1"/>
  <c r="P37" i="49"/>
  <c r="E16" i="49" s="1"/>
  <c r="P16" i="49"/>
  <c r="D12" i="49" s="1"/>
  <c r="J5" i="68"/>
  <c r="P35" i="49"/>
  <c r="G16" i="49" s="1"/>
  <c r="G18" i="49"/>
  <c r="P41" i="49"/>
  <c r="G17" i="49" s="1"/>
  <c r="G22" i="49" s="1"/>
  <c r="H5" i="49"/>
  <c r="H9" i="49"/>
  <c r="K5" i="49"/>
  <c r="K3" i="28"/>
  <c r="H8" i="49"/>
  <c r="F32" i="49" l="1"/>
  <c r="C8" i="39"/>
  <c r="G14" i="49"/>
  <c r="G20" i="49" s="1"/>
  <c r="K13" i="49"/>
  <c r="P13" i="49" s="1"/>
  <c r="G12" i="49" s="1"/>
  <c r="C9" i="32"/>
  <c r="C10" i="32"/>
  <c r="H10" i="49"/>
  <c r="H6" i="49"/>
  <c r="C10" i="68" l="1"/>
  <c r="C6" i="68"/>
  <c r="C9" i="68" l="1"/>
  <c r="C11" i="68" s="1"/>
  <c r="C16" i="69" s="1"/>
  <c r="G16" i="40"/>
  <c r="G18" i="40" s="1"/>
  <c r="G13" i="32" l="1"/>
  <c r="H19" i="32"/>
  <c r="H21" i="32" l="1"/>
  <c r="G24" i="32"/>
  <c r="P19" i="49"/>
  <c r="G13" i="49" s="1"/>
  <c r="G21" i="49" s="1"/>
  <c r="G23" i="49" s="1"/>
  <c r="H24" i="32"/>
  <c r="G19" i="40"/>
  <c r="G32" i="49" l="1"/>
  <c r="C20" i="69" l="1"/>
  <c r="G5" i="35"/>
  <c r="G8" i="35" s="1"/>
  <c r="C13" i="32"/>
  <c r="C19" i="32" l="1"/>
  <c r="C16" i="32"/>
  <c r="G37" i="69"/>
  <c r="G43" i="69"/>
  <c r="G42" i="69"/>
  <c r="G13" i="69"/>
  <c r="G11" i="69"/>
  <c r="G35" i="69"/>
  <c r="G6" i="69"/>
  <c r="G44" i="69"/>
  <c r="G41" i="69"/>
  <c r="G38" i="69"/>
  <c r="G7" i="69"/>
  <c r="G5" i="69"/>
  <c r="G40" i="69"/>
  <c r="G39" i="69"/>
  <c r="G10" i="69"/>
  <c r="G12" i="69"/>
  <c r="G4" i="69"/>
  <c r="G36" i="69"/>
  <c r="G8" i="69"/>
  <c r="G9" i="69"/>
  <c r="C21" i="32" l="1"/>
  <c r="I6" i="39"/>
  <c r="I7" i="39"/>
  <c r="I8" i="39"/>
  <c r="I9" i="39"/>
  <c r="I10" i="39"/>
  <c r="I11" i="39"/>
  <c r="I12" i="39"/>
  <c r="I13" i="39"/>
  <c r="I14" i="39"/>
  <c r="I15" i="39"/>
  <c r="I16" i="39"/>
  <c r="I17" i="39"/>
  <c r="I18" i="39"/>
  <c r="I19" i="39"/>
  <c r="I20" i="39"/>
  <c r="I22" i="39"/>
  <c r="J6" i="35"/>
  <c r="C6" i="32"/>
  <c r="H7" i="32"/>
  <c r="I7" i="32"/>
  <c r="J7" i="32"/>
  <c r="G7" i="32"/>
  <c r="C5" i="32" l="1"/>
  <c r="C21" i="23" l="1"/>
  <c r="E3" i="28" s="1"/>
  <c r="I7" i="23"/>
  <c r="J7" i="23"/>
  <c r="L7" i="23"/>
  <c r="H4" i="68"/>
  <c r="J4" i="68" l="1"/>
  <c r="C4" i="68"/>
  <c r="C3" i="68"/>
  <c r="F6" i="68" l="1"/>
  <c r="J6" i="68"/>
  <c r="H6" i="68"/>
  <c r="C6" i="24" l="1"/>
  <c r="C17" i="69" s="1"/>
  <c r="L4" i="69" s="1"/>
  <c r="C12" i="23" l="1"/>
  <c r="H47" i="37"/>
  <c r="H46" i="37"/>
  <c r="H45" i="37"/>
  <c r="H39" i="37"/>
  <c r="H40" i="37"/>
  <c r="H41" i="37"/>
  <c r="H38" i="37"/>
  <c r="D6" i="57" l="1"/>
  <c r="E6" i="57"/>
  <c r="C5" i="57"/>
  <c r="C7" i="57" s="1"/>
  <c r="F6" i="57" l="1"/>
  <c r="C5" i="24" l="1"/>
  <c r="F7" i="57" l="1"/>
  <c r="E7" i="57"/>
  <c r="D7" i="57"/>
  <c r="B21" i="57"/>
  <c r="B22" i="57" s="1"/>
  <c r="B23" i="57" s="1"/>
  <c r="B24" i="57" s="1"/>
  <c r="B25" i="57" s="1"/>
  <c r="B26" i="57" s="1"/>
  <c r="B27" i="57" s="1"/>
  <c r="B28" i="57" s="1"/>
  <c r="B29" i="57" s="1"/>
  <c r="C7" i="32" l="1"/>
  <c r="C8" i="32" l="1"/>
  <c r="C11" i="32" s="1"/>
  <c r="C23" i="32" s="1"/>
  <c r="C13" i="57" l="1"/>
  <c r="C12" i="57" l="1"/>
  <c r="C14" i="57" s="1"/>
  <c r="B20" i="37" l="1"/>
  <c r="B21" i="37" s="1"/>
  <c r="B22" i="37" s="1"/>
  <c r="B23" i="37" s="1"/>
  <c r="B24" i="37" s="1"/>
  <c r="B25" i="37" s="1"/>
  <c r="B26" i="37" s="1"/>
  <c r="B27" i="37" s="1"/>
  <c r="B28" i="37" s="1"/>
  <c r="B6" i="37"/>
  <c r="B7" i="37" s="1"/>
  <c r="B8" i="37" s="1"/>
  <c r="B9" i="37" s="1"/>
  <c r="B10" i="37" s="1"/>
  <c r="B11" i="37" s="1"/>
  <c r="B12" i="37" s="1"/>
  <c r="B13" i="37" s="1"/>
  <c r="B14" i="37" s="1"/>
  <c r="F11" i="35" l="1"/>
  <c r="B5" i="35"/>
  <c r="B4" i="35"/>
  <c r="F10" i="35" l="1"/>
  <c r="J8" i="35"/>
  <c r="I5" i="35"/>
  <c r="G11" i="35" l="1"/>
  <c r="B6" i="4"/>
  <c r="B7" i="4" s="1"/>
  <c r="B8" i="4" s="1"/>
  <c r="B9" i="4" s="1"/>
  <c r="B10" i="4" s="1"/>
  <c r="B11" i="4" s="1"/>
  <c r="B12" i="4" s="1"/>
  <c r="B13" i="4" s="1"/>
  <c r="B14" i="4" s="1"/>
  <c r="B15" i="4" s="1"/>
  <c r="G4" i="40" l="1"/>
  <c r="C5" i="23"/>
  <c r="G10" i="40" l="1"/>
  <c r="G18" i="37" l="1"/>
  <c r="G10" i="35" l="1"/>
  <c r="J5" i="35"/>
  <c r="J7" i="35" s="1"/>
  <c r="J9" i="35" s="1"/>
  <c r="G4" i="37"/>
  <c r="C4" i="39"/>
  <c r="C7" i="39"/>
  <c r="C9" i="39" s="1"/>
  <c r="F4" i="37" l="1"/>
  <c r="G12" i="35"/>
  <c r="G14" i="35" s="1"/>
  <c r="C4" i="35" s="1"/>
  <c r="F18" i="37" s="1"/>
  <c r="C19" i="57"/>
  <c r="G19" i="57" s="1"/>
  <c r="J11" i="35" l="1"/>
  <c r="C5" i="35" s="1"/>
  <c r="C3" i="39"/>
  <c r="C5" i="39" s="1"/>
  <c r="C11" i="39" s="1"/>
  <c r="C24" i="57"/>
  <c r="C22" i="57" s="1"/>
  <c r="D19" i="57"/>
  <c r="C27" i="57" l="1"/>
  <c r="C20" i="57"/>
  <c r="C23" i="57"/>
  <c r="C25" i="57" l="1"/>
  <c r="C26" i="57" s="1"/>
  <c r="C28" i="57"/>
  <c r="C21" i="57"/>
  <c r="C13" i="24" l="1"/>
  <c r="D9" i="24" l="1"/>
  <c r="D10" i="24"/>
  <c r="D12" i="24"/>
  <c r="D11" i="24"/>
  <c r="E13" i="24" l="1"/>
  <c r="E14" i="24" s="1"/>
  <c r="G5" i="40" s="1"/>
  <c r="K4" i="37"/>
  <c r="H4" i="37" s="1"/>
  <c r="H18" i="37" s="1"/>
  <c r="C18" i="69" l="1"/>
  <c r="C6" i="23"/>
  <c r="C15" i="69"/>
  <c r="C24" i="72"/>
  <c r="C24" i="23"/>
  <c r="C13" i="23"/>
  <c r="C16" i="23" s="1"/>
  <c r="G11" i="40"/>
  <c r="G14" i="40" s="1"/>
  <c r="C8" i="40"/>
  <c r="C22" i="23" l="1"/>
  <c r="D44" i="69"/>
  <c r="E44" i="69" s="1"/>
  <c r="D41" i="69"/>
  <c r="E41" i="69" s="1"/>
  <c r="D37" i="69"/>
  <c r="E37" i="69" s="1"/>
  <c r="D8" i="69"/>
  <c r="E8" i="69" s="1"/>
  <c r="D6" i="69"/>
  <c r="E6" i="69" s="1"/>
  <c r="D4" i="69"/>
  <c r="E4" i="69" s="1"/>
  <c r="D40" i="69"/>
  <c r="E40" i="69" s="1"/>
  <c r="D35" i="69"/>
  <c r="E35" i="69" s="1"/>
  <c r="D11" i="69"/>
  <c r="E11" i="69" s="1"/>
  <c r="D13" i="69"/>
  <c r="E13" i="69" s="1"/>
  <c r="D12" i="69"/>
  <c r="E12" i="69" s="1"/>
  <c r="D43" i="69"/>
  <c r="E43" i="69" s="1"/>
  <c r="D39" i="69"/>
  <c r="E39" i="69" s="1"/>
  <c r="D7" i="69"/>
  <c r="E7" i="69" s="1"/>
  <c r="D9" i="69"/>
  <c r="E9" i="69" s="1"/>
  <c r="D36" i="69"/>
  <c r="E36" i="69" s="1"/>
  <c r="D42" i="69"/>
  <c r="E42" i="69" s="1"/>
  <c r="D38" i="69"/>
  <c r="E38" i="69" s="1"/>
  <c r="D10" i="69"/>
  <c r="E10" i="69" s="1"/>
  <c r="D5" i="69"/>
  <c r="E5" i="69" s="1"/>
  <c r="C19" i="72" l="1"/>
  <c r="C23" i="23"/>
  <c r="C19" i="69"/>
  <c r="F5" i="69" s="1"/>
  <c r="C20" i="48"/>
  <c r="F41" i="69" l="1"/>
  <c r="F37" i="69"/>
  <c r="F4" i="69"/>
  <c r="F11" i="69"/>
  <c r="F8" i="69"/>
  <c r="F43" i="69"/>
  <c r="F12" i="69"/>
  <c r="F6" i="69"/>
  <c r="F44" i="69"/>
  <c r="F40" i="69"/>
  <c r="F36" i="69"/>
  <c r="F7" i="69"/>
  <c r="F10" i="69"/>
  <c r="F42" i="69"/>
  <c r="F38" i="69"/>
  <c r="F9" i="69"/>
  <c r="F13" i="69"/>
  <c r="F39" i="69"/>
  <c r="F35" i="69"/>
  <c r="C18" i="68"/>
  <c r="N3" i="28"/>
  <c r="C26" i="23"/>
  <c r="C27" i="23"/>
  <c r="C4" i="72"/>
  <c r="C12" i="72"/>
  <c r="C10" i="72"/>
  <c r="C9" i="72"/>
  <c r="C11" i="72"/>
  <c r="C21" i="72"/>
  <c r="C22" i="72" s="1"/>
  <c r="E4" i="72" s="1"/>
  <c r="C5" i="72"/>
  <c r="C7" i="72"/>
  <c r="C13" i="72"/>
  <c r="C8" i="72"/>
  <c r="C6" i="72"/>
  <c r="M4" i="69" l="1"/>
  <c r="H4" i="69"/>
  <c r="L7" i="48"/>
  <c r="K23" i="71" s="1"/>
  <c r="E13" i="72"/>
  <c r="E8" i="72"/>
  <c r="E6" i="72"/>
  <c r="E11" i="72"/>
  <c r="I4" i="72"/>
  <c r="E7" i="72"/>
  <c r="E9" i="72"/>
  <c r="E10" i="72"/>
  <c r="E5" i="72"/>
  <c r="E12" i="72"/>
  <c r="D4" i="72"/>
  <c r="F4" i="72" s="1"/>
  <c r="N4" i="69"/>
  <c r="O4" i="69" s="1"/>
  <c r="C7" i="23"/>
  <c r="C8" i="23" s="1"/>
  <c r="C20" i="23" s="1"/>
  <c r="C29" i="23" s="1"/>
  <c r="U3" i="28"/>
  <c r="J4" i="72" l="1"/>
  <c r="W3" i="28"/>
  <c r="C7" i="48"/>
  <c r="K14" i="71" s="1"/>
  <c r="D7" i="48" l="1"/>
  <c r="K15" i="71" s="1"/>
  <c r="H7" i="48"/>
  <c r="K19" i="71" s="1"/>
  <c r="J7" i="48" l="1"/>
  <c r="F7" i="48"/>
  <c r="K17" i="71" s="1"/>
  <c r="I7" i="48" l="1"/>
  <c r="K20" i="71" s="1"/>
  <c r="K21" i="71"/>
  <c r="E7" i="48"/>
  <c r="K16" i="71" s="1"/>
  <c r="G7" i="48"/>
  <c r="K18" i="71" s="1"/>
  <c r="K7" i="48"/>
  <c r="K22" i="71" s="1"/>
  <c r="C16" i="48" l="1"/>
  <c r="D5" i="72"/>
  <c r="F5" i="72"/>
  <c r="G5" i="72"/>
  <c r="H5" i="72"/>
  <c r="I5" i="72"/>
  <c r="J5" i="72"/>
  <c r="D6" i="72"/>
  <c r="F6" i="72"/>
  <c r="G6" i="72"/>
  <c r="H6" i="72"/>
  <c r="I6" i="72"/>
  <c r="J6" i="72"/>
  <c r="D7" i="72"/>
  <c r="F7" i="72"/>
  <c r="G7" i="72"/>
  <c r="H7" i="72"/>
  <c r="I7" i="72"/>
  <c r="J7" i="72"/>
  <c r="D8" i="72"/>
  <c r="F8" i="72"/>
  <c r="G8" i="72"/>
  <c r="H8" i="72"/>
  <c r="I8" i="72"/>
  <c r="J8" i="72"/>
  <c r="D9" i="72"/>
  <c r="F9" i="72"/>
  <c r="G9" i="72"/>
  <c r="H9" i="72"/>
  <c r="I9" i="72"/>
  <c r="J9" i="72"/>
  <c r="D10" i="72"/>
  <c r="F10" i="72"/>
  <c r="G10" i="72"/>
  <c r="H10" i="72"/>
  <c r="I10" i="72"/>
  <c r="J10" i="72"/>
  <c r="D11" i="72"/>
  <c r="F11" i="72"/>
  <c r="G11" i="72"/>
  <c r="H11" i="72"/>
  <c r="I11" i="72"/>
  <c r="J11" i="72"/>
  <c r="D12" i="72"/>
  <c r="F12" i="72"/>
  <c r="G12" i="72"/>
  <c r="H12" i="72"/>
  <c r="I12" i="72"/>
  <c r="J12" i="72"/>
  <c r="D13" i="72"/>
  <c r="F13" i="72"/>
  <c r="G13" i="72"/>
  <c r="H13" i="72"/>
  <c r="I13" i="72"/>
  <c r="J13" i="72"/>
  <c r="D33" i="72"/>
  <c r="F33" i="72"/>
  <c r="G33" i="72"/>
  <c r="H33" i="72"/>
  <c r="I33" i="72"/>
  <c r="J33" i="72"/>
  <c r="D34" i="72"/>
  <c r="F34" i="72"/>
  <c r="G34" i="72"/>
  <c r="H34" i="72"/>
  <c r="I34" i="72"/>
  <c r="J34" i="72"/>
  <c r="D35" i="72"/>
  <c r="F35" i="72"/>
  <c r="G35" i="72"/>
  <c r="H35" i="72"/>
  <c r="I35" i="72"/>
  <c r="J35" i="72"/>
  <c r="D36" i="72"/>
  <c r="F36" i="72"/>
  <c r="G36" i="72"/>
  <c r="H36" i="72"/>
  <c r="I36" i="72"/>
  <c r="J36" i="72"/>
  <c r="D37" i="72"/>
  <c r="F37" i="72"/>
  <c r="G37" i="72"/>
  <c r="H37" i="72"/>
  <c r="I37" i="72"/>
  <c r="J37" i="72"/>
  <c r="D38" i="72"/>
  <c r="F38" i="72"/>
  <c r="G38" i="72"/>
  <c r="H38" i="72"/>
  <c r="I38" i="72"/>
  <c r="J38" i="72"/>
  <c r="D39" i="72"/>
  <c r="F39" i="72"/>
  <c r="G39" i="72"/>
  <c r="H39" i="72"/>
  <c r="I39" i="72"/>
  <c r="J39" i="72"/>
  <c r="D40" i="72"/>
  <c r="F40" i="72"/>
  <c r="G40" i="72"/>
  <c r="H40" i="72"/>
  <c r="I40" i="72"/>
  <c r="J40" i="72"/>
  <c r="D41" i="72"/>
  <c r="F41" i="72"/>
  <c r="G41" i="72"/>
  <c r="H41" i="72"/>
  <c r="I41" i="72"/>
  <c r="J41" i="72"/>
  <c r="D42" i="72"/>
  <c r="F42" i="72"/>
  <c r="G42" i="72"/>
  <c r="H42" i="72"/>
  <c r="I42" i="72"/>
  <c r="J42" i="72"/>
  <c r="J14" i="71"/>
  <c r="L14" i="71"/>
  <c r="M14" i="71"/>
  <c r="J15" i="71"/>
  <c r="L15" i="71"/>
  <c r="M15" i="71"/>
  <c r="J16" i="71"/>
  <c r="L16" i="71"/>
  <c r="M16" i="71"/>
  <c r="J17" i="71"/>
  <c r="L17" i="71"/>
  <c r="M17" i="71"/>
  <c r="J18" i="71"/>
  <c r="L18" i="71"/>
  <c r="M18" i="71"/>
  <c r="J19" i="71"/>
  <c r="L19" i="71"/>
  <c r="M19" i="71"/>
  <c r="J20" i="71"/>
  <c r="L20" i="71"/>
  <c r="M20" i="71"/>
  <c r="J21" i="71"/>
  <c r="L21" i="71"/>
  <c r="M21" i="71"/>
  <c r="J22" i="71"/>
  <c r="L22" i="71"/>
  <c r="M22" i="71"/>
  <c r="J23" i="71"/>
  <c r="L23" i="71"/>
  <c r="M23" i="71"/>
  <c r="L24" i="71"/>
  <c r="M24" i="71"/>
  <c r="M26" i="71"/>
  <c r="C6" i="48"/>
  <c r="D6" i="48"/>
  <c r="E6" i="48"/>
  <c r="F6" i="48"/>
  <c r="G6" i="48"/>
  <c r="H6" i="48"/>
  <c r="I6" i="48"/>
  <c r="J6" i="48"/>
  <c r="K6" i="48"/>
  <c r="L6" i="48"/>
  <c r="C8" i="48"/>
  <c r="D8" i="48"/>
  <c r="E8" i="48"/>
  <c r="F8" i="48"/>
  <c r="G8" i="48"/>
  <c r="H8" i="48"/>
  <c r="I8" i="48"/>
  <c r="J8" i="48"/>
  <c r="K8" i="48"/>
  <c r="L8" i="48"/>
  <c r="C12" i="48"/>
  <c r="C13" i="48"/>
  <c r="C14" i="48"/>
  <c r="C15" i="48"/>
  <c r="C19" i="48"/>
  <c r="C21" i="48"/>
  <c r="C23" i="48"/>
  <c r="C25" i="48"/>
  <c r="D5" i="37"/>
  <c r="E5" i="37"/>
  <c r="F5" i="37"/>
  <c r="G5" i="37"/>
  <c r="H5" i="37"/>
  <c r="D6" i="37"/>
  <c r="E6" i="37"/>
  <c r="F6" i="37"/>
  <c r="G6" i="37"/>
  <c r="H6" i="37"/>
  <c r="D7" i="37"/>
  <c r="E7" i="37"/>
  <c r="F7" i="37"/>
  <c r="G7" i="37"/>
  <c r="H7" i="37"/>
  <c r="D8" i="37"/>
  <c r="E8" i="37"/>
  <c r="F8" i="37"/>
  <c r="G8" i="37"/>
  <c r="H8" i="37"/>
  <c r="D9" i="37"/>
  <c r="E9" i="37"/>
  <c r="F9" i="37"/>
  <c r="G9" i="37"/>
  <c r="H9" i="37"/>
  <c r="D10" i="37"/>
  <c r="E10" i="37"/>
  <c r="F10" i="37"/>
  <c r="G10" i="37"/>
  <c r="H10" i="37"/>
  <c r="D11" i="37"/>
  <c r="E11" i="37"/>
  <c r="F11" i="37"/>
  <c r="G11" i="37"/>
  <c r="H11" i="37"/>
  <c r="D12" i="37"/>
  <c r="E12" i="37"/>
  <c r="F12" i="37"/>
  <c r="G12" i="37"/>
  <c r="H12" i="37"/>
  <c r="D13" i="37"/>
  <c r="E13" i="37"/>
  <c r="F13" i="37"/>
  <c r="G13" i="37"/>
  <c r="H13" i="37"/>
  <c r="D14" i="37"/>
  <c r="E14" i="37"/>
  <c r="F14" i="37"/>
  <c r="G14" i="37"/>
  <c r="H14" i="37"/>
  <c r="C19" i="37"/>
  <c r="E19" i="37"/>
  <c r="F19" i="37"/>
  <c r="G19" i="37"/>
  <c r="H19" i="37"/>
  <c r="C20" i="37"/>
  <c r="E20" i="37"/>
  <c r="F20" i="37"/>
  <c r="G20" i="37"/>
  <c r="H20" i="37"/>
  <c r="C21" i="37"/>
  <c r="E21" i="37"/>
  <c r="F21" i="37"/>
  <c r="G21" i="37"/>
  <c r="H21" i="37"/>
  <c r="C22" i="37"/>
  <c r="E22" i="37"/>
  <c r="F22" i="37"/>
  <c r="G22" i="37"/>
  <c r="H22" i="37"/>
  <c r="C23" i="37"/>
  <c r="E23" i="37"/>
  <c r="F23" i="37"/>
  <c r="G23" i="37"/>
  <c r="H23" i="37"/>
  <c r="C24" i="37"/>
  <c r="E24" i="37"/>
  <c r="F24" i="37"/>
  <c r="G24" i="37"/>
  <c r="H24" i="37"/>
  <c r="C25" i="37"/>
  <c r="E25" i="37"/>
  <c r="F25" i="37"/>
  <c r="G25" i="37"/>
  <c r="H25" i="37"/>
  <c r="C26" i="37"/>
  <c r="E26" i="37"/>
  <c r="F26" i="37"/>
  <c r="G26" i="37"/>
  <c r="H26" i="37"/>
  <c r="C27" i="37"/>
  <c r="E27" i="37"/>
  <c r="F27" i="37"/>
  <c r="G27" i="37"/>
  <c r="H27" i="37"/>
  <c r="C28" i="37"/>
  <c r="E28" i="37"/>
  <c r="F28" i="37"/>
  <c r="G28" i="37"/>
  <c r="H28" i="37"/>
  <c r="D13" i="57"/>
  <c r="E13" i="57"/>
  <c r="F13" i="57"/>
  <c r="G13" i="57"/>
  <c r="H13" i="57"/>
  <c r="I13" i="57"/>
  <c r="J13" i="57"/>
  <c r="K13" i="57"/>
  <c r="L13" i="57"/>
  <c r="M13" i="57"/>
  <c r="D14" i="57"/>
  <c r="E14" i="57"/>
  <c r="F14" i="57"/>
  <c r="G14" i="57"/>
  <c r="H14" i="57"/>
  <c r="I14" i="57"/>
  <c r="J14" i="57"/>
  <c r="K14" i="57"/>
  <c r="L14" i="57"/>
  <c r="M14" i="57"/>
  <c r="D20" i="57"/>
  <c r="E20" i="57"/>
  <c r="F20" i="57"/>
  <c r="G20" i="57"/>
  <c r="D21" i="57"/>
  <c r="E21" i="57"/>
  <c r="F21" i="57"/>
  <c r="G21" i="57"/>
  <c r="D22" i="57"/>
  <c r="E22" i="57"/>
  <c r="F22" i="57"/>
  <c r="G22" i="57"/>
  <c r="D23" i="57"/>
  <c r="E23" i="57"/>
  <c r="F23" i="57"/>
  <c r="G23" i="57"/>
  <c r="D24" i="57"/>
  <c r="E24" i="57"/>
  <c r="F24" i="57"/>
  <c r="G24" i="57"/>
  <c r="D25" i="57"/>
  <c r="E25" i="57"/>
  <c r="F25" i="57"/>
  <c r="G25" i="57"/>
  <c r="D26" i="57"/>
  <c r="E26" i="57"/>
  <c r="F26" i="57"/>
  <c r="G26" i="57"/>
  <c r="D27" i="57"/>
  <c r="E27" i="57"/>
  <c r="F27" i="57"/>
  <c r="G27" i="57"/>
  <c r="D28" i="57"/>
  <c r="E28" i="57"/>
  <c r="F28" i="57"/>
  <c r="G28" i="57"/>
  <c r="D29" i="57"/>
  <c r="E29" i="57"/>
  <c r="F29" i="57"/>
  <c r="G29" i="57"/>
  <c r="P6" i="75"/>
  <c r="R6" i="75"/>
  <c r="P7" i="75"/>
  <c r="R7" i="75"/>
  <c r="P8" i="75"/>
  <c r="R8" i="75"/>
  <c r="P9" i="75"/>
  <c r="R9" i="75"/>
  <c r="P10" i="75"/>
  <c r="R10" i="75"/>
  <c r="P11" i="75"/>
  <c r="R11" i="75"/>
  <c r="P12" i="75"/>
  <c r="R12" i="75"/>
  <c r="P13" i="75"/>
  <c r="R13" i="75"/>
  <c r="P14" i="75"/>
  <c r="R14" i="75"/>
  <c r="P15" i="75"/>
  <c r="R15" i="75"/>
  <c r="P16" i="75"/>
  <c r="R16" i="75"/>
  <c r="H5" i="69"/>
  <c r="I5" i="69"/>
  <c r="J5" i="69"/>
  <c r="K5" i="69"/>
  <c r="L5" i="69"/>
  <c r="M5" i="69"/>
  <c r="N5" i="69"/>
  <c r="O5" i="69"/>
  <c r="H6" i="69"/>
  <c r="I6" i="69"/>
  <c r="J6" i="69"/>
  <c r="K6" i="69"/>
  <c r="L6" i="69"/>
  <c r="M6" i="69"/>
  <c r="N6" i="69"/>
  <c r="O6" i="69"/>
  <c r="H7" i="69"/>
  <c r="I7" i="69"/>
  <c r="J7" i="69"/>
  <c r="K7" i="69"/>
  <c r="L7" i="69"/>
  <c r="M7" i="69"/>
  <c r="N7" i="69"/>
  <c r="O7" i="69"/>
  <c r="H8" i="69"/>
  <c r="I8" i="69"/>
  <c r="J8" i="69"/>
  <c r="K8" i="69"/>
  <c r="L8" i="69"/>
  <c r="M8" i="69"/>
  <c r="N8" i="69"/>
  <c r="O8" i="69"/>
  <c r="H9" i="69"/>
  <c r="I9" i="69"/>
  <c r="J9" i="69"/>
  <c r="K9" i="69"/>
  <c r="L9" i="69"/>
  <c r="M9" i="69"/>
  <c r="N9" i="69"/>
  <c r="O9" i="69"/>
  <c r="H10" i="69"/>
  <c r="I10" i="69"/>
  <c r="J10" i="69"/>
  <c r="K10" i="69"/>
  <c r="L10" i="69"/>
  <c r="M10" i="69"/>
  <c r="N10" i="69"/>
  <c r="O10" i="69"/>
  <c r="H11" i="69"/>
  <c r="I11" i="69"/>
  <c r="J11" i="69"/>
  <c r="K11" i="69"/>
  <c r="L11" i="69"/>
  <c r="M11" i="69"/>
  <c r="N11" i="69"/>
  <c r="O11" i="69"/>
  <c r="H12" i="69"/>
  <c r="I12" i="69"/>
  <c r="J12" i="69"/>
  <c r="K12" i="69"/>
  <c r="L12" i="69"/>
  <c r="M12" i="69"/>
  <c r="N12" i="69"/>
  <c r="O12" i="69"/>
  <c r="H13" i="69"/>
  <c r="I13" i="69"/>
  <c r="J13" i="69"/>
  <c r="K13" i="69"/>
  <c r="L13" i="69"/>
  <c r="M13" i="69"/>
  <c r="N13" i="69"/>
  <c r="O13" i="69"/>
  <c r="H35" i="69"/>
  <c r="I35" i="69"/>
  <c r="J35" i="69"/>
  <c r="K35" i="69"/>
  <c r="L35" i="69"/>
  <c r="M35" i="69"/>
  <c r="N35" i="69"/>
  <c r="O35" i="69"/>
  <c r="H36" i="69"/>
  <c r="I36" i="69"/>
  <c r="J36" i="69"/>
  <c r="K36" i="69"/>
  <c r="L36" i="69"/>
  <c r="M36" i="69"/>
  <c r="N36" i="69"/>
  <c r="O36" i="69"/>
  <c r="H37" i="69"/>
  <c r="I37" i="69"/>
  <c r="J37" i="69"/>
  <c r="K37" i="69"/>
  <c r="L37" i="69"/>
  <c r="M37" i="69"/>
  <c r="N37" i="69"/>
  <c r="O37" i="69"/>
  <c r="H38" i="69"/>
  <c r="I38" i="69"/>
  <c r="J38" i="69"/>
  <c r="K38" i="69"/>
  <c r="L38" i="69"/>
  <c r="M38" i="69"/>
  <c r="N38" i="69"/>
  <c r="O38" i="69"/>
  <c r="H39" i="69"/>
  <c r="I39" i="69"/>
  <c r="J39" i="69"/>
  <c r="K39" i="69"/>
  <c r="L39" i="69"/>
  <c r="M39" i="69"/>
  <c r="N39" i="69"/>
  <c r="O39" i="69"/>
  <c r="H40" i="69"/>
  <c r="I40" i="69"/>
  <c r="J40" i="69"/>
  <c r="K40" i="69"/>
  <c r="L40" i="69"/>
  <c r="M40" i="69"/>
  <c r="N40" i="69"/>
  <c r="O40" i="69"/>
  <c r="H41" i="69"/>
  <c r="I41" i="69"/>
  <c r="J41" i="69"/>
  <c r="K41" i="69"/>
  <c r="L41" i="69"/>
  <c r="M41" i="69"/>
  <c r="N41" i="69"/>
  <c r="O41" i="69"/>
  <c r="H42" i="69"/>
  <c r="I42" i="69"/>
  <c r="J42" i="69"/>
  <c r="K42" i="69"/>
  <c r="L42" i="69"/>
  <c r="M42" i="69"/>
  <c r="N42" i="69"/>
  <c r="O42" i="69"/>
  <c r="H43" i="69"/>
  <c r="I43" i="69"/>
  <c r="J43" i="69"/>
  <c r="K43" i="69"/>
  <c r="L43" i="69"/>
  <c r="M43" i="69"/>
  <c r="N43" i="69"/>
  <c r="O43" i="69"/>
  <c r="H44" i="69"/>
  <c r="I44" i="69"/>
  <c r="J44" i="69"/>
  <c r="K44" i="69"/>
  <c r="L44" i="69"/>
  <c r="M44" i="69"/>
  <c r="N44" i="69"/>
  <c r="O44" i="69"/>
  <c r="C4" i="40"/>
  <c r="C5" i="40"/>
  <c r="C7" i="40"/>
  <c r="C9" i="40"/>
  <c r="C11" i="40"/>
  <c r="C13" i="40"/>
</calcChain>
</file>

<file path=xl/comments1.xml><?xml version="1.0" encoding="utf-8"?>
<comments xmlns="http://schemas.openxmlformats.org/spreadsheetml/2006/main">
  <authors>
    <author>Author</author>
  </authors>
  <commentList>
    <comment ref="G30" authorId="0" shapeId="0">
      <text>
        <r>
          <rPr>
            <b/>
            <sz val="9"/>
            <color indexed="81"/>
            <rFont val="Tahoma"/>
            <family val="2"/>
          </rPr>
          <t>Author:</t>
        </r>
        <r>
          <rPr>
            <sz val="9"/>
            <color indexed="81"/>
            <rFont val="Tahoma"/>
            <family val="2"/>
          </rPr>
          <t xml:space="preserve">
</t>
        </r>
        <r>
          <rPr>
            <sz val="9"/>
            <color indexed="81"/>
            <rFont val="Arial"/>
            <family val="2"/>
          </rPr>
          <t>This increase was due primarily to an increase in revenue from podcasts of €27 million and self-serve channel of €20 million.</t>
        </r>
      </text>
    </comment>
  </commentList>
</comments>
</file>

<file path=xl/sharedStrings.xml><?xml version="1.0" encoding="utf-8"?>
<sst xmlns="http://schemas.openxmlformats.org/spreadsheetml/2006/main" count="1040" uniqueCount="663">
  <si>
    <t xml:space="preserve">#                </t>
  </si>
  <si>
    <t>Worksheet</t>
  </si>
  <si>
    <t>D&amp;A</t>
  </si>
  <si>
    <t>EBIT</t>
  </si>
  <si>
    <t>Revenues</t>
  </si>
  <si>
    <t>WACC</t>
  </si>
  <si>
    <t>Cost of Capital</t>
  </si>
  <si>
    <t>Cost of Equity</t>
  </si>
  <si>
    <t>Cost of Debt</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</si>
  <si>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</si>
  <si>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</si>
  <si>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</si>
  <si>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</si>
  <si>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</si>
  <si>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</si>
  <si>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</si>
  <si>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</si>
  <si>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</si>
  <si>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</si>
  <si>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</si>
  <si>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</si>
  <si>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</si>
  <si>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</si>
  <si>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</si>
  <si>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</si>
  <si>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</si>
  <si>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</si>
  <si>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</si>
  <si>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</si>
  <si>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</si>
  <si>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</si>
  <si>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</si>
  <si>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</si>
  <si>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</si>
  <si>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</si>
  <si>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</si>
  <si>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</si>
  <si>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</si>
  <si>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</si>
  <si>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</si>
  <si>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</si>
  <si>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</si>
  <si>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</si>
  <si>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</si>
  <si>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</si>
  <si>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</si>
  <si>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</si>
  <si>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</si>
  <si>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</si>
  <si>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</si>
  <si>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</si>
  <si>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</si>
  <si>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</si>
  <si>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</si>
  <si>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</si>
  <si>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</si>
  <si>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</si>
  <si>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</si>
  <si>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</si>
  <si>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</si>
  <si>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</si>
  <si>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</si>
  <si>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</si>
  <si>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</si>
  <si>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</si>
  <si>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</si>
  <si>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</si>
  <si>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</si>
  <si>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</si>
  <si>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</si>
  <si>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</si>
  <si>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</si>
  <si>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</si>
  <si>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</si>
  <si>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</si>
  <si>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</si>
  <si>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</si>
  <si>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</si>
  <si>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</si>
  <si>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</si>
  <si>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</si>
  <si>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</si>
  <si>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</si>
  <si>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</si>
  <si>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</si>
  <si>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</si>
  <si>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</si>
  <si>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</si>
  <si>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</si>
  <si>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</si>
  <si>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</si>
  <si>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</si>
  <si>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</si>
  <si>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</si>
  <si>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</si>
  <si>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</si>
  <si>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</si>
  <si>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</si>
  <si>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</si>
  <si>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</si>
  <si>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</si>
  <si>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</si>
  <si>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</si>
  <si>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</si>
  <si>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</si>
  <si>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</si>
  <si>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</si>
  <si>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</si>
  <si>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</si>
  <si>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</si>
  <si>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</si>
  <si>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</si>
  <si>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</si>
  <si>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</si>
  <si>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</si>
  <si>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</si>
  <si>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 xml:space="preserve">Current </t>
  </si>
  <si>
    <t>Advertising Expense</t>
  </si>
  <si>
    <t>N/A</t>
  </si>
  <si>
    <t>EBIT * (1 - Tax)</t>
  </si>
  <si>
    <t>EBIT*(1-Tax)</t>
  </si>
  <si>
    <t>OPM %</t>
  </si>
  <si>
    <t>Mature Risk Premium</t>
  </si>
  <si>
    <t>Total Cash &amp; Cash Equivalents</t>
  </si>
  <si>
    <t>ERP</t>
  </si>
  <si>
    <t>Companies</t>
  </si>
  <si>
    <t>Unlevered Beta</t>
  </si>
  <si>
    <t>Amortization</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</si>
  <si>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</si>
  <si>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</si>
  <si>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</si>
  <si>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</si>
  <si>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</si>
  <si>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</si>
  <si>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</si>
  <si>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</si>
  <si>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</si>
  <si>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</si>
  <si>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</si>
  <si>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</si>
  <si>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CRP</t>
  </si>
  <si>
    <t>Interest</t>
  </si>
  <si>
    <t>ICR (%)</t>
  </si>
  <si>
    <t>Average ICR (%)</t>
  </si>
  <si>
    <t>(in millions)</t>
  </si>
  <si>
    <t>Carvana</t>
  </si>
  <si>
    <t>%</t>
  </si>
  <si>
    <t>Maturity</t>
  </si>
  <si>
    <t>Years</t>
  </si>
  <si>
    <t>Based on Debt Equity Ratio (Industry Median)</t>
  </si>
  <si>
    <t>Median Option as a % of revenues</t>
  </si>
  <si>
    <t>Total Debt</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</si>
  <si>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</si>
  <si>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</si>
  <si>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</si>
  <si>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</si>
  <si>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</si>
  <si>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</si>
  <si>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</si>
  <si>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</si>
  <si>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</si>
  <si>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</si>
  <si>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</si>
  <si>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</si>
  <si>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</si>
  <si>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</si>
  <si>
    <t>Risk Free Rate &amp; Equity Risk Premium</t>
  </si>
  <si>
    <t>Corporate Governance</t>
  </si>
  <si>
    <t>Director</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</si>
  <si>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</si>
  <si>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</si>
  <si>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</si>
  <si>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</si>
  <si>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</si>
  <si>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</si>
  <si>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</si>
  <si>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</si>
  <si>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</si>
  <si>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</si>
  <si>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</si>
  <si>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</si>
  <si>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</si>
  <si>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</si>
  <si>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</si>
  <si>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</si>
  <si>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</si>
  <si>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</si>
  <si>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</si>
  <si>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</si>
  <si>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</si>
  <si>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Interest Rate %</t>
  </si>
  <si>
    <t>Debt to Equity</t>
  </si>
  <si>
    <t>Pre Tax Cost of Debt</t>
  </si>
  <si>
    <t>% Equity</t>
  </si>
  <si>
    <t>% Debt</t>
  </si>
  <si>
    <t>Marginal Tax Rate %</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</si>
  <si>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</si>
  <si>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</si>
  <si>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</si>
  <si>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</si>
  <si>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</si>
  <si>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</si>
  <si>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</si>
  <si>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</si>
  <si>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</si>
  <si>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</si>
  <si>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</si>
  <si>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</si>
  <si>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</si>
  <si>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</si>
  <si>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</si>
  <si>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</si>
  <si>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Industry's OPM %</t>
  </si>
  <si>
    <t>Industry Debt to Equity</t>
  </si>
  <si>
    <t>25th Percentile of Industry</t>
  </si>
  <si>
    <t>Capitalizing R&amp;D Expense as Asset</t>
  </si>
  <si>
    <t>Accounting Adjustments</t>
  </si>
  <si>
    <t>Normalization of Capital Expenditure</t>
  </si>
  <si>
    <t>Chg. in Non Cash Working Capital</t>
  </si>
  <si>
    <t>Spread (%)</t>
  </si>
  <si>
    <t>Chief Financial Officer</t>
  </si>
  <si>
    <t>Canada</t>
  </si>
  <si>
    <t>Ad Exp</t>
  </si>
  <si>
    <t>ROAS</t>
  </si>
  <si>
    <t>Book Value of Debt</t>
  </si>
  <si>
    <t>Company Risk Premium</t>
  </si>
  <si>
    <t>Current Synthetic Rating</t>
  </si>
  <si>
    <t>Value of Ad Asset</t>
  </si>
  <si>
    <t>Capitalizing Ad Expense as Asset</t>
  </si>
  <si>
    <t>EBIT &amp; R&amp;D &amp; Ad</t>
  </si>
  <si>
    <t>Amortization: Ad Expense</t>
  </si>
  <si>
    <t>Ad Expense (Current)</t>
  </si>
  <si>
    <t>Ad Expense (Current Year)</t>
  </si>
  <si>
    <t>Amortization Asset: Ad Expense</t>
  </si>
  <si>
    <t>Adj Net Capital Expenditures</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</si>
  <si>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</si>
  <si>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</si>
  <si>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</si>
  <si>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</si>
  <si>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</si>
  <si>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</si>
  <si>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</si>
  <si>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</si>
  <si>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</si>
  <si>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</si>
  <si>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</si>
  <si>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</si>
  <si>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</si>
  <si>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</si>
  <si>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</si>
  <si>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</si>
  <si>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Book Value of Equity</t>
  </si>
  <si>
    <t>Return on Capital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</si>
  <si>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</si>
  <si>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</si>
  <si>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</si>
  <si>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</si>
  <si>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</si>
  <si>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</si>
  <si>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</si>
  <si>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</si>
  <si>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</si>
  <si>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</si>
  <si>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</si>
  <si>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</si>
  <si>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</si>
  <si>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</si>
  <si>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</si>
  <si>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ARPU</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</si>
  <si>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</si>
  <si>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</si>
  <si>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</si>
  <si>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</si>
  <si>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</si>
  <si>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</si>
  <si>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</si>
  <si>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</si>
  <si>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</si>
  <si>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</si>
  <si>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</si>
  <si>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</si>
  <si>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</si>
  <si>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</si>
  <si>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NASD</t>
  </si>
  <si>
    <t>Stock Information</t>
  </si>
  <si>
    <t>Stock Price Data</t>
  </si>
  <si>
    <t>Ticker (NASD)</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</si>
  <si>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</si>
  <si>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</si>
  <si>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</si>
  <si>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</si>
  <si>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</si>
  <si>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</si>
  <si>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</si>
  <si>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</si>
  <si>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</si>
  <si>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</si>
  <si>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</si>
  <si>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</si>
  <si>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</si>
  <si>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</si>
  <si>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</si>
  <si>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</si>
  <si>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</si>
  <si>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</si>
  <si>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</si>
  <si>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</si>
  <si>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</si>
  <si>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</si>
  <si>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</si>
  <si>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</si>
  <si>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</si>
  <si>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</si>
  <si>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</si>
  <si>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</si>
  <si>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</si>
  <si>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</si>
  <si>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</si>
  <si>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</si>
  <si>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</si>
  <si>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</si>
  <si>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</si>
  <si>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</si>
  <si>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</si>
  <si>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</si>
  <si>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</si>
  <si>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</si>
  <si>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</si>
  <si>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</si>
  <si>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</si>
  <si>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</si>
  <si>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</si>
  <si>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</si>
  <si>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</si>
  <si>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</si>
  <si>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</si>
  <si>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</si>
  <si>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</si>
  <si>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</si>
  <si>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</si>
  <si>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</si>
  <si>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</si>
  <si>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</si>
  <si>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</si>
  <si>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</si>
  <si>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</si>
  <si>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</si>
  <si>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</si>
  <si>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</si>
  <si>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</si>
  <si>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</si>
  <si>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</si>
  <si>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Relative Analysis</t>
  </si>
  <si>
    <t>EBITDA</t>
  </si>
  <si>
    <t>Capex</t>
  </si>
  <si>
    <t>Eff Tax Rate</t>
  </si>
  <si>
    <t>North America</t>
  </si>
  <si>
    <t>Latin America</t>
  </si>
  <si>
    <t>Weighted Avg CRP</t>
  </si>
  <si>
    <t>GDP</t>
  </si>
  <si>
    <t>Africa</t>
  </si>
  <si>
    <t>Middle East</t>
  </si>
  <si>
    <t>Europe</t>
  </si>
  <si>
    <t>Caribbean</t>
  </si>
  <si>
    <t>Central and South</t>
  </si>
  <si>
    <t>Asia</t>
  </si>
  <si>
    <t>Australia and NZ</t>
  </si>
  <si>
    <t>US</t>
  </si>
  <si>
    <t>Country</t>
  </si>
  <si>
    <t>Tax %</t>
  </si>
  <si>
    <t>Australia &amp; NZ</t>
  </si>
  <si>
    <t>"Synthetic" Risk Premium</t>
  </si>
  <si>
    <t>Debt to Equity (BV)</t>
  </si>
  <si>
    <t>Revenues (2022)</t>
  </si>
  <si>
    <t>Non Cash Working Capital (2022)</t>
  </si>
  <si>
    <t>Country Risk Premium</t>
  </si>
  <si>
    <t>EBT</t>
  </si>
  <si>
    <t>Tax Provision</t>
  </si>
  <si>
    <t>EBITDA/EV</t>
  </si>
  <si>
    <t>Capex/EV</t>
  </si>
  <si>
    <t>Debt Ratio</t>
  </si>
  <si>
    <t>D/E</t>
  </si>
  <si>
    <t>Standard Error</t>
  </si>
  <si>
    <t>Predicted Debt Ratio</t>
  </si>
  <si>
    <t>Regression Results</t>
  </si>
  <si>
    <t>R-squared</t>
  </si>
  <si>
    <t>Adj. R-Squared</t>
  </si>
  <si>
    <t>F Significance</t>
  </si>
  <si>
    <t>(close to zero)</t>
  </si>
  <si>
    <t>Actual Debt Ratio</t>
  </si>
  <si>
    <t>PV of Cashflows</t>
  </si>
  <si>
    <t>PV * Year</t>
  </si>
  <si>
    <t>Duration of the operating assets</t>
  </si>
  <si>
    <t>Debt Design Explained</t>
  </si>
  <si>
    <t>Communications</t>
  </si>
  <si>
    <t>SPOT</t>
  </si>
  <si>
    <t>Spotify</t>
  </si>
  <si>
    <t>Daniel Ek</t>
  </si>
  <si>
    <t>Martin Lorentzon</t>
  </si>
  <si>
    <t>Christopher Marshall</t>
  </si>
  <si>
    <t>Barry McCarthy</t>
  </si>
  <si>
    <t>Shishir Mehrotra</t>
  </si>
  <si>
    <t>Heidi O’Neill</t>
  </si>
  <si>
    <t>Ted Sarandos</t>
  </si>
  <si>
    <t>Thomas Staggs</t>
  </si>
  <si>
    <t>Cristina Stenbeck</t>
  </si>
  <si>
    <t>Mona Sutphen</t>
  </si>
  <si>
    <t>Padmasree Warrior</t>
  </si>
  <si>
    <t>Founder, CEO &amp; Chairman</t>
  </si>
  <si>
    <t>Co-Founder &amp; Director</t>
  </si>
  <si>
    <t>Lead Independent Director</t>
  </si>
  <si>
    <t>Katarina Berg</t>
  </si>
  <si>
    <t>Dustee Jenkins</t>
  </si>
  <si>
    <t>Eve Konstan</t>
  </si>
  <si>
    <t>Alex Norström</t>
  </si>
  <si>
    <t>Gustav Söderström</t>
  </si>
  <si>
    <t>Paul Vogel</t>
  </si>
  <si>
    <t>Chief HR Officer</t>
  </si>
  <si>
    <t>Global Head of PA</t>
  </si>
  <si>
    <t>General Counsel</t>
  </si>
  <si>
    <t>Co-President, CBO</t>
  </si>
  <si>
    <t>Co-President, CPTO</t>
  </si>
  <si>
    <t>Rest of the world</t>
  </si>
  <si>
    <t>Annual Subs</t>
  </si>
  <si>
    <t>Alphabet Inc.</t>
  </si>
  <si>
    <t>GOOGL</t>
  </si>
  <si>
    <t>10-Year Gov. Bond Yield</t>
  </si>
  <si>
    <t>Default Spread</t>
  </si>
  <si>
    <t>€ Risk Free Rate</t>
  </si>
  <si>
    <t>Austria</t>
  </si>
  <si>
    <t>Belgium</t>
  </si>
  <si>
    <t>Croatia</t>
  </si>
  <si>
    <t>Cyprus</t>
  </si>
  <si>
    <t>Estonia</t>
  </si>
  <si>
    <t>Finland</t>
  </si>
  <si>
    <t>France</t>
  </si>
  <si>
    <t>Germany</t>
  </si>
  <si>
    <t>Greece</t>
  </si>
  <si>
    <t>Ireland</t>
  </si>
  <si>
    <t>Italy</t>
  </si>
  <si>
    <t>Latvia</t>
  </si>
  <si>
    <t>Lithuania</t>
  </si>
  <si>
    <t>Luxembourg</t>
  </si>
  <si>
    <t>Malta</t>
  </si>
  <si>
    <t>Portugal</t>
  </si>
  <si>
    <t>Slovakia</t>
  </si>
  <si>
    <t>Slovenia</t>
  </si>
  <si>
    <t>Spain</t>
  </si>
  <si>
    <t>EuroZone</t>
  </si>
  <si>
    <t>10Y Bond</t>
  </si>
  <si>
    <t>Netherlands</t>
  </si>
  <si>
    <t>Germany Credit Rating</t>
  </si>
  <si>
    <t>DEEZR.PA</t>
  </si>
  <si>
    <t>Deezer S.A.</t>
  </si>
  <si>
    <t>Chewy, Inc.</t>
  </si>
  <si>
    <t>CHWY</t>
  </si>
  <si>
    <t>DIS</t>
  </si>
  <si>
    <t>The Walt Disney Company</t>
  </si>
  <si>
    <t>Comcast Corporation</t>
  </si>
  <si>
    <t>CMCSA</t>
  </si>
  <si>
    <t>AAPL</t>
  </si>
  <si>
    <t>Apple Inc.</t>
  </si>
  <si>
    <t>Warner Bros. Discovery, Inc.</t>
  </si>
  <si>
    <t>WBD</t>
  </si>
  <si>
    <t>Netflix, Inc.</t>
  </si>
  <si>
    <t>NFLX</t>
  </si>
  <si>
    <t>WW International, Inc.</t>
  </si>
  <si>
    <t>WW</t>
  </si>
  <si>
    <t>Costco Wholesale Corporation</t>
  </si>
  <si>
    <t>COST</t>
  </si>
  <si>
    <t>Shopify Inc.</t>
  </si>
  <si>
    <t>SHOP</t>
  </si>
  <si>
    <t>Electronic Arts Inc.</t>
  </si>
  <si>
    <t>EA</t>
  </si>
  <si>
    <t>AT&amp;T Inc.</t>
  </si>
  <si>
    <t>T</t>
  </si>
  <si>
    <t>Zuora, Inc.</t>
  </si>
  <si>
    <t>ZUO</t>
  </si>
  <si>
    <t>Adobe Inc.</t>
  </si>
  <si>
    <t>ADBE</t>
  </si>
  <si>
    <t>fuboTV Inc.</t>
  </si>
  <si>
    <t>FUBO</t>
  </si>
  <si>
    <t>Internet Subs</t>
  </si>
  <si>
    <t>Dropbox, Inc.</t>
  </si>
  <si>
    <t>DBX</t>
  </si>
  <si>
    <t>ZM</t>
  </si>
  <si>
    <t>Zoom Video Comm, Inc.</t>
  </si>
  <si>
    <t>Box, Inc.</t>
  </si>
  <si>
    <t>BOX</t>
  </si>
  <si>
    <t>Microsoft Corporation</t>
  </si>
  <si>
    <t>MSFT</t>
  </si>
  <si>
    <t>Peloton Interactive, Inc.</t>
  </si>
  <si>
    <t>PTON</t>
  </si>
  <si>
    <t>HubSpot, Inc.</t>
  </si>
  <si>
    <t>HUBS</t>
  </si>
  <si>
    <t>Industry: Internet Subscription + FREEmium</t>
  </si>
  <si>
    <t>Debt (m)</t>
  </si>
  <si>
    <t>Adj. Unlevered Beta</t>
  </si>
  <si>
    <t>Sector</t>
  </si>
  <si>
    <t>Exchangeable Notes</t>
  </si>
  <si>
    <t>Value (m)</t>
  </si>
  <si>
    <t>Lease Liabilities</t>
  </si>
  <si>
    <t>Risk Free Rate (€)</t>
  </si>
  <si>
    <t>Market Value of Equity (€m)</t>
  </si>
  <si>
    <t>Market Value of Debt (€m)</t>
  </si>
  <si>
    <t>Adj EBIT (1 - Tax)</t>
  </si>
  <si>
    <t>Cash and Cash Eq.</t>
  </si>
  <si>
    <t>Other Current Assets</t>
  </si>
  <si>
    <t>Deffered Revenue</t>
  </si>
  <si>
    <t>Accrued Expenses &amp; Oth Lia.</t>
  </si>
  <si>
    <t>Adj Chg in Non Cash WC</t>
  </si>
  <si>
    <t>Net Borrowing</t>
  </si>
  <si>
    <t>Key Performance Indicators</t>
  </si>
  <si>
    <t>Monthly Active Users (MAUs)</t>
  </si>
  <si>
    <t>1. Monthly Active Users (MAUs)</t>
  </si>
  <si>
    <t>Growth %</t>
  </si>
  <si>
    <t>2. Premium Subscribers</t>
  </si>
  <si>
    <t>Premium Subscribers</t>
  </si>
  <si>
    <t>Ad Supported Users</t>
  </si>
  <si>
    <t>Premium Subs</t>
  </si>
  <si>
    <t>Active</t>
  </si>
  <si>
    <t>Inactive</t>
  </si>
  <si>
    <t>Growth in MAU %</t>
  </si>
  <si>
    <t>Growth in Ad Supported %</t>
  </si>
  <si>
    <t>Growth in Premium Subs %</t>
  </si>
  <si>
    <t>3. Premium ARPU</t>
  </si>
  <si>
    <t>Premium ARPU</t>
  </si>
  <si>
    <t>Median ARPU</t>
  </si>
  <si>
    <t>Industry and Revenues</t>
  </si>
  <si>
    <t>Premium</t>
  </si>
  <si>
    <t>Ad Supported</t>
  </si>
  <si>
    <t>Total Revenues</t>
  </si>
  <si>
    <t>Music Streaming</t>
  </si>
  <si>
    <t>Revenue</t>
  </si>
  <si>
    <t>First 5 years</t>
  </si>
  <si>
    <t>Last 5 Years</t>
  </si>
  <si>
    <t>Music Streaming Industry</t>
  </si>
  <si>
    <t>Mkt Share %</t>
  </si>
  <si>
    <t>Users Growth %</t>
  </si>
  <si>
    <t>Revenues based on Industry</t>
  </si>
  <si>
    <t>Revenues based on Users</t>
  </si>
  <si>
    <t xml:space="preserve"> Premium Revenues</t>
  </si>
  <si>
    <t>Subscribers</t>
  </si>
  <si>
    <t>Total Subs</t>
  </si>
  <si>
    <t>ARPU (2033)</t>
  </si>
  <si>
    <t>Ad Supported Revenues</t>
  </si>
  <si>
    <t>Short Term Investments</t>
  </si>
  <si>
    <t>Debt</t>
  </si>
  <si>
    <t>Costco Corp</t>
  </si>
  <si>
    <t>11,854</t>
  </si>
  <si>
    <t>77,564</t>
  </si>
  <si>
    <t>5,200,000</t>
  </si>
  <si>
    <t>13,821,000</t>
  </si>
  <si>
    <t>11,323,000</t>
  </si>
  <si>
    <t>21,354,000</t>
  </si>
  <si>
    <t>14,362,814</t>
  </si>
  <si>
    <t>44,699</t>
  </si>
  <si>
    <t>1,915,000</t>
  </si>
  <si>
    <t>90,520</t>
  </si>
  <si>
    <t>504,000</t>
  </si>
  <si>
    <t>18,021,000</t>
  </si>
  <si>
    <t>17,843</t>
  </si>
  <si>
    <t>856,000</t>
  </si>
  <si>
    <t>39,809</t>
  </si>
  <si>
    <t>15,928,000</t>
  </si>
  <si>
    <t>157,100</t>
  </si>
  <si>
    <t>82,321</t>
  </si>
  <si>
    <t>72,530</t>
  </si>
  <si>
    <t>14,190,000</t>
  </si>
  <si>
    <t>139,500</t>
  </si>
  <si>
    <t>58,150</t>
  </si>
  <si>
    <t>-120,600</t>
  </si>
  <si>
    <t>-23,148</t>
  </si>
  <si>
    <t>7,023,000</t>
  </si>
  <si>
    <t>13,180,000</t>
  </si>
  <si>
    <t>116,725,000</t>
  </si>
  <si>
    <t>-7,183,000</t>
  </si>
  <si>
    <t>5,970,141</t>
  </si>
  <si>
    <t>-183,072</t>
  </si>
  <si>
    <t>8,067,000</t>
  </si>
  <si>
    <t>-3,621,698</t>
  </si>
  <si>
    <t>1,559,000</t>
  </si>
  <si>
    <t>3,014,000</t>
  </si>
  <si>
    <t>-112,508</t>
  </si>
  <si>
    <t>6,120,000</t>
  </si>
  <si>
    <t>-412,539</t>
  </si>
  <si>
    <t>71,685,000</t>
  </si>
  <si>
    <t>356,500</t>
  </si>
  <si>
    <t>245,429</t>
  </si>
  <si>
    <t>16,964</t>
  </si>
  <si>
    <t>84,577,000</t>
  </si>
  <si>
    <t>-2,670,600</t>
  </si>
  <si>
    <t>-100,930</t>
  </si>
  <si>
    <t>-121,332</t>
  </si>
  <si>
    <t>-20,481</t>
  </si>
  <si>
    <t>5,370,000</t>
  </si>
  <si>
    <t>9,284,000</t>
  </si>
  <si>
    <t>113,485,000</t>
  </si>
  <si>
    <t>-8,960,000</t>
  </si>
  <si>
    <t>5,263,929</t>
  </si>
  <si>
    <t>-261,119</t>
  </si>
  <si>
    <t>7,914,000</t>
  </si>
  <si>
    <t>-3,622,848</t>
  </si>
  <si>
    <t>1,501,000</t>
  </si>
  <si>
    <t>-3,094,000</t>
  </si>
  <si>
    <t>-123,943</t>
  </si>
  <si>
    <t>6,008,000</t>
  </si>
  <si>
    <t>-426,711</t>
  </si>
  <si>
    <t>71,328,000</t>
  </si>
  <si>
    <t>192,700</t>
  </si>
  <si>
    <t>249,276</t>
  </si>
  <si>
    <t>9,166</t>
  </si>
  <si>
    <t>82,588,000</t>
  </si>
  <si>
    <t>-2,739,400</t>
  </si>
  <si>
    <t>-104,692</t>
  </si>
  <si>
    <t>1,656,000</t>
  </si>
  <si>
    <t>4,359,000</t>
  </si>
  <si>
    <t>18,314,000</t>
  </si>
  <si>
    <t>-1,663,000</t>
  </si>
  <si>
    <t>772,005</t>
  </si>
  <si>
    <t>-72,146</t>
  </si>
  <si>
    <t>1,980,000</t>
  </si>
  <si>
    <t>-162,430</t>
  </si>
  <si>
    <t>462,000</t>
  </si>
  <si>
    <t>3,780,000</t>
  </si>
  <si>
    <t>1,351</t>
  </si>
  <si>
    <t>1,252,000</t>
  </si>
  <si>
    <t>-1,666</t>
  </si>
  <si>
    <t>11,356,000</t>
  </si>
  <si>
    <t>-360,500</t>
  </si>
  <si>
    <t>145,565</t>
  </si>
  <si>
    <t>7,237</t>
  </si>
  <si>
    <t>15,139,000</t>
  </si>
  <si>
    <t>16,900</t>
  </si>
  <si>
    <t>8,057</t>
  </si>
  <si>
    <t>72</t>
  </si>
  <si>
    <t>0</t>
  </si>
  <si>
    <t>-2,054</t>
  </si>
  <si>
    <t>-219,313</t>
  </si>
  <si>
    <t>-5,143,000</t>
  </si>
  <si>
    <t>-10,626,000</t>
  </si>
  <si>
    <t>-11,692,000</t>
  </si>
  <si>
    <t>-987,000</t>
  </si>
  <si>
    <t>-407,729</t>
  </si>
  <si>
    <t>-37,840</t>
  </si>
  <si>
    <t>-3,893,000</t>
  </si>
  <si>
    <t>-50,018</t>
  </si>
  <si>
    <t>-213,000</t>
  </si>
  <si>
    <t>-19,626,000</t>
  </si>
  <si>
    <t>-11,203</t>
  </si>
  <si>
    <t>-442,000</t>
  </si>
  <si>
    <t>-4,857</t>
  </si>
  <si>
    <t>-31,485,000</t>
  </si>
  <si>
    <t>-33,800</t>
  </si>
  <si>
    <t>-115,094</t>
  </si>
  <si>
    <t>-9,294</t>
  </si>
  <si>
    <t>-24,768,000</t>
  </si>
  <si>
    <t>-195,800</t>
  </si>
  <si>
    <t>-44,345</t>
  </si>
  <si>
    <t>Spotify Inc.</t>
  </si>
  <si>
    <t>Debt Ratio =  5.34% - 27.03% * (EBITDA/EV) - 745.35% * (Capex/EV) - 2.97% * (Eff. Tax Rate)</t>
  </si>
  <si>
    <t>Optimal Debt Ratio</t>
  </si>
  <si>
    <t>Industry &amp; Revenues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</si>
</sst>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7">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0.000"/>
    <numFmt numFmtId="185" formatCode="&quot;$&quot;#,##0.00"/>
    <numFmt numFmtId="186" formatCode="&quot;$&quot;#,##0"/>
    <numFmt numFmtId="187" formatCode="_(&quot;$&quot;* #,##0.0_);_(&quot;$&quot;* \(#,##0.0\);_(&quot;$&quot;* &quot;-&quot;??_);_(@_)"/>
    <numFmt numFmtId="189" formatCode="&quot;$&quot;#,##0.0"/>
    <numFmt numFmtId="190" formatCode="0.0000%"/>
    <numFmt numFmtId="191" formatCode="_(&quot;$&quot;* #,##0_);_(&quot;$&quot;* \(#,##0\);_(&quot;$&quot;* &quot;-&quot;??_);_(@_)"/>
    <numFmt numFmtId="192" formatCode="[$-409]mmm\-yy;@"/>
    <numFmt numFmtId="193" formatCode="_([$€-2]\ * #,##0.00_);_([$€-2]\ * \(#,##0.00\);_([$€-2]\ * &quot;-&quot;??_);_(@_)"/>
    <numFmt numFmtId="194" formatCode="_([$€-2]\ * #,##0_);_([$€-2]\ * \(#,##0\);_([$€-2]\ * &quot;-&quot;??_);_(@_)"/>
    <numFmt numFmtId="195" formatCode="[$€-2]\ #,##0.00_);\([$€-2]\ #,##0.00\)"/>
    <numFmt numFmtId="196" formatCode="[$₹-4009]\ #,##0.00"/>
    <numFmt numFmtId="197" formatCode="[$€-1809]#,##0.00"/>
    <numFmt numFmtId="198" formatCode="[$€-2]\ #,##0.00"/>
  </numFmts>
  <fonts count="9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b/>
      <sz val="11"/>
      <color theme="1"/>
      <name val="Arial"/>
      <family val="2"/>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1"/>
      <name val="Catamaran SemiBold"/>
    </font>
    <font>
      <sz val="14"/>
      <name val="Catamaran SemiBold"/>
    </font>
    <font>
      <i/>
      <sz val="8"/>
      <name val="Arial"/>
      <family val="2"/>
    </font>
    <font>
      <i/>
      <sz val="9"/>
      <name val="Calibri"/>
      <family val="2"/>
      <scheme val="minor"/>
    </font>
    <font>
      <sz val="9"/>
      <name val="Calibri"/>
      <family val="2"/>
      <scheme val="minor"/>
    </font>
    <font>
      <i/>
      <sz val="11"/>
      <color theme="1"/>
      <name val="Arial"/>
      <family val="2"/>
    </font>
    <font>
      <sz val="9"/>
      <color indexed="81"/>
      <name val="Tahoma"/>
      <family val="2"/>
    </font>
    <font>
      <b/>
      <sz val="9"/>
      <color indexed="81"/>
      <name val="Tahoma"/>
      <family val="2"/>
    </font>
    <font>
      <sz val="9"/>
      <color indexed="81"/>
      <name val="Arial"/>
      <family val="2"/>
    </font>
  </fonts>
  <fills count="51">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rgb="FFFFC000"/>
        <bgColor indexed="64"/>
      </patternFill>
    </fill>
    <fill>
      <patternFill patternType="solid">
        <fgColor rgb="FF90F0B2"/>
        <bgColor indexed="64"/>
      </patternFill>
    </fill>
    <fill>
      <patternFill patternType="solid">
        <fgColor rgb="FFD3F9E1"/>
        <bgColor indexed="64"/>
      </patternFill>
    </fill>
  </fills>
  <borders count="26">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170">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cellStyleXfs>
  <cellXfs count="599">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0" fontId="1" fillId="46" borderId="0" xfId="0" applyNumberFormat="1" applyFont="1" applyFill="1" applyBorder="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0" fontId="2" fillId="46" borderId="0" xfId="2"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64" fontId="64" fillId="46" borderId="0" xfId="0" applyNumberFormat="1" applyFont="1" applyFill="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0" fontId="73" fillId="46"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64" fillId="2" borderId="0" xfId="0" applyNumberFormat="1" applyFont="1" applyFill="1" applyBorder="1"/>
    <xf numFmtId="10" fontId="40" fillId="46" borderId="0" xfId="2" applyNumberFormat="1" applyFont="1" applyFill="1" applyBorder="1" applyAlignment="1">
      <alignment horizontal="right" vertic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9" fontId="64" fillId="2" borderId="0" xfId="0" applyNumberFormat="1" applyFont="1" applyFill="1" applyBorder="1"/>
    <xf numFmtId="2"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0" fontId="40" fillId="46" borderId="0"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1" fillId="2" borderId="0" xfId="2"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46" borderId="0" xfId="0" applyNumberFormat="1" applyFont="1" applyFill="1" applyAlignment="1">
      <alignment horizontal="right"/>
    </xf>
    <xf numFmtId="0" fontId="2" fillId="46" borderId="20" xfId="0"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64" fontId="8" fillId="45" borderId="0" xfId="0" applyNumberFormat="1" applyFont="1" applyFill="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0" fontId="40" fillId="2" borderId="0" xfId="0"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1" fillId="2" borderId="0" xfId="2" applyNumberFormat="1" applyFont="1" applyFill="1"/>
    <xf numFmtId="10" fontId="64" fillId="2" borderId="0" xfId="2" applyNumberFormat="1" applyFont="1" applyFill="1" applyBorder="1" applyAlignment="1">
      <alignment horizontal="right" vertical="center"/>
    </xf>
    <xf numFmtId="10" fontId="66"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64" fontId="7" fillId="2" borderId="0" xfId="0" applyNumberFormat="1" applyFont="1" applyFill="1" applyAlignment="1">
      <alignment horizontal="right"/>
    </xf>
    <xf numFmtId="2" fontId="74" fillId="2" borderId="0" xfId="2" applyNumberFormat="1" applyFont="1" applyFill="1" applyBorder="1" applyAlignment="1">
      <alignment horizontal="right"/>
    </xf>
    <xf numFmtId="178" fontId="7" fillId="2" borderId="0" xfId="0" applyNumberFormat="1" applyFont="1" applyFill="1"/>
    <xf numFmtId="178" fontId="74" fillId="2"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64" fillId="2" borderId="0" xfId="0" applyNumberFormat="1" applyFont="1" applyFill="1" applyAlignment="1">
      <alignment horizontal="right"/>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40" fillId="2" borderId="0" xfId="0" applyNumberFormat="1" applyFont="1" applyFill="1" applyBorder="1" applyAlignment="1"/>
    <xf numFmtId="3" fontId="64"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64" fillId="2" borderId="0" xfId="0" applyNumberFormat="1" applyFont="1" applyFill="1" applyBorder="1" applyAlignment="1">
      <alignment horizontal="right" vertical="center"/>
    </xf>
    <xf numFmtId="164" fontId="64" fillId="2" borderId="0" xfId="0" applyNumberFormat="1" applyFont="1" applyFill="1" applyBorder="1" applyAlignment="1">
      <alignment horizontal="right"/>
    </xf>
    <xf numFmtId="164" fontId="8" fillId="45" borderId="0" xfId="0" applyNumberFormat="1" applyFont="1" applyFill="1"/>
    <xf numFmtId="44" fontId="2" fillId="46" borderId="0" xfId="169"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1" fillId="46" borderId="0" xfId="169" applyFont="1" applyFill="1" applyBorder="1"/>
    <xf numFmtId="185" fontId="1" fillId="46" borderId="0" xfId="169" applyNumberFormat="1" applyFont="1" applyFill="1" applyBorder="1"/>
    <xf numFmtId="185" fontId="1" fillId="2" borderId="0" xfId="169" applyNumberFormat="1" applyFont="1" applyFill="1" applyBorder="1"/>
    <xf numFmtId="44" fontId="2" fillId="46" borderId="0" xfId="169" applyFont="1" applyFill="1" applyBorder="1" applyAlignment="1">
      <alignment horizontal="right" vertical="center"/>
    </xf>
    <xf numFmtId="185" fontId="2" fillId="46" borderId="0" xfId="169" applyNumberFormat="1" applyFont="1" applyFill="1" applyBorder="1"/>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85" fontId="1" fillId="47" borderId="0" xfId="169" applyNumberFormat="1" applyFont="1" applyFill="1" applyBorder="1"/>
    <xf numFmtId="3" fontId="1" fillId="2" borderId="0" xfId="0" applyNumberFormat="1" applyFont="1" applyFill="1" applyBorder="1" applyAlignment="1">
      <alignment horizontal="right" vertical="center"/>
    </xf>
    <xf numFmtId="10" fontId="2" fillId="2" borderId="21" xfId="2" applyNumberFormat="1" applyFont="1" applyFill="1" applyBorder="1"/>
    <xf numFmtId="44" fontId="8" fillId="2" borderId="0" xfId="169" applyFont="1" applyFill="1" applyBorder="1" applyAlignment="1">
      <alignment horizontal="left" vertical="center"/>
    </xf>
    <xf numFmtId="164" fontId="8" fillId="45" borderId="0" xfId="0"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4" fontId="8" fillId="2" borderId="0" xfId="0" applyNumberFormat="1" applyFont="1" applyFill="1" applyBorder="1"/>
    <xf numFmtId="186" fontId="1" fillId="46" borderId="0" xfId="0" applyNumberFormat="1" applyFont="1" applyFill="1" applyBorder="1"/>
    <xf numFmtId="185" fontId="40" fillId="2" borderId="0" xfId="169" applyNumberFormat="1" applyFont="1" applyFill="1" applyBorder="1" applyAlignment="1">
      <alignment horizontal="right"/>
    </xf>
    <xf numFmtId="185" fontId="40" fillId="2" borderId="0" xfId="169" applyNumberFormat="1" applyFont="1" applyFill="1" applyBorder="1"/>
    <xf numFmtId="165" fontId="40" fillId="2" borderId="0" xfId="0" applyNumberFormat="1" applyFont="1" applyFill="1" applyBorder="1"/>
    <xf numFmtId="185" fontId="2" fillId="2" borderId="0" xfId="169" applyNumberFormat="1" applyFont="1" applyFill="1" applyBorder="1"/>
    <xf numFmtId="10" fontId="40" fillId="2" borderId="0" xfId="2" applyNumberFormat="1" applyFont="1" applyFill="1" applyBorder="1" applyAlignment="1">
      <alignment vertical="center"/>
    </xf>
    <xf numFmtId="44" fontId="2" fillId="2" borderId="0" xfId="169" applyNumberFormat="1" applyFont="1" applyFill="1" applyBorder="1" applyAlignment="1">
      <alignment horizontal="right" vertical="center"/>
    </xf>
    <xf numFmtId="164" fontId="64" fillId="46" borderId="0" xfId="0" applyNumberFormat="1" applyFont="1" applyFill="1"/>
    <xf numFmtId="164" fontId="64" fillId="2" borderId="0" xfId="0" applyNumberFormat="1" applyFont="1" applyFill="1" applyAlignment="1">
      <alignment horizontal="right"/>
    </xf>
    <xf numFmtId="182" fontId="65" fillId="46" borderId="0" xfId="0" applyNumberFormat="1" applyFont="1" applyFill="1" applyBorder="1" applyAlignment="1">
      <alignment horizontal="left"/>
    </xf>
    <xf numFmtId="182" fontId="75" fillId="46" borderId="0" xfId="0" applyNumberFormat="1" applyFont="1" applyFill="1" applyBorder="1" applyAlignment="1">
      <alignment horizontal="left"/>
    </xf>
    <xf numFmtId="164" fontId="65" fillId="46" borderId="0" xfId="0" applyNumberFormat="1" applyFont="1" applyFill="1" applyAlignment="1">
      <alignment horizontal="left"/>
    </xf>
    <xf numFmtId="10" fontId="75" fillId="46" borderId="0" xfId="2" applyNumberFormat="1" applyFont="1" applyFill="1" applyBorder="1" applyAlignment="1">
      <alignment horizontal="left"/>
    </xf>
    <xf numFmtId="10" fontId="65" fillId="46" borderId="0" xfId="2" applyNumberFormat="1" applyFont="1" applyFill="1" applyBorder="1" applyAlignment="1">
      <alignment horizontal="left"/>
    </xf>
    <xf numFmtId="164" fontId="40" fillId="47" borderId="0" xfId="0" applyNumberFormat="1" applyFont="1" applyFill="1"/>
    <xf numFmtId="164" fontId="67" fillId="45" borderId="0" xfId="0" applyNumberFormat="1" applyFont="1" applyFill="1" applyBorder="1"/>
    <xf numFmtId="164" fontId="2" fillId="47" borderId="0" xfId="0" applyNumberFormat="1" applyFont="1" applyFill="1" applyBorder="1" applyAlignment="1">
      <alignment horizontal="right"/>
    </xf>
    <xf numFmtId="179" fontId="64" fillId="46" borderId="0" xfId="0" applyNumberFormat="1" applyFont="1" applyFill="1" applyAlignment="1">
      <alignment horizontal="right"/>
    </xf>
    <xf numFmtId="179" fontId="64" fillId="46" borderId="0" xfId="2" applyNumberFormat="1" applyFont="1" applyFill="1" applyBorder="1" applyAlignment="1">
      <alignment horizontal="right"/>
    </xf>
    <xf numFmtId="179" fontId="64" fillId="46" borderId="0" xfId="0" applyNumberFormat="1" applyFont="1" applyFill="1" applyBorder="1" applyAlignment="1">
      <alignment horizontal="right"/>
    </xf>
    <xf numFmtId="166" fontId="64" fillId="46" borderId="0" xfId="2" applyNumberFormat="1" applyFont="1" applyFill="1" applyAlignment="1">
      <alignment horizontal="right"/>
    </xf>
    <xf numFmtId="178" fontId="64" fillId="2" borderId="21" xfId="0" applyNumberFormat="1" applyFont="1" applyFill="1" applyBorder="1"/>
    <xf numFmtId="10" fontId="64" fillId="2" borderId="21" xfId="2" applyNumberFormat="1" applyFont="1" applyFill="1" applyBorder="1"/>
    <xf numFmtId="184" fontId="64"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4" fontId="64"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0" fontId="64" fillId="2" borderId="21" xfId="2" applyNumberFormat="1" applyFont="1" applyFill="1" applyBorder="1" applyAlignment="1">
      <alignment horizontal="right"/>
    </xf>
    <xf numFmtId="10" fontId="64" fillId="46" borderId="0" xfId="2" applyNumberFormat="1" applyFont="1" applyFill="1"/>
    <xf numFmtId="10" fontId="1" fillId="46" borderId="0" xfId="0" applyNumberFormat="1" applyFont="1" applyFill="1" applyBorder="1" applyAlignment="1">
      <alignment horizontal="right"/>
    </xf>
    <xf numFmtId="14" fontId="64" fillId="46" borderId="0" xfId="2" applyNumberFormat="1" applyFont="1" applyFill="1" applyBorder="1" applyAlignment="1">
      <alignment horizontal="right"/>
    </xf>
    <xf numFmtId="2" fontId="64" fillId="2" borderId="21" xfId="2" applyNumberFormat="1" applyFont="1" applyFill="1" applyBorder="1" applyAlignment="1">
      <alignment horizontal="right"/>
    </xf>
    <xf numFmtId="2" fontId="64" fillId="46" borderId="0" xfId="2" applyNumberFormat="1" applyFont="1" applyFill="1"/>
    <xf numFmtId="178" fontId="2" fillId="2" borderId="20" xfId="0" applyNumberFormat="1" applyFont="1" applyFill="1" applyBorder="1"/>
    <xf numFmtId="178" fontId="8" fillId="45" borderId="0" xfId="0" applyNumberFormat="1" applyFont="1" applyFill="1"/>
    <xf numFmtId="178" fontId="64" fillId="46" borderId="0" xfId="0" applyNumberFormat="1" applyFont="1" applyFill="1"/>
    <xf numFmtId="178" fontId="64" fillId="46" borderId="0" xfId="0" applyNumberFormat="1" applyFont="1" applyFill="1" applyBorder="1"/>
    <xf numFmtId="179" fontId="64" fillId="46" borderId="0" xfId="2" applyNumberFormat="1" applyFont="1" applyFill="1" applyBorder="1" applyAlignment="1"/>
    <xf numFmtId="3" fontId="8" fillId="2" borderId="0" xfId="0" applyNumberFormat="1" applyFont="1" applyFill="1" applyBorder="1" applyAlignment="1"/>
    <xf numFmtId="3" fontId="2" fillId="2" borderId="0" xfId="0" applyNumberFormat="1" applyFont="1" applyFill="1" applyBorder="1" applyAlignment="1">
      <alignment horizontal="right"/>
    </xf>
    <xf numFmtId="10" fontId="64" fillId="46" borderId="0" xfId="2" applyNumberFormat="1" applyFont="1" applyFill="1" applyBorder="1" applyAlignment="1">
      <alignment horizontal="right" vertical="center"/>
    </xf>
    <xf numFmtId="10" fontId="1" fillId="46" borderId="0" xfId="0" applyNumberFormat="1" applyFont="1" applyFill="1" applyBorder="1"/>
    <xf numFmtId="2" fontId="2" fillId="46" borderId="0" xfId="169" applyNumberFormat="1" applyFont="1" applyFill="1"/>
    <xf numFmtId="178" fontId="40" fillId="2" borderId="0" xfId="0" applyNumberFormat="1" applyFont="1" applyFill="1" applyBorder="1"/>
    <xf numFmtId="49" fontId="66" fillId="2" borderId="0" xfId="0" applyNumberFormat="1" applyFont="1" applyFill="1" applyBorder="1"/>
    <xf numFmtId="10" fontId="75" fillId="2" borderId="0" xfId="169" applyNumberFormat="1" applyFont="1" applyFill="1" applyBorder="1"/>
    <xf numFmtId="179" fontId="64" fillId="2" borderId="0" xfId="2" applyNumberFormat="1" applyFont="1" applyFill="1" applyBorder="1" applyAlignment="1">
      <alignment horizontal="right"/>
    </xf>
    <xf numFmtId="179" fontId="64" fillId="2" borderId="0" xfId="0" applyNumberFormat="1" applyFont="1" applyFill="1" applyBorder="1" applyAlignment="1">
      <alignment horizontal="right"/>
    </xf>
    <xf numFmtId="179" fontId="64" fillId="46" borderId="0" xfId="0" applyNumberFormat="1" applyFont="1" applyFill="1" applyBorder="1" applyAlignment="1">
      <alignment horizontal="right" vertical="center"/>
    </xf>
    <xf numFmtId="185" fontId="64" fillId="2" borderId="0" xfId="169" applyNumberFormat="1" applyFont="1" applyFill="1" applyBorder="1"/>
    <xf numFmtId="0" fontId="8" fillId="2" borderId="0" xfId="0" applyFont="1" applyFill="1" applyBorder="1"/>
    <xf numFmtId="10" fontId="76" fillId="2" borderId="0" xfId="2" applyNumberFormat="1" applyFont="1" applyFill="1" applyBorder="1"/>
    <xf numFmtId="0" fontId="8" fillId="2" borderId="0" xfId="0" applyFont="1" applyFill="1" applyBorder="1" applyAlignment="1">
      <alignment vertical="center"/>
    </xf>
    <xf numFmtId="0" fontId="40" fillId="46" borderId="21" xfId="0" applyFont="1" applyFill="1" applyBorder="1"/>
    <xf numFmtId="9" fontId="64" fillId="46" borderId="0" xfId="2" applyFont="1" applyFill="1" applyBorder="1"/>
    <xf numFmtId="0" fontId="2" fillId="46" borderId="0" xfId="0" applyNumberFormat="1" applyFont="1" applyFill="1" applyAlignment="1">
      <alignment horizontal="right"/>
    </xf>
    <xf numFmtId="1" fontId="1" fillId="46" borderId="0" xfId="0" applyNumberFormat="1" applyFont="1" applyFill="1" applyBorder="1"/>
    <xf numFmtId="0" fontId="40" fillId="46" borderId="19" xfId="0" applyFont="1" applyFill="1" applyBorder="1"/>
    <xf numFmtId="0" fontId="2" fillId="46" borderId="21" xfId="0" applyFont="1" applyFill="1" applyBorder="1"/>
    <xf numFmtId="10" fontId="64" fillId="46" borderId="0" xfId="0" applyNumberFormat="1" applyFont="1" applyFill="1" applyBorder="1"/>
    <xf numFmtId="44" fontId="1" fillId="2" borderId="0" xfId="0" applyNumberFormat="1" applyFont="1" applyFill="1" applyBorder="1"/>
    <xf numFmtId="0" fontId="67" fillId="45" borderId="0" xfId="0" applyFont="1" applyFill="1" applyBorder="1"/>
    <xf numFmtId="179" fontId="64" fillId="2" borderId="0" xfId="2" applyNumberFormat="1" applyFont="1" applyFill="1" applyBorder="1" applyAlignment="1"/>
    <xf numFmtId="10" fontId="66" fillId="2" borderId="0" xfId="2" applyNumberFormat="1" applyFont="1" applyFill="1" applyBorder="1" applyAlignment="1">
      <alignment horizontal="right" wrapText="1"/>
    </xf>
    <xf numFmtId="2" fontId="66" fillId="2" borderId="0" xfId="2" applyNumberFormat="1" applyFont="1" applyFill="1" applyBorder="1" applyAlignment="1">
      <alignment horizontal="right" wrapText="1"/>
    </xf>
    <xf numFmtId="10" fontId="64" fillId="2" borderId="0" xfId="2" applyNumberFormat="1" applyFont="1" applyFill="1" applyBorder="1" applyAlignment="1">
      <alignment horizontal="right" wrapText="1"/>
    </xf>
    <xf numFmtId="2" fontId="64" fillId="2" borderId="0" xfId="2" applyNumberFormat="1" applyFont="1" applyFill="1" applyBorder="1" applyAlignment="1">
      <alignment horizontal="right" wrapText="1"/>
    </xf>
    <xf numFmtId="9" fontId="64" fillId="2" borderId="0" xfId="2" applyNumberFormat="1" applyFont="1" applyFill="1" applyBorder="1" applyAlignment="1">
      <alignment horizontal="right"/>
    </xf>
    <xf numFmtId="185" fontId="1" fillId="2" borderId="0" xfId="169" applyNumberFormat="1" applyFont="1" applyFill="1" applyBorder="1" applyAlignment="1">
      <alignment horizontal="right" vertical="center"/>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5"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185" fontId="1" fillId="2" borderId="0" xfId="0" applyNumberFormat="1" applyFont="1" applyFill="1" applyBorder="1" applyAlignment="1">
      <alignment horizontal="right" vertical="center"/>
    </xf>
    <xf numFmtId="2" fontId="40" fillId="46" borderId="0" xfId="0" applyNumberFormat="1" applyFont="1" applyFill="1" applyBorder="1"/>
    <xf numFmtId="0" fontId="77" fillId="2" borderId="0" xfId="167" applyFont="1" applyFill="1">
      <alignment vertical="top"/>
    </xf>
    <xf numFmtId="0" fontId="78" fillId="2" borderId="0" xfId="167" applyFont="1" applyFill="1">
      <alignment vertical="top"/>
    </xf>
    <xf numFmtId="0" fontId="82" fillId="2" borderId="0" xfId="167" applyFont="1" applyFill="1">
      <alignment vertical="top"/>
    </xf>
    <xf numFmtId="0" fontId="83" fillId="2" borderId="0" xfId="167" applyFont="1" applyFill="1">
      <alignment vertical="top"/>
    </xf>
    <xf numFmtId="0" fontId="85" fillId="2" borderId="0" xfId="167" applyFont="1" applyFill="1">
      <alignment vertical="top"/>
    </xf>
    <xf numFmtId="0" fontId="79" fillId="2" borderId="0" xfId="167" applyFont="1" applyFill="1" applyAlignment="1">
      <alignment horizontal="left" vertical="top"/>
    </xf>
    <xf numFmtId="0" fontId="80" fillId="2" borderId="0" xfId="167" applyFont="1" applyFill="1" applyAlignment="1">
      <alignment horizontal="left" vertical="top"/>
    </xf>
    <xf numFmtId="0" fontId="0" fillId="2" borderId="0" xfId="0" applyFill="1"/>
    <xf numFmtId="0" fontId="81" fillId="2" borderId="0" xfId="167" applyFont="1" applyFill="1" applyAlignment="1">
      <alignment vertical="top"/>
    </xf>
    <xf numFmtId="185" fontId="84" fillId="2" borderId="0" xfId="167" applyNumberFormat="1" applyFont="1" applyFill="1" applyAlignment="1">
      <alignment vertical="center"/>
    </xf>
    <xf numFmtId="0" fontId="87" fillId="2" borderId="0" xfId="167" applyFont="1" applyFill="1" applyAlignment="1">
      <alignment vertical="center"/>
    </xf>
    <xf numFmtId="2" fontId="64" fillId="46" borderId="0" xfId="2" applyNumberFormat="1" applyFont="1" applyFill="1" applyBorder="1"/>
    <xf numFmtId="164" fontId="40" fillId="47" borderId="0" xfId="0" applyNumberFormat="1" applyFont="1" applyFill="1" applyAlignment="1">
      <alignment horizontal="right"/>
    </xf>
    <xf numFmtId="0" fontId="86" fillId="2" borderId="0" xfId="167" applyFont="1" applyFill="1" applyAlignment="1">
      <alignment vertical="center"/>
    </xf>
    <xf numFmtId="189" fontId="84" fillId="2" borderId="0" xfId="167" applyNumberFormat="1" applyFont="1" applyFill="1" applyAlignment="1">
      <alignment vertical="center"/>
    </xf>
    <xf numFmtId="9" fontId="8" fillId="45" borderId="0" xfId="2" applyFont="1" applyFill="1" applyBorder="1" applyAlignment="1">
      <alignment horizontal="right"/>
    </xf>
    <xf numFmtId="9" fontId="40" fillId="46" borderId="0" xfId="2" applyFont="1" applyFill="1" applyBorder="1"/>
    <xf numFmtId="10" fontId="40" fillId="46" borderId="0" xfId="2" applyNumberFormat="1" applyFont="1" applyFill="1" applyBorder="1" applyAlignment="1"/>
    <xf numFmtId="178" fontId="40" fillId="46" borderId="0" xfId="0" applyNumberFormat="1" applyFont="1" applyFill="1" applyBorder="1" applyAlignment="1"/>
    <xf numFmtId="9" fontId="40" fillId="46" borderId="0" xfId="2" quotePrefix="1" applyFont="1" applyFill="1" applyBorder="1"/>
    <xf numFmtId="2" fontId="40" fillId="46" borderId="0" xfId="169" applyNumberFormat="1" applyFont="1" applyFill="1" applyBorder="1"/>
    <xf numFmtId="9" fontId="66" fillId="2" borderId="0" xfId="2" applyFont="1" applyFill="1" applyBorder="1"/>
    <xf numFmtId="2" fontId="40" fillId="46" borderId="0" xfId="169" applyNumberFormat="1" applyFont="1" applyFill="1" applyBorder="1" applyAlignment="1"/>
    <xf numFmtId="10" fontId="75" fillId="46" borderId="0" xfId="169" applyNumberFormat="1" applyFont="1" applyFill="1" applyBorder="1" applyAlignment="1">
      <alignment horizontal="right"/>
    </xf>
    <xf numFmtId="178"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2" fontId="40" fillId="46" borderId="0" xfId="169" applyNumberFormat="1" applyFont="1" applyFill="1" applyBorder="1" applyAlignment="1">
      <alignment horizontal="center"/>
    </xf>
    <xf numFmtId="9" fontId="8" fillId="45" borderId="0" xfId="2" applyFont="1" applyFill="1" applyBorder="1" applyAlignment="1">
      <alignment horizontal="center"/>
    </xf>
    <xf numFmtId="164" fontId="88" fillId="2" borderId="0" xfId="0" applyNumberFormat="1" applyFont="1" applyFill="1" applyBorder="1" applyAlignment="1">
      <alignment horizontal="left"/>
    </xf>
    <xf numFmtId="10" fontId="40" fillId="46" borderId="0" xfId="169" applyNumberFormat="1" applyFont="1" applyFill="1" applyBorder="1"/>
    <xf numFmtId="1" fontId="8" fillId="45" borderId="0" xfId="2" applyNumberFormat="1" applyFont="1" applyFill="1" applyBorder="1" applyAlignment="1">
      <alignment horizontal="center"/>
    </xf>
    <xf numFmtId="10" fontId="75" fillId="46" borderId="0" xfId="2" applyNumberFormat="1" applyFont="1" applyFill="1" applyBorder="1" applyAlignment="1">
      <alignment horizontal="right"/>
    </xf>
    <xf numFmtId="10" fontId="40" fillId="48" borderId="0" xfId="2" applyNumberFormat="1" applyFont="1" applyFill="1" applyBorder="1" applyAlignment="1"/>
    <xf numFmtId="178" fontId="40" fillId="48" borderId="0" xfId="0" applyNumberFormat="1" applyFont="1" applyFill="1" applyBorder="1" applyAlignment="1"/>
    <xf numFmtId="10" fontId="75" fillId="48" borderId="0" xfId="169" applyNumberFormat="1" applyFont="1" applyFill="1" applyBorder="1" applyAlignment="1">
      <alignment horizontal="right"/>
    </xf>
    <xf numFmtId="10" fontId="75" fillId="48" borderId="0" xfId="2" applyNumberFormat="1" applyFont="1" applyFill="1" applyBorder="1" applyAlignment="1">
      <alignment horizontal="right"/>
    </xf>
    <xf numFmtId="164" fontId="6" fillId="2" borderId="0" xfId="0" applyNumberFormat="1" applyFont="1" applyFill="1"/>
    <xf numFmtId="44" fontId="75" fillId="48" borderId="0" xfId="169" applyFont="1" applyFill="1" applyBorder="1" applyAlignment="1">
      <alignment horizontal="center"/>
    </xf>
    <xf numFmtId="0" fontId="89" fillId="0" borderId="25" xfId="0" applyFont="1" applyBorder="1" applyAlignment="1">
      <alignment horizontal="left"/>
    </xf>
    <xf numFmtId="0" fontId="89" fillId="0" borderId="22" xfId="0" applyFont="1" applyBorder="1" applyAlignment="1">
      <alignment horizontal="center"/>
    </xf>
    <xf numFmtId="0" fontId="90" fillId="0" borderId="9" xfId="0" applyFont="1" applyBorder="1" applyAlignment="1">
      <alignment horizontal="center"/>
    </xf>
    <xf numFmtId="0" fontId="90" fillId="0" borderId="22" xfId="0" applyFont="1" applyBorder="1" applyAlignment="1">
      <alignment horizontal="center"/>
    </xf>
    <xf numFmtId="10" fontId="90" fillId="0" borderId="24" xfId="2" applyNumberFormat="1" applyFont="1" applyBorder="1" applyAlignment="1">
      <alignment horizontal="center"/>
    </xf>
    <xf numFmtId="0" fontId="90" fillId="0" borderId="23" xfId="0" applyFont="1" applyBorder="1" applyAlignment="1">
      <alignment horizontal="center"/>
    </xf>
    <xf numFmtId="9" fontId="40" fillId="2" borderId="0" xfId="2" applyFont="1" applyFill="1" applyBorder="1"/>
    <xf numFmtId="10" fontId="75" fillId="2" borderId="0" xfId="169" applyNumberFormat="1" applyFont="1" applyFill="1" applyBorder="1" applyAlignment="1">
      <alignment horizontal="right"/>
    </xf>
    <xf numFmtId="10" fontId="75" fillId="2" borderId="0" xfId="2" applyNumberFormat="1" applyFont="1" applyFill="1" applyBorder="1" applyAlignment="1">
      <alignment horizontal="right"/>
    </xf>
    <xf numFmtId="178" fontId="40" fillId="46" borderId="0" xfId="0" applyNumberFormat="1" applyFont="1" applyFill="1" applyBorder="1"/>
    <xf numFmtId="190"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5" fillId="2" borderId="0" xfId="169" applyFont="1" applyFill="1" applyBorder="1" applyAlignment="1">
      <alignment horizontal="right"/>
    </xf>
    <xf numFmtId="44" fontId="75" fillId="2" borderId="0" xfId="169" applyFont="1" applyFill="1" applyBorder="1" applyAlignment="1">
      <alignment horizontal="center"/>
    </xf>
    <xf numFmtId="190" fontId="75" fillId="2" borderId="0" xfId="2" applyNumberFormat="1" applyFont="1" applyFill="1" applyBorder="1" applyAlignment="1">
      <alignment horizontal="right"/>
    </xf>
    <xf numFmtId="10" fontId="64" fillId="46" borderId="0" xfId="169" applyNumberFormat="1" applyFont="1" applyFill="1"/>
    <xf numFmtId="10" fontId="64" fillId="2" borderId="0" xfId="169" applyNumberFormat="1" applyFont="1" applyFill="1"/>
    <xf numFmtId="9" fontId="40" fillId="46" borderId="21" xfId="2" quotePrefix="1" applyFont="1" applyFill="1" applyBorder="1"/>
    <xf numFmtId="44" fontId="75" fillId="46" borderId="0" xfId="169" applyFont="1" applyFill="1" applyBorder="1" applyAlignment="1">
      <alignment horizontal="right"/>
    </xf>
    <xf numFmtId="44" fontId="75" fillId="46" borderId="0" xfId="169" applyFont="1" applyFill="1" applyBorder="1" applyAlignment="1">
      <alignment horizontal="center"/>
    </xf>
    <xf numFmtId="10" fontId="40" fillId="46" borderId="0" xfId="169" applyNumberFormat="1" applyFont="1" applyFill="1" applyBorder="1" applyAlignment="1"/>
    <xf numFmtId="10" fontId="40" fillId="48" borderId="0" xfId="169" applyNumberFormat="1" applyFont="1" applyFill="1" applyBorder="1" applyAlignment="1"/>
    <xf numFmtId="9" fontId="66" fillId="2" borderId="0" xfId="2" quotePrefix="1" applyFont="1" applyFill="1" applyBorder="1"/>
    <xf numFmtId="10" fontId="66" fillId="2" borderId="0" xfId="2" applyNumberFormat="1" applyFont="1" applyFill="1" applyBorder="1"/>
    <xf numFmtId="9" fontId="40" fillId="48" borderId="0" xfId="2" applyFont="1" applyFill="1" applyBorder="1"/>
    <xf numFmtId="2" fontId="40" fillId="48" borderId="0" xfId="169" applyNumberFormat="1" applyFont="1" applyFill="1" applyBorder="1" applyAlignment="1"/>
    <xf numFmtId="2" fontId="40" fillId="48" borderId="0" xfId="169" applyNumberFormat="1" applyFont="1" applyFill="1" applyBorder="1" applyAlignment="1">
      <alignment horizontal="center"/>
    </xf>
    <xf numFmtId="2" fontId="64" fillId="46" borderId="0" xfId="169" applyNumberFormat="1" applyFont="1" applyFill="1" applyBorder="1" applyAlignment="1">
      <alignment horizontal="right" vertical="center"/>
    </xf>
    <xf numFmtId="191" fontId="1" fillId="46" borderId="0" xfId="169" applyNumberFormat="1" applyFont="1" applyFill="1"/>
    <xf numFmtId="191" fontId="1" fillId="46" borderId="0" xfId="169" applyNumberFormat="1" applyFont="1" applyFill="1" applyBorder="1"/>
    <xf numFmtId="191" fontId="2" fillId="2" borderId="21" xfId="169" applyNumberFormat="1" applyFont="1" applyFill="1" applyBorder="1"/>
    <xf numFmtId="10" fontId="65" fillId="2" borderId="21" xfId="2" applyNumberFormat="1" applyFont="1" applyFill="1" applyBorder="1"/>
    <xf numFmtId="187" fontId="40" fillId="47" borderId="0" xfId="169" applyNumberFormat="1" applyFont="1" applyFill="1" applyBorder="1" applyAlignment="1">
      <alignment horizontal="right"/>
    </xf>
    <xf numFmtId="164" fontId="64" fillId="46" borderId="0" xfId="0" applyNumberFormat="1" applyFont="1" applyFill="1" applyBorder="1" applyAlignment="1">
      <alignment horizontal="right"/>
    </xf>
    <xf numFmtId="164" fontId="64" fillId="46" borderId="21" xfId="0" applyNumberFormat="1" applyFont="1" applyFill="1" applyBorder="1" applyAlignment="1">
      <alignment horizontal="right"/>
    </xf>
    <xf numFmtId="10" fontId="2" fillId="46" borderId="21" xfId="2" applyNumberFormat="1" applyFont="1" applyFill="1" applyBorder="1"/>
    <xf numFmtId="191" fontId="1" fillId="46" borderId="21" xfId="169" applyNumberFormat="1" applyFont="1" applyFill="1" applyBorder="1"/>
    <xf numFmtId="10" fontId="64" fillId="46" borderId="21" xfId="2" applyNumberFormat="1" applyFont="1" applyFill="1" applyBorder="1"/>
    <xf numFmtId="164" fontId="2" fillId="47" borderId="0" xfId="0" applyNumberFormat="1" applyFont="1" applyFill="1" applyAlignment="1">
      <alignment horizontal="right"/>
    </xf>
    <xf numFmtId="10" fontId="1" fillId="2" borderId="21" xfId="2" applyNumberFormat="1" applyFont="1" applyFill="1" applyBorder="1" applyAlignment="1">
      <alignment horizontal="right"/>
    </xf>
    <xf numFmtId="0" fontId="1" fillId="2" borderId="0" xfId="165" applyFont="1" applyFill="1"/>
    <xf numFmtId="10" fontId="65" fillId="46" borderId="0" xfId="2" applyNumberFormat="1" applyFont="1" applyFill="1" applyBorder="1" applyAlignment="1">
      <alignment horizontal="right" vertical="center"/>
    </xf>
    <xf numFmtId="2" fontId="64" fillId="46" borderId="0" xfId="169" applyNumberFormat="1" applyFont="1" applyFill="1" applyBorder="1" applyAlignment="1">
      <alignment horizontal="right"/>
    </xf>
    <xf numFmtId="2" fontId="64" fillId="46" borderId="0" xfId="169" applyNumberFormat="1" applyFont="1" applyFill="1" applyAlignment="1">
      <alignment horizontal="right"/>
    </xf>
    <xf numFmtId="2" fontId="64" fillId="46" borderId="0" xfId="2" applyNumberFormat="1" applyFont="1" applyFill="1" applyBorder="1" applyAlignment="1">
      <alignment horizontal="right" vertical="center"/>
    </xf>
    <xf numFmtId="0" fontId="1" fillId="2" borderId="0" xfId="0" applyFont="1" applyFill="1" applyBorder="1" applyAlignment="1"/>
    <xf numFmtId="2" fontId="64" fillId="46" borderId="0" xfId="0" applyNumberFormat="1" applyFont="1" applyFill="1"/>
    <xf numFmtId="192" fontId="40" fillId="46" borderId="0" xfId="0" applyNumberFormat="1" applyFont="1" applyFill="1" applyBorder="1"/>
    <xf numFmtId="192" fontId="88" fillId="46" borderId="0" xfId="0" applyNumberFormat="1" applyFont="1" applyFill="1" applyBorder="1"/>
    <xf numFmtId="179" fontId="40" fillId="46" borderId="0" xfId="0" applyNumberFormat="1" applyFont="1" applyFill="1" applyBorder="1"/>
    <xf numFmtId="0" fontId="64" fillId="2" borderId="0" xfId="0" applyFont="1" applyFill="1" applyBorder="1" applyAlignment="1">
      <alignment horizontal="center"/>
    </xf>
    <xf numFmtId="10" fontId="64" fillId="46" borderId="0" xfId="2" applyNumberFormat="1" applyFont="1" applyFill="1" applyAlignment="1">
      <alignment vertical="center"/>
    </xf>
    <xf numFmtId="2" fontId="75" fillId="2" borderId="0" xfId="0" applyNumberFormat="1" applyFont="1" applyFill="1" applyAlignment="1"/>
    <xf numFmtId="10" fontId="65" fillId="46" borderId="0" xfId="2" applyNumberFormat="1" applyFont="1" applyFill="1" applyBorder="1"/>
    <xf numFmtId="164" fontId="8" fillId="45" borderId="0" xfId="0" applyNumberFormat="1" applyFont="1" applyFill="1" applyBorder="1" applyAlignment="1">
      <alignment horizontal="right"/>
    </xf>
    <xf numFmtId="165" fontId="1" fillId="46" borderId="0" xfId="0" applyNumberFormat="1" applyFont="1" applyFill="1" applyBorder="1"/>
    <xf numFmtId="10" fontId="1" fillId="46" borderId="0" xfId="2" applyNumberFormat="1" applyFont="1" applyFill="1"/>
    <xf numFmtId="165" fontId="1" fillId="46" borderId="0" xfId="0" applyNumberFormat="1" applyFont="1" applyFill="1"/>
    <xf numFmtId="178" fontId="8" fillId="45" borderId="0" xfId="0" applyNumberFormat="1" applyFont="1" applyFill="1" applyAlignment="1">
      <alignment horizontal="right"/>
    </xf>
    <xf numFmtId="10" fontId="40" fillId="48" borderId="0" xfId="2" applyNumberFormat="1" applyFont="1" applyFill="1" applyBorder="1"/>
    <xf numFmtId="0" fontId="81" fillId="49" borderId="0" xfId="167" applyFont="1" applyFill="1" applyAlignment="1">
      <alignment horizontal="center" vertical="top"/>
    </xf>
    <xf numFmtId="2" fontId="2" fillId="2" borderId="20" xfId="169" applyNumberFormat="1" applyFont="1" applyFill="1" applyBorder="1" applyAlignment="1">
      <alignment horizontal="right"/>
    </xf>
    <xf numFmtId="164" fontId="1" fillId="48" borderId="0" xfId="0" applyNumberFormat="1" applyFont="1" applyFill="1"/>
    <xf numFmtId="10" fontId="1" fillId="48" borderId="0" xfId="2" applyNumberFormat="1" applyFont="1" applyFill="1"/>
    <xf numFmtId="10" fontId="1" fillId="2" borderId="21" xfId="2" applyNumberFormat="1" applyFont="1" applyFill="1" applyBorder="1"/>
    <xf numFmtId="10" fontId="64" fillId="47" borderId="0" xfId="2" applyNumberFormat="1" applyFont="1" applyFill="1" applyAlignment="1">
      <alignment horizontal="right"/>
    </xf>
    <xf numFmtId="0" fontId="64" fillId="46" borderId="0" xfId="2" applyNumberFormat="1" applyFont="1" applyFill="1" applyBorder="1" applyAlignment="1">
      <alignment horizontal="right"/>
    </xf>
    <xf numFmtId="2" fontId="64" fillId="47" borderId="0" xfId="2" applyNumberFormat="1" applyFont="1" applyFill="1" applyBorder="1" applyAlignment="1">
      <alignment horizontal="right"/>
    </xf>
    <xf numFmtId="3" fontId="1" fillId="2" borderId="0" xfId="0" applyNumberFormat="1" applyFont="1" applyFill="1"/>
    <xf numFmtId="193" fontId="64" fillId="46" borderId="0" xfId="169" applyNumberFormat="1" applyFont="1" applyFill="1"/>
    <xf numFmtId="193" fontId="64" fillId="46" borderId="0" xfId="169" applyNumberFormat="1" applyFont="1" applyFill="1" applyBorder="1" applyAlignment="1">
      <alignment horizontal="right"/>
    </xf>
    <xf numFmtId="193" fontId="64" fillId="2" borderId="21" xfId="169" applyNumberFormat="1" applyFont="1" applyFill="1" applyBorder="1" applyAlignment="1">
      <alignment horizontal="right"/>
    </xf>
    <xf numFmtId="193" fontId="64" fillId="46" borderId="0" xfId="169" applyNumberFormat="1" applyFont="1" applyFill="1" applyBorder="1"/>
    <xf numFmtId="164" fontId="8" fillId="2" borderId="0" xfId="0" applyNumberFormat="1" applyFont="1" applyFill="1" applyBorder="1" applyAlignment="1">
      <alignment horizontal="center"/>
    </xf>
    <xf numFmtId="193" fontId="2" fillId="46" borderId="0" xfId="169" applyNumberFormat="1" applyFont="1" applyFill="1" applyBorder="1"/>
    <xf numFmtId="193" fontId="2" fillId="46" borderId="19" xfId="169" applyNumberFormat="1" applyFont="1" applyFill="1" applyBorder="1"/>
    <xf numFmtId="193" fontId="1" fillId="2" borderId="0" xfId="0" applyNumberFormat="1" applyFont="1" applyFill="1" applyBorder="1"/>
    <xf numFmtId="194" fontId="40" fillId="46" borderId="0" xfId="169" applyNumberFormat="1" applyFont="1" applyFill="1" applyBorder="1" applyAlignment="1">
      <alignment horizontal="right"/>
    </xf>
    <xf numFmtId="194" fontId="2" fillId="46" borderId="0" xfId="169" applyNumberFormat="1" applyFont="1" applyFill="1" applyBorder="1"/>
    <xf numFmtId="194" fontId="2" fillId="46" borderId="19" xfId="169" applyNumberFormat="1" applyFont="1" applyFill="1" applyBorder="1"/>
    <xf numFmtId="194" fontId="40" fillId="46" borderId="21" xfId="169" applyNumberFormat="1" applyFont="1" applyFill="1" applyBorder="1"/>
    <xf numFmtId="194" fontId="8" fillId="2" borderId="0" xfId="0" applyNumberFormat="1" applyFont="1" applyFill="1" applyBorder="1"/>
    <xf numFmtId="194" fontId="8" fillId="2" borderId="0" xfId="169" applyNumberFormat="1" applyFont="1" applyFill="1" applyBorder="1"/>
    <xf numFmtId="194" fontId="2" fillId="46" borderId="0" xfId="0" applyNumberFormat="1" applyFont="1" applyFill="1" applyBorder="1"/>
    <xf numFmtId="194" fontId="1" fillId="2" borderId="0" xfId="0" applyNumberFormat="1" applyFont="1" applyFill="1" applyBorder="1"/>
    <xf numFmtId="194" fontId="40" fillId="46" borderId="19" xfId="169" applyNumberFormat="1" applyFont="1" applyFill="1" applyBorder="1"/>
    <xf numFmtId="194" fontId="40" fillId="46" borderId="21" xfId="2" applyNumberFormat="1" applyFont="1" applyFill="1" applyBorder="1" applyAlignment="1">
      <alignment horizontal="right"/>
    </xf>
    <xf numFmtId="194" fontId="40" fillId="46" borderId="0" xfId="2" applyNumberFormat="1" applyFont="1" applyFill="1" applyBorder="1" applyAlignment="1">
      <alignment horizontal="right"/>
    </xf>
    <xf numFmtId="194" fontId="2" fillId="46" borderId="0" xfId="169" applyNumberFormat="1" applyFont="1" applyFill="1" applyBorder="1" applyAlignment="1">
      <alignment wrapText="1"/>
    </xf>
    <xf numFmtId="193" fontId="1" fillId="46" borderId="0" xfId="169" applyNumberFormat="1" applyFont="1" applyFill="1" applyBorder="1"/>
    <xf numFmtId="193" fontId="2" fillId="46" borderId="18" xfId="169" applyNumberFormat="1" applyFont="1" applyFill="1" applyBorder="1"/>
    <xf numFmtId="193" fontId="64" fillId="46" borderId="0" xfId="0" applyNumberFormat="1" applyFont="1" applyFill="1" applyBorder="1"/>
    <xf numFmtId="193" fontId="1" fillId="46" borderId="0" xfId="0" applyNumberFormat="1" applyFont="1" applyFill="1" applyBorder="1"/>
    <xf numFmtId="193" fontId="67" fillId="45" borderId="0" xfId="0" applyNumberFormat="1" applyFont="1" applyFill="1" applyBorder="1"/>
    <xf numFmtId="193" fontId="2" fillId="46" borderId="0" xfId="169" applyNumberFormat="1" applyFont="1" applyFill="1" applyBorder="1" applyAlignment="1">
      <alignment horizontal="right" vertical="center"/>
    </xf>
    <xf numFmtId="194" fontId="2" fillId="46" borderId="0" xfId="169" applyNumberFormat="1" applyFont="1" applyFill="1" applyBorder="1" applyAlignment="1">
      <alignment horizontal="right" vertical="center"/>
    </xf>
    <xf numFmtId="194" fontId="40" fillId="46" borderId="21" xfId="169" applyNumberFormat="1" applyFont="1" applyFill="1" applyBorder="1" applyAlignment="1">
      <alignment horizontal="right" vertical="center"/>
    </xf>
    <xf numFmtId="194" fontId="2" fillId="46" borderId="18" xfId="169" applyNumberFormat="1" applyFont="1" applyFill="1" applyBorder="1" applyAlignment="1">
      <alignment horizontal="right" vertical="center"/>
    </xf>
    <xf numFmtId="194" fontId="2" fillId="46" borderId="18" xfId="169" applyNumberFormat="1" applyFont="1" applyFill="1" applyBorder="1"/>
    <xf numFmtId="194" fontId="8" fillId="45" borderId="0" xfId="169" applyNumberFormat="1" applyFont="1" applyFill="1" applyBorder="1" applyAlignment="1">
      <alignment horizontal="right" vertical="center"/>
    </xf>
    <xf numFmtId="194" fontId="1" fillId="46" borderId="0" xfId="169" applyNumberFormat="1" applyFont="1" applyFill="1" applyBorder="1"/>
    <xf numFmtId="194" fontId="40" fillId="46" borderId="21" xfId="0" applyNumberFormat="1" applyFont="1" applyFill="1" applyBorder="1" applyAlignment="1"/>
    <xf numFmtId="194" fontId="64" fillId="46" borderId="0" xfId="169" applyNumberFormat="1" applyFont="1" applyFill="1" applyBorder="1"/>
    <xf numFmtId="194" fontId="2" fillId="46" borderId="21" xfId="169" applyNumberFormat="1" applyFont="1" applyFill="1" applyBorder="1"/>
    <xf numFmtId="194" fontId="1" fillId="46" borderId="0" xfId="169" applyNumberFormat="1" applyFont="1" applyFill="1" applyBorder="1" applyAlignment="1">
      <alignment horizontal="right"/>
    </xf>
    <xf numFmtId="193" fontId="40" fillId="46" borderId="18" xfId="169" applyNumberFormat="1" applyFont="1" applyFill="1" applyBorder="1"/>
    <xf numFmtId="193" fontId="8" fillId="45" borderId="0" xfId="169" applyNumberFormat="1" applyFont="1" applyFill="1" applyBorder="1"/>
    <xf numFmtId="193" fontId="8" fillId="45" borderId="0" xfId="169" applyNumberFormat="1" applyFont="1" applyFill="1" applyBorder="1" applyAlignment="1">
      <alignment horizontal="left" vertical="center"/>
    </xf>
    <xf numFmtId="193" fontId="8" fillId="45" borderId="0" xfId="169" applyNumberFormat="1" applyFont="1" applyFill="1" applyBorder="1" applyAlignment="1">
      <alignment vertical="center"/>
    </xf>
    <xf numFmtId="164" fontId="60" fillId="46" borderId="0" xfId="0" applyNumberFormat="1" applyFont="1" applyFill="1" applyAlignment="1">
      <alignment horizontal="right"/>
    </xf>
    <xf numFmtId="195" fontId="2" fillId="47" borderId="0" xfId="169" applyNumberFormat="1" applyFont="1" applyFill="1" applyBorder="1"/>
    <xf numFmtId="195" fontId="2" fillId="46" borderId="0" xfId="169" applyNumberFormat="1" applyFont="1" applyFill="1" applyBorder="1"/>
    <xf numFmtId="195" fontId="2" fillId="47" borderId="0" xfId="169" applyNumberFormat="1" applyFont="1" applyFill="1" applyBorder="1" applyAlignment="1">
      <alignment horizontal="right" vertical="center"/>
    </xf>
    <xf numFmtId="195" fontId="1" fillId="46" borderId="0" xfId="169" applyNumberFormat="1" applyFont="1" applyFill="1" applyBorder="1" applyAlignment="1">
      <alignment horizontal="right" vertical="center"/>
    </xf>
    <xf numFmtId="195" fontId="1" fillId="46" borderId="0" xfId="169" applyNumberFormat="1" applyFont="1" applyFill="1" applyBorder="1"/>
    <xf numFmtId="1" fontId="64" fillId="46" borderId="0" xfId="169" applyNumberFormat="1" applyFont="1" applyFill="1" applyBorder="1"/>
    <xf numFmtId="0" fontId="65" fillId="47" borderId="0" xfId="0" applyFont="1" applyFill="1" applyBorder="1" applyAlignment="1">
      <alignment horizontal="right"/>
    </xf>
    <xf numFmtId="0" fontId="91" fillId="2" borderId="0" xfId="0" applyFont="1" applyFill="1" applyBorder="1"/>
    <xf numFmtId="0" fontId="64" fillId="46" borderId="21" xfId="0" applyFont="1" applyFill="1" applyBorder="1" applyAlignment="1">
      <alignment horizontal="right"/>
    </xf>
    <xf numFmtId="1" fontId="2" fillId="46" borderId="0" xfId="169" applyNumberFormat="1" applyFont="1" applyFill="1" applyBorder="1"/>
    <xf numFmtId="1" fontId="2" fillId="46" borderId="21" xfId="169" applyNumberFormat="1" applyFont="1" applyFill="1" applyBorder="1"/>
    <xf numFmtId="0" fontId="1" fillId="47" borderId="0" xfId="0" applyFont="1" applyFill="1" applyBorder="1" applyAlignment="1">
      <alignment horizontal="right"/>
    </xf>
    <xf numFmtId="193" fontId="1" fillId="2" borderId="21" xfId="0" applyNumberFormat="1" applyFont="1" applyFill="1" applyBorder="1"/>
    <xf numFmtId="2" fontId="64" fillId="46" borderId="0" xfId="0" applyNumberFormat="1" applyFont="1" applyFill="1" applyAlignment="1">
      <alignment horizontal="left"/>
    </xf>
    <xf numFmtId="2" fontId="64" fillId="48" borderId="0" xfId="0" applyNumberFormat="1" applyFont="1" applyFill="1" applyAlignment="1">
      <alignment horizontal="left"/>
    </xf>
    <xf numFmtId="0" fontId="8" fillId="2" borderId="0" xfId="0" applyFont="1" applyFill="1" applyBorder="1" applyAlignment="1">
      <alignment horizontal="right"/>
    </xf>
    <xf numFmtId="10" fontId="2" fillId="47" borderId="0" xfId="2" applyNumberFormat="1" applyFont="1" applyFill="1" applyBorder="1" applyAlignment="1">
      <alignment horizontal="right"/>
    </xf>
    <xf numFmtId="196" fontId="2" fillId="2" borderId="0" xfId="0" applyNumberFormat="1" applyFont="1" applyFill="1" applyBorder="1"/>
    <xf numFmtId="196" fontId="1" fillId="2" borderId="0" xfId="0" applyNumberFormat="1" applyFont="1" applyFill="1" applyBorder="1"/>
    <xf numFmtId="0" fontId="7" fillId="2" borderId="0" xfId="0" applyFont="1" applyFill="1" applyBorder="1"/>
    <xf numFmtId="0" fontId="2" fillId="2" borderId="0" xfId="0" applyNumberFormat="1" applyFont="1" applyFill="1" applyBorder="1" applyAlignment="1">
      <alignment horizontal="right"/>
    </xf>
    <xf numFmtId="2" fontId="64" fillId="2" borderId="0" xfId="0" applyNumberFormat="1" applyFont="1" applyFill="1"/>
    <xf numFmtId="0" fontId="2" fillId="2" borderId="0" xfId="0" applyNumberFormat="1" applyFont="1" applyFill="1" applyBorder="1" applyAlignment="1">
      <alignment horizontal="right" vertical="center"/>
    </xf>
    <xf numFmtId="1" fontId="2" fillId="47" borderId="0" xfId="0" applyNumberFormat="1" applyFont="1" applyFill="1" applyBorder="1" applyAlignment="1">
      <alignment horizontal="right"/>
    </xf>
    <xf numFmtId="10" fontId="2" fillId="47" borderId="0" xfId="2" applyNumberFormat="1" applyFont="1" applyFill="1" applyBorder="1"/>
    <xf numFmtId="197" fontId="2" fillId="47" borderId="0" xfId="2" applyNumberFormat="1" applyFont="1" applyFill="1" applyBorder="1" applyAlignment="1">
      <alignment horizontal="right"/>
    </xf>
    <xf numFmtId="197" fontId="2" fillId="47" borderId="0" xfId="0" applyNumberFormat="1" applyFont="1" applyFill="1" applyBorder="1"/>
    <xf numFmtId="197" fontId="2" fillId="46" borderId="0" xfId="2" applyNumberFormat="1" applyFont="1" applyFill="1" applyBorder="1" applyAlignment="1">
      <alignment horizontal="right" vertical="center"/>
    </xf>
    <xf numFmtId="197" fontId="1" fillId="46" borderId="0" xfId="0" applyNumberFormat="1" applyFont="1" applyFill="1" applyBorder="1"/>
    <xf numFmtId="198" fontId="2" fillId="47" borderId="0" xfId="0" applyNumberFormat="1" applyFont="1" applyFill="1" applyBorder="1"/>
    <xf numFmtId="198" fontId="1" fillId="46" borderId="0" xfId="0" applyNumberFormat="1" applyFont="1" applyFill="1" applyBorder="1"/>
    <xf numFmtId="9" fontId="67" fillId="45" borderId="0" xfId="0" applyNumberFormat="1" applyFont="1" applyFill="1" applyBorder="1"/>
    <xf numFmtId="196" fontId="1" fillId="50" borderId="0" xfId="0" applyNumberFormat="1" applyFont="1" applyFill="1" applyBorder="1"/>
    <xf numFmtId="196" fontId="2" fillId="49" borderId="0" xfId="0" applyNumberFormat="1" applyFont="1" applyFill="1" applyBorder="1" applyAlignment="1">
      <alignment horizontal="right"/>
    </xf>
    <xf numFmtId="9" fontId="64" fillId="46" borderId="0" xfId="2" applyNumberFormat="1" applyFont="1" applyFill="1" applyBorder="1"/>
    <xf numFmtId="9" fontId="64" fillId="46" borderId="0" xfId="0" applyNumberFormat="1" applyFont="1" applyFill="1" applyBorder="1"/>
    <xf numFmtId="198" fontId="2" fillId="46" borderId="0" xfId="0" applyNumberFormat="1" applyFont="1" applyFill="1" applyBorder="1"/>
    <xf numFmtId="195" fontId="2" fillId="47" borderId="0" xfId="2" applyNumberFormat="1" applyFont="1" applyFill="1" applyBorder="1"/>
    <xf numFmtId="195" fontId="2" fillId="46" borderId="0" xfId="2" applyNumberFormat="1" applyFont="1" applyFill="1" applyBorder="1"/>
    <xf numFmtId="193" fontId="40" fillId="46" borderId="0" xfId="169" applyNumberFormat="1" applyFont="1" applyFill="1" applyBorder="1"/>
    <xf numFmtId="193" fontId="8" fillId="45" borderId="0" xfId="169" applyNumberFormat="1" applyFont="1" applyFill="1"/>
    <xf numFmtId="193" fontId="40" fillId="46" borderId="0" xfId="169" applyNumberFormat="1" applyFont="1" applyFill="1" applyBorder="1" applyAlignment="1">
      <alignment horizontal="right"/>
    </xf>
    <xf numFmtId="193" fontId="2" fillId="46" borderId="0" xfId="169" applyNumberFormat="1" applyFont="1" applyFill="1"/>
    <xf numFmtId="193" fontId="40" fillId="46" borderId="17" xfId="169" applyNumberFormat="1" applyFont="1" applyFill="1" applyBorder="1"/>
    <xf numFmtId="193" fontId="40" fillId="46" borderId="0" xfId="169" applyNumberFormat="1" applyFont="1" applyFill="1"/>
    <xf numFmtId="193" fontId="2" fillId="46" borderId="19" xfId="169" applyNumberFormat="1" applyFont="1" applyFill="1" applyBorder="1" applyAlignment="1">
      <alignment horizontal="left" vertical="center"/>
    </xf>
    <xf numFmtId="193" fontId="60" fillId="46" borderId="0" xfId="169" applyNumberFormat="1" applyFont="1" applyFill="1" applyBorder="1" applyAlignment="1">
      <alignment horizontal="right"/>
    </xf>
    <xf numFmtId="0" fontId="81" fillId="49" borderId="0" xfId="167" applyFont="1" applyFill="1" applyAlignment="1">
      <alignment horizontal="center" vertical="top"/>
    </xf>
    <xf numFmtId="0" fontId="86" fillId="49" borderId="0" xfId="167" applyFont="1" applyFill="1" applyAlignment="1">
      <alignment horizontal="center" vertical="top"/>
    </xf>
    <xf numFmtId="189" fontId="84" fillId="50" borderId="0" xfId="167" applyNumberFormat="1" applyFont="1" applyFill="1" applyAlignment="1">
      <alignment horizontal="center" vertical="center"/>
    </xf>
    <xf numFmtId="185" fontId="84" fillId="50" borderId="0" xfId="167" applyNumberFormat="1" applyFont="1" applyFill="1" applyAlignment="1">
      <alignment horizontal="center" vertical="center"/>
    </xf>
    <xf numFmtId="164" fontId="8" fillId="45" borderId="0" xfId="0" applyNumberFormat="1" applyFont="1" applyFill="1" applyBorder="1" applyAlignment="1">
      <alignment horizontal="center"/>
    </xf>
    <xf numFmtId="165" fontId="8" fillId="45" borderId="0" xfId="0" applyNumberFormat="1" applyFont="1" applyFill="1" applyBorder="1" applyAlignment="1">
      <alignment horizontal="center"/>
    </xf>
    <xf numFmtId="164" fontId="40" fillId="47" borderId="0" xfId="0" applyNumberFormat="1" applyFont="1" applyFill="1" applyAlignment="1">
      <alignment horizontal="center" vertical="center"/>
    </xf>
    <xf numFmtId="0" fontId="8" fillId="45" borderId="0" xfId="0" applyFont="1" applyFill="1" applyBorder="1" applyAlignment="1">
      <alignment horizontal="center" vertical="center"/>
    </xf>
    <xf numFmtId="0" fontId="8" fillId="45" borderId="0" xfId="0" applyFont="1" applyFill="1" applyBorder="1" applyAlignment="1">
      <alignment horizontal="center"/>
    </xf>
    <xf numFmtId="164" fontId="8" fillId="2" borderId="0" xfId="0" applyNumberFormat="1" applyFont="1" applyFill="1" applyBorder="1" applyAlignment="1">
      <alignment horizontal="center"/>
    </xf>
    <xf numFmtId="0" fontId="64" fillId="50" borderId="0" xfId="0" applyFont="1" applyFill="1" applyBorder="1" applyAlignment="1">
      <alignment horizontal="center"/>
    </xf>
    <xf numFmtId="164" fontId="67" fillId="45" borderId="0" xfId="0" applyNumberFormat="1" applyFont="1" applyFill="1" applyBorder="1" applyAlignment="1">
      <alignment horizontal="center"/>
    </xf>
    <xf numFmtId="164" fontId="8" fillId="45" borderId="0" xfId="0" applyNumberFormat="1" applyFont="1" applyFill="1" applyAlignment="1">
      <alignment horizontal="center"/>
    </xf>
    <xf numFmtId="164" fontId="8" fillId="45" borderId="25" xfId="0" applyNumberFormat="1" applyFont="1" applyFill="1" applyBorder="1" applyAlignment="1">
      <alignment horizontal="center"/>
    </xf>
    <xf numFmtId="164" fontId="8" fillId="45" borderId="21" xfId="0" applyNumberFormat="1" applyFont="1" applyFill="1" applyBorder="1" applyAlignment="1">
      <alignment horizontal="center"/>
    </xf>
    <xf numFmtId="164" fontId="8" fillId="45" borderId="22" xfId="0" applyNumberFormat="1" applyFont="1" applyFill="1" applyBorder="1" applyAlignment="1">
      <alignment horizontal="center"/>
    </xf>
    <xf numFmtId="2" fontId="67" fillId="45" borderId="0" xfId="0" applyNumberFormat="1" applyFont="1" applyFill="1" applyAlignment="1">
      <alignment horizontal="center"/>
    </xf>
    <xf numFmtId="9" fontId="40" fillId="46" borderId="0" xfId="2" applyFont="1" applyFill="1" applyBorder="1" applyAlignment="1"/>
    <xf numFmtId="193" fontId="40" fillId="46" borderId="0" xfId="169" applyNumberFormat="1" applyFont="1" applyFill="1" applyBorder="1" applyAlignment="1"/>
    <xf numFmtId="195" fontId="64" fillId="46" borderId="0" xfId="169" applyNumberFormat="1" applyFont="1" applyFill="1"/>
    <xf numFmtId="195" fontId="64" fillId="46" borderId="0" xfId="169" applyNumberFormat="1" applyFont="1" applyFill="1" applyBorder="1" applyAlignment="1">
      <alignment horizontal="right"/>
    </xf>
    <xf numFmtId="195" fontId="64" fillId="2" borderId="21" xfId="169" applyNumberFormat="1" applyFont="1" applyFill="1" applyBorder="1" applyAlignment="1">
      <alignment horizontal="right"/>
    </xf>
    <xf numFmtId="195" fontId="1" fillId="46" borderId="0" xfId="169" applyNumberFormat="1" applyFont="1" applyFill="1"/>
    <xf numFmtId="195" fontId="66" fillId="46" borderId="0" xfId="169" applyNumberFormat="1" applyFont="1" applyFill="1" applyBorder="1" applyAlignment="1">
      <alignment horizontal="right"/>
    </xf>
    <xf numFmtId="195" fontId="2" fillId="2" borderId="21" xfId="0" applyNumberFormat="1" applyFont="1" applyFill="1" applyBorder="1"/>
    <xf numFmtId="193" fontId="40" fillId="48" borderId="0" xfId="169" applyNumberFormat="1" applyFont="1" applyFill="1" applyBorder="1" applyAlignment="1"/>
    <xf numFmtId="193" fontId="75" fillId="46" borderId="0" xfId="169" applyNumberFormat="1" applyFont="1" applyFill="1" applyBorder="1" applyAlignment="1">
      <alignment horizontal="right"/>
    </xf>
    <xf numFmtId="193" fontId="75" fillId="48" borderId="0" xfId="169" applyNumberFormat="1" applyFont="1" applyFill="1" applyBorder="1" applyAlignment="1">
      <alignment horizontal="right"/>
    </xf>
    <xf numFmtId="193" fontId="40" fillId="46" borderId="0" xfId="2" applyNumberFormat="1" applyFont="1" applyFill="1" applyBorder="1"/>
    <xf numFmtId="193" fontId="40" fillId="46" borderId="21" xfId="2" applyNumberFormat="1" applyFont="1" applyFill="1" applyBorder="1"/>
    <xf numFmtId="3" fontId="1" fillId="2" borderId="0" xfId="0" applyNumberFormat="1" applyFont="1" applyFill="1" applyAlignment="1">
      <alignment vertical="center"/>
    </xf>
    <xf numFmtId="3" fontId="1" fillId="2" borderId="0" xfId="0" applyNumberFormat="1" applyFont="1" applyFill="1" applyAlignment="1">
      <alignment horizontal="left" vertical="center"/>
    </xf>
  </cellXfs>
  <cellStyles count="170">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1ED760"/>
      <color rgb="FFF8F8F8"/>
      <color rgb="FF90F0B2"/>
      <color rgb="FFD3F9E1"/>
      <color rgb="FF6FEB9B"/>
      <color rgb="FFFFB7B9"/>
      <color rgb="FFFF5A5F"/>
      <color rgb="FFFF4347"/>
      <color rgb="FF9E0004"/>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Adjustments'!$B$4</c:f>
              <c:strCache>
                <c:ptCount val="1"/>
                <c:pt idx="0">
                  <c:v>Revenues</c:v>
                </c:pt>
              </c:strCache>
            </c:strRef>
          </c:tx>
          <c:spPr>
            <a:solidFill>
              <a:srgbClr val="1ED760"/>
            </a:solidFill>
            <a:ln>
              <a:noFill/>
            </a:ln>
            <a:effectLst/>
          </c:spPr>
          <c:invertIfNegative val="0"/>
          <c:cat>
            <c:numRef>
              <c:f>'Accounting Adjustments'!$C$3:$G$3</c:f>
              <c:numCache>
                <c:formatCode>General</c:formatCode>
                <c:ptCount val="5"/>
                <c:pt idx="0">
                  <c:v>2018</c:v>
                </c:pt>
                <c:pt idx="1">
                  <c:v>2019</c:v>
                </c:pt>
                <c:pt idx="2">
                  <c:v>2020</c:v>
                </c:pt>
                <c:pt idx="3">
                  <c:v>2021</c:v>
                </c:pt>
                <c:pt idx="4">
                  <c:v>2022</c:v>
                </c:pt>
              </c:numCache>
            </c:numRef>
          </c:cat>
          <c:val>
            <c:numRef>
              <c:f>'Accounting Adjustments'!$C$4:$G$4</c:f>
              <c:numCache>
                <c:formatCode>_([$€-2]\ * #,##0_);_([$€-2]\ * \(#,##0\);_([$€-2]\ * "-"??_);_(@_)</c:formatCode>
                <c:ptCount val="5"/>
                <c:pt idx="0">
                  <c:v>5259</c:v>
                </c:pt>
                <c:pt idx="1">
                  <c:v>6764</c:v>
                </c:pt>
                <c:pt idx="2">
                  <c:v>7880</c:v>
                </c:pt>
                <c:pt idx="3">
                  <c:v>9668</c:v>
                </c:pt>
                <c:pt idx="4">
                  <c:v>11727</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0"/>
      </c:cat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2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90F0B2"/>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rgbClr val="1ED760"/>
              </a:solidFill>
              <a:ln w="19050">
                <a:solidFill>
                  <a:schemeClr val="lt1"/>
                </a:solidFill>
              </a:ln>
              <a:effectLst/>
            </c:spPr>
            <c:extLst>
              <c:ext xmlns:c16="http://schemas.microsoft.com/office/drawing/2014/chart" uri="{C3380CC4-5D6E-409C-BE32-E72D297353CC}">
                <c16:uniqueId val="{00000005-3CA0-479F-B988-0A55D3BCC3C6}"/>
              </c:ext>
            </c:extLst>
          </c:dPt>
          <c:cat>
            <c:strRef>
              <c:f>'Corporate Governance'!$B$35:$B$37</c:f>
              <c:strCache>
                <c:ptCount val="3"/>
                <c:pt idx="0">
                  <c:v>Institutional</c:v>
                </c:pt>
                <c:pt idx="1">
                  <c:v>Insider</c:v>
                </c:pt>
                <c:pt idx="2">
                  <c:v>Retail</c:v>
                </c:pt>
              </c:strCache>
            </c:strRef>
          </c:cat>
          <c:val>
            <c:numRef>
              <c:f>'Corporate Governance'!$C$35:$C$37</c:f>
              <c:numCache>
                <c:formatCode>0.00%</c:formatCode>
                <c:ptCount val="3"/>
                <c:pt idx="0">
                  <c:v>0.56169999999999998</c:v>
                </c:pt>
                <c:pt idx="1">
                  <c:v>0.27629999999999999</c:v>
                </c:pt>
                <c:pt idx="2">
                  <c:v>0.16200000000000003</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1"/>
        </c:manualLayout>
      </c:layout>
      <c:barChart>
        <c:barDir val="col"/>
        <c:grouping val="stacked"/>
        <c:varyColors val="0"/>
        <c:ser>
          <c:idx val="0"/>
          <c:order val="0"/>
          <c:tx>
            <c:strRef>
              <c:f>'Corporate Governance'!$B$27</c:f>
              <c:strCache>
                <c:ptCount val="1"/>
                <c:pt idx="0">
                  <c:v>Audit</c:v>
                </c:pt>
              </c:strCache>
            </c:strRef>
          </c:tx>
          <c:spPr>
            <a:solidFill>
              <a:srgbClr val="90F0B2"/>
            </a:solidFill>
            <a:ln>
              <a:noFill/>
            </a:ln>
            <a:effectLst/>
          </c:spPr>
          <c:invertIfNegative val="0"/>
          <c:val>
            <c:numRef>
              <c:f>'Corporate Governance'!$C$27</c:f>
              <c:numCache>
                <c:formatCode>_(* #,##0.0_);_(* \(#,##0.0\);_(* "-"?_);@_)</c:formatCode>
                <c:ptCount val="1"/>
                <c:pt idx="0">
                  <c:v>2</c:v>
                </c:pt>
              </c:numCache>
            </c:numRef>
          </c:val>
          <c:extLst>
            <c:ext xmlns:c16="http://schemas.microsoft.com/office/drawing/2014/chart" uri="{C3380CC4-5D6E-409C-BE32-E72D297353CC}">
              <c16:uniqueId val="{00000000-1C27-4A4A-BF09-DEEC91878B14}"/>
            </c:ext>
          </c:extLst>
        </c:ser>
        <c:ser>
          <c:idx val="1"/>
          <c:order val="1"/>
          <c:tx>
            <c:strRef>
              <c:f>'Corporate Governance'!$B$28</c:f>
              <c:strCache>
                <c:ptCount val="1"/>
                <c:pt idx="0">
                  <c:v>Board</c:v>
                </c:pt>
              </c:strCache>
            </c:strRef>
          </c:tx>
          <c:spPr>
            <a:solidFill>
              <a:srgbClr val="1ED760"/>
            </a:solidFill>
            <a:ln>
              <a:noFill/>
            </a:ln>
            <a:effectLst/>
          </c:spPr>
          <c:invertIfNegative val="0"/>
          <c:val>
            <c:numRef>
              <c:f>'Corporate Governance'!$C$28</c:f>
              <c:numCache>
                <c:formatCode>_(* #,##0.0_);_(* \(#,##0.0\);_(* "-"?_);@_)</c:formatCode>
                <c:ptCount val="1"/>
                <c:pt idx="0">
                  <c:v>8</c:v>
                </c:pt>
              </c:numCache>
            </c:numRef>
          </c:val>
          <c:extLst>
            <c:ext xmlns:c16="http://schemas.microsoft.com/office/drawing/2014/chart" uri="{C3380CC4-5D6E-409C-BE32-E72D297353CC}">
              <c16:uniqueId val="{00000001-1C27-4A4A-BF09-DEEC91878B14}"/>
            </c:ext>
          </c:extLst>
        </c:ser>
        <c:ser>
          <c:idx val="2"/>
          <c:order val="2"/>
          <c:tx>
            <c:strRef>
              <c:f>'Corporate Governance'!$B$29</c:f>
              <c:strCache>
                <c:ptCount val="1"/>
                <c:pt idx="0">
                  <c:v>Shareholder Rights</c:v>
                </c:pt>
              </c:strCache>
            </c:strRef>
          </c:tx>
          <c:spPr>
            <a:solidFill>
              <a:schemeClr val="accent3">
                <a:lumMod val="60000"/>
                <a:lumOff val="40000"/>
              </a:schemeClr>
            </a:solidFill>
            <a:ln>
              <a:noFill/>
            </a:ln>
            <a:effectLst/>
          </c:spPr>
          <c:invertIfNegative val="0"/>
          <c:val>
            <c:numRef>
              <c:f>'Corporate Governance'!$C$29</c:f>
              <c:numCache>
                <c:formatCode>_(* #,##0.0_);_(* \(#,##0.0\);_(* "-"?_);@_)</c:formatCode>
                <c:ptCount val="1"/>
                <c:pt idx="0">
                  <c:v>5</c:v>
                </c:pt>
              </c:numCache>
            </c:numRef>
          </c:val>
          <c:extLst>
            <c:ext xmlns:c16="http://schemas.microsoft.com/office/drawing/2014/chart" uri="{C3380CC4-5D6E-409C-BE32-E72D297353CC}">
              <c16:uniqueId val="{00000002-1C27-4A4A-BF09-DEEC91878B14}"/>
            </c:ext>
          </c:extLst>
        </c:ser>
        <c:ser>
          <c:idx val="3"/>
          <c:order val="3"/>
          <c:tx>
            <c:strRef>
              <c:f>'Corporate Governance'!$B$30</c:f>
              <c:strCache>
                <c:ptCount val="1"/>
                <c:pt idx="0">
                  <c:v>Compensation</c:v>
                </c:pt>
              </c:strCache>
            </c:strRef>
          </c:tx>
          <c:spPr>
            <a:solidFill>
              <a:schemeClr val="accent3"/>
            </a:solidFill>
            <a:ln>
              <a:noFill/>
            </a:ln>
            <a:effectLst/>
          </c:spPr>
          <c:invertIfNegative val="0"/>
          <c:val>
            <c:numRef>
              <c:f>'Corporate Governance'!$C$30</c:f>
              <c:numCache>
                <c:formatCode>_(* #,##0.0_);_(* \(#,##0.0\);_(* "-"?_);@_)</c:formatCode>
                <c:ptCount val="1"/>
                <c:pt idx="0">
                  <c:v>5</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dPt>
            <c:idx val="0"/>
            <c:bubble3D val="0"/>
            <c:spPr>
              <a:solidFill>
                <a:srgbClr val="1ED760"/>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90F0B2"/>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rgbClr val="FFB7B9"/>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2"/>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cat>
            <c:strRef>
              <c:f>'Risk Free Rate &amp; ERP'!$B$9:$B$12</c:f>
              <c:strCache>
                <c:ptCount val="4"/>
                <c:pt idx="0">
                  <c:v>Europe</c:v>
                </c:pt>
                <c:pt idx="1">
                  <c:v>North America</c:v>
                </c:pt>
                <c:pt idx="2">
                  <c:v>Latin America</c:v>
                </c:pt>
                <c:pt idx="3">
                  <c:v>Rest of the world</c:v>
                </c:pt>
              </c:strCache>
            </c:strRef>
          </c:cat>
          <c:val>
            <c:numRef>
              <c:f>'Risk Free Rate &amp; ERP'!$C$9:$C$12</c:f>
              <c:numCache>
                <c:formatCode>0.00</c:formatCode>
                <c:ptCount val="4"/>
                <c:pt idx="0">
                  <c:v>80</c:v>
                </c:pt>
                <c:pt idx="1">
                  <c:v>57</c:v>
                </c:pt>
                <c:pt idx="2">
                  <c:v>43</c:v>
                </c:pt>
                <c:pt idx="3">
                  <c:v>25</c:v>
                </c:pt>
              </c:numCache>
            </c:numRef>
          </c:val>
          <c:extLs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Adjustments'!$B$32</c:f>
              <c:strCache>
                <c:ptCount val="1"/>
                <c:pt idx="0">
                  <c:v>EBIT Margin %</c:v>
                </c:pt>
              </c:strCache>
            </c:strRef>
          </c:tx>
          <c:spPr>
            <a:solidFill>
              <a:srgbClr val="D3F9E1"/>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Adjustments'!$D$32:$G$32</c:f>
              <c:numCache>
                <c:formatCode>0.00%</c:formatCode>
                <c:ptCount val="4"/>
                <c:pt idx="0">
                  <c:v>3.7699586043761085E-2</c:v>
                </c:pt>
                <c:pt idx="1">
                  <c:v>3.7563451776649749E-2</c:v>
                </c:pt>
                <c:pt idx="2">
                  <c:v>6.9059440077230722E-2</c:v>
                </c:pt>
                <c:pt idx="3">
                  <c:v>5.8262982860066516E-2</c:v>
                </c:pt>
              </c:numCache>
            </c:numRef>
          </c:val>
          <c:extLst>
            <c:ext xmlns:c16="http://schemas.microsoft.com/office/drawing/2014/chart" uri="{C3380CC4-5D6E-409C-BE32-E72D297353CC}">
              <c16:uniqueId val="{00000000-939C-4706-ACAE-7DD4377B791F}"/>
            </c:ext>
          </c:extLst>
        </c:ser>
        <c:ser>
          <c:idx val="1"/>
          <c:order val="1"/>
          <c:tx>
            <c:strRef>
              <c:f>'Accounting Adjustments'!$B$33</c:f>
              <c:strCache>
                <c:ptCount val="1"/>
                <c:pt idx="0">
                  <c:v>Return on Capital %</c:v>
                </c:pt>
              </c:strCache>
            </c:strRef>
          </c:tx>
          <c:spPr>
            <a:solidFill>
              <a:srgbClr val="1ED760"/>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Adjustments'!$D$33:$G$33</c:f>
              <c:numCache>
                <c:formatCode>0.00%</c:formatCode>
                <c:ptCount val="4"/>
                <c:pt idx="0">
                  <c:v>0.2100231617540107</c:v>
                </c:pt>
                <c:pt idx="1">
                  <c:v>0.13301714096033976</c:v>
                </c:pt>
                <c:pt idx="2">
                  <c:v>1.1258165260286599</c:v>
                </c:pt>
                <c:pt idx="3">
                  <c:v>0.6458703588284852</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catAx>
        <c:axId val="86140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861410144"/>
        <c:crosses val="autoZero"/>
        <c:auto val="1"/>
        <c:lblAlgn val="ctr"/>
        <c:lblOffset val="100"/>
        <c:noMultiLvlLbl val="0"/>
      </c:catAx>
      <c:valAx>
        <c:axId val="8614101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9950-4432-8E9B-B7010FA16E5E}"/>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9950-4432-8E9B-B7010FA16E5E}"/>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67EB-4A59-BB24-17E1BD1C6B52}"/>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67EB-4A59-BB24-17E1BD1C6B52}"/>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[$€-2]\ #,##0.00_);\([$€-2]\ #,##0.00\)</c:formatCode>
                <c:ptCount val="11"/>
                <c:pt idx="0">
                  <c:v>29130.6</c:v>
                </c:pt>
                <c:pt idx="1">
                  <c:v>33238.014600000002</c:v>
                </c:pt>
                <c:pt idx="2">
                  <c:v>37924.574658600002</c:v>
                </c:pt>
                <c:pt idx="3">
                  <c:v>43271.939685462603</c:v>
                </c:pt>
                <c:pt idx="4">
                  <c:v>49373.283181112827</c:v>
                </c:pt>
                <c:pt idx="5">
                  <c:v>56334.916109649734</c:v>
                </c:pt>
                <c:pt idx="6">
                  <c:v>60841.709398421714</c:v>
                </c:pt>
                <c:pt idx="7">
                  <c:v>65709.046150295457</c:v>
                </c:pt>
                <c:pt idx="8">
                  <c:v>70965.769842319103</c:v>
                </c:pt>
                <c:pt idx="9">
                  <c:v>76643.031429704643</c:v>
                </c:pt>
                <c:pt idx="10">
                  <c:v>82774.473944081023</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Yrs)'!$D$4:$D$14</c:f>
              <c:numCache>
                <c:formatCode>[$€-2]\ #,##0.00_);\([$€-2]\ #,##0.00\)</c:formatCode>
                <c:ptCount val="11"/>
                <c:pt idx="0">
                  <c:v>11727</c:v>
                </c:pt>
                <c:pt idx="1">
                  <c:v>13570.857502307359</c:v>
                </c:pt>
                <c:pt idx="2">
                  <c:v>15694.239256748064</c:v>
                </c:pt>
                <c:pt idx="3">
                  <c:v>17806.763967614701</c:v>
                </c:pt>
                <c:pt idx="4">
                  <c:v>20201.612423713988</c:v>
                </c:pt>
                <c:pt idx="5">
                  <c:v>23216.431337557249</c:v>
                </c:pt>
                <c:pt idx="6">
                  <c:v>25901.739022767888</c:v>
                </c:pt>
                <c:pt idx="7">
                  <c:v>28881.342647718622</c:v>
                </c:pt>
                <c:pt idx="8">
                  <c:v>31789.549843157685</c:v>
                </c:pt>
                <c:pt idx="9">
                  <c:v>35186.196290841399</c:v>
                </c:pt>
                <c:pt idx="10">
                  <c:v>39426.854125147765</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4"/>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xVal>
            <c:numRef>
              <c:f>'Optimal Cost of Capital'!$B$35:$B$44</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'Optimal Cost of Capital'!$O$35:$O$44</c:f>
              <c:numCache>
                <c:formatCode>0.00%</c:formatCode>
                <c:ptCount val="10"/>
                <c:pt idx="0">
                  <c:v>0.10627667383661087</c:v>
                </c:pt>
                <c:pt idx="1">
                  <c:v>0.1061562777781367</c:v>
                </c:pt>
                <c:pt idx="2">
                  <c:v>0.106260482959703</c:v>
                </c:pt>
                <c:pt idx="3">
                  <c:v>0.10615880367123225</c:v>
                </c:pt>
                <c:pt idx="4">
                  <c:v>0.10605712438276142</c:v>
                </c:pt>
                <c:pt idx="5">
                  <c:v>0.11241273074545405</c:v>
                </c:pt>
                <c:pt idx="6">
                  <c:v>0.11693409364781618</c:v>
                </c:pt>
                <c:pt idx="7">
                  <c:v>0.11752493484947016</c:v>
                </c:pt>
                <c:pt idx="8">
                  <c:v>0.11833838641282775</c:v>
                </c:pt>
                <c:pt idx="9">
                  <c:v>0.11928180478251249</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xVal>
            <c:numRef>
              <c:f>'Adjusted Present Value'!$B$33:$B$42</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'Adjusted Present Value'!$J$33:$J$42</c:f>
              <c:numCache>
                <c:formatCode>_([$€-2]\ * #,##0.00_);_([$€-2]\ * \(#,##0.00\);_([$€-2]\ * "-"??_);_(@_)</c:formatCode>
                <c:ptCount val="10"/>
                <c:pt idx="0">
                  <c:v>23132.202467543819</c:v>
                </c:pt>
                <c:pt idx="1">
                  <c:v>23190.242173957373</c:v>
                </c:pt>
                <c:pt idx="2">
                  <c:v>22962.342008086198</c:v>
                </c:pt>
                <c:pt idx="3">
                  <c:v>23020.381714499752</c:v>
                </c:pt>
                <c:pt idx="4">
                  <c:v>23078.421420913306</c:v>
                </c:pt>
                <c:pt idx="5">
                  <c:v>21011.201679750317</c:v>
                </c:pt>
                <c:pt idx="6">
                  <c:v>19650.88884506901</c:v>
                </c:pt>
                <c:pt idx="7">
                  <c:v>19708.928551482561</c:v>
                </c:pt>
                <c:pt idx="8">
                  <c:v>19730.323116890377</c:v>
                </c:pt>
                <c:pt idx="9">
                  <c:v>19730.323116890377</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2]\ * #,##0.00_);_([$€-2]\ * \(#,##0.00\);_([$€-2]\ *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rgbClr val="1ED760"/>
              </a:solidFill>
              <a:ln>
                <a:noFill/>
              </a:ln>
            </cx:spPr>
          </cx:dataPt>
          <cx:dataPt idx="1">
            <cx:spPr>
              <a:solidFill>
                <a:schemeClr val="accent3">
                  <a:lumMod val="60000"/>
                  <a:lumOff val="40000"/>
                </a:schemeClr>
              </a:solidFill>
              <a:ln>
                <a:noFill/>
              </a:ln>
            </cx:spPr>
          </cx:dataPt>
          <cx:dataPt idx="2">
            <cx:spPr>
              <a:solidFill>
                <a:schemeClr val="accent3">
                  <a:lumMod val="60000"/>
                  <a:lumOff val="40000"/>
                </a:schemeClr>
              </a:solidFill>
              <a:ln>
                <a:noFill/>
              </a:ln>
            </cx:spPr>
          </cx:dataPt>
          <cx:dataPt idx="3">
            <cx:spPr>
              <a:solidFill>
                <a:schemeClr val="accent3">
                  <a:lumMod val="60000"/>
                  <a:lumOff val="40000"/>
                </a:schemeClr>
              </a:solidFill>
              <a:ln>
                <a:noFill/>
              </a:ln>
            </cx:spPr>
          </cx:dataPt>
          <cx:dataPt idx="4">
            <cx:spPr>
              <a:solidFill>
                <a:schemeClr val="accent3">
                  <a:lumMod val="60000"/>
                  <a:lumOff val="40000"/>
                </a:schemeClr>
              </a:solidFill>
              <a:ln>
                <a:noFill/>
              </a:ln>
            </cx:spPr>
          </cx:dataPt>
          <cx:dataPt idx="5">
            <cx:spPr>
              <a:solidFill>
                <a:srgbClr val="1ED760"/>
              </a:solidFill>
              <a:ln>
                <a:noFill/>
              </a:ln>
            </cx:spPr>
          </cx:dataPt>
          <cx:dataPt idx="6">
            <cx:spPr>
              <a:solidFill>
                <a:schemeClr val="accent3">
                  <a:lumMod val="60000"/>
                  <a:lumOff val="40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endParaRPr lang="en-US" sz="800"/>
              </a:p>
            </cx:txPr>
            <cx:visibility seriesName="0" categoryName="0" value="1"/>
            <cx:dataLabel idx="0"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a:t> € 11,727 </a:t>
                  </a:r>
                </a:p>
              </cx:txPr>
              <cx:visibility seriesName="0" categoryName="0" value="1"/>
            </cx:dataLabel>
            <cx:dataLabel idx="1"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sz="800"/>
                    <a:t> € (8,801)</a:t>
                  </a:r>
                </a:p>
              </cx:txPr>
              <cx:visibility seriesName="0" categoryName="0" value="1"/>
            </cx:dataLabel>
          </cx:dataLabels>
          <cx:dataId val="0"/>
          <cx:layoutPr>
            <cx:visibility connectorLines="0"/>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jpg"/><Relationship Id="rId3" Type="http://schemas.openxmlformats.org/officeDocument/2006/relationships/chart" Target="../charts/chart2.xml"/><Relationship Id="rId7" Type="http://schemas.openxmlformats.org/officeDocument/2006/relationships/image" Target="../media/image1.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590550</xdr:colOff>
      <xdr:row>8</xdr:row>
      <xdr:rowOff>95250</xdr:rowOff>
    </xdr:from>
    <xdr:to>
      <xdr:col>23</xdr:col>
      <xdr:colOff>9526</xdr:colOff>
      <xdr:row>10</xdr:row>
      <xdr:rowOff>38100</xdr:rowOff>
    </xdr:to>
    <xdr:sp macro="" textlink="">
      <xdr:nvSpPr>
        <xdr:cNvPr id="7" name="TextBox 6"/>
        <xdr:cNvSpPr txBox="1"/>
      </xdr:nvSpPr>
      <xdr:spPr>
        <a:xfrm>
          <a:off x="8963025" y="1162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rgbClr val="90F0B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chemeClr val="accent3">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466725</xdr:colOff>
      <xdr:row>8</xdr:row>
      <xdr:rowOff>142876</xdr:rowOff>
    </xdr:from>
    <xdr:to>
      <xdr:col>17</xdr:col>
      <xdr:colOff>400050</xdr:colOff>
      <xdr:row>10</xdr:row>
      <xdr:rowOff>0</xdr:rowOff>
    </xdr:to>
    <xdr:sp macro="" textlink="">
      <xdr:nvSpPr>
        <xdr:cNvPr id="17" name="TextBox 16"/>
        <xdr:cNvSpPr txBox="1"/>
      </xdr:nvSpPr>
      <xdr:spPr>
        <a:xfrm>
          <a:off x="7391400" y="1209676"/>
          <a:ext cx="542925" cy="180974"/>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16%</a:t>
          </a:r>
        </a:p>
      </xdr:txBody>
    </xdr:sp>
    <xdr:clientData/>
  </xdr:twoCellAnchor>
  <xdr:twoCellAnchor>
    <xdr:from>
      <xdr:col>17</xdr:col>
      <xdr:colOff>428626</xdr:colOff>
      <xdr:row>11</xdr:row>
      <xdr:rowOff>142875</xdr:rowOff>
    </xdr:from>
    <xdr:to>
      <xdr:col>20</xdr:col>
      <xdr:colOff>47625</xdr:colOff>
      <xdr:row>12</xdr:row>
      <xdr:rowOff>152400</xdr:rowOff>
    </xdr:to>
    <xdr:sp macro="" textlink="">
      <xdr:nvSpPr>
        <xdr:cNvPr id="19" name="TextBox 18"/>
        <xdr:cNvSpPr txBox="1"/>
      </xdr:nvSpPr>
      <xdr:spPr>
        <a:xfrm>
          <a:off x="7962901" y="1695450"/>
          <a:ext cx="457199" cy="200025"/>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56%</a:t>
          </a:r>
        </a:p>
      </xdr:txBody>
    </xdr:sp>
    <xdr:clientData/>
  </xdr:twoCellAnchor>
  <xdr:twoCellAnchor>
    <xdr:from>
      <xdr:col>16</xdr:col>
      <xdr:colOff>285751</xdr:colOff>
      <xdr:row>11</xdr:row>
      <xdr:rowOff>161925</xdr:rowOff>
    </xdr:from>
    <xdr:to>
      <xdr:col>17</xdr:col>
      <xdr:colOff>219075</xdr:colOff>
      <xdr:row>13</xdr:row>
      <xdr:rowOff>19050</xdr:rowOff>
    </xdr:to>
    <xdr:sp macro="" textlink="">
      <xdr:nvSpPr>
        <xdr:cNvPr id="20" name="TextBox 19"/>
        <xdr:cNvSpPr txBox="1"/>
      </xdr:nvSpPr>
      <xdr:spPr>
        <a:xfrm>
          <a:off x="7210426" y="1714500"/>
          <a:ext cx="542924" cy="209550"/>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28%</a:t>
          </a:r>
        </a:p>
      </xdr:txBody>
    </xdr:sp>
    <xdr:clientData/>
  </xdr:twoCellAnchor>
  <xdr:twoCellAnchor>
    <xdr:from>
      <xdr:col>2</xdr:col>
      <xdr:colOff>85726</xdr:colOff>
      <xdr:row>7</xdr:row>
      <xdr:rowOff>95250</xdr:rowOff>
    </xdr:from>
    <xdr:to>
      <xdr:col>5</xdr:col>
      <xdr:colOff>304800</xdr:colOff>
      <xdr:row>11</xdr:row>
      <xdr:rowOff>95251</xdr:rowOff>
    </xdr:to>
    <xdr:cxnSp macro="">
      <xdr:nvCxnSpPr>
        <xdr:cNvPr id="21" name="Straight Arrow Connector 20"/>
        <xdr:cNvCxnSpPr/>
      </xdr:nvCxnSpPr>
      <xdr:spPr>
        <a:xfrm flipV="1">
          <a:off x="828676" y="971550"/>
          <a:ext cx="1666874" cy="676276"/>
        </a:xfrm>
        <a:prstGeom prst="straightConnector1">
          <a:avLst/>
        </a:prstGeom>
        <a:ln>
          <a:solidFill>
            <a:srgbClr val="1ED76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402007</xdr:colOff>
      <xdr:row>8</xdr:row>
      <xdr:rowOff>139307</xdr:rowOff>
    </xdr:from>
    <xdr:to>
      <xdr:col>4</xdr:col>
      <xdr:colOff>551904</xdr:colOff>
      <xdr:row>10</xdr:row>
      <xdr:rowOff>48236</xdr:rowOff>
    </xdr:to>
    <xdr:sp macro="" textlink="">
      <xdr:nvSpPr>
        <xdr:cNvPr id="22" name="TextBox 21"/>
        <xdr:cNvSpPr txBox="1"/>
      </xdr:nvSpPr>
      <xdr:spPr>
        <a:xfrm rot="20289846">
          <a:off x="1144957" y="1206107"/>
          <a:ext cx="988097" cy="232779"/>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24.87%</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25</xdr:col>
      <xdr:colOff>457200</xdr:colOff>
      <xdr:row>8</xdr:row>
      <xdr:rowOff>152401</xdr:rowOff>
    </xdr:from>
    <xdr:to>
      <xdr:col>25</xdr:col>
      <xdr:colOff>800100</xdr:colOff>
      <xdr:row>10</xdr:row>
      <xdr:rowOff>9525</xdr:rowOff>
    </xdr:to>
    <xdr:sp macro="" textlink="">
      <xdr:nvSpPr>
        <xdr:cNvPr id="33" name="TextBox 32"/>
        <xdr:cNvSpPr txBox="1"/>
      </xdr:nvSpPr>
      <xdr:spPr>
        <a:xfrm>
          <a:off x="10458450" y="1219201"/>
          <a:ext cx="342900" cy="18097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5.0</a:t>
          </a:r>
        </a:p>
      </xdr:txBody>
    </xdr:sp>
    <xdr:clientData/>
  </xdr:twoCellAnchor>
  <xdr:twoCellAnchor>
    <xdr:from>
      <xdr:col>25</xdr:col>
      <xdr:colOff>419101</xdr:colOff>
      <xdr:row>10</xdr:row>
      <xdr:rowOff>104775</xdr:rowOff>
    </xdr:from>
    <xdr:to>
      <xdr:col>25</xdr:col>
      <xdr:colOff>819150</xdr:colOff>
      <xdr:row>11</xdr:row>
      <xdr:rowOff>123825</xdr:rowOff>
    </xdr:to>
    <xdr:sp macro="" textlink="">
      <xdr:nvSpPr>
        <xdr:cNvPr id="34" name="TextBox 33"/>
        <xdr:cNvSpPr txBox="1"/>
      </xdr:nvSpPr>
      <xdr:spPr>
        <a:xfrm>
          <a:off x="10420351" y="1495425"/>
          <a:ext cx="400049" cy="180975"/>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solidFill>
                <a:schemeClr val="tx1"/>
              </a:solidFill>
              <a:latin typeface="Montserrat Medium" panose="00000600000000000000" pitchFamily="2" charset="0"/>
              <a:cs typeface="Catamaran" pitchFamily="2" charset="0"/>
            </a:rPr>
            <a:t>5.0</a:t>
          </a:r>
        </a:p>
      </xdr:txBody>
    </xdr:sp>
    <xdr:clientData/>
  </xdr:twoCellAnchor>
  <xdr:twoCellAnchor>
    <xdr:from>
      <xdr:col>25</xdr:col>
      <xdr:colOff>457201</xdr:colOff>
      <xdr:row>12</xdr:row>
      <xdr:rowOff>95249</xdr:rowOff>
    </xdr:from>
    <xdr:to>
      <xdr:col>25</xdr:col>
      <xdr:colOff>800100</xdr:colOff>
      <xdr:row>13</xdr:row>
      <xdr:rowOff>133349</xdr:rowOff>
    </xdr:to>
    <xdr:sp macro="" textlink="">
      <xdr:nvSpPr>
        <xdr:cNvPr id="35" name="TextBox 34"/>
        <xdr:cNvSpPr txBox="1"/>
      </xdr:nvSpPr>
      <xdr:spPr>
        <a:xfrm>
          <a:off x="10458451" y="1838324"/>
          <a:ext cx="342899" cy="200025"/>
        </a:xfrm>
        <a:prstGeom prst="rect">
          <a:avLst/>
        </a:prstGeom>
        <a:solidFill>
          <a:srgbClr val="1ED7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8.0</a:t>
          </a:r>
        </a:p>
      </xdr:txBody>
    </xdr:sp>
    <xdr:clientData/>
  </xdr:twoCellAnchor>
  <xdr:twoCellAnchor>
    <xdr:from>
      <xdr:col>25</xdr:col>
      <xdr:colOff>457201</xdr:colOff>
      <xdr:row>14</xdr:row>
      <xdr:rowOff>95249</xdr:rowOff>
    </xdr:from>
    <xdr:to>
      <xdr:col>25</xdr:col>
      <xdr:colOff>800100</xdr:colOff>
      <xdr:row>15</xdr:row>
      <xdr:rowOff>104774</xdr:rowOff>
    </xdr:to>
    <xdr:sp macro="" textlink="">
      <xdr:nvSpPr>
        <xdr:cNvPr id="37" name="TextBox 36"/>
        <xdr:cNvSpPr txBox="1"/>
      </xdr:nvSpPr>
      <xdr:spPr>
        <a:xfrm>
          <a:off x="10458451" y="2162174"/>
          <a:ext cx="342899" cy="200025"/>
        </a:xfrm>
        <a:prstGeom prst="rect">
          <a:avLst/>
        </a:prstGeom>
        <a:solidFill>
          <a:srgbClr val="90F0B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2.0</a:t>
          </a:r>
        </a:p>
      </xdr:txBody>
    </xdr:sp>
    <xdr:clientData/>
  </xdr:twoCellAnchor>
  <xdr:twoCellAnchor>
    <xdr:from>
      <xdr:col>0</xdr:col>
      <xdr:colOff>76200</xdr:colOff>
      <xdr:row>19</xdr:row>
      <xdr:rowOff>66675</xdr:rowOff>
    </xdr:from>
    <xdr:to>
      <xdr:col>4</xdr:col>
      <xdr:colOff>400050</xdr:colOff>
      <xdr:row>30</xdr:row>
      <xdr:rowOff>38099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180975</xdr:colOff>
      <xdr:row>19</xdr:row>
      <xdr:rowOff>28575</xdr:rowOff>
    </xdr:from>
    <xdr:to>
      <xdr:col>6</xdr:col>
      <xdr:colOff>38100</xdr:colOff>
      <xdr:row>20</xdr:row>
      <xdr:rowOff>133350</xdr:rowOff>
    </xdr:to>
    <xdr:sp macro="" textlink="">
      <xdr:nvSpPr>
        <xdr:cNvPr id="39" name="TextBox 38"/>
        <xdr:cNvSpPr txBox="1"/>
      </xdr:nvSpPr>
      <xdr:spPr>
        <a:xfrm>
          <a:off x="1533525" y="2819400"/>
          <a:ext cx="13049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North America - </a:t>
          </a:r>
          <a:r>
            <a:rPr lang="en-US" sz="800">
              <a:latin typeface="Montserrat SemiBold" panose="00000700000000000000" pitchFamily="2" charset="0"/>
              <a:cs typeface="Catamaran" pitchFamily="2" charset="0"/>
            </a:rPr>
            <a:t>50.13%</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20</xdr:row>
      <xdr:rowOff>47625</xdr:rowOff>
    </xdr:from>
    <xdr:to>
      <xdr:col>5</xdr:col>
      <xdr:colOff>295275</xdr:colOff>
      <xdr:row>21</xdr:row>
      <xdr:rowOff>114300</xdr:rowOff>
    </xdr:to>
    <xdr:sp macro="" textlink="">
      <xdr:nvSpPr>
        <xdr:cNvPr id="40" name="TextBox 39"/>
        <xdr:cNvSpPr txBox="1"/>
      </xdr:nvSpPr>
      <xdr:spPr>
        <a:xfrm>
          <a:off x="1533525" y="3000375"/>
          <a:ext cx="95250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EMEA -</a:t>
          </a:r>
          <a:r>
            <a:rPr lang="en-US" sz="900" baseline="0">
              <a:latin typeface="Catamaran" pitchFamily="2" charset="0"/>
              <a:cs typeface="Catamaran" pitchFamily="2" charset="0"/>
            </a:rPr>
            <a:t> </a:t>
          </a:r>
          <a:r>
            <a:rPr lang="en-US" sz="800" baseline="0">
              <a:latin typeface="Montserrat SemiBold" panose="00000700000000000000" pitchFamily="2" charset="0"/>
              <a:cs typeface="Catamaran" pitchFamily="2" charset="0"/>
            </a:rPr>
            <a:t>34.81%</a:t>
          </a:r>
          <a:endParaRPr lang="en-US" sz="800">
            <a:latin typeface="Montserrat SemiBold" panose="00000700000000000000" pitchFamily="2" charset="0"/>
            <a:cs typeface="Catamaran" pitchFamily="2" charset="0"/>
          </a:endParaRPr>
        </a:p>
      </xdr:txBody>
    </xdr:sp>
    <xdr:clientData/>
  </xdr:twoCellAnchor>
  <xdr:twoCellAnchor>
    <xdr:from>
      <xdr:col>3</xdr:col>
      <xdr:colOff>180974</xdr:colOff>
      <xdr:row>20</xdr:row>
      <xdr:rowOff>228600</xdr:rowOff>
    </xdr:from>
    <xdr:to>
      <xdr:col>5</xdr:col>
      <xdr:colOff>581025</xdr:colOff>
      <xdr:row>22</xdr:row>
      <xdr:rowOff>95250</xdr:rowOff>
    </xdr:to>
    <xdr:sp macro="" textlink="">
      <xdr:nvSpPr>
        <xdr:cNvPr id="41" name="TextBox 40"/>
        <xdr:cNvSpPr txBox="1"/>
      </xdr:nvSpPr>
      <xdr:spPr>
        <a:xfrm>
          <a:off x="1533524" y="3181350"/>
          <a:ext cx="123825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Latin America - </a:t>
          </a:r>
          <a:r>
            <a:rPr lang="en-US" sz="800">
              <a:latin typeface="Montserrat SemiBold" panose="00000700000000000000" pitchFamily="2" charset="0"/>
              <a:cs typeface="Catamaran" pitchFamily="2" charset="0"/>
            </a:rPr>
            <a:t>7.66%</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22</xdr:row>
      <xdr:rowOff>9524</xdr:rowOff>
    </xdr:from>
    <xdr:to>
      <xdr:col>5</xdr:col>
      <xdr:colOff>504825</xdr:colOff>
      <xdr:row>23</xdr:row>
      <xdr:rowOff>66675</xdr:rowOff>
    </xdr:to>
    <xdr:sp macro="" textlink="">
      <xdr:nvSpPr>
        <xdr:cNvPr id="42" name="TextBox 41"/>
        <xdr:cNvSpPr txBox="1"/>
      </xdr:nvSpPr>
      <xdr:spPr>
        <a:xfrm>
          <a:off x="1533525" y="3362324"/>
          <a:ext cx="1162050" cy="219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Asia</a:t>
          </a:r>
          <a:r>
            <a:rPr lang="en-US" sz="900" baseline="0">
              <a:latin typeface="Catamaran" pitchFamily="2" charset="0"/>
              <a:cs typeface="Catamaran" pitchFamily="2" charset="0"/>
            </a:rPr>
            <a:t> Pacific</a:t>
          </a:r>
          <a:r>
            <a:rPr lang="en-US" sz="900">
              <a:latin typeface="Catamaran" pitchFamily="2" charset="0"/>
              <a:cs typeface="Catamaran" pitchFamily="2" charset="0"/>
            </a:rPr>
            <a:t> - </a:t>
          </a:r>
          <a:r>
            <a:rPr lang="en-US" sz="800">
              <a:latin typeface="Montserrat SemiBold" panose="00000700000000000000" pitchFamily="2" charset="0"/>
              <a:cs typeface="Catamaran" pitchFamily="2" charset="0"/>
            </a:rPr>
            <a:t>7.41%</a:t>
          </a:r>
        </a:p>
      </xdr:txBody>
    </xdr:sp>
    <xdr:clientData/>
  </xdr:twoCellAnchor>
  <xdr:twoCellAnchor>
    <xdr:from>
      <xdr:col>7</xdr:col>
      <xdr:colOff>19050</xdr:colOff>
      <xdr:row>19</xdr:row>
      <xdr:rowOff>9525</xdr:rowOff>
    </xdr:from>
    <xdr:to>
      <xdr:col>14</xdr:col>
      <xdr:colOff>685799</xdr:colOff>
      <xdr:row>30</xdr:row>
      <xdr:rowOff>28575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76200</xdr:colOff>
      <xdr:row>19</xdr:row>
      <xdr:rowOff>76200</xdr:rowOff>
    </xdr:from>
    <xdr:to>
      <xdr:col>11</xdr:col>
      <xdr:colOff>247651</xdr:colOff>
      <xdr:row>21</xdr:row>
      <xdr:rowOff>19050</xdr:rowOff>
    </xdr:to>
    <xdr:sp macro="" textlink="">
      <xdr:nvSpPr>
        <xdr:cNvPr id="50" name="TextBox 49"/>
        <xdr:cNvSpPr txBox="1"/>
      </xdr:nvSpPr>
      <xdr:spPr>
        <a:xfrm>
          <a:off x="4191000" y="2867025"/>
          <a:ext cx="876301"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9</xdr:col>
      <xdr:colOff>85725</xdr:colOff>
      <xdr:row>20</xdr:row>
      <xdr:rowOff>180975</xdr:rowOff>
    </xdr:from>
    <xdr:to>
      <xdr:col>11</xdr:col>
      <xdr:colOff>323850</xdr:colOff>
      <xdr:row>22</xdr:row>
      <xdr:rowOff>47625</xdr:rowOff>
    </xdr:to>
    <xdr:sp macro="" textlink="">
      <xdr:nvSpPr>
        <xdr:cNvPr id="51" name="TextBox 50"/>
        <xdr:cNvSpPr txBox="1"/>
      </xdr:nvSpPr>
      <xdr:spPr>
        <a:xfrm>
          <a:off x="4200525" y="3133725"/>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8</xdr:col>
      <xdr:colOff>504824</xdr:colOff>
      <xdr:row>19</xdr:row>
      <xdr:rowOff>152400</xdr:rowOff>
    </xdr:from>
    <xdr:to>
      <xdr:col>9</xdr:col>
      <xdr:colOff>57150</xdr:colOff>
      <xdr:row>20</xdr:row>
      <xdr:rowOff>152400</xdr:rowOff>
    </xdr:to>
    <xdr:sp macro="" textlink="">
      <xdr:nvSpPr>
        <xdr:cNvPr id="52" name="Rounded Rectangle 51"/>
        <xdr:cNvSpPr/>
      </xdr:nvSpPr>
      <xdr:spPr>
        <a:xfrm>
          <a:off x="4010024" y="2943225"/>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504824</xdr:colOff>
      <xdr:row>21</xdr:row>
      <xdr:rowOff>19050</xdr:rowOff>
    </xdr:from>
    <xdr:to>
      <xdr:col>9</xdr:col>
      <xdr:colOff>57150</xdr:colOff>
      <xdr:row>22</xdr:row>
      <xdr:rowOff>19050</xdr:rowOff>
    </xdr:to>
    <xdr:sp macro="" textlink="">
      <xdr:nvSpPr>
        <xdr:cNvPr id="53" name="Rounded Rectangle 52"/>
        <xdr:cNvSpPr/>
      </xdr:nvSpPr>
      <xdr:spPr>
        <a:xfrm>
          <a:off x="4010024" y="3209925"/>
          <a:ext cx="161926" cy="161925"/>
        </a:xfrm>
        <a:prstGeom prst="roundRect">
          <a:avLst/>
        </a:prstGeom>
        <a:solidFill>
          <a:srgbClr val="D3F9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228602</xdr:colOff>
      <xdr:row>7</xdr:row>
      <xdr:rowOff>85727</xdr:rowOff>
    </xdr:from>
    <xdr:to>
      <xdr:col>14</xdr:col>
      <xdr:colOff>676275</xdr:colOff>
      <xdr:row>8</xdr:row>
      <xdr:rowOff>123825</xdr:rowOff>
    </xdr:to>
    <xdr:sp macro="" textlink="">
      <xdr:nvSpPr>
        <xdr:cNvPr id="54" name="TextBox 53"/>
        <xdr:cNvSpPr txBox="1"/>
      </xdr:nvSpPr>
      <xdr:spPr>
        <a:xfrm>
          <a:off x="5048252" y="962027"/>
          <a:ext cx="1762123" cy="228598"/>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6.88%</a:t>
          </a:r>
          <a:endParaRPr lang="en-US" sz="900">
            <a:latin typeface="Montserrat Medium" panose="00000600000000000000" pitchFamily="2" charset="0"/>
          </a:endParaRPr>
        </a:p>
      </xdr:txBody>
    </xdr:sp>
    <xdr:clientData/>
  </xdr:twoCellAnchor>
  <xdr:twoCellAnchor editAs="oneCell">
    <xdr:from>
      <xdr:col>1</xdr:col>
      <xdr:colOff>99785</xdr:colOff>
      <xdr:row>1</xdr:row>
      <xdr:rowOff>92472</xdr:rowOff>
    </xdr:from>
    <xdr:to>
      <xdr:col>3</xdr:col>
      <xdr:colOff>43089</xdr:colOff>
      <xdr:row>3</xdr:row>
      <xdr:rowOff>59928</xdr:rowOff>
    </xdr:to>
    <xdr:pic>
      <xdr:nvPicPr>
        <xdr:cNvPr id="2" name="Picture 1"/>
        <xdr:cNvPicPr>
          <a:picLocks noChangeAspect="1"/>
        </xdr:cNvPicPr>
      </xdr:nvPicPr>
      <xdr:blipFill>
        <a:blip xmlns:r="http://schemas.openxmlformats.org/officeDocument/2006/relationships" r:embed="rId7"/>
        <a:stretch>
          <a:fillRect/>
        </a:stretch>
      </xdr:blipFill>
      <xdr:spPr>
        <a:xfrm>
          <a:off x="233135" y="159147"/>
          <a:ext cx="1162504" cy="348456"/>
        </a:xfrm>
        <a:prstGeom prst="rect">
          <a:avLst/>
        </a:prstGeom>
      </xdr:spPr>
    </xdr:pic>
    <xdr:clientData/>
  </xdr:twoCellAnchor>
  <xdr:twoCellAnchor editAs="oneCell">
    <xdr:from>
      <xdr:col>22</xdr:col>
      <xdr:colOff>19050</xdr:colOff>
      <xdr:row>19</xdr:row>
      <xdr:rowOff>19051</xdr:rowOff>
    </xdr:from>
    <xdr:to>
      <xdr:col>27</xdr:col>
      <xdr:colOff>1216091</xdr:colOff>
      <xdr:row>29</xdr:row>
      <xdr:rowOff>123825</xdr:rowOff>
    </xdr:to>
    <xdr:pic>
      <xdr:nvPicPr>
        <xdr:cNvPr id="4" name="Picture 3"/>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7715" t="6321" r="3429" b="6755"/>
        <a:stretch/>
      </xdr:blipFill>
      <xdr:spPr>
        <a:xfrm>
          <a:off x="9096375" y="2809876"/>
          <a:ext cx="3330641" cy="1885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6</xdr:row>
      <xdr:rowOff>19049</xdr:rowOff>
    </xdr:from>
    <xdr:to>
      <xdr:col>4</xdr:col>
      <xdr:colOff>828675</xdr:colOff>
      <xdr:row>53</xdr:row>
      <xdr:rowOff>38100</xdr:rowOff>
    </xdr:to>
    <xdr:sp macro="" textlink="">
      <xdr:nvSpPr>
        <xdr:cNvPr id="3" name="TextBox 2"/>
        <xdr:cNvSpPr txBox="1"/>
      </xdr:nvSpPr>
      <xdr:spPr>
        <a:xfrm>
          <a:off x="152402" y="981074"/>
          <a:ext cx="3895723"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Spotify:</a:t>
          </a:r>
        </a:p>
        <a:p>
          <a:endParaRPr lang="en-US" sz="800" b="1">
            <a:latin typeface="Arial" panose="020B0604020202020204" pitchFamily="34" charset="0"/>
            <a:cs typeface="Arial" panose="020B0604020202020204" pitchFamily="34" charset="0"/>
          </a:endParaRPr>
        </a:p>
        <a:p>
          <a:r>
            <a:rPr lang="en-US" sz="1100" b="0" i="0">
              <a:solidFill>
                <a:schemeClr val="dk1"/>
              </a:solidFill>
              <a:effectLst/>
              <a:latin typeface="+mn-lt"/>
              <a:ea typeface="+mn-ea"/>
              <a:cs typeface="+mn-cs"/>
            </a:rPr>
            <a:t>Spotify is a digital music streaming service that allows users to access a vast collection of music and podcasts from around the world. The company operates on a freemium model, which means that users can use the service for free with some limitations or pay a monthly subscription fee for additional features and benefits.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Revenue streams: </a:t>
          </a:r>
          <a:r>
            <a:rPr lang="en-US" sz="1100" b="0" i="0">
              <a:solidFill>
                <a:schemeClr val="dk1"/>
              </a:solidFill>
              <a:effectLst/>
              <a:latin typeface="+mn-lt"/>
              <a:ea typeface="+mn-ea"/>
              <a:cs typeface="+mn-cs"/>
            </a:rPr>
            <a:t>Spotify generates revenue through three primary sources:</a:t>
          </a:r>
        </a:p>
        <a:p>
          <a:r>
            <a:rPr lang="en-US" sz="1100" b="1" i="0">
              <a:solidFill>
                <a:schemeClr val="dk1"/>
              </a:solidFill>
              <a:effectLst/>
              <a:latin typeface="+mn-lt"/>
              <a:ea typeface="+mn-ea"/>
              <a:cs typeface="+mn-cs"/>
            </a:rPr>
            <a:t>a. Premium subscriptions</a:t>
          </a:r>
          <a:r>
            <a:rPr lang="en-US" sz="1100" b="0" i="0">
              <a:solidFill>
                <a:schemeClr val="dk1"/>
              </a:solidFill>
              <a:effectLst/>
              <a:latin typeface="+mn-lt"/>
              <a:ea typeface="+mn-ea"/>
              <a:cs typeface="+mn-cs"/>
            </a:rPr>
            <a:t>: Users can pay a monthly fee to access premium features such as ad-free listening, offline playback, and higher audio quality.</a:t>
          </a:r>
        </a:p>
        <a:p>
          <a:r>
            <a:rPr lang="en-US" sz="1100" b="1" i="0">
              <a:solidFill>
                <a:schemeClr val="dk1"/>
              </a:solidFill>
              <a:effectLst/>
              <a:latin typeface="+mn-lt"/>
              <a:ea typeface="+mn-ea"/>
              <a:cs typeface="+mn-cs"/>
            </a:rPr>
            <a:t>b. Advertising</a:t>
          </a:r>
          <a:r>
            <a:rPr lang="en-US" sz="1100" b="0" i="0">
              <a:solidFill>
                <a:schemeClr val="dk1"/>
              </a:solidFill>
              <a:effectLst/>
              <a:latin typeface="+mn-lt"/>
              <a:ea typeface="+mn-ea"/>
              <a:cs typeface="+mn-cs"/>
            </a:rPr>
            <a:t>: Spotify offers a free version of its service that is supported by ads. Advertisers can target users based on their location, demographics, and listening habits.</a:t>
          </a:r>
        </a:p>
        <a:p>
          <a:r>
            <a:rPr lang="en-US" sz="1100" b="1" i="0">
              <a:solidFill>
                <a:schemeClr val="dk1"/>
              </a:solidFill>
              <a:effectLst/>
              <a:latin typeface="+mn-lt"/>
              <a:ea typeface="+mn-ea"/>
              <a:cs typeface="+mn-cs"/>
            </a:rPr>
            <a:t>c. Partnerships and licensing</a:t>
          </a:r>
          <a:r>
            <a:rPr lang="en-US" sz="1100" b="0" i="0">
              <a:solidFill>
                <a:schemeClr val="dk1"/>
              </a:solidFill>
              <a:effectLst/>
              <a:latin typeface="+mn-lt"/>
              <a:ea typeface="+mn-ea"/>
              <a:cs typeface="+mn-cs"/>
            </a:rPr>
            <a:t>: Spotify has partnerships with various companies, including Uber, Hulu, and Samsung, which provide additional revenue streams. Additionally, the company pays licensing fees to music labels and publishers for the right to stream their content.</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User acquisition: </a:t>
          </a:r>
          <a:r>
            <a:rPr lang="en-US" sz="1100" b="0" i="0">
              <a:solidFill>
                <a:schemeClr val="dk1"/>
              </a:solidFill>
              <a:effectLst/>
              <a:latin typeface="+mn-lt"/>
              <a:ea typeface="+mn-ea"/>
              <a:cs typeface="+mn-cs"/>
            </a:rPr>
            <a:t>Spotify uses a variety of strategies to acquire new users, including word-of-mouth referrals, social media marketing, and partnerships with artists and influencers.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Content curation</a:t>
          </a:r>
          <a:r>
            <a:rPr lang="en-US" sz="1100" b="0" i="0">
              <a:solidFill>
                <a:schemeClr val="dk1"/>
              </a:solidFill>
              <a:effectLst/>
              <a:latin typeface="+mn-lt"/>
              <a:ea typeface="+mn-ea"/>
              <a:cs typeface="+mn-cs"/>
            </a:rPr>
            <a:t>: Spotify invests heavily in its recommendation algorithms to provide users with personalized playlists and recommendations based on their listening habits.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Cost management: </a:t>
          </a:r>
          <a:r>
            <a:rPr lang="en-US" sz="1100" b="0" i="0">
              <a:solidFill>
                <a:schemeClr val="dk1"/>
              </a:solidFill>
              <a:effectLst/>
              <a:latin typeface="+mn-lt"/>
              <a:ea typeface="+mn-ea"/>
              <a:cs typeface="+mn-cs"/>
            </a:rPr>
            <a:t>To ensure profitability, Spotify focuses on cost management by optimizing its operations, negotiating favorable licensing deals with music labels, and minimizing marketing expenses.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Overall, Spotify's business model is focused on offering a high-quality music streaming service to users while generating revenue through subscription fees, advertising, and partnerships. The company's success is largely dependent on its ability to acquire new users, retain existing ones, and provide a compelling user experience.</a:t>
          </a:r>
        </a:p>
        <a:p>
          <a:endParaRPr lang="en-US" sz="800" b="1">
            <a:latin typeface="Arial" panose="020B0604020202020204" pitchFamily="34" charset="0"/>
            <a:cs typeface="Arial" panose="020B0604020202020204" pitchFamily="34" charset="0"/>
          </a:endParaRPr>
        </a:p>
      </xdr:txBody>
    </xdr:sp>
    <xdr:clientData/>
  </xdr:twoCellAnchor>
  <xdr:twoCellAnchor>
    <xdr:from>
      <xdr:col>4</xdr:col>
      <xdr:colOff>952502</xdr:colOff>
      <xdr:row>3</xdr:row>
      <xdr:rowOff>19048</xdr:rowOff>
    </xdr:from>
    <xdr:to>
      <xdr:col>10</xdr:col>
      <xdr:colOff>228600</xdr:colOff>
      <xdr:row>34</xdr:row>
      <xdr:rowOff>104775</xdr:rowOff>
    </xdr:to>
    <xdr:sp macro="" textlink="">
      <xdr:nvSpPr>
        <xdr:cNvPr id="4" name="TextBox 3"/>
        <xdr:cNvSpPr txBox="1"/>
      </xdr:nvSpPr>
      <xdr:spPr>
        <a:xfrm>
          <a:off x="4171952" y="523873"/>
          <a:ext cx="4114798" cy="48101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SWOT Analysis:</a:t>
          </a:r>
        </a:p>
        <a:p>
          <a:endParaRPr lang="en-US" sz="800" b="1">
            <a:latin typeface="Arial" panose="020B0604020202020204" pitchFamily="34" charset="0"/>
            <a:cs typeface="Arial" panose="020B0604020202020204" pitchFamily="34" charset="0"/>
          </a:endParaRPr>
        </a:p>
        <a:p>
          <a:r>
            <a:rPr lang="en-US" sz="1100" b="0" i="1">
              <a:solidFill>
                <a:schemeClr val="dk1"/>
              </a:solidFill>
              <a:effectLst/>
              <a:latin typeface="+mn-lt"/>
              <a:ea typeface="+mn-ea"/>
              <a:cs typeface="+mn-cs"/>
            </a:rPr>
            <a:t>Strengths:</a:t>
          </a:r>
        </a:p>
        <a:p>
          <a:r>
            <a:rPr lang="en-US" sz="1100" b="1" i="1">
              <a:solidFill>
                <a:schemeClr val="dk1"/>
              </a:solidFill>
              <a:effectLst/>
              <a:latin typeface="+mn-lt"/>
              <a:ea typeface="+mn-ea"/>
              <a:cs typeface="+mn-cs"/>
            </a:rPr>
            <a:t>Large user base: </a:t>
          </a:r>
          <a:r>
            <a:rPr lang="en-US" sz="1100" b="0" i="0">
              <a:solidFill>
                <a:schemeClr val="dk1"/>
              </a:solidFill>
              <a:effectLst/>
              <a:latin typeface="+mn-lt"/>
              <a:ea typeface="+mn-ea"/>
              <a:cs typeface="+mn-cs"/>
            </a:rPr>
            <a:t>Spotify has a significant user base with over 365 million active monthly users as of September 2021, which provides a strong foundation for its business model.</a:t>
          </a:r>
        </a:p>
        <a:p>
          <a:r>
            <a:rPr lang="en-US" sz="1100" b="1" i="1">
              <a:solidFill>
                <a:schemeClr val="dk1"/>
              </a:solidFill>
              <a:effectLst/>
              <a:latin typeface="+mn-lt"/>
              <a:ea typeface="+mn-ea"/>
              <a:cs typeface="+mn-cs"/>
            </a:rPr>
            <a:t>Strong brand reputation: </a:t>
          </a:r>
          <a:r>
            <a:rPr lang="en-US" sz="1100" b="0" i="0">
              <a:solidFill>
                <a:schemeClr val="dk1"/>
              </a:solidFill>
              <a:effectLst/>
              <a:latin typeface="+mn-lt"/>
              <a:ea typeface="+mn-ea"/>
              <a:cs typeface="+mn-cs"/>
            </a:rPr>
            <a:t>Spotify is a well-known and respected brand in the music industry, with a reputation for providing a high-quality music streaming service.</a:t>
          </a:r>
        </a:p>
        <a:p>
          <a:r>
            <a:rPr lang="en-US" sz="1100" b="1" i="1">
              <a:solidFill>
                <a:schemeClr val="dk1"/>
              </a:solidFill>
              <a:effectLst/>
              <a:latin typeface="+mn-lt"/>
              <a:ea typeface="+mn-ea"/>
              <a:cs typeface="+mn-cs"/>
            </a:rPr>
            <a:t>Personalized music recommendations: </a:t>
          </a:r>
          <a:r>
            <a:rPr lang="en-US" sz="1100" b="0" i="0">
              <a:solidFill>
                <a:schemeClr val="dk1"/>
              </a:solidFill>
              <a:effectLst/>
              <a:latin typeface="+mn-lt"/>
              <a:ea typeface="+mn-ea"/>
              <a:cs typeface="+mn-cs"/>
            </a:rPr>
            <a:t>Spotify's recommendation algorithms are highly advanced, allowing it to provide personalized playlists and music recommendations for each user.</a:t>
          </a:r>
        </a:p>
        <a:p>
          <a:r>
            <a:rPr lang="en-US" sz="1100" b="1" i="1">
              <a:solidFill>
                <a:schemeClr val="dk1"/>
              </a:solidFill>
              <a:effectLst/>
              <a:latin typeface="+mn-lt"/>
              <a:ea typeface="+mn-ea"/>
              <a:cs typeface="+mn-cs"/>
            </a:rPr>
            <a:t>Diverse content: </a:t>
          </a:r>
          <a:r>
            <a:rPr lang="en-US" sz="1100" b="0" i="0">
              <a:solidFill>
                <a:schemeClr val="dk1"/>
              </a:solidFill>
              <a:effectLst/>
              <a:latin typeface="+mn-lt"/>
              <a:ea typeface="+mn-ea"/>
              <a:cs typeface="+mn-cs"/>
            </a:rPr>
            <a:t>Spotify offers a wide range of content, including music, podcasts, and audiobooks, which appeals to a broad audience.</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Weaknesses:</a:t>
          </a:r>
        </a:p>
        <a:p>
          <a:r>
            <a:rPr lang="en-US" sz="1100" b="1" i="1">
              <a:solidFill>
                <a:schemeClr val="dk1"/>
              </a:solidFill>
              <a:effectLst/>
              <a:latin typeface="+mn-lt"/>
              <a:ea typeface="+mn-ea"/>
              <a:cs typeface="+mn-cs"/>
            </a:rPr>
            <a:t>Dependence on music labels: </a:t>
          </a:r>
          <a:r>
            <a:rPr lang="en-US" sz="1100" b="0" i="0">
              <a:solidFill>
                <a:schemeClr val="dk1"/>
              </a:solidFill>
              <a:effectLst/>
              <a:latin typeface="+mn-lt"/>
              <a:ea typeface="+mn-ea"/>
              <a:cs typeface="+mn-cs"/>
            </a:rPr>
            <a:t>Spotify is heavily dependent on music labels for content, which can lead to disputes over licensing fees and other issues.</a:t>
          </a:r>
        </a:p>
        <a:p>
          <a:r>
            <a:rPr lang="en-US" sz="1100" b="1" i="1">
              <a:solidFill>
                <a:schemeClr val="dk1"/>
              </a:solidFill>
              <a:effectLst/>
              <a:latin typeface="+mn-lt"/>
              <a:ea typeface="+mn-ea"/>
              <a:cs typeface="+mn-cs"/>
            </a:rPr>
            <a:t>Limited geographic reach: </a:t>
          </a:r>
          <a:r>
            <a:rPr lang="en-US" sz="1100" b="0" i="0">
              <a:solidFill>
                <a:schemeClr val="dk1"/>
              </a:solidFill>
              <a:effectLst/>
              <a:latin typeface="+mn-lt"/>
              <a:ea typeface="+mn-ea"/>
              <a:cs typeface="+mn-cs"/>
            </a:rPr>
            <a:t>While Spotify is available in many countries, it is not available in all regions, limiting its potential user base.</a:t>
          </a:r>
        </a:p>
        <a:p>
          <a:r>
            <a:rPr lang="en-US" sz="1100" b="1" i="1">
              <a:solidFill>
                <a:schemeClr val="dk1"/>
              </a:solidFill>
              <a:effectLst/>
              <a:latin typeface="+mn-lt"/>
              <a:ea typeface="+mn-ea"/>
              <a:cs typeface="+mn-cs"/>
            </a:rPr>
            <a:t>Reliance on advertising revenue: </a:t>
          </a:r>
          <a:r>
            <a:rPr lang="en-US" sz="1100" b="0" i="0">
              <a:solidFill>
                <a:schemeClr val="dk1"/>
              </a:solidFill>
              <a:effectLst/>
              <a:latin typeface="+mn-lt"/>
              <a:ea typeface="+mn-ea"/>
              <a:cs typeface="+mn-cs"/>
            </a:rPr>
            <a:t>Spotify's advertising revenue is subject to fluctuations due to changes in the advertising market, which could impact its profitability.</a:t>
          </a:r>
        </a:p>
        <a:p>
          <a:r>
            <a:rPr lang="en-US" sz="1100" b="1" i="1">
              <a:solidFill>
                <a:schemeClr val="dk1"/>
              </a:solidFill>
              <a:effectLst/>
              <a:latin typeface="+mn-lt"/>
              <a:ea typeface="+mn-ea"/>
              <a:cs typeface="+mn-cs"/>
            </a:rPr>
            <a:t>High royalty costs: </a:t>
          </a:r>
          <a:r>
            <a:rPr lang="en-US" sz="1100" b="0" i="0">
              <a:solidFill>
                <a:schemeClr val="dk1"/>
              </a:solidFill>
              <a:effectLst/>
              <a:latin typeface="+mn-lt"/>
              <a:ea typeface="+mn-ea"/>
              <a:cs typeface="+mn-cs"/>
            </a:rPr>
            <a:t>Spotify pays a significant amount in royalties to music labels and publishers, which can impact its profitability.</a:t>
          </a:r>
        </a:p>
        <a:p>
          <a:endParaRPr lang="en-US" sz="1100" b="0" i="1">
            <a:solidFill>
              <a:schemeClr val="dk1"/>
            </a:solidFill>
            <a:effectLst/>
            <a:latin typeface="+mn-lt"/>
            <a:ea typeface="+mn-ea"/>
            <a:cs typeface="+mn-cs"/>
          </a:endParaRPr>
        </a:p>
      </xdr:txBody>
    </xdr:sp>
    <xdr:clientData/>
  </xdr:twoCellAnchor>
  <xdr:twoCellAnchor>
    <xdr:from>
      <xdr:col>10</xdr:col>
      <xdr:colOff>361951</xdr:colOff>
      <xdr:row>3</xdr:row>
      <xdr:rowOff>19049</xdr:rowOff>
    </xdr:from>
    <xdr:to>
      <xdr:col>16</xdr:col>
      <xdr:colOff>247649</xdr:colOff>
      <xdr:row>32</xdr:row>
      <xdr:rowOff>47625</xdr:rowOff>
    </xdr:to>
    <xdr:sp macro="" textlink="">
      <xdr:nvSpPr>
        <xdr:cNvPr id="5" name="TextBox 4"/>
        <xdr:cNvSpPr txBox="1"/>
      </xdr:nvSpPr>
      <xdr:spPr>
        <a:xfrm>
          <a:off x="8420101" y="523874"/>
          <a:ext cx="3971923" cy="4448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Opportunities:</a:t>
          </a:r>
        </a:p>
        <a:p>
          <a:r>
            <a:rPr lang="en-US" sz="1100" b="1" i="1">
              <a:solidFill>
                <a:schemeClr val="dk1"/>
              </a:solidFill>
              <a:effectLst/>
              <a:latin typeface="+mn-lt"/>
              <a:ea typeface="+mn-ea"/>
              <a:cs typeface="+mn-cs"/>
            </a:rPr>
            <a:t>Expansion into new markets: </a:t>
          </a:r>
          <a:r>
            <a:rPr lang="en-US" sz="1100" b="0" i="0">
              <a:solidFill>
                <a:schemeClr val="dk1"/>
              </a:solidFill>
              <a:effectLst/>
              <a:latin typeface="+mn-lt"/>
              <a:ea typeface="+mn-ea"/>
              <a:cs typeface="+mn-cs"/>
            </a:rPr>
            <a:t>Spotify can continue to expand into new markets to increase its user base and revenue streams.</a:t>
          </a:r>
        </a:p>
        <a:p>
          <a:r>
            <a:rPr lang="en-US" sz="1100" b="0" i="0">
              <a:solidFill>
                <a:schemeClr val="dk1"/>
              </a:solidFill>
              <a:effectLst/>
              <a:latin typeface="+mn-lt"/>
              <a:ea typeface="+mn-ea"/>
              <a:cs typeface="+mn-cs"/>
            </a:rPr>
            <a:t>Development of original content: Spotify can create its own original content, such as exclusive podcasts and music, to differentiate itself from competitors.</a:t>
          </a:r>
        </a:p>
        <a:p>
          <a:r>
            <a:rPr lang="en-US" sz="1100" b="1" i="1">
              <a:solidFill>
                <a:schemeClr val="dk1"/>
              </a:solidFill>
              <a:effectLst/>
              <a:latin typeface="+mn-lt"/>
              <a:ea typeface="+mn-ea"/>
              <a:cs typeface="+mn-cs"/>
            </a:rPr>
            <a:t>Collaboration with artists: </a:t>
          </a:r>
          <a:r>
            <a:rPr lang="en-US" sz="1100" b="0" i="0">
              <a:solidFill>
                <a:schemeClr val="dk1"/>
              </a:solidFill>
              <a:effectLst/>
              <a:latin typeface="+mn-lt"/>
              <a:ea typeface="+mn-ea"/>
              <a:cs typeface="+mn-cs"/>
            </a:rPr>
            <a:t>Spotify can collaborate with artists to create exclusive content, such as live performances or behind-the-scenes interviews, to engage users.</a:t>
          </a:r>
        </a:p>
        <a:p>
          <a:r>
            <a:rPr lang="en-US" sz="1100" b="1" i="1">
              <a:solidFill>
                <a:schemeClr val="dk1"/>
              </a:solidFill>
              <a:effectLst/>
              <a:latin typeface="+mn-lt"/>
              <a:ea typeface="+mn-ea"/>
              <a:cs typeface="+mn-cs"/>
            </a:rPr>
            <a:t>Partnerships with other companies: </a:t>
          </a:r>
          <a:r>
            <a:rPr lang="en-US" sz="1100" b="0" i="0">
              <a:solidFill>
                <a:schemeClr val="dk1"/>
              </a:solidFill>
              <a:effectLst/>
              <a:latin typeface="+mn-lt"/>
              <a:ea typeface="+mn-ea"/>
              <a:cs typeface="+mn-cs"/>
            </a:rPr>
            <a:t>Spotify can form partnerships with other companies to provide additional benefits to its users and increase revenue streams.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Threats:</a:t>
          </a:r>
        </a:p>
        <a:p>
          <a:r>
            <a:rPr lang="en-US" sz="1100" b="1" i="1">
              <a:solidFill>
                <a:schemeClr val="dk1"/>
              </a:solidFill>
              <a:effectLst/>
              <a:latin typeface="+mn-lt"/>
              <a:ea typeface="+mn-ea"/>
              <a:cs typeface="+mn-cs"/>
            </a:rPr>
            <a:t>Competition: </a:t>
          </a:r>
          <a:r>
            <a:rPr lang="en-US" sz="1100" b="0" i="0">
              <a:solidFill>
                <a:schemeClr val="dk1"/>
              </a:solidFill>
              <a:effectLst/>
              <a:latin typeface="+mn-lt"/>
              <a:ea typeface="+mn-ea"/>
              <a:cs typeface="+mn-cs"/>
            </a:rPr>
            <a:t>Spotify faces intense competition from other music streaming services such as Apple Music, Amazon Music, and YouTube Music, which could impact its market share.</a:t>
          </a:r>
        </a:p>
        <a:p>
          <a:r>
            <a:rPr lang="en-US" sz="1100" b="1" i="1">
              <a:solidFill>
                <a:schemeClr val="dk1"/>
              </a:solidFill>
              <a:effectLst/>
              <a:latin typeface="+mn-lt"/>
              <a:ea typeface="+mn-ea"/>
              <a:cs typeface="+mn-cs"/>
            </a:rPr>
            <a:t>Changing consumer preferences: </a:t>
          </a:r>
          <a:r>
            <a:rPr lang="en-US" sz="1100" b="0" i="0">
              <a:solidFill>
                <a:schemeClr val="dk1"/>
              </a:solidFill>
              <a:effectLst/>
              <a:latin typeface="+mn-lt"/>
              <a:ea typeface="+mn-ea"/>
              <a:cs typeface="+mn-cs"/>
            </a:rPr>
            <a:t>Consumer preferences can change quickly, and Spotify must adapt to these changes to remain relevant.</a:t>
          </a:r>
        </a:p>
        <a:p>
          <a:r>
            <a:rPr lang="en-US" sz="1100" b="1" i="1">
              <a:solidFill>
                <a:schemeClr val="dk1"/>
              </a:solidFill>
              <a:effectLst/>
              <a:latin typeface="+mn-lt"/>
              <a:ea typeface="+mn-ea"/>
              <a:cs typeface="+mn-cs"/>
            </a:rPr>
            <a:t>Economic conditions: </a:t>
          </a:r>
          <a:r>
            <a:rPr lang="en-US" sz="1100" b="0" i="0">
              <a:solidFill>
                <a:schemeClr val="dk1"/>
              </a:solidFill>
              <a:effectLst/>
              <a:latin typeface="+mn-lt"/>
              <a:ea typeface="+mn-ea"/>
              <a:cs typeface="+mn-cs"/>
            </a:rPr>
            <a:t>Economic downturns or recessions could impact Spotify's advertising revenue and subscriber growth.</a:t>
          </a:r>
        </a:p>
        <a:p>
          <a:r>
            <a:rPr lang="en-US" sz="1100" b="1" i="1">
              <a:solidFill>
                <a:schemeClr val="dk1"/>
              </a:solidFill>
              <a:effectLst/>
              <a:latin typeface="+mn-lt"/>
              <a:ea typeface="+mn-ea"/>
              <a:cs typeface="+mn-cs"/>
            </a:rPr>
            <a:t>Legal and regulatory issues: </a:t>
          </a:r>
          <a:r>
            <a:rPr lang="en-US" sz="1100" b="0" i="0">
              <a:solidFill>
                <a:schemeClr val="dk1"/>
              </a:solidFill>
              <a:effectLst/>
              <a:latin typeface="+mn-lt"/>
              <a:ea typeface="+mn-ea"/>
              <a:cs typeface="+mn-cs"/>
            </a:rPr>
            <a:t>Spotify is subject to regulations related to music licensing, data privacy, and copyright laws, which could impact its operations and profitability.</a:t>
          </a:r>
        </a:p>
        <a:p>
          <a:endParaRPr lang="en-US" sz="8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200025</xdr:colOff>
      <xdr:row>2</xdr:row>
      <xdr:rowOff>0</xdr:rowOff>
    </xdr:from>
    <xdr:to>
      <xdr:col>7</xdr:col>
      <xdr:colOff>647700</xdr:colOff>
      <xdr:row>9</xdr:row>
      <xdr:rowOff>95249</xdr:rowOff>
    </xdr:to>
    <xdr:sp macro="" textlink="">
      <xdr:nvSpPr>
        <xdr:cNvPr id="3" name="TextBox 2"/>
        <xdr:cNvSpPr txBox="1"/>
      </xdr:nvSpPr>
      <xdr:spPr>
        <a:xfrm>
          <a:off x="3028950" y="352425"/>
          <a:ext cx="2800350" cy="1162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(Daniel Ek) of Spotify</a:t>
          </a:r>
          <a:r>
            <a:rPr lang="en-US" sz="1100" i="1" baseline="0"/>
            <a:t> is also the Chairman of Board of Directors (which is not good in itself). The chairman of the board has the power to discipline the CEO, but in Spotify's case, that cannot happen as it's the same person!</a:t>
          </a:r>
          <a:endParaRPr lang="en-US" sz="1100" i="1"/>
        </a:p>
      </xdr:txBody>
    </xdr:sp>
    <xdr:clientData/>
  </xdr:twoCellAnchor>
  <xdr:twoCellAnchor>
    <xdr:from>
      <xdr:col>3</xdr:col>
      <xdr:colOff>190500</xdr:colOff>
      <xdr:row>10</xdr:row>
      <xdr:rowOff>38101</xdr:rowOff>
    </xdr:from>
    <xdr:to>
      <xdr:col>7</xdr:col>
      <xdr:colOff>638175</xdr:colOff>
      <xdr:row>13</xdr:row>
      <xdr:rowOff>57150</xdr:rowOff>
    </xdr:to>
    <xdr:sp macro="" textlink="">
      <xdr:nvSpPr>
        <xdr:cNvPr id="5" name="TextBox 4"/>
        <xdr:cNvSpPr txBox="1"/>
      </xdr:nvSpPr>
      <xdr:spPr>
        <a:xfrm>
          <a:off x="3276600" y="1609726"/>
          <a:ext cx="28003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Spotify's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95251</xdr:colOff>
      <xdr:row>2</xdr:row>
      <xdr:rowOff>38101</xdr:rowOff>
    </xdr:from>
    <xdr:to>
      <xdr:col>5</xdr:col>
      <xdr:colOff>342900</xdr:colOff>
      <xdr:row>5</xdr:row>
      <xdr:rowOff>57151</xdr:rowOff>
    </xdr:to>
    <xdr:sp macro="" textlink="">
      <xdr:nvSpPr>
        <xdr:cNvPr id="17" name="TextBox 16"/>
        <xdr:cNvSpPr txBox="1"/>
      </xdr:nvSpPr>
      <xdr:spPr>
        <a:xfrm>
          <a:off x="2609851" y="390526"/>
          <a:ext cx="1790699"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Annual Subs are from 2022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228600</xdr:colOff>
      <xdr:row>28</xdr:row>
      <xdr:rowOff>66676</xdr:rowOff>
    </xdr:from>
    <xdr:to>
      <xdr:col>9</xdr:col>
      <xdr:colOff>0</xdr:colOff>
      <xdr:row>34</xdr:row>
      <xdr:rowOff>142876</xdr:rowOff>
    </xdr:to>
    <xdr:sp macro="" textlink="">
      <xdr:nvSpPr>
        <xdr:cNvPr id="2" name="TextBox 1"/>
        <xdr:cNvSpPr txBox="1"/>
      </xdr:nvSpPr>
      <xdr:spPr>
        <a:xfrm>
          <a:off x="4724400" y="4381501"/>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57151</xdr:colOff>
      <xdr:row>3</xdr:row>
      <xdr:rowOff>85725</xdr:rowOff>
    </xdr:from>
    <xdr:to>
      <xdr:col>3</xdr:col>
      <xdr:colOff>571500</xdr:colOff>
      <xdr:row>8</xdr:row>
      <xdr:rowOff>57150</xdr:rowOff>
    </xdr:to>
    <xdr:sp macro="" textlink="">
      <xdr:nvSpPr>
        <xdr:cNvPr id="3" name="TextBox 2"/>
        <xdr:cNvSpPr txBox="1"/>
      </xdr:nvSpPr>
      <xdr:spPr>
        <a:xfrm>
          <a:off x="190501" y="581025"/>
          <a:ext cx="2085974"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Total number of Ad-Supported Users + Premium Subscribers that have consumed content </a:t>
          </a:r>
          <a:r>
            <a:rPr lang="en-US" sz="1000" b="0" i="0">
              <a:solidFill>
                <a:schemeClr val="dk1"/>
              </a:solidFill>
              <a:effectLst/>
              <a:latin typeface="+mn-lt"/>
              <a:ea typeface="+mn-ea"/>
              <a:cs typeface="+mn-cs"/>
            </a:rPr>
            <a:t>in the last 30</a:t>
          </a:r>
          <a:r>
            <a:rPr lang="en-US" sz="1000" b="0" i="0" baseline="0">
              <a:solidFill>
                <a:schemeClr val="dk1"/>
              </a:solidFill>
              <a:effectLst/>
              <a:latin typeface="+mn-lt"/>
              <a:ea typeface="+mn-ea"/>
              <a:cs typeface="+mn-cs"/>
            </a:rPr>
            <a:t> Days.</a:t>
          </a:r>
          <a:endParaRPr lang="en-US" sz="1000"/>
        </a:p>
      </xdr:txBody>
    </xdr:sp>
    <xdr:clientData/>
  </xdr:twoCellAnchor>
  <xdr:twoCellAnchor>
    <xdr:from>
      <xdr:col>1</xdr:col>
      <xdr:colOff>57151</xdr:colOff>
      <xdr:row>11</xdr:row>
      <xdr:rowOff>95250</xdr:rowOff>
    </xdr:from>
    <xdr:to>
      <xdr:col>4</xdr:col>
      <xdr:colOff>0</xdr:colOff>
      <xdr:row>17</xdr:row>
      <xdr:rowOff>66675</xdr:rowOff>
    </xdr:to>
    <xdr:sp macro="" textlink="">
      <xdr:nvSpPr>
        <xdr:cNvPr id="4" name="TextBox 3"/>
        <xdr:cNvSpPr txBox="1"/>
      </xdr:nvSpPr>
      <xdr:spPr>
        <a:xfrm>
          <a:off x="190501" y="1838325"/>
          <a:ext cx="2085974" cy="885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Users that have completed registration with Spotify and have activated a payment method for Premium Service. (Family Plan and Duo Plan)</a:t>
          </a:r>
        </a:p>
      </xdr:txBody>
    </xdr:sp>
    <xdr:clientData/>
  </xdr:twoCellAnchor>
  <xdr:twoCellAnchor>
    <xdr:from>
      <xdr:col>13</xdr:col>
      <xdr:colOff>200025</xdr:colOff>
      <xdr:row>11</xdr:row>
      <xdr:rowOff>133350</xdr:rowOff>
    </xdr:from>
    <xdr:to>
      <xdr:col>18</xdr:col>
      <xdr:colOff>47624</xdr:colOff>
      <xdr:row>17</xdr:row>
      <xdr:rowOff>123825</xdr:rowOff>
    </xdr:to>
    <xdr:sp macro="" textlink="">
      <xdr:nvSpPr>
        <xdr:cNvPr id="5" name="TextBox 4"/>
        <xdr:cNvSpPr txBox="1"/>
      </xdr:nvSpPr>
      <xdr:spPr>
        <a:xfrm>
          <a:off x="9772650" y="1876425"/>
          <a:ext cx="2647949"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Family Plan was a </a:t>
          </a:r>
          <a:r>
            <a:rPr lang="en-US" sz="1000" b="1" i="1"/>
            <a:t>meaningful</a:t>
          </a:r>
          <a:r>
            <a:rPr lang="en-US" sz="1000"/>
            <a:t> contributor of total gross additions in Premium Subscribers, while our free trial offers and global campaigns also accounted for a significant portion of gross additions in Premium Subscribers.</a:t>
          </a:r>
        </a:p>
      </xdr:txBody>
    </xdr:sp>
    <xdr:clientData/>
  </xdr:twoCellAnchor>
  <xdr:twoCellAnchor>
    <xdr:from>
      <xdr:col>1</xdr:col>
      <xdr:colOff>47626</xdr:colOff>
      <xdr:row>20</xdr:row>
      <xdr:rowOff>104776</xdr:rowOff>
    </xdr:from>
    <xdr:to>
      <xdr:col>3</xdr:col>
      <xdr:colOff>561975</xdr:colOff>
      <xdr:row>25</xdr:row>
      <xdr:rowOff>104776</xdr:rowOff>
    </xdr:to>
    <xdr:sp macro="" textlink="">
      <xdr:nvSpPr>
        <xdr:cNvPr id="6" name="TextBox 5"/>
        <xdr:cNvSpPr txBox="1"/>
      </xdr:nvSpPr>
      <xdr:spPr>
        <a:xfrm>
          <a:off x="180976" y="3248026"/>
          <a:ext cx="2085974"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Defined as Premium subscription revenue recognized divided by the average daily Premium Subscribers.</a:t>
          </a:r>
          <a:r>
            <a:rPr lang="en-US" sz="1000" baseline="0"/>
            <a:t> (Revenue generated by each user).</a:t>
          </a:r>
          <a:endParaRPr lang="en-US" sz="1000"/>
        </a:p>
      </xdr:txBody>
    </xdr:sp>
    <xdr:clientData/>
  </xdr:twoCellAnchor>
  <xdr:twoCellAnchor>
    <xdr:from>
      <xdr:col>13</xdr:col>
      <xdr:colOff>200026</xdr:colOff>
      <xdr:row>18</xdr:row>
      <xdr:rowOff>123826</xdr:rowOff>
    </xdr:from>
    <xdr:to>
      <xdr:col>18</xdr:col>
      <xdr:colOff>9526</xdr:colOff>
      <xdr:row>22</xdr:row>
      <xdr:rowOff>95251</xdr:rowOff>
    </xdr:to>
    <xdr:sp macro="" textlink="">
      <xdr:nvSpPr>
        <xdr:cNvPr id="7" name="TextBox 6"/>
        <xdr:cNvSpPr txBox="1"/>
      </xdr:nvSpPr>
      <xdr:spPr>
        <a:xfrm>
          <a:off x="9772651" y="2933701"/>
          <a:ext cx="260985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increase/decrease</a:t>
          </a:r>
          <a:r>
            <a:rPr lang="en-US" sz="1000" baseline="0"/>
            <a:t> in ARPU</a:t>
          </a:r>
          <a:r>
            <a:rPr lang="en-US" sz="1000"/>
            <a:t> is primarily driven by favorable movements in foreign exchange rate.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571499</xdr:colOff>
      <xdr:row>7</xdr:row>
      <xdr:rowOff>19051</xdr:rowOff>
    </xdr:from>
    <xdr:to>
      <xdr:col>7</xdr:col>
      <xdr:colOff>581025</xdr:colOff>
      <xdr:row>27</xdr:row>
      <xdr:rowOff>38101</xdr:rowOff>
    </xdr:to>
    <xdr:sp macro="" textlink="">
      <xdr:nvSpPr>
        <xdr:cNvPr id="3" name="TextBox 2"/>
        <xdr:cNvSpPr txBox="1"/>
      </xdr:nvSpPr>
      <xdr:spPr>
        <a:xfrm>
          <a:off x="3676649" y="1143001"/>
          <a:ext cx="3762376" cy="306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Spotify has</a:t>
          </a:r>
          <a:r>
            <a:rPr lang="en-US" sz="1100" baseline="0"/>
            <a:t> 65% debt as </a:t>
          </a:r>
          <a:r>
            <a:rPr lang="en-US" sz="1100"/>
            <a:t>Convertible</a:t>
          </a:r>
          <a:r>
            <a:rPr lang="en-US" sz="1100" baseline="0"/>
            <a:t> Notes which is great for a growth company.</a:t>
          </a:r>
        </a:p>
        <a:p>
          <a:endParaRPr lang="en-US" sz="1100" baseline="0"/>
        </a:p>
        <a:p>
          <a:r>
            <a:rPr lang="en-US" sz="1100" baseline="0"/>
            <a:t>- Spotify has 100% debt in US $, which can be diversified with more Euro debt as their operations exist outside of the US particularly UK.</a:t>
          </a:r>
        </a:p>
        <a:p>
          <a:endParaRPr lang="en-US" sz="1100" baseline="0"/>
        </a:p>
        <a:p>
          <a:r>
            <a:rPr lang="en-US" sz="1100"/>
            <a:t>- Spotify</a:t>
          </a:r>
          <a:r>
            <a:rPr lang="en-US" sz="1100" baseline="0"/>
            <a:t> has 100% Fixed Rate Debt which tells that their business is affected by inflation (No Pricing Power). The subscription business is discretionary in nature, so it's a good move to go for Fixed than Floating.</a:t>
          </a:r>
        </a:p>
        <a:p>
          <a:endParaRPr lang="en-US" sz="1100" baseline="0"/>
        </a:p>
        <a:p>
          <a:r>
            <a:rPr lang="en-US" sz="1100" baseline="0"/>
            <a:t>- Spotify has almost all debt as Medium to Long Term Debt, which I expected, based on their operation's duration (11.27 years).</a:t>
          </a:r>
        </a:p>
        <a:p>
          <a:endParaRPr lang="en-US" sz="1100" baseline="0"/>
        </a:p>
        <a:p>
          <a:r>
            <a:rPr lang="en-US" sz="1100" baseline="0"/>
            <a:t>Overall, I am happy with the debt design of Spotify.</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171451</xdr:colOff>
      <xdr:row>28</xdr:row>
      <xdr:rowOff>28575</xdr:rowOff>
    </xdr:from>
    <xdr:to>
      <xdr:col>8</xdr:col>
      <xdr:colOff>28575</xdr:colOff>
      <xdr:row>29</xdr:row>
      <xdr:rowOff>123825</xdr:rowOff>
    </xdr:to>
    <xdr:sp macro="" textlink="">
      <xdr:nvSpPr>
        <xdr:cNvPr id="2" name="TextBox 1"/>
        <xdr:cNvSpPr txBox="1"/>
      </xdr:nvSpPr>
      <xdr:spPr>
        <a:xfrm>
          <a:off x="5334001" y="481012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-1.68</a:t>
          </a:r>
        </a:p>
      </xdr:txBody>
    </xdr:sp>
    <xdr:clientData/>
  </xdr:twoCellAnchor>
  <xdr:twoCellAnchor>
    <xdr:from>
      <xdr:col>9</xdr:col>
      <xdr:colOff>38101</xdr:colOff>
      <xdr:row>28</xdr:row>
      <xdr:rowOff>47625</xdr:rowOff>
    </xdr:from>
    <xdr:to>
      <xdr:col>9</xdr:col>
      <xdr:colOff>533400</xdr:colOff>
      <xdr:row>29</xdr:row>
      <xdr:rowOff>142875</xdr:rowOff>
    </xdr:to>
    <xdr:sp macro="" textlink="">
      <xdr:nvSpPr>
        <xdr:cNvPr id="3" name="TextBox 2"/>
        <xdr:cNvSpPr txBox="1"/>
      </xdr:nvSpPr>
      <xdr:spPr>
        <a:xfrm>
          <a:off x="6600826" y="482917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-3.22</a:t>
          </a:r>
        </a:p>
      </xdr:txBody>
    </xdr:sp>
    <xdr:clientData/>
  </xdr:twoCellAnchor>
  <xdr:twoCellAnchor>
    <xdr:from>
      <xdr:col>10</xdr:col>
      <xdr:colOff>504826</xdr:colOff>
      <xdr:row>28</xdr:row>
      <xdr:rowOff>47625</xdr:rowOff>
    </xdr:from>
    <xdr:to>
      <xdr:col>11</xdr:col>
      <xdr:colOff>400050</xdr:colOff>
      <xdr:row>29</xdr:row>
      <xdr:rowOff>142875</xdr:rowOff>
    </xdr:to>
    <xdr:sp macro="" textlink="">
      <xdr:nvSpPr>
        <xdr:cNvPr id="4" name="TextBox 3"/>
        <xdr:cNvSpPr txBox="1"/>
      </xdr:nvSpPr>
      <xdr:spPr>
        <a:xfrm>
          <a:off x="7810501" y="4829175"/>
          <a:ext cx="51434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-0.43</a:t>
          </a:r>
        </a:p>
      </xdr:txBody>
    </xdr:sp>
    <xdr:clientData/>
  </xdr:twoCellAnchor>
  <xdr:twoCellAnchor>
    <xdr:from>
      <xdr:col>16</xdr:col>
      <xdr:colOff>104775</xdr:colOff>
      <xdr:row>1</xdr:row>
      <xdr:rowOff>142875</xdr:rowOff>
    </xdr:from>
    <xdr:to>
      <xdr:col>18</xdr:col>
      <xdr:colOff>600075</xdr:colOff>
      <xdr:row>5</xdr:row>
      <xdr:rowOff>76200</xdr:rowOff>
    </xdr:to>
    <xdr:sp macro="" textlink="">
      <xdr:nvSpPr>
        <xdr:cNvPr id="5" name="TextBox 4"/>
        <xdr:cNvSpPr txBox="1"/>
      </xdr:nvSpPr>
      <xdr:spPr>
        <a:xfrm>
          <a:off x="12573000" y="352425"/>
          <a:ext cx="1876425"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d_a_ebit_preincome_tax.py </a:t>
          </a:r>
        </a:p>
        <a:p>
          <a:r>
            <a:rPr lang="en-US" sz="1100" b="0" i="0" u="none" strike="noStrike" baseline="0">
              <a:solidFill>
                <a:schemeClr val="dk1"/>
              </a:solidFill>
              <a:effectLst/>
              <a:latin typeface="+mn-lt"/>
              <a:ea typeface="+mn-ea"/>
              <a:cs typeface="+mn-cs"/>
            </a:rPr>
            <a:t>capex.py - To get capex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52" customWidth="1"/>
    <col min="2" max="3" width="9.140625" style="52"/>
    <col min="4" max="4" width="3.42578125" style="52" customWidth="1"/>
    <col min="5" max="6" width="9.140625" style="52"/>
    <col min="7" max="7" width="1.42578125" style="52" customWidth="1"/>
    <col min="8" max="9" width="9.140625" style="52"/>
    <col min="10" max="10" width="1.42578125" style="52" customWidth="1"/>
    <col min="11" max="12" width="9.140625" style="52"/>
    <col min="13" max="13" width="1.42578125" style="52" customWidth="1"/>
    <col min="14" max="14" width="9.140625" style="52"/>
    <col min="15" max="15" width="10.42578125" style="52" customWidth="1"/>
    <col min="16" max="16" width="1.42578125" style="52" customWidth="1"/>
    <col min="17" max="17" width="9.140625" style="52"/>
    <col min="18" max="18" width="7.85546875" style="52" customWidth="1"/>
    <col min="19" max="19" width="3.28515625" style="52" customWidth="1"/>
    <col min="20" max="20" width="1.42578125" style="52" customWidth="1"/>
    <col min="21" max="21" width="9.140625" style="52"/>
    <col min="22" max="22" width="1.42578125" style="52" customWidth="1"/>
    <col min="23" max="23" width="11.28515625" style="52" customWidth="1"/>
    <col min="24" max="25" width="1.28515625" style="52" customWidth="1"/>
    <col min="26" max="26" width="16.7109375" style="52" customWidth="1"/>
    <col min="27" max="27" width="1.42578125" style="52" customWidth="1"/>
    <col min="28" max="28" width="18.28515625" style="52" customWidth="1"/>
    <col min="29" max="29" width="11.7109375" style="52" customWidth="1"/>
    <col min="30" max="16384" width="9.140625" style="52"/>
  </cols>
  <sheetData>
    <row r="1" spans="2:33" ht="5.25" customHeight="1">
      <c r="B1" s="373"/>
      <c r="C1" s="366"/>
    </row>
    <row r="2" spans="2:33" ht="16.5" customHeight="1">
      <c r="E2" s="567" t="s">
        <v>262</v>
      </c>
      <c r="F2" s="567"/>
      <c r="G2" s="368"/>
      <c r="H2" s="567" t="s">
        <v>261</v>
      </c>
      <c r="I2" s="567"/>
      <c r="J2" s="369"/>
      <c r="K2" s="567" t="s">
        <v>263</v>
      </c>
      <c r="L2" s="567"/>
      <c r="M2" s="369"/>
      <c r="N2" s="567" t="s">
        <v>191</v>
      </c>
      <c r="O2" s="567"/>
      <c r="P2" s="369"/>
      <c r="Q2" s="567" t="s">
        <v>264</v>
      </c>
      <c r="R2" s="567"/>
      <c r="S2" s="567"/>
      <c r="T2" s="369"/>
      <c r="U2" s="470" t="s">
        <v>265</v>
      </c>
      <c r="V2" s="369"/>
      <c r="W2" s="567" t="s">
        <v>266</v>
      </c>
      <c r="X2" s="567"/>
      <c r="Z2" s="470" t="s">
        <v>267</v>
      </c>
      <c r="AA2" s="374"/>
      <c r="AB2" s="470" t="s">
        <v>268</v>
      </c>
      <c r="AD2" s="374"/>
    </row>
    <row r="3" spans="2:33" ht="13.5" customHeight="1">
      <c r="E3" s="569" t="str">
        <f>CONCATENATE("$",ROUND('Cost of Equity, Debt &amp; WACC'!C21/1000,2)," Bn")</f>
        <v>$21.35 Bn</v>
      </c>
      <c r="F3" s="569"/>
      <c r="G3" s="370"/>
      <c r="H3" s="569" t="str">
        <f>CONCATENATE("$",ROUND('Accounting Adjustments'!G4/1000,2)," Bn")</f>
        <v>$11.73 Bn</v>
      </c>
      <c r="I3" s="569"/>
      <c r="J3" s="369"/>
      <c r="K3" s="569" t="str">
        <f>CONCATENATE("$",ROUND('Accounting Adjustments'!G10/1000,2)," Bn")</f>
        <v>$-0.66 Bn</v>
      </c>
      <c r="L3" s="569"/>
      <c r="M3" s="369"/>
      <c r="N3" s="570" t="str">
        <f>CONCATENATE(ROUND('Bottom Up Beta'!C15,2))</f>
        <v>0.08</v>
      </c>
      <c r="O3" s="570"/>
      <c r="P3" s="369"/>
      <c r="Q3" s="570" t="str">
        <f>CONCATENATE(ROUND((('Accounting Adjustments'!F4-'Accounting Adjustments'!E4)/'Accounting Adjustments'!E4)*100,2),"%")</f>
        <v>22.69%</v>
      </c>
      <c r="R3" s="570"/>
      <c r="S3" s="570"/>
      <c r="T3" s="369"/>
      <c r="U3" s="570" t="str">
        <f>CONCATENATE(ROUND('Bottom Up Beta'!C18,2))</f>
        <v>1.31</v>
      </c>
      <c r="V3" s="369"/>
      <c r="W3" s="570" t="str">
        <f>CONCATENATE(ROUND('Cost of Equity, Debt &amp; WACC'!C29*100,2),"%")</f>
        <v>10.8%</v>
      </c>
      <c r="X3" s="570"/>
      <c r="Z3" s="570" t="str">
        <f>CONCATENATE(ROUND('Corporate Governance'!C31,2))</f>
        <v>6</v>
      </c>
      <c r="AA3" s="375"/>
      <c r="AB3" s="570" t="str">
        <f>CONCATENATE("$",ROUND('Key Performance Indicators'!G19,2))</f>
        <v>$4.52</v>
      </c>
      <c r="AD3" s="375"/>
    </row>
    <row r="4" spans="2:33" ht="12.75" customHeight="1">
      <c r="B4" s="367"/>
      <c r="E4" s="569"/>
      <c r="F4" s="569"/>
      <c r="G4" s="370"/>
      <c r="H4" s="569"/>
      <c r="I4" s="569"/>
      <c r="J4" s="369"/>
      <c r="K4" s="569"/>
      <c r="L4" s="569"/>
      <c r="M4" s="369"/>
      <c r="N4" s="570"/>
      <c r="O4" s="570"/>
      <c r="P4" s="369"/>
      <c r="Q4" s="570"/>
      <c r="R4" s="570"/>
      <c r="S4" s="570"/>
      <c r="T4" s="369"/>
      <c r="U4" s="570"/>
      <c r="V4" s="369"/>
      <c r="W4" s="570"/>
      <c r="X4" s="570"/>
      <c r="Z4" s="570"/>
      <c r="AA4" s="375"/>
      <c r="AB4" s="570"/>
      <c r="AD4" s="375"/>
    </row>
    <row r="5" spans="2:33" ht="4.5" customHeight="1">
      <c r="B5" s="372"/>
      <c r="C5" s="371"/>
    </row>
    <row r="6" spans="2:33" ht="8.25" customHeight="1">
      <c r="B6" s="568" t="s">
        <v>269</v>
      </c>
      <c r="C6" s="568"/>
      <c r="D6" s="568"/>
      <c r="E6" s="568"/>
      <c r="F6" s="568"/>
      <c r="G6" s="376"/>
      <c r="H6" s="568" t="s">
        <v>274</v>
      </c>
      <c r="I6" s="568"/>
      <c r="J6" s="568"/>
      <c r="K6" s="568"/>
      <c r="L6" s="568"/>
      <c r="M6" s="568"/>
      <c r="N6" s="568"/>
      <c r="O6" s="568"/>
      <c r="P6" s="376"/>
      <c r="Q6" s="568" t="s">
        <v>275</v>
      </c>
      <c r="R6" s="568"/>
      <c r="S6" s="568"/>
      <c r="T6" s="568"/>
      <c r="U6" s="568"/>
      <c r="V6" s="568"/>
      <c r="W6" s="568"/>
      <c r="X6" s="568"/>
      <c r="Z6" s="568" t="s">
        <v>167</v>
      </c>
      <c r="AA6" s="568"/>
      <c r="AB6" s="568"/>
      <c r="AC6" s="376"/>
      <c r="AD6" s="376"/>
      <c r="AE6" s="376"/>
      <c r="AF6" s="376"/>
      <c r="AG6" s="376"/>
    </row>
    <row r="7" spans="2:33" ht="8.25" customHeight="1">
      <c r="B7" s="568"/>
      <c r="C7" s="568"/>
      <c r="D7" s="568"/>
      <c r="E7" s="568"/>
      <c r="F7" s="568"/>
      <c r="G7" s="376"/>
      <c r="H7" s="568"/>
      <c r="I7" s="568"/>
      <c r="J7" s="568"/>
      <c r="K7" s="568"/>
      <c r="L7" s="568"/>
      <c r="M7" s="568"/>
      <c r="N7" s="568"/>
      <c r="O7" s="568"/>
      <c r="P7" s="376"/>
      <c r="Q7" s="568"/>
      <c r="R7" s="568"/>
      <c r="S7" s="568"/>
      <c r="T7" s="568"/>
      <c r="U7" s="568"/>
      <c r="V7" s="568"/>
      <c r="W7" s="568"/>
      <c r="X7" s="568"/>
      <c r="Z7" s="568"/>
      <c r="AA7" s="568"/>
      <c r="AB7" s="568"/>
      <c r="AC7" s="376"/>
      <c r="AD7" s="376"/>
      <c r="AE7" s="376"/>
      <c r="AF7" s="376"/>
      <c r="AG7" s="376"/>
    </row>
    <row r="8" spans="2:33" ht="15" customHeight="1"/>
    <row r="9" spans="2:33" ht="12.75" customHeight="1"/>
    <row r="10" spans="2:33">
      <c r="C10" s="53"/>
    </row>
    <row r="12" spans="2:33" ht="15">
      <c r="H12"/>
    </row>
    <row r="13" spans="2:33">
      <c r="M13" s="54"/>
    </row>
    <row r="15" spans="2:33" ht="15">
      <c r="H15"/>
    </row>
    <row r="18" spans="2:28" ht="8.25" customHeight="1">
      <c r="B18" s="568" t="s">
        <v>280</v>
      </c>
      <c r="C18" s="568"/>
      <c r="D18" s="568"/>
      <c r="E18" s="568"/>
      <c r="F18" s="568"/>
      <c r="H18" s="568" t="s">
        <v>281</v>
      </c>
      <c r="I18" s="568"/>
      <c r="J18" s="568"/>
      <c r="K18" s="568"/>
      <c r="L18" s="568"/>
      <c r="M18" s="568"/>
      <c r="N18" s="568"/>
      <c r="O18" s="568"/>
      <c r="Q18" s="568" t="s">
        <v>284</v>
      </c>
      <c r="R18" s="568"/>
      <c r="S18" s="568"/>
      <c r="T18" s="568"/>
      <c r="U18" s="568"/>
      <c r="V18" s="379"/>
      <c r="W18" s="568" t="s">
        <v>285</v>
      </c>
      <c r="X18" s="568"/>
      <c r="Y18" s="568"/>
      <c r="Z18" s="568"/>
      <c r="AA18" s="568"/>
      <c r="AB18" s="568"/>
    </row>
    <row r="19" spans="2:28" ht="8.25" customHeight="1">
      <c r="B19" s="568"/>
      <c r="C19" s="568"/>
      <c r="D19" s="568"/>
      <c r="E19" s="568"/>
      <c r="F19" s="568"/>
      <c r="H19" s="568"/>
      <c r="I19" s="568"/>
      <c r="J19" s="568"/>
      <c r="K19" s="568"/>
      <c r="L19" s="568"/>
      <c r="M19" s="568"/>
      <c r="N19" s="568"/>
      <c r="O19" s="568"/>
      <c r="Q19" s="568"/>
      <c r="R19" s="568"/>
      <c r="S19" s="568"/>
      <c r="T19" s="568"/>
      <c r="U19" s="568"/>
      <c r="V19" s="379"/>
      <c r="W19" s="568"/>
      <c r="X19" s="568"/>
      <c r="Y19" s="568"/>
      <c r="Z19" s="568"/>
      <c r="AA19" s="568"/>
      <c r="AB19" s="568"/>
    </row>
    <row r="20" spans="2:28" ht="12.75" customHeight="1"/>
    <row r="21" spans="2:28" ht="18.75" customHeight="1">
      <c r="Q21" s="567" t="s">
        <v>282</v>
      </c>
      <c r="R21" s="567"/>
      <c r="S21" s="567"/>
      <c r="T21" s="567"/>
      <c r="U21" s="567"/>
      <c r="V21" s="374"/>
      <c r="Y21" s="374"/>
      <c r="Z21" s="374"/>
      <c r="AA21" s="374"/>
    </row>
    <row r="22" spans="2:28" ht="12.75" customHeight="1">
      <c r="Q22" s="569" t="str">
        <f>About!C4</f>
        <v>Internet Subs</v>
      </c>
      <c r="R22" s="569"/>
      <c r="S22" s="569"/>
      <c r="T22" s="569"/>
      <c r="U22" s="569"/>
      <c r="V22" s="380"/>
      <c r="Y22" s="374"/>
      <c r="Z22" s="380"/>
      <c r="AA22" s="380"/>
    </row>
    <row r="23" spans="2:28" ht="12.75" customHeight="1">
      <c r="Q23" s="569"/>
      <c r="R23" s="569"/>
      <c r="S23" s="569"/>
      <c r="T23" s="569"/>
      <c r="U23" s="569"/>
      <c r="V23" s="380"/>
      <c r="Y23" s="374"/>
      <c r="Z23" s="380"/>
      <c r="AA23" s="380"/>
    </row>
    <row r="25" spans="2:28" ht="19.5">
      <c r="Q25" s="567" t="s">
        <v>286</v>
      </c>
      <c r="R25" s="567"/>
      <c r="S25" s="567"/>
      <c r="T25" s="567"/>
      <c r="U25" s="567"/>
      <c r="V25" s="374"/>
    </row>
    <row r="26" spans="2:28" ht="12.75" customHeight="1">
      <c r="Q26" s="569" t="str">
        <f>About!C5</f>
        <v>SPOT</v>
      </c>
      <c r="R26" s="569"/>
      <c r="S26" s="569"/>
      <c r="T26" s="569"/>
      <c r="U26" s="569"/>
      <c r="V26" s="380"/>
    </row>
    <row r="27" spans="2:28" ht="12.75" customHeight="1">
      <c r="Q27" s="569"/>
      <c r="R27" s="569"/>
      <c r="S27" s="569"/>
      <c r="T27" s="569"/>
      <c r="U27" s="569"/>
      <c r="V27" s="380"/>
    </row>
  </sheetData>
  <mergeCells count="27">
    <mergeCell ref="E2:F2"/>
    <mergeCell ref="E3:F4"/>
    <mergeCell ref="H2:I2"/>
    <mergeCell ref="H3:I4"/>
    <mergeCell ref="W2:X2"/>
    <mergeCell ref="W3:X4"/>
    <mergeCell ref="U3:U4"/>
    <mergeCell ref="K2:L2"/>
    <mergeCell ref="K3:L4"/>
    <mergeCell ref="N2:O2"/>
    <mergeCell ref="N3:O4"/>
    <mergeCell ref="Q2:S2"/>
    <mergeCell ref="Q3:S4"/>
    <mergeCell ref="B18:F19"/>
    <mergeCell ref="H18:O19"/>
    <mergeCell ref="H6:O7"/>
    <mergeCell ref="AB3:AB4"/>
    <mergeCell ref="Z3:Z4"/>
    <mergeCell ref="B6:F7"/>
    <mergeCell ref="Q6:X7"/>
    <mergeCell ref="Z6:AB7"/>
    <mergeCell ref="Q25:U25"/>
    <mergeCell ref="Q18:U19"/>
    <mergeCell ref="W18:AB19"/>
    <mergeCell ref="Q26:U27"/>
    <mergeCell ref="Q21:U21"/>
    <mergeCell ref="Q22:U23"/>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396</v>
      </c>
      <c r="E1" s="3"/>
      <c r="F1" s="57"/>
      <c r="G1" s="3"/>
      <c r="H1" s="3"/>
      <c r="I1" s="3"/>
      <c r="J1" s="3"/>
      <c r="K1" s="3"/>
      <c r="L1" s="3"/>
      <c r="M1" s="3"/>
      <c r="N1" s="3"/>
    </row>
    <row r="2" spans="2:14">
      <c r="E2" s="3"/>
      <c r="F2" s="57"/>
      <c r="G2" s="3"/>
      <c r="H2" s="3"/>
      <c r="I2" s="3"/>
      <c r="J2" s="3"/>
      <c r="K2" s="3"/>
      <c r="L2" s="3"/>
      <c r="M2" s="3"/>
      <c r="N2" s="3"/>
    </row>
    <row r="3" spans="2:14">
      <c r="B3" s="3" t="s">
        <v>498</v>
      </c>
      <c r="C3" s="68" t="s">
        <v>394</v>
      </c>
      <c r="D3" s="21"/>
      <c r="E3" s="44"/>
      <c r="F3" s="88"/>
      <c r="G3" s="84"/>
      <c r="H3" s="80"/>
      <c r="I3" s="80"/>
      <c r="J3" s="80"/>
      <c r="K3" s="3"/>
      <c r="L3" s="89"/>
      <c r="M3" s="80"/>
      <c r="N3" s="3"/>
    </row>
    <row r="4" spans="2:14">
      <c r="B4" s="2" t="s">
        <v>282</v>
      </c>
      <c r="C4" s="227" t="s">
        <v>482</v>
      </c>
      <c r="D4" s="6"/>
      <c r="E4" s="3"/>
      <c r="F4" s="61"/>
      <c r="G4" s="85"/>
      <c r="H4" s="86"/>
      <c r="I4" s="44"/>
      <c r="J4" s="59"/>
      <c r="K4" s="3"/>
      <c r="L4" s="60"/>
      <c r="M4" s="70"/>
      <c r="N4" s="3"/>
    </row>
    <row r="5" spans="2:14">
      <c r="B5" s="2" t="s">
        <v>283</v>
      </c>
      <c r="C5" s="298" t="s">
        <v>395</v>
      </c>
      <c r="D5" s="6"/>
      <c r="E5" s="3"/>
      <c r="F5" s="61"/>
      <c r="G5" s="85"/>
      <c r="H5" s="86"/>
      <c r="I5" s="44"/>
      <c r="J5" s="59"/>
      <c r="K5" s="3"/>
      <c r="L5" s="60"/>
      <c r="M5" s="70"/>
      <c r="N5" s="3"/>
    </row>
    <row r="6" spans="2:14">
      <c r="C6" s="64"/>
      <c r="D6" s="23"/>
      <c r="E6" s="3"/>
      <c r="F6" s="61"/>
      <c r="G6" s="85"/>
      <c r="H6" s="86"/>
      <c r="I6" s="44"/>
      <c r="J6" s="59"/>
      <c r="K6" s="3"/>
      <c r="L6" s="60"/>
      <c r="M6" s="70"/>
      <c r="N6" s="3"/>
    </row>
    <row r="7" spans="2:14">
      <c r="C7" s="65"/>
      <c r="D7" s="6"/>
      <c r="E7" s="3"/>
      <c r="F7" s="61"/>
      <c r="G7" s="85"/>
      <c r="H7" s="86"/>
      <c r="I7" s="44"/>
      <c r="J7" s="59"/>
      <c r="K7" s="3"/>
      <c r="L7" s="60"/>
      <c r="M7" s="70"/>
      <c r="N7" s="3"/>
    </row>
    <row r="8" spans="2:14">
      <c r="C8" s="43"/>
      <c r="D8" s="6"/>
      <c r="E8" s="3"/>
      <c r="F8" s="61"/>
      <c r="G8" s="85"/>
      <c r="H8" s="86"/>
      <c r="I8" s="44"/>
      <c r="J8" s="59"/>
      <c r="K8" s="3"/>
      <c r="L8" s="60"/>
      <c r="M8" s="70"/>
      <c r="N8" s="3"/>
    </row>
    <row r="9" spans="2:14">
      <c r="B9" s="3"/>
      <c r="C9" s="68"/>
      <c r="D9" s="6"/>
      <c r="E9" s="3"/>
      <c r="F9" s="61"/>
      <c r="G9" s="85"/>
      <c r="H9" s="86"/>
      <c r="I9" s="44"/>
      <c r="J9" s="59"/>
      <c r="K9" s="3"/>
      <c r="L9" s="60"/>
      <c r="M9" s="70"/>
      <c r="N9" s="3"/>
    </row>
    <row r="10" spans="2:14">
      <c r="B10" s="3"/>
      <c r="C10" s="68"/>
      <c r="D10" s="6"/>
      <c r="E10" s="3"/>
      <c r="F10" s="61"/>
      <c r="G10" s="85"/>
      <c r="H10" s="86"/>
      <c r="I10" s="44"/>
      <c r="J10" s="59"/>
      <c r="K10" s="3"/>
      <c r="L10" s="58"/>
      <c r="M10" s="3"/>
      <c r="N10" s="3"/>
    </row>
    <row r="11" spans="2:14">
      <c r="B11" s="3"/>
      <c r="C11" s="69"/>
      <c r="D11" s="6"/>
      <c r="E11" s="3"/>
      <c r="F11" s="61"/>
      <c r="G11" s="85"/>
      <c r="H11" s="86"/>
      <c r="I11" s="44"/>
      <c r="J11" s="59"/>
      <c r="K11" s="3"/>
      <c r="L11" s="66"/>
      <c r="M11" s="71"/>
      <c r="N11" s="3"/>
    </row>
    <row r="12" spans="2:14">
      <c r="B12" s="3"/>
      <c r="C12" s="3"/>
      <c r="D12" s="6"/>
      <c r="E12" s="3"/>
      <c r="F12" s="61"/>
      <c r="G12" s="85"/>
      <c r="H12" s="86"/>
      <c r="I12" s="44"/>
      <c r="J12" s="59"/>
      <c r="K12" s="3"/>
      <c r="L12" s="56"/>
      <c r="M12" s="71"/>
      <c r="N12" s="3"/>
    </row>
    <row r="13" spans="2:14">
      <c r="B13" s="3"/>
      <c r="C13" s="51"/>
      <c r="D13" s="6"/>
      <c r="E13" s="3"/>
      <c r="F13" s="61"/>
      <c r="G13" s="85"/>
      <c r="H13" s="86"/>
      <c r="I13" s="44"/>
      <c r="J13" s="59"/>
      <c r="K13" s="3"/>
      <c r="L13" s="3"/>
      <c r="M13" s="3"/>
      <c r="N13" s="3"/>
    </row>
    <row r="14" spans="2:14">
      <c r="B14" s="22"/>
      <c r="C14" s="22"/>
      <c r="D14" s="23"/>
      <c r="E14" s="3"/>
      <c r="F14" s="60"/>
      <c r="G14" s="7"/>
      <c r="H14" s="3"/>
      <c r="I14" s="44"/>
      <c r="J14" s="22"/>
      <c r="K14" s="3"/>
      <c r="L14" s="3"/>
      <c r="M14" s="3"/>
      <c r="N14" s="3"/>
    </row>
    <row r="15" spans="2:14">
      <c r="B15" s="3"/>
      <c r="C15" s="94"/>
      <c r="D15" s="6"/>
      <c r="E15" s="44"/>
      <c r="F15" s="56"/>
      <c r="G15" s="3"/>
      <c r="H15" s="3"/>
      <c r="I15" s="3"/>
      <c r="J15" s="3"/>
      <c r="K15" s="3"/>
      <c r="L15" s="3"/>
      <c r="M15" s="3"/>
      <c r="N15" s="3"/>
    </row>
    <row r="16" spans="2:14">
      <c r="B16" s="3"/>
      <c r="C16" s="3"/>
      <c r="D16" s="6"/>
      <c r="E16" s="44"/>
      <c r="F16" s="66"/>
      <c r="G16" s="67"/>
      <c r="H16" s="42"/>
      <c r="I16" s="3"/>
      <c r="J16" s="3"/>
      <c r="K16" s="3"/>
      <c r="L16" s="3"/>
      <c r="M16" s="3"/>
      <c r="N16" s="3"/>
    </row>
    <row r="17" spans="2:14">
      <c r="B17" s="3"/>
      <c r="C17" s="65"/>
      <c r="D17" s="6"/>
      <c r="E17" s="44"/>
      <c r="F17" s="56"/>
      <c r="G17" s="67"/>
      <c r="H17" s="3"/>
      <c r="I17" s="3"/>
      <c r="J17" s="3"/>
      <c r="K17" s="3"/>
      <c r="L17" s="3"/>
      <c r="M17" s="3"/>
      <c r="N17" s="3"/>
    </row>
    <row r="18" spans="2:14">
      <c r="B18" s="3"/>
      <c r="C18" s="3"/>
      <c r="D18" s="23"/>
      <c r="E18" s="44"/>
      <c r="F18" s="56"/>
      <c r="G18" s="3"/>
      <c r="H18" s="3"/>
      <c r="I18" s="3"/>
      <c r="J18" s="3"/>
      <c r="K18" s="3"/>
      <c r="L18" s="3"/>
      <c r="M18" s="3"/>
      <c r="N18" s="3"/>
    </row>
    <row r="19" spans="2:14">
      <c r="B19" s="22"/>
      <c r="C19" s="22"/>
      <c r="D19" s="6"/>
      <c r="E19" s="44"/>
      <c r="F19" s="56"/>
      <c r="G19" s="3"/>
      <c r="H19" s="3"/>
      <c r="I19" s="3"/>
      <c r="J19" s="3"/>
      <c r="K19" s="3"/>
      <c r="L19" s="3"/>
      <c r="M19" s="3"/>
      <c r="N19" s="3"/>
    </row>
    <row r="20" spans="2:14">
      <c r="B20" s="3"/>
      <c r="C20" s="3"/>
      <c r="D20" s="6"/>
      <c r="E20" s="87"/>
      <c r="F20" s="89"/>
      <c r="G20" s="89"/>
      <c r="H20" s="89"/>
      <c r="I20" s="89"/>
      <c r="J20" s="89"/>
      <c r="K20" s="89"/>
      <c r="L20" s="3"/>
      <c r="M20" s="3"/>
      <c r="N20" s="3"/>
    </row>
    <row r="21" spans="2:14">
      <c r="B21" s="3"/>
      <c r="C21" s="3"/>
      <c r="D21" s="6"/>
      <c r="E21" s="78"/>
      <c r="F21" s="90"/>
      <c r="G21" s="7"/>
      <c r="H21" s="7"/>
      <c r="I21" s="7"/>
      <c r="J21" s="7"/>
      <c r="K21" s="7"/>
      <c r="L21" s="3"/>
      <c r="M21" s="3"/>
      <c r="N21" s="3"/>
    </row>
    <row r="22" spans="2:14">
      <c r="B22" s="3"/>
      <c r="C22" s="3"/>
      <c r="D22" s="6"/>
      <c r="E22" s="44"/>
      <c r="F22" s="57"/>
      <c r="G22" s="57"/>
      <c r="H22" s="57"/>
      <c r="I22" s="79"/>
      <c r="J22" s="56"/>
      <c r="K22" s="57"/>
      <c r="L22" s="3"/>
      <c r="M22" s="3"/>
      <c r="N22" s="3"/>
    </row>
    <row r="23" spans="2:14">
      <c r="B23" s="22"/>
      <c r="C23" s="22"/>
      <c r="D23" s="23"/>
      <c r="E23" s="44"/>
      <c r="F23" s="3"/>
      <c r="G23" s="3"/>
      <c r="H23" s="3"/>
      <c r="I23" s="3"/>
      <c r="J23" s="3"/>
      <c r="K23" s="3"/>
      <c r="L23" s="91"/>
      <c r="M23" s="3"/>
      <c r="N23" s="3"/>
    </row>
    <row r="24" spans="2:14">
      <c r="B24" s="3"/>
      <c r="C24" s="3"/>
      <c r="D24" s="6"/>
      <c r="E24" s="44"/>
      <c r="F24" s="3"/>
      <c r="G24" s="3"/>
      <c r="H24" s="3"/>
      <c r="I24" s="3"/>
      <c r="J24" s="3"/>
      <c r="K24" s="3"/>
      <c r="L24" s="3"/>
      <c r="M24" s="3"/>
      <c r="N24" s="3"/>
    </row>
    <row r="25" spans="2:14">
      <c r="B25" s="3"/>
      <c r="C25" s="3"/>
      <c r="D25" s="6"/>
      <c r="E25" s="6"/>
      <c r="F25" s="57"/>
      <c r="G25" s="3"/>
      <c r="H25" s="66"/>
      <c r="I25" s="67"/>
      <c r="J25" s="3"/>
      <c r="K25" s="3"/>
      <c r="L25" s="3"/>
      <c r="M25" s="3"/>
      <c r="N25" s="3"/>
    </row>
    <row r="26" spans="2:14">
      <c r="B26" s="3"/>
      <c r="C26" s="3"/>
      <c r="D26" s="6"/>
      <c r="E26" s="23"/>
      <c r="F26" s="43"/>
      <c r="G26" s="3"/>
      <c r="H26" s="56"/>
      <c r="I26" s="67"/>
      <c r="J26" s="3"/>
      <c r="K26" s="3"/>
      <c r="L26" s="92"/>
      <c r="M26" s="3"/>
      <c r="N26" s="3"/>
    </row>
    <row r="27" spans="2:14">
      <c r="B27" s="3"/>
      <c r="C27" s="3"/>
      <c r="D27" s="23"/>
      <c r="E27" s="22"/>
      <c r="F27" s="93"/>
      <c r="G27" s="3"/>
      <c r="H27" s="3"/>
      <c r="I27" s="3"/>
      <c r="J27" s="3"/>
      <c r="K27" s="3"/>
      <c r="L27" s="3"/>
      <c r="M27" s="3"/>
      <c r="N27" s="3"/>
    </row>
    <row r="28" spans="2:14">
      <c r="B28" s="3"/>
      <c r="C28" s="3"/>
      <c r="D28" s="7"/>
      <c r="E28" s="22"/>
      <c r="F28" s="93"/>
      <c r="G28" s="3"/>
      <c r="H28" s="3"/>
      <c r="I28" s="3"/>
      <c r="J28" s="3"/>
      <c r="K28" s="3"/>
      <c r="L28" s="3"/>
      <c r="M28" s="3"/>
      <c r="N28" s="3"/>
    </row>
    <row r="29" spans="2:14">
      <c r="B29" s="3"/>
      <c r="C29" s="3"/>
      <c r="D29" s="3"/>
      <c r="E29" s="3"/>
      <c r="F29" s="57"/>
      <c r="G29" s="3"/>
      <c r="H29" s="3"/>
      <c r="I29" s="3"/>
      <c r="J29" s="3"/>
      <c r="K29" s="3"/>
      <c r="L29" s="3"/>
      <c r="M29" s="3"/>
      <c r="N29" s="3"/>
    </row>
    <row r="30" spans="2:14">
      <c r="B30" s="3"/>
      <c r="C30" s="3"/>
      <c r="D30" s="3"/>
      <c r="E30" s="3"/>
      <c r="F30" s="57"/>
    </row>
    <row r="31" spans="2:14">
      <c r="D31" s="3"/>
      <c r="E31" s="3"/>
      <c r="F31" s="57"/>
    </row>
    <row r="32" spans="2:14">
      <c r="D32" s="3"/>
      <c r="E32" s="3"/>
      <c r="F32" s="57"/>
    </row>
    <row r="33" spans="4:6">
      <c r="D33" s="3"/>
      <c r="E33" s="3"/>
      <c r="F33" s="57"/>
    </row>
    <row r="34" spans="4:6">
      <c r="D34" s="3"/>
      <c r="E34" s="3"/>
      <c r="F34" s="5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8"/>
  <sheetViews>
    <sheetView zoomScaleNormal="100" workbookViewId="0"/>
  </sheetViews>
  <sheetFormatPr defaultRowHeight="12"/>
  <cols>
    <col min="1" max="1" width="2" style="2" customWidth="1"/>
    <col min="2" max="2" width="21.7109375" style="2" customWidth="1"/>
    <col min="3" max="3" width="22.5703125" style="2" customWidth="1"/>
    <col min="4" max="4" width="3.28515625" style="2" customWidth="1"/>
    <col min="5" max="5" width="10.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0.28515625" style="2" customWidth="1"/>
    <col min="14" max="16384" width="9.140625" style="2"/>
  </cols>
  <sheetData>
    <row r="1" spans="2:14" ht="15.75">
      <c r="B1" s="16" t="s">
        <v>167</v>
      </c>
      <c r="E1" s="3"/>
      <c r="F1" s="57"/>
      <c r="G1" s="3"/>
      <c r="H1" s="3"/>
      <c r="I1" s="3"/>
      <c r="J1" s="3"/>
      <c r="K1" s="3"/>
      <c r="L1" s="3"/>
      <c r="M1" s="3"/>
      <c r="N1" s="3"/>
    </row>
    <row r="2" spans="2:14">
      <c r="E2" s="3"/>
      <c r="F2" s="57"/>
      <c r="G2" s="3"/>
      <c r="H2" s="3"/>
      <c r="I2" s="3"/>
      <c r="J2" s="3"/>
      <c r="K2" s="3"/>
      <c r="L2" s="3"/>
      <c r="M2" s="3"/>
      <c r="N2" s="3"/>
    </row>
    <row r="3" spans="2:14">
      <c r="B3" s="571" t="s">
        <v>172</v>
      </c>
      <c r="C3" s="571"/>
      <c r="D3" s="21"/>
      <c r="E3" s="44"/>
      <c r="F3" s="88"/>
      <c r="G3" s="84"/>
      <c r="H3" s="80"/>
      <c r="I3" s="80"/>
      <c r="J3" s="80"/>
      <c r="K3" s="3"/>
      <c r="L3" s="89"/>
      <c r="M3" s="80"/>
      <c r="N3" s="3"/>
    </row>
    <row r="4" spans="2:14">
      <c r="B4" s="304" t="s">
        <v>169</v>
      </c>
      <c r="C4" s="304" t="s">
        <v>170</v>
      </c>
      <c r="D4" s="6"/>
      <c r="E4" s="3"/>
      <c r="F4" s="61"/>
      <c r="G4" s="85"/>
      <c r="H4" s="86"/>
      <c r="I4" s="44"/>
      <c r="J4" s="59"/>
      <c r="K4" s="3"/>
      <c r="L4" s="60"/>
      <c r="M4" s="70"/>
      <c r="N4" s="3"/>
    </row>
    <row r="5" spans="2:14">
      <c r="B5" s="101" t="s">
        <v>397</v>
      </c>
      <c r="C5" s="299" t="s">
        <v>408</v>
      </c>
      <c r="D5" s="23" t="s">
        <v>173</v>
      </c>
      <c r="E5" s="3"/>
      <c r="F5" s="61"/>
      <c r="G5" s="85"/>
      <c r="H5" s="86"/>
      <c r="I5" s="44"/>
      <c r="J5" s="59"/>
      <c r="K5" s="3"/>
      <c r="L5" s="60"/>
      <c r="M5" s="70"/>
      <c r="N5" s="3"/>
    </row>
    <row r="6" spans="2:14">
      <c r="B6" s="260" t="s">
        <v>398</v>
      </c>
      <c r="C6" s="300" t="s">
        <v>409</v>
      </c>
      <c r="D6" s="23"/>
      <c r="E6" s="3"/>
      <c r="F6" s="61"/>
      <c r="G6" s="85"/>
      <c r="H6" s="86"/>
      <c r="I6" s="44"/>
      <c r="J6" s="59"/>
      <c r="K6" s="3"/>
      <c r="L6" s="60"/>
      <c r="M6" s="70"/>
      <c r="N6" s="3"/>
    </row>
    <row r="7" spans="2:14">
      <c r="B7" s="260" t="s">
        <v>399</v>
      </c>
      <c r="C7" s="300" t="s">
        <v>410</v>
      </c>
      <c r="D7" s="6"/>
      <c r="E7" s="3"/>
      <c r="F7" s="61"/>
      <c r="G7" s="85"/>
      <c r="H7" s="86"/>
      <c r="I7" s="44"/>
      <c r="J7" s="59"/>
      <c r="K7" s="3"/>
      <c r="L7" s="60"/>
      <c r="M7" s="70"/>
      <c r="N7" s="3"/>
    </row>
    <row r="8" spans="2:14">
      <c r="B8" s="260" t="s">
        <v>400</v>
      </c>
      <c r="C8" s="299" t="s">
        <v>168</v>
      </c>
      <c r="D8" s="6"/>
      <c r="E8" s="3"/>
      <c r="F8" s="61"/>
      <c r="G8" s="85"/>
      <c r="H8" s="86"/>
      <c r="I8" s="44"/>
      <c r="J8" s="59"/>
      <c r="K8" s="3"/>
      <c r="L8" s="60"/>
      <c r="M8" s="70"/>
      <c r="N8" s="3"/>
    </row>
    <row r="9" spans="2:14">
      <c r="B9" s="260" t="s">
        <v>401</v>
      </c>
      <c r="C9" s="299" t="s">
        <v>168</v>
      </c>
      <c r="D9" s="6"/>
      <c r="E9" s="3"/>
      <c r="F9" s="61"/>
      <c r="G9" s="85"/>
      <c r="H9" s="86"/>
      <c r="I9" s="44"/>
      <c r="J9" s="59"/>
      <c r="K9" s="3"/>
      <c r="L9" s="60"/>
      <c r="M9" s="70"/>
      <c r="N9" s="3"/>
    </row>
    <row r="10" spans="2:14">
      <c r="B10" s="260" t="s">
        <v>402</v>
      </c>
      <c r="C10" s="299" t="s">
        <v>168</v>
      </c>
      <c r="D10" s="6"/>
      <c r="E10" s="3"/>
      <c r="F10" s="61"/>
      <c r="G10" s="85"/>
      <c r="H10" s="86"/>
      <c r="I10" s="44"/>
      <c r="J10" s="59"/>
      <c r="K10" s="3"/>
      <c r="L10" s="58"/>
      <c r="M10" s="3"/>
      <c r="N10" s="3"/>
    </row>
    <row r="11" spans="2:14">
      <c r="B11" s="101" t="s">
        <v>403</v>
      </c>
      <c r="C11" s="299" t="s">
        <v>168</v>
      </c>
      <c r="D11" s="6"/>
      <c r="E11" s="3"/>
      <c r="F11" s="61"/>
      <c r="G11" s="85"/>
      <c r="H11" s="86"/>
      <c r="I11" s="44"/>
      <c r="J11" s="59"/>
      <c r="K11" s="3"/>
      <c r="L11" s="66"/>
      <c r="M11" s="71"/>
      <c r="N11" s="3"/>
    </row>
    <row r="12" spans="2:14">
      <c r="B12" s="101" t="s">
        <v>404</v>
      </c>
      <c r="C12" s="299" t="s">
        <v>168</v>
      </c>
      <c r="D12" s="6"/>
      <c r="E12" s="3"/>
      <c r="F12" s="61"/>
      <c r="G12" s="85"/>
      <c r="H12" s="86"/>
      <c r="I12" s="44"/>
      <c r="J12" s="59"/>
      <c r="K12" s="3"/>
      <c r="L12" s="56"/>
      <c r="M12" s="71"/>
      <c r="N12" s="3"/>
    </row>
    <row r="13" spans="2:14">
      <c r="B13" s="101" t="s">
        <v>405</v>
      </c>
      <c r="C13" s="299" t="s">
        <v>168</v>
      </c>
      <c r="D13" s="6"/>
      <c r="E13" s="3"/>
      <c r="F13" s="61"/>
      <c r="G13" s="85"/>
      <c r="H13" s="86"/>
      <c r="I13" s="44"/>
      <c r="J13" s="59"/>
      <c r="K13" s="3"/>
      <c r="L13" s="3"/>
      <c r="M13" s="3"/>
      <c r="N13" s="3"/>
    </row>
    <row r="14" spans="2:14">
      <c r="B14" s="101" t="s">
        <v>406</v>
      </c>
      <c r="C14" s="299" t="s">
        <v>168</v>
      </c>
      <c r="D14" s="23"/>
      <c r="E14" s="3"/>
      <c r="F14" s="60"/>
      <c r="G14" s="7"/>
      <c r="H14" s="3"/>
      <c r="I14" s="44"/>
      <c r="J14" s="22"/>
      <c r="K14" s="3"/>
      <c r="L14" s="3"/>
      <c r="M14" s="3"/>
      <c r="N14" s="3"/>
    </row>
    <row r="15" spans="2:14">
      <c r="B15" s="101" t="s">
        <v>407</v>
      </c>
      <c r="C15" s="299" t="s">
        <v>168</v>
      </c>
      <c r="D15" s="6"/>
      <c r="E15" s="44"/>
      <c r="F15" s="56"/>
      <c r="G15" s="3"/>
      <c r="H15" s="3"/>
      <c r="I15" s="3"/>
      <c r="J15" s="3"/>
      <c r="K15" s="3"/>
      <c r="L15" s="3"/>
      <c r="M15" s="3"/>
      <c r="N15" s="3"/>
    </row>
    <row r="16" spans="2:14">
      <c r="D16" s="6"/>
      <c r="E16" s="44"/>
      <c r="F16" s="66"/>
      <c r="G16" s="67"/>
      <c r="H16" s="42"/>
      <c r="I16" s="3"/>
      <c r="J16" s="3"/>
      <c r="K16" s="3"/>
      <c r="L16" s="3"/>
      <c r="M16" s="3"/>
      <c r="N16" s="3"/>
    </row>
    <row r="17" spans="2:14">
      <c r="B17" s="571" t="s">
        <v>171</v>
      </c>
      <c r="C17" s="571"/>
      <c r="D17" s="6"/>
      <c r="E17" s="44"/>
      <c r="F17" s="56"/>
      <c r="G17" s="67"/>
      <c r="H17" s="3"/>
      <c r="I17" s="3"/>
      <c r="J17" s="3"/>
      <c r="K17" s="3"/>
      <c r="L17" s="3"/>
      <c r="M17" s="3"/>
      <c r="N17" s="3"/>
    </row>
    <row r="18" spans="2:14">
      <c r="B18" s="304" t="s">
        <v>169</v>
      </c>
      <c r="C18" s="304" t="s">
        <v>170</v>
      </c>
      <c r="E18" s="44"/>
      <c r="F18" s="56"/>
      <c r="G18" s="3"/>
      <c r="H18" s="3"/>
      <c r="I18" s="3"/>
      <c r="J18" s="3"/>
      <c r="K18" s="3"/>
      <c r="L18" s="3"/>
      <c r="M18" s="3"/>
      <c r="N18" s="3"/>
    </row>
    <row r="19" spans="2:14">
      <c r="B19" s="101" t="s">
        <v>397</v>
      </c>
      <c r="C19" s="299" t="s">
        <v>408</v>
      </c>
      <c r="D19" s="6" t="s">
        <v>173</v>
      </c>
      <c r="E19" s="44"/>
      <c r="F19" s="56"/>
      <c r="G19" s="3"/>
      <c r="H19" s="3"/>
      <c r="I19" s="3"/>
      <c r="J19" s="3"/>
      <c r="K19" s="3"/>
      <c r="L19" s="3"/>
      <c r="M19" s="3"/>
      <c r="N19" s="3"/>
    </row>
    <row r="20" spans="2:14">
      <c r="B20" s="260" t="s">
        <v>411</v>
      </c>
      <c r="C20" s="300" t="s">
        <v>417</v>
      </c>
      <c r="E20" s="87"/>
      <c r="F20" s="89"/>
      <c r="G20" s="89"/>
      <c r="H20" s="89"/>
      <c r="I20" s="89"/>
      <c r="J20" s="89"/>
      <c r="K20" s="89"/>
      <c r="L20" s="3"/>
      <c r="M20" s="3"/>
      <c r="N20" s="3"/>
    </row>
    <row r="21" spans="2:14">
      <c r="B21" s="260" t="s">
        <v>412</v>
      </c>
      <c r="C21" s="301" t="s">
        <v>418</v>
      </c>
      <c r="D21" s="6"/>
      <c r="E21" s="78"/>
      <c r="F21" s="90"/>
      <c r="G21" s="7"/>
      <c r="H21" s="7"/>
      <c r="I21" s="7"/>
      <c r="J21" s="7"/>
      <c r="K21" s="7"/>
      <c r="L21" s="3"/>
      <c r="M21" s="3"/>
      <c r="N21" s="3"/>
    </row>
    <row r="22" spans="2:14">
      <c r="B22" s="260" t="s">
        <v>413</v>
      </c>
      <c r="C22" s="302" t="s">
        <v>419</v>
      </c>
      <c r="D22" s="6"/>
      <c r="E22" s="44"/>
      <c r="F22" s="57"/>
      <c r="G22" s="57"/>
      <c r="H22" s="57"/>
      <c r="I22" s="79"/>
      <c r="J22" s="56"/>
      <c r="K22" s="57"/>
      <c r="L22" s="3"/>
      <c r="M22" s="3"/>
      <c r="N22" s="3"/>
    </row>
    <row r="23" spans="2:14">
      <c r="B23" s="260" t="s">
        <v>414</v>
      </c>
      <c r="C23" s="302" t="s">
        <v>420</v>
      </c>
      <c r="D23" s="23"/>
      <c r="E23" s="44"/>
      <c r="F23" s="3"/>
      <c r="G23" s="3"/>
      <c r="H23" s="3"/>
      <c r="I23" s="3"/>
      <c r="J23" s="3"/>
      <c r="K23" s="3"/>
      <c r="L23" s="91"/>
      <c r="M23" s="3"/>
      <c r="N23" s="3"/>
    </row>
    <row r="24" spans="2:14">
      <c r="B24" s="260" t="s">
        <v>415</v>
      </c>
      <c r="C24" s="303" t="s">
        <v>421</v>
      </c>
      <c r="D24" s="6"/>
      <c r="E24" s="44"/>
      <c r="F24" s="3"/>
      <c r="G24" s="3"/>
      <c r="H24" s="3"/>
      <c r="I24" s="3"/>
      <c r="J24" s="3"/>
      <c r="K24" s="3"/>
      <c r="L24" s="3"/>
      <c r="M24" s="3"/>
      <c r="N24" s="3"/>
    </row>
    <row r="25" spans="2:14">
      <c r="B25" s="101" t="s">
        <v>416</v>
      </c>
      <c r="C25" s="299" t="s">
        <v>220</v>
      </c>
      <c r="D25" s="6"/>
      <c r="E25" s="6"/>
      <c r="F25" s="57"/>
      <c r="G25" s="3"/>
      <c r="H25" s="66"/>
      <c r="I25" s="67"/>
      <c r="J25" s="3"/>
      <c r="K25" s="3"/>
      <c r="L25" s="3"/>
      <c r="M25" s="3"/>
      <c r="N25" s="3"/>
    </row>
    <row r="26" spans="2:14">
      <c r="D26" s="6"/>
      <c r="E26" s="23"/>
      <c r="F26" s="43"/>
      <c r="G26" s="3"/>
      <c r="H26" s="56"/>
      <c r="I26" s="67"/>
      <c r="J26" s="3"/>
      <c r="K26" s="3"/>
      <c r="L26" s="92"/>
      <c r="M26" s="3"/>
      <c r="N26" s="3"/>
    </row>
    <row r="27" spans="2:14">
      <c r="B27" s="177" t="s">
        <v>174</v>
      </c>
      <c r="C27" s="177">
        <v>2</v>
      </c>
      <c r="D27" s="23"/>
      <c r="E27" s="22"/>
      <c r="F27" s="93"/>
      <c r="G27" s="3"/>
      <c r="H27" s="3"/>
      <c r="I27" s="3"/>
      <c r="J27" s="3"/>
      <c r="K27" s="3"/>
      <c r="L27" s="3"/>
      <c r="M27" s="3"/>
      <c r="N27" s="3"/>
    </row>
    <row r="28" spans="2:14">
      <c r="B28" s="177" t="s">
        <v>175</v>
      </c>
      <c r="C28" s="177">
        <v>8</v>
      </c>
      <c r="D28" s="7"/>
      <c r="E28" s="22"/>
      <c r="F28" s="93"/>
      <c r="G28" s="3"/>
      <c r="H28" s="3"/>
      <c r="I28" s="3"/>
      <c r="J28" s="3"/>
      <c r="K28" s="3"/>
      <c r="L28" s="3"/>
      <c r="M28" s="3"/>
      <c r="N28" s="3"/>
    </row>
    <row r="29" spans="2:14">
      <c r="B29" s="177" t="s">
        <v>176</v>
      </c>
      <c r="C29" s="177">
        <v>5</v>
      </c>
      <c r="D29" s="3"/>
      <c r="E29" s="3"/>
      <c r="F29" s="57"/>
      <c r="G29" s="3"/>
      <c r="H29" s="3"/>
      <c r="I29" s="3"/>
      <c r="J29" s="3"/>
      <c r="K29" s="3"/>
      <c r="L29" s="3"/>
      <c r="M29" s="3"/>
      <c r="N29" s="3"/>
    </row>
    <row r="30" spans="2:14">
      <c r="B30" s="177" t="s">
        <v>177</v>
      </c>
      <c r="C30" s="177">
        <v>5</v>
      </c>
      <c r="D30" s="3"/>
      <c r="E30" s="3"/>
      <c r="F30" s="57"/>
    </row>
    <row r="31" spans="2:14">
      <c r="B31" s="305" t="s">
        <v>167</v>
      </c>
      <c r="C31" s="305">
        <v>6</v>
      </c>
      <c r="D31" s="3"/>
      <c r="E31" s="3"/>
      <c r="F31" s="57"/>
    </row>
    <row r="32" spans="2:14">
      <c r="D32" s="3"/>
      <c r="E32" s="3"/>
      <c r="F32" s="57"/>
    </row>
    <row r="33" spans="2:6">
      <c r="B33" s="571" t="s">
        <v>276</v>
      </c>
      <c r="C33" s="571"/>
      <c r="D33" s="3"/>
      <c r="E33" s="3"/>
      <c r="F33" s="57"/>
    </row>
    <row r="34" spans="2:6">
      <c r="B34" s="304" t="s">
        <v>169</v>
      </c>
      <c r="C34" s="378" t="s">
        <v>146</v>
      </c>
      <c r="D34" s="3"/>
      <c r="E34" s="3"/>
      <c r="F34" s="57"/>
    </row>
    <row r="35" spans="2:6">
      <c r="B35" s="101" t="s">
        <v>277</v>
      </c>
      <c r="C35" s="135">
        <v>0.56169999999999998</v>
      </c>
    </row>
    <row r="36" spans="2:6">
      <c r="B36" s="101" t="s">
        <v>278</v>
      </c>
      <c r="C36" s="135">
        <v>0.27629999999999999</v>
      </c>
    </row>
    <row r="37" spans="2:6">
      <c r="B37" s="101" t="s">
        <v>279</v>
      </c>
      <c r="C37" s="135">
        <f>C38-C36-C35</f>
        <v>0.16200000000000003</v>
      </c>
    </row>
    <row r="38" spans="2:6">
      <c r="C38" s="312">
        <v>1</v>
      </c>
    </row>
  </sheetData>
  <mergeCells count="3">
    <mergeCell ref="B33:C33"/>
    <mergeCell ref="B3:C3"/>
    <mergeCell ref="B17:C1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8"/>
  <sheetViews>
    <sheetView workbookViewId="0">
      <pane xSplit="3" ySplit="4" topLeftCell="D7"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4" t="s">
        <v>42</v>
      </c>
      <c r="C1" s="9"/>
    </row>
    <row r="2" spans="2:3">
      <c r="B2" s="35"/>
      <c r="C2" s="9"/>
    </row>
    <row r="3" spans="2:3">
      <c r="B3" s="9"/>
      <c r="C3" s="9"/>
    </row>
    <row r="4" spans="2:3">
      <c r="B4" s="55" t="s">
        <v>0</v>
      </c>
      <c r="C4" s="55" t="s">
        <v>1</v>
      </c>
    </row>
    <row r="5" spans="2:3">
      <c r="B5" s="38">
        <v>1</v>
      </c>
      <c r="C5" s="39" t="s">
        <v>6</v>
      </c>
    </row>
    <row r="6" spans="2:3">
      <c r="B6" s="36">
        <f>B5+1</f>
        <v>2</v>
      </c>
      <c r="C6" s="37" t="s">
        <v>197</v>
      </c>
    </row>
    <row r="7" spans="2:3">
      <c r="B7" s="36">
        <f t="shared" ref="B7:B28" si="0">B6+1</f>
        <v>3</v>
      </c>
      <c r="C7" s="37" t="s">
        <v>185</v>
      </c>
    </row>
    <row r="8" spans="2:3">
      <c r="B8" s="36">
        <f t="shared" si="0"/>
        <v>4</v>
      </c>
      <c r="C8" s="37" t="s">
        <v>198</v>
      </c>
    </row>
    <row r="9" spans="2:3">
      <c r="B9" s="36">
        <f t="shared" si="0"/>
        <v>5</v>
      </c>
      <c r="C9" s="37" t="s">
        <v>196</v>
      </c>
    </row>
    <row r="10" spans="2:3">
      <c r="B10" s="36">
        <f t="shared" si="0"/>
        <v>6</v>
      </c>
      <c r="C10" s="39" t="s">
        <v>41</v>
      </c>
    </row>
    <row r="11" spans="2:3">
      <c r="B11" s="36">
        <f t="shared" si="0"/>
        <v>7</v>
      </c>
      <c r="C11" s="37" t="s">
        <v>216</v>
      </c>
    </row>
    <row r="12" spans="2:3">
      <c r="B12" s="36">
        <f t="shared" si="0"/>
        <v>8</v>
      </c>
      <c r="C12" s="37" t="s">
        <v>52</v>
      </c>
    </row>
    <row r="13" spans="2:3">
      <c r="B13" s="36">
        <f t="shared" si="0"/>
        <v>9</v>
      </c>
      <c r="C13" s="37" t="s">
        <v>62</v>
      </c>
    </row>
    <row r="14" spans="2:3">
      <c r="B14" s="36">
        <f t="shared" si="0"/>
        <v>10</v>
      </c>
      <c r="C14" s="39" t="s">
        <v>74</v>
      </c>
    </row>
    <row r="15" spans="2:3">
      <c r="B15" s="36">
        <f t="shared" si="0"/>
        <v>11</v>
      </c>
      <c r="C15" s="37" t="s">
        <v>71</v>
      </c>
    </row>
    <row r="16" spans="2:3">
      <c r="B16" s="36">
        <f t="shared" si="0"/>
        <v>12</v>
      </c>
      <c r="C16" s="37" t="s">
        <v>512</v>
      </c>
    </row>
    <row r="17" spans="2:3">
      <c r="B17" s="36">
        <f t="shared" si="0"/>
        <v>13</v>
      </c>
      <c r="C17" s="37" t="s">
        <v>662</v>
      </c>
    </row>
    <row r="18" spans="2:3">
      <c r="B18" s="36">
        <f t="shared" si="0"/>
        <v>14</v>
      </c>
      <c r="C18" s="37" t="s">
        <v>72</v>
      </c>
    </row>
    <row r="19" spans="2:3">
      <c r="B19" s="36">
        <f t="shared" si="0"/>
        <v>15</v>
      </c>
      <c r="C19" s="37" t="s">
        <v>73</v>
      </c>
    </row>
    <row r="20" spans="2:3">
      <c r="B20" s="36">
        <f t="shared" si="0"/>
        <v>16</v>
      </c>
      <c r="C20" s="39" t="s">
        <v>115</v>
      </c>
    </row>
    <row r="21" spans="2:3">
      <c r="B21" s="36">
        <f t="shared" si="0"/>
        <v>17</v>
      </c>
      <c r="C21" s="37" t="s">
        <v>99</v>
      </c>
    </row>
    <row r="22" spans="2:3">
      <c r="B22" s="36">
        <f t="shared" si="0"/>
        <v>18</v>
      </c>
      <c r="C22" s="37" t="s">
        <v>139</v>
      </c>
    </row>
    <row r="23" spans="2:3">
      <c r="B23" s="36">
        <f t="shared" si="0"/>
        <v>19</v>
      </c>
      <c r="C23" s="37" t="s">
        <v>114</v>
      </c>
    </row>
    <row r="24" spans="2:3">
      <c r="B24" s="36">
        <f t="shared" si="0"/>
        <v>20</v>
      </c>
      <c r="C24" s="39" t="s">
        <v>317</v>
      </c>
    </row>
    <row r="25" spans="2:3">
      <c r="B25" s="36">
        <f t="shared" si="0"/>
        <v>21</v>
      </c>
      <c r="C25" s="37" t="s">
        <v>393</v>
      </c>
    </row>
    <row r="26" spans="2:3">
      <c r="B26" s="36">
        <f t="shared" si="0"/>
        <v>22</v>
      </c>
      <c r="C26" s="450" t="s">
        <v>315</v>
      </c>
    </row>
    <row r="27" spans="2:3">
      <c r="B27" s="36">
        <f t="shared" si="0"/>
        <v>23</v>
      </c>
      <c r="C27" s="450" t="s">
        <v>337</v>
      </c>
    </row>
    <row r="28" spans="2:3">
      <c r="B28" s="36">
        <f t="shared" si="0"/>
        <v>24</v>
      </c>
      <c r="C28" s="450" t="s">
        <v>352</v>
      </c>
    </row>
  </sheetData>
  <hyperlinks>
    <hyperlink ref="C15"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3"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2" location="'Future Value (Equity Options)'!A1" display="Future Value of Equity Options"/>
    <hyperlink ref="C25" location="'Debt Design Explained'!A1" display="Debt Design Explained"/>
    <hyperlink ref="C27" location="'Adjusted Present Value'!A1" display="Adjusted Present Value"/>
    <hyperlink ref="C26" location="'Optimal Cost of Capital'!A1" display="Optimal Cost of Capital"/>
    <hyperlink ref="C28" location="'Relative Analysis'!A1" display="Relative Analysis"/>
    <hyperlink ref="C17" location="'Industry &amp; Revenues'!A1" display="Industry &amp; Revenues"/>
    <hyperlink ref="C16" location="'Key Performance Indicators'!A1" display="Key Performance Indicator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0"/>
  <sheetViews>
    <sheetView zoomScaleNormal="100" workbookViewId="0"/>
  </sheetViews>
  <sheetFormatPr defaultRowHeight="12"/>
  <cols>
    <col min="1" max="1" width="2" style="2" customWidth="1"/>
    <col min="2" max="2" width="24" style="2" customWidth="1"/>
    <col min="3" max="3" width="11.7109375" style="2" customWidth="1"/>
    <col min="4" max="4" width="9.28515625" style="2" customWidth="1"/>
    <col min="5" max="5" width="13.85546875" style="2" customWidth="1"/>
    <col min="6" max="6" width="11.42578125" style="2" customWidth="1"/>
    <col min="7" max="7" width="8.7109375" style="2" customWidth="1"/>
    <col min="8" max="8" width="14.140625" style="2" customWidth="1"/>
    <col min="9" max="9" width="9" style="2" customWidth="1"/>
    <col min="10" max="10" width="14.42578125" style="2" customWidth="1"/>
    <col min="11" max="11" width="8.85546875" style="2" customWidth="1"/>
    <col min="12" max="12" width="3.140625" style="2" customWidth="1"/>
    <col min="13" max="13" width="14.140625" style="2" customWidth="1"/>
    <col min="14" max="14" width="11.42578125" style="2" customWidth="1"/>
    <col min="15" max="15" width="2.85546875" style="2" customWidth="1"/>
    <col min="16" max="16" width="12.42578125" style="2" customWidth="1"/>
    <col min="17" max="16384" width="9.140625" style="2"/>
  </cols>
  <sheetData>
    <row r="1" spans="2:17" ht="15.75">
      <c r="B1" s="16" t="s">
        <v>166</v>
      </c>
    </row>
    <row r="3" spans="2:17">
      <c r="B3" s="177" t="s">
        <v>426</v>
      </c>
      <c r="C3" s="48">
        <f>Q25</f>
        <v>2.5284999999999998E-2</v>
      </c>
      <c r="D3" s="21"/>
      <c r="M3" s="77" t="s">
        <v>31</v>
      </c>
      <c r="N3" s="230" t="s">
        <v>219</v>
      </c>
      <c r="P3" s="572" t="s">
        <v>428</v>
      </c>
      <c r="Q3" s="572"/>
    </row>
    <row r="4" spans="2:17">
      <c r="B4" s="177" t="s">
        <v>451</v>
      </c>
      <c r="C4" s="50" t="s">
        <v>199</v>
      </c>
      <c r="D4" s="6"/>
      <c r="M4" s="45" t="s">
        <v>16</v>
      </c>
      <c r="N4" s="12">
        <v>0</v>
      </c>
      <c r="P4" s="304" t="s">
        <v>448</v>
      </c>
      <c r="Q4" s="442" t="s">
        <v>449</v>
      </c>
    </row>
    <row r="5" spans="2:17">
      <c r="B5" s="177" t="s">
        <v>427</v>
      </c>
      <c r="C5" s="48">
        <f>VLOOKUP(C4,$M$3:$N$24,2,0)</f>
        <v>0</v>
      </c>
      <c r="D5" s="6"/>
      <c r="M5" s="45" t="s">
        <v>17</v>
      </c>
      <c r="N5" s="12">
        <v>3.3999999999999998E-3</v>
      </c>
      <c r="P5" s="28" t="s">
        <v>429</v>
      </c>
      <c r="Q5" s="466">
        <v>3.168E-2</v>
      </c>
    </row>
    <row r="6" spans="2:17">
      <c r="B6" s="177" t="s">
        <v>428</v>
      </c>
      <c r="C6" s="49">
        <f>C3</f>
        <v>2.5284999999999998E-2</v>
      </c>
      <c r="D6" s="23"/>
      <c r="M6" s="45" t="s">
        <v>10</v>
      </c>
      <c r="N6" s="12">
        <v>4.1999999999999997E-3</v>
      </c>
      <c r="P6" s="28" t="s">
        <v>430</v>
      </c>
      <c r="Q6" s="466">
        <v>3.1949999999999999E-2</v>
      </c>
    </row>
    <row r="7" spans="2:17">
      <c r="D7" s="6"/>
      <c r="M7" s="45" t="s">
        <v>21</v>
      </c>
      <c r="N7" s="12">
        <v>5.1000000000000004E-3</v>
      </c>
      <c r="P7" s="28" t="s">
        <v>431</v>
      </c>
      <c r="Q7" s="466">
        <v>3.8920000000000003E-2</v>
      </c>
    </row>
    <row r="8" spans="2:17">
      <c r="B8" s="230"/>
      <c r="C8" s="230" t="s">
        <v>423</v>
      </c>
      <c r="D8" s="230" t="s">
        <v>146</v>
      </c>
      <c r="E8" s="230" t="s">
        <v>124</v>
      </c>
      <c r="F8" s="230" t="s">
        <v>289</v>
      </c>
      <c r="G8" s="230" t="s">
        <v>140</v>
      </c>
      <c r="H8" s="230" t="s">
        <v>259</v>
      </c>
      <c r="M8" s="45" t="s">
        <v>26</v>
      </c>
      <c r="N8" s="43">
        <v>6.0000000000000001E-3</v>
      </c>
      <c r="P8" s="28" t="s">
        <v>432</v>
      </c>
      <c r="Q8" s="466">
        <v>4.2049999999999997E-2</v>
      </c>
    </row>
    <row r="9" spans="2:17">
      <c r="B9" s="177" t="s">
        <v>362</v>
      </c>
      <c r="C9" s="452">
        <v>80</v>
      </c>
      <c r="D9" s="63">
        <f>C9/$C$13</f>
        <v>0.3902439024390244</v>
      </c>
      <c r="E9" s="98">
        <f>$E$10+F9</f>
        <v>5.9582352271974053E-2</v>
      </c>
      <c r="F9" s="75">
        <f>C17</f>
        <v>1.0682352271974054E-2</v>
      </c>
      <c r="G9" s="75">
        <f>D17</f>
        <v>2.6225021445346965E-2</v>
      </c>
      <c r="H9" s="319">
        <f>I20</f>
        <v>0.24828912576026474</v>
      </c>
      <c r="M9" s="45" t="s">
        <v>23</v>
      </c>
      <c r="N9" s="12">
        <v>7.1999999999999998E-3</v>
      </c>
      <c r="P9" s="28" t="s">
        <v>433</v>
      </c>
      <c r="Q9" s="475" t="s">
        <v>118</v>
      </c>
    </row>
    <row r="10" spans="2:17">
      <c r="B10" s="177" t="s">
        <v>356</v>
      </c>
      <c r="C10" s="452">
        <v>57</v>
      </c>
      <c r="D10" s="63">
        <f t="shared" ref="D10:D12" si="0">C10/$C$13</f>
        <v>0.2780487804878049</v>
      </c>
      <c r="E10" s="98">
        <v>4.8899999999999999E-2</v>
      </c>
      <c r="F10" s="75">
        <v>0</v>
      </c>
      <c r="G10" s="75">
        <v>0</v>
      </c>
      <c r="H10" s="319">
        <f>I19</f>
        <v>0.214381978426984</v>
      </c>
      <c r="M10" s="45" t="s">
        <v>24</v>
      </c>
      <c r="N10" s="12">
        <v>1.0200000000000001E-2</v>
      </c>
      <c r="P10" s="28" t="s">
        <v>434</v>
      </c>
      <c r="Q10" s="466">
        <v>3.0790000000000001E-2</v>
      </c>
    </row>
    <row r="11" spans="2:17">
      <c r="B11" s="297" t="s">
        <v>357</v>
      </c>
      <c r="C11" s="452">
        <v>43</v>
      </c>
      <c r="D11" s="63">
        <f t="shared" si="0"/>
        <v>0.2097560975609756</v>
      </c>
      <c r="E11" s="98">
        <f>$E$10+F11</f>
        <v>9.7358681715630807E-2</v>
      </c>
      <c r="F11" s="75">
        <f>C23</f>
        <v>4.8458681715630801E-2</v>
      </c>
      <c r="G11" s="75">
        <f>D23</f>
        <v>6.8357008472391123E-2</v>
      </c>
      <c r="H11" s="319">
        <f>I21</f>
        <v>0.31119999999999998</v>
      </c>
      <c r="M11" s="45" t="s">
        <v>25</v>
      </c>
      <c r="N11" s="12">
        <v>1.3599999999999999E-2</v>
      </c>
      <c r="P11" s="28" t="s">
        <v>435</v>
      </c>
      <c r="Q11" s="466">
        <v>3.0040000000000001E-2</v>
      </c>
    </row>
    <row r="12" spans="2:17">
      <c r="B12" s="297" t="s">
        <v>422</v>
      </c>
      <c r="C12" s="452">
        <v>25</v>
      </c>
      <c r="D12" s="63">
        <f t="shared" si="0"/>
        <v>0.12195121951219512</v>
      </c>
      <c r="E12" s="98">
        <f>$E$9+F12</f>
        <v>7.6255205759206079E-2</v>
      </c>
      <c r="F12" s="75">
        <f>C30</f>
        <v>1.6672853487232023E-2</v>
      </c>
      <c r="G12" s="75">
        <f>D30</f>
        <v>2.3519138051741034E-2</v>
      </c>
      <c r="H12" s="319">
        <f>I26</f>
        <v>0.24231932564757067</v>
      </c>
      <c r="M12" s="45" t="s">
        <v>12</v>
      </c>
      <c r="N12" s="12">
        <v>1.6199999999999999E-2</v>
      </c>
      <c r="P12" s="472" t="s">
        <v>436</v>
      </c>
      <c r="Q12" s="473">
        <v>2.5284999999999998E-2</v>
      </c>
    </row>
    <row r="13" spans="2:17">
      <c r="C13" s="471">
        <f>SUM(C9:C12)</f>
        <v>205</v>
      </c>
      <c r="D13" s="232">
        <f>SUM(D9:D12)</f>
        <v>1</v>
      </c>
      <c r="E13" s="232">
        <f>(D9*E9)+(D10*E10)+(D11*E11)+(D12*E12)</f>
        <v>6.6569227509805859E-2</v>
      </c>
      <c r="F13" s="232">
        <f>(F9*D9)+(D10*F10)+(D11*F11)+(D12*F12)</f>
        <v>1.6366501622979753E-2</v>
      </c>
      <c r="G13" s="232">
        <f>(D9*G9)+(D10*G10)+(D11*G11)+(D12*G12)</f>
        <v>2.7440641615776105E-2</v>
      </c>
      <c r="H13" s="283">
        <f>(D9*H9)+(D10*H10)+(D11*H11)+(D12*H12)</f>
        <v>0.25132919986511482</v>
      </c>
      <c r="M13" s="45" t="s">
        <v>29</v>
      </c>
      <c r="N13" s="12">
        <v>1.8700000000000001E-2</v>
      </c>
      <c r="P13" s="28" t="s">
        <v>437</v>
      </c>
      <c r="Q13" s="466">
        <v>4.4179999999999997E-2</v>
      </c>
    </row>
    <row r="14" spans="2:17">
      <c r="D14" s="86" t="s">
        <v>9</v>
      </c>
      <c r="E14" s="49">
        <f>E13</f>
        <v>6.6569227509805859E-2</v>
      </c>
      <c r="G14" s="51"/>
      <c r="M14" s="45" t="s">
        <v>28</v>
      </c>
      <c r="N14" s="12">
        <v>2.1299999999999999E-2</v>
      </c>
      <c r="P14" s="28" t="s">
        <v>438</v>
      </c>
      <c r="Q14" s="466">
        <v>3.0120000000000001E-2</v>
      </c>
    </row>
    <row r="15" spans="2:17">
      <c r="M15" s="45" t="s">
        <v>18</v>
      </c>
      <c r="N15" s="12">
        <v>2.5600000000000001E-2</v>
      </c>
      <c r="P15" s="28" t="s">
        <v>439</v>
      </c>
      <c r="Q15" s="466">
        <v>4.4330000000000001E-2</v>
      </c>
    </row>
    <row r="16" spans="2:17">
      <c r="B16" s="304" t="s">
        <v>362</v>
      </c>
      <c r="C16" s="442" t="s">
        <v>289</v>
      </c>
      <c r="D16" s="378" t="s">
        <v>140</v>
      </c>
      <c r="E16" s="378" t="s">
        <v>359</v>
      </c>
      <c r="F16" s="378" t="s">
        <v>146</v>
      </c>
      <c r="H16" s="218" t="s">
        <v>368</v>
      </c>
      <c r="I16" s="448" t="s">
        <v>369</v>
      </c>
      <c r="J16" s="448" t="s">
        <v>359</v>
      </c>
      <c r="K16" s="448" t="s">
        <v>146</v>
      </c>
      <c r="M16" s="45" t="s">
        <v>15</v>
      </c>
      <c r="N16" s="12">
        <v>3.0599999999999999E-2</v>
      </c>
      <c r="P16" s="28" t="s">
        <v>440</v>
      </c>
      <c r="Q16" s="475" t="s">
        <v>118</v>
      </c>
    </row>
    <row r="17" spans="2:17">
      <c r="B17" s="28" t="s">
        <v>362</v>
      </c>
      <c r="C17" s="98">
        <v>1.0682352271974054E-2</v>
      </c>
      <c r="D17" s="98">
        <v>2.6225021445346965E-2</v>
      </c>
      <c r="E17" s="439">
        <v>24979229.184001587</v>
      </c>
      <c r="F17" s="319">
        <v>0.82803598766017616</v>
      </c>
      <c r="H17" s="443" t="s">
        <v>367</v>
      </c>
      <c r="I17" s="98">
        <v>0.21</v>
      </c>
      <c r="J17" s="438">
        <v>22996100</v>
      </c>
      <c r="K17" s="319">
        <f>J17/$J$19</f>
        <v>0.92032766496392737</v>
      </c>
      <c r="M17" s="45" t="s">
        <v>11</v>
      </c>
      <c r="N17" s="12">
        <v>3.8300000000000001E-2</v>
      </c>
      <c r="P17" s="28" t="s">
        <v>441</v>
      </c>
      <c r="Q17" s="466">
        <v>4.65E-2</v>
      </c>
    </row>
    <row r="18" spans="2:17">
      <c r="C18" s="283">
        <v>1.5797892041047701E-2</v>
      </c>
      <c r="D18" s="283">
        <v>3.1522657169278087E-2</v>
      </c>
      <c r="E18" s="440">
        <v>30166840.03624852</v>
      </c>
      <c r="F18" s="441">
        <v>1</v>
      </c>
      <c r="H18" s="105" t="s">
        <v>221</v>
      </c>
      <c r="I18" s="98">
        <v>0.26500000000000001</v>
      </c>
      <c r="J18" s="438">
        <v>1990761.6096652299</v>
      </c>
      <c r="K18" s="319">
        <f>J18/$J$19</f>
        <v>7.9672335036072656E-2</v>
      </c>
      <c r="M18" s="45" t="s">
        <v>19</v>
      </c>
      <c r="N18" s="12">
        <v>4.6800000000000001E-2</v>
      </c>
      <c r="P18" s="28" t="s">
        <v>442</v>
      </c>
      <c r="Q18" s="475" t="s">
        <v>118</v>
      </c>
    </row>
    <row r="19" spans="2:17">
      <c r="H19" s="444" t="s">
        <v>356</v>
      </c>
      <c r="I19" s="445">
        <f>(I17*K17)+(I18*K18)</f>
        <v>0.214381978426984</v>
      </c>
      <c r="J19" s="446">
        <f>SUM(J17:J18)</f>
        <v>24986861.60966523</v>
      </c>
      <c r="K19" s="447">
        <f>SUM(K17:K18)</f>
        <v>1</v>
      </c>
      <c r="M19" s="45" t="s">
        <v>13</v>
      </c>
      <c r="N19" s="12">
        <v>5.5300000000000002E-2</v>
      </c>
      <c r="P19" s="28" t="s">
        <v>443</v>
      </c>
      <c r="Q19" s="466">
        <v>3.6110000000000003E-2</v>
      </c>
    </row>
    <row r="20" spans="2:17">
      <c r="B20" s="304" t="s">
        <v>357</v>
      </c>
      <c r="C20" s="442" t="s">
        <v>289</v>
      </c>
      <c r="D20" s="442" t="s">
        <v>140</v>
      </c>
      <c r="E20" s="378" t="s">
        <v>359</v>
      </c>
      <c r="F20" s="378" t="s">
        <v>146</v>
      </c>
      <c r="H20" s="444" t="s">
        <v>362</v>
      </c>
      <c r="I20" s="445">
        <v>0.24828912576026474</v>
      </c>
      <c r="J20" s="446">
        <f>E17</f>
        <v>24979229.184001587</v>
      </c>
      <c r="K20" s="447">
        <f>F17</f>
        <v>0.82803598766017616</v>
      </c>
      <c r="M20" s="45" t="s">
        <v>20</v>
      </c>
      <c r="N20" s="12">
        <v>6.3799999999999996E-2</v>
      </c>
      <c r="P20" s="28" t="s">
        <v>450</v>
      </c>
      <c r="Q20" s="466">
        <v>2.8289999999999999E-2</v>
      </c>
    </row>
    <row r="21" spans="2:17">
      <c r="B21" s="17" t="s">
        <v>363</v>
      </c>
      <c r="C21" s="98"/>
      <c r="D21" s="98">
        <v>0.11190442097799</v>
      </c>
      <c r="E21" s="438">
        <v>302670.40325235901</v>
      </c>
      <c r="F21" s="319">
        <v>5.8387098350990763E-2</v>
      </c>
      <c r="H21" s="444" t="s">
        <v>357</v>
      </c>
      <c r="I21" s="445">
        <v>0.31119999999999998</v>
      </c>
      <c r="J21" s="446">
        <v>5183857.5952665582</v>
      </c>
      <c r="K21" s="447">
        <v>1</v>
      </c>
      <c r="M21" s="45" t="s">
        <v>27</v>
      </c>
      <c r="N21" s="12">
        <v>7.6600000000000001E-2</v>
      </c>
      <c r="P21" s="28" t="s">
        <v>444</v>
      </c>
      <c r="Q21" s="466">
        <v>3.4110000000000001E-2</v>
      </c>
    </row>
    <row r="22" spans="2:17">
      <c r="B22" s="17" t="s">
        <v>364</v>
      </c>
      <c r="C22" s="98"/>
      <c r="D22" s="98">
        <v>6.5656740610255004E-2</v>
      </c>
      <c r="E22" s="438">
        <v>4881187.1920141988</v>
      </c>
      <c r="F22" s="319">
        <v>0.94161290164900913</v>
      </c>
      <c r="H22" s="105" t="s">
        <v>365</v>
      </c>
      <c r="I22" s="98">
        <v>0.24521330317788381</v>
      </c>
      <c r="J22" s="438">
        <v>31076239.138915617</v>
      </c>
      <c r="K22" s="319">
        <f>J22/$J$26</f>
        <v>0.81658160049832529</v>
      </c>
      <c r="M22" s="45" t="s">
        <v>22</v>
      </c>
      <c r="N22" s="12">
        <v>8.5099999999999995E-2</v>
      </c>
      <c r="P22" s="28" t="s">
        <v>445</v>
      </c>
      <c r="Q22" s="466">
        <v>3.4099999999999998E-2</v>
      </c>
    </row>
    <row r="23" spans="2:17">
      <c r="B23" s="3"/>
      <c r="C23" s="283">
        <v>4.8458681715630801E-2</v>
      </c>
      <c r="D23" s="283">
        <v>6.8357008472391123E-2</v>
      </c>
      <c r="E23" s="440">
        <v>5183857.5952665582</v>
      </c>
      <c r="F23" s="441">
        <f>SUM(F21:F22)</f>
        <v>0.99999999999999989</v>
      </c>
      <c r="H23" s="105" t="s">
        <v>370</v>
      </c>
      <c r="I23" s="98">
        <v>0.29721092725087606</v>
      </c>
      <c r="J23" s="438">
        <v>1792651.7962290661</v>
      </c>
      <c r="K23" s="319">
        <f t="shared" ref="K23:K25" si="1">J23/$J$26</f>
        <v>4.7105007345235927E-2</v>
      </c>
      <c r="M23" s="45" t="s">
        <v>14</v>
      </c>
      <c r="N23" s="12">
        <v>0.1021</v>
      </c>
      <c r="P23" s="28" t="s">
        <v>446</v>
      </c>
      <c r="Q23" s="466">
        <v>3.703E-2</v>
      </c>
    </row>
    <row r="24" spans="2:17">
      <c r="H24" s="443" t="s">
        <v>360</v>
      </c>
      <c r="I24" s="98">
        <v>0.27268967770769714</v>
      </c>
      <c r="J24" s="438">
        <f>E28</f>
        <v>2326131.6650345619</v>
      </c>
      <c r="K24" s="319">
        <f t="shared" si="1"/>
        <v>6.1123107899665803E-2</v>
      </c>
      <c r="M24" s="45" t="s">
        <v>30</v>
      </c>
      <c r="N24" s="12">
        <v>0.17499999999999999</v>
      </c>
      <c r="P24" s="28" t="s">
        <v>447</v>
      </c>
      <c r="Q24" s="466">
        <v>3.5779999999999999E-2</v>
      </c>
    </row>
    <row r="25" spans="2:17">
      <c r="B25" s="304" t="s">
        <v>422</v>
      </c>
      <c r="C25" s="442" t="s">
        <v>289</v>
      </c>
      <c r="D25" s="378" t="s">
        <v>140</v>
      </c>
      <c r="E25" s="378" t="s">
        <v>359</v>
      </c>
      <c r="F25" s="378" t="s">
        <v>146</v>
      </c>
      <c r="H25" s="105" t="s">
        <v>361</v>
      </c>
      <c r="I25" s="98">
        <v>0.15181337167475101</v>
      </c>
      <c r="J25" s="438">
        <f>E29</f>
        <v>2861479.1872123685</v>
      </c>
      <c r="K25" s="319">
        <f t="shared" si="1"/>
        <v>7.5190284256773099E-2</v>
      </c>
      <c r="Q25" s="474">
        <f>MIN(Q5:Q24)</f>
        <v>2.5284999999999998E-2</v>
      </c>
    </row>
    <row r="26" spans="2:17">
      <c r="B26" s="28" t="s">
        <v>365</v>
      </c>
      <c r="C26" s="98">
        <v>1.3668800788686953E-2</v>
      </c>
      <c r="D26" s="98">
        <v>1.9281546633950514E-2</v>
      </c>
      <c r="E26" s="438">
        <v>31076239.138915617</v>
      </c>
      <c r="F26" s="319">
        <f>E26/$E$30</f>
        <v>0.81658160049832529</v>
      </c>
      <c r="H26" s="444" t="s">
        <v>422</v>
      </c>
      <c r="I26" s="445">
        <f>(I22*K22)+(I23*K23)+(I24*K24)+(I25*K25)</f>
        <v>0.24231932564757067</v>
      </c>
      <c r="J26" s="446">
        <f>SUM(J22:J25)</f>
        <v>38056501.78739161</v>
      </c>
      <c r="K26" s="447">
        <f>SUM(K22:K25)</f>
        <v>1</v>
      </c>
    </row>
    <row r="27" spans="2:17">
      <c r="B27" s="28" t="s">
        <v>366</v>
      </c>
      <c r="C27" s="98">
        <v>0</v>
      </c>
      <c r="D27" s="98">
        <v>1.6642806441867469E-8</v>
      </c>
      <c r="E27" s="439">
        <v>1792651.7962290661</v>
      </c>
      <c r="F27" s="319">
        <f t="shared" ref="F27:F29" si="2">E27/$E$30</f>
        <v>4.7105007345235927E-2</v>
      </c>
    </row>
    <row r="28" spans="2:17">
      <c r="B28" s="28" t="s">
        <v>360</v>
      </c>
      <c r="C28" s="98">
        <v>6.830904895845899E-2</v>
      </c>
      <c r="D28" s="98">
        <v>9.6358424808081405E-2</v>
      </c>
      <c r="E28" s="438">
        <v>2326131.6650345619</v>
      </c>
      <c r="F28" s="319">
        <f t="shared" si="2"/>
        <v>6.1123107899665803E-2</v>
      </c>
    </row>
    <row r="29" spans="2:17">
      <c r="B29" s="28" t="s">
        <v>361</v>
      </c>
      <c r="C29" s="98">
        <v>1.7766934990427034E-2</v>
      </c>
      <c r="D29" s="98">
        <v>2.5062475549707256E-2</v>
      </c>
      <c r="E29" s="439">
        <v>2861479.1872123685</v>
      </c>
      <c r="F29" s="319">
        <f t="shared" si="2"/>
        <v>7.5190284256773099E-2</v>
      </c>
    </row>
    <row r="30" spans="2:17">
      <c r="B30" s="3"/>
      <c r="C30" s="283">
        <f>(C26*F26)+(C27*F27)+(C28*F28)+(C29*F29)</f>
        <v>1.6672853487232023E-2</v>
      </c>
      <c r="D30" s="283">
        <f>(D26*F26)+(D27*F27)+(D28*F28)+(D29*F29)</f>
        <v>2.3519138051741034E-2</v>
      </c>
      <c r="E30" s="440">
        <f>SUM(E26:E29)</f>
        <v>38056501.78739161</v>
      </c>
      <c r="F30" s="441">
        <f>SUM(F26:F29)</f>
        <v>1</v>
      </c>
    </row>
  </sheetData>
  <mergeCells count="1">
    <mergeCell ref="P3:Q3"/>
  </mergeCells>
  <conditionalFormatting sqref="N4:N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T73"/>
  <sheetViews>
    <sheetView zoomScaleNormal="100" workbookViewId="0"/>
  </sheetViews>
  <sheetFormatPr defaultRowHeight="12"/>
  <cols>
    <col min="1" max="1" width="2" style="2" customWidth="1"/>
    <col min="2" max="2" width="29.5703125" style="2" customWidth="1"/>
    <col min="3" max="3" width="10.85546875" style="2" customWidth="1"/>
    <col min="4" max="4" width="13.28515625" style="2" customWidth="1"/>
    <col min="5" max="5" width="15.140625" style="2" customWidth="1"/>
    <col min="6" max="6" width="11.28515625" style="2" customWidth="1"/>
    <col min="7" max="7" width="13.28515625" style="13" customWidth="1"/>
    <col min="8" max="8" width="12.28515625" style="2" customWidth="1"/>
    <col min="9" max="9" width="10"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16384" width="9.140625" style="2"/>
  </cols>
  <sheetData>
    <row r="1" spans="2:17" ht="15.75">
      <c r="B1" s="16" t="s">
        <v>185</v>
      </c>
      <c r="E1" s="3"/>
      <c r="F1" s="3"/>
      <c r="G1" s="57"/>
      <c r="H1" s="3"/>
      <c r="I1" s="3"/>
      <c r="J1" s="3"/>
      <c r="K1" s="3"/>
      <c r="L1" s="3"/>
      <c r="M1" s="3"/>
      <c r="N1" s="3"/>
      <c r="O1" s="3"/>
      <c r="P1" s="3"/>
    </row>
    <row r="2" spans="2:17">
      <c r="M2" s="262"/>
      <c r="N2" s="102"/>
      <c r="O2" s="102"/>
      <c r="P2" s="102"/>
    </row>
    <row r="3" spans="2:17">
      <c r="B3" s="571" t="s">
        <v>495</v>
      </c>
      <c r="C3" s="571"/>
      <c r="D3" s="571"/>
      <c r="E3" s="571"/>
      <c r="F3" s="571"/>
      <c r="G3" s="571"/>
      <c r="H3" s="571"/>
      <c r="I3" s="571"/>
      <c r="J3" s="571"/>
      <c r="K3" s="571"/>
      <c r="L3" s="571"/>
      <c r="M3" s="571"/>
      <c r="N3" s="571"/>
      <c r="O3" s="571"/>
      <c r="P3" s="102"/>
      <c r="Q3" s="102"/>
    </row>
    <row r="4" spans="2:17">
      <c r="B4" s="218" t="s">
        <v>125</v>
      </c>
      <c r="C4" s="218" t="s">
        <v>34</v>
      </c>
      <c r="D4" s="198" t="s">
        <v>178</v>
      </c>
      <c r="E4" s="306" t="s">
        <v>186</v>
      </c>
      <c r="F4" s="306" t="s">
        <v>496</v>
      </c>
      <c r="G4" s="306" t="s">
        <v>179</v>
      </c>
      <c r="H4" s="306" t="s">
        <v>180</v>
      </c>
      <c r="I4" s="306" t="s">
        <v>181</v>
      </c>
      <c r="J4" s="306" t="s">
        <v>182</v>
      </c>
      <c r="K4" s="306" t="s">
        <v>183</v>
      </c>
      <c r="L4" s="306" t="s">
        <v>184</v>
      </c>
      <c r="M4" s="306" t="s">
        <v>35</v>
      </c>
      <c r="N4" s="306" t="s">
        <v>222</v>
      </c>
      <c r="O4" s="306" t="s">
        <v>223</v>
      </c>
    </row>
    <row r="5" spans="2:17">
      <c r="B5" s="62" t="s">
        <v>453</v>
      </c>
      <c r="C5" s="62" t="s">
        <v>452</v>
      </c>
      <c r="D5" s="477" t="s">
        <v>118</v>
      </c>
      <c r="E5" s="307">
        <v>310.27600000000001</v>
      </c>
      <c r="F5" s="307">
        <v>26.89</v>
      </c>
      <c r="G5" s="307">
        <f>E5+F5</f>
        <v>337.166</v>
      </c>
      <c r="H5" s="307">
        <v>0</v>
      </c>
      <c r="I5" s="307">
        <f>G5-H5</f>
        <v>337.166</v>
      </c>
      <c r="J5" s="310">
        <f>H5/G5</f>
        <v>0</v>
      </c>
      <c r="K5" s="219">
        <f>F5/E5</f>
        <v>8.6664775876961156E-2</v>
      </c>
      <c r="L5" s="307">
        <v>400.01900000000001</v>
      </c>
      <c r="M5" s="219">
        <f>I5/L5</f>
        <v>0.84287496343923662</v>
      </c>
      <c r="N5" s="219">
        <v>0</v>
      </c>
      <c r="O5" s="477" t="s">
        <v>118</v>
      </c>
      <c r="Q5" s="13"/>
    </row>
    <row r="6" spans="2:17">
      <c r="B6" s="62" t="s">
        <v>454</v>
      </c>
      <c r="C6" s="62" t="s">
        <v>455</v>
      </c>
      <c r="D6" s="476">
        <v>0.77</v>
      </c>
      <c r="E6" s="307">
        <v>16748</v>
      </c>
      <c r="F6" s="307">
        <v>410.16800000000001</v>
      </c>
      <c r="G6" s="307">
        <f t="shared" ref="G6:G26" si="0">E6+F6</f>
        <v>17158.168000000001</v>
      </c>
      <c r="H6" s="307">
        <v>603.07899999999995</v>
      </c>
      <c r="I6" s="307">
        <f t="shared" ref="I6:I26" si="1">G6-H6</f>
        <v>16555.089</v>
      </c>
      <c r="J6" s="310">
        <f t="shared" ref="J6:J26" si="2">H6/G6</f>
        <v>3.5148216289757735E-2</v>
      </c>
      <c r="K6" s="219">
        <f t="shared" ref="K6:K26" si="3">F6/E6</f>
        <v>2.4490566037735851E-2</v>
      </c>
      <c r="L6" s="307">
        <v>9779.8580000000002</v>
      </c>
      <c r="M6" s="219">
        <f t="shared" ref="M6:M26" si="4">I6/L6</f>
        <v>1.6927739646117561</v>
      </c>
      <c r="N6" s="219">
        <v>618.12300000000005</v>
      </c>
      <c r="O6" s="219">
        <f t="shared" ref="O6:O26" si="5">L6/N6</f>
        <v>15.821863933230116</v>
      </c>
      <c r="Q6" s="478"/>
    </row>
    <row r="7" spans="2:17">
      <c r="B7" s="62" t="s">
        <v>457</v>
      </c>
      <c r="C7" s="233" t="s">
        <v>456</v>
      </c>
      <c r="D7" s="476">
        <v>1.29</v>
      </c>
      <c r="E7" s="307">
        <v>183229</v>
      </c>
      <c r="F7" s="308">
        <v>51608</v>
      </c>
      <c r="G7" s="307">
        <f t="shared" si="0"/>
        <v>234837</v>
      </c>
      <c r="H7" s="307">
        <v>11615</v>
      </c>
      <c r="I7" s="307">
        <f t="shared" si="1"/>
        <v>223222</v>
      </c>
      <c r="J7" s="310">
        <f t="shared" si="2"/>
        <v>4.9459838100469687E-2</v>
      </c>
      <c r="K7" s="219">
        <f t="shared" si="3"/>
        <v>0.28165847109354958</v>
      </c>
      <c r="L7" s="308">
        <v>84415</v>
      </c>
      <c r="M7" s="219">
        <f t="shared" si="4"/>
        <v>2.644340460818575</v>
      </c>
      <c r="N7" s="219">
        <v>0</v>
      </c>
      <c r="O7" s="477" t="s">
        <v>118</v>
      </c>
      <c r="Q7" s="13"/>
    </row>
    <row r="8" spans="2:17">
      <c r="B8" s="62" t="s">
        <v>458</v>
      </c>
      <c r="C8" s="233" t="s">
        <v>459</v>
      </c>
      <c r="D8" s="476">
        <v>1.02</v>
      </c>
      <c r="E8" s="307">
        <v>155994</v>
      </c>
      <c r="F8" s="307">
        <v>94811</v>
      </c>
      <c r="G8" s="307">
        <f t="shared" si="0"/>
        <v>250805</v>
      </c>
      <c r="H8" s="308">
        <v>4749</v>
      </c>
      <c r="I8" s="307">
        <f t="shared" si="1"/>
        <v>246056</v>
      </c>
      <c r="J8" s="310">
        <f t="shared" si="2"/>
        <v>1.893502920595682E-2</v>
      </c>
      <c r="K8" s="219">
        <f t="shared" si="3"/>
        <v>0.60778619690500912</v>
      </c>
      <c r="L8" s="307">
        <v>121427</v>
      </c>
      <c r="M8" s="219">
        <f t="shared" si="4"/>
        <v>2.0263697530203331</v>
      </c>
      <c r="N8" s="219">
        <v>8506</v>
      </c>
      <c r="O8" s="219">
        <f t="shared" si="5"/>
        <v>14.275452621678815</v>
      </c>
      <c r="Q8" s="478"/>
    </row>
    <row r="9" spans="2:17">
      <c r="B9" s="62" t="s">
        <v>461</v>
      </c>
      <c r="C9" s="233" t="s">
        <v>460</v>
      </c>
      <c r="D9" s="476">
        <v>1.28</v>
      </c>
      <c r="E9" s="307">
        <v>2321000</v>
      </c>
      <c r="F9" s="307">
        <v>120069</v>
      </c>
      <c r="G9" s="307">
        <f t="shared" si="0"/>
        <v>2441069</v>
      </c>
      <c r="H9" s="307">
        <v>48304</v>
      </c>
      <c r="I9" s="307">
        <f t="shared" si="1"/>
        <v>2392765</v>
      </c>
      <c r="J9" s="310">
        <f t="shared" si="2"/>
        <v>1.9788051873994548E-2</v>
      </c>
      <c r="K9" s="219">
        <f t="shared" si="3"/>
        <v>5.1731581214993536E-2</v>
      </c>
      <c r="L9" s="307">
        <v>387537</v>
      </c>
      <c r="M9" s="219">
        <f t="shared" si="4"/>
        <v>6.1742878744481171</v>
      </c>
      <c r="N9" s="219">
        <v>0</v>
      </c>
      <c r="O9" s="477" t="s">
        <v>118</v>
      </c>
      <c r="Q9" s="13"/>
    </row>
    <row r="10" spans="2:17">
      <c r="B10" s="62" t="s">
        <v>462</v>
      </c>
      <c r="C10" s="233" t="s">
        <v>463</v>
      </c>
      <c r="D10" s="476">
        <v>1.51</v>
      </c>
      <c r="E10" s="307">
        <v>37762</v>
      </c>
      <c r="F10" s="307">
        <v>14759</v>
      </c>
      <c r="G10" s="307">
        <f t="shared" si="0"/>
        <v>52521</v>
      </c>
      <c r="H10" s="307">
        <v>3905</v>
      </c>
      <c r="I10" s="307">
        <f t="shared" si="1"/>
        <v>48616</v>
      </c>
      <c r="J10" s="310">
        <f t="shared" si="2"/>
        <v>7.4351211896193897E-2</v>
      </c>
      <c r="K10" s="219">
        <f t="shared" si="3"/>
        <v>0.39084264604628993</v>
      </c>
      <c r="L10" s="307">
        <v>25996</v>
      </c>
      <c r="M10" s="219">
        <f t="shared" si="4"/>
        <v>1.8701338667487306</v>
      </c>
      <c r="N10" s="219">
        <v>0</v>
      </c>
      <c r="O10" s="477" t="s">
        <v>118</v>
      </c>
      <c r="Q10" s="13"/>
    </row>
    <row r="11" spans="2:17">
      <c r="B11" s="62" t="s">
        <v>464</v>
      </c>
      <c r="C11" s="62" t="s">
        <v>465</v>
      </c>
      <c r="D11" s="476">
        <v>1.21</v>
      </c>
      <c r="E11" s="307">
        <v>141242</v>
      </c>
      <c r="F11" s="309">
        <v>14353.075999999999</v>
      </c>
      <c r="G11" s="307">
        <f t="shared" si="0"/>
        <v>155595.076</v>
      </c>
      <c r="H11" s="307">
        <v>6058.4520000000002</v>
      </c>
      <c r="I11" s="307">
        <f t="shared" si="1"/>
        <v>149536.62400000001</v>
      </c>
      <c r="J11" s="310">
        <f t="shared" si="2"/>
        <v>3.8937299018382818E-2</v>
      </c>
      <c r="K11" s="219">
        <f t="shared" si="3"/>
        <v>0.10162045283980685</v>
      </c>
      <c r="L11" s="309">
        <v>31615.55</v>
      </c>
      <c r="M11" s="219">
        <f t="shared" si="4"/>
        <v>4.7298441431510767</v>
      </c>
      <c r="N11" s="219">
        <v>2530.502</v>
      </c>
      <c r="O11" s="219">
        <f t="shared" si="5"/>
        <v>12.493785817991846</v>
      </c>
      <c r="Q11" s="478"/>
    </row>
    <row r="12" spans="2:17">
      <c r="B12" s="62" t="s">
        <v>466</v>
      </c>
      <c r="C12" s="62" t="s">
        <v>467</v>
      </c>
      <c r="D12" s="476">
        <v>1.55</v>
      </c>
      <c r="E12" s="307">
        <v>265.88600000000002</v>
      </c>
      <c r="F12" s="339">
        <v>1516.558</v>
      </c>
      <c r="G12" s="307">
        <f t="shared" si="0"/>
        <v>1782.444</v>
      </c>
      <c r="H12" s="309">
        <v>153.79400000000001</v>
      </c>
      <c r="I12" s="307">
        <f t="shared" si="1"/>
        <v>1628.6499999999999</v>
      </c>
      <c r="J12" s="310">
        <f t="shared" si="2"/>
        <v>8.6282654602332531E-2</v>
      </c>
      <c r="K12" s="219">
        <f t="shared" si="3"/>
        <v>5.7037903462386126</v>
      </c>
      <c r="L12" s="339">
        <v>1092.723</v>
      </c>
      <c r="M12" s="219">
        <f t="shared" si="4"/>
        <v>1.4904509194004336</v>
      </c>
      <c r="N12" s="219">
        <v>247.92400000000001</v>
      </c>
      <c r="O12" s="219">
        <f t="shared" si="5"/>
        <v>4.4074918120069047</v>
      </c>
      <c r="Q12" s="478"/>
    </row>
    <row r="13" spans="2:17">
      <c r="B13" s="62" t="s">
        <v>468</v>
      </c>
      <c r="C13" s="233" t="s">
        <v>469</v>
      </c>
      <c r="D13" s="476">
        <v>0.78</v>
      </c>
      <c r="E13" s="307">
        <v>216810</v>
      </c>
      <c r="F13" s="339">
        <v>9039</v>
      </c>
      <c r="G13" s="307">
        <f t="shared" si="0"/>
        <v>225849</v>
      </c>
      <c r="H13" s="339">
        <v>11049</v>
      </c>
      <c r="I13" s="307">
        <f t="shared" si="1"/>
        <v>214800</v>
      </c>
      <c r="J13" s="310">
        <f t="shared" si="2"/>
        <v>4.8922067399014384E-2</v>
      </c>
      <c r="K13" s="219">
        <f t="shared" si="3"/>
        <v>4.1690881416908812E-2</v>
      </c>
      <c r="L13" s="339">
        <v>231028</v>
      </c>
      <c r="M13" s="219">
        <f t="shared" si="4"/>
        <v>0.92975743199958449</v>
      </c>
      <c r="N13" s="219">
        <v>0</v>
      </c>
      <c r="O13" s="477" t="s">
        <v>118</v>
      </c>
      <c r="Q13" s="13"/>
    </row>
    <row r="14" spans="2:17">
      <c r="B14" s="62" t="s">
        <v>470</v>
      </c>
      <c r="C14" s="233" t="s">
        <v>471</v>
      </c>
      <c r="D14" s="476">
        <v>1.97</v>
      </c>
      <c r="E14" s="307">
        <v>52021</v>
      </c>
      <c r="F14" s="309">
        <v>1396.6079999999999</v>
      </c>
      <c r="G14" s="307">
        <f t="shared" si="0"/>
        <v>53417.608</v>
      </c>
      <c r="H14" s="339">
        <v>5052.95</v>
      </c>
      <c r="I14" s="307">
        <f t="shared" si="1"/>
        <v>48364.658000000003</v>
      </c>
      <c r="J14" s="310">
        <f t="shared" si="2"/>
        <v>9.4593340832483552E-2</v>
      </c>
      <c r="K14" s="219">
        <f t="shared" si="3"/>
        <v>2.6847004094500297E-2</v>
      </c>
      <c r="L14" s="309">
        <v>5599.8639999999996</v>
      </c>
      <c r="M14" s="219">
        <f t="shared" si="4"/>
        <v>8.6367558212128017</v>
      </c>
      <c r="N14" s="219">
        <v>1230.49</v>
      </c>
      <c r="O14" s="219">
        <f t="shared" si="5"/>
        <v>4.5509219904265779</v>
      </c>
      <c r="Q14" s="478"/>
    </row>
    <row r="15" spans="2:17">
      <c r="B15" s="62" t="s">
        <v>472</v>
      </c>
      <c r="C15" s="233" t="s">
        <v>473</v>
      </c>
      <c r="D15" s="476">
        <v>0.83</v>
      </c>
      <c r="E15" s="307">
        <v>30102</v>
      </c>
      <c r="F15" s="339">
        <v>1959</v>
      </c>
      <c r="G15" s="307">
        <f t="shared" si="0"/>
        <v>32061</v>
      </c>
      <c r="H15" s="309">
        <v>3062</v>
      </c>
      <c r="I15" s="307">
        <f t="shared" si="1"/>
        <v>28999</v>
      </c>
      <c r="J15" s="310">
        <f t="shared" si="2"/>
        <v>9.5505442749758279E-2</v>
      </c>
      <c r="K15" s="219">
        <f t="shared" si="3"/>
        <v>6.5078732310145507E-2</v>
      </c>
      <c r="L15" s="339">
        <v>7377</v>
      </c>
      <c r="M15" s="219">
        <f t="shared" si="4"/>
        <v>3.9310017622339704</v>
      </c>
      <c r="N15" s="219">
        <v>968</v>
      </c>
      <c r="O15" s="219">
        <f t="shared" si="5"/>
        <v>7.6208677685950414</v>
      </c>
      <c r="Q15" s="478"/>
    </row>
    <row r="16" spans="2:17">
      <c r="B16" s="62" t="s">
        <v>474</v>
      </c>
      <c r="C16" s="62" t="s">
        <v>475</v>
      </c>
      <c r="D16" s="476">
        <v>0.76</v>
      </c>
      <c r="E16" s="307">
        <v>137179</v>
      </c>
      <c r="F16" s="309">
        <v>154679</v>
      </c>
      <c r="G16" s="307">
        <f t="shared" si="0"/>
        <v>291858</v>
      </c>
      <c r="H16" s="339">
        <v>3701</v>
      </c>
      <c r="I16" s="307">
        <f t="shared" si="1"/>
        <v>288157</v>
      </c>
      <c r="J16" s="310">
        <f t="shared" si="2"/>
        <v>1.268082423644375E-2</v>
      </c>
      <c r="K16" s="219">
        <f t="shared" si="3"/>
        <v>1.1275705465122212</v>
      </c>
      <c r="L16" s="309">
        <v>120741</v>
      </c>
      <c r="M16" s="219">
        <f t="shared" si="4"/>
        <v>2.3865712558285916</v>
      </c>
      <c r="N16" s="219">
        <v>0</v>
      </c>
      <c r="O16" s="477" t="s">
        <v>118</v>
      </c>
      <c r="Q16" s="13"/>
    </row>
    <row r="17" spans="2:17">
      <c r="B17" s="50" t="s">
        <v>476</v>
      </c>
      <c r="C17" s="233" t="s">
        <v>477</v>
      </c>
      <c r="D17" s="476">
        <v>1.85</v>
      </c>
      <c r="E17" s="307">
        <v>1152</v>
      </c>
      <c r="F17" s="308">
        <v>58.755000000000003</v>
      </c>
      <c r="G17" s="307">
        <f t="shared" si="0"/>
        <v>1210.7550000000001</v>
      </c>
      <c r="H17" s="309">
        <v>215.38900000000001</v>
      </c>
      <c r="I17" s="307">
        <f t="shared" si="1"/>
        <v>995.3660000000001</v>
      </c>
      <c r="J17" s="310">
        <f t="shared" si="2"/>
        <v>0.17789643652101375</v>
      </c>
      <c r="K17" s="219">
        <f t="shared" si="3"/>
        <v>5.1002604166666667E-2</v>
      </c>
      <c r="L17" s="308">
        <v>383.738</v>
      </c>
      <c r="M17" s="219">
        <f t="shared" si="4"/>
        <v>2.5938687333545287</v>
      </c>
      <c r="N17" s="219">
        <v>170.81200000000001</v>
      </c>
      <c r="O17" s="219">
        <f t="shared" si="5"/>
        <v>2.2465517645130317</v>
      </c>
      <c r="Q17" s="478"/>
    </row>
    <row r="18" spans="2:17">
      <c r="B18" s="76" t="s">
        <v>478</v>
      </c>
      <c r="C18" s="81" t="s">
        <v>479</v>
      </c>
      <c r="D18" s="476">
        <v>1.23</v>
      </c>
      <c r="E18" s="307">
        <v>146743</v>
      </c>
      <c r="F18" s="309">
        <v>4633</v>
      </c>
      <c r="G18" s="307">
        <f t="shared" si="0"/>
        <v>151376</v>
      </c>
      <c r="H18" s="308">
        <v>6096</v>
      </c>
      <c r="I18" s="307">
        <f t="shared" si="1"/>
        <v>145280</v>
      </c>
      <c r="J18" s="310">
        <f t="shared" si="2"/>
        <v>4.0270584504809213E-2</v>
      </c>
      <c r="K18" s="219">
        <f t="shared" si="3"/>
        <v>3.157220446631185E-2</v>
      </c>
      <c r="L18" s="309">
        <v>17606</v>
      </c>
      <c r="M18" s="219">
        <f t="shared" si="4"/>
        <v>8.2517323639668287</v>
      </c>
      <c r="N18" s="219">
        <v>4968</v>
      </c>
      <c r="O18" s="219">
        <f t="shared" si="5"/>
        <v>3.5438808373590982</v>
      </c>
      <c r="Q18" s="478"/>
    </row>
    <row r="19" spans="2:17">
      <c r="B19" s="76" t="s">
        <v>480</v>
      </c>
      <c r="C19" s="76" t="s">
        <v>481</v>
      </c>
      <c r="D19" s="476">
        <v>2.4500000000000002</v>
      </c>
      <c r="E19" s="307">
        <v>453.149</v>
      </c>
      <c r="F19" s="308">
        <v>363.89699999999999</v>
      </c>
      <c r="G19" s="307">
        <f t="shared" si="0"/>
        <v>817.04600000000005</v>
      </c>
      <c r="H19" s="309">
        <v>374.29399999999998</v>
      </c>
      <c r="I19" s="307">
        <f t="shared" si="1"/>
        <v>442.75200000000007</v>
      </c>
      <c r="J19" s="310">
        <f t="shared" si="2"/>
        <v>0.45810639792618768</v>
      </c>
      <c r="K19" s="219">
        <f t="shared" si="3"/>
        <v>0.80304050102725588</v>
      </c>
      <c r="L19" s="308">
        <v>919.77800000000002</v>
      </c>
      <c r="M19" s="219">
        <f t="shared" si="4"/>
        <v>0.48136833018402275</v>
      </c>
      <c r="N19" s="219">
        <v>183.29900000000001</v>
      </c>
      <c r="O19" s="219">
        <f t="shared" si="5"/>
        <v>5.0179106268992193</v>
      </c>
      <c r="Q19" s="478"/>
    </row>
    <row r="20" spans="2:17">
      <c r="B20" s="76" t="s">
        <v>424</v>
      </c>
      <c r="C20" s="76" t="s">
        <v>425</v>
      </c>
      <c r="D20" s="476">
        <v>1.0900000000000001</v>
      </c>
      <c r="E20" s="307">
        <v>1142000</v>
      </c>
      <c r="F20" s="308">
        <v>29679</v>
      </c>
      <c r="G20" s="307">
        <f t="shared" si="0"/>
        <v>1171679</v>
      </c>
      <c r="H20" s="308">
        <v>113762</v>
      </c>
      <c r="I20" s="307">
        <f t="shared" si="1"/>
        <v>1057917</v>
      </c>
      <c r="J20" s="310">
        <f t="shared" si="2"/>
        <v>9.7093145818948706E-2</v>
      </c>
      <c r="K20" s="219">
        <f t="shared" si="3"/>
        <v>2.5988616462346761E-2</v>
      </c>
      <c r="L20" s="308">
        <v>282836</v>
      </c>
      <c r="M20" s="219">
        <f t="shared" si="4"/>
        <v>3.740390190781937</v>
      </c>
      <c r="N20" s="219">
        <v>26567</v>
      </c>
      <c r="O20" s="219">
        <f t="shared" si="5"/>
        <v>10.646139948055859</v>
      </c>
      <c r="Q20" s="478"/>
    </row>
    <row r="21" spans="2:17">
      <c r="B21" s="76" t="s">
        <v>483</v>
      </c>
      <c r="C21" s="81" t="s">
        <v>484</v>
      </c>
      <c r="D21" s="476">
        <v>0.81</v>
      </c>
      <c r="E21" s="307">
        <v>7472</v>
      </c>
      <c r="F21" s="309">
        <v>2294.6</v>
      </c>
      <c r="G21" s="307">
        <f t="shared" si="0"/>
        <v>9766.6</v>
      </c>
      <c r="H21" s="308">
        <v>1343.4</v>
      </c>
      <c r="I21" s="307">
        <f t="shared" si="1"/>
        <v>8423.2000000000007</v>
      </c>
      <c r="J21" s="310">
        <f t="shared" si="2"/>
        <v>0.13755042696537179</v>
      </c>
      <c r="K21" s="219">
        <f t="shared" si="3"/>
        <v>0.30709314775160601</v>
      </c>
      <c r="L21" s="309">
        <v>2324.9</v>
      </c>
      <c r="M21" s="219">
        <f t="shared" si="4"/>
        <v>3.623037550002151</v>
      </c>
      <c r="N21" s="219">
        <v>409.4</v>
      </c>
      <c r="O21" s="219">
        <f t="shared" si="5"/>
        <v>5.6787982413287743</v>
      </c>
      <c r="Q21" s="478"/>
    </row>
    <row r="22" spans="2:17">
      <c r="B22" s="76" t="s">
        <v>486</v>
      </c>
      <c r="C22" s="76" t="s">
        <v>485</v>
      </c>
      <c r="D22" s="476">
        <v>-0.23</v>
      </c>
      <c r="E22" s="307">
        <v>21611</v>
      </c>
      <c r="F22" s="308">
        <v>105.715</v>
      </c>
      <c r="G22" s="307">
        <f t="shared" si="0"/>
        <v>21716.715</v>
      </c>
      <c r="H22" s="309">
        <v>5419.2659999999996</v>
      </c>
      <c r="I22" s="307">
        <f t="shared" si="1"/>
        <v>16297.449000000001</v>
      </c>
      <c r="J22" s="310">
        <f t="shared" si="2"/>
        <v>0.24954354284246028</v>
      </c>
      <c r="K22" s="219">
        <f t="shared" si="3"/>
        <v>4.8917218083383467E-3</v>
      </c>
      <c r="L22" s="308">
        <v>4346.5330000000004</v>
      </c>
      <c r="M22" s="219">
        <f t="shared" si="4"/>
        <v>3.749528417246573</v>
      </c>
      <c r="N22" s="219">
        <v>1516.4190000000001</v>
      </c>
      <c r="O22" s="219">
        <f t="shared" si="5"/>
        <v>2.8663139936917172</v>
      </c>
      <c r="Q22" s="478"/>
    </row>
    <row r="23" spans="2:17">
      <c r="B23" s="76" t="s">
        <v>487</v>
      </c>
      <c r="C23" s="76" t="s">
        <v>488</v>
      </c>
      <c r="D23" s="476">
        <v>1.05</v>
      </c>
      <c r="E23" s="307">
        <v>4750</v>
      </c>
      <c r="F23" s="308">
        <v>642.33399999999995</v>
      </c>
      <c r="G23" s="307">
        <f t="shared" si="0"/>
        <v>5392.3339999999998</v>
      </c>
      <c r="H23" s="308">
        <v>586.274</v>
      </c>
      <c r="I23" s="307">
        <f t="shared" si="1"/>
        <v>4806.0599999999995</v>
      </c>
      <c r="J23" s="310">
        <f t="shared" si="2"/>
        <v>0.10872360651250461</v>
      </c>
      <c r="K23" s="219">
        <f t="shared" si="3"/>
        <v>0.13522821052631578</v>
      </c>
      <c r="L23" s="308">
        <v>967.75900000000001</v>
      </c>
      <c r="M23" s="219">
        <f t="shared" si="4"/>
        <v>4.9661744297908879</v>
      </c>
      <c r="N23" s="219">
        <v>327.74299999999999</v>
      </c>
      <c r="O23" s="219">
        <f t="shared" si="5"/>
        <v>2.9527983816587997</v>
      </c>
      <c r="Q23" s="478"/>
    </row>
    <row r="24" spans="2:17">
      <c r="B24" s="76" t="s">
        <v>489</v>
      </c>
      <c r="C24" s="81" t="s">
        <v>490</v>
      </c>
      <c r="D24" s="476">
        <v>0.92</v>
      </c>
      <c r="E24" s="307">
        <v>1855000</v>
      </c>
      <c r="F24" s="309">
        <v>61270</v>
      </c>
      <c r="G24" s="307">
        <f t="shared" si="0"/>
        <v>1916270</v>
      </c>
      <c r="H24" s="308">
        <v>104749</v>
      </c>
      <c r="I24" s="307">
        <f t="shared" si="1"/>
        <v>1811521</v>
      </c>
      <c r="J24" s="310">
        <f t="shared" si="2"/>
        <v>5.4662965031023809E-2</v>
      </c>
      <c r="K24" s="219">
        <f t="shared" si="3"/>
        <v>3.3029649595687334E-2</v>
      </c>
      <c r="L24" s="309">
        <v>204094</v>
      </c>
      <c r="M24" s="219">
        <f t="shared" si="4"/>
        <v>8.8759150195498151</v>
      </c>
      <c r="N24" s="219">
        <v>22704</v>
      </c>
      <c r="O24" s="219">
        <f t="shared" si="5"/>
        <v>8.9893410852713185</v>
      </c>
      <c r="Q24" s="478"/>
    </row>
    <row r="25" spans="2:17">
      <c r="B25" s="76" t="s">
        <v>491</v>
      </c>
      <c r="C25" s="76" t="s">
        <v>492</v>
      </c>
      <c r="D25" s="476">
        <v>1.97</v>
      </c>
      <c r="E25" s="307">
        <v>4394</v>
      </c>
      <c r="F25" s="308">
        <v>2373.3000000000002</v>
      </c>
      <c r="G25" s="307">
        <f t="shared" si="0"/>
        <v>6767.3</v>
      </c>
      <c r="H25" s="309">
        <v>1253.9000000000001</v>
      </c>
      <c r="I25" s="307">
        <f t="shared" si="1"/>
        <v>5513.4</v>
      </c>
      <c r="J25" s="310">
        <f t="shared" si="2"/>
        <v>0.18528807648545212</v>
      </c>
      <c r="K25" s="219">
        <f t="shared" si="3"/>
        <v>0.54012289485662268</v>
      </c>
      <c r="L25" s="308">
        <v>3052.3</v>
      </c>
      <c r="M25" s="219">
        <f t="shared" si="4"/>
        <v>1.8063099957409166</v>
      </c>
      <c r="N25" s="219">
        <v>741.7</v>
      </c>
      <c r="O25" s="219">
        <f t="shared" si="5"/>
        <v>4.115275717945261</v>
      </c>
      <c r="Q25" s="478"/>
    </row>
    <row r="26" spans="2:17">
      <c r="B26" s="76" t="s">
        <v>493</v>
      </c>
      <c r="C26" s="76" t="s">
        <v>494</v>
      </c>
      <c r="D26" s="476">
        <v>1.59</v>
      </c>
      <c r="E26" s="307">
        <v>19072</v>
      </c>
      <c r="F26" s="308">
        <v>806.33900000000006</v>
      </c>
      <c r="G26" s="307">
        <f t="shared" si="0"/>
        <v>19878.339</v>
      </c>
      <c r="H26" s="308">
        <v>1412.684</v>
      </c>
      <c r="I26" s="307">
        <f t="shared" si="1"/>
        <v>18465.654999999999</v>
      </c>
      <c r="J26" s="310">
        <f t="shared" si="2"/>
        <v>7.1066501079390984E-2</v>
      </c>
      <c r="K26" s="219">
        <f t="shared" si="3"/>
        <v>4.2278680788590609E-2</v>
      </c>
      <c r="L26" s="308">
        <v>1730.9690000000001</v>
      </c>
      <c r="M26" s="219">
        <f t="shared" si="4"/>
        <v>10.667813808335099</v>
      </c>
      <c r="N26" s="219">
        <v>886.06899999999996</v>
      </c>
      <c r="O26" s="219">
        <f t="shared" si="5"/>
        <v>1.953537478458224</v>
      </c>
      <c r="Q26" s="478"/>
    </row>
    <row r="27" spans="2:17">
      <c r="D27" s="311">
        <f>_xlfn.PERCENTILE.EXC(D5:D26,0.5)</f>
        <v>1.21</v>
      </c>
      <c r="E27" s="85"/>
      <c r="F27" s="267"/>
      <c r="G27" s="156"/>
      <c r="H27" s="258"/>
      <c r="J27" s="312">
        <f>_xlfn.PERCENTILE.EXC(J5:J26,0.5)</f>
        <v>7.2708856487792434E-2</v>
      </c>
      <c r="K27" s="311">
        <f>_xlfn.PERCENTILE.EXC(K5:K26,0.5)</f>
        <v>7.5871754093553331E-2</v>
      </c>
      <c r="L27" s="42"/>
      <c r="M27" s="311">
        <f>_xlfn.PERCENTILE.EXC(M5:M26,0.5)</f>
        <v>3.1336890054103632</v>
      </c>
      <c r="N27" s="157"/>
      <c r="O27" s="311">
        <f>_xlfn.PERCENTILE.EXC(O5:O26,0.5)</f>
        <v>4.7844163086628981</v>
      </c>
    </row>
    <row r="36" ht="12" customHeight="1"/>
    <row r="39" ht="12" customHeight="1"/>
    <row r="51" spans="20:20">
      <c r="T51" s="206"/>
    </row>
    <row r="52" spans="20:20">
      <c r="T52" s="206"/>
    </row>
    <row r="53" spans="20:20">
      <c r="T53" s="206"/>
    </row>
    <row r="54" spans="20:20">
      <c r="T54" s="206"/>
    </row>
    <row r="55" spans="20:20">
      <c r="T55" s="206"/>
    </row>
    <row r="56" spans="20:20">
      <c r="T56" s="206"/>
    </row>
    <row r="57" spans="20:20" ht="12" customHeight="1">
      <c r="T57" s="206"/>
    </row>
    <row r="58" spans="20:20">
      <c r="T58" s="206"/>
    </row>
    <row r="59" spans="20:20">
      <c r="T59" s="206"/>
    </row>
    <row r="60" spans="20:20">
      <c r="T60" s="206"/>
    </row>
    <row r="61" spans="20:20">
      <c r="T61" s="206"/>
    </row>
    <row r="62" spans="20:20">
      <c r="T62" s="206"/>
    </row>
    <row r="63" spans="20:20" ht="12" customHeight="1">
      <c r="T63" s="206"/>
    </row>
    <row r="64" spans="20:20">
      <c r="T64" s="206"/>
    </row>
    <row r="65" spans="20:20">
      <c r="T65" s="206"/>
    </row>
    <row r="66" spans="20:20">
      <c r="T66" s="206"/>
    </row>
    <row r="67" spans="20:20">
      <c r="T67" s="206"/>
    </row>
    <row r="68" spans="20:20">
      <c r="T68" s="206"/>
    </row>
    <row r="69" spans="20:20">
      <c r="T69" s="206"/>
    </row>
    <row r="70" spans="20:20">
      <c r="T70" s="206"/>
    </row>
    <row r="71" spans="20:20">
      <c r="T71" s="206"/>
    </row>
    <row r="72" spans="20:20">
      <c r="T72" s="206"/>
    </row>
    <row r="73" spans="20:20">
      <c r="T73" s="206"/>
    </row>
  </sheetData>
  <mergeCells count="1">
    <mergeCell ref="B3:O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6.42578125" style="2" customWidth="1"/>
    <col min="4" max="4" width="3.140625" style="2" customWidth="1"/>
    <col min="5" max="5" width="22.140625" style="2" customWidth="1"/>
    <col min="6" max="6" width="14.140625" style="2" customWidth="1"/>
    <col min="7" max="7" width="13.5703125" style="13" customWidth="1"/>
    <col min="8" max="8" width="10.5703125" style="2" customWidth="1"/>
    <col min="9" max="9" width="12.5703125" style="2" customWidth="1"/>
    <col min="10" max="10" width="14.28515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36</v>
      </c>
      <c r="E1" s="3"/>
      <c r="F1" s="3"/>
      <c r="G1" s="57"/>
      <c r="H1" s="3"/>
      <c r="I1" s="3"/>
      <c r="J1" s="3"/>
      <c r="K1" s="3"/>
      <c r="L1" s="3"/>
      <c r="M1" s="3"/>
      <c r="N1" s="3"/>
      <c r="O1" s="3"/>
      <c r="P1" s="3"/>
    </row>
    <row r="2" spans="2:16">
      <c r="M2" s="102"/>
      <c r="N2" s="102"/>
      <c r="O2" s="102"/>
      <c r="P2" s="102"/>
    </row>
    <row r="3" spans="2:16">
      <c r="B3" s="17" t="s">
        <v>498</v>
      </c>
      <c r="C3" s="74" t="str">
        <f>About!C3</f>
        <v>Communications</v>
      </c>
      <c r="D3" s="21"/>
      <c r="E3" s="218" t="s">
        <v>151</v>
      </c>
      <c r="F3" s="218" t="s">
        <v>190</v>
      </c>
      <c r="G3" s="198" t="s">
        <v>147</v>
      </c>
      <c r="H3" s="198" t="s">
        <v>148</v>
      </c>
      <c r="I3" s="198" t="s">
        <v>500</v>
      </c>
      <c r="J3" s="306" t="s">
        <v>146</v>
      </c>
      <c r="K3" s="317"/>
      <c r="L3" s="314"/>
      <c r="M3" s="102"/>
      <c r="N3" s="102"/>
      <c r="O3" s="102"/>
    </row>
    <row r="4" spans="2:16">
      <c r="B4" s="28" t="s">
        <v>282</v>
      </c>
      <c r="C4" s="236" t="str">
        <f>About!C4</f>
        <v>Internet Subs</v>
      </c>
      <c r="D4" s="6"/>
      <c r="E4" s="76" t="s">
        <v>499</v>
      </c>
      <c r="F4" s="320">
        <v>0</v>
      </c>
      <c r="G4" s="321">
        <v>46096</v>
      </c>
      <c r="H4" s="96">
        <f ca="1">YEARFRAC(TODAY(),G4)</f>
        <v>3.036111111111111</v>
      </c>
      <c r="I4" s="480">
        <v>1128</v>
      </c>
      <c r="J4" s="63">
        <f>I4/$I$6</f>
        <v>0.64790350373348649</v>
      </c>
      <c r="K4" s="317"/>
      <c r="L4" s="314"/>
      <c r="M4" s="266"/>
      <c r="N4" s="59"/>
      <c r="O4" s="59"/>
    </row>
    <row r="5" spans="2:16">
      <c r="D5" s="6"/>
      <c r="E5" s="76" t="s">
        <v>501</v>
      </c>
      <c r="F5" s="320">
        <v>6.4000000000000001E-2</v>
      </c>
      <c r="G5" s="321">
        <v>47904</v>
      </c>
      <c r="H5" s="96">
        <f ca="1">YEARFRAC(TODAY(),G5)</f>
        <v>7.9805555555555552</v>
      </c>
      <c r="I5" s="480">
        <f>555+58</f>
        <v>613</v>
      </c>
      <c r="J5" s="63">
        <f>I5/$I$6</f>
        <v>0.35209649626651351</v>
      </c>
      <c r="K5" s="317"/>
      <c r="L5" s="314"/>
      <c r="M5" s="156"/>
      <c r="N5" s="315"/>
      <c r="O5" s="315"/>
    </row>
    <row r="6" spans="2:16">
      <c r="B6" s="297" t="s">
        <v>187</v>
      </c>
      <c r="C6" s="323">
        <f>'Beta Calculation Data'!D27</f>
        <v>1.21</v>
      </c>
      <c r="D6" s="23"/>
      <c r="E6" s="85"/>
      <c r="F6" s="449">
        <f>(F4*J4)+(F5*J5)</f>
        <v>2.2534175761056867E-2</v>
      </c>
      <c r="G6" s="156"/>
      <c r="H6" s="322">
        <f ca="1">(H4*J4)+(H5*J5)</f>
        <v>4.7770326759844277</v>
      </c>
      <c r="I6" s="481">
        <f>SUM(I4:I5)</f>
        <v>1741</v>
      </c>
      <c r="J6" s="318">
        <f>SUM(J4:J5)</f>
        <v>1</v>
      </c>
      <c r="K6" s="85"/>
      <c r="L6" s="267"/>
      <c r="M6" s="156"/>
      <c r="N6" s="313"/>
      <c r="O6" s="313"/>
    </row>
    <row r="7" spans="2:16">
      <c r="B7" s="297" t="s">
        <v>188</v>
      </c>
      <c r="C7" s="323">
        <f>'Beta Calculation Data'!K27</f>
        <v>7.5871754093553331E-2</v>
      </c>
      <c r="D7" s="6"/>
      <c r="M7" s="156"/>
      <c r="N7" s="224"/>
      <c r="O7" s="224"/>
    </row>
    <row r="8" spans="2:16">
      <c r="B8" s="297" t="s">
        <v>195</v>
      </c>
      <c r="C8" s="319">
        <f>'Risk Free Rate &amp; ERP'!H13</f>
        <v>0.25132919986511482</v>
      </c>
      <c r="D8" s="6"/>
      <c r="E8" s="85"/>
      <c r="F8" s="267"/>
      <c r="G8" s="110"/>
      <c r="K8" s="85"/>
      <c r="L8" s="85"/>
      <c r="M8" s="156"/>
      <c r="N8" s="224"/>
      <c r="O8" s="224"/>
    </row>
    <row r="9" spans="2:16">
      <c r="B9" s="297" t="s">
        <v>126</v>
      </c>
      <c r="C9" s="323">
        <f>C6/(1+(C7*(1-C8)))</f>
        <v>1.1449627205462152</v>
      </c>
      <c r="D9" s="18"/>
      <c r="E9" s="85"/>
      <c r="F9" s="267"/>
      <c r="G9" s="276"/>
      <c r="K9" s="7"/>
      <c r="L9" s="267"/>
      <c r="M9" s="156"/>
      <c r="N9" s="224"/>
      <c r="O9" s="224"/>
    </row>
    <row r="10" spans="2:16">
      <c r="B10" s="297" t="s">
        <v>189</v>
      </c>
      <c r="C10" s="319">
        <f>'Beta Calculation Data'!J27</f>
        <v>7.2708856487792434E-2</v>
      </c>
      <c r="D10" s="18"/>
      <c r="E10" s="85"/>
      <c r="F10" s="85"/>
      <c r="G10" s="276"/>
      <c r="K10" s="7"/>
      <c r="L10" s="79"/>
      <c r="M10" s="156"/>
      <c r="N10" s="224"/>
      <c r="O10" s="224"/>
    </row>
    <row r="11" spans="2:16">
      <c r="B11" s="82" t="s">
        <v>497</v>
      </c>
      <c r="C11" s="416">
        <f>C9/(1-C10)</f>
        <v>1.2347391955125926</v>
      </c>
      <c r="D11" s="18"/>
      <c r="E11" s="85"/>
      <c r="F11" s="85"/>
      <c r="G11" s="276"/>
      <c r="K11" s="7"/>
      <c r="L11" s="7"/>
      <c r="M11" s="156"/>
      <c r="N11" s="314"/>
      <c r="O11" s="314"/>
    </row>
    <row r="12" spans="2:16">
      <c r="D12" s="234"/>
      <c r="E12" s="85"/>
      <c r="F12" s="85"/>
      <c r="G12" s="276"/>
      <c r="K12" s="85"/>
      <c r="L12" s="7"/>
      <c r="M12" s="156"/>
      <c r="N12" s="314"/>
      <c r="O12" s="314"/>
    </row>
    <row r="13" spans="2:16">
      <c r="B13" s="297" t="s">
        <v>40</v>
      </c>
      <c r="C13" s="479">
        <f>110.67*192.934862</f>
        <v>21352.10117754</v>
      </c>
      <c r="D13" s="6"/>
      <c r="E13" s="85"/>
      <c r="F13" s="267"/>
      <c r="G13" s="276"/>
      <c r="K13" s="7"/>
      <c r="L13" s="7"/>
      <c r="M13" s="156"/>
      <c r="N13" s="193"/>
      <c r="O13" s="193"/>
    </row>
    <row r="14" spans="2:16">
      <c r="B14" s="297" t="s">
        <v>38</v>
      </c>
      <c r="C14" s="479">
        <f>I6</f>
        <v>1741</v>
      </c>
      <c r="D14" s="6"/>
      <c r="E14" s="85"/>
      <c r="F14" s="267"/>
      <c r="G14" s="340"/>
      <c r="K14" s="7"/>
      <c r="L14" s="7"/>
      <c r="M14" s="156"/>
      <c r="N14" s="314"/>
      <c r="O14" s="314"/>
    </row>
    <row r="15" spans="2:16">
      <c r="B15" s="297" t="s">
        <v>191</v>
      </c>
      <c r="C15" s="326">
        <f>C14/C13</f>
        <v>8.1537642854153172E-2</v>
      </c>
      <c r="D15" s="6"/>
      <c r="E15" s="85"/>
      <c r="F15" s="85"/>
      <c r="G15" s="156"/>
      <c r="K15" s="7"/>
      <c r="L15" s="7"/>
      <c r="M15" s="156"/>
      <c r="N15" s="193"/>
      <c r="O15" s="193"/>
    </row>
    <row r="16" spans="2:16">
      <c r="B16" s="297" t="s">
        <v>380</v>
      </c>
      <c r="C16" s="319">
        <f>C15/(C15+1)</f>
        <v>7.5390480759391032E-2</v>
      </c>
      <c r="D16" s="6"/>
      <c r="E16" s="85"/>
      <c r="F16" s="267"/>
      <c r="G16" s="156"/>
      <c r="I16" s="257"/>
      <c r="K16" s="7"/>
      <c r="L16" s="7"/>
      <c r="M16" s="156"/>
      <c r="N16" s="258"/>
      <c r="O16" s="258"/>
    </row>
    <row r="17" spans="2:15">
      <c r="D17" s="23"/>
      <c r="E17" s="85"/>
      <c r="F17" s="85"/>
      <c r="G17" s="156"/>
      <c r="H17" s="257"/>
      <c r="K17" s="7"/>
      <c r="L17" s="7"/>
      <c r="M17" s="156"/>
      <c r="N17" s="224"/>
      <c r="O17" s="224"/>
    </row>
    <row r="18" spans="2:15">
      <c r="B18" s="270" t="s">
        <v>178</v>
      </c>
      <c r="C18" s="325">
        <f>C11*(1+(C15*(1-C8)))</f>
        <v>1.3101136673523384</v>
      </c>
      <c r="D18" s="6"/>
      <c r="E18" s="7"/>
      <c r="F18" s="267"/>
      <c r="G18" s="156"/>
      <c r="H18" s="257"/>
      <c r="K18" s="85"/>
      <c r="L18" s="85"/>
      <c r="M18" s="156"/>
      <c r="N18" s="156"/>
      <c r="O18" s="156"/>
    </row>
    <row r="19" spans="2:15">
      <c r="D19" s="6"/>
      <c r="E19" s="206"/>
      <c r="F19" s="79"/>
      <c r="G19" s="156"/>
      <c r="H19" s="224"/>
      <c r="I19" s="224"/>
      <c r="K19" s="85"/>
      <c r="L19" s="267"/>
      <c r="M19" s="156"/>
      <c r="N19" s="156"/>
      <c r="O19" s="156"/>
    </row>
    <row r="20" spans="2:15">
      <c r="D20" s="6"/>
      <c r="E20" s="206"/>
      <c r="F20" s="206"/>
      <c r="G20" s="156"/>
      <c r="H20" s="314"/>
      <c r="I20" s="314"/>
      <c r="K20" s="85"/>
      <c r="L20" s="267"/>
      <c r="M20" s="156"/>
      <c r="N20" s="224"/>
      <c r="O20" s="224"/>
    </row>
    <row r="21" spans="2:15" ht="12" customHeight="1">
      <c r="D21" s="6"/>
      <c r="E21" s="85"/>
      <c r="F21" s="206"/>
      <c r="G21" s="156"/>
      <c r="H21" s="314"/>
      <c r="I21" s="314"/>
      <c r="K21" s="314"/>
      <c r="L21" s="267"/>
      <c r="M21" s="156"/>
      <c r="N21" s="156"/>
      <c r="O21" s="156"/>
    </row>
    <row r="22" spans="2:15">
      <c r="D22" s="23"/>
      <c r="E22" s="206"/>
      <c r="F22" s="206"/>
      <c r="G22" s="156"/>
      <c r="H22" s="193"/>
      <c r="I22" s="193"/>
      <c r="K22" s="314"/>
      <c r="L22" s="267"/>
      <c r="M22" s="156"/>
      <c r="N22" s="224"/>
      <c r="O22" s="224"/>
    </row>
    <row r="23" spans="2:15">
      <c r="D23" s="6"/>
      <c r="E23" s="206"/>
      <c r="F23" s="206"/>
      <c r="G23" s="156"/>
      <c r="H23" s="314"/>
      <c r="I23" s="314"/>
      <c r="K23" s="85"/>
      <c r="L23" s="85"/>
      <c r="M23" s="156"/>
      <c r="N23" s="156"/>
      <c r="O23" s="156"/>
    </row>
    <row r="24" spans="2:15">
      <c r="D24" s="6"/>
      <c r="E24" s="206"/>
      <c r="F24" s="206"/>
      <c r="G24" s="156"/>
      <c r="H24" s="193"/>
      <c r="I24" s="193"/>
      <c r="K24" s="85"/>
      <c r="L24" s="85"/>
      <c r="M24" s="156"/>
      <c r="N24" s="224"/>
      <c r="O24" s="224"/>
    </row>
    <row r="25" spans="2:15">
      <c r="D25" s="6"/>
      <c r="E25" s="206"/>
      <c r="F25" s="206"/>
      <c r="G25" s="156"/>
      <c r="H25" s="258"/>
      <c r="K25" s="85"/>
      <c r="L25" s="85"/>
      <c r="M25" s="156"/>
      <c r="N25" s="224"/>
      <c r="O25" s="224"/>
    </row>
    <row r="26" spans="2:15">
      <c r="D26" s="23"/>
      <c r="E26" s="206"/>
      <c r="F26" s="206"/>
      <c r="G26" s="156"/>
      <c r="H26" s="224"/>
      <c r="K26" s="85"/>
      <c r="L26" s="267"/>
      <c r="M26" s="156"/>
      <c r="N26" s="224"/>
      <c r="O26" s="224"/>
    </row>
    <row r="27" spans="2:15">
      <c r="D27" s="7"/>
      <c r="E27" s="252"/>
      <c r="F27" s="252"/>
      <c r="G27" s="156"/>
      <c r="H27" s="156"/>
      <c r="K27" s="85"/>
      <c r="L27" s="267"/>
      <c r="M27" s="156"/>
      <c r="N27" s="315"/>
      <c r="O27" s="315"/>
    </row>
    <row r="28" spans="2:15">
      <c r="D28" s="3"/>
      <c r="E28" s="252"/>
      <c r="F28" s="252"/>
      <c r="G28" s="156"/>
      <c r="H28" s="156"/>
      <c r="K28" s="85"/>
      <c r="L28" s="85"/>
      <c r="M28" s="156"/>
      <c r="N28" s="313"/>
      <c r="O28" s="313"/>
    </row>
    <row r="29" spans="2:15">
      <c r="D29" s="3"/>
      <c r="E29" s="252"/>
      <c r="F29" s="252"/>
      <c r="G29" s="156"/>
      <c r="H29" s="224"/>
      <c r="K29" s="85"/>
      <c r="L29" s="3"/>
      <c r="M29" s="156"/>
      <c r="N29" s="224"/>
      <c r="O29" s="224"/>
    </row>
    <row r="30" spans="2:15">
      <c r="D30" s="3"/>
      <c r="E30" s="252"/>
      <c r="F30" s="252"/>
      <c r="G30" s="156"/>
      <c r="H30" s="156"/>
      <c r="K30" s="85"/>
      <c r="L30" s="3"/>
      <c r="M30" s="257"/>
      <c r="O30" s="224"/>
    </row>
    <row r="31" spans="2:15">
      <c r="D31" s="3"/>
      <c r="E31" s="252"/>
      <c r="F31" s="252"/>
      <c r="G31" s="156"/>
      <c r="H31" s="257"/>
      <c r="K31" s="85"/>
      <c r="L31" s="3"/>
      <c r="M31" s="257"/>
      <c r="O31" s="224"/>
    </row>
    <row r="32" spans="2:15">
      <c r="D32" s="3"/>
      <c r="G32" s="156"/>
      <c r="H32" s="156"/>
      <c r="K32" s="85"/>
      <c r="L32" s="3"/>
      <c r="M32" s="156"/>
      <c r="N32" s="224"/>
      <c r="O32" s="224"/>
    </row>
    <row r="33" spans="4:15">
      <c r="D33" s="3"/>
      <c r="G33" s="156"/>
      <c r="H33" s="257"/>
      <c r="K33" s="7"/>
      <c r="L33" s="3"/>
      <c r="M33" s="156"/>
      <c r="N33" s="314"/>
      <c r="O33" s="314"/>
    </row>
    <row r="34" spans="4:15">
      <c r="D34" s="80"/>
      <c r="G34" s="253"/>
      <c r="H34" s="257"/>
      <c r="K34" s="7"/>
      <c r="L34" s="3"/>
      <c r="M34" s="156"/>
      <c r="N34" s="314"/>
      <c r="O34" s="314"/>
    </row>
    <row r="35" spans="4:15">
      <c r="D35" s="268"/>
      <c r="G35" s="253"/>
      <c r="H35" s="257"/>
      <c r="K35" s="7"/>
      <c r="L35" s="3"/>
      <c r="M35" s="156"/>
      <c r="N35" s="193"/>
      <c r="O35" s="193"/>
    </row>
    <row r="36" spans="4:15" ht="12" customHeight="1">
      <c r="D36" s="268"/>
      <c r="G36" s="253"/>
      <c r="H36" s="254"/>
      <c r="K36" s="85"/>
      <c r="L36" s="3"/>
      <c r="M36" s="156"/>
      <c r="N36" s="314"/>
      <c r="O36" s="314"/>
    </row>
    <row r="37" spans="4:15">
      <c r="D37" s="269"/>
      <c r="G37" s="253"/>
      <c r="H37" s="254"/>
      <c r="K37" s="7"/>
      <c r="L37" s="3"/>
      <c r="M37" s="156"/>
      <c r="N37" s="193"/>
      <c r="O37" s="193"/>
    </row>
    <row r="38" spans="4:15">
      <c r="D38" s="3"/>
      <c r="G38" s="253"/>
      <c r="H38" s="255"/>
      <c r="K38" s="7"/>
      <c r="L38" s="3"/>
      <c r="M38" s="3"/>
      <c r="N38" s="3"/>
      <c r="O38" s="3"/>
    </row>
    <row r="39" spans="4:15" ht="12" customHeight="1">
      <c r="H39" s="254"/>
      <c r="K39" s="7"/>
      <c r="M39" s="3"/>
      <c r="N39" s="3"/>
      <c r="O39" s="316"/>
    </row>
    <row r="40" spans="4:15">
      <c r="H40" s="254"/>
      <c r="K40" s="3"/>
      <c r="M40" s="3"/>
      <c r="N40" s="3"/>
      <c r="O40" s="3"/>
    </row>
    <row r="41" spans="4:15">
      <c r="K41" s="85"/>
      <c r="M41" s="3"/>
      <c r="N41" s="3"/>
      <c r="O41" s="3"/>
    </row>
    <row r="42" spans="4:15">
      <c r="K42" s="85"/>
      <c r="M42" s="3"/>
      <c r="N42" s="3"/>
      <c r="O42" s="3"/>
    </row>
    <row r="43" spans="4:15">
      <c r="K43" s="85"/>
      <c r="M43" s="3"/>
      <c r="N43" s="3"/>
      <c r="O43" s="3"/>
    </row>
    <row r="44" spans="4:15">
      <c r="K44" s="85"/>
      <c r="M44" s="3"/>
      <c r="N44" s="3"/>
      <c r="O44" s="3"/>
    </row>
    <row r="45" spans="4:15">
      <c r="K45" s="85"/>
      <c r="M45" s="3"/>
      <c r="N45" s="3"/>
      <c r="O45" s="3"/>
    </row>
    <row r="46" spans="4:15">
      <c r="K46" s="85"/>
      <c r="M46" s="3"/>
      <c r="N46" s="3"/>
      <c r="O46" s="3"/>
    </row>
    <row r="47" spans="4:15">
      <c r="K47" s="85"/>
      <c r="M47" s="3"/>
      <c r="N47" s="3"/>
      <c r="O47" s="3"/>
    </row>
    <row r="48" spans="4:15">
      <c r="K48" s="85"/>
    </row>
    <row r="49" spans="11:11">
      <c r="K49" s="85"/>
    </row>
    <row r="57" spans="11:11" ht="12" customHeight="1"/>
    <row r="63" spans="11:11" ht="12" customHeight="1"/>
    <row r="117" spans="15:15">
      <c r="O117" s="23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8.4257812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0" width="10.140625" style="2" bestFit="1" customWidth="1"/>
    <col min="11" max="11" width="9.7109375" style="2" bestFit="1" customWidth="1"/>
    <col min="12" max="12" width="10.5703125" style="2" bestFit="1" customWidth="1"/>
    <col min="13" max="16384" width="9.140625" style="2"/>
  </cols>
  <sheetData>
    <row r="1" spans="2:13" ht="15.75">
      <c r="B1" s="16" t="s">
        <v>196</v>
      </c>
    </row>
    <row r="3" spans="2:13" ht="15.75">
      <c r="B3" s="100" t="s">
        <v>7</v>
      </c>
      <c r="C3" s="28"/>
      <c r="E3" s="573" t="s">
        <v>371</v>
      </c>
      <c r="F3" s="573"/>
      <c r="G3" s="573"/>
      <c r="H3" s="573"/>
      <c r="I3" s="573"/>
      <c r="J3" s="573"/>
      <c r="K3" s="573"/>
      <c r="L3" s="573"/>
      <c r="M3" s="8"/>
    </row>
    <row r="4" spans="2:13">
      <c r="B4" s="28"/>
      <c r="C4" s="28"/>
      <c r="E4" s="28"/>
      <c r="F4" s="259">
        <v>2016</v>
      </c>
      <c r="G4" s="259">
        <v>2017</v>
      </c>
      <c r="H4" s="259">
        <v>2018</v>
      </c>
      <c r="I4" s="259">
        <v>2019</v>
      </c>
      <c r="J4" s="259">
        <v>2020</v>
      </c>
      <c r="K4" s="259">
        <v>2021</v>
      </c>
      <c r="L4" s="346">
        <v>2022</v>
      </c>
    </row>
    <row r="5" spans="2:13">
      <c r="B5" s="177" t="s">
        <v>502</v>
      </c>
      <c r="C5" s="135">
        <f>'Risk Free Rate &amp; ERP'!C6</f>
        <v>2.5284999999999998E-2</v>
      </c>
      <c r="D5" s="6"/>
      <c r="E5" s="260" t="s">
        <v>141</v>
      </c>
      <c r="F5" s="479">
        <v>336</v>
      </c>
      <c r="G5" s="479">
        <v>974</v>
      </c>
      <c r="H5" s="479">
        <v>584</v>
      </c>
      <c r="I5" s="479">
        <v>333</v>
      </c>
      <c r="J5" s="479">
        <v>510</v>
      </c>
      <c r="K5" s="482">
        <v>91</v>
      </c>
      <c r="L5" s="482">
        <v>132</v>
      </c>
    </row>
    <row r="6" spans="2:13">
      <c r="B6" s="177" t="s">
        <v>9</v>
      </c>
      <c r="C6" s="135">
        <f>'Risk Free Rate &amp; ERP'!E14</f>
        <v>6.6569227509805859E-2</v>
      </c>
      <c r="D6" s="23"/>
      <c r="E6" s="260" t="s">
        <v>3</v>
      </c>
      <c r="F6" s="479">
        <v>-349</v>
      </c>
      <c r="G6" s="479">
        <v>-378</v>
      </c>
      <c r="H6" s="479">
        <v>-43</v>
      </c>
      <c r="I6" s="479">
        <v>-73</v>
      </c>
      <c r="J6" s="479">
        <v>-293</v>
      </c>
      <c r="K6" s="482">
        <v>94</v>
      </c>
      <c r="L6" s="482">
        <v>-659</v>
      </c>
    </row>
    <row r="7" spans="2:13">
      <c r="B7" s="177" t="s">
        <v>198</v>
      </c>
      <c r="C7" s="327">
        <f>'Bottom Up Beta'!C18</f>
        <v>1.3101136673523384</v>
      </c>
      <c r="D7" s="6"/>
      <c r="E7" s="260" t="s">
        <v>142</v>
      </c>
      <c r="F7" s="323">
        <f t="shared" ref="F7:H7" si="0">F6/F5</f>
        <v>-1.0386904761904763</v>
      </c>
      <c r="G7" s="323">
        <f t="shared" si="0"/>
        <v>-0.38809034907597534</v>
      </c>
      <c r="H7" s="323">
        <f t="shared" si="0"/>
        <v>-7.3630136986301373E-2</v>
      </c>
      <c r="I7" s="323">
        <f>I6/I5</f>
        <v>-0.21921921921921922</v>
      </c>
      <c r="J7" s="323">
        <f>J6/J5</f>
        <v>-0.57450980392156858</v>
      </c>
      <c r="K7" s="323">
        <f>K6/K5</f>
        <v>1.0329670329670331</v>
      </c>
      <c r="L7" s="323">
        <f>L6/L5</f>
        <v>-4.9924242424242422</v>
      </c>
    </row>
    <row r="8" spans="2:13">
      <c r="B8" s="285" t="s">
        <v>7</v>
      </c>
      <c r="C8" s="49">
        <f>C5+C7*C6</f>
        <v>0.11249825478568393</v>
      </c>
      <c r="D8" s="6"/>
      <c r="I8" s="298"/>
      <c r="J8" s="298"/>
      <c r="K8" s="298" t="s">
        <v>143</v>
      </c>
      <c r="L8" s="324">
        <f>MEDIAN(F7:L7)</f>
        <v>-0.38809034907597534</v>
      </c>
    </row>
    <row r="9" spans="2:13">
      <c r="B9" s="3"/>
      <c r="C9" s="3"/>
      <c r="D9" s="6"/>
      <c r="E9" s="6"/>
      <c r="F9" s="6"/>
    </row>
    <row r="10" spans="2:13" ht="15.75">
      <c r="B10" s="100" t="s">
        <v>37</v>
      </c>
      <c r="C10" s="17"/>
      <c r="D10" s="6"/>
      <c r="E10" s="6"/>
      <c r="F10" s="6"/>
    </row>
    <row r="11" spans="2:13">
      <c r="B11" s="17"/>
      <c r="C11" s="17"/>
      <c r="D11" s="6"/>
      <c r="E11" s="23"/>
      <c r="F11" s="6"/>
    </row>
    <row r="12" spans="2:13">
      <c r="B12" s="177" t="s">
        <v>502</v>
      </c>
      <c r="C12" s="63">
        <f>'Risk Free Rate &amp; ERP'!$C$6</f>
        <v>2.5284999999999998E-2</v>
      </c>
      <c r="F12" s="23"/>
    </row>
    <row r="13" spans="2:13">
      <c r="B13" s="177" t="s">
        <v>358</v>
      </c>
      <c r="C13" s="63">
        <f>'Risk Free Rate &amp; ERP'!G13</f>
        <v>2.7440641615776105E-2</v>
      </c>
      <c r="D13" s="6"/>
      <c r="E13" s="6"/>
      <c r="F13" s="6"/>
    </row>
    <row r="14" spans="2:13">
      <c r="B14" s="297" t="s">
        <v>226</v>
      </c>
      <c r="C14" s="63" t="s">
        <v>305</v>
      </c>
      <c r="D14" s="6"/>
      <c r="E14" s="6"/>
      <c r="F14" s="6"/>
    </row>
    <row r="15" spans="2:13">
      <c r="B15" s="177" t="s">
        <v>225</v>
      </c>
      <c r="C15" s="135">
        <v>1.7999999999999999E-2</v>
      </c>
      <c r="D15" s="6"/>
      <c r="E15" s="6"/>
      <c r="F15" s="6"/>
    </row>
    <row r="16" spans="2:13">
      <c r="B16" s="285" t="s">
        <v>37</v>
      </c>
      <c r="C16" s="49">
        <f>C12+C13+C15</f>
        <v>7.0725641615776103E-2</v>
      </c>
      <c r="D16" s="6"/>
      <c r="E16" s="6"/>
      <c r="F16" s="23"/>
    </row>
    <row r="17" spans="2:12">
      <c r="D17" s="23"/>
      <c r="E17" s="23"/>
      <c r="F17" s="6"/>
    </row>
    <row r="18" spans="2:12" ht="15.75">
      <c r="B18" s="100" t="s">
        <v>5</v>
      </c>
      <c r="C18" s="105"/>
      <c r="D18" s="6"/>
      <c r="E18" s="6"/>
      <c r="F18" s="6"/>
    </row>
    <row r="19" spans="2:12">
      <c r="B19" s="28"/>
      <c r="C19" s="28"/>
      <c r="D19" s="6"/>
      <c r="E19" s="6"/>
      <c r="F19" s="6"/>
    </row>
    <row r="20" spans="2:12">
      <c r="B20" s="297" t="s">
        <v>7</v>
      </c>
      <c r="C20" s="319">
        <f>C8</f>
        <v>0.11249825478568393</v>
      </c>
      <c r="D20" s="6"/>
      <c r="E20" s="6"/>
      <c r="F20" s="6"/>
    </row>
    <row r="21" spans="2:12">
      <c r="B21" s="297" t="s">
        <v>503</v>
      </c>
      <c r="C21" s="479">
        <f>'Bottom Up Beta'!C13</f>
        <v>21352.10117754</v>
      </c>
      <c r="D21" s="23"/>
      <c r="E21" s="23"/>
      <c r="F21" s="23"/>
      <c r="G21" s="102"/>
      <c r="H21" s="102"/>
    </row>
    <row r="22" spans="2:12">
      <c r="B22" s="297" t="s">
        <v>192</v>
      </c>
      <c r="C22" s="319">
        <f>C16</f>
        <v>7.0725641615776103E-2</v>
      </c>
      <c r="F22" s="6"/>
      <c r="G22" s="3"/>
      <c r="H22" s="58"/>
    </row>
    <row r="23" spans="2:12">
      <c r="B23" s="297" t="s">
        <v>504</v>
      </c>
      <c r="C23" s="479">
        <f>'Bottom Up Beta'!C14</f>
        <v>1741</v>
      </c>
      <c r="E23" s="3"/>
      <c r="F23" s="6"/>
      <c r="G23" s="47"/>
      <c r="H23" s="42"/>
    </row>
    <row r="24" spans="2:12">
      <c r="B24" s="297" t="s">
        <v>195</v>
      </c>
      <c r="C24" s="319">
        <f>'Risk Free Rate &amp; ERP'!H13</f>
        <v>0.25132919986511482</v>
      </c>
      <c r="F24" s="6"/>
      <c r="G24" s="47"/>
      <c r="H24" s="42"/>
      <c r="I24" s="42"/>
      <c r="J24" s="42"/>
      <c r="K24" s="42"/>
      <c r="L24" s="42"/>
    </row>
    <row r="25" spans="2:12">
      <c r="B25" s="28"/>
      <c r="C25" s="28"/>
      <c r="D25" s="3"/>
      <c r="F25" s="23"/>
      <c r="G25" s="47"/>
      <c r="H25" s="42"/>
      <c r="I25" s="42"/>
      <c r="J25" s="42"/>
      <c r="K25" s="42"/>
      <c r="L25" s="42"/>
    </row>
    <row r="26" spans="2:12">
      <c r="B26" s="297" t="s">
        <v>193</v>
      </c>
      <c r="C26" s="319">
        <f>C21/(C21+C23)</f>
        <v>0.92460951924060897</v>
      </c>
      <c r="F26" s="3"/>
      <c r="G26" s="103"/>
      <c r="H26" s="103"/>
      <c r="I26" s="103"/>
      <c r="J26" s="103"/>
      <c r="K26" s="103"/>
      <c r="L26" s="22"/>
    </row>
    <row r="27" spans="2:12">
      <c r="B27" s="297" t="s">
        <v>194</v>
      </c>
      <c r="C27" s="319">
        <f>C23/(C21+C23)</f>
        <v>7.5390480759391046E-2</v>
      </c>
      <c r="F27" s="3"/>
    </row>
    <row r="28" spans="2:12">
      <c r="B28" s="28"/>
      <c r="C28" s="28"/>
      <c r="D28" s="3"/>
      <c r="E28" s="3"/>
      <c r="F28" s="3"/>
    </row>
    <row r="29" spans="2:12">
      <c r="B29" s="270" t="s">
        <v>5</v>
      </c>
      <c r="C29" s="106">
        <f>(C20*C26)+(C22*(1-C24)*C27)</f>
        <v>0.10800890001835822</v>
      </c>
      <c r="D29" s="3"/>
      <c r="E29" s="3"/>
      <c r="F29" s="3"/>
    </row>
    <row r="30" spans="2:12">
      <c r="D30" s="3"/>
      <c r="E30" s="3"/>
      <c r="F30" s="3"/>
    </row>
    <row r="31" spans="2:12">
      <c r="D31" s="3"/>
      <c r="E31" s="3"/>
      <c r="F31" s="3"/>
    </row>
    <row r="32" spans="2:12">
      <c r="D32" s="3"/>
      <c r="E32" s="3"/>
      <c r="F32" s="3"/>
    </row>
  </sheetData>
  <mergeCells count="1">
    <mergeCell ref="E3:L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3" t="s">
        <v>41</v>
      </c>
    </row>
    <row r="3" spans="2:2">
      <c r="B3" s="115" t="s">
        <v>61</v>
      </c>
    </row>
    <row r="4" spans="2:2">
      <c r="B4" s="115" t="s">
        <v>60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5"/>
  <sheetViews>
    <sheetView workbookViewId="0"/>
  </sheetViews>
  <sheetFormatPr defaultRowHeight="12"/>
  <cols>
    <col min="1" max="1" width="2" style="109" customWidth="1"/>
    <col min="2" max="2" width="25.42578125" style="109" customWidth="1"/>
    <col min="3" max="3" width="11.140625" style="109" customWidth="1"/>
    <col min="4" max="4" width="11.5703125" style="109" customWidth="1"/>
    <col min="5" max="5" width="11.28515625" style="109" customWidth="1"/>
    <col min="6" max="6" width="11.85546875" style="109" customWidth="1"/>
    <col min="7" max="7" width="12.85546875" style="109" customWidth="1"/>
    <col min="8" max="8" width="11.7109375" style="109" customWidth="1"/>
    <col min="9" max="9" width="4.85546875" style="109" customWidth="1"/>
    <col min="10" max="10" width="23" style="109" customWidth="1"/>
    <col min="11" max="11" width="10.7109375" style="109" customWidth="1" collapsed="1"/>
    <col min="12" max="16" width="10.7109375" style="109" customWidth="1"/>
    <col min="17" max="17" width="11.140625" style="109" customWidth="1"/>
    <col min="18" max="30" width="9.140625" style="109" customWidth="1"/>
    <col min="31" max="31" width="9.28515625" style="109" customWidth="1"/>
    <col min="32" max="32" width="9.42578125" style="109" customWidth="1"/>
    <col min="33" max="33" width="10" style="109" customWidth="1"/>
    <col min="34" max="34" width="11.42578125" style="109" customWidth="1"/>
    <col min="35" max="35" width="9.42578125" style="109" bestFit="1" customWidth="1" collapsed="1"/>
    <col min="36" max="16384" width="9.140625" style="109"/>
  </cols>
  <sheetData>
    <row r="1" spans="1:36" s="108" customFormat="1" ht="15" customHeight="1">
      <c r="B1" s="16" t="s">
        <v>216</v>
      </c>
      <c r="C1" s="16"/>
      <c r="D1" s="16"/>
      <c r="E1" s="16"/>
      <c r="F1" s="16"/>
      <c r="G1" s="107"/>
      <c r="H1" s="107"/>
      <c r="I1" s="107"/>
      <c r="J1" s="107"/>
      <c r="K1" s="107"/>
      <c r="L1" s="107"/>
      <c r="M1" s="107"/>
      <c r="N1" s="107"/>
      <c r="O1" s="107"/>
      <c r="P1" s="107"/>
    </row>
    <row r="2" spans="1:36" ht="12" customHeight="1"/>
    <row r="3" spans="1:36" s="111" customFormat="1" ht="12" customHeight="1">
      <c r="A3" s="109"/>
      <c r="B3" s="121"/>
      <c r="C3" s="122">
        <v>2018</v>
      </c>
      <c r="D3" s="122">
        <v>2019</v>
      </c>
      <c r="E3" s="122">
        <v>2020</v>
      </c>
      <c r="F3" s="122">
        <v>2021</v>
      </c>
      <c r="G3" s="122">
        <v>2022</v>
      </c>
      <c r="H3" s="110"/>
      <c r="I3" s="110"/>
      <c r="J3" s="574" t="s">
        <v>215</v>
      </c>
      <c r="K3" s="574"/>
      <c r="L3" s="574"/>
      <c r="M3" s="574"/>
      <c r="N3" s="574"/>
      <c r="O3" s="574"/>
      <c r="P3" s="574"/>
      <c r="Q3" s="343"/>
      <c r="R3" s="110"/>
      <c r="S3" s="110"/>
      <c r="T3" s="110"/>
      <c r="U3" s="110"/>
      <c r="V3" s="110"/>
      <c r="W3" s="110"/>
      <c r="X3" s="110"/>
      <c r="Y3" s="110"/>
      <c r="Z3" s="110"/>
      <c r="AA3" s="110"/>
      <c r="AB3" s="110"/>
      <c r="AC3" s="110"/>
      <c r="AD3" s="110"/>
      <c r="AE3" s="110"/>
    </row>
    <row r="4" spans="1:36" ht="12" customHeight="1">
      <c r="A4" s="111"/>
      <c r="B4" s="123" t="s">
        <v>4</v>
      </c>
      <c r="C4" s="487">
        <v>5259</v>
      </c>
      <c r="D4" s="487">
        <v>6764</v>
      </c>
      <c r="E4" s="487">
        <v>7880</v>
      </c>
      <c r="F4" s="487">
        <v>9668</v>
      </c>
      <c r="G4" s="487">
        <v>11727</v>
      </c>
      <c r="H4" s="142"/>
      <c r="J4" s="203" t="s">
        <v>32</v>
      </c>
      <c r="K4" s="204">
        <v>2022</v>
      </c>
      <c r="L4" s="204">
        <v>2021</v>
      </c>
      <c r="M4" s="204">
        <v>2020</v>
      </c>
      <c r="N4" s="204">
        <v>2019</v>
      </c>
      <c r="O4" s="204">
        <v>2018</v>
      </c>
      <c r="P4" s="205"/>
    </row>
    <row r="5" spans="1:36" ht="12" customHeight="1">
      <c r="A5" s="116" t="s">
        <v>33</v>
      </c>
      <c r="B5" s="124" t="s">
        <v>273</v>
      </c>
      <c r="C5" s="488">
        <v>-3906</v>
      </c>
      <c r="D5" s="498">
        <v>-5042</v>
      </c>
      <c r="E5" s="488">
        <v>-5865</v>
      </c>
      <c r="F5" s="488">
        <v>-7077</v>
      </c>
      <c r="G5" s="488">
        <v>-8801</v>
      </c>
      <c r="H5" s="18">
        <f t="shared" ref="H5" si="0">G5/$G$4</f>
        <v>-0.75049032148034456</v>
      </c>
      <c r="J5" s="163" t="s">
        <v>117</v>
      </c>
      <c r="K5" s="499">
        <f>-G7</f>
        <v>1387</v>
      </c>
      <c r="L5" s="499">
        <f>-F7</f>
        <v>912</v>
      </c>
      <c r="M5" s="499">
        <f>-E7</f>
        <v>837</v>
      </c>
      <c r="N5" s="499">
        <f>-D7</f>
        <v>615</v>
      </c>
      <c r="O5" s="499">
        <f>-C7</f>
        <v>493</v>
      </c>
      <c r="P5" s="202"/>
    </row>
    <row r="6" spans="1:36" ht="12" customHeight="1">
      <c r="B6" s="126" t="s">
        <v>200</v>
      </c>
      <c r="C6" s="489">
        <f>SUM(C4:C5)</f>
        <v>1353</v>
      </c>
      <c r="D6" s="489">
        <f>SUM(D4:D5)</f>
        <v>1722</v>
      </c>
      <c r="E6" s="489">
        <f>SUM(E4:E5)</f>
        <v>2015</v>
      </c>
      <c r="F6" s="489">
        <f>SUM(F4:F5)</f>
        <v>2591</v>
      </c>
      <c r="G6" s="489">
        <f>SUM(G4:G5)</f>
        <v>2926</v>
      </c>
      <c r="H6" s="342">
        <f t="shared" ref="H6:H10" si="1">G6/$G$4</f>
        <v>0.2495096785196555</v>
      </c>
      <c r="J6" s="121"/>
      <c r="K6" s="121"/>
      <c r="L6" s="121"/>
      <c r="M6" s="121"/>
      <c r="N6" s="121"/>
      <c r="O6" s="121"/>
      <c r="P6" s="121"/>
      <c r="R6" s="113"/>
      <c r="S6" s="113"/>
      <c r="T6" s="113"/>
      <c r="U6" s="113"/>
      <c r="V6" s="113"/>
      <c r="W6" s="113"/>
      <c r="AB6" s="113"/>
    </row>
    <row r="7" spans="1:36" ht="12" customHeight="1">
      <c r="A7" s="116" t="s">
        <v>33</v>
      </c>
      <c r="B7" s="123" t="s">
        <v>270</v>
      </c>
      <c r="C7" s="488">
        <f>-493</f>
        <v>-493</v>
      </c>
      <c r="D7" s="488">
        <v>-615</v>
      </c>
      <c r="E7" s="488">
        <v>-837</v>
      </c>
      <c r="F7" s="488">
        <v>-912</v>
      </c>
      <c r="G7" s="488">
        <f>-1387</f>
        <v>-1387</v>
      </c>
      <c r="H7" s="18">
        <f>G7/$G$4</f>
        <v>-0.11827406838918735</v>
      </c>
      <c r="J7" s="163" t="s">
        <v>240</v>
      </c>
      <c r="K7" s="95">
        <v>1</v>
      </c>
      <c r="L7" s="151">
        <f>3/4</f>
        <v>0.75</v>
      </c>
      <c r="M7" s="151">
        <f>2/4</f>
        <v>0.5</v>
      </c>
      <c r="N7" s="95">
        <f>1/4</f>
        <v>0.25</v>
      </c>
      <c r="O7" s="95">
        <v>0</v>
      </c>
      <c r="P7" s="202"/>
      <c r="Q7" s="114"/>
      <c r="R7" s="114"/>
      <c r="S7" s="114"/>
      <c r="T7" s="114"/>
      <c r="U7" s="114"/>
      <c r="V7" s="114"/>
      <c r="W7" s="114"/>
      <c r="X7" s="114"/>
      <c r="Y7" s="114"/>
      <c r="Z7" s="114"/>
      <c r="AA7" s="114"/>
      <c r="AB7" s="114"/>
      <c r="AC7" s="114"/>
      <c r="AD7" s="114"/>
      <c r="AE7" s="114"/>
      <c r="AF7" s="114"/>
      <c r="AG7" s="114"/>
    </row>
    <row r="8" spans="1:36" ht="12" customHeight="1">
      <c r="A8" s="116" t="s">
        <v>33</v>
      </c>
      <c r="B8" s="123" t="s">
        <v>271</v>
      </c>
      <c r="C8" s="488">
        <v>-620</v>
      </c>
      <c r="D8" s="488">
        <f>-826</f>
        <v>-826</v>
      </c>
      <c r="E8" s="488">
        <v>-1029</v>
      </c>
      <c r="F8" s="488">
        <v>-1135</v>
      </c>
      <c r="G8" s="488">
        <v>-1572</v>
      </c>
      <c r="H8" s="18">
        <f t="shared" si="1"/>
        <v>-0.13404962906114096</v>
      </c>
      <c r="J8" s="163" t="s">
        <v>236</v>
      </c>
      <c r="K8" s="95"/>
      <c r="L8" s="347">
        <v>1</v>
      </c>
      <c r="M8" s="151">
        <v>0.33333333333333331</v>
      </c>
      <c r="N8" s="151">
        <f>2/3</f>
        <v>0.66666666666666663</v>
      </c>
      <c r="O8" s="95">
        <v>0</v>
      </c>
      <c r="P8" s="121"/>
      <c r="Q8" s="114"/>
      <c r="R8" s="114"/>
      <c r="S8" s="114"/>
      <c r="T8" s="114"/>
      <c r="U8" s="114"/>
      <c r="V8" s="114"/>
      <c r="W8" s="114"/>
      <c r="X8" s="114"/>
      <c r="Y8" s="114"/>
      <c r="Z8" s="114"/>
      <c r="AA8" s="114"/>
      <c r="AB8" s="114"/>
      <c r="AC8" s="114"/>
      <c r="AD8" s="114"/>
      <c r="AE8" s="114"/>
      <c r="AF8" s="114"/>
      <c r="AG8" s="114"/>
    </row>
    <row r="9" spans="1:36" ht="12" customHeight="1">
      <c r="A9" s="116" t="s">
        <v>33</v>
      </c>
      <c r="B9" s="124" t="s">
        <v>272</v>
      </c>
      <c r="C9" s="488">
        <f>-283</f>
        <v>-283</v>
      </c>
      <c r="D9" s="488">
        <v>-354</v>
      </c>
      <c r="E9" s="488">
        <v>-442</v>
      </c>
      <c r="F9" s="488">
        <v>-450</v>
      </c>
      <c r="G9" s="488">
        <v>-626</v>
      </c>
      <c r="H9" s="18">
        <f t="shared" si="1"/>
        <v>-5.3381086381853841E-2</v>
      </c>
      <c r="J9" s="163" t="s">
        <v>237</v>
      </c>
      <c r="K9" s="95"/>
      <c r="L9" s="347"/>
      <c r="M9" s="347">
        <v>1</v>
      </c>
      <c r="N9" s="151">
        <f>1/2</f>
        <v>0.5</v>
      </c>
      <c r="O9" s="95">
        <v>0</v>
      </c>
      <c r="P9" s="121"/>
      <c r="Q9" s="114"/>
      <c r="R9" s="114"/>
      <c r="S9" s="114"/>
      <c r="T9" s="114"/>
      <c r="U9" s="114"/>
      <c r="V9" s="114"/>
      <c r="W9" s="114"/>
      <c r="X9" s="114"/>
      <c r="Y9" s="114"/>
      <c r="Z9" s="114"/>
      <c r="AA9" s="114"/>
      <c r="AB9" s="114"/>
      <c r="AC9" s="114"/>
      <c r="AD9" s="114"/>
      <c r="AE9" s="114"/>
      <c r="AF9" s="114"/>
      <c r="AG9" s="114"/>
      <c r="AH9" s="114"/>
      <c r="AI9" s="114"/>
      <c r="AJ9" s="114"/>
    </row>
    <row r="10" spans="1:36">
      <c r="B10" s="344" t="s">
        <v>3</v>
      </c>
      <c r="C10" s="490">
        <f>SUM(C6:C9)</f>
        <v>-43</v>
      </c>
      <c r="D10" s="490">
        <f>SUM(D6:D9)</f>
        <v>-73</v>
      </c>
      <c r="E10" s="490">
        <f>SUM(E6:E9)</f>
        <v>-293</v>
      </c>
      <c r="F10" s="490">
        <f>SUM(F6:F9)</f>
        <v>94</v>
      </c>
      <c r="G10" s="490">
        <f>SUM(G6:G9)</f>
        <v>-659</v>
      </c>
      <c r="H10" s="342">
        <f t="shared" si="1"/>
        <v>-5.6195105312526646E-2</v>
      </c>
      <c r="J10" s="163" t="s">
        <v>238</v>
      </c>
      <c r="K10" s="95"/>
      <c r="L10" s="347"/>
      <c r="M10" s="151"/>
      <c r="N10" s="347">
        <v>1</v>
      </c>
      <c r="O10" s="95">
        <v>0</v>
      </c>
      <c r="P10" s="121"/>
      <c r="Q10" s="114"/>
      <c r="R10" s="134"/>
      <c r="S10" s="114"/>
      <c r="T10" s="114"/>
      <c r="U10" s="114"/>
      <c r="V10" s="114"/>
      <c r="W10" s="114"/>
      <c r="X10" s="114"/>
      <c r="Y10" s="114"/>
      <c r="Z10" s="114"/>
      <c r="AA10" s="114"/>
      <c r="AB10" s="114"/>
      <c r="AC10" s="114"/>
      <c r="AD10" s="114"/>
      <c r="AE10" s="114"/>
      <c r="AF10" s="114"/>
      <c r="AG10" s="114"/>
      <c r="AH10" s="114"/>
      <c r="AI10" s="114"/>
      <c r="AJ10" s="114"/>
    </row>
    <row r="11" spans="1:36">
      <c r="A11" s="116"/>
      <c r="B11" s="341"/>
      <c r="C11" s="491"/>
      <c r="D11" s="491"/>
      <c r="E11" s="491"/>
      <c r="F11" s="492"/>
      <c r="G11" s="492"/>
      <c r="H11" s="18"/>
      <c r="J11" s="163" t="s">
        <v>239</v>
      </c>
      <c r="K11" s="95"/>
      <c r="L11" s="347"/>
      <c r="M11" s="151"/>
      <c r="N11" s="347"/>
      <c r="O11" s="95">
        <v>1</v>
      </c>
      <c r="P11" s="121"/>
      <c r="Q11" s="114"/>
      <c r="R11" s="114"/>
      <c r="S11" s="114"/>
      <c r="T11" s="114"/>
      <c r="U11" s="114"/>
      <c r="V11" s="114"/>
      <c r="W11" s="114"/>
      <c r="X11" s="114"/>
      <c r="Y11" s="114"/>
      <c r="Z11" s="114"/>
      <c r="AA11" s="114"/>
      <c r="AB11" s="114"/>
      <c r="AC11" s="114"/>
      <c r="AD11" s="114"/>
      <c r="AE11" s="114"/>
      <c r="AF11" s="114"/>
      <c r="AG11" s="114"/>
      <c r="AH11" s="114"/>
      <c r="AI11" s="114"/>
      <c r="AJ11" s="114"/>
    </row>
    <row r="12" spans="1:36">
      <c r="A12" s="111"/>
      <c r="B12" s="124" t="s">
        <v>201</v>
      </c>
      <c r="C12" s="493">
        <f>P17</f>
        <v>493</v>
      </c>
      <c r="D12" s="493">
        <f>P16</f>
        <v>615</v>
      </c>
      <c r="E12" s="493">
        <f>P15</f>
        <v>1144.5</v>
      </c>
      <c r="F12" s="488">
        <f>P14</f>
        <v>1601</v>
      </c>
      <c r="G12" s="488">
        <f>P13</f>
        <v>2643.25</v>
      </c>
      <c r="I12" s="272"/>
      <c r="J12" s="121"/>
      <c r="K12" s="121"/>
      <c r="L12" s="121"/>
      <c r="M12" s="121"/>
      <c r="N12" s="121"/>
      <c r="O12" s="121"/>
      <c r="P12" s="121"/>
      <c r="Q12" s="114"/>
      <c r="R12" s="114"/>
      <c r="S12" s="114"/>
      <c r="T12" s="114"/>
      <c r="U12" s="114"/>
      <c r="V12" s="114"/>
      <c r="W12" s="114"/>
      <c r="X12" s="114"/>
      <c r="Y12" s="114"/>
      <c r="Z12" s="114"/>
      <c r="AA12" s="114"/>
      <c r="AB12" s="114"/>
      <c r="AC12" s="114"/>
      <c r="AD12" s="114"/>
      <c r="AE12" s="114"/>
      <c r="AF12" s="114"/>
      <c r="AG12" s="114"/>
      <c r="AH12" s="114"/>
      <c r="AI12" s="114"/>
    </row>
    <row r="13" spans="1:36">
      <c r="B13" s="124" t="s">
        <v>127</v>
      </c>
      <c r="C13" s="493">
        <f>P23</f>
        <v>0</v>
      </c>
      <c r="D13" s="493">
        <f>P22</f>
        <v>493</v>
      </c>
      <c r="E13" s="493">
        <f>P21</f>
        <v>554</v>
      </c>
      <c r="F13" s="488">
        <f>P20</f>
        <v>648.33333333333337</v>
      </c>
      <c r="G13" s="488">
        <f>P19</f>
        <v>714.25</v>
      </c>
      <c r="J13" s="163" t="s">
        <v>241</v>
      </c>
      <c r="K13" s="499">
        <f>K$5*K7</f>
        <v>1387</v>
      </c>
      <c r="L13" s="499">
        <f t="shared" ref="L13:O13" si="2">L$5*L7</f>
        <v>684</v>
      </c>
      <c r="M13" s="499">
        <f t="shared" si="2"/>
        <v>418.5</v>
      </c>
      <c r="N13" s="499">
        <f t="shared" si="2"/>
        <v>153.75</v>
      </c>
      <c r="O13" s="499">
        <f t="shared" si="2"/>
        <v>0</v>
      </c>
      <c r="P13" s="500">
        <f>SUM(K13:O13)</f>
        <v>2643.25</v>
      </c>
      <c r="Q13" s="114"/>
      <c r="R13" s="114"/>
      <c r="S13" s="114"/>
      <c r="T13" s="114"/>
      <c r="U13" s="114"/>
      <c r="V13" s="114"/>
      <c r="W13" s="114"/>
      <c r="X13" s="114"/>
      <c r="Y13" s="114"/>
      <c r="Z13" s="114"/>
      <c r="AA13" s="114"/>
      <c r="AB13" s="114"/>
      <c r="AC13" s="114"/>
      <c r="AD13" s="114"/>
      <c r="AE13" s="114"/>
      <c r="AF13" s="114"/>
      <c r="AG13" s="114"/>
      <c r="AH13" s="114"/>
      <c r="AI13" s="114"/>
    </row>
    <row r="14" spans="1:36">
      <c r="A14" s="116"/>
      <c r="B14" s="124" t="s">
        <v>202</v>
      </c>
      <c r="C14" s="488">
        <f>-C7</f>
        <v>493</v>
      </c>
      <c r="D14" s="488">
        <f>-D7</f>
        <v>615</v>
      </c>
      <c r="E14" s="488">
        <f>-E7</f>
        <v>837</v>
      </c>
      <c r="F14" s="488">
        <f>-F7</f>
        <v>912</v>
      </c>
      <c r="G14" s="488">
        <f>'Accounting Adjustments'!K5</f>
        <v>1387</v>
      </c>
      <c r="H14" s="114"/>
      <c r="J14" s="163" t="s">
        <v>242</v>
      </c>
      <c r="K14" s="499"/>
      <c r="L14" s="499">
        <f t="shared" ref="L14:O14" si="3">L$5*L8</f>
        <v>912</v>
      </c>
      <c r="M14" s="499">
        <f t="shared" si="3"/>
        <v>279</v>
      </c>
      <c r="N14" s="499">
        <f t="shared" si="3"/>
        <v>410</v>
      </c>
      <c r="O14" s="499">
        <f t="shared" si="3"/>
        <v>0</v>
      </c>
      <c r="P14" s="500">
        <f>SUM(L14:O14)</f>
        <v>1601</v>
      </c>
      <c r="Q14" s="114"/>
      <c r="R14" s="114"/>
      <c r="S14" s="114"/>
      <c r="T14" s="114"/>
      <c r="U14" s="114"/>
      <c r="V14" s="114"/>
      <c r="W14" s="114"/>
      <c r="X14" s="114"/>
      <c r="Y14" s="114"/>
      <c r="Z14" s="114"/>
      <c r="AA14" s="114"/>
      <c r="AB14" s="114"/>
      <c r="AC14" s="114"/>
      <c r="AD14" s="114"/>
      <c r="AE14" s="114"/>
      <c r="AF14" s="114"/>
      <c r="AG14" s="114"/>
      <c r="AH14" s="114"/>
      <c r="AI14" s="114"/>
    </row>
    <row r="15" spans="1:36">
      <c r="A15" s="116"/>
      <c r="C15" s="494"/>
      <c r="D15" s="494"/>
      <c r="E15" s="494"/>
      <c r="F15" s="494"/>
      <c r="G15" s="494"/>
      <c r="H15" s="119"/>
      <c r="J15" s="163" t="s">
        <v>243</v>
      </c>
      <c r="K15" s="499"/>
      <c r="L15" s="499"/>
      <c r="M15" s="499">
        <f t="shared" ref="M15:O15" si="4">M$5*M9</f>
        <v>837</v>
      </c>
      <c r="N15" s="499">
        <f t="shared" si="4"/>
        <v>307.5</v>
      </c>
      <c r="O15" s="499">
        <f t="shared" si="4"/>
        <v>0</v>
      </c>
      <c r="P15" s="500">
        <f>SUM(M15:O15)</f>
        <v>1144.5</v>
      </c>
      <c r="Q15" s="114"/>
      <c r="R15" s="114"/>
      <c r="S15" s="114"/>
      <c r="T15" s="114"/>
      <c r="U15" s="114"/>
      <c r="V15" s="114"/>
      <c r="W15" s="114"/>
      <c r="X15" s="114"/>
      <c r="Y15" s="114"/>
      <c r="Z15" s="114"/>
      <c r="AA15" s="114"/>
      <c r="AB15" s="114"/>
      <c r="AC15" s="114"/>
      <c r="AD15" s="114"/>
      <c r="AE15" s="114"/>
      <c r="AF15" s="114"/>
      <c r="AG15" s="114"/>
      <c r="AH15" s="114"/>
      <c r="AI15" s="114"/>
    </row>
    <row r="16" spans="1:36">
      <c r="B16" s="124" t="s">
        <v>227</v>
      </c>
      <c r="C16" s="493">
        <f>P39</f>
        <v>620</v>
      </c>
      <c r="D16" s="493">
        <f>P38</f>
        <v>826</v>
      </c>
      <c r="E16" s="493">
        <f>P37</f>
        <v>1442</v>
      </c>
      <c r="F16" s="488">
        <f>P36</f>
        <v>2028.6666666666665</v>
      </c>
      <c r="G16" s="488">
        <f>P35</f>
        <v>3144.25</v>
      </c>
      <c r="H16" s="66"/>
      <c r="I16" s="114"/>
      <c r="J16" s="163" t="s">
        <v>244</v>
      </c>
      <c r="K16" s="499"/>
      <c r="L16" s="499"/>
      <c r="M16" s="499"/>
      <c r="N16" s="499">
        <f>N$5*N10</f>
        <v>615</v>
      </c>
      <c r="O16" s="499">
        <f>O$5*O10</f>
        <v>0</v>
      </c>
      <c r="P16" s="500">
        <f>SUM(N16:O16)</f>
        <v>615</v>
      </c>
      <c r="S16" s="114"/>
      <c r="T16" s="114"/>
      <c r="U16" s="114"/>
      <c r="V16" s="114"/>
      <c r="W16" s="114"/>
      <c r="X16" s="114"/>
      <c r="Y16" s="114"/>
      <c r="Z16" s="114"/>
      <c r="AA16" s="114"/>
      <c r="AB16" s="114"/>
      <c r="AC16" s="114"/>
      <c r="AD16" s="114"/>
      <c r="AE16" s="114"/>
      <c r="AF16" s="114"/>
      <c r="AG16" s="114"/>
      <c r="AH16" s="114"/>
      <c r="AI16" s="114"/>
      <c r="AJ16" s="114"/>
    </row>
    <row r="17" spans="1:36">
      <c r="B17" s="124" t="s">
        <v>127</v>
      </c>
      <c r="C17" s="493">
        <f>P45</f>
        <v>0</v>
      </c>
      <c r="D17" s="493">
        <f>P44</f>
        <v>620</v>
      </c>
      <c r="E17" s="493">
        <f>P43</f>
        <v>723</v>
      </c>
      <c r="F17" s="488">
        <f>P42</f>
        <v>824.99999999999989</v>
      </c>
      <c r="G17" s="488">
        <f>P41</f>
        <v>902.5</v>
      </c>
      <c r="H17" s="66"/>
      <c r="I17" s="119"/>
      <c r="J17" s="163" t="s">
        <v>245</v>
      </c>
      <c r="K17" s="499"/>
      <c r="L17" s="499"/>
      <c r="M17" s="499"/>
      <c r="N17" s="499"/>
      <c r="O17" s="499">
        <f>O$5*O11</f>
        <v>493</v>
      </c>
      <c r="P17" s="500">
        <f>SUM(O17:O17)</f>
        <v>493</v>
      </c>
      <c r="S17" s="114"/>
      <c r="T17" s="114"/>
      <c r="U17" s="114"/>
      <c r="V17" s="114"/>
      <c r="W17" s="114"/>
      <c r="X17" s="114"/>
      <c r="Y17" s="114"/>
      <c r="Z17" s="114"/>
      <c r="AA17" s="114"/>
      <c r="AB17" s="114"/>
      <c r="AC17" s="114"/>
      <c r="AD17" s="114"/>
      <c r="AE17" s="114"/>
      <c r="AF17" s="114"/>
      <c r="AG17" s="114"/>
      <c r="AH17" s="114"/>
      <c r="AI17" s="114"/>
      <c r="AJ17" s="114"/>
    </row>
    <row r="18" spans="1:36">
      <c r="B18" s="124" t="s">
        <v>231</v>
      </c>
      <c r="C18" s="488">
        <f>-C8</f>
        <v>620</v>
      </c>
      <c r="D18" s="488">
        <f>-D8</f>
        <v>826</v>
      </c>
      <c r="E18" s="488">
        <f>-E8</f>
        <v>1029</v>
      </c>
      <c r="F18" s="488">
        <f>-F8</f>
        <v>1135</v>
      </c>
      <c r="G18" s="488">
        <f>K27</f>
        <v>1572</v>
      </c>
      <c r="H18" s="120"/>
      <c r="I18" s="66"/>
      <c r="J18" s="124"/>
      <c r="K18" s="133"/>
      <c r="L18" s="133"/>
      <c r="M18" s="133"/>
      <c r="N18" s="133"/>
      <c r="O18" s="133"/>
      <c r="P18" s="501"/>
      <c r="Q18" s="114"/>
      <c r="R18" s="114"/>
      <c r="S18" s="114"/>
      <c r="T18" s="114"/>
      <c r="U18" s="114"/>
      <c r="V18" s="114"/>
      <c r="W18" s="114"/>
      <c r="X18" s="114"/>
      <c r="Y18" s="114"/>
      <c r="Z18" s="114"/>
      <c r="AA18" s="114"/>
      <c r="AB18" s="114"/>
      <c r="AC18" s="114"/>
      <c r="AD18" s="114"/>
      <c r="AE18" s="114"/>
      <c r="AF18" s="114"/>
      <c r="AG18" s="114"/>
      <c r="AH18" s="114"/>
      <c r="AI18" s="114"/>
      <c r="AJ18" s="114"/>
    </row>
    <row r="19" spans="1:36">
      <c r="C19" s="494"/>
      <c r="D19" s="494"/>
      <c r="E19" s="494"/>
      <c r="F19" s="494"/>
      <c r="G19" s="494"/>
      <c r="I19" s="66"/>
      <c r="J19" s="163" t="s">
        <v>246</v>
      </c>
      <c r="K19" s="482">
        <f>0</f>
        <v>0</v>
      </c>
      <c r="L19" s="482">
        <f>L$5/4</f>
        <v>228</v>
      </c>
      <c r="M19" s="482">
        <f>M$5/4</f>
        <v>209.25</v>
      </c>
      <c r="N19" s="482">
        <f t="shared" ref="N19" si="5">N$5/4</f>
        <v>153.75</v>
      </c>
      <c r="O19" s="482">
        <f>O$5/4</f>
        <v>123.25</v>
      </c>
      <c r="P19" s="500">
        <f>SUM(K19:O19)</f>
        <v>714.25</v>
      </c>
      <c r="Q19" s="114"/>
      <c r="R19" s="114"/>
      <c r="S19" s="114"/>
      <c r="T19" s="114"/>
      <c r="U19" s="114"/>
      <c r="V19" s="114"/>
      <c r="W19" s="114"/>
      <c r="X19" s="114"/>
      <c r="Y19" s="114"/>
      <c r="Z19" s="114"/>
      <c r="AA19" s="114"/>
      <c r="AB19" s="114"/>
      <c r="AC19" s="114"/>
      <c r="AD19" s="114"/>
      <c r="AE19" s="114"/>
      <c r="AF19" s="114"/>
      <c r="AG19" s="114"/>
      <c r="AH19" s="114"/>
      <c r="AI19" s="114"/>
      <c r="AJ19" s="114"/>
    </row>
    <row r="20" spans="1:36">
      <c r="B20" s="124" t="s">
        <v>229</v>
      </c>
      <c r="C20" s="488">
        <f t="shared" ref="C20:F20" si="6">C10+C14+C18</f>
        <v>1070</v>
      </c>
      <c r="D20" s="488">
        <f t="shared" si="6"/>
        <v>1368</v>
      </c>
      <c r="E20" s="488">
        <f t="shared" si="6"/>
        <v>1573</v>
      </c>
      <c r="F20" s="488">
        <f t="shared" si="6"/>
        <v>2141</v>
      </c>
      <c r="G20" s="488">
        <f>G10+G14+G18</f>
        <v>2300</v>
      </c>
      <c r="I20" s="120"/>
      <c r="J20" s="163" t="s">
        <v>247</v>
      </c>
      <c r="K20" s="499"/>
      <c r="L20" s="482">
        <v>0</v>
      </c>
      <c r="M20" s="482">
        <f>M5/3</f>
        <v>279</v>
      </c>
      <c r="N20" s="482">
        <f t="shared" ref="N20" si="7">N5/3</f>
        <v>205</v>
      </c>
      <c r="O20" s="482">
        <f>O5/3</f>
        <v>164.33333333333334</v>
      </c>
      <c r="P20" s="500">
        <f>SUM(L20:O20)</f>
        <v>648.33333333333337</v>
      </c>
      <c r="Q20" s="114"/>
      <c r="R20" s="114"/>
      <c r="S20" s="114"/>
      <c r="T20" s="114"/>
      <c r="U20" s="114"/>
      <c r="V20" s="114"/>
      <c r="W20" s="114"/>
      <c r="X20" s="114"/>
      <c r="Y20" s="114"/>
      <c r="Z20" s="114"/>
      <c r="AA20" s="114"/>
      <c r="AB20" s="114"/>
      <c r="AC20" s="114"/>
      <c r="AD20" s="114"/>
      <c r="AE20" s="114"/>
      <c r="AF20" s="114"/>
      <c r="AG20" s="114"/>
      <c r="AH20" s="114"/>
      <c r="AI20" s="114"/>
      <c r="AJ20" s="114"/>
    </row>
    <row r="21" spans="1:36">
      <c r="A21" s="116" t="s">
        <v>33</v>
      </c>
      <c r="B21" s="124" t="s">
        <v>203</v>
      </c>
      <c r="C21" s="488">
        <f t="shared" ref="C21:F21" si="8">-C13</f>
        <v>0</v>
      </c>
      <c r="D21" s="488">
        <f t="shared" si="8"/>
        <v>-493</v>
      </c>
      <c r="E21" s="488">
        <f t="shared" si="8"/>
        <v>-554</v>
      </c>
      <c r="F21" s="488">
        <f t="shared" si="8"/>
        <v>-648.33333333333337</v>
      </c>
      <c r="G21" s="488">
        <f>-G13</f>
        <v>-714.25</v>
      </c>
      <c r="H21" s="351"/>
      <c r="J21" s="163" t="s">
        <v>248</v>
      </c>
      <c r="K21" s="499"/>
      <c r="L21" s="482"/>
      <c r="M21" s="482">
        <f>M6/3</f>
        <v>0</v>
      </c>
      <c r="N21" s="482">
        <f>N5/2</f>
        <v>307.5</v>
      </c>
      <c r="O21" s="482">
        <f>O5/2</f>
        <v>246.5</v>
      </c>
      <c r="P21" s="500">
        <f>SUM(M21:O21)</f>
        <v>554</v>
      </c>
      <c r="Q21" s="114"/>
      <c r="R21" s="114"/>
      <c r="S21" s="114"/>
      <c r="T21" s="114"/>
      <c r="U21" s="114"/>
      <c r="V21" s="114"/>
      <c r="W21" s="114"/>
      <c r="X21" s="114"/>
      <c r="Y21" s="114"/>
      <c r="Z21" s="114"/>
      <c r="AA21" s="114"/>
      <c r="AB21" s="114"/>
      <c r="AC21" s="114"/>
      <c r="AD21" s="114"/>
      <c r="AE21" s="114"/>
      <c r="AF21" s="114"/>
      <c r="AG21" s="114"/>
      <c r="AH21" s="114"/>
      <c r="AI21" s="114"/>
      <c r="AJ21" s="114"/>
    </row>
    <row r="22" spans="1:36">
      <c r="A22" s="116" t="s">
        <v>33</v>
      </c>
      <c r="B22" s="124" t="s">
        <v>230</v>
      </c>
      <c r="C22" s="488">
        <f t="shared" ref="C22:F22" si="9">-C17</f>
        <v>0</v>
      </c>
      <c r="D22" s="488">
        <f t="shared" si="9"/>
        <v>-620</v>
      </c>
      <c r="E22" s="488">
        <f t="shared" si="9"/>
        <v>-723</v>
      </c>
      <c r="F22" s="488">
        <f t="shared" si="9"/>
        <v>-824.99999999999989</v>
      </c>
      <c r="G22" s="488">
        <f>-G17</f>
        <v>-902.5</v>
      </c>
      <c r="J22" s="163" t="s">
        <v>249</v>
      </c>
      <c r="K22" s="499"/>
      <c r="L22" s="482"/>
      <c r="M22" s="482"/>
      <c r="N22" s="482">
        <f>N6/2</f>
        <v>0</v>
      </c>
      <c r="O22" s="482">
        <f>O5/1</f>
        <v>493</v>
      </c>
      <c r="P22" s="500">
        <f>SUM(N22:O22)</f>
        <v>493</v>
      </c>
      <c r="Q22" s="114"/>
      <c r="R22" s="114"/>
      <c r="S22" s="114"/>
      <c r="T22" s="114"/>
      <c r="U22" s="114"/>
      <c r="V22" s="114"/>
      <c r="W22" s="114"/>
      <c r="X22" s="114"/>
      <c r="Y22" s="114"/>
      <c r="Z22" s="114"/>
      <c r="AA22" s="114"/>
      <c r="AB22" s="114"/>
      <c r="AC22" s="114"/>
      <c r="AD22" s="114"/>
      <c r="AE22" s="114"/>
      <c r="AF22" s="114"/>
      <c r="AG22" s="114"/>
      <c r="AH22" s="114"/>
      <c r="AI22" s="114"/>
      <c r="AJ22" s="114"/>
    </row>
    <row r="23" spans="1:36">
      <c r="B23" s="348" t="s">
        <v>44</v>
      </c>
      <c r="C23" s="495">
        <f t="shared" ref="C23:F23" si="10">SUM(C20:C22)</f>
        <v>1070</v>
      </c>
      <c r="D23" s="495">
        <f t="shared" si="10"/>
        <v>255</v>
      </c>
      <c r="E23" s="495">
        <f t="shared" si="10"/>
        <v>296</v>
      </c>
      <c r="F23" s="495">
        <f t="shared" si="10"/>
        <v>667.66666666666663</v>
      </c>
      <c r="G23" s="495">
        <f>SUM(G20:G22)</f>
        <v>683.25</v>
      </c>
      <c r="H23" s="342"/>
      <c r="J23" s="163" t="s">
        <v>250</v>
      </c>
      <c r="K23" s="499"/>
      <c r="L23" s="482"/>
      <c r="M23" s="482"/>
      <c r="N23" s="482"/>
      <c r="O23" s="482">
        <f>0</f>
        <v>0</v>
      </c>
      <c r="P23" s="500">
        <f>SUM(O23:O23)</f>
        <v>0</v>
      </c>
      <c r="Q23" s="114"/>
      <c r="R23" s="114"/>
      <c r="S23" s="114"/>
      <c r="T23" s="114"/>
      <c r="U23" s="114"/>
      <c r="V23" s="114"/>
      <c r="W23" s="114"/>
      <c r="X23" s="114"/>
      <c r="Y23" s="114"/>
      <c r="Z23" s="114"/>
      <c r="AA23" s="114"/>
      <c r="AB23" s="114"/>
      <c r="AC23" s="114"/>
      <c r="AD23" s="114"/>
      <c r="AE23" s="114"/>
      <c r="AF23" s="114"/>
      <c r="AG23" s="114"/>
      <c r="AH23" s="114"/>
      <c r="AI23" s="114"/>
      <c r="AJ23" s="114"/>
    </row>
    <row r="24" spans="1:36">
      <c r="B24" s="124" t="s">
        <v>195</v>
      </c>
      <c r="C24" s="135">
        <f>'Risk Free Rate &amp; ERP'!$H$13</f>
        <v>0.25132919986511482</v>
      </c>
      <c r="D24" s="135">
        <f>'Risk Free Rate &amp; ERP'!$H$13</f>
        <v>0.25132919986511482</v>
      </c>
      <c r="E24" s="135">
        <f>'Risk Free Rate &amp; ERP'!$H$13</f>
        <v>0.25132919986511482</v>
      </c>
      <c r="F24" s="135">
        <f>'Risk Free Rate &amp; ERP'!$H$13</f>
        <v>0.25132919986511482</v>
      </c>
      <c r="G24" s="135">
        <f>'Risk Free Rate &amp; ERP'!$H$13</f>
        <v>0.25132919986511482</v>
      </c>
      <c r="Q24" s="114"/>
      <c r="R24" s="114"/>
      <c r="S24" s="114"/>
      <c r="T24" s="114"/>
      <c r="U24" s="114"/>
      <c r="V24" s="114"/>
      <c r="W24" s="114"/>
      <c r="X24" s="114"/>
      <c r="Y24" s="114"/>
      <c r="Z24" s="114"/>
      <c r="AA24" s="114"/>
      <c r="AB24" s="114"/>
      <c r="AC24" s="114"/>
      <c r="AD24" s="114"/>
      <c r="AE24" s="114"/>
      <c r="AF24" s="114"/>
      <c r="AG24" s="114"/>
      <c r="AH24" s="114"/>
      <c r="AI24" s="114"/>
      <c r="AJ24" s="114"/>
    </row>
    <row r="25" spans="1:36">
      <c r="B25" s="344" t="s">
        <v>505</v>
      </c>
      <c r="C25" s="490">
        <f t="shared" ref="C25:F25" si="11">C23*(1-C24)</f>
        <v>801.07775614432717</v>
      </c>
      <c r="D25" s="490">
        <f t="shared" si="11"/>
        <v>190.91105403439573</v>
      </c>
      <c r="E25" s="490">
        <f t="shared" si="11"/>
        <v>221.60655683992601</v>
      </c>
      <c r="F25" s="490">
        <f t="shared" si="11"/>
        <v>499.86253755672499</v>
      </c>
      <c r="G25" s="490">
        <f>G23*(1-G24)</f>
        <v>511.52932419216029</v>
      </c>
      <c r="J25" s="574" t="s">
        <v>228</v>
      </c>
      <c r="K25" s="574"/>
      <c r="L25" s="574"/>
      <c r="M25" s="574"/>
      <c r="N25" s="574"/>
      <c r="O25" s="574"/>
      <c r="P25" s="574"/>
      <c r="Q25" s="114"/>
      <c r="R25" s="114"/>
      <c r="S25" s="114"/>
      <c r="T25" s="114"/>
      <c r="U25" s="114"/>
      <c r="V25" s="114"/>
      <c r="W25" s="114"/>
      <c r="X25" s="114"/>
      <c r="Y25" s="114"/>
      <c r="Z25" s="114"/>
      <c r="AA25" s="114"/>
      <c r="AB25" s="114"/>
      <c r="AC25" s="114"/>
      <c r="AD25" s="114"/>
      <c r="AE25" s="114"/>
      <c r="AF25" s="114"/>
      <c r="AG25" s="114"/>
      <c r="AH25" s="114"/>
      <c r="AI25" s="114"/>
      <c r="AJ25" s="114"/>
    </row>
    <row r="26" spans="1:36">
      <c r="J26" s="203" t="s">
        <v>32</v>
      </c>
      <c r="K26" s="204">
        <v>2022</v>
      </c>
      <c r="L26" s="204">
        <v>2021</v>
      </c>
      <c r="M26" s="204">
        <v>2020</v>
      </c>
      <c r="N26" s="204">
        <v>2019</v>
      </c>
      <c r="O26" s="204">
        <v>2018</v>
      </c>
      <c r="P26" s="205"/>
      <c r="Q26" s="114"/>
      <c r="R26" s="114"/>
      <c r="S26" s="114"/>
      <c r="T26" s="114"/>
      <c r="U26" s="114"/>
      <c r="V26" s="114"/>
      <c r="W26" s="114"/>
      <c r="X26" s="114"/>
      <c r="Y26" s="114"/>
      <c r="Z26" s="114"/>
      <c r="AA26" s="114"/>
      <c r="AB26" s="114"/>
      <c r="AC26" s="114"/>
      <c r="AD26" s="114"/>
      <c r="AE26" s="114"/>
      <c r="AF26" s="114"/>
      <c r="AG26" s="114"/>
      <c r="AH26" s="114"/>
      <c r="AI26" s="114"/>
      <c r="AJ26" s="114"/>
    </row>
    <row r="27" spans="1:36">
      <c r="B27" s="124" t="s">
        <v>251</v>
      </c>
      <c r="C27" s="497">
        <v>2094</v>
      </c>
      <c r="D27" s="497">
        <v>2037</v>
      </c>
      <c r="E27" s="497">
        <v>2805</v>
      </c>
      <c r="F27" s="497">
        <v>2119</v>
      </c>
      <c r="G27" s="497">
        <v>2401</v>
      </c>
      <c r="J27" s="163" t="s">
        <v>117</v>
      </c>
      <c r="K27" s="499">
        <f>-G8</f>
        <v>1572</v>
      </c>
      <c r="L27" s="499">
        <f>-F8</f>
        <v>1135</v>
      </c>
      <c r="M27" s="499">
        <f>-E8</f>
        <v>1029</v>
      </c>
      <c r="N27" s="499">
        <f>-D8</f>
        <v>826</v>
      </c>
      <c r="O27" s="499">
        <f>-C8</f>
        <v>620</v>
      </c>
      <c r="P27" s="202"/>
      <c r="Q27" s="114"/>
      <c r="R27" s="114"/>
      <c r="S27" s="114"/>
      <c r="T27" s="114"/>
      <c r="U27" s="114"/>
      <c r="V27" s="114"/>
      <c r="W27" s="114"/>
      <c r="X27" s="114"/>
      <c r="Y27" s="114"/>
      <c r="Z27" s="114"/>
      <c r="AA27" s="114"/>
      <c r="AB27" s="114"/>
      <c r="AC27" s="114"/>
      <c r="AD27" s="114"/>
      <c r="AE27" s="114"/>
      <c r="AF27" s="114"/>
      <c r="AG27" s="114"/>
      <c r="AH27" s="114"/>
      <c r="AI27" s="114"/>
      <c r="AJ27" s="114"/>
    </row>
    <row r="28" spans="1:36">
      <c r="B28" s="124" t="s">
        <v>224</v>
      </c>
      <c r="C28" s="497">
        <v>0</v>
      </c>
      <c r="D28" s="497">
        <v>629</v>
      </c>
      <c r="E28" s="497">
        <f>608</f>
        <v>608</v>
      </c>
      <c r="F28" s="497">
        <f>623+1202</f>
        <v>1825</v>
      </c>
      <c r="G28" s="497">
        <f>1128+613</f>
        <v>1741</v>
      </c>
      <c r="J28" s="121"/>
      <c r="K28" s="121"/>
      <c r="L28" s="121"/>
      <c r="M28" s="121"/>
      <c r="N28" s="121"/>
      <c r="O28" s="121"/>
      <c r="P28" s="121"/>
      <c r="Q28" s="114"/>
      <c r="R28" s="114"/>
      <c r="S28" s="114"/>
      <c r="T28" s="114"/>
      <c r="U28" s="114"/>
      <c r="V28" s="114"/>
      <c r="W28" s="114"/>
      <c r="X28" s="114"/>
      <c r="Y28" s="114"/>
      <c r="Z28" s="114"/>
      <c r="AA28" s="114"/>
      <c r="AB28" s="114"/>
      <c r="AC28" s="114"/>
      <c r="AD28" s="114"/>
      <c r="AE28" s="114"/>
      <c r="AF28" s="114"/>
      <c r="AG28" s="114"/>
      <c r="AH28" s="114"/>
      <c r="AI28" s="114"/>
      <c r="AJ28" s="114"/>
    </row>
    <row r="29" spans="1:36">
      <c r="B29" s="124" t="s">
        <v>506</v>
      </c>
      <c r="C29" s="497">
        <f>915+891</f>
        <v>1806</v>
      </c>
      <c r="D29" s="497">
        <f>692+1065</f>
        <v>1757</v>
      </c>
      <c r="E29" s="497">
        <f>596+1151</f>
        <v>1747</v>
      </c>
      <c r="F29" s="497">
        <f>756+2744</f>
        <v>3500</v>
      </c>
      <c r="G29" s="497">
        <f>867+2483</f>
        <v>3350</v>
      </c>
      <c r="J29" s="163" t="s">
        <v>240</v>
      </c>
      <c r="K29" s="95">
        <v>1</v>
      </c>
      <c r="L29" s="151">
        <f>3/4</f>
        <v>0.75</v>
      </c>
      <c r="M29" s="151">
        <f>2/4</f>
        <v>0.5</v>
      </c>
      <c r="N29" s="95">
        <f>1/4</f>
        <v>0.25</v>
      </c>
      <c r="O29" s="95">
        <v>0</v>
      </c>
      <c r="P29" s="202"/>
      <c r="Q29" s="114"/>
      <c r="R29" s="114"/>
      <c r="S29" s="114"/>
      <c r="T29" s="114"/>
      <c r="U29" s="114"/>
      <c r="V29" s="114"/>
      <c r="W29" s="114"/>
      <c r="X29" s="114"/>
      <c r="Y29" s="114"/>
      <c r="Z29" s="114"/>
      <c r="AA29" s="114"/>
      <c r="AB29" s="114"/>
      <c r="AC29" s="114"/>
      <c r="AD29" s="114"/>
      <c r="AE29" s="114"/>
      <c r="AF29" s="114"/>
      <c r="AG29" s="114"/>
      <c r="AH29" s="114"/>
      <c r="AI29" s="114"/>
      <c r="AJ29" s="114"/>
    </row>
    <row r="30" spans="1:36">
      <c r="B30" s="349" t="s">
        <v>82</v>
      </c>
      <c r="C30" s="496">
        <f t="shared" ref="C30:E30" si="12">C27+C28-C29</f>
        <v>288</v>
      </c>
      <c r="D30" s="496">
        <f t="shared" si="12"/>
        <v>909</v>
      </c>
      <c r="E30" s="496">
        <f t="shared" si="12"/>
        <v>1666</v>
      </c>
      <c r="F30" s="496">
        <f>F27+F28-F29</f>
        <v>444</v>
      </c>
      <c r="G30" s="496">
        <f>G27+G28-G29</f>
        <v>792</v>
      </c>
      <c r="J30" s="163" t="s">
        <v>236</v>
      </c>
      <c r="K30" s="95"/>
      <c r="L30" s="347">
        <v>1</v>
      </c>
      <c r="M30" s="151">
        <v>0.33333333333333331</v>
      </c>
      <c r="N30" s="151">
        <f>2/3</f>
        <v>0.66666666666666663</v>
      </c>
      <c r="O30" s="95">
        <v>0</v>
      </c>
      <c r="P30" s="121"/>
      <c r="Q30" s="114"/>
      <c r="R30" s="114"/>
      <c r="S30" s="114"/>
      <c r="T30" s="114"/>
      <c r="U30" s="114"/>
      <c r="V30" s="114"/>
      <c r="W30" s="114"/>
      <c r="X30" s="114"/>
      <c r="Y30" s="114"/>
      <c r="Z30" s="114"/>
      <c r="AA30" s="114"/>
      <c r="AB30" s="114"/>
      <c r="AC30" s="114"/>
      <c r="AD30" s="114"/>
      <c r="AE30" s="114"/>
      <c r="AF30" s="114"/>
      <c r="AG30" s="114"/>
      <c r="AH30" s="114"/>
      <c r="AI30" s="114"/>
      <c r="AJ30" s="114"/>
    </row>
    <row r="31" spans="1:36">
      <c r="C31" s="486"/>
      <c r="D31" s="486"/>
      <c r="E31" s="486"/>
      <c r="F31" s="486"/>
      <c r="G31" s="486"/>
      <c r="J31" s="163" t="s">
        <v>237</v>
      </c>
      <c r="K31" s="95"/>
      <c r="L31" s="347"/>
      <c r="M31" s="347">
        <v>1</v>
      </c>
      <c r="N31" s="151">
        <f>1/2</f>
        <v>0.5</v>
      </c>
      <c r="O31" s="95">
        <v>0</v>
      </c>
      <c r="P31" s="121"/>
      <c r="Q31" s="114"/>
      <c r="R31" s="114"/>
      <c r="S31" s="114"/>
      <c r="T31" s="114"/>
      <c r="U31" s="114"/>
      <c r="V31" s="114"/>
      <c r="W31" s="114"/>
      <c r="X31" s="114"/>
      <c r="Y31" s="114"/>
      <c r="Z31" s="114"/>
      <c r="AA31" s="114"/>
      <c r="AB31" s="114"/>
      <c r="AC31" s="114"/>
      <c r="AD31" s="114"/>
      <c r="AE31" s="114"/>
      <c r="AF31" s="114"/>
      <c r="AG31" s="114"/>
      <c r="AH31" s="114"/>
      <c r="AI31" s="114"/>
      <c r="AJ31" s="114"/>
    </row>
    <row r="32" spans="1:36">
      <c r="B32" s="163" t="s">
        <v>235</v>
      </c>
      <c r="C32" s="135"/>
      <c r="D32" s="135">
        <f>D23/D4</f>
        <v>3.7699586043761085E-2</v>
      </c>
      <c r="E32" s="135">
        <f>E23/E4</f>
        <v>3.7563451776649749E-2</v>
      </c>
      <c r="F32" s="135">
        <f>F23/F4</f>
        <v>6.9059440077230722E-2</v>
      </c>
      <c r="G32" s="135">
        <f>G23/G4</f>
        <v>5.8262982860066516E-2</v>
      </c>
      <c r="J32" s="163" t="s">
        <v>238</v>
      </c>
      <c r="K32" s="95"/>
      <c r="L32" s="347"/>
      <c r="M32" s="151"/>
      <c r="N32" s="347">
        <v>1</v>
      </c>
      <c r="O32" s="95">
        <v>0</v>
      </c>
      <c r="P32" s="163"/>
      <c r="Q32" s="114"/>
      <c r="R32" s="114"/>
      <c r="S32" s="114"/>
      <c r="T32" s="114"/>
      <c r="U32" s="114"/>
      <c r="V32" s="114"/>
      <c r="W32" s="114"/>
      <c r="X32" s="114"/>
      <c r="Y32" s="114"/>
      <c r="Z32" s="114"/>
      <c r="AA32" s="114"/>
      <c r="AB32" s="114"/>
      <c r="AC32" s="114"/>
      <c r="AD32" s="114"/>
      <c r="AE32" s="114"/>
      <c r="AF32" s="114"/>
      <c r="AG32" s="114"/>
      <c r="AH32" s="114"/>
      <c r="AI32" s="114"/>
      <c r="AJ32" s="114"/>
    </row>
    <row r="33" spans="2:36" ht="12.75" customHeight="1">
      <c r="B33" s="163" t="s">
        <v>252</v>
      </c>
      <c r="C33" s="135"/>
      <c r="D33" s="135">
        <f t="shared" ref="D33:F33" si="13">D25/D30</f>
        <v>0.2100231617540107</v>
      </c>
      <c r="E33" s="135">
        <f t="shared" si="13"/>
        <v>0.13301714096033976</v>
      </c>
      <c r="F33" s="135">
        <f t="shared" si="13"/>
        <v>1.1258165260286599</v>
      </c>
      <c r="G33" s="135">
        <f>G25/G30</f>
        <v>0.6458703588284852</v>
      </c>
      <c r="J33" s="163" t="s">
        <v>239</v>
      </c>
      <c r="K33" s="95"/>
      <c r="L33" s="347"/>
      <c r="M33" s="151"/>
      <c r="N33" s="347"/>
      <c r="O33" s="95">
        <v>1</v>
      </c>
      <c r="P33" s="163"/>
      <c r="Q33" s="114"/>
      <c r="R33" s="114"/>
      <c r="S33" s="114"/>
      <c r="T33" s="114"/>
      <c r="U33" s="114"/>
      <c r="V33" s="114"/>
      <c r="W33" s="114"/>
      <c r="X33" s="114"/>
      <c r="Y33" s="114"/>
      <c r="Z33" s="114"/>
      <c r="AA33" s="114"/>
      <c r="AB33" s="114"/>
      <c r="AC33" s="114"/>
      <c r="AD33" s="114"/>
      <c r="AE33" s="114"/>
      <c r="AF33" s="114"/>
      <c r="AG33" s="114"/>
      <c r="AH33" s="114"/>
      <c r="AI33" s="114"/>
      <c r="AJ33" s="114"/>
    </row>
    <row r="34" spans="2:36">
      <c r="B34" s="163" t="s">
        <v>372</v>
      </c>
      <c r="C34" s="497"/>
      <c r="D34" s="377">
        <f>D28/D27</f>
        <v>0.30878743249877272</v>
      </c>
      <c r="E34" s="377">
        <f>E28/E27</f>
        <v>0.21675579322638147</v>
      </c>
      <c r="F34" s="377">
        <f t="shared" ref="F34" si="14">F28/F27</f>
        <v>0.8612553091080698</v>
      </c>
      <c r="G34" s="377">
        <f>G28/G27</f>
        <v>0.72511453561016248</v>
      </c>
      <c r="J34" s="121"/>
      <c r="K34" s="163"/>
      <c r="L34" s="163"/>
      <c r="M34" s="163"/>
      <c r="N34" s="163"/>
      <c r="O34" s="163"/>
      <c r="P34" s="163"/>
      <c r="Q34" s="114"/>
      <c r="R34" s="114"/>
      <c r="S34" s="114"/>
      <c r="T34" s="114"/>
      <c r="U34" s="114"/>
      <c r="V34" s="114"/>
      <c r="W34" s="114"/>
      <c r="X34" s="114"/>
      <c r="Y34" s="114"/>
      <c r="Z34" s="114"/>
      <c r="AA34" s="114"/>
      <c r="AB34" s="114"/>
      <c r="AC34" s="114"/>
      <c r="AD34" s="114"/>
      <c r="AE34" s="114"/>
      <c r="AF34" s="114"/>
      <c r="AG34" s="114"/>
      <c r="AH34" s="114"/>
      <c r="AI34" s="114"/>
      <c r="AJ34" s="114"/>
    </row>
    <row r="35" spans="2:36">
      <c r="B35" s="163" t="s">
        <v>80</v>
      </c>
      <c r="C35" s="497"/>
      <c r="D35" s="377">
        <f>D4/D30</f>
        <v>7.4411441144114407</v>
      </c>
      <c r="E35" s="377">
        <f>E4/E30</f>
        <v>4.7298919567827129</v>
      </c>
      <c r="F35" s="377">
        <f>F4/F30</f>
        <v>21.774774774774773</v>
      </c>
      <c r="G35" s="377">
        <f>G4/G30</f>
        <v>14.806818181818182</v>
      </c>
      <c r="J35" s="163" t="s">
        <v>241</v>
      </c>
      <c r="K35" s="499">
        <f>K$27*K29</f>
        <v>1572</v>
      </c>
      <c r="L35" s="499">
        <f t="shared" ref="L35:O35" si="15">L$27*L29</f>
        <v>851.25</v>
      </c>
      <c r="M35" s="499">
        <f t="shared" si="15"/>
        <v>514.5</v>
      </c>
      <c r="N35" s="499">
        <f t="shared" si="15"/>
        <v>206.5</v>
      </c>
      <c r="O35" s="499">
        <f t="shared" si="15"/>
        <v>0</v>
      </c>
      <c r="P35" s="500">
        <f>SUM(K35:O35)</f>
        <v>3144.25</v>
      </c>
      <c r="Q35" s="114"/>
      <c r="R35" s="114"/>
      <c r="S35" s="114"/>
      <c r="T35" s="114"/>
      <c r="U35" s="114"/>
      <c r="V35" s="114"/>
      <c r="W35" s="114"/>
      <c r="X35" s="114"/>
      <c r="Y35" s="114"/>
      <c r="Z35" s="114"/>
      <c r="AA35" s="114"/>
      <c r="AB35" s="114"/>
      <c r="AC35" s="114"/>
      <c r="AD35" s="114"/>
      <c r="AE35" s="114"/>
      <c r="AF35" s="114"/>
      <c r="AG35" s="114"/>
      <c r="AH35" s="114"/>
      <c r="AI35" s="114"/>
      <c r="AJ35" s="114"/>
    </row>
    <row r="36" spans="2:36">
      <c r="J36" s="163" t="s">
        <v>242</v>
      </c>
      <c r="K36" s="499"/>
      <c r="L36" s="499">
        <f t="shared" ref="L36:O36" si="16">L$27*L30</f>
        <v>1135</v>
      </c>
      <c r="M36" s="499">
        <f t="shared" si="16"/>
        <v>343</v>
      </c>
      <c r="N36" s="499">
        <f t="shared" si="16"/>
        <v>550.66666666666663</v>
      </c>
      <c r="O36" s="499">
        <f t="shared" si="16"/>
        <v>0</v>
      </c>
      <c r="P36" s="500">
        <f>SUM(L36:O36)</f>
        <v>2028.6666666666665</v>
      </c>
      <c r="Q36" s="114"/>
      <c r="R36" s="114"/>
      <c r="S36" s="114"/>
      <c r="T36" s="114"/>
      <c r="U36" s="114"/>
      <c r="V36" s="114"/>
      <c r="W36" s="114"/>
      <c r="X36" s="114"/>
      <c r="Y36" s="114"/>
      <c r="Z36" s="114"/>
      <c r="AA36" s="114"/>
      <c r="AB36" s="114"/>
      <c r="AC36" s="114"/>
      <c r="AD36" s="114"/>
      <c r="AE36" s="114"/>
      <c r="AF36" s="114"/>
      <c r="AG36" s="114"/>
      <c r="AH36" s="114"/>
      <c r="AI36" s="114"/>
      <c r="AJ36" s="114"/>
    </row>
    <row r="37" spans="2:36">
      <c r="B37" s="163" t="s">
        <v>253</v>
      </c>
      <c r="C37" s="350">
        <f>MEDIAN(D32:G32)</f>
        <v>4.7981284451913797E-2</v>
      </c>
      <c r="J37" s="163" t="s">
        <v>243</v>
      </c>
      <c r="K37" s="499"/>
      <c r="L37" s="499"/>
      <c r="M37" s="499">
        <f t="shared" ref="M37:O37" si="17">M$27*M31</f>
        <v>1029</v>
      </c>
      <c r="N37" s="499">
        <f t="shared" si="17"/>
        <v>413</v>
      </c>
      <c r="O37" s="499">
        <f t="shared" si="17"/>
        <v>0</v>
      </c>
      <c r="P37" s="500">
        <f>SUM(M37:O37)</f>
        <v>1442</v>
      </c>
      <c r="Q37" s="114"/>
      <c r="R37" s="114"/>
      <c r="S37" s="114"/>
      <c r="T37" s="114"/>
      <c r="U37" s="114"/>
      <c r="V37" s="114"/>
      <c r="W37" s="114"/>
      <c r="X37" s="114"/>
      <c r="Y37" s="114"/>
      <c r="Z37" s="114"/>
      <c r="AA37" s="114"/>
      <c r="AB37" s="114"/>
      <c r="AC37" s="114"/>
      <c r="AD37" s="114"/>
      <c r="AE37" s="114"/>
      <c r="AF37" s="114"/>
      <c r="AG37" s="114"/>
      <c r="AH37" s="114"/>
      <c r="AI37" s="114"/>
      <c r="AJ37" s="114"/>
    </row>
    <row r="38" spans="2:36">
      <c r="B38" s="352" t="s">
        <v>254</v>
      </c>
      <c r="C38" s="503">
        <f>G4*C37</f>
        <v>562.67652276759304</v>
      </c>
      <c r="D38" s="192"/>
      <c r="F38" s="192"/>
      <c r="G38" s="192"/>
      <c r="J38" s="163" t="s">
        <v>244</v>
      </c>
      <c r="K38" s="499"/>
      <c r="L38" s="499"/>
      <c r="M38" s="499"/>
      <c r="N38" s="499">
        <f t="shared" ref="N38:O38" si="18">N$27*N32</f>
        <v>826</v>
      </c>
      <c r="O38" s="499">
        <f t="shared" si="18"/>
        <v>0</v>
      </c>
      <c r="P38" s="500">
        <f>SUM(N38:O38)</f>
        <v>826</v>
      </c>
      <c r="Q38" s="114"/>
      <c r="R38" s="114"/>
      <c r="S38" s="114"/>
      <c r="T38" s="114"/>
      <c r="U38" s="114"/>
      <c r="V38" s="114"/>
      <c r="W38" s="114"/>
      <c r="X38" s="114"/>
      <c r="Y38" s="114"/>
      <c r="Z38" s="114"/>
      <c r="AA38" s="114"/>
      <c r="AB38" s="114"/>
      <c r="AC38" s="114"/>
      <c r="AD38" s="114"/>
      <c r="AE38" s="114"/>
      <c r="AF38" s="114"/>
      <c r="AG38" s="114"/>
      <c r="AH38" s="114"/>
      <c r="AI38" s="114"/>
      <c r="AJ38" s="114"/>
    </row>
    <row r="39" spans="2:36">
      <c r="J39" s="163" t="s">
        <v>245</v>
      </c>
      <c r="K39" s="499"/>
      <c r="L39" s="499"/>
      <c r="M39" s="499"/>
      <c r="N39" s="499"/>
      <c r="O39" s="499">
        <f t="shared" ref="O39" si="19">O$27*O33</f>
        <v>620</v>
      </c>
      <c r="P39" s="500">
        <f>SUM(O39:O39)</f>
        <v>620</v>
      </c>
      <c r="Q39" s="114"/>
      <c r="R39" s="114"/>
      <c r="S39" s="114"/>
      <c r="T39" s="114"/>
      <c r="U39" s="114"/>
      <c r="V39" s="114"/>
      <c r="W39" s="114"/>
      <c r="X39" s="114"/>
      <c r="Y39" s="114"/>
      <c r="Z39" s="114"/>
      <c r="AA39" s="114"/>
      <c r="AB39" s="114"/>
      <c r="AC39" s="114"/>
      <c r="AD39" s="114"/>
      <c r="AE39" s="114"/>
      <c r="AF39" s="114"/>
      <c r="AG39" s="114"/>
      <c r="AH39" s="114"/>
      <c r="AI39" s="114"/>
      <c r="AJ39" s="114"/>
    </row>
    <row r="40" spans="2:36">
      <c r="J40" s="121"/>
      <c r="K40" s="163"/>
      <c r="L40" s="163"/>
      <c r="M40" s="163"/>
      <c r="N40" s="163"/>
      <c r="O40" s="163"/>
      <c r="P40" s="501"/>
      <c r="Q40" s="114"/>
      <c r="R40" s="114"/>
      <c r="S40" s="114"/>
      <c r="T40" s="114"/>
      <c r="U40" s="114"/>
      <c r="V40" s="114"/>
      <c r="W40" s="114"/>
      <c r="X40" s="114"/>
      <c r="Y40" s="114"/>
      <c r="Z40" s="114"/>
      <c r="AA40" s="114"/>
      <c r="AB40" s="114"/>
      <c r="AC40" s="114"/>
      <c r="AD40" s="114"/>
      <c r="AE40" s="114"/>
      <c r="AF40" s="114"/>
      <c r="AG40" s="114"/>
      <c r="AH40" s="114"/>
      <c r="AI40" s="114"/>
      <c r="AJ40" s="114"/>
    </row>
    <row r="41" spans="2:36">
      <c r="J41" s="163" t="s">
        <v>246</v>
      </c>
      <c r="K41" s="499">
        <v>0</v>
      </c>
      <c r="L41" s="482">
        <f>L27/4</f>
        <v>283.75</v>
      </c>
      <c r="M41" s="482">
        <f>M27/4</f>
        <v>257.25</v>
      </c>
      <c r="N41" s="482">
        <f>N27/4</f>
        <v>206.5</v>
      </c>
      <c r="O41" s="482">
        <f>O27/4</f>
        <v>155</v>
      </c>
      <c r="P41" s="500">
        <f>SUM(K41:O41)</f>
        <v>902.5</v>
      </c>
      <c r="Q41" s="114"/>
      <c r="R41" s="114"/>
      <c r="S41" s="114"/>
      <c r="T41" s="114"/>
      <c r="U41" s="114"/>
      <c r="V41" s="114"/>
      <c r="W41" s="114"/>
      <c r="X41" s="114"/>
      <c r="Y41" s="114"/>
      <c r="Z41" s="114"/>
      <c r="AA41" s="114"/>
      <c r="AB41" s="114"/>
      <c r="AC41" s="114"/>
      <c r="AD41" s="114"/>
      <c r="AE41" s="114"/>
      <c r="AF41" s="114"/>
      <c r="AG41" s="114"/>
      <c r="AH41" s="114"/>
      <c r="AI41" s="114"/>
      <c r="AJ41" s="114"/>
    </row>
    <row r="42" spans="2:36">
      <c r="J42" s="163" t="s">
        <v>247</v>
      </c>
      <c r="K42" s="499"/>
      <c r="L42" s="482">
        <f>L28/4</f>
        <v>0</v>
      </c>
      <c r="M42" s="482">
        <f>M27/3</f>
        <v>343</v>
      </c>
      <c r="N42" s="482">
        <f t="shared" ref="N42:O42" si="20">N27/3</f>
        <v>275.33333333333331</v>
      </c>
      <c r="O42" s="482">
        <f t="shared" si="20"/>
        <v>206.66666666666666</v>
      </c>
      <c r="P42" s="500">
        <f>SUM(L42:O42)</f>
        <v>824.99999999999989</v>
      </c>
    </row>
    <row r="43" spans="2:36">
      <c r="J43" s="163" t="s">
        <v>248</v>
      </c>
      <c r="K43" s="502"/>
      <c r="L43" s="482"/>
      <c r="M43" s="482">
        <f>M28/3</f>
        <v>0</v>
      </c>
      <c r="N43" s="482">
        <f>N27/2</f>
        <v>413</v>
      </c>
      <c r="O43" s="482">
        <f>O27/2</f>
        <v>310</v>
      </c>
      <c r="P43" s="500">
        <f>SUM(M43:O43)</f>
        <v>723</v>
      </c>
    </row>
    <row r="44" spans="2:36">
      <c r="J44" s="163" t="s">
        <v>249</v>
      </c>
      <c r="K44" s="502"/>
      <c r="L44" s="502"/>
      <c r="M44" s="482"/>
      <c r="N44" s="482">
        <v>0</v>
      </c>
      <c r="O44" s="482">
        <f>O27/1</f>
        <v>620</v>
      </c>
      <c r="P44" s="500">
        <f>SUM(N44:O44)</f>
        <v>620</v>
      </c>
    </row>
    <row r="45" spans="2:36">
      <c r="J45" s="163" t="s">
        <v>250</v>
      </c>
      <c r="K45" s="502"/>
      <c r="L45" s="502"/>
      <c r="M45" s="502"/>
      <c r="N45" s="482"/>
      <c r="O45" s="482">
        <v>0</v>
      </c>
      <c r="P45" s="500">
        <f>SUM(O45:O45)</f>
        <v>0</v>
      </c>
    </row>
  </sheetData>
  <mergeCells count="2">
    <mergeCell ref="J3:P3"/>
    <mergeCell ref="J25:P25"/>
  </mergeCells>
  <pageMargins left="0.7" right="0.7" top="0.75" bottom="0.75" header="0.3" footer="0.3"/>
  <pageSetup orientation="portrait" r:id="rId1"/>
  <ignoredErrors>
    <ignoredError sqref="C6:G6"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30.42578125" style="109" customWidth="1"/>
    <col min="3" max="3" width="12.7109375" style="109" customWidth="1"/>
    <col min="4" max="4" width="9.85546875" style="109" customWidth="1"/>
    <col min="5" max="5" width="29.28515625" style="109" customWidth="1"/>
    <col min="6" max="6" width="11.140625" style="109" customWidth="1" collapsed="1"/>
    <col min="7" max="7" width="11" style="109" bestFit="1" customWidth="1"/>
    <col min="8" max="8" width="11.85546875" style="109" customWidth="1"/>
    <col min="9" max="9" width="12" style="109" customWidth="1"/>
    <col min="10" max="10" width="11.85546875" style="109" customWidth="1"/>
    <col min="11" max="11" width="10.85546875" style="109" customWidth="1"/>
    <col min="12" max="12" width="9.5703125" style="109" customWidth="1"/>
    <col min="13"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52</v>
      </c>
      <c r="C1" s="107"/>
      <c r="D1" s="107"/>
      <c r="E1" s="107"/>
      <c r="F1" s="107"/>
      <c r="G1" s="107"/>
      <c r="H1" s="107"/>
      <c r="I1" s="107"/>
      <c r="J1" s="107"/>
      <c r="K1" s="107"/>
    </row>
    <row r="2" spans="1:31" ht="12.75" customHeight="1">
      <c r="C2" s="129" t="s">
        <v>144</v>
      </c>
    </row>
    <row r="3" spans="1:31">
      <c r="A3" s="111"/>
      <c r="B3" s="124" t="s">
        <v>46</v>
      </c>
      <c r="C3" s="505">
        <f>K5</f>
        <v>89.6</v>
      </c>
      <c r="E3" s="574" t="s">
        <v>217</v>
      </c>
      <c r="F3" s="574"/>
      <c r="G3" s="574"/>
      <c r="H3" s="574"/>
      <c r="I3" s="574"/>
      <c r="J3" s="574"/>
      <c r="K3" s="343"/>
      <c r="L3" s="343"/>
    </row>
    <row r="4" spans="1:31">
      <c r="A4" s="116" t="s">
        <v>33</v>
      </c>
      <c r="B4" s="123" t="s">
        <v>2</v>
      </c>
      <c r="C4" s="487">
        <f>-K6</f>
        <v>-105.6</v>
      </c>
      <c r="E4" s="203"/>
      <c r="F4" s="204">
        <v>2022</v>
      </c>
      <c r="G4" s="204">
        <v>2021</v>
      </c>
      <c r="H4" s="204">
        <v>2020</v>
      </c>
      <c r="I4" s="204">
        <v>2019</v>
      </c>
      <c r="J4" s="204">
        <v>2018</v>
      </c>
      <c r="K4" s="205"/>
      <c r="L4" s="113"/>
      <c r="N4" s="113"/>
      <c r="O4" s="113"/>
      <c r="P4" s="113"/>
      <c r="Q4" s="113"/>
      <c r="R4" s="113"/>
      <c r="S4" s="113"/>
      <c r="X4" s="113"/>
    </row>
    <row r="5" spans="1:31">
      <c r="A5" s="116"/>
      <c r="B5" s="126" t="s">
        <v>45</v>
      </c>
      <c r="C5" s="489">
        <f>C3+C4</f>
        <v>-16</v>
      </c>
      <c r="E5" s="122" t="s">
        <v>204</v>
      </c>
      <c r="F5" s="510">
        <f>25</f>
        <v>25</v>
      </c>
      <c r="G5" s="510">
        <v>85</v>
      </c>
      <c r="H5" s="510">
        <v>78</v>
      </c>
      <c r="I5" s="510">
        <v>135</v>
      </c>
      <c r="J5" s="510">
        <v>125</v>
      </c>
      <c r="K5" s="511">
        <f>AVERAGE(F5:J5)</f>
        <v>89.6</v>
      </c>
      <c r="L5" s="114"/>
      <c r="M5" s="114"/>
      <c r="N5" s="114"/>
      <c r="O5" s="114"/>
      <c r="P5" s="114"/>
      <c r="Q5" s="114"/>
      <c r="R5" s="114"/>
      <c r="S5" s="114"/>
      <c r="T5" s="114"/>
      <c r="U5" s="114"/>
      <c r="V5" s="114"/>
      <c r="W5" s="114"/>
      <c r="X5" s="114"/>
      <c r="Y5" s="114"/>
      <c r="Z5" s="114"/>
      <c r="AA5" s="114"/>
      <c r="AB5" s="114"/>
      <c r="AC5" s="114"/>
    </row>
    <row r="6" spans="1:31">
      <c r="A6" s="116" t="s">
        <v>43</v>
      </c>
      <c r="B6" s="124" t="s">
        <v>207</v>
      </c>
      <c r="C6" s="505">
        <f>K8</f>
        <v>306</v>
      </c>
      <c r="D6" s="117"/>
      <c r="E6" s="122" t="s">
        <v>205</v>
      </c>
      <c r="F6" s="510">
        <f>118+53</f>
        <v>171</v>
      </c>
      <c r="G6" s="510">
        <f>94+33</f>
        <v>127</v>
      </c>
      <c r="H6" s="510">
        <f>86+25</f>
        <v>111</v>
      </c>
      <c r="I6" s="510">
        <f>71+16</f>
        <v>87</v>
      </c>
      <c r="J6" s="510">
        <f>21+11</f>
        <v>32</v>
      </c>
      <c r="K6" s="511">
        <f>AVERAGE(F6:J6)</f>
        <v>105.6</v>
      </c>
      <c r="L6" s="114"/>
      <c r="M6" s="114"/>
      <c r="N6" s="114"/>
      <c r="O6" s="114"/>
      <c r="P6" s="114"/>
      <c r="Q6" s="114"/>
      <c r="R6" s="114"/>
      <c r="S6" s="114"/>
      <c r="T6" s="114"/>
      <c r="U6" s="114"/>
      <c r="V6" s="114"/>
      <c r="W6" s="114"/>
      <c r="X6" s="114"/>
      <c r="Y6" s="114"/>
      <c r="Z6" s="114"/>
      <c r="AA6" s="114"/>
      <c r="AB6" s="114"/>
      <c r="AC6" s="114"/>
    </row>
    <row r="7" spans="1:31">
      <c r="A7" s="116" t="s">
        <v>43</v>
      </c>
      <c r="B7" s="124" t="s">
        <v>208</v>
      </c>
      <c r="C7" s="505">
        <f>'Accounting Adjustments'!G14</f>
        <v>1387</v>
      </c>
      <c r="E7" s="122" t="s">
        <v>206</v>
      </c>
      <c r="F7" s="345">
        <f t="shared" ref="F7:J7" si="0">F6/F5</f>
        <v>6.84</v>
      </c>
      <c r="G7" s="345">
        <f t="shared" si="0"/>
        <v>1.4941176470588236</v>
      </c>
      <c r="H7" s="345">
        <f t="shared" si="0"/>
        <v>1.4230769230769231</v>
      </c>
      <c r="I7" s="345">
        <f t="shared" si="0"/>
        <v>0.64444444444444449</v>
      </c>
      <c r="J7" s="345">
        <f t="shared" si="0"/>
        <v>0.25600000000000001</v>
      </c>
      <c r="K7" s="278"/>
      <c r="L7" s="114"/>
      <c r="M7" s="114"/>
      <c r="N7" s="114"/>
      <c r="O7" s="114"/>
      <c r="P7" s="114"/>
      <c r="Q7" s="114"/>
      <c r="R7" s="114"/>
      <c r="S7" s="114"/>
      <c r="T7" s="114"/>
      <c r="U7" s="114"/>
      <c r="V7" s="114"/>
      <c r="W7" s="114"/>
      <c r="X7" s="114"/>
      <c r="Y7" s="114"/>
      <c r="Z7" s="114"/>
      <c r="AA7" s="114"/>
      <c r="AB7" s="114"/>
      <c r="AC7" s="114"/>
    </row>
    <row r="8" spans="1:31">
      <c r="A8" s="118" t="s">
        <v>33</v>
      </c>
      <c r="B8" s="124" t="s">
        <v>209</v>
      </c>
      <c r="C8" s="505">
        <f>-'Accounting Adjustments'!G13</f>
        <v>-714.25</v>
      </c>
      <c r="E8" s="122" t="s">
        <v>207</v>
      </c>
      <c r="F8" s="510">
        <v>306</v>
      </c>
      <c r="G8" s="510">
        <v>115</v>
      </c>
      <c r="H8" s="512">
        <v>336</v>
      </c>
      <c r="I8" s="512">
        <v>331</v>
      </c>
      <c r="J8" s="512">
        <v>9</v>
      </c>
      <c r="K8" s="513">
        <f>MEDIAN(F8:J8)</f>
        <v>306</v>
      </c>
      <c r="L8" s="114"/>
      <c r="M8" s="114"/>
      <c r="N8" s="114"/>
      <c r="O8" s="114"/>
      <c r="P8" s="114"/>
      <c r="Q8" s="114"/>
      <c r="R8" s="114"/>
      <c r="S8" s="114"/>
      <c r="T8" s="114"/>
      <c r="U8" s="114"/>
      <c r="V8" s="114"/>
      <c r="W8" s="114"/>
      <c r="X8" s="114"/>
      <c r="Y8" s="114"/>
      <c r="Z8" s="114"/>
      <c r="AA8" s="114"/>
      <c r="AB8" s="114"/>
      <c r="AC8" s="114"/>
    </row>
    <row r="9" spans="1:31">
      <c r="A9" s="116" t="s">
        <v>43</v>
      </c>
      <c r="B9" s="124" t="s">
        <v>232</v>
      </c>
      <c r="C9" s="505">
        <f>'Accounting Adjustments'!G18</f>
        <v>1572</v>
      </c>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row>
    <row r="10" spans="1:31">
      <c r="A10" s="118" t="s">
        <v>33</v>
      </c>
      <c r="B10" s="124" t="s">
        <v>233</v>
      </c>
      <c r="C10" s="505">
        <f>-'Accounting Adjustments'!G17</f>
        <v>-902.5</v>
      </c>
      <c r="E10" s="149"/>
      <c r="F10" s="150">
        <v>2018</v>
      </c>
      <c r="G10" s="150">
        <v>2019</v>
      </c>
      <c r="H10" s="150">
        <v>2020</v>
      </c>
      <c r="I10" s="150">
        <v>2021</v>
      </c>
      <c r="J10" s="150">
        <v>2022</v>
      </c>
      <c r="K10" s="114"/>
      <c r="L10" s="114"/>
      <c r="M10" s="114"/>
      <c r="N10" s="114"/>
      <c r="O10" s="114"/>
      <c r="P10" s="114"/>
      <c r="Q10" s="114"/>
      <c r="R10" s="114"/>
      <c r="S10" s="114"/>
      <c r="T10" s="114"/>
      <c r="U10" s="114"/>
      <c r="V10" s="114"/>
      <c r="W10" s="114"/>
      <c r="X10" s="114"/>
      <c r="Y10" s="114"/>
      <c r="Z10" s="114"/>
      <c r="AA10" s="114"/>
      <c r="AB10" s="114"/>
      <c r="AC10" s="114"/>
    </row>
    <row r="11" spans="1:31">
      <c r="A11" s="116"/>
      <c r="B11" s="344" t="s">
        <v>234</v>
      </c>
      <c r="C11" s="506">
        <f>SUM(C5:C10)</f>
        <v>1632.25</v>
      </c>
      <c r="E11" s="146" t="s">
        <v>64</v>
      </c>
      <c r="F11" s="510">
        <v>400</v>
      </c>
      <c r="G11" s="510">
        <v>402</v>
      </c>
      <c r="H11" s="510">
        <v>464</v>
      </c>
      <c r="I11" s="510">
        <v>621</v>
      </c>
      <c r="J11" s="510">
        <v>690</v>
      </c>
      <c r="K11" s="114"/>
      <c r="L11" s="114"/>
      <c r="M11" s="114"/>
      <c r="N11" s="114"/>
      <c r="O11" s="114"/>
      <c r="P11" s="114"/>
      <c r="Q11" s="114"/>
      <c r="R11" s="114"/>
      <c r="S11" s="114"/>
      <c r="T11" s="114"/>
      <c r="U11" s="114"/>
      <c r="V11" s="114"/>
      <c r="W11" s="114"/>
      <c r="X11" s="114"/>
      <c r="Y11" s="114"/>
      <c r="Z11" s="114"/>
      <c r="AA11" s="114"/>
      <c r="AB11" s="114"/>
      <c r="AC11" s="114"/>
    </row>
    <row r="12" spans="1:31">
      <c r="E12" s="146" t="s">
        <v>507</v>
      </c>
      <c r="F12" s="510">
        <v>38</v>
      </c>
      <c r="G12" s="510">
        <v>68</v>
      </c>
      <c r="H12" s="510">
        <v>151</v>
      </c>
      <c r="I12" s="510">
        <v>246</v>
      </c>
      <c r="J12" s="510">
        <v>307</v>
      </c>
      <c r="K12" s="114"/>
      <c r="L12" s="114"/>
      <c r="M12" s="114"/>
      <c r="N12" s="114"/>
      <c r="O12" s="114"/>
      <c r="P12" s="114"/>
      <c r="Q12" s="114"/>
      <c r="R12" s="114"/>
      <c r="S12" s="114"/>
      <c r="T12" s="114"/>
      <c r="U12" s="114"/>
      <c r="V12" s="114"/>
      <c r="W12" s="114"/>
      <c r="X12" s="114"/>
      <c r="Y12" s="114"/>
      <c r="Z12" s="114"/>
      <c r="AA12" s="114"/>
      <c r="AB12" s="114"/>
      <c r="AC12" s="114"/>
    </row>
    <row r="13" spans="1:31">
      <c r="B13" s="123" t="s">
        <v>68</v>
      </c>
      <c r="C13" s="153">
        <f>Reinvestment!J25</f>
        <v>-0.25156873930405022</v>
      </c>
      <c r="E13" s="148" t="s">
        <v>66</v>
      </c>
      <c r="F13" s="508">
        <f>SUM(F11:F12)</f>
        <v>438</v>
      </c>
      <c r="G13" s="508">
        <f>SUM(G11:G12)</f>
        <v>470</v>
      </c>
      <c r="H13" s="508">
        <f>SUM(H11:H12)</f>
        <v>615</v>
      </c>
      <c r="I13" s="508">
        <f>SUM(I11:I12)</f>
        <v>867</v>
      </c>
      <c r="J13" s="508">
        <f>SUM(J11:J12)</f>
        <v>997</v>
      </c>
      <c r="K13" s="114"/>
      <c r="L13" s="114"/>
      <c r="M13" s="114"/>
      <c r="N13" s="114"/>
      <c r="O13" s="114"/>
      <c r="P13" s="114"/>
      <c r="Q13" s="114"/>
      <c r="R13" s="114"/>
      <c r="S13" s="114"/>
      <c r="T13" s="114"/>
      <c r="U13" s="114"/>
      <c r="V13" s="114"/>
      <c r="W13" s="114"/>
      <c r="X13" s="114"/>
      <c r="Y13" s="114"/>
      <c r="Z13" s="114"/>
      <c r="AA13" s="114"/>
      <c r="AB13" s="114"/>
      <c r="AC13" s="114"/>
    </row>
    <row r="14" spans="1:31">
      <c r="B14" s="121"/>
      <c r="C14" s="121"/>
      <c r="D14" s="114"/>
      <c r="E14" s="147" t="s">
        <v>47</v>
      </c>
      <c r="F14" s="510">
        <v>427</v>
      </c>
      <c r="G14" s="510">
        <v>549</v>
      </c>
      <c r="H14" s="510">
        <v>638</v>
      </c>
      <c r="I14" s="510">
        <v>793</v>
      </c>
      <c r="J14" s="510">
        <v>845</v>
      </c>
      <c r="L14" s="114"/>
      <c r="M14" s="114"/>
      <c r="N14" s="114"/>
      <c r="O14" s="114"/>
      <c r="P14" s="114"/>
      <c r="Q14" s="114"/>
      <c r="R14" s="114"/>
      <c r="S14" s="114"/>
      <c r="T14" s="114"/>
      <c r="U14" s="114"/>
      <c r="V14" s="114"/>
      <c r="W14" s="114"/>
      <c r="X14" s="114"/>
      <c r="Y14" s="114"/>
      <c r="Z14" s="114"/>
      <c r="AA14" s="114"/>
      <c r="AB14" s="114"/>
      <c r="AC14" s="114"/>
    </row>
    <row r="15" spans="1:31">
      <c r="B15" s="124" t="s">
        <v>373</v>
      </c>
      <c r="C15" s="488">
        <f>J23</f>
        <v>11727</v>
      </c>
      <c r="D15" s="119"/>
      <c r="E15" s="146" t="s">
        <v>508</v>
      </c>
      <c r="F15" s="510">
        <v>258</v>
      </c>
      <c r="G15" s="510">
        <v>319</v>
      </c>
      <c r="H15" s="510">
        <v>380</v>
      </c>
      <c r="I15" s="514">
        <v>458</v>
      </c>
      <c r="J15" s="510">
        <v>520</v>
      </c>
      <c r="L15" s="114"/>
      <c r="M15" s="114"/>
      <c r="N15" s="114"/>
      <c r="O15" s="114"/>
      <c r="P15" s="114"/>
      <c r="Q15" s="114"/>
      <c r="R15" s="114"/>
      <c r="S15" s="114"/>
      <c r="T15" s="114"/>
      <c r="U15" s="114"/>
      <c r="V15" s="114"/>
      <c r="W15" s="114"/>
      <c r="X15" s="114"/>
      <c r="Y15" s="114"/>
      <c r="Z15" s="114"/>
      <c r="AA15" s="114"/>
      <c r="AB15" s="114"/>
      <c r="AC15" s="114"/>
    </row>
    <row r="16" spans="1:31">
      <c r="B16" s="127" t="s">
        <v>374</v>
      </c>
      <c r="C16" s="507">
        <f>C15*C13</f>
        <v>-2950.146605818597</v>
      </c>
      <c r="D16" s="66"/>
      <c r="E16" s="146" t="s">
        <v>509</v>
      </c>
      <c r="F16" s="510">
        <v>1076</v>
      </c>
      <c r="G16" s="510">
        <v>1438</v>
      </c>
      <c r="H16" s="510">
        <v>1748</v>
      </c>
      <c r="I16" s="514">
        <v>1841</v>
      </c>
      <c r="J16" s="510">
        <v>2093</v>
      </c>
      <c r="K16" s="114"/>
      <c r="L16" s="114"/>
      <c r="M16" s="114"/>
      <c r="N16" s="114"/>
      <c r="O16" s="114"/>
      <c r="P16" s="114"/>
      <c r="Q16" s="114"/>
      <c r="R16" s="114"/>
      <c r="S16" s="114"/>
      <c r="T16" s="114"/>
      <c r="U16" s="114"/>
      <c r="V16" s="114"/>
      <c r="W16" s="114"/>
      <c r="X16" s="114"/>
      <c r="Y16" s="114"/>
      <c r="Z16" s="114"/>
      <c r="AA16" s="114"/>
      <c r="AB16" s="114"/>
      <c r="AC16" s="114"/>
    </row>
    <row r="17" spans="2:31">
      <c r="B17" s="121"/>
      <c r="C17" s="274"/>
      <c r="D17" s="120"/>
      <c r="E17" s="148" t="s">
        <v>67</v>
      </c>
      <c r="F17" s="508">
        <f>SUM(F14:F16)</f>
        <v>1761</v>
      </c>
      <c r="G17" s="508">
        <f>SUM(G14:G16)</f>
        <v>2306</v>
      </c>
      <c r="H17" s="508">
        <f>SUM(H14:H16)</f>
        <v>2766</v>
      </c>
      <c r="I17" s="508">
        <f>SUM(I14:I16)</f>
        <v>3092</v>
      </c>
      <c r="J17" s="508">
        <f>SUM(J14:J16)</f>
        <v>3458</v>
      </c>
      <c r="K17" s="114"/>
      <c r="L17" s="114"/>
      <c r="M17" s="114"/>
      <c r="N17" s="114"/>
      <c r="O17" s="114"/>
      <c r="P17" s="114"/>
      <c r="Q17" s="114"/>
      <c r="R17" s="114"/>
      <c r="S17" s="114"/>
      <c r="T17" s="114"/>
      <c r="U17" s="114"/>
      <c r="V17" s="114"/>
      <c r="W17" s="114"/>
      <c r="X17" s="114"/>
      <c r="Y17" s="114"/>
      <c r="Z17" s="114"/>
      <c r="AA17" s="114"/>
      <c r="AB17" s="114"/>
      <c r="AC17" s="114"/>
    </row>
    <row r="18" spans="2:31">
      <c r="B18" s="124" t="s">
        <v>70</v>
      </c>
      <c r="C18" s="488">
        <f>I23</f>
        <v>9668</v>
      </c>
      <c r="K18" s="114"/>
      <c r="L18" s="114"/>
      <c r="M18" s="114"/>
      <c r="N18" s="114"/>
      <c r="O18" s="114"/>
      <c r="P18" s="114"/>
      <c r="Q18" s="114"/>
      <c r="R18" s="114"/>
      <c r="S18" s="114"/>
      <c r="T18" s="114"/>
      <c r="U18" s="114"/>
      <c r="V18" s="114"/>
      <c r="W18" s="114"/>
      <c r="X18" s="114"/>
      <c r="Y18" s="114"/>
      <c r="Z18" s="114"/>
      <c r="AA18" s="114"/>
      <c r="AB18" s="114"/>
      <c r="AC18" s="114"/>
    </row>
    <row r="19" spans="2:31">
      <c r="B19" s="127" t="s">
        <v>69</v>
      </c>
      <c r="C19" s="508">
        <f>C18*C13</f>
        <v>-2432.1665715915574</v>
      </c>
      <c r="E19" s="148" t="s">
        <v>48</v>
      </c>
      <c r="F19" s="508">
        <f>F13-F17</f>
        <v>-1323</v>
      </c>
      <c r="G19" s="508">
        <f>G13-G17</f>
        <v>-1836</v>
      </c>
      <c r="H19" s="508">
        <f>H13-H17</f>
        <v>-2151</v>
      </c>
      <c r="I19" s="508">
        <f>I13-I17</f>
        <v>-2225</v>
      </c>
      <c r="J19" s="508">
        <f>J13-J17</f>
        <v>-2461</v>
      </c>
      <c r="K19" s="114"/>
      <c r="L19" s="114"/>
      <c r="M19" s="114"/>
      <c r="N19" s="114"/>
      <c r="O19" s="114"/>
      <c r="P19" s="114"/>
      <c r="Q19" s="114"/>
      <c r="R19" s="114"/>
      <c r="S19" s="114"/>
      <c r="T19" s="114"/>
      <c r="U19" s="114"/>
      <c r="V19" s="114"/>
      <c r="W19" s="114"/>
      <c r="X19" s="114"/>
      <c r="Y19" s="114"/>
      <c r="Z19" s="114"/>
      <c r="AA19" s="114"/>
      <c r="AB19" s="114"/>
      <c r="AC19" s="114"/>
    </row>
    <row r="20" spans="2:31">
      <c r="B20" s="121"/>
      <c r="C20" s="274"/>
      <c r="E20" s="121"/>
      <c r="F20" s="275"/>
      <c r="G20" s="275"/>
      <c r="H20" s="275"/>
      <c r="I20" s="275"/>
      <c r="J20" s="275"/>
      <c r="K20" s="114"/>
      <c r="L20" s="114"/>
      <c r="M20" s="114"/>
      <c r="N20" s="114"/>
      <c r="O20" s="114"/>
      <c r="P20" s="114"/>
      <c r="Q20" s="114"/>
      <c r="R20" s="114"/>
      <c r="S20" s="114"/>
      <c r="T20" s="114"/>
      <c r="U20" s="114"/>
      <c r="V20" s="114"/>
      <c r="W20" s="114"/>
      <c r="X20" s="114"/>
      <c r="Y20" s="114"/>
      <c r="Z20" s="114"/>
      <c r="AA20" s="114"/>
      <c r="AB20" s="114"/>
      <c r="AC20" s="114"/>
    </row>
    <row r="21" spans="2:31">
      <c r="B21" s="344" t="s">
        <v>510</v>
      </c>
      <c r="C21" s="490">
        <f>C16-C19</f>
        <v>-517.9800342270396</v>
      </c>
      <c r="E21" s="133" t="s">
        <v>218</v>
      </c>
      <c r="F21" s="484"/>
      <c r="G21" s="488">
        <f>G19-F19</f>
        <v>-513</v>
      </c>
      <c r="H21" s="488">
        <f>H19-G19</f>
        <v>-315</v>
      </c>
      <c r="I21" s="488">
        <f>I19-H19</f>
        <v>-74</v>
      </c>
      <c r="J21" s="488">
        <f>J19-I19</f>
        <v>-236</v>
      </c>
      <c r="K21" s="114"/>
      <c r="L21" s="114"/>
      <c r="M21" s="114"/>
      <c r="N21" s="114"/>
      <c r="O21" s="114"/>
      <c r="P21" s="114"/>
      <c r="Q21" s="114"/>
      <c r="R21" s="114"/>
      <c r="S21" s="114"/>
      <c r="T21" s="114"/>
      <c r="U21" s="114"/>
      <c r="V21" s="114"/>
      <c r="W21" s="114"/>
      <c r="X21" s="114"/>
      <c r="Y21" s="114"/>
      <c r="Z21" s="114"/>
      <c r="AA21" s="114"/>
      <c r="AB21" s="114"/>
      <c r="AC21" s="114"/>
    </row>
    <row r="22" spans="2:31">
      <c r="B22" s="112"/>
      <c r="C22" s="112"/>
      <c r="E22" s="121"/>
      <c r="F22" s="121"/>
      <c r="G22" s="121"/>
      <c r="H22" s="121"/>
      <c r="I22" s="121"/>
      <c r="J22" s="121"/>
      <c r="K22" s="114"/>
      <c r="L22" s="114"/>
      <c r="M22" s="114"/>
      <c r="N22" s="114"/>
      <c r="O22" s="114"/>
      <c r="P22" s="114"/>
      <c r="Q22" s="114"/>
      <c r="R22" s="114"/>
      <c r="S22" s="114"/>
      <c r="T22" s="114"/>
      <c r="U22" s="114"/>
      <c r="V22" s="114"/>
      <c r="W22" s="114"/>
      <c r="X22" s="114"/>
      <c r="Y22" s="114"/>
      <c r="Z22" s="114"/>
      <c r="AA22" s="114"/>
      <c r="AB22" s="114"/>
      <c r="AC22" s="114"/>
    </row>
    <row r="23" spans="2:31">
      <c r="B23" s="150" t="s">
        <v>52</v>
      </c>
      <c r="C23" s="509">
        <f>C11+C21</f>
        <v>1114.2699657729604</v>
      </c>
      <c r="E23" s="146" t="s">
        <v>4</v>
      </c>
      <c r="F23" s="510">
        <f>'Accounting Adjustments'!C4</f>
        <v>5259</v>
      </c>
      <c r="G23" s="510">
        <f>'Accounting Adjustments'!D4</f>
        <v>6764</v>
      </c>
      <c r="H23" s="510">
        <f>'Accounting Adjustments'!E4</f>
        <v>7880</v>
      </c>
      <c r="I23" s="510">
        <f>'Accounting Adjustments'!F4</f>
        <v>9668</v>
      </c>
      <c r="J23" s="510">
        <f>'Accounting Adjustments'!G4</f>
        <v>11727</v>
      </c>
      <c r="K23" s="114"/>
      <c r="L23" s="114"/>
      <c r="M23" s="114"/>
      <c r="N23" s="114"/>
      <c r="O23" s="114"/>
      <c r="P23" s="114"/>
      <c r="Q23" s="114"/>
      <c r="R23" s="114"/>
      <c r="S23" s="114"/>
      <c r="T23" s="114"/>
      <c r="U23" s="114"/>
      <c r="V23" s="114"/>
      <c r="W23" s="114"/>
      <c r="X23" s="114"/>
      <c r="Y23" s="114"/>
      <c r="Z23" s="114"/>
      <c r="AA23" s="114"/>
      <c r="AB23" s="114"/>
      <c r="AC23" s="114"/>
    </row>
    <row r="24" spans="2:31">
      <c r="E24" s="122" t="s">
        <v>65</v>
      </c>
      <c r="F24" s="135">
        <f>F19/F23</f>
        <v>-0.25156873930405022</v>
      </c>
      <c r="G24" s="135">
        <f>G19/G23</f>
        <v>-0.27143701951507981</v>
      </c>
      <c r="H24" s="135">
        <f t="shared" ref="H24" si="1">H19/H23</f>
        <v>-0.27296954314720812</v>
      </c>
      <c r="I24" s="135">
        <f>I19/I23</f>
        <v>-0.23014067025237897</v>
      </c>
      <c r="J24" s="135">
        <f>J19/J23</f>
        <v>-0.20985759358744777</v>
      </c>
      <c r="K24" s="114"/>
      <c r="L24" s="114"/>
      <c r="M24" s="114"/>
      <c r="N24" s="114"/>
      <c r="O24" s="114"/>
      <c r="P24" s="114"/>
      <c r="Q24" s="114"/>
      <c r="R24" s="114"/>
      <c r="S24" s="114"/>
      <c r="T24" s="114"/>
      <c r="U24" s="114"/>
      <c r="V24" s="114"/>
      <c r="W24" s="114"/>
      <c r="X24" s="114"/>
      <c r="Y24" s="114"/>
      <c r="Z24" s="114"/>
      <c r="AA24" s="114"/>
      <c r="AB24" s="114"/>
      <c r="AC24" s="114"/>
    </row>
    <row r="25" spans="2:31">
      <c r="I25" s="129" t="s">
        <v>128</v>
      </c>
      <c r="J25" s="152">
        <f>MEDIAN(F24:J24)</f>
        <v>-0.25156873930405022</v>
      </c>
      <c r="K25" s="114"/>
      <c r="L25" s="114"/>
      <c r="M25" s="114"/>
      <c r="N25" s="114"/>
      <c r="O25" s="114"/>
      <c r="P25" s="114"/>
      <c r="Q25" s="114"/>
      <c r="R25" s="114"/>
      <c r="S25" s="114"/>
      <c r="T25" s="114"/>
      <c r="U25" s="114"/>
      <c r="V25" s="114"/>
      <c r="W25" s="114"/>
      <c r="X25" s="114"/>
      <c r="Y25" s="114"/>
      <c r="Z25" s="114"/>
      <c r="AA25" s="114"/>
      <c r="AB25" s="114"/>
      <c r="AC25" s="114"/>
    </row>
    <row r="26" spans="2:31">
      <c r="I26" s="114"/>
      <c r="J26" s="114"/>
      <c r="K26" s="114"/>
      <c r="L26" s="114"/>
      <c r="M26" s="114"/>
      <c r="N26" s="114"/>
      <c r="O26" s="114"/>
      <c r="P26" s="114"/>
      <c r="Q26" s="114"/>
      <c r="R26" s="114"/>
      <c r="S26" s="114"/>
      <c r="T26" s="114"/>
      <c r="U26" s="114"/>
      <c r="V26" s="114"/>
      <c r="W26" s="114"/>
      <c r="X26" s="114"/>
      <c r="Y26" s="114"/>
      <c r="Z26" s="114"/>
      <c r="AA26" s="114"/>
      <c r="AB26" s="114"/>
      <c r="AC26" s="114"/>
    </row>
    <row r="27" spans="2:31">
      <c r="I27" s="114"/>
      <c r="J27" s="114"/>
      <c r="K27" s="114"/>
      <c r="L27" s="114"/>
      <c r="M27" s="114"/>
      <c r="N27" s="114"/>
      <c r="O27" s="114"/>
      <c r="P27" s="114"/>
      <c r="Q27" s="114"/>
      <c r="R27" s="114"/>
      <c r="S27" s="114"/>
      <c r="T27" s="114"/>
      <c r="U27" s="114"/>
      <c r="V27" s="114"/>
      <c r="W27" s="114"/>
      <c r="X27" s="114"/>
      <c r="Y27" s="114"/>
      <c r="Z27" s="114"/>
      <c r="AA27" s="114"/>
      <c r="AB27" s="114"/>
      <c r="AC27" s="114"/>
    </row>
    <row r="28" spans="2:31">
      <c r="F28" s="114"/>
      <c r="G28" s="114"/>
      <c r="H28" s="114"/>
      <c r="K28" s="114"/>
      <c r="L28" s="114"/>
      <c r="M28" s="114"/>
      <c r="N28" s="114"/>
      <c r="O28" s="114"/>
      <c r="P28" s="114"/>
      <c r="Q28" s="114"/>
      <c r="R28" s="114"/>
      <c r="S28" s="114"/>
      <c r="T28" s="114"/>
      <c r="U28" s="114"/>
      <c r="V28" s="114"/>
      <c r="W28" s="114"/>
      <c r="X28" s="114"/>
      <c r="Y28" s="114"/>
      <c r="Z28" s="114"/>
      <c r="AA28" s="114"/>
      <c r="AB28" s="114"/>
      <c r="AC28" s="114"/>
    </row>
    <row r="29" spans="2:31">
      <c r="F29" s="114"/>
      <c r="G29" s="114"/>
      <c r="H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2:31" ht="14.25" customHeight="1">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2:31">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2:31">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6:31">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6:31">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6:31">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6:31">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6:31">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6:31">
      <c r="K38" s="114"/>
      <c r="L38" s="114"/>
      <c r="M38" s="114"/>
      <c r="N38" s="114"/>
      <c r="O38" s="114"/>
      <c r="P38" s="114"/>
      <c r="Q38" s="114"/>
      <c r="R38" s="114"/>
      <c r="S38" s="114"/>
      <c r="T38" s="114"/>
      <c r="U38" s="114"/>
      <c r="V38" s="114"/>
      <c r="W38" s="114"/>
      <c r="X38" s="114"/>
      <c r="Y38" s="114"/>
      <c r="Z38" s="114"/>
      <c r="AA38" s="114"/>
      <c r="AB38" s="114"/>
      <c r="AC38" s="114"/>
      <c r="AD38" s="114"/>
      <c r="AE38" s="114"/>
    </row>
  </sheetData>
  <mergeCells count="1">
    <mergeCell ref="E3:J3"/>
  </mergeCells>
  <pageMargins left="0.7" right="0.7" top="0.75" bottom="0.75" header="0.3" footer="0.3"/>
  <pageSetup orientation="portrait" r:id="rId1"/>
  <ignoredErrors>
    <ignoredError sqref="F13:J13"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29.28515625" style="109" customWidth="1"/>
    <col min="3" max="3" width="11.7109375" style="109" customWidth="1"/>
    <col min="4" max="4" width="4.85546875" style="109" customWidth="1"/>
    <col min="5" max="5" width="10.140625" style="109" customWidth="1"/>
    <col min="6" max="6" width="26.85546875" style="109" customWidth="1"/>
    <col min="7" max="7" width="11.85546875" style="109" customWidth="1" collapsed="1"/>
    <col min="8" max="8" width="5.42578125" style="109" customWidth="1"/>
    <col min="9" max="9" width="27.28515625" style="109" customWidth="1"/>
    <col min="10" max="10" width="11.5703125" style="109" bestFit="1" customWidth="1"/>
    <col min="11" max="11" width="9.85546875" style="109" customWidth="1"/>
    <col min="12"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63</v>
      </c>
      <c r="C1" s="107"/>
      <c r="D1" s="107"/>
      <c r="E1" s="107"/>
      <c r="F1" s="107"/>
      <c r="G1" s="107"/>
      <c r="H1" s="107"/>
      <c r="I1" s="107"/>
      <c r="J1" s="107"/>
      <c r="K1" s="107"/>
    </row>
    <row r="2" spans="1:31" ht="12.75" customHeight="1">
      <c r="C2" s="129"/>
    </row>
    <row r="3" spans="1:31" ht="15.75">
      <c r="A3" s="111"/>
      <c r="F3" s="100" t="s">
        <v>49</v>
      </c>
      <c r="G3" s="121"/>
      <c r="I3" s="100" t="s">
        <v>53</v>
      </c>
      <c r="J3" s="121"/>
      <c r="K3" s="119"/>
    </row>
    <row r="4" spans="1:31" ht="12.75" customHeight="1">
      <c r="A4" s="116"/>
      <c r="B4" s="131" t="str">
        <f>F14</f>
        <v>Free Cash Flow to Firm (FCFF)</v>
      </c>
      <c r="C4" s="517">
        <f>G14</f>
        <v>-693.01048325543161</v>
      </c>
      <c r="F4" s="128"/>
      <c r="G4" s="145" t="s">
        <v>144</v>
      </c>
      <c r="I4" s="128"/>
      <c r="J4" s="279" t="s">
        <v>144</v>
      </c>
      <c r="K4" s="66"/>
      <c r="N4" s="113"/>
      <c r="P4" s="113"/>
      <c r="Q4" s="113"/>
      <c r="R4" s="113"/>
      <c r="S4" s="113"/>
      <c r="T4" s="113"/>
      <c r="U4" s="113"/>
      <c r="Z4" s="113"/>
    </row>
    <row r="5" spans="1:31">
      <c r="A5" s="116"/>
      <c r="B5" s="144" t="str">
        <f>I17</f>
        <v>Free Cash Flow to Equity (FCFE)</v>
      </c>
      <c r="C5" s="518">
        <f>J17</f>
        <v>-534.83502887323641</v>
      </c>
      <c r="F5" s="124" t="s">
        <v>254</v>
      </c>
      <c r="G5" s="504">
        <f>'Accounting Adjustments'!C38</f>
        <v>562.67652276759304</v>
      </c>
      <c r="I5" s="124" t="str">
        <f>F5</f>
        <v>Normalized EBIT</v>
      </c>
      <c r="J5" s="484">
        <f>G5</f>
        <v>562.67652276759304</v>
      </c>
      <c r="K5" s="120"/>
      <c r="N5" s="114"/>
      <c r="O5" s="114"/>
      <c r="P5" s="114"/>
      <c r="Q5" s="114"/>
      <c r="R5" s="114"/>
      <c r="S5" s="114"/>
      <c r="T5" s="114"/>
      <c r="U5" s="114"/>
      <c r="V5" s="114"/>
      <c r="W5" s="114"/>
      <c r="X5" s="114"/>
      <c r="Y5" s="114"/>
      <c r="Z5" s="114"/>
      <c r="AA5" s="114"/>
      <c r="AB5" s="114"/>
      <c r="AC5" s="114"/>
      <c r="AD5" s="114"/>
      <c r="AE5" s="114"/>
    </row>
    <row r="6" spans="1:31">
      <c r="A6" s="116"/>
      <c r="F6" s="124" t="s">
        <v>88</v>
      </c>
      <c r="G6" s="280">
        <f>'Risk Free Rate &amp; ERP'!H13</f>
        <v>0.25132919986511482</v>
      </c>
      <c r="I6" s="123" t="s">
        <v>54</v>
      </c>
      <c r="J6" s="484">
        <f>'Cost of Equity, Debt &amp; WACC'!L5</f>
        <v>132</v>
      </c>
      <c r="N6" s="114"/>
      <c r="O6" s="114"/>
      <c r="P6" s="114"/>
      <c r="Q6" s="114"/>
      <c r="R6" s="114"/>
      <c r="S6" s="114"/>
      <c r="T6" s="114"/>
      <c r="U6" s="114"/>
      <c r="V6" s="114"/>
      <c r="W6" s="114"/>
      <c r="X6" s="114"/>
      <c r="Y6" s="114"/>
      <c r="Z6" s="114"/>
      <c r="AA6" s="114"/>
      <c r="AB6" s="114"/>
      <c r="AC6" s="114"/>
      <c r="AD6" s="114"/>
      <c r="AE6" s="114"/>
    </row>
    <row r="7" spans="1:31">
      <c r="F7" s="123"/>
      <c r="G7" s="273"/>
      <c r="I7" s="126" t="s">
        <v>55</v>
      </c>
      <c r="J7" s="485">
        <f>J5-J6</f>
        <v>430.67652276759304</v>
      </c>
      <c r="N7" s="114"/>
      <c r="O7" s="114"/>
      <c r="P7" s="114"/>
      <c r="Q7" s="114"/>
      <c r="R7" s="114"/>
      <c r="S7" s="114"/>
      <c r="T7" s="114"/>
      <c r="U7" s="114"/>
      <c r="V7" s="114"/>
      <c r="W7" s="114"/>
      <c r="X7" s="114"/>
      <c r="Y7" s="114"/>
      <c r="Z7" s="114"/>
      <c r="AA7" s="114"/>
      <c r="AB7" s="114"/>
      <c r="AC7" s="114"/>
      <c r="AD7" s="114"/>
      <c r="AE7" s="114"/>
    </row>
    <row r="8" spans="1:31">
      <c r="A8" s="116"/>
      <c r="F8" s="124" t="s">
        <v>50</v>
      </c>
      <c r="G8" s="484">
        <f>G5*(1-G6)</f>
        <v>421.2594825175288</v>
      </c>
      <c r="H8" s="117"/>
      <c r="I8" s="131" t="s">
        <v>88</v>
      </c>
      <c r="J8" s="143">
        <f>'FCFF &amp; FCFE'!G6</f>
        <v>0.25132919986511482</v>
      </c>
      <c r="N8" s="114"/>
      <c r="O8" s="114"/>
      <c r="P8" s="114"/>
      <c r="Q8" s="114"/>
      <c r="R8" s="114"/>
      <c r="S8" s="114"/>
      <c r="T8" s="114"/>
      <c r="U8" s="114"/>
      <c r="V8" s="114"/>
      <c r="W8" s="114"/>
      <c r="X8" s="114"/>
      <c r="Y8" s="114"/>
      <c r="Z8" s="114"/>
      <c r="AA8" s="114"/>
      <c r="AB8" s="114"/>
      <c r="AC8" s="114"/>
      <c r="AD8" s="114"/>
      <c r="AE8" s="114"/>
    </row>
    <row r="9" spans="1:31">
      <c r="A9" s="116"/>
      <c r="F9" s="131"/>
      <c r="G9" s="277"/>
      <c r="I9" s="127" t="s">
        <v>56</v>
      </c>
      <c r="J9" s="500">
        <f>J7*(1-J8)</f>
        <v>322.43493689972399</v>
      </c>
      <c r="N9" s="114"/>
      <c r="O9" s="114"/>
      <c r="P9" s="114"/>
      <c r="Q9" s="114"/>
      <c r="R9" s="114"/>
      <c r="S9" s="114"/>
      <c r="T9" s="114"/>
      <c r="U9" s="114"/>
      <c r="V9" s="114"/>
      <c r="W9" s="114"/>
      <c r="X9" s="114"/>
      <c r="Y9" s="114"/>
      <c r="Z9" s="114"/>
      <c r="AA9" s="114"/>
      <c r="AB9" s="114"/>
      <c r="AC9" s="114"/>
      <c r="AD9" s="114"/>
      <c r="AE9" s="114"/>
    </row>
    <row r="10" spans="1:31">
      <c r="A10" s="112"/>
      <c r="F10" s="124" t="str">
        <f>Reinvestment!B11</f>
        <v>Adj Net Capital Expenditures</v>
      </c>
      <c r="G10" s="484">
        <f>Reinvestment!C11</f>
        <v>1632.25</v>
      </c>
      <c r="I10" s="121"/>
      <c r="J10" s="274"/>
      <c r="N10" s="114"/>
      <c r="O10" s="114"/>
      <c r="P10" s="114"/>
      <c r="Q10" s="114"/>
      <c r="R10" s="114"/>
      <c r="S10" s="114"/>
      <c r="T10" s="114"/>
      <c r="U10" s="114"/>
      <c r="V10" s="114"/>
      <c r="W10" s="114"/>
      <c r="X10" s="114"/>
      <c r="Y10" s="114"/>
      <c r="Z10" s="114"/>
      <c r="AA10" s="114"/>
      <c r="AB10" s="114"/>
      <c r="AC10" s="114"/>
      <c r="AD10" s="114"/>
      <c r="AE10" s="114"/>
    </row>
    <row r="11" spans="1:31">
      <c r="A11" s="116"/>
      <c r="F11" s="124" t="str">
        <f>Reinvestment!B21</f>
        <v>Adj Chg in Non Cash WC</v>
      </c>
      <c r="G11" s="484">
        <f>Reinvestment!C21</f>
        <v>-517.9800342270396</v>
      </c>
      <c r="I11" s="124" t="s">
        <v>52</v>
      </c>
      <c r="J11" s="484">
        <f>G12</f>
        <v>1114.2699657729604</v>
      </c>
      <c r="N11" s="114"/>
      <c r="O11" s="114"/>
      <c r="P11" s="114"/>
      <c r="Q11" s="114"/>
      <c r="R11" s="114"/>
      <c r="S11" s="114"/>
      <c r="T11" s="114"/>
      <c r="U11" s="114"/>
      <c r="V11" s="114"/>
      <c r="W11" s="114"/>
      <c r="X11" s="114"/>
      <c r="Y11" s="114"/>
      <c r="Z11" s="114"/>
      <c r="AA11" s="114"/>
      <c r="AB11" s="114"/>
      <c r="AC11" s="114"/>
      <c r="AD11" s="114"/>
      <c r="AE11" s="114"/>
    </row>
    <row r="12" spans="1:31">
      <c r="F12" s="127" t="s">
        <v>52</v>
      </c>
      <c r="G12" s="515">
        <f>G10+G11</f>
        <v>1114.2699657729604</v>
      </c>
      <c r="I12" s="124"/>
      <c r="J12" s="271"/>
      <c r="N12" s="114"/>
      <c r="O12" s="114"/>
      <c r="P12" s="114"/>
      <c r="Q12" s="114"/>
      <c r="R12" s="114"/>
      <c r="S12" s="114"/>
      <c r="T12" s="114"/>
      <c r="U12" s="114"/>
      <c r="V12" s="114"/>
      <c r="W12" s="114"/>
      <c r="X12" s="114"/>
      <c r="Y12" s="114"/>
      <c r="Z12" s="114"/>
      <c r="AA12" s="114"/>
      <c r="AB12" s="114"/>
      <c r="AC12" s="114"/>
      <c r="AD12" s="114"/>
      <c r="AE12" s="114"/>
    </row>
    <row r="13" spans="1:31">
      <c r="A13" s="116"/>
      <c r="B13" s="112"/>
      <c r="C13" s="141"/>
      <c r="F13" s="121"/>
      <c r="G13" s="121"/>
      <c r="I13" s="124" t="s">
        <v>57</v>
      </c>
      <c r="J13" s="484">
        <f>-43</f>
        <v>-43</v>
      </c>
      <c r="N13" s="114"/>
      <c r="O13" s="114"/>
      <c r="P13" s="114"/>
      <c r="Q13" s="114"/>
      <c r="R13" s="114"/>
      <c r="S13" s="114"/>
      <c r="T13" s="114"/>
      <c r="U13" s="114"/>
      <c r="V13" s="114"/>
      <c r="W13" s="114"/>
      <c r="X13" s="114"/>
      <c r="Y13" s="114"/>
      <c r="Z13" s="114"/>
      <c r="AA13" s="114"/>
      <c r="AB13" s="114"/>
      <c r="AC13" s="114"/>
      <c r="AD13" s="114"/>
      <c r="AE13" s="114"/>
    </row>
    <row r="14" spans="1:31">
      <c r="D14" s="114"/>
      <c r="E14" s="114"/>
      <c r="F14" s="124" t="s">
        <v>51</v>
      </c>
      <c r="G14" s="516">
        <f>G8-G12</f>
        <v>-693.01048325543161</v>
      </c>
      <c r="H14" s="114"/>
      <c r="I14" s="124" t="s">
        <v>58</v>
      </c>
      <c r="J14" s="484">
        <v>300</v>
      </c>
      <c r="N14" s="114"/>
      <c r="O14" s="114"/>
      <c r="P14" s="114"/>
      <c r="Q14" s="114"/>
      <c r="R14" s="114"/>
      <c r="S14" s="114"/>
      <c r="T14" s="114"/>
      <c r="U14" s="114"/>
      <c r="V14" s="114"/>
      <c r="W14" s="114"/>
      <c r="X14" s="114"/>
      <c r="Y14" s="114"/>
      <c r="Z14" s="114"/>
      <c r="AA14" s="114"/>
      <c r="AB14" s="114"/>
      <c r="AC14" s="114"/>
      <c r="AD14" s="114"/>
      <c r="AE14" s="114"/>
    </row>
    <row r="15" spans="1:31">
      <c r="E15" s="119"/>
      <c r="F15" s="119"/>
      <c r="I15" s="127" t="s">
        <v>511</v>
      </c>
      <c r="J15" s="500">
        <f>SUM(J13:J14)</f>
        <v>257</v>
      </c>
      <c r="N15" s="114"/>
      <c r="O15" s="114"/>
      <c r="P15" s="114"/>
      <c r="Q15" s="114"/>
      <c r="R15" s="114"/>
      <c r="S15" s="114"/>
      <c r="T15" s="114"/>
      <c r="U15" s="114"/>
      <c r="V15" s="114"/>
      <c r="W15" s="114"/>
      <c r="X15" s="114"/>
      <c r="Y15" s="114"/>
      <c r="Z15" s="114"/>
      <c r="AA15" s="114"/>
      <c r="AB15" s="114"/>
      <c r="AC15" s="114"/>
      <c r="AD15" s="114"/>
      <c r="AE15" s="114"/>
    </row>
    <row r="16" spans="1:31">
      <c r="E16" s="66"/>
      <c r="F16" s="66"/>
      <c r="G16" s="43"/>
      <c r="I16" s="121"/>
      <c r="J16" s="274"/>
      <c r="N16" s="114"/>
      <c r="O16" s="114"/>
      <c r="P16" s="114"/>
      <c r="Q16" s="114"/>
      <c r="R16" s="114"/>
      <c r="S16" s="114"/>
      <c r="T16" s="114"/>
      <c r="U16" s="114"/>
      <c r="V16" s="114"/>
      <c r="W16" s="114"/>
      <c r="X16" s="114"/>
      <c r="Y16" s="114"/>
      <c r="Z16" s="114"/>
      <c r="AA16" s="114"/>
      <c r="AB16" s="114"/>
      <c r="AC16" s="114"/>
      <c r="AD16" s="114"/>
      <c r="AE16" s="114"/>
    </row>
    <row r="17" spans="1:31">
      <c r="E17" s="120"/>
      <c r="F17" s="120"/>
      <c r="I17" s="124" t="s">
        <v>59</v>
      </c>
      <c r="J17" s="516">
        <f>J9-J11+J15</f>
        <v>-534.83502887323641</v>
      </c>
      <c r="K17" s="114"/>
      <c r="N17" s="114"/>
      <c r="O17" s="114"/>
      <c r="P17" s="114"/>
      <c r="Q17" s="114"/>
      <c r="R17" s="114"/>
      <c r="S17" s="114"/>
      <c r="T17" s="114"/>
      <c r="U17" s="114"/>
      <c r="V17" s="114"/>
      <c r="W17" s="114"/>
      <c r="X17" s="114"/>
      <c r="Y17" s="114"/>
      <c r="Z17" s="114"/>
      <c r="AA17" s="114"/>
      <c r="AB17" s="114"/>
      <c r="AC17" s="114"/>
      <c r="AD17" s="114"/>
      <c r="AE17" s="114"/>
    </row>
    <row r="18" spans="1:31">
      <c r="A18" s="116"/>
      <c r="G18" s="139"/>
      <c r="H18" s="140"/>
      <c r="I18" s="140"/>
      <c r="J18" s="114"/>
      <c r="K18" s="114"/>
      <c r="L18" s="114"/>
      <c r="M18" s="114"/>
      <c r="N18" s="114"/>
      <c r="O18" s="114"/>
      <c r="P18" s="114"/>
      <c r="Q18" s="114"/>
      <c r="R18" s="114"/>
      <c r="S18" s="114"/>
      <c r="T18" s="114"/>
      <c r="U18" s="114"/>
      <c r="V18" s="114"/>
      <c r="W18" s="114"/>
      <c r="X18" s="114"/>
      <c r="Y18" s="114"/>
      <c r="Z18" s="114"/>
      <c r="AA18" s="114"/>
      <c r="AB18" s="114"/>
      <c r="AC18" s="114"/>
      <c r="AD18" s="114"/>
      <c r="AE18" s="114"/>
    </row>
    <row r="19" spans="1:31">
      <c r="G19" s="44"/>
      <c r="H19" s="44"/>
      <c r="I19" s="118"/>
      <c r="J19" s="114"/>
      <c r="K19" s="114"/>
      <c r="L19" s="114"/>
      <c r="M19" s="114"/>
      <c r="N19" s="114"/>
      <c r="O19" s="114"/>
      <c r="P19" s="114"/>
      <c r="Q19" s="114"/>
      <c r="R19" s="114"/>
      <c r="S19" s="114"/>
      <c r="T19" s="114"/>
      <c r="U19" s="114"/>
      <c r="V19" s="114"/>
      <c r="W19" s="114"/>
      <c r="X19" s="114"/>
      <c r="Y19" s="114"/>
      <c r="Z19" s="114"/>
      <c r="AA19" s="114"/>
      <c r="AB19" s="114"/>
      <c r="AC19" s="114"/>
      <c r="AD19" s="114"/>
      <c r="AE19" s="114"/>
    </row>
    <row r="20" spans="1:31">
      <c r="A20" s="116"/>
      <c r="G20" s="85"/>
      <c r="H20" s="85"/>
      <c r="I20" s="134"/>
      <c r="J20" s="114"/>
      <c r="K20" s="114"/>
      <c r="L20" s="114"/>
      <c r="M20" s="114"/>
      <c r="N20" s="114"/>
      <c r="O20" s="114"/>
      <c r="P20" s="114"/>
      <c r="Q20" s="114"/>
      <c r="R20" s="114"/>
      <c r="S20" s="114"/>
      <c r="T20" s="114"/>
      <c r="U20" s="114"/>
      <c r="V20" s="114"/>
      <c r="W20" s="114"/>
      <c r="X20" s="114"/>
      <c r="Y20" s="114"/>
      <c r="Z20" s="114"/>
      <c r="AA20" s="114"/>
      <c r="AB20" s="114"/>
      <c r="AC20" s="114"/>
      <c r="AD20" s="114"/>
      <c r="AE20" s="114"/>
    </row>
    <row r="21" spans="1:31">
      <c r="G21" s="85"/>
      <c r="H21" s="85"/>
      <c r="I21" s="134"/>
      <c r="J21" s="114"/>
      <c r="K21" s="114"/>
      <c r="L21" s="114"/>
      <c r="M21" s="114"/>
      <c r="N21" s="114"/>
      <c r="O21" s="114"/>
      <c r="P21" s="114"/>
      <c r="Q21" s="114"/>
      <c r="R21" s="114"/>
      <c r="S21" s="114"/>
      <c r="T21" s="114"/>
      <c r="U21" s="114"/>
      <c r="V21" s="114"/>
      <c r="W21" s="114"/>
      <c r="X21" s="114"/>
      <c r="Y21" s="114"/>
      <c r="Z21" s="114"/>
      <c r="AA21" s="114"/>
      <c r="AB21" s="114"/>
      <c r="AC21" s="114"/>
      <c r="AD21" s="114"/>
      <c r="AE21" s="114"/>
    </row>
    <row r="22" spans="1:31">
      <c r="E22" s="136"/>
      <c r="G22" s="85"/>
      <c r="H22" s="85"/>
      <c r="I22" s="134"/>
      <c r="J22" s="114"/>
      <c r="K22" s="114"/>
      <c r="L22" s="114"/>
      <c r="M22" s="114"/>
      <c r="N22" s="114"/>
      <c r="O22" s="114"/>
      <c r="P22" s="114"/>
      <c r="Q22" s="114"/>
      <c r="R22" s="114"/>
      <c r="S22" s="114"/>
      <c r="T22" s="114"/>
      <c r="U22" s="114"/>
      <c r="V22" s="114"/>
      <c r="W22" s="114"/>
      <c r="X22" s="114"/>
      <c r="Y22" s="114"/>
      <c r="Z22" s="114"/>
      <c r="AA22" s="114"/>
      <c r="AB22" s="114"/>
      <c r="AC22" s="114"/>
      <c r="AD22" s="114"/>
      <c r="AE22" s="114"/>
    </row>
    <row r="23" spans="1:31">
      <c r="F23" s="142"/>
      <c r="G23" s="85"/>
      <c r="H23" s="85"/>
      <c r="I23" s="134"/>
      <c r="J23" s="114"/>
      <c r="K23" s="114"/>
      <c r="L23" s="114"/>
      <c r="M23" s="114"/>
      <c r="N23" s="114"/>
      <c r="O23" s="114"/>
      <c r="P23" s="114"/>
      <c r="Q23" s="114"/>
      <c r="R23" s="114"/>
      <c r="S23" s="114"/>
      <c r="T23" s="114"/>
      <c r="U23" s="114"/>
      <c r="V23" s="114"/>
      <c r="W23" s="114"/>
      <c r="X23" s="114"/>
      <c r="Y23" s="114"/>
      <c r="Z23" s="114"/>
      <c r="AA23" s="114"/>
      <c r="AB23" s="114"/>
      <c r="AC23" s="114"/>
      <c r="AD23" s="114"/>
      <c r="AE23" s="114"/>
    </row>
    <row r="24" spans="1:31">
      <c r="G24" s="85"/>
      <c r="H24" s="85"/>
      <c r="I24" s="134"/>
      <c r="J24" s="114"/>
      <c r="K24" s="114"/>
      <c r="L24" s="114"/>
      <c r="M24" s="114"/>
      <c r="N24" s="114"/>
      <c r="O24" s="114"/>
      <c r="P24" s="114"/>
      <c r="Q24" s="114"/>
      <c r="R24" s="114"/>
      <c r="S24" s="114"/>
      <c r="T24" s="114"/>
      <c r="U24" s="114"/>
      <c r="V24" s="114"/>
      <c r="W24" s="114"/>
      <c r="X24" s="114"/>
      <c r="Y24" s="114"/>
      <c r="Z24" s="114"/>
      <c r="AA24" s="114"/>
      <c r="AB24" s="114"/>
      <c r="AC24" s="114"/>
      <c r="AD24" s="114"/>
      <c r="AE24" s="114"/>
    </row>
    <row r="25" spans="1:31">
      <c r="G25" s="85"/>
      <c r="H25" s="85"/>
      <c r="I25" s="134"/>
      <c r="J25" s="114"/>
      <c r="K25" s="114"/>
      <c r="L25" s="114"/>
      <c r="M25" s="114"/>
      <c r="N25" s="114"/>
      <c r="O25" s="114"/>
      <c r="P25" s="114"/>
      <c r="Q25" s="114"/>
      <c r="R25" s="114"/>
      <c r="S25" s="114"/>
      <c r="T25" s="114"/>
      <c r="U25" s="114"/>
      <c r="V25" s="114"/>
      <c r="W25" s="114"/>
      <c r="X25" s="114"/>
      <c r="Y25" s="114"/>
      <c r="Z25" s="114"/>
      <c r="AA25" s="114"/>
      <c r="AB25" s="114"/>
      <c r="AC25" s="114"/>
      <c r="AD25" s="114"/>
      <c r="AE25" s="114"/>
    </row>
    <row r="26" spans="1:31">
      <c r="G26" s="85"/>
      <c r="H26" s="85"/>
      <c r="I26" s="134"/>
      <c r="J26" s="114"/>
      <c r="K26" s="114"/>
      <c r="L26" s="114"/>
      <c r="M26" s="114"/>
      <c r="N26" s="114"/>
      <c r="O26" s="114"/>
      <c r="P26" s="114"/>
      <c r="Q26" s="114"/>
      <c r="R26" s="114"/>
      <c r="S26" s="114"/>
      <c r="T26" s="114"/>
      <c r="U26" s="114"/>
      <c r="V26" s="114"/>
      <c r="W26" s="114"/>
      <c r="X26" s="114"/>
      <c r="Y26" s="114"/>
      <c r="Z26" s="114"/>
      <c r="AA26" s="114"/>
      <c r="AB26" s="114"/>
      <c r="AC26" s="114"/>
      <c r="AD26" s="114"/>
      <c r="AE26" s="114"/>
    </row>
    <row r="27" spans="1:31">
      <c r="G27" s="85"/>
      <c r="H27" s="85"/>
      <c r="I27" s="134"/>
      <c r="J27" s="114"/>
      <c r="K27" s="114"/>
      <c r="L27" s="114"/>
      <c r="M27" s="114"/>
      <c r="N27" s="114"/>
      <c r="O27" s="114"/>
      <c r="P27" s="114"/>
      <c r="Q27" s="114"/>
      <c r="R27" s="114"/>
      <c r="S27" s="114"/>
      <c r="T27" s="114"/>
      <c r="U27" s="114"/>
      <c r="V27" s="114"/>
      <c r="W27" s="114"/>
      <c r="X27" s="114"/>
      <c r="Y27" s="114"/>
      <c r="Z27" s="114"/>
      <c r="AA27" s="114"/>
      <c r="AB27" s="114"/>
      <c r="AC27" s="114"/>
      <c r="AD27" s="114"/>
      <c r="AE27" s="114"/>
    </row>
    <row r="28" spans="1:31">
      <c r="G28" s="138"/>
      <c r="H28" s="138"/>
      <c r="I28" s="137"/>
      <c r="J28" s="114"/>
      <c r="K28" s="114"/>
      <c r="L28" s="114"/>
      <c r="M28" s="114"/>
      <c r="N28" s="114"/>
      <c r="O28" s="114"/>
      <c r="P28" s="114"/>
      <c r="Q28" s="114"/>
      <c r="R28" s="114"/>
      <c r="S28" s="114"/>
      <c r="T28" s="114"/>
      <c r="U28" s="114"/>
      <c r="V28" s="114"/>
      <c r="W28" s="114"/>
      <c r="X28" s="114"/>
      <c r="Y28" s="114"/>
      <c r="Z28" s="114"/>
      <c r="AA28" s="114"/>
      <c r="AB28" s="114"/>
      <c r="AC28" s="114"/>
      <c r="AD28" s="114"/>
      <c r="AE28" s="114"/>
    </row>
    <row r="29" spans="1:31">
      <c r="J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1:31" ht="14.25" customHeight="1">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1:31">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1:31">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7:31">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7:31">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7:31">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7:31">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7:31">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7:31">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84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9"/>
  <sheetViews>
    <sheetView workbookViewId="0"/>
  </sheetViews>
  <sheetFormatPr defaultRowHeight="12"/>
  <cols>
    <col min="1" max="1" width="2" style="109" customWidth="1"/>
    <col min="2" max="2" width="29.28515625" style="109" customWidth="1"/>
    <col min="3" max="3" width="12" style="109" bestFit="1" customWidth="1"/>
    <col min="4" max="4" width="2.7109375" style="109" customWidth="1"/>
    <col min="5" max="5" width="26.7109375" style="109" customWidth="1"/>
    <col min="6" max="6" width="11" style="109" customWidth="1" collapsed="1"/>
    <col min="7" max="7" width="11.42578125" style="109" customWidth="1"/>
    <col min="8" max="8" width="13.5703125" style="109" customWidth="1"/>
    <col min="9" max="9" width="12.5703125" style="109" customWidth="1"/>
    <col min="10" max="10" width="9.28515625" style="109" customWidth="1"/>
    <col min="11" max="11" width="9.7109375" style="109" customWidth="1"/>
    <col min="12" max="12" width="3.5703125" style="109" customWidth="1"/>
    <col min="13" max="13" width="22.85546875" style="109" customWidth="1"/>
    <col min="14" max="14" width="14.5703125" style="109" customWidth="1"/>
    <col min="15" max="15" width="11.28515625" style="109" customWidth="1"/>
    <col min="16" max="16" width="13.28515625" style="109" customWidth="1"/>
    <col min="17" max="17" width="12.28515625" style="109" customWidth="1"/>
    <col min="18" max="18" width="13.28515625" style="109" customWidth="1"/>
    <col min="19" max="19" width="11.42578125" style="109" customWidth="1"/>
    <col min="20"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71</v>
      </c>
      <c r="C1" s="107"/>
      <c r="D1" s="107"/>
      <c r="E1" s="107"/>
      <c r="F1" s="107"/>
      <c r="G1" s="107"/>
      <c r="H1" s="107"/>
      <c r="I1" s="107"/>
      <c r="J1" s="107"/>
      <c r="K1" s="107"/>
    </row>
    <row r="2" spans="1:31" ht="12" customHeight="1">
      <c r="C2" s="129"/>
    </row>
    <row r="3" spans="1:31" ht="12" customHeight="1">
      <c r="A3" s="111"/>
      <c r="B3" s="131" t="s">
        <v>52</v>
      </c>
      <c r="C3" s="484">
        <f>'FCFF &amp; FCFE'!G12</f>
        <v>1114.2699657729604</v>
      </c>
      <c r="E3" s="571" t="s">
        <v>495</v>
      </c>
      <c r="F3" s="571"/>
      <c r="G3" s="571"/>
      <c r="H3" s="571"/>
      <c r="I3" s="571"/>
      <c r="J3" s="571"/>
      <c r="K3" s="571"/>
      <c r="L3" s="102"/>
      <c r="M3" s="102"/>
      <c r="N3" s="102"/>
      <c r="O3" s="102"/>
      <c r="P3" s="102"/>
      <c r="Q3" s="102"/>
      <c r="R3" s="102"/>
      <c r="S3" s="102"/>
    </row>
    <row r="4" spans="1:31" ht="12" customHeight="1">
      <c r="A4" s="116"/>
      <c r="B4" s="124" t="s">
        <v>119</v>
      </c>
      <c r="C4" s="484">
        <f>'FCFF &amp; FCFE'!G8</f>
        <v>421.2594825175288</v>
      </c>
      <c r="E4" s="218" t="s">
        <v>125</v>
      </c>
      <c r="F4" s="218" t="s">
        <v>34</v>
      </c>
      <c r="G4" s="198" t="s">
        <v>184</v>
      </c>
      <c r="H4" s="198" t="s">
        <v>210</v>
      </c>
      <c r="I4" s="198" t="s">
        <v>96</v>
      </c>
      <c r="J4" s="198" t="s">
        <v>121</v>
      </c>
      <c r="K4" s="198" t="s">
        <v>35</v>
      </c>
      <c r="L4" s="44"/>
      <c r="M4" s="44"/>
      <c r="N4" s="44"/>
      <c r="O4" s="266"/>
      <c r="P4" s="266"/>
      <c r="Q4" s="266"/>
      <c r="R4" s="266"/>
      <c r="S4" s="266"/>
      <c r="T4" s="113"/>
      <c r="U4" s="113"/>
      <c r="Z4" s="113"/>
    </row>
    <row r="5" spans="1:31" ht="12" customHeight="1">
      <c r="A5" s="116"/>
      <c r="B5" s="221" t="s">
        <v>75</v>
      </c>
      <c r="C5" s="222">
        <f>C3/C4</f>
        <v>2.645091711915577</v>
      </c>
      <c r="E5" s="62" t="s">
        <v>453</v>
      </c>
      <c r="F5" s="62" t="s">
        <v>452</v>
      </c>
      <c r="G5" s="328">
        <v>400.01900000000001</v>
      </c>
      <c r="H5" s="328">
        <v>-216.898</v>
      </c>
      <c r="I5" s="217">
        <f>G5/H5</f>
        <v>-1.8442724229822314</v>
      </c>
      <c r="J5" s="63">
        <v>-0.3014</v>
      </c>
      <c r="K5" s="96">
        <v>0.84287496343923662</v>
      </c>
      <c r="L5" s="282"/>
      <c r="M5" s="85"/>
      <c r="N5" s="85"/>
      <c r="O5" s="353"/>
      <c r="P5" s="353"/>
      <c r="Q5" s="160"/>
      <c r="R5" s="86"/>
      <c r="S5" s="156"/>
      <c r="T5" s="114"/>
      <c r="U5" s="263"/>
      <c r="V5" s="114"/>
      <c r="W5" s="114"/>
      <c r="X5" s="114"/>
      <c r="Y5" s="114"/>
      <c r="Z5" s="114"/>
      <c r="AA5" s="114"/>
      <c r="AB5" s="114"/>
      <c r="AC5" s="114"/>
    </row>
    <row r="6" spans="1:31" ht="12" customHeight="1">
      <c r="A6" s="116"/>
      <c r="E6" s="62" t="s">
        <v>454</v>
      </c>
      <c r="F6" s="233" t="s">
        <v>455</v>
      </c>
      <c r="G6" s="308">
        <v>9779.8580000000002</v>
      </c>
      <c r="H6" s="308">
        <v>14.736000000000001</v>
      </c>
      <c r="I6" s="217">
        <f t="shared" ref="I6:I22" si="0">G6/H6</f>
        <v>663.67114549402822</v>
      </c>
      <c r="J6" s="240">
        <v>-2.3999999999999998E-3</v>
      </c>
      <c r="K6" s="239">
        <v>1.6927739646117561</v>
      </c>
      <c r="L6" s="282"/>
      <c r="M6" s="85"/>
      <c r="N6" s="85"/>
      <c r="O6" s="353"/>
      <c r="P6" s="337"/>
      <c r="Q6" s="160"/>
      <c r="R6" s="354"/>
      <c r="S6" s="355"/>
      <c r="T6" s="114"/>
      <c r="U6" s="263"/>
      <c r="V6" s="114"/>
      <c r="W6" s="114"/>
      <c r="X6" s="114"/>
      <c r="Y6" s="114"/>
      <c r="Z6" s="114"/>
      <c r="AA6" s="114"/>
      <c r="AB6" s="114"/>
      <c r="AC6" s="114"/>
    </row>
    <row r="7" spans="1:31" ht="12" customHeight="1">
      <c r="B7" s="124" t="s">
        <v>119</v>
      </c>
      <c r="C7" s="484">
        <f>'FCFF &amp; FCFE'!G8</f>
        <v>421.2594825175288</v>
      </c>
      <c r="E7" s="62" t="s">
        <v>457</v>
      </c>
      <c r="F7" s="233" t="s">
        <v>456</v>
      </c>
      <c r="G7" s="328">
        <v>84415</v>
      </c>
      <c r="H7" s="328">
        <v>143377</v>
      </c>
      <c r="I7" s="217">
        <f t="shared" si="0"/>
        <v>0.58876249328692887</v>
      </c>
      <c r="J7" s="63">
        <v>7.9399999999999998E-2</v>
      </c>
      <c r="K7" s="96">
        <v>2.644340460818575</v>
      </c>
      <c r="L7" s="282"/>
      <c r="M7" s="85"/>
      <c r="N7" s="85"/>
      <c r="O7" s="353"/>
      <c r="P7" s="353"/>
      <c r="Q7" s="160"/>
      <c r="R7" s="86"/>
      <c r="S7" s="156"/>
      <c r="T7" s="114"/>
      <c r="U7" s="263"/>
      <c r="V7" s="114"/>
      <c r="W7" s="114"/>
      <c r="X7" s="114"/>
      <c r="Y7" s="114"/>
      <c r="Z7" s="114"/>
      <c r="AA7" s="114"/>
      <c r="AB7" s="114"/>
      <c r="AC7" s="114"/>
    </row>
    <row r="8" spans="1:31" ht="12" customHeight="1">
      <c r="A8" s="116"/>
      <c r="B8" s="124" t="s">
        <v>82</v>
      </c>
      <c r="C8" s="484">
        <f>'Accounting Adjustments'!G30</f>
        <v>792</v>
      </c>
      <c r="E8" s="62" t="s">
        <v>458</v>
      </c>
      <c r="F8" s="233" t="s">
        <v>459</v>
      </c>
      <c r="G8" s="308">
        <v>121427</v>
      </c>
      <c r="H8" s="308">
        <v>175754</v>
      </c>
      <c r="I8" s="217">
        <f t="shared" si="0"/>
        <v>0.6908918146955404</v>
      </c>
      <c r="J8" s="241">
        <v>0.18629999999999999</v>
      </c>
      <c r="K8" s="238">
        <v>2.0263697530203331</v>
      </c>
      <c r="L8" s="282"/>
      <c r="M8" s="85"/>
      <c r="N8" s="85"/>
      <c r="O8" s="353"/>
      <c r="P8" s="337"/>
      <c r="Q8" s="160"/>
      <c r="R8" s="356"/>
      <c r="S8" s="357"/>
      <c r="T8" s="114"/>
      <c r="U8" s="263"/>
      <c r="V8" s="114"/>
      <c r="W8" s="114"/>
      <c r="X8" s="114"/>
      <c r="Y8" s="114"/>
      <c r="Z8" s="114"/>
      <c r="AA8" s="114"/>
      <c r="AB8" s="114"/>
      <c r="AC8" s="114"/>
    </row>
    <row r="9" spans="1:31" ht="12" customHeight="1">
      <c r="A9" s="116"/>
      <c r="B9" s="220" t="s">
        <v>76</v>
      </c>
      <c r="C9" s="223">
        <f>C7/C8</f>
        <v>0.53189328600698083</v>
      </c>
      <c r="E9" s="62" t="s">
        <v>461</v>
      </c>
      <c r="F9" s="233" t="s">
        <v>460</v>
      </c>
      <c r="G9" s="308">
        <v>387537</v>
      </c>
      <c r="H9" s="308">
        <v>170741</v>
      </c>
      <c r="I9" s="217">
        <f t="shared" si="0"/>
        <v>2.2697360329387788</v>
      </c>
      <c r="J9" s="63">
        <v>0.29409999999999997</v>
      </c>
      <c r="K9" s="96">
        <v>6.1742878744481171</v>
      </c>
      <c r="L9" s="282"/>
      <c r="M9" s="85"/>
      <c r="N9" s="85"/>
      <c r="O9" s="353"/>
      <c r="P9" s="337"/>
      <c r="Q9" s="160"/>
      <c r="R9" s="86"/>
      <c r="S9" s="156"/>
      <c r="T9" s="114"/>
      <c r="U9" s="263"/>
      <c r="V9" s="114"/>
      <c r="W9" s="114"/>
      <c r="X9" s="114"/>
      <c r="Y9" s="114"/>
      <c r="Z9" s="114"/>
      <c r="AA9" s="114"/>
      <c r="AB9" s="114"/>
      <c r="AC9" s="114"/>
    </row>
    <row r="10" spans="1:31">
      <c r="A10" s="112"/>
      <c r="E10" s="62" t="s">
        <v>462</v>
      </c>
      <c r="F10" s="62" t="s">
        <v>463</v>
      </c>
      <c r="G10" s="308">
        <v>25996</v>
      </c>
      <c r="H10" s="308">
        <v>26358</v>
      </c>
      <c r="I10" s="217">
        <f t="shared" si="0"/>
        <v>0.98626602928902041</v>
      </c>
      <c r="J10" s="63">
        <v>-4.5400000000000003E-2</v>
      </c>
      <c r="K10" s="96">
        <v>1.8701338667487306</v>
      </c>
      <c r="L10" s="282"/>
      <c r="M10" s="85"/>
      <c r="N10" s="85"/>
      <c r="O10" s="353"/>
      <c r="P10" s="337"/>
      <c r="Q10" s="160"/>
      <c r="R10" s="86"/>
      <c r="S10" s="156"/>
      <c r="T10" s="114"/>
      <c r="U10" s="263"/>
      <c r="V10" s="114"/>
      <c r="W10" s="114"/>
      <c r="X10" s="114"/>
      <c r="Y10" s="114"/>
      <c r="Z10" s="114"/>
      <c r="AA10" s="114"/>
      <c r="AB10" s="114"/>
      <c r="AC10" s="114"/>
    </row>
    <row r="11" spans="1:31">
      <c r="A11" s="116"/>
      <c r="B11" s="124" t="s">
        <v>71</v>
      </c>
      <c r="C11" s="49">
        <f>C5*C9</f>
        <v>1.4069065224406065</v>
      </c>
      <c r="E11" s="62" t="s">
        <v>464</v>
      </c>
      <c r="F11" s="62" t="s">
        <v>465</v>
      </c>
      <c r="G11" s="308">
        <v>31615.55</v>
      </c>
      <c r="H11" s="308">
        <v>35130.476999999999</v>
      </c>
      <c r="I11" s="217">
        <f t="shared" si="0"/>
        <v>0.89994650513854391</v>
      </c>
      <c r="J11" s="63">
        <v>0.1782</v>
      </c>
      <c r="K11" s="96">
        <v>4.7298441431510767</v>
      </c>
      <c r="L11" s="282"/>
      <c r="M11" s="85"/>
      <c r="N11" s="85"/>
      <c r="O11" s="353"/>
      <c r="P11" s="337"/>
      <c r="Q11" s="160"/>
      <c r="R11" s="86"/>
      <c r="S11" s="156"/>
      <c r="T11" s="114"/>
      <c r="U11" s="263"/>
      <c r="V11" s="114"/>
      <c r="W11" s="114"/>
      <c r="X11" s="114"/>
      <c r="Y11" s="114"/>
      <c r="Z11" s="114"/>
      <c r="AA11" s="114"/>
      <c r="AB11" s="114"/>
      <c r="AC11" s="114"/>
    </row>
    <row r="12" spans="1:31">
      <c r="B12" s="114"/>
      <c r="E12" s="62" t="s">
        <v>466</v>
      </c>
      <c r="F12" s="233" t="s">
        <v>467</v>
      </c>
      <c r="G12" s="308">
        <v>1092.723</v>
      </c>
      <c r="H12" s="308">
        <v>961.7</v>
      </c>
      <c r="I12" s="217">
        <f t="shared" si="0"/>
        <v>1.1362410315067069</v>
      </c>
      <c r="J12" s="63">
        <v>0.1686</v>
      </c>
      <c r="K12" s="96">
        <v>1.4904509194004336</v>
      </c>
      <c r="L12" s="282"/>
      <c r="M12" s="85"/>
      <c r="N12" s="85"/>
      <c r="O12" s="353"/>
      <c r="P12" s="337"/>
      <c r="Q12" s="160"/>
      <c r="R12" s="86"/>
      <c r="S12" s="156"/>
      <c r="T12" s="114"/>
      <c r="U12" s="263"/>
      <c r="V12" s="114"/>
      <c r="W12" s="114"/>
      <c r="X12" s="114"/>
      <c r="Y12" s="114"/>
      <c r="Z12" s="114"/>
      <c r="AA12" s="114"/>
      <c r="AB12" s="114"/>
      <c r="AC12" s="114"/>
    </row>
    <row r="13" spans="1:31">
      <c r="A13" s="116"/>
      <c r="B13" s="575" t="s">
        <v>211</v>
      </c>
      <c r="C13" s="575"/>
      <c r="E13" s="62" t="s">
        <v>468</v>
      </c>
      <c r="F13" s="233" t="s">
        <v>469</v>
      </c>
      <c r="G13" s="309">
        <v>231028</v>
      </c>
      <c r="H13" s="309">
        <v>27199</v>
      </c>
      <c r="I13" s="217">
        <f t="shared" si="0"/>
        <v>8.4939887495863822</v>
      </c>
      <c r="J13" s="63">
        <v>3.3500000000000002E-2</v>
      </c>
      <c r="K13" s="96">
        <v>0.92975743199958449</v>
      </c>
      <c r="L13" s="282"/>
      <c r="M13" s="85"/>
      <c r="N13" s="85"/>
      <c r="O13" s="353"/>
      <c r="P13" s="338"/>
      <c r="Q13" s="160"/>
      <c r="R13" s="86"/>
      <c r="S13" s="156"/>
      <c r="T13" s="114"/>
      <c r="U13" s="263"/>
      <c r="V13" s="114"/>
      <c r="W13" s="114"/>
      <c r="X13" s="114"/>
      <c r="Y13" s="114"/>
      <c r="Z13" s="114"/>
      <c r="AA13" s="114"/>
      <c r="AB13" s="114"/>
      <c r="AC13" s="114"/>
    </row>
    <row r="14" spans="1:31">
      <c r="B14" s="124" t="s">
        <v>255</v>
      </c>
      <c r="C14" s="365">
        <f>_xlfn.PERCENTILE.EXC(I5:I26,0.9)</f>
        <v>6.6267129345920965</v>
      </c>
      <c r="D14" s="114"/>
      <c r="E14" s="62" t="s">
        <v>470</v>
      </c>
      <c r="F14" s="233" t="s">
        <v>471</v>
      </c>
      <c r="G14" s="308">
        <v>5599.8639999999996</v>
      </c>
      <c r="H14" s="308">
        <v>9152.2009999999991</v>
      </c>
      <c r="I14" s="217">
        <f t="shared" si="0"/>
        <v>0.61185981383057475</v>
      </c>
      <c r="J14" s="63">
        <v>-8.4900000000000003E-2</v>
      </c>
      <c r="K14" s="96">
        <v>8.6367558212128017</v>
      </c>
      <c r="L14" s="282"/>
      <c r="M14" s="85"/>
      <c r="N14" s="85"/>
      <c r="O14" s="353"/>
      <c r="P14" s="337"/>
      <c r="Q14" s="160"/>
      <c r="R14" s="86"/>
      <c r="S14" s="156"/>
      <c r="T14" s="114"/>
      <c r="U14" s="263"/>
      <c r="V14" s="114"/>
      <c r="W14" s="114"/>
      <c r="X14" s="114"/>
      <c r="Y14" s="114"/>
      <c r="Z14" s="114"/>
      <c r="AA14" s="114"/>
      <c r="AB14" s="114"/>
      <c r="AC14" s="114"/>
    </row>
    <row r="15" spans="1:31">
      <c r="B15" s="124" t="s">
        <v>256</v>
      </c>
      <c r="C15" s="365">
        <f>_xlfn.PERCENTILE.EXC(I5:I26,0.75)</f>
        <v>1.6085374568036657</v>
      </c>
      <c r="E15" s="62" t="s">
        <v>472</v>
      </c>
      <c r="F15" s="62" t="s">
        <v>473</v>
      </c>
      <c r="G15" s="309">
        <v>7377</v>
      </c>
      <c r="H15" s="309">
        <v>9503</v>
      </c>
      <c r="I15" s="217">
        <f t="shared" si="0"/>
        <v>0.77628117436598965</v>
      </c>
      <c r="J15" s="63">
        <v>0.21729999999999999</v>
      </c>
      <c r="K15" s="96">
        <v>3.9310017622339704</v>
      </c>
      <c r="L15" s="282"/>
      <c r="M15" s="85"/>
      <c r="N15" s="85"/>
      <c r="O15" s="353"/>
      <c r="P15" s="338"/>
      <c r="Q15" s="160"/>
      <c r="R15" s="86"/>
      <c r="S15" s="156"/>
      <c r="T15" s="114"/>
      <c r="U15" s="263"/>
      <c r="V15" s="114"/>
      <c r="W15" s="114"/>
      <c r="X15" s="114"/>
      <c r="Y15" s="114"/>
      <c r="Z15" s="114"/>
      <c r="AA15" s="114"/>
      <c r="AB15" s="114"/>
      <c r="AC15" s="114"/>
    </row>
    <row r="16" spans="1:31">
      <c r="B16" s="124" t="s">
        <v>257</v>
      </c>
      <c r="C16" s="365">
        <f>_xlfn.PERCENTILE.EXC(I5:I26,0.5)</f>
        <v>0.95594781851672961</v>
      </c>
      <c r="E16" s="50" t="s">
        <v>474</v>
      </c>
      <c r="F16" s="233" t="s">
        <v>475</v>
      </c>
      <c r="G16" s="308">
        <v>120741</v>
      </c>
      <c r="H16" s="308">
        <v>233520</v>
      </c>
      <c r="I16" s="217">
        <f t="shared" si="0"/>
        <v>0.51704779033915726</v>
      </c>
      <c r="J16" s="63">
        <v>0.24410000000000001</v>
      </c>
      <c r="K16" s="96">
        <v>2.3865712558285916</v>
      </c>
      <c r="L16" s="282"/>
      <c r="M16" s="85"/>
      <c r="N16" s="85"/>
      <c r="O16" s="353"/>
      <c r="P16" s="337"/>
      <c r="Q16" s="160"/>
      <c r="R16" s="86"/>
      <c r="S16" s="156"/>
      <c r="T16" s="114"/>
      <c r="U16" s="263"/>
      <c r="V16" s="114"/>
      <c r="W16" s="114"/>
      <c r="X16" s="114"/>
      <c r="Y16" s="114"/>
      <c r="Z16" s="114"/>
      <c r="AA16" s="114"/>
      <c r="AB16" s="114"/>
      <c r="AC16" s="114"/>
      <c r="AD16" s="114"/>
      <c r="AE16" s="114"/>
    </row>
    <row r="17" spans="1:31">
      <c r="B17" s="124" t="s">
        <v>258</v>
      </c>
      <c r="C17" s="365">
        <f>_xlfn.PERCENTILE.EXC(I5:I26,0.25)</f>
        <v>0.67113381447929898</v>
      </c>
      <c r="E17" s="76" t="s">
        <v>476</v>
      </c>
      <c r="F17" s="81" t="s">
        <v>477</v>
      </c>
      <c r="G17" s="308">
        <v>383.738</v>
      </c>
      <c r="H17" s="308">
        <v>172.267</v>
      </c>
      <c r="I17" s="217">
        <f t="shared" si="0"/>
        <v>2.2275769590229122</v>
      </c>
      <c r="J17" s="63">
        <v>-0.27479999999999999</v>
      </c>
      <c r="K17" s="96">
        <v>2.5938687333545287</v>
      </c>
      <c r="L17" s="282"/>
      <c r="M17" s="85"/>
      <c r="N17" s="85"/>
      <c r="O17" s="353"/>
      <c r="P17" s="337"/>
      <c r="Q17" s="160"/>
      <c r="R17" s="86"/>
      <c r="S17" s="156"/>
      <c r="T17" s="114"/>
      <c r="U17" s="263"/>
      <c r="V17" s="114"/>
      <c r="W17" s="114"/>
      <c r="X17" s="114"/>
      <c r="Y17" s="114"/>
      <c r="Z17" s="114"/>
      <c r="AA17" s="114"/>
      <c r="AB17" s="114"/>
      <c r="AC17" s="114"/>
      <c r="AD17" s="114"/>
      <c r="AE17" s="114"/>
    </row>
    <row r="18" spans="1:31">
      <c r="A18" s="116"/>
      <c r="E18" s="76" t="s">
        <v>478</v>
      </c>
      <c r="F18" s="76" t="s">
        <v>479</v>
      </c>
      <c r="G18" s="308">
        <v>17606</v>
      </c>
      <c r="H18" s="308">
        <v>18180</v>
      </c>
      <c r="I18" s="217">
        <f t="shared" si="0"/>
        <v>0.96842684268426837</v>
      </c>
      <c r="J18" s="63">
        <v>0.34639999999999999</v>
      </c>
      <c r="K18" s="96">
        <v>8.2517323639668287</v>
      </c>
      <c r="L18" s="282"/>
      <c r="M18" s="85"/>
      <c r="N18" s="85"/>
      <c r="O18" s="353"/>
      <c r="P18" s="337"/>
      <c r="Q18" s="160"/>
      <c r="R18" s="86"/>
      <c r="S18" s="156"/>
      <c r="T18" s="114"/>
      <c r="U18" s="263"/>
      <c r="V18" s="114"/>
      <c r="W18" s="114"/>
      <c r="X18" s="114"/>
      <c r="Y18" s="114"/>
      <c r="Z18" s="114"/>
      <c r="AA18" s="114"/>
      <c r="AB18" s="114"/>
      <c r="AC18" s="114"/>
      <c r="AD18" s="114"/>
      <c r="AE18" s="114"/>
    </row>
    <row r="19" spans="1:31">
      <c r="B19" s="575" t="s">
        <v>212</v>
      </c>
      <c r="C19" s="575"/>
      <c r="E19" s="76" t="s">
        <v>480</v>
      </c>
      <c r="F19" s="76" t="s">
        <v>481</v>
      </c>
      <c r="G19" s="308">
        <v>919.77800000000002</v>
      </c>
      <c r="H19" s="308">
        <v>1007.236</v>
      </c>
      <c r="I19" s="217">
        <f t="shared" si="0"/>
        <v>0.91317029971128916</v>
      </c>
      <c r="J19" s="63">
        <v>-0.49809999999999999</v>
      </c>
      <c r="K19" s="256">
        <v>0.48136833018402275</v>
      </c>
      <c r="L19" s="265"/>
      <c r="M19" s="85"/>
      <c r="N19" s="85"/>
      <c r="O19" s="353"/>
      <c r="P19" s="337"/>
      <c r="Q19" s="160"/>
      <c r="R19" s="86"/>
      <c r="S19" s="224"/>
      <c r="T19" s="114"/>
      <c r="U19" s="263"/>
      <c r="V19" s="114"/>
      <c r="W19" s="114"/>
      <c r="X19" s="114"/>
      <c r="Y19" s="114"/>
      <c r="Z19" s="114"/>
      <c r="AA19" s="114"/>
      <c r="AB19" s="114"/>
      <c r="AC19" s="114"/>
      <c r="AD19" s="114"/>
      <c r="AE19" s="114"/>
    </row>
    <row r="20" spans="1:31">
      <c r="A20" s="116"/>
      <c r="B20" s="124" t="s">
        <v>255</v>
      </c>
      <c r="C20" s="72">
        <f>_xlfn.PERCENTILE.EXC(J5:J26,0.9)</f>
        <v>0.33070999999999995</v>
      </c>
      <c r="E20" s="76" t="s">
        <v>424</v>
      </c>
      <c r="F20" s="76" t="s">
        <v>425</v>
      </c>
      <c r="G20" s="308">
        <v>282836</v>
      </c>
      <c r="H20" s="308">
        <v>269001</v>
      </c>
      <c r="I20" s="217">
        <f t="shared" si="0"/>
        <v>1.0514310355723584</v>
      </c>
      <c r="J20" s="63">
        <v>0.2646</v>
      </c>
      <c r="K20" s="96">
        <v>3.740390190781937</v>
      </c>
      <c r="L20" s="265"/>
      <c r="M20" s="85"/>
      <c r="N20" s="85"/>
      <c r="O20" s="353"/>
      <c r="P20" s="337"/>
      <c r="Q20" s="160"/>
      <c r="R20" s="86"/>
      <c r="S20" s="156"/>
      <c r="T20" s="114"/>
      <c r="U20" s="263"/>
      <c r="V20" s="114"/>
      <c r="W20" s="114"/>
      <c r="X20" s="114"/>
      <c r="Y20" s="114"/>
      <c r="Z20" s="114"/>
      <c r="AA20" s="114"/>
      <c r="AB20" s="114"/>
      <c r="AC20" s="114"/>
      <c r="AD20" s="114"/>
      <c r="AE20" s="114"/>
    </row>
    <row r="21" spans="1:31">
      <c r="B21" s="124" t="s">
        <v>256</v>
      </c>
      <c r="C21" s="72">
        <f>_xlfn.PERCENTILE.EXC(J5:J26,0.75)</f>
        <v>0.224</v>
      </c>
      <c r="E21" s="76" t="s">
        <v>483</v>
      </c>
      <c r="F21" s="76" t="s">
        <v>484</v>
      </c>
      <c r="G21" s="308">
        <v>2324.9</v>
      </c>
      <c r="H21" s="308">
        <v>1064.5999999999999</v>
      </c>
      <c r="I21" s="217">
        <f t="shared" si="0"/>
        <v>2.1838249107646068</v>
      </c>
      <c r="J21" s="63">
        <v>0.15390000000000001</v>
      </c>
      <c r="K21" s="96">
        <v>3.623037550002151</v>
      </c>
      <c r="L21" s="265"/>
      <c r="M21" s="85"/>
      <c r="N21" s="85"/>
      <c r="O21" s="353"/>
      <c r="P21" s="337"/>
      <c r="Q21" s="160"/>
      <c r="R21" s="358"/>
      <c r="S21" s="156"/>
      <c r="T21" s="114"/>
      <c r="U21" s="263"/>
      <c r="V21" s="114"/>
      <c r="W21" s="114"/>
      <c r="X21" s="114"/>
      <c r="Y21" s="114"/>
      <c r="Z21" s="114"/>
      <c r="AA21" s="114"/>
      <c r="AB21" s="114"/>
      <c r="AC21" s="114"/>
      <c r="AD21" s="114"/>
      <c r="AE21" s="114"/>
    </row>
    <row r="22" spans="1:31">
      <c r="B22" s="124" t="s">
        <v>257</v>
      </c>
      <c r="C22" s="72">
        <f>_xlfn.PERCENTILE.EXC(J5:J26,0.5)</f>
        <v>0.11665</v>
      </c>
      <c r="E22" s="76" t="s">
        <v>486</v>
      </c>
      <c r="F22" s="76" t="s">
        <v>485</v>
      </c>
      <c r="G22" s="308">
        <v>4346.5330000000004</v>
      </c>
      <c r="H22" s="308">
        <v>5780.018</v>
      </c>
      <c r="I22" s="217">
        <f t="shared" si="0"/>
        <v>0.75199298687305127</v>
      </c>
      <c r="J22" s="63">
        <v>0.15970000000000001</v>
      </c>
      <c r="K22" s="96">
        <v>3.749528417246573</v>
      </c>
      <c r="L22" s="265"/>
      <c r="M22" s="85"/>
      <c r="N22" s="85"/>
      <c r="O22" s="353"/>
      <c r="P22" s="337"/>
      <c r="Q22" s="160"/>
      <c r="R22" s="86"/>
      <c r="S22" s="156"/>
      <c r="T22" s="114"/>
      <c r="U22" s="263"/>
      <c r="V22" s="114"/>
      <c r="W22" s="114"/>
      <c r="X22" s="114"/>
      <c r="Y22" s="114"/>
      <c r="Z22" s="114"/>
      <c r="AA22" s="114"/>
      <c r="AB22" s="114"/>
      <c r="AC22" s="114"/>
      <c r="AD22" s="114"/>
      <c r="AE22" s="114"/>
    </row>
    <row r="23" spans="1:31">
      <c r="B23" s="124" t="s">
        <v>258</v>
      </c>
      <c r="C23" s="72">
        <f>_xlfn.PERCENTILE.EXC(J5:J26,0.25)</f>
        <v>-6.8475000000000008E-2</v>
      </c>
      <c r="E23" s="519" t="s">
        <v>487</v>
      </c>
      <c r="F23" s="76" t="s">
        <v>488</v>
      </c>
      <c r="G23" s="308">
        <v>967.75900000000001</v>
      </c>
      <c r="H23" s="308">
        <v>-27.623999999999999</v>
      </c>
      <c r="I23" s="217">
        <f t="shared" ref="I23:I26" si="1">G23/H23</f>
        <v>-35.033268172603535</v>
      </c>
      <c r="J23" s="63">
        <v>3.3700000000000001E-2</v>
      </c>
      <c r="K23" s="256">
        <v>4.9661744297908879</v>
      </c>
      <c r="L23" s="265"/>
      <c r="M23" s="85"/>
      <c r="N23" s="85"/>
      <c r="O23" s="353"/>
      <c r="P23" s="337"/>
      <c r="Q23" s="160"/>
      <c r="R23" s="86"/>
      <c r="S23" s="156"/>
      <c r="T23" s="114"/>
      <c r="U23" s="263"/>
      <c r="V23" s="114"/>
      <c r="W23" s="114"/>
      <c r="X23" s="114"/>
      <c r="Y23" s="114"/>
      <c r="Z23" s="114"/>
      <c r="AA23" s="114"/>
      <c r="AB23" s="114"/>
      <c r="AC23" s="114"/>
      <c r="AD23" s="114"/>
      <c r="AE23" s="114"/>
    </row>
    <row r="24" spans="1:31">
      <c r="E24" s="519" t="s">
        <v>489</v>
      </c>
      <c r="F24" s="76" t="s">
        <v>490</v>
      </c>
      <c r="G24" s="308">
        <v>204094</v>
      </c>
      <c r="H24" s="308">
        <v>216323</v>
      </c>
      <c r="I24" s="217">
        <f t="shared" si="1"/>
        <v>0.94346879434919084</v>
      </c>
      <c r="J24" s="63">
        <v>0.40970000000000001</v>
      </c>
      <c r="K24" s="96">
        <v>8.8759150195498151</v>
      </c>
      <c r="L24" s="265"/>
      <c r="M24" s="85"/>
      <c r="N24" s="85"/>
      <c r="O24" s="353"/>
      <c r="P24" s="337"/>
      <c r="Q24" s="160"/>
      <c r="R24" s="86"/>
      <c r="S24" s="156"/>
      <c r="T24" s="114"/>
      <c r="U24" s="263"/>
      <c r="V24" s="114"/>
      <c r="W24" s="114"/>
      <c r="X24" s="114"/>
      <c r="Y24" s="114"/>
      <c r="Z24" s="114"/>
      <c r="AA24" s="114"/>
      <c r="AB24" s="114"/>
      <c r="AC24" s="114"/>
      <c r="AD24" s="114"/>
      <c r="AE24" s="114"/>
    </row>
    <row r="25" spans="1:31">
      <c r="E25" s="146" t="s">
        <v>491</v>
      </c>
      <c r="F25" s="146" t="s">
        <v>492</v>
      </c>
      <c r="G25" s="308">
        <v>3052.3</v>
      </c>
      <c r="H25" s="308">
        <v>2154.4</v>
      </c>
      <c r="I25" s="217">
        <f t="shared" si="1"/>
        <v>1.4167749721500187</v>
      </c>
      <c r="J25" s="63">
        <v>-0.40129999999999999</v>
      </c>
      <c r="K25" s="96">
        <v>1.8063099957409166</v>
      </c>
      <c r="L25" s="265"/>
      <c r="M25" s="85"/>
      <c r="N25" s="85"/>
      <c r="O25" s="353"/>
      <c r="P25" s="119"/>
      <c r="Q25" s="160"/>
      <c r="R25" s="358"/>
      <c r="S25" s="224"/>
      <c r="T25" s="114"/>
      <c r="U25" s="263"/>
      <c r="V25" s="114"/>
      <c r="W25" s="114"/>
      <c r="X25" s="114"/>
      <c r="Y25" s="114"/>
      <c r="Z25" s="114"/>
      <c r="AA25" s="114"/>
      <c r="AB25" s="114"/>
      <c r="AC25" s="114"/>
      <c r="AD25" s="114"/>
      <c r="AE25" s="114"/>
    </row>
    <row r="26" spans="1:31">
      <c r="E26" s="146" t="s">
        <v>493</v>
      </c>
      <c r="F26" s="146" t="s">
        <v>494</v>
      </c>
      <c r="G26" s="308">
        <v>1730.9690000000001</v>
      </c>
      <c r="H26" s="308">
        <v>1446.451</v>
      </c>
      <c r="I26" s="217">
        <f t="shared" si="1"/>
        <v>1.1967007523932716</v>
      </c>
      <c r="J26" s="63">
        <v>-6.3E-2</v>
      </c>
      <c r="K26" s="96">
        <v>10.667813808335099</v>
      </c>
      <c r="L26" s="265"/>
      <c r="M26" s="85"/>
      <c r="N26" s="85"/>
      <c r="O26" s="353"/>
      <c r="P26" s="337"/>
      <c r="Q26" s="160"/>
      <c r="R26" s="86"/>
      <c r="S26" s="224"/>
      <c r="T26" s="114"/>
      <c r="U26" s="263"/>
      <c r="V26" s="114"/>
      <c r="W26" s="114"/>
      <c r="X26" s="114"/>
      <c r="Y26" s="114"/>
      <c r="Z26" s="114"/>
      <c r="AA26" s="114"/>
      <c r="AB26" s="114"/>
      <c r="AC26" s="114"/>
      <c r="AD26" s="114"/>
      <c r="AE26" s="114"/>
    </row>
    <row r="27" spans="1:31">
      <c r="G27" s="156"/>
      <c r="H27" s="156"/>
      <c r="I27" s="97">
        <f>_xlfn.PERCENTILE.EXC(I5:I26,0.5)</f>
        <v>0.95594781851672961</v>
      </c>
      <c r="J27" s="229">
        <f>_xlfn.PERCENTILE.EXC(J5:J26,0.5)</f>
        <v>0.11665</v>
      </c>
      <c r="K27" s="97">
        <f>_xlfn.PERCENTILE.EXC(K5:K26,0.5)</f>
        <v>3.1336890054103632</v>
      </c>
      <c r="L27" s="329"/>
      <c r="M27" s="85"/>
      <c r="N27" s="85"/>
      <c r="O27" s="120"/>
      <c r="P27" s="120"/>
      <c r="Q27" s="160"/>
      <c r="R27" s="43"/>
      <c r="S27" s="193"/>
      <c r="T27" s="114"/>
      <c r="U27" s="263"/>
      <c r="V27" s="114"/>
      <c r="W27" s="114"/>
      <c r="X27" s="114"/>
      <c r="Y27" s="114"/>
      <c r="Z27" s="114"/>
      <c r="AA27" s="114"/>
      <c r="AB27" s="114"/>
      <c r="AC27" s="114"/>
      <c r="AD27" s="114"/>
      <c r="AE27" s="114"/>
    </row>
    <row r="28" spans="1:31">
      <c r="L28" s="330"/>
      <c r="M28" s="30"/>
      <c r="N28" s="7"/>
      <c r="O28" s="156"/>
      <c r="P28" s="156"/>
      <c r="Q28" s="156"/>
      <c r="R28" s="86"/>
      <c r="S28" s="156"/>
      <c r="T28" s="114"/>
      <c r="U28" s="114"/>
      <c r="V28" s="114"/>
      <c r="W28" s="114"/>
      <c r="X28" s="114"/>
      <c r="Y28" s="114"/>
      <c r="Z28" s="114"/>
      <c r="AA28" s="114"/>
      <c r="AB28" s="114"/>
      <c r="AC28" s="114"/>
      <c r="AD28" s="114"/>
      <c r="AE28" s="114"/>
    </row>
    <row r="29" spans="1:31">
      <c r="L29" s="282"/>
      <c r="M29" s="224"/>
      <c r="N29" s="86"/>
      <c r="O29" s="156"/>
      <c r="Q29" s="264"/>
      <c r="R29" s="265"/>
      <c r="S29" s="114"/>
      <c r="T29" s="114"/>
      <c r="U29" s="114"/>
      <c r="V29" s="114"/>
      <c r="W29" s="114"/>
      <c r="X29" s="114"/>
      <c r="Y29" s="114"/>
      <c r="Z29" s="114"/>
      <c r="AA29" s="114"/>
      <c r="AB29" s="114"/>
      <c r="AC29" s="114"/>
      <c r="AD29" s="114"/>
      <c r="AE29" s="114"/>
    </row>
    <row r="30" spans="1:31" ht="12" customHeight="1">
      <c r="L30" s="282"/>
      <c r="M30" s="102"/>
      <c r="N30" s="102"/>
      <c r="O30" s="102"/>
      <c r="P30" s="102"/>
      <c r="Q30" s="102"/>
      <c r="R30" s="102"/>
      <c r="S30" s="102"/>
      <c r="T30" s="114"/>
      <c r="U30" s="114"/>
      <c r="V30" s="114"/>
      <c r="W30" s="114"/>
      <c r="X30" s="114"/>
      <c r="Y30" s="114"/>
      <c r="Z30" s="114"/>
      <c r="AA30" s="114"/>
      <c r="AB30" s="114"/>
      <c r="AC30" s="114"/>
      <c r="AD30" s="114"/>
      <c r="AE30" s="114"/>
    </row>
    <row r="31" spans="1:31">
      <c r="L31" s="282"/>
      <c r="M31" s="44"/>
      <c r="N31" s="44"/>
      <c r="O31" s="266"/>
      <c r="P31" s="266"/>
      <c r="Q31" s="266"/>
      <c r="R31" s="266"/>
      <c r="S31" s="266"/>
      <c r="T31" s="114"/>
      <c r="U31" s="114"/>
      <c r="V31" s="114"/>
      <c r="W31" s="114"/>
      <c r="X31" s="114"/>
      <c r="Y31" s="114"/>
      <c r="Z31" s="114"/>
      <c r="AA31" s="114"/>
      <c r="AB31" s="114"/>
      <c r="AC31" s="114"/>
      <c r="AD31" s="114"/>
      <c r="AE31" s="114"/>
    </row>
    <row r="32" spans="1:31">
      <c r="L32" s="282"/>
      <c r="M32" s="85"/>
      <c r="N32" s="85"/>
      <c r="O32" s="353"/>
      <c r="P32" s="353"/>
      <c r="Q32" s="160"/>
      <c r="R32" s="86"/>
      <c r="S32" s="156"/>
      <c r="T32" s="114"/>
      <c r="U32" s="263"/>
      <c r="V32" s="114"/>
      <c r="W32" s="114"/>
      <c r="X32" s="114"/>
      <c r="Y32" s="114"/>
      <c r="Z32" s="114"/>
      <c r="AA32" s="114"/>
      <c r="AB32" s="114"/>
      <c r="AC32" s="114"/>
      <c r="AD32" s="114"/>
      <c r="AE32" s="114"/>
    </row>
    <row r="33" spans="12:31">
      <c r="L33" s="282"/>
      <c r="M33" s="85"/>
      <c r="N33" s="267"/>
      <c r="O33" s="337"/>
      <c r="P33" s="337"/>
      <c r="Q33" s="160"/>
      <c r="R33" s="354"/>
      <c r="S33" s="355"/>
      <c r="T33" s="114"/>
      <c r="U33" s="263"/>
      <c r="V33" s="114"/>
      <c r="W33" s="114"/>
      <c r="X33" s="114"/>
      <c r="Y33" s="114"/>
      <c r="Z33" s="114"/>
      <c r="AA33" s="114"/>
      <c r="AB33" s="114"/>
      <c r="AC33" s="114"/>
      <c r="AD33" s="114"/>
      <c r="AE33" s="114"/>
    </row>
    <row r="34" spans="12:31">
      <c r="L34" s="282"/>
      <c r="M34" s="30"/>
      <c r="N34" s="7"/>
      <c r="O34" s="156"/>
      <c r="P34" s="156"/>
      <c r="Q34" s="156"/>
      <c r="R34" s="86"/>
      <c r="S34" s="156"/>
      <c r="T34" s="114"/>
      <c r="U34" s="114"/>
      <c r="V34" s="114"/>
      <c r="W34" s="114"/>
      <c r="X34" s="114"/>
      <c r="Y34" s="114"/>
      <c r="Z34" s="114"/>
      <c r="AA34" s="114"/>
      <c r="AB34" s="114"/>
      <c r="AC34" s="114"/>
      <c r="AD34" s="114"/>
      <c r="AE34" s="114"/>
    </row>
    <row r="35" spans="12:31">
      <c r="L35" s="282"/>
      <c r="T35" s="114"/>
      <c r="U35" s="114"/>
      <c r="V35" s="114"/>
      <c r="W35" s="114"/>
      <c r="X35" s="114"/>
      <c r="Y35" s="114"/>
      <c r="Z35" s="114"/>
      <c r="AA35" s="114"/>
      <c r="AB35" s="114"/>
      <c r="AC35" s="114"/>
      <c r="AD35" s="114"/>
      <c r="AE35" s="114"/>
    </row>
    <row r="36" spans="12:31">
      <c r="L36" s="282"/>
      <c r="M36" s="44"/>
      <c r="N36" s="44"/>
      <c r="O36" s="266"/>
      <c r="P36" s="266"/>
      <c r="Q36" s="59"/>
      <c r="R36" s="266"/>
      <c r="S36" s="266"/>
      <c r="T36" s="114"/>
      <c r="U36" s="114"/>
      <c r="V36" s="114"/>
      <c r="W36" s="114"/>
      <c r="X36" s="114"/>
      <c r="Y36" s="114"/>
      <c r="Z36" s="114"/>
      <c r="AA36" s="114"/>
      <c r="AB36" s="114"/>
      <c r="AC36" s="114"/>
      <c r="AD36" s="114"/>
      <c r="AE36" s="114"/>
    </row>
    <row r="37" spans="12:31">
      <c r="L37" s="282"/>
      <c r="M37" s="268"/>
      <c r="N37" s="359"/>
      <c r="O37" s="156"/>
      <c r="P37" s="362"/>
      <c r="Q37" s="86"/>
      <c r="R37" s="363"/>
      <c r="S37" s="70"/>
      <c r="T37" s="114"/>
      <c r="U37" s="114"/>
      <c r="V37" s="114"/>
      <c r="W37" s="114"/>
      <c r="X37" s="114"/>
      <c r="Y37" s="114"/>
      <c r="Z37" s="114"/>
      <c r="AA37" s="114"/>
      <c r="AB37" s="114"/>
      <c r="AC37" s="114"/>
      <c r="AD37" s="114"/>
      <c r="AE37" s="114"/>
    </row>
    <row r="38" spans="12:31">
      <c r="L38" s="267"/>
      <c r="M38" s="268"/>
      <c r="N38" s="359"/>
      <c r="O38" s="156"/>
      <c r="P38" s="362"/>
      <c r="Q38" s="86"/>
      <c r="R38" s="363"/>
      <c r="S38" s="70"/>
      <c r="T38" s="114"/>
      <c r="U38" s="114"/>
      <c r="V38" s="114"/>
      <c r="W38" s="114"/>
      <c r="X38" s="114"/>
      <c r="Y38" s="114"/>
      <c r="Z38" s="114"/>
      <c r="AA38" s="114"/>
      <c r="AB38" s="114"/>
      <c r="AC38" s="114"/>
      <c r="AD38" s="114"/>
      <c r="AE38" s="114"/>
    </row>
    <row r="39" spans="12:31">
      <c r="L39" s="85"/>
      <c r="M39" s="268"/>
      <c r="N39" s="359"/>
      <c r="O39" s="156"/>
      <c r="P39" s="362"/>
      <c r="Q39" s="86"/>
      <c r="R39" s="363"/>
      <c r="S39" s="70"/>
    </row>
    <row r="40" spans="12:31">
      <c r="L40" s="267"/>
      <c r="M40" s="268"/>
      <c r="N40" s="359"/>
      <c r="O40" s="156"/>
      <c r="P40" s="362"/>
      <c r="Q40" s="86"/>
      <c r="R40" s="363"/>
      <c r="S40" s="70"/>
    </row>
    <row r="41" spans="12:31">
      <c r="L41" s="85"/>
      <c r="M41" s="85"/>
      <c r="N41" s="364"/>
      <c r="O41" s="156"/>
      <c r="P41" s="362"/>
      <c r="Q41" s="86"/>
      <c r="R41" s="360"/>
      <c r="S41" s="361"/>
    </row>
    <row r="42" spans="12:31">
      <c r="L42" s="282"/>
    </row>
    <row r="43" spans="12:31">
      <c r="L43" s="265"/>
    </row>
    <row r="44" spans="12:31">
      <c r="L44" s="265"/>
    </row>
    <row r="45" spans="12:31">
      <c r="L45" s="265"/>
    </row>
    <row r="46" spans="12:31">
      <c r="L46" s="265"/>
    </row>
    <row r="47" spans="12:31">
      <c r="L47" s="265"/>
    </row>
    <row r="48" spans="12:31">
      <c r="L48" s="7"/>
    </row>
    <row r="49" spans="12:12">
      <c r="L49" s="7"/>
    </row>
  </sheetData>
  <mergeCells count="3">
    <mergeCell ref="B19:C19"/>
    <mergeCell ref="E3:K3"/>
    <mergeCell ref="B13:C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6.85546875" style="109" customWidth="1"/>
    <col min="3" max="3" width="16.7109375" style="109" customWidth="1"/>
    <col min="4" max="4" width="8.5703125" style="109" customWidth="1"/>
    <col min="5" max="5" width="3.85546875" style="109" customWidth="1"/>
    <col min="6" max="6" width="26.85546875" style="109" customWidth="1"/>
    <col min="7" max="7" width="11" style="109" customWidth="1" collapsed="1"/>
    <col min="8" max="8" width="12.7109375" style="109" customWidth="1"/>
    <col min="9" max="9" width="10.7109375" style="109" customWidth="1"/>
    <col min="10" max="10" width="10"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512</v>
      </c>
      <c r="C1" s="107"/>
      <c r="D1" s="107"/>
      <c r="E1" s="107"/>
      <c r="F1" s="107"/>
      <c r="G1" s="107"/>
      <c r="H1" s="107"/>
      <c r="I1" s="107"/>
      <c r="J1" s="107"/>
      <c r="K1" s="107"/>
      <c r="L1" s="107"/>
      <c r="M1" s="107"/>
      <c r="N1" s="107"/>
    </row>
    <row r="2" spans="1:32" ht="12" customHeight="1">
      <c r="C2" s="129"/>
    </row>
    <row r="3" spans="1:32" ht="12" customHeight="1">
      <c r="A3" s="111"/>
      <c r="B3" s="527" t="s">
        <v>514</v>
      </c>
      <c r="E3" s="161"/>
      <c r="F3" s="526" t="s">
        <v>144</v>
      </c>
      <c r="G3" s="531">
        <v>2022</v>
      </c>
      <c r="H3" s="531">
        <v>2021</v>
      </c>
      <c r="I3" s="531">
        <v>2020</v>
      </c>
      <c r="J3" s="531">
        <v>2019</v>
      </c>
      <c r="K3" s="531">
        <v>2018</v>
      </c>
      <c r="L3" s="531">
        <v>2017</v>
      </c>
      <c r="M3" s="531">
        <v>2016</v>
      </c>
      <c r="N3" s="102"/>
    </row>
    <row r="4" spans="1:32" ht="12" customHeight="1">
      <c r="A4" s="116"/>
      <c r="F4" s="122" t="s">
        <v>518</v>
      </c>
      <c r="G4" s="529">
        <v>295</v>
      </c>
      <c r="H4" s="529">
        <v>236</v>
      </c>
      <c r="I4" s="529">
        <v>199</v>
      </c>
      <c r="J4" s="529">
        <v>153</v>
      </c>
      <c r="K4" s="529">
        <v>116</v>
      </c>
      <c r="L4" s="529">
        <v>93</v>
      </c>
      <c r="M4" s="529">
        <v>78</v>
      </c>
      <c r="N4" s="59"/>
      <c r="O4" s="113"/>
      <c r="P4" s="113"/>
      <c r="U4" s="113"/>
    </row>
    <row r="5" spans="1:32" ht="12" customHeight="1">
      <c r="A5" s="116"/>
      <c r="F5" s="122" t="s">
        <v>523</v>
      </c>
      <c r="G5" s="135">
        <f t="shared" ref="G5:L5" si="0">(G4-H4)/H4</f>
        <v>0.25</v>
      </c>
      <c r="H5" s="135">
        <f t="shared" si="0"/>
        <v>0.18592964824120603</v>
      </c>
      <c r="I5" s="135">
        <f t="shared" si="0"/>
        <v>0.30065359477124182</v>
      </c>
      <c r="J5" s="135">
        <f t="shared" si="0"/>
        <v>0.31896551724137934</v>
      </c>
      <c r="K5" s="135">
        <f t="shared" si="0"/>
        <v>0.24731182795698925</v>
      </c>
      <c r="L5" s="135">
        <f t="shared" si="0"/>
        <v>0.19230769230769232</v>
      </c>
      <c r="M5" s="525"/>
      <c r="N5" s="119"/>
      <c r="O5" s="114"/>
      <c r="P5" s="114"/>
      <c r="Q5" s="114"/>
      <c r="R5" s="114"/>
      <c r="S5" s="114"/>
      <c r="T5" s="114"/>
      <c r="U5" s="114"/>
      <c r="V5" s="114"/>
      <c r="W5" s="114"/>
      <c r="X5" s="114"/>
      <c r="Y5" s="114"/>
      <c r="Z5" s="114"/>
    </row>
    <row r="6" spans="1:32" ht="12" customHeight="1">
      <c r="A6" s="116"/>
      <c r="F6" s="122" t="s">
        <v>519</v>
      </c>
      <c r="G6" s="529">
        <f t="shared" ref="G6:M6" si="1">G8-G4</f>
        <v>194</v>
      </c>
      <c r="H6" s="529">
        <f t="shared" si="1"/>
        <v>170</v>
      </c>
      <c r="I6" s="529">
        <f t="shared" si="1"/>
        <v>146</v>
      </c>
      <c r="J6" s="529">
        <f t="shared" si="1"/>
        <v>118</v>
      </c>
      <c r="K6" s="529">
        <f t="shared" si="1"/>
        <v>91</v>
      </c>
      <c r="L6" s="529">
        <f t="shared" si="1"/>
        <v>67</v>
      </c>
      <c r="M6" s="529">
        <f t="shared" si="1"/>
        <v>46</v>
      </c>
      <c r="N6" s="119"/>
      <c r="O6" s="114"/>
      <c r="P6" s="114"/>
      <c r="Q6" s="114"/>
      <c r="R6" s="114"/>
      <c r="S6" s="114"/>
      <c r="T6" s="114"/>
      <c r="U6" s="114"/>
      <c r="V6" s="114"/>
      <c r="W6" s="114"/>
      <c r="X6" s="114"/>
      <c r="Y6" s="114"/>
      <c r="Z6" s="114"/>
    </row>
    <row r="7" spans="1:32" ht="12" customHeight="1">
      <c r="F7" s="122" t="s">
        <v>524</v>
      </c>
      <c r="G7" s="135">
        <f t="shared" ref="G7:L7" si="2">(G6-H6)/H6</f>
        <v>0.14117647058823529</v>
      </c>
      <c r="H7" s="135">
        <f t="shared" si="2"/>
        <v>0.16438356164383561</v>
      </c>
      <c r="I7" s="135">
        <f t="shared" si="2"/>
        <v>0.23728813559322035</v>
      </c>
      <c r="J7" s="135">
        <f t="shared" si="2"/>
        <v>0.2967032967032967</v>
      </c>
      <c r="K7" s="135">
        <f t="shared" si="2"/>
        <v>0.35820895522388058</v>
      </c>
      <c r="L7" s="135">
        <f t="shared" si="2"/>
        <v>0.45652173913043476</v>
      </c>
      <c r="M7" s="525"/>
      <c r="N7" s="154"/>
      <c r="O7" s="114"/>
      <c r="P7" s="114"/>
      <c r="Q7" s="114"/>
      <c r="R7" s="114"/>
      <c r="S7" s="114"/>
      <c r="T7" s="114"/>
      <c r="U7" s="114"/>
      <c r="V7" s="114"/>
      <c r="W7" s="114"/>
      <c r="X7" s="114"/>
      <c r="Y7" s="114"/>
      <c r="Z7" s="114"/>
    </row>
    <row r="8" spans="1:32" ht="12" customHeight="1">
      <c r="A8" s="116"/>
      <c r="F8" s="528" t="s">
        <v>513</v>
      </c>
      <c r="G8" s="530">
        <v>489</v>
      </c>
      <c r="H8" s="530">
        <v>406</v>
      </c>
      <c r="I8" s="530">
        <v>345</v>
      </c>
      <c r="J8" s="530">
        <v>271</v>
      </c>
      <c r="K8" s="530">
        <v>207</v>
      </c>
      <c r="L8" s="530">
        <v>160</v>
      </c>
      <c r="M8" s="530">
        <v>124</v>
      </c>
      <c r="N8" s="154"/>
      <c r="O8" s="114"/>
      <c r="P8" s="114"/>
      <c r="Q8" s="114"/>
      <c r="R8" s="114"/>
      <c r="S8" s="114"/>
      <c r="T8" s="114"/>
      <c r="U8" s="114"/>
      <c r="V8" s="114"/>
      <c r="W8" s="114"/>
      <c r="X8" s="114"/>
      <c r="Y8" s="114"/>
      <c r="Z8" s="114"/>
    </row>
    <row r="9" spans="1:32" ht="12" customHeight="1">
      <c r="A9" s="116"/>
      <c r="F9" s="122" t="s">
        <v>522</v>
      </c>
      <c r="G9" s="135">
        <f t="shared" ref="G9:L9" si="3">(G8-H8)/H8</f>
        <v>0.20443349753694581</v>
      </c>
      <c r="H9" s="135">
        <f t="shared" si="3"/>
        <v>0.17681159420289855</v>
      </c>
      <c r="I9" s="135">
        <f t="shared" si="3"/>
        <v>0.27306273062730629</v>
      </c>
      <c r="J9" s="135">
        <f t="shared" si="3"/>
        <v>0.30917874396135264</v>
      </c>
      <c r="K9" s="135">
        <f t="shared" si="3"/>
        <v>0.29375000000000001</v>
      </c>
      <c r="L9" s="135">
        <f t="shared" si="3"/>
        <v>0.29032258064516131</v>
      </c>
      <c r="M9" s="525"/>
      <c r="N9" s="154"/>
      <c r="O9" s="114"/>
      <c r="P9" s="114"/>
      <c r="Q9" s="114"/>
      <c r="R9" s="114"/>
      <c r="S9" s="114"/>
      <c r="T9" s="114"/>
      <c r="U9" s="114"/>
      <c r="V9" s="114"/>
      <c r="W9" s="114"/>
      <c r="X9" s="114"/>
      <c r="Y9" s="114"/>
      <c r="Z9" s="114"/>
    </row>
    <row r="10" spans="1:32">
      <c r="A10" s="112"/>
      <c r="I10" s="114"/>
      <c r="L10" s="85"/>
      <c r="M10" s="85"/>
      <c r="N10" s="154"/>
      <c r="O10" s="114"/>
      <c r="P10" s="114"/>
      <c r="Q10" s="114"/>
      <c r="R10" s="114"/>
      <c r="S10" s="114"/>
      <c r="T10" s="114"/>
      <c r="U10" s="114"/>
      <c r="V10" s="114"/>
      <c r="W10" s="114"/>
      <c r="X10" s="114"/>
      <c r="Y10" s="114"/>
      <c r="Z10" s="114"/>
    </row>
    <row r="11" spans="1:32" ht="14.25">
      <c r="A11" s="116"/>
      <c r="B11" s="527" t="s">
        <v>516</v>
      </c>
      <c r="F11" s="526" t="s">
        <v>144</v>
      </c>
      <c r="G11" s="531">
        <v>2022</v>
      </c>
      <c r="H11" s="531">
        <v>2021</v>
      </c>
      <c r="I11" s="531">
        <v>2020</v>
      </c>
      <c r="J11" s="531">
        <v>2019</v>
      </c>
      <c r="K11" s="531">
        <v>2018</v>
      </c>
      <c r="L11" s="531">
        <v>2017</v>
      </c>
      <c r="M11" s="531">
        <v>2016</v>
      </c>
      <c r="N11" s="154"/>
      <c r="O11" s="114"/>
      <c r="P11" s="114"/>
      <c r="Q11" s="114"/>
      <c r="R11" s="114"/>
      <c r="S11" s="114"/>
      <c r="T11" s="114"/>
      <c r="U11" s="114"/>
      <c r="V11" s="114"/>
      <c r="W11" s="114"/>
      <c r="X11" s="114"/>
      <c r="Y11" s="114"/>
      <c r="Z11" s="114"/>
    </row>
    <row r="12" spans="1:32">
      <c r="F12" s="122" t="s">
        <v>520</v>
      </c>
      <c r="G12" s="529">
        <f t="shared" ref="G12:M12" si="4">G6</f>
        <v>194</v>
      </c>
      <c r="H12" s="529">
        <f t="shared" si="4"/>
        <v>170</v>
      </c>
      <c r="I12" s="529">
        <f t="shared" si="4"/>
        <v>146</v>
      </c>
      <c r="J12" s="529">
        <f t="shared" si="4"/>
        <v>118</v>
      </c>
      <c r="K12" s="529">
        <f t="shared" si="4"/>
        <v>91</v>
      </c>
      <c r="L12" s="529">
        <f t="shared" si="4"/>
        <v>67</v>
      </c>
      <c r="M12" s="529">
        <f t="shared" si="4"/>
        <v>46</v>
      </c>
      <c r="N12" s="154"/>
      <c r="O12" s="114"/>
      <c r="P12" s="114"/>
      <c r="Q12" s="114"/>
      <c r="R12" s="114"/>
      <c r="S12" s="114"/>
      <c r="T12" s="114"/>
      <c r="U12" s="114"/>
      <c r="V12" s="114"/>
      <c r="W12" s="114"/>
      <c r="X12" s="114"/>
      <c r="Y12" s="114"/>
      <c r="Z12" s="114"/>
    </row>
    <row r="13" spans="1:32">
      <c r="A13" s="116"/>
      <c r="F13" s="122" t="s">
        <v>521</v>
      </c>
      <c r="G13" s="529">
        <f>G14-G12</f>
        <v>11</v>
      </c>
      <c r="H13" s="529">
        <f t="shared" ref="H13:M13" si="5">H14-H12</f>
        <v>10</v>
      </c>
      <c r="I13" s="529">
        <f t="shared" si="5"/>
        <v>9</v>
      </c>
      <c r="J13" s="529">
        <f t="shared" si="5"/>
        <v>6</v>
      </c>
      <c r="K13" s="529">
        <f t="shared" si="5"/>
        <v>5</v>
      </c>
      <c r="L13" s="529">
        <f t="shared" si="5"/>
        <v>4</v>
      </c>
      <c r="M13" s="529">
        <f t="shared" si="5"/>
        <v>2</v>
      </c>
      <c r="N13" s="154"/>
      <c r="O13" s="114"/>
      <c r="P13" s="114"/>
      <c r="Q13" s="114"/>
      <c r="R13" s="114"/>
      <c r="S13" s="114"/>
      <c r="T13" s="114"/>
      <c r="U13" s="114"/>
      <c r="V13" s="114"/>
      <c r="W13" s="114"/>
      <c r="X13" s="114"/>
      <c r="Y13" s="114"/>
      <c r="Z13" s="114"/>
    </row>
    <row r="14" spans="1:32">
      <c r="F14" s="528" t="s">
        <v>517</v>
      </c>
      <c r="G14" s="530">
        <v>205</v>
      </c>
      <c r="H14" s="530">
        <v>180</v>
      </c>
      <c r="I14" s="530">
        <v>155</v>
      </c>
      <c r="J14" s="530">
        <v>124</v>
      </c>
      <c r="K14" s="530">
        <v>96</v>
      </c>
      <c r="L14" s="530">
        <v>71</v>
      </c>
      <c r="M14" s="530">
        <v>48</v>
      </c>
      <c r="N14" s="158"/>
      <c r="O14" s="114"/>
      <c r="P14" s="114"/>
      <c r="Q14" s="114"/>
      <c r="R14" s="114"/>
      <c r="S14" s="114"/>
      <c r="T14" s="114"/>
      <c r="U14" s="114"/>
      <c r="V14" s="114"/>
      <c r="W14" s="114"/>
      <c r="X14" s="114"/>
      <c r="Y14" s="114"/>
      <c r="Z14" s="114"/>
    </row>
    <row r="15" spans="1:32">
      <c r="F15" s="122" t="s">
        <v>515</v>
      </c>
      <c r="G15" s="135">
        <f t="shared" ref="G15:L15" si="6">(G14-H14)/H14</f>
        <v>0.1388888888888889</v>
      </c>
      <c r="H15" s="135">
        <f t="shared" si="6"/>
        <v>0.16129032258064516</v>
      </c>
      <c r="I15" s="135">
        <f t="shared" si="6"/>
        <v>0.25</v>
      </c>
      <c r="J15" s="135">
        <f t="shared" si="6"/>
        <v>0.29166666666666669</v>
      </c>
      <c r="K15" s="135">
        <f t="shared" si="6"/>
        <v>0.352112676056338</v>
      </c>
      <c r="L15" s="135">
        <f t="shared" si="6"/>
        <v>0.47916666666666669</v>
      </c>
      <c r="M15" s="525"/>
      <c r="N15" s="154"/>
      <c r="Q15" s="114"/>
      <c r="R15" s="114"/>
      <c r="S15" s="114"/>
      <c r="T15" s="114"/>
      <c r="U15" s="114"/>
      <c r="V15" s="114"/>
      <c r="W15" s="114"/>
      <c r="X15" s="114"/>
      <c r="Y15" s="114"/>
      <c r="Z15" s="114"/>
      <c r="AA15" s="114"/>
      <c r="AB15" s="114"/>
      <c r="AC15" s="114"/>
      <c r="AD15" s="114"/>
      <c r="AE15" s="114"/>
      <c r="AF15" s="114"/>
    </row>
    <row r="16" spans="1:32">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L17" s="156"/>
      <c r="M17" s="154"/>
      <c r="N17" s="576"/>
      <c r="O17" s="576"/>
      <c r="P17" s="576"/>
      <c r="Q17" s="114"/>
      <c r="R17" s="114"/>
      <c r="S17" s="114"/>
      <c r="T17" s="114"/>
      <c r="U17" s="114"/>
      <c r="V17" s="114"/>
      <c r="W17" s="114"/>
      <c r="X17" s="114"/>
      <c r="Y17" s="114"/>
      <c r="Z17" s="114"/>
      <c r="AA17" s="114"/>
      <c r="AB17" s="114"/>
      <c r="AC17" s="114"/>
      <c r="AD17" s="114"/>
      <c r="AE17" s="114"/>
      <c r="AF17" s="114"/>
    </row>
    <row r="18" spans="1:34">
      <c r="A18" s="116"/>
      <c r="F18" s="526" t="s">
        <v>144</v>
      </c>
      <c r="G18" s="531">
        <v>2022</v>
      </c>
      <c r="H18" s="531">
        <v>2021</v>
      </c>
      <c r="I18" s="531">
        <v>2020</v>
      </c>
      <c r="J18" s="531">
        <v>2019</v>
      </c>
      <c r="K18" s="531">
        <v>2018</v>
      </c>
      <c r="L18" s="531">
        <v>2017</v>
      </c>
      <c r="M18" s="531">
        <v>2016</v>
      </c>
      <c r="N18" s="225"/>
      <c r="O18" s="118"/>
      <c r="P18" s="118"/>
      <c r="Q18" s="114"/>
      <c r="R18" s="114"/>
      <c r="S18" s="114"/>
      <c r="T18" s="114"/>
      <c r="U18" s="114"/>
      <c r="V18" s="114"/>
      <c r="W18" s="114"/>
      <c r="X18" s="114"/>
      <c r="Y18" s="114"/>
      <c r="Z18" s="114"/>
      <c r="AA18" s="114"/>
      <c r="AB18" s="114"/>
      <c r="AC18" s="114"/>
      <c r="AD18" s="114"/>
      <c r="AE18" s="114"/>
      <c r="AF18" s="114"/>
    </row>
    <row r="19" spans="1:34">
      <c r="F19" s="122" t="s">
        <v>526</v>
      </c>
      <c r="G19" s="484">
        <v>4.5199999999999996</v>
      </c>
      <c r="H19" s="484">
        <v>4.29</v>
      </c>
      <c r="I19" s="484">
        <v>4.3099999999999996</v>
      </c>
      <c r="J19" s="484">
        <v>4.72</v>
      </c>
      <c r="K19" s="484">
        <v>4.8099999999999996</v>
      </c>
      <c r="L19" s="484">
        <v>5.32</v>
      </c>
      <c r="M19" s="484">
        <v>6.2</v>
      </c>
      <c r="N19" s="193"/>
      <c r="O19" s="191"/>
      <c r="P19" s="154"/>
      <c r="Q19" s="114"/>
      <c r="R19" s="114"/>
      <c r="S19" s="114"/>
      <c r="T19" s="114"/>
      <c r="U19" s="114"/>
      <c r="V19" s="114"/>
      <c r="W19" s="114"/>
      <c r="X19" s="114"/>
      <c r="Y19" s="114"/>
      <c r="Z19" s="114"/>
      <c r="AA19" s="114"/>
      <c r="AB19" s="114"/>
      <c r="AC19" s="114"/>
      <c r="AD19" s="114"/>
      <c r="AE19" s="114"/>
      <c r="AF19" s="114"/>
    </row>
    <row r="20" spans="1:34" ht="14.25">
      <c r="A20" s="116"/>
      <c r="B20" s="527" t="s">
        <v>525</v>
      </c>
      <c r="F20" s="122" t="s">
        <v>515</v>
      </c>
      <c r="G20" s="135">
        <f t="shared" ref="G20:L20" si="7">(G19-H19)/H19</f>
        <v>5.3613053613053505E-2</v>
      </c>
      <c r="H20" s="135">
        <f t="shared" si="7"/>
        <v>-4.6403712296982777E-3</v>
      </c>
      <c r="I20" s="135">
        <f t="shared" si="7"/>
        <v>-8.6864406779661049E-2</v>
      </c>
      <c r="J20" s="135">
        <f t="shared" si="7"/>
        <v>-1.8711018711018684E-2</v>
      </c>
      <c r="K20" s="135">
        <f t="shared" si="7"/>
        <v>-9.5864661654135458E-2</v>
      </c>
      <c r="L20" s="135">
        <f t="shared" si="7"/>
        <v>-0.14193548387096772</v>
      </c>
      <c r="M20" s="525"/>
      <c r="N20" s="193"/>
      <c r="O20" s="191"/>
      <c r="P20" s="157"/>
      <c r="Q20" s="114"/>
      <c r="R20" s="114"/>
      <c r="S20" s="114"/>
      <c r="T20" s="114"/>
      <c r="U20" s="114"/>
      <c r="V20" s="114"/>
      <c r="W20" s="114"/>
      <c r="X20" s="114"/>
      <c r="Y20" s="114"/>
      <c r="Z20" s="114"/>
      <c r="AA20" s="114"/>
      <c r="AB20" s="114"/>
      <c r="AC20" s="114"/>
      <c r="AD20" s="114"/>
      <c r="AE20" s="114"/>
      <c r="AF20" s="114"/>
    </row>
    <row r="21" spans="1:34">
      <c r="F21" s="129" t="s">
        <v>527</v>
      </c>
      <c r="G21" s="532">
        <f>MEDIAN(G19:M19)</f>
        <v>4.72</v>
      </c>
      <c r="L21" s="11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F23" s="526" t="s">
        <v>144</v>
      </c>
      <c r="G23" s="531">
        <v>2022</v>
      </c>
      <c r="H23" s="531">
        <v>2021</v>
      </c>
      <c r="I23" s="531">
        <v>2020</v>
      </c>
      <c r="J23" s="531">
        <v>2019</v>
      </c>
      <c r="K23" s="531">
        <v>2018</v>
      </c>
      <c r="L23" s="531">
        <v>2017</v>
      </c>
      <c r="M23" s="531">
        <v>2016</v>
      </c>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F24" s="122" t="s">
        <v>529</v>
      </c>
      <c r="G24" s="488">
        <v>10251</v>
      </c>
      <c r="H24" s="488">
        <v>8460</v>
      </c>
      <c r="I24" s="488">
        <v>7135</v>
      </c>
      <c r="J24" s="488">
        <v>6086</v>
      </c>
      <c r="K24" s="488">
        <v>4717</v>
      </c>
      <c r="L24" s="488">
        <v>3674</v>
      </c>
      <c r="M24" s="488">
        <v>2657</v>
      </c>
      <c r="N24" s="154"/>
      <c r="O24" s="114"/>
      <c r="P24" s="114"/>
      <c r="Q24" s="114"/>
      <c r="R24" s="114"/>
      <c r="S24" s="114"/>
      <c r="T24" s="114"/>
      <c r="U24" s="114"/>
      <c r="V24" s="114"/>
      <c r="W24" s="114"/>
      <c r="X24" s="114"/>
      <c r="Y24" s="114"/>
      <c r="Z24" s="114"/>
      <c r="AA24" s="114"/>
      <c r="AB24" s="114"/>
      <c r="AC24" s="114"/>
      <c r="AD24" s="114"/>
      <c r="AE24" s="114"/>
      <c r="AF24" s="114"/>
    </row>
    <row r="25" spans="1:34">
      <c r="F25" s="122" t="s">
        <v>515</v>
      </c>
      <c r="G25" s="135">
        <f t="shared" ref="G25" si="8">(G24-H24)/H24</f>
        <v>0.21170212765957447</v>
      </c>
      <c r="H25" s="135">
        <f t="shared" ref="H25" si="9">(H24-I24)/I24</f>
        <v>0.18570427470217238</v>
      </c>
      <c r="I25" s="135">
        <f t="shared" ref="I25" si="10">(I24-J24)/J24</f>
        <v>0.17236279986855077</v>
      </c>
      <c r="J25" s="135">
        <f t="shared" ref="J25" si="11">(J24-K24)/K24</f>
        <v>0.29022683909264363</v>
      </c>
      <c r="K25" s="135">
        <f t="shared" ref="K25" si="12">(K24-L24)/L24</f>
        <v>0.28388677191072403</v>
      </c>
      <c r="L25" s="135">
        <f t="shared" ref="L25" si="13">(L24-M24)/M24</f>
        <v>0.38276251411366202</v>
      </c>
      <c r="M25" s="121"/>
      <c r="N25" s="156"/>
      <c r="O25" s="114"/>
      <c r="P25" s="114"/>
      <c r="Q25" s="114"/>
      <c r="R25" s="114"/>
      <c r="S25" s="114"/>
      <c r="T25" s="114"/>
      <c r="U25" s="114"/>
      <c r="V25" s="114"/>
      <c r="W25" s="114"/>
      <c r="X25" s="114"/>
      <c r="Y25" s="114"/>
      <c r="Z25" s="114"/>
      <c r="AA25" s="114"/>
      <c r="AB25" s="114"/>
      <c r="AC25" s="114"/>
      <c r="AD25" s="114"/>
      <c r="AE25" s="114"/>
      <c r="AF25" s="114"/>
    </row>
    <row r="26" spans="1:34">
      <c r="F26" s="122" t="s">
        <v>530</v>
      </c>
      <c r="G26" s="488">
        <v>1476</v>
      </c>
      <c r="H26" s="488">
        <v>1208</v>
      </c>
      <c r="I26" s="488">
        <v>745</v>
      </c>
      <c r="J26" s="488">
        <v>678</v>
      </c>
      <c r="K26" s="488">
        <v>542</v>
      </c>
      <c r="L26" s="488">
        <v>416</v>
      </c>
      <c r="M26" s="488">
        <v>295</v>
      </c>
      <c r="N26" s="114"/>
      <c r="O26" s="114"/>
      <c r="P26" s="114"/>
      <c r="Q26" s="114"/>
      <c r="R26" s="114"/>
      <c r="S26" s="114"/>
      <c r="T26" s="114"/>
      <c r="U26" s="114"/>
      <c r="V26" s="114"/>
      <c r="W26" s="114"/>
      <c r="X26" s="114"/>
      <c r="Y26" s="114"/>
      <c r="Z26" s="114"/>
      <c r="AA26" s="114"/>
      <c r="AB26" s="114"/>
      <c r="AC26" s="114"/>
      <c r="AD26" s="114"/>
      <c r="AE26" s="114"/>
      <c r="AF26" s="114"/>
    </row>
    <row r="27" spans="1:34">
      <c r="F27" s="122" t="s">
        <v>515</v>
      </c>
      <c r="G27" s="135">
        <f t="shared" ref="G27" si="14">(G26-H26)/H26</f>
        <v>0.22185430463576158</v>
      </c>
      <c r="H27" s="135">
        <f t="shared" ref="H27" si="15">(H26-I26)/I26</f>
        <v>0.62147651006711413</v>
      </c>
      <c r="I27" s="135">
        <f t="shared" ref="I27" si="16">(I26-J26)/J26</f>
        <v>9.8820058997050153E-2</v>
      </c>
      <c r="J27" s="135">
        <f t="shared" ref="J27" si="17">(J26-K26)/K26</f>
        <v>0.25092250922509224</v>
      </c>
      <c r="K27" s="135">
        <f t="shared" ref="K27" si="18">(K26-L26)/L26</f>
        <v>0.30288461538461536</v>
      </c>
      <c r="L27" s="135">
        <f t="shared" ref="L27" si="19">(L26-M26)/M26</f>
        <v>0.4101694915254237</v>
      </c>
      <c r="M27" s="121"/>
      <c r="O27" s="114"/>
      <c r="P27" s="114"/>
      <c r="Q27" s="114"/>
      <c r="R27" s="114"/>
      <c r="S27" s="114"/>
      <c r="T27" s="114"/>
      <c r="U27" s="114"/>
      <c r="V27" s="114"/>
      <c r="W27" s="114"/>
      <c r="X27" s="114"/>
      <c r="Y27" s="114"/>
      <c r="Z27" s="114"/>
      <c r="AA27" s="114"/>
      <c r="AB27" s="114"/>
      <c r="AC27" s="114"/>
      <c r="AD27" s="114"/>
      <c r="AE27" s="114"/>
      <c r="AF27" s="114"/>
      <c r="AG27" s="114"/>
      <c r="AH27" s="114"/>
    </row>
    <row r="28" spans="1:34">
      <c r="O28" s="114"/>
      <c r="P28" s="114"/>
      <c r="Q28" s="114"/>
      <c r="R28" s="114"/>
      <c r="S28" s="114"/>
      <c r="T28" s="114"/>
      <c r="U28" s="114"/>
      <c r="V28" s="114"/>
      <c r="W28" s="114"/>
      <c r="X28" s="114"/>
      <c r="Y28" s="114"/>
      <c r="Z28" s="114"/>
      <c r="AA28" s="114"/>
      <c r="AB28" s="114"/>
      <c r="AC28" s="114"/>
      <c r="AD28" s="114"/>
      <c r="AE28" s="114"/>
      <c r="AF28" s="114"/>
      <c r="AG28" s="114"/>
      <c r="AH28" s="114"/>
    </row>
    <row r="29" spans="1:34">
      <c r="F29" s="122" t="s">
        <v>529</v>
      </c>
      <c r="G29" s="554">
        <f>G24/(G24+G26)</f>
        <v>0.874136607828089</v>
      </c>
      <c r="H29" s="554">
        <f t="shared" ref="H29:M29" si="20">H24/(H24+H26)</f>
        <v>0.87505171700455109</v>
      </c>
      <c r="I29" s="554">
        <f t="shared" si="20"/>
        <v>0.90545685279187815</v>
      </c>
      <c r="J29" s="554">
        <f t="shared" si="20"/>
        <v>0.89976345357776466</v>
      </c>
      <c r="K29" s="554">
        <f t="shared" si="20"/>
        <v>0.89693858147936867</v>
      </c>
      <c r="L29" s="554">
        <f t="shared" si="20"/>
        <v>0.89828850855745723</v>
      </c>
      <c r="M29" s="554">
        <f t="shared" si="20"/>
        <v>0.90006775067750677</v>
      </c>
      <c r="O29" s="114"/>
      <c r="P29" s="114"/>
      <c r="Q29" s="114"/>
      <c r="R29" s="114"/>
      <c r="S29" s="114"/>
      <c r="T29" s="114"/>
      <c r="U29" s="114"/>
      <c r="V29" s="114"/>
      <c r="W29" s="114"/>
      <c r="X29" s="114"/>
      <c r="Y29" s="114"/>
      <c r="Z29" s="114"/>
      <c r="AA29" s="114"/>
      <c r="AB29" s="114"/>
      <c r="AC29" s="114"/>
      <c r="AD29" s="114"/>
      <c r="AE29" s="114"/>
      <c r="AF29" s="114"/>
      <c r="AG29" s="114"/>
      <c r="AH29" s="114"/>
    </row>
    <row r="30" spans="1:34" ht="12" customHeight="1">
      <c r="F30" s="122" t="s">
        <v>530</v>
      </c>
      <c r="G30" s="555">
        <f>100%-G29</f>
        <v>0.125863392171911</v>
      </c>
      <c r="H30" s="555">
        <f t="shared" ref="H30:M30" si="21">100%-H29</f>
        <v>0.12494828299544891</v>
      </c>
      <c r="I30" s="555">
        <f t="shared" si="21"/>
        <v>9.4543147208121847E-2</v>
      </c>
      <c r="J30" s="555">
        <f t="shared" si="21"/>
        <v>0.10023654642223534</v>
      </c>
      <c r="K30" s="555">
        <f t="shared" si="21"/>
        <v>0.10306141852063133</v>
      </c>
      <c r="L30" s="555">
        <f t="shared" si="21"/>
        <v>0.10171149144254277</v>
      </c>
      <c r="M30" s="555">
        <f t="shared" si="21"/>
        <v>9.9932249322493227E-2</v>
      </c>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1">
    <mergeCell ref="N17:P17"/>
  </mergeCells>
  <pageMargins left="0.7" right="0.7" top="0.75" bottom="0.75" header="0.3" footer="0.3"/>
  <pageSetup orientation="landscape"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8.85546875" style="109" customWidth="1"/>
    <col min="3" max="3" width="13.5703125" style="109" customWidth="1"/>
    <col min="4" max="4" width="12" style="109" customWidth="1"/>
    <col min="5" max="5" width="14.140625" style="109" customWidth="1"/>
    <col min="6" max="6" width="10.42578125" style="109" customWidth="1"/>
    <col min="7" max="7" width="9.5703125" style="109" customWidth="1" collapsed="1"/>
    <col min="8" max="8" width="12.5703125" style="109" customWidth="1"/>
    <col min="9" max="9" width="2.85546875" style="109" customWidth="1"/>
    <col min="10" max="10" width="16.140625" style="109" customWidth="1"/>
    <col min="11" max="11" width="11.85546875" style="109" customWidth="1"/>
    <col min="12" max="12" width="12" style="109" customWidth="1"/>
    <col min="13" max="13" width="2.5703125" style="109" customWidth="1"/>
    <col min="14" max="14" width="18.42578125" style="109" customWidth="1"/>
    <col min="15" max="15" width="2.5703125" style="109" customWidth="1"/>
    <col min="16" max="16" width="15.5703125" style="109" customWidth="1"/>
    <col min="17" max="17" width="8.140625" style="109" customWidth="1"/>
    <col min="18" max="18" width="13.140625" style="109" customWidth="1"/>
    <col min="19"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528</v>
      </c>
      <c r="C1" s="107"/>
      <c r="D1" s="107"/>
      <c r="E1" s="107"/>
      <c r="F1" s="107"/>
      <c r="G1" s="107"/>
      <c r="H1" s="107"/>
      <c r="I1" s="107"/>
      <c r="J1" s="107"/>
      <c r="K1" s="107"/>
      <c r="L1" s="107"/>
      <c r="M1" s="107"/>
      <c r="N1" s="107"/>
    </row>
    <row r="2" spans="1:32" ht="12" customHeight="1"/>
    <row r="3" spans="1:32" ht="12" customHeight="1">
      <c r="A3" s="111"/>
      <c r="C3" s="577" t="s">
        <v>540</v>
      </c>
      <c r="D3" s="577"/>
      <c r="E3" s="577"/>
      <c r="F3" s="577"/>
      <c r="G3" s="577"/>
      <c r="H3" s="577"/>
      <c r="J3" s="577" t="s">
        <v>539</v>
      </c>
      <c r="K3" s="577"/>
      <c r="L3" s="577"/>
      <c r="P3" s="577" t="s">
        <v>545</v>
      </c>
      <c r="Q3" s="577"/>
      <c r="R3" s="577"/>
    </row>
    <row r="4" spans="1:32" ht="12" customHeight="1">
      <c r="A4" s="116"/>
      <c r="B4" s="172"/>
      <c r="C4" s="149" t="s">
        <v>543</v>
      </c>
      <c r="D4" s="149" t="s">
        <v>537</v>
      </c>
      <c r="E4" s="149" t="s">
        <v>542</v>
      </c>
      <c r="F4" s="149" t="s">
        <v>515</v>
      </c>
      <c r="G4" s="149" t="s">
        <v>268</v>
      </c>
      <c r="H4" s="149" t="s">
        <v>4</v>
      </c>
      <c r="J4" s="149" t="s">
        <v>532</v>
      </c>
      <c r="K4" s="149" t="s">
        <v>537</v>
      </c>
      <c r="L4" s="149" t="s">
        <v>533</v>
      </c>
      <c r="N4" s="149" t="s">
        <v>541</v>
      </c>
      <c r="O4" s="535"/>
      <c r="P4" s="149" t="s">
        <v>531</v>
      </c>
      <c r="Q4" s="149" t="s">
        <v>146</v>
      </c>
      <c r="R4" s="149" t="s">
        <v>533</v>
      </c>
    </row>
    <row r="5" spans="1:32" ht="12" customHeight="1">
      <c r="A5" s="116"/>
      <c r="B5" s="165" t="s">
        <v>77</v>
      </c>
      <c r="C5" s="543">
        <v>650</v>
      </c>
      <c r="D5" s="536">
        <f>E5/C5</f>
        <v>0.31538461538461537</v>
      </c>
      <c r="E5" s="543">
        <f>'Key Performance Indicators'!G14</f>
        <v>205</v>
      </c>
      <c r="F5" s="543"/>
      <c r="G5" s="545">
        <f>(L5/E5)</f>
        <v>50.00487804878049</v>
      </c>
      <c r="H5" s="545">
        <f>E5*G5</f>
        <v>10251</v>
      </c>
      <c r="J5" s="546">
        <f>30.99*1000*0.94</f>
        <v>29130.6</v>
      </c>
      <c r="K5" s="544">
        <f>L5/J5</f>
        <v>0.35189800416057343</v>
      </c>
      <c r="L5" s="549">
        <f>10251</f>
        <v>10251</v>
      </c>
      <c r="N5" s="553">
        <f>L5</f>
        <v>10251</v>
      </c>
      <c r="O5" s="537"/>
      <c r="P5" s="557">
        <f>'Accounting Adjustments'!G4</f>
        <v>11727</v>
      </c>
      <c r="Q5" s="544">
        <f>'Key Performance Indicators'!G30</f>
        <v>0.125863392171911</v>
      </c>
      <c r="R5" s="549">
        <f>P5*Q5</f>
        <v>1476.0000000000005</v>
      </c>
      <c r="S5" s="114"/>
      <c r="T5" s="114"/>
    </row>
    <row r="6" spans="1:32" ht="12" customHeight="1">
      <c r="A6" s="116"/>
      <c r="B6" s="245">
        <v>1</v>
      </c>
      <c r="C6" s="347">
        <f t="shared" ref="C6:C16" si="0">C5*(1+$D$19)</f>
        <v>728.00000000000011</v>
      </c>
      <c r="D6" s="73">
        <f>AVERAGE(D5,D7)</f>
        <v>0.32596153846153847</v>
      </c>
      <c r="E6" s="347">
        <f>C6*D6</f>
        <v>237.30000000000004</v>
      </c>
      <c r="F6" s="135">
        <f>(E6-E5)/E5</f>
        <v>0.15756097560975629</v>
      </c>
      <c r="G6" s="547">
        <f>AVERAGE(G5,G7)</f>
        <v>49.504573170731703</v>
      </c>
      <c r="H6" s="548">
        <f>E6*G6</f>
        <v>11747.435213414636</v>
      </c>
      <c r="J6" s="548">
        <f>J5*(1+$K$19)</f>
        <v>33238.014600000002</v>
      </c>
      <c r="K6" s="73">
        <f>AVERAGE(K5,K7)</f>
        <v>0.35791075364050173</v>
      </c>
      <c r="L6" s="550">
        <f>J6*K6</f>
        <v>11896.242855</v>
      </c>
      <c r="N6" s="552">
        <f t="shared" ref="N6:N16" si="1">AVERAGE(H6,L6)</f>
        <v>11821.839034207318</v>
      </c>
      <c r="O6" s="538"/>
      <c r="P6" s="558">
        <f ca="1">N6+R6</f>
        <v>13570.857502307359</v>
      </c>
      <c r="Q6" s="73">
        <f>AVERAGE(Q5,Q7)</f>
        <v>0.12888046815042214</v>
      </c>
      <c r="R6" s="556">
        <f t="shared" ref="R6:R14" ca="1" si="2">P6*Q6</f>
        <v>1749.018468100041</v>
      </c>
      <c r="S6" s="114"/>
      <c r="T6" s="114"/>
    </row>
    <row r="7" spans="1:32" ht="12" customHeight="1">
      <c r="B7" s="245">
        <f>B6+1</f>
        <v>2</v>
      </c>
      <c r="C7" s="347">
        <f t="shared" si="0"/>
        <v>815.36000000000024</v>
      </c>
      <c r="D7" s="73">
        <f>AVERAGE(D5,D10)</f>
        <v>0.33653846153846156</v>
      </c>
      <c r="E7" s="347">
        <f t="shared" ref="E7:E15" si="3">C7*D7</f>
        <v>274.40000000000009</v>
      </c>
      <c r="F7" s="135">
        <f t="shared" ref="F7:F15" si="4">(E7-E6)/E6</f>
        <v>0.15634218289085564</v>
      </c>
      <c r="G7" s="547">
        <f>AVERAGE(G5,G8)</f>
        <v>49.004268292682923</v>
      </c>
      <c r="H7" s="548">
        <f t="shared" ref="H7:H15" si="5">E7*G7</f>
        <v>13446.771219512199</v>
      </c>
      <c r="J7" s="548">
        <f>J6*(1+$K$19)</f>
        <v>37924.574658600002</v>
      </c>
      <c r="K7" s="73">
        <f>AVERAGE(K5,K10)</f>
        <v>0.36392350312043009</v>
      </c>
      <c r="L7" s="550">
        <f t="shared" ref="L7:L15" si="6">J7*K7</f>
        <v>13801.644064110002</v>
      </c>
      <c r="N7" s="552">
        <f t="shared" si="1"/>
        <v>13624.207641811099</v>
      </c>
      <c r="O7" s="538"/>
      <c r="P7" s="558">
        <f t="shared" ref="P7:P15" ca="1" si="7">N7+R7</f>
        <v>15694.239256748064</v>
      </c>
      <c r="Q7" s="73">
        <f>AVERAGE(Q5,Q10)</f>
        <v>0.13189754412893326</v>
      </c>
      <c r="R7" s="556">
        <f t="shared" ca="1" si="2"/>
        <v>2070.0316149369646</v>
      </c>
      <c r="S7" s="114"/>
      <c r="T7" s="114"/>
    </row>
    <row r="8" spans="1:32" ht="12" customHeight="1">
      <c r="A8" s="116"/>
      <c r="B8" s="245">
        <f t="shared" ref="B8:B14" si="8">B7+1</f>
        <v>3</v>
      </c>
      <c r="C8" s="347">
        <f t="shared" si="0"/>
        <v>913.20320000000038</v>
      </c>
      <c r="D8" s="73">
        <f>AVERAGE(D7,D9)</f>
        <v>0.34182692307692308</v>
      </c>
      <c r="E8" s="347">
        <f t="shared" si="3"/>
        <v>312.15744000000012</v>
      </c>
      <c r="F8" s="135">
        <f t="shared" si="4"/>
        <v>0.13760000000000006</v>
      </c>
      <c r="G8" s="547">
        <f>AVERAGE(G5,G10)</f>
        <v>48.003658536585363</v>
      </c>
      <c r="H8" s="548">
        <f t="shared" si="5"/>
        <v>14984.699159414638</v>
      </c>
      <c r="J8" s="548">
        <f>J7*(1+$K$19)</f>
        <v>43271.939685462603</v>
      </c>
      <c r="K8" s="73">
        <f>AVERAGE(K7,K9)</f>
        <v>0.36692987786039422</v>
      </c>
      <c r="L8" s="550">
        <f t="shared" si="6"/>
        <v>15877.767543569138</v>
      </c>
      <c r="N8" s="552">
        <f t="shared" si="1"/>
        <v>15431.233351491888</v>
      </c>
      <c r="O8" s="538"/>
      <c r="P8" s="558">
        <f t="shared" ca="1" si="7"/>
        <v>17806.763967614701</v>
      </c>
      <c r="Q8" s="73">
        <f>AVERAGE(Q7,Q9)</f>
        <v>0.13340608211818883</v>
      </c>
      <c r="R8" s="556">
        <f t="shared" ca="1" si="2"/>
        <v>2375.5306161228127</v>
      </c>
      <c r="S8" s="114"/>
      <c r="T8" s="114"/>
    </row>
    <row r="9" spans="1:32" ht="12" customHeight="1">
      <c r="A9" s="116"/>
      <c r="B9" s="245">
        <f t="shared" si="8"/>
        <v>4</v>
      </c>
      <c r="C9" s="347">
        <f t="shared" si="0"/>
        <v>1022.7875840000005</v>
      </c>
      <c r="D9" s="73">
        <f>AVERAGE(D7,D10)</f>
        <v>0.3471153846153846</v>
      </c>
      <c r="E9" s="347">
        <f t="shared" si="3"/>
        <v>355.02530560000014</v>
      </c>
      <c r="F9" s="135">
        <f t="shared" si="4"/>
        <v>0.13732770745428974</v>
      </c>
      <c r="G9" s="547">
        <f>AVERAGE(G8,G10)</f>
        <v>47.003048780487802</v>
      </c>
      <c r="H9" s="548">
        <f t="shared" si="5"/>
        <v>16687.271757424394</v>
      </c>
      <c r="J9" s="548">
        <f>J8*(1+$K$19)</f>
        <v>49373.283181112827</v>
      </c>
      <c r="K9" s="73">
        <f>AVERAGE(K7,K10)</f>
        <v>0.3699362526003584</v>
      </c>
      <c r="L9" s="550">
        <f t="shared" si="6"/>
        <v>18264.967358597183</v>
      </c>
      <c r="N9" s="552">
        <f t="shared" si="1"/>
        <v>17476.119558010789</v>
      </c>
      <c r="O9" s="538"/>
      <c r="P9" s="558">
        <f t="shared" ca="1" si="7"/>
        <v>20201.612423713988</v>
      </c>
      <c r="Q9" s="73">
        <f>AVERAGE(Q7,Q10)</f>
        <v>0.13491462010744437</v>
      </c>
      <c r="R9" s="556">
        <f t="shared" ca="1" si="2"/>
        <v>2725.4928657032015</v>
      </c>
      <c r="S9" s="114"/>
      <c r="T9" s="114"/>
    </row>
    <row r="10" spans="1:32">
      <c r="A10" s="112"/>
      <c r="B10" s="245">
        <f t="shared" si="8"/>
        <v>5</v>
      </c>
      <c r="C10" s="347">
        <f t="shared" si="0"/>
        <v>1145.5220940800007</v>
      </c>
      <c r="D10" s="73">
        <f>AVERAGE(D5,D15)</f>
        <v>0.3576923076923077</v>
      </c>
      <c r="E10" s="347">
        <f t="shared" si="3"/>
        <v>409.74444134400022</v>
      </c>
      <c r="F10" s="135">
        <f t="shared" si="4"/>
        <v>0.15412742382271485</v>
      </c>
      <c r="G10" s="547">
        <f>AVERAGE(G15,G5)</f>
        <v>46.002439024390242</v>
      </c>
      <c r="H10" s="548">
        <f t="shared" si="5"/>
        <v>18849.243678510215</v>
      </c>
      <c r="J10" s="548">
        <f>J9*(1+$K$19)</f>
        <v>56334.916109649734</v>
      </c>
      <c r="K10" s="73">
        <f>AVERAGE(K5,K15)</f>
        <v>0.3759490020802867</v>
      </c>
      <c r="L10" s="550">
        <f t="shared" si="6"/>
        <v>21179.055493699485</v>
      </c>
      <c r="N10" s="552">
        <f t="shared" si="1"/>
        <v>20014.14958610485</v>
      </c>
      <c r="O10" s="538"/>
      <c r="P10" s="558">
        <f t="shared" ca="1" si="7"/>
        <v>23216.431337557249</v>
      </c>
      <c r="Q10" s="73">
        <f>AVERAGE(Q5,Q15)</f>
        <v>0.13793169608595551</v>
      </c>
      <c r="R10" s="556">
        <f t="shared" ca="1" si="2"/>
        <v>3202.2817514523999</v>
      </c>
      <c r="S10" s="114"/>
      <c r="T10" s="114"/>
    </row>
    <row r="11" spans="1:32" ht="12" customHeight="1">
      <c r="A11" s="116"/>
      <c r="B11" s="245">
        <f t="shared" si="8"/>
        <v>6</v>
      </c>
      <c r="C11" s="347">
        <f t="shared" si="0"/>
        <v>1282.9847453696009</v>
      </c>
      <c r="D11" s="73">
        <f>AVERAGE(D10,D12)</f>
        <v>0.36826923076923079</v>
      </c>
      <c r="E11" s="347">
        <f t="shared" si="3"/>
        <v>472.48380526592035</v>
      </c>
      <c r="F11" s="135">
        <f t="shared" si="4"/>
        <v>0.15311827956989271</v>
      </c>
      <c r="G11" s="547">
        <f>AVERAGE(G10,G12)</f>
        <v>45.001829268292681</v>
      </c>
      <c r="H11" s="548">
        <f t="shared" si="5"/>
        <v>21262.635536610193</v>
      </c>
      <c r="J11" s="548">
        <f t="shared" ref="J11:J16" si="9">J10*(1+$K$20)</f>
        <v>60841.709398421714</v>
      </c>
      <c r="K11" s="73">
        <f>AVERAGE(K10,K12)</f>
        <v>0.38196175156021506</v>
      </c>
      <c r="L11" s="550">
        <f t="shared" si="6"/>
        <v>23239.205889738758</v>
      </c>
      <c r="N11" s="552">
        <f t="shared" si="1"/>
        <v>22250.920713174477</v>
      </c>
      <c r="O11" s="538"/>
      <c r="P11" s="558">
        <f t="shared" ca="1" si="7"/>
        <v>25901.739022767888</v>
      </c>
      <c r="Q11" s="73">
        <f>AVERAGE(Q10,Q12)</f>
        <v>0.14094877206446663</v>
      </c>
      <c r="R11" s="556">
        <f t="shared" ca="1" si="2"/>
        <v>3650.8183095934114</v>
      </c>
      <c r="S11" s="114"/>
      <c r="T11" s="114"/>
    </row>
    <row r="12" spans="1:32">
      <c r="B12" s="245">
        <f t="shared" si="8"/>
        <v>7</v>
      </c>
      <c r="C12" s="347">
        <f t="shared" si="0"/>
        <v>1436.9429148139532</v>
      </c>
      <c r="D12" s="73">
        <f>AVERAGE(D10,D15)</f>
        <v>0.37884615384615383</v>
      </c>
      <c r="E12" s="347">
        <f t="shared" si="3"/>
        <v>544.38029657374761</v>
      </c>
      <c r="F12" s="135">
        <f t="shared" si="4"/>
        <v>0.15216710182767626</v>
      </c>
      <c r="G12" s="547">
        <f>AVERAGE(G10,G15)</f>
        <v>44.001219512195121</v>
      </c>
      <c r="H12" s="548">
        <f t="shared" si="5"/>
        <v>23953.396927655351</v>
      </c>
      <c r="J12" s="548">
        <f t="shared" si="9"/>
        <v>65709.046150295457</v>
      </c>
      <c r="K12" s="73">
        <f>AVERAGE(K10,K15)</f>
        <v>0.38797450104014336</v>
      </c>
      <c r="L12" s="550">
        <f t="shared" si="6"/>
        <v>25493.434393984633</v>
      </c>
      <c r="N12" s="552">
        <f t="shared" si="1"/>
        <v>24723.415660819992</v>
      </c>
      <c r="O12" s="538"/>
      <c r="P12" s="558">
        <f t="shared" ca="1" si="7"/>
        <v>28881.342647718622</v>
      </c>
      <c r="Q12" s="73">
        <f>AVERAGE(Q10,Q15)</f>
        <v>0.14396584804297774</v>
      </c>
      <c r="R12" s="556">
        <f t="shared" ca="1" si="2"/>
        <v>4157.9269868986312</v>
      </c>
      <c r="S12" s="114"/>
      <c r="T12" s="114"/>
    </row>
    <row r="13" spans="1:32">
      <c r="A13" s="116"/>
      <c r="B13" s="245">
        <f t="shared" si="8"/>
        <v>8</v>
      </c>
      <c r="C13" s="347">
        <f t="shared" si="0"/>
        <v>1609.3760645916277</v>
      </c>
      <c r="D13" s="73">
        <f>AVERAGE(D12,D14)</f>
        <v>0.38413461538461535</v>
      </c>
      <c r="E13" s="347">
        <f t="shared" si="3"/>
        <v>618.2170555811108</v>
      </c>
      <c r="F13" s="135">
        <f t="shared" si="4"/>
        <v>0.13563451776649757</v>
      </c>
      <c r="G13" s="547">
        <f>AVERAGE(G12,G15)</f>
        <v>43.00060975609756</v>
      </c>
      <c r="H13" s="548">
        <f t="shared" si="5"/>
        <v>26583.71035160702</v>
      </c>
      <c r="J13" s="548">
        <f t="shared" si="9"/>
        <v>70965.769842319103</v>
      </c>
      <c r="K13" s="73">
        <f>AVERAGE(K12,K14)</f>
        <v>0.39098087578010754</v>
      </c>
      <c r="L13" s="550">
        <f t="shared" si="6"/>
        <v>27746.258843359468</v>
      </c>
      <c r="N13" s="552">
        <f t="shared" si="1"/>
        <v>27164.984597483242</v>
      </c>
      <c r="O13" s="538"/>
      <c r="P13" s="558">
        <f t="shared" ca="1" si="7"/>
        <v>31789.549843157685</v>
      </c>
      <c r="Q13" s="73">
        <f>AVERAGE(Q12,Q14)</f>
        <v>0.14547438603223331</v>
      </c>
      <c r="R13" s="556">
        <f t="shared" ca="1" si="2"/>
        <v>4624.5652456744428</v>
      </c>
      <c r="S13" s="114"/>
      <c r="T13" s="114"/>
    </row>
    <row r="14" spans="1:32">
      <c r="B14" s="245">
        <f t="shared" si="8"/>
        <v>9</v>
      </c>
      <c r="C14" s="347">
        <f t="shared" si="0"/>
        <v>1802.5011923426232</v>
      </c>
      <c r="D14" s="73">
        <f>AVERAGE(D12,D15)</f>
        <v>0.38942307692307693</v>
      </c>
      <c r="E14" s="347">
        <f t="shared" si="3"/>
        <v>701.93556047957918</v>
      </c>
      <c r="F14" s="135">
        <f t="shared" si="4"/>
        <v>0.13541927409261587</v>
      </c>
      <c r="G14" s="547">
        <f>AVERAGE(G13,G15)</f>
        <v>42.50030487804878</v>
      </c>
      <c r="H14" s="548">
        <f t="shared" si="5"/>
        <v>29832.475325126165</v>
      </c>
      <c r="J14" s="548">
        <f t="shared" si="9"/>
        <v>76643.031429704643</v>
      </c>
      <c r="K14" s="73">
        <f>AVERAGE(K12,K15)</f>
        <v>0.39398725052007166</v>
      </c>
      <c r="L14" s="550">
        <f t="shared" si="6"/>
        <v>30196.377224512769</v>
      </c>
      <c r="N14" s="552">
        <f t="shared" si="1"/>
        <v>30014.426274819467</v>
      </c>
      <c r="O14" s="538"/>
      <c r="P14" s="558">
        <f t="shared" ca="1" si="7"/>
        <v>35186.196290841399</v>
      </c>
      <c r="Q14" s="73">
        <f>AVERAGE(Q12,Q15)</f>
        <v>0.14698292402148888</v>
      </c>
      <c r="R14" s="556">
        <f t="shared" ca="1" si="2"/>
        <v>5171.7700160219356</v>
      </c>
      <c r="S14" s="114"/>
      <c r="T14" s="114"/>
    </row>
    <row r="15" spans="1:32">
      <c r="B15" s="245">
        <f>B14+1</f>
        <v>10</v>
      </c>
      <c r="C15" s="347">
        <f t="shared" si="0"/>
        <v>2018.8013354237382</v>
      </c>
      <c r="D15" s="73">
        <v>0.4</v>
      </c>
      <c r="E15" s="347">
        <f t="shared" si="3"/>
        <v>807.52053416949536</v>
      </c>
      <c r="F15" s="135">
        <f t="shared" si="4"/>
        <v>0.15041975308642008</v>
      </c>
      <c r="G15" s="547">
        <f>$D$20*12</f>
        <v>42</v>
      </c>
      <c r="H15" s="548">
        <f t="shared" si="5"/>
        <v>33915.862435118805</v>
      </c>
      <c r="J15" s="548">
        <f t="shared" si="9"/>
        <v>82774.473944081023</v>
      </c>
      <c r="K15" s="73">
        <v>0.4</v>
      </c>
      <c r="L15" s="550">
        <f t="shared" si="6"/>
        <v>33109.789577632408</v>
      </c>
      <c r="N15" s="552">
        <f t="shared" si="1"/>
        <v>33512.826006375602</v>
      </c>
      <c r="O15" s="538"/>
      <c r="P15" s="558">
        <f t="shared" ca="1" si="7"/>
        <v>39426.854125147765</v>
      </c>
      <c r="Q15" s="73">
        <v>0.15</v>
      </c>
      <c r="R15" s="556">
        <f ca="1">P15*Q15</f>
        <v>5914.0281187721648</v>
      </c>
      <c r="S15" s="114"/>
      <c r="T15" s="114"/>
      <c r="U15" s="114"/>
      <c r="V15" s="114"/>
      <c r="W15" s="114"/>
      <c r="X15" s="114"/>
      <c r="Y15" s="114"/>
      <c r="Z15" s="114"/>
    </row>
    <row r="16" spans="1:32">
      <c r="B16" s="245">
        <f>B15+1</f>
        <v>11</v>
      </c>
      <c r="C16" s="347">
        <f t="shared" si="0"/>
        <v>2261.0574956745872</v>
      </c>
      <c r="D16" s="73">
        <v>0.4</v>
      </c>
      <c r="E16" s="347">
        <f t="shared" ref="E16" si="10">C16*D16</f>
        <v>904.42299826983492</v>
      </c>
      <c r="F16" s="135">
        <f>(E16-E15)/E15</f>
        <v>0.12000000000000013</v>
      </c>
      <c r="G16" s="547">
        <f>$D$20*12</f>
        <v>42</v>
      </c>
      <c r="H16" s="548">
        <f t="shared" ref="H16" si="11">E16*G16</f>
        <v>37985.765927333065</v>
      </c>
      <c r="J16" s="548">
        <f t="shared" si="9"/>
        <v>89396.431859607517</v>
      </c>
      <c r="K16" s="73">
        <v>0.4</v>
      </c>
      <c r="L16" s="550">
        <f t="shared" ref="L16" si="12">J16*K16</f>
        <v>35758.572743843011</v>
      </c>
      <c r="N16" s="552">
        <f t="shared" si="1"/>
        <v>36872.169335588042</v>
      </c>
      <c r="O16" s="538"/>
      <c r="P16" s="558">
        <f t="shared" ref="P16" ca="1" si="13">N16+R16</f>
        <v>43379.022747750634</v>
      </c>
      <c r="Q16" s="73">
        <v>0.15</v>
      </c>
      <c r="R16" s="556">
        <f ca="1">P16*Q16</f>
        <v>6506.8534121625953</v>
      </c>
      <c r="S16" s="114"/>
      <c r="T16" s="114"/>
      <c r="U16" s="114"/>
      <c r="V16" s="114"/>
      <c r="W16" s="114"/>
      <c r="X16" s="114"/>
      <c r="Y16" s="114"/>
      <c r="Z16" s="114"/>
      <c r="AA16" s="114"/>
      <c r="AB16" s="114"/>
      <c r="AC16" s="114"/>
      <c r="AD16" s="114"/>
      <c r="AE16" s="114"/>
      <c r="AF16" s="114"/>
    </row>
    <row r="17" spans="1:34">
      <c r="B17" s="539"/>
      <c r="M17" s="483"/>
      <c r="N17" s="483"/>
      <c r="R17" s="114"/>
      <c r="S17" s="114"/>
      <c r="T17" s="114"/>
      <c r="U17" s="114"/>
      <c r="V17" s="114"/>
      <c r="W17" s="114"/>
      <c r="X17" s="114"/>
      <c r="Y17" s="114"/>
      <c r="Z17" s="114"/>
      <c r="AA17" s="114"/>
      <c r="AB17" s="114"/>
      <c r="AC17" s="114"/>
      <c r="AD17" s="114"/>
      <c r="AE17" s="114"/>
      <c r="AF17" s="114"/>
    </row>
    <row r="18" spans="1:34">
      <c r="A18" s="116"/>
      <c r="B18" s="540"/>
      <c r="C18" s="87"/>
      <c r="D18" s="87"/>
      <c r="E18" s="87"/>
      <c r="F18" s="87"/>
      <c r="G18" s="87"/>
      <c r="H18" s="87"/>
      <c r="J18" s="578" t="s">
        <v>536</v>
      </c>
      <c r="K18" s="578"/>
      <c r="M18" s="59"/>
      <c r="N18" s="59"/>
      <c r="O18" s="59"/>
      <c r="R18" s="114"/>
      <c r="S18" s="114"/>
      <c r="T18" s="114"/>
      <c r="U18" s="114"/>
      <c r="V18" s="114"/>
      <c r="W18" s="114"/>
      <c r="X18" s="114"/>
      <c r="Y18" s="114"/>
      <c r="Z18" s="114"/>
      <c r="AA18" s="114"/>
      <c r="AB18" s="114"/>
      <c r="AC18" s="114"/>
      <c r="AD18" s="114"/>
      <c r="AE18" s="114"/>
      <c r="AF18" s="114"/>
    </row>
    <row r="19" spans="1:34">
      <c r="B19" s="542"/>
      <c r="C19" s="163" t="s">
        <v>538</v>
      </c>
      <c r="D19" s="551">
        <v>0.12</v>
      </c>
      <c r="E19" s="142"/>
      <c r="J19" s="163" t="s">
        <v>534</v>
      </c>
      <c r="K19" s="168">
        <v>0.14099999999999999</v>
      </c>
      <c r="M19" s="541"/>
      <c r="N19" s="541"/>
      <c r="O19" s="541"/>
      <c r="R19" s="114"/>
      <c r="S19" s="114"/>
      <c r="T19" s="114"/>
      <c r="U19" s="114"/>
      <c r="V19" s="114"/>
      <c r="W19" s="114"/>
      <c r="X19" s="114"/>
      <c r="Y19" s="114"/>
      <c r="Z19" s="114"/>
      <c r="AA19" s="114"/>
      <c r="AB19" s="114"/>
      <c r="AC19" s="114"/>
      <c r="AD19" s="114"/>
      <c r="AE19" s="114"/>
      <c r="AF19" s="114"/>
    </row>
    <row r="20" spans="1:34" ht="12" customHeight="1">
      <c r="A20" s="116"/>
      <c r="C20" s="163" t="s">
        <v>544</v>
      </c>
      <c r="D20" s="503">
        <v>3.5</v>
      </c>
      <c r="E20" s="161"/>
      <c r="F20" s="161"/>
      <c r="J20" s="163" t="s">
        <v>535</v>
      </c>
      <c r="K20" s="168">
        <v>0.08</v>
      </c>
      <c r="L20" s="541"/>
      <c r="M20" s="541"/>
      <c r="N20" s="541"/>
      <c r="O20" s="114"/>
      <c r="R20" s="114"/>
      <c r="S20" s="114"/>
      <c r="T20" s="114"/>
      <c r="U20" s="114"/>
      <c r="V20" s="114"/>
      <c r="W20" s="114"/>
      <c r="X20" s="114"/>
      <c r="Y20" s="114"/>
      <c r="Z20" s="114"/>
      <c r="AA20" s="114"/>
      <c r="AB20" s="114"/>
      <c r="AC20" s="114"/>
      <c r="AD20" s="114"/>
      <c r="AE20" s="114"/>
      <c r="AF20" s="114"/>
    </row>
    <row r="21" spans="1:3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N24" s="154"/>
      <c r="O24" s="114"/>
      <c r="P24" s="114"/>
      <c r="Q24" s="114"/>
      <c r="R24" s="114"/>
      <c r="S24" s="114"/>
      <c r="T24" s="114"/>
      <c r="U24" s="114"/>
      <c r="V24" s="114"/>
      <c r="W24" s="114"/>
      <c r="X24" s="114"/>
      <c r="Y24" s="114"/>
      <c r="Z24" s="114"/>
      <c r="AA24" s="114"/>
      <c r="AB24" s="114"/>
      <c r="AC24" s="114"/>
      <c r="AD24" s="114"/>
      <c r="AE24" s="114"/>
      <c r="AF24" s="114"/>
    </row>
    <row r="25" spans="1:34">
      <c r="N25" s="156"/>
      <c r="O25" s="114"/>
      <c r="P25" s="114"/>
      <c r="Q25" s="114"/>
      <c r="R25" s="114"/>
      <c r="S25" s="114"/>
      <c r="T25" s="114"/>
      <c r="U25" s="114"/>
      <c r="V25" s="114"/>
      <c r="W25" s="114"/>
      <c r="X25" s="114"/>
      <c r="Y25" s="114"/>
      <c r="Z25" s="114"/>
      <c r="AA25" s="114"/>
      <c r="AB25" s="114"/>
      <c r="AC25" s="114"/>
      <c r="AD25" s="114"/>
      <c r="AE25" s="114"/>
      <c r="AF25" s="114"/>
    </row>
    <row r="26" spans="1:34">
      <c r="L26" s="114"/>
      <c r="N26" s="114"/>
      <c r="O26" s="114"/>
      <c r="P26" s="114"/>
      <c r="Q26" s="114"/>
      <c r="R26" s="114"/>
      <c r="S26" s="114"/>
      <c r="T26" s="114"/>
      <c r="U26" s="114"/>
      <c r="V26" s="114"/>
      <c r="W26" s="114"/>
      <c r="X26" s="114"/>
      <c r="Y26" s="114"/>
      <c r="Z26" s="114"/>
      <c r="AA26" s="114"/>
      <c r="AB26" s="114"/>
      <c r="AC26" s="114"/>
      <c r="AD26" s="114"/>
      <c r="AE26" s="114"/>
      <c r="AF26" s="114"/>
    </row>
    <row r="27" spans="1:3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L29" s="114"/>
      <c r="M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L30" s="114"/>
      <c r="M30" s="114"/>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4">
    <mergeCell ref="C3:H3"/>
    <mergeCell ref="J3:L3"/>
    <mergeCell ref="J18:K18"/>
    <mergeCell ref="P3:R3"/>
  </mergeCells>
  <pageMargins left="0.7" right="0.7" top="0.75" bottom="0.75" header="0.3" footer="0.3"/>
  <pageSetup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09" customWidth="1"/>
    <col min="2" max="2" width="6.85546875" style="109" customWidth="1"/>
    <col min="3" max="3" width="16.7109375" style="109" customWidth="1"/>
    <col min="4" max="4" width="14.5703125" style="109" customWidth="1"/>
    <col min="5" max="5" width="13.7109375" style="109" customWidth="1"/>
    <col min="6" max="6" width="12.5703125" style="109" customWidth="1"/>
    <col min="7" max="7" width="15.7109375" style="109" customWidth="1" collapsed="1"/>
    <col min="8" max="8" width="12.7109375" style="109" customWidth="1"/>
    <col min="9" max="9" width="3" style="109" customWidth="1"/>
    <col min="10" max="10" width="20.42578125"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72</v>
      </c>
      <c r="C1" s="107"/>
      <c r="D1" s="107"/>
      <c r="E1" s="107"/>
      <c r="F1" s="107"/>
      <c r="G1" s="107"/>
      <c r="H1" s="107"/>
      <c r="I1" s="107"/>
      <c r="J1" s="107"/>
      <c r="K1" s="107"/>
      <c r="L1" s="107"/>
      <c r="M1" s="107"/>
      <c r="N1" s="107"/>
    </row>
    <row r="2" spans="1:32" ht="12" customHeight="1">
      <c r="C2" s="129"/>
    </row>
    <row r="3" spans="1:32" ht="12" customHeight="1">
      <c r="A3" s="111"/>
      <c r="B3" s="172"/>
      <c r="C3" s="149" t="s">
        <v>532</v>
      </c>
      <c r="D3" s="149" t="s">
        <v>4</v>
      </c>
      <c r="E3" s="149" t="s">
        <v>515</v>
      </c>
      <c r="F3" s="149" t="s">
        <v>78</v>
      </c>
      <c r="G3" s="149" t="s">
        <v>3</v>
      </c>
      <c r="H3" s="149" t="s">
        <v>120</v>
      </c>
      <c r="L3" s="102"/>
      <c r="M3" s="102"/>
    </row>
    <row r="4" spans="1:32" ht="12" customHeight="1">
      <c r="A4" s="116"/>
      <c r="B4" s="165" t="s">
        <v>77</v>
      </c>
      <c r="C4" s="520">
        <f>'Industry &amp; Revenues'!J5</f>
        <v>29130.6</v>
      </c>
      <c r="D4" s="522">
        <f>'Accounting Adjustments'!G4</f>
        <v>11727</v>
      </c>
      <c r="E4" s="522"/>
      <c r="F4" s="174">
        <f>G4/D4</f>
        <v>4.798128445191379E-2</v>
      </c>
      <c r="G4" s="520">
        <f>'FCFF &amp; FCFE'!G5</f>
        <v>562.67652276759304</v>
      </c>
      <c r="H4" s="520">
        <f t="shared" ref="H4:H14" si="0">G4*(1-$K$4)</f>
        <v>421.2594825175288</v>
      </c>
      <c r="J4" s="163" t="s">
        <v>88</v>
      </c>
      <c r="K4" s="168">
        <f>'Risk Free Rate &amp; ERP'!H13</f>
        <v>0.25132919986511482</v>
      </c>
      <c r="L4" s="44"/>
      <c r="M4" s="59"/>
      <c r="N4" s="113"/>
      <c r="O4" s="113"/>
      <c r="T4" s="113"/>
    </row>
    <row r="5" spans="1:32" ht="12" customHeight="1">
      <c r="A5" s="116"/>
      <c r="B5" s="162">
        <v>1</v>
      </c>
      <c r="C5" s="521">
        <f>'Industry &amp; Revenues'!J6</f>
        <v>33238.014600000002</v>
      </c>
      <c r="D5" s="523">
        <f ca="1">'Industry &amp; Revenues'!P6</f>
        <v>13570.857502307359</v>
      </c>
      <c r="E5" s="331">
        <f ca="1">(D5-D4)/D4</f>
        <v>0.1572318156653329</v>
      </c>
      <c r="F5" s="228">
        <f ca="1">'Future Value (Equity Options)'!G20</f>
        <v>1.6564873895424492E-2</v>
      </c>
      <c r="G5" s="524">
        <f t="shared" ref="G5:G14" ca="1" si="1">D5*F5</f>
        <v>224.7995431784968</v>
      </c>
      <c r="H5" s="524">
        <f t="shared" ca="1" si="0"/>
        <v>168.30085386140186</v>
      </c>
      <c r="J5" s="85"/>
      <c r="K5" s="156"/>
      <c r="L5" s="85"/>
      <c r="M5" s="119"/>
      <c r="N5" s="114"/>
      <c r="O5" s="114"/>
      <c r="P5" s="114"/>
      <c r="Q5" s="114"/>
      <c r="R5" s="114"/>
      <c r="S5" s="114"/>
      <c r="T5" s="114"/>
      <c r="U5" s="114"/>
      <c r="V5" s="114"/>
      <c r="W5" s="114"/>
      <c r="X5" s="114"/>
      <c r="Y5" s="114"/>
    </row>
    <row r="6" spans="1:32" ht="12" customHeight="1">
      <c r="A6" s="116"/>
      <c r="B6" s="162">
        <f t="shared" ref="B6:B14" si="2">B5+1</f>
        <v>2</v>
      </c>
      <c r="C6" s="521">
        <f>'Industry &amp; Revenues'!J7</f>
        <v>37924.574658600002</v>
      </c>
      <c r="D6" s="523">
        <f ca="1">'Industry &amp; Revenues'!P7</f>
        <v>15694.239256748064</v>
      </c>
      <c r="E6" s="331">
        <f t="shared" ref="E6:E14" ca="1" si="3">(D6-D5)/D5</f>
        <v>0.15646629213221647</v>
      </c>
      <c r="F6" s="228">
        <f ca="1">'Future Value (Equity Options)'!G21</f>
        <v>2.0856668617180052E-2</v>
      </c>
      <c r="G6" s="524">
        <f t="shared" ca="1" si="1"/>
        <v>327.32954737673253</v>
      </c>
      <c r="H6" s="524">
        <f t="shared" ca="1" si="0"/>
        <v>245.06207414232816</v>
      </c>
      <c r="J6" s="85"/>
      <c r="K6" s="156"/>
      <c r="L6" s="85"/>
      <c r="M6" s="119"/>
      <c r="N6" s="114"/>
      <c r="O6" s="114"/>
      <c r="P6" s="114"/>
      <c r="Q6" s="114"/>
      <c r="R6" s="114"/>
      <c r="S6" s="114"/>
      <c r="T6" s="114"/>
      <c r="U6" s="114"/>
      <c r="V6" s="114"/>
      <c r="W6" s="114"/>
      <c r="X6" s="114"/>
      <c r="Y6" s="114"/>
    </row>
    <row r="7" spans="1:32" ht="12" customHeight="1">
      <c r="B7" s="162">
        <f t="shared" si="2"/>
        <v>3</v>
      </c>
      <c r="C7" s="521">
        <f>'Industry &amp; Revenues'!J8</f>
        <v>43271.939685462603</v>
      </c>
      <c r="D7" s="523">
        <f ca="1">'Industry &amp; Revenues'!P8</f>
        <v>17806.763967614701</v>
      </c>
      <c r="E7" s="331">
        <f t="shared" ca="1" si="3"/>
        <v>0.13460510422372421</v>
      </c>
      <c r="F7" s="228">
        <f ca="1">'Future Value (Equity Options)'!G22</f>
        <v>3.5148463338935398E-2</v>
      </c>
      <c r="G7" s="524">
        <f t="shared" ca="1" si="1"/>
        <v>625.88039050078112</v>
      </c>
      <c r="H7" s="524">
        <f t="shared" ca="1" si="0"/>
        <v>468.57837274495421</v>
      </c>
      <c r="J7" s="314"/>
      <c r="K7" s="224"/>
      <c r="L7" s="85"/>
      <c r="M7" s="154"/>
      <c r="N7" s="114"/>
      <c r="O7" s="114"/>
      <c r="P7" s="114"/>
      <c r="Q7" s="114"/>
      <c r="R7" s="114"/>
      <c r="S7" s="114"/>
      <c r="T7" s="114"/>
      <c r="U7" s="114"/>
      <c r="V7" s="114"/>
      <c r="W7" s="114"/>
      <c r="X7" s="114"/>
      <c r="Y7" s="114"/>
    </row>
    <row r="8" spans="1:32" ht="12" customHeight="1">
      <c r="A8" s="116"/>
      <c r="B8" s="162">
        <f t="shared" si="2"/>
        <v>4</v>
      </c>
      <c r="C8" s="521">
        <f>'Industry &amp; Revenues'!J9</f>
        <v>49373.283181112827</v>
      </c>
      <c r="D8" s="523">
        <f ca="1">'Industry &amp; Revenues'!P9</f>
        <v>20201.612423713988</v>
      </c>
      <c r="E8" s="331">
        <f t="shared" ca="1" si="3"/>
        <v>0.13449094178228099</v>
      </c>
      <c r="F8" s="228">
        <f ca="1">'Future Value (Equity Options)'!G23</f>
        <v>4.3732052782446074E-2</v>
      </c>
      <c r="G8" s="524">
        <f t="shared" ca="1" si="1"/>
        <v>883.45798080437851</v>
      </c>
      <c r="H8" s="524">
        <f t="shared" ca="1" si="0"/>
        <v>661.41919337436411</v>
      </c>
      <c r="J8" s="85"/>
      <c r="K8" s="156"/>
      <c r="L8" s="85"/>
      <c r="M8" s="154"/>
      <c r="N8" s="114"/>
      <c r="O8" s="114"/>
      <c r="P8" s="114"/>
      <c r="Q8" s="114"/>
      <c r="R8" s="114"/>
      <c r="S8" s="114"/>
      <c r="T8" s="114"/>
      <c r="U8" s="114"/>
      <c r="V8" s="114"/>
      <c r="W8" s="114"/>
      <c r="X8" s="114"/>
      <c r="Y8" s="114"/>
    </row>
    <row r="9" spans="1:32" ht="12" customHeight="1">
      <c r="A9" s="116"/>
      <c r="B9" s="162">
        <f t="shared" si="2"/>
        <v>5</v>
      </c>
      <c r="C9" s="521">
        <f>'Industry &amp; Revenues'!J10</f>
        <v>56334.916109649734</v>
      </c>
      <c r="D9" s="523">
        <f ca="1">'Industry &amp; Revenues'!P10</f>
        <v>23216.431337557249</v>
      </c>
      <c r="E9" s="331">
        <f t="shared" ca="1" si="3"/>
        <v>0.14923654857887814</v>
      </c>
      <c r="F9" s="228">
        <f ca="1">'Future Value (Equity Options)'!G24</f>
        <v>6.2315642225956869E-2</v>
      </c>
      <c r="G9" s="524">
        <f t="shared" ca="1" si="1"/>
        <v>1446.7468289947108</v>
      </c>
      <c r="H9" s="524">
        <f t="shared" ca="1" si="0"/>
        <v>1083.137106056078</v>
      </c>
      <c r="J9" s="85"/>
      <c r="K9" s="85"/>
      <c r="L9" s="85"/>
      <c r="M9" s="154"/>
      <c r="N9" s="114"/>
      <c r="O9" s="114"/>
      <c r="P9" s="114"/>
      <c r="Q9" s="114"/>
      <c r="R9" s="114"/>
      <c r="S9" s="114"/>
      <c r="T9" s="114"/>
      <c r="U9" s="114"/>
      <c r="V9" s="114"/>
      <c r="W9" s="114"/>
      <c r="X9" s="114"/>
      <c r="Y9" s="114"/>
    </row>
    <row r="10" spans="1:32">
      <c r="A10" s="112"/>
      <c r="B10" s="162">
        <f t="shared" si="2"/>
        <v>6</v>
      </c>
      <c r="C10" s="521">
        <f>'Industry &amp; Revenues'!J11</f>
        <v>60841.709398421714</v>
      </c>
      <c r="D10" s="523">
        <f ca="1">'Industry &amp; Revenues'!P11</f>
        <v>25901.739022767888</v>
      </c>
      <c r="E10" s="331">
        <f t="shared" ca="1" si="3"/>
        <v>0.11566410212523116</v>
      </c>
      <c r="F10" s="228">
        <f ca="1">'Future Value (Equity Options)'!G25</f>
        <v>7.0899231669467766E-2</v>
      </c>
      <c r="G10" s="524">
        <f t="shared" ca="1" si="1"/>
        <v>1836.4133956173141</v>
      </c>
      <c r="H10" s="524">
        <f t="shared" ca="1" si="0"/>
        <v>1374.869086275236</v>
      </c>
      <c r="J10" s="85"/>
      <c r="K10" s="85"/>
      <c r="L10" s="85"/>
      <c r="M10" s="154"/>
      <c r="N10" s="114"/>
      <c r="O10" s="114"/>
      <c r="P10" s="114"/>
      <c r="Q10" s="114"/>
      <c r="R10" s="114"/>
      <c r="S10" s="114"/>
      <c r="T10" s="114"/>
      <c r="U10" s="114"/>
      <c r="V10" s="114"/>
      <c r="W10" s="114"/>
      <c r="X10" s="114"/>
      <c r="Y10" s="114"/>
    </row>
    <row r="11" spans="1:32">
      <c r="A11" s="116"/>
      <c r="B11" s="162">
        <f t="shared" si="2"/>
        <v>7</v>
      </c>
      <c r="C11" s="521">
        <f>'Industry &amp; Revenues'!J12</f>
        <v>65709.046150295457</v>
      </c>
      <c r="D11" s="523">
        <f ca="1">'Industry &amp; Revenues'!P12</f>
        <v>28881.342647718622</v>
      </c>
      <c r="E11" s="331">
        <f t="shared" ca="1" si="3"/>
        <v>0.11503488712984224</v>
      </c>
      <c r="F11" s="228">
        <f ca="1">'Future Value (Equity Options)'!G26</f>
        <v>8.5191026391223001E-2</v>
      </c>
      <c r="G11" s="524">
        <f t="shared" ca="1" si="1"/>
        <v>2460.4312237157515</v>
      </c>
      <c r="H11" s="524">
        <f t="shared" ca="1" si="0"/>
        <v>1842.0530129361264</v>
      </c>
      <c r="J11" s="85"/>
      <c r="K11" s="85"/>
      <c r="L11" s="85"/>
      <c r="M11" s="154"/>
      <c r="N11" s="114"/>
      <c r="O11" s="114"/>
      <c r="P11" s="114"/>
      <c r="Q11" s="114"/>
      <c r="R11" s="114"/>
      <c r="S11" s="114"/>
      <c r="T11" s="114"/>
      <c r="U11" s="114"/>
      <c r="V11" s="114"/>
      <c r="W11" s="114"/>
      <c r="X11" s="114"/>
      <c r="Y11" s="114"/>
    </row>
    <row r="12" spans="1:32">
      <c r="B12" s="162">
        <f t="shared" si="2"/>
        <v>8</v>
      </c>
      <c r="C12" s="521">
        <f>'Industry &amp; Revenues'!J13</f>
        <v>70965.769842319103</v>
      </c>
      <c r="D12" s="523">
        <f ca="1">'Industry &amp; Revenues'!P13</f>
        <v>31789.549843157685</v>
      </c>
      <c r="E12" s="331">
        <f t="shared" ca="1" si="3"/>
        <v>0.10069501376414668</v>
      </c>
      <c r="F12" s="228">
        <f ca="1">'Future Value (Equity Options)'!G27</f>
        <v>8.9482821112978561E-2</v>
      </c>
      <c r="G12" s="524">
        <f t="shared" ca="1" si="1"/>
        <v>2844.6186018773947</v>
      </c>
      <c r="H12" s="524">
        <f t="shared" ca="1" si="0"/>
        <v>2129.6828847461275</v>
      </c>
      <c r="J12" s="85"/>
      <c r="K12" s="85"/>
      <c r="L12" s="85"/>
      <c r="M12" s="154"/>
      <c r="N12" s="114"/>
      <c r="O12" s="114"/>
      <c r="P12" s="114"/>
      <c r="Q12" s="114"/>
      <c r="R12" s="114"/>
      <c r="S12" s="114"/>
      <c r="T12" s="114"/>
      <c r="U12" s="114"/>
      <c r="V12" s="114"/>
      <c r="W12" s="114"/>
      <c r="X12" s="114"/>
      <c r="Y12" s="114"/>
    </row>
    <row r="13" spans="1:32">
      <c r="A13" s="116"/>
      <c r="B13" s="162">
        <f t="shared" si="2"/>
        <v>9</v>
      </c>
      <c r="C13" s="521">
        <f>'Industry &amp; Revenues'!J14</f>
        <v>76643.031429704643</v>
      </c>
      <c r="D13" s="523">
        <f ca="1">'Industry &amp; Revenues'!P14</f>
        <v>35186.196290841399</v>
      </c>
      <c r="E13" s="331">
        <f t="shared" ca="1" si="3"/>
        <v>0.10684789386581391</v>
      </c>
      <c r="F13" s="228">
        <f ca="1">'Future Value (Equity Options)'!G28</f>
        <v>9.8066410556489347E-2</v>
      </c>
      <c r="G13" s="524">
        <f t="shared" ca="1" si="1"/>
        <v>3450.5839713788755</v>
      </c>
      <c r="H13" s="524">
        <f t="shared" ca="1" si="0"/>
        <v>2583.3514627848326</v>
      </c>
      <c r="J13" s="85"/>
      <c r="K13" s="85"/>
      <c r="L13" s="85"/>
      <c r="M13" s="154"/>
      <c r="N13" s="114"/>
      <c r="O13" s="114"/>
      <c r="P13" s="114"/>
      <c r="Q13" s="114"/>
      <c r="R13" s="114"/>
      <c r="S13" s="114"/>
      <c r="T13" s="114"/>
      <c r="U13" s="114"/>
      <c r="V13" s="114"/>
      <c r="W13" s="114"/>
      <c r="X13" s="114"/>
      <c r="Y13" s="114"/>
    </row>
    <row r="14" spans="1:32">
      <c r="B14" s="162">
        <f t="shared" si="2"/>
        <v>10</v>
      </c>
      <c r="C14" s="521">
        <f>'Industry &amp; Revenues'!J15</f>
        <v>82774.473944081023</v>
      </c>
      <c r="D14" s="523">
        <f ca="1">'Industry &amp; Revenues'!P15</f>
        <v>39426.854125147765</v>
      </c>
      <c r="E14" s="331">
        <f t="shared" ca="1" si="3"/>
        <v>0.12052049614155554</v>
      </c>
      <c r="F14" s="228">
        <f ca="1">'Future Value (Equity Options)'!G29</f>
        <v>0.10665000000000013</v>
      </c>
      <c r="G14" s="524">
        <f t="shared" ca="1" si="1"/>
        <v>4204.8739924470146</v>
      </c>
      <c r="H14" s="524">
        <f t="shared" ca="1" si="0"/>
        <v>3148.0663763916755</v>
      </c>
      <c r="J14" s="85"/>
      <c r="K14" s="85"/>
      <c r="L14" s="85"/>
      <c r="M14" s="158"/>
      <c r="N14" s="114"/>
      <c r="O14" s="114"/>
      <c r="P14" s="114"/>
      <c r="Q14" s="114"/>
      <c r="R14" s="114"/>
      <c r="S14" s="114"/>
      <c r="T14" s="114"/>
      <c r="U14" s="114"/>
      <c r="V14" s="114"/>
      <c r="W14" s="114"/>
      <c r="X14" s="114"/>
      <c r="Y14" s="114"/>
    </row>
    <row r="15" spans="1:32">
      <c r="C15" s="161"/>
      <c r="D15" s="93"/>
      <c r="E15" s="243"/>
      <c r="F15" s="243"/>
      <c r="G15" s="242"/>
      <c r="H15" s="13"/>
      <c r="I15" s="213"/>
      <c r="J15" s="85"/>
      <c r="K15" s="85"/>
      <c r="L15" s="224"/>
      <c r="M15" s="154"/>
      <c r="N15" s="154"/>
      <c r="Q15" s="114"/>
      <c r="R15" s="114"/>
      <c r="S15" s="114"/>
      <c r="T15" s="114"/>
      <c r="U15" s="114"/>
      <c r="V15" s="114"/>
      <c r="W15" s="114"/>
      <c r="X15" s="114"/>
      <c r="Y15" s="114"/>
      <c r="Z15" s="114"/>
      <c r="AA15" s="114"/>
      <c r="AB15" s="114"/>
      <c r="AC15" s="114"/>
      <c r="AD15" s="114"/>
      <c r="AE15" s="114"/>
      <c r="AF15" s="114"/>
    </row>
    <row r="16" spans="1:32">
      <c r="F16" s="85"/>
      <c r="G16" s="164"/>
      <c r="H16" s="102"/>
      <c r="I16" s="159"/>
      <c r="J16" s="85"/>
      <c r="K16" s="85"/>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B17" s="172"/>
      <c r="C17" s="77" t="s">
        <v>79</v>
      </c>
      <c r="D17" s="77" t="s">
        <v>80</v>
      </c>
      <c r="E17" s="77" t="s">
        <v>52</v>
      </c>
      <c r="F17" s="77" t="s">
        <v>81</v>
      </c>
      <c r="G17" s="77" t="s">
        <v>82</v>
      </c>
      <c r="H17" s="77" t="s">
        <v>83</v>
      </c>
      <c r="I17" s="44"/>
      <c r="J17" s="85"/>
      <c r="K17" s="85"/>
      <c r="L17" s="156"/>
      <c r="M17" s="224"/>
      <c r="N17" s="576"/>
      <c r="O17" s="576"/>
      <c r="P17" s="576"/>
      <c r="Q17" s="114"/>
      <c r="R17" s="114"/>
      <c r="S17" s="114"/>
      <c r="T17" s="114"/>
      <c r="U17" s="114"/>
      <c r="V17" s="114"/>
      <c r="W17" s="114"/>
      <c r="X17" s="114"/>
      <c r="Y17" s="114"/>
      <c r="Z17" s="114"/>
      <c r="AA17" s="114"/>
      <c r="AB17" s="114"/>
      <c r="AC17" s="114"/>
      <c r="AD17" s="114"/>
      <c r="AE17" s="114"/>
      <c r="AF17" s="114"/>
    </row>
    <row r="18" spans="1:34">
      <c r="A18" s="116"/>
      <c r="B18" s="165" t="s">
        <v>77</v>
      </c>
      <c r="C18" s="281"/>
      <c r="D18" s="166"/>
      <c r="E18" s="281"/>
      <c r="F18" s="520">
        <f>'FCFF &amp; FCFE'!C4</f>
        <v>-693.01048325543161</v>
      </c>
      <c r="G18" s="522">
        <f>'Expected Growth Rate'!C8</f>
        <v>792</v>
      </c>
      <c r="H18" s="167">
        <f t="shared" ref="H18:H28" si="4">H4/G18</f>
        <v>0.53189328600698083</v>
      </c>
      <c r="I18" s="156"/>
      <c r="J18" s="85"/>
      <c r="K18" s="85"/>
      <c r="L18" s="156"/>
      <c r="M18" s="154"/>
      <c r="N18" s="225"/>
      <c r="O18" s="118"/>
      <c r="P18" s="118"/>
      <c r="Q18" s="114"/>
      <c r="R18" s="114"/>
      <c r="S18" s="114"/>
      <c r="T18" s="114"/>
      <c r="U18" s="114"/>
      <c r="V18" s="114"/>
      <c r="W18" s="114"/>
      <c r="X18" s="114"/>
      <c r="Y18" s="114"/>
      <c r="Z18" s="114"/>
      <c r="AA18" s="114"/>
      <c r="AB18" s="114"/>
      <c r="AC18" s="114"/>
      <c r="AD18" s="114"/>
      <c r="AE18" s="114"/>
      <c r="AF18" s="114"/>
    </row>
    <row r="19" spans="1:34">
      <c r="B19" s="162">
        <v>1</v>
      </c>
      <c r="C19" s="524">
        <f t="shared" ref="C19:C28" ca="1" si="5">D5-D4</f>
        <v>1843.857502307359</v>
      </c>
      <c r="D19" s="151">
        <f>'Expected Growth Rate'!$C$15</f>
        <v>1.6085374568036657</v>
      </c>
      <c r="E19" s="524">
        <f ca="1">C19/D19</f>
        <v>1146.2944145368547</v>
      </c>
      <c r="F19" s="524">
        <f t="shared" ref="F19:F28" ca="1" si="6">H5-E19</f>
        <v>-977.99356067545284</v>
      </c>
      <c r="G19" s="523">
        <f t="shared" ref="G19:G27" ca="1" si="7">G18+E19</f>
        <v>1938.2944145368547</v>
      </c>
      <c r="H19" s="63">
        <f t="shared" ca="1" si="4"/>
        <v>8.6829355024281213E-2</v>
      </c>
      <c r="I19" s="86"/>
      <c r="J19" s="43"/>
      <c r="K19" s="3"/>
      <c r="L19" s="156"/>
      <c r="M19" s="154"/>
      <c r="N19" s="193"/>
      <c r="O19" s="191"/>
      <c r="P19" s="154"/>
      <c r="Q19" s="114"/>
      <c r="R19" s="114"/>
      <c r="S19" s="114"/>
      <c r="T19" s="114"/>
      <c r="U19" s="114"/>
      <c r="V19" s="114"/>
      <c r="W19" s="114"/>
      <c r="X19" s="114"/>
      <c r="Y19" s="114"/>
      <c r="Z19" s="114"/>
      <c r="AA19" s="114"/>
      <c r="AB19" s="114"/>
      <c r="AC19" s="114"/>
      <c r="AD19" s="114"/>
      <c r="AE19" s="114"/>
      <c r="AF19" s="114"/>
    </row>
    <row r="20" spans="1:34">
      <c r="A20" s="116"/>
      <c r="B20" s="162">
        <f t="shared" ref="B20:B28" si="8">B19+1</f>
        <v>2</v>
      </c>
      <c r="C20" s="524">
        <f t="shared" ca="1" si="5"/>
        <v>2123.3817544407048</v>
      </c>
      <c r="D20" s="151">
        <f>'Expected Growth Rate'!$C$15</f>
        <v>1.6085374568036657</v>
      </c>
      <c r="E20" s="524">
        <f t="shared" ref="E20:E28" ca="1" si="9">C20/D20</f>
        <v>1320.0698220979505</v>
      </c>
      <c r="F20" s="524">
        <f t="shared" ca="1" si="6"/>
        <v>-1075.0077479556223</v>
      </c>
      <c r="G20" s="523">
        <f t="shared" ca="1" si="7"/>
        <v>3258.3642366348049</v>
      </c>
      <c r="H20" s="63">
        <f t="shared" ca="1" si="4"/>
        <v>7.5210153422081816E-2</v>
      </c>
      <c r="I20" s="86"/>
      <c r="J20" s="43"/>
      <c r="K20" s="114"/>
      <c r="L20" s="156"/>
      <c r="M20" s="154"/>
      <c r="N20" s="193"/>
      <c r="O20" s="191"/>
      <c r="P20" s="157"/>
      <c r="Q20" s="114"/>
      <c r="R20" s="114"/>
      <c r="S20" s="114"/>
      <c r="T20" s="114"/>
      <c r="U20" s="114"/>
      <c r="V20" s="114"/>
      <c r="W20" s="114"/>
      <c r="X20" s="114"/>
      <c r="Y20" s="114"/>
      <c r="Z20" s="114"/>
      <c r="AA20" s="114"/>
      <c r="AB20" s="114"/>
      <c r="AC20" s="114"/>
      <c r="AD20" s="114"/>
      <c r="AE20" s="114"/>
      <c r="AF20" s="114"/>
    </row>
    <row r="21" spans="1:34">
      <c r="B21" s="162">
        <f t="shared" si="8"/>
        <v>3</v>
      </c>
      <c r="C21" s="524">
        <f t="shared" ca="1" si="5"/>
        <v>2112.5247108666372</v>
      </c>
      <c r="D21" s="151">
        <f>'Expected Growth Rate'!$C$15</f>
        <v>1.6085374568036657</v>
      </c>
      <c r="E21" s="524">
        <f t="shared" ca="1" si="9"/>
        <v>1313.3201853219182</v>
      </c>
      <c r="F21" s="524">
        <f t="shared" ca="1" si="6"/>
        <v>-844.74181257696398</v>
      </c>
      <c r="G21" s="523">
        <f t="shared" ca="1" si="7"/>
        <v>4571.6844219567229</v>
      </c>
      <c r="H21" s="63">
        <f t="shared" ca="1" si="4"/>
        <v>0.10249578262543292</v>
      </c>
      <c r="I21" s="86"/>
      <c r="J21" s="43"/>
      <c r="K21" s="114"/>
      <c r="L21" s="156"/>
      <c r="M21" s="154"/>
      <c r="N21" s="154"/>
      <c r="O21" s="129"/>
      <c r="P21" s="226"/>
      <c r="Q21" s="114"/>
      <c r="R21" s="114"/>
      <c r="S21" s="114"/>
      <c r="T21" s="114"/>
      <c r="U21" s="114"/>
      <c r="V21" s="114"/>
      <c r="W21" s="114"/>
      <c r="X21" s="114"/>
      <c r="Y21" s="114"/>
      <c r="Z21" s="114"/>
      <c r="AA21" s="114"/>
      <c r="AB21" s="114"/>
      <c r="AC21" s="114"/>
      <c r="AD21" s="114"/>
      <c r="AE21" s="114"/>
      <c r="AF21" s="114"/>
    </row>
    <row r="22" spans="1:34">
      <c r="B22" s="162">
        <f t="shared" si="8"/>
        <v>4</v>
      </c>
      <c r="C22" s="524">
        <f t="shared" ca="1" si="5"/>
        <v>2394.8484560992874</v>
      </c>
      <c r="D22" s="151">
        <f>'Expected Growth Rate'!$C$15</f>
        <v>1.6085374568036657</v>
      </c>
      <c r="E22" s="524">
        <f ca="1">C22/D22</f>
        <v>1488.8359894696546</v>
      </c>
      <c r="F22" s="524">
        <f t="shared" ca="1" si="6"/>
        <v>-827.41679609529047</v>
      </c>
      <c r="G22" s="523">
        <f t="shared" ca="1" si="7"/>
        <v>6060.5204114263779</v>
      </c>
      <c r="H22" s="63">
        <f t="shared" ca="1" si="4"/>
        <v>0.109135709225125</v>
      </c>
      <c r="I22" s="86"/>
      <c r="J22" s="43"/>
      <c r="K22" s="114"/>
      <c r="L22" s="156"/>
      <c r="M22" s="154"/>
      <c r="N22" s="154"/>
      <c r="O22" s="114"/>
      <c r="P22" s="114"/>
      <c r="Q22" s="114"/>
      <c r="R22" s="114"/>
      <c r="S22" s="114"/>
      <c r="T22" s="114"/>
      <c r="U22" s="114"/>
      <c r="V22" s="114"/>
      <c r="W22" s="114"/>
      <c r="X22" s="114"/>
      <c r="Y22" s="114"/>
      <c r="Z22" s="114"/>
      <c r="AA22" s="114"/>
      <c r="AB22" s="114"/>
      <c r="AC22" s="114"/>
      <c r="AD22" s="114"/>
      <c r="AE22" s="114"/>
      <c r="AF22" s="114"/>
      <c r="AG22" s="114"/>
    </row>
    <row r="23" spans="1:34">
      <c r="B23" s="162">
        <f t="shared" si="8"/>
        <v>5</v>
      </c>
      <c r="C23" s="524">
        <f t="shared" ca="1" si="5"/>
        <v>3014.8189138432608</v>
      </c>
      <c r="D23" s="151">
        <f>'Expected Growth Rate'!$C$15</f>
        <v>1.6085374568036657</v>
      </c>
      <c r="E23" s="524">
        <f t="shared" ca="1" si="9"/>
        <v>1874.2609325579681</v>
      </c>
      <c r="F23" s="524">
        <f t="shared" ca="1" si="6"/>
        <v>-791.12382650189011</v>
      </c>
      <c r="G23" s="523">
        <f t="shared" ca="1" si="7"/>
        <v>7934.7813439843458</v>
      </c>
      <c r="H23" s="63">
        <f t="shared" ca="1" si="4"/>
        <v>0.13650497210956478</v>
      </c>
      <c r="I23" s="86"/>
      <c r="J23" s="43"/>
      <c r="K23" s="114"/>
      <c r="L23" s="156"/>
      <c r="M23" s="15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B24" s="162">
        <f t="shared" si="8"/>
        <v>6</v>
      </c>
      <c r="C24" s="524">
        <f t="shared" ca="1" si="5"/>
        <v>2685.3076852106387</v>
      </c>
      <c r="D24" s="151">
        <f>'Expected Growth Rate'!$C$15</f>
        <v>1.6085374568036657</v>
      </c>
      <c r="E24" s="524">
        <f t="shared" ca="1" si="9"/>
        <v>1669.4094836601628</v>
      </c>
      <c r="F24" s="524">
        <f t="shared" ca="1" si="6"/>
        <v>-294.54039738492679</v>
      </c>
      <c r="G24" s="523">
        <f t="shared" ca="1" si="7"/>
        <v>9604.1908276445083</v>
      </c>
      <c r="H24" s="63">
        <f t="shared" ca="1" si="4"/>
        <v>0.14315303714268574</v>
      </c>
      <c r="I24" s="86"/>
      <c r="J24" s="43"/>
      <c r="K24" s="114"/>
      <c r="L24" s="156"/>
      <c r="M24" s="154"/>
      <c r="N24" s="154"/>
      <c r="O24" s="114"/>
      <c r="P24" s="114"/>
      <c r="Q24" s="114"/>
      <c r="R24" s="114"/>
      <c r="S24" s="114"/>
      <c r="T24" s="114"/>
      <c r="U24" s="114"/>
      <c r="V24" s="114"/>
      <c r="W24" s="114"/>
      <c r="X24" s="114"/>
      <c r="Y24" s="114"/>
      <c r="Z24" s="114"/>
      <c r="AA24" s="114"/>
      <c r="AB24" s="114"/>
      <c r="AC24" s="114"/>
      <c r="AD24" s="114"/>
      <c r="AE24" s="114"/>
      <c r="AF24" s="114"/>
    </row>
    <row r="25" spans="1:34">
      <c r="B25" s="162">
        <f t="shared" si="8"/>
        <v>7</v>
      </c>
      <c r="C25" s="524">
        <f t="shared" ca="1" si="5"/>
        <v>2979.6036249507342</v>
      </c>
      <c r="D25" s="151">
        <f>'Expected Growth Rate'!$C$15</f>
        <v>1.6085374568036657</v>
      </c>
      <c r="E25" s="524">
        <f t="shared" ca="1" si="9"/>
        <v>1852.3681946900524</v>
      </c>
      <c r="F25" s="524">
        <f t="shared" ca="1" si="6"/>
        <v>-10.315181753926026</v>
      </c>
      <c r="G25" s="523">
        <f t="shared" ca="1" si="7"/>
        <v>11456.559022334561</v>
      </c>
      <c r="H25" s="63">
        <f t="shared" ca="1" si="4"/>
        <v>0.16078588774736324</v>
      </c>
      <c r="I25" s="86"/>
      <c r="J25" s="43"/>
      <c r="K25" s="114"/>
      <c r="L25" s="156"/>
      <c r="M25" s="156"/>
      <c r="N25" s="156"/>
      <c r="O25" s="114"/>
      <c r="P25" s="114"/>
      <c r="Q25" s="114"/>
      <c r="R25" s="114"/>
      <c r="S25" s="114"/>
      <c r="T25" s="114"/>
      <c r="U25" s="114"/>
      <c r="V25" s="114"/>
      <c r="W25" s="114"/>
      <c r="X25" s="114"/>
      <c r="Y25" s="114"/>
      <c r="Z25" s="114"/>
      <c r="AA25" s="114"/>
      <c r="AB25" s="114"/>
      <c r="AC25" s="114"/>
      <c r="AD25" s="114"/>
      <c r="AE25" s="114"/>
      <c r="AF25" s="114"/>
    </row>
    <row r="26" spans="1:34">
      <c r="B26" s="162">
        <f t="shared" si="8"/>
        <v>8</v>
      </c>
      <c r="C26" s="524">
        <f t="shared" ca="1" si="5"/>
        <v>2908.2071954390631</v>
      </c>
      <c r="D26" s="151">
        <f>'Expected Growth Rate'!$C$15</f>
        <v>1.6085374568036657</v>
      </c>
      <c r="E26" s="524">
        <f t="shared" ca="1" si="9"/>
        <v>1807.9822655904941</v>
      </c>
      <c r="F26" s="524">
        <f t="shared" ca="1" si="6"/>
        <v>321.70061915563338</v>
      </c>
      <c r="G26" s="523">
        <f t="shared" ca="1" si="7"/>
        <v>13264.541287925054</v>
      </c>
      <c r="H26" s="63">
        <f t="shared" ca="1" si="4"/>
        <v>0.16055458221422367</v>
      </c>
      <c r="I26" s="86"/>
      <c r="J26" s="43"/>
      <c r="K26" s="114"/>
      <c r="L26" s="114"/>
      <c r="M26" s="119"/>
      <c r="N26" s="114"/>
      <c r="O26" s="114"/>
      <c r="P26" s="114"/>
      <c r="Q26" s="114"/>
      <c r="R26" s="114"/>
      <c r="S26" s="114"/>
      <c r="T26" s="114"/>
      <c r="U26" s="114"/>
      <c r="V26" s="114"/>
      <c r="W26" s="114"/>
      <c r="X26" s="114"/>
      <c r="Y26" s="114"/>
      <c r="Z26" s="114"/>
      <c r="AA26" s="114"/>
      <c r="AB26" s="114"/>
      <c r="AC26" s="114"/>
      <c r="AD26" s="114"/>
      <c r="AE26" s="114"/>
      <c r="AF26" s="114"/>
    </row>
    <row r="27" spans="1:34">
      <c r="B27" s="162">
        <f t="shared" si="8"/>
        <v>9</v>
      </c>
      <c r="C27" s="524">
        <f t="shared" ca="1" si="5"/>
        <v>3396.6464476837136</v>
      </c>
      <c r="D27" s="151">
        <f>'Expected Growth Rate'!$C$15</f>
        <v>1.6085374568036657</v>
      </c>
      <c r="E27" s="524">
        <f t="shared" ca="1" si="9"/>
        <v>2111.6365262846971</v>
      </c>
      <c r="F27" s="524">
        <f t="shared" ca="1" si="6"/>
        <v>471.71493650013554</v>
      </c>
      <c r="G27" s="523">
        <f t="shared" ca="1" si="7"/>
        <v>15376.177814209752</v>
      </c>
      <c r="H27" s="63">
        <f t="shared" ca="1" si="4"/>
        <v>0.16800998882813728</v>
      </c>
      <c r="I27" s="86"/>
      <c r="J27" s="43"/>
      <c r="K27" s="11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B28" s="162">
        <f t="shared" si="8"/>
        <v>10</v>
      </c>
      <c r="C28" s="524">
        <f t="shared" ca="1" si="5"/>
        <v>4240.6578343063666</v>
      </c>
      <c r="D28" s="151">
        <f>'Expected Growth Rate'!$C$15</f>
        <v>1.6085374568036657</v>
      </c>
      <c r="E28" s="524">
        <f t="shared" ca="1" si="9"/>
        <v>2636.343851596097</v>
      </c>
      <c r="F28" s="524">
        <f t="shared" ca="1" si="6"/>
        <v>511.72252479557847</v>
      </c>
      <c r="G28" s="523">
        <f ca="1">G27+E28</f>
        <v>18012.521665805849</v>
      </c>
      <c r="H28" s="63">
        <f t="shared" ca="1" si="4"/>
        <v>0.17477099735390306</v>
      </c>
      <c r="I28" s="86"/>
      <c r="J28" s="43"/>
      <c r="K28" s="11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E29" s="161"/>
      <c r="J29" s="114"/>
      <c r="K29" s="114"/>
      <c r="L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J30" s="114"/>
      <c r="K30" s="114"/>
      <c r="L30" s="114"/>
      <c r="P30" s="114"/>
      <c r="Q30" s="114"/>
      <c r="R30" s="114"/>
      <c r="S30" s="114"/>
      <c r="T30" s="114"/>
      <c r="U30" s="114"/>
      <c r="V30" s="114"/>
      <c r="W30" s="114"/>
      <c r="X30" s="114"/>
      <c r="Y30" s="114"/>
      <c r="Z30" s="114"/>
      <c r="AA30" s="114"/>
      <c r="AB30" s="114"/>
      <c r="AC30" s="114"/>
      <c r="AD30" s="114"/>
      <c r="AE30" s="114"/>
      <c r="AF30" s="114"/>
      <c r="AG30" s="114"/>
      <c r="AH30" s="114"/>
    </row>
    <row r="31" spans="1:34">
      <c r="G31" s="114"/>
      <c r="H31" s="114"/>
      <c r="I31" s="114"/>
      <c r="J31" s="114"/>
      <c r="K31" s="11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4:34">
      <c r="G33" s="114"/>
      <c r="H33" s="114"/>
      <c r="I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4:34">
      <c r="G34" s="114"/>
      <c r="H34" s="114"/>
      <c r="I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4:34">
      <c r="G35" s="114"/>
      <c r="H35" s="114"/>
      <c r="I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4:34">
      <c r="D36" s="575" t="s">
        <v>160</v>
      </c>
      <c r="E36" s="575"/>
      <c r="F36" s="575"/>
      <c r="G36" s="575"/>
      <c r="H36" s="575"/>
      <c r="I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4:34">
      <c r="D37" s="247" t="s">
        <v>152</v>
      </c>
      <c r="E37" s="247" t="s">
        <v>157</v>
      </c>
      <c r="F37" s="247" t="s">
        <v>145</v>
      </c>
      <c r="G37" s="247" t="s">
        <v>158</v>
      </c>
      <c r="H37" s="247" t="s">
        <v>159</v>
      </c>
      <c r="I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row>
    <row r="38" spans="4:34">
      <c r="D38" s="133" t="s">
        <v>153</v>
      </c>
      <c r="E38" s="290">
        <v>10093</v>
      </c>
      <c r="F38" s="290">
        <v>9453</v>
      </c>
      <c r="G38" s="290">
        <v>9320</v>
      </c>
      <c r="H38" s="290">
        <f>AVERAGE(E38:G38)</f>
        <v>9622</v>
      </c>
      <c r="I38" s="114"/>
      <c r="L38" s="114"/>
      <c r="O38" s="114"/>
      <c r="P38" s="114"/>
      <c r="Q38" s="114"/>
      <c r="R38" s="114"/>
      <c r="S38" s="114"/>
      <c r="T38" s="114"/>
      <c r="U38" s="114"/>
      <c r="V38" s="114"/>
      <c r="W38" s="114"/>
      <c r="X38" s="114"/>
      <c r="Y38" s="114"/>
      <c r="Z38" s="114"/>
      <c r="AA38" s="114"/>
      <c r="AB38" s="114"/>
      <c r="AC38" s="114"/>
      <c r="AD38" s="114"/>
      <c r="AE38" s="114"/>
      <c r="AF38" s="114"/>
      <c r="AG38" s="114"/>
      <c r="AH38" s="114"/>
    </row>
    <row r="39" spans="4:34">
      <c r="D39" s="133" t="s">
        <v>154</v>
      </c>
      <c r="E39" s="290">
        <v>17945</v>
      </c>
      <c r="F39" s="290">
        <v>16359</v>
      </c>
      <c r="G39" s="290">
        <v>16103</v>
      </c>
      <c r="H39" s="290">
        <f>AVERAGE(E39:G39)</f>
        <v>16802.333333333332</v>
      </c>
    </row>
    <row r="40" spans="4:34">
      <c r="D40" s="133" t="s">
        <v>155</v>
      </c>
      <c r="E40" s="290">
        <v>22476</v>
      </c>
      <c r="F40" s="290">
        <v>21346</v>
      </c>
      <c r="G40" s="290">
        <v>22369</v>
      </c>
      <c r="H40" s="290">
        <f>AVERAGE(E40:G40)</f>
        <v>22063.666666666668</v>
      </c>
    </row>
    <row r="41" spans="4:34">
      <c r="D41" s="133" t="s">
        <v>156</v>
      </c>
      <c r="E41" s="290">
        <v>10127</v>
      </c>
      <c r="F41" s="290">
        <v>9774</v>
      </c>
      <c r="G41" s="290">
        <v>9557</v>
      </c>
      <c r="H41" s="290">
        <f>AVERAGE(E41:G41)</f>
        <v>9819.3333333333339</v>
      </c>
    </row>
    <row r="43" spans="4:34">
      <c r="D43" s="575" t="s">
        <v>165</v>
      </c>
      <c r="E43" s="575"/>
      <c r="F43" s="575"/>
      <c r="G43" s="575"/>
      <c r="H43" s="575"/>
    </row>
    <row r="44" spans="4:34">
      <c r="D44" s="247" t="s">
        <v>161</v>
      </c>
      <c r="E44" s="247" t="s">
        <v>157</v>
      </c>
      <c r="F44" s="247" t="s">
        <v>145</v>
      </c>
      <c r="G44" s="247" t="s">
        <v>158</v>
      </c>
      <c r="H44" s="247" t="s">
        <v>159</v>
      </c>
    </row>
    <row r="45" spans="4:34">
      <c r="D45" s="133" t="s">
        <v>162</v>
      </c>
      <c r="E45" s="290">
        <v>2728</v>
      </c>
      <c r="F45" s="290">
        <v>1944</v>
      </c>
      <c r="G45" s="290">
        <v>1619</v>
      </c>
      <c r="H45" s="290">
        <f>AVERAGE(E45:G45)</f>
        <v>2097</v>
      </c>
    </row>
    <row r="46" spans="4:34">
      <c r="D46" s="133" t="s">
        <v>163</v>
      </c>
      <c r="E46" s="290">
        <v>8207</v>
      </c>
      <c r="F46" s="290">
        <v>7855</v>
      </c>
      <c r="G46" s="290">
        <v>6841</v>
      </c>
      <c r="H46" s="290">
        <f>AVERAGE(E46:G46)</f>
        <v>7634.333333333333</v>
      </c>
    </row>
    <row r="47" spans="4:34">
      <c r="D47" s="133" t="s">
        <v>164</v>
      </c>
      <c r="E47" s="290">
        <v>20878</v>
      </c>
      <c r="F47" s="290">
        <v>19361</v>
      </c>
      <c r="G47" s="290">
        <v>19909</v>
      </c>
      <c r="H47" s="290">
        <f>AVERAGE(E47:G47)</f>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3.85546875" style="109" customWidth="1"/>
    <col min="3" max="3" width="15.28515625" style="109" customWidth="1"/>
    <col min="4" max="4" width="4.85546875" style="109" customWidth="1"/>
    <col min="5" max="5" width="5.140625" style="109" customWidth="1"/>
    <col min="6" max="6" width="21.570312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73</v>
      </c>
      <c r="C1" s="107"/>
      <c r="D1" s="107"/>
      <c r="E1" s="107"/>
      <c r="F1" s="107"/>
      <c r="G1" s="107"/>
      <c r="H1" s="107"/>
      <c r="I1" s="107"/>
      <c r="J1" s="107"/>
      <c r="K1" s="107"/>
      <c r="L1" s="107"/>
    </row>
    <row r="2" spans="1:32" ht="12" customHeight="1">
      <c r="C2" s="129"/>
    </row>
    <row r="3" spans="1:32" ht="12" customHeight="1">
      <c r="A3" s="111"/>
      <c r="B3" s="131" t="s">
        <v>85</v>
      </c>
      <c r="C3" s="155">
        <v>0.02</v>
      </c>
      <c r="F3" s="575" t="s">
        <v>89</v>
      </c>
      <c r="G3" s="575"/>
      <c r="H3" s="575"/>
      <c r="I3" s="575"/>
      <c r="J3" s="575"/>
      <c r="K3" s="575"/>
      <c r="L3" s="139"/>
      <c r="M3" s="139"/>
      <c r="N3" s="139"/>
      <c r="O3" s="139"/>
      <c r="P3" s="139"/>
      <c r="Q3" s="139"/>
    </row>
    <row r="4" spans="1:32" ht="12" customHeight="1">
      <c r="A4" s="116"/>
      <c r="B4" s="124" t="s">
        <v>86</v>
      </c>
      <c r="C4" s="73">
        <f ca="1">'Future Cashflows (10 Yrs)'!H28</f>
        <v>0.17477099735390306</v>
      </c>
      <c r="F4" s="82" t="s">
        <v>288</v>
      </c>
      <c r="G4" s="73">
        <f>'Risk Free Rate &amp; ERP'!C6</f>
        <v>2.5284999999999998E-2</v>
      </c>
      <c r="H4" s="121"/>
      <c r="I4" s="121"/>
      <c r="J4" s="121"/>
      <c r="K4" s="125"/>
      <c r="L4" s="185"/>
      <c r="M4" s="185"/>
      <c r="N4" s="185"/>
      <c r="O4" s="185"/>
      <c r="P4" s="185"/>
      <c r="Q4" s="110"/>
      <c r="S4" s="113"/>
      <c r="T4" s="113"/>
      <c r="U4" s="113"/>
      <c r="V4" s="113"/>
      <c r="AA4" s="113"/>
    </row>
    <row r="5" spans="1:32" ht="12" customHeight="1">
      <c r="A5" s="116"/>
      <c r="B5" s="127" t="s">
        <v>75</v>
      </c>
      <c r="C5" s="175">
        <f ca="1">C3/C4</f>
        <v>0.11443546299333029</v>
      </c>
      <c r="F5" s="82" t="s">
        <v>9</v>
      </c>
      <c r="G5" s="73">
        <f>'Risk Free Rate &amp; ERP'!E14</f>
        <v>6.6569227509805859E-2</v>
      </c>
      <c r="H5" s="121"/>
      <c r="I5" s="121"/>
      <c r="J5" s="121"/>
      <c r="K5" s="125"/>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1"/>
      <c r="C6" s="121"/>
      <c r="F6" s="82" t="s">
        <v>97</v>
      </c>
      <c r="G6" s="99">
        <f>((_xlfn.PERCENTILE.EXC('Beta Calculation Data'!D5:D26,0.25)/(1+(_xlfn.PERCENTILE.EXC('Beta Calculation Data'!K5:K26,0.25)*(1-'Bottom Up Beta'!C8))))/(1-_xlfn.PERCENTILE.EXC('Beta Calculation Data'!J5:J26,0.25)))*(1+('Bottom Up Beta'!C15*(1-'Bottom Up Beta'!C8)))</f>
        <v>0.88282556865988382</v>
      </c>
      <c r="H6" s="178" t="s">
        <v>214</v>
      </c>
      <c r="I6" s="121"/>
      <c r="J6" s="121"/>
      <c r="K6" s="125"/>
      <c r="L6" s="134"/>
      <c r="M6" s="134"/>
      <c r="N6" s="134"/>
      <c r="O6" s="134"/>
      <c r="P6" s="134"/>
      <c r="Q6" s="134"/>
      <c r="S6" s="114"/>
      <c r="T6" s="114"/>
      <c r="U6" s="114"/>
      <c r="V6" s="114"/>
      <c r="W6" s="114"/>
      <c r="X6" s="114"/>
      <c r="Y6" s="114"/>
      <c r="Z6" s="114"/>
      <c r="AA6" s="114"/>
      <c r="AB6" s="114"/>
      <c r="AC6" s="114"/>
      <c r="AD6" s="114"/>
      <c r="AE6" s="114"/>
      <c r="AF6" s="114"/>
    </row>
    <row r="7" spans="1:32" ht="12" customHeight="1">
      <c r="B7" s="124" t="s">
        <v>87</v>
      </c>
      <c r="C7" s="484">
        <f ca="1">'Industry &amp; Revenues'!P16*'Future Cashflows (10 Yrs)'!F14</f>
        <v>4626.3727760476113</v>
      </c>
      <c r="F7" s="17"/>
      <c r="G7" s="17"/>
      <c r="H7" s="121"/>
      <c r="I7" s="121"/>
      <c r="J7" s="121"/>
      <c r="K7" s="121"/>
      <c r="N7" s="114"/>
      <c r="O7" s="114"/>
      <c r="P7" s="129"/>
      <c r="Q7" s="134"/>
      <c r="S7" s="114"/>
      <c r="T7" s="114"/>
      <c r="U7" s="114"/>
      <c r="V7" s="114"/>
      <c r="W7" s="114"/>
      <c r="X7" s="114"/>
      <c r="Y7" s="114"/>
      <c r="Z7" s="114"/>
      <c r="AA7" s="114"/>
      <c r="AB7" s="114"/>
      <c r="AC7" s="114"/>
      <c r="AD7" s="114"/>
      <c r="AE7" s="114"/>
      <c r="AF7" s="114"/>
    </row>
    <row r="8" spans="1:32" ht="12" customHeight="1">
      <c r="A8" s="116"/>
      <c r="B8" s="124" t="s">
        <v>88</v>
      </c>
      <c r="C8" s="73">
        <f>'Future Cashflows (10 Yrs)'!K4</f>
        <v>0.25132919986511482</v>
      </c>
      <c r="F8" s="82" t="s">
        <v>7</v>
      </c>
      <c r="G8" s="49">
        <f>G4+G6*G5</f>
        <v>8.4054016131593537E-2</v>
      </c>
      <c r="H8" s="121"/>
      <c r="I8" s="121"/>
      <c r="J8" s="121"/>
      <c r="K8" s="179"/>
      <c r="O8" s="114"/>
      <c r="P8" s="114"/>
      <c r="Q8" s="114"/>
      <c r="R8" s="114"/>
      <c r="S8" s="114"/>
      <c r="T8" s="114"/>
      <c r="U8" s="114"/>
      <c r="V8" s="114"/>
      <c r="W8" s="114"/>
      <c r="X8" s="114"/>
      <c r="Y8" s="114"/>
      <c r="Z8" s="114"/>
      <c r="AA8" s="114"/>
      <c r="AB8" s="114"/>
      <c r="AC8" s="114"/>
      <c r="AD8" s="114"/>
      <c r="AE8" s="114"/>
      <c r="AF8" s="114"/>
    </row>
    <row r="9" spans="1:32" ht="12" customHeight="1">
      <c r="A9" s="116"/>
      <c r="B9" s="127" t="s">
        <v>50</v>
      </c>
      <c r="C9" s="500">
        <f ca="1">C7*(1-C8)</f>
        <v>3463.6302079658153</v>
      </c>
      <c r="F9" s="121"/>
      <c r="G9" s="121"/>
      <c r="H9" s="121"/>
      <c r="I9" s="121"/>
      <c r="J9" s="121"/>
      <c r="K9" s="163"/>
      <c r="O9" s="114"/>
      <c r="P9" s="114"/>
      <c r="Q9" s="114"/>
      <c r="R9" s="114"/>
      <c r="S9" s="114"/>
      <c r="T9" s="114"/>
      <c r="U9" s="114"/>
      <c r="V9" s="114"/>
      <c r="W9" s="114"/>
      <c r="X9" s="114"/>
      <c r="Y9" s="114"/>
      <c r="Z9" s="114"/>
      <c r="AA9" s="114"/>
      <c r="AB9" s="114"/>
      <c r="AC9" s="114"/>
      <c r="AD9" s="114"/>
      <c r="AE9" s="114"/>
      <c r="AF9" s="114"/>
    </row>
    <row r="10" spans="1:32">
      <c r="A10" s="112"/>
      <c r="B10" s="124"/>
      <c r="C10" s="183"/>
      <c r="F10" s="82" t="s">
        <v>288</v>
      </c>
      <c r="G10" s="75">
        <f>'Cost of Equity, Debt &amp; WACC'!C12</f>
        <v>2.5284999999999998E-2</v>
      </c>
      <c r="H10" s="121"/>
      <c r="I10" s="121"/>
      <c r="J10" s="133"/>
      <c r="K10" s="163"/>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124" t="s">
        <v>90</v>
      </c>
      <c r="C11" s="559">
        <f ca="1">C9*(1-C5)</f>
        <v>3067.2680814795622</v>
      </c>
      <c r="F11" s="82" t="s">
        <v>375</v>
      </c>
      <c r="G11" s="73">
        <f>'Risk Free Rate &amp; ERP'!G13</f>
        <v>2.7440641615776105E-2</v>
      </c>
      <c r="H11" s="121"/>
      <c r="I11" s="121"/>
      <c r="J11" s="135"/>
      <c r="K11" s="163"/>
      <c r="O11" s="114"/>
      <c r="P11" s="114"/>
      <c r="Q11" s="114"/>
      <c r="R11" s="114"/>
      <c r="S11" s="114"/>
      <c r="T11" s="114"/>
      <c r="U11" s="114"/>
      <c r="V11" s="114"/>
      <c r="W11" s="114"/>
      <c r="X11" s="114"/>
      <c r="Y11" s="114"/>
      <c r="Z11" s="114"/>
      <c r="AA11" s="114"/>
      <c r="AB11" s="114"/>
      <c r="AC11" s="114"/>
      <c r="AD11" s="114"/>
      <c r="AE11" s="114"/>
      <c r="AF11" s="114"/>
    </row>
    <row r="12" spans="1:32">
      <c r="B12" s="163"/>
      <c r="C12" s="121"/>
      <c r="F12" s="46" t="s">
        <v>122</v>
      </c>
      <c r="G12" s="73">
        <v>7.4999999999999997E-3</v>
      </c>
      <c r="H12" s="178" t="s">
        <v>260</v>
      </c>
      <c r="I12" s="121"/>
      <c r="J12" s="135"/>
      <c r="K12" s="163"/>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46" t="s">
        <v>73</v>
      </c>
      <c r="C13" s="560">
        <f ca="1">C11/(G20-C3)</f>
        <v>50031.964219081521</v>
      </c>
      <c r="D13" s="2"/>
      <c r="E13" s="6"/>
      <c r="F13" s="28"/>
      <c r="G13" s="17"/>
      <c r="H13" s="121"/>
      <c r="I13" s="121"/>
      <c r="J13" s="135"/>
      <c r="K13" s="163"/>
      <c r="O13" s="114"/>
      <c r="P13" s="114"/>
      <c r="Q13" s="114"/>
      <c r="R13" s="114"/>
      <c r="S13" s="114"/>
      <c r="T13" s="114"/>
      <c r="U13" s="114"/>
      <c r="V13" s="114"/>
      <c r="W13" s="114"/>
      <c r="X13" s="114"/>
      <c r="Y13" s="114"/>
      <c r="Z13" s="114"/>
      <c r="AA13" s="114"/>
      <c r="AB13" s="114"/>
      <c r="AC13" s="114"/>
      <c r="AD13" s="114"/>
      <c r="AE13" s="114"/>
      <c r="AF13" s="114"/>
    </row>
    <row r="14" spans="1:32">
      <c r="D14" s="2"/>
      <c r="E14" s="6"/>
      <c r="F14" s="82" t="s">
        <v>8</v>
      </c>
      <c r="G14" s="49">
        <f>G10+G11+G12</f>
        <v>6.02256416157761E-2</v>
      </c>
      <c r="H14" s="121"/>
      <c r="I14" s="121"/>
      <c r="J14" s="135"/>
      <c r="K14" s="163"/>
      <c r="O14" s="114"/>
      <c r="P14" s="114"/>
      <c r="Q14" s="114"/>
      <c r="R14" s="114"/>
      <c r="S14" s="114"/>
      <c r="T14" s="114"/>
      <c r="U14" s="114"/>
      <c r="V14" s="114"/>
      <c r="W14" s="114"/>
      <c r="X14" s="114"/>
      <c r="Y14" s="114"/>
      <c r="Z14" s="114"/>
      <c r="AA14" s="114"/>
      <c r="AB14" s="114"/>
      <c r="AC14" s="114"/>
      <c r="AD14" s="114"/>
      <c r="AE14" s="114"/>
      <c r="AF14" s="114"/>
    </row>
    <row r="15" spans="1:32">
      <c r="D15" s="6"/>
      <c r="E15" s="6"/>
      <c r="F15" s="121"/>
      <c r="G15" s="121"/>
      <c r="H15" s="121"/>
      <c r="I15" s="121"/>
      <c r="J15" s="135"/>
      <c r="K15" s="163"/>
      <c r="O15" s="114"/>
      <c r="P15" s="114"/>
      <c r="Q15" s="114"/>
      <c r="R15" s="114"/>
      <c r="S15" s="114"/>
      <c r="T15" s="114"/>
      <c r="U15" s="114"/>
      <c r="V15" s="114"/>
      <c r="W15" s="114"/>
      <c r="X15" s="114"/>
      <c r="Y15" s="114"/>
      <c r="Z15" s="114"/>
      <c r="AA15" s="114"/>
      <c r="AB15" s="114"/>
      <c r="AC15" s="114"/>
      <c r="AD15" s="114"/>
      <c r="AE15" s="114"/>
      <c r="AF15" s="114"/>
    </row>
    <row r="16" spans="1:32">
      <c r="B16" s="22"/>
      <c r="C16" s="65"/>
      <c r="D16" s="23"/>
      <c r="E16" s="6"/>
      <c r="F16" s="124" t="s">
        <v>213</v>
      </c>
      <c r="G16" s="151">
        <f>'Beta Calculation Data'!K27</f>
        <v>7.5871754093553331E-2</v>
      </c>
      <c r="H16" s="121"/>
      <c r="I16" s="121"/>
      <c r="J16" s="121"/>
      <c r="K16" s="121"/>
      <c r="O16" s="114"/>
      <c r="P16" s="114"/>
      <c r="Q16" s="114"/>
      <c r="R16" s="114"/>
      <c r="S16" s="114"/>
      <c r="T16" s="114"/>
      <c r="U16" s="114"/>
      <c r="V16" s="114"/>
      <c r="W16" s="114"/>
      <c r="X16" s="114"/>
      <c r="Y16" s="114"/>
      <c r="Z16" s="114"/>
      <c r="AA16" s="114"/>
      <c r="AB16" s="114"/>
      <c r="AC16" s="114"/>
      <c r="AD16" s="114"/>
      <c r="AE16" s="114"/>
      <c r="AF16" s="114"/>
    </row>
    <row r="17" spans="1:32">
      <c r="B17" s="22"/>
      <c r="C17" s="176"/>
      <c r="D17" s="6"/>
      <c r="E17" s="23"/>
      <c r="F17" s="121"/>
      <c r="G17" s="121"/>
      <c r="H17" s="121"/>
      <c r="I17" s="121"/>
      <c r="J17" s="121"/>
      <c r="K17" s="121"/>
      <c r="L17" s="114"/>
      <c r="O17" s="114"/>
      <c r="P17" s="114"/>
      <c r="Q17" s="114"/>
      <c r="R17" s="114"/>
      <c r="S17" s="114"/>
      <c r="T17" s="114"/>
      <c r="U17" s="114"/>
      <c r="V17" s="114"/>
      <c r="W17" s="114"/>
      <c r="X17" s="114"/>
      <c r="Y17" s="114"/>
      <c r="Z17" s="114"/>
      <c r="AA17" s="114"/>
      <c r="AB17" s="114"/>
      <c r="AC17" s="114"/>
      <c r="AD17" s="114"/>
      <c r="AE17" s="114"/>
      <c r="AF17" s="114"/>
    </row>
    <row r="18" spans="1:32">
      <c r="A18" s="116"/>
      <c r="B18" s="3"/>
      <c r="C18" s="3"/>
      <c r="D18" s="6"/>
      <c r="E18" s="6"/>
      <c r="F18" s="124" t="s">
        <v>91</v>
      </c>
      <c r="G18" s="19">
        <f>G16/(1+G16)</f>
        <v>7.0521187869159202E-2</v>
      </c>
      <c r="H18" s="178" t="s">
        <v>149</v>
      </c>
      <c r="I18" s="121"/>
      <c r="J18" s="135"/>
      <c r="K18" s="163"/>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2"/>
      <c r="C19" s="51"/>
      <c r="D19" s="6"/>
      <c r="E19" s="6"/>
      <c r="F19" s="124" t="s">
        <v>92</v>
      </c>
      <c r="G19" s="180">
        <f>1-G18</f>
        <v>0.92947881213084083</v>
      </c>
      <c r="H19" s="332"/>
      <c r="I19" s="121"/>
      <c r="J19" s="135"/>
      <c r="K19" s="163"/>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3"/>
      <c r="C20" s="3"/>
      <c r="D20" s="6"/>
      <c r="E20" s="6"/>
      <c r="F20" s="182" t="s">
        <v>93</v>
      </c>
      <c r="G20" s="181">
        <f>(G8*G19)+(G14*(1-C8)*G18)</f>
        <v>8.1306169552898488E-2</v>
      </c>
      <c r="J20" s="137"/>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47"/>
      <c r="C21" s="3"/>
      <c r="D21" s="6"/>
      <c r="E21" s="23"/>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2"/>
      <c r="C22" s="2"/>
      <c r="D22" s="2"/>
      <c r="E22" s="2"/>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
      <c r="C23" s="3"/>
      <c r="D23" s="6"/>
      <c r="E23" s="6"/>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3"/>
      <c r="C24" s="3"/>
      <c r="D24" s="6"/>
      <c r="E24" s="6"/>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D25" s="6"/>
      <c r="E25" s="6"/>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B31" s="22"/>
      <c r="C31" s="2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B32" s="47"/>
      <c r="C32" s="3"/>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7: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7:3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7:32">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7: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7: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7: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1">
    <mergeCell ref="F3:K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115</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36.85546875" style="109" customWidth="1"/>
    <col min="3" max="3" width="13" style="109" customWidth="1"/>
    <col min="4" max="4" width="4.28515625" style="109" customWidth="1"/>
    <col min="5" max="5" width="10.7109375" style="109" customWidth="1"/>
    <col min="6" max="6" width="16.8554687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94</v>
      </c>
      <c r="C1" s="107"/>
      <c r="D1" s="107"/>
      <c r="E1" s="107"/>
      <c r="F1" s="107"/>
      <c r="G1" s="107"/>
      <c r="H1" s="107"/>
      <c r="I1" s="107"/>
      <c r="J1" s="107"/>
      <c r="K1" s="107"/>
      <c r="L1" s="107"/>
    </row>
    <row r="2" spans="1:32" ht="12" customHeight="1">
      <c r="C2" s="129"/>
    </row>
    <row r="3" spans="1:32" ht="12" customHeight="1">
      <c r="A3" s="111"/>
      <c r="B3" s="121"/>
      <c r="C3" s="190" t="s">
        <v>144</v>
      </c>
      <c r="D3" s="184"/>
      <c r="E3" s="118"/>
      <c r="F3" s="110"/>
      <c r="G3" s="139"/>
      <c r="H3" s="139"/>
      <c r="I3" s="139"/>
      <c r="J3" s="139"/>
      <c r="K3" s="139"/>
      <c r="L3" s="139"/>
      <c r="M3" s="139"/>
      <c r="N3" s="139"/>
      <c r="O3" s="139"/>
      <c r="P3" s="139"/>
      <c r="Q3" s="139"/>
    </row>
    <row r="4" spans="1:32" ht="12" customHeight="1">
      <c r="A4" s="116"/>
      <c r="B4" s="124" t="s">
        <v>95</v>
      </c>
      <c r="C4" s="561">
        <v>2483</v>
      </c>
      <c r="D4" s="187"/>
      <c r="E4" s="189"/>
      <c r="F4" s="188"/>
      <c r="G4" s="185"/>
      <c r="H4" s="185"/>
      <c r="I4" s="185"/>
      <c r="J4" s="185"/>
      <c r="K4" s="185"/>
      <c r="L4" s="185"/>
      <c r="M4" s="185"/>
      <c r="N4" s="185"/>
      <c r="O4" s="185"/>
      <c r="P4" s="185"/>
      <c r="Q4" s="110"/>
      <c r="S4" s="113"/>
      <c r="T4" s="113"/>
      <c r="U4" s="113"/>
      <c r="V4" s="113"/>
      <c r="AA4" s="113"/>
    </row>
    <row r="5" spans="1:32" ht="12" customHeight="1">
      <c r="A5" s="116"/>
      <c r="B5" s="124" t="s">
        <v>546</v>
      </c>
      <c r="C5" s="561">
        <v>867</v>
      </c>
      <c r="D5" s="187"/>
      <c r="E5" s="187"/>
      <c r="F5" s="187"/>
      <c r="G5" s="43"/>
      <c r="H5" s="43"/>
      <c r="I5" s="43"/>
      <c r="J5" s="134"/>
      <c r="K5" s="43"/>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7" t="s">
        <v>123</v>
      </c>
      <c r="C6" s="500">
        <f>SUM(C4:C5)</f>
        <v>3350</v>
      </c>
      <c r="D6" s="187"/>
      <c r="E6" s="187"/>
      <c r="F6" s="187"/>
      <c r="G6" s="134"/>
      <c r="H6" s="134"/>
      <c r="I6" s="134"/>
      <c r="J6" s="134"/>
      <c r="K6" s="134"/>
      <c r="L6" s="134"/>
      <c r="M6" s="134"/>
      <c r="N6" s="134"/>
      <c r="O6" s="134"/>
      <c r="P6" s="134"/>
      <c r="Q6" s="134"/>
      <c r="S6" s="114"/>
      <c r="T6" s="114"/>
      <c r="U6" s="114"/>
      <c r="V6" s="114"/>
      <c r="W6" s="114"/>
      <c r="X6" s="114"/>
      <c r="Y6" s="114"/>
      <c r="Z6" s="114"/>
      <c r="AA6" s="114"/>
      <c r="AB6" s="114"/>
      <c r="AC6" s="114"/>
      <c r="AD6" s="114"/>
      <c r="AE6" s="114"/>
      <c r="AF6" s="114"/>
    </row>
    <row r="7" spans="1:32" ht="12" customHeight="1">
      <c r="D7" s="187"/>
      <c r="E7" s="187"/>
      <c r="F7" s="187"/>
      <c r="G7" s="134"/>
      <c r="I7" s="112"/>
      <c r="J7" s="130"/>
      <c r="N7" s="114"/>
      <c r="O7" s="114"/>
      <c r="P7" s="129"/>
      <c r="Q7" s="134"/>
      <c r="S7" s="114"/>
      <c r="T7" s="114"/>
      <c r="U7" s="114"/>
      <c r="V7" s="114"/>
      <c r="W7" s="114"/>
      <c r="X7" s="114"/>
      <c r="Y7" s="114"/>
      <c r="Z7" s="114"/>
      <c r="AA7" s="114"/>
      <c r="AB7" s="114"/>
      <c r="AC7" s="114"/>
      <c r="AD7" s="114"/>
      <c r="AE7" s="114"/>
      <c r="AF7" s="114"/>
    </row>
    <row r="8" spans="1:32" ht="12" customHeight="1">
      <c r="A8" s="116"/>
      <c r="B8" s="112"/>
      <c r="C8" s="187"/>
      <c r="D8" s="187"/>
      <c r="E8" s="187"/>
      <c r="F8" s="187"/>
      <c r="G8" s="173"/>
      <c r="H8" s="134"/>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D9" s="187"/>
      <c r="E9" s="187"/>
      <c r="F9" s="187"/>
      <c r="G9" s="173"/>
      <c r="H9" s="134"/>
      <c r="J9" s="112"/>
      <c r="K9" s="130"/>
      <c r="O9" s="114"/>
      <c r="P9" s="114"/>
      <c r="Q9" s="114"/>
      <c r="R9" s="114"/>
      <c r="S9" s="114"/>
      <c r="T9" s="114"/>
      <c r="U9" s="114"/>
      <c r="V9" s="114"/>
      <c r="W9" s="114"/>
      <c r="X9" s="114"/>
      <c r="Y9" s="114"/>
      <c r="Z9" s="114"/>
      <c r="AA9" s="114"/>
      <c r="AB9" s="114"/>
      <c r="AC9" s="114"/>
      <c r="AD9" s="114"/>
      <c r="AE9" s="114"/>
      <c r="AF9" s="114"/>
    </row>
    <row r="10" spans="1:32">
      <c r="A10" s="112"/>
      <c r="D10" s="187"/>
      <c r="E10" s="187"/>
      <c r="F10" s="187"/>
      <c r="G10" s="139"/>
      <c r="H10" s="139"/>
      <c r="I10" s="139"/>
      <c r="J10" s="139"/>
      <c r="K10" s="139"/>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D11" s="187"/>
      <c r="E11" s="187"/>
      <c r="F11" s="187"/>
      <c r="G11" s="65"/>
      <c r="K11" s="130"/>
      <c r="O11" s="114"/>
      <c r="P11" s="114"/>
      <c r="Q11" s="114"/>
      <c r="R11" s="114"/>
      <c r="S11" s="114"/>
      <c r="T11" s="114"/>
      <c r="U11" s="114"/>
      <c r="V11" s="114"/>
      <c r="W11" s="114"/>
      <c r="X11" s="114"/>
      <c r="Y11" s="114"/>
      <c r="Z11" s="114"/>
      <c r="AA11" s="114"/>
      <c r="AB11" s="114"/>
      <c r="AC11" s="114"/>
      <c r="AD11" s="114"/>
      <c r="AE11" s="114"/>
      <c r="AF11" s="114"/>
    </row>
    <row r="12" spans="1:32">
      <c r="B12" s="112"/>
      <c r="C12" s="187"/>
      <c r="D12" s="187"/>
      <c r="E12" s="187"/>
      <c r="F12" s="187"/>
      <c r="G12" s="65"/>
      <c r="K12" s="130"/>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C13" s="187"/>
      <c r="D13" s="187"/>
      <c r="E13" s="187"/>
      <c r="F13" s="187"/>
      <c r="G13" s="176"/>
      <c r="H13" s="117"/>
      <c r="K13" s="130"/>
      <c r="O13" s="114"/>
      <c r="P13" s="114"/>
      <c r="Q13" s="114"/>
      <c r="R13" s="114"/>
      <c r="S13" s="114"/>
      <c r="T13" s="114"/>
      <c r="U13" s="114"/>
      <c r="V13" s="114"/>
      <c r="W13" s="114"/>
      <c r="X13" s="114"/>
      <c r="Y13" s="114"/>
      <c r="Z13" s="114"/>
      <c r="AA13" s="114"/>
      <c r="AB13" s="114"/>
      <c r="AC13" s="114"/>
      <c r="AD13" s="114"/>
      <c r="AE13" s="114"/>
      <c r="AF13" s="114"/>
    </row>
    <row r="14" spans="1:32">
      <c r="C14" s="187"/>
      <c r="D14" s="187"/>
      <c r="E14" s="187"/>
      <c r="F14" s="187"/>
      <c r="G14" s="3"/>
      <c r="O14" s="114"/>
      <c r="P14" s="114"/>
      <c r="Q14" s="114"/>
      <c r="R14" s="114"/>
      <c r="S14" s="114"/>
      <c r="T14" s="114"/>
      <c r="U14" s="114"/>
      <c r="V14" s="114"/>
      <c r="W14" s="114"/>
      <c r="X14" s="114"/>
      <c r="Y14" s="114"/>
      <c r="Z14" s="114"/>
      <c r="AA14" s="114"/>
      <c r="AB14" s="114"/>
      <c r="AC14" s="114"/>
      <c r="AD14" s="114"/>
      <c r="AE14" s="114"/>
      <c r="AF14" s="114"/>
    </row>
    <row r="15" spans="1:32">
      <c r="C15" s="187"/>
      <c r="D15" s="187"/>
      <c r="E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E16" s="187"/>
      <c r="F16" s="187"/>
      <c r="K16" s="114"/>
      <c r="O16" s="114"/>
      <c r="P16" s="114"/>
      <c r="Q16" s="114"/>
      <c r="R16" s="114"/>
      <c r="S16" s="114"/>
      <c r="T16" s="114"/>
      <c r="U16" s="114"/>
      <c r="V16" s="114"/>
      <c r="W16" s="114"/>
      <c r="X16" s="114"/>
      <c r="Y16" s="114"/>
      <c r="Z16" s="114"/>
      <c r="AA16" s="114"/>
      <c r="AB16" s="114"/>
      <c r="AC16" s="114"/>
      <c r="AD16" s="114"/>
      <c r="AE16" s="114"/>
      <c r="AF16" s="114"/>
    </row>
    <row r="17" spans="1:32">
      <c r="D17" s="187"/>
      <c r="E17" s="187"/>
      <c r="F17" s="187"/>
      <c r="G17" s="69"/>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D18" s="187"/>
      <c r="E18" s="187"/>
      <c r="F18" s="187"/>
      <c r="G18" s="176"/>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D19" s="187"/>
      <c r="E19" s="187"/>
      <c r="F19" s="187"/>
      <c r="G19" s="65"/>
      <c r="H19" s="117"/>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D20" s="187"/>
      <c r="E20" s="187"/>
      <c r="F20" s="187"/>
      <c r="G20" s="65"/>
      <c r="H20" s="117"/>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D21" s="187"/>
      <c r="E21" s="187"/>
      <c r="F21" s="187"/>
      <c r="G21" s="3"/>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E22" s="3"/>
      <c r="F22" s="22"/>
      <c r="G22" s="51"/>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E23" s="6"/>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E24" s="6"/>
      <c r="F24" s="112"/>
      <c r="G24" s="18"/>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E25" s="6"/>
      <c r="F25" s="112"/>
      <c r="G25" s="186"/>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F26" s="112"/>
      <c r="G26" s="65"/>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2" style="109" customWidth="1"/>
    <col min="3" max="3" width="14.28515625" style="109" customWidth="1"/>
    <col min="4" max="4" width="15" style="109" customWidth="1"/>
    <col min="5" max="5" width="13.5703125" style="109" customWidth="1"/>
    <col min="6" max="6" width="15.42578125" style="109" customWidth="1"/>
    <col min="7" max="7" width="13.42578125" style="109" customWidth="1" collapsed="1"/>
    <col min="8" max="13" width="13.7109375" style="109" bestFit="1" customWidth="1"/>
    <col min="14"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139</v>
      </c>
      <c r="C1" s="107"/>
      <c r="D1" s="107"/>
      <c r="E1" s="107"/>
      <c r="F1" s="107"/>
      <c r="G1" s="107"/>
      <c r="H1" s="107"/>
      <c r="I1" s="107"/>
      <c r="J1" s="107"/>
      <c r="K1" s="107"/>
      <c r="L1" s="107"/>
    </row>
    <row r="2" spans="1:32" ht="12" customHeight="1">
      <c r="C2" s="129"/>
    </row>
    <row r="3" spans="1:32" ht="12" customHeight="1">
      <c r="A3" s="111"/>
      <c r="B3" s="575" t="s">
        <v>138</v>
      </c>
      <c r="C3" s="575"/>
      <c r="D3" s="575"/>
      <c r="E3" s="575"/>
      <c r="F3" s="575"/>
      <c r="G3" s="139"/>
      <c r="H3" s="139"/>
      <c r="I3" s="140"/>
      <c r="J3" s="139"/>
      <c r="K3" s="139"/>
      <c r="L3" s="139"/>
      <c r="M3" s="139"/>
      <c r="N3" s="139"/>
      <c r="O3" s="139"/>
      <c r="P3" s="139"/>
      <c r="Q3" s="139"/>
    </row>
    <row r="4" spans="1:32" ht="12" customHeight="1">
      <c r="A4" s="116"/>
      <c r="B4" s="203" t="s">
        <v>32</v>
      </c>
      <c r="C4" s="204" t="s">
        <v>116</v>
      </c>
      <c r="D4" s="203">
        <v>2022</v>
      </c>
      <c r="E4" s="204">
        <v>2021</v>
      </c>
      <c r="F4" s="204">
        <v>2020</v>
      </c>
      <c r="G4" s="118"/>
      <c r="H4" s="237"/>
      <c r="I4" s="185"/>
      <c r="J4" s="185"/>
      <c r="K4" s="185"/>
      <c r="L4" s="185"/>
      <c r="M4" s="185"/>
      <c r="N4" s="185"/>
      <c r="O4" s="185"/>
      <c r="P4" s="110"/>
      <c r="R4" s="113"/>
      <c r="S4" s="113"/>
      <c r="T4" s="113"/>
      <c r="U4" s="113"/>
      <c r="Z4" s="113"/>
    </row>
    <row r="5" spans="1:32" ht="12" customHeight="1">
      <c r="A5" s="116"/>
      <c r="B5" s="163" t="s">
        <v>135</v>
      </c>
      <c r="C5" s="499">
        <f>'Fair Value of Share'!C22</f>
        <v>510.87115929388</v>
      </c>
      <c r="D5" s="499">
        <f>85.189433*8.695348</f>
        <v>740.75176585768384</v>
      </c>
      <c r="E5" s="499">
        <f>185.364679*9.041288</f>
        <v>1675.9354478665518</v>
      </c>
      <c r="F5" s="499">
        <f>57.364257*12.153772</f>
        <v>697.19210052740402</v>
      </c>
      <c r="G5" s="142"/>
      <c r="H5" s="237"/>
      <c r="I5" s="134"/>
      <c r="J5" s="43"/>
      <c r="K5" s="43"/>
      <c r="L5" s="43"/>
      <c r="M5" s="43"/>
      <c r="N5" s="43"/>
      <c r="O5" s="43"/>
      <c r="P5" s="43"/>
      <c r="R5" s="114"/>
      <c r="S5" s="114"/>
      <c r="T5" s="114"/>
      <c r="U5" s="114"/>
      <c r="V5" s="114"/>
      <c r="W5" s="114"/>
      <c r="X5" s="114"/>
      <c r="Y5" s="114"/>
      <c r="Z5" s="114"/>
      <c r="AA5" s="114"/>
      <c r="AB5" s="114"/>
      <c r="AC5" s="114"/>
      <c r="AD5" s="114"/>
      <c r="AE5" s="114"/>
    </row>
    <row r="6" spans="1:32" ht="12" customHeight="1">
      <c r="A6" s="116"/>
      <c r="B6" s="163" t="s">
        <v>4</v>
      </c>
      <c r="C6" s="499">
        <f>'Future Cashflows (10 Yrs)'!D4</f>
        <v>11727</v>
      </c>
      <c r="D6" s="499">
        <f>Reinvestment!I23</f>
        <v>9668</v>
      </c>
      <c r="E6" s="499">
        <f>Reinvestment!H23</f>
        <v>7880</v>
      </c>
      <c r="F6" s="499">
        <f>Reinvestment!G23</f>
        <v>6764</v>
      </c>
      <c r="G6" s="142"/>
      <c r="I6" s="134"/>
      <c r="J6" s="134"/>
      <c r="K6" s="134"/>
      <c r="L6" s="134"/>
      <c r="M6" s="134"/>
      <c r="N6" s="134"/>
      <c r="O6" s="134"/>
      <c r="P6" s="134"/>
      <c r="R6" s="114"/>
      <c r="S6" s="114"/>
      <c r="T6" s="114"/>
      <c r="U6" s="114"/>
      <c r="V6" s="114"/>
      <c r="W6" s="114"/>
      <c r="X6" s="114"/>
      <c r="Y6" s="114"/>
      <c r="Z6" s="114"/>
      <c r="AA6" s="114"/>
      <c r="AB6" s="114"/>
      <c r="AC6" s="114"/>
      <c r="AD6" s="114"/>
      <c r="AE6" s="114"/>
    </row>
    <row r="7" spans="1:32" ht="12" customHeight="1">
      <c r="B7" s="163" t="s">
        <v>136</v>
      </c>
      <c r="C7" s="135">
        <f>C5/C6</f>
        <v>4.3563670102658825E-2</v>
      </c>
      <c r="D7" s="135">
        <f>D5/D6</f>
        <v>7.6618924892189064E-2</v>
      </c>
      <c r="E7" s="135">
        <f>E5/E6</f>
        <v>0.21268216343484161</v>
      </c>
      <c r="F7" s="135">
        <f>F5/F6</f>
        <v>0.10307393561907215</v>
      </c>
      <c r="G7" s="134"/>
      <c r="H7" s="130"/>
      <c r="I7" s="130"/>
      <c r="M7" s="114"/>
      <c r="N7" s="114"/>
      <c r="O7" s="129"/>
      <c r="P7" s="134"/>
      <c r="R7" s="114"/>
      <c r="S7" s="114"/>
      <c r="T7" s="114"/>
      <c r="U7" s="114"/>
      <c r="V7" s="114"/>
      <c r="W7" s="114"/>
      <c r="X7" s="114"/>
      <c r="Y7" s="114"/>
      <c r="Z7" s="114"/>
      <c r="AA7" s="114"/>
      <c r="AB7" s="114"/>
      <c r="AC7" s="114"/>
      <c r="AD7" s="114"/>
      <c r="AE7" s="114"/>
    </row>
    <row r="8" spans="1:32" ht="12" customHeight="1">
      <c r="A8" s="116"/>
      <c r="B8" s="114"/>
      <c r="C8" s="142"/>
      <c r="D8" s="132"/>
      <c r="E8" s="251" t="s">
        <v>150</v>
      </c>
      <c r="F8" s="231">
        <f>MEDIAN(C7:F7)</f>
        <v>8.9846430255630605E-2</v>
      </c>
      <c r="H8" s="65"/>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J9" s="112"/>
      <c r="K9" s="130"/>
      <c r="O9" s="114"/>
      <c r="P9" s="114"/>
      <c r="Q9" s="114"/>
      <c r="R9" s="114"/>
      <c r="S9" s="114"/>
      <c r="T9" s="114"/>
      <c r="U9" s="114"/>
      <c r="V9" s="114"/>
      <c r="W9" s="114"/>
      <c r="X9" s="114"/>
      <c r="Y9" s="114"/>
      <c r="Z9" s="114"/>
      <c r="AA9" s="114"/>
      <c r="AB9" s="114"/>
      <c r="AC9" s="114"/>
      <c r="AD9" s="114"/>
      <c r="AE9" s="114"/>
      <c r="AF9" s="114"/>
    </row>
    <row r="10" spans="1:32">
      <c r="A10" s="112"/>
      <c r="B10" s="575" t="s">
        <v>137</v>
      </c>
      <c r="C10" s="575"/>
      <c r="D10" s="575"/>
      <c r="E10" s="575"/>
      <c r="F10" s="575"/>
      <c r="G10" s="575"/>
      <c r="H10" s="575"/>
      <c r="I10" s="575"/>
      <c r="J10" s="575"/>
      <c r="K10" s="575"/>
      <c r="L10" s="575"/>
      <c r="M10" s="575"/>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203" t="s">
        <v>32</v>
      </c>
      <c r="C11" s="204" t="s">
        <v>116</v>
      </c>
      <c r="D11" s="203">
        <v>1</v>
      </c>
      <c r="E11" s="204">
        <v>2</v>
      </c>
      <c r="F11" s="204">
        <v>3</v>
      </c>
      <c r="G11" s="204">
        <v>4</v>
      </c>
      <c r="H11" s="204">
        <v>5</v>
      </c>
      <c r="I11" s="250">
        <v>6</v>
      </c>
      <c r="J11" s="250">
        <v>7</v>
      </c>
      <c r="K11" s="249">
        <v>8</v>
      </c>
      <c r="L11" s="249">
        <v>9</v>
      </c>
      <c r="M11" s="249">
        <v>10</v>
      </c>
      <c r="N11" s="142"/>
      <c r="O11" s="114"/>
      <c r="P11" s="114"/>
      <c r="Q11" s="114"/>
      <c r="R11" s="114"/>
      <c r="S11" s="114"/>
      <c r="T11" s="114"/>
      <c r="U11" s="114"/>
      <c r="V11" s="114"/>
      <c r="W11" s="114"/>
      <c r="X11" s="114"/>
      <c r="Y11" s="114"/>
      <c r="Z11" s="114"/>
      <c r="AA11" s="114"/>
      <c r="AB11" s="114"/>
      <c r="AC11" s="114"/>
      <c r="AD11" s="114"/>
      <c r="AE11" s="114"/>
      <c r="AF11" s="114"/>
    </row>
    <row r="12" spans="1:32">
      <c r="B12" s="163" t="s">
        <v>136</v>
      </c>
      <c r="C12" s="135">
        <f>F8</f>
        <v>8.9846430255630605E-2</v>
      </c>
      <c r="D12" s="135">
        <v>0.04</v>
      </c>
      <c r="E12" s="135">
        <v>0.04</v>
      </c>
      <c r="F12" s="135">
        <v>0.03</v>
      </c>
      <c r="G12" s="135">
        <v>0.03</v>
      </c>
      <c r="H12" s="135">
        <v>0.02</v>
      </c>
      <c r="I12" s="135">
        <v>0.02</v>
      </c>
      <c r="J12" s="135">
        <v>0.01</v>
      </c>
      <c r="K12" s="135">
        <v>0.01</v>
      </c>
      <c r="L12" s="135">
        <v>0.01</v>
      </c>
      <c r="M12" s="135">
        <v>0.01</v>
      </c>
      <c r="N12" s="142"/>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163" t="s">
        <v>4</v>
      </c>
      <c r="C13" s="499">
        <f>C6</f>
        <v>11727</v>
      </c>
      <c r="D13" s="499">
        <f ca="1">'Future Cashflows (10 Yrs)'!D5</f>
        <v>13570.857502307359</v>
      </c>
      <c r="E13" s="499">
        <f ca="1">'Future Cashflows (10 Yrs)'!D6</f>
        <v>15694.239256748064</v>
      </c>
      <c r="F13" s="499">
        <f ca="1">'Future Cashflows (10 Yrs)'!D7</f>
        <v>17806.763967614701</v>
      </c>
      <c r="G13" s="499">
        <f ca="1">'Future Cashflows (10 Yrs)'!D8</f>
        <v>20201.612423713988</v>
      </c>
      <c r="H13" s="499">
        <f ca="1">'Future Cashflows (10 Yrs)'!D9</f>
        <v>23216.431337557249</v>
      </c>
      <c r="I13" s="499">
        <f ca="1">'Future Cashflows (10 Yrs)'!D10</f>
        <v>25901.739022767888</v>
      </c>
      <c r="J13" s="499">
        <f ca="1">'Future Cashflows (10 Yrs)'!D11</f>
        <v>28881.342647718622</v>
      </c>
      <c r="K13" s="499">
        <f ca="1">'Future Cashflows (10 Yrs)'!D12</f>
        <v>31789.549843157685</v>
      </c>
      <c r="L13" s="499">
        <f ca="1">'Future Cashflows (10 Yrs)'!D13</f>
        <v>35186.196290841399</v>
      </c>
      <c r="M13" s="499">
        <f ca="1">'Future Cashflows (10 Yrs)'!D14</f>
        <v>39426.854125147765</v>
      </c>
      <c r="O13" s="114"/>
      <c r="P13" s="114"/>
      <c r="Q13" s="114"/>
      <c r="R13" s="114"/>
      <c r="S13" s="114"/>
      <c r="T13" s="114"/>
      <c r="U13" s="114"/>
      <c r="V13" s="114"/>
      <c r="W13" s="114"/>
      <c r="X13" s="114"/>
      <c r="Y13" s="114"/>
      <c r="Z13" s="114"/>
      <c r="AA13" s="114"/>
      <c r="AB13" s="114"/>
      <c r="AC13" s="114"/>
      <c r="AD13" s="114"/>
      <c r="AE13" s="114"/>
      <c r="AF13" s="114"/>
    </row>
    <row r="14" spans="1:32">
      <c r="B14" s="163" t="s">
        <v>135</v>
      </c>
      <c r="C14" s="499">
        <f>C13*C12</f>
        <v>1053.6290876077801</v>
      </c>
      <c r="D14" s="499">
        <f t="shared" ref="D14:M14" ca="1" si="0">D13*D12</f>
        <v>542.83430009229437</v>
      </c>
      <c r="E14" s="499">
        <f t="shared" ca="1" si="0"/>
        <v>627.76957026992261</v>
      </c>
      <c r="F14" s="499">
        <f t="shared" ca="1" si="0"/>
        <v>534.20291902844099</v>
      </c>
      <c r="G14" s="499">
        <f t="shared" ca="1" si="0"/>
        <v>606.04837271141957</v>
      </c>
      <c r="H14" s="499">
        <f t="shared" ca="1" si="0"/>
        <v>464.32862675114501</v>
      </c>
      <c r="I14" s="499">
        <f t="shared" ca="1" si="0"/>
        <v>518.0347804553578</v>
      </c>
      <c r="J14" s="499">
        <f t="shared" ca="1" si="0"/>
        <v>288.81342647718623</v>
      </c>
      <c r="K14" s="499">
        <f ca="1">K13*K12</f>
        <v>317.89549843157687</v>
      </c>
      <c r="L14" s="499">
        <f t="shared" ca="1" si="0"/>
        <v>351.861962908414</v>
      </c>
      <c r="M14" s="499">
        <f t="shared" ca="1" si="0"/>
        <v>394.26854125147764</v>
      </c>
      <c r="O14" s="114"/>
      <c r="P14" s="114"/>
      <c r="Q14" s="114"/>
      <c r="R14" s="114"/>
      <c r="S14" s="114"/>
      <c r="T14" s="114"/>
      <c r="U14" s="114"/>
      <c r="V14" s="114"/>
      <c r="W14" s="114"/>
      <c r="X14" s="114"/>
      <c r="Y14" s="114"/>
      <c r="Z14" s="114"/>
      <c r="AA14" s="114"/>
      <c r="AB14" s="114"/>
      <c r="AC14" s="114"/>
      <c r="AD14" s="114"/>
      <c r="AE14" s="114"/>
      <c r="AF14" s="114"/>
    </row>
    <row r="15" spans="1:32">
      <c r="D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F16" s="187"/>
      <c r="K16" s="114"/>
      <c r="O16" s="114"/>
      <c r="P16" s="114"/>
      <c r="Q16" s="114"/>
      <c r="R16" s="114"/>
      <c r="S16" s="114"/>
      <c r="T16" s="114"/>
      <c r="U16" s="114"/>
      <c r="V16" s="114"/>
      <c r="W16" s="114"/>
      <c r="X16" s="114"/>
      <c r="Y16" s="114"/>
      <c r="Z16" s="114"/>
      <c r="AA16" s="114"/>
      <c r="AB16" s="114"/>
      <c r="AC16" s="114"/>
      <c r="AD16" s="114"/>
      <c r="AE16" s="114"/>
      <c r="AF16" s="114"/>
    </row>
    <row r="17" spans="1:32">
      <c r="B17" s="575" t="s">
        <v>134</v>
      </c>
      <c r="C17" s="575"/>
      <c r="D17" s="575"/>
      <c r="E17" s="575"/>
      <c r="F17" s="575"/>
      <c r="G17" s="575"/>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B18" s="248"/>
      <c r="C18" s="247" t="s">
        <v>133</v>
      </c>
      <c r="D18" s="197" t="s">
        <v>132</v>
      </c>
      <c r="E18" s="247" t="s">
        <v>131</v>
      </c>
      <c r="F18" s="197" t="s">
        <v>130</v>
      </c>
      <c r="G18" s="246" t="s">
        <v>129</v>
      </c>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45" t="s">
        <v>77</v>
      </c>
      <c r="C19" s="244">
        <f>'Future Cashflows (10 Yrs)'!G4/'Future Cashflows (10 Yrs)'!D4</f>
        <v>4.798128445191379E-2</v>
      </c>
      <c r="D19" s="566">
        <f>'Future Cashflows (10 Yrs)'!D4*(1-'Future Cashflows (10 Yrs)'!F4)</f>
        <v>11164.323477232407</v>
      </c>
      <c r="E19" s="499"/>
      <c r="F19" s="566"/>
      <c r="G19" s="135">
        <f>C19</f>
        <v>4.798128445191379E-2</v>
      </c>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162">
        <v>1</v>
      </c>
      <c r="C20" s="244">
        <f>AVERAGE(C19,C22)</f>
        <v>5.6564873895424569E-2</v>
      </c>
      <c r="D20" s="566">
        <f ca="1">'Future Cashflows (10 Yrs)'!D5*(1-C20)</f>
        <v>12803.223659036568</v>
      </c>
      <c r="E20" s="499">
        <f ca="1">D14</f>
        <v>542.83430009229437</v>
      </c>
      <c r="F20" s="566">
        <f ca="1">D20+E20</f>
        <v>13346.057959128862</v>
      </c>
      <c r="G20" s="135">
        <f ca="1">1-(F20/'Future Cashflows (10 Yrs)'!D5)</f>
        <v>1.6564873895424492E-2</v>
      </c>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162">
        <f t="shared" ref="B21:B29" si="1">B20+1</f>
        <v>2</v>
      </c>
      <c r="C21" s="244">
        <f>AVERAGE(C20,C22)</f>
        <v>6.0856668617179956E-2</v>
      </c>
      <c r="D21" s="566">
        <f ca="1">'Future Cashflows (10 Yrs)'!D6*(1-C21)</f>
        <v>14739.14013910141</v>
      </c>
      <c r="E21" s="499">
        <f ca="1">E14</f>
        <v>627.76957026992261</v>
      </c>
      <c r="F21" s="566">
        <f t="shared" ref="F21:F29" ca="1" si="2">D21+E21</f>
        <v>15366.909709371332</v>
      </c>
      <c r="G21" s="135">
        <f ca="1">1-(F21/'Future Cashflows (10 Yrs)'!D6)</f>
        <v>2.0856668617180052E-2</v>
      </c>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162">
        <f t="shared" si="1"/>
        <v>3</v>
      </c>
      <c r="C22" s="244">
        <f>AVERAGE(C19,C24)</f>
        <v>6.5148463338935342E-2</v>
      </c>
      <c r="D22" s="566">
        <f ca="1">'Future Cashflows (10 Yrs)'!D7*(1-C22)</f>
        <v>16646.680658085479</v>
      </c>
      <c r="E22" s="499">
        <f ca="1">F14</f>
        <v>534.20291902844099</v>
      </c>
      <c r="F22" s="566">
        <f t="shared" ca="1" si="2"/>
        <v>17180.88357711392</v>
      </c>
      <c r="G22" s="135">
        <f ca="1">1-(F22/'Future Cashflows (10 Yrs)'!D7)</f>
        <v>3.5148463338935398E-2</v>
      </c>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2">
        <f t="shared" si="1"/>
        <v>4</v>
      </c>
      <c r="C23" s="244">
        <f>AVERAGE(C22,C24)</f>
        <v>7.3732052782446128E-2</v>
      </c>
      <c r="D23" s="566">
        <f ca="1">'Future Cashflows (10 Yrs)'!D8*(1-C23)</f>
        <v>18712.106070198191</v>
      </c>
      <c r="E23" s="499">
        <f ca="1">G14</f>
        <v>606.04837271141957</v>
      </c>
      <c r="F23" s="566">
        <f t="shared" ca="1" si="2"/>
        <v>19318.15444290961</v>
      </c>
      <c r="G23" s="135">
        <f ca="1">1-(F23/'Future Cashflows (10 Yrs)'!D8)</f>
        <v>4.3732052782446074E-2</v>
      </c>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162">
        <f t="shared" si="1"/>
        <v>5</v>
      </c>
      <c r="C24" s="244">
        <f>AVERAGE(C19,C29)</f>
        <v>8.23156422259569E-2</v>
      </c>
      <c r="D24" s="566">
        <f ca="1">'Future Cashflows (10 Yrs)'!D9*(1-C24)</f>
        <v>21305.355881811392</v>
      </c>
      <c r="E24" s="499">
        <f ca="1">H14</f>
        <v>464.32862675114501</v>
      </c>
      <c r="F24" s="566">
        <f t="shared" ca="1" si="2"/>
        <v>21769.684508562539</v>
      </c>
      <c r="G24" s="135">
        <f ca="1">1-(F24/'Future Cashflows (10 Yrs)'!D9)</f>
        <v>6.2315642225956869E-2</v>
      </c>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B25" s="162">
        <f t="shared" si="1"/>
        <v>6</v>
      </c>
      <c r="C25" s="244">
        <f>AVERAGE(C24,C27)</f>
        <v>9.0899231669467673E-2</v>
      </c>
      <c r="D25" s="566">
        <f ca="1">'Future Cashflows (10 Yrs)'!D10*(1-C25)</f>
        <v>23547.290846695218</v>
      </c>
      <c r="E25" s="499">
        <f ca="1">I14</f>
        <v>518.0347804553578</v>
      </c>
      <c r="F25" s="566">
        <f t="shared" ca="1" si="2"/>
        <v>24065.325627150574</v>
      </c>
      <c r="G25" s="135">
        <f ca="1">1-(F25/'Future Cashflows (10 Yrs)'!D10)</f>
        <v>7.0899231669467766E-2</v>
      </c>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B26" s="162">
        <f t="shared" si="1"/>
        <v>7</v>
      </c>
      <c r="C26" s="244">
        <f>AVERAGE(C25,C27)</f>
        <v>9.5191026391223066E-2</v>
      </c>
      <c r="D26" s="566">
        <f ca="1">'Future Cashflows (10 Yrs)'!D11*(1-C26)</f>
        <v>26132.097997525685</v>
      </c>
      <c r="E26" s="499">
        <f ca="1">J14</f>
        <v>288.81342647718623</v>
      </c>
      <c r="F26" s="566">
        <f t="shared" ca="1" si="2"/>
        <v>26420.911424002872</v>
      </c>
      <c r="G26" s="135">
        <f ca="1">1-(F26/'Future Cashflows (10 Yrs)'!D11)</f>
        <v>8.5191026391223001E-2</v>
      </c>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B27" s="162">
        <f t="shared" si="1"/>
        <v>8</v>
      </c>
      <c r="C27" s="244">
        <f>AVERAGE(C24,C29)</f>
        <v>9.9482821112978459E-2</v>
      </c>
      <c r="D27" s="566">
        <f ca="1">'Future Cashflows (10 Yrs)'!D12*(1-C27)</f>
        <v>28627.035742848715</v>
      </c>
      <c r="E27" s="499">
        <f ca="1">K14</f>
        <v>317.89549843157687</v>
      </c>
      <c r="F27" s="566">
        <f t="shared" ca="1" si="2"/>
        <v>28944.93124128029</v>
      </c>
      <c r="G27" s="135">
        <f ca="1">1-(F27/'Future Cashflows (10 Yrs)'!D12)</f>
        <v>8.9482821112978561E-2</v>
      </c>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B28" s="162">
        <f t="shared" si="1"/>
        <v>9</v>
      </c>
      <c r="C28" s="244">
        <f>AVERAGE(C27,C29)</f>
        <v>0.10806641055648923</v>
      </c>
      <c r="D28" s="566">
        <f ca="1">'Future Cashflows (10 Yrs)'!D13*(1-C28)</f>
        <v>31383.750356554112</v>
      </c>
      <c r="E28" s="499">
        <f ca="1">L14</f>
        <v>351.861962908414</v>
      </c>
      <c r="F28" s="566">
        <f t="shared" ca="1" si="2"/>
        <v>31735.612319462525</v>
      </c>
      <c r="G28" s="135">
        <f ca="1">1-(F28/'Future Cashflows (10 Yrs)'!D13)</f>
        <v>9.8066410556489347E-2</v>
      </c>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B29" s="162">
        <f t="shared" si="1"/>
        <v>10</v>
      </c>
      <c r="C29" s="244">
        <f>'Expected Growth Rate'!C22</f>
        <v>0.11665</v>
      </c>
      <c r="D29" s="566">
        <f ca="1">'Future Cashflows (10 Yrs)'!D14*(1-C29)</f>
        <v>34827.711591449275</v>
      </c>
      <c r="E29" s="499">
        <f ca="1">M14</f>
        <v>394.26854125147764</v>
      </c>
      <c r="F29" s="566">
        <f t="shared" ca="1" si="2"/>
        <v>35221.980132700752</v>
      </c>
      <c r="G29" s="135">
        <f ca="1">1-(F29/'Future Cashflows (10 Yrs)'!D14)</f>
        <v>0.10665000000000013</v>
      </c>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486"/>
      <c r="E30" s="486"/>
      <c r="F30" s="48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3">
    <mergeCell ref="B10:M10"/>
    <mergeCell ref="B17:G17"/>
    <mergeCell ref="B3:F3"/>
  </mergeCells>
  <pageMargins left="0.7" right="0.7" top="0.75" bottom="0.75" header="0.3" footer="0.3"/>
  <pageSetup paperSize="8"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5703125" style="2" customWidth="1"/>
    <col min="5" max="5" width="10.5703125" style="2" bestFit="1" customWidth="1"/>
    <col min="6" max="6" width="11.42578125" style="2" customWidth="1"/>
    <col min="7" max="7" width="11.140625" style="2" bestFit="1"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6" t="s">
        <v>105</v>
      </c>
    </row>
    <row r="3" spans="1:20" ht="12" customHeight="1">
      <c r="E3" s="40"/>
      <c r="F3" s="30"/>
      <c r="G3" s="195"/>
      <c r="H3" s="29"/>
      <c r="I3" s="3"/>
      <c r="J3" s="3"/>
      <c r="K3" s="3"/>
      <c r="L3" s="3"/>
      <c r="M3" s="3"/>
      <c r="N3" s="3"/>
      <c r="O3" s="3"/>
      <c r="P3" s="3"/>
      <c r="Q3" s="3"/>
      <c r="R3" s="3"/>
      <c r="S3" s="3"/>
      <c r="T3" s="3"/>
    </row>
    <row r="4" spans="1:20" ht="12" customHeight="1">
      <c r="B4" s="579" t="s">
        <v>109</v>
      </c>
      <c r="C4" s="579"/>
      <c r="D4" s="579"/>
      <c r="E4" s="579"/>
      <c r="F4" s="579"/>
      <c r="G4" s="579"/>
      <c r="H4" s="579"/>
      <c r="I4" s="579"/>
      <c r="J4" s="579"/>
      <c r="K4" s="579"/>
      <c r="L4" s="579"/>
      <c r="M4" s="3"/>
      <c r="N4" s="3"/>
      <c r="O4" s="3"/>
      <c r="P4" s="3"/>
      <c r="Q4" s="3"/>
      <c r="R4" s="3"/>
      <c r="S4" s="3"/>
      <c r="T4" s="3"/>
    </row>
    <row r="5" spans="1:20" ht="12" customHeight="1">
      <c r="B5" s="194"/>
      <c r="C5" s="196">
        <v>1</v>
      </c>
      <c r="D5" s="196">
        <v>2</v>
      </c>
      <c r="E5" s="197">
        <v>3</v>
      </c>
      <c r="F5" s="198">
        <v>4</v>
      </c>
      <c r="G5" s="199">
        <v>5</v>
      </c>
      <c r="H5" s="200">
        <v>6</v>
      </c>
      <c r="I5" s="196">
        <v>7</v>
      </c>
      <c r="J5" s="196">
        <v>8</v>
      </c>
      <c r="K5" s="196">
        <v>9</v>
      </c>
      <c r="L5" s="196">
        <v>10</v>
      </c>
      <c r="M5" s="3"/>
      <c r="N5" s="3"/>
      <c r="O5" s="3"/>
      <c r="P5" s="3"/>
      <c r="Q5" s="3"/>
      <c r="R5" s="3"/>
      <c r="S5" s="3"/>
      <c r="T5" s="3"/>
    </row>
    <row r="6" spans="1:20" ht="12" customHeight="1">
      <c r="B6" s="46" t="s">
        <v>107</v>
      </c>
      <c r="C6" s="562">
        <f ca="1">'Future Cashflows (10 Yrs)'!F19</f>
        <v>-977.99356067545284</v>
      </c>
      <c r="D6" s="562">
        <f ca="1">'Future Cashflows (10 Yrs)'!F20</f>
        <v>-1075.0077479556223</v>
      </c>
      <c r="E6" s="559">
        <f ca="1">'Future Cashflows (10 Yrs)'!F21</f>
        <v>-844.74181257696398</v>
      </c>
      <c r="F6" s="559">
        <f ca="1">'Future Cashflows (10 Yrs)'!F22</f>
        <v>-827.41679609529047</v>
      </c>
      <c r="G6" s="559">
        <f ca="1">'Future Cashflows (10 Yrs)'!F23</f>
        <v>-791.12382650189011</v>
      </c>
      <c r="H6" s="559">
        <f ca="1">'Future Cashflows (10 Yrs)'!F24</f>
        <v>-294.54039738492679</v>
      </c>
      <c r="I6" s="562">
        <f ca="1">'Future Cashflows (10 Yrs)'!F25</f>
        <v>-10.315181753926026</v>
      </c>
      <c r="J6" s="562">
        <f ca="1">'Future Cashflows (10 Yrs)'!F26</f>
        <v>321.70061915563338</v>
      </c>
      <c r="K6" s="562">
        <f ca="1">'Future Cashflows (10 Yrs)'!F27</f>
        <v>471.71493650013554</v>
      </c>
      <c r="L6" s="562">
        <f ca="1">'Future Cashflows (10 Yrs)'!F28</f>
        <v>511.72252479557847</v>
      </c>
      <c r="M6" s="3"/>
      <c r="N6" s="3"/>
      <c r="O6" s="3"/>
      <c r="P6" s="3"/>
      <c r="Q6" s="3"/>
      <c r="R6" s="3"/>
      <c r="S6" s="3"/>
      <c r="T6" s="3"/>
    </row>
    <row r="7" spans="1:20" ht="12" customHeight="1">
      <c r="B7" s="46" t="s">
        <v>108</v>
      </c>
      <c r="C7" s="98">
        <f>'Cost of Equity, Debt &amp; WACC'!C29</f>
        <v>0.10800890001835822</v>
      </c>
      <c r="D7" s="98">
        <f>C7</f>
        <v>0.10800890001835822</v>
      </c>
      <c r="E7" s="98">
        <f>AVERAGE(F7,C7)</f>
        <v>0.10467105871017576</v>
      </c>
      <c r="F7" s="72">
        <f>AVERAGE(C7,H7)</f>
        <v>0.10133321740199329</v>
      </c>
      <c r="G7" s="72">
        <f>AVERAGE(F7,H7)</f>
        <v>9.7995376093810815E-2</v>
      </c>
      <c r="H7" s="72">
        <f>AVERAGE(C7,L7)</f>
        <v>9.4657534785628356E-2</v>
      </c>
      <c r="I7" s="98">
        <f>AVERAGE(H7,J7)</f>
        <v>9.1319693477445896E-2</v>
      </c>
      <c r="J7" s="98">
        <f>AVERAGE(H7,L7)</f>
        <v>8.7981852169263422E-2</v>
      </c>
      <c r="K7" s="98">
        <f>AVERAGE(J7,L7)</f>
        <v>8.4644010861080948E-2</v>
      </c>
      <c r="L7" s="98">
        <f>'Terminal Value'!$G$20</f>
        <v>8.1306169552898488E-2</v>
      </c>
      <c r="M7" s="20"/>
      <c r="N7" s="3"/>
      <c r="O7" s="3"/>
      <c r="P7" s="3"/>
      <c r="Q7" s="3"/>
      <c r="R7" s="3"/>
      <c r="S7" s="3"/>
      <c r="T7" s="3"/>
    </row>
    <row r="8" spans="1:20" ht="12" customHeight="1">
      <c r="B8" s="83" t="s">
        <v>106</v>
      </c>
      <c r="C8" s="500">
        <f ca="1">C6/(1+C7)^C5</f>
        <v>-882.65857851796034</v>
      </c>
      <c r="D8" s="500">
        <f t="shared" ref="D8:K8" ca="1" si="0">D6/(1+D7)^D5</f>
        <v>-875.63900069401154</v>
      </c>
      <c r="E8" s="500">
        <f ca="1">E6/(1+E7)^E5</f>
        <v>-626.65002737281145</v>
      </c>
      <c r="F8" s="500">
        <f t="shared" ca="1" si="0"/>
        <v>-562.4052676147835</v>
      </c>
      <c r="G8" s="500">
        <f t="shared" ca="1" si="0"/>
        <v>-495.72624076550761</v>
      </c>
      <c r="H8" s="500">
        <f t="shared" ca="1" si="0"/>
        <v>-171.18875909941409</v>
      </c>
      <c r="I8" s="500">
        <f t="shared" ca="1" si="0"/>
        <v>-5.5951655133009517</v>
      </c>
      <c r="J8" s="500">
        <f t="shared" ca="1" si="0"/>
        <v>163.86216423472627</v>
      </c>
      <c r="K8" s="500">
        <f t="shared" ca="1" si="0"/>
        <v>227.03594703836572</v>
      </c>
      <c r="L8" s="500">
        <f ca="1">L6/(1+L7)^L5</f>
        <v>234.17888006366945</v>
      </c>
      <c r="M8" s="3"/>
      <c r="N8" s="3"/>
      <c r="O8" s="3"/>
      <c r="P8" s="3"/>
      <c r="Q8" s="3"/>
      <c r="R8" s="3"/>
      <c r="S8" s="3"/>
      <c r="T8" s="3"/>
    </row>
    <row r="9" spans="1:20" ht="12" customHeight="1">
      <c r="M9" s="3"/>
      <c r="N9" s="3"/>
      <c r="O9" s="3"/>
      <c r="P9" s="3"/>
      <c r="Q9" s="3"/>
      <c r="R9" s="3"/>
      <c r="S9" s="3"/>
      <c r="T9" s="3"/>
    </row>
    <row r="10" spans="1:20" ht="12" customHeight="1">
      <c r="A10" s="3"/>
      <c r="E10" s="29"/>
      <c r="F10" s="29"/>
      <c r="G10" s="29"/>
      <c r="H10" s="29"/>
      <c r="M10" s="3"/>
      <c r="N10" s="3"/>
      <c r="O10" s="3"/>
      <c r="P10" s="3"/>
      <c r="Q10" s="3"/>
      <c r="R10" s="3"/>
      <c r="S10" s="3"/>
      <c r="T10" s="3"/>
    </row>
    <row r="11" spans="1:20" ht="12" customHeight="1">
      <c r="A11" s="3"/>
      <c r="C11" s="261" t="s">
        <v>144</v>
      </c>
      <c r="E11" s="32"/>
      <c r="F11" s="32"/>
      <c r="G11" s="32"/>
      <c r="H11" s="32"/>
      <c r="L11" s="216"/>
      <c r="N11" s="3"/>
      <c r="O11" s="3"/>
      <c r="P11" s="3"/>
      <c r="Q11" s="3"/>
      <c r="R11" s="3"/>
      <c r="S11" s="3"/>
      <c r="T11" s="3"/>
    </row>
    <row r="12" spans="1:20" ht="12" customHeight="1">
      <c r="A12" s="3"/>
      <c r="B12" s="207" t="s">
        <v>104</v>
      </c>
      <c r="C12" s="559">
        <f ca="1">SUM(C8:L8)</f>
        <v>-2994.7860482410283</v>
      </c>
      <c r="E12" s="80"/>
      <c r="F12" s="80"/>
      <c r="G12" s="80"/>
      <c r="H12" s="80"/>
      <c r="I12" s="29"/>
      <c r="J12" s="29"/>
      <c r="K12" s="29"/>
      <c r="L12" s="3"/>
      <c r="M12" s="3"/>
      <c r="N12" s="3"/>
      <c r="O12" s="3"/>
      <c r="P12" s="3"/>
      <c r="Q12" s="3"/>
      <c r="R12" s="3"/>
      <c r="S12" s="3"/>
      <c r="T12" s="3"/>
    </row>
    <row r="13" spans="1:20" ht="12" customHeight="1">
      <c r="A13" s="3"/>
      <c r="B13" s="207" t="s">
        <v>73</v>
      </c>
      <c r="C13" s="559">
        <f ca="1">'Terminal Value'!$C$13</f>
        <v>50031.964219081521</v>
      </c>
      <c r="D13" s="29"/>
      <c r="E13" s="23"/>
      <c r="F13" s="292"/>
      <c r="G13" s="164"/>
      <c r="H13" s="294"/>
      <c r="I13" s="29"/>
      <c r="J13" s="29"/>
      <c r="K13" s="29"/>
      <c r="L13" s="3"/>
      <c r="M13" s="3"/>
      <c r="N13" s="3"/>
      <c r="O13" s="3"/>
      <c r="P13" s="3"/>
      <c r="Q13" s="3"/>
      <c r="R13" s="3"/>
      <c r="S13" s="3"/>
      <c r="T13" s="3"/>
    </row>
    <row r="14" spans="1:20" s="25" customFormat="1" ht="12" customHeight="1">
      <c r="A14" s="24"/>
      <c r="B14" s="207" t="s">
        <v>98</v>
      </c>
      <c r="C14" s="559">
        <f ca="1">C13/(1+L7)^'Fair Value of Share'!$L$5</f>
        <v>22896.059447237625</v>
      </c>
      <c r="D14" s="41"/>
      <c r="E14" s="23"/>
      <c r="F14" s="292"/>
      <c r="G14" s="164"/>
      <c r="H14" s="294"/>
      <c r="I14" s="102"/>
      <c r="J14" s="102"/>
      <c r="K14" s="102"/>
      <c r="L14" s="24"/>
      <c r="M14" s="24"/>
      <c r="N14" s="24"/>
      <c r="O14" s="24"/>
      <c r="P14" s="24"/>
      <c r="Q14" s="24"/>
      <c r="R14" s="24"/>
      <c r="S14" s="24"/>
      <c r="T14" s="24"/>
    </row>
    <row r="15" spans="1:20" ht="12" customHeight="1">
      <c r="A15" s="3"/>
      <c r="B15" s="208" t="s">
        <v>110</v>
      </c>
      <c r="C15" s="563">
        <f ca="1">C14+C12</f>
        <v>19901.273398996596</v>
      </c>
      <c r="E15" s="293"/>
      <c r="F15" s="292"/>
      <c r="G15" s="164"/>
      <c r="H15" s="291"/>
      <c r="I15" s="287"/>
      <c r="J15" s="287"/>
      <c r="K15" s="187"/>
      <c r="L15" s="3"/>
    </row>
    <row r="16" spans="1:20" ht="12" customHeight="1">
      <c r="A16" s="201" t="s">
        <v>43</v>
      </c>
      <c r="B16" s="209" t="s">
        <v>94</v>
      </c>
      <c r="C16" s="559">
        <f>'Cash &amp; Marketable Securities'!C6</f>
        <v>3350</v>
      </c>
      <c r="E16" s="293"/>
      <c r="F16" s="292"/>
      <c r="G16" s="164"/>
      <c r="H16" s="294"/>
      <c r="I16" s="288"/>
      <c r="J16" s="288"/>
      <c r="K16" s="288"/>
      <c r="L16" s="3"/>
      <c r="M16" s="3"/>
    </row>
    <row r="17" spans="1:20" ht="12" customHeight="1">
      <c r="A17" s="201" t="s">
        <v>43</v>
      </c>
      <c r="B17" s="210" t="s">
        <v>103</v>
      </c>
      <c r="C17" s="559">
        <v>0</v>
      </c>
      <c r="E17" s="293"/>
      <c r="F17" s="292"/>
      <c r="G17" s="164"/>
      <c r="H17" s="294"/>
      <c r="I17" s="65"/>
      <c r="J17" s="65"/>
      <c r="K17" s="104"/>
      <c r="L17" s="3"/>
      <c r="M17" s="3"/>
    </row>
    <row r="18" spans="1:20" ht="12" customHeight="1">
      <c r="A18" s="201" t="s">
        <v>43</v>
      </c>
      <c r="B18" s="28" t="s">
        <v>111</v>
      </c>
      <c r="C18" s="562">
        <v>0</v>
      </c>
      <c r="D18" s="29"/>
      <c r="E18" s="293"/>
      <c r="F18" s="292"/>
      <c r="G18" s="164"/>
      <c r="H18" s="291"/>
      <c r="I18" s="130"/>
      <c r="J18" s="130"/>
      <c r="K18" s="130"/>
      <c r="L18" s="3"/>
      <c r="M18" s="3"/>
    </row>
    <row r="19" spans="1:20" ht="12" customHeight="1">
      <c r="A19" s="7"/>
      <c r="B19" s="208" t="s">
        <v>101</v>
      </c>
      <c r="C19" s="563">
        <f ca="1">SUM(C15:C18)</f>
        <v>23251.273398996596</v>
      </c>
      <c r="D19" s="29"/>
      <c r="E19" s="23"/>
      <c r="F19" s="294"/>
      <c r="G19" s="295"/>
      <c r="H19" s="294"/>
      <c r="L19" s="3"/>
      <c r="M19" s="3"/>
      <c r="Q19" s="29"/>
      <c r="R19" s="3"/>
      <c r="S19" s="3"/>
      <c r="T19" s="3"/>
    </row>
    <row r="20" spans="1:20" ht="12" customHeight="1">
      <c r="A20" s="7" t="s">
        <v>33</v>
      </c>
      <c r="B20" s="207" t="s">
        <v>100</v>
      </c>
      <c r="C20" s="564">
        <f>'Bottom Up Beta'!C14</f>
        <v>1741</v>
      </c>
      <c r="D20" s="29"/>
      <c r="E20" s="23"/>
      <c r="F20" s="294"/>
      <c r="G20" s="295"/>
      <c r="H20" s="294"/>
      <c r="K20" s="29"/>
      <c r="L20" s="3"/>
      <c r="M20" s="3"/>
      <c r="N20" s="3"/>
      <c r="P20" s="3"/>
      <c r="Q20" s="3"/>
      <c r="R20" s="3"/>
      <c r="S20" s="3"/>
      <c r="T20" s="3"/>
    </row>
    <row r="21" spans="1:20" ht="12" customHeight="1">
      <c r="A21" s="7"/>
      <c r="B21" s="208" t="s">
        <v>102</v>
      </c>
      <c r="C21" s="485">
        <f ca="1">C19-C20</f>
        <v>21510.273398996596</v>
      </c>
      <c r="D21" s="31"/>
      <c r="E21" s="23"/>
      <c r="F21" s="294"/>
      <c r="G21" s="295"/>
      <c r="H21" s="294"/>
      <c r="I21" s="29"/>
      <c r="J21" s="29"/>
      <c r="K21" s="29"/>
      <c r="L21" s="3"/>
      <c r="M21" s="3"/>
      <c r="N21" s="3"/>
      <c r="O21" s="3"/>
      <c r="P21" s="3"/>
      <c r="Q21" s="3"/>
      <c r="R21" s="3"/>
      <c r="S21" s="3"/>
      <c r="T21" s="3"/>
    </row>
    <row r="22" spans="1:20" ht="12" customHeight="1">
      <c r="A22" s="206" t="s">
        <v>33</v>
      </c>
      <c r="B22" s="28" t="s">
        <v>112</v>
      </c>
      <c r="C22" s="562">
        <f>31.919692*16.00489</f>
        <v>510.87115929388</v>
      </c>
      <c r="D22" s="29"/>
      <c r="E22" s="23"/>
      <c r="F22" s="294"/>
      <c r="G22" s="295"/>
      <c r="H22" s="294"/>
      <c r="I22" s="29"/>
      <c r="J22" s="29"/>
      <c r="K22" s="29"/>
      <c r="L22" s="3"/>
      <c r="M22" s="3"/>
      <c r="O22" s="3"/>
      <c r="P22" s="3"/>
      <c r="Q22" s="3"/>
      <c r="R22" s="3"/>
      <c r="S22" s="3"/>
      <c r="T22" s="3"/>
    </row>
    <row r="23" spans="1:20" s="27" customFormat="1" ht="12" customHeight="1">
      <c r="B23" s="208" t="s">
        <v>113</v>
      </c>
      <c r="C23" s="565">
        <f ca="1">C21-C22</f>
        <v>20999.402239702715</v>
      </c>
      <c r="D23" s="29"/>
      <c r="E23" s="26"/>
      <c r="F23" s="26"/>
      <c r="G23" s="26"/>
      <c r="H23" s="296"/>
      <c r="I23" s="32"/>
      <c r="J23" s="32"/>
      <c r="K23" s="32"/>
      <c r="L23" s="26"/>
      <c r="M23" s="26"/>
      <c r="N23" s="26"/>
      <c r="O23" s="26"/>
      <c r="P23" s="26"/>
      <c r="Q23" s="26"/>
      <c r="R23" s="26"/>
      <c r="S23" s="26"/>
      <c r="T23" s="26"/>
    </row>
    <row r="24" spans="1:20" ht="12" customHeight="1">
      <c r="B24" s="28" t="s">
        <v>39</v>
      </c>
      <c r="C24" s="333">
        <f>192.934862+3.135407+0.071717</f>
        <v>196.141986</v>
      </c>
      <c r="D24" s="334"/>
      <c r="I24" s="3"/>
      <c r="J24" s="3"/>
      <c r="K24" s="3"/>
      <c r="L24" s="3"/>
      <c r="M24" s="3"/>
      <c r="N24" s="3"/>
      <c r="O24" s="3"/>
      <c r="P24" s="3"/>
      <c r="Q24" s="3"/>
      <c r="R24" s="3"/>
      <c r="S24" s="3"/>
      <c r="T24" s="3"/>
    </row>
    <row r="25" spans="1:20" ht="12" customHeight="1">
      <c r="B25" s="285" t="s">
        <v>114</v>
      </c>
      <c r="C25" s="517">
        <f ca="1">C23/C24</f>
        <v>107.06224948544528</v>
      </c>
      <c r="D25" s="286"/>
      <c r="I25" s="29"/>
      <c r="J25" s="29"/>
      <c r="K25" s="14"/>
      <c r="L25" s="3"/>
      <c r="M25" s="3"/>
      <c r="N25" s="3"/>
      <c r="O25" s="3"/>
      <c r="P25" s="3"/>
      <c r="Q25" s="3"/>
      <c r="R25" s="3"/>
      <c r="S25" s="3"/>
      <c r="T25" s="3"/>
    </row>
    <row r="26" spans="1:20" ht="12" customHeight="1">
      <c r="B26" s="335"/>
      <c r="C26" s="336"/>
      <c r="D26" s="32"/>
      <c r="I26" s="29"/>
      <c r="J26" s="29"/>
      <c r="K26" s="6"/>
      <c r="L26" s="3"/>
      <c r="M26" s="3"/>
      <c r="N26" s="3"/>
      <c r="O26" s="3"/>
      <c r="P26" s="3"/>
      <c r="Q26" s="3"/>
      <c r="R26" s="3"/>
      <c r="S26" s="3"/>
      <c r="T26" s="3"/>
    </row>
    <row r="27" spans="1:20" ht="12" customHeight="1">
      <c r="B27" s="289"/>
      <c r="C27" s="284"/>
      <c r="D27" s="3"/>
      <c r="I27" s="29"/>
      <c r="J27" s="29"/>
      <c r="K27" s="6"/>
      <c r="L27" s="3"/>
      <c r="M27" s="3"/>
      <c r="N27" s="3"/>
      <c r="O27" s="3"/>
      <c r="P27" s="3"/>
      <c r="Q27" s="3"/>
      <c r="R27" s="3"/>
      <c r="S27" s="3"/>
      <c r="T27" s="3"/>
    </row>
    <row r="28" spans="1:20" ht="12" customHeight="1">
      <c r="B28" s="3"/>
      <c r="C28" s="5"/>
      <c r="D28" s="3"/>
      <c r="E28" s="214"/>
      <c r="F28" s="215"/>
      <c r="G28" s="14"/>
      <c r="H28" s="6"/>
      <c r="I28" s="6"/>
      <c r="J28" s="6"/>
      <c r="K28" s="6"/>
      <c r="L28" s="3"/>
      <c r="M28" s="3"/>
      <c r="N28" s="3"/>
      <c r="O28" s="3"/>
      <c r="P28" s="3"/>
      <c r="Q28" s="3"/>
      <c r="R28" s="3"/>
      <c r="S28" s="3"/>
      <c r="T28" s="3"/>
    </row>
    <row r="29" spans="1:20" ht="12" customHeight="1">
      <c r="B29" s="3"/>
      <c r="C29" s="3"/>
      <c r="D29" s="3"/>
      <c r="E29" s="42"/>
      <c r="F29" s="154"/>
      <c r="G29" s="14"/>
      <c r="H29" s="6"/>
      <c r="I29" s="6"/>
      <c r="J29" s="6"/>
      <c r="K29" s="6"/>
      <c r="L29" s="3"/>
      <c r="M29" s="3"/>
      <c r="N29" s="3"/>
      <c r="O29" s="3"/>
      <c r="P29" s="3"/>
      <c r="Q29" s="3"/>
      <c r="R29" s="3"/>
      <c r="S29" s="3"/>
      <c r="T29" s="3"/>
    </row>
    <row r="30" spans="1:20" ht="12" customHeight="1">
      <c r="B30" s="3"/>
      <c r="C30" s="3"/>
      <c r="D30" s="3"/>
      <c r="E30" s="42"/>
      <c r="F30" s="134"/>
      <c r="G30" s="3"/>
      <c r="H30" s="3"/>
      <c r="I30" s="3"/>
      <c r="J30" s="3"/>
      <c r="K30" s="3"/>
      <c r="L30" s="3"/>
      <c r="M30" s="3"/>
      <c r="N30" s="3"/>
      <c r="O30" s="3"/>
      <c r="P30" s="3"/>
      <c r="Q30" s="3"/>
      <c r="R30" s="3"/>
      <c r="S30" s="3"/>
      <c r="T30" s="3"/>
    </row>
    <row r="31" spans="1:20" ht="12" customHeight="1">
      <c r="E31" s="31"/>
      <c r="F31" s="130"/>
      <c r="G31" s="3"/>
      <c r="H31" s="3"/>
      <c r="I31" s="3"/>
      <c r="J31" s="3"/>
      <c r="K31" s="3"/>
      <c r="L31" s="3"/>
      <c r="M31" s="3"/>
    </row>
    <row r="32" spans="1:20" ht="12" customHeight="1">
      <c r="C32" s="13"/>
      <c r="E32" s="3"/>
      <c r="F32" s="130"/>
      <c r="G32" s="3"/>
      <c r="H32" s="3"/>
      <c r="I32" s="3"/>
      <c r="J32" s="3"/>
      <c r="K32" s="3"/>
      <c r="L32" s="3"/>
      <c r="M32" s="3"/>
    </row>
    <row r="33" spans="2:13" ht="12" customHeight="1">
      <c r="E33" s="3"/>
      <c r="F33" s="212"/>
    </row>
    <row r="34" spans="2:13" ht="12" customHeight="1">
      <c r="B34" s="15"/>
      <c r="E34" s="3"/>
      <c r="F34" s="65"/>
      <c r="G34" s="8"/>
      <c r="K34" s="10"/>
    </row>
    <row r="35" spans="2:13" ht="12" customHeight="1">
      <c r="B35" s="8"/>
      <c r="E35" s="29"/>
      <c r="F35" s="211"/>
      <c r="G35" s="11"/>
      <c r="K35" s="8"/>
      <c r="M35" s="8"/>
    </row>
    <row r="36" spans="2:13" ht="12" customHeight="1">
      <c r="E36" s="29"/>
      <c r="M36" s="8"/>
    </row>
    <row r="37" spans="2:13" ht="12" customHeight="1">
      <c r="E37" s="29"/>
      <c r="F37" s="6"/>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317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6"/>
  <sheetViews>
    <sheetView workbookViewId="0"/>
  </sheetViews>
  <sheetFormatPr defaultRowHeight="12" customHeight="1"/>
  <cols>
    <col min="1" max="1" width="2" style="2" customWidth="1"/>
    <col min="2" max="2" width="31" style="2" customWidth="1"/>
    <col min="3" max="3" width="13.5703125" style="2" customWidth="1"/>
    <col min="4" max="4" width="8.7109375" style="2" customWidth="1"/>
    <col min="5" max="5" width="19.85546875" style="2" customWidth="1"/>
    <col min="6" max="6" width="16.5703125" style="2" customWidth="1"/>
    <col min="7" max="7" width="11.140625" style="2" customWidth="1"/>
    <col min="8" max="8" width="11.8554687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336</v>
      </c>
    </row>
    <row r="3" spans="1:16" ht="12" customHeight="1">
      <c r="B3" s="28" t="s">
        <v>318</v>
      </c>
      <c r="C3" s="586">
        <f>I4</f>
        <v>1128</v>
      </c>
      <c r="D3" s="32"/>
      <c r="E3" s="218" t="s">
        <v>151</v>
      </c>
      <c r="F3" s="218" t="s">
        <v>190</v>
      </c>
      <c r="G3" s="198" t="s">
        <v>147</v>
      </c>
      <c r="H3" s="198" t="s">
        <v>148</v>
      </c>
      <c r="I3" s="198" t="s">
        <v>500</v>
      </c>
      <c r="J3" s="306" t="s">
        <v>146</v>
      </c>
    </row>
    <row r="4" spans="1:16" ht="12" customHeight="1">
      <c r="B4" s="28" t="s">
        <v>319</v>
      </c>
      <c r="C4" s="586">
        <f>I4</f>
        <v>1128</v>
      </c>
      <c r="D4" s="3"/>
      <c r="E4" s="76" t="s">
        <v>499</v>
      </c>
      <c r="F4" s="320">
        <v>0</v>
      </c>
      <c r="G4" s="321">
        <v>46096</v>
      </c>
      <c r="H4" s="96">
        <v>3.036111111111111</v>
      </c>
      <c r="I4" s="587">
        <v>1128</v>
      </c>
      <c r="J4" s="63">
        <f>I4/$I$6</f>
        <v>0.64790350373348649</v>
      </c>
    </row>
    <row r="5" spans="1:16" ht="12" customHeight="1">
      <c r="B5" s="28" t="s">
        <v>320</v>
      </c>
      <c r="C5" s="586">
        <f>I5</f>
        <v>613</v>
      </c>
      <c r="D5" s="3"/>
      <c r="E5" s="76" t="s">
        <v>501</v>
      </c>
      <c r="F5" s="320">
        <v>6.4000000000000001E-2</v>
      </c>
      <c r="G5" s="321">
        <v>47904</v>
      </c>
      <c r="H5" s="96">
        <v>7.9805555555555552</v>
      </c>
      <c r="I5" s="587">
        <v>613</v>
      </c>
      <c r="J5" s="63">
        <f>I5/$I$6</f>
        <v>0.35209649626651351</v>
      </c>
    </row>
    <row r="6" spans="1:16" ht="12" customHeight="1">
      <c r="B6" s="417"/>
      <c r="C6" s="3"/>
      <c r="D6" s="3"/>
      <c r="E6" s="85"/>
      <c r="F6" s="449">
        <f>(F4*J4)+(F5*J5)</f>
        <v>2.2534175761056867E-2</v>
      </c>
      <c r="G6" s="156"/>
      <c r="H6" s="322">
        <f>(H4*J4)+(H5*J5)</f>
        <v>4.7770326759844277</v>
      </c>
      <c r="I6" s="588">
        <f>SUM(I4:I5)</f>
        <v>1741</v>
      </c>
      <c r="J6" s="318">
        <f>SUM(J4:J5)</f>
        <v>1</v>
      </c>
    </row>
    <row r="7" spans="1:16" ht="12" customHeight="1">
      <c r="B7" s="579" t="s">
        <v>321</v>
      </c>
      <c r="C7" s="579"/>
      <c r="D7" s="3"/>
    </row>
    <row r="8" spans="1:16" ht="12" customHeight="1">
      <c r="B8" s="28" t="s">
        <v>322</v>
      </c>
      <c r="C8" s="425">
        <v>0</v>
      </c>
      <c r="E8" s="31"/>
      <c r="F8" s="130"/>
      <c r="G8" s="3"/>
      <c r="H8" s="3"/>
      <c r="I8" s="3"/>
      <c r="J8" s="3"/>
      <c r="K8" s="3"/>
      <c r="L8" s="3"/>
    </row>
    <row r="9" spans="1:16" ht="12" customHeight="1">
      <c r="B9" s="28" t="s">
        <v>323</v>
      </c>
      <c r="C9" s="425">
        <v>1</v>
      </c>
      <c r="E9" s="3"/>
      <c r="F9" s="130"/>
      <c r="G9" s="3"/>
      <c r="H9" s="3"/>
      <c r="I9" s="3"/>
      <c r="J9" s="3"/>
      <c r="K9" s="3"/>
      <c r="L9" s="3"/>
    </row>
    <row r="10" spans="1:16" ht="12" customHeight="1">
      <c r="A10" s="3"/>
      <c r="B10" s="421"/>
      <c r="C10" s="164"/>
      <c r="E10" s="3"/>
      <c r="F10" s="212"/>
    </row>
    <row r="11" spans="1:16" ht="12" customHeight="1">
      <c r="A11" s="3"/>
      <c r="B11" s="579" t="s">
        <v>329</v>
      </c>
      <c r="C11" s="579"/>
      <c r="D11" s="418"/>
      <c r="E11" s="419"/>
      <c r="F11" s="419"/>
      <c r="G11" s="419"/>
      <c r="H11" s="419"/>
      <c r="I11" s="419"/>
      <c r="J11" s="420"/>
      <c r="K11" s="419"/>
      <c r="L11" s="419"/>
      <c r="M11" s="419"/>
      <c r="N11" s="419"/>
      <c r="O11" s="419"/>
    </row>
    <row r="12" spans="1:16" ht="12" customHeight="1">
      <c r="A12" s="3"/>
      <c r="B12" s="28" t="s">
        <v>324</v>
      </c>
      <c r="C12" s="425">
        <f>0</f>
        <v>0</v>
      </c>
      <c r="D12" s="390"/>
      <c r="E12" s="164"/>
      <c r="F12" s="392"/>
      <c r="G12" s="392"/>
      <c r="H12" s="392"/>
      <c r="I12" s="422"/>
      <c r="J12" s="423"/>
      <c r="K12" s="414"/>
      <c r="L12" s="414"/>
      <c r="M12" s="414"/>
      <c r="N12" s="414"/>
      <c r="O12" s="415"/>
    </row>
    <row r="13" spans="1:16" ht="12" customHeight="1">
      <c r="A13" s="3"/>
      <c r="B13" s="28" t="s">
        <v>327</v>
      </c>
      <c r="C13" s="425">
        <f>I4/I6</f>
        <v>0.64790350373348649</v>
      </c>
      <c r="D13" s="390"/>
      <c r="E13" s="164"/>
      <c r="F13" s="392"/>
      <c r="G13" s="392"/>
      <c r="H13" s="392"/>
      <c r="I13" s="464" t="s">
        <v>32</v>
      </c>
      <c r="J13" s="464" t="s">
        <v>81</v>
      </c>
      <c r="K13" s="230" t="s">
        <v>5</v>
      </c>
      <c r="L13" s="381" t="s">
        <v>390</v>
      </c>
      <c r="M13" s="381" t="s">
        <v>391</v>
      </c>
      <c r="N13" s="414"/>
      <c r="O13" s="424"/>
    </row>
    <row r="14" spans="1:16" s="25" customFormat="1" ht="12" customHeight="1">
      <c r="A14" s="24"/>
      <c r="B14" s="28" t="s">
        <v>326</v>
      </c>
      <c r="C14" s="425">
        <f>I5/I6</f>
        <v>0.35209649626651351</v>
      </c>
      <c r="D14" s="2"/>
      <c r="E14" s="29"/>
      <c r="F14" s="2"/>
      <c r="G14" s="2"/>
      <c r="H14" s="2"/>
      <c r="I14" s="465">
        <v>1</v>
      </c>
      <c r="J14" s="524">
        <f ca="1">'Fair Value of Share'!C6</f>
        <v>-977.99356067545284</v>
      </c>
      <c r="K14" s="466">
        <f>'Fair Value of Share'!C7</f>
        <v>0.10800890001835822</v>
      </c>
      <c r="L14" s="590">
        <f ca="1">J14/(1+K14)^I14</f>
        <v>-882.65857851796034</v>
      </c>
      <c r="M14" s="590">
        <f ca="1">L14*I14</f>
        <v>-882.65857851796034</v>
      </c>
      <c r="N14" s="2"/>
      <c r="O14" s="2"/>
      <c r="P14" s="2"/>
    </row>
    <row r="15" spans="1:16" ht="12" customHeight="1">
      <c r="A15" s="3"/>
      <c r="B15" s="28" t="s">
        <v>325</v>
      </c>
      <c r="C15" s="425">
        <v>0</v>
      </c>
      <c r="E15" s="164"/>
      <c r="I15" s="465">
        <v>2</v>
      </c>
      <c r="J15" s="524">
        <f ca="1">'Fair Value of Share'!D6</f>
        <v>-1075.0077479556223</v>
      </c>
      <c r="K15" s="466">
        <f>'Fair Value of Share'!D7</f>
        <v>0.10800890001835822</v>
      </c>
      <c r="L15" s="590">
        <f t="shared" ref="L15:L22" ca="1" si="0">J15/(1+K15)^I15</f>
        <v>-875.63900069401154</v>
      </c>
      <c r="M15" s="590">
        <f t="shared" ref="M15:M22" ca="1" si="1">L15*I15</f>
        <v>-1751.2780013880231</v>
      </c>
      <c r="N15" s="12"/>
      <c r="O15" s="424"/>
    </row>
    <row r="16" spans="1:16" ht="12" customHeight="1">
      <c r="A16" s="201"/>
      <c r="B16" s="28" t="s">
        <v>328</v>
      </c>
      <c r="C16" s="425">
        <v>0</v>
      </c>
      <c r="I16" s="465">
        <v>3</v>
      </c>
      <c r="J16" s="524">
        <f ca="1">'Fair Value of Share'!E6</f>
        <v>-844.74181257696398</v>
      </c>
      <c r="K16" s="466">
        <f>'Fair Value of Share'!E7</f>
        <v>0.10467105871017576</v>
      </c>
      <c r="L16" s="590">
        <f t="shared" ca="1" si="0"/>
        <v>-626.65002737281145</v>
      </c>
      <c r="M16" s="590">
        <f t="shared" ca="1" si="1"/>
        <v>-1879.9500821184342</v>
      </c>
    </row>
    <row r="17" spans="1:16" ht="12" customHeight="1">
      <c r="A17" s="201"/>
      <c r="C17" s="12"/>
      <c r="G17" s="12"/>
      <c r="I17" s="467">
        <v>4</v>
      </c>
      <c r="J17" s="589">
        <f ca="1">'Fair Value of Share'!F6</f>
        <v>-827.41679609529047</v>
      </c>
      <c r="K17" s="466">
        <f>'Fair Value of Share'!F7</f>
        <v>0.10133321740199329</v>
      </c>
      <c r="L17" s="590">
        <f t="shared" ca="1" si="0"/>
        <v>-562.4052676147835</v>
      </c>
      <c r="M17" s="590">
        <f t="shared" ca="1" si="1"/>
        <v>-2249.621070459134</v>
      </c>
    </row>
    <row r="18" spans="1:16" ht="12" customHeight="1">
      <c r="A18" s="201"/>
      <c r="B18" s="579" t="s">
        <v>330</v>
      </c>
      <c r="C18" s="579"/>
      <c r="G18" s="8"/>
      <c r="I18" s="467">
        <v>5</v>
      </c>
      <c r="J18" s="589">
        <f ca="1">'Fair Value of Share'!G6</f>
        <v>-791.12382650189011</v>
      </c>
      <c r="K18" s="466">
        <f>'Fair Value of Share'!G7</f>
        <v>9.7995376093810815E-2</v>
      </c>
      <c r="L18" s="590">
        <f t="shared" ca="1" si="0"/>
        <v>-495.72624076550761</v>
      </c>
      <c r="M18" s="590">
        <f ca="1">L18*I18</f>
        <v>-2478.6312038275382</v>
      </c>
    </row>
    <row r="19" spans="1:16" ht="12" customHeight="1">
      <c r="A19" s="7"/>
      <c r="B19" s="28" t="s">
        <v>331</v>
      </c>
      <c r="C19" s="425">
        <v>1</v>
      </c>
      <c r="G19" s="12"/>
      <c r="I19" s="467">
        <v>6</v>
      </c>
      <c r="J19" s="589">
        <f ca="1">'Fair Value of Share'!H6</f>
        <v>-294.54039738492679</v>
      </c>
      <c r="K19" s="466">
        <f>'Fair Value of Share'!H7</f>
        <v>9.4657534785628356E-2</v>
      </c>
      <c r="L19" s="590">
        <f t="shared" ca="1" si="0"/>
        <v>-171.18875909941409</v>
      </c>
      <c r="M19" s="590">
        <f t="shared" ca="1" si="1"/>
        <v>-1027.1325545964846</v>
      </c>
    </row>
    <row r="20" spans="1:16" ht="12" customHeight="1">
      <c r="A20" s="7"/>
      <c r="B20" s="28" t="s">
        <v>332</v>
      </c>
      <c r="C20" s="425">
        <v>0</v>
      </c>
      <c r="I20" s="467">
        <v>7</v>
      </c>
      <c r="J20" s="589">
        <f ca="1">'Fair Value of Share'!I6</f>
        <v>-10.315181753926026</v>
      </c>
      <c r="K20" s="466">
        <f>'Fair Value of Share'!I7</f>
        <v>9.1319693477445896E-2</v>
      </c>
      <c r="L20" s="590">
        <f t="shared" ca="1" si="0"/>
        <v>-5.5951655133009517</v>
      </c>
      <c r="M20" s="590">
        <f t="shared" ca="1" si="1"/>
        <v>-39.166158593106658</v>
      </c>
    </row>
    <row r="21" spans="1:16" ht="12" customHeight="1">
      <c r="A21" s="7"/>
      <c r="C21" s="426"/>
      <c r="G21" s="15"/>
      <c r="I21" s="467">
        <v>8</v>
      </c>
      <c r="J21" s="589">
        <f ca="1">'Fair Value of Share'!J6</f>
        <v>321.70061915563338</v>
      </c>
      <c r="K21" s="466">
        <f>'Fair Value of Share'!J7</f>
        <v>8.7981852169263422E-2</v>
      </c>
      <c r="L21" s="590">
        <f t="shared" ca="1" si="0"/>
        <v>163.86216423472627</v>
      </c>
      <c r="M21" s="590">
        <f t="shared" ca="1" si="1"/>
        <v>1310.8973138778101</v>
      </c>
    </row>
    <row r="22" spans="1:16" ht="12" customHeight="1">
      <c r="A22" s="206"/>
      <c r="B22" s="579" t="s">
        <v>333</v>
      </c>
      <c r="C22" s="579"/>
      <c r="I22" s="467">
        <v>9</v>
      </c>
      <c r="J22" s="589">
        <f ca="1">'Fair Value of Share'!K6</f>
        <v>471.71493650013554</v>
      </c>
      <c r="K22" s="466">
        <f>'Fair Value of Share'!K7</f>
        <v>8.4644010861080948E-2</v>
      </c>
      <c r="L22" s="590">
        <f t="shared" ca="1" si="0"/>
        <v>227.03594703836572</v>
      </c>
      <c r="M22" s="590">
        <f t="shared" ca="1" si="1"/>
        <v>2043.3235233452915</v>
      </c>
    </row>
    <row r="23" spans="1:16" s="27" customFormat="1" ht="12" customHeight="1">
      <c r="B23" s="28" t="s">
        <v>334</v>
      </c>
      <c r="C23" s="425">
        <v>1</v>
      </c>
      <c r="D23" s="2"/>
      <c r="E23" s="2"/>
      <c r="F23" s="2"/>
      <c r="G23" s="2"/>
      <c r="H23" s="2"/>
      <c r="I23" s="467">
        <v>10</v>
      </c>
      <c r="J23" s="589">
        <f ca="1">'Fair Value of Share'!L6</f>
        <v>511.72252479557847</v>
      </c>
      <c r="K23" s="466">
        <f>'Fair Value of Share'!L7</f>
        <v>8.1306169552898488E-2</v>
      </c>
      <c r="L23" s="590">
        <f ca="1">(J23/(1+K23)^I23)+'Fair Value of Share'!C14</f>
        <v>23130.238327301293</v>
      </c>
      <c r="M23" s="590">
        <f ca="1">L23*I23</f>
        <v>231302.38327301294</v>
      </c>
      <c r="N23" s="2"/>
      <c r="O23" s="2"/>
      <c r="P23" s="2"/>
    </row>
    <row r="24" spans="1:16" ht="12" customHeight="1">
      <c r="B24" s="28" t="s">
        <v>335</v>
      </c>
      <c r="C24" s="425">
        <v>0</v>
      </c>
      <c r="L24" s="591">
        <f ca="1">SUM(L14:L23)</f>
        <v>19901.273398996596</v>
      </c>
      <c r="M24" s="591">
        <f ca="1">SUM(M14:M23)</f>
        <v>224348.16646073535</v>
      </c>
    </row>
    <row r="26" spans="1:16" ht="12" customHeight="1">
      <c r="L26" s="298" t="s">
        <v>392</v>
      </c>
      <c r="M26" s="468" t="str">
        <f ca="1">CONCATENATE(ROUND(M24/L24,2)," years")</f>
        <v>11.27 years</v>
      </c>
    </row>
  </sheetData>
  <mergeCells count="4">
    <mergeCell ref="B22:C22"/>
    <mergeCell ref="B7:C7"/>
    <mergeCell ref="B11:C11"/>
    <mergeCell ref="B18:C18"/>
  </mergeCells>
  <pageMargins left="0.7" right="0.7" top="0.75" bottom="0.75" header="0.3" footer="0.3"/>
  <pageSetup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4"/>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315</v>
      </c>
    </row>
    <row r="3" spans="1:16" ht="12" customHeight="1">
      <c r="B3" s="230" t="s">
        <v>287</v>
      </c>
      <c r="C3" s="230" t="s">
        <v>191</v>
      </c>
      <c r="D3" s="230" t="s">
        <v>265</v>
      </c>
      <c r="E3" s="381" t="s">
        <v>7</v>
      </c>
      <c r="F3" s="381" t="s">
        <v>547</v>
      </c>
      <c r="G3" s="381" t="s">
        <v>3</v>
      </c>
      <c r="H3" s="381" t="s">
        <v>141</v>
      </c>
      <c r="I3" s="381" t="s">
        <v>316</v>
      </c>
      <c r="J3" s="396" t="s">
        <v>310</v>
      </c>
      <c r="K3" s="381" t="s">
        <v>289</v>
      </c>
      <c r="L3" s="381" t="s">
        <v>295</v>
      </c>
      <c r="M3" s="381" t="s">
        <v>313</v>
      </c>
      <c r="N3" s="381" t="s">
        <v>312</v>
      </c>
      <c r="O3" s="381" t="s">
        <v>5</v>
      </c>
    </row>
    <row r="4" spans="1:16" ht="12" customHeight="1">
      <c r="B4" s="584">
        <v>0</v>
      </c>
      <c r="C4" s="383">
        <f>B4/(100%-B4)</f>
        <v>0</v>
      </c>
      <c r="D4" s="384">
        <f t="shared" ref="D4:D13" si="0">$C$16*(1+(1-$C$15)*C4)</f>
        <v>1.2347391955125926</v>
      </c>
      <c r="E4" s="383">
        <f t="shared" ref="E4:E13" si="1">$C$17+($C$18*D4)</f>
        <v>0.10748063442135243</v>
      </c>
      <c r="F4" s="585">
        <f t="shared" ref="F4:F13" si="2">B4*$C$19</f>
        <v>0</v>
      </c>
      <c r="G4" s="585">
        <f t="shared" ref="G4:G13" si="3">$C$20</f>
        <v>562.67652276759304</v>
      </c>
      <c r="H4" s="585">
        <f>F4*$C$21</f>
        <v>0</v>
      </c>
      <c r="I4" s="428" t="s">
        <v>118</v>
      </c>
      <c r="J4" s="429" t="s">
        <v>199</v>
      </c>
      <c r="K4" s="389">
        <v>7.4999999999999997E-3</v>
      </c>
      <c r="L4" s="389">
        <f>$C$17+K4</f>
        <v>3.2784999999999995E-2</v>
      </c>
      <c r="M4" s="389">
        <f>IF(H4&lt;G4,$C$15,$C$15*(G4/H4))</f>
        <v>0.25132919986511482</v>
      </c>
      <c r="N4" s="389">
        <f>L4*(1-M4)</f>
        <v>2.4545172182422206E-2</v>
      </c>
      <c r="O4" s="400">
        <f>(E4*(100%-B4))+(N4*B4)</f>
        <v>0.10748063442135243</v>
      </c>
      <c r="P4" s="405"/>
    </row>
    <row r="5" spans="1:16" ht="12" customHeight="1">
      <c r="B5" s="434">
        <v>0.1</v>
      </c>
      <c r="C5" s="401">
        <f t="shared" ref="C5:C13" si="4">B5/(100%-B5)</f>
        <v>0.11111111111111112</v>
      </c>
      <c r="D5" s="402">
        <f t="shared" si="0"/>
        <v>1.3374517712306278</v>
      </c>
      <c r="E5" s="401">
        <f t="shared" si="1"/>
        <v>0.11431813124244448</v>
      </c>
      <c r="F5" s="592">
        <f>B5*$C$19</f>
        <v>2309.3101177540002</v>
      </c>
      <c r="G5" s="592">
        <f t="shared" si="3"/>
        <v>562.67652276759304</v>
      </c>
      <c r="H5" s="592">
        <f ca="1">L5*F5</f>
        <v>104.57710868248989</v>
      </c>
      <c r="I5" s="435">
        <f ca="1">G5/H5</f>
        <v>5.3804941622162676</v>
      </c>
      <c r="J5" s="436" t="str">
        <f ca="1">IF($C$21=1,VLOOKUP(I5,$J$17:$M$30,3),(IF($C$21=0,VLOOKUP(I5,$E$17:$H$30,3),VLOOKUP(I5,#REF!,3))))</f>
        <v>A-</v>
      </c>
      <c r="K5" s="403">
        <f ca="1">IF($C$21=1,VLOOKUP(I5,$J$17:$M$30,4),(IF($C$21=0,VLOOKUP(I5,$E$17:$H$30,4),VLOOKUP(I5,#REF!,4))))</f>
        <v>0.02</v>
      </c>
      <c r="L5" s="403">
        <f ca="1">$C$17+K5</f>
        <v>4.5284999999999999E-2</v>
      </c>
      <c r="M5" s="403">
        <f ca="1">IF(H5&lt;G5,$C$15,$C$15*(G5/H5))</f>
        <v>0.25132919986511482</v>
      </c>
      <c r="N5" s="403">
        <f ca="1">L5*(1-M5)</f>
        <v>3.3903557184108278E-2</v>
      </c>
      <c r="O5" s="404">
        <f ca="1">(E5*(100%-B5))+(N5*B5)</f>
        <v>0.10627667383661087</v>
      </c>
      <c r="P5" s="405" t="s">
        <v>314</v>
      </c>
    </row>
    <row r="6" spans="1:16" ht="12" customHeight="1">
      <c r="B6" s="382">
        <v>0.2</v>
      </c>
      <c r="C6" s="383">
        <f t="shared" si="4"/>
        <v>0.25</v>
      </c>
      <c r="D6" s="384">
        <f t="shared" si="0"/>
        <v>1.465842490878172</v>
      </c>
      <c r="E6" s="383">
        <f t="shared" si="1"/>
        <v>0.12286500226880955</v>
      </c>
      <c r="F6" s="585">
        <f t="shared" si="2"/>
        <v>4618.6202355080004</v>
      </c>
      <c r="G6" s="585">
        <f t="shared" si="3"/>
        <v>562.67652276759304</v>
      </c>
      <c r="H6" s="585">
        <f t="shared" ref="H6:H13" ca="1" si="5">L6*F6</f>
        <v>647.9231397382398</v>
      </c>
      <c r="I6" s="388">
        <f t="shared" ref="I6:I13" ca="1" si="6">G6/H6</f>
        <v>0.8684309731473917</v>
      </c>
      <c r="J6" s="395" t="str">
        <f ca="1">IF($C$21=1,VLOOKUP(I6,$J$17:$M$30,3),(IF($C$21=0,VLOOKUP(I6,$E$17:$H$30,3),VLOOKUP(I6,#REF!,3))))</f>
        <v>CC</v>
      </c>
      <c r="K6" s="389">
        <f ca="1">IF($C$21=1,VLOOKUP(I6,$J$17:$M$30,4),(IF($C$21=0,VLOOKUP(I6,$E$17:$H$30,4),VLOOKUP(I6,#REF!,4))))</f>
        <v>0.115</v>
      </c>
      <c r="L6" s="389">
        <f t="shared" ref="L6:L13" ca="1" si="7">$C$17+K6</f>
        <v>0.14028499999999999</v>
      </c>
      <c r="M6" s="389">
        <f t="shared" ref="M6:M13" ca="1" si="8">IF(H6&lt;G6,$C$15,$C$15*(G6/H6))</f>
        <v>0.21826206161921696</v>
      </c>
      <c r="N6" s="389">
        <f t="shared" ref="N6:N13" ca="1" si="9">L6*(1-M6)</f>
        <v>0.10966610668574814</v>
      </c>
      <c r="O6" s="400">
        <f t="shared" ref="O6:O13" ca="1" si="10">(E6*(100%-B6))+(N6*B6)</f>
        <v>0.12022522315219727</v>
      </c>
    </row>
    <row r="7" spans="1:16" ht="12" customHeight="1">
      <c r="B7" s="382">
        <v>0.3</v>
      </c>
      <c r="C7" s="383">
        <f t="shared" si="4"/>
        <v>0.4285714285714286</v>
      </c>
      <c r="D7" s="384">
        <f t="shared" si="0"/>
        <v>1.6309162732821572</v>
      </c>
      <c r="E7" s="383">
        <f t="shared" si="1"/>
        <v>0.13385383644556462</v>
      </c>
      <c r="F7" s="585">
        <f t="shared" si="2"/>
        <v>6927.9303532619997</v>
      </c>
      <c r="G7" s="585">
        <f t="shared" si="3"/>
        <v>562.67652276759304</v>
      </c>
      <c r="H7" s="585">
        <f t="shared" ca="1" si="5"/>
        <v>1055.0198738465037</v>
      </c>
      <c r="I7" s="388">
        <f t="shared" ca="1" si="6"/>
        <v>0.53333262881212573</v>
      </c>
      <c r="J7" s="395" t="str">
        <f ca="1">IF($C$21=1,VLOOKUP(I7,$J$17:$M$30,3),(IF($C$21=0,VLOOKUP(I7,$E$17:$H$30,3),VLOOKUP(I7,#REF!,3))))</f>
        <v>C</v>
      </c>
      <c r="K7" s="389">
        <f ca="1">IF($C$21=1,VLOOKUP(I7,$J$17:$M$30,4),(IF($C$21=0,VLOOKUP(I7,$E$17:$H$30,4),VLOOKUP(I7,#REF!,4))))</f>
        <v>0.127</v>
      </c>
      <c r="L7" s="389">
        <f t="shared" ca="1" si="7"/>
        <v>0.152285</v>
      </c>
      <c r="M7" s="389">
        <f t="shared" ca="1" si="8"/>
        <v>0.13404206286130985</v>
      </c>
      <c r="N7" s="389">
        <f t="shared" ca="1" si="9"/>
        <v>0.13187240445716544</v>
      </c>
      <c r="O7" s="400">
        <f t="shared" ca="1" si="10"/>
        <v>0.13325940684904486</v>
      </c>
    </row>
    <row r="8" spans="1:16" ht="12" customHeight="1">
      <c r="B8" s="382">
        <v>0.4</v>
      </c>
      <c r="C8" s="383">
        <f t="shared" si="4"/>
        <v>0.66666666666666674</v>
      </c>
      <c r="D8" s="384">
        <f t="shared" si="0"/>
        <v>1.851014649820804</v>
      </c>
      <c r="E8" s="383">
        <f t="shared" si="1"/>
        <v>0.14850561534790471</v>
      </c>
      <c r="F8" s="585">
        <f t="shared" si="2"/>
        <v>9237.2404710160008</v>
      </c>
      <c r="G8" s="585">
        <f t="shared" si="3"/>
        <v>562.67652276759304</v>
      </c>
      <c r="H8" s="585">
        <f t="shared" ca="1" si="5"/>
        <v>1526.7772912518799</v>
      </c>
      <c r="I8" s="388">
        <f t="shared" ca="1" si="6"/>
        <v>0.36853870305224862</v>
      </c>
      <c r="J8" s="395" t="str">
        <f ca="1">IF($C$21=1,VLOOKUP(I8,$J$17:$M$30,3),(IF($C$21=0,VLOOKUP(I8,$E$17:$H$30,3),VLOOKUP(I8,#REF!,3))))</f>
        <v>D</v>
      </c>
      <c r="K8" s="389">
        <f ca="1">IF($C$21=1,VLOOKUP(I8,$J$17:$M$30,4),(IF($C$21=0,VLOOKUP(I8,$E$17:$H$30,4),VLOOKUP(I8,#REF!,4))))</f>
        <v>0.14000000000000001</v>
      </c>
      <c r="L8" s="389">
        <f t="shared" ca="1" si="7"/>
        <v>0.16528500000000002</v>
      </c>
      <c r="M8" s="389">
        <f t="shared" ca="1" si="8"/>
        <v>9.2624537357448786E-2</v>
      </c>
      <c r="N8" s="389">
        <f t="shared" ca="1" si="9"/>
        <v>0.1499755533428741</v>
      </c>
      <c r="O8" s="400">
        <f t="shared" ca="1" si="10"/>
        <v>0.14909359054589247</v>
      </c>
    </row>
    <row r="9" spans="1:16" ht="12" customHeight="1">
      <c r="B9" s="382">
        <v>0.5</v>
      </c>
      <c r="C9" s="383">
        <f t="shared" si="4"/>
        <v>1</v>
      </c>
      <c r="D9" s="384">
        <f t="shared" si="0"/>
        <v>2.1591523769749097</v>
      </c>
      <c r="E9" s="383">
        <f t="shared" si="1"/>
        <v>0.16901810581118087</v>
      </c>
      <c r="F9" s="585">
        <f t="shared" si="2"/>
        <v>11546.55058877</v>
      </c>
      <c r="G9" s="585">
        <f t="shared" si="3"/>
        <v>562.67652276759304</v>
      </c>
      <c r="H9" s="585">
        <f t="shared" ca="1" si="5"/>
        <v>1908.4716140648497</v>
      </c>
      <c r="I9" s="388">
        <f t="shared" ca="1" si="6"/>
        <v>0.2948309624417989</v>
      </c>
      <c r="J9" s="395" t="str">
        <f ca="1">IF($C$21=1,VLOOKUP(I9,$J$17:$M$30,3),(IF($C$21=0,VLOOKUP(I9,$E$17:$H$30,3),VLOOKUP(I9,#REF!,3))))</f>
        <v>D</v>
      </c>
      <c r="K9" s="389">
        <f ca="1">IF($C$21=1,VLOOKUP(I9,$J$17:$M$30,4),(IF($C$21=0,VLOOKUP(I9,$E$17:$H$30,4),VLOOKUP(I9,#REF!,4))))</f>
        <v>0.14000000000000001</v>
      </c>
      <c r="L9" s="389">
        <f t="shared" ca="1" si="7"/>
        <v>0.16528500000000002</v>
      </c>
      <c r="M9" s="389">
        <f t="shared" ca="1" si="8"/>
        <v>7.4099629885959042E-2</v>
      </c>
      <c r="N9" s="389">
        <f t="shared" ca="1" si="9"/>
        <v>0.15303744267429928</v>
      </c>
      <c r="O9" s="400">
        <f t="shared" ca="1" si="10"/>
        <v>0.16102777424274006</v>
      </c>
    </row>
    <row r="10" spans="1:16" ht="12" customHeight="1">
      <c r="A10" s="3"/>
      <c r="B10" s="382">
        <v>0.6</v>
      </c>
      <c r="C10" s="383">
        <f t="shared" si="4"/>
        <v>1.4999999999999998</v>
      </c>
      <c r="D10" s="384">
        <f t="shared" si="0"/>
        <v>2.6213589677060685</v>
      </c>
      <c r="E10" s="383">
        <f t="shared" si="1"/>
        <v>0.1997868415060951</v>
      </c>
      <c r="F10" s="585">
        <f t="shared" si="2"/>
        <v>13855.860706523999</v>
      </c>
      <c r="G10" s="585">
        <f t="shared" si="3"/>
        <v>562.67652276759304</v>
      </c>
      <c r="H10" s="585">
        <f t="shared" ca="1" si="5"/>
        <v>2290.1659368778196</v>
      </c>
      <c r="I10" s="388">
        <f t="shared" ca="1" si="6"/>
        <v>0.24569246870149911</v>
      </c>
      <c r="J10" s="395" t="str">
        <f ca="1">IF($C$21=1,VLOOKUP(I10,$J$17:$M$30,3),(IF($C$21=0,VLOOKUP(I10,$E$17:$H$30,3),VLOOKUP(I10,#REF!,3))))</f>
        <v>D</v>
      </c>
      <c r="K10" s="389">
        <f ca="1">IF($C$21=1,VLOOKUP(I10,$J$17:$M$30,4),(IF($C$21=0,VLOOKUP(I10,$E$17:$H$30,4),VLOOKUP(I10,#REF!,4))))</f>
        <v>0.14000000000000001</v>
      </c>
      <c r="L10" s="389">
        <f t="shared" ca="1" si="7"/>
        <v>0.16528500000000002</v>
      </c>
      <c r="M10" s="389">
        <f t="shared" ca="1" si="8"/>
        <v>6.1749691571632535E-2</v>
      </c>
      <c r="N10" s="389">
        <f t="shared" ca="1" si="9"/>
        <v>0.15507870222858272</v>
      </c>
      <c r="O10" s="400">
        <f t="shared" ca="1" si="10"/>
        <v>0.17296195793958768</v>
      </c>
    </row>
    <row r="11" spans="1:16" ht="12" customHeight="1">
      <c r="A11" s="3"/>
      <c r="B11" s="382">
        <v>0.7</v>
      </c>
      <c r="C11" s="383">
        <f t="shared" si="4"/>
        <v>2.333333333333333</v>
      </c>
      <c r="D11" s="384">
        <f t="shared" si="0"/>
        <v>3.3917032855913321</v>
      </c>
      <c r="E11" s="383">
        <f t="shared" si="1"/>
        <v>0.25106806766428541</v>
      </c>
      <c r="F11" s="585">
        <f t="shared" si="2"/>
        <v>16165.170824277999</v>
      </c>
      <c r="G11" s="585">
        <f t="shared" si="3"/>
        <v>562.67652276759304</v>
      </c>
      <c r="H11" s="585">
        <f t="shared" ca="1" si="5"/>
        <v>2671.8602596907895</v>
      </c>
      <c r="I11" s="388">
        <f t="shared" ca="1" si="6"/>
        <v>0.21059354460128493</v>
      </c>
      <c r="J11" s="395" t="str">
        <f ca="1">IF($C$21=1,VLOOKUP(I11,$J$17:$M$30,3),(IF($C$21=0,VLOOKUP(I11,$E$17:$H$30,3),VLOOKUP(I11,#REF!,3))))</f>
        <v>D</v>
      </c>
      <c r="K11" s="389">
        <f ca="1">IF($C$21=1,VLOOKUP(I11,$J$17:$M$30,4),(IF($C$21=0,VLOOKUP(I11,$E$17:$H$30,4),VLOOKUP(I11,#REF!,4))))</f>
        <v>0.14000000000000001</v>
      </c>
      <c r="L11" s="389">
        <f t="shared" ca="1" si="7"/>
        <v>0.16528500000000002</v>
      </c>
      <c r="M11" s="389">
        <f t="shared" ca="1" si="8"/>
        <v>5.292830706139931E-2</v>
      </c>
      <c r="N11" s="389">
        <f t="shared" ca="1" si="9"/>
        <v>0.15653674476735663</v>
      </c>
      <c r="O11" s="400">
        <f t="shared" ca="1" si="10"/>
        <v>0.18489614163643525</v>
      </c>
    </row>
    <row r="12" spans="1:16" ht="12" customHeight="1">
      <c r="A12" s="3"/>
      <c r="B12" s="382">
        <v>0.8</v>
      </c>
      <c r="C12" s="383">
        <f t="shared" si="4"/>
        <v>4.0000000000000009</v>
      </c>
      <c r="D12" s="384">
        <f t="shared" si="0"/>
        <v>4.9323919213618614</v>
      </c>
      <c r="E12" s="383">
        <f t="shared" si="1"/>
        <v>0.35363051998066619</v>
      </c>
      <c r="F12" s="585">
        <f t="shared" si="2"/>
        <v>18474.480942032002</v>
      </c>
      <c r="G12" s="585">
        <f t="shared" si="3"/>
        <v>562.67652276759304</v>
      </c>
      <c r="H12" s="585">
        <f t="shared" ca="1" si="5"/>
        <v>3053.5545825037598</v>
      </c>
      <c r="I12" s="388">
        <f t="shared" ca="1" si="6"/>
        <v>0.18426935152612431</v>
      </c>
      <c r="J12" s="395" t="str">
        <f ca="1">IF($C$21=1,VLOOKUP(I12,$J$17:$M$30,3),(IF($C$21=0,VLOOKUP(I12,$E$17:$H$30,3),VLOOKUP(I12,#REF!,3))))</f>
        <v>D</v>
      </c>
      <c r="K12" s="389">
        <f ca="1">IF($C$21=1,VLOOKUP(I12,$J$17:$M$30,4),(IF($C$21=0,VLOOKUP(I12,$E$17:$H$30,4),VLOOKUP(I12,#REF!,4))))</f>
        <v>0.14000000000000001</v>
      </c>
      <c r="L12" s="389">
        <f t="shared" ca="1" si="7"/>
        <v>0.16528500000000002</v>
      </c>
      <c r="M12" s="389">
        <f t="shared" ca="1" si="8"/>
        <v>4.6312268678724393E-2</v>
      </c>
      <c r="N12" s="389">
        <f t="shared" ca="1" si="9"/>
        <v>0.15763027667143706</v>
      </c>
      <c r="O12" s="400">
        <f t="shared" ca="1" si="10"/>
        <v>0.19683032533328287</v>
      </c>
    </row>
    <row r="13" spans="1:16" ht="12" customHeight="1">
      <c r="A13" s="3"/>
      <c r="B13" s="382">
        <v>0.9</v>
      </c>
      <c r="C13" s="383">
        <f t="shared" si="4"/>
        <v>9.0000000000000018</v>
      </c>
      <c r="D13" s="384">
        <f t="shared" si="0"/>
        <v>9.5544578286734474</v>
      </c>
      <c r="E13" s="383">
        <f t="shared" si="1"/>
        <v>0.66131787692980837</v>
      </c>
      <c r="F13" s="585">
        <f t="shared" si="2"/>
        <v>20783.791059785999</v>
      </c>
      <c r="G13" s="585">
        <f t="shared" si="3"/>
        <v>562.67652276759304</v>
      </c>
      <c r="H13" s="585">
        <f t="shared" ca="1" si="5"/>
        <v>3435.2489053167292</v>
      </c>
      <c r="I13" s="388">
        <f t="shared" ca="1" si="6"/>
        <v>0.16379497913433275</v>
      </c>
      <c r="J13" s="395" t="str">
        <f ca="1">IF($C$21=1,VLOOKUP(I13,$J$17:$M$30,3),(IF($C$21=0,VLOOKUP(I13,$E$17:$H$30,3),VLOOKUP(I13,#REF!,3))))</f>
        <v>D</v>
      </c>
      <c r="K13" s="389">
        <f ca="1">IF($C$21=1,VLOOKUP(I13,$J$17:$M$30,4),(IF($C$21=0,VLOOKUP(I13,$E$17:$H$30,4),VLOOKUP(I13,#REF!,4))))</f>
        <v>0.14000000000000001</v>
      </c>
      <c r="L13" s="389">
        <f t="shared" ca="1" si="7"/>
        <v>0.16528500000000002</v>
      </c>
      <c r="M13" s="389">
        <f t="shared" ca="1" si="8"/>
        <v>4.1166461047755024E-2</v>
      </c>
      <c r="N13" s="389">
        <f t="shared" ca="1" si="9"/>
        <v>0.15848080148572183</v>
      </c>
      <c r="O13" s="400">
        <f t="shared" ca="1" si="10"/>
        <v>0.2087645090301305</v>
      </c>
    </row>
    <row r="14" spans="1:16" s="25" customFormat="1" ht="12" customHeight="1">
      <c r="A14" s="24"/>
    </row>
    <row r="15" spans="1:16" ht="12" customHeight="1">
      <c r="A15" s="3"/>
      <c r="B15" s="385" t="s">
        <v>259</v>
      </c>
      <c r="C15" s="398">
        <f>'Risk Free Rate &amp; ERP'!H13</f>
        <v>0.25132919986511482</v>
      </c>
      <c r="D15" s="3"/>
      <c r="E15" s="580" t="s">
        <v>293</v>
      </c>
      <c r="F15" s="581"/>
      <c r="G15" s="581"/>
      <c r="H15" s="582"/>
      <c r="J15" s="580" t="s">
        <v>294</v>
      </c>
      <c r="K15" s="581"/>
      <c r="L15" s="581"/>
      <c r="M15" s="582"/>
    </row>
    <row r="16" spans="1:16" ht="12" customHeight="1">
      <c r="A16" s="201"/>
      <c r="B16" s="385" t="s">
        <v>126</v>
      </c>
      <c r="C16" s="386">
        <f>'Bottom Up Beta'!C11</f>
        <v>1.2347391955125926</v>
      </c>
      <c r="D16" s="3"/>
      <c r="E16" s="407" t="s">
        <v>291</v>
      </c>
      <c r="F16" s="408"/>
      <c r="G16" s="409" t="s">
        <v>292</v>
      </c>
      <c r="H16" s="410" t="s">
        <v>289</v>
      </c>
      <c r="J16" s="407" t="s">
        <v>291</v>
      </c>
      <c r="K16" s="408"/>
      <c r="L16" s="409" t="s">
        <v>292</v>
      </c>
      <c r="M16" s="410" t="s">
        <v>289</v>
      </c>
    </row>
    <row r="17" spans="1:15" ht="12" customHeight="1">
      <c r="A17" s="201"/>
      <c r="B17" s="385" t="s">
        <v>288</v>
      </c>
      <c r="C17" s="72">
        <f>'Risk Free Rate &amp; ERP'!C6</f>
        <v>2.5284999999999998E-2</v>
      </c>
      <c r="D17" s="3"/>
      <c r="E17" s="409">
        <v>-10000000</v>
      </c>
      <c r="F17" s="409">
        <v>0.4999999</v>
      </c>
      <c r="G17" s="409" t="s">
        <v>290</v>
      </c>
      <c r="H17" s="411">
        <v>0.14000000000000001</v>
      </c>
      <c r="J17" s="409">
        <v>-10000000</v>
      </c>
      <c r="K17" s="409">
        <v>0.19999990000000001</v>
      </c>
      <c r="L17" s="409" t="s">
        <v>290</v>
      </c>
      <c r="M17" s="411">
        <v>0.14000000000000001</v>
      </c>
    </row>
    <row r="18" spans="1:15" ht="12" customHeight="1">
      <c r="A18" s="201"/>
      <c r="B18" s="385" t="s">
        <v>124</v>
      </c>
      <c r="C18" s="72">
        <f>'Risk Free Rate &amp; ERP'!E14</f>
        <v>6.6569227509805859E-2</v>
      </c>
      <c r="D18" s="29"/>
      <c r="E18" s="409">
        <v>0.5</v>
      </c>
      <c r="F18" s="412">
        <v>0.79999989999999999</v>
      </c>
      <c r="G18" s="409" t="s">
        <v>30</v>
      </c>
      <c r="H18" s="411">
        <v>0.127</v>
      </c>
      <c r="I18" s="130"/>
      <c r="J18" s="412">
        <v>0.2</v>
      </c>
      <c r="K18" s="412">
        <v>0.64999989999999996</v>
      </c>
      <c r="L18" s="409" t="s">
        <v>30</v>
      </c>
      <c r="M18" s="411">
        <v>0.127</v>
      </c>
    </row>
    <row r="19" spans="1:15" ht="12" customHeight="1">
      <c r="A19" s="7"/>
      <c r="B19" s="385" t="s">
        <v>311</v>
      </c>
      <c r="C19" s="595">
        <f>'Bottom Up Beta'!C13+'Bottom Up Beta'!C14</f>
        <v>23093.10117754</v>
      </c>
      <c r="D19" s="29"/>
      <c r="E19" s="412">
        <v>0.8</v>
      </c>
      <c r="F19" s="412">
        <v>1.2499998999999999</v>
      </c>
      <c r="G19" s="409" t="s">
        <v>299</v>
      </c>
      <c r="H19" s="411">
        <v>0.115</v>
      </c>
      <c r="I19" s="394"/>
      <c r="J19" s="412">
        <v>0.65</v>
      </c>
      <c r="K19" s="412">
        <v>0.79999989999999999</v>
      </c>
      <c r="L19" s="409" t="s">
        <v>299</v>
      </c>
      <c r="M19" s="411">
        <v>0.115</v>
      </c>
    </row>
    <row r="20" spans="1:15" ht="12" customHeight="1">
      <c r="A20" s="7"/>
      <c r="B20" s="385" t="s">
        <v>296</v>
      </c>
      <c r="C20" s="595">
        <f>'Accounting Adjustments'!C38</f>
        <v>562.67652276759304</v>
      </c>
      <c r="D20" s="29"/>
      <c r="E20" s="412">
        <v>1.25</v>
      </c>
      <c r="F20" s="412">
        <v>1.4999998999999999</v>
      </c>
      <c r="G20" s="409" t="s">
        <v>300</v>
      </c>
      <c r="H20" s="411">
        <v>0.1</v>
      </c>
      <c r="I20" s="393"/>
      <c r="J20" s="412">
        <v>0.8</v>
      </c>
      <c r="K20" s="412">
        <v>1.2499998999999999</v>
      </c>
      <c r="L20" s="409" t="s">
        <v>300</v>
      </c>
      <c r="M20" s="411">
        <v>0.1</v>
      </c>
    </row>
    <row r="21" spans="1:15" ht="12" customHeight="1">
      <c r="A21" s="7"/>
      <c r="B21" s="385" t="s">
        <v>309</v>
      </c>
      <c r="C21" s="399">
        <v>0</v>
      </c>
      <c r="E21" s="412">
        <v>1.5</v>
      </c>
      <c r="F21" s="412">
        <v>1.9999998999999999</v>
      </c>
      <c r="G21" s="409" t="s">
        <v>301</v>
      </c>
      <c r="H21" s="411">
        <v>0.08</v>
      </c>
      <c r="I21" s="69"/>
      <c r="J21" s="412">
        <v>1.25</v>
      </c>
      <c r="K21" s="412">
        <v>1.4999998999999999</v>
      </c>
      <c r="L21" s="409" t="s">
        <v>301</v>
      </c>
      <c r="M21" s="411">
        <v>0.08</v>
      </c>
    </row>
    <row r="22" spans="1:15" ht="12" customHeight="1">
      <c r="A22" s="206"/>
      <c r="B22" s="397" t="s">
        <v>308</v>
      </c>
      <c r="C22" s="336"/>
      <c r="D22" s="29"/>
      <c r="E22" s="412">
        <v>2</v>
      </c>
      <c r="F22" s="412">
        <v>2.4999999000000002</v>
      </c>
      <c r="G22" s="409" t="s">
        <v>302</v>
      </c>
      <c r="H22" s="411">
        <v>6.5000000000000002E-2</v>
      </c>
      <c r="I22" s="391"/>
      <c r="J22" s="412">
        <v>1.5</v>
      </c>
      <c r="K22" s="412">
        <v>1.7499998999999999</v>
      </c>
      <c r="L22" s="409" t="s">
        <v>302</v>
      </c>
      <c r="M22" s="411">
        <v>6.5000000000000002E-2</v>
      </c>
    </row>
    <row r="23" spans="1:15" s="27" customFormat="1" ht="12" customHeight="1">
      <c r="B23" s="387"/>
      <c r="C23" s="284"/>
      <c r="D23" s="29"/>
      <c r="E23" s="412">
        <v>2.5</v>
      </c>
      <c r="F23" s="412">
        <v>2.9999999000000002</v>
      </c>
      <c r="G23" s="409" t="s">
        <v>303</v>
      </c>
      <c r="H23" s="411">
        <v>4.7500000000000001E-2</v>
      </c>
      <c r="I23" s="394"/>
      <c r="J23" s="412">
        <v>1.75</v>
      </c>
      <c r="K23" s="412">
        <v>1.9999998999999999</v>
      </c>
      <c r="L23" s="409" t="s">
        <v>303</v>
      </c>
      <c r="M23" s="411">
        <v>4.7500000000000001E-2</v>
      </c>
    </row>
    <row r="24" spans="1:15" ht="12" customHeight="1">
      <c r="B24" s="413"/>
      <c r="C24" s="288"/>
      <c r="D24" s="334"/>
      <c r="E24" s="412">
        <v>3</v>
      </c>
      <c r="F24" s="412">
        <v>3.4999999000000002</v>
      </c>
      <c r="G24" s="409" t="s">
        <v>304</v>
      </c>
      <c r="H24" s="411">
        <v>3.5000000000000003E-2</v>
      </c>
      <c r="I24" s="393"/>
      <c r="J24" s="412">
        <v>2</v>
      </c>
      <c r="K24" s="412">
        <v>2.4999999000000002</v>
      </c>
      <c r="L24" s="409" t="s">
        <v>304</v>
      </c>
      <c r="M24" s="411">
        <v>3.5000000000000003E-2</v>
      </c>
    </row>
    <row r="25" spans="1:15" ht="12" customHeight="1">
      <c r="B25" s="413"/>
      <c r="C25" s="288"/>
      <c r="E25" s="412">
        <v>3.5</v>
      </c>
      <c r="F25" s="412">
        <v>4.4999998999999997</v>
      </c>
      <c r="G25" s="409" t="s">
        <v>298</v>
      </c>
      <c r="H25" s="411">
        <v>2.2499999999999999E-2</v>
      </c>
      <c r="I25" s="69"/>
      <c r="J25" s="412">
        <v>2.5</v>
      </c>
      <c r="K25" s="412">
        <v>2.9999999000000002</v>
      </c>
      <c r="L25" s="409" t="s">
        <v>298</v>
      </c>
      <c r="M25" s="411">
        <v>2.2499999999999999E-2</v>
      </c>
    </row>
    <row r="26" spans="1:15" ht="12" customHeight="1">
      <c r="B26" s="405"/>
      <c r="D26" s="32"/>
      <c r="E26" s="412">
        <v>4.5</v>
      </c>
      <c r="F26" s="412">
        <v>5.9999998999999997</v>
      </c>
      <c r="G26" s="409" t="s">
        <v>297</v>
      </c>
      <c r="H26" s="411">
        <v>0.02</v>
      </c>
      <c r="I26" s="391"/>
      <c r="J26" s="412">
        <v>3</v>
      </c>
      <c r="K26" s="412">
        <v>4.2499998999999997</v>
      </c>
      <c r="L26" s="409" t="s">
        <v>297</v>
      </c>
      <c r="M26" s="411">
        <v>0.02</v>
      </c>
    </row>
    <row r="27" spans="1:15" ht="12" customHeight="1">
      <c r="B27" s="413"/>
      <c r="D27" s="3"/>
      <c r="E27" s="412">
        <v>6</v>
      </c>
      <c r="F27" s="412">
        <v>7.4999998999999997</v>
      </c>
      <c r="G27" s="409" t="s">
        <v>305</v>
      </c>
      <c r="H27" s="411">
        <v>1.7999999999999999E-2</v>
      </c>
      <c r="I27" s="29"/>
      <c r="J27" s="412">
        <v>4.25</v>
      </c>
      <c r="K27" s="412">
        <v>5.4999998999999997</v>
      </c>
      <c r="L27" s="409" t="s">
        <v>305</v>
      </c>
      <c r="M27" s="411">
        <v>1.7999999999999999E-2</v>
      </c>
    </row>
    <row r="28" spans="1:15" ht="12" customHeight="1">
      <c r="B28" s="405"/>
      <c r="D28" s="3"/>
      <c r="E28" s="412">
        <v>7.5</v>
      </c>
      <c r="F28" s="412">
        <v>9.4999999000000006</v>
      </c>
      <c r="G28" s="409" t="s">
        <v>306</v>
      </c>
      <c r="H28" s="411">
        <v>1.4999999999999999E-2</v>
      </c>
      <c r="I28" s="6"/>
      <c r="J28" s="412">
        <v>5.5</v>
      </c>
      <c r="K28" s="412">
        <v>6.4999998999999997</v>
      </c>
      <c r="L28" s="409" t="s">
        <v>306</v>
      </c>
      <c r="M28" s="411">
        <v>1.4999999999999999E-2</v>
      </c>
    </row>
    <row r="29" spans="1:15" ht="12" customHeight="1">
      <c r="B29" s="3"/>
      <c r="C29" s="3"/>
      <c r="D29" s="3"/>
      <c r="E29" s="412">
        <v>9.5</v>
      </c>
      <c r="F29" s="412">
        <v>12.499999000000001</v>
      </c>
      <c r="G29" s="409" t="s">
        <v>307</v>
      </c>
      <c r="H29" s="411">
        <v>0.01</v>
      </c>
      <c r="I29" s="6"/>
      <c r="J29" s="412">
        <v>6.5</v>
      </c>
      <c r="K29" s="412">
        <v>8.4999999000000006</v>
      </c>
      <c r="L29" s="409" t="s">
        <v>307</v>
      </c>
      <c r="M29" s="411">
        <v>0.01</v>
      </c>
    </row>
    <row r="30" spans="1:15" ht="12" customHeight="1">
      <c r="B30" s="417"/>
      <c r="C30" s="3"/>
      <c r="D30" s="3"/>
      <c r="E30" s="412">
        <v>12.5</v>
      </c>
      <c r="F30" s="412">
        <v>100000000</v>
      </c>
      <c r="G30" s="409" t="s">
        <v>199</v>
      </c>
      <c r="H30" s="411">
        <v>7.4999999999999997E-3</v>
      </c>
      <c r="I30" s="3"/>
      <c r="J30" s="412">
        <v>8.5</v>
      </c>
      <c r="K30" s="412">
        <v>100000000</v>
      </c>
      <c r="L30" s="409" t="s">
        <v>199</v>
      </c>
      <c r="M30" s="411">
        <v>7.4999999999999997E-3</v>
      </c>
    </row>
    <row r="31" spans="1:15" ht="12" customHeight="1">
      <c r="E31" s="31"/>
      <c r="F31" s="130"/>
      <c r="G31" s="3"/>
      <c r="H31" s="3"/>
      <c r="I31" s="3"/>
      <c r="J31" s="3"/>
      <c r="K31" s="3"/>
      <c r="L31" s="3"/>
    </row>
    <row r="32" spans="1:15" ht="12" customHeight="1">
      <c r="B32" s="418"/>
      <c r="C32" s="418"/>
      <c r="D32" s="418"/>
      <c r="E32" s="419"/>
      <c r="F32" s="419"/>
      <c r="G32" s="419"/>
      <c r="H32" s="419"/>
      <c r="I32" s="419"/>
      <c r="J32" s="420"/>
      <c r="K32" s="419"/>
      <c r="L32" s="419"/>
      <c r="M32" s="419"/>
      <c r="N32" s="419"/>
      <c r="O32" s="419"/>
    </row>
    <row r="34" spans="2:16" ht="12" customHeight="1">
      <c r="B34" s="230" t="s">
        <v>287</v>
      </c>
      <c r="C34" s="230" t="s">
        <v>191</v>
      </c>
      <c r="D34" s="230" t="s">
        <v>265</v>
      </c>
      <c r="E34" s="381" t="s">
        <v>7</v>
      </c>
      <c r="F34" s="381" t="s">
        <v>547</v>
      </c>
      <c r="G34" s="381" t="s">
        <v>3</v>
      </c>
      <c r="H34" s="381" t="s">
        <v>141</v>
      </c>
      <c r="I34" s="381" t="s">
        <v>316</v>
      </c>
      <c r="J34" s="396" t="s">
        <v>310</v>
      </c>
      <c r="K34" s="381" t="s">
        <v>289</v>
      </c>
      <c r="L34" s="381" t="s">
        <v>295</v>
      </c>
      <c r="M34" s="381" t="s">
        <v>313</v>
      </c>
      <c r="N34" s="381" t="s">
        <v>312</v>
      </c>
      <c r="O34" s="381" t="s">
        <v>5</v>
      </c>
    </row>
    <row r="35" spans="2:16" ht="12" customHeight="1">
      <c r="B35" s="382">
        <v>0.1</v>
      </c>
      <c r="C35" s="383">
        <f t="shared" ref="C35" si="11">B35/(100%-B35)</f>
        <v>0.11111111111111112</v>
      </c>
      <c r="D35" s="384">
        <f t="shared" ref="D35" si="12">$C$16*(1+(1-$C$15)*C35)</f>
        <v>1.3374517712306278</v>
      </c>
      <c r="E35" s="383">
        <f t="shared" ref="E35" si="13">$C$17+($C$18*D35)</f>
        <v>0.11431813124244448</v>
      </c>
      <c r="F35" s="585">
        <f t="shared" ref="F35" si="14">B35*$C$19</f>
        <v>2309.3101177540002</v>
      </c>
      <c r="G35" s="585">
        <f t="shared" ref="G35:G44" si="15">$C$20</f>
        <v>562.67652276759304</v>
      </c>
      <c r="H35" s="585">
        <f t="shared" ref="H35:H44" ca="1" si="16">L35*F35</f>
        <v>104.57710868248989</v>
      </c>
      <c r="I35" s="388">
        <f t="shared" ref="I35:I44" ca="1" si="17">G35/H35</f>
        <v>5.3804941622162676</v>
      </c>
      <c r="J35" s="395" t="str">
        <f ca="1">IF($C$21=1,VLOOKUP(I35,$J$17:$M$30,3),(IF($C$21=0,VLOOKUP(I35,$E$17:$H$30,3),VLOOKUP(I35,#REF!,3))))</f>
        <v>A-</v>
      </c>
      <c r="K35" s="389">
        <f ca="1">IF($C$21=1,VLOOKUP(I35,$J$17:$M$30,4),(IF($C$21=0,VLOOKUP(I35,$E$17:$H$30,4),VLOOKUP(I35,#REF!,4))))</f>
        <v>0.02</v>
      </c>
      <c r="L35" s="389">
        <f t="shared" ref="L35:L44" ca="1" si="18">$C$17+K35</f>
        <v>4.5284999999999999E-2</v>
      </c>
      <c r="M35" s="389">
        <f t="shared" ref="M35:M44" ca="1" si="19">IF(H35&lt;G35,$C$15,$C$15*(G35/H35))</f>
        <v>0.25132919986511482</v>
      </c>
      <c r="N35" s="389">
        <f t="shared" ref="N35:N44" ca="1" si="20">L35*(1-M35)</f>
        <v>3.3903557184108278E-2</v>
      </c>
      <c r="O35" s="400">
        <f t="shared" ref="O35:O44" ca="1" si="21">(E35*(100%-B35))+(N35*B35)</f>
        <v>0.10627667383661087</v>
      </c>
    </row>
    <row r="36" spans="2:16" ht="12" customHeight="1">
      <c r="B36" s="382">
        <v>0.11</v>
      </c>
      <c r="C36" s="383">
        <f t="shared" ref="C36" si="22">B36/(100%-B36)</f>
        <v>0.12359550561797752</v>
      </c>
      <c r="D36" s="384">
        <f t="shared" ref="D36" si="23">$C$16*(1+(1-$C$15)*C36)</f>
        <v>1.348992510075351</v>
      </c>
      <c r="E36" s="383">
        <f t="shared" ref="E36" si="24">$C$17+($C$18*D36)</f>
        <v>0.11508638931223011</v>
      </c>
      <c r="F36" s="585">
        <f t="shared" ref="F36" si="25">B36*$C$19</f>
        <v>2540.2411295294</v>
      </c>
      <c r="G36" s="585">
        <f t="shared" si="15"/>
        <v>562.67652276759304</v>
      </c>
      <c r="H36" s="585">
        <f t="shared" ca="1" si="16"/>
        <v>115.03481955073887</v>
      </c>
      <c r="I36" s="388">
        <f t="shared" ca="1" si="17"/>
        <v>4.8913583292875167</v>
      </c>
      <c r="J36" s="395" t="str">
        <f ca="1">IF($C$21=1,VLOOKUP(I36,$J$17:$M$30,3),(IF($C$21=0,VLOOKUP(I36,$E$17:$H$30,3),VLOOKUP(I36,#REF!,3))))</f>
        <v>A-</v>
      </c>
      <c r="K36" s="389">
        <f ca="1">IF($C$21=1,VLOOKUP(I36,$J$17:$M$30,4),(IF($C$21=0,VLOOKUP(I36,$E$17:$H$30,4),VLOOKUP(I36,#REF!,4))))</f>
        <v>0.02</v>
      </c>
      <c r="L36" s="389">
        <f t="shared" ca="1" si="18"/>
        <v>4.5284999999999999E-2</v>
      </c>
      <c r="M36" s="389">
        <f t="shared" ca="1" si="19"/>
        <v>0.25132919986511482</v>
      </c>
      <c r="N36" s="389">
        <f t="shared" ca="1" si="20"/>
        <v>3.3903557184108278E-2</v>
      </c>
      <c r="O36" s="400">
        <f t="shared" ca="1" si="21"/>
        <v>0.1061562777781367</v>
      </c>
    </row>
    <row r="37" spans="2:16" ht="12" customHeight="1">
      <c r="B37" s="382">
        <v>0.12</v>
      </c>
      <c r="C37" s="383">
        <f t="shared" ref="C37" si="26">B37/(100%-B37)</f>
        <v>0.13636363636363635</v>
      </c>
      <c r="D37" s="384">
        <f t="shared" ref="D37" si="27">$C$16*(1+(1-$C$15)*C37)</f>
        <v>1.360795538439272</v>
      </c>
      <c r="E37" s="383">
        <f t="shared" ref="E37" si="28">$C$17+($C$18*D37)</f>
        <v>0.11587210779269266</v>
      </c>
      <c r="F37" s="585">
        <f t="shared" ref="F37" si="29">B37*$C$19</f>
        <v>2771.1721413047999</v>
      </c>
      <c r="G37" s="585">
        <f t="shared" si="15"/>
        <v>562.67652276759304</v>
      </c>
      <c r="H37" s="585">
        <f t="shared" ca="1" si="16"/>
        <v>132.42046077224984</v>
      </c>
      <c r="I37" s="388">
        <f t="shared" ca="1" si="17"/>
        <v>4.2491660237864695</v>
      </c>
      <c r="J37" s="395" t="str">
        <f ca="1">IF($C$21=1,VLOOKUP(I37,$J$17:$M$30,3),(IF($C$21=0,VLOOKUP(I37,$E$17:$H$30,3),VLOOKUP(I37,#REF!,3))))</f>
        <v>BBB</v>
      </c>
      <c r="K37" s="389">
        <f ca="1">IF($C$21=1,VLOOKUP(I37,$J$17:$M$30,4),(IF($C$21=0,VLOOKUP(I37,$E$17:$H$30,4),VLOOKUP(I37,#REF!,4))))</f>
        <v>2.2499999999999999E-2</v>
      </c>
      <c r="L37" s="389">
        <f t="shared" ca="1" si="18"/>
        <v>4.7784999999999994E-2</v>
      </c>
      <c r="M37" s="389">
        <f t="shared" ca="1" si="19"/>
        <v>0.25132919986511482</v>
      </c>
      <c r="N37" s="389">
        <f t="shared" ca="1" si="20"/>
        <v>3.5775234184445483E-2</v>
      </c>
      <c r="O37" s="400">
        <f t="shared" ca="1" si="21"/>
        <v>0.106260482959703</v>
      </c>
    </row>
    <row r="38" spans="2:16" ht="12" customHeight="1">
      <c r="B38" s="382">
        <v>0.13</v>
      </c>
      <c r="C38" s="383">
        <f t="shared" ref="C38" si="30">B38/(100%-B38)</f>
        <v>0.14942528735632185</v>
      </c>
      <c r="D38" s="384">
        <f t="shared" ref="D38" si="31">$C$16*(1+(1-$C$15)*C38)</f>
        <v>1.3728699007885712</v>
      </c>
      <c r="E38" s="383">
        <f t="shared" ref="E38" si="32">$C$17+($C$18*D38)</f>
        <v>0.116675888766959</v>
      </c>
      <c r="F38" s="585">
        <f t="shared" ref="F38" si="33">B38*$C$19</f>
        <v>3002.1031530802002</v>
      </c>
      <c r="G38" s="585">
        <f t="shared" si="15"/>
        <v>562.67652276759304</v>
      </c>
      <c r="H38" s="585">
        <f t="shared" ca="1" si="16"/>
        <v>143.45549916993735</v>
      </c>
      <c r="I38" s="388">
        <f t="shared" ca="1" si="17"/>
        <v>3.9223070988798172</v>
      </c>
      <c r="J38" s="395" t="str">
        <f ca="1">IF($C$21=1,VLOOKUP(I38,$J$17:$M$30,3),(IF($C$21=0,VLOOKUP(I38,$E$17:$H$30,3),VLOOKUP(I38,#REF!,3))))</f>
        <v>BBB</v>
      </c>
      <c r="K38" s="389">
        <f ca="1">IF($C$21=1,VLOOKUP(I38,$J$17:$M$30,4),(IF($C$21=0,VLOOKUP(I38,$E$17:$H$30,4),VLOOKUP(I38,#REF!,4))))</f>
        <v>2.2499999999999999E-2</v>
      </c>
      <c r="L38" s="389">
        <f t="shared" ca="1" si="18"/>
        <v>4.7784999999999994E-2</v>
      </c>
      <c r="M38" s="389">
        <f t="shared" ca="1" si="19"/>
        <v>0.25132919986511482</v>
      </c>
      <c r="N38" s="389">
        <f t="shared" ca="1" si="20"/>
        <v>3.5775234184445483E-2</v>
      </c>
      <c r="O38" s="400">
        <f t="shared" ca="1" si="21"/>
        <v>0.10615880367123225</v>
      </c>
    </row>
    <row r="39" spans="2:16" ht="12" customHeight="1">
      <c r="B39" s="434">
        <v>0.14000000000000001</v>
      </c>
      <c r="C39" s="401">
        <f t="shared" ref="C39" si="34">B39/(100%-B39)</f>
        <v>0.16279069767441862</v>
      </c>
      <c r="D39" s="402">
        <f t="shared" ref="D39" si="35">$C$16*(1+(1-$C$15)*C39)</f>
        <v>1.3852250622622719</v>
      </c>
      <c r="E39" s="401">
        <f t="shared" ref="E39" si="36">$C$17+($C$18*D39)</f>
        <v>0.11749836232202217</v>
      </c>
      <c r="F39" s="592">
        <f t="shared" ref="F39" si="37">B39*$C$19</f>
        <v>3233.0341648556005</v>
      </c>
      <c r="G39" s="592">
        <f t="shared" si="15"/>
        <v>562.67652276759304</v>
      </c>
      <c r="H39" s="592">
        <f t="shared" ca="1" si="16"/>
        <v>154.49053756762484</v>
      </c>
      <c r="I39" s="435">
        <f t="shared" ca="1" si="17"/>
        <v>3.6421423061026879</v>
      </c>
      <c r="J39" s="436" t="str">
        <f ca="1">IF($C$21=1,VLOOKUP(I39,$J$17:$M$30,3),(IF($C$21=0,VLOOKUP(I39,$E$17:$H$30,3),VLOOKUP(I39,#REF!,3))))</f>
        <v>BBB</v>
      </c>
      <c r="K39" s="403">
        <f ca="1">IF($C$21=1,VLOOKUP(I39,$J$17:$M$30,4),(IF($C$21=0,VLOOKUP(I39,$E$17:$H$30,4),VLOOKUP(I39,#REF!,4))))</f>
        <v>2.2499999999999999E-2</v>
      </c>
      <c r="L39" s="403">
        <f t="shared" ca="1" si="18"/>
        <v>4.7784999999999994E-2</v>
      </c>
      <c r="M39" s="403">
        <f t="shared" ca="1" si="19"/>
        <v>0.25132919986511482</v>
      </c>
      <c r="N39" s="403">
        <f t="shared" ca="1" si="20"/>
        <v>3.5775234184445483E-2</v>
      </c>
      <c r="O39" s="404">
        <f t="shared" ca="1" si="21"/>
        <v>0.10605712438276142</v>
      </c>
      <c r="P39" s="405" t="s">
        <v>314</v>
      </c>
    </row>
    <row r="40" spans="2:16" ht="12" customHeight="1">
      <c r="B40" s="382">
        <v>0.15</v>
      </c>
      <c r="C40" s="383">
        <f t="shared" ref="C40" si="38">B40/(100%-B40)</f>
        <v>0.17647058823529413</v>
      </c>
      <c r="D40" s="384">
        <f t="shared" ref="D40" si="39">$C$16*(1+(1-$C$15)*C40)</f>
        <v>1.3978709334177073</v>
      </c>
      <c r="E40" s="383">
        <f t="shared" ref="E40" si="40">$C$17+($C$18*D40)</f>
        <v>0.11834018819602804</v>
      </c>
      <c r="F40" s="585">
        <f t="shared" ref="F40" si="41">B40*$C$19</f>
        <v>3463.9651766309998</v>
      </c>
      <c r="G40" s="585">
        <f t="shared" si="15"/>
        <v>562.67652276759304</v>
      </c>
      <c r="H40" s="585">
        <f t="shared" ca="1" si="16"/>
        <v>364.70357362159484</v>
      </c>
      <c r="I40" s="388">
        <f t="shared" ca="1" si="17"/>
        <v>1.5428324904526678</v>
      </c>
      <c r="J40" s="395" t="str">
        <f ca="1">IF($C$21=1,VLOOKUP(I40,$J$17:$M$30,3),(IF($C$21=0,VLOOKUP(I40,$E$17:$H$30,3),VLOOKUP(I40,#REF!,3))))</f>
        <v>B-</v>
      </c>
      <c r="K40" s="389">
        <f ca="1">IF($C$21=1,VLOOKUP(I40,$J$17:$M$30,4),(IF($C$21=0,VLOOKUP(I40,$E$17:$H$30,4),VLOOKUP(I40,#REF!,4))))</f>
        <v>0.08</v>
      </c>
      <c r="L40" s="389">
        <f t="shared" ca="1" si="18"/>
        <v>0.105285</v>
      </c>
      <c r="M40" s="389">
        <f t="shared" ca="1" si="19"/>
        <v>0.25132919986511482</v>
      </c>
      <c r="N40" s="389">
        <f t="shared" ca="1" si="20"/>
        <v>7.882380519220139E-2</v>
      </c>
      <c r="O40" s="400">
        <f t="shared" ca="1" si="21"/>
        <v>0.11241273074545405</v>
      </c>
    </row>
    <row r="41" spans="2:16" ht="12" customHeight="1">
      <c r="B41" s="382">
        <v>0.16</v>
      </c>
      <c r="C41" s="383">
        <f t="shared" ref="C41" si="42">B41/(100%-B41)</f>
        <v>0.19047619047619049</v>
      </c>
      <c r="D41" s="384">
        <f t="shared" ref="D41" si="43">$C$16*(1+(1-$C$15)*C41)</f>
        <v>1.4108178967435101</v>
      </c>
      <c r="E41" s="383">
        <f t="shared" ref="E41" si="44">$C$17+($C$18*D41)</f>
        <v>0.11920205754322452</v>
      </c>
      <c r="F41" s="585">
        <f t="shared" ref="F41" si="45">B41*$C$19</f>
        <v>3694.8961884064001</v>
      </c>
      <c r="G41" s="585">
        <f t="shared" si="15"/>
        <v>562.67652276759304</v>
      </c>
      <c r="H41" s="585">
        <f t="shared" ca="1" si="16"/>
        <v>518.33851179059184</v>
      </c>
      <c r="I41" s="388">
        <f t="shared" ca="1" si="17"/>
        <v>1.0855387164342396</v>
      </c>
      <c r="J41" s="395" t="str">
        <f ca="1">IF($C$21=1,VLOOKUP(I41,$J$17:$M$30,3),(IF($C$21=0,VLOOKUP(I41,$E$17:$H$30,3),VLOOKUP(I41,#REF!,3))))</f>
        <v>CC</v>
      </c>
      <c r="K41" s="389">
        <f ca="1">IF($C$21=1,VLOOKUP(I41,$J$17:$M$30,4),(IF($C$21=0,VLOOKUP(I41,$E$17:$H$30,4),VLOOKUP(I41,#REF!,4))))</f>
        <v>0.115</v>
      </c>
      <c r="L41" s="389">
        <f t="shared" ca="1" si="18"/>
        <v>0.14028499999999999</v>
      </c>
      <c r="M41" s="389">
        <f t="shared" ca="1" si="19"/>
        <v>0.25132919986511482</v>
      </c>
      <c r="N41" s="389">
        <f t="shared" ca="1" si="20"/>
        <v>0.10502728319692237</v>
      </c>
      <c r="O41" s="400">
        <f t="shared" ca="1" si="21"/>
        <v>0.11693409364781618</v>
      </c>
    </row>
    <row r="42" spans="2:16" ht="12" customHeight="1">
      <c r="B42" s="382">
        <v>0.17</v>
      </c>
      <c r="C42" s="383">
        <f t="shared" ref="C42" si="46">B42/(100%-B42)</f>
        <v>0.20481927710843376</v>
      </c>
      <c r="D42" s="384">
        <f t="shared" ref="D42" si="47">$C$16*(1+(1-$C$15)*C42)</f>
        <v>1.4240768350892119</v>
      </c>
      <c r="E42" s="383">
        <f t="shared" ref="E42" si="48">$C$17+($C$18*D42)</f>
        <v>0.12008469482649803</v>
      </c>
      <c r="F42" s="585">
        <f t="shared" ref="F42" si="49">B42*$C$19</f>
        <v>3925.8272001818004</v>
      </c>
      <c r="G42" s="585">
        <f t="shared" si="15"/>
        <v>562.67652276759304</v>
      </c>
      <c r="H42" s="585">
        <f t="shared" ca="1" si="16"/>
        <v>550.73466877750388</v>
      </c>
      <c r="I42" s="388">
        <f t="shared" ca="1" si="17"/>
        <v>1.0216834978204608</v>
      </c>
      <c r="J42" s="395" t="str">
        <f ca="1">IF($C$21=1,VLOOKUP(I42,$J$17:$M$30,3),(IF($C$21=0,VLOOKUP(I42,$E$17:$H$30,3),VLOOKUP(I42,#REF!,3))))</f>
        <v>CC</v>
      </c>
      <c r="K42" s="389">
        <f ca="1">IF($C$21=1,VLOOKUP(I42,$J$17:$M$30,4),(IF($C$21=0,VLOOKUP(I42,$E$17:$H$30,4),VLOOKUP(I42,#REF!,4))))</f>
        <v>0.115</v>
      </c>
      <c r="L42" s="389">
        <f t="shared" ca="1" si="18"/>
        <v>0.14028499999999999</v>
      </c>
      <c r="M42" s="389">
        <f t="shared" ca="1" si="19"/>
        <v>0.25132919986511482</v>
      </c>
      <c r="N42" s="389">
        <f t="shared" ca="1" si="20"/>
        <v>0.10502728319692237</v>
      </c>
      <c r="O42" s="400">
        <f t="shared" ca="1" si="21"/>
        <v>0.11752493484947016</v>
      </c>
    </row>
    <row r="43" spans="2:16" ht="12" customHeight="1">
      <c r="B43" s="382">
        <v>0.18</v>
      </c>
      <c r="C43" s="383">
        <f t="shared" ref="C43" si="50">B43/(100%-B43)</f>
        <v>0.21951219512195119</v>
      </c>
      <c r="D43" s="384">
        <f t="shared" ref="D43" si="51">$C$16*(1+(1-$C$15)*C43)</f>
        <v>1.4376591621750525</v>
      </c>
      <c r="E43" s="383">
        <f t="shared" ref="E43" si="52">$C$17+($C$18*D43)</f>
        <v>0.12098885984838795</v>
      </c>
      <c r="F43" s="585">
        <f t="shared" ref="F43" si="53">B43*$C$19</f>
        <v>4156.7582119571998</v>
      </c>
      <c r="G43" s="585">
        <f t="shared" si="15"/>
        <v>562.67652276759304</v>
      </c>
      <c r="H43" s="585">
        <f t="shared" ca="1" si="16"/>
        <v>583.1308257644157</v>
      </c>
      <c r="I43" s="388">
        <f t="shared" ca="1" si="17"/>
        <v>0.96492330349710209</v>
      </c>
      <c r="J43" s="395" t="str">
        <f ca="1">IF($C$21=1,VLOOKUP(I43,$J$17:$M$30,3),(IF($C$21=0,VLOOKUP(I43,$E$17:$H$30,3),VLOOKUP(I43,#REF!,3))))</f>
        <v>CC</v>
      </c>
      <c r="K43" s="389">
        <f ca="1">IF($C$21=1,VLOOKUP(I43,$J$17:$M$30,4),(IF($C$21=0,VLOOKUP(I43,$E$17:$H$30,4),VLOOKUP(I43,#REF!,4))))</f>
        <v>0.115</v>
      </c>
      <c r="L43" s="389">
        <f t="shared" ca="1" si="18"/>
        <v>0.14028499999999999</v>
      </c>
      <c r="M43" s="389">
        <f t="shared" ca="1" si="19"/>
        <v>0.24251340179913</v>
      </c>
      <c r="N43" s="389">
        <f t="shared" ca="1" si="20"/>
        <v>0.10626400742860904</v>
      </c>
      <c r="O43" s="400">
        <f t="shared" ca="1" si="21"/>
        <v>0.11833838641282775</v>
      </c>
    </row>
    <row r="44" spans="2:16" ht="12" customHeight="1">
      <c r="B44" s="382">
        <v>0.19</v>
      </c>
      <c r="C44" s="383">
        <f t="shared" ref="C44" si="54">B44/(100%-B44)</f>
        <v>0.23456790123456789</v>
      </c>
      <c r="D44" s="384">
        <f t="shared" ref="D44" si="55">$C$16*(1+(1-$C$15)*C44)</f>
        <v>1.4515768553617781</v>
      </c>
      <c r="E44" s="383">
        <f t="shared" ref="E44" si="56">$C$17+($C$18*D44)</f>
        <v>0.12191534993254675</v>
      </c>
      <c r="F44" s="585">
        <f t="shared" ref="F44" si="57">B44*$C$19</f>
        <v>4387.6892237326001</v>
      </c>
      <c r="G44" s="585">
        <f t="shared" si="15"/>
        <v>562.67652276759304</v>
      </c>
      <c r="H44" s="585">
        <f t="shared" ca="1" si="16"/>
        <v>615.52698275132775</v>
      </c>
      <c r="I44" s="388">
        <f t="shared" ca="1" si="17"/>
        <v>0.91413786647093875</v>
      </c>
      <c r="J44" s="395" t="str">
        <f ca="1">IF($C$21=1,VLOOKUP(I44,$J$17:$M$30,3),(IF($C$21=0,VLOOKUP(I44,$E$17:$H$30,3),VLOOKUP(I44,#REF!,3))))</f>
        <v>CC</v>
      </c>
      <c r="K44" s="389">
        <f ca="1">IF($C$21=1,VLOOKUP(I44,$J$17:$M$30,4),(IF($C$21=0,VLOOKUP(I44,$E$17:$H$30,4),VLOOKUP(I44,#REF!,4))))</f>
        <v>0.115</v>
      </c>
      <c r="L44" s="389">
        <f t="shared" ca="1" si="18"/>
        <v>0.14028499999999999</v>
      </c>
      <c r="M44" s="389">
        <f t="shared" ca="1" si="19"/>
        <v>0.2297495385465442</v>
      </c>
      <c r="N44" s="389">
        <f t="shared" ca="1" si="20"/>
        <v>0.10805458598499804</v>
      </c>
      <c r="O44" s="400">
        <f t="shared" ca="1" si="21"/>
        <v>0.11928180478251249</v>
      </c>
    </row>
  </sheetData>
  <mergeCells count="2">
    <mergeCell ref="E15:H15"/>
    <mergeCell ref="J15:M15"/>
  </mergeCells>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6" t="s">
        <v>337</v>
      </c>
    </row>
    <row r="3" spans="1:13" ht="12" customHeight="1">
      <c r="B3" s="230" t="s">
        <v>287</v>
      </c>
      <c r="C3" s="381" t="s">
        <v>547</v>
      </c>
      <c r="D3" s="381" t="s">
        <v>313</v>
      </c>
      <c r="E3" s="381" t="s">
        <v>347</v>
      </c>
      <c r="F3" s="381" t="s">
        <v>338</v>
      </c>
      <c r="G3" s="396" t="s">
        <v>310</v>
      </c>
      <c r="H3" s="381" t="s">
        <v>341</v>
      </c>
      <c r="I3" s="381" t="s">
        <v>339</v>
      </c>
      <c r="J3" s="381" t="s">
        <v>350</v>
      </c>
      <c r="K3" s="25"/>
      <c r="L3" s="25"/>
    </row>
    <row r="4" spans="1:13" ht="12" customHeight="1">
      <c r="B4" s="584">
        <v>0</v>
      </c>
      <c r="C4" s="585">
        <f t="shared" ref="C4:C13" si="0">B4*$C$19</f>
        <v>0</v>
      </c>
      <c r="D4" s="430">
        <f>'Optimal Cost of Capital'!M4</f>
        <v>0.25132919986511482</v>
      </c>
      <c r="E4" s="585">
        <f>$C$22</f>
        <v>22693.640657517779</v>
      </c>
      <c r="F4" s="593">
        <f>C4*D4</f>
        <v>0</v>
      </c>
      <c r="G4" s="429" t="str">
        <f>'Optimal Cost of Capital'!J4</f>
        <v>AAA</v>
      </c>
      <c r="H4" s="389">
        <f t="shared" ref="H4:H13" si="1">VLOOKUP(G4,$H$16:$I$29,2,)</f>
        <v>6.9999999999999999E-4</v>
      </c>
      <c r="I4" s="593">
        <f t="shared" ref="I4:I13" si="2">H4*VLOOKUP($C$16,$E$16:$F$18,2,)*E4</f>
        <v>3.9713871150656113</v>
      </c>
      <c r="J4" s="593">
        <f>E4+F4-I4</f>
        <v>22689.669270402712</v>
      </c>
      <c r="M4" s="405"/>
    </row>
    <row r="5" spans="1:13" ht="12" customHeight="1">
      <c r="B5" s="434">
        <v>0.1</v>
      </c>
      <c r="C5" s="592">
        <f t="shared" si="0"/>
        <v>2309.3101177540002</v>
      </c>
      <c r="D5" s="431">
        <f ca="1">'Optimal Cost of Capital'!M5</f>
        <v>0.25132919986511482</v>
      </c>
      <c r="E5" s="592">
        <f t="shared" ref="E4:E13" si="3">$C$22</f>
        <v>22693.640657517779</v>
      </c>
      <c r="F5" s="594">
        <f t="shared" ref="F5:F13" ca="1" si="4">C5*D5</f>
        <v>580.39706413552699</v>
      </c>
      <c r="G5" s="406" t="str">
        <f ca="1">'Optimal Cost of Capital'!J5</f>
        <v>A-</v>
      </c>
      <c r="H5" s="403">
        <f t="shared" ca="1" si="1"/>
        <v>2.5000000000000001E-2</v>
      </c>
      <c r="I5" s="594">
        <f t="shared" ca="1" si="2"/>
        <v>141.83525410948613</v>
      </c>
      <c r="J5" s="594">
        <f ca="1">E5+F5-I5</f>
        <v>23132.202467543819</v>
      </c>
      <c r="K5" s="405" t="s">
        <v>314</v>
      </c>
    </row>
    <row r="6" spans="1:13" ht="12" customHeight="1">
      <c r="B6" s="382">
        <v>0.2</v>
      </c>
      <c r="C6" s="585">
        <f t="shared" si="0"/>
        <v>4618.6202355080004</v>
      </c>
      <c r="D6" s="430">
        <f ca="1">'Optimal Cost of Capital'!M6</f>
        <v>0.21826206161921696</v>
      </c>
      <c r="E6" s="585">
        <f t="shared" si="3"/>
        <v>22693.640657517779</v>
      </c>
      <c r="F6" s="593">
        <f t="shared" ca="1" si="4"/>
        <v>1008.0695744382095</v>
      </c>
      <c r="G6" s="429" t="str">
        <f ca="1">'Optimal Cost of Capital'!J6</f>
        <v>CC</v>
      </c>
      <c r="H6" s="389">
        <f t="shared" ca="1" si="1"/>
        <v>0.7</v>
      </c>
      <c r="I6" s="593">
        <f t="shared" ca="1" si="2"/>
        <v>3971.3871150656109</v>
      </c>
      <c r="J6" s="593">
        <f t="shared" ref="J6:J13" ca="1" si="5">E6+F6-I6</f>
        <v>19730.323116890377</v>
      </c>
    </row>
    <row r="7" spans="1:13" ht="12" customHeight="1">
      <c r="B7" s="382">
        <v>0.3</v>
      </c>
      <c r="C7" s="585">
        <f t="shared" si="0"/>
        <v>6927.9303532619997</v>
      </c>
      <c r="D7" s="430">
        <f ca="1">'Optimal Cost of Capital'!M7</f>
        <v>0.13404206286130985</v>
      </c>
      <c r="E7" s="585">
        <f t="shared" si="3"/>
        <v>22693.640657517779</v>
      </c>
      <c r="F7" s="593">
        <f t="shared" ca="1" si="4"/>
        <v>928.63407591072155</v>
      </c>
      <c r="G7" s="429" t="str">
        <f ca="1">'Optimal Cost of Capital'!J7</f>
        <v>C</v>
      </c>
      <c r="H7" s="389">
        <f t="shared" ca="1" si="1"/>
        <v>0.85</v>
      </c>
      <c r="I7" s="593">
        <f t="shared" ca="1" si="2"/>
        <v>4822.3986397225281</v>
      </c>
      <c r="J7" s="593">
        <f t="shared" ca="1" si="5"/>
        <v>18799.876093705974</v>
      </c>
    </row>
    <row r="8" spans="1:13" ht="12" customHeight="1">
      <c r="B8" s="382">
        <v>0.4</v>
      </c>
      <c r="C8" s="585">
        <f t="shared" si="0"/>
        <v>9237.2404710160008</v>
      </c>
      <c r="D8" s="430">
        <f ca="1">'Optimal Cost of Capital'!M8</f>
        <v>9.2624537357448786E-2</v>
      </c>
      <c r="E8" s="585">
        <f t="shared" si="3"/>
        <v>22693.640657517779</v>
      </c>
      <c r="F8" s="593">
        <f ca="1">C8*D8</f>
        <v>855.59512508735941</v>
      </c>
      <c r="G8" s="429" t="str">
        <f ca="1">'Optimal Cost of Capital'!J8</f>
        <v>D</v>
      </c>
      <c r="H8" s="389">
        <f t="shared" ca="1" si="1"/>
        <v>1</v>
      </c>
      <c r="I8" s="593">
        <f t="shared" ca="1" si="2"/>
        <v>5673.4101643794447</v>
      </c>
      <c r="J8" s="593">
        <f t="shared" ca="1" si="5"/>
        <v>17875.825618225692</v>
      </c>
    </row>
    <row r="9" spans="1:13" ht="12" customHeight="1">
      <c r="B9" s="382">
        <v>0.5</v>
      </c>
      <c r="C9" s="585">
        <f t="shared" si="0"/>
        <v>11546.55058877</v>
      </c>
      <c r="D9" s="430">
        <f ca="1">'Optimal Cost of Capital'!M9</f>
        <v>7.4099629885959042E-2</v>
      </c>
      <c r="E9" s="585">
        <f t="shared" si="3"/>
        <v>22693.640657517779</v>
      </c>
      <c r="F9" s="593">
        <f ca="1">C9*D9</f>
        <v>855.59512508735952</v>
      </c>
      <c r="G9" s="429" t="str">
        <f ca="1">'Optimal Cost of Capital'!J9</f>
        <v>D</v>
      </c>
      <c r="H9" s="389">
        <f t="shared" ca="1" si="1"/>
        <v>1</v>
      </c>
      <c r="I9" s="593">
        <f t="shared" ca="1" si="2"/>
        <v>5673.4101643794447</v>
      </c>
      <c r="J9" s="593">
        <f t="shared" ca="1" si="5"/>
        <v>17875.825618225692</v>
      </c>
    </row>
    <row r="10" spans="1:13" ht="12" customHeight="1">
      <c r="A10" s="3"/>
      <c r="B10" s="382">
        <v>0.6</v>
      </c>
      <c r="C10" s="585">
        <f t="shared" si="0"/>
        <v>13855.860706523999</v>
      </c>
      <c r="D10" s="430">
        <f ca="1">'Optimal Cost of Capital'!M10</f>
        <v>6.1749691571632535E-2</v>
      </c>
      <c r="E10" s="585">
        <f t="shared" si="3"/>
        <v>22693.640657517779</v>
      </c>
      <c r="F10" s="593">
        <f t="shared" ca="1" si="4"/>
        <v>855.59512508735941</v>
      </c>
      <c r="G10" s="429" t="str">
        <f ca="1">'Optimal Cost of Capital'!J10</f>
        <v>D</v>
      </c>
      <c r="H10" s="389">
        <f t="shared" ca="1" si="1"/>
        <v>1</v>
      </c>
      <c r="I10" s="593">
        <f t="shared" ca="1" si="2"/>
        <v>5673.4101643794447</v>
      </c>
      <c r="J10" s="593">
        <f t="shared" ca="1" si="5"/>
        <v>17875.825618225692</v>
      </c>
    </row>
    <row r="11" spans="1:13" ht="12" customHeight="1">
      <c r="A11" s="3"/>
      <c r="B11" s="382">
        <v>0.7</v>
      </c>
      <c r="C11" s="585">
        <f t="shared" si="0"/>
        <v>16165.170824277999</v>
      </c>
      <c r="D11" s="430">
        <f ca="1">'Optimal Cost of Capital'!M11</f>
        <v>5.292830706139931E-2</v>
      </c>
      <c r="E11" s="585">
        <f t="shared" si="3"/>
        <v>22693.640657517779</v>
      </c>
      <c r="F11" s="593">
        <f t="shared" ca="1" si="4"/>
        <v>855.59512508735929</v>
      </c>
      <c r="G11" s="429" t="str">
        <f ca="1">'Optimal Cost of Capital'!J11</f>
        <v>D</v>
      </c>
      <c r="H11" s="389">
        <f t="shared" ca="1" si="1"/>
        <v>1</v>
      </c>
      <c r="I11" s="593">
        <f t="shared" ca="1" si="2"/>
        <v>5673.4101643794447</v>
      </c>
      <c r="J11" s="593">
        <f t="shared" ca="1" si="5"/>
        <v>17875.825618225692</v>
      </c>
    </row>
    <row r="12" spans="1:13" ht="12" customHeight="1">
      <c r="A12" s="3"/>
      <c r="B12" s="382">
        <v>0.8</v>
      </c>
      <c r="C12" s="585">
        <f t="shared" si="0"/>
        <v>18474.480942032002</v>
      </c>
      <c r="D12" s="430">
        <f ca="1">'Optimal Cost of Capital'!M12</f>
        <v>4.6312268678724393E-2</v>
      </c>
      <c r="E12" s="585">
        <f t="shared" si="3"/>
        <v>22693.640657517779</v>
      </c>
      <c r="F12" s="593">
        <f t="shared" ca="1" si="4"/>
        <v>855.59512508735941</v>
      </c>
      <c r="G12" s="429" t="str">
        <f ca="1">'Optimal Cost of Capital'!J12</f>
        <v>D</v>
      </c>
      <c r="H12" s="389">
        <f t="shared" ca="1" si="1"/>
        <v>1</v>
      </c>
      <c r="I12" s="593">
        <f t="shared" ca="1" si="2"/>
        <v>5673.4101643794447</v>
      </c>
      <c r="J12" s="593">
        <f t="shared" ca="1" si="5"/>
        <v>17875.825618225692</v>
      </c>
      <c r="K12" s="27"/>
      <c r="L12" s="27"/>
    </row>
    <row r="13" spans="1:13" ht="12" customHeight="1">
      <c r="A13" s="3"/>
      <c r="B13" s="382">
        <v>0.9</v>
      </c>
      <c r="C13" s="585">
        <f t="shared" si="0"/>
        <v>20783.791059785999</v>
      </c>
      <c r="D13" s="430">
        <f ca="1">'Optimal Cost of Capital'!M13</f>
        <v>4.1166461047755024E-2</v>
      </c>
      <c r="E13" s="585">
        <f t="shared" si="3"/>
        <v>22693.640657517779</v>
      </c>
      <c r="F13" s="593">
        <f t="shared" ca="1" si="4"/>
        <v>855.59512508735941</v>
      </c>
      <c r="G13" s="429" t="str">
        <f ca="1">'Optimal Cost of Capital'!J13</f>
        <v>D</v>
      </c>
      <c r="H13" s="389">
        <f t="shared" ca="1" si="1"/>
        <v>1</v>
      </c>
      <c r="I13" s="593">
        <f t="shared" ca="1" si="2"/>
        <v>5673.4101643794447</v>
      </c>
      <c r="J13" s="593">
        <f t="shared" ca="1" si="5"/>
        <v>17875.825618225692</v>
      </c>
    </row>
    <row r="14" spans="1:13" s="25" customFormat="1" ht="12" customHeight="1">
      <c r="A14" s="24"/>
      <c r="K14" s="2"/>
      <c r="L14" s="2"/>
    </row>
    <row r="15" spans="1:13" ht="12" customHeight="1">
      <c r="B15" s="385" t="s">
        <v>351</v>
      </c>
      <c r="C15" s="399" t="str">
        <f>'Cost of Equity, Debt &amp; WACC'!C14</f>
        <v>A</v>
      </c>
      <c r="D15" s="3"/>
      <c r="E15" s="409"/>
      <c r="F15" s="410" t="s">
        <v>345</v>
      </c>
      <c r="H15" s="409" t="s">
        <v>292</v>
      </c>
      <c r="I15" s="410" t="s">
        <v>341</v>
      </c>
    </row>
    <row r="16" spans="1:13" ht="12" customHeight="1">
      <c r="B16" s="385" t="s">
        <v>349</v>
      </c>
      <c r="C16" s="399" t="s">
        <v>343</v>
      </c>
      <c r="D16" s="3"/>
      <c r="E16" s="409" t="s">
        <v>342</v>
      </c>
      <c r="F16" s="411">
        <v>0.4</v>
      </c>
      <c r="H16" s="409" t="s">
        <v>290</v>
      </c>
      <c r="I16" s="411">
        <v>1</v>
      </c>
    </row>
    <row r="17" spans="1:12" ht="12" customHeight="1">
      <c r="B17" s="397" t="s">
        <v>348</v>
      </c>
      <c r="C17" s="336"/>
      <c r="D17" s="3"/>
      <c r="E17" s="409" t="s">
        <v>343</v>
      </c>
      <c r="F17" s="411">
        <v>0.25</v>
      </c>
      <c r="H17" s="409" t="s">
        <v>30</v>
      </c>
      <c r="I17" s="411">
        <v>0.85</v>
      </c>
    </row>
    <row r="18" spans="1:12" ht="12" customHeight="1">
      <c r="D18" s="29"/>
      <c r="E18" s="409" t="s">
        <v>344</v>
      </c>
      <c r="F18" s="411">
        <v>0.1</v>
      </c>
      <c r="G18" s="130"/>
      <c r="H18" s="409" t="s">
        <v>299</v>
      </c>
      <c r="I18" s="411">
        <v>0.7</v>
      </c>
    </row>
    <row r="19" spans="1:12" ht="12" customHeight="1">
      <c r="A19" s="3"/>
      <c r="B19" s="385" t="s">
        <v>311</v>
      </c>
      <c r="C19" s="595">
        <f>'Bottom Up Beta'!C13+'Bottom Up Beta'!C14</f>
        <v>23093.10117754</v>
      </c>
      <c r="D19" s="29"/>
      <c r="E19" s="392"/>
      <c r="F19" s="392"/>
      <c r="G19" s="394"/>
      <c r="H19" s="409" t="s">
        <v>300</v>
      </c>
      <c r="I19" s="411">
        <v>0.59009999999999996</v>
      </c>
      <c r="K19" s="3"/>
      <c r="L19" s="3"/>
    </row>
    <row r="20" spans="1:12" ht="12" customHeight="1">
      <c r="A20" s="7" t="s">
        <v>33</v>
      </c>
      <c r="B20" s="385" t="s">
        <v>338</v>
      </c>
      <c r="C20" s="595">
        <f>-'Bottom Up Beta'!C14*C24</f>
        <v>-437.56413696516489</v>
      </c>
      <c r="D20" s="29"/>
      <c r="E20" s="392"/>
      <c r="F20" s="392"/>
      <c r="G20" s="393"/>
      <c r="H20" s="409" t="s">
        <v>301</v>
      </c>
      <c r="I20" s="411">
        <v>0.45</v>
      </c>
      <c r="K20" s="3"/>
      <c r="L20" s="3"/>
    </row>
    <row r="21" spans="1:12" ht="12" customHeight="1">
      <c r="A21" s="201" t="s">
        <v>43</v>
      </c>
      <c r="B21" s="385" t="s">
        <v>340</v>
      </c>
      <c r="C21" s="595">
        <f>VLOOKUP($C$16,$E$16:$F$18,2,)*C19*VLOOKUP($C$15,$H$16:$I$29,2,)</f>
        <v>38.103616942941002</v>
      </c>
      <c r="G21" s="69"/>
      <c r="H21" s="409" t="s">
        <v>302</v>
      </c>
      <c r="I21" s="411">
        <v>0.36799999999999999</v>
      </c>
    </row>
    <row r="22" spans="1:12" ht="12" customHeight="1">
      <c r="A22" s="201"/>
      <c r="B22" s="427" t="s">
        <v>346</v>
      </c>
      <c r="C22" s="596">
        <f>C19+C20+C21</f>
        <v>22693.640657517779</v>
      </c>
      <c r="D22" s="29"/>
      <c r="G22" s="391"/>
      <c r="H22" s="409" t="s">
        <v>303</v>
      </c>
      <c r="I22" s="411">
        <v>0.25</v>
      </c>
      <c r="K22" s="419"/>
      <c r="L22" s="419"/>
    </row>
    <row r="23" spans="1:12" s="27" customFormat="1" ht="12" customHeight="1">
      <c r="A23" s="206"/>
      <c r="B23" s="2"/>
      <c r="C23" s="2"/>
      <c r="D23" s="29"/>
      <c r="E23" s="2"/>
      <c r="F23" s="2"/>
      <c r="G23" s="394"/>
      <c r="H23" s="409" t="s">
        <v>304</v>
      </c>
      <c r="I23" s="411">
        <v>0.1663</v>
      </c>
      <c r="K23" s="414"/>
      <c r="L23" s="414"/>
    </row>
    <row r="24" spans="1:12" ht="12" customHeight="1">
      <c r="A24" s="27"/>
      <c r="B24" s="432" t="s">
        <v>259</v>
      </c>
      <c r="C24" s="433">
        <f>'Risk Free Rate &amp; ERP'!H13</f>
        <v>0.25132919986511482</v>
      </c>
      <c r="D24" s="334"/>
      <c r="E24" s="12"/>
      <c r="G24" s="393"/>
      <c r="H24" s="409" t="s">
        <v>298</v>
      </c>
      <c r="I24" s="411">
        <v>7.5399999999999995E-2</v>
      </c>
      <c r="K24" s="414"/>
      <c r="L24" s="414"/>
    </row>
    <row r="25" spans="1:12" ht="12" customHeight="1">
      <c r="E25" s="8"/>
      <c r="G25" s="69"/>
      <c r="H25" s="409" t="s">
        <v>297</v>
      </c>
      <c r="I25" s="411">
        <v>2.5000000000000001E-2</v>
      </c>
      <c r="K25" s="12"/>
      <c r="L25" s="12"/>
    </row>
    <row r="26" spans="1:12" ht="12" customHeight="1">
      <c r="D26" s="32"/>
      <c r="E26" s="12"/>
      <c r="G26" s="391"/>
      <c r="H26" s="409" t="s">
        <v>305</v>
      </c>
      <c r="I26" s="411">
        <v>6.6E-3</v>
      </c>
      <c r="K26" s="12"/>
      <c r="L26" s="12"/>
    </row>
    <row r="27" spans="1:12" ht="12" customHeight="1">
      <c r="C27" s="13"/>
      <c r="D27" s="3"/>
      <c r="G27" s="29"/>
      <c r="H27" s="409" t="s">
        <v>306</v>
      </c>
      <c r="I27" s="411">
        <v>6.0000000000000001E-3</v>
      </c>
    </row>
    <row r="28" spans="1:12" ht="12" customHeight="1">
      <c r="D28" s="3"/>
      <c r="E28" s="15"/>
      <c r="G28" s="6"/>
      <c r="H28" s="409" t="s">
        <v>307</v>
      </c>
      <c r="I28" s="411">
        <v>5.1000000000000004E-3</v>
      </c>
    </row>
    <row r="29" spans="1:12" ht="12" customHeight="1">
      <c r="B29" s="418"/>
      <c r="C29" s="418"/>
      <c r="D29" s="3"/>
      <c r="G29" s="6"/>
      <c r="H29" s="409" t="s">
        <v>199</v>
      </c>
      <c r="I29" s="411">
        <v>6.9999999999999999E-4</v>
      </c>
    </row>
    <row r="30" spans="1:12" ht="12" customHeight="1">
      <c r="B30" s="421"/>
      <c r="C30" s="164"/>
      <c r="D30" s="3"/>
      <c r="I30" s="3"/>
      <c r="J30" s="3"/>
    </row>
    <row r="31" spans="1:12" ht="12" customHeight="1">
      <c r="B31" s="413"/>
      <c r="C31" s="164"/>
      <c r="I31" s="3"/>
      <c r="J31" s="3"/>
    </row>
    <row r="32" spans="1:12" ht="12" customHeight="1">
      <c r="B32" s="230" t="s">
        <v>287</v>
      </c>
      <c r="C32" s="381" t="s">
        <v>547</v>
      </c>
      <c r="D32" s="381" t="s">
        <v>313</v>
      </c>
      <c r="E32" s="381" t="s">
        <v>347</v>
      </c>
      <c r="F32" s="381" t="s">
        <v>338</v>
      </c>
      <c r="G32" s="396" t="s">
        <v>310</v>
      </c>
      <c r="H32" s="381" t="s">
        <v>341</v>
      </c>
      <c r="I32" s="381" t="s">
        <v>339</v>
      </c>
      <c r="J32" s="381" t="s">
        <v>350</v>
      </c>
    </row>
    <row r="33" spans="2:15" ht="12" customHeight="1">
      <c r="B33" s="382">
        <v>0.1</v>
      </c>
      <c r="C33" s="585">
        <f t="shared" ref="C33:C42" si="6">B33*$C$19</f>
        <v>2309.3101177540002</v>
      </c>
      <c r="D33" s="430">
        <f ca="1">'Optimal Cost of Capital'!M35</f>
        <v>0.25132919986511482</v>
      </c>
      <c r="E33" s="585">
        <f t="shared" ref="E33:E42" si="7">$C$22</f>
        <v>22693.640657517779</v>
      </c>
      <c r="F33" s="593">
        <f t="shared" ref="F33:F42" ca="1" si="8">C33*D33</f>
        <v>580.39706413552699</v>
      </c>
      <c r="G33" s="429" t="str">
        <f ca="1">'Optimal Cost of Capital'!J35</f>
        <v>A-</v>
      </c>
      <c r="H33" s="389">
        <f t="shared" ref="H33:H42" ca="1" si="9">VLOOKUP(G33,$H$16:$I$29,2,)</f>
        <v>2.5000000000000001E-2</v>
      </c>
      <c r="I33" s="593">
        <f t="shared" ref="I33:I42" ca="1" si="10">H33*VLOOKUP($C$16,$E$16:$F$18,2,)*E33</f>
        <v>141.83525410948613</v>
      </c>
      <c r="J33" s="593">
        <f t="shared" ref="J33:J42" ca="1" si="11">E33+F33-I33</f>
        <v>23132.202467543819</v>
      </c>
      <c r="M33" s="419"/>
    </row>
    <row r="34" spans="2:15" ht="12" customHeight="1">
      <c r="B34" s="434">
        <v>0.11</v>
      </c>
      <c r="C34" s="592">
        <f t="shared" si="6"/>
        <v>2540.2411295294</v>
      </c>
      <c r="D34" s="431">
        <f ca="1">'Optimal Cost of Capital'!M36</f>
        <v>0.25132919986511482</v>
      </c>
      <c r="E34" s="592">
        <f t="shared" si="7"/>
        <v>22693.640657517779</v>
      </c>
      <c r="F34" s="594">
        <f t="shared" ca="1" si="8"/>
        <v>638.4367705490796</v>
      </c>
      <c r="G34" s="406" t="str">
        <f ca="1">'Optimal Cost of Capital'!J36</f>
        <v>A-</v>
      </c>
      <c r="H34" s="403">
        <f t="shared" ca="1" si="9"/>
        <v>2.5000000000000001E-2</v>
      </c>
      <c r="I34" s="594">
        <f t="shared" ca="1" si="10"/>
        <v>141.83525410948613</v>
      </c>
      <c r="J34" s="594">
        <f t="shared" ca="1" si="11"/>
        <v>23190.242173957373</v>
      </c>
      <c r="K34" s="405" t="s">
        <v>314</v>
      </c>
      <c r="M34" s="414"/>
      <c r="N34" s="419"/>
      <c r="O34" s="419"/>
    </row>
    <row r="35" spans="2:15" ht="12" customHeight="1">
      <c r="B35" s="382">
        <v>0.12</v>
      </c>
      <c r="C35" s="585">
        <f t="shared" si="6"/>
        <v>2771.1721413047999</v>
      </c>
      <c r="D35" s="430">
        <f ca="1">'Optimal Cost of Capital'!M37</f>
        <v>0.25132919986511482</v>
      </c>
      <c r="E35" s="585">
        <f t="shared" si="7"/>
        <v>22693.640657517779</v>
      </c>
      <c r="F35" s="593">
        <f t="shared" ca="1" si="8"/>
        <v>696.4764769626322</v>
      </c>
      <c r="G35" s="429" t="str">
        <f ca="1">'Optimal Cost of Capital'!J37</f>
        <v>BBB</v>
      </c>
      <c r="H35" s="389">
        <f t="shared" ca="1" si="9"/>
        <v>7.5399999999999995E-2</v>
      </c>
      <c r="I35" s="593">
        <f t="shared" ca="1" si="10"/>
        <v>427.77512639421008</v>
      </c>
      <c r="J35" s="593">
        <f t="shared" ca="1" si="11"/>
        <v>22962.342008086198</v>
      </c>
      <c r="M35" s="414"/>
      <c r="N35" s="414"/>
      <c r="O35" s="415"/>
    </row>
    <row r="36" spans="2:15" ht="12" customHeight="1">
      <c r="B36" s="382">
        <v>0.13</v>
      </c>
      <c r="C36" s="585">
        <f t="shared" si="6"/>
        <v>3002.1031530802002</v>
      </c>
      <c r="D36" s="430">
        <f ca="1">'Optimal Cost of Capital'!M38</f>
        <v>0.25132919986511482</v>
      </c>
      <c r="E36" s="585">
        <f t="shared" si="7"/>
        <v>22693.640657517779</v>
      </c>
      <c r="F36" s="593">
        <f t="shared" ca="1" si="8"/>
        <v>754.51618337618504</v>
      </c>
      <c r="G36" s="429" t="str">
        <f ca="1">'Optimal Cost of Capital'!J38</f>
        <v>BBB</v>
      </c>
      <c r="H36" s="389">
        <f t="shared" ca="1" si="9"/>
        <v>7.5399999999999995E-2</v>
      </c>
      <c r="I36" s="593">
        <f t="shared" ca="1" si="10"/>
        <v>427.77512639421008</v>
      </c>
      <c r="J36" s="593">
        <f t="shared" ca="1" si="11"/>
        <v>23020.381714499752</v>
      </c>
      <c r="N36" s="414"/>
      <c r="O36" s="424"/>
    </row>
    <row r="37" spans="2:15" ht="12" customHeight="1">
      <c r="B37" s="382">
        <v>0.14000000000000001</v>
      </c>
      <c r="C37" s="585">
        <f t="shared" si="6"/>
        <v>3233.0341648556005</v>
      </c>
      <c r="D37" s="430">
        <f ca="1">'Optimal Cost of Capital'!M39</f>
        <v>0.25132919986511482</v>
      </c>
      <c r="E37" s="585">
        <f t="shared" si="7"/>
        <v>22693.640657517779</v>
      </c>
      <c r="F37" s="593">
        <f t="shared" ca="1" si="8"/>
        <v>812.55588978973776</v>
      </c>
      <c r="G37" s="429" t="str">
        <f ca="1">'Optimal Cost of Capital'!J39</f>
        <v>BBB</v>
      </c>
      <c r="H37" s="389">
        <f t="shared" ca="1" si="9"/>
        <v>7.5399999999999995E-2</v>
      </c>
      <c r="I37" s="593">
        <f t="shared" ca="1" si="10"/>
        <v>427.77512639421008</v>
      </c>
      <c r="J37" s="593">
        <f t="shared" ca="1" si="11"/>
        <v>23078.421420913306</v>
      </c>
      <c r="M37" s="414"/>
    </row>
    <row r="38" spans="2:15" ht="12" customHeight="1">
      <c r="B38" s="382">
        <v>0.15</v>
      </c>
      <c r="C38" s="585">
        <f t="shared" si="6"/>
        <v>3463.9651766309998</v>
      </c>
      <c r="D38" s="430">
        <f ca="1">'Optimal Cost of Capital'!M40</f>
        <v>0.25132919986511482</v>
      </c>
      <c r="E38" s="585">
        <f t="shared" si="7"/>
        <v>22693.640657517779</v>
      </c>
      <c r="F38" s="593">
        <f t="shared" ca="1" si="8"/>
        <v>870.59559620329026</v>
      </c>
      <c r="G38" s="429" t="str">
        <f ca="1">'Optimal Cost of Capital'!J40</f>
        <v>B-</v>
      </c>
      <c r="H38" s="389">
        <f t="shared" ca="1" si="9"/>
        <v>0.45</v>
      </c>
      <c r="I38" s="593">
        <f t="shared" ca="1" si="10"/>
        <v>2553.03457397075</v>
      </c>
      <c r="J38" s="593">
        <f t="shared" ca="1" si="11"/>
        <v>21011.201679750317</v>
      </c>
      <c r="N38" s="12"/>
      <c r="O38" s="424"/>
    </row>
    <row r="39" spans="2:15" ht="12" customHeight="1">
      <c r="B39" s="382">
        <v>0.16</v>
      </c>
      <c r="C39" s="585">
        <f t="shared" si="6"/>
        <v>3694.8961884064001</v>
      </c>
      <c r="D39" s="430">
        <f ca="1">'Optimal Cost of Capital'!M41</f>
        <v>0.25132919986511482</v>
      </c>
      <c r="E39" s="585">
        <f t="shared" si="7"/>
        <v>22693.640657517779</v>
      </c>
      <c r="F39" s="593">
        <f t="shared" ca="1" si="8"/>
        <v>928.63530261684309</v>
      </c>
      <c r="G39" s="429" t="str">
        <f ca="1">'Optimal Cost of Capital'!J41</f>
        <v>CC</v>
      </c>
      <c r="H39" s="389">
        <f t="shared" ca="1" si="9"/>
        <v>0.7</v>
      </c>
      <c r="I39" s="593">
        <f t="shared" ca="1" si="10"/>
        <v>3971.3871150656109</v>
      </c>
      <c r="J39" s="593">
        <f t="shared" ca="1" si="11"/>
        <v>19650.88884506901</v>
      </c>
    </row>
    <row r="40" spans="2:15" ht="12" customHeight="1">
      <c r="B40" s="382">
        <v>0.17</v>
      </c>
      <c r="C40" s="585">
        <f t="shared" si="6"/>
        <v>3925.8272001818004</v>
      </c>
      <c r="D40" s="430">
        <f ca="1">'Optimal Cost of Capital'!M42</f>
        <v>0.25132919986511482</v>
      </c>
      <c r="E40" s="585">
        <f t="shared" si="7"/>
        <v>22693.640657517779</v>
      </c>
      <c r="F40" s="593">
        <f t="shared" ca="1" si="8"/>
        <v>986.67500903039581</v>
      </c>
      <c r="G40" s="429" t="str">
        <f ca="1">'Optimal Cost of Capital'!J42</f>
        <v>CC</v>
      </c>
      <c r="H40" s="389">
        <f t="shared" ca="1" si="9"/>
        <v>0.7</v>
      </c>
      <c r="I40" s="593">
        <f t="shared" ca="1" si="10"/>
        <v>3971.3871150656109</v>
      </c>
      <c r="J40" s="593">
        <f t="shared" ca="1" si="11"/>
        <v>19708.928551482561</v>
      </c>
    </row>
    <row r="41" spans="2:15" ht="12" customHeight="1">
      <c r="B41" s="382">
        <v>0.18</v>
      </c>
      <c r="C41" s="585">
        <f t="shared" si="6"/>
        <v>4156.7582119571998</v>
      </c>
      <c r="D41" s="430">
        <f ca="1">'Optimal Cost of Capital'!M43</f>
        <v>0.24251340179913</v>
      </c>
      <c r="E41" s="585">
        <f t="shared" si="7"/>
        <v>22693.640657517779</v>
      </c>
      <c r="F41" s="593">
        <f t="shared" ca="1" si="8"/>
        <v>1008.0695744382095</v>
      </c>
      <c r="G41" s="429" t="str">
        <f ca="1">'Optimal Cost of Capital'!J43</f>
        <v>CC</v>
      </c>
      <c r="H41" s="389">
        <f t="shared" ca="1" si="9"/>
        <v>0.7</v>
      </c>
      <c r="I41" s="593">
        <f t="shared" ca="1" si="10"/>
        <v>3971.3871150656109</v>
      </c>
      <c r="J41" s="593">
        <f t="shared" ca="1" si="11"/>
        <v>19730.323116890377</v>
      </c>
    </row>
    <row r="42" spans="2:15" ht="12" customHeight="1">
      <c r="B42" s="382">
        <v>0.19</v>
      </c>
      <c r="C42" s="585">
        <f t="shared" si="6"/>
        <v>4387.6892237326001</v>
      </c>
      <c r="D42" s="430">
        <f ca="1">'Optimal Cost of Capital'!M44</f>
        <v>0.2297495385465442</v>
      </c>
      <c r="E42" s="585">
        <f t="shared" si="7"/>
        <v>22693.640657517779</v>
      </c>
      <c r="F42" s="593">
        <f t="shared" ca="1" si="8"/>
        <v>1008.0695744382097</v>
      </c>
      <c r="G42" s="429" t="str">
        <f ca="1">'Optimal Cost of Capital'!J44</f>
        <v>CC</v>
      </c>
      <c r="H42" s="389">
        <f t="shared" ca="1" si="9"/>
        <v>0.7</v>
      </c>
      <c r="I42" s="593">
        <f t="shared" ca="1" si="10"/>
        <v>3971.3871150656109</v>
      </c>
      <c r="J42" s="593">
        <f t="shared" ca="1" si="11"/>
        <v>19730.323116890377</v>
      </c>
    </row>
  </sheetData>
  <pageMargins left="0.7" right="0.7" top="0.75" bottom="0.75" header="0.3" footer="0.3"/>
  <pageSetup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67"/>
  <sheetViews>
    <sheetView workbookViewId="0"/>
  </sheetViews>
  <sheetFormatPr defaultRowHeight="12" customHeight="1"/>
  <cols>
    <col min="1" max="1" width="2" style="2" customWidth="1"/>
    <col min="2" max="2" width="22.7109375" style="2" customWidth="1"/>
    <col min="3" max="3" width="10.42578125" style="2" customWidth="1"/>
    <col min="4" max="4" width="10" style="2" customWidth="1"/>
    <col min="5" max="5" width="12.85546875" style="2" customWidth="1"/>
    <col min="6" max="6" width="10" style="2" customWidth="1"/>
    <col min="7" max="7" width="9.42578125" style="2" customWidth="1"/>
    <col min="8" max="8" width="9.5703125" style="2" customWidth="1"/>
    <col min="9" max="9" width="11.42578125" style="2" customWidth="1"/>
    <col min="10" max="10" width="11.140625" style="2" customWidth="1"/>
    <col min="11" max="11" width="9.28515625" style="2" customWidth="1"/>
    <col min="12" max="13" width="12.7109375" style="2" customWidth="1"/>
    <col min="14" max="14" width="11.5703125" style="2" customWidth="1"/>
    <col min="15" max="15" width="11.85546875" style="2" customWidth="1"/>
    <col min="16" max="16" width="19.140625" style="2" customWidth="1"/>
    <col min="17" max="17" width="9.140625" style="2"/>
    <col min="18" max="18" width="11.5703125" style="2" customWidth="1"/>
    <col min="19" max="19" width="12.7109375" style="2" customWidth="1"/>
    <col min="20" max="20" width="10.140625" style="2" bestFit="1" customWidth="1"/>
    <col min="21" max="16384" width="9.140625" style="2"/>
  </cols>
  <sheetData>
    <row r="1" spans="1:34" ht="16.5" customHeight="1">
      <c r="B1" s="16" t="s">
        <v>352</v>
      </c>
    </row>
    <row r="3" spans="1:34" ht="12" customHeight="1">
      <c r="B3" s="218" t="s">
        <v>125</v>
      </c>
      <c r="C3" s="218" t="s">
        <v>34</v>
      </c>
      <c r="D3" s="218" t="s">
        <v>376</v>
      </c>
      <c r="E3" s="218" t="s">
        <v>377</v>
      </c>
      <c r="F3" s="218" t="s">
        <v>354</v>
      </c>
      <c r="G3" s="218" t="s">
        <v>3</v>
      </c>
      <c r="H3" s="218" t="s">
        <v>2</v>
      </c>
      <c r="I3" s="218" t="s">
        <v>353</v>
      </c>
      <c r="J3" s="218" t="s">
        <v>181</v>
      </c>
      <c r="K3" s="218" t="s">
        <v>381</v>
      </c>
      <c r="L3" s="77" t="s">
        <v>380</v>
      </c>
      <c r="M3" s="77" t="s">
        <v>378</v>
      </c>
      <c r="N3" s="77" t="s">
        <v>379</v>
      </c>
      <c r="O3" s="77" t="s">
        <v>355</v>
      </c>
      <c r="P3" s="77" t="s">
        <v>383</v>
      </c>
    </row>
    <row r="4" spans="1:34" ht="12" customHeight="1">
      <c r="B4" s="62" t="s">
        <v>453</v>
      </c>
      <c r="C4" s="62" t="s">
        <v>452</v>
      </c>
      <c r="D4" s="437">
        <v>-121.33199999999999</v>
      </c>
      <c r="E4" s="437">
        <v>7.1999999999999995E-2</v>
      </c>
      <c r="F4" s="437">
        <v>-2.0539999999999998</v>
      </c>
      <c r="G4" s="437">
        <v>-120.6</v>
      </c>
      <c r="H4" s="437">
        <v>11.853999999999999</v>
      </c>
      <c r="I4" s="437">
        <f>G4+H4</f>
        <v>-108.746</v>
      </c>
      <c r="J4" s="437">
        <v>337.166</v>
      </c>
      <c r="K4" s="454">
        <v>8.6664775876961156E-2</v>
      </c>
      <c r="L4" s="451">
        <f>K4/(K4+1)</f>
        <v>7.9753000005931787E-2</v>
      </c>
      <c r="M4" s="451">
        <f t="shared" ref="M4:M22" si="0">I4/J4</f>
        <v>-0.32252955517460241</v>
      </c>
      <c r="N4" s="451">
        <f t="shared" ref="N4:N22" si="1">F4/J4</f>
        <v>-6.0919547048041613E-3</v>
      </c>
      <c r="O4" s="451">
        <f t="shared" ref="O4:O22" si="2">E4/D4</f>
        <v>-5.9341311442982889E-4</v>
      </c>
      <c r="P4" s="319">
        <v>0.18610344537681398</v>
      </c>
      <c r="T4" s="2" t="s">
        <v>637</v>
      </c>
      <c r="U4" s="2">
        <v>1000</v>
      </c>
      <c r="V4" s="2">
        <f>T4/U4</f>
        <v>-2.0539999999999998</v>
      </c>
      <c r="Y4" s="478" t="s">
        <v>549</v>
      </c>
      <c r="Z4" s="478" t="s">
        <v>571</v>
      </c>
      <c r="AA4" s="478" t="s">
        <v>593</v>
      </c>
      <c r="AB4" s="478" t="s">
        <v>635</v>
      </c>
      <c r="AC4" s="2">
        <v>1000</v>
      </c>
      <c r="AE4" s="2">
        <f>Y4/$AC$4</f>
        <v>11.853999999999999</v>
      </c>
      <c r="AF4" s="2">
        <f t="shared" ref="AF4:AH19" si="3">Z4/$AC$4</f>
        <v>-120.6</v>
      </c>
      <c r="AG4" s="2">
        <f t="shared" si="3"/>
        <v>-121.33199999999999</v>
      </c>
      <c r="AH4" s="2">
        <f t="shared" si="3"/>
        <v>7.1999999999999995E-2</v>
      </c>
    </row>
    <row r="5" spans="1:34" ht="12" customHeight="1">
      <c r="B5" s="62" t="s">
        <v>454</v>
      </c>
      <c r="C5" s="62" t="s">
        <v>455</v>
      </c>
      <c r="D5" s="437">
        <v>-20.481000000000002</v>
      </c>
      <c r="E5" s="437">
        <v>0</v>
      </c>
      <c r="F5" s="437">
        <v>-219.31299999999999</v>
      </c>
      <c r="G5" s="437">
        <v>-23.148</v>
      </c>
      <c r="H5" s="437">
        <v>77.563999999999993</v>
      </c>
      <c r="I5" s="437">
        <f t="shared" ref="I5:I26" si="4">G5+H5</f>
        <v>54.415999999999997</v>
      </c>
      <c r="J5" s="437">
        <v>16555.089</v>
      </c>
      <c r="K5" s="454">
        <v>2.4490566037735851E-2</v>
      </c>
      <c r="L5" s="451">
        <f t="shared" ref="L5:L22" si="5">K5/(K5+1)</f>
        <v>2.3905116210541824E-2</v>
      </c>
      <c r="M5" s="451">
        <f t="shared" si="0"/>
        <v>3.2869651138692155E-3</v>
      </c>
      <c r="N5" s="451">
        <f t="shared" si="1"/>
        <v>-1.3247467289363409E-2</v>
      </c>
      <c r="O5" s="451">
        <f t="shared" si="2"/>
        <v>0</v>
      </c>
      <c r="P5" s="319">
        <v>0.15132728514805438</v>
      </c>
      <c r="T5" s="2" t="s">
        <v>638</v>
      </c>
      <c r="U5" s="2">
        <v>1000</v>
      </c>
      <c r="V5" s="2">
        <f t="shared" ref="V5:V25" si="6">T5/U5</f>
        <v>-219.31299999999999</v>
      </c>
      <c r="Y5" s="478" t="s">
        <v>550</v>
      </c>
      <c r="Z5" s="478" t="s">
        <v>572</v>
      </c>
      <c r="AA5" s="478" t="s">
        <v>594</v>
      </c>
      <c r="AB5" s="478" t="s">
        <v>636</v>
      </c>
      <c r="AC5" s="2">
        <v>1000</v>
      </c>
      <c r="AE5" s="2">
        <f t="shared" ref="AE5:AE23" si="7">Y5/$AC$4</f>
        <v>77.563999999999993</v>
      </c>
      <c r="AF5" s="2">
        <f t="shared" si="3"/>
        <v>-23.148</v>
      </c>
      <c r="AG5" s="2">
        <f t="shared" si="3"/>
        <v>-20.481000000000002</v>
      </c>
      <c r="AH5" s="2">
        <f t="shared" si="3"/>
        <v>0</v>
      </c>
    </row>
    <row r="6" spans="1:34" ht="12" customHeight="1">
      <c r="B6" s="62" t="s">
        <v>457</v>
      </c>
      <c r="C6" s="233" t="s">
        <v>456</v>
      </c>
      <c r="D6" s="437">
        <v>5370</v>
      </c>
      <c r="E6" s="437">
        <v>1656</v>
      </c>
      <c r="F6" s="437">
        <v>-5143</v>
      </c>
      <c r="G6" s="437">
        <v>7023</v>
      </c>
      <c r="H6" s="437">
        <v>5200</v>
      </c>
      <c r="I6" s="437">
        <f t="shared" si="4"/>
        <v>12223</v>
      </c>
      <c r="J6" s="437">
        <v>223222</v>
      </c>
      <c r="K6" s="454">
        <v>0.28165847109354958</v>
      </c>
      <c r="L6" s="451">
        <f t="shared" si="5"/>
        <v>0.21976094056728707</v>
      </c>
      <c r="M6" s="451">
        <f t="shared" si="0"/>
        <v>5.4757147592979186E-2</v>
      </c>
      <c r="N6" s="451">
        <f t="shared" si="1"/>
        <v>-2.3039843743000242E-2</v>
      </c>
      <c r="O6" s="451">
        <f t="shared" si="2"/>
        <v>0.30837988826815643</v>
      </c>
      <c r="P6" s="319">
        <v>0.20121662379575966</v>
      </c>
      <c r="T6" s="2" t="s">
        <v>639</v>
      </c>
      <c r="U6" s="2">
        <v>1000</v>
      </c>
      <c r="V6" s="2">
        <f t="shared" si="6"/>
        <v>-5143</v>
      </c>
      <c r="Y6" s="478" t="s">
        <v>551</v>
      </c>
      <c r="Z6" s="478" t="s">
        <v>573</v>
      </c>
      <c r="AA6" s="478" t="s">
        <v>595</v>
      </c>
      <c r="AB6" s="478" t="s">
        <v>615</v>
      </c>
      <c r="AC6" s="2">
        <v>1000</v>
      </c>
      <c r="AE6" s="2">
        <f t="shared" si="7"/>
        <v>5200</v>
      </c>
      <c r="AF6" s="2">
        <f t="shared" si="3"/>
        <v>7023</v>
      </c>
      <c r="AG6" s="2">
        <f t="shared" si="3"/>
        <v>5370</v>
      </c>
      <c r="AH6" s="2">
        <f t="shared" si="3"/>
        <v>1656</v>
      </c>
    </row>
    <row r="7" spans="1:34" ht="12" customHeight="1">
      <c r="B7" s="62" t="s">
        <v>458</v>
      </c>
      <c r="C7" s="233" t="s">
        <v>459</v>
      </c>
      <c r="D7" s="437">
        <v>9284</v>
      </c>
      <c r="E7" s="437">
        <v>4359</v>
      </c>
      <c r="F7" s="437">
        <v>-10626</v>
      </c>
      <c r="G7" s="437">
        <v>13180</v>
      </c>
      <c r="H7" s="437">
        <v>13821</v>
      </c>
      <c r="I7" s="437">
        <f t="shared" si="4"/>
        <v>27001</v>
      </c>
      <c r="J7" s="437">
        <v>246056</v>
      </c>
      <c r="K7" s="454">
        <v>0.60778619690500912</v>
      </c>
      <c r="L7" s="451">
        <f t="shared" si="5"/>
        <v>0.37802675385259465</v>
      </c>
      <c r="M7" s="451">
        <f t="shared" si="0"/>
        <v>0.10973518223493839</v>
      </c>
      <c r="N7" s="451">
        <f t="shared" si="1"/>
        <v>-4.3185291153233413E-2</v>
      </c>
      <c r="O7" s="451">
        <f t="shared" si="2"/>
        <v>0.46951744937526929</v>
      </c>
      <c r="P7" s="319">
        <v>0.33170845026547791</v>
      </c>
      <c r="T7" s="2" t="s">
        <v>640</v>
      </c>
      <c r="U7" s="2">
        <v>1000</v>
      </c>
      <c r="V7" s="2">
        <f t="shared" si="6"/>
        <v>-10626</v>
      </c>
      <c r="Y7" s="478" t="s">
        <v>552</v>
      </c>
      <c r="Z7" s="478" t="s">
        <v>574</v>
      </c>
      <c r="AA7" s="478" t="s">
        <v>596</v>
      </c>
      <c r="AB7" s="478" t="s">
        <v>616</v>
      </c>
      <c r="AC7" s="2">
        <v>1000</v>
      </c>
      <c r="AE7" s="2">
        <f t="shared" si="7"/>
        <v>13821</v>
      </c>
      <c r="AF7" s="2">
        <f t="shared" si="3"/>
        <v>13180</v>
      </c>
      <c r="AG7" s="2">
        <f t="shared" si="3"/>
        <v>9284</v>
      </c>
      <c r="AH7" s="2">
        <f t="shared" si="3"/>
        <v>4359</v>
      </c>
    </row>
    <row r="8" spans="1:34" ht="12" customHeight="1">
      <c r="B8" s="62" t="s">
        <v>461</v>
      </c>
      <c r="C8" s="233" t="s">
        <v>460</v>
      </c>
      <c r="D8" s="437">
        <v>113485</v>
      </c>
      <c r="E8" s="437">
        <v>18314</v>
      </c>
      <c r="F8" s="437">
        <v>-11692</v>
      </c>
      <c r="G8" s="437">
        <v>116725</v>
      </c>
      <c r="H8" s="437">
        <v>11323</v>
      </c>
      <c r="I8" s="437">
        <f t="shared" si="4"/>
        <v>128048</v>
      </c>
      <c r="J8" s="437">
        <v>2392765</v>
      </c>
      <c r="K8" s="454">
        <v>5.1731581214993536E-2</v>
      </c>
      <c r="L8" s="451">
        <f t="shared" si="5"/>
        <v>4.9187056982002562E-2</v>
      </c>
      <c r="M8" s="451">
        <f t="shared" si="0"/>
        <v>5.351465772861104E-2</v>
      </c>
      <c r="N8" s="451">
        <f>F8/J8</f>
        <v>-4.8863971179785729E-3</v>
      </c>
      <c r="O8" s="451">
        <f t="shared" si="2"/>
        <v>0.16137815570339692</v>
      </c>
      <c r="P8" s="319">
        <v>7.0622628526771578E-2</v>
      </c>
      <c r="T8" s="2" t="s">
        <v>641</v>
      </c>
      <c r="U8" s="2">
        <v>1000</v>
      </c>
      <c r="V8" s="2">
        <f t="shared" si="6"/>
        <v>-11692</v>
      </c>
      <c r="Y8" s="478" t="s">
        <v>553</v>
      </c>
      <c r="Z8" s="478" t="s">
        <v>575</v>
      </c>
      <c r="AA8" s="478" t="s">
        <v>597</v>
      </c>
      <c r="AB8" s="478" t="s">
        <v>617</v>
      </c>
      <c r="AC8" s="2">
        <v>1000</v>
      </c>
      <c r="AE8" s="2">
        <f t="shared" si="7"/>
        <v>11323</v>
      </c>
      <c r="AF8" s="2">
        <f t="shared" si="3"/>
        <v>116725</v>
      </c>
      <c r="AG8" s="2">
        <f t="shared" si="3"/>
        <v>113485</v>
      </c>
      <c r="AH8" s="2">
        <f t="shared" si="3"/>
        <v>18314</v>
      </c>
    </row>
    <row r="9" spans="1:34" ht="12" customHeight="1">
      <c r="B9" s="62" t="s">
        <v>462</v>
      </c>
      <c r="C9" s="233" t="s">
        <v>463</v>
      </c>
      <c r="D9" s="437">
        <v>-8960</v>
      </c>
      <c r="E9" s="437">
        <v>-1663</v>
      </c>
      <c r="F9" s="437">
        <v>-987</v>
      </c>
      <c r="G9" s="437">
        <v>-7183</v>
      </c>
      <c r="H9" s="437">
        <v>21354</v>
      </c>
      <c r="I9" s="437">
        <f t="shared" si="4"/>
        <v>14171</v>
      </c>
      <c r="J9" s="437">
        <v>48616</v>
      </c>
      <c r="K9" s="454">
        <v>0.39084264604628993</v>
      </c>
      <c r="L9" s="451">
        <f t="shared" si="5"/>
        <v>0.28101140496182481</v>
      </c>
      <c r="M9" s="451">
        <f t="shared" si="0"/>
        <v>0.29148839888102684</v>
      </c>
      <c r="N9" s="451">
        <f t="shared" si="1"/>
        <v>-2.0301958203060719E-2</v>
      </c>
      <c r="O9" s="451">
        <f t="shared" si="2"/>
        <v>0.18560267857142856</v>
      </c>
      <c r="P9" s="319">
        <v>0.12045959244347781</v>
      </c>
      <c r="T9" s="2" t="s">
        <v>642</v>
      </c>
      <c r="U9" s="2">
        <v>1000</v>
      </c>
      <c r="V9" s="2">
        <f t="shared" si="6"/>
        <v>-987</v>
      </c>
      <c r="Y9" s="478" t="s">
        <v>554</v>
      </c>
      <c r="Z9" s="478" t="s">
        <v>576</v>
      </c>
      <c r="AA9" s="478" t="s">
        <v>598</v>
      </c>
      <c r="AB9" s="478" t="s">
        <v>618</v>
      </c>
      <c r="AC9" s="2">
        <v>1000</v>
      </c>
      <c r="AE9" s="2">
        <f t="shared" si="7"/>
        <v>21354</v>
      </c>
      <c r="AF9" s="2">
        <f t="shared" si="3"/>
        <v>-7183</v>
      </c>
      <c r="AG9" s="2">
        <f t="shared" si="3"/>
        <v>-8960</v>
      </c>
      <c r="AH9" s="2">
        <f t="shared" si="3"/>
        <v>-1663</v>
      </c>
    </row>
    <row r="10" spans="1:34" ht="12" customHeight="1">
      <c r="A10" s="3"/>
      <c r="B10" s="62" t="s">
        <v>464</v>
      </c>
      <c r="C10" s="62" t="s">
        <v>465</v>
      </c>
      <c r="D10" s="437">
        <v>5263.9290000000001</v>
      </c>
      <c r="E10" s="437">
        <v>772.005</v>
      </c>
      <c r="F10" s="437">
        <v>-407.72899999999998</v>
      </c>
      <c r="G10" s="437">
        <v>5970.1409999999996</v>
      </c>
      <c r="H10" s="437">
        <v>14362.814</v>
      </c>
      <c r="I10" s="437">
        <f t="shared" si="4"/>
        <v>20332.955000000002</v>
      </c>
      <c r="J10" s="437">
        <v>149536.62400000001</v>
      </c>
      <c r="K10" s="454">
        <v>0.10162045283980685</v>
      </c>
      <c r="L10" s="451">
        <f>K10/(K10+1)</f>
        <v>9.2246338181036003E-2</v>
      </c>
      <c r="M10" s="451">
        <f t="shared" si="0"/>
        <v>0.13597307773913633</v>
      </c>
      <c r="N10" s="451">
        <f t="shared" si="1"/>
        <v>-2.7266163237709578E-3</v>
      </c>
      <c r="O10" s="451">
        <f t="shared" si="2"/>
        <v>0.14665946292208729</v>
      </c>
      <c r="P10" s="319">
        <v>3.266834571598308E-2</v>
      </c>
      <c r="T10" s="2" t="s">
        <v>643</v>
      </c>
      <c r="U10" s="2">
        <v>1000</v>
      </c>
      <c r="V10" s="2">
        <f t="shared" si="6"/>
        <v>-407.72899999999998</v>
      </c>
      <c r="Y10" s="478" t="s">
        <v>555</v>
      </c>
      <c r="Z10" s="478" t="s">
        <v>577</v>
      </c>
      <c r="AA10" s="478" t="s">
        <v>599</v>
      </c>
      <c r="AB10" s="478" t="s">
        <v>619</v>
      </c>
      <c r="AC10" s="2">
        <v>1000</v>
      </c>
      <c r="AE10" s="2">
        <f t="shared" si="7"/>
        <v>14362.814</v>
      </c>
      <c r="AF10" s="2">
        <f t="shared" si="3"/>
        <v>5970.1409999999996</v>
      </c>
      <c r="AG10" s="2">
        <f t="shared" si="3"/>
        <v>5263.9290000000001</v>
      </c>
      <c r="AH10" s="2">
        <f t="shared" si="3"/>
        <v>772.005</v>
      </c>
    </row>
    <row r="11" spans="1:34" ht="12" customHeight="1">
      <c r="A11" s="3"/>
      <c r="B11" s="62" t="s">
        <v>466</v>
      </c>
      <c r="C11" s="62" t="s">
        <v>467</v>
      </c>
      <c r="D11" s="437">
        <v>-261.11900000000003</v>
      </c>
      <c r="E11" s="437">
        <v>-72.146000000000001</v>
      </c>
      <c r="F11" s="437">
        <v>-37.840000000000003</v>
      </c>
      <c r="G11" s="437">
        <v>-183.072</v>
      </c>
      <c r="H11" s="437">
        <v>44.698999999999998</v>
      </c>
      <c r="I11" s="437">
        <f t="shared" si="4"/>
        <v>-138.37299999999999</v>
      </c>
      <c r="J11" s="437">
        <v>1628.6499999999999</v>
      </c>
      <c r="K11" s="454">
        <v>5.7037903462386126</v>
      </c>
      <c r="L11" s="451">
        <f t="shared" si="5"/>
        <v>0.85083065723242912</v>
      </c>
      <c r="M11" s="451">
        <f t="shared" si="0"/>
        <v>-8.4961778159825627E-2</v>
      </c>
      <c r="N11" s="451">
        <f t="shared" si="1"/>
        <v>-2.3233966782304365E-2</v>
      </c>
      <c r="O11" s="451">
        <f t="shared" si="2"/>
        <v>0.27629548213649713</v>
      </c>
      <c r="P11" s="319">
        <v>0.24139515549657908</v>
      </c>
      <c r="T11" s="2" t="s">
        <v>644</v>
      </c>
      <c r="U11" s="2">
        <v>1000</v>
      </c>
      <c r="V11" s="2">
        <f t="shared" si="6"/>
        <v>-37.840000000000003</v>
      </c>
      <c r="Y11" s="478" t="s">
        <v>556</v>
      </c>
      <c r="Z11" s="478" t="s">
        <v>578</v>
      </c>
      <c r="AA11" s="478" t="s">
        <v>600</v>
      </c>
      <c r="AB11" s="478" t="s">
        <v>620</v>
      </c>
      <c r="AC11" s="2">
        <v>1000</v>
      </c>
      <c r="AE11" s="2">
        <f t="shared" si="7"/>
        <v>44.698999999999998</v>
      </c>
      <c r="AF11" s="2">
        <f t="shared" si="3"/>
        <v>-183.072</v>
      </c>
      <c r="AG11" s="2">
        <f t="shared" si="3"/>
        <v>-261.11900000000003</v>
      </c>
      <c r="AH11" s="2">
        <f t="shared" si="3"/>
        <v>-72.146000000000001</v>
      </c>
    </row>
    <row r="12" spans="1:34" ht="12" customHeight="1">
      <c r="A12" s="3"/>
      <c r="B12" s="62" t="s">
        <v>548</v>
      </c>
      <c r="C12" s="233" t="s">
        <v>469</v>
      </c>
      <c r="D12" s="437">
        <v>7914</v>
      </c>
      <c r="E12" s="437">
        <v>1980</v>
      </c>
      <c r="F12" s="437">
        <v>-3893</v>
      </c>
      <c r="G12" s="437">
        <v>8067</v>
      </c>
      <c r="H12" s="437">
        <v>1915</v>
      </c>
      <c r="I12" s="437">
        <f t="shared" si="4"/>
        <v>9982</v>
      </c>
      <c r="J12" s="437">
        <v>214800</v>
      </c>
      <c r="K12" s="454">
        <v>4.1690881416908812E-2</v>
      </c>
      <c r="L12" s="451">
        <f t="shared" si="5"/>
        <v>4.0022315795066613E-2</v>
      </c>
      <c r="M12" s="451">
        <f t="shared" si="0"/>
        <v>4.6471135940409684E-2</v>
      </c>
      <c r="N12" s="451">
        <f t="shared" si="1"/>
        <v>-1.8123836126629423E-2</v>
      </c>
      <c r="O12" s="451">
        <f t="shared" si="2"/>
        <v>0.25018953752843065</v>
      </c>
      <c r="P12" s="319">
        <v>0.16854804945892815</v>
      </c>
      <c r="T12" s="2" t="s">
        <v>645</v>
      </c>
      <c r="U12" s="2">
        <v>1000</v>
      </c>
      <c r="V12" s="2">
        <f t="shared" si="6"/>
        <v>-3893</v>
      </c>
      <c r="Y12" s="478" t="s">
        <v>557</v>
      </c>
      <c r="Z12" s="478" t="s">
        <v>579</v>
      </c>
      <c r="AA12" s="478" t="s">
        <v>601</v>
      </c>
      <c r="AB12" s="478" t="s">
        <v>621</v>
      </c>
      <c r="AC12" s="2">
        <v>1000</v>
      </c>
      <c r="AE12" s="2">
        <f t="shared" si="7"/>
        <v>1915</v>
      </c>
      <c r="AF12" s="2">
        <f t="shared" si="3"/>
        <v>8067</v>
      </c>
      <c r="AG12" s="2">
        <f t="shared" si="3"/>
        <v>7914</v>
      </c>
      <c r="AH12" s="2">
        <f t="shared" si="3"/>
        <v>1980</v>
      </c>
    </row>
    <row r="13" spans="1:34" ht="12" customHeight="1">
      <c r="A13" s="3"/>
      <c r="B13" s="62" t="s">
        <v>470</v>
      </c>
      <c r="C13" s="233" t="s">
        <v>471</v>
      </c>
      <c r="D13" s="437">
        <v>-3622.848</v>
      </c>
      <c r="E13" s="437">
        <v>-162.43</v>
      </c>
      <c r="F13" s="437">
        <v>-50.018000000000001</v>
      </c>
      <c r="G13" s="437">
        <v>-3621.6979999999999</v>
      </c>
      <c r="H13" s="437">
        <v>90.52</v>
      </c>
      <c r="I13" s="437">
        <f t="shared" si="4"/>
        <v>-3531.1779999999999</v>
      </c>
      <c r="J13" s="437">
        <v>48364.658000000003</v>
      </c>
      <c r="K13" s="454">
        <v>2.6847004094500297E-2</v>
      </c>
      <c r="L13" s="451">
        <f t="shared" si="5"/>
        <v>2.6145086841028148E-2</v>
      </c>
      <c r="M13" s="451">
        <f t="shared" si="0"/>
        <v>-7.3011536647276609E-2</v>
      </c>
      <c r="N13" s="451">
        <f t="shared" si="1"/>
        <v>-1.034184920732821E-3</v>
      </c>
      <c r="O13" s="451">
        <f t="shared" si="2"/>
        <v>4.4834892327803987E-2</v>
      </c>
      <c r="P13" s="319">
        <v>7.9589565085146668E-2</v>
      </c>
      <c r="T13" s="2" t="s">
        <v>646</v>
      </c>
      <c r="U13" s="2">
        <v>1000</v>
      </c>
      <c r="V13" s="2">
        <f t="shared" si="6"/>
        <v>-50.018000000000001</v>
      </c>
      <c r="Y13" s="478" t="s">
        <v>558</v>
      </c>
      <c r="Z13" s="478" t="s">
        <v>580</v>
      </c>
      <c r="AA13" s="478" t="s">
        <v>602</v>
      </c>
      <c r="AB13" s="478" t="s">
        <v>622</v>
      </c>
      <c r="AC13" s="2">
        <v>1000</v>
      </c>
      <c r="AE13" s="2">
        <f t="shared" si="7"/>
        <v>90.52</v>
      </c>
      <c r="AF13" s="2">
        <f t="shared" si="3"/>
        <v>-3621.6979999999999</v>
      </c>
      <c r="AG13" s="2">
        <f t="shared" si="3"/>
        <v>-3622.848</v>
      </c>
      <c r="AH13" s="2">
        <f t="shared" si="3"/>
        <v>-162.43</v>
      </c>
    </row>
    <row r="14" spans="1:34" s="25" customFormat="1" ht="12" customHeight="1">
      <c r="A14" s="24"/>
      <c r="B14" s="62" t="s">
        <v>472</v>
      </c>
      <c r="C14" s="233" t="s">
        <v>473</v>
      </c>
      <c r="D14" s="437">
        <v>1501</v>
      </c>
      <c r="E14" s="437">
        <v>462</v>
      </c>
      <c r="F14" s="437">
        <v>-213</v>
      </c>
      <c r="G14" s="437">
        <v>1559</v>
      </c>
      <c r="H14" s="437">
        <v>504</v>
      </c>
      <c r="I14" s="437">
        <f t="shared" si="4"/>
        <v>2063</v>
      </c>
      <c r="J14" s="437">
        <v>28999</v>
      </c>
      <c r="K14" s="454">
        <v>6.5078732310145507E-2</v>
      </c>
      <c r="L14" s="451">
        <f t="shared" si="5"/>
        <v>6.1102273790586692E-2</v>
      </c>
      <c r="M14" s="451">
        <f t="shared" si="0"/>
        <v>7.1140384151177627E-2</v>
      </c>
      <c r="N14" s="451">
        <f t="shared" si="1"/>
        <v>-7.3450808648574091E-3</v>
      </c>
      <c r="O14" s="451">
        <f t="shared" si="2"/>
        <v>0.30779480346435711</v>
      </c>
      <c r="P14" s="461">
        <v>7.9823337683474355E-2</v>
      </c>
      <c r="T14" s="25" t="s">
        <v>647</v>
      </c>
      <c r="U14" s="2">
        <v>1000</v>
      </c>
      <c r="V14" s="2">
        <f t="shared" si="6"/>
        <v>-213</v>
      </c>
      <c r="Y14" s="597" t="s">
        <v>559</v>
      </c>
      <c r="Z14" s="597" t="s">
        <v>581</v>
      </c>
      <c r="AA14" s="597" t="s">
        <v>603</v>
      </c>
      <c r="AB14" s="597" t="s">
        <v>623</v>
      </c>
      <c r="AC14" s="2">
        <v>1000</v>
      </c>
      <c r="AE14" s="2">
        <f t="shared" si="7"/>
        <v>504</v>
      </c>
      <c r="AF14" s="2">
        <f t="shared" si="3"/>
        <v>1559</v>
      </c>
      <c r="AG14" s="2">
        <f t="shared" si="3"/>
        <v>1501</v>
      </c>
      <c r="AH14" s="2">
        <f t="shared" si="3"/>
        <v>462</v>
      </c>
    </row>
    <row r="15" spans="1:34" ht="12" customHeight="1">
      <c r="B15" s="62" t="s">
        <v>474</v>
      </c>
      <c r="C15" s="62" t="s">
        <v>475</v>
      </c>
      <c r="D15" s="437">
        <v>-3094</v>
      </c>
      <c r="E15" s="437">
        <v>3780</v>
      </c>
      <c r="F15" s="437">
        <v>-19626</v>
      </c>
      <c r="G15" s="437">
        <v>3014</v>
      </c>
      <c r="H15" s="437">
        <v>18021</v>
      </c>
      <c r="I15" s="437">
        <f t="shared" si="4"/>
        <v>21035</v>
      </c>
      <c r="J15" s="437">
        <v>288157</v>
      </c>
      <c r="K15" s="454">
        <v>1.1275705465122212</v>
      </c>
      <c r="L15" s="451">
        <f t="shared" si="5"/>
        <v>0.5299803329016165</v>
      </c>
      <c r="M15" s="451">
        <f t="shared" si="0"/>
        <v>7.2998400177680917E-2</v>
      </c>
      <c r="N15" s="451">
        <f t="shared" si="1"/>
        <v>-6.8108704629767799E-2</v>
      </c>
      <c r="O15" s="451">
        <f t="shared" si="2"/>
        <v>-1.2217194570135748</v>
      </c>
      <c r="P15" s="319">
        <v>0.5777650511064083</v>
      </c>
      <c r="T15" s="2" t="s">
        <v>648</v>
      </c>
      <c r="U15" s="2">
        <v>1000</v>
      </c>
      <c r="V15" s="2">
        <f t="shared" si="6"/>
        <v>-19626</v>
      </c>
      <c r="Y15" s="478" t="s">
        <v>560</v>
      </c>
      <c r="Z15" s="478" t="s">
        <v>582</v>
      </c>
      <c r="AA15" s="478" t="s">
        <v>604</v>
      </c>
      <c r="AB15" s="478" t="s">
        <v>624</v>
      </c>
      <c r="AC15" s="2">
        <v>1000</v>
      </c>
      <c r="AE15" s="2">
        <f t="shared" si="7"/>
        <v>18021</v>
      </c>
      <c r="AF15" s="2">
        <f t="shared" si="3"/>
        <v>3014</v>
      </c>
      <c r="AG15" s="2">
        <f t="shared" si="3"/>
        <v>-3094</v>
      </c>
      <c r="AH15" s="2">
        <f t="shared" si="3"/>
        <v>3780</v>
      </c>
    </row>
    <row r="16" spans="1:34" ht="12" customHeight="1">
      <c r="B16" s="50" t="s">
        <v>476</v>
      </c>
      <c r="C16" s="233" t="s">
        <v>477</v>
      </c>
      <c r="D16" s="452">
        <v>-123.943</v>
      </c>
      <c r="E16" s="452">
        <v>1.351</v>
      </c>
      <c r="F16" s="452">
        <v>-11.202999999999999</v>
      </c>
      <c r="G16" s="452">
        <v>-112.508</v>
      </c>
      <c r="H16" s="452">
        <v>17.843</v>
      </c>
      <c r="I16" s="437">
        <f t="shared" si="4"/>
        <v>-94.664999999999992</v>
      </c>
      <c r="J16" s="437">
        <v>995.3660000000001</v>
      </c>
      <c r="K16" s="454">
        <v>5.1002604166666667E-2</v>
      </c>
      <c r="L16" s="451">
        <f t="shared" si="5"/>
        <v>4.8527571639183815E-2</v>
      </c>
      <c r="M16" s="451">
        <f t="shared" si="0"/>
        <v>-9.5105719906044592E-2</v>
      </c>
      <c r="N16" s="451">
        <f t="shared" si="1"/>
        <v>-1.1255156394733191E-2</v>
      </c>
      <c r="O16" s="451">
        <f t="shared" si="2"/>
        <v>-1.0900171853190579E-2</v>
      </c>
      <c r="P16" s="319">
        <v>0.16340491306155522</v>
      </c>
      <c r="T16" s="2" t="s">
        <v>649</v>
      </c>
      <c r="U16" s="2">
        <v>1000</v>
      </c>
      <c r="V16" s="2">
        <f t="shared" si="6"/>
        <v>-11.202999999999999</v>
      </c>
      <c r="Y16" s="478" t="s">
        <v>561</v>
      </c>
      <c r="Z16" s="478" t="s">
        <v>583</v>
      </c>
      <c r="AA16" s="478" t="s">
        <v>605</v>
      </c>
      <c r="AB16" s="478" t="s">
        <v>625</v>
      </c>
      <c r="AC16" s="2">
        <v>1000</v>
      </c>
      <c r="AE16" s="2">
        <f t="shared" si="7"/>
        <v>17.843</v>
      </c>
      <c r="AF16" s="2">
        <f t="shared" si="3"/>
        <v>-112.508</v>
      </c>
      <c r="AG16" s="2">
        <f t="shared" si="3"/>
        <v>-123.943</v>
      </c>
      <c r="AH16" s="2">
        <f t="shared" si="3"/>
        <v>1.351</v>
      </c>
    </row>
    <row r="17" spans="1:34" ht="12" customHeight="1">
      <c r="B17" s="76" t="s">
        <v>478</v>
      </c>
      <c r="C17" s="81" t="s">
        <v>479</v>
      </c>
      <c r="D17" s="453">
        <v>6008</v>
      </c>
      <c r="E17" s="453">
        <v>1252</v>
      </c>
      <c r="F17" s="453">
        <v>-442</v>
      </c>
      <c r="G17" s="453">
        <v>6120</v>
      </c>
      <c r="H17" s="453">
        <v>856</v>
      </c>
      <c r="I17" s="437">
        <f t="shared" si="4"/>
        <v>6976</v>
      </c>
      <c r="J17" s="437">
        <v>145280</v>
      </c>
      <c r="K17" s="454">
        <v>3.157220446631185E-2</v>
      </c>
      <c r="L17" s="451">
        <f t="shared" si="5"/>
        <v>3.0605908466335482E-2</v>
      </c>
      <c r="M17" s="451">
        <f t="shared" si="0"/>
        <v>4.8017621145374452E-2</v>
      </c>
      <c r="N17" s="451">
        <f t="shared" si="1"/>
        <v>-3.0424008810572686E-3</v>
      </c>
      <c r="O17" s="451">
        <f t="shared" si="2"/>
        <v>0.20838881491344874</v>
      </c>
      <c r="P17" s="319">
        <v>5.6964879933694743E-2</v>
      </c>
      <c r="T17" s="2" t="s">
        <v>650</v>
      </c>
      <c r="U17" s="2">
        <v>1000</v>
      </c>
      <c r="V17" s="2">
        <f t="shared" si="6"/>
        <v>-442</v>
      </c>
      <c r="Y17" s="478" t="s">
        <v>562</v>
      </c>
      <c r="Z17" s="478" t="s">
        <v>584</v>
      </c>
      <c r="AA17" s="478" t="s">
        <v>606</v>
      </c>
      <c r="AB17" s="478" t="s">
        <v>626</v>
      </c>
      <c r="AC17" s="2">
        <v>1000</v>
      </c>
      <c r="AE17" s="2">
        <f t="shared" si="7"/>
        <v>856</v>
      </c>
      <c r="AF17" s="2">
        <f t="shared" si="3"/>
        <v>6120</v>
      </c>
      <c r="AG17" s="2">
        <f t="shared" si="3"/>
        <v>6008</v>
      </c>
      <c r="AH17" s="2">
        <f t="shared" si="3"/>
        <v>1252</v>
      </c>
    </row>
    <row r="18" spans="1:34" ht="12" customHeight="1">
      <c r="B18" s="76" t="s">
        <v>480</v>
      </c>
      <c r="C18" s="76" t="s">
        <v>481</v>
      </c>
      <c r="D18" s="453">
        <v>-426.71100000000001</v>
      </c>
      <c r="E18" s="453">
        <v>-1.6659999999999999</v>
      </c>
      <c r="F18" s="453">
        <v>-4.8570000000000002</v>
      </c>
      <c r="G18" s="453">
        <v>-412.53899999999999</v>
      </c>
      <c r="H18" s="453">
        <v>39.808999999999997</v>
      </c>
      <c r="I18" s="437">
        <f t="shared" si="4"/>
        <v>-372.73</v>
      </c>
      <c r="J18" s="437">
        <v>442.75200000000007</v>
      </c>
      <c r="K18" s="454">
        <v>0.80304050102725588</v>
      </c>
      <c r="L18" s="451">
        <f t="shared" si="5"/>
        <v>0.44538128820164347</v>
      </c>
      <c r="M18" s="451">
        <f t="shared" si="0"/>
        <v>-0.84184825816710018</v>
      </c>
      <c r="N18" s="451">
        <f t="shared" si="1"/>
        <v>-1.0970023850823936E-2</v>
      </c>
      <c r="O18" s="451">
        <f t="shared" si="2"/>
        <v>3.9042818207170658E-3</v>
      </c>
      <c r="P18" s="319">
        <v>0.3627383559443268</v>
      </c>
      <c r="T18" s="2" t="s">
        <v>651</v>
      </c>
      <c r="U18" s="2">
        <v>1000</v>
      </c>
      <c r="V18" s="2">
        <f t="shared" si="6"/>
        <v>-4.8570000000000002</v>
      </c>
      <c r="Y18" s="478" t="s">
        <v>563</v>
      </c>
      <c r="Z18" s="478" t="s">
        <v>585</v>
      </c>
      <c r="AA18" s="478" t="s">
        <v>607</v>
      </c>
      <c r="AB18" s="478" t="s">
        <v>627</v>
      </c>
      <c r="AC18" s="2">
        <v>1000</v>
      </c>
      <c r="AE18" s="2">
        <f t="shared" si="7"/>
        <v>39.808999999999997</v>
      </c>
      <c r="AF18" s="2">
        <f t="shared" si="3"/>
        <v>-412.53899999999999</v>
      </c>
      <c r="AG18" s="2">
        <f t="shared" si="3"/>
        <v>-426.71100000000001</v>
      </c>
      <c r="AH18" s="2">
        <f t="shared" si="3"/>
        <v>-1.6659999999999999</v>
      </c>
    </row>
    <row r="19" spans="1:34" ht="12" customHeight="1">
      <c r="B19" s="76" t="s">
        <v>424</v>
      </c>
      <c r="C19" s="76" t="s">
        <v>425</v>
      </c>
      <c r="D19" s="453">
        <v>71328</v>
      </c>
      <c r="E19" s="453">
        <v>11356</v>
      </c>
      <c r="F19" s="453">
        <v>-31485</v>
      </c>
      <c r="G19" s="453">
        <v>71685</v>
      </c>
      <c r="H19" s="453">
        <v>15928</v>
      </c>
      <c r="I19" s="437">
        <f t="shared" si="4"/>
        <v>87613</v>
      </c>
      <c r="J19" s="437">
        <v>1057917</v>
      </c>
      <c r="K19" s="454">
        <v>2.5988616462346761E-2</v>
      </c>
      <c r="L19" s="451">
        <f t="shared" si="5"/>
        <v>2.5330316579882373E-2</v>
      </c>
      <c r="M19" s="451">
        <f t="shared" si="0"/>
        <v>8.2816515851432584E-2</v>
      </c>
      <c r="N19" s="451">
        <f t="shared" si="1"/>
        <v>-2.9761313978317768E-2</v>
      </c>
      <c r="O19" s="451">
        <f t="shared" si="2"/>
        <v>0.1592081650964558</v>
      </c>
      <c r="P19" s="319">
        <v>0.24817029584354638</v>
      </c>
      <c r="T19" s="2" t="s">
        <v>652</v>
      </c>
      <c r="U19" s="2">
        <v>1000</v>
      </c>
      <c r="V19" s="2">
        <f t="shared" si="6"/>
        <v>-31485</v>
      </c>
      <c r="Y19" s="478" t="s">
        <v>564</v>
      </c>
      <c r="Z19" s="478" t="s">
        <v>586</v>
      </c>
      <c r="AA19" s="478" t="s">
        <v>608</v>
      </c>
      <c r="AB19" s="478" t="s">
        <v>628</v>
      </c>
      <c r="AC19" s="2">
        <v>1000</v>
      </c>
      <c r="AE19" s="2">
        <f t="shared" si="7"/>
        <v>15928</v>
      </c>
      <c r="AF19" s="2">
        <f t="shared" si="3"/>
        <v>71685</v>
      </c>
      <c r="AG19" s="2">
        <f t="shared" si="3"/>
        <v>71328</v>
      </c>
      <c r="AH19" s="2">
        <f t="shared" si="3"/>
        <v>11356</v>
      </c>
    </row>
    <row r="20" spans="1:34" ht="12" customHeight="1">
      <c r="B20" s="76" t="s">
        <v>483</v>
      </c>
      <c r="C20" s="81" t="s">
        <v>484</v>
      </c>
      <c r="D20" s="453">
        <v>192.7</v>
      </c>
      <c r="E20" s="453">
        <v>-360.5</v>
      </c>
      <c r="F20" s="453">
        <v>-33.799999999999997</v>
      </c>
      <c r="G20" s="453">
        <v>356.5</v>
      </c>
      <c r="H20" s="453">
        <v>157.1</v>
      </c>
      <c r="I20" s="437">
        <f t="shared" si="4"/>
        <v>513.6</v>
      </c>
      <c r="J20" s="437">
        <v>8423.2000000000007</v>
      </c>
      <c r="K20" s="454">
        <v>0.30709314775160601</v>
      </c>
      <c r="L20" s="451">
        <f t="shared" si="5"/>
        <v>0.23494358323265005</v>
      </c>
      <c r="M20" s="451">
        <f t="shared" si="0"/>
        <v>6.0974451514863706E-2</v>
      </c>
      <c r="N20" s="451">
        <f t="shared" si="1"/>
        <v>-4.0127267546775569E-3</v>
      </c>
      <c r="O20" s="451">
        <f t="shared" si="2"/>
        <v>-1.8707836014530359</v>
      </c>
      <c r="P20" s="319">
        <v>0.12260186877662721</v>
      </c>
      <c r="T20" s="2" t="s">
        <v>653</v>
      </c>
      <c r="U20" s="2">
        <v>1000</v>
      </c>
      <c r="V20" s="2">
        <f t="shared" si="6"/>
        <v>-33.799999999999997</v>
      </c>
      <c r="Y20" s="478" t="s">
        <v>565</v>
      </c>
      <c r="Z20" s="478" t="s">
        <v>587</v>
      </c>
      <c r="AA20" s="478" t="s">
        <v>609</v>
      </c>
      <c r="AB20" s="478" t="s">
        <v>629</v>
      </c>
      <c r="AC20" s="2">
        <v>1000</v>
      </c>
      <c r="AE20" s="2">
        <f t="shared" si="7"/>
        <v>157.1</v>
      </c>
      <c r="AF20" s="2">
        <f t="shared" ref="AF20:AF23" si="8">Z20/$AC$4</f>
        <v>356.5</v>
      </c>
      <c r="AG20" s="2">
        <f t="shared" ref="AG20:AG23" si="9">AA20/$AC$4</f>
        <v>192.7</v>
      </c>
      <c r="AH20" s="2">
        <f t="shared" ref="AH20:AH23" si="10">AB20/$AC$4</f>
        <v>-360.5</v>
      </c>
    </row>
    <row r="21" spans="1:34" ht="12" customHeight="1">
      <c r="B21" s="76" t="s">
        <v>486</v>
      </c>
      <c r="C21" s="76" t="s">
        <v>485</v>
      </c>
      <c r="D21" s="453">
        <v>249.27600000000001</v>
      </c>
      <c r="E21" s="453">
        <v>145.565</v>
      </c>
      <c r="F21" s="453">
        <v>-115.09399999999999</v>
      </c>
      <c r="G21" s="453">
        <v>245.429</v>
      </c>
      <c r="H21" s="453">
        <v>82.320999999999998</v>
      </c>
      <c r="I21" s="437">
        <f t="shared" si="4"/>
        <v>327.75</v>
      </c>
      <c r="J21" s="437">
        <v>16297.449000000001</v>
      </c>
      <c r="K21" s="454">
        <v>4.8917218083383467E-3</v>
      </c>
      <c r="L21" s="451">
        <f t="shared" si="5"/>
        <v>4.8679093500098893E-3</v>
      </c>
      <c r="M21" s="451">
        <f t="shared" si="0"/>
        <v>2.0110509319587376E-2</v>
      </c>
      <c r="N21" s="451">
        <f t="shared" si="1"/>
        <v>-7.0620868333442855E-3</v>
      </c>
      <c r="O21" s="451">
        <f t="shared" si="2"/>
        <v>0.58395112245061698</v>
      </c>
      <c r="P21" s="319">
        <v>8.3288552364299009E-2</v>
      </c>
      <c r="T21" s="2" t="s">
        <v>654</v>
      </c>
      <c r="U21" s="2">
        <v>1000</v>
      </c>
      <c r="V21" s="2">
        <f t="shared" si="6"/>
        <v>-115.09399999999999</v>
      </c>
      <c r="Y21" s="478" t="s">
        <v>566</v>
      </c>
      <c r="Z21" s="478" t="s">
        <v>588</v>
      </c>
      <c r="AA21" s="478" t="s">
        <v>610</v>
      </c>
      <c r="AB21" s="478" t="s">
        <v>630</v>
      </c>
      <c r="AC21" s="2">
        <v>1000</v>
      </c>
      <c r="AE21" s="2">
        <f t="shared" si="7"/>
        <v>82.320999999999998</v>
      </c>
      <c r="AF21" s="2">
        <f t="shared" si="8"/>
        <v>245.429</v>
      </c>
      <c r="AG21" s="2">
        <f t="shared" si="9"/>
        <v>249.27600000000001</v>
      </c>
      <c r="AH21" s="2">
        <f t="shared" si="10"/>
        <v>145.565</v>
      </c>
    </row>
    <row r="22" spans="1:34" ht="12" customHeight="1">
      <c r="B22" s="76" t="s">
        <v>487</v>
      </c>
      <c r="C22" s="76" t="s">
        <v>488</v>
      </c>
      <c r="D22" s="453">
        <v>9.1660000000000004</v>
      </c>
      <c r="E22" s="453">
        <v>7.2370000000000001</v>
      </c>
      <c r="F22" s="453">
        <v>-9.2940000000000005</v>
      </c>
      <c r="G22" s="453">
        <v>16.963999999999999</v>
      </c>
      <c r="H22" s="453">
        <v>72.53</v>
      </c>
      <c r="I22" s="437">
        <f t="shared" si="4"/>
        <v>89.494</v>
      </c>
      <c r="J22" s="437">
        <v>4806.0599999999995</v>
      </c>
      <c r="K22" s="437">
        <v>0.13522821052631578</v>
      </c>
      <c r="L22" s="451">
        <f>K22/(K22+1)</f>
        <v>0.11911984680474168</v>
      </c>
      <c r="M22" s="451">
        <f t="shared" si="0"/>
        <v>1.8621074227121594E-2</v>
      </c>
      <c r="N22" s="451">
        <f t="shared" si="1"/>
        <v>-1.933808566684561E-3</v>
      </c>
      <c r="O22" s="451">
        <f t="shared" si="2"/>
        <v>0.7895483307876936</v>
      </c>
      <c r="P22" s="319">
        <v>3.9345865642960137E-2</v>
      </c>
      <c r="T22" s="2" t="s">
        <v>655</v>
      </c>
      <c r="U22" s="2">
        <v>1000</v>
      </c>
      <c r="V22" s="2">
        <f t="shared" si="6"/>
        <v>-9.2940000000000005</v>
      </c>
      <c r="Y22" s="478" t="s">
        <v>567</v>
      </c>
      <c r="Z22" s="478" t="s">
        <v>589</v>
      </c>
      <c r="AA22" s="478" t="s">
        <v>611</v>
      </c>
      <c r="AB22" s="478" t="s">
        <v>631</v>
      </c>
      <c r="AC22" s="2">
        <v>1000</v>
      </c>
      <c r="AE22" s="2">
        <f t="shared" si="7"/>
        <v>72.53</v>
      </c>
      <c r="AF22" s="2">
        <f t="shared" si="8"/>
        <v>16.963999999999999</v>
      </c>
      <c r="AG22" s="2">
        <f t="shared" si="9"/>
        <v>9.1660000000000004</v>
      </c>
      <c r="AH22" s="2">
        <f t="shared" si="10"/>
        <v>7.2370000000000001</v>
      </c>
    </row>
    <row r="23" spans="1:34" s="27" customFormat="1" ht="12" customHeight="1">
      <c r="A23" s="2"/>
      <c r="B23" s="76" t="s">
        <v>489</v>
      </c>
      <c r="C23" s="81" t="s">
        <v>490</v>
      </c>
      <c r="D23" s="453">
        <v>82588</v>
      </c>
      <c r="E23" s="453">
        <v>15139</v>
      </c>
      <c r="F23" s="453">
        <v>-24768</v>
      </c>
      <c r="G23" s="453">
        <v>84577</v>
      </c>
      <c r="H23" s="453">
        <v>14190</v>
      </c>
      <c r="I23" s="437">
        <f t="shared" si="4"/>
        <v>98767</v>
      </c>
      <c r="J23" s="437">
        <v>1811521</v>
      </c>
      <c r="K23" s="454">
        <v>3.3029649595687334E-2</v>
      </c>
      <c r="L23" s="451">
        <f t="shared" ref="L23:L26" si="11">K23/(K23+1)</f>
        <v>3.1973573661331647E-2</v>
      </c>
      <c r="M23" s="451">
        <f t="shared" ref="M23:M25" si="12">I23/J23</f>
        <v>5.4521587108291872E-2</v>
      </c>
      <c r="N23" s="451">
        <f t="shared" ref="N23:N25" si="13">F23/J23</f>
        <v>-1.3672488477914416E-2</v>
      </c>
      <c r="O23" s="451">
        <f t="shared" ref="O23:O25" si="14">E23/D23</f>
        <v>0.18330750230057635</v>
      </c>
      <c r="P23" s="319">
        <v>0.13518467223953104</v>
      </c>
      <c r="T23" s="27" t="s">
        <v>656</v>
      </c>
      <c r="U23" s="2">
        <v>1000</v>
      </c>
      <c r="V23" s="2">
        <f t="shared" si="6"/>
        <v>-24768</v>
      </c>
      <c r="Y23" s="598" t="s">
        <v>568</v>
      </c>
      <c r="Z23" s="598" t="s">
        <v>590</v>
      </c>
      <c r="AA23" s="598" t="s">
        <v>612</v>
      </c>
      <c r="AB23" s="598" t="s">
        <v>632</v>
      </c>
      <c r="AC23" s="2">
        <v>1000</v>
      </c>
      <c r="AE23" s="2">
        <f t="shared" si="7"/>
        <v>14190</v>
      </c>
      <c r="AF23" s="2">
        <f t="shared" si="8"/>
        <v>84577</v>
      </c>
      <c r="AG23" s="2">
        <f t="shared" si="9"/>
        <v>82588</v>
      </c>
      <c r="AH23" s="2">
        <f t="shared" si="10"/>
        <v>15139</v>
      </c>
    </row>
    <row r="24" spans="1:34" ht="12" customHeight="1">
      <c r="B24" s="76" t="s">
        <v>491</v>
      </c>
      <c r="C24" s="76" t="s">
        <v>492</v>
      </c>
      <c r="D24" s="453">
        <v>-2739.4</v>
      </c>
      <c r="E24" s="453">
        <v>16.899999999999999</v>
      </c>
      <c r="F24" s="453">
        <v>-195.8</v>
      </c>
      <c r="G24" s="453">
        <v>-2670.6</v>
      </c>
      <c r="H24" s="453">
        <v>139.5</v>
      </c>
      <c r="I24" s="437">
        <f t="shared" si="4"/>
        <v>-2531.1</v>
      </c>
      <c r="J24" s="437">
        <v>5513.4</v>
      </c>
      <c r="K24" s="454">
        <v>0.54012289485662268</v>
      </c>
      <c r="L24" s="451">
        <f t="shared" si="11"/>
        <v>0.35070116590072847</v>
      </c>
      <c r="M24" s="451">
        <f t="shared" si="12"/>
        <v>-0.45908151050168683</v>
      </c>
      <c r="N24" s="451">
        <f t="shared" si="13"/>
        <v>-3.5513476257844526E-2</v>
      </c>
      <c r="O24" s="451">
        <f t="shared" si="14"/>
        <v>-6.1692341388625239E-3</v>
      </c>
      <c r="P24" s="319">
        <v>0.44248319417245419</v>
      </c>
      <c r="T24" s="2" t="s">
        <v>657</v>
      </c>
      <c r="U24" s="2">
        <v>1000</v>
      </c>
      <c r="V24" s="2">
        <f t="shared" si="6"/>
        <v>-195.8</v>
      </c>
      <c r="Y24" s="2" t="s">
        <v>569</v>
      </c>
      <c r="Z24" s="2" t="s">
        <v>591</v>
      </c>
      <c r="AA24" s="2" t="s">
        <v>613</v>
      </c>
      <c r="AB24" s="2" t="s">
        <v>633</v>
      </c>
      <c r="AC24" s="2">
        <v>1000</v>
      </c>
      <c r="AE24" s="2">
        <f t="shared" ref="AE24:AE25" si="15">Y24/$AC$4</f>
        <v>139.5</v>
      </c>
      <c r="AF24" s="2">
        <f t="shared" ref="AF24:AF25" si="16">Z24/$AC$4</f>
        <v>-2670.6</v>
      </c>
      <c r="AG24" s="2">
        <f t="shared" ref="AG24:AG25" si="17">AA24/$AC$4</f>
        <v>-2739.4</v>
      </c>
      <c r="AH24" s="2">
        <f t="shared" ref="AH24:AH25" si="18">AB24/$AC$4</f>
        <v>16.899999999999999</v>
      </c>
    </row>
    <row r="25" spans="1:34" ht="12" customHeight="1">
      <c r="B25" s="76" t="s">
        <v>493</v>
      </c>
      <c r="C25" s="76" t="s">
        <v>494</v>
      </c>
      <c r="D25" s="453">
        <v>-104.69199999999999</v>
      </c>
      <c r="E25" s="453">
        <v>8.0570000000000004</v>
      </c>
      <c r="F25" s="453">
        <v>-44.344999999999999</v>
      </c>
      <c r="G25" s="453">
        <v>-100.93</v>
      </c>
      <c r="H25" s="453">
        <v>58.15</v>
      </c>
      <c r="I25" s="437">
        <f t="shared" si="4"/>
        <v>-42.780000000000008</v>
      </c>
      <c r="J25" s="437">
        <v>18465.654999999999</v>
      </c>
      <c r="K25" s="437">
        <v>4.2278680788590609E-2</v>
      </c>
      <c r="L25" s="451">
        <f t="shared" si="11"/>
        <v>4.0563701021498831E-2</v>
      </c>
      <c r="M25" s="451">
        <f t="shared" si="12"/>
        <v>-2.3167334167133531E-3</v>
      </c>
      <c r="N25" s="451">
        <f t="shared" si="13"/>
        <v>-2.401485352130753E-3</v>
      </c>
      <c r="O25" s="451">
        <f t="shared" si="14"/>
        <v>-7.6959079967905866E-2</v>
      </c>
      <c r="P25" s="319">
        <v>7.4293189307632859E-2</v>
      </c>
      <c r="T25" s="2" t="s">
        <v>658</v>
      </c>
      <c r="U25" s="2">
        <v>1000</v>
      </c>
      <c r="V25" s="2">
        <f t="shared" si="6"/>
        <v>-44.344999999999999</v>
      </c>
      <c r="Y25" s="2" t="s">
        <v>570</v>
      </c>
      <c r="Z25" s="2" t="s">
        <v>592</v>
      </c>
      <c r="AA25" s="2" t="s">
        <v>614</v>
      </c>
      <c r="AB25" s="2" t="s">
        <v>634</v>
      </c>
      <c r="AC25" s="2">
        <v>1000</v>
      </c>
      <c r="AE25" s="2">
        <f t="shared" si="15"/>
        <v>58.15</v>
      </c>
      <c r="AF25" s="2">
        <f t="shared" si="16"/>
        <v>-100.93</v>
      </c>
      <c r="AG25" s="2">
        <f t="shared" si="17"/>
        <v>-104.69199999999999</v>
      </c>
      <c r="AH25" s="2">
        <f t="shared" si="18"/>
        <v>8.0570000000000004</v>
      </c>
    </row>
    <row r="26" spans="1:34" ht="12" customHeight="1">
      <c r="B26" s="76" t="s">
        <v>659</v>
      </c>
      <c r="C26" s="76" t="s">
        <v>395</v>
      </c>
      <c r="D26" s="453">
        <v>-370</v>
      </c>
      <c r="E26" s="453">
        <v>60</v>
      </c>
      <c r="F26" s="453">
        <v>-25</v>
      </c>
      <c r="G26" s="453">
        <v>-312</v>
      </c>
      <c r="H26" s="453">
        <v>171</v>
      </c>
      <c r="I26" s="437">
        <f>G26+H26</f>
        <v>-141</v>
      </c>
      <c r="J26" s="437">
        <f>'Bottom Up Beta'!C13+'Bottom Up Beta'!C14-'Cash &amp; Marketable Securities'!C6</f>
        <v>19743.10117754</v>
      </c>
      <c r="K26" s="437">
        <f>'Bottom Up Beta'!C15</f>
        <v>8.1537642854153172E-2</v>
      </c>
      <c r="L26" s="451">
        <f t="shared" si="11"/>
        <v>7.5390480759391032E-2</v>
      </c>
      <c r="M26" s="451">
        <f t="shared" ref="M26" si="19">I26/J26</f>
        <v>-7.1417351677457528E-3</v>
      </c>
      <c r="N26" s="451">
        <f t="shared" ref="N26" si="20">F26/J26</f>
        <v>-1.2662651006641406E-3</v>
      </c>
      <c r="O26" s="451">
        <f>E26/D26</f>
        <v>-0.16216216216216217</v>
      </c>
      <c r="P26" s="319">
        <v>6.9673305549840206E-2</v>
      </c>
    </row>
    <row r="28" spans="1:34" ht="12" customHeight="1">
      <c r="B28" s="583" t="s">
        <v>384</v>
      </c>
      <c r="C28" s="583"/>
      <c r="D28" s="583"/>
      <c r="E28" s="1"/>
      <c r="F28" s="462" t="s">
        <v>660</v>
      </c>
      <c r="I28" s="1"/>
      <c r="J28" s="1"/>
      <c r="L28" s="12"/>
      <c r="N28" s="583" t="s">
        <v>661</v>
      </c>
      <c r="O28" s="583"/>
      <c r="P28" s="583"/>
    </row>
    <row r="29" spans="1:34" ht="12" customHeight="1">
      <c r="B29" s="456" t="s">
        <v>385</v>
      </c>
      <c r="C29" s="72">
        <v>0.42668252998587458</v>
      </c>
      <c r="D29" s="457"/>
      <c r="E29" s="1"/>
      <c r="N29" s="533" t="s">
        <v>389</v>
      </c>
      <c r="O29" s="533"/>
      <c r="P29" s="72">
        <f>L26</f>
        <v>7.5390480759391032E-2</v>
      </c>
    </row>
    <row r="30" spans="1:34" ht="12" customHeight="1">
      <c r="B30" s="456" t="s">
        <v>386</v>
      </c>
      <c r="C30" s="72">
        <v>0.33615871893101262</v>
      </c>
      <c r="D30" s="457"/>
      <c r="E30" s="1"/>
      <c r="N30" s="534" t="s">
        <v>383</v>
      </c>
      <c r="O30" s="534"/>
      <c r="P30" s="469">
        <f>P26</f>
        <v>6.9673305549840206E-2</v>
      </c>
    </row>
    <row r="31" spans="1:34" ht="12" customHeight="1">
      <c r="B31" s="456" t="s">
        <v>387</v>
      </c>
      <c r="C31" s="459">
        <v>1.2685121337318056E-2</v>
      </c>
      <c r="D31" s="458" t="s">
        <v>388</v>
      </c>
      <c r="E31" s="1"/>
    </row>
    <row r="32" spans="1:34" ht="12" customHeight="1">
      <c r="B32" s="456" t="s">
        <v>382</v>
      </c>
      <c r="C32" s="463">
        <v>0.17305353069448762</v>
      </c>
      <c r="D32" s="457"/>
      <c r="E32" s="1"/>
      <c r="G32" s="462"/>
      <c r="H32" s="462"/>
      <c r="I32" s="1"/>
      <c r="J32" s="1"/>
    </row>
    <row r="35" spans="2:15" ht="12" customHeight="1">
      <c r="B35" s="460"/>
      <c r="C35" s="460"/>
      <c r="D35" s="460"/>
      <c r="E35" s="460"/>
      <c r="F35" s="460"/>
      <c r="G35" s="460"/>
      <c r="H35" s="109"/>
      <c r="I35" s="109"/>
      <c r="J35" s="109"/>
      <c r="M35" s="414"/>
      <c r="N35" s="414"/>
      <c r="O35" s="415"/>
    </row>
    <row r="36" spans="2:15" ht="12" customHeight="1">
      <c r="B36" s="455"/>
      <c r="C36" s="455"/>
      <c r="D36" s="455"/>
      <c r="E36" s="455"/>
      <c r="F36" s="455"/>
      <c r="G36" s="455"/>
      <c r="H36" s="109"/>
      <c r="I36" s="109"/>
      <c r="J36" s="109"/>
      <c r="N36" s="414"/>
      <c r="O36" s="424"/>
    </row>
    <row r="37" spans="2:15" ht="12" customHeight="1">
      <c r="B37" s="373"/>
      <c r="C37" s="373"/>
      <c r="D37" s="373"/>
      <c r="E37" s="373"/>
      <c r="F37" s="373"/>
      <c r="G37" s="373"/>
      <c r="H37" s="373"/>
      <c r="I37" s="373"/>
      <c r="J37" s="373"/>
      <c r="M37" s="414"/>
    </row>
    <row r="38" spans="2:15" ht="12" customHeight="1">
      <c r="B38" s="373"/>
      <c r="C38" s="373"/>
      <c r="D38" s="373"/>
      <c r="E38" s="373"/>
      <c r="F38" s="373"/>
      <c r="G38" s="373"/>
      <c r="H38" s="373"/>
      <c r="I38" s="373"/>
      <c r="J38" s="373"/>
      <c r="N38" s="12"/>
      <c r="O38" s="424"/>
    </row>
    <row r="39" spans="2:15" ht="12" customHeight="1">
      <c r="B39" s="373"/>
      <c r="C39" s="373"/>
      <c r="D39" s="373"/>
      <c r="E39" s="373"/>
      <c r="F39" s="373"/>
      <c r="G39" s="373"/>
      <c r="H39" s="373"/>
      <c r="I39" s="373"/>
      <c r="J39" s="373"/>
    </row>
    <row r="40" spans="2:15" ht="12" customHeight="1">
      <c r="B40" s="373"/>
      <c r="C40" s="373"/>
      <c r="D40" s="373"/>
      <c r="E40" s="373"/>
      <c r="F40" s="373"/>
      <c r="G40" s="373"/>
      <c r="H40" s="373"/>
      <c r="I40" s="373"/>
      <c r="J40" s="373"/>
    </row>
    <row r="41" spans="2:15" ht="12" customHeight="1">
      <c r="B41" s="373"/>
      <c r="C41" s="373"/>
      <c r="D41" s="373"/>
      <c r="E41" s="373"/>
      <c r="F41" s="373"/>
      <c r="G41" s="373"/>
      <c r="H41" s="373"/>
      <c r="I41" s="373"/>
      <c r="J41" s="373"/>
    </row>
    <row r="42" spans="2:15" ht="12" customHeight="1">
      <c r="E42" s="373"/>
      <c r="F42" s="373"/>
      <c r="G42" s="373"/>
      <c r="H42" s="373"/>
      <c r="I42" s="373"/>
      <c r="J42" s="373"/>
    </row>
    <row r="43" spans="2:15" ht="12" customHeight="1">
      <c r="E43" s="373"/>
      <c r="F43" s="373"/>
      <c r="G43" s="373"/>
      <c r="H43" s="373"/>
      <c r="I43" s="373"/>
      <c r="J43" s="373"/>
    </row>
    <row r="44" spans="2:15" ht="12" customHeight="1">
      <c r="E44" s="373"/>
      <c r="F44" s="373"/>
      <c r="G44" s="373"/>
      <c r="H44" s="373"/>
      <c r="I44" s="373"/>
      <c r="J44" s="373"/>
    </row>
    <row r="45" spans="2:15" ht="12" customHeight="1">
      <c r="E45" s="373"/>
      <c r="F45" s="373"/>
      <c r="G45" s="373"/>
      <c r="H45" s="373"/>
      <c r="I45" s="373"/>
      <c r="J45" s="373"/>
    </row>
    <row r="46" spans="2:15" ht="12" customHeight="1">
      <c r="E46" s="373"/>
      <c r="F46" s="373"/>
      <c r="G46" s="373"/>
      <c r="H46" s="373"/>
      <c r="I46" s="373"/>
      <c r="J46" s="373"/>
    </row>
    <row r="47" spans="2:15" ht="12" customHeight="1">
      <c r="E47" s="373"/>
      <c r="F47" s="373"/>
      <c r="G47" s="373"/>
      <c r="H47" s="373"/>
      <c r="I47" s="373"/>
      <c r="J47" s="373"/>
    </row>
    <row r="48" spans="2:15" ht="12" customHeight="1">
      <c r="E48" s="373"/>
      <c r="F48" s="373"/>
      <c r="G48" s="373"/>
      <c r="H48" s="373"/>
      <c r="I48" s="373"/>
      <c r="J48" s="373"/>
    </row>
    <row r="49" spans="5:10" ht="12" customHeight="1">
      <c r="E49" s="373"/>
      <c r="F49" s="373"/>
      <c r="G49" s="373"/>
      <c r="H49" s="373"/>
      <c r="I49" s="373"/>
      <c r="J49" s="373"/>
    </row>
    <row r="50" spans="5:10" ht="12" customHeight="1">
      <c r="E50" s="373"/>
      <c r="F50" s="373"/>
      <c r="G50" s="373"/>
      <c r="H50" s="373"/>
      <c r="I50" s="373"/>
      <c r="J50" s="373"/>
    </row>
    <row r="51" spans="5:10" ht="12" customHeight="1">
      <c r="E51" s="373"/>
      <c r="F51" s="373"/>
      <c r="G51" s="373"/>
      <c r="H51" s="373"/>
      <c r="I51" s="373"/>
      <c r="J51" s="373"/>
    </row>
    <row r="52" spans="5:10" ht="12" customHeight="1">
      <c r="E52" s="373"/>
      <c r="F52" s="373"/>
      <c r="G52" s="373"/>
      <c r="H52" s="373"/>
      <c r="I52" s="373"/>
      <c r="J52" s="373"/>
    </row>
    <row r="53" spans="5:10" ht="12" customHeight="1">
      <c r="E53" s="373"/>
      <c r="F53" s="373"/>
      <c r="G53" s="373"/>
      <c r="H53" s="373"/>
      <c r="I53" s="373"/>
      <c r="J53" s="373"/>
    </row>
    <row r="54" spans="5:10" ht="12" customHeight="1">
      <c r="E54" s="373"/>
      <c r="F54" s="373"/>
      <c r="G54" s="373"/>
      <c r="H54" s="373"/>
      <c r="I54" s="373"/>
      <c r="J54" s="373"/>
    </row>
    <row r="55" spans="5:10" ht="12" customHeight="1">
      <c r="E55" s="373"/>
      <c r="F55" s="373"/>
      <c r="G55" s="373"/>
      <c r="H55" s="373"/>
      <c r="I55" s="373"/>
      <c r="J55" s="373"/>
    </row>
    <row r="56" spans="5:10" ht="12" customHeight="1">
      <c r="E56" s="373"/>
      <c r="F56" s="373"/>
      <c r="G56" s="373"/>
      <c r="H56" s="373"/>
      <c r="I56" s="373"/>
      <c r="J56" s="373"/>
    </row>
    <row r="57" spans="5:10" ht="12" customHeight="1">
      <c r="E57" s="373"/>
      <c r="F57" s="373"/>
      <c r="G57" s="373"/>
      <c r="H57" s="373"/>
      <c r="I57" s="373"/>
      <c r="J57" s="373"/>
    </row>
    <row r="58" spans="5:10" ht="12" customHeight="1">
      <c r="E58" s="373"/>
      <c r="F58" s="373"/>
      <c r="G58" s="373"/>
      <c r="H58" s="373"/>
      <c r="I58" s="373"/>
      <c r="J58" s="373"/>
    </row>
    <row r="59" spans="5:10" ht="12" customHeight="1">
      <c r="E59" s="373"/>
      <c r="F59" s="373"/>
      <c r="G59" s="373"/>
      <c r="H59" s="373"/>
      <c r="I59" s="373"/>
      <c r="J59" s="373"/>
    </row>
    <row r="60" spans="5:10" ht="12" customHeight="1">
      <c r="E60" s="373"/>
      <c r="F60" s="373"/>
      <c r="G60" s="373"/>
      <c r="H60" s="373"/>
      <c r="I60" s="373"/>
      <c r="J60" s="373"/>
    </row>
    <row r="61" spans="5:10" ht="12" customHeight="1">
      <c r="E61" s="373"/>
      <c r="F61" s="373"/>
      <c r="G61" s="373"/>
      <c r="H61" s="373"/>
      <c r="I61" s="373"/>
      <c r="J61" s="373"/>
    </row>
    <row r="62" spans="5:10" ht="12" customHeight="1">
      <c r="E62" s="373"/>
      <c r="F62" s="373"/>
      <c r="G62" s="373"/>
      <c r="H62" s="373"/>
      <c r="I62" s="373"/>
      <c r="J62" s="373"/>
    </row>
    <row r="63" spans="5:10" ht="12" customHeight="1">
      <c r="E63" s="373"/>
      <c r="F63" s="373"/>
      <c r="G63" s="373"/>
      <c r="H63" s="373"/>
      <c r="I63" s="373"/>
      <c r="J63" s="373"/>
    </row>
    <row r="64" spans="5:10" ht="12" customHeight="1">
      <c r="E64" s="373"/>
      <c r="F64" s="373"/>
      <c r="G64" s="373"/>
      <c r="H64" s="373"/>
      <c r="I64" s="373"/>
      <c r="J64" s="373"/>
    </row>
    <row r="65" spans="5:10" ht="12" customHeight="1">
      <c r="E65" s="373"/>
      <c r="F65" s="373"/>
      <c r="G65" s="373"/>
      <c r="H65" s="373"/>
      <c r="I65" s="373"/>
      <c r="J65" s="373"/>
    </row>
    <row r="66" spans="5:10" ht="12" customHeight="1">
      <c r="E66" s="373"/>
      <c r="F66" s="373"/>
      <c r="G66" s="373"/>
      <c r="H66" s="373"/>
      <c r="I66" s="373"/>
      <c r="J66" s="373"/>
    </row>
    <row r="67" spans="5:10" ht="12" customHeight="1">
      <c r="E67" s="373"/>
      <c r="F67" s="373"/>
      <c r="G67" s="373"/>
      <c r="H67" s="373"/>
      <c r="I67" s="373"/>
      <c r="J67" s="373"/>
    </row>
  </sheetData>
  <mergeCells count="2">
    <mergeCell ref="B28:D28"/>
    <mergeCell ref="N28:P28"/>
  </mergeCells>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Dashboard</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Key Performance Indicators</vt:lpstr>
      <vt:lpstr>Industry &amp; Revenues</vt:lpstr>
      <vt:lpstr>Future Cashflows (10 Yrs)</vt:lpstr>
      <vt:lpstr>Terminal Value</vt:lpstr>
      <vt:lpstr>Road to Fair Value of Share</vt:lpstr>
      <vt:lpstr>Cash &amp; Marketable Securities</vt:lpstr>
      <vt:lpstr>Future Value (Equity Options)</vt:lpstr>
      <vt:lpstr>Fair Value of Share</vt:lpstr>
      <vt:lpstr>Financing Decision</vt:lpstr>
      <vt:lpstr>Debt Design Explained</vt:lpstr>
      <vt:lpstr>Optimal Cost of Capital</vt:lpstr>
      <vt:lpstr>Adjusted Present Value</vt:lpstr>
      <vt:lpstr>Relative Analysis</vt:lpstr>
      <vt:lpstr>'Adjusted Present Value'!Print_Area</vt:lpstr>
      <vt:lpstr>Dashboard!Print_Area</vt:lpstr>
      <vt:lpstr>'Debt Design Explained'!Print_Area</vt:lpstr>
      <vt:lpstr>'Fair Value of Share'!Print_Area</vt:lpstr>
      <vt:lpstr>'Future Cashflows (10 Yrs)'!Print_Area</vt:lpstr>
      <vt:lpstr>'Future Value (Equity Options)'!Print_Area</vt:lpstr>
      <vt:lpstr>'Optimal Cost of Capital'!Print_Area</vt:lpstr>
      <vt:lpstr>'Relative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2023-03-02T08:11:58Z</dcterms:modified>
</cp:coreProperties>
</file>