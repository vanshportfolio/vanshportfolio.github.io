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49"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50" r:id="rId12"/>
    <sheet name="EBIT &amp; R&amp;D Expense" sheetId="54" r:id="rId13"/>
    <sheet name="Net CapEx" sheetId="32" r:id="rId14"/>
    <sheet name="Working Capital Changes" sheetId="34" r:id="rId15"/>
    <sheet name="FCFF &amp; FCFE" sheetId="35" r:id="rId16"/>
    <sheet name="Growth Rate &amp; TV" sheetId="36" r:id="rId17"/>
    <sheet name="Expected Growth Rate" sheetId="39" r:id="rId18"/>
    <sheet name="Market Analysis" sheetId="51" r:id="rId19"/>
    <sheet name="Future Cashflows (10 Yrs)" sheetId="37" r:id="rId20"/>
    <sheet name="Terminal Value" sheetId="40" r:id="rId21"/>
    <sheet name="Road to Fair Value of Share" sheetId="42" r:id="rId22"/>
    <sheet name="Cash &amp; Marketable Securities" sheetId="43" r:id="rId23"/>
    <sheet name="Future Value of Equity Options" sheetId="52" r:id="rId24"/>
    <sheet name="Future Value of RSU" sheetId="53" r:id="rId25"/>
    <sheet name="Fair Value of Share" sheetId="48" r:id="rId26"/>
  </sheets>
  <definedNames>
    <definedName name="_xlnm.Print_Area" localSheetId="6">Beta!$G$2:$M$10,Beta!$B$3:$C$13</definedName>
    <definedName name="_xlnm.Print_Area" localSheetId="22">'Cash &amp; Marketable Securities'!$B$3:$C$14</definedName>
    <definedName name="_xlnm.Print_Area" localSheetId="7">'Cost of Equity &amp; Debt'!$G$22:$L$27,'Cost of Equity &amp; Debt'!$B$3:$E$11,'Cost of Equity &amp; Debt'!$B$13:$E$27</definedName>
    <definedName name="_xlnm.Print_Area" localSheetId="11">'EBIT &amp; Advertising Expense'!$A$3:$C$12,'EBIT &amp; Advertising Expense'!$F$3:$M$8</definedName>
    <definedName name="_xlnm.Print_Area" localSheetId="10">'EBIT &amp; Operating Lease'!$A$4:$C$14,'EBIT &amp; Operating Lease'!$B$16:$C$21</definedName>
    <definedName name="_xlnm.Print_Area" localSheetId="12">'EBIT &amp; R&amp;D Expense'!$A$3:$C$17,'EBIT &amp; R&amp;D Expense'!$F$3:$M$8</definedName>
    <definedName name="_xlnm.Print_Area" localSheetId="5">'Equity Risk Premium'!$B$3:$C$17,'Equity Risk Premium'!$D$20:$K$28</definedName>
    <definedName name="_xlnm.Print_Area" localSheetId="25">'Fair Value of Share'!$A$12:$H$25</definedName>
    <definedName name="_xlnm.Print_Area" localSheetId="15">'FCFF &amp; FCFE'!$F$4:$G$14</definedName>
    <definedName name="_xlnm.Print_Area" localSheetId="19">'Future Cashflows (10 Yrs)'!$B$3:$H$28</definedName>
    <definedName name="_xlnm.Print_Area" localSheetId="23">'Future Value of Equity Options'!$B$3:$M$29</definedName>
    <definedName name="_xlnm.Print_Area" localSheetId="24">'Future Value of RSU'!$B$3:$M$29</definedName>
    <definedName name="_xlnm.Print_Area" localSheetId="18">'Market Analysis'!$B$3:$P$25</definedName>
    <definedName name="_xlnm.Print_Area" localSheetId="13">'Net CapEx'!$A$2:$C$13</definedName>
    <definedName name="_xlnm.Print_Area" localSheetId="4">'Risk Free Rate'!$B$3:$F$24</definedName>
    <definedName name="_xlnm.Print_Area" localSheetId="20">'Terminal Value'!$B$3:$C$13</definedName>
    <definedName name="_xlnm.Print_Area" localSheetId="8">WACC!$E$23:$F$27,WACC!$B$3:$C$12</definedName>
    <definedName name="_xlnm.Print_Area" localSheetId="14">'Working Capital Changes'!$B$3:$C$11,'Working Capital Changes'!$B$15:$D$23,'Working Capital Changes'!$G$3:$M$25</definedName>
  </definedNames>
  <calcPr calcId="162913" iterate="1"/>
</workbook>
</file>

<file path=xl/calcChain.xml><?xml version="1.0" encoding="utf-8"?>
<calcChain xmlns="http://schemas.openxmlformats.org/spreadsheetml/2006/main">
  <c r="G6" i="35" l="1"/>
  <c r="H14" i="37"/>
  <c r="H13" i="37"/>
  <c r="H12" i="37"/>
  <c r="H11" i="37"/>
  <c r="H10" i="37"/>
  <c r="H9" i="37"/>
  <c r="H5" i="37"/>
  <c r="H4" i="37"/>
  <c r="H18" i="37" s="1"/>
  <c r="C8" i="40"/>
  <c r="C24" i="48" l="1"/>
  <c r="D12" i="37"/>
  <c r="D13" i="37"/>
  <c r="D10" i="37"/>
  <c r="D11" i="37"/>
  <c r="D9" i="37"/>
  <c r="D4" i="51"/>
  <c r="B25" i="4" l="1"/>
  <c r="B26" i="4" s="1"/>
  <c r="B27" i="4" s="1"/>
  <c r="B15" i="4"/>
  <c r="B16" i="4" s="1"/>
  <c r="B17" i="4" s="1"/>
  <c r="B18" i="4" s="1"/>
  <c r="B19" i="4" s="1"/>
  <c r="B20" i="4" s="1"/>
  <c r="B21" i="4" s="1"/>
  <c r="B22" i="4" s="1"/>
  <c r="B23" i="4" s="1"/>
  <c r="B24" i="4" s="1"/>
  <c r="B14" i="4"/>
  <c r="G7" i="53"/>
  <c r="C10" i="32"/>
  <c r="C9" i="32"/>
  <c r="H8" i="54"/>
  <c r="G7" i="54"/>
  <c r="G5" i="54"/>
  <c r="C4" i="54"/>
  <c r="C10" i="54" s="1"/>
  <c r="C12" i="54" s="1"/>
  <c r="C14" i="54"/>
  <c r="L8" i="54"/>
  <c r="K8" i="54"/>
  <c r="J8" i="54"/>
  <c r="I8" i="54"/>
  <c r="C8" i="54"/>
  <c r="L7" i="54"/>
  <c r="K7" i="54"/>
  <c r="H7" i="54"/>
  <c r="K6" i="54"/>
  <c r="J6" i="54"/>
  <c r="J7" i="54" s="1"/>
  <c r="I6" i="54"/>
  <c r="I7" i="54" s="1"/>
  <c r="H6" i="54"/>
  <c r="C17" i="54" l="1"/>
  <c r="G5" i="35"/>
  <c r="G4" i="37" s="1"/>
  <c r="M8" i="54"/>
  <c r="C7" i="54" s="1"/>
  <c r="C11" i="54" s="1"/>
  <c r="M7" i="54"/>
  <c r="C6" i="54" s="1"/>
  <c r="F5" i="37"/>
  <c r="E20" i="53"/>
  <c r="D20" i="53"/>
  <c r="C20" i="53"/>
  <c r="C7" i="53"/>
  <c r="H5" i="53"/>
  <c r="G5" i="53"/>
  <c r="F5" i="53"/>
  <c r="E5" i="53"/>
  <c r="D5" i="53"/>
  <c r="C5" i="53"/>
  <c r="B21" i="53"/>
  <c r="B22" i="53" s="1"/>
  <c r="B23" i="53" s="1"/>
  <c r="B24" i="53" s="1"/>
  <c r="B25" i="53" s="1"/>
  <c r="B26" i="53" s="1"/>
  <c r="B27" i="53" s="1"/>
  <c r="B28" i="53" s="1"/>
  <c r="B29" i="53" s="1"/>
  <c r="D14" i="53"/>
  <c r="D13" i="53"/>
  <c r="F7" i="53"/>
  <c r="C6" i="53"/>
  <c r="H7" i="53"/>
  <c r="E7" i="53"/>
  <c r="D7" i="53"/>
  <c r="D20" i="52"/>
  <c r="B21" i="52"/>
  <c r="B22" i="52" s="1"/>
  <c r="B23" i="52" s="1"/>
  <c r="B24" i="52" s="1"/>
  <c r="B25" i="52" s="1"/>
  <c r="B26" i="52" s="1"/>
  <c r="B27" i="52" s="1"/>
  <c r="B28" i="52" s="1"/>
  <c r="B29" i="52" s="1"/>
  <c r="H5" i="52"/>
  <c r="G5" i="52"/>
  <c r="F5" i="52"/>
  <c r="E5" i="52"/>
  <c r="E7" i="52"/>
  <c r="D5" i="52"/>
  <c r="D7" i="52"/>
  <c r="F7" i="52"/>
  <c r="G7" i="52"/>
  <c r="H7" i="52"/>
  <c r="F20" i="53" l="1"/>
  <c r="G20" i="53" s="1"/>
  <c r="H8" i="53"/>
  <c r="C13" i="53"/>
  <c r="C14" i="53" s="1"/>
  <c r="C5" i="43"/>
  <c r="C4" i="43"/>
  <c r="C8" i="39"/>
  <c r="G18" i="37" s="1"/>
  <c r="G6" i="40"/>
  <c r="G11" i="39"/>
  <c r="C5" i="37" l="1"/>
  <c r="E5" i="37" s="1"/>
  <c r="D6" i="51"/>
  <c r="E6" i="51" s="1"/>
  <c r="F6" i="51" s="1"/>
  <c r="G6" i="51" s="1"/>
  <c r="H6" i="51" s="1"/>
  <c r="I6" i="51" s="1"/>
  <c r="J6" i="51" s="1"/>
  <c r="K6" i="51" s="1"/>
  <c r="L6" i="51" s="1"/>
  <c r="M6" i="51" s="1"/>
  <c r="D5" i="51"/>
  <c r="E5" i="51" s="1"/>
  <c r="F5" i="51" s="1"/>
  <c r="G5" i="51" s="1"/>
  <c r="H5" i="51" s="1"/>
  <c r="I5" i="51" s="1"/>
  <c r="J5" i="51" s="1"/>
  <c r="K5" i="51" s="1"/>
  <c r="L5" i="51" s="1"/>
  <c r="M5" i="51" s="1"/>
  <c r="E4" i="51"/>
  <c r="F4" i="51" s="1"/>
  <c r="G4" i="51" s="1"/>
  <c r="H4" i="51" s="1"/>
  <c r="I4" i="51" s="1"/>
  <c r="J4" i="51" s="1"/>
  <c r="K4" i="51" s="1"/>
  <c r="L4" i="51" s="1"/>
  <c r="M4" i="51" s="1"/>
  <c r="C19" i="52" l="1"/>
  <c r="G19" i="52" s="1"/>
  <c r="C19" i="53" s="1"/>
  <c r="G19" i="53" s="1"/>
  <c r="F4" i="37"/>
  <c r="D13" i="52"/>
  <c r="D14" i="52" s="1"/>
  <c r="E20" i="52" s="1"/>
  <c r="F20" i="52" s="1"/>
  <c r="G20" i="52" s="1"/>
  <c r="C6" i="37"/>
  <c r="C7" i="37" s="1"/>
  <c r="C8" i="37" s="1"/>
  <c r="C9" i="37" s="1"/>
  <c r="C10" i="37" s="1"/>
  <c r="C11" i="37" s="1"/>
  <c r="C12" i="37" s="1"/>
  <c r="C13" i="37" s="1"/>
  <c r="C14" i="37" s="1"/>
  <c r="E10" i="37"/>
  <c r="G5" i="39"/>
  <c r="G6" i="39"/>
  <c r="G7" i="39"/>
  <c r="G8" i="39"/>
  <c r="G9" i="39"/>
  <c r="G10" i="39"/>
  <c r="K6" i="35"/>
  <c r="K7" i="35" s="1"/>
  <c r="K5" i="35"/>
  <c r="G11" i="35"/>
  <c r="C8" i="34"/>
  <c r="C5" i="34"/>
  <c r="H15" i="34"/>
  <c r="J9" i="34"/>
  <c r="I9" i="34"/>
  <c r="H9" i="34"/>
  <c r="I11" i="34"/>
  <c r="I15" i="34" s="1"/>
  <c r="J11" i="34"/>
  <c r="K11" i="34"/>
  <c r="L11" i="34"/>
  <c r="L15" i="34" s="1"/>
  <c r="D22" i="34"/>
  <c r="C22" i="34"/>
  <c r="C21" i="34"/>
  <c r="D21" i="34" s="1"/>
  <c r="D20" i="34"/>
  <c r="C20" i="34"/>
  <c r="C19" i="34"/>
  <c r="D19" i="34" s="1"/>
  <c r="D18" i="34"/>
  <c r="C18" i="34"/>
  <c r="C17" i="34"/>
  <c r="D17" i="34" s="1"/>
  <c r="C7" i="32"/>
  <c r="D25" i="52" l="1"/>
  <c r="I13" i="53"/>
  <c r="I14" i="53" s="1"/>
  <c r="E25" i="53" s="1"/>
  <c r="D19" i="52"/>
  <c r="D19" i="53"/>
  <c r="E13" i="37"/>
  <c r="E11" i="37"/>
  <c r="E9" i="37"/>
  <c r="E12" i="37"/>
  <c r="I13" i="52"/>
  <c r="I14" i="52" s="1"/>
  <c r="E25" i="52" s="1"/>
  <c r="E14" i="37"/>
  <c r="C11" i="50"/>
  <c r="C8" i="32" s="1"/>
  <c r="C11" i="32" s="1"/>
  <c r="C10" i="50"/>
  <c r="C8" i="50"/>
  <c r="C7" i="50"/>
  <c r="C6" i="50"/>
  <c r="F25" i="52" l="1"/>
  <c r="G25" i="52" s="1"/>
  <c r="C25" i="53" s="1"/>
  <c r="D25" i="53" s="1"/>
  <c r="F25" i="53" s="1"/>
  <c r="G25" i="53" s="1"/>
  <c r="F10" i="37" s="1"/>
  <c r="G10" i="37" s="1"/>
  <c r="M13" i="53"/>
  <c r="M14" i="53" s="1"/>
  <c r="E29" i="53" s="1"/>
  <c r="D29" i="52"/>
  <c r="D28" i="52"/>
  <c r="L13" i="53"/>
  <c r="L14" i="53" s="1"/>
  <c r="E28" i="53" s="1"/>
  <c r="L13" i="52"/>
  <c r="L14" i="52" s="1"/>
  <c r="E28" i="52" s="1"/>
  <c r="K13" i="52"/>
  <c r="K14" i="52" s="1"/>
  <c r="E27" i="52" s="1"/>
  <c r="D27" i="52"/>
  <c r="K13" i="53"/>
  <c r="K14" i="53" s="1"/>
  <c r="E27" i="53" s="1"/>
  <c r="C26" i="37"/>
  <c r="J13" i="53"/>
  <c r="J14" i="53" s="1"/>
  <c r="D26" i="52"/>
  <c r="J13" i="52"/>
  <c r="J14" i="52" s="1"/>
  <c r="E26" i="52" s="1"/>
  <c r="F26" i="52" s="1"/>
  <c r="G26" i="52" s="1"/>
  <c r="H13" i="53"/>
  <c r="H14" i="53" s="1"/>
  <c r="E24" i="53" s="1"/>
  <c r="D24" i="52"/>
  <c r="H13" i="52"/>
  <c r="H14" i="52" s="1"/>
  <c r="E24" i="52" s="1"/>
  <c r="M13" i="52"/>
  <c r="M14" i="52" s="1"/>
  <c r="E29" i="52" s="1"/>
  <c r="F29" i="52" s="1"/>
  <c r="G29" i="52" s="1"/>
  <c r="C29" i="53" s="1"/>
  <c r="D29" i="53" s="1"/>
  <c r="L8" i="50"/>
  <c r="K8" i="50"/>
  <c r="J8" i="50"/>
  <c r="I8" i="50"/>
  <c r="H8" i="50"/>
  <c r="L7" i="50"/>
  <c r="H7" i="50"/>
  <c r="G7" i="50"/>
  <c r="K6" i="50"/>
  <c r="K7" i="50" s="1"/>
  <c r="J6" i="50"/>
  <c r="J7" i="50" s="1"/>
  <c r="I6" i="50"/>
  <c r="I7" i="50" s="1"/>
  <c r="H6" i="50"/>
  <c r="F27" i="52" l="1"/>
  <c r="G27" i="52" s="1"/>
  <c r="F28" i="52"/>
  <c r="G28" i="52" s="1"/>
  <c r="C28" i="53" s="1"/>
  <c r="D28" i="53" s="1"/>
  <c r="F28" i="53" s="1"/>
  <c r="G28" i="53" s="1"/>
  <c r="F13" i="37" s="1"/>
  <c r="G13" i="37" s="1"/>
  <c r="F29" i="53"/>
  <c r="G29" i="53" s="1"/>
  <c r="F14" i="37" s="1"/>
  <c r="G14" i="37" s="1"/>
  <c r="C27" i="53"/>
  <c r="D27" i="53" s="1"/>
  <c r="F27" i="53" s="1"/>
  <c r="G27" i="53" s="1"/>
  <c r="F12" i="37" s="1"/>
  <c r="G12" i="37" s="1"/>
  <c r="E26" i="53"/>
  <c r="C26" i="53"/>
  <c r="D26" i="53" s="1"/>
  <c r="F24" i="52"/>
  <c r="G24" i="52" s="1"/>
  <c r="M8" i="50"/>
  <c r="M7" i="50"/>
  <c r="F26" i="53" l="1"/>
  <c r="G26" i="53" s="1"/>
  <c r="F11" i="37" s="1"/>
  <c r="G11" i="37" s="1"/>
  <c r="C7" i="40"/>
  <c r="C9" i="40" s="1"/>
  <c r="C24" i="53"/>
  <c r="D24" i="53" s="1"/>
  <c r="F24" i="53" s="1"/>
  <c r="G24" i="53" s="1"/>
  <c r="F9" i="37" s="1"/>
  <c r="G9" i="37" s="1"/>
  <c r="C19" i="33"/>
  <c r="C13" i="33" s="1"/>
  <c r="C4" i="32" s="1"/>
  <c r="C5" i="32" s="1"/>
  <c r="G10" i="35" s="1"/>
  <c r="G12" i="35" s="1"/>
  <c r="C21" i="33"/>
  <c r="F8" i="31"/>
  <c r="C18" i="33"/>
  <c r="C10" i="33"/>
  <c r="C7" i="30"/>
  <c r="K7" i="30"/>
  <c r="K4" i="30"/>
  <c r="L4" i="30"/>
  <c r="K5" i="30"/>
  <c r="L5" i="30"/>
  <c r="K6" i="30"/>
  <c r="L6" i="30"/>
  <c r="L7" i="30"/>
  <c r="K8" i="30"/>
  <c r="L8" i="30"/>
  <c r="L9" i="30"/>
  <c r="K9" i="30"/>
  <c r="M10" i="30"/>
  <c r="K11" i="35" l="1"/>
  <c r="C3" i="39"/>
  <c r="I26" i="23"/>
  <c r="L26" i="23"/>
  <c r="K26" i="23"/>
  <c r="I10" i="30"/>
  <c r="C6" i="43" l="1"/>
  <c r="E4" i="37"/>
  <c r="C6" i="52" l="1"/>
  <c r="D18" i="37"/>
  <c r="C19" i="37"/>
  <c r="D4" i="37"/>
  <c r="C7" i="52" l="1"/>
  <c r="H8" i="52" s="1"/>
  <c r="C13" i="52"/>
  <c r="C14" i="52" s="1"/>
  <c r="G12" i="40"/>
  <c r="G15" i="40" s="1"/>
  <c r="G11" i="40"/>
  <c r="B20" i="37" l="1"/>
  <c r="B21" i="37" s="1"/>
  <c r="B22" i="37" s="1"/>
  <c r="B23" i="37" s="1"/>
  <c r="B24" i="37" s="1"/>
  <c r="B25" i="37" s="1"/>
  <c r="B26" i="37" s="1"/>
  <c r="B27" i="37" s="1"/>
  <c r="B28" i="37" s="1"/>
  <c r="B6" i="37"/>
  <c r="B7" i="37" s="1"/>
  <c r="B8" i="37" s="1"/>
  <c r="B9" i="37" s="1"/>
  <c r="B10" i="37" s="1"/>
  <c r="B11" i="37" s="1"/>
  <c r="B12" i="37" s="1"/>
  <c r="B13" i="37" s="1"/>
  <c r="B14" i="37" s="1"/>
  <c r="C25" i="37" l="1"/>
  <c r="E25" i="37" s="1"/>
  <c r="E19" i="37"/>
  <c r="C24" i="37"/>
  <c r="E24" i="37" s="1"/>
  <c r="F25" i="37" l="1"/>
  <c r="I6" i="48" s="1"/>
  <c r="F24" i="37"/>
  <c r="H6" i="48" s="1"/>
  <c r="F11" i="35" l="1"/>
  <c r="L9" i="34"/>
  <c r="L17" i="34" s="1"/>
  <c r="K9" i="34"/>
  <c r="J15" i="34"/>
  <c r="K15" i="34"/>
  <c r="B5" i="35"/>
  <c r="B3" i="35"/>
  <c r="L22" i="34" l="1"/>
  <c r="J17" i="34"/>
  <c r="J22" i="34" s="1"/>
  <c r="I17" i="34"/>
  <c r="H17" i="34"/>
  <c r="H22" i="34" s="1"/>
  <c r="K17" i="34"/>
  <c r="J11" i="35"/>
  <c r="F10" i="35"/>
  <c r="K8" i="35"/>
  <c r="K9" i="35" s="1"/>
  <c r="K14" i="35" s="1"/>
  <c r="F5" i="35"/>
  <c r="J5" i="35" s="1"/>
  <c r="C12" i="33"/>
  <c r="B13" i="33"/>
  <c r="L23" i="34" l="1"/>
  <c r="C3" i="34"/>
  <c r="C14" i="33"/>
  <c r="C4" i="50" s="1"/>
  <c r="C12" i="50" s="1"/>
  <c r="K19" i="34"/>
  <c r="K22" i="34"/>
  <c r="I19" i="34"/>
  <c r="I22" i="34"/>
  <c r="J19" i="34"/>
  <c r="L19" i="34"/>
  <c r="C6" i="34" l="1"/>
  <c r="C10" i="31"/>
  <c r="B10" i="31"/>
  <c r="B9" i="31"/>
  <c r="B8" i="31"/>
  <c r="B6" i="31"/>
  <c r="B5" i="31"/>
  <c r="F27" i="31"/>
  <c r="C6" i="31" s="1"/>
  <c r="C9" i="34" l="1"/>
  <c r="C11" i="34" s="1"/>
  <c r="F15" i="31"/>
  <c r="F11" i="31"/>
  <c r="C8" i="30" s="1"/>
  <c r="G19" i="37"/>
  <c r="G8" i="35"/>
  <c r="J26" i="23"/>
  <c r="L27" i="23" s="1"/>
  <c r="C17" i="23"/>
  <c r="C16" i="23"/>
  <c r="C4" i="30"/>
  <c r="C3" i="30"/>
  <c r="C7" i="39" l="1"/>
  <c r="C9" i="39" s="1"/>
  <c r="C8" i="43" s="1"/>
  <c r="C4" i="39"/>
  <c r="C5" i="39" s="1"/>
  <c r="G14" i="35"/>
  <c r="C3" i="35" s="1"/>
  <c r="F18" i="37" s="1"/>
  <c r="C5" i="35"/>
  <c r="C20" i="23"/>
  <c r="F17" i="31" s="1"/>
  <c r="J4" i="26"/>
  <c r="J5" i="26"/>
  <c r="J6" i="26"/>
  <c r="J7" i="26"/>
  <c r="J8" i="26"/>
  <c r="I14" i="26"/>
  <c r="J13" i="26"/>
  <c r="J12" i="26"/>
  <c r="J11" i="26"/>
  <c r="E21" i="26"/>
  <c r="M4" i="26"/>
  <c r="C11" i="26"/>
  <c r="J9" i="26"/>
  <c r="J10" i="26"/>
  <c r="C7" i="26"/>
  <c r="C6" i="26"/>
  <c r="C3" i="26"/>
  <c r="B6" i="4"/>
  <c r="B7" i="4" s="1"/>
  <c r="B8" i="4" s="1"/>
  <c r="B9" i="4" s="1"/>
  <c r="B10" i="4" s="1"/>
  <c r="B11" i="4" s="1"/>
  <c r="B12" i="4" s="1"/>
  <c r="B13" i="4" s="1"/>
  <c r="C11" i="39" l="1"/>
  <c r="C8" i="31"/>
  <c r="F20" i="31"/>
  <c r="M6" i="26"/>
  <c r="M7" i="26" s="1"/>
  <c r="J14" i="26"/>
  <c r="C4" i="26" s="1"/>
  <c r="C8" i="24"/>
  <c r="C4" i="24" s="1"/>
  <c r="C9" i="31" l="1"/>
  <c r="C20" i="48"/>
  <c r="F27" i="26"/>
  <c r="G4" i="40"/>
  <c r="C5" i="23"/>
  <c r="G17" i="40"/>
  <c r="G18" i="40" s="1"/>
  <c r="E26" i="37"/>
  <c r="M5" i="26"/>
  <c r="M9" i="26" s="1"/>
  <c r="C13" i="26" s="1"/>
  <c r="F21" i="26"/>
  <c r="C27" i="37" l="1"/>
  <c r="E27" i="37" s="1"/>
  <c r="F26" i="37"/>
  <c r="J6" i="48" s="1"/>
  <c r="G21" i="26"/>
  <c r="H21" i="26" s="1"/>
  <c r="C28" i="37" l="1"/>
  <c r="E28" i="37" s="1"/>
  <c r="F27" i="37"/>
  <c r="K6" i="48" s="1"/>
  <c r="I21" i="26"/>
  <c r="J21" i="26" s="1"/>
  <c r="K21" i="26" s="1"/>
  <c r="F28" i="37" l="1"/>
  <c r="L6" i="48" s="1"/>
  <c r="F24" i="26"/>
  <c r="F23" i="26"/>
  <c r="F26" i="26" l="1"/>
  <c r="F28" i="26" s="1"/>
  <c r="C6" i="23" l="1"/>
  <c r="G5" i="40"/>
  <c r="G8" i="40" s="1"/>
  <c r="G19" i="40" s="1"/>
  <c r="L7" i="48" l="1"/>
  <c r="L8" i="48" s="1"/>
  <c r="C7" i="23"/>
  <c r="C9" i="23" s="1"/>
  <c r="C5" i="31" l="1"/>
  <c r="C12" i="31" l="1"/>
  <c r="C9" i="43" s="1"/>
  <c r="C7" i="48" l="1"/>
  <c r="D7" i="48" s="1"/>
  <c r="C10" i="43"/>
  <c r="C12" i="43" s="1"/>
  <c r="C16" i="48" s="1"/>
  <c r="H7" i="48" l="1"/>
  <c r="F7" i="48" s="1"/>
  <c r="G7" i="48" s="1"/>
  <c r="E7" i="48" l="1"/>
  <c r="J7" i="48"/>
  <c r="I7" i="48" s="1"/>
  <c r="I8" i="48" s="1"/>
  <c r="H8" i="48"/>
  <c r="G5" i="37"/>
  <c r="K7" i="48" l="1"/>
  <c r="K8" i="48" s="1"/>
  <c r="J8" i="48"/>
  <c r="F19" i="37"/>
  <c r="C6" i="48" s="1"/>
  <c r="C8" i="48" s="1"/>
  <c r="H19" i="37"/>
  <c r="D6" i="48" l="1"/>
  <c r="E6" i="48"/>
  <c r="F6" i="48"/>
  <c r="G6" i="48"/>
  <c r="D8" i="48"/>
  <c r="E8" i="48"/>
  <c r="F8" i="48"/>
  <c r="G8" i="48"/>
  <c r="C12" i="48"/>
  <c r="C13" i="48"/>
  <c r="C14" i="48"/>
  <c r="C15" i="48"/>
  <c r="C19" i="48"/>
  <c r="C21" i="48"/>
  <c r="C23" i="48"/>
  <c r="C25" i="48"/>
  <c r="D6" i="37"/>
  <c r="E6" i="37"/>
  <c r="F6" i="37"/>
  <c r="G6" i="37"/>
  <c r="H6" i="37"/>
  <c r="D7" i="37"/>
  <c r="E7" i="37"/>
  <c r="F7" i="37"/>
  <c r="G7" i="37"/>
  <c r="H7" i="37"/>
  <c r="D8" i="37"/>
  <c r="E8" i="37"/>
  <c r="F8" i="37"/>
  <c r="G8" i="37"/>
  <c r="H8" i="37"/>
  <c r="C20" i="37"/>
  <c r="E20" i="37"/>
  <c r="F20" i="37"/>
  <c r="G20" i="37"/>
  <c r="H20" i="37"/>
  <c r="C21" i="37"/>
  <c r="E21" i="37"/>
  <c r="F21" i="37"/>
  <c r="G21" i="37"/>
  <c r="H21" i="37"/>
  <c r="C22" i="37"/>
  <c r="E22" i="37"/>
  <c r="F22" i="37"/>
  <c r="G22" i="37"/>
  <c r="H22" i="37"/>
  <c r="C23" i="37"/>
  <c r="E23" i="37"/>
  <c r="F23" i="37"/>
  <c r="G23" i="37"/>
  <c r="H23" i="37"/>
  <c r="G24" i="37"/>
  <c r="H24" i="37"/>
  <c r="G25" i="37"/>
  <c r="H25" i="37"/>
  <c r="G26" i="37"/>
  <c r="H26" i="37"/>
  <c r="G27" i="37"/>
  <c r="H27" i="37"/>
  <c r="G28" i="37"/>
  <c r="H28" i="37"/>
  <c r="E13" i="52"/>
  <c r="F13" i="52"/>
  <c r="G13" i="52"/>
  <c r="E14" i="52"/>
  <c r="F14" i="52"/>
  <c r="G14" i="52"/>
  <c r="D21" i="52"/>
  <c r="E21" i="52"/>
  <c r="F21" i="52"/>
  <c r="G21" i="52"/>
  <c r="D22" i="52"/>
  <c r="E22" i="52"/>
  <c r="F22" i="52"/>
  <c r="G22" i="52"/>
  <c r="D23" i="52"/>
  <c r="E23" i="52"/>
  <c r="F23" i="52"/>
  <c r="G23" i="52"/>
  <c r="E13" i="53"/>
  <c r="F13" i="53"/>
  <c r="G13" i="53"/>
  <c r="E14" i="53"/>
  <c r="F14" i="53"/>
  <c r="G14" i="53"/>
  <c r="C21" i="53"/>
  <c r="D21" i="53"/>
  <c r="E21" i="53"/>
  <c r="F21" i="53"/>
  <c r="G21" i="53"/>
  <c r="C22" i="53"/>
  <c r="D22" i="53"/>
  <c r="E22" i="53"/>
  <c r="F22" i="53"/>
  <c r="G22" i="53"/>
  <c r="C23" i="53"/>
  <c r="D23" i="53"/>
  <c r="E23" i="53"/>
  <c r="F23" i="53"/>
  <c r="G23" i="53"/>
  <c r="C4" i="40"/>
  <c r="C5" i="40"/>
  <c r="C11" i="40"/>
  <c r="C13" i="40"/>
  <c r="D23" i="34"/>
</calcChain>
</file>

<file path=xl/sharedStrings.xml><?xml version="1.0" encoding="utf-8"?>
<sst xmlns="http://schemas.openxmlformats.org/spreadsheetml/2006/main" count="479" uniqueCount="324">
  <si>
    <t xml:space="preserve">#                </t>
  </si>
  <si>
    <t>Worksheet</t>
  </si>
  <si>
    <t>D&amp;A</t>
  </si>
  <si>
    <t>EBIT</t>
  </si>
  <si>
    <t>Inventory</t>
  </si>
  <si>
    <t>Total Equity</t>
  </si>
  <si>
    <t>Revenues</t>
  </si>
  <si>
    <t>WACC</t>
  </si>
  <si>
    <t>Loans</t>
  </si>
  <si>
    <t>Other Financial Assets</t>
  </si>
  <si>
    <t>Beta</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</si>
  <si>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</si>
  <si>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</si>
  <si>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</si>
  <si>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</si>
  <si>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</si>
  <si>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</si>
  <si>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</si>
  <si>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</si>
  <si>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</si>
  <si>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</si>
  <si>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</si>
  <si>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</si>
  <si>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</si>
  <si>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</si>
  <si>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</si>
  <si>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</si>
  <si>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</si>
  <si>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</si>
  <si>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</si>
  <si>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</si>
  <si>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</si>
  <si>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</si>
  <si>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</si>
  <si>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</si>
  <si>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</si>
  <si>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</si>
  <si>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</si>
  <si>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</si>
  <si>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</si>
  <si>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</si>
  <si>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</si>
  <si>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</si>
  <si>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</si>
  <si>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</si>
  <si>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</si>
  <si>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</si>
  <si>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</si>
  <si>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</si>
  <si>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</si>
  <si>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</si>
  <si>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</si>
  <si>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</si>
  <si>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</si>
  <si>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</si>
  <si>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</si>
  <si>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</si>
  <si>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</si>
  <si>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</si>
  <si>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</si>
  <si>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</si>
  <si>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</si>
  <si>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</si>
  <si>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</si>
  <si>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</si>
  <si>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</si>
  <si>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</si>
  <si>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</si>
  <si>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</si>
  <si>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</si>
  <si>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</si>
  <si>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</si>
  <si>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</si>
  <si>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</si>
  <si>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</si>
  <si>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</si>
  <si>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</si>
  <si>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</si>
  <si>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</si>
  <si>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</si>
  <si>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</si>
  <si>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</si>
  <si>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</si>
  <si>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</si>
  <si>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</si>
  <si>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</si>
  <si>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</si>
  <si>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Investment Outflow</t>
  </si>
  <si>
    <t>NPV @ 10%</t>
  </si>
  <si>
    <t>NPV @ 9%</t>
  </si>
  <si>
    <t>Exp Return on Stocks</t>
  </si>
  <si>
    <t>-</t>
  </si>
  <si>
    <t>Implied Market Risk Premium (India)</t>
  </si>
  <si>
    <t>Ticker</t>
  </si>
  <si>
    <t>Std Error</t>
  </si>
  <si>
    <t>Reg. Beta (5Y, Monthly)</t>
  </si>
  <si>
    <t>Beta Range</t>
  </si>
  <si>
    <t>Low Beta</t>
  </si>
  <si>
    <t>High Beta</t>
  </si>
  <si>
    <t>Regression Beta using Python (skLearn.LinearModel)</t>
  </si>
  <si>
    <t>D/E Ratio</t>
  </si>
  <si>
    <t>Yahoo Finance (yahoofinancials module)</t>
  </si>
  <si>
    <t>Bottom-Up Beta</t>
  </si>
  <si>
    <t>Marginal Corporate Tax Rate (%)</t>
  </si>
  <si>
    <t>India Corporate Tax Rate</t>
  </si>
  <si>
    <t>Unlevered Beta</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</si>
  <si>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</si>
  <si>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</si>
  <si>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</si>
  <si>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</si>
  <si>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</si>
  <si>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</si>
  <si>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</si>
  <si>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</si>
  <si>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</si>
  <si>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</si>
  <si>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</si>
  <si>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</si>
  <si>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</si>
  <si>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</si>
  <si>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</si>
  <si>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</si>
  <si>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</si>
  <si>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</si>
  <si>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Interest Expense</t>
  </si>
  <si>
    <t>Est. Market Value of Debt</t>
  </si>
  <si>
    <t>Average Maturity of Debt (Yrs)</t>
  </si>
  <si>
    <t>Market Value of Equity</t>
  </si>
  <si>
    <t>Number of Shares Outstanding</t>
  </si>
  <si>
    <t>Market Capitalization</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</si>
  <si>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</si>
  <si>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</si>
  <si>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</si>
  <si>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</si>
  <si>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</si>
  <si>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</si>
  <si>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</si>
  <si>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</si>
  <si>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</si>
  <si>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</si>
  <si>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</si>
  <si>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</si>
  <si>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Expected Life of Leased Asset (Yrs)</t>
  </si>
  <si>
    <t>EBIT &amp; Operating Lease</t>
  </si>
  <si>
    <t>Adjusted EBIT (Operating Lease)</t>
  </si>
  <si>
    <t xml:space="preserve">Depreciation on Operating Lease </t>
  </si>
  <si>
    <t>Total Debt</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</si>
  <si>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</si>
  <si>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</si>
  <si>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</si>
  <si>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</si>
  <si>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</si>
  <si>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</si>
  <si>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</si>
  <si>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</si>
  <si>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</si>
  <si>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</si>
  <si>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</si>
  <si>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</si>
  <si>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</si>
  <si>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</si>
  <si>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</si>
  <si>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</si>
  <si>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</si>
  <si>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Adjusted Net Income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</si>
  <si>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</si>
  <si>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</si>
  <si>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</si>
  <si>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</si>
  <si>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</si>
  <si>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</si>
  <si>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</si>
  <si>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</si>
  <si>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</si>
  <si>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</si>
  <si>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</si>
  <si>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</si>
  <si>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</si>
  <si>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</si>
  <si>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</si>
  <si>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</si>
  <si>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</si>
  <si>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</si>
  <si>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</si>
  <si>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</si>
  <si>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</si>
  <si>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</si>
  <si>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</si>
  <si>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</si>
  <si>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</si>
  <si>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</si>
  <si>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</si>
  <si>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</si>
  <si>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LTM</t>
  </si>
  <si>
    <t>EBIT*(1-t)</t>
  </si>
  <si>
    <t>Change in Sales</t>
  </si>
  <si>
    <t>Sales to Capital</t>
  </si>
  <si>
    <t>FCFF</t>
  </si>
  <si>
    <t>Invested Capital</t>
  </si>
  <si>
    <t>ROIC</t>
  </si>
  <si>
    <t>Growth Rate &amp; TV</t>
  </si>
  <si>
    <t>Sales to Capital Ratio</t>
  </si>
  <si>
    <t>Risk Free Rate - India</t>
  </si>
  <si>
    <t>Growth Rate in perpetuity</t>
  </si>
  <si>
    <t>ROIC in perpetuity</t>
  </si>
  <si>
    <t>EBIT (11th Year)</t>
  </si>
  <si>
    <t>Marginal Tax Rate (%)</t>
  </si>
  <si>
    <t>Mature Company Cost of Capital Estimation</t>
  </si>
  <si>
    <t>FCFF (11th Year)</t>
  </si>
  <si>
    <t>% of Debt</t>
  </si>
  <si>
    <t>% of Equity</t>
  </si>
  <si>
    <t>Mature WACC</t>
  </si>
  <si>
    <t>Interest Coverage Ratio will be above 12.5</t>
  </si>
  <si>
    <t>Cash &amp; Marketable Securities</t>
  </si>
  <si>
    <t>Cash and cash equivalents</t>
  </si>
  <si>
    <t>Other Bank Balances</t>
  </si>
  <si>
    <t>Total Cash</t>
  </si>
  <si>
    <t>Return on Capital</t>
  </si>
  <si>
    <t>Adjusted Cash &amp; Marketable Securities</t>
  </si>
  <si>
    <t>Marginal Tax Rate</t>
  </si>
  <si>
    <t>Mature Beta</t>
  </si>
  <si>
    <t>Present Value of TV</t>
  </si>
  <si>
    <t>Cash and Marketable Securities</t>
  </si>
  <si>
    <t>Value of Debt</t>
  </si>
  <si>
    <t>Value of Firm</t>
  </si>
  <si>
    <t>Value of Equity</t>
  </si>
  <si>
    <t>Value of Cross Holdings</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</si>
  <si>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</si>
  <si>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</si>
  <si>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</si>
  <si>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</si>
  <si>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</si>
  <si>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</si>
  <si>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</si>
  <si>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</si>
  <si>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</si>
  <si>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</si>
  <si>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</si>
  <si>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Fair Value of Share</t>
  </si>
  <si>
    <t>Road to Fair Value of Share</t>
  </si>
  <si>
    <t>Net Capital Expenditure</t>
  </si>
  <si>
    <t>(in lakhs)</t>
  </si>
  <si>
    <t>Stock Price (as on 07/05/2022)</t>
  </si>
  <si>
    <t>Colgate Pamolive Company Analysis</t>
  </si>
  <si>
    <t>Nifty50 (as on 11th July 2022)</t>
  </si>
  <si>
    <t>Personal Products Co.</t>
  </si>
  <si>
    <t>Hindustan Unilever</t>
  </si>
  <si>
    <t>Dabur India</t>
  </si>
  <si>
    <t>Godrej Consumer Prod.</t>
  </si>
  <si>
    <t>Emami</t>
  </si>
  <si>
    <t>P&amp;G Hygiene &amp; Health Care</t>
  </si>
  <si>
    <t>Gillette India Ltd</t>
  </si>
  <si>
    <t>GILLETTE</t>
  </si>
  <si>
    <t>PGHH</t>
  </si>
  <si>
    <t>EMAMILTD</t>
  </si>
  <si>
    <t>GODREJCP</t>
  </si>
  <si>
    <t>DABUR</t>
  </si>
  <si>
    <t>HINDUNILVR</t>
  </si>
  <si>
    <t>Sector of Colgate</t>
  </si>
  <si>
    <t>Industry of Colgate</t>
  </si>
  <si>
    <t>Personal Products</t>
  </si>
  <si>
    <t>Oral Hygiene</t>
  </si>
  <si>
    <t>Sector - Personal Care Products</t>
  </si>
  <si>
    <t>Debt to Equity (Colgate)</t>
  </si>
  <si>
    <t>Colgate Risk Premium</t>
  </si>
  <si>
    <t>"Synthetic" Colgate Risk Premium</t>
  </si>
  <si>
    <t>in lakhs</t>
  </si>
  <si>
    <t>Note: No Acquisitions!</t>
  </si>
  <si>
    <t>EBIT &amp; Advertising Expense</t>
  </si>
  <si>
    <t>Capitalizing Advertising Expense as Asset</t>
  </si>
  <si>
    <t xml:space="preserve">Current </t>
  </si>
  <si>
    <t>Value of Advertising Asset</t>
  </si>
  <si>
    <t>Advertising Expense</t>
  </si>
  <si>
    <t>Amortization (weights)</t>
  </si>
  <si>
    <t>Advertising Expense (Current)</t>
  </si>
  <si>
    <t>Amortized Value</t>
  </si>
  <si>
    <t>Amortization (This Year)</t>
  </si>
  <si>
    <t>Amortization: Ad Expense</t>
  </si>
  <si>
    <t>EBIT (1 - Tax)</t>
  </si>
  <si>
    <t>Effective Tax Rate</t>
  </si>
  <si>
    <t>Advertising Expense (Current Year)</t>
  </si>
  <si>
    <t>means it's an outlier</t>
  </si>
  <si>
    <t>Effective Tax Rate (%)</t>
  </si>
  <si>
    <t>Effected Tax Rate (%)</t>
  </si>
  <si>
    <t>EBIT * (1 - Tax)</t>
  </si>
  <si>
    <t>outlier</t>
  </si>
  <si>
    <t>Oral Industry</t>
  </si>
  <si>
    <t>Market Share</t>
  </si>
  <si>
    <t>USA</t>
  </si>
  <si>
    <t>India</t>
  </si>
  <si>
    <t>China</t>
  </si>
  <si>
    <t>Market Analysis</t>
  </si>
  <si>
    <t>Company is already mature!</t>
  </si>
  <si>
    <t>WACC remains the same!</t>
  </si>
  <si>
    <t>Note: No Marketable Securities</t>
  </si>
  <si>
    <t>Premium for taking great projects</t>
  </si>
  <si>
    <t>Colgate Palmolive</t>
  </si>
  <si>
    <t>Colgate Palmolive Narrative</t>
  </si>
  <si>
    <t>Options Value</t>
  </si>
  <si>
    <t>Options as a % Revenues</t>
  </si>
  <si>
    <t>Exp. Options</t>
  </si>
  <si>
    <t>Adj OpEx</t>
  </si>
  <si>
    <t>OpEx</t>
  </si>
  <si>
    <t>Adj OPM</t>
  </si>
  <si>
    <t>OPM</t>
  </si>
  <si>
    <t>Adjusting Operating Margin with Expected Value of Options</t>
  </si>
  <si>
    <t>Average option as a % of revenues</t>
  </si>
  <si>
    <t>Estimating average option value as a % of revenues</t>
  </si>
  <si>
    <t>Forecasting Future Option Value (Treating as OpEx)</t>
  </si>
  <si>
    <t>Future Value of Equity Options</t>
  </si>
  <si>
    <t>Future Value of Restricted Stock</t>
  </si>
  <si>
    <t>Estimating average restricted stock as a % of revenues</t>
  </si>
  <si>
    <t>Restricted Stocks Unit</t>
  </si>
  <si>
    <t>RSU as a % Revenues</t>
  </si>
  <si>
    <t>Exp. RSU</t>
  </si>
  <si>
    <t>EBIT &amp; R&amp;D Expense</t>
  </si>
  <si>
    <t>Capitalizing R&amp;D Expense as Asset</t>
  </si>
  <si>
    <t>Recurring R&amp;D Expense</t>
  </si>
  <si>
    <t>R&amp;D Expense (Current)</t>
  </si>
  <si>
    <t>Amortization: R&amp;D Expense</t>
  </si>
  <si>
    <t>R&amp;D Expense (Current Year)</t>
  </si>
  <si>
    <t>Amortization: R&amp;D</t>
  </si>
  <si>
    <t>Amortization: Ad</t>
  </si>
  <si>
    <t>Future Value of RSU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</si>
</sst>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2">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_ [$₹-4009]\ * #,##0.0_ ;_ [$₹-4009]\ * \-#,##0.0_ ;_ [$₹-4009]\ * &quot;-&quot;??_ ;_ @_ "/>
    <numFmt numFmtId="190" formatCode="0.0000"/>
    <numFmt numFmtId="191" formatCode="0.000%"/>
    <numFmt numFmtId="192" formatCode="_ [$₹-4009]\ * #,##0.0_ ;_ [$₹-4009]\ * \-#,##0.0_ ;_ [$₹-4009]\ * &quot;-&quot;?_ ;_ @_ "/>
  </numFmts>
  <fonts count="75">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ont>
    <font>
      <sz val="10"/>
      <name val="Arial"/>
      <family val="2"/>
      <charset val="204"/>
    </font>
    <font>
      <b/>
      <sz val="40"/>
      <color theme="1" tint="4.9989318521683403E-2"/>
      <name val="Arial"/>
      <family val="2"/>
      <charset val="204"/>
    </font>
    <font>
      <sz val="10"/>
      <color rgb="FF002060"/>
      <name val="Arial"/>
      <family val="2"/>
      <charset val="204"/>
    </font>
    <font>
      <b/>
      <sz val="11"/>
      <color theme="1"/>
      <name val="Arial"/>
      <family val="2"/>
    </font>
  </fonts>
  <fills count="5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2"/>
        <bgColor indexed="64"/>
      </patternFill>
    </fill>
    <fill>
      <patternFill patternType="solid">
        <fgColor rgb="FFDDDDDD"/>
        <bgColor indexed="64"/>
      </patternFill>
    </fill>
    <fill>
      <patternFill patternType="solid">
        <fgColor theme="9" tint="-0.499984740745262"/>
        <bgColor indexed="64"/>
      </patternFill>
    </fill>
    <fill>
      <patternFill patternType="solid">
        <fgColor theme="7" tint="-0.249977111117893"/>
        <bgColor indexed="64"/>
      </patternFill>
    </fill>
    <fill>
      <patternFill patternType="solid">
        <fgColor theme="9"/>
        <bgColor indexed="64"/>
      </patternFill>
    </fill>
  </fills>
  <borders count="21">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
      <left/>
      <right/>
      <top style="thin">
        <color auto="1"/>
      </top>
      <bottom style="thin">
        <color auto="1"/>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390">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40" fillId="2" borderId="17" xfId="0" applyNumberFormat="1" applyFont="1" applyFill="1" applyBorder="1"/>
    <xf numFmtId="164" fontId="60" fillId="2" borderId="0" xfId="0" applyNumberFormat="1" applyFont="1" applyFill="1" applyBorder="1" applyAlignment="1">
      <alignment horizontal="right"/>
    </xf>
    <xf numFmtId="165" fontId="40" fillId="2" borderId="0" xfId="0" applyNumberFormat="1" applyFont="1" applyFill="1" applyBorder="1"/>
    <xf numFmtId="164" fontId="40" fillId="2" borderId="0" xfId="0" applyNumberFormat="1" applyFont="1" applyFill="1" applyBorder="1"/>
    <xf numFmtId="49" fontId="60" fillId="2" borderId="0" xfId="0" quotePrefix="1" applyNumberFormat="1" applyFont="1" applyFill="1" applyBorder="1"/>
    <xf numFmtId="49" fontId="60" fillId="2" borderId="0" xfId="0" applyNumberFormat="1" applyFont="1" applyFill="1" applyBorder="1"/>
    <xf numFmtId="164" fontId="60" fillId="2" borderId="0" xfId="0" applyNumberFormat="1" applyFont="1" applyFill="1" applyBorder="1" applyAlignment="1">
      <alignment horizontal="left" vertical="center"/>
    </xf>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64" fontId="64" fillId="2" borderId="0" xfId="0" applyNumberFormat="1" applyFont="1" applyFill="1" applyBorder="1" applyAlignment="1">
      <alignment horizontal="left"/>
    </xf>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82" fontId="64" fillId="2" borderId="0" xfId="0" applyNumberFormat="1" applyFont="1" applyFill="1" applyBorder="1" applyAlignment="1">
      <alignment horizontal="left" vertical="center"/>
    </xf>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10" fontId="2" fillId="47" borderId="0" xfId="2" applyNumberFormat="1" applyFont="1" applyFill="1"/>
    <xf numFmtId="164" fontId="40" fillId="46" borderId="0" xfId="0" applyNumberFormat="1" applyFont="1" applyFill="1" applyBorder="1" applyAlignment="1">
      <alignment horizontal="center"/>
    </xf>
    <xf numFmtId="178" fontId="8" fillId="46" borderId="0"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4" fillId="47" borderId="0" xfId="0" applyFont="1" applyFill="1" applyBorder="1"/>
    <xf numFmtId="180" fontId="8" fillId="46" borderId="0" xfId="0" applyNumberFormat="1" applyFont="1" applyFill="1" applyBorder="1"/>
    <xf numFmtId="0" fontId="74"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40" fillId="47" borderId="0" xfId="2" applyNumberFormat="1" applyFont="1" applyFill="1" applyBorder="1" applyAlignment="1">
      <alignment horizontal="right"/>
    </xf>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10" fontId="64" fillId="2" borderId="0" xfId="2" applyNumberFormat="1" applyFont="1" applyFill="1"/>
    <xf numFmtId="2" fontId="64" fillId="2" borderId="0" xfId="0" applyNumberFormat="1" applyFont="1" applyFill="1"/>
    <xf numFmtId="178" fontId="64" fillId="2" borderId="0" xfId="0" applyNumberFormat="1" applyFont="1" applyFill="1"/>
    <xf numFmtId="182" fontId="2" fillId="48" borderId="0" xfId="0" applyNumberFormat="1" applyFont="1" applyFill="1" applyBorder="1"/>
    <xf numFmtId="0" fontId="1" fillId="48"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8"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8" borderId="0" xfId="0" applyNumberFormat="1" applyFont="1" applyFill="1" applyBorder="1" applyAlignment="1">
      <alignment horizontal="right"/>
    </xf>
    <xf numFmtId="10" fontId="64" fillId="47" borderId="0" xfId="0" applyNumberFormat="1" applyFont="1" applyFill="1" applyBorder="1"/>
    <xf numFmtId="180" fontId="1" fillId="48" borderId="0" xfId="0" applyNumberFormat="1" applyFont="1" applyFill="1" applyBorder="1"/>
    <xf numFmtId="180" fontId="1" fillId="47" borderId="0" xfId="0" applyNumberFormat="1" applyFont="1" applyFill="1" applyBorder="1"/>
    <xf numFmtId="180" fontId="2" fillId="48" borderId="0" xfId="0" applyNumberFormat="1" applyFont="1" applyFill="1" applyBorder="1"/>
    <xf numFmtId="2" fontId="2" fillId="48" borderId="0" xfId="0" applyNumberFormat="1" applyFont="1" applyFill="1" applyBorder="1"/>
    <xf numFmtId="182" fontId="2" fillId="48" borderId="0" xfId="0" applyNumberFormat="1" applyFont="1" applyFill="1" applyBorder="1" applyAlignment="1">
      <alignment horizontal="right" vertical="center"/>
    </xf>
    <xf numFmtId="10" fontId="65" fillId="48" borderId="0" xfId="2" applyNumberFormat="1" applyFont="1" applyFill="1" applyBorder="1" applyAlignment="1">
      <alignment horizontal="right"/>
    </xf>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4" fillId="2" borderId="0" xfId="0" applyNumberFormat="1" applyFont="1" applyFill="1" applyBorder="1"/>
    <xf numFmtId="10" fontId="65" fillId="48" borderId="0" xfId="0" applyNumberFormat="1" applyFont="1" applyFill="1" applyBorder="1"/>
    <xf numFmtId="10" fontId="64" fillId="2" borderId="18" xfId="2" applyNumberFormat="1" applyFont="1" applyFill="1" applyBorder="1"/>
    <xf numFmtId="10" fontId="2" fillId="47" borderId="18" xfId="2" applyNumberFormat="1" applyFont="1" applyFill="1" applyBorder="1"/>
    <xf numFmtId="178" fontId="2" fillId="2"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180" fontId="40" fillId="47" borderId="0"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10" fontId="64" fillId="2" borderId="0" xfId="0" applyNumberFormat="1" applyFont="1" applyFill="1" applyBorder="1"/>
    <xf numFmtId="10" fontId="2" fillId="48" borderId="0" xfId="2" applyNumberFormat="1" applyFont="1" applyFill="1" applyBorder="1"/>
    <xf numFmtId="184" fontId="1" fillId="2" borderId="0" xfId="0" applyNumberFormat="1" applyFont="1" applyFill="1" applyBorder="1"/>
    <xf numFmtId="164" fontId="2" fillId="48" borderId="0" xfId="0" applyNumberFormat="1" applyFont="1" applyFill="1"/>
    <xf numFmtId="9" fontId="60" fillId="2" borderId="0" xfId="2" applyFont="1" applyFill="1" applyBorder="1"/>
    <xf numFmtId="180" fontId="2" fillId="47" borderId="0" xfId="0" applyNumberFormat="1" applyFont="1" applyFill="1"/>
    <xf numFmtId="0" fontId="2" fillId="48" borderId="0" xfId="0" applyNumberFormat="1" applyFont="1" applyFill="1"/>
    <xf numFmtId="0" fontId="40" fillId="48" borderId="0" xfId="2" applyNumberFormat="1" applyFont="1" applyFill="1" applyBorder="1" applyAlignment="1">
      <alignment horizontal="right"/>
    </xf>
    <xf numFmtId="0" fontId="40" fillId="48" borderId="0" xfId="0" applyNumberFormat="1" applyFont="1" applyFill="1" applyBorder="1" applyAlignment="1">
      <alignment horizontal="right"/>
    </xf>
    <xf numFmtId="0" fontId="40" fillId="48" borderId="0" xfId="2" applyNumberFormat="1" applyFont="1" applyFill="1" applyBorder="1"/>
    <xf numFmtId="0" fontId="40" fillId="48" borderId="0" xfId="0" applyNumberFormat="1" applyFont="1" applyFill="1" applyBorder="1"/>
    <xf numFmtId="164" fontId="1" fillId="2" borderId="0" xfId="0" applyNumberFormat="1" applyFont="1" applyFill="1" applyBorder="1" applyAlignment="1">
      <alignment horizontal="left"/>
    </xf>
    <xf numFmtId="189" fontId="40" fillId="2" borderId="0" xfId="0" applyNumberFormat="1" applyFont="1" applyFill="1" applyBorder="1"/>
    <xf numFmtId="180" fontId="2" fillId="2" borderId="0" xfId="0" applyNumberFormat="1" applyFont="1" applyFill="1"/>
    <xf numFmtId="9" fontId="64" fillId="2" borderId="0" xfId="2" applyFont="1" applyFill="1" applyBorder="1"/>
    <xf numFmtId="183" fontId="64" fillId="2" borderId="0" xfId="0" applyNumberFormat="1" applyFont="1" applyFill="1" applyBorder="1"/>
    <xf numFmtId="2" fontId="64" fillId="47" borderId="0" xfId="2" applyNumberFormat="1" applyFont="1" applyFill="1" applyBorder="1" applyAlignment="1"/>
    <xf numFmtId="0" fontId="1" fillId="47" borderId="0" xfId="0" applyNumberFormat="1" applyFont="1" applyFill="1" applyBorder="1" applyAlignment="1">
      <alignment horizontal="right" vertical="center"/>
    </xf>
    <xf numFmtId="182" fontId="40" fillId="47" borderId="0" xfId="0" applyNumberFormat="1" applyFont="1" applyFill="1" applyBorder="1" applyAlignment="1">
      <alignment horizontal="right"/>
    </xf>
    <xf numFmtId="0" fontId="8" fillId="2" borderId="0" xfId="2" applyNumberFormat="1" applyFont="1" applyFill="1" applyBorder="1" applyAlignment="1">
      <alignment horizontal="right"/>
    </xf>
    <xf numFmtId="185" fontId="64" fillId="2" borderId="0" xfId="0" applyNumberFormat="1" applyFont="1" applyFill="1" applyBorder="1" applyAlignment="1">
      <alignment horizontal="right" vertical="center"/>
    </xf>
    <xf numFmtId="178" fontId="64" fillId="2" borderId="0" xfId="2" applyNumberFormat="1" applyFont="1" applyFill="1" applyBorder="1" applyAlignment="1">
      <alignment horizontal="right"/>
    </xf>
    <xf numFmtId="178" fontId="8" fillId="2" borderId="0" xfId="0" applyNumberFormat="1" applyFont="1" applyFill="1" applyBorder="1"/>
    <xf numFmtId="183" fontId="8" fillId="2" borderId="0" xfId="0" applyNumberFormat="1" applyFont="1" applyFill="1" applyBorder="1" applyAlignment="1">
      <alignment horizontal="right"/>
    </xf>
    <xf numFmtId="183" fontId="8" fillId="2" borderId="0" xfId="0" applyNumberFormat="1" applyFont="1" applyFill="1" applyBorder="1"/>
    <xf numFmtId="183" fontId="7" fillId="2" borderId="0" xfId="0" applyNumberFormat="1" applyFont="1" applyFill="1" applyBorder="1"/>
    <xf numFmtId="165" fontId="64" fillId="2" borderId="0" xfId="0" applyNumberFormat="1" applyFont="1" applyFill="1" applyBorder="1"/>
    <xf numFmtId="9" fontId="1" fillId="2" borderId="0" xfId="2" applyNumberFormat="1" applyFont="1" applyFill="1" applyBorder="1"/>
    <xf numFmtId="0" fontId="1" fillId="2" borderId="0" xfId="0" applyNumberFormat="1" applyFont="1" applyFill="1" applyBorder="1" applyAlignment="1">
      <alignment horizontal="right" vertical="center"/>
    </xf>
    <xf numFmtId="2" fontId="40" fillId="2" borderId="0" xfId="0" applyNumberFormat="1" applyFont="1" applyFill="1" applyBorder="1" applyAlignment="1">
      <alignment horizontal="right"/>
    </xf>
    <xf numFmtId="190" fontId="8" fillId="46" borderId="0" xfId="2" applyNumberFormat="1" applyFont="1" applyFill="1" applyBorder="1"/>
    <xf numFmtId="0" fontId="65" fillId="2" borderId="0" xfId="0" applyFont="1" applyFill="1" applyBorder="1" applyAlignment="1">
      <alignment horizontal="right"/>
    </xf>
    <xf numFmtId="182" fontId="40" fillId="2" borderId="0" xfId="0" applyNumberFormat="1" applyFont="1" applyFill="1" applyBorder="1" applyAlignment="1">
      <alignment horizontal="right"/>
    </xf>
    <xf numFmtId="165" fontId="64" fillId="47" borderId="0" xfId="0" applyNumberFormat="1" applyFont="1" applyFill="1"/>
    <xf numFmtId="165" fontId="64" fillId="47" borderId="0" xfId="0" applyNumberFormat="1" applyFont="1" applyFill="1" applyBorder="1"/>
    <xf numFmtId="165" fontId="64" fillId="47" borderId="0" xfId="0" applyNumberFormat="1" applyFont="1" applyFill="1" applyAlignment="1">
      <alignment horizontal="right"/>
    </xf>
    <xf numFmtId="185" fontId="2" fillId="47" borderId="0" xfId="0" applyNumberFormat="1" applyFont="1" applyFill="1"/>
    <xf numFmtId="0" fontId="2" fillId="48" borderId="0" xfId="0" applyFont="1" applyFill="1" applyBorder="1"/>
    <xf numFmtId="0" fontId="2" fillId="48" borderId="0" xfId="0" applyFont="1" applyFill="1" applyBorder="1" applyAlignment="1">
      <alignment horizontal="right"/>
    </xf>
    <xf numFmtId="0" fontId="2" fillId="48" borderId="0" xfId="0" applyFont="1" applyFill="1" applyBorder="1" applyAlignment="1"/>
    <xf numFmtId="0" fontId="40" fillId="47" borderId="0" xfId="0" applyFont="1" applyFill="1" applyBorder="1" applyAlignment="1"/>
    <xf numFmtId="0" fontId="1" fillId="47" borderId="0" xfId="0" applyNumberFormat="1" applyFont="1" applyFill="1" applyBorder="1"/>
    <xf numFmtId="0" fontId="40" fillId="47" borderId="2" xfId="0" applyFont="1" applyFill="1" applyBorder="1" applyAlignment="1"/>
    <xf numFmtId="2" fontId="64" fillId="47" borderId="0" xfId="0" applyNumberFormat="1" applyFont="1" applyFill="1" applyBorder="1"/>
    <xf numFmtId="0" fontId="2" fillId="47" borderId="20" xfId="0" applyFont="1" applyFill="1" applyBorder="1"/>
    <xf numFmtId="180" fontId="2" fillId="47" borderId="20" xfId="0" applyNumberFormat="1" applyFont="1" applyFill="1" applyBorder="1"/>
    <xf numFmtId="180" fontId="1" fillId="47" borderId="0" xfId="0" applyNumberFormat="1" applyFont="1" applyFill="1" applyBorder="1" applyAlignment="1">
      <alignment horizontal="right"/>
    </xf>
    <xf numFmtId="10" fontId="74" fillId="2" borderId="0" xfId="0" applyNumberFormat="1" applyFont="1" applyFill="1" applyBorder="1"/>
    <xf numFmtId="10" fontId="2" fillId="2" borderId="0" xfId="0" applyNumberFormat="1" applyFont="1" applyFill="1" applyBorder="1"/>
    <xf numFmtId="0" fontId="1" fillId="3" borderId="0" xfId="0" applyFont="1" applyFill="1" applyBorder="1"/>
    <xf numFmtId="10" fontId="64" fillId="3" borderId="0" xfId="2" applyNumberFormat="1" applyFont="1" applyFill="1" applyBorder="1"/>
    <xf numFmtId="180" fontId="1" fillId="47" borderId="0" xfId="2" applyNumberFormat="1" applyFont="1" applyFill="1" applyBorder="1"/>
    <xf numFmtId="10" fontId="2" fillId="47" borderId="20" xfId="2" applyNumberFormat="1" applyFont="1" applyFill="1" applyBorder="1"/>
    <xf numFmtId="0" fontId="2" fillId="47" borderId="20" xfId="0" applyFont="1" applyFill="1" applyBorder="1" applyAlignment="1">
      <alignment horizontal="left" vertical="center"/>
    </xf>
    <xf numFmtId="10" fontId="40" fillId="47" borderId="20" xfId="2" applyNumberFormat="1" applyFont="1" applyFill="1" applyBorder="1" applyAlignment="1">
      <alignment horizontal="right" vertical="center"/>
    </xf>
    <xf numFmtId="2" fontId="64" fillId="49" borderId="0" xfId="0" applyNumberFormat="1" applyFont="1" applyFill="1" applyBorder="1"/>
    <xf numFmtId="2" fontId="65" fillId="2" borderId="18" xfId="0" applyNumberFormat="1" applyFont="1" applyFill="1" applyBorder="1" applyAlignment="1"/>
    <xf numFmtId="9" fontId="67" fillId="2" borderId="0" xfId="0" applyNumberFormat="1" applyFont="1" applyFill="1" applyBorder="1" applyAlignment="1">
      <alignment horizontal="right"/>
    </xf>
    <xf numFmtId="9" fontId="67" fillId="2" borderId="0" xfId="0" applyNumberFormat="1" applyFont="1" applyFill="1" applyBorder="1"/>
    <xf numFmtId="9" fontId="67" fillId="2" borderId="0" xfId="2" applyFont="1" applyFill="1" applyBorder="1"/>
    <xf numFmtId="10" fontId="67" fillId="2" borderId="0" xfId="0" applyNumberFormat="1" applyFont="1" applyFill="1" applyBorder="1"/>
    <xf numFmtId="2" fontId="65" fillId="2" borderId="0" xfId="0" applyNumberFormat="1" applyFont="1" applyFill="1" applyBorder="1" applyAlignment="1"/>
    <xf numFmtId="0" fontId="8" fillId="46" borderId="0" xfId="0" applyNumberFormat="1" applyFont="1" applyFill="1" applyBorder="1" applyAlignment="1">
      <alignment horizontal="right"/>
    </xf>
    <xf numFmtId="0" fontId="67" fillId="50" borderId="0" xfId="0" applyFont="1" applyFill="1" applyBorder="1"/>
    <xf numFmtId="0" fontId="67" fillId="51" borderId="0" xfId="0" applyFont="1" applyFill="1" applyBorder="1"/>
    <xf numFmtId="0" fontId="67" fillId="52" borderId="0" xfId="0" applyFont="1" applyFill="1" applyBorder="1"/>
    <xf numFmtId="181" fontId="2" fillId="47" borderId="0" xfId="0" applyNumberFormat="1" applyFont="1" applyFill="1" applyBorder="1" applyAlignment="1">
      <alignment horizontal="right"/>
    </xf>
    <xf numFmtId="181" fontId="2" fillId="47" borderId="0" xfId="0" applyNumberFormat="1" applyFont="1" applyFill="1" applyAlignment="1">
      <alignment horizontal="right"/>
    </xf>
    <xf numFmtId="184" fontId="2" fillId="2" borderId="0" xfId="0" applyNumberFormat="1" applyFont="1" applyFill="1" applyBorder="1"/>
    <xf numFmtId="10" fontId="65" fillId="47" borderId="0" xfId="0" applyNumberFormat="1" applyFont="1" applyFill="1" applyBorder="1"/>
    <xf numFmtId="3" fontId="2" fillId="2" borderId="0" xfId="0" applyNumberFormat="1" applyFont="1" applyFill="1"/>
    <xf numFmtId="0" fontId="40" fillId="2" borderId="0" xfId="0" applyFont="1" applyFill="1" applyBorder="1" applyAlignment="1"/>
    <xf numFmtId="0" fontId="40" fillId="48" borderId="0" xfId="0" applyFont="1" applyFill="1" applyBorder="1" applyAlignment="1"/>
    <xf numFmtId="0" fontId="40" fillId="48" borderId="0" xfId="0" applyFont="1" applyFill="1" applyBorder="1"/>
    <xf numFmtId="10" fontId="40" fillId="48" borderId="0" xfId="2" applyNumberFormat="1" applyFont="1" applyFill="1" applyBorder="1" applyAlignment="1">
      <alignment horizontal="right"/>
    </xf>
    <xf numFmtId="0" fontId="8" fillId="2" borderId="0" xfId="0" applyFont="1" applyFill="1" applyBorder="1" applyAlignment="1">
      <alignment horizontal="right"/>
    </xf>
    <xf numFmtId="0" fontId="60" fillId="48" borderId="0" xfId="0" applyFont="1" applyFill="1" applyBorder="1"/>
    <xf numFmtId="0" fontId="40" fillId="48" borderId="0" xfId="0" applyFont="1" applyFill="1" applyBorder="1" applyAlignment="1">
      <alignment horizontal="right"/>
    </xf>
    <xf numFmtId="0" fontId="2" fillId="47" borderId="0" xfId="0" applyNumberFormat="1" applyFont="1" applyFill="1" applyBorder="1" applyAlignment="1">
      <alignment horizontal="right"/>
    </xf>
    <xf numFmtId="180" fontId="64" fillId="2" borderId="0" xfId="0" applyNumberFormat="1" applyFont="1" applyFill="1" applyBorder="1" applyAlignment="1">
      <alignment horizontal="right"/>
    </xf>
    <xf numFmtId="10" fontId="2" fillId="2" borderId="20" xfId="2" applyNumberFormat="1" applyFont="1" applyFill="1" applyBorder="1"/>
    <xf numFmtId="180" fontId="60" fillId="47" borderId="0" xfId="2" applyNumberFormat="1" applyFont="1" applyFill="1" applyBorder="1" applyAlignment="1">
      <alignment horizontal="right"/>
    </xf>
    <xf numFmtId="0" fontId="60" fillId="47" borderId="0" xfId="2" applyNumberFormat="1" applyFont="1" applyFill="1" applyBorder="1" applyAlignment="1">
      <alignment horizontal="right"/>
    </xf>
    <xf numFmtId="10" fontId="66" fillId="47" borderId="0" xfId="2" applyNumberFormat="1" applyFont="1" applyFill="1" applyBorder="1" applyAlignment="1">
      <alignment horizontal="right"/>
    </xf>
    <xf numFmtId="189" fontId="40" fillId="2" borderId="17" xfId="0" applyNumberFormat="1" applyFont="1" applyFill="1" applyBorder="1"/>
    <xf numFmtId="189" fontId="2" fillId="2" borderId="0" xfId="0" applyNumberFormat="1" applyFont="1" applyFill="1"/>
    <xf numFmtId="189" fontId="40" fillId="2" borderId="0" xfId="0" applyNumberFormat="1" applyFont="1" applyFill="1"/>
    <xf numFmtId="189" fontId="2" fillId="2" borderId="19" xfId="0" applyNumberFormat="1" applyFont="1" applyFill="1" applyBorder="1"/>
    <xf numFmtId="189" fontId="2" fillId="2" borderId="19" xfId="0" applyNumberFormat="1" applyFont="1" applyFill="1" applyBorder="1" applyAlignment="1">
      <alignment horizontal="left" vertical="center"/>
    </xf>
    <xf numFmtId="191" fontId="8" fillId="2" borderId="0" xfId="2" applyNumberFormat="1" applyFont="1" applyFill="1" applyBorder="1"/>
    <xf numFmtId="192" fontId="2" fillId="2" borderId="0" xfId="0" applyNumberFormat="1" applyFont="1" applyFill="1" applyBorder="1" applyAlignment="1">
      <alignment vertical="center"/>
    </xf>
    <xf numFmtId="192" fontId="2" fillId="2" borderId="0" xfId="0" applyNumberFormat="1" applyFont="1" applyFill="1" applyBorder="1"/>
    <xf numFmtId="0" fontId="8" fillId="2" borderId="0" xfId="133" applyNumberFormat="1" applyFont="1" applyFill="1" applyBorder="1" applyAlignment="1">
      <alignment horizontal="right" vertical="center"/>
    </xf>
    <xf numFmtId="2" fontId="64" fillId="2"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Market Comparison</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'Market Analysis'!$B$3</c:f>
              <c:strCache>
                <c:ptCount val="1"/>
              </c:strCache>
            </c:strRef>
          </c:tx>
          <c:spPr>
            <a:solidFill>
              <a:schemeClr val="accent2"/>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val>
          <c:extLst>
            <c:ext xmlns:c16="http://schemas.microsoft.com/office/drawing/2014/chart" uri="{C3380CC4-5D6E-409C-BE32-E72D297353CC}">
              <c16:uniqueId val="{00000000-5787-4ADB-921B-5E06CB61F94A}"/>
            </c:ext>
          </c:extLst>
        </c:ser>
        <c:ser>
          <c:idx val="1"/>
          <c:order val="1"/>
          <c:tx>
            <c:strRef>
              <c:f>'Market Analysis'!$B$4</c:f>
              <c:strCache>
                <c:ptCount val="1"/>
                <c:pt idx="0">
                  <c:v>India</c:v>
                </c:pt>
              </c:strCache>
            </c:strRef>
          </c:tx>
          <c:spPr>
            <a:solidFill>
              <a:schemeClr val="accent4"/>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Analysis'!$C$4:$M$4</c:f>
              <c:numCache>
                <c:formatCode>_ [$₹-4009]\ * #,##0_ ;_ [$₹-4009]\ * \-#,##0_ ;_ [$₹-4009]\ * "-"??_ ;_ @_ </c:formatCode>
                <c:ptCount val="11"/>
                <c:pt idx="0">
                  <c:v>1446000</c:v>
                </c:pt>
                <c:pt idx="1">
                  <c:v>1549533.6</c:v>
                </c:pt>
                <c:pt idx="2">
                  <c:v>1660480.2057600003</c:v>
                </c:pt>
                <c:pt idx="3">
                  <c:v>1779370.5884924165</c:v>
                </c:pt>
                <c:pt idx="4">
                  <c:v>1906773.5226284738</c:v>
                </c:pt>
                <c:pt idx="5">
                  <c:v>2043298.5068486726</c:v>
                </c:pt>
                <c:pt idx="6">
                  <c:v>2189598.6799390377</c:v>
                </c:pt>
                <c:pt idx="7">
                  <c:v>2346373.9454226731</c:v>
                </c:pt>
                <c:pt idx="8">
                  <c:v>2514374.3199149366</c:v>
                </c:pt>
                <c:pt idx="9">
                  <c:v>2694403.5212208461</c:v>
                </c:pt>
                <c:pt idx="10">
                  <c:v>2887322.8133402588</c:v>
                </c:pt>
              </c:numCache>
            </c:numRef>
          </c:val>
          <c:extLst>
            <c:ext xmlns:c16="http://schemas.microsoft.com/office/drawing/2014/chart" uri="{C3380CC4-5D6E-409C-BE32-E72D297353CC}">
              <c16:uniqueId val="{00000001-5787-4ADB-921B-5E06CB61F94A}"/>
            </c:ext>
          </c:extLst>
        </c:ser>
        <c:ser>
          <c:idx val="2"/>
          <c:order val="2"/>
          <c:tx>
            <c:strRef>
              <c:f>'Market Analysis'!$B$5</c:f>
              <c:strCache>
                <c:ptCount val="1"/>
                <c:pt idx="0">
                  <c:v>USA</c:v>
                </c:pt>
              </c:strCache>
            </c:strRef>
          </c:tx>
          <c:spPr>
            <a:solidFill>
              <a:schemeClr val="accent6"/>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Analysis'!$C$5:$M$5</c:f>
              <c:numCache>
                <c:formatCode>_ [$₹-4009]\ * #,##0_ ;_ [$₹-4009]\ * \-#,##0_ ;_ [$₹-4009]\ * "-"??_ ;_ @_ </c:formatCode>
                <c:ptCount val="11"/>
                <c:pt idx="0">
                  <c:v>7800000</c:v>
                </c:pt>
                <c:pt idx="1">
                  <c:v>8251620.0000000009</c:v>
                </c:pt>
                <c:pt idx="2">
                  <c:v>8729388.7980000023</c:v>
                </c:pt>
                <c:pt idx="3">
                  <c:v>9234820.4094042033</c:v>
                </c:pt>
                <c:pt idx="4">
                  <c:v>9769516.5111087076</c:v>
                </c:pt>
                <c:pt idx="5">
                  <c:v>10335171.517101903</c:v>
                </c:pt>
                <c:pt idx="6">
                  <c:v>10933577.947942104</c:v>
                </c:pt>
                <c:pt idx="7">
                  <c:v>11566632.111127952</c:v>
                </c:pt>
                <c:pt idx="8">
                  <c:v>12236340.110362262</c:v>
                </c:pt>
                <c:pt idx="9">
                  <c:v>12944824.202752238</c:v>
                </c:pt>
                <c:pt idx="10">
                  <c:v>13694329.524091594</c:v>
                </c:pt>
              </c:numCache>
            </c:numRef>
          </c:val>
          <c:extLst>
            <c:ext xmlns:c16="http://schemas.microsoft.com/office/drawing/2014/chart" uri="{C3380CC4-5D6E-409C-BE32-E72D297353CC}">
              <c16:uniqueId val="{00000002-5787-4ADB-921B-5E06CB61F94A}"/>
            </c:ext>
          </c:extLst>
        </c:ser>
        <c:ser>
          <c:idx val="3"/>
          <c:order val="3"/>
          <c:tx>
            <c:strRef>
              <c:f>'Market Analysis'!$B$6</c:f>
              <c:strCache>
                <c:ptCount val="1"/>
                <c:pt idx="0">
                  <c:v>China</c:v>
                </c:pt>
              </c:strCache>
            </c:strRef>
          </c:tx>
          <c:spPr>
            <a:solidFill>
              <a:schemeClr val="accent2">
                <a:lumMod val="60000"/>
              </a:schemeClr>
            </a:solidFill>
            <a:ln>
              <a:noFill/>
            </a:ln>
            <a:effectLst/>
          </c:spPr>
          <c:invertIfNegative val="0"/>
          <c:cat>
            <c:numRef>
              <c:f>'Market Analysis'!$C$3:$M$3</c:f>
              <c:numCache>
                <c:formatCode>General</c:formatCode>
                <c:ptCount val="11"/>
                <c:pt idx="0">
                  <c:v>2022</c:v>
                </c:pt>
                <c:pt idx="1">
                  <c:v>2023</c:v>
                </c:pt>
                <c:pt idx="2">
                  <c:v>2024</c:v>
                </c:pt>
                <c:pt idx="3">
                  <c:v>2025</c:v>
                </c:pt>
                <c:pt idx="4">
                  <c:v>2026</c:v>
                </c:pt>
                <c:pt idx="5">
                  <c:v>2027</c:v>
                </c:pt>
                <c:pt idx="6">
                  <c:v>2028</c:v>
                </c:pt>
                <c:pt idx="7">
                  <c:v>2029</c:v>
                </c:pt>
                <c:pt idx="8">
                  <c:v>2030</c:v>
                </c:pt>
                <c:pt idx="9">
                  <c:v>2031</c:v>
                </c:pt>
                <c:pt idx="10">
                  <c:v>2032</c:v>
                </c:pt>
              </c:numCache>
            </c:numRef>
          </c:cat>
          <c:val>
            <c:numRef>
              <c:f>'Market Analysis'!$C$6:$M$6</c:f>
              <c:numCache>
                <c:formatCode>_ [$₹-4009]\ * #,##0_ ;_ [$₹-4009]\ * \-#,##0_ ;_ [$₹-4009]\ * "-"??_ ;_ @_ </c:formatCode>
                <c:ptCount val="11"/>
                <c:pt idx="0">
                  <c:v>5200000</c:v>
                </c:pt>
                <c:pt idx="1">
                  <c:v>5750159.9999999991</c:v>
                </c:pt>
                <c:pt idx="2">
                  <c:v>6358526.9279999984</c:v>
                </c:pt>
                <c:pt idx="3">
                  <c:v>7031259.0769823976</c:v>
                </c:pt>
                <c:pt idx="4">
                  <c:v>7775166.2873271341</c:v>
                </c:pt>
                <c:pt idx="5">
                  <c:v>8597778.8805263434</c:v>
                </c:pt>
                <c:pt idx="6">
                  <c:v>9507423.8860860299</c:v>
                </c:pt>
                <c:pt idx="7">
                  <c:v>10513309.33323393</c:v>
                </c:pt>
                <c:pt idx="8">
                  <c:v>11625617.460690079</c:v>
                </c:pt>
                <c:pt idx="9">
                  <c:v>12855607.788031088</c:v>
                </c:pt>
                <c:pt idx="10">
                  <c:v>14215731.092004776</c:v>
                </c:pt>
              </c:numCache>
            </c:numRef>
          </c:val>
          <c:extLst>
            <c:ext xmlns:c16="http://schemas.microsoft.com/office/drawing/2014/chart" uri="{C3380CC4-5D6E-409C-BE32-E72D297353CC}">
              <c16:uniqueId val="{00000003-5787-4ADB-921B-5E06CB61F94A}"/>
            </c:ext>
          </c:extLst>
        </c:ser>
        <c:dLbls>
          <c:showLegendKey val="0"/>
          <c:showVal val="0"/>
          <c:showCatName val="0"/>
          <c:showSerName val="0"/>
          <c:showPercent val="0"/>
          <c:showBubbleSize val="0"/>
        </c:dLbls>
        <c:gapWidth val="219"/>
        <c:overlap val="-27"/>
        <c:axId val="1020696767"/>
        <c:axId val="1020698431"/>
      </c:barChart>
      <c:catAx>
        <c:axId val="102069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698431"/>
        <c:crosses val="autoZero"/>
        <c:auto val="1"/>
        <c:lblAlgn val="ctr"/>
        <c:lblOffset val="100"/>
        <c:noMultiLvlLbl val="0"/>
      </c:catAx>
      <c:valAx>
        <c:axId val="1020698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0696767"/>
        <c:crosses val="autoZero"/>
        <c:crossBetween val="between"/>
      </c:valAx>
      <c:spPr>
        <a:noFill/>
        <a:ln>
          <a:noFill/>
        </a:ln>
        <a:effectLst/>
      </c:spPr>
    </c:plotArea>
    <c:legend>
      <c:legendPos val="b"/>
      <c:legendEntry>
        <c:idx val="0"/>
        <c:delete val="1"/>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485774</xdr:rowOff>
    </xdr:from>
    <xdr:to>
      <xdr:col>12</xdr:col>
      <xdr:colOff>553022</xdr:colOff>
      <xdr:row>17</xdr:row>
      <xdr:rowOff>85724</xdr:rowOff>
    </xdr:to>
    <xdr:pic>
      <xdr:nvPicPr>
        <xdr:cNvPr id="3" name="Picture 2" descr="Is Colgate Palmolive India a buy ? | Investeek"/>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85774"/>
          <a:ext cx="7544372" cy="2924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1</xdr:rowOff>
    </xdr:from>
    <xdr:to>
      <xdr:col>4</xdr:col>
      <xdr:colOff>962025</xdr:colOff>
      <xdr:row>10</xdr:row>
      <xdr:rowOff>38101</xdr:rowOff>
    </xdr:to>
    <xdr:sp macro="" textlink="">
      <xdr:nvSpPr>
        <xdr:cNvPr id="2" name="TextBox 1"/>
        <xdr:cNvSpPr txBox="1"/>
      </xdr:nvSpPr>
      <xdr:spPr>
        <a:xfrm>
          <a:off x="161926" y="809626"/>
          <a:ext cx="3781424"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Colgate Palmolive India Ltd:</a:t>
          </a:r>
        </a:p>
        <a:p>
          <a:endParaRPr lang="en-US" sz="900" b="1">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Colgate-Palmolive India Ltd is engaged in manufacturing/ trading of toothpaste, tooth powder, toothbrush, mouthwash and personal care products.</a:t>
          </a:r>
        </a:p>
      </xdr:txBody>
    </xdr:sp>
    <xdr:clientData/>
  </xdr:twoCellAnchor>
  <xdr:twoCellAnchor>
    <xdr:from>
      <xdr:col>1</xdr:col>
      <xdr:colOff>28574</xdr:colOff>
      <xdr:row>11</xdr:row>
      <xdr:rowOff>19049</xdr:rowOff>
    </xdr:from>
    <xdr:to>
      <xdr:col>14</xdr:col>
      <xdr:colOff>400050</xdr:colOff>
      <xdr:row>29</xdr:row>
      <xdr:rowOff>142875</xdr:rowOff>
    </xdr:to>
    <xdr:sp macro="" textlink="">
      <xdr:nvSpPr>
        <xdr:cNvPr id="6" name="TextBox 5"/>
        <xdr:cNvSpPr txBox="1"/>
      </xdr:nvSpPr>
      <xdr:spPr>
        <a:xfrm>
          <a:off x="161924" y="1743074"/>
          <a:ext cx="10925176" cy="2867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Product Offerings</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product portfolio includes various SKUs of toothpaste, tooth powder, toothbrush, mouthwash and personal care products. They are sold under its well-recognized brands i.e. Colgate and Palmolive.</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Market Share</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 has ~51% market share in toothpaste segment, 48% in toothpowder and ~30% share in the toothbrush segment. It has maintained its leadership since 1990s.</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Strategic Advantage</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flagship brand Colgate is one of the most recognized oral care brands in India and it has a penetration of ~88% in the domestic market.</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Geographical Revenue Breakup</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Presently, the company earns ~96% of its revenues from the domestic market and the rest ~4% from exports.</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Presence on E-commerce Platforms</a:t>
          </a:r>
          <a:r>
            <a:rPr lang="en-US" sz="900" b="0">
              <a:latin typeface="Arial" panose="020B0604020202020204" pitchFamily="34" charset="0"/>
              <a:cs typeface="Arial" panose="020B0604020202020204" pitchFamily="34" charset="0"/>
            </a:rPr>
            <a:t/>
          </a:r>
          <a:br>
            <a:rPr lang="en-US" sz="900" b="0">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company's products has presence across major e-comm platforms in India i.e. JioMart, Amazon, Flipkart, Bigbasket, 1mg, Nykaa, etc.</a:t>
          </a:r>
        </a:p>
        <a:p>
          <a:endParaRPr lang="en-US" sz="900" b="0">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Strong Parentage</a:t>
          </a:r>
          <a:br>
            <a:rPr lang="en-US" sz="900" b="1">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The company is a subsidairy of Colgate Palmolive Company which holds 51% stake in it. It is an American multinational consumer products company and specializes in production, distribution and provision of household, healthcare, personal care and veterinary products. It sells products under 30+ brands globally.</a:t>
          </a:r>
        </a:p>
        <a:p>
          <a:endParaRPr lang="en-US" sz="900" b="1">
            <a:latin typeface="Arial" panose="020B0604020202020204" pitchFamily="34" charset="0"/>
            <a:cs typeface="Arial" panose="020B0604020202020204" pitchFamily="34" charset="0"/>
          </a:endParaRPr>
        </a:p>
        <a:p>
          <a:r>
            <a:rPr lang="en-US" sz="900" b="1">
              <a:latin typeface="Arial" panose="020B0604020202020204" pitchFamily="34" charset="0"/>
              <a:cs typeface="Arial" panose="020B0604020202020204" pitchFamily="34" charset="0"/>
            </a:rPr>
            <a:t>Royalty Expenses</a:t>
          </a:r>
          <a:br>
            <a:rPr lang="en-US" sz="900" b="1">
              <a:latin typeface="Arial" panose="020B0604020202020204" pitchFamily="34" charset="0"/>
              <a:cs typeface="Arial" panose="020B0604020202020204" pitchFamily="34" charset="0"/>
            </a:rPr>
          </a:br>
          <a:r>
            <a:rPr lang="en-US" sz="900" b="0">
              <a:latin typeface="Arial" panose="020B0604020202020204" pitchFamily="34" charset="0"/>
              <a:cs typeface="Arial" panose="020B0604020202020204" pitchFamily="34" charset="0"/>
            </a:rPr>
            <a:t>Company pays royalty to its parent Colgate Palmolive Company for usage of its know-how and intellectual property. It paid ~212 crores and ~196 crores towards royalty in FY21 and FY20 respectively.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9523</xdr:colOff>
      <xdr:row>1</xdr:row>
      <xdr:rowOff>114298</xdr:rowOff>
    </xdr:from>
    <xdr:to>
      <xdr:col>16</xdr:col>
      <xdr:colOff>161924</xdr:colOff>
      <xdr:row>22</xdr:row>
      <xdr:rowOff>114299</xdr:rowOff>
    </xdr:to>
    <xdr:sp macro="" textlink="">
      <xdr:nvSpPr>
        <xdr:cNvPr id="3" name="TextBox 2"/>
        <xdr:cNvSpPr txBox="1"/>
      </xdr:nvSpPr>
      <xdr:spPr>
        <a:xfrm>
          <a:off x="142873" y="314323"/>
          <a:ext cx="11639551" cy="32004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Colgate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Colgate Palmolive</a:t>
          </a:r>
          <a:r>
            <a:rPr lang="en-US" sz="900" b="0" baseline="0">
              <a:solidFill>
                <a:schemeClr val="dk1"/>
              </a:solidFill>
              <a:effectLst/>
              <a:latin typeface="Arial" panose="020B0604020202020204" pitchFamily="34" charset="0"/>
              <a:ea typeface="+mn-ea"/>
              <a:cs typeface="Arial" panose="020B0604020202020204" pitchFamily="34" charset="0"/>
            </a:rPr>
            <a:t> will remain the winner in</a:t>
          </a:r>
          <a:r>
            <a:rPr lang="en-US" sz="900" b="0">
              <a:solidFill>
                <a:schemeClr val="dk1"/>
              </a:solidFill>
              <a:effectLst/>
              <a:latin typeface="Arial" panose="020B0604020202020204" pitchFamily="34" charset="0"/>
              <a:ea typeface="+mn-ea"/>
              <a:cs typeface="Arial" panose="020B0604020202020204" pitchFamily="34" charset="0"/>
            </a:rPr>
            <a:t> oral</a:t>
          </a:r>
          <a:r>
            <a:rPr lang="en-US" sz="900" b="0" baseline="0">
              <a:solidFill>
                <a:schemeClr val="dk1"/>
              </a:solidFill>
              <a:effectLst/>
              <a:latin typeface="Arial" panose="020B0604020202020204" pitchFamily="34" charset="0"/>
              <a:ea typeface="+mn-ea"/>
              <a:cs typeface="Arial" panose="020B0604020202020204" pitchFamily="34" charset="0"/>
            </a:rPr>
            <a:t> care market (Toothpaste, Toothbrush, Floss, Tooth Powder, Mouthwash). They have products related to face wash but I don't think they are going to crack the market as well like oral care. India is already a $1.77bn market in 2022 which is tiny as compared to USA, which is a $9.62bn market and China, which is a $6.33bn market. India's oral care has big potential as the urban population is growing roughly 2% every year. More and more people will start thinking about oral care as more awareness spreads.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(Strong Parent Brand) - </a:t>
          </a:r>
          <a:r>
            <a:rPr lang="en-US" sz="900" b="0" baseline="0">
              <a:solidFill>
                <a:schemeClr val="dk1"/>
              </a:solidFill>
              <a:effectLst/>
              <a:latin typeface="Arial" panose="020B0604020202020204" pitchFamily="34" charset="0"/>
              <a:ea typeface="+mn-ea"/>
              <a:cs typeface="Arial" panose="020B0604020202020204" pitchFamily="34" charset="0"/>
            </a:rPr>
            <a:t>Colgate already has 35% of the total oral care market in the palm of their hands. They just need to keep doing what they do - Pull out ridiculously high returns on their existing projects. Colgate is really good at advertising their products like the 'Smile Karo' campaign and much more.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in Oral Care Industry: </a:t>
          </a:r>
          <a:r>
            <a:rPr lang="en-US" sz="900" b="0" baseline="0">
              <a:solidFill>
                <a:schemeClr val="dk1"/>
              </a:solidFill>
              <a:effectLst/>
              <a:latin typeface="Arial" panose="020B0604020202020204" pitchFamily="34" charset="0"/>
              <a:ea typeface="+mn-ea"/>
              <a:cs typeface="Arial" panose="020B0604020202020204" pitchFamily="34" charset="0"/>
            </a:rPr>
            <a:t>In India, while Oral Care category penetration is high (+95%), more than 80% of people don’t brush their teeth at night. This against the backdrop of increasing Oral Diseases, up to 77 % suffering from Gum problems every year, up to 71% children (12 years old) and upto 86.4% adults 35-45 years from Cavities, presents a situation that needs immediate attention.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Oral Care Products are entirely non discretionary in nature. It's risk free against recessions!</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Colgate's biggest expenditure are advertising/marketing expense, royality expense to parent company. They make about 28% Operating Profit Margin and 104%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Strong Competition: </a:t>
          </a:r>
          <a:r>
            <a:rPr lang="en-US" sz="900" b="0" baseline="0">
              <a:latin typeface="Arial" panose="020B0604020202020204" pitchFamily="34" charset="0"/>
              <a:cs typeface="Arial" panose="020B0604020202020204" pitchFamily="34" charset="0"/>
            </a:rPr>
            <a:t>Competition comes from Pepsodent (HUL), Dabur Red Paste or Meswak, Dant Kanti (Patanjali) and other small players.</a:t>
          </a:r>
          <a:endParaRPr lang="en-US" sz="900" b="1" baseline="0">
            <a:latin typeface="Arial" panose="020B0604020202020204" pitchFamily="34" charset="0"/>
            <a:cs typeface="Arial" panose="020B0604020202020204" pitchFamily="34" charset="0"/>
          </a:endParaRP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Colgate make about Rs. 3 to 4 of Sales on every 1 rupee of invested capital. The manufacturing facilities are already build, very less reinvestment (repairs and maintainence) required. The company owns and operates 4 manufacturing facilities in Himachal Pradesh, Goa, Gujarat and Andhra Pradesh.</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Colgate's return on capital cannot be touched by other players. They are a cash machine for their investors. The only weakness is their parent company, which owns 51% stake in Colgate India.</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R&amp;D Expenses: </a:t>
          </a:r>
          <a:r>
            <a:rPr lang="en-US" sz="900" b="0" baseline="0">
              <a:latin typeface="Arial" panose="020B0604020202020204" pitchFamily="34" charset="0"/>
              <a:cs typeface="Arial" panose="020B0604020202020204" pitchFamily="34" charset="0"/>
            </a:rPr>
            <a:t>They are working on recyclable tubes that help reducing waste generation and ultimately waste diverted towards landfill. Non-aqueous toothpaste does not contain water in the formula which reduces the Company’s water consumption.</a:t>
          </a:r>
        </a:p>
        <a:p>
          <a:endParaRPr lang="en-US" sz="900" b="0" baseline="0">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6</xdr:row>
      <xdr:rowOff>142876</xdr:rowOff>
    </xdr:from>
    <xdr:to>
      <xdr:col>12</xdr:col>
      <xdr:colOff>962025</xdr:colOff>
      <xdr:row>24</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xdr:row>
      <xdr:rowOff>9525</xdr:rowOff>
    </xdr:from>
    <xdr:to>
      <xdr:col>15</xdr:col>
      <xdr:colOff>561975</xdr:colOff>
      <xdr:row>9</xdr:row>
      <xdr:rowOff>142875</xdr:rowOff>
    </xdr:to>
    <xdr:sp macro="" textlink="">
      <xdr:nvSpPr>
        <xdr:cNvPr id="3" name="TextBox 2"/>
        <xdr:cNvSpPr txBox="1"/>
      </xdr:nvSpPr>
      <xdr:spPr>
        <a:xfrm>
          <a:off x="10391775" y="352425"/>
          <a:ext cx="1676400" cy="1200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1" u="none" strike="noStrike">
              <a:solidFill>
                <a:schemeClr val="dk1"/>
              </a:solidFill>
              <a:effectLst/>
              <a:latin typeface="+mn-lt"/>
              <a:ea typeface="+mn-ea"/>
              <a:cs typeface="+mn-cs"/>
            </a:rPr>
            <a:t>Note:</a:t>
          </a:r>
        </a:p>
        <a:p>
          <a:endParaRPr lang="en-US" sz="1100" b="0"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Oral Industry includes</a:t>
          </a:r>
          <a:r>
            <a:rPr lang="en-US"/>
            <a:t> </a:t>
          </a:r>
          <a:r>
            <a:rPr lang="en-US" sz="1100" b="0" i="0" u="none" strike="noStrike">
              <a:solidFill>
                <a:schemeClr val="dk1"/>
              </a:solidFill>
              <a:effectLst/>
              <a:latin typeface="+mn-lt"/>
              <a:ea typeface="+mn-ea"/>
              <a:cs typeface="+mn-cs"/>
            </a:rPr>
            <a:t>Toothpaste</a:t>
          </a:r>
          <a:r>
            <a:rPr lang="en-US"/>
            <a:t> </a:t>
          </a:r>
          <a:r>
            <a:rPr lang="en-US" sz="1100" b="0" i="0" u="none" strike="noStrike">
              <a:solidFill>
                <a:schemeClr val="dk1"/>
              </a:solidFill>
              <a:effectLst/>
              <a:latin typeface="+mn-lt"/>
              <a:ea typeface="+mn-ea"/>
              <a:cs typeface="+mn-cs"/>
            </a:rPr>
            <a:t>Mouthwashes &amp; Rinses</a:t>
          </a:r>
          <a:r>
            <a:rPr lang="en-US"/>
            <a:t> </a:t>
          </a:r>
          <a:r>
            <a:rPr lang="en-US" sz="1100" b="0" i="0" u="none" strike="noStrike">
              <a:solidFill>
                <a:schemeClr val="dk1"/>
              </a:solidFill>
              <a:effectLst/>
              <a:latin typeface="+mn-lt"/>
              <a:ea typeface="+mn-ea"/>
              <a:cs typeface="+mn-cs"/>
            </a:rPr>
            <a:t>Toothbrushes</a:t>
          </a:r>
          <a:r>
            <a:rPr lang="en-US"/>
            <a:t> </a:t>
          </a:r>
          <a:r>
            <a:rPr lang="en-US" sz="1100" b="0" i="0" u="none" strike="noStrike">
              <a:solidFill>
                <a:schemeClr val="dk1"/>
              </a:solidFill>
              <a:effectLst/>
              <a:latin typeface="+mn-lt"/>
              <a:ea typeface="+mn-ea"/>
              <a:cs typeface="+mn-cs"/>
            </a:rPr>
            <a:t>Floss.</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2" customWidth="1"/>
    <col min="2" max="8" width="9.140625" style="62"/>
    <col min="9" max="9" width="11.42578125" style="62" customWidth="1"/>
    <col min="10" max="16384" width="9.140625" style="62"/>
  </cols>
  <sheetData>
    <row r="1" spans="2:15" ht="50.25">
      <c r="B1" s="63" t="s">
        <v>243</v>
      </c>
    </row>
    <row r="3" spans="2:15" ht="13.5" customHeight="1">
      <c r="F3" s="63"/>
      <c r="H3" s="63"/>
    </row>
    <row r="8" spans="2:15" ht="15">
      <c r="E8"/>
    </row>
    <row r="9" spans="2:15">
      <c r="C9" s="64"/>
    </row>
    <row r="10" spans="2:15">
      <c r="C10" s="64"/>
    </row>
    <row r="12" spans="2:15" ht="15">
      <c r="J12"/>
    </row>
    <row r="13" spans="2:15">
      <c r="O13" s="65"/>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7"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296</v>
      </c>
      <c r="E1" s="3"/>
      <c r="F1" s="68"/>
      <c r="G1" s="3"/>
      <c r="H1" s="3"/>
      <c r="I1" s="3"/>
      <c r="J1" s="3"/>
      <c r="K1" s="3"/>
      <c r="L1" s="3"/>
      <c r="M1" s="3"/>
      <c r="N1" s="3"/>
    </row>
    <row r="2" spans="2:14">
      <c r="E2" s="3"/>
      <c r="F2" s="68"/>
      <c r="G2" s="3"/>
      <c r="H2" s="3"/>
      <c r="I2" s="3"/>
      <c r="J2" s="3"/>
      <c r="K2" s="3"/>
      <c r="L2" s="3"/>
      <c r="M2" s="3"/>
      <c r="N2" s="3"/>
    </row>
    <row r="3" spans="2:14">
      <c r="B3" s="3" t="s">
        <v>258</v>
      </c>
      <c r="C3" s="86" t="s">
        <v>260</v>
      </c>
      <c r="D3" s="22"/>
      <c r="E3" s="51"/>
      <c r="F3" s="125"/>
      <c r="G3" s="121"/>
      <c r="H3" s="108"/>
      <c r="I3" s="108"/>
      <c r="J3" s="108"/>
      <c r="K3" s="3"/>
      <c r="L3" s="126"/>
      <c r="M3" s="108"/>
      <c r="N3" s="3"/>
    </row>
    <row r="4" spans="2:14">
      <c r="B4" s="2" t="s">
        <v>259</v>
      </c>
      <c r="C4" s="322" t="s">
        <v>261</v>
      </c>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3"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6" t="s">
        <v>297</v>
      </c>
      <c r="E1" s="3"/>
      <c r="F1" s="68"/>
      <c r="G1" s="3"/>
      <c r="H1" s="3"/>
      <c r="I1" s="3"/>
      <c r="J1" s="3"/>
      <c r="K1" s="3"/>
      <c r="L1" s="3"/>
      <c r="M1" s="3"/>
      <c r="N1" s="3"/>
    </row>
    <row r="2" spans="2:14">
      <c r="E2" s="3"/>
      <c r="F2" s="68"/>
      <c r="G2" s="3"/>
      <c r="H2" s="3"/>
      <c r="I2" s="3"/>
      <c r="J2" s="3"/>
      <c r="K2" s="3"/>
      <c r="L2" s="3"/>
      <c r="M2" s="3"/>
      <c r="N2" s="3"/>
    </row>
    <row r="3" spans="2:14">
      <c r="B3" s="3"/>
      <c r="C3" s="86"/>
      <c r="D3" s="22"/>
      <c r="E3" s="51"/>
      <c r="F3" s="125"/>
      <c r="G3" s="121"/>
      <c r="H3" s="108"/>
      <c r="I3" s="108"/>
      <c r="J3" s="108"/>
      <c r="K3" s="3"/>
      <c r="L3" s="126"/>
      <c r="M3" s="108"/>
      <c r="N3" s="3"/>
    </row>
    <row r="4" spans="2:14">
      <c r="C4" s="132"/>
      <c r="D4" s="6"/>
      <c r="E4" s="3"/>
      <c r="F4" s="72"/>
      <c r="G4" s="122"/>
      <c r="H4" s="123"/>
      <c r="I4" s="51"/>
      <c r="J4" s="70"/>
      <c r="K4" s="3"/>
      <c r="L4" s="71"/>
      <c r="M4" s="88"/>
      <c r="N4" s="3"/>
    </row>
    <row r="5" spans="2:14">
      <c r="D5" s="6"/>
      <c r="E5" s="3"/>
      <c r="F5" s="72"/>
      <c r="G5" s="122"/>
      <c r="H5" s="123"/>
      <c r="I5" s="51"/>
      <c r="J5" s="70"/>
      <c r="K5" s="3"/>
      <c r="L5" s="71"/>
      <c r="M5" s="88"/>
      <c r="N5" s="3"/>
    </row>
    <row r="6" spans="2:14">
      <c r="C6" s="79"/>
      <c r="D6" s="24"/>
      <c r="E6" s="3"/>
      <c r="F6" s="72"/>
      <c r="G6" s="122"/>
      <c r="H6" s="123"/>
      <c r="I6" s="51"/>
      <c r="J6" s="70"/>
      <c r="K6" s="3"/>
      <c r="L6" s="71"/>
      <c r="M6" s="88"/>
      <c r="N6" s="3"/>
    </row>
    <row r="7" spans="2:14">
      <c r="C7" s="80"/>
      <c r="D7" s="6"/>
      <c r="E7" s="3"/>
      <c r="F7" s="72"/>
      <c r="G7" s="122"/>
      <c r="H7" s="123"/>
      <c r="I7" s="51"/>
      <c r="J7" s="70"/>
      <c r="K7" s="3"/>
      <c r="L7" s="71"/>
      <c r="M7" s="88"/>
      <c r="N7" s="3"/>
    </row>
    <row r="8" spans="2:14">
      <c r="C8" s="50"/>
      <c r="D8" s="6"/>
      <c r="E8" s="3"/>
      <c r="F8" s="72"/>
      <c r="G8" s="122"/>
      <c r="H8" s="123"/>
      <c r="I8" s="51"/>
      <c r="J8" s="70"/>
      <c r="K8" s="3"/>
      <c r="L8" s="71"/>
      <c r="M8" s="88"/>
      <c r="N8" s="3"/>
    </row>
    <row r="9" spans="2:14">
      <c r="B9" s="3"/>
      <c r="C9" s="86"/>
      <c r="D9" s="6"/>
      <c r="E9" s="3"/>
      <c r="F9" s="72"/>
      <c r="G9" s="122"/>
      <c r="H9" s="123"/>
      <c r="I9" s="51"/>
      <c r="J9" s="70"/>
      <c r="K9" s="3"/>
      <c r="L9" s="71"/>
      <c r="M9" s="88"/>
      <c r="N9" s="3"/>
    </row>
    <row r="10" spans="2:14">
      <c r="B10" s="3"/>
      <c r="C10" s="86"/>
      <c r="D10" s="6"/>
      <c r="E10" s="3"/>
      <c r="F10" s="72"/>
      <c r="G10" s="122"/>
      <c r="H10" s="123"/>
      <c r="I10" s="51"/>
      <c r="J10" s="70"/>
      <c r="K10" s="3"/>
      <c r="L10" s="69"/>
      <c r="M10" s="3"/>
      <c r="N10" s="3"/>
    </row>
    <row r="11" spans="2:14">
      <c r="B11" s="3"/>
      <c r="C11" s="87"/>
      <c r="D11" s="6"/>
      <c r="E11" s="3"/>
      <c r="F11" s="72"/>
      <c r="G11" s="122"/>
      <c r="H11" s="123"/>
      <c r="I11" s="51"/>
      <c r="J11" s="70"/>
      <c r="K11" s="3"/>
      <c r="L11" s="84"/>
      <c r="M11" s="93"/>
      <c r="N11" s="3"/>
    </row>
    <row r="12" spans="2:14">
      <c r="B12" s="3"/>
      <c r="C12" s="3"/>
      <c r="D12" s="6"/>
      <c r="E12" s="3"/>
      <c r="F12" s="72"/>
      <c r="G12" s="122"/>
      <c r="H12" s="123"/>
      <c r="I12" s="51"/>
      <c r="J12" s="70"/>
      <c r="K12" s="3"/>
      <c r="L12" s="67"/>
      <c r="M12" s="93"/>
      <c r="N12" s="3"/>
    </row>
    <row r="13" spans="2:14">
      <c r="B13" s="3"/>
      <c r="C13" s="61"/>
      <c r="D13" s="6"/>
      <c r="E13" s="3"/>
      <c r="F13" s="72"/>
      <c r="G13" s="122"/>
      <c r="H13" s="123"/>
      <c r="I13" s="51"/>
      <c r="J13" s="70"/>
      <c r="K13" s="3"/>
      <c r="L13" s="3"/>
      <c r="M13" s="3"/>
      <c r="N13" s="3"/>
    </row>
    <row r="14" spans="2:14">
      <c r="B14" s="23"/>
      <c r="C14" s="23"/>
      <c r="D14" s="24"/>
      <c r="E14" s="3"/>
      <c r="F14" s="71"/>
      <c r="G14" s="7"/>
      <c r="H14" s="3"/>
      <c r="I14" s="51"/>
      <c r="J14" s="23"/>
      <c r="K14" s="3"/>
      <c r="L14" s="3"/>
      <c r="M14" s="3"/>
      <c r="N14" s="3"/>
    </row>
    <row r="15" spans="2:14">
      <c r="B15" s="3"/>
      <c r="C15" s="131"/>
      <c r="D15" s="6"/>
      <c r="E15" s="51"/>
      <c r="F15" s="67"/>
      <c r="G15" s="3"/>
      <c r="H15" s="3"/>
      <c r="I15" s="3"/>
      <c r="J15" s="3"/>
      <c r="K15" s="3"/>
      <c r="L15" s="3"/>
      <c r="M15" s="3"/>
      <c r="N15" s="3"/>
    </row>
    <row r="16" spans="2:14">
      <c r="B16" s="3"/>
      <c r="C16" s="3"/>
      <c r="D16" s="6"/>
      <c r="E16" s="51"/>
      <c r="F16" s="84"/>
      <c r="G16" s="85"/>
      <c r="H16" s="49"/>
      <c r="I16" s="3"/>
      <c r="J16" s="3"/>
      <c r="K16" s="3"/>
      <c r="L16" s="3"/>
      <c r="M16" s="3"/>
      <c r="N16" s="3"/>
    </row>
    <row r="17" spans="2:14">
      <c r="B17" s="3"/>
      <c r="C17" s="80"/>
      <c r="D17" s="6"/>
      <c r="E17" s="51"/>
      <c r="F17" s="67"/>
      <c r="G17" s="85"/>
      <c r="H17" s="3"/>
      <c r="I17" s="3"/>
      <c r="J17" s="3"/>
      <c r="K17" s="3"/>
      <c r="L17" s="3"/>
      <c r="M17" s="3"/>
      <c r="N17" s="3"/>
    </row>
    <row r="18" spans="2:14">
      <c r="B18" s="3"/>
      <c r="C18" s="3"/>
      <c r="D18" s="24"/>
      <c r="E18" s="51"/>
      <c r="F18" s="67"/>
      <c r="G18" s="3"/>
      <c r="H18" s="3"/>
      <c r="I18" s="3"/>
      <c r="J18" s="3"/>
      <c r="K18" s="3"/>
      <c r="L18" s="3"/>
      <c r="M18" s="3"/>
      <c r="N18" s="3"/>
    </row>
    <row r="19" spans="2:14">
      <c r="B19" s="23"/>
      <c r="C19" s="23"/>
      <c r="D19" s="6"/>
      <c r="E19" s="51"/>
      <c r="F19" s="67"/>
      <c r="G19" s="3"/>
      <c r="H19" s="3"/>
      <c r="I19" s="3"/>
      <c r="J19" s="3"/>
      <c r="K19" s="3"/>
      <c r="L19" s="3"/>
      <c r="M19" s="3"/>
      <c r="N19" s="3"/>
    </row>
    <row r="20" spans="2:14">
      <c r="B20" s="3"/>
      <c r="C20" s="3"/>
      <c r="D20" s="6"/>
      <c r="E20" s="124"/>
      <c r="F20" s="126"/>
      <c r="G20" s="126"/>
      <c r="H20" s="126"/>
      <c r="I20" s="126"/>
      <c r="J20" s="126"/>
      <c r="K20" s="126"/>
      <c r="L20" s="3"/>
      <c r="M20" s="3"/>
      <c r="N20" s="3"/>
    </row>
    <row r="21" spans="2:14">
      <c r="B21" s="3"/>
      <c r="C21" s="3"/>
      <c r="D21" s="6"/>
      <c r="E21" s="104"/>
      <c r="F21" s="127"/>
      <c r="G21" s="7"/>
      <c r="H21" s="7"/>
      <c r="I21" s="7"/>
      <c r="J21" s="7"/>
      <c r="K21" s="7"/>
      <c r="L21" s="3"/>
      <c r="M21" s="3"/>
      <c r="N21" s="3"/>
    </row>
    <row r="22" spans="2:14">
      <c r="B22" s="3"/>
      <c r="C22" s="3"/>
      <c r="D22" s="6"/>
      <c r="E22" s="51"/>
      <c r="F22" s="68"/>
      <c r="G22" s="68"/>
      <c r="H22" s="68"/>
      <c r="I22" s="105"/>
      <c r="J22" s="67"/>
      <c r="K22" s="68"/>
      <c r="L22" s="3"/>
      <c r="M22" s="3"/>
      <c r="N22" s="3"/>
    </row>
    <row r="23" spans="2:14">
      <c r="B23" s="23"/>
      <c r="C23" s="23"/>
      <c r="D23" s="24"/>
      <c r="E23" s="51"/>
      <c r="F23" s="3"/>
      <c r="G23" s="3"/>
      <c r="H23" s="3"/>
      <c r="I23" s="3"/>
      <c r="J23" s="3"/>
      <c r="K23" s="3"/>
      <c r="L23" s="128"/>
      <c r="M23" s="3"/>
      <c r="N23" s="3"/>
    </row>
    <row r="24" spans="2:14">
      <c r="B24" s="3"/>
      <c r="C24" s="3"/>
      <c r="D24" s="6"/>
      <c r="E24" s="51"/>
      <c r="F24" s="3"/>
      <c r="G24" s="3"/>
      <c r="H24" s="3"/>
      <c r="I24" s="3"/>
      <c r="J24" s="3"/>
      <c r="K24" s="3"/>
      <c r="L24" s="3"/>
      <c r="M24" s="3"/>
      <c r="N24" s="3"/>
    </row>
    <row r="25" spans="2:14">
      <c r="B25" s="3"/>
      <c r="C25" s="3"/>
      <c r="D25" s="6"/>
      <c r="E25" s="6"/>
      <c r="F25" s="68"/>
      <c r="G25" s="3"/>
      <c r="H25" s="84"/>
      <c r="I25" s="85"/>
      <c r="J25" s="3"/>
      <c r="K25" s="3"/>
      <c r="L25" s="3"/>
      <c r="M25" s="3"/>
      <c r="N25" s="3"/>
    </row>
    <row r="26" spans="2:14">
      <c r="B26" s="3"/>
      <c r="C26" s="3"/>
      <c r="D26" s="6"/>
      <c r="E26" s="24"/>
      <c r="F26" s="50"/>
      <c r="G26" s="3"/>
      <c r="H26" s="67"/>
      <c r="I26" s="85"/>
      <c r="J26" s="3"/>
      <c r="K26" s="3"/>
      <c r="L26" s="129"/>
      <c r="M26" s="3"/>
      <c r="N26" s="3"/>
    </row>
    <row r="27" spans="2:14">
      <c r="B27" s="3"/>
      <c r="C27" s="3"/>
      <c r="D27" s="24"/>
      <c r="E27" s="23"/>
      <c r="F27" s="130"/>
      <c r="G27" s="3"/>
      <c r="H27" s="3"/>
      <c r="I27" s="3"/>
      <c r="J27" s="3"/>
      <c r="K27" s="3"/>
      <c r="L27" s="3"/>
      <c r="M27" s="3"/>
      <c r="N27" s="3"/>
    </row>
    <row r="28" spans="2:14">
      <c r="B28" s="3"/>
      <c r="C28" s="3"/>
      <c r="D28" s="7" t="s">
        <v>91</v>
      </c>
      <c r="E28" s="23"/>
      <c r="F28" s="130"/>
      <c r="G28" s="3"/>
      <c r="H28" s="3"/>
      <c r="I28" s="3"/>
      <c r="J28" s="3"/>
      <c r="K28" s="3"/>
      <c r="L28" s="3"/>
      <c r="M28" s="3"/>
      <c r="N28" s="3"/>
    </row>
    <row r="29" spans="2:14">
      <c r="B29" s="3"/>
      <c r="C29" s="3"/>
      <c r="D29" s="3"/>
      <c r="E29" s="3"/>
      <c r="F29" s="68"/>
      <c r="G29" s="3"/>
      <c r="H29" s="3"/>
      <c r="I29" s="3"/>
      <c r="J29" s="3"/>
      <c r="K29" s="3"/>
      <c r="L29" s="3"/>
      <c r="M29" s="3"/>
      <c r="N29" s="3"/>
    </row>
    <row r="30" spans="2:14">
      <c r="B30" s="3"/>
      <c r="C30" s="3"/>
      <c r="D30" s="3"/>
      <c r="E30" s="3"/>
      <c r="F30" s="68"/>
    </row>
    <row r="31" spans="2:14">
      <c r="D31" s="3"/>
      <c r="E31" s="3"/>
      <c r="F31" s="68"/>
    </row>
    <row r="32" spans="2:14">
      <c r="D32" s="3"/>
      <c r="E32" s="3"/>
      <c r="F32" s="68"/>
    </row>
    <row r="33" spans="4:6">
      <c r="D33" s="3"/>
      <c r="E33" s="3"/>
      <c r="F33" s="68"/>
    </row>
    <row r="34" spans="4:6">
      <c r="D34" s="3"/>
      <c r="E34" s="3"/>
      <c r="F34" s="68"/>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40" t="s">
        <v>134</v>
      </c>
      <c r="C1" s="9"/>
    </row>
    <row r="2" spans="2:3">
      <c r="B2" s="41"/>
      <c r="C2" s="9"/>
    </row>
    <row r="3" spans="2:3">
      <c r="B3" s="9"/>
      <c r="C3" s="9"/>
    </row>
    <row r="4" spans="2:3">
      <c r="B4" s="66" t="s">
        <v>0</v>
      </c>
      <c r="C4" s="66" t="s">
        <v>1</v>
      </c>
    </row>
    <row r="5" spans="2:3">
      <c r="B5" s="44">
        <v>1</v>
      </c>
      <c r="C5" s="45" t="s">
        <v>11</v>
      </c>
    </row>
    <row r="6" spans="2:3">
      <c r="B6" s="42">
        <f>B5+1</f>
        <v>2</v>
      </c>
      <c r="C6" s="43" t="s">
        <v>14</v>
      </c>
    </row>
    <row r="7" spans="2:3">
      <c r="B7" s="42">
        <f t="shared" ref="B7:B27" si="0">B6+1</f>
        <v>3</v>
      </c>
      <c r="C7" s="43" t="s">
        <v>15</v>
      </c>
    </row>
    <row r="8" spans="2:3">
      <c r="B8" s="42">
        <f t="shared" si="0"/>
        <v>4</v>
      </c>
      <c r="C8" s="43" t="s">
        <v>10</v>
      </c>
    </row>
    <row r="9" spans="2:3">
      <c r="B9" s="42">
        <f t="shared" si="0"/>
        <v>5</v>
      </c>
      <c r="C9" s="43" t="s">
        <v>120</v>
      </c>
    </row>
    <row r="10" spans="2:3">
      <c r="B10" s="42">
        <f t="shared" si="0"/>
        <v>6</v>
      </c>
      <c r="C10" s="43" t="s">
        <v>7</v>
      </c>
    </row>
    <row r="11" spans="2:3">
      <c r="B11" s="42">
        <f t="shared" si="0"/>
        <v>7</v>
      </c>
      <c r="C11" s="45" t="s">
        <v>132</v>
      </c>
    </row>
    <row r="12" spans="2:3">
      <c r="B12" s="42">
        <f t="shared" si="0"/>
        <v>8</v>
      </c>
      <c r="C12" s="43" t="s">
        <v>143</v>
      </c>
    </row>
    <row r="13" spans="2:3">
      <c r="B13" s="42">
        <f t="shared" si="0"/>
        <v>9</v>
      </c>
      <c r="C13" s="43" t="s">
        <v>268</v>
      </c>
    </row>
    <row r="14" spans="2:3">
      <c r="B14" s="42">
        <f t="shared" si="0"/>
        <v>10</v>
      </c>
      <c r="C14" s="43" t="s">
        <v>315</v>
      </c>
    </row>
    <row r="15" spans="2:3">
      <c r="B15" s="42">
        <f t="shared" si="0"/>
        <v>11</v>
      </c>
      <c r="C15" s="43" t="s">
        <v>240</v>
      </c>
    </row>
    <row r="16" spans="2:3">
      <c r="B16" s="42">
        <f t="shared" si="0"/>
        <v>12</v>
      </c>
      <c r="C16" s="43" t="s">
        <v>150</v>
      </c>
    </row>
    <row r="17" spans="2:3">
      <c r="B17" s="42">
        <f t="shared" si="0"/>
        <v>13</v>
      </c>
      <c r="C17" s="43" t="s">
        <v>169</v>
      </c>
    </row>
    <row r="18" spans="2:3">
      <c r="B18" s="42">
        <f t="shared" si="0"/>
        <v>14</v>
      </c>
      <c r="C18" s="45" t="s">
        <v>190</v>
      </c>
    </row>
    <row r="19" spans="2:3">
      <c r="B19" s="42">
        <f t="shared" si="0"/>
        <v>15</v>
      </c>
      <c r="C19" s="43" t="s">
        <v>187</v>
      </c>
    </row>
    <row r="20" spans="2:3">
      <c r="B20" s="42">
        <f t="shared" si="0"/>
        <v>16</v>
      </c>
      <c r="C20" s="43" t="s">
        <v>291</v>
      </c>
    </row>
    <row r="21" spans="2:3">
      <c r="B21" s="42">
        <f t="shared" si="0"/>
        <v>17</v>
      </c>
      <c r="C21" s="43" t="s">
        <v>188</v>
      </c>
    </row>
    <row r="22" spans="2:3">
      <c r="B22" s="42">
        <f t="shared" si="0"/>
        <v>18</v>
      </c>
      <c r="C22" s="43" t="s">
        <v>189</v>
      </c>
    </row>
    <row r="23" spans="2:3">
      <c r="B23" s="42">
        <f t="shared" si="0"/>
        <v>19</v>
      </c>
      <c r="C23" s="45" t="s">
        <v>239</v>
      </c>
    </row>
    <row r="24" spans="2:3">
      <c r="B24" s="42">
        <f t="shared" si="0"/>
        <v>20</v>
      </c>
      <c r="C24" s="43" t="s">
        <v>222</v>
      </c>
    </row>
    <row r="25" spans="2:3">
      <c r="B25" s="42">
        <f t="shared" si="0"/>
        <v>21</v>
      </c>
      <c r="C25" s="43" t="s">
        <v>309</v>
      </c>
    </row>
    <row r="26" spans="2:3">
      <c r="B26" s="42">
        <f t="shared" si="0"/>
        <v>22</v>
      </c>
      <c r="C26" s="43" t="s">
        <v>323</v>
      </c>
    </row>
    <row r="27" spans="2:3">
      <c r="B27" s="42">
        <f t="shared" si="0"/>
        <v>23</v>
      </c>
      <c r="C27" s="43" t="s">
        <v>238</v>
      </c>
    </row>
    <row r="29" spans="2:3">
      <c r="B29" s="9"/>
      <c r="C29" s="9"/>
    </row>
  </sheetData>
  <hyperlinks>
    <hyperlink ref="C19" location="'Expected Growth Rate'!A1" display="Expected Growth Rate"/>
    <hyperlink ref="C21" location="'Future Cashflows (10 Yrs)'!A1" display="Future Cash Flows (10 Yrs)"/>
    <hyperlink ref="C22" location="'Terminal Value'!A1" display="Terminal Value"/>
    <hyperlink ref="C24" location="'Cash &amp; Marketable Securities'!A1" display="Cash and Marketable Securities"/>
    <hyperlink ref="C7" location="'Equity Risk Premium'!A1" display="Equity Risk Premium"/>
    <hyperlink ref="C8" location="Beta!A1" display="Beta"/>
    <hyperlink ref="C10" location="WACC!A1" display="WACC"/>
    <hyperlink ref="C9" location="'Cost of Equity &amp; Debt'!A1" display="Cost of Equity &amp; Debt"/>
    <hyperlink ref="C6" location="'Risk Free Rate'!A1" display="Risk Free Rate"/>
    <hyperlink ref="C27" location="'Fair Value of Share'!A1" display="Fair Value of Share"/>
    <hyperlink ref="C12" location="'EBIT &amp; Operating Lease'!A1" display="EBIT &amp; Operating Lease"/>
    <hyperlink ref="C15" location="'Net CapEx'!A1" display="Reinvestment (Net CapEx)"/>
    <hyperlink ref="C16" location="'Working Capital Changes'!A1" display="Working Capital Changes"/>
    <hyperlink ref="C17" location="'FCFF &amp; FCFE'!A1" display="FCFE &amp; FCFF"/>
    <hyperlink ref="C13" location="'EBIT &amp; Advertising Expense'!A1" display="EBIT &amp; Advertising Expense"/>
    <hyperlink ref="C20" location="'Market Analysis'!A1" display="Market Analysis"/>
    <hyperlink ref="C14" location="'EBIT &amp; R&amp;D Expense'!A1" display="EBIT &amp; R&amp;D Expense"/>
    <hyperlink ref="C25" location="'Future Value of Equity Options'!A1" display="Future Value of Equity Options"/>
    <hyperlink ref="C26" location="'Future Value of RSU'!A1" display="Future Value of RSU"/>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6" t="s">
        <v>202</v>
      </c>
    </row>
    <row r="3" spans="2:13">
      <c r="B3" s="23"/>
      <c r="C3" s="23"/>
      <c r="D3" s="22"/>
      <c r="E3" s="53" t="s">
        <v>49</v>
      </c>
      <c r="F3" s="54" t="s">
        <v>50</v>
      </c>
      <c r="I3" s="3"/>
      <c r="J3" s="3"/>
      <c r="K3" s="3"/>
    </row>
    <row r="4" spans="2:13">
      <c r="B4" s="18" t="s">
        <v>14</v>
      </c>
      <c r="C4" s="58">
        <f>C6-C8</f>
        <v>5.568E-2</v>
      </c>
      <c r="D4" s="6"/>
      <c r="E4" s="53" t="s">
        <v>34</v>
      </c>
      <c r="F4" s="12">
        <v>0</v>
      </c>
      <c r="I4" s="3"/>
      <c r="J4" s="3"/>
      <c r="K4" s="3"/>
    </row>
    <row r="5" spans="2:13">
      <c r="B5" s="3"/>
      <c r="C5" s="3"/>
      <c r="D5" s="6"/>
      <c r="E5" s="53" t="s">
        <v>35</v>
      </c>
      <c r="F5" s="12">
        <v>3.3999999999999998E-3</v>
      </c>
      <c r="I5" s="3"/>
      <c r="J5" s="3"/>
      <c r="K5" s="3"/>
      <c r="M5" s="3"/>
    </row>
    <row r="6" spans="2:13">
      <c r="B6" s="18" t="s">
        <v>16</v>
      </c>
      <c r="C6" s="59">
        <v>7.4380000000000002E-2</v>
      </c>
      <c r="D6" s="24"/>
      <c r="E6" s="53" t="s">
        <v>28</v>
      </c>
      <c r="F6" s="12">
        <v>4.1999999999999997E-3</v>
      </c>
      <c r="I6" s="3"/>
      <c r="J6" s="3"/>
      <c r="K6" s="3"/>
    </row>
    <row r="7" spans="2:13">
      <c r="B7" s="18" t="s">
        <v>17</v>
      </c>
      <c r="C7" s="60" t="s">
        <v>47</v>
      </c>
      <c r="D7" s="6"/>
      <c r="E7" s="53" t="s">
        <v>39</v>
      </c>
      <c r="F7" s="12">
        <v>5.1000000000000004E-3</v>
      </c>
      <c r="I7" s="3"/>
      <c r="J7" s="3"/>
      <c r="K7" s="3"/>
    </row>
    <row r="8" spans="2:13">
      <c r="B8" s="18" t="s">
        <v>18</v>
      </c>
      <c r="C8" s="57">
        <f>VLOOKUP(C7,$E$3:$F$24,2,0)</f>
        <v>1.8700000000000001E-2</v>
      </c>
      <c r="D8" s="6"/>
      <c r="E8" s="53" t="s">
        <v>44</v>
      </c>
      <c r="F8" s="50">
        <v>6.0000000000000001E-3</v>
      </c>
      <c r="I8" s="3"/>
      <c r="J8" s="3"/>
      <c r="K8" s="3"/>
    </row>
    <row r="9" spans="2:13">
      <c r="B9" s="3"/>
      <c r="C9" s="3"/>
      <c r="D9" s="6"/>
      <c r="E9" s="53" t="s">
        <v>41</v>
      </c>
      <c r="F9" s="12">
        <v>7.1999999999999998E-3</v>
      </c>
      <c r="I9" s="3"/>
      <c r="J9" s="3"/>
      <c r="K9" s="3"/>
    </row>
    <row r="10" spans="2:13">
      <c r="B10" s="56" t="s">
        <v>52</v>
      </c>
      <c r="C10" s="23"/>
      <c r="D10" s="6"/>
      <c r="E10" s="53" t="s">
        <v>42</v>
      </c>
      <c r="F10" s="12">
        <v>1.0200000000000001E-2</v>
      </c>
      <c r="I10" s="3"/>
      <c r="J10" s="3"/>
      <c r="K10" s="3"/>
    </row>
    <row r="11" spans="2:13">
      <c r="B11" s="3"/>
      <c r="C11" s="3"/>
      <c r="D11" s="6"/>
      <c r="E11" s="53" t="s">
        <v>43</v>
      </c>
      <c r="F11" s="12">
        <v>1.3599999999999999E-2</v>
      </c>
      <c r="I11" s="3"/>
      <c r="J11" s="3"/>
      <c r="K11" s="3"/>
    </row>
    <row r="12" spans="2:13">
      <c r="C12" s="3"/>
      <c r="D12" s="6"/>
      <c r="E12" s="53" t="s">
        <v>30</v>
      </c>
      <c r="F12" s="12">
        <v>1.6199999999999999E-2</v>
      </c>
      <c r="I12" s="3"/>
      <c r="J12" s="3"/>
      <c r="K12" s="3"/>
    </row>
    <row r="13" spans="2:13">
      <c r="B13" s="52" t="s">
        <v>51</v>
      </c>
      <c r="C13" s="3"/>
      <c r="D13" s="6"/>
      <c r="E13" s="53" t="s">
        <v>47</v>
      </c>
      <c r="F13" s="12">
        <v>1.8700000000000001E-2</v>
      </c>
    </row>
    <row r="14" spans="2:13">
      <c r="B14" s="55" t="s">
        <v>19</v>
      </c>
      <c r="C14" s="23"/>
      <c r="D14" s="24"/>
      <c r="E14" s="53" t="s">
        <v>46</v>
      </c>
      <c r="F14" s="12">
        <v>2.1299999999999999E-2</v>
      </c>
    </row>
    <row r="15" spans="2:13">
      <c r="B15" s="55" t="s">
        <v>20</v>
      </c>
      <c r="C15" s="3"/>
      <c r="D15" s="6"/>
      <c r="E15" s="53" t="s">
        <v>36</v>
      </c>
      <c r="F15" s="12">
        <v>2.5600000000000001E-2</v>
      </c>
    </row>
    <row r="16" spans="2:13">
      <c r="B16" s="55" t="s">
        <v>21</v>
      </c>
      <c r="C16" s="3"/>
      <c r="D16" s="6"/>
      <c r="E16" s="53" t="s">
        <v>33</v>
      </c>
      <c r="F16" s="12">
        <v>3.0599999999999999E-2</v>
      </c>
    </row>
    <row r="17" spans="2:9">
      <c r="B17" s="55" t="s">
        <v>22</v>
      </c>
      <c r="C17" s="3"/>
      <c r="D17" s="6"/>
      <c r="E17" s="53" t="s">
        <v>29</v>
      </c>
      <c r="F17" s="12">
        <v>3.8300000000000001E-2</v>
      </c>
    </row>
    <row r="18" spans="2:9">
      <c r="B18" s="55" t="s">
        <v>23</v>
      </c>
      <c r="C18" s="3"/>
      <c r="D18" s="24"/>
      <c r="E18" s="53" t="s">
        <v>37</v>
      </c>
      <c r="F18" s="12">
        <v>4.6800000000000001E-2</v>
      </c>
    </row>
    <row r="19" spans="2:9">
      <c r="B19" s="55" t="s">
        <v>24</v>
      </c>
      <c r="C19" s="23"/>
      <c r="D19" s="6"/>
      <c r="E19" s="53" t="s">
        <v>31</v>
      </c>
      <c r="F19" s="12">
        <v>5.5300000000000002E-2</v>
      </c>
    </row>
    <row r="20" spans="2:9">
      <c r="B20" s="55" t="s">
        <v>25</v>
      </c>
      <c r="C20" s="3"/>
      <c r="D20" s="6"/>
      <c r="E20" s="53" t="s">
        <v>38</v>
      </c>
      <c r="F20" s="12">
        <v>6.3799999999999996E-2</v>
      </c>
    </row>
    <row r="21" spans="2:9">
      <c r="B21" s="55" t="s">
        <v>26</v>
      </c>
      <c r="C21" s="3"/>
      <c r="D21" s="6"/>
      <c r="E21" s="53" t="s">
        <v>45</v>
      </c>
      <c r="F21" s="12">
        <v>7.6600000000000001E-2</v>
      </c>
    </row>
    <row r="22" spans="2:9">
      <c r="B22" s="55" t="s">
        <v>27</v>
      </c>
      <c r="C22" s="3"/>
      <c r="D22" s="6"/>
      <c r="E22" s="53" t="s">
        <v>40</v>
      </c>
      <c r="F22" s="12">
        <v>8.5099999999999995E-2</v>
      </c>
    </row>
    <row r="23" spans="2:9">
      <c r="B23" s="23"/>
      <c r="C23" s="23"/>
      <c r="D23" s="24"/>
      <c r="E23" s="53" t="s">
        <v>32</v>
      </c>
      <c r="F23" s="12">
        <v>0.1021</v>
      </c>
      <c r="I23" s="4"/>
    </row>
    <row r="24" spans="2:9">
      <c r="B24" s="3"/>
      <c r="C24" s="3"/>
      <c r="D24" s="6"/>
      <c r="E24" s="53" t="s">
        <v>48</v>
      </c>
      <c r="F24" s="12">
        <v>0.17499999999999999</v>
      </c>
    </row>
    <row r="25" spans="2:9">
      <c r="B25" s="3"/>
      <c r="C25" s="3"/>
      <c r="D25" s="6"/>
      <c r="E25" s="6"/>
    </row>
    <row r="26" spans="2:9">
      <c r="B26" s="3"/>
      <c r="C26" s="3"/>
      <c r="D26" s="6"/>
      <c r="E26" s="6"/>
    </row>
    <row r="27" spans="2:9">
      <c r="B27" s="3"/>
      <c r="C27" s="3"/>
      <c r="D27" s="24"/>
      <c r="E27" s="24"/>
      <c r="F27" s="24"/>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7109375" style="2" customWidth="1"/>
    <col min="4" max="4" width="2.85546875" style="2" customWidth="1"/>
    <col min="5" max="5" width="18.5703125" style="2" customWidth="1"/>
    <col min="6" max="6" width="10" style="13"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6" t="s">
        <v>15</v>
      </c>
    </row>
    <row r="3" spans="2:13">
      <c r="B3" s="18" t="s">
        <v>54</v>
      </c>
      <c r="C3" s="94">
        <f>G13</f>
        <v>189.17</v>
      </c>
      <c r="D3" s="22"/>
      <c r="E3" s="51"/>
      <c r="F3" s="74" t="s">
        <v>53</v>
      </c>
      <c r="G3" s="75" t="s">
        <v>55</v>
      </c>
      <c r="H3" s="77" t="s">
        <v>56</v>
      </c>
      <c r="I3" s="77" t="s">
        <v>59</v>
      </c>
      <c r="J3" s="77" t="s">
        <v>86</v>
      </c>
      <c r="K3" s="3"/>
      <c r="L3" s="91" t="s">
        <v>53</v>
      </c>
      <c r="M3" s="77" t="s">
        <v>82</v>
      </c>
    </row>
    <row r="4" spans="2:13">
      <c r="B4" s="30" t="s">
        <v>60</v>
      </c>
      <c r="C4" s="99">
        <f>J14/I14</f>
        <v>138.95218181818183</v>
      </c>
      <c r="D4" s="6"/>
      <c r="F4" s="73" t="s">
        <v>64</v>
      </c>
      <c r="G4" s="76">
        <v>77.72</v>
      </c>
      <c r="H4" s="78">
        <v>1.47E-2</v>
      </c>
      <c r="I4" s="53">
        <v>1</v>
      </c>
      <c r="J4" s="82">
        <f t="shared" ref="J4:J13" si="0">G4*I4</f>
        <v>77.72</v>
      </c>
      <c r="K4" s="3"/>
      <c r="L4" s="89" t="s">
        <v>74</v>
      </c>
      <c r="M4" s="90">
        <f>C11</f>
        <v>0.172634108417556</v>
      </c>
    </row>
    <row r="5" spans="2:13">
      <c r="D5" s="6"/>
      <c r="F5" s="73" t="s">
        <v>65</v>
      </c>
      <c r="G5" s="76">
        <v>97.24</v>
      </c>
      <c r="H5" s="78">
        <v>1.37E-2</v>
      </c>
      <c r="I5" s="53">
        <v>2</v>
      </c>
      <c r="J5" s="82">
        <f t="shared" si="0"/>
        <v>194.48</v>
      </c>
      <c r="K5" s="3"/>
      <c r="L5" s="89" t="s">
        <v>75</v>
      </c>
      <c r="M5" s="90">
        <f>(M4+M6)/2</f>
        <v>0.146583081313167</v>
      </c>
    </row>
    <row r="6" spans="2:13">
      <c r="B6" s="30" t="s">
        <v>58</v>
      </c>
      <c r="C6" s="95">
        <f>H13</f>
        <v>1.11E-2</v>
      </c>
      <c r="D6" s="24"/>
      <c r="F6" s="73" t="s">
        <v>66</v>
      </c>
      <c r="G6" s="76">
        <v>122.26</v>
      </c>
      <c r="H6" s="78">
        <v>1.2800000000000001E-2</v>
      </c>
      <c r="I6" s="53">
        <v>3</v>
      </c>
      <c r="J6" s="82">
        <f t="shared" si="0"/>
        <v>366.78000000000003</v>
      </c>
      <c r="K6" s="3"/>
      <c r="L6" s="89" t="s">
        <v>76</v>
      </c>
      <c r="M6" s="90">
        <f>(M4+M8)/2</f>
        <v>0.12053205420877799</v>
      </c>
    </row>
    <row r="7" spans="2:13">
      <c r="B7" s="30" t="s">
        <v>57</v>
      </c>
      <c r="C7" s="96">
        <f>AVERAGE(H4:H13)</f>
        <v>1.315E-2</v>
      </c>
      <c r="D7" s="6"/>
      <c r="F7" s="73" t="s">
        <v>67</v>
      </c>
      <c r="G7" s="76">
        <v>121.01</v>
      </c>
      <c r="H7" s="78">
        <v>1.49E-2</v>
      </c>
      <c r="I7" s="53">
        <v>4</v>
      </c>
      <c r="J7" s="82">
        <f t="shared" si="0"/>
        <v>484.04</v>
      </c>
      <c r="K7" s="3"/>
      <c r="L7" s="89" t="s">
        <v>77</v>
      </c>
      <c r="M7" s="90">
        <f>(M6+M8)/2</f>
        <v>9.4481027104388993E-2</v>
      </c>
    </row>
    <row r="8" spans="2:13">
      <c r="C8" s="50"/>
      <c r="D8" s="6"/>
      <c r="F8" s="73" t="s">
        <v>68</v>
      </c>
      <c r="G8" s="76">
        <v>112.54</v>
      </c>
      <c r="H8" s="78">
        <v>1.23E-2</v>
      </c>
      <c r="I8" s="53">
        <v>5</v>
      </c>
      <c r="J8" s="82">
        <f t="shared" si="0"/>
        <v>562.70000000000005</v>
      </c>
      <c r="K8" s="3"/>
      <c r="L8" s="89" t="s">
        <v>78</v>
      </c>
      <c r="M8" s="90">
        <v>6.8430000000000005E-2</v>
      </c>
    </row>
    <row r="9" spans="2:13">
      <c r="B9" s="18" t="s">
        <v>79</v>
      </c>
      <c r="C9" s="97">
        <v>282.98</v>
      </c>
      <c r="D9" s="6"/>
      <c r="F9" s="73" t="s">
        <v>69</v>
      </c>
      <c r="G9" s="76">
        <v>137.75</v>
      </c>
      <c r="H9" s="78">
        <v>1.2500000000000001E-2</v>
      </c>
      <c r="I9" s="53">
        <v>6</v>
      </c>
      <c r="J9" s="82">
        <f t="shared" si="0"/>
        <v>826.5</v>
      </c>
      <c r="K9" s="3"/>
      <c r="L9" s="71"/>
      <c r="M9" s="92">
        <f>AVERAGE(M4:M8)</f>
        <v>0.12053205420877799</v>
      </c>
    </row>
    <row r="10" spans="2:13">
      <c r="B10" s="18" t="s">
        <v>80</v>
      </c>
      <c r="C10" s="97">
        <v>771.5</v>
      </c>
      <c r="D10" s="6"/>
      <c r="F10" s="73" t="s">
        <v>70</v>
      </c>
      <c r="G10" s="76">
        <v>142.54</v>
      </c>
      <c r="H10" s="78">
        <v>1.1299999999999999E-2</v>
      </c>
      <c r="I10" s="53">
        <v>7</v>
      </c>
      <c r="J10" s="82">
        <f t="shared" si="0"/>
        <v>997.78</v>
      </c>
      <c r="K10" s="3"/>
      <c r="L10" s="69"/>
    </row>
    <row r="11" spans="2:13">
      <c r="B11" s="18" t="s">
        <v>81</v>
      </c>
      <c r="C11" s="98">
        <f>((C10-C9)/C9)/10</f>
        <v>0.172634108417556</v>
      </c>
      <c r="D11" s="6"/>
      <c r="F11" s="73" t="s">
        <v>71</v>
      </c>
      <c r="G11" s="76">
        <v>149.1</v>
      </c>
      <c r="H11" s="78">
        <v>1.83E-2</v>
      </c>
      <c r="I11" s="53">
        <v>8</v>
      </c>
      <c r="J11" s="82">
        <f t="shared" si="0"/>
        <v>1192.8</v>
      </c>
      <c r="K11" s="3"/>
      <c r="L11" s="84" t="s">
        <v>61</v>
      </c>
      <c r="M11" s="93" t="s">
        <v>84</v>
      </c>
    </row>
    <row r="12" spans="2:13">
      <c r="B12" s="3"/>
      <c r="C12" s="3"/>
      <c r="D12" s="6"/>
      <c r="F12" s="73" t="s">
        <v>72</v>
      </c>
      <c r="G12" s="76">
        <v>116.43</v>
      </c>
      <c r="H12" s="78">
        <v>9.9000000000000008E-3</v>
      </c>
      <c r="I12" s="53">
        <v>9</v>
      </c>
      <c r="J12" s="82">
        <f t="shared" si="0"/>
        <v>1047.8700000000001</v>
      </c>
      <c r="K12" s="3"/>
      <c r="L12" s="67"/>
      <c r="M12" s="93" t="s">
        <v>85</v>
      </c>
    </row>
    <row r="13" spans="2:13">
      <c r="B13" s="18" t="s">
        <v>83</v>
      </c>
      <c r="C13" s="58">
        <f>M9</f>
        <v>0.12053205420877799</v>
      </c>
      <c r="D13" s="6"/>
      <c r="F13" s="73" t="s">
        <v>73</v>
      </c>
      <c r="G13" s="76">
        <v>189.17</v>
      </c>
      <c r="H13" s="78">
        <v>1.11E-2</v>
      </c>
      <c r="I13" s="53">
        <v>10</v>
      </c>
      <c r="J13" s="82">
        <f t="shared" si="0"/>
        <v>1891.6999999999998</v>
      </c>
    </row>
    <row r="14" spans="2:13">
      <c r="D14" s="24"/>
      <c r="F14" s="71"/>
      <c r="G14" s="7"/>
      <c r="I14" s="81">
        <f>SUM(I4:I13)</f>
        <v>55</v>
      </c>
      <c r="J14" s="83">
        <f>SUM(J4:J13)</f>
        <v>7642.37</v>
      </c>
    </row>
    <row r="15" spans="2:13">
      <c r="B15" s="18" t="s">
        <v>244</v>
      </c>
      <c r="C15" s="102">
        <v>16198.9</v>
      </c>
      <c r="D15" s="6"/>
      <c r="E15" s="51"/>
      <c r="F15" s="67"/>
      <c r="G15" s="3"/>
      <c r="H15" s="3"/>
    </row>
    <row r="16" spans="2:13">
      <c r="D16" s="6"/>
      <c r="E16" s="51"/>
      <c r="F16" s="84" t="s">
        <v>61</v>
      </c>
      <c r="G16" s="85" t="s">
        <v>63</v>
      </c>
      <c r="H16" s="49"/>
    </row>
    <row r="17" spans="2:12">
      <c r="B17" s="18" t="s">
        <v>92</v>
      </c>
      <c r="C17" s="96">
        <v>1.83E-2</v>
      </c>
      <c r="D17" s="6"/>
      <c r="E17" s="51"/>
      <c r="F17" s="67"/>
      <c r="G17" s="85" t="s">
        <v>62</v>
      </c>
    </row>
    <row r="18" spans="2:12">
      <c r="C18" s="80"/>
      <c r="D18" s="24"/>
      <c r="E18" s="51"/>
      <c r="F18" s="67"/>
      <c r="G18" s="3"/>
      <c r="H18" s="3"/>
    </row>
    <row r="19" spans="2:12">
      <c r="C19" s="379"/>
      <c r="D19" s="6"/>
      <c r="E19" s="51"/>
      <c r="F19" s="67"/>
      <c r="G19" s="3"/>
      <c r="H19" s="3"/>
    </row>
    <row r="20" spans="2:12">
      <c r="B20" s="3"/>
      <c r="C20" s="3"/>
      <c r="D20" s="6"/>
      <c r="E20" s="103" t="s">
        <v>87</v>
      </c>
      <c r="F20" s="91" t="s">
        <v>73</v>
      </c>
      <c r="G20" s="91" t="s">
        <v>74</v>
      </c>
      <c r="H20" s="91" t="s">
        <v>75</v>
      </c>
      <c r="I20" s="91" t="s">
        <v>76</v>
      </c>
      <c r="J20" s="91" t="s">
        <v>77</v>
      </c>
      <c r="K20" s="91" t="s">
        <v>78</v>
      </c>
    </row>
    <row r="21" spans="2:12">
      <c r="B21" s="3"/>
      <c r="C21" s="3"/>
      <c r="D21" s="6"/>
      <c r="E21" s="109">
        <f>-C15</f>
        <v>-16198.9</v>
      </c>
      <c r="F21" s="100">
        <f>$C$4</f>
        <v>138.95218181818183</v>
      </c>
      <c r="G21" s="101">
        <f>F21*(1+$C$13)</f>
        <v>155.7003737295189</v>
      </c>
      <c r="H21" s="101">
        <f>G21*(1+$C$13)</f>
        <v>174.46725961621226</v>
      </c>
      <c r="I21" s="101">
        <f t="shared" ref="I21:K21" si="1">H21*(1+$C$13)</f>
        <v>195.49615680993051</v>
      </c>
      <c r="J21" s="101">
        <f t="shared" si="1"/>
        <v>219.05971018015282</v>
      </c>
      <c r="K21" s="101">
        <f t="shared" si="1"/>
        <v>245.46342704254619</v>
      </c>
    </row>
    <row r="22" spans="2:12">
      <c r="B22" s="3"/>
      <c r="C22" s="3"/>
      <c r="D22" s="6"/>
      <c r="E22" s="53"/>
      <c r="F22" s="110"/>
      <c r="G22" s="110"/>
      <c r="H22" s="110"/>
      <c r="I22" s="111"/>
      <c r="J22" s="112"/>
      <c r="K22" s="110"/>
    </row>
    <row r="23" spans="2:12">
      <c r="B23" s="23"/>
      <c r="C23" s="23"/>
      <c r="D23" s="24"/>
      <c r="E23" s="53" t="s">
        <v>88</v>
      </c>
      <c r="F23" s="30">
        <f>NPV(10%,$G$21:$K$21)+($K$21*(1+$M$8))/(10%-$M$8)*((1+10%)^5)+$E$21</f>
        <v>-2085.3128706754469</v>
      </c>
      <c r="G23" s="30"/>
      <c r="H23" s="30"/>
      <c r="I23" s="30"/>
      <c r="J23" s="30"/>
      <c r="K23" s="30"/>
      <c r="L23" s="106"/>
    </row>
    <row r="24" spans="2:12">
      <c r="B24" s="3"/>
      <c r="C24" s="3"/>
      <c r="D24" s="6"/>
      <c r="E24" s="53" t="s">
        <v>89</v>
      </c>
      <c r="F24" s="30">
        <f>NPV(9%,$G$21:$K$21)+($K$21*(1+$M$8))/(9%-$M$8)*((1+9%)^5)+$E$21</f>
        <v>3263.9473412469724</v>
      </c>
      <c r="G24" s="30"/>
      <c r="H24" s="30"/>
      <c r="I24" s="30"/>
      <c r="J24" s="30"/>
      <c r="K24" s="30"/>
    </row>
    <row r="25" spans="2:12">
      <c r="B25" s="3"/>
      <c r="C25" s="3"/>
      <c r="D25" s="6"/>
      <c r="E25" s="17"/>
      <c r="F25" s="110"/>
      <c r="G25" s="30"/>
      <c r="H25" s="118"/>
      <c r="I25" s="119"/>
      <c r="J25" s="30"/>
      <c r="K25" s="30"/>
    </row>
    <row r="26" spans="2:12">
      <c r="B26" s="3"/>
      <c r="C26" s="3"/>
      <c r="D26" s="6"/>
      <c r="E26" s="46" t="s">
        <v>90</v>
      </c>
      <c r="F26" s="113">
        <f>9%+($F$24/($F$24-$F$23)*(10%-9%))</f>
        <v>9.6101679880840896E-2</v>
      </c>
      <c r="G26" s="30"/>
      <c r="H26" s="120"/>
      <c r="I26" s="119"/>
      <c r="J26" s="30"/>
      <c r="K26" s="30"/>
      <c r="L26" s="107"/>
    </row>
    <row r="27" spans="2:12">
      <c r="B27" s="3"/>
      <c r="C27" s="3"/>
      <c r="D27" s="7" t="s">
        <v>91</v>
      </c>
      <c r="E27" s="114" t="s">
        <v>14</v>
      </c>
      <c r="F27" s="115">
        <f>'Risk Free Rate'!C4</f>
        <v>5.568E-2</v>
      </c>
      <c r="G27" s="30"/>
      <c r="H27" s="30"/>
      <c r="I27" s="30"/>
      <c r="J27" s="30"/>
      <c r="K27" s="30"/>
    </row>
    <row r="28" spans="2:12">
      <c r="B28" s="3"/>
      <c r="C28" s="3"/>
      <c r="E28" s="116" t="s">
        <v>15</v>
      </c>
      <c r="F28" s="117">
        <f>F26-F27</f>
        <v>4.0421679880840895E-2</v>
      </c>
      <c r="G28" s="30"/>
      <c r="H28" s="30"/>
      <c r="I28" s="30"/>
      <c r="J28" s="30"/>
      <c r="K28" s="30"/>
    </row>
    <row r="29" spans="2:12">
      <c r="B29" s="3"/>
      <c r="C29" s="3"/>
      <c r="D29" s="3"/>
    </row>
    <row r="30" spans="2:12">
      <c r="B30" s="3"/>
      <c r="C30" s="3"/>
      <c r="D30" s="3"/>
      <c r="E30" s="3"/>
      <c r="F30" s="68"/>
    </row>
    <row r="31" spans="2:12">
      <c r="D31" s="3"/>
      <c r="E31" s="3"/>
      <c r="F31" s="68"/>
    </row>
    <row r="32" spans="2:12">
      <c r="D32" s="3"/>
      <c r="E32" s="3"/>
      <c r="F32" s="68"/>
    </row>
    <row r="33" spans="4:6">
      <c r="D33" s="3"/>
      <c r="E33" s="3"/>
      <c r="F33" s="68"/>
    </row>
    <row r="34" spans="4:6">
      <c r="D34" s="3"/>
      <c r="E34" s="3"/>
      <c r="F34" s="68"/>
    </row>
  </sheetData>
  <hyperlinks>
    <hyperlink ref="G16" r:id="rId1"/>
    <hyperlink ref="G17" r:id="rId2"/>
    <hyperlink ref="M11" r:id="rId3"/>
    <hyperlink ref="M12" r:id="rId4"/>
  </hyperlinks>
  <pageMargins left="0.7" right="0.7" top="0.75" bottom="0.75" header="0.3" footer="0.3"/>
  <pageSetup paperSize="11" orientation="landscape"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6.140625" style="2" customWidth="1"/>
    <col min="4" max="4" width="9.140625" style="2" customWidth="1"/>
    <col min="5" max="5" width="3.28515625" style="2" customWidth="1"/>
    <col min="6" max="6" width="3" style="13" customWidth="1"/>
    <col min="7" max="7" width="27" style="2" customWidth="1"/>
    <col min="8" max="8" width="14.42578125" style="2" customWidth="1"/>
    <col min="9" max="9" width="19.85546875" style="13"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6" t="s">
        <v>102</v>
      </c>
      <c r="E1" s="3"/>
      <c r="F1" s="68"/>
      <c r="G1" s="3"/>
      <c r="H1" s="3"/>
      <c r="I1" s="68"/>
      <c r="J1" s="3"/>
      <c r="K1" s="3"/>
      <c r="L1" s="3"/>
      <c r="M1" s="3"/>
      <c r="N1" s="3"/>
      <c r="O1" s="3"/>
      <c r="P1" s="3"/>
      <c r="Q1" s="3"/>
    </row>
    <row r="2" spans="2:17">
      <c r="E2" s="3"/>
      <c r="F2" s="68"/>
      <c r="G2" s="384" t="s">
        <v>262</v>
      </c>
      <c r="H2" s="384"/>
      <c r="I2" s="384"/>
      <c r="J2" s="384"/>
      <c r="K2" s="384" t="s">
        <v>96</v>
      </c>
      <c r="L2" s="384"/>
      <c r="M2" s="148"/>
      <c r="N2" s="237"/>
      <c r="O2" s="3"/>
      <c r="P2" s="3"/>
      <c r="Q2" s="3"/>
    </row>
    <row r="3" spans="2:17">
      <c r="B3" s="18" t="s">
        <v>258</v>
      </c>
      <c r="C3" s="97" t="str">
        <f>About!C3</f>
        <v>Personal Products</v>
      </c>
      <c r="D3" s="22"/>
      <c r="F3" s="125"/>
      <c r="G3" s="53" t="s">
        <v>245</v>
      </c>
      <c r="H3" s="53" t="s">
        <v>93</v>
      </c>
      <c r="I3" s="137" t="s">
        <v>95</v>
      </c>
      <c r="J3" s="138" t="s">
        <v>94</v>
      </c>
      <c r="K3" s="138" t="s">
        <v>97</v>
      </c>
      <c r="L3" s="82" t="s">
        <v>98</v>
      </c>
      <c r="M3" s="82" t="s">
        <v>100</v>
      </c>
      <c r="N3" s="70"/>
      <c r="O3" s="126"/>
      <c r="P3" s="108"/>
      <c r="Q3" s="3"/>
    </row>
    <row r="4" spans="2:17">
      <c r="B4" s="30" t="s">
        <v>259</v>
      </c>
      <c r="C4" s="308" t="str">
        <f>About!C4</f>
        <v>Oral Hygiene</v>
      </c>
      <c r="D4" s="6"/>
      <c r="E4" s="3"/>
      <c r="F4" s="72"/>
      <c r="G4" s="76" t="s">
        <v>246</v>
      </c>
      <c r="H4" s="76" t="s">
        <v>257</v>
      </c>
      <c r="I4" s="306">
        <v>0.2147</v>
      </c>
      <c r="J4" s="141">
        <v>0.14899999999999999</v>
      </c>
      <c r="K4" s="141">
        <f t="shared" ref="K4:K8" si="0">I4-(2*J4)</f>
        <v>-8.3299999999999985E-2</v>
      </c>
      <c r="L4" s="141">
        <f t="shared" ref="L4:L8" si="1">I4+(2*J4)</f>
        <v>0.51269999999999993</v>
      </c>
      <c r="M4" s="141">
        <v>0.02</v>
      </c>
      <c r="N4" s="134"/>
      <c r="P4" s="88"/>
      <c r="Q4" s="3"/>
    </row>
    <row r="5" spans="2:17">
      <c r="D5" s="6"/>
      <c r="E5" s="3"/>
      <c r="F5" s="72"/>
      <c r="G5" s="76" t="s">
        <v>247</v>
      </c>
      <c r="H5" s="307" t="s">
        <v>256</v>
      </c>
      <c r="I5" s="140">
        <v>0.42549999999999999</v>
      </c>
      <c r="J5" s="141">
        <v>0.13100000000000001</v>
      </c>
      <c r="K5" s="141">
        <f t="shared" si="0"/>
        <v>0.16349999999999998</v>
      </c>
      <c r="L5" s="141">
        <f t="shared" si="1"/>
        <v>0.6875</v>
      </c>
      <c r="M5" s="141">
        <v>0.12</v>
      </c>
      <c r="N5" s="234"/>
      <c r="O5" s="135"/>
      <c r="P5" s="88"/>
      <c r="Q5" s="3"/>
    </row>
    <row r="6" spans="2:17">
      <c r="B6" s="30" t="s">
        <v>103</v>
      </c>
      <c r="C6" s="147">
        <v>0.25169999999999998</v>
      </c>
      <c r="D6" s="304"/>
      <c r="E6" s="3"/>
      <c r="F6" s="72"/>
      <c r="G6" s="76" t="s">
        <v>248</v>
      </c>
      <c r="H6" s="307" t="s">
        <v>255</v>
      </c>
      <c r="I6" s="140">
        <v>0.61750000000000005</v>
      </c>
      <c r="J6" s="141">
        <v>0.183</v>
      </c>
      <c r="K6" s="141">
        <f t="shared" si="0"/>
        <v>0.25150000000000006</v>
      </c>
      <c r="L6" s="141">
        <f t="shared" si="1"/>
        <v>0.98350000000000004</v>
      </c>
      <c r="M6" s="141">
        <v>0.15</v>
      </c>
      <c r="N6" s="240"/>
      <c r="O6" s="134"/>
      <c r="P6" s="88"/>
      <c r="Q6" s="3"/>
    </row>
    <row r="7" spans="2:17">
      <c r="B7" s="18" t="s">
        <v>105</v>
      </c>
      <c r="C7" s="150">
        <f>I10/(1+(M10*(1-C6)))</f>
        <v>0.47493035572796155</v>
      </c>
      <c r="D7" s="304"/>
      <c r="E7" s="3"/>
      <c r="F7" s="72"/>
      <c r="G7" s="76" t="s">
        <v>249</v>
      </c>
      <c r="H7" s="307" t="s">
        <v>254</v>
      </c>
      <c r="I7" s="140">
        <v>1.1578999999999999</v>
      </c>
      <c r="J7" s="141">
        <v>0.23300000000000001</v>
      </c>
      <c r="K7" s="141">
        <f>I7-(2*J7)</f>
        <v>0.69189999999999996</v>
      </c>
      <c r="L7" s="141">
        <f t="shared" si="1"/>
        <v>1.6238999999999999</v>
      </c>
      <c r="M7" s="141">
        <v>0.14000000000000001</v>
      </c>
      <c r="N7" s="234"/>
      <c r="O7" s="71"/>
      <c r="P7" s="88"/>
      <c r="Q7" s="3"/>
    </row>
    <row r="8" spans="2:17">
      <c r="B8" s="114" t="s">
        <v>106</v>
      </c>
      <c r="C8" s="149">
        <f>C7*(1+(1-C6)*WACC!F11)</f>
        <v>0.49306889818215843</v>
      </c>
      <c r="D8" s="304"/>
      <c r="E8" s="3"/>
      <c r="F8" s="72"/>
      <c r="G8" s="76" t="s">
        <v>250</v>
      </c>
      <c r="H8" s="307" t="s">
        <v>253</v>
      </c>
      <c r="I8" s="140">
        <v>0.3327</v>
      </c>
      <c r="J8" s="141">
        <v>0.11700000000000001</v>
      </c>
      <c r="K8" s="141">
        <f t="shared" si="0"/>
        <v>9.8699999999999982E-2</v>
      </c>
      <c r="L8" s="141">
        <f t="shared" si="1"/>
        <v>0.56669999999999998</v>
      </c>
      <c r="M8" s="141">
        <v>0</v>
      </c>
      <c r="N8" s="234"/>
      <c r="P8" s="88"/>
      <c r="Q8" s="3"/>
    </row>
    <row r="9" spans="2:17">
      <c r="D9" s="6"/>
      <c r="E9" s="3"/>
      <c r="F9" s="72"/>
      <c r="G9" s="76" t="s">
        <v>251</v>
      </c>
      <c r="H9" s="307" t="s">
        <v>252</v>
      </c>
      <c r="I9" s="140">
        <v>0.25409999999999999</v>
      </c>
      <c r="J9" s="141">
        <v>0.123</v>
      </c>
      <c r="K9" s="141">
        <f>I9-(2*J9)</f>
        <v>8.0999999999999961E-3</v>
      </c>
      <c r="L9" s="141">
        <f>I9+(2*J9)</f>
        <v>0.50009999999999999</v>
      </c>
      <c r="M9" s="141">
        <v>0</v>
      </c>
      <c r="N9" s="234"/>
      <c r="O9" s="71"/>
      <c r="P9" s="88"/>
      <c r="Q9" s="3"/>
    </row>
    <row r="10" spans="2:17">
      <c r="B10" s="139" t="s">
        <v>61</v>
      </c>
      <c r="D10" s="6"/>
      <c r="E10" s="3"/>
      <c r="F10" s="72"/>
      <c r="G10" s="122"/>
      <c r="H10" s="122"/>
      <c r="I10" s="142">
        <f>AVERAGE(I4:I9)</f>
        <v>0.50039999999999996</v>
      </c>
      <c r="J10" s="144"/>
      <c r="K10" s="145"/>
      <c r="L10" s="49"/>
      <c r="M10" s="146">
        <f>AVERAGE(M4:M9)</f>
        <v>7.166666666666667E-2</v>
      </c>
      <c r="N10" s="234"/>
      <c r="O10" s="134"/>
      <c r="P10" s="3"/>
      <c r="Q10" s="3"/>
    </row>
    <row r="11" spans="2:17">
      <c r="B11" s="139" t="s">
        <v>99</v>
      </c>
      <c r="D11" s="6"/>
      <c r="E11" s="3"/>
      <c r="F11" s="72"/>
      <c r="G11" s="122"/>
      <c r="H11" s="318"/>
      <c r="I11" s="238"/>
      <c r="J11" s="243"/>
      <c r="K11" s="243"/>
      <c r="L11" s="243"/>
      <c r="M11" s="243"/>
      <c r="N11" s="234"/>
      <c r="O11" s="84"/>
      <c r="P11" s="93"/>
      <c r="Q11" s="3"/>
    </row>
    <row r="12" spans="2:17">
      <c r="B12" s="143" t="s">
        <v>101</v>
      </c>
      <c r="C12" s="319"/>
      <c r="D12" s="6"/>
      <c r="E12" s="3"/>
      <c r="F12" s="72"/>
      <c r="O12" s="67"/>
      <c r="P12" s="93"/>
      <c r="Q12" s="3"/>
    </row>
    <row r="13" spans="2:17">
      <c r="B13" s="85" t="s">
        <v>104</v>
      </c>
      <c r="C13" s="3"/>
      <c r="D13" s="6"/>
      <c r="E13" s="3"/>
      <c r="F13" s="72"/>
      <c r="G13" s="122"/>
      <c r="H13" s="122"/>
      <c r="I13" s="133"/>
      <c r="J13" s="51"/>
      <c r="K13" s="70"/>
      <c r="L13" s="3"/>
      <c r="M13" s="3"/>
      <c r="N13" s="3"/>
      <c r="O13" s="3"/>
      <c r="P13" s="3"/>
      <c r="Q13" s="3"/>
    </row>
    <row r="14" spans="2:17">
      <c r="B14" s="49"/>
      <c r="D14" s="24"/>
      <c r="E14" s="51"/>
      <c r="F14" s="67"/>
      <c r="Q14" s="3"/>
    </row>
    <row r="15" spans="2:17">
      <c r="C15" s="143"/>
      <c r="D15" s="6"/>
      <c r="E15" s="51"/>
      <c r="F15" s="84"/>
      <c r="G15" s="108"/>
      <c r="H15" s="108"/>
      <c r="I15" s="309"/>
      <c r="J15" s="313"/>
      <c r="K15" s="313"/>
      <c r="L15" s="314"/>
      <c r="M15" s="315"/>
      <c r="N15" s="315"/>
      <c r="O15" s="3"/>
      <c r="P15" s="3"/>
      <c r="Q15" s="3"/>
    </row>
    <row r="16" spans="2:17">
      <c r="C16" s="143"/>
      <c r="D16" s="6"/>
      <c r="E16" s="51"/>
      <c r="F16" s="67"/>
      <c r="G16" s="122"/>
      <c r="H16" s="310"/>
      <c r="I16" s="311"/>
      <c r="J16" s="316"/>
      <c r="K16" s="317"/>
      <c r="L16" s="11"/>
      <c r="M16" s="129"/>
      <c r="N16" s="129"/>
      <c r="O16" s="126"/>
      <c r="P16" s="108"/>
      <c r="Q16" s="3"/>
    </row>
    <row r="17" spans="2:17">
      <c r="C17" s="49"/>
      <c r="D17" s="6"/>
      <c r="E17" s="51"/>
      <c r="F17" s="67"/>
      <c r="G17" s="3"/>
      <c r="H17" s="49"/>
      <c r="I17" s="68"/>
      <c r="J17" s="49"/>
      <c r="K17" s="304"/>
      <c r="L17" s="312"/>
      <c r="M17" s="3"/>
      <c r="N17" s="3"/>
      <c r="O17" s="134"/>
      <c r="P17" s="88"/>
      <c r="Q17" s="3"/>
    </row>
    <row r="18" spans="2:17">
      <c r="C18" s="85"/>
      <c r="D18" s="6"/>
      <c r="E18" s="51"/>
      <c r="F18" s="67"/>
      <c r="G18" s="3"/>
      <c r="H18" s="3"/>
      <c r="I18" s="68"/>
      <c r="J18" s="3"/>
      <c r="K18" s="3"/>
      <c r="L18" s="3"/>
      <c r="M18" s="3"/>
      <c r="N18" s="3"/>
      <c r="O18" s="134"/>
      <c r="P18" s="88"/>
      <c r="Q18" s="3"/>
    </row>
    <row r="19" spans="2:17">
      <c r="C19" s="3"/>
      <c r="D19" s="24"/>
      <c r="E19" s="124"/>
      <c r="F19" s="126"/>
      <c r="G19" s="122"/>
      <c r="H19" s="122"/>
      <c r="I19" s="238"/>
      <c r="J19" s="234"/>
      <c r="K19" s="234"/>
      <c r="L19" s="234"/>
      <c r="M19" s="234"/>
      <c r="N19" s="234"/>
      <c r="O19" s="134"/>
      <c r="P19" s="88"/>
      <c r="Q19" s="3"/>
    </row>
    <row r="20" spans="2:17">
      <c r="C20" s="3"/>
      <c r="D20" s="6"/>
      <c r="E20" s="104"/>
      <c r="F20" s="127"/>
      <c r="G20" s="122"/>
      <c r="H20" s="122"/>
      <c r="I20" s="383"/>
      <c r="J20" s="383"/>
      <c r="K20" s="383"/>
      <c r="L20" s="383"/>
      <c r="M20" s="240"/>
      <c r="N20" s="239"/>
      <c r="O20" s="134"/>
      <c r="P20" s="88"/>
      <c r="Q20" s="3"/>
    </row>
    <row r="21" spans="2:17">
      <c r="C21" s="3"/>
      <c r="D21" s="6"/>
      <c r="E21" s="51"/>
      <c r="F21" s="68"/>
      <c r="G21" s="122"/>
      <c r="H21" s="122"/>
      <c r="I21" s="238"/>
      <c r="J21" s="305"/>
      <c r="K21" s="305"/>
      <c r="L21" s="305"/>
      <c r="M21" s="239"/>
      <c r="N21" s="239"/>
      <c r="O21" s="71"/>
      <c r="P21" s="88"/>
      <c r="Q21" s="3"/>
    </row>
    <row r="22" spans="2:17">
      <c r="D22" s="6"/>
      <c r="E22" s="51"/>
      <c r="F22" s="3"/>
      <c r="G22" s="122"/>
      <c r="H22" s="122"/>
      <c r="I22" s="133"/>
      <c r="J22" s="136"/>
      <c r="K22" s="107"/>
      <c r="L22" s="107"/>
      <c r="M22" s="107"/>
      <c r="N22" s="107"/>
      <c r="O22" s="71"/>
      <c r="P22" s="88"/>
      <c r="Q22" s="3"/>
    </row>
    <row r="23" spans="2:17">
      <c r="D23" s="24"/>
      <c r="E23" s="51"/>
      <c r="F23" s="3"/>
      <c r="O23" s="69"/>
      <c r="P23" s="3"/>
      <c r="Q23" s="3"/>
    </row>
    <row r="24" spans="2:17">
      <c r="E24" s="6"/>
      <c r="F24" s="68"/>
      <c r="O24" s="84"/>
      <c r="P24" s="93"/>
      <c r="Q24" s="3"/>
    </row>
    <row r="25" spans="2:17">
      <c r="E25" s="24"/>
      <c r="F25" s="50"/>
      <c r="O25" s="67"/>
      <c r="P25" s="93"/>
      <c r="Q25" s="3"/>
    </row>
    <row r="26" spans="2:17">
      <c r="E26" s="23"/>
      <c r="F26" s="130"/>
      <c r="O26" s="3"/>
      <c r="P26" s="3"/>
      <c r="Q26" s="3"/>
    </row>
    <row r="27" spans="2:17">
      <c r="C27" s="3"/>
      <c r="D27" s="7" t="s">
        <v>91</v>
      </c>
      <c r="E27" s="23"/>
      <c r="F27" s="130"/>
      <c r="O27" s="3"/>
      <c r="P27" s="3"/>
      <c r="Q27" s="3"/>
    </row>
    <row r="28" spans="2:17">
      <c r="C28" s="3"/>
      <c r="D28" s="3"/>
      <c r="E28" s="3"/>
      <c r="F28" s="68"/>
      <c r="G28" s="3"/>
      <c r="H28" s="3"/>
      <c r="I28" s="68"/>
      <c r="J28" s="3"/>
      <c r="K28" s="3"/>
      <c r="L28" s="3"/>
      <c r="M28" s="3"/>
      <c r="N28" s="3"/>
      <c r="O28" s="3"/>
      <c r="P28" s="3"/>
      <c r="Q28" s="3"/>
    </row>
    <row r="29" spans="2:17">
      <c r="B29" s="3"/>
      <c r="C29" s="3"/>
      <c r="D29" s="3"/>
      <c r="E29" s="3"/>
      <c r="F29" s="68"/>
    </row>
    <row r="30" spans="2:17">
      <c r="D30" s="3"/>
      <c r="E30" s="3"/>
      <c r="F30" s="68"/>
    </row>
    <row r="31" spans="2:17">
      <c r="D31" s="3"/>
      <c r="E31" s="3"/>
      <c r="F31" s="68"/>
    </row>
    <row r="32" spans="2:17">
      <c r="D32" s="3"/>
      <c r="E32" s="3"/>
      <c r="F32" s="68"/>
    </row>
    <row r="33" spans="4:6">
      <c r="D33" s="3"/>
      <c r="E33" s="3"/>
      <c r="F33" s="68"/>
    </row>
  </sheetData>
  <mergeCells count="3">
    <mergeCell ref="I20:L20"/>
    <mergeCell ref="K2:L2"/>
    <mergeCell ref="G2:J2"/>
  </mergeCells>
  <hyperlinks>
    <hyperlink ref="B13" r:id="rId1"/>
  </hyperlinks>
  <pageMargins left="0.7" right="0.7" top="0.75" bottom="0.75" header="0.3" footer="0.3"/>
  <pageSetup paperSize="9" orientation="landscape"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6" t="s">
        <v>120</v>
      </c>
    </row>
    <row r="3" spans="2:13" ht="15.75">
      <c r="B3" s="152" t="s">
        <v>12</v>
      </c>
      <c r="C3" s="30"/>
      <c r="D3" s="30"/>
      <c r="E3" s="17"/>
      <c r="F3" s="6"/>
      <c r="J3" s="8"/>
      <c r="K3" s="8"/>
      <c r="L3" s="8"/>
      <c r="M3" s="8"/>
    </row>
    <row r="4" spans="2:13">
      <c r="B4" s="30"/>
      <c r="C4" s="30"/>
      <c r="D4" s="30"/>
      <c r="E4" s="17"/>
      <c r="F4" s="24"/>
      <c r="G4" s="3"/>
    </row>
    <row r="5" spans="2:13">
      <c r="B5" s="114" t="s">
        <v>107</v>
      </c>
      <c r="C5" s="96">
        <f>'Risk Free Rate'!C4</f>
        <v>5.568E-2</v>
      </c>
      <c r="D5" s="17"/>
      <c r="E5" s="17"/>
      <c r="F5" s="6"/>
    </row>
    <row r="6" spans="2:13">
      <c r="B6" s="114" t="s">
        <v>15</v>
      </c>
      <c r="C6" s="96">
        <f>'Equity Risk Premium'!F28</f>
        <v>4.0421679880840895E-2</v>
      </c>
      <c r="D6" s="46"/>
      <c r="E6" s="17"/>
      <c r="F6" s="6"/>
    </row>
    <row r="7" spans="2:13">
      <c r="B7" s="114" t="s">
        <v>108</v>
      </c>
      <c r="C7" s="151">
        <f>Beta!C8</f>
        <v>0.49306889818215843</v>
      </c>
      <c r="D7" s="17"/>
      <c r="E7" s="46"/>
      <c r="F7" s="6"/>
    </row>
    <row r="8" spans="2:13">
      <c r="B8" s="18"/>
      <c r="C8" s="18"/>
      <c r="D8" s="17"/>
      <c r="E8" s="17"/>
      <c r="F8" s="6"/>
    </row>
    <row r="9" spans="2:13">
      <c r="B9" s="114" t="s">
        <v>12</v>
      </c>
      <c r="C9" s="58">
        <f>C5+C7*C6</f>
        <v>7.5610673161518149E-2</v>
      </c>
      <c r="D9" s="17"/>
      <c r="E9" s="17"/>
      <c r="F9" s="6"/>
    </row>
    <row r="10" spans="2:13">
      <c r="B10" s="18"/>
      <c r="C10" s="18"/>
      <c r="D10" s="17"/>
      <c r="E10" s="17"/>
      <c r="F10" s="6"/>
    </row>
    <row r="11" spans="2:13">
      <c r="B11" s="153" t="s">
        <v>109</v>
      </c>
      <c r="C11" s="18"/>
      <c r="D11" s="17"/>
      <c r="E11" s="46"/>
      <c r="F11" s="6"/>
    </row>
    <row r="12" spans="2:13">
      <c r="F12" s="24"/>
    </row>
    <row r="13" spans="2:13" ht="15.75">
      <c r="B13" s="152" t="s">
        <v>121</v>
      </c>
      <c r="C13" s="18"/>
      <c r="D13" s="17"/>
      <c r="E13" s="17"/>
      <c r="F13" s="6"/>
    </row>
    <row r="14" spans="2:13">
      <c r="B14" s="18"/>
      <c r="C14" s="18"/>
      <c r="D14" s="17"/>
      <c r="E14" s="17"/>
      <c r="F14" s="6"/>
    </row>
    <row r="15" spans="2:13">
      <c r="B15" s="114" t="s">
        <v>111</v>
      </c>
      <c r="C15" s="98">
        <v>3.0519999999999999E-2</v>
      </c>
      <c r="D15" s="17"/>
      <c r="E15" s="17"/>
      <c r="F15" s="6"/>
    </row>
    <row r="16" spans="2:13">
      <c r="B16" s="114" t="s">
        <v>110</v>
      </c>
      <c r="C16" s="151">
        <f>17.31/10.75</f>
        <v>1.6102325581395347</v>
      </c>
      <c r="D16" s="17"/>
      <c r="E16" s="17"/>
      <c r="F16" s="24"/>
    </row>
    <row r="17" spans="2:12">
      <c r="B17" s="114" t="s">
        <v>18</v>
      </c>
      <c r="C17" s="96">
        <f>'Risk Free Rate'!C8</f>
        <v>1.8700000000000001E-2</v>
      </c>
      <c r="D17" s="46"/>
      <c r="E17" s="46"/>
      <c r="F17" s="6"/>
    </row>
    <row r="18" spans="2:12">
      <c r="B18" s="54" t="s">
        <v>264</v>
      </c>
      <c r="C18" s="96">
        <v>6.7000000000000002E-3</v>
      </c>
      <c r="D18" s="17"/>
      <c r="E18" s="17"/>
      <c r="F18" s="6"/>
    </row>
    <row r="19" spans="2:12">
      <c r="B19" s="30"/>
      <c r="C19" s="18"/>
      <c r="D19" s="17"/>
      <c r="E19" s="17"/>
      <c r="F19" s="6"/>
    </row>
    <row r="20" spans="2:12">
      <c r="B20" s="114" t="s">
        <v>13</v>
      </c>
      <c r="C20" s="58">
        <f>C15+(C16*C17)+C18</f>
        <v>6.7331348837209301E-2</v>
      </c>
      <c r="D20" s="17"/>
      <c r="E20" s="17"/>
      <c r="F20" s="6"/>
    </row>
    <row r="21" spans="2:12">
      <c r="B21" s="114"/>
      <c r="C21" s="114"/>
      <c r="D21" s="46"/>
      <c r="E21" s="46"/>
      <c r="F21" s="24"/>
    </row>
    <row r="22" spans="2:12">
      <c r="B22" s="153" t="s">
        <v>116</v>
      </c>
      <c r="C22" s="18"/>
      <c r="D22" s="18"/>
      <c r="E22" s="18"/>
      <c r="F22" s="6"/>
      <c r="G22" s="385" t="s">
        <v>265</v>
      </c>
      <c r="H22" s="385"/>
      <c r="I22" s="385"/>
      <c r="J22" s="385"/>
      <c r="K22" s="385"/>
      <c r="L22" s="385"/>
    </row>
    <row r="23" spans="2:12">
      <c r="F23" s="6"/>
      <c r="G23" s="325" t="s">
        <v>266</v>
      </c>
      <c r="H23" s="155">
        <v>2018</v>
      </c>
      <c r="I23" s="155">
        <v>2019</v>
      </c>
      <c r="J23" s="155">
        <v>2020</v>
      </c>
      <c r="K23" s="155">
        <v>2021</v>
      </c>
      <c r="L23" s="155">
        <v>2022</v>
      </c>
    </row>
    <row r="24" spans="2:12">
      <c r="B24" s="139" t="s">
        <v>61</v>
      </c>
      <c r="F24" s="6"/>
      <c r="G24" s="154" t="s">
        <v>113</v>
      </c>
      <c r="H24" s="55">
        <v>0</v>
      </c>
      <c r="I24" s="323">
        <v>200</v>
      </c>
      <c r="J24" s="323">
        <v>1000</v>
      </c>
      <c r="K24" s="324">
        <v>700</v>
      </c>
      <c r="L24" s="324">
        <v>600</v>
      </c>
    </row>
    <row r="25" spans="2:12">
      <c r="B25" s="139" t="s">
        <v>117</v>
      </c>
      <c r="F25" s="24"/>
      <c r="G25" s="154" t="s">
        <v>3</v>
      </c>
      <c r="H25" s="323">
        <v>111400</v>
      </c>
      <c r="I25" s="323">
        <v>123600</v>
      </c>
      <c r="J25" s="323">
        <v>120200</v>
      </c>
      <c r="K25" s="323">
        <v>151000</v>
      </c>
      <c r="L25" s="323">
        <v>156600</v>
      </c>
    </row>
    <row r="26" spans="2:12">
      <c r="B26" s="156" t="s">
        <v>118</v>
      </c>
      <c r="F26" s="3"/>
      <c r="G26" s="154" t="s">
        <v>114</v>
      </c>
      <c r="H26" s="55">
        <v>0</v>
      </c>
      <c r="I26" s="55">
        <f t="shared" ref="I26" si="0">I25/I24</f>
        <v>618</v>
      </c>
      <c r="J26" s="55">
        <f>J25/J24</f>
        <v>120.2</v>
      </c>
      <c r="K26" s="55">
        <f>K25/K24</f>
        <v>215.71428571428572</v>
      </c>
      <c r="L26" s="55">
        <f>L25/L24</f>
        <v>261</v>
      </c>
    </row>
    <row r="27" spans="2:12">
      <c r="B27" s="143" t="s">
        <v>119</v>
      </c>
      <c r="C27" s="3"/>
      <c r="D27" s="3"/>
      <c r="E27" s="3"/>
      <c r="F27" s="3"/>
      <c r="G27" s="386" t="s">
        <v>115</v>
      </c>
      <c r="H27" s="386"/>
      <c r="I27" s="386"/>
      <c r="J27" s="386"/>
      <c r="K27" s="386"/>
      <c r="L27" s="83">
        <f>AVERAGE(H26:$L$26)</f>
        <v>242.98285714285717</v>
      </c>
    </row>
    <row r="28" spans="2:12">
      <c r="B28" s="49"/>
      <c r="C28" s="3"/>
      <c r="D28" s="3"/>
      <c r="E28" s="3"/>
      <c r="F28" s="3"/>
    </row>
    <row r="29" spans="2:12">
      <c r="B29" s="85"/>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7:K27"/>
  </mergeCells>
  <hyperlinks>
    <hyperlink ref="B26" r:id="rId1"/>
  </hyperlinks>
  <pageMargins left="0.7" right="0.7" top="0.75" bottom="0.75" header="0.3" footer="0.3"/>
  <pageSetup paperSize="11"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7109375" style="2" bestFit="1" customWidth="1"/>
    <col min="4" max="4" width="3.7109375" style="2" customWidth="1"/>
    <col min="5" max="5" width="30.28515625" style="2" customWidth="1"/>
    <col min="6" max="6" width="12.140625" style="2" bestFit="1" customWidth="1"/>
    <col min="7" max="7" width="4" style="2" customWidth="1"/>
    <col min="8" max="16384" width="9.140625" style="2"/>
  </cols>
  <sheetData>
    <row r="1" spans="2:13" ht="15.75">
      <c r="B1" s="16" t="s">
        <v>7</v>
      </c>
    </row>
    <row r="3" spans="2:13" ht="15.75">
      <c r="B3" s="152" t="s">
        <v>11</v>
      </c>
      <c r="C3" s="162"/>
      <c r="E3" s="152" t="s">
        <v>123</v>
      </c>
      <c r="F3" s="162" t="s">
        <v>241</v>
      </c>
      <c r="J3" s="8"/>
      <c r="K3" s="8"/>
      <c r="L3" s="8"/>
      <c r="M3" s="8"/>
    </row>
    <row r="4" spans="2:13" ht="8.25" customHeight="1">
      <c r="B4" s="30"/>
      <c r="C4" s="30"/>
      <c r="E4" s="30"/>
      <c r="F4" s="30"/>
      <c r="G4" s="3"/>
    </row>
    <row r="5" spans="2:13">
      <c r="B5" s="54" t="str">
        <f>'Cost of Equity &amp; Debt'!B9</f>
        <v>Cost of Equity</v>
      </c>
      <c r="C5" s="147">
        <f>'Cost of Equity &amp; Debt'!C9</f>
        <v>7.5610673161518149E-2</v>
      </c>
      <c r="D5" s="6"/>
      <c r="E5" s="114" t="s">
        <v>130</v>
      </c>
      <c r="F5" s="160">
        <v>6901.41</v>
      </c>
    </row>
    <row r="6" spans="2:13">
      <c r="B6" s="54" t="str">
        <f>E23</f>
        <v>Market Value of Equity</v>
      </c>
      <c r="C6" s="326">
        <f>F27</f>
        <v>4247144</v>
      </c>
      <c r="D6" s="24"/>
      <c r="E6" s="114" t="s">
        <v>131</v>
      </c>
      <c r="F6" s="160">
        <v>1403.95</v>
      </c>
    </row>
    <row r="7" spans="2:13">
      <c r="B7" s="54"/>
      <c r="C7" s="54"/>
      <c r="D7" s="6"/>
      <c r="E7" s="114" t="s">
        <v>133</v>
      </c>
      <c r="F7" s="160">
        <v>548.15</v>
      </c>
    </row>
    <row r="8" spans="2:13">
      <c r="B8" s="54" t="str">
        <f>'Cost of Equity &amp; Debt'!B20</f>
        <v>Cost of Debt</v>
      </c>
      <c r="C8" s="147">
        <f>'Cost of Equity &amp; Debt'!C20</f>
        <v>6.7331348837209301E-2</v>
      </c>
      <c r="D8" s="6"/>
      <c r="E8" s="116" t="s">
        <v>123</v>
      </c>
      <c r="F8" s="161">
        <f>SUM(F5:F7)</f>
        <v>8853.51</v>
      </c>
    </row>
    <row r="9" spans="2:13">
      <c r="B9" s="54" t="str">
        <f>E13</f>
        <v>Market Value of Debt</v>
      </c>
      <c r="C9" s="165">
        <f>F20</f>
        <v>8826.135417602889</v>
      </c>
      <c r="D9" s="6"/>
      <c r="E9" s="114" t="s">
        <v>5</v>
      </c>
      <c r="F9" s="160">
        <v>173467.76</v>
      </c>
    </row>
    <row r="10" spans="2:13">
      <c r="B10" s="54" t="str">
        <f>Beta!B6</f>
        <v>Marginal Corporate Tax Rate (%)</v>
      </c>
      <c r="C10" s="147">
        <f>Beta!C6</f>
        <v>0.25169999999999998</v>
      </c>
      <c r="D10" s="6"/>
      <c r="E10" s="30"/>
      <c r="F10" s="30"/>
    </row>
    <row r="11" spans="2:13">
      <c r="B11" s="30"/>
      <c r="C11" s="30"/>
      <c r="D11" s="6"/>
      <c r="E11" s="114" t="s">
        <v>263</v>
      </c>
      <c r="F11" s="320">
        <f>F8/F9</f>
        <v>5.1038360096423679E-2</v>
      </c>
    </row>
    <row r="12" spans="2:13">
      <c r="B12" s="54" t="s">
        <v>7</v>
      </c>
      <c r="C12" s="167">
        <f>C5*(C6/(C6+C9))+C8*(1-C10)*(C9/(C6+C9))</f>
        <v>7.5558357567243634E-2</v>
      </c>
      <c r="D12" s="6"/>
    </row>
    <row r="13" spans="2:13" ht="15.75">
      <c r="E13" s="152" t="s">
        <v>122</v>
      </c>
      <c r="F13" s="162" t="s">
        <v>241</v>
      </c>
    </row>
    <row r="14" spans="2:13" ht="12.75" customHeight="1">
      <c r="D14" s="6"/>
      <c r="E14" s="30"/>
      <c r="F14" s="162"/>
    </row>
    <row r="15" spans="2:13">
      <c r="B15" s="139"/>
      <c r="D15" s="6"/>
      <c r="E15" s="114" t="s">
        <v>123</v>
      </c>
      <c r="F15" s="160">
        <f>F8</f>
        <v>8853.51</v>
      </c>
    </row>
    <row r="16" spans="2:13" ht="12" customHeight="1">
      <c r="B16" s="139"/>
      <c r="D16" s="6"/>
      <c r="E16" s="114" t="s">
        <v>124</v>
      </c>
      <c r="F16" s="160">
        <v>589.49</v>
      </c>
    </row>
    <row r="17" spans="2:12">
      <c r="D17" s="6"/>
      <c r="E17" s="114" t="s">
        <v>13</v>
      </c>
      <c r="F17" s="96">
        <f>'Cost of Equity &amp; Debt'!C20</f>
        <v>6.7331348837209301E-2</v>
      </c>
    </row>
    <row r="18" spans="2:12">
      <c r="D18" s="24"/>
      <c r="E18" s="54" t="s">
        <v>126</v>
      </c>
      <c r="F18" s="163">
        <v>5</v>
      </c>
    </row>
    <row r="19" spans="2:12">
      <c r="D19" s="6"/>
      <c r="E19" s="30"/>
      <c r="F19" s="18"/>
    </row>
    <row r="20" spans="2:12">
      <c r="D20" s="6"/>
      <c r="E20" s="114" t="s">
        <v>125</v>
      </c>
      <c r="F20" s="164">
        <f>F16*((1-(1+F17)^(-F18))/F17)+F15/(1+F17)^5</f>
        <v>8826.135417602889</v>
      </c>
    </row>
    <row r="21" spans="2:12">
      <c r="D21" s="6"/>
      <c r="E21" s="23"/>
      <c r="F21" s="23"/>
    </row>
    <row r="22" spans="2:12">
      <c r="D22" s="24"/>
    </row>
    <row r="23" spans="2:12" ht="15.75">
      <c r="D23" s="3"/>
      <c r="E23" s="152" t="s">
        <v>127</v>
      </c>
      <c r="F23" s="162" t="s">
        <v>241</v>
      </c>
      <c r="G23" s="157"/>
      <c r="H23" s="157"/>
      <c r="J23" s="157"/>
      <c r="K23" s="157"/>
      <c r="L23" s="157"/>
    </row>
    <row r="24" spans="2:12">
      <c r="E24" s="30"/>
      <c r="F24" s="30"/>
      <c r="G24" s="3"/>
      <c r="H24" s="69"/>
      <c r="J24" s="69"/>
      <c r="K24" s="69"/>
      <c r="L24" s="69"/>
    </row>
    <row r="25" spans="2:12">
      <c r="E25" s="54" t="s">
        <v>242</v>
      </c>
      <c r="F25" s="160">
        <v>1561.45</v>
      </c>
      <c r="G25" s="56"/>
      <c r="H25" s="49"/>
      <c r="I25" s="49"/>
      <c r="J25" s="49"/>
      <c r="K25" s="49"/>
      <c r="L25" s="49"/>
    </row>
    <row r="26" spans="2:12" ht="12.75" customHeight="1">
      <c r="B26" s="156"/>
      <c r="E26" s="54" t="s">
        <v>128</v>
      </c>
      <c r="F26" s="194">
        <v>2720</v>
      </c>
      <c r="G26" s="56"/>
      <c r="H26" s="49"/>
      <c r="I26" s="49"/>
      <c r="J26" s="49"/>
      <c r="K26" s="49"/>
      <c r="L26" s="49"/>
    </row>
    <row r="27" spans="2:12">
      <c r="E27" s="54" t="s">
        <v>129</v>
      </c>
      <c r="F27" s="166">
        <f>F25*F26</f>
        <v>4247144</v>
      </c>
      <c r="G27" s="56"/>
      <c r="H27" s="49"/>
      <c r="I27" s="49"/>
      <c r="J27" s="49"/>
      <c r="K27" s="49"/>
      <c r="L27" s="49"/>
    </row>
    <row r="28" spans="2:12">
      <c r="D28" s="3"/>
      <c r="G28" s="56"/>
      <c r="H28" s="49"/>
      <c r="I28" s="49"/>
      <c r="J28" s="49"/>
      <c r="K28" s="49"/>
      <c r="L28" s="49"/>
    </row>
    <row r="29" spans="2:12">
      <c r="D29" s="3"/>
      <c r="G29" s="158"/>
      <c r="H29" s="158"/>
      <c r="I29" s="158"/>
      <c r="J29" s="158"/>
      <c r="K29" s="158"/>
      <c r="L29" s="23"/>
    </row>
    <row r="30" spans="2:12">
      <c r="B30" s="85"/>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paperSize="11"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9" t="s">
        <v>132</v>
      </c>
    </row>
    <row r="3" spans="2:2">
      <c r="B3" s="176" t="s">
        <v>168</v>
      </c>
    </row>
    <row r="4" spans="2:2">
      <c r="B4" s="176" t="s">
        <v>167</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70" customWidth="1"/>
    <col min="2" max="2" width="36" style="170" customWidth="1"/>
    <col min="3" max="3" width="14.140625" style="170" customWidth="1"/>
    <col min="4" max="4" width="4" style="170" customWidth="1"/>
    <col min="5" max="5" width="9.28515625" style="170" customWidth="1"/>
    <col min="6" max="6" width="9.85546875" style="170" customWidth="1"/>
    <col min="7" max="7" width="10.140625" style="170" bestFit="1" customWidth="1" collapsed="1"/>
    <col min="8" max="11" width="9" style="170" customWidth="1"/>
    <col min="12" max="12" width="9.2851562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143</v>
      </c>
      <c r="C1" s="168"/>
      <c r="D1" s="168"/>
      <c r="E1" s="168"/>
      <c r="F1" s="168"/>
      <c r="G1" s="168"/>
      <c r="H1" s="168"/>
      <c r="I1" s="168"/>
      <c r="J1" s="168"/>
      <c r="K1" s="168"/>
      <c r="L1" s="168"/>
    </row>
    <row r="2" spans="1:32" ht="12.75" customHeight="1"/>
    <row r="3" spans="1:32" s="172" customFormat="1" ht="14.25" customHeight="1">
      <c r="D3" s="171"/>
      <c r="E3" s="171"/>
      <c r="H3" s="171"/>
      <c r="I3" s="171"/>
      <c r="J3" s="171"/>
      <c r="K3" s="171"/>
      <c r="L3" s="171"/>
      <c r="M3" s="171"/>
      <c r="N3" s="171"/>
      <c r="O3" s="171"/>
      <c r="P3" s="171"/>
      <c r="Q3" s="171"/>
      <c r="R3" s="171"/>
      <c r="S3" s="171"/>
      <c r="T3" s="171"/>
      <c r="U3" s="171"/>
      <c r="V3" s="171"/>
      <c r="W3" s="171"/>
      <c r="X3" s="171"/>
      <c r="Y3" s="171"/>
      <c r="Z3" s="171"/>
      <c r="AA3" s="171"/>
    </row>
    <row r="4" spans="1:32" ht="15">
      <c r="B4" s="195" t="s">
        <v>144</v>
      </c>
      <c r="C4" s="183"/>
    </row>
    <row r="5" spans="1:32">
      <c r="A5" s="172"/>
      <c r="B5" s="183"/>
      <c r="C5" s="162" t="s">
        <v>241</v>
      </c>
    </row>
    <row r="6" spans="1:32">
      <c r="B6" s="185" t="s">
        <v>135</v>
      </c>
      <c r="C6" s="186">
        <v>509978.19</v>
      </c>
      <c r="L6" s="174"/>
      <c r="N6" s="174"/>
      <c r="O6" s="174"/>
      <c r="Q6" s="174"/>
      <c r="R6" s="174"/>
      <c r="S6" s="174"/>
      <c r="T6" s="174"/>
      <c r="U6" s="174"/>
      <c r="V6" s="174"/>
      <c r="AA6" s="174"/>
    </row>
    <row r="7" spans="1:32">
      <c r="A7" s="177" t="s">
        <v>91</v>
      </c>
      <c r="B7" s="187" t="s">
        <v>136</v>
      </c>
      <c r="C7" s="188">
        <v>-166752.09</v>
      </c>
      <c r="H7" s="175"/>
      <c r="I7" s="175"/>
      <c r="J7" s="175"/>
      <c r="K7" s="175"/>
      <c r="L7" s="175"/>
      <c r="M7" s="175"/>
      <c r="N7" s="175"/>
      <c r="O7" s="234"/>
      <c r="P7" s="175"/>
      <c r="Q7" s="175"/>
      <c r="R7" s="175"/>
      <c r="S7" s="175"/>
      <c r="T7" s="175"/>
      <c r="U7" s="175"/>
      <c r="V7" s="175"/>
      <c r="W7" s="175"/>
      <c r="X7" s="175"/>
      <c r="Y7" s="175"/>
      <c r="Z7" s="175"/>
      <c r="AA7" s="175"/>
      <c r="AB7" s="175"/>
      <c r="AC7" s="175"/>
      <c r="AD7" s="175"/>
      <c r="AE7" s="175"/>
      <c r="AF7" s="175"/>
    </row>
    <row r="8" spans="1:32">
      <c r="A8" s="177" t="s">
        <v>91</v>
      </c>
      <c r="B8" s="187" t="s">
        <v>137</v>
      </c>
      <c r="C8" s="188">
        <v>-186631.53</v>
      </c>
      <c r="D8" s="178"/>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row>
    <row r="9" spans="1:32">
      <c r="A9" s="177" t="s">
        <v>91</v>
      </c>
      <c r="B9" s="187" t="s">
        <v>2</v>
      </c>
      <c r="C9" s="188">
        <v>-17730.330000000002</v>
      </c>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A10" s="173"/>
      <c r="B10" s="189" t="s">
        <v>3</v>
      </c>
      <c r="C10" s="190">
        <f>SUM(C6:C9)</f>
        <v>138864.24</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138</v>
      </c>
      <c r="B11" s="187" t="s">
        <v>133</v>
      </c>
      <c r="C11" s="188">
        <v>548.15</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B12" s="189" t="s">
        <v>139</v>
      </c>
      <c r="C12" s="190">
        <f>C10+C11</f>
        <v>139412.38999999998</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A13" s="177" t="s">
        <v>91</v>
      </c>
      <c r="B13" s="187" t="str">
        <f>B19</f>
        <v>Depreciation of OL</v>
      </c>
      <c r="C13" s="188">
        <f>C19</f>
        <v>54.814999999999998</v>
      </c>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B14" s="191" t="s">
        <v>141</v>
      </c>
      <c r="C14" s="192">
        <f>C12-C13</f>
        <v>139357.57499999998</v>
      </c>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ht="15">
      <c r="B16" s="195" t="s">
        <v>145</v>
      </c>
      <c r="C16" s="183"/>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93"/>
      <c r="C17" s="162" t="s">
        <v>241</v>
      </c>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B18" s="187" t="s">
        <v>133</v>
      </c>
      <c r="C18" s="188">
        <f>C11</f>
        <v>548.15</v>
      </c>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c r="B19" s="187" t="s">
        <v>140</v>
      </c>
      <c r="C19" s="188">
        <f>C18/C20</f>
        <v>54.814999999999998</v>
      </c>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187" t="s">
        <v>142</v>
      </c>
      <c r="C20" s="194">
        <v>10</v>
      </c>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B21" s="191" t="s">
        <v>146</v>
      </c>
      <c r="C21" s="192">
        <f>WACC!F8</f>
        <v>8853.51</v>
      </c>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pageMargins left="0.7" right="0.7" top="0.75" bottom="0.75" header="0.3" footer="0.3"/>
  <pageSetup paperSize="11"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70" customWidth="1"/>
    <col min="2" max="2" width="29.140625" style="170" customWidth="1"/>
    <col min="3" max="3" width="12.140625" style="170" bestFit="1" customWidth="1"/>
    <col min="4" max="4" width="9.7109375" style="170" customWidth="1"/>
    <col min="5" max="5" width="9.28515625" style="170" customWidth="1"/>
    <col min="6" max="6" width="22.42578125" style="170" customWidth="1"/>
    <col min="7" max="7" width="11.140625" style="170" bestFit="1" customWidth="1" collapsed="1"/>
    <col min="8" max="12" width="11.7109375" style="170" bestFit="1" customWidth="1"/>
    <col min="13" max="13" width="12.14062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268</v>
      </c>
      <c r="C1" s="168"/>
      <c r="D1" s="168"/>
      <c r="E1" s="168"/>
      <c r="F1" s="168"/>
      <c r="G1" s="168"/>
      <c r="H1" s="168"/>
      <c r="I1" s="168"/>
      <c r="J1" s="168"/>
      <c r="K1" s="168"/>
      <c r="L1" s="168"/>
    </row>
    <row r="2" spans="1:32" ht="12" customHeight="1"/>
    <row r="3" spans="1:32" s="172" customFormat="1" ht="12" customHeight="1">
      <c r="B3" s="170"/>
      <c r="C3" s="198" t="s">
        <v>241</v>
      </c>
      <c r="D3" s="171"/>
      <c r="E3" s="171"/>
      <c r="F3" s="387" t="s">
        <v>269</v>
      </c>
      <c r="G3" s="387"/>
      <c r="H3" s="387"/>
      <c r="I3" s="387"/>
      <c r="J3" s="387"/>
      <c r="K3" s="387"/>
      <c r="L3" s="387"/>
      <c r="M3" s="387"/>
      <c r="N3" s="171"/>
      <c r="O3" s="171"/>
      <c r="P3" s="171"/>
      <c r="Q3" s="171"/>
      <c r="R3" s="171"/>
      <c r="S3" s="171"/>
      <c r="T3" s="171"/>
      <c r="U3" s="171"/>
      <c r="V3" s="171"/>
      <c r="W3" s="171"/>
      <c r="X3" s="171"/>
      <c r="Y3" s="171"/>
      <c r="Z3" s="171"/>
      <c r="AA3" s="171"/>
    </row>
    <row r="4" spans="1:32" ht="12" customHeight="1">
      <c r="B4" s="187" t="s">
        <v>3</v>
      </c>
      <c r="C4" s="188">
        <f>'EBIT &amp; Operating Lease'!C14</f>
        <v>139357.57499999998</v>
      </c>
      <c r="F4" s="327" t="s">
        <v>53</v>
      </c>
      <c r="G4" s="328" t="s">
        <v>270</v>
      </c>
      <c r="H4" s="327">
        <v>-1</v>
      </c>
      <c r="I4" s="328">
        <v>-2</v>
      </c>
      <c r="J4" s="328">
        <v>-3</v>
      </c>
      <c r="K4" s="328">
        <v>-4</v>
      </c>
      <c r="L4" s="328">
        <v>-5</v>
      </c>
      <c r="M4" s="329"/>
    </row>
    <row r="5" spans="1:32" ht="12" customHeight="1">
      <c r="A5" s="172"/>
      <c r="F5" s="249" t="s">
        <v>272</v>
      </c>
      <c r="G5" s="257">
        <v>64311.63</v>
      </c>
      <c r="H5" s="257">
        <v>62552.81</v>
      </c>
      <c r="I5" s="336">
        <v>62601.81</v>
      </c>
      <c r="J5" s="257">
        <v>56470.59</v>
      </c>
      <c r="K5" s="257">
        <v>52683.13</v>
      </c>
      <c r="L5" s="257">
        <v>51173.03</v>
      </c>
      <c r="M5" s="330"/>
    </row>
    <row r="6" spans="1:32" ht="12" customHeight="1">
      <c r="B6" s="187" t="s">
        <v>271</v>
      </c>
      <c r="C6" s="188">
        <f>M7</f>
        <v>185039.82599999997</v>
      </c>
      <c r="F6" s="249" t="s">
        <v>273</v>
      </c>
      <c r="G6" s="331">
        <v>1</v>
      </c>
      <c r="H6" s="331">
        <f>4/5</f>
        <v>0.8</v>
      </c>
      <c r="I6" s="331">
        <f>3/5</f>
        <v>0.6</v>
      </c>
      <c r="J6" s="331">
        <f>2/5</f>
        <v>0.4</v>
      </c>
      <c r="K6" s="331">
        <f>1/5</f>
        <v>0.2</v>
      </c>
      <c r="L6" s="331">
        <v>0</v>
      </c>
      <c r="M6" s="332"/>
      <c r="N6" s="174"/>
      <c r="O6" s="174"/>
      <c r="Q6" s="174"/>
      <c r="R6" s="174"/>
      <c r="S6" s="174"/>
      <c r="T6" s="174"/>
      <c r="U6" s="174"/>
      <c r="V6" s="174"/>
      <c r="AA6" s="174"/>
    </row>
    <row r="7" spans="1:32" ht="12" customHeight="1">
      <c r="A7" s="177"/>
      <c r="B7" s="187" t="s">
        <v>276</v>
      </c>
      <c r="C7" s="188">
        <f>M8</f>
        <v>57096.274000000005</v>
      </c>
      <c r="F7" s="249" t="s">
        <v>275</v>
      </c>
      <c r="G7" s="257">
        <f>G5*G6</f>
        <v>64311.63</v>
      </c>
      <c r="H7" s="257">
        <f t="shared" ref="H7:L7" si="0">H5*H6</f>
        <v>50042.248</v>
      </c>
      <c r="I7" s="257">
        <f t="shared" si="0"/>
        <v>37561.085999999996</v>
      </c>
      <c r="J7" s="257">
        <f t="shared" si="0"/>
        <v>22588.236000000001</v>
      </c>
      <c r="K7" s="257">
        <f t="shared" si="0"/>
        <v>10536.626</v>
      </c>
      <c r="L7" s="257">
        <f t="shared" si="0"/>
        <v>0</v>
      </c>
      <c r="M7" s="335">
        <f>SUM(G7:L7)</f>
        <v>185039.82599999997</v>
      </c>
      <c r="N7" s="175"/>
      <c r="O7" s="234"/>
      <c r="P7" s="175"/>
      <c r="Q7" s="175"/>
      <c r="R7" s="175"/>
      <c r="S7" s="175"/>
      <c r="T7" s="175"/>
      <c r="U7" s="175"/>
      <c r="V7" s="175"/>
      <c r="W7" s="175"/>
      <c r="X7" s="175"/>
      <c r="Y7" s="175"/>
      <c r="Z7" s="175"/>
      <c r="AA7" s="175"/>
      <c r="AB7" s="175"/>
      <c r="AC7" s="175"/>
      <c r="AD7" s="175"/>
      <c r="AE7" s="175"/>
      <c r="AF7" s="175"/>
    </row>
    <row r="8" spans="1:32" ht="12" customHeight="1">
      <c r="A8" s="177"/>
      <c r="B8" s="187" t="s">
        <v>274</v>
      </c>
      <c r="C8" s="188">
        <f>G5</f>
        <v>64311.63</v>
      </c>
      <c r="D8" s="178"/>
      <c r="F8" s="249" t="s">
        <v>276</v>
      </c>
      <c r="G8" s="257">
        <v>0</v>
      </c>
      <c r="H8" s="206">
        <f>H5/5</f>
        <v>12510.562</v>
      </c>
      <c r="I8" s="206">
        <f t="shared" ref="I8:K8" si="1">I5/5</f>
        <v>12520.361999999999</v>
      </c>
      <c r="J8" s="206">
        <f t="shared" si="1"/>
        <v>11294.117999999999</v>
      </c>
      <c r="K8" s="206">
        <f t="shared" si="1"/>
        <v>10536.626</v>
      </c>
      <c r="L8" s="206">
        <f>L5/5</f>
        <v>10234.606</v>
      </c>
      <c r="M8" s="335">
        <f>SUM(H8:L8)</f>
        <v>57096.274000000005</v>
      </c>
      <c r="N8" s="175"/>
      <c r="O8" s="175"/>
      <c r="P8" s="175"/>
      <c r="Q8" s="175"/>
      <c r="R8" s="175"/>
      <c r="S8" s="175"/>
      <c r="T8" s="175"/>
      <c r="U8" s="175"/>
      <c r="V8" s="175"/>
      <c r="W8" s="175"/>
      <c r="X8" s="175"/>
      <c r="Y8" s="175"/>
      <c r="Z8" s="175"/>
      <c r="AA8" s="175"/>
      <c r="AB8" s="175"/>
      <c r="AC8" s="175"/>
      <c r="AD8" s="175"/>
      <c r="AE8" s="175"/>
      <c r="AF8" s="175"/>
    </row>
    <row r="9" spans="1:32" ht="12" customHeight="1">
      <c r="A9" s="177"/>
      <c r="B9" s="173"/>
      <c r="C9" s="199"/>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B10" s="187" t="s">
        <v>268</v>
      </c>
      <c r="C10" s="188">
        <f>C4+C8</f>
        <v>203669.20499999999</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91</v>
      </c>
      <c r="B11" s="187" t="s">
        <v>277</v>
      </c>
      <c r="C11" s="188">
        <f>C7</f>
        <v>57096.274000000005</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A12" s="177"/>
      <c r="B12" s="334" t="s">
        <v>141</v>
      </c>
      <c r="C12" s="335">
        <f>C10-C11</f>
        <v>146572.93099999998</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3"/>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A14" s="177"/>
      <c r="B14" s="173"/>
      <c r="C14" s="80"/>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B15" s="173"/>
      <c r="C15" s="80"/>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c r="B16" s="173"/>
      <c r="C16" s="199"/>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73"/>
      <c r="C17" s="267"/>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ht="15">
      <c r="B19" s="337"/>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338"/>
      <c r="C20" s="198"/>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C21" s="199"/>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99"/>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200"/>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73"/>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99"/>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B27" s="173"/>
      <c r="C27" s="173"/>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B28" s="173"/>
      <c r="C28" s="199"/>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mergeCells count="1">
    <mergeCell ref="F3:M3"/>
  </mergeCell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70" customWidth="1"/>
    <col min="2" max="2" width="29.140625" style="170" customWidth="1"/>
    <col min="3" max="3" width="12.140625" style="170" bestFit="1" customWidth="1"/>
    <col min="4" max="4" width="9.7109375" style="170" customWidth="1"/>
    <col min="5" max="5" width="9.28515625" style="170" customWidth="1"/>
    <col min="6" max="6" width="22.42578125" style="170" customWidth="1"/>
    <col min="7" max="7" width="11.140625" style="170" bestFit="1" customWidth="1" collapsed="1"/>
    <col min="8" max="12" width="11.7109375" style="170" bestFit="1" customWidth="1"/>
    <col min="13" max="13" width="12.14062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315</v>
      </c>
      <c r="C1" s="168"/>
      <c r="D1" s="168"/>
      <c r="E1" s="168"/>
      <c r="F1" s="168"/>
      <c r="G1" s="168"/>
      <c r="H1" s="168"/>
      <c r="I1" s="168"/>
      <c r="J1" s="168"/>
      <c r="K1" s="168"/>
      <c r="L1" s="168"/>
    </row>
    <row r="2" spans="1:32" ht="12" customHeight="1"/>
    <row r="3" spans="1:32" s="172" customFormat="1" ht="12" customHeight="1">
      <c r="B3" s="170"/>
      <c r="C3" s="198" t="s">
        <v>241</v>
      </c>
      <c r="D3" s="171"/>
      <c r="E3" s="171"/>
      <c r="F3" s="387" t="s">
        <v>316</v>
      </c>
      <c r="G3" s="387"/>
      <c r="H3" s="387"/>
      <c r="I3" s="387"/>
      <c r="J3" s="387"/>
      <c r="K3" s="387"/>
      <c r="L3" s="387"/>
      <c r="M3" s="387"/>
      <c r="N3" s="171"/>
      <c r="O3" s="171"/>
      <c r="P3" s="171"/>
      <c r="Q3" s="171"/>
      <c r="R3" s="171"/>
      <c r="S3" s="171"/>
      <c r="T3" s="171"/>
      <c r="U3" s="171"/>
      <c r="V3" s="171"/>
      <c r="W3" s="171"/>
      <c r="X3" s="171"/>
      <c r="Y3" s="171"/>
      <c r="Z3" s="171"/>
      <c r="AA3" s="171"/>
    </row>
    <row r="4" spans="1:32" ht="12" customHeight="1">
      <c r="B4" s="187" t="s">
        <v>3</v>
      </c>
      <c r="C4" s="188">
        <f>'EBIT &amp; Advertising Expense'!C12</f>
        <v>146572.93099999998</v>
      </c>
      <c r="F4" s="327" t="s">
        <v>53</v>
      </c>
      <c r="G4" s="328" t="s">
        <v>270</v>
      </c>
      <c r="H4" s="327">
        <v>-1</v>
      </c>
      <c r="I4" s="328">
        <v>-2</v>
      </c>
      <c r="J4" s="328">
        <v>-3</v>
      </c>
      <c r="K4" s="328">
        <v>-4</v>
      </c>
      <c r="L4" s="328">
        <v>-5</v>
      </c>
      <c r="M4" s="329"/>
    </row>
    <row r="5" spans="1:32" ht="12" customHeight="1">
      <c r="A5" s="172"/>
      <c r="F5" s="249" t="s">
        <v>317</v>
      </c>
      <c r="G5" s="257">
        <f>764.4</f>
        <v>764.4</v>
      </c>
      <c r="H5" s="257">
        <v>914.17</v>
      </c>
      <c r="I5" s="336">
        <v>787.72</v>
      </c>
      <c r="J5" s="257">
        <v>610.59</v>
      </c>
      <c r="K5" s="257">
        <v>515.86</v>
      </c>
      <c r="L5" s="257">
        <v>600.49</v>
      </c>
      <c r="M5" s="330"/>
    </row>
    <row r="6" spans="1:32" ht="12" customHeight="1">
      <c r="B6" s="187" t="s">
        <v>271</v>
      </c>
      <c r="C6" s="188">
        <f>M7</f>
        <v>2315.7759999999998</v>
      </c>
      <c r="F6" s="249" t="s">
        <v>273</v>
      </c>
      <c r="G6" s="331">
        <v>1</v>
      </c>
      <c r="H6" s="331">
        <f>4/5</f>
        <v>0.8</v>
      </c>
      <c r="I6" s="331">
        <f>3/5</f>
        <v>0.6</v>
      </c>
      <c r="J6" s="331">
        <f>2/5</f>
        <v>0.4</v>
      </c>
      <c r="K6" s="331">
        <f>1/5</f>
        <v>0.2</v>
      </c>
      <c r="L6" s="331">
        <v>0</v>
      </c>
      <c r="M6" s="332"/>
      <c r="N6" s="174"/>
      <c r="O6" s="174"/>
      <c r="Q6" s="174"/>
      <c r="R6" s="174"/>
      <c r="S6" s="174"/>
      <c r="T6" s="174"/>
      <c r="U6" s="174"/>
      <c r="V6" s="174"/>
      <c r="AA6" s="174"/>
    </row>
    <row r="7" spans="1:32" ht="12" customHeight="1">
      <c r="A7" s="177"/>
      <c r="B7" s="187" t="s">
        <v>276</v>
      </c>
      <c r="C7" s="188">
        <f>M8</f>
        <v>685.76599999999996</v>
      </c>
      <c r="F7" s="249" t="s">
        <v>275</v>
      </c>
      <c r="G7" s="257">
        <f>G5*G6</f>
        <v>764.4</v>
      </c>
      <c r="H7" s="257">
        <f t="shared" ref="H7:L7" si="0">H5*H6</f>
        <v>731.33600000000001</v>
      </c>
      <c r="I7" s="257">
        <f t="shared" si="0"/>
        <v>472.63200000000001</v>
      </c>
      <c r="J7" s="257">
        <f t="shared" si="0"/>
        <v>244.23600000000002</v>
      </c>
      <c r="K7" s="257">
        <f t="shared" si="0"/>
        <v>103.17200000000001</v>
      </c>
      <c r="L7" s="257">
        <f t="shared" si="0"/>
        <v>0</v>
      </c>
      <c r="M7" s="335">
        <f>SUM(G7:L7)</f>
        <v>2315.7759999999998</v>
      </c>
      <c r="N7" s="175"/>
      <c r="O7" s="234"/>
      <c r="P7" s="175"/>
      <c r="Q7" s="175"/>
      <c r="R7" s="175"/>
      <c r="S7" s="175"/>
      <c r="T7" s="175"/>
      <c r="U7" s="175"/>
      <c r="V7" s="175"/>
      <c r="W7" s="175"/>
      <c r="X7" s="175"/>
      <c r="Y7" s="175"/>
      <c r="Z7" s="175"/>
      <c r="AA7" s="175"/>
      <c r="AB7" s="175"/>
      <c r="AC7" s="175"/>
      <c r="AD7" s="175"/>
      <c r="AE7" s="175"/>
      <c r="AF7" s="175"/>
    </row>
    <row r="8" spans="1:32" ht="12" customHeight="1">
      <c r="A8" s="177"/>
      <c r="B8" s="187" t="s">
        <v>318</v>
      </c>
      <c r="C8" s="188">
        <f>G5</f>
        <v>764.4</v>
      </c>
      <c r="D8" s="178"/>
      <c r="F8" s="249" t="s">
        <v>276</v>
      </c>
      <c r="G8" s="257">
        <v>0</v>
      </c>
      <c r="H8" s="206">
        <f>H5/5</f>
        <v>182.834</v>
      </c>
      <c r="I8" s="206">
        <f t="shared" ref="I8:K8" si="1">I5/5</f>
        <v>157.54400000000001</v>
      </c>
      <c r="J8" s="206">
        <f t="shared" si="1"/>
        <v>122.11800000000001</v>
      </c>
      <c r="K8" s="206">
        <f t="shared" si="1"/>
        <v>103.172</v>
      </c>
      <c r="L8" s="206">
        <f>L5/5</f>
        <v>120.098</v>
      </c>
      <c r="M8" s="335">
        <f>SUM(H8:L8)</f>
        <v>685.76599999999996</v>
      </c>
      <c r="N8" s="175"/>
      <c r="O8" s="175"/>
      <c r="P8" s="175"/>
      <c r="Q8" s="175"/>
      <c r="R8" s="175"/>
      <c r="S8" s="175"/>
      <c r="T8" s="175"/>
      <c r="U8" s="175"/>
      <c r="V8" s="175"/>
      <c r="W8" s="175"/>
      <c r="X8" s="175"/>
      <c r="Y8" s="175"/>
      <c r="Z8" s="175"/>
      <c r="AA8" s="175"/>
      <c r="AB8" s="175"/>
      <c r="AC8" s="175"/>
      <c r="AD8" s="175"/>
      <c r="AE8" s="175"/>
      <c r="AF8" s="175"/>
    </row>
    <row r="9" spans="1:32" ht="12" customHeight="1">
      <c r="A9" s="177"/>
      <c r="B9" s="173"/>
      <c r="C9" s="199"/>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B10" s="187" t="s">
        <v>315</v>
      </c>
      <c r="C10" s="188">
        <f>C4+C8</f>
        <v>147337.33099999998</v>
      </c>
      <c r="H10" s="175"/>
      <c r="I10" s="175"/>
      <c r="J10" s="175"/>
      <c r="K10" s="175"/>
      <c r="L10" s="175"/>
      <c r="M10" s="175"/>
      <c r="N10" s="207"/>
      <c r="O10" s="175"/>
      <c r="P10" s="175"/>
      <c r="Q10" s="175"/>
      <c r="R10" s="175"/>
      <c r="S10" s="175"/>
      <c r="T10" s="175"/>
      <c r="U10" s="175"/>
      <c r="V10" s="175"/>
      <c r="W10" s="175"/>
      <c r="X10" s="175"/>
      <c r="Y10" s="175"/>
      <c r="Z10" s="175"/>
      <c r="AA10" s="175"/>
      <c r="AB10" s="175"/>
      <c r="AC10" s="175"/>
      <c r="AD10" s="175"/>
      <c r="AE10" s="175"/>
      <c r="AF10" s="175"/>
    </row>
    <row r="11" spans="1:32">
      <c r="A11" s="177" t="s">
        <v>91</v>
      </c>
      <c r="B11" s="187" t="s">
        <v>319</v>
      </c>
      <c r="C11" s="188">
        <f>C7</f>
        <v>685.76599999999996</v>
      </c>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A12" s="177"/>
      <c r="B12" s="334" t="s">
        <v>141</v>
      </c>
      <c r="C12" s="335">
        <f>C10-C11</f>
        <v>146651.56499999997</v>
      </c>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3"/>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A14" s="177"/>
      <c r="B14" s="187" t="s">
        <v>219</v>
      </c>
      <c r="C14" s="96">
        <f>25.168%</f>
        <v>0.25168000000000001</v>
      </c>
      <c r="G14" s="175"/>
      <c r="H14" s="175"/>
      <c r="I14" s="175"/>
      <c r="J14" s="175"/>
      <c r="K14" s="175"/>
      <c r="L14" s="175"/>
      <c r="M14" s="175"/>
      <c r="N14" s="175"/>
      <c r="O14" s="175"/>
      <c r="P14" s="175"/>
      <c r="Q14" s="175"/>
      <c r="R14" s="175"/>
      <c r="S14" s="175"/>
      <c r="T14" s="175"/>
      <c r="U14" s="175"/>
      <c r="V14" s="175"/>
      <c r="W14" s="175"/>
      <c r="X14" s="175"/>
      <c r="Y14" s="175"/>
      <c r="Z14" s="175"/>
      <c r="AA14" s="175"/>
      <c r="AB14" s="175"/>
      <c r="AC14" s="175"/>
      <c r="AD14" s="175"/>
      <c r="AE14" s="175"/>
      <c r="AF14" s="175"/>
    </row>
    <row r="15" spans="1:32">
      <c r="B15" s="187" t="s">
        <v>279</v>
      </c>
      <c r="C15" s="96">
        <v>0.23469999999999999</v>
      </c>
      <c r="G15" s="175"/>
      <c r="H15" s="175"/>
      <c r="I15" s="175"/>
      <c r="J15" s="175"/>
      <c r="K15" s="175"/>
      <c r="L15" s="175"/>
      <c r="M15" s="175"/>
      <c r="N15" s="175"/>
      <c r="O15" s="175"/>
      <c r="P15" s="175"/>
      <c r="Q15" s="175"/>
      <c r="R15" s="175"/>
      <c r="S15" s="175"/>
      <c r="T15" s="175"/>
      <c r="U15" s="175"/>
      <c r="V15" s="175"/>
      <c r="W15" s="175"/>
      <c r="X15" s="175"/>
      <c r="Y15" s="175"/>
      <c r="Z15" s="175"/>
      <c r="AA15" s="175"/>
      <c r="AB15" s="175"/>
      <c r="AC15" s="175"/>
      <c r="AD15" s="175"/>
      <c r="AE15" s="175"/>
      <c r="AF15" s="175"/>
    </row>
    <row r="16" spans="1:32">
      <c r="B16" s="173"/>
      <c r="C16" s="199"/>
      <c r="D16" s="175"/>
      <c r="E16" s="175"/>
      <c r="F16" s="175"/>
      <c r="G16" s="175"/>
      <c r="H16" s="175"/>
      <c r="I16" s="175"/>
      <c r="O16" s="175"/>
      <c r="P16" s="175"/>
      <c r="Q16" s="175"/>
      <c r="R16" s="175"/>
      <c r="S16" s="175"/>
      <c r="T16" s="175"/>
      <c r="U16" s="175"/>
      <c r="V16" s="175"/>
      <c r="W16" s="175"/>
      <c r="X16" s="175"/>
      <c r="Y16" s="175"/>
      <c r="Z16" s="175"/>
      <c r="AA16" s="175"/>
      <c r="AB16" s="175"/>
      <c r="AC16" s="175"/>
      <c r="AD16" s="175"/>
      <c r="AE16" s="175"/>
      <c r="AF16" s="175"/>
    </row>
    <row r="17" spans="2:32">
      <c r="B17" s="187" t="s">
        <v>278</v>
      </c>
      <c r="C17" s="196">
        <f>C12*(1-C15)</f>
        <v>112232.44269449997</v>
      </c>
      <c r="D17" s="180"/>
      <c r="E17" s="180"/>
      <c r="F17" s="180"/>
      <c r="G17" s="180"/>
      <c r="H17" s="180"/>
      <c r="I17" s="181"/>
      <c r="O17" s="175"/>
      <c r="P17" s="175"/>
      <c r="Q17" s="175"/>
      <c r="R17" s="175"/>
      <c r="S17" s="175"/>
      <c r="T17" s="175"/>
      <c r="U17" s="175"/>
      <c r="V17" s="175"/>
      <c r="W17" s="175"/>
      <c r="X17" s="175"/>
      <c r="Y17" s="175"/>
      <c r="Z17" s="175"/>
      <c r="AA17" s="175"/>
      <c r="AB17" s="175"/>
      <c r="AC17" s="175"/>
      <c r="AD17" s="175"/>
      <c r="AE17" s="175"/>
      <c r="AF17" s="175"/>
    </row>
    <row r="18" spans="2:32">
      <c r="D18" s="84"/>
      <c r="E18" s="84"/>
      <c r="F18" s="84"/>
      <c r="G18" s="84"/>
      <c r="H18" s="84"/>
      <c r="I18" s="84"/>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ht="15">
      <c r="B19" s="337"/>
      <c r="D19" s="84"/>
      <c r="E19" s="84"/>
      <c r="F19" s="84"/>
      <c r="G19" s="84"/>
      <c r="H19" s="84"/>
      <c r="I19" s="84"/>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338"/>
      <c r="C20" s="198"/>
      <c r="D20" s="182"/>
      <c r="E20" s="182"/>
      <c r="F20" s="182"/>
      <c r="G20" s="182"/>
      <c r="H20" s="182"/>
      <c r="I20" s="180"/>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C21" s="199"/>
      <c r="G21" s="175"/>
      <c r="H21" s="180"/>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99"/>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200"/>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73"/>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99"/>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B27" s="173"/>
      <c r="C27" s="173"/>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B28" s="173"/>
      <c r="C28" s="199"/>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ht="14.25" customHeight="1">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row r="39" spans="7:32">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row>
    <row r="40" spans="7:32">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row>
    <row r="41" spans="7:32">
      <c r="G41" s="175"/>
      <c r="H41" s="175"/>
      <c r="I41" s="175"/>
      <c r="J41" s="175"/>
      <c r="K41" s="175"/>
      <c r="L41" s="175"/>
      <c r="M41" s="175"/>
      <c r="N41" s="175"/>
      <c r="O41" s="175"/>
      <c r="P41" s="175"/>
      <c r="Q41" s="175"/>
      <c r="R41" s="175"/>
      <c r="S41" s="175"/>
      <c r="T41" s="175"/>
      <c r="U41" s="175"/>
      <c r="V41" s="175"/>
      <c r="W41" s="175"/>
      <c r="X41" s="175"/>
      <c r="Y41" s="175"/>
      <c r="Z41" s="175"/>
      <c r="AA41" s="175"/>
      <c r="AB41" s="175"/>
      <c r="AC41" s="175"/>
      <c r="AD41" s="175"/>
      <c r="AE41" s="175"/>
      <c r="AF41" s="175"/>
    </row>
  </sheetData>
  <mergeCells count="1">
    <mergeCell ref="F3:M3"/>
  </mergeCells>
  <pageMargins left="0.7" right="0.7" top="0.75" bottom="0.75" header="0.3" footer="0.3"/>
  <pageSetup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40" style="170" customWidth="1"/>
    <col min="3" max="3" width="11.7109375" style="170" bestFit="1" customWidth="1"/>
    <col min="4" max="4" width="4" style="170" customWidth="1"/>
    <col min="5" max="5" width="9.28515625" style="170" customWidth="1"/>
    <col min="6" max="6" width="9.85546875" style="170" customWidth="1"/>
    <col min="7" max="7" width="10.140625" style="170" bestFit="1" customWidth="1" collapsed="1"/>
    <col min="8" max="11" width="9" style="170" customWidth="1"/>
    <col min="12" max="12" width="9.2851562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147</v>
      </c>
      <c r="C1" s="168"/>
      <c r="D1" s="168"/>
      <c r="E1" s="168"/>
      <c r="F1" s="168"/>
      <c r="G1" s="168"/>
      <c r="H1" s="168"/>
      <c r="I1" s="168"/>
      <c r="J1" s="168"/>
      <c r="K1" s="168"/>
      <c r="L1" s="168"/>
    </row>
    <row r="2" spans="1:32" ht="12.75" customHeight="1">
      <c r="C2" s="198" t="s">
        <v>241</v>
      </c>
    </row>
    <row r="3" spans="1:32">
      <c r="A3" s="172"/>
      <c r="B3" s="187" t="s">
        <v>148</v>
      </c>
      <c r="C3" s="202">
        <v>4962.72</v>
      </c>
    </row>
    <row r="4" spans="1:32">
      <c r="A4" s="177" t="s">
        <v>91</v>
      </c>
      <c r="B4" s="185" t="s">
        <v>2</v>
      </c>
      <c r="C4" s="186">
        <f>-'EBIT &amp; Operating Lease'!C9-'EBIT &amp; Operating Lease'!C13</f>
        <v>17675.515000000003</v>
      </c>
      <c r="L4" s="174"/>
      <c r="N4" s="174"/>
      <c r="O4" s="174"/>
      <c r="Q4" s="174"/>
      <c r="R4" s="174"/>
      <c r="S4" s="174"/>
      <c r="T4" s="174"/>
      <c r="U4" s="174"/>
      <c r="V4" s="174"/>
      <c r="AA4" s="174"/>
    </row>
    <row r="5" spans="1:32">
      <c r="A5" s="177"/>
      <c r="B5" s="189" t="s">
        <v>147</v>
      </c>
      <c r="C5" s="190">
        <f>C3+C4</f>
        <v>22638.235000000004</v>
      </c>
      <c r="H5" s="175"/>
      <c r="I5" s="175"/>
      <c r="J5" s="175"/>
      <c r="K5" s="175"/>
      <c r="L5" s="175"/>
      <c r="M5" s="175"/>
      <c r="N5" s="175"/>
      <c r="O5" s="175"/>
      <c r="P5" s="175"/>
      <c r="Q5" s="175"/>
      <c r="R5" s="175"/>
      <c r="S5" s="175"/>
      <c r="T5" s="175"/>
      <c r="U5" s="175"/>
      <c r="V5" s="175"/>
      <c r="W5" s="175"/>
      <c r="X5" s="175"/>
      <c r="Y5" s="175"/>
      <c r="Z5" s="175"/>
      <c r="AA5" s="175"/>
      <c r="AB5" s="175"/>
      <c r="AC5" s="175"/>
      <c r="AD5" s="175"/>
      <c r="AE5" s="175"/>
      <c r="AF5" s="175"/>
    </row>
    <row r="6" spans="1:32">
      <c r="A6" s="177" t="s">
        <v>138</v>
      </c>
      <c r="B6" s="201" t="s">
        <v>158</v>
      </c>
      <c r="C6" s="202">
        <v>0</v>
      </c>
      <c r="D6" s="178"/>
      <c r="H6" s="175"/>
      <c r="I6" s="175"/>
      <c r="J6" s="175"/>
      <c r="K6" s="175"/>
      <c r="L6" s="175"/>
      <c r="M6" s="175"/>
      <c r="N6" s="175"/>
      <c r="O6" s="175"/>
      <c r="P6" s="175"/>
      <c r="Q6" s="175"/>
      <c r="R6" s="175"/>
      <c r="S6" s="175"/>
      <c r="T6" s="175"/>
      <c r="U6" s="175"/>
      <c r="V6" s="175"/>
      <c r="W6" s="175"/>
      <c r="X6" s="175"/>
      <c r="Y6" s="175"/>
      <c r="Z6" s="175"/>
      <c r="AA6" s="175"/>
      <c r="AB6" s="175"/>
      <c r="AC6" s="175"/>
      <c r="AD6" s="175"/>
      <c r="AE6" s="175"/>
      <c r="AF6" s="175"/>
    </row>
    <row r="7" spans="1:32">
      <c r="A7" s="177" t="s">
        <v>138</v>
      </c>
      <c r="B7" s="187" t="s">
        <v>280</v>
      </c>
      <c r="C7" s="202">
        <f>'EBIT &amp; Advertising Expense'!C8</f>
        <v>64311.63</v>
      </c>
      <c r="H7" s="175"/>
      <c r="I7" s="175"/>
      <c r="J7" s="175"/>
      <c r="K7" s="175"/>
      <c r="L7" s="175"/>
      <c r="M7" s="175"/>
      <c r="N7" s="175"/>
      <c r="O7" s="175"/>
      <c r="P7" s="175"/>
      <c r="Q7" s="175"/>
      <c r="R7" s="175"/>
      <c r="S7" s="175"/>
      <c r="T7" s="175"/>
      <c r="U7" s="175"/>
      <c r="V7" s="175"/>
      <c r="W7" s="175"/>
      <c r="X7" s="175"/>
      <c r="Y7" s="175"/>
      <c r="Z7" s="175"/>
      <c r="AA7" s="175"/>
      <c r="AB7" s="175"/>
      <c r="AC7" s="175"/>
      <c r="AD7" s="175"/>
      <c r="AE7" s="175"/>
      <c r="AF7" s="175"/>
    </row>
    <row r="8" spans="1:32">
      <c r="A8" s="179" t="s">
        <v>91</v>
      </c>
      <c r="B8" s="187" t="s">
        <v>322</v>
      </c>
      <c r="C8" s="202">
        <f>-'EBIT &amp; Advertising Expense'!C11</f>
        <v>-57096.274000000005</v>
      </c>
      <c r="H8" s="175"/>
      <c r="I8" s="175"/>
      <c r="J8" s="175"/>
      <c r="K8" s="175"/>
      <c r="L8" s="175"/>
      <c r="M8" s="175"/>
      <c r="N8" s="175"/>
      <c r="O8" s="175"/>
      <c r="P8" s="175"/>
      <c r="Q8" s="175"/>
      <c r="R8" s="175"/>
      <c r="S8" s="175"/>
      <c r="T8" s="175"/>
      <c r="U8" s="175"/>
      <c r="V8" s="175"/>
      <c r="W8" s="175"/>
      <c r="X8" s="175"/>
      <c r="Y8" s="175"/>
      <c r="Z8" s="175"/>
      <c r="AA8" s="175"/>
      <c r="AB8" s="175"/>
      <c r="AC8" s="175"/>
      <c r="AD8" s="175"/>
      <c r="AE8" s="175"/>
      <c r="AF8" s="175"/>
    </row>
    <row r="9" spans="1:32">
      <c r="A9" s="177" t="s">
        <v>138</v>
      </c>
      <c r="B9" s="187" t="s">
        <v>320</v>
      </c>
      <c r="C9" s="202">
        <f>'EBIT &amp; R&amp;D Expense'!C8</f>
        <v>764.4</v>
      </c>
      <c r="H9" s="175"/>
      <c r="I9" s="175"/>
      <c r="J9" s="175"/>
      <c r="K9" s="175"/>
      <c r="L9" s="175"/>
      <c r="M9" s="175"/>
      <c r="N9" s="175"/>
      <c r="O9" s="175"/>
      <c r="P9" s="175"/>
      <c r="Q9" s="175"/>
      <c r="R9" s="175"/>
      <c r="S9" s="175"/>
      <c r="T9" s="175"/>
      <c r="U9" s="175"/>
      <c r="V9" s="175"/>
      <c r="W9" s="175"/>
      <c r="X9" s="175"/>
      <c r="Y9" s="175"/>
      <c r="Z9" s="175"/>
      <c r="AA9" s="175"/>
      <c r="AB9" s="175"/>
      <c r="AC9" s="175"/>
      <c r="AD9" s="175"/>
      <c r="AE9" s="175"/>
      <c r="AF9" s="175"/>
    </row>
    <row r="10" spans="1:32">
      <c r="A10" s="177" t="s">
        <v>91</v>
      </c>
      <c r="B10" s="187" t="s">
        <v>321</v>
      </c>
      <c r="C10" s="202">
        <f>-'EBIT &amp; R&amp;D Expense'!C7</f>
        <v>-685.76599999999996</v>
      </c>
      <c r="H10" s="175"/>
      <c r="I10" s="175"/>
      <c r="J10" s="175"/>
      <c r="K10" s="175"/>
      <c r="L10" s="175"/>
      <c r="M10" s="175"/>
      <c r="N10" s="175"/>
      <c r="O10" s="175"/>
      <c r="P10" s="175"/>
      <c r="Q10" s="175"/>
      <c r="R10" s="175"/>
      <c r="S10" s="175"/>
      <c r="T10" s="175"/>
      <c r="U10" s="175"/>
      <c r="V10" s="175"/>
      <c r="W10" s="175"/>
      <c r="X10" s="175"/>
      <c r="Y10" s="175"/>
      <c r="Z10" s="175"/>
      <c r="AA10" s="175"/>
      <c r="AB10" s="175"/>
      <c r="AC10" s="175"/>
      <c r="AD10" s="175"/>
      <c r="AE10" s="175"/>
      <c r="AF10" s="175"/>
    </row>
    <row r="11" spans="1:32">
      <c r="A11" s="177"/>
      <c r="B11" s="191" t="s">
        <v>149</v>
      </c>
      <c r="C11" s="203">
        <f>SUM(C5:C10)</f>
        <v>29932.225000000002</v>
      </c>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row>
    <row r="12" spans="1:32">
      <c r="B12" s="173"/>
      <c r="C12" s="199"/>
      <c r="G12" s="175"/>
      <c r="H12" s="175"/>
      <c r="I12" s="175"/>
      <c r="J12" s="175"/>
      <c r="K12" s="175"/>
      <c r="L12" s="175"/>
      <c r="M12" s="175"/>
      <c r="N12" s="175"/>
      <c r="O12" s="175"/>
      <c r="P12" s="175"/>
      <c r="Q12" s="175"/>
      <c r="R12" s="175"/>
      <c r="S12" s="175"/>
      <c r="T12" s="175"/>
      <c r="U12" s="175"/>
      <c r="V12" s="175"/>
      <c r="W12" s="175"/>
      <c r="X12" s="175"/>
      <c r="Y12" s="175"/>
      <c r="Z12" s="175"/>
      <c r="AA12" s="175"/>
      <c r="AB12" s="175"/>
      <c r="AC12" s="175"/>
      <c r="AD12" s="175"/>
      <c r="AE12" s="175"/>
      <c r="AF12" s="175"/>
    </row>
    <row r="13" spans="1:32">
      <c r="B13" s="175" t="s">
        <v>267</v>
      </c>
      <c r="C13" s="199"/>
      <c r="G13" s="175"/>
      <c r="H13" s="175"/>
      <c r="I13" s="175"/>
      <c r="J13" s="175"/>
      <c r="K13" s="175"/>
      <c r="L13" s="175"/>
      <c r="M13" s="175"/>
      <c r="N13" s="175"/>
      <c r="O13" s="175"/>
      <c r="P13" s="175"/>
      <c r="Q13" s="175"/>
      <c r="R13" s="175"/>
      <c r="S13" s="175"/>
      <c r="T13" s="175"/>
      <c r="U13" s="175"/>
      <c r="V13" s="175"/>
      <c r="W13" s="175"/>
      <c r="X13" s="175"/>
      <c r="Y13" s="175"/>
      <c r="Z13" s="175"/>
      <c r="AA13" s="175"/>
      <c r="AB13" s="175"/>
      <c r="AC13" s="175"/>
      <c r="AD13" s="175"/>
      <c r="AE13" s="175"/>
      <c r="AF13" s="175"/>
    </row>
    <row r="14" spans="1:32">
      <c r="D14" s="175"/>
      <c r="E14" s="175"/>
      <c r="F14" s="175"/>
      <c r="G14" s="175"/>
      <c r="H14" s="175"/>
      <c r="I14" s="175"/>
      <c r="O14" s="175"/>
      <c r="P14" s="175"/>
      <c r="Q14" s="175"/>
      <c r="R14" s="175"/>
      <c r="S14" s="175"/>
      <c r="T14" s="175"/>
      <c r="U14" s="175"/>
      <c r="V14" s="175"/>
      <c r="W14" s="175"/>
      <c r="X14" s="175"/>
      <c r="Y14" s="175"/>
      <c r="Z14" s="175"/>
      <c r="AA14" s="175"/>
      <c r="AB14" s="175"/>
      <c r="AC14" s="175"/>
      <c r="AD14" s="175"/>
      <c r="AE14" s="175"/>
      <c r="AF14" s="175"/>
    </row>
    <row r="15" spans="1:32">
      <c r="D15" s="180"/>
      <c r="E15" s="180"/>
      <c r="F15" s="180"/>
      <c r="G15" s="180"/>
      <c r="H15" s="180"/>
      <c r="I15" s="181"/>
      <c r="O15" s="175"/>
      <c r="P15" s="175"/>
      <c r="Q15" s="175"/>
      <c r="R15" s="175"/>
      <c r="S15" s="175"/>
      <c r="T15" s="175"/>
      <c r="U15" s="175"/>
      <c r="V15" s="175"/>
      <c r="W15" s="175"/>
      <c r="X15" s="175"/>
      <c r="Y15" s="175"/>
      <c r="Z15" s="175"/>
      <c r="AA15" s="175"/>
      <c r="AB15" s="175"/>
      <c r="AC15" s="175"/>
      <c r="AD15" s="175"/>
      <c r="AE15" s="175"/>
      <c r="AF15" s="175"/>
    </row>
    <row r="16" spans="1:32">
      <c r="D16" s="84"/>
      <c r="E16" s="84"/>
      <c r="F16" s="84"/>
      <c r="G16" s="84"/>
      <c r="H16" s="84"/>
      <c r="I16" s="84"/>
      <c r="J16" s="175"/>
      <c r="K16" s="175"/>
      <c r="L16" s="175"/>
      <c r="M16" s="175"/>
      <c r="N16" s="175"/>
      <c r="O16" s="175"/>
      <c r="P16" s="175"/>
      <c r="Q16" s="175"/>
      <c r="R16" s="175"/>
      <c r="S16" s="175"/>
      <c r="T16" s="175"/>
      <c r="U16" s="175"/>
      <c r="V16" s="175"/>
      <c r="W16" s="175"/>
      <c r="X16" s="175"/>
      <c r="Y16" s="175"/>
      <c r="Z16" s="175"/>
      <c r="AA16" s="175"/>
      <c r="AB16" s="175"/>
      <c r="AC16" s="175"/>
      <c r="AD16" s="175"/>
      <c r="AE16" s="175"/>
      <c r="AF16" s="175"/>
    </row>
    <row r="17" spans="2:32" ht="15">
      <c r="B17" s="197"/>
      <c r="D17" s="182"/>
      <c r="E17" s="182"/>
      <c r="F17" s="182"/>
      <c r="G17" s="182"/>
      <c r="H17" s="182"/>
      <c r="I17" s="180"/>
      <c r="J17" s="175"/>
      <c r="K17" s="175"/>
      <c r="L17" s="175"/>
      <c r="M17" s="175"/>
      <c r="N17" s="175"/>
      <c r="O17" s="175"/>
      <c r="P17" s="175"/>
      <c r="Q17" s="175"/>
      <c r="R17" s="175"/>
      <c r="S17" s="175"/>
      <c r="T17" s="175"/>
      <c r="U17" s="175"/>
      <c r="V17" s="175"/>
      <c r="W17" s="175"/>
      <c r="X17" s="175"/>
      <c r="Y17" s="175"/>
      <c r="Z17" s="175"/>
      <c r="AA17" s="175"/>
      <c r="AB17" s="175"/>
      <c r="AC17" s="175"/>
      <c r="AD17" s="175"/>
      <c r="AE17" s="175"/>
      <c r="AF17" s="175"/>
    </row>
    <row r="18" spans="2:32">
      <c r="B18" s="171"/>
      <c r="C18" s="198"/>
      <c r="G18" s="175"/>
      <c r="H18" s="180"/>
      <c r="I18" s="175"/>
      <c r="J18" s="175"/>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2:32">
      <c r="B19" s="173"/>
      <c r="C19" s="199"/>
      <c r="G19" s="175"/>
      <c r="H19" s="175"/>
      <c r="I19" s="175"/>
      <c r="J19" s="175"/>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2:32">
      <c r="B20" s="173"/>
      <c r="C20" s="199"/>
      <c r="G20" s="175"/>
      <c r="H20" s="175"/>
      <c r="I20" s="175"/>
      <c r="J20" s="175"/>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2:32">
      <c r="B21" s="173"/>
      <c r="C21" s="200"/>
      <c r="G21" s="175"/>
      <c r="H21" s="175"/>
      <c r="I21" s="175"/>
      <c r="J21" s="175"/>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2:32">
      <c r="B22" s="173"/>
      <c r="C22" s="173"/>
      <c r="G22" s="175"/>
      <c r="H22" s="175"/>
      <c r="I22" s="175"/>
      <c r="J22" s="175"/>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2:32">
      <c r="B23" s="173"/>
      <c r="C23" s="199"/>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2:32">
      <c r="B24" s="173"/>
      <c r="C24" s="199"/>
      <c r="G24" s="175"/>
      <c r="H24" s="175"/>
      <c r="I24" s="175"/>
      <c r="J24" s="175"/>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2:32">
      <c r="B25" s="173"/>
      <c r="C25" s="173"/>
      <c r="G25" s="175"/>
      <c r="H25" s="175"/>
      <c r="I25" s="175"/>
      <c r="J25" s="175"/>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2:32">
      <c r="B26" s="173"/>
      <c r="C26" s="199"/>
      <c r="G26" s="175"/>
      <c r="H26" s="175"/>
      <c r="I26" s="175"/>
      <c r="J26" s="175"/>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2:32">
      <c r="G27" s="175"/>
      <c r="H27" s="175"/>
      <c r="I27" s="175"/>
      <c r="J27" s="175"/>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G28" s="175"/>
      <c r="H28" s="175"/>
      <c r="I28" s="175"/>
      <c r="J28" s="175"/>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G29" s="175"/>
      <c r="H29" s="175"/>
      <c r="I29" s="175"/>
      <c r="J29" s="175"/>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ht="14.25" customHeight="1">
      <c r="G30" s="175"/>
      <c r="H30" s="175"/>
      <c r="I30" s="175"/>
      <c r="J30" s="175"/>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9.140625" style="170" customWidth="1"/>
    <col min="3" max="3" width="13.85546875" style="170" customWidth="1"/>
    <col min="4" max="4" width="13.140625" style="170" customWidth="1"/>
    <col min="5" max="6" width="9.85546875" style="170" customWidth="1"/>
    <col min="7" max="7" width="32.85546875" style="170" customWidth="1" collapsed="1"/>
    <col min="8" max="10" width="12.140625" style="170" bestFit="1" customWidth="1"/>
    <col min="11" max="11" width="13.42578125" style="170" customWidth="1"/>
    <col min="12" max="12" width="12.140625" style="170" bestFit="1" customWidth="1"/>
    <col min="13" max="13" width="4.28515625" style="170"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150</v>
      </c>
      <c r="C1" s="168"/>
      <c r="D1" s="168"/>
      <c r="E1" s="168"/>
      <c r="F1" s="168"/>
      <c r="G1" s="168"/>
      <c r="H1" s="168"/>
      <c r="I1" s="168"/>
      <c r="J1" s="168"/>
      <c r="K1" s="168"/>
      <c r="L1" s="168"/>
    </row>
    <row r="2" spans="1:32" ht="12.75" customHeight="1">
      <c r="C2" s="198"/>
    </row>
    <row r="3" spans="1:32">
      <c r="A3" s="172"/>
      <c r="B3" s="185" t="s">
        <v>180</v>
      </c>
      <c r="C3" s="232">
        <f>AVERAGE(H22:J22,L22)</f>
        <v>-6.314518713268702E-2</v>
      </c>
      <c r="G3" s="229" t="s">
        <v>296</v>
      </c>
      <c r="H3" s="230">
        <v>2018</v>
      </c>
      <c r="I3" s="230">
        <v>2019</v>
      </c>
      <c r="J3" s="230">
        <v>2020</v>
      </c>
      <c r="K3" s="230">
        <v>2021</v>
      </c>
      <c r="L3" s="230">
        <v>2022</v>
      </c>
    </row>
    <row r="4" spans="1:32">
      <c r="A4" s="177"/>
      <c r="B4" s="183"/>
      <c r="C4" s="183"/>
      <c r="G4" s="226" t="s">
        <v>4</v>
      </c>
      <c r="H4" s="257">
        <v>22670.55</v>
      </c>
      <c r="I4" s="257">
        <v>24857.37</v>
      </c>
      <c r="J4" s="257">
        <v>29692.18</v>
      </c>
      <c r="K4" s="257">
        <v>33582.14</v>
      </c>
      <c r="L4" s="257">
        <v>35718.769999999997</v>
      </c>
      <c r="N4" s="174"/>
      <c r="O4" s="174"/>
      <c r="Q4" s="174"/>
      <c r="R4" s="174"/>
      <c r="S4" s="174"/>
      <c r="T4" s="174"/>
      <c r="U4" s="174"/>
      <c r="V4" s="174"/>
      <c r="AA4" s="174"/>
    </row>
    <row r="5" spans="1:32">
      <c r="A5" s="177"/>
      <c r="B5" s="187" t="s">
        <v>181</v>
      </c>
      <c r="C5" s="188">
        <f>L21</f>
        <v>509978.19</v>
      </c>
      <c r="G5" s="226" t="s">
        <v>171</v>
      </c>
      <c r="H5" s="257">
        <v>20103.240000000002</v>
      </c>
      <c r="I5" s="257">
        <v>20978.639999999999</v>
      </c>
      <c r="J5" s="257">
        <v>13256.43</v>
      </c>
      <c r="K5" s="257">
        <v>11708.43</v>
      </c>
      <c r="L5" s="257">
        <v>22467.81</v>
      </c>
      <c r="M5" s="175"/>
      <c r="N5" s="175"/>
      <c r="O5" s="175"/>
      <c r="P5" s="175"/>
      <c r="Q5" s="175"/>
      <c r="R5" s="175"/>
      <c r="S5" s="175"/>
      <c r="T5" s="175"/>
      <c r="U5" s="175"/>
      <c r="V5" s="175"/>
      <c r="W5" s="175"/>
      <c r="X5" s="175"/>
      <c r="Y5" s="175"/>
      <c r="Z5" s="175"/>
      <c r="AA5" s="175"/>
      <c r="AB5" s="175"/>
      <c r="AC5" s="175"/>
      <c r="AD5" s="175"/>
      <c r="AE5" s="175"/>
      <c r="AF5" s="175"/>
    </row>
    <row r="6" spans="1:32">
      <c r="A6" s="177"/>
      <c r="B6" s="191" t="s">
        <v>182</v>
      </c>
      <c r="C6" s="203">
        <f>C5*C3</f>
        <v>-32202.668241139017</v>
      </c>
      <c r="D6" s="178"/>
      <c r="G6" s="226" t="s">
        <v>8</v>
      </c>
      <c r="H6" s="257">
        <v>9058.27</v>
      </c>
      <c r="I6" s="257">
        <v>11496.42</v>
      </c>
      <c r="J6" s="257">
        <v>11347.97</v>
      </c>
      <c r="K6" s="257">
        <v>692.72</v>
      </c>
      <c r="L6" s="257">
        <v>10731.91</v>
      </c>
      <c r="M6" s="175"/>
      <c r="N6" s="175"/>
      <c r="O6" s="175"/>
      <c r="P6" s="175"/>
      <c r="Q6" s="175"/>
      <c r="R6" s="175"/>
      <c r="S6" s="175"/>
      <c r="T6" s="175"/>
      <c r="U6" s="175"/>
      <c r="V6" s="175"/>
      <c r="W6" s="175"/>
      <c r="X6" s="175"/>
      <c r="Y6" s="175"/>
      <c r="Z6" s="175"/>
      <c r="AA6" s="175"/>
      <c r="AB6" s="175"/>
      <c r="AC6" s="175"/>
      <c r="AD6" s="175"/>
      <c r="AE6" s="175"/>
      <c r="AF6" s="175"/>
    </row>
    <row r="7" spans="1:32">
      <c r="B7" s="183"/>
      <c r="C7" s="183"/>
      <c r="G7" s="226" t="s">
        <v>9</v>
      </c>
      <c r="H7" s="257">
        <v>669.5</v>
      </c>
      <c r="I7" s="257">
        <v>647.14</v>
      </c>
      <c r="J7" s="257">
        <v>732.21</v>
      </c>
      <c r="K7" s="257">
        <v>508.74</v>
      </c>
      <c r="L7" s="257">
        <v>701.16</v>
      </c>
      <c r="M7" s="175"/>
      <c r="N7" s="175"/>
      <c r="O7" s="175"/>
      <c r="P7" s="175"/>
      <c r="Q7" s="175"/>
      <c r="R7" s="175"/>
      <c r="S7" s="175"/>
      <c r="T7" s="175"/>
      <c r="U7" s="175"/>
      <c r="V7" s="175"/>
      <c r="W7" s="175"/>
      <c r="X7" s="175"/>
      <c r="Y7" s="175"/>
      <c r="Z7" s="175"/>
      <c r="AA7" s="175"/>
      <c r="AB7" s="175"/>
      <c r="AC7" s="175"/>
      <c r="AD7" s="175"/>
      <c r="AE7" s="175"/>
      <c r="AF7" s="175"/>
    </row>
    <row r="8" spans="1:32">
      <c r="A8" s="177"/>
      <c r="B8" s="187" t="s">
        <v>184</v>
      </c>
      <c r="C8" s="188">
        <f>K21</f>
        <v>484121.56</v>
      </c>
      <c r="G8" s="226" t="s">
        <v>175</v>
      </c>
      <c r="H8" s="257">
        <v>7954.24</v>
      </c>
      <c r="I8" s="257">
        <v>3101.09</v>
      </c>
      <c r="J8" s="257">
        <v>4047.46</v>
      </c>
      <c r="K8" s="257">
        <v>4002.86</v>
      </c>
      <c r="L8" s="257">
        <v>3194.79</v>
      </c>
      <c r="M8" s="175"/>
      <c r="N8" s="175"/>
      <c r="O8" s="175"/>
      <c r="P8" s="175"/>
      <c r="Q8" s="175"/>
      <c r="R8" s="175"/>
      <c r="S8" s="175"/>
      <c r="T8" s="175"/>
      <c r="U8" s="175"/>
      <c r="V8" s="175"/>
      <c r="W8" s="175"/>
      <c r="X8" s="175"/>
      <c r="Y8" s="175"/>
      <c r="Z8" s="175"/>
      <c r="AA8" s="175"/>
      <c r="AB8" s="175"/>
      <c r="AC8" s="175"/>
      <c r="AD8" s="175"/>
      <c r="AE8" s="175"/>
      <c r="AF8" s="175"/>
    </row>
    <row r="9" spans="1:32">
      <c r="A9" s="177"/>
      <c r="B9" s="191" t="s">
        <v>183</v>
      </c>
      <c r="C9" s="192">
        <f>C8*C3</f>
        <v>-30569.946501168368</v>
      </c>
      <c r="G9" s="228" t="s">
        <v>177</v>
      </c>
      <c r="H9" s="192">
        <f>SUM(H4:H8)</f>
        <v>60455.799999999996</v>
      </c>
      <c r="I9" s="192">
        <f>SUM(I4:I8)</f>
        <v>61080.659999999989</v>
      </c>
      <c r="J9" s="192">
        <f>SUM(J4:J8)</f>
        <v>59076.25</v>
      </c>
      <c r="K9" s="192">
        <f>SUM(K4:K8)</f>
        <v>50494.89</v>
      </c>
      <c r="L9" s="192">
        <f>SUM(L4:L8)</f>
        <v>72814.44</v>
      </c>
      <c r="M9" s="175"/>
      <c r="N9" s="175"/>
      <c r="O9" s="175"/>
      <c r="P9" s="175"/>
      <c r="Q9" s="175"/>
      <c r="R9" s="175"/>
      <c r="S9" s="175"/>
      <c r="T9" s="175"/>
      <c r="U9" s="175"/>
      <c r="V9" s="175"/>
      <c r="W9" s="175"/>
      <c r="X9" s="175"/>
      <c r="Y9" s="175"/>
      <c r="Z9" s="175"/>
      <c r="AA9" s="175"/>
      <c r="AB9" s="175"/>
      <c r="AC9" s="175"/>
      <c r="AD9" s="175"/>
      <c r="AE9" s="175"/>
      <c r="AF9" s="175"/>
    </row>
    <row r="10" spans="1:32">
      <c r="A10" s="173"/>
      <c r="B10" s="183"/>
      <c r="C10" s="183"/>
      <c r="M10" s="175"/>
      <c r="N10" s="175"/>
      <c r="O10" s="175"/>
      <c r="P10" s="175"/>
      <c r="Q10" s="175"/>
      <c r="R10" s="175"/>
      <c r="S10" s="175"/>
      <c r="T10" s="175"/>
      <c r="U10" s="175"/>
      <c r="V10" s="175"/>
      <c r="W10" s="175"/>
      <c r="X10" s="175"/>
      <c r="Y10" s="175"/>
      <c r="Z10" s="175"/>
      <c r="AA10" s="175"/>
      <c r="AB10" s="175"/>
      <c r="AC10" s="175"/>
      <c r="AD10" s="175"/>
      <c r="AE10" s="175"/>
      <c r="AF10" s="175"/>
    </row>
    <row r="11" spans="1:32">
      <c r="A11" s="177"/>
      <c r="B11" s="187" t="s">
        <v>186</v>
      </c>
      <c r="C11" s="196">
        <f>C6-C9</f>
        <v>-1632.7217399706497</v>
      </c>
      <c r="G11" s="227" t="s">
        <v>151</v>
      </c>
      <c r="H11" s="341">
        <v>61446.8</v>
      </c>
      <c r="I11" s="257">
        <f>602.11+60716.09</f>
        <v>61318.2</v>
      </c>
      <c r="J11" s="257">
        <f>1272.7+59978.64</f>
        <v>61251.34</v>
      </c>
      <c r="K11" s="336">
        <f>1187.4+74856.6</f>
        <v>76044</v>
      </c>
      <c r="L11" s="257">
        <f>1556.3+75583.15</f>
        <v>77139.45</v>
      </c>
      <c r="M11" s="175"/>
      <c r="N11" s="175"/>
      <c r="O11" s="175"/>
      <c r="P11" s="175"/>
      <c r="Q11" s="175"/>
      <c r="R11" s="175"/>
      <c r="S11" s="175"/>
      <c r="T11" s="175"/>
      <c r="U11" s="175"/>
      <c r="V11" s="175"/>
      <c r="W11" s="175"/>
      <c r="X11" s="175"/>
      <c r="Y11" s="175"/>
      <c r="Z11" s="175"/>
      <c r="AA11" s="175"/>
      <c r="AB11" s="175"/>
      <c r="AC11" s="175"/>
      <c r="AD11" s="175"/>
      <c r="AE11" s="175"/>
      <c r="AF11" s="175"/>
    </row>
    <row r="12" spans="1:32">
      <c r="B12" s="173"/>
      <c r="C12" s="233"/>
      <c r="G12" s="226" t="s">
        <v>176</v>
      </c>
      <c r="H12" s="336">
        <v>15822.44</v>
      </c>
      <c r="I12" s="336">
        <v>21976.720000000001</v>
      </c>
      <c r="J12" s="336">
        <v>2552.4699999999998</v>
      </c>
      <c r="K12" s="336">
        <v>58111.82</v>
      </c>
      <c r="L12" s="257">
        <v>3519.28</v>
      </c>
      <c r="M12" s="175"/>
      <c r="N12" s="175"/>
      <c r="O12" s="175"/>
      <c r="P12" s="175"/>
      <c r="Q12" s="175"/>
      <c r="R12" s="175"/>
      <c r="S12" s="175"/>
      <c r="T12" s="175"/>
      <c r="U12" s="175"/>
      <c r="V12" s="175"/>
      <c r="W12" s="175"/>
      <c r="X12" s="175"/>
      <c r="Y12" s="175"/>
      <c r="Z12" s="175"/>
      <c r="AA12" s="175"/>
      <c r="AB12" s="175"/>
      <c r="AC12" s="175"/>
      <c r="AD12" s="175"/>
      <c r="AE12" s="175"/>
      <c r="AF12" s="175"/>
    </row>
    <row r="13" spans="1:32">
      <c r="A13" s="177"/>
      <c r="G13" s="226" t="s">
        <v>173</v>
      </c>
      <c r="H13" s="257">
        <v>10239.299999999999</v>
      </c>
      <c r="I13" s="257">
        <v>10343.780000000001</v>
      </c>
      <c r="J13" s="257">
        <v>10342.43</v>
      </c>
      <c r="K13" s="257">
        <v>13069.07</v>
      </c>
      <c r="L13" s="257">
        <v>12266.67</v>
      </c>
      <c r="M13" s="175"/>
      <c r="N13" s="175"/>
      <c r="O13" s="175"/>
      <c r="P13" s="175"/>
      <c r="Q13" s="175"/>
      <c r="R13" s="175"/>
      <c r="S13" s="175"/>
      <c r="T13" s="175"/>
      <c r="U13" s="175"/>
      <c r="V13" s="175"/>
      <c r="W13" s="175"/>
      <c r="X13" s="175"/>
      <c r="Y13" s="175"/>
      <c r="Z13" s="175"/>
      <c r="AA13" s="175"/>
      <c r="AB13" s="175"/>
      <c r="AC13" s="175"/>
      <c r="AD13" s="175"/>
      <c r="AE13" s="175"/>
      <c r="AF13" s="175"/>
    </row>
    <row r="14" spans="1:32">
      <c r="E14" s="175"/>
      <c r="F14" s="175"/>
      <c r="G14" s="226" t="s">
        <v>174</v>
      </c>
      <c r="H14" s="257">
        <v>4735.75</v>
      </c>
      <c r="I14" s="257">
        <v>5083.41</v>
      </c>
      <c r="J14" s="257">
        <v>5083.41</v>
      </c>
      <c r="K14" s="257">
        <v>5083.41</v>
      </c>
      <c r="L14" s="257">
        <v>5515.72</v>
      </c>
      <c r="O14" s="175"/>
      <c r="P14" s="175"/>
      <c r="Q14" s="175"/>
      <c r="R14" s="175"/>
      <c r="S14" s="175"/>
      <c r="T14" s="175"/>
      <c r="U14" s="175"/>
      <c r="V14" s="175"/>
      <c r="W14" s="175"/>
      <c r="X14" s="175"/>
      <c r="Y14" s="175"/>
      <c r="Z14" s="175"/>
      <c r="AA14" s="175"/>
      <c r="AB14" s="175"/>
      <c r="AC14" s="175"/>
      <c r="AD14" s="175"/>
      <c r="AE14" s="175"/>
      <c r="AF14" s="175"/>
    </row>
    <row r="15" spans="1:32">
      <c r="B15" s="388" t="s">
        <v>155</v>
      </c>
      <c r="C15" s="388"/>
      <c r="D15" s="388"/>
      <c r="E15" s="180"/>
      <c r="F15" s="180"/>
      <c r="G15" s="228" t="s">
        <v>178</v>
      </c>
      <c r="H15" s="192">
        <f>SUM(H11:H14)</f>
        <v>92244.290000000008</v>
      </c>
      <c r="I15" s="192">
        <f>SUM(I11:I14)</f>
        <v>98722.11</v>
      </c>
      <c r="J15" s="192">
        <f>SUM(J11:J14)</f>
        <v>79229.649999999994</v>
      </c>
      <c r="K15" s="192">
        <f>SUM(K11:K14)</f>
        <v>152308.30000000002</v>
      </c>
      <c r="L15" s="192">
        <f>SUM(L11:L14)</f>
        <v>98441.12</v>
      </c>
      <c r="O15" s="175"/>
      <c r="P15" s="175"/>
      <c r="Q15" s="175"/>
      <c r="R15" s="175"/>
      <c r="S15" s="175"/>
      <c r="T15" s="175"/>
      <c r="U15" s="175"/>
      <c r="V15" s="175"/>
      <c r="W15" s="175"/>
      <c r="X15" s="175"/>
      <c r="Y15" s="175"/>
      <c r="Z15" s="175"/>
      <c r="AA15" s="175"/>
      <c r="AB15" s="175"/>
      <c r="AC15" s="175"/>
      <c r="AD15" s="175"/>
      <c r="AE15" s="175"/>
      <c r="AF15" s="175"/>
    </row>
    <row r="16" spans="1:32">
      <c r="B16" s="53" t="s">
        <v>245</v>
      </c>
      <c r="C16" s="205" t="s">
        <v>153</v>
      </c>
      <c r="D16" s="205" t="s">
        <v>154</v>
      </c>
      <c r="E16" s="84"/>
      <c r="F16" s="84"/>
      <c r="M16" s="175"/>
      <c r="N16" s="175"/>
      <c r="O16" s="175"/>
      <c r="P16" s="175"/>
      <c r="Q16" s="175"/>
      <c r="R16" s="175"/>
      <c r="S16" s="175"/>
      <c r="T16" s="175"/>
      <c r="U16" s="175"/>
      <c r="V16" s="175"/>
      <c r="W16" s="175"/>
      <c r="X16" s="175"/>
      <c r="Y16" s="175"/>
      <c r="Z16" s="175"/>
      <c r="AA16" s="175"/>
      <c r="AB16" s="175"/>
      <c r="AC16" s="175"/>
      <c r="AD16" s="175"/>
      <c r="AE16" s="175"/>
      <c r="AF16" s="175"/>
    </row>
    <row r="17" spans="2:32">
      <c r="B17" s="76" t="s">
        <v>246</v>
      </c>
      <c r="C17" s="206">
        <f>(4096+2236+1836+2185)-(8950+11307)</f>
        <v>-9904</v>
      </c>
      <c r="D17" s="208">
        <f>C17/52446</f>
        <v>-0.18884185638561568</v>
      </c>
      <c r="E17" s="182"/>
      <c r="F17" s="182"/>
      <c r="G17" s="228" t="s">
        <v>152</v>
      </c>
      <c r="H17" s="192">
        <f>H9-H15</f>
        <v>-31788.490000000013</v>
      </c>
      <c r="I17" s="192">
        <f>I9-I15</f>
        <v>-37641.450000000012</v>
      </c>
      <c r="J17" s="192">
        <f>J9-J15</f>
        <v>-20153.399999999994</v>
      </c>
      <c r="K17" s="192">
        <f>K9-K15</f>
        <v>-101813.41000000002</v>
      </c>
      <c r="L17" s="192">
        <f>L9-L15</f>
        <v>-25626.679999999993</v>
      </c>
      <c r="M17" s="175"/>
      <c r="N17" s="175"/>
      <c r="O17" s="175"/>
      <c r="P17" s="175"/>
      <c r="Q17" s="175"/>
      <c r="R17" s="175"/>
      <c r="S17" s="175"/>
      <c r="T17" s="175"/>
      <c r="U17" s="175"/>
      <c r="V17" s="175"/>
      <c r="W17" s="175"/>
      <c r="X17" s="175"/>
      <c r="Y17" s="175"/>
      <c r="Z17" s="175"/>
      <c r="AA17" s="175"/>
      <c r="AB17" s="175"/>
      <c r="AC17" s="175"/>
      <c r="AD17" s="175"/>
      <c r="AE17" s="175"/>
      <c r="AF17" s="175"/>
    </row>
    <row r="18" spans="2:32">
      <c r="B18" s="76" t="s">
        <v>247</v>
      </c>
      <c r="C18" s="206">
        <f>(1911+646+23+439)-(2018+815)</f>
        <v>186</v>
      </c>
      <c r="D18" s="208">
        <f>C18/10889</f>
        <v>1.708145835246579E-2</v>
      </c>
      <c r="G18" s="183"/>
      <c r="H18" s="183"/>
      <c r="I18" s="183"/>
      <c r="J18" s="183"/>
      <c r="K18" s="183"/>
      <c r="L18" s="183"/>
      <c r="M18" s="175"/>
      <c r="N18" s="175"/>
      <c r="O18" s="175"/>
      <c r="P18" s="175"/>
      <c r="Q18" s="175"/>
      <c r="R18" s="175"/>
      <c r="S18" s="175"/>
      <c r="T18" s="175"/>
      <c r="U18" s="175"/>
      <c r="V18" s="175"/>
      <c r="W18" s="175"/>
      <c r="X18" s="175"/>
      <c r="Y18" s="175"/>
      <c r="Z18" s="175"/>
      <c r="AA18" s="175"/>
      <c r="AB18" s="175"/>
      <c r="AC18" s="175"/>
      <c r="AD18" s="175"/>
      <c r="AE18" s="175"/>
      <c r="AF18" s="175"/>
    </row>
    <row r="19" spans="2:32">
      <c r="B19" s="76" t="s">
        <v>248</v>
      </c>
      <c r="C19" s="206">
        <f>(2130+1116+25+1404)-(2163+711)</f>
        <v>1801</v>
      </c>
      <c r="D19" s="208">
        <f>C19/12276</f>
        <v>0.14670902574128381</v>
      </c>
      <c r="G19" s="205" t="s">
        <v>179</v>
      </c>
      <c r="H19" s="257"/>
      <c r="I19" s="188">
        <f t="shared" ref="I19:K19" si="0">I17-H17</f>
        <v>-5852.9599999999991</v>
      </c>
      <c r="J19" s="188">
        <f t="shared" si="0"/>
        <v>17488.050000000017</v>
      </c>
      <c r="K19" s="188">
        <f t="shared" si="0"/>
        <v>-81660.010000000024</v>
      </c>
      <c r="L19" s="188">
        <f>L17-K17</f>
        <v>76186.730000000025</v>
      </c>
      <c r="M19" s="175"/>
      <c r="N19" s="175"/>
      <c r="O19" s="175"/>
      <c r="P19" s="175"/>
      <c r="Q19" s="175"/>
      <c r="R19" s="175"/>
      <c r="S19" s="175"/>
      <c r="T19" s="175"/>
      <c r="U19" s="175"/>
      <c r="V19" s="175"/>
      <c r="W19" s="175"/>
      <c r="X19" s="175"/>
      <c r="Y19" s="175"/>
      <c r="Z19" s="175"/>
      <c r="AA19" s="175"/>
      <c r="AB19" s="175"/>
      <c r="AC19" s="175"/>
      <c r="AD19" s="175"/>
      <c r="AE19" s="175"/>
      <c r="AF19" s="175"/>
    </row>
    <row r="20" spans="2:32">
      <c r="B20" s="76" t="s">
        <v>249</v>
      </c>
      <c r="C20" s="206">
        <f>(358+321+85+528)-(409+293)</f>
        <v>590</v>
      </c>
      <c r="D20" s="208">
        <f>C20/3192</f>
        <v>0.18483709273182958</v>
      </c>
      <c r="E20" s="216"/>
      <c r="G20" s="183"/>
      <c r="H20" s="183"/>
      <c r="I20" s="183"/>
      <c r="J20" s="183"/>
      <c r="K20" s="183"/>
      <c r="L20" s="183"/>
      <c r="M20" s="175"/>
      <c r="N20" s="175"/>
      <c r="O20" s="175"/>
      <c r="P20" s="175"/>
      <c r="Q20" s="175"/>
      <c r="R20" s="175"/>
      <c r="S20" s="175"/>
      <c r="T20" s="175"/>
      <c r="U20" s="175"/>
      <c r="V20" s="175"/>
      <c r="W20" s="175"/>
      <c r="X20" s="175"/>
      <c r="Y20" s="175"/>
      <c r="Z20" s="175"/>
      <c r="AA20" s="175"/>
      <c r="AB20" s="175"/>
      <c r="AC20" s="175"/>
      <c r="AD20" s="175"/>
      <c r="AE20" s="175"/>
      <c r="AF20" s="175"/>
    </row>
    <row r="21" spans="2:32">
      <c r="B21" s="76" t="s">
        <v>250</v>
      </c>
      <c r="C21" s="206">
        <f>(255+215+44+299)-(945+181)</f>
        <v>-313</v>
      </c>
      <c r="D21" s="208">
        <f>C21/3911</f>
        <v>-8.0030682689849142E-2</v>
      </c>
      <c r="G21" s="226" t="s">
        <v>6</v>
      </c>
      <c r="H21" s="257">
        <v>432842.44</v>
      </c>
      <c r="I21" s="257">
        <v>446243.18</v>
      </c>
      <c r="J21" s="257">
        <v>452508.34</v>
      </c>
      <c r="K21" s="257">
        <v>484121.56</v>
      </c>
      <c r="L21" s="257">
        <v>509978.19</v>
      </c>
      <c r="M21" s="175"/>
      <c r="N21" s="175"/>
      <c r="O21" s="175"/>
      <c r="P21" s="175"/>
      <c r="Q21" s="175"/>
      <c r="R21" s="175"/>
      <c r="S21" s="175"/>
      <c r="T21" s="175"/>
      <c r="U21" s="175"/>
      <c r="V21" s="175"/>
      <c r="W21" s="175"/>
      <c r="X21" s="175"/>
      <c r="Y21" s="175"/>
      <c r="Z21" s="175"/>
      <c r="AA21" s="175"/>
      <c r="AB21" s="175"/>
      <c r="AC21" s="175"/>
      <c r="AD21" s="175"/>
      <c r="AE21" s="175"/>
      <c r="AF21" s="175"/>
    </row>
    <row r="22" spans="2:32">
      <c r="B22" s="76" t="s">
        <v>251</v>
      </c>
      <c r="C22" s="206">
        <f>(369+239+30+246)-(494+199)</f>
        <v>191</v>
      </c>
      <c r="D22" s="208">
        <f>C22/2139</f>
        <v>8.9294062646096309E-2</v>
      </c>
      <c r="G22" s="184" t="s">
        <v>172</v>
      </c>
      <c r="H22" s="208">
        <f>H17/H21</f>
        <v>-7.3441250354285989E-2</v>
      </c>
      <c r="I22" s="208">
        <f>I17/I21</f>
        <v>-8.4351877377711437E-2</v>
      </c>
      <c r="J22" s="208">
        <f>J17/J21</f>
        <v>-4.4537079692277035E-2</v>
      </c>
      <c r="K22" s="340">
        <f>K17/K21</f>
        <v>-0.21030546542897205</v>
      </c>
      <c r="L22" s="208">
        <f>L17/L21</f>
        <v>-5.0250541106473576E-2</v>
      </c>
      <c r="M22" s="234"/>
      <c r="N22" s="175"/>
      <c r="O22" s="175"/>
      <c r="P22" s="175"/>
      <c r="Q22" s="175"/>
      <c r="R22" s="175"/>
      <c r="S22" s="175"/>
      <c r="T22" s="175"/>
      <c r="U22" s="175"/>
      <c r="V22" s="175"/>
      <c r="W22" s="175"/>
      <c r="X22" s="175"/>
      <c r="Y22" s="175"/>
      <c r="Z22" s="175"/>
      <c r="AA22" s="175"/>
      <c r="AB22" s="175"/>
      <c r="AC22" s="175"/>
      <c r="AD22" s="175"/>
      <c r="AE22" s="175"/>
      <c r="AF22" s="175"/>
    </row>
    <row r="23" spans="2:32">
      <c r="B23" s="389" t="s">
        <v>155</v>
      </c>
      <c r="C23" s="389"/>
      <c r="D23" s="209">
        <f ca="1">AVERAGE(D17:D24)</f>
        <v>2.8174850066035116E-2</v>
      </c>
      <c r="K23" s="198" t="s">
        <v>185</v>
      </c>
      <c r="L23" s="271">
        <f>AVERAGE(H22:J22,L22)</f>
        <v>-6.314518713268702E-2</v>
      </c>
      <c r="M23" s="175"/>
      <c r="N23" s="175"/>
      <c r="O23" s="175"/>
      <c r="P23" s="175"/>
      <c r="Q23" s="175"/>
      <c r="R23" s="175"/>
      <c r="S23" s="175"/>
      <c r="T23" s="175"/>
      <c r="U23" s="175"/>
      <c r="V23" s="175"/>
      <c r="W23" s="175"/>
      <c r="X23" s="175"/>
      <c r="Y23" s="175"/>
      <c r="Z23" s="175"/>
      <c r="AA23" s="175"/>
      <c r="AB23" s="175"/>
      <c r="AC23" s="175"/>
      <c r="AD23" s="175"/>
      <c r="AE23" s="175"/>
      <c r="AF23" s="175"/>
    </row>
    <row r="24" spans="2:32">
      <c r="B24" s="122"/>
      <c r="C24" s="204"/>
      <c r="D24" s="207"/>
      <c r="M24" s="175"/>
      <c r="N24" s="175"/>
      <c r="O24" s="175"/>
      <c r="P24" s="175"/>
      <c r="Q24" s="175"/>
      <c r="R24" s="175"/>
      <c r="S24" s="175"/>
      <c r="T24" s="175"/>
      <c r="U24" s="175"/>
      <c r="V24" s="175"/>
      <c r="W24" s="175"/>
      <c r="X24" s="175"/>
      <c r="Y24" s="175"/>
      <c r="Z24" s="175"/>
      <c r="AA24" s="175"/>
      <c r="AB24" s="175"/>
      <c r="AC24" s="175"/>
      <c r="AD24" s="175"/>
      <c r="AE24" s="175"/>
      <c r="AF24" s="175"/>
    </row>
    <row r="25" spans="2:32">
      <c r="K25" s="339"/>
      <c r="L25" s="175" t="s">
        <v>281</v>
      </c>
      <c r="M25" s="175"/>
      <c r="N25" s="175"/>
      <c r="O25" s="175"/>
      <c r="P25" s="175"/>
      <c r="Q25" s="175"/>
      <c r="R25" s="175"/>
      <c r="S25" s="175"/>
      <c r="T25" s="175"/>
      <c r="U25" s="175"/>
      <c r="V25" s="175"/>
      <c r="W25" s="175"/>
      <c r="X25" s="175"/>
      <c r="Y25" s="175"/>
      <c r="Z25" s="175"/>
      <c r="AA25" s="175"/>
      <c r="AB25" s="175"/>
      <c r="AC25" s="175"/>
      <c r="AD25" s="175"/>
      <c r="AE25" s="175"/>
      <c r="AF25" s="175"/>
    </row>
    <row r="26" spans="2:32">
      <c r="M26" s="175"/>
      <c r="N26" s="175"/>
      <c r="O26" s="175"/>
      <c r="P26" s="175"/>
      <c r="Q26" s="175"/>
      <c r="R26" s="175"/>
      <c r="S26" s="175"/>
      <c r="T26" s="175"/>
      <c r="U26" s="175"/>
      <c r="V26" s="175"/>
      <c r="W26" s="175"/>
      <c r="X26" s="175"/>
      <c r="Y26" s="175"/>
      <c r="Z26" s="175"/>
      <c r="AA26" s="175"/>
      <c r="AB26" s="175"/>
      <c r="AC26" s="175"/>
      <c r="AD26" s="175"/>
      <c r="AE26" s="175"/>
      <c r="AF26" s="175"/>
    </row>
    <row r="27" spans="2:32">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2:32">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2: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2: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2:32">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2:32">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2">
    <mergeCell ref="B15:D15"/>
    <mergeCell ref="B23:C23"/>
  </mergeCells>
  <pageMargins left="0.7" right="0.7" top="0.75" bottom="0.75" header="0.3" footer="0.3"/>
  <pageSetup paperSize="9"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9.28515625" style="170" customWidth="1"/>
    <col min="3" max="3" width="12.140625" style="170" bestFit="1" customWidth="1"/>
    <col min="4" max="4" width="4.85546875" style="170" customWidth="1"/>
    <col min="5" max="5" width="10.140625" style="170" customWidth="1"/>
    <col min="6" max="6" width="32.42578125" style="170" customWidth="1"/>
    <col min="7" max="7" width="12.140625" style="170" bestFit="1" customWidth="1" collapsed="1"/>
    <col min="8" max="8" width="5.42578125" style="170" customWidth="1"/>
    <col min="9" max="9" width="5" style="170" customWidth="1"/>
    <col min="10" max="10" width="31.5703125" style="170" customWidth="1"/>
    <col min="11" max="11" width="12.140625" style="170" bestFit="1"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170</v>
      </c>
      <c r="C1" s="168"/>
      <c r="D1" s="168"/>
      <c r="E1" s="168"/>
      <c r="F1" s="168"/>
      <c r="G1" s="168"/>
      <c r="H1" s="168"/>
      <c r="I1" s="168"/>
      <c r="J1" s="168"/>
      <c r="K1" s="168"/>
      <c r="L1" s="168"/>
    </row>
    <row r="2" spans="1:32" ht="12.75" customHeight="1">
      <c r="C2" s="198"/>
    </row>
    <row r="3" spans="1:32" ht="15.75">
      <c r="A3" s="172"/>
      <c r="B3" s="201" t="str">
        <f>F14</f>
        <v>Free Cash Flow to Firm (FCFF)</v>
      </c>
      <c r="C3" s="223">
        <f>G14</f>
        <v>83932.939434470623</v>
      </c>
      <c r="F3" s="152" t="s">
        <v>156</v>
      </c>
      <c r="G3" s="183"/>
      <c r="J3" s="152" t="s">
        <v>161</v>
      </c>
      <c r="K3" s="183"/>
      <c r="L3" s="180"/>
    </row>
    <row r="4" spans="1:32" ht="15">
      <c r="A4" s="177"/>
      <c r="F4" s="195"/>
      <c r="G4" s="225" t="s">
        <v>241</v>
      </c>
      <c r="J4" s="195"/>
      <c r="K4" s="225" t="s">
        <v>241</v>
      </c>
      <c r="L4" s="84"/>
      <c r="O4" s="174"/>
      <c r="Q4" s="174"/>
      <c r="R4" s="174"/>
      <c r="S4" s="174"/>
      <c r="T4" s="174"/>
      <c r="U4" s="174"/>
      <c r="V4" s="174"/>
      <c r="AA4" s="174"/>
    </row>
    <row r="5" spans="1:32">
      <c r="A5" s="177"/>
      <c r="B5" s="222" t="str">
        <f>J14</f>
        <v>Free Cash Flow to Equity (FCFE)</v>
      </c>
      <c r="C5" s="224">
        <f>K14</f>
        <v>83481.802737470629</v>
      </c>
      <c r="F5" s="187" t="str">
        <f>'EBIT &amp; Operating Lease'!B14</f>
        <v>Adjusted EBIT</v>
      </c>
      <c r="G5" s="202">
        <f>'EBIT &amp; R&amp;D Expense'!C12</f>
        <v>146651.56499999997</v>
      </c>
      <c r="J5" s="187" t="str">
        <f>F5</f>
        <v>Adjusted EBIT</v>
      </c>
      <c r="K5" s="188">
        <f>G5</f>
        <v>146651.56499999997</v>
      </c>
      <c r="L5" s="182"/>
      <c r="O5" s="175"/>
      <c r="P5" s="175"/>
      <c r="Q5" s="175"/>
      <c r="R5" s="175"/>
      <c r="S5" s="175"/>
      <c r="T5" s="175"/>
      <c r="U5" s="175"/>
      <c r="V5" s="175"/>
      <c r="W5" s="175"/>
      <c r="X5" s="175"/>
      <c r="Y5" s="175"/>
      <c r="Z5" s="175"/>
      <c r="AA5" s="175"/>
      <c r="AB5" s="175"/>
      <c r="AC5" s="175"/>
      <c r="AD5" s="175"/>
      <c r="AE5" s="175"/>
      <c r="AF5" s="175"/>
    </row>
    <row r="6" spans="1:32">
      <c r="A6" s="177"/>
      <c r="F6" s="187" t="s">
        <v>282</v>
      </c>
      <c r="G6" s="218">
        <f>'EBIT &amp; R&amp;D Expense'!C15</f>
        <v>0.23469999999999999</v>
      </c>
      <c r="J6" s="185" t="s">
        <v>162</v>
      </c>
      <c r="K6" s="188">
        <f>-WACC!F16</f>
        <v>-589.49</v>
      </c>
      <c r="O6" s="175"/>
      <c r="P6" s="175"/>
      <c r="Q6" s="175"/>
      <c r="R6" s="175"/>
      <c r="S6" s="175"/>
      <c r="T6" s="175"/>
      <c r="U6" s="175"/>
      <c r="V6" s="175"/>
      <c r="W6" s="175"/>
      <c r="X6" s="175"/>
      <c r="Y6" s="175"/>
      <c r="Z6" s="175"/>
      <c r="AA6" s="175"/>
      <c r="AB6" s="175"/>
      <c r="AC6" s="175"/>
      <c r="AD6" s="175"/>
      <c r="AE6" s="175"/>
      <c r="AF6" s="175"/>
    </row>
    <row r="7" spans="1:32">
      <c r="F7" s="185"/>
      <c r="G7" s="210"/>
      <c r="J7" s="189" t="s">
        <v>163</v>
      </c>
      <c r="K7" s="190">
        <f>K5+K6</f>
        <v>146062.07499999998</v>
      </c>
      <c r="O7" s="175"/>
      <c r="P7" s="175"/>
      <c r="Q7" s="175"/>
      <c r="R7" s="175"/>
      <c r="S7" s="175"/>
      <c r="T7" s="175"/>
      <c r="U7" s="175"/>
      <c r="V7" s="175"/>
      <c r="W7" s="175"/>
      <c r="X7" s="175"/>
      <c r="Y7" s="175"/>
      <c r="Z7" s="175"/>
      <c r="AA7" s="175"/>
      <c r="AB7" s="175"/>
      <c r="AC7" s="175"/>
      <c r="AD7" s="175"/>
      <c r="AE7" s="175"/>
      <c r="AF7" s="175"/>
    </row>
    <row r="8" spans="1:32">
      <c r="A8" s="177"/>
      <c r="F8" s="187" t="s">
        <v>157</v>
      </c>
      <c r="G8" s="188">
        <f>G5*(1-G6)</f>
        <v>112232.44269449997</v>
      </c>
      <c r="H8" s="178"/>
      <c r="J8" s="201" t="s">
        <v>283</v>
      </c>
      <c r="K8" s="221">
        <f>'FCFF &amp; FCFE'!G6</f>
        <v>0.23469999999999999</v>
      </c>
      <c r="O8" s="175"/>
      <c r="P8" s="175"/>
      <c r="Q8" s="175"/>
      <c r="R8" s="175"/>
      <c r="S8" s="175"/>
      <c r="T8" s="175"/>
      <c r="U8" s="175"/>
      <c r="V8" s="175"/>
      <c r="W8" s="175"/>
      <c r="X8" s="175"/>
      <c r="Y8" s="175"/>
      <c r="Z8" s="175"/>
      <c r="AA8" s="175"/>
      <c r="AB8" s="175"/>
      <c r="AC8" s="175"/>
      <c r="AD8" s="175"/>
      <c r="AE8" s="175"/>
      <c r="AF8" s="175"/>
    </row>
    <row r="9" spans="1:32">
      <c r="A9" s="177"/>
      <c r="F9" s="201"/>
      <c r="G9" s="211"/>
      <c r="J9" s="191" t="s">
        <v>164</v>
      </c>
      <c r="K9" s="192">
        <f>K7*(1-K8)</f>
        <v>111781.30599749998</v>
      </c>
      <c r="O9" s="175"/>
      <c r="P9" s="175"/>
      <c r="Q9" s="175"/>
      <c r="R9" s="175"/>
      <c r="S9" s="175"/>
      <c r="T9" s="175"/>
      <c r="U9" s="175"/>
      <c r="V9" s="175"/>
      <c r="W9" s="175"/>
      <c r="X9" s="175"/>
      <c r="Y9" s="175"/>
      <c r="Z9" s="175"/>
      <c r="AA9" s="175"/>
      <c r="AB9" s="175"/>
      <c r="AC9" s="175"/>
      <c r="AD9" s="175"/>
      <c r="AE9" s="175"/>
      <c r="AF9" s="175"/>
    </row>
    <row r="10" spans="1:32">
      <c r="A10" s="173"/>
      <c r="F10" s="187" t="str">
        <f>'Net CapEx'!B11</f>
        <v>Adjusted Net Capital Expenditures</v>
      </c>
      <c r="G10" s="188">
        <f>'Net CapEx'!C11</f>
        <v>29932.225000000002</v>
      </c>
      <c r="J10" s="183"/>
      <c r="K10" s="183"/>
      <c r="O10" s="175"/>
      <c r="P10" s="175"/>
      <c r="Q10" s="175"/>
      <c r="R10" s="175"/>
      <c r="S10" s="175"/>
      <c r="T10" s="175"/>
      <c r="U10" s="175"/>
      <c r="V10" s="175"/>
      <c r="W10" s="175"/>
      <c r="X10" s="175"/>
      <c r="Y10" s="175"/>
      <c r="Z10" s="175"/>
      <c r="AA10" s="175"/>
      <c r="AB10" s="175"/>
      <c r="AC10" s="175"/>
      <c r="AD10" s="175"/>
      <c r="AE10" s="175"/>
      <c r="AF10" s="175"/>
    </row>
    <row r="11" spans="1:32">
      <c r="A11" s="177"/>
      <c r="F11" s="187" t="str">
        <f>'Working Capital Changes'!B11</f>
        <v>Adj Change in Non Cash WC</v>
      </c>
      <c r="G11" s="188">
        <f>'Working Capital Changes'!C11</f>
        <v>-1632.7217399706497</v>
      </c>
      <c r="J11" s="187" t="str">
        <f>F12</f>
        <v>Reinvestment</v>
      </c>
      <c r="K11" s="188">
        <f>G12</f>
        <v>28299.503260029353</v>
      </c>
      <c r="O11" s="175"/>
      <c r="P11" s="175"/>
      <c r="Q11" s="175"/>
      <c r="R11" s="175"/>
      <c r="S11" s="175"/>
      <c r="T11" s="175"/>
      <c r="U11" s="175"/>
      <c r="V11" s="175"/>
      <c r="W11" s="175"/>
      <c r="X11" s="175"/>
      <c r="Y11" s="175"/>
      <c r="Z11" s="175"/>
      <c r="AA11" s="175"/>
      <c r="AB11" s="175"/>
      <c r="AC11" s="175"/>
      <c r="AD11" s="175"/>
      <c r="AE11" s="175"/>
      <c r="AF11" s="175"/>
    </row>
    <row r="12" spans="1:32">
      <c r="F12" s="191" t="s">
        <v>160</v>
      </c>
      <c r="G12" s="220">
        <f>G10+G11</f>
        <v>28299.503260029353</v>
      </c>
      <c r="J12" s="187" t="s">
        <v>166</v>
      </c>
      <c r="K12" s="188">
        <v>0</v>
      </c>
      <c r="O12" s="175"/>
      <c r="P12" s="175"/>
      <c r="Q12" s="175"/>
      <c r="R12" s="175"/>
      <c r="S12" s="175"/>
      <c r="T12" s="175"/>
      <c r="U12" s="175"/>
      <c r="V12" s="175"/>
      <c r="W12" s="175"/>
      <c r="X12" s="175"/>
      <c r="Y12" s="175"/>
      <c r="Z12" s="175"/>
      <c r="AA12" s="175"/>
      <c r="AB12" s="175"/>
      <c r="AC12" s="175"/>
      <c r="AD12" s="175"/>
      <c r="AE12" s="175"/>
      <c r="AF12" s="175"/>
    </row>
    <row r="13" spans="1:32">
      <c r="A13" s="177"/>
      <c r="B13" s="173"/>
      <c r="C13" s="217"/>
      <c r="F13" s="183"/>
      <c r="G13" s="183"/>
      <c r="J13" s="183"/>
      <c r="K13" s="183"/>
      <c r="O13" s="175"/>
      <c r="P13" s="175"/>
      <c r="Q13" s="175"/>
      <c r="R13" s="175"/>
      <c r="S13" s="175"/>
      <c r="T13" s="175"/>
      <c r="U13" s="175"/>
      <c r="V13" s="175"/>
      <c r="W13" s="175"/>
      <c r="X13" s="175"/>
      <c r="Y13" s="175"/>
      <c r="Z13" s="175"/>
      <c r="AA13" s="175"/>
      <c r="AB13" s="175"/>
      <c r="AC13" s="175"/>
      <c r="AD13" s="175"/>
      <c r="AE13" s="175"/>
      <c r="AF13" s="175"/>
    </row>
    <row r="14" spans="1:32">
      <c r="D14" s="175"/>
      <c r="E14" s="175"/>
      <c r="F14" s="187" t="s">
        <v>159</v>
      </c>
      <c r="G14" s="196">
        <f>G8-G12</f>
        <v>83932.939434470623</v>
      </c>
      <c r="H14" s="175"/>
      <c r="J14" s="187" t="s">
        <v>165</v>
      </c>
      <c r="K14" s="196">
        <f>K9-K11</f>
        <v>83481.802737470629</v>
      </c>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E17" s="182"/>
      <c r="F17" s="182"/>
      <c r="L17" s="175"/>
      <c r="O17" s="175"/>
      <c r="P17" s="175"/>
      <c r="Q17" s="175"/>
      <c r="R17" s="175"/>
      <c r="S17" s="175"/>
      <c r="T17" s="175"/>
      <c r="U17" s="175"/>
      <c r="V17" s="175"/>
      <c r="W17" s="175"/>
      <c r="X17" s="175"/>
      <c r="Y17" s="175"/>
      <c r="Z17" s="175"/>
      <c r="AA17" s="175"/>
      <c r="AB17" s="175"/>
      <c r="AC17" s="175"/>
      <c r="AD17" s="175"/>
      <c r="AE17" s="175"/>
      <c r="AF17" s="175"/>
    </row>
    <row r="18" spans="1:32">
      <c r="A18" s="177" t="s">
        <v>91</v>
      </c>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200</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9.28515625" style="170" customWidth="1"/>
    <col min="3" max="3" width="14.28515625" style="170" customWidth="1"/>
    <col min="4" max="4" width="4.85546875" style="170" customWidth="1"/>
    <col min="5" max="5" width="10.140625" style="170" customWidth="1"/>
    <col min="6" max="6" width="29.5703125" style="170" customWidth="1"/>
    <col min="7" max="7" width="20.710937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187</v>
      </c>
      <c r="C1" s="168"/>
      <c r="D1" s="168"/>
      <c r="E1" s="168"/>
      <c r="F1" s="168"/>
      <c r="G1" s="168"/>
      <c r="H1" s="168"/>
      <c r="I1" s="168"/>
      <c r="J1" s="168"/>
      <c r="K1" s="168"/>
      <c r="L1" s="168"/>
    </row>
    <row r="2" spans="1:32" ht="12" customHeight="1">
      <c r="C2" s="198"/>
    </row>
    <row r="3" spans="1:32" ht="12" customHeight="1">
      <c r="A3" s="172"/>
      <c r="B3" s="201" t="s">
        <v>160</v>
      </c>
      <c r="C3" s="188">
        <f>'FCFF &amp; FCFE'!G12</f>
        <v>28299.503260029353</v>
      </c>
      <c r="F3" s="388" t="s">
        <v>155</v>
      </c>
      <c r="G3" s="388"/>
      <c r="H3" s="215"/>
      <c r="J3" s="262"/>
      <c r="L3" s="180"/>
    </row>
    <row r="4" spans="1:32" ht="12" customHeight="1">
      <c r="A4" s="177"/>
      <c r="B4" s="187" t="s">
        <v>284</v>
      </c>
      <c r="C4" s="188">
        <f>'FCFF &amp; FCFE'!G8</f>
        <v>112232.44269449997</v>
      </c>
      <c r="F4" s="53" t="s">
        <v>245</v>
      </c>
      <c r="G4" s="205" t="s">
        <v>201</v>
      </c>
      <c r="H4" s="179"/>
      <c r="J4" s="197"/>
      <c r="K4" s="263"/>
      <c r="L4" s="84"/>
      <c r="O4" s="174"/>
      <c r="Q4" s="174"/>
      <c r="R4" s="174"/>
      <c r="S4" s="174"/>
      <c r="T4" s="174"/>
      <c r="U4" s="174"/>
      <c r="V4" s="174"/>
      <c r="AA4" s="174"/>
    </row>
    <row r="5" spans="1:32" ht="12" customHeight="1">
      <c r="A5" s="177"/>
      <c r="B5" s="343" t="s">
        <v>191</v>
      </c>
      <c r="C5" s="344">
        <f>C3/C4</f>
        <v>0.25215082716377685</v>
      </c>
      <c r="F5" s="76" t="s">
        <v>246</v>
      </c>
      <c r="G5" s="333">
        <f>52446/(235+48826+1043-3846)</f>
        <v>1.1337714557481948</v>
      </c>
      <c r="H5" s="207"/>
      <c r="J5" s="173"/>
      <c r="K5" s="199"/>
      <c r="L5" s="182"/>
      <c r="O5" s="175"/>
      <c r="P5" s="175"/>
      <c r="Q5" s="175"/>
      <c r="R5" s="175"/>
      <c r="S5" s="175"/>
      <c r="T5" s="175"/>
      <c r="U5" s="175"/>
      <c r="V5" s="175"/>
      <c r="W5" s="175"/>
      <c r="X5" s="175"/>
      <c r="Y5" s="175"/>
      <c r="Z5" s="175"/>
      <c r="AA5" s="175"/>
      <c r="AB5" s="175"/>
      <c r="AC5" s="175"/>
      <c r="AD5" s="175"/>
      <c r="AE5" s="175"/>
      <c r="AF5" s="175"/>
    </row>
    <row r="6" spans="1:32" ht="12" customHeight="1">
      <c r="A6" s="177"/>
      <c r="F6" s="76" t="s">
        <v>247</v>
      </c>
      <c r="G6" s="333">
        <f>10889/(177+8205+1030-570)</f>
        <v>1.2315087084370051</v>
      </c>
      <c r="H6" s="207"/>
      <c r="J6" s="264"/>
      <c r="K6" s="199"/>
      <c r="O6" s="175"/>
      <c r="P6" s="175"/>
      <c r="Q6" s="175"/>
      <c r="R6" s="175"/>
      <c r="S6" s="175"/>
      <c r="T6" s="175"/>
      <c r="U6" s="175"/>
      <c r="V6" s="175"/>
      <c r="W6" s="175"/>
      <c r="X6" s="175"/>
      <c r="Y6" s="175"/>
      <c r="Z6" s="175"/>
      <c r="AA6" s="175"/>
      <c r="AB6" s="175"/>
      <c r="AC6" s="175"/>
      <c r="AD6" s="175"/>
      <c r="AE6" s="175"/>
      <c r="AF6" s="175"/>
    </row>
    <row r="7" spans="1:32" ht="12" customHeight="1">
      <c r="B7" s="187" t="s">
        <v>284</v>
      </c>
      <c r="C7" s="188">
        <f>'FCFF &amp; FCFE'!G8</f>
        <v>112232.44269449997</v>
      </c>
      <c r="F7" s="76" t="s">
        <v>248</v>
      </c>
      <c r="G7" s="333">
        <f>12276/(102+11454+1704-1108)</f>
        <v>1.010204081632653</v>
      </c>
      <c r="H7" s="207"/>
      <c r="J7" s="173"/>
      <c r="K7" s="199"/>
      <c r="O7" s="175"/>
      <c r="P7" s="175"/>
      <c r="Q7" s="175"/>
      <c r="R7" s="175"/>
      <c r="S7" s="175"/>
      <c r="T7" s="175"/>
      <c r="U7" s="175"/>
      <c r="V7" s="175"/>
      <c r="W7" s="175"/>
      <c r="X7" s="175"/>
      <c r="Y7" s="175"/>
      <c r="Z7" s="175"/>
      <c r="AA7" s="175"/>
      <c r="AB7" s="175"/>
      <c r="AC7" s="175"/>
      <c r="AD7" s="175"/>
      <c r="AE7" s="175"/>
      <c r="AF7" s="175"/>
    </row>
    <row r="8" spans="1:32" ht="12" customHeight="1">
      <c r="A8" s="177"/>
      <c r="B8" s="187" t="s">
        <v>198</v>
      </c>
      <c r="C8" s="188">
        <f>WACC!F8+WACC!F9-(72406.64+3064.63)</f>
        <v>106850.00000000001</v>
      </c>
      <c r="F8" s="76" t="s">
        <v>249</v>
      </c>
      <c r="G8" s="333">
        <f>3192/(44+2032+282-116)</f>
        <v>1.423728813559322</v>
      </c>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334" t="s">
        <v>192</v>
      </c>
      <c r="C9" s="342">
        <f>C7/C8</f>
        <v>1.0503738202573698</v>
      </c>
      <c r="F9" s="76" t="s">
        <v>250</v>
      </c>
      <c r="G9" s="345">
        <f>3911/(32+857-1002)</f>
        <v>-34.610619469026545</v>
      </c>
      <c r="H9" s="207" t="s">
        <v>285</v>
      </c>
      <c r="J9" s="173"/>
      <c r="K9" s="199"/>
      <c r="O9" s="175"/>
      <c r="P9" s="175"/>
      <c r="Q9" s="175"/>
      <c r="R9" s="175"/>
      <c r="S9" s="175"/>
      <c r="T9" s="175"/>
      <c r="U9" s="175"/>
      <c r="V9" s="175"/>
      <c r="W9" s="175"/>
      <c r="X9" s="175"/>
      <c r="Y9" s="175"/>
      <c r="Z9" s="175"/>
      <c r="AA9" s="175"/>
      <c r="AB9" s="175"/>
      <c r="AC9" s="175"/>
      <c r="AD9" s="175"/>
      <c r="AE9" s="175"/>
      <c r="AF9" s="175"/>
    </row>
    <row r="10" spans="1:32">
      <c r="A10" s="173"/>
      <c r="F10" s="76" t="s">
        <v>251</v>
      </c>
      <c r="G10" s="333">
        <f>2139/(33+792-232)</f>
        <v>3.6070826306913997</v>
      </c>
      <c r="H10" s="207"/>
      <c r="O10" s="175"/>
      <c r="P10" s="175"/>
      <c r="Q10" s="175"/>
      <c r="R10" s="175"/>
      <c r="S10" s="175"/>
      <c r="T10" s="175"/>
      <c r="U10" s="175"/>
      <c r="V10" s="175"/>
      <c r="W10" s="175"/>
      <c r="X10" s="175"/>
      <c r="Y10" s="175"/>
      <c r="Z10" s="175"/>
      <c r="AA10" s="175"/>
      <c r="AB10" s="175"/>
      <c r="AC10" s="175"/>
      <c r="AD10" s="175"/>
      <c r="AE10" s="175"/>
      <c r="AF10" s="175"/>
    </row>
    <row r="11" spans="1:32">
      <c r="A11" s="177"/>
      <c r="B11" s="187" t="s">
        <v>187</v>
      </c>
      <c r="C11" s="58">
        <f>C5*C9</f>
        <v>0.26485262760907208</v>
      </c>
      <c r="F11" s="235" t="s">
        <v>155</v>
      </c>
      <c r="G11" s="346">
        <f>AVERAGE(G5:G8,G10)</f>
        <v>1.681259138013715</v>
      </c>
      <c r="H11" s="207"/>
      <c r="J11" s="173"/>
      <c r="K11" s="199"/>
      <c r="O11" s="175"/>
      <c r="P11" s="175"/>
      <c r="Q11" s="175"/>
      <c r="R11" s="175"/>
      <c r="S11" s="175"/>
      <c r="T11" s="175"/>
      <c r="U11" s="175"/>
      <c r="V11" s="175"/>
      <c r="W11" s="175"/>
      <c r="X11" s="175"/>
      <c r="Y11" s="175"/>
      <c r="Z11" s="175"/>
      <c r="AA11" s="175"/>
      <c r="AB11" s="175"/>
      <c r="AC11" s="175"/>
      <c r="AD11" s="175"/>
      <c r="AE11" s="175"/>
      <c r="AF11" s="175"/>
    </row>
    <row r="12" spans="1:32">
      <c r="B12" s="173"/>
      <c r="C12" s="80"/>
      <c r="F12" s="122"/>
      <c r="G12" s="269"/>
      <c r="H12" s="207"/>
      <c r="J12" s="173"/>
      <c r="K12" s="159"/>
      <c r="O12" s="175"/>
      <c r="P12" s="175"/>
      <c r="Q12" s="175"/>
      <c r="R12" s="175"/>
      <c r="S12" s="175"/>
      <c r="T12" s="175"/>
      <c r="U12" s="175"/>
      <c r="V12" s="175"/>
      <c r="W12" s="175"/>
      <c r="X12" s="175"/>
      <c r="Y12" s="175"/>
      <c r="Z12" s="175"/>
      <c r="AA12" s="175"/>
      <c r="AB12" s="175"/>
      <c r="AC12" s="175"/>
      <c r="AD12" s="175"/>
      <c r="AE12" s="175"/>
      <c r="AF12" s="175"/>
    </row>
    <row r="13" spans="1:32">
      <c r="A13" s="177"/>
      <c r="B13" s="173"/>
      <c r="C13" s="80"/>
      <c r="H13" s="213"/>
      <c r="J13" s="173"/>
      <c r="K13" s="199"/>
      <c r="O13" s="175"/>
      <c r="P13" s="175"/>
      <c r="Q13" s="175"/>
      <c r="R13" s="175"/>
      <c r="S13" s="175"/>
      <c r="T13" s="175"/>
      <c r="U13" s="175"/>
      <c r="V13" s="175"/>
      <c r="W13" s="175"/>
      <c r="X13" s="175"/>
      <c r="Y13" s="175"/>
      <c r="Z13" s="175"/>
      <c r="AA13" s="175"/>
      <c r="AB13" s="175"/>
      <c r="AC13" s="175"/>
      <c r="AD13" s="175"/>
      <c r="AE13" s="175"/>
      <c r="AF13" s="175"/>
    </row>
    <row r="14" spans="1:32">
      <c r="D14" s="175"/>
      <c r="E14" s="175"/>
      <c r="F14" s="173"/>
      <c r="G14" s="267"/>
      <c r="H14" s="175"/>
      <c r="J14" s="173"/>
      <c r="K14" s="199"/>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B17" s="175"/>
      <c r="E17" s="182"/>
      <c r="F17" s="182"/>
      <c r="J17" s="173"/>
      <c r="K17" s="267"/>
      <c r="L17" s="175"/>
      <c r="O17" s="175"/>
      <c r="P17" s="175"/>
      <c r="Q17" s="175"/>
      <c r="R17" s="175"/>
      <c r="S17" s="175"/>
      <c r="T17" s="175"/>
      <c r="U17" s="175"/>
      <c r="V17" s="175"/>
      <c r="W17" s="175"/>
      <c r="X17" s="175"/>
      <c r="Y17" s="175"/>
      <c r="Z17" s="175"/>
      <c r="AA17" s="175"/>
      <c r="AB17" s="175"/>
      <c r="AC17" s="175"/>
      <c r="AD17" s="175"/>
      <c r="AE17" s="175"/>
      <c r="AF17" s="175"/>
    </row>
    <row r="18" spans="1:32">
      <c r="A18" s="177"/>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1">
    <mergeCell ref="F3:G3"/>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14.140625" style="170" customWidth="1"/>
    <col min="3" max="3" width="14.28515625" style="170" customWidth="1"/>
    <col min="4" max="4" width="12" style="170" customWidth="1"/>
    <col min="5" max="5" width="11.140625" style="170" customWidth="1"/>
    <col min="6" max="6" width="11" style="170" customWidth="1"/>
    <col min="7" max="7" width="11.140625" style="170" bestFit="1" customWidth="1" collapsed="1"/>
    <col min="8" max="9" width="12.140625" style="170" bestFit="1" customWidth="1"/>
    <col min="10" max="10" width="12.7109375" style="170" customWidth="1"/>
    <col min="11" max="11" width="12.140625" style="170" bestFit="1" customWidth="1"/>
    <col min="12" max="13" width="14.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291</v>
      </c>
      <c r="C1" s="168"/>
      <c r="D1" s="168"/>
      <c r="E1" s="168"/>
      <c r="F1" s="168"/>
      <c r="G1" s="168"/>
      <c r="H1" s="168"/>
      <c r="I1" s="168"/>
      <c r="J1" s="168"/>
      <c r="K1" s="168"/>
      <c r="L1" s="168"/>
    </row>
    <row r="2" spans="1:32" ht="12" customHeight="1">
      <c r="C2" s="198"/>
    </row>
    <row r="3" spans="1:32" ht="12" customHeight="1">
      <c r="A3" s="172"/>
      <c r="B3" s="268"/>
      <c r="C3" s="352">
        <v>2022</v>
      </c>
      <c r="D3" s="352">
        <v>2023</v>
      </c>
      <c r="E3" s="352">
        <v>2024</v>
      </c>
      <c r="F3" s="352">
        <v>2025</v>
      </c>
      <c r="G3" s="352">
        <v>2026</v>
      </c>
      <c r="H3" s="352">
        <v>2027</v>
      </c>
      <c r="I3" s="352">
        <v>2028</v>
      </c>
      <c r="J3" s="352">
        <v>2029</v>
      </c>
      <c r="K3" s="352">
        <v>2030</v>
      </c>
      <c r="L3" s="352">
        <v>2031</v>
      </c>
      <c r="M3" s="352">
        <v>2032</v>
      </c>
    </row>
    <row r="4" spans="1:32" ht="12" customHeight="1">
      <c r="A4" s="177"/>
      <c r="B4" s="354" t="s">
        <v>289</v>
      </c>
      <c r="C4" s="356">
        <v>1446000</v>
      </c>
      <c r="D4" s="356">
        <f>C4*(1+7.16%)</f>
        <v>1549533.6</v>
      </c>
      <c r="E4" s="356">
        <f t="shared" ref="E4:M4" si="0">D4*(1+7.16%)</f>
        <v>1660480.2057600003</v>
      </c>
      <c r="F4" s="356">
        <f t="shared" si="0"/>
        <v>1779370.5884924165</v>
      </c>
      <c r="G4" s="356">
        <f t="shared" si="0"/>
        <v>1906773.5226284738</v>
      </c>
      <c r="H4" s="356">
        <f t="shared" si="0"/>
        <v>2043298.5068486726</v>
      </c>
      <c r="I4" s="356">
        <f t="shared" si="0"/>
        <v>2189598.6799390377</v>
      </c>
      <c r="J4" s="356">
        <f t="shared" si="0"/>
        <v>2346373.9454226731</v>
      </c>
      <c r="K4" s="356">
        <f t="shared" si="0"/>
        <v>2514374.3199149366</v>
      </c>
      <c r="L4" s="356">
        <f t="shared" si="0"/>
        <v>2694403.5212208461</v>
      </c>
      <c r="M4" s="356">
        <f t="shared" si="0"/>
        <v>2887322.8133402588</v>
      </c>
      <c r="O4" s="174"/>
      <c r="Q4" s="174"/>
      <c r="R4" s="174"/>
      <c r="S4" s="174"/>
      <c r="T4" s="174"/>
      <c r="U4" s="174"/>
      <c r="V4" s="174"/>
      <c r="AA4" s="174"/>
    </row>
    <row r="5" spans="1:32" ht="12" customHeight="1">
      <c r="A5" s="177"/>
      <c r="B5" s="355" t="s">
        <v>288</v>
      </c>
      <c r="C5" s="356">
        <v>7800000</v>
      </c>
      <c r="D5" s="357">
        <f t="shared" ref="D5:M5" si="1">C5*(1+5.79%)</f>
        <v>8251620.0000000009</v>
      </c>
      <c r="E5" s="357">
        <f t="shared" si="1"/>
        <v>8729388.7980000023</v>
      </c>
      <c r="F5" s="357">
        <f t="shared" si="1"/>
        <v>9234820.4094042033</v>
      </c>
      <c r="G5" s="357">
        <f t="shared" si="1"/>
        <v>9769516.5111087076</v>
      </c>
      <c r="H5" s="357">
        <f t="shared" si="1"/>
        <v>10335171.517101903</v>
      </c>
      <c r="I5" s="357">
        <f t="shared" si="1"/>
        <v>10933577.947942104</v>
      </c>
      <c r="J5" s="357">
        <f t="shared" si="1"/>
        <v>11566632.111127952</v>
      </c>
      <c r="K5" s="357">
        <f t="shared" si="1"/>
        <v>12236340.110362262</v>
      </c>
      <c r="L5" s="357">
        <f t="shared" si="1"/>
        <v>12944824.202752238</v>
      </c>
      <c r="M5" s="357">
        <f t="shared" si="1"/>
        <v>13694329.524091594</v>
      </c>
      <c r="O5" s="175"/>
      <c r="P5" s="175"/>
      <c r="Q5" s="175"/>
      <c r="R5" s="175"/>
      <c r="S5" s="175"/>
      <c r="T5" s="175"/>
      <c r="U5" s="175"/>
      <c r="V5" s="175"/>
      <c r="W5" s="175"/>
      <c r="X5" s="175"/>
      <c r="Y5" s="175"/>
      <c r="Z5" s="175"/>
      <c r="AA5" s="175"/>
      <c r="AB5" s="175"/>
      <c r="AC5" s="175"/>
      <c r="AD5" s="175"/>
      <c r="AE5" s="175"/>
      <c r="AF5" s="175"/>
    </row>
    <row r="6" spans="1:32" ht="12" customHeight="1">
      <c r="A6" s="177"/>
      <c r="B6" s="353" t="s">
        <v>290</v>
      </c>
      <c r="C6" s="356">
        <v>5200000</v>
      </c>
      <c r="D6" s="356">
        <f t="shared" ref="D6:M6" si="2">C6*(1+10.58%)</f>
        <v>5750159.9999999991</v>
      </c>
      <c r="E6" s="356">
        <f t="shared" si="2"/>
        <v>6358526.9279999984</v>
      </c>
      <c r="F6" s="356">
        <f t="shared" si="2"/>
        <v>7031259.0769823976</v>
      </c>
      <c r="G6" s="356">
        <f t="shared" si="2"/>
        <v>7775166.2873271341</v>
      </c>
      <c r="H6" s="356">
        <f t="shared" si="2"/>
        <v>8597778.8805263434</v>
      </c>
      <c r="I6" s="356">
        <f t="shared" si="2"/>
        <v>9507423.8860860299</v>
      </c>
      <c r="J6" s="356">
        <f t="shared" si="2"/>
        <v>10513309.33323393</v>
      </c>
      <c r="K6" s="356">
        <f t="shared" si="2"/>
        <v>11625617.460690079</v>
      </c>
      <c r="L6" s="356">
        <f t="shared" si="2"/>
        <v>12855607.788031088</v>
      </c>
      <c r="M6" s="356">
        <f t="shared" si="2"/>
        <v>14215731.092004776</v>
      </c>
      <c r="O6" s="175"/>
      <c r="P6" s="175"/>
      <c r="Q6" s="175"/>
      <c r="R6" s="175"/>
      <c r="S6" s="175"/>
      <c r="T6" s="175"/>
      <c r="U6" s="175"/>
      <c r="V6" s="175"/>
      <c r="W6" s="175"/>
      <c r="X6" s="175"/>
      <c r="Y6" s="175"/>
      <c r="Z6" s="175"/>
      <c r="AA6" s="175"/>
      <c r="AB6" s="175"/>
      <c r="AC6" s="175"/>
      <c r="AD6" s="175"/>
      <c r="AE6" s="175"/>
      <c r="AF6" s="175"/>
    </row>
    <row r="7" spans="1:32" ht="12" customHeight="1">
      <c r="O7" s="175"/>
      <c r="P7" s="175"/>
      <c r="Q7" s="175"/>
      <c r="R7" s="175"/>
      <c r="S7" s="175"/>
      <c r="T7" s="175"/>
      <c r="U7" s="175"/>
      <c r="V7" s="175"/>
      <c r="W7" s="175"/>
      <c r="X7" s="175"/>
      <c r="Y7" s="175"/>
      <c r="Z7" s="175"/>
      <c r="AA7" s="175"/>
      <c r="AB7" s="175"/>
      <c r="AC7" s="175"/>
      <c r="AD7" s="175"/>
      <c r="AE7" s="175"/>
      <c r="AF7" s="175"/>
    </row>
    <row r="8" spans="1:32" ht="12" customHeight="1">
      <c r="A8" s="177"/>
      <c r="B8" s="173"/>
      <c r="C8" s="199"/>
      <c r="F8" s="122"/>
      <c r="G8" s="234"/>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173"/>
      <c r="C9" s="80"/>
      <c r="F9" s="122"/>
      <c r="G9" s="234"/>
      <c r="H9" s="207"/>
      <c r="J9" s="173"/>
      <c r="K9" s="199"/>
      <c r="O9" s="175"/>
      <c r="P9" s="175"/>
      <c r="Q9" s="175"/>
      <c r="R9" s="175"/>
      <c r="S9" s="175"/>
      <c r="T9" s="175"/>
      <c r="U9" s="175"/>
      <c r="V9" s="175"/>
      <c r="W9" s="175"/>
      <c r="X9" s="175"/>
      <c r="Y9" s="175"/>
      <c r="Z9" s="175"/>
      <c r="AA9" s="175"/>
      <c r="AB9" s="175"/>
      <c r="AC9" s="175"/>
      <c r="AD9" s="175"/>
      <c r="AE9" s="175"/>
      <c r="AF9" s="175"/>
    </row>
    <row r="10" spans="1:32">
      <c r="A10" s="173"/>
      <c r="F10" s="122"/>
      <c r="G10" s="234"/>
      <c r="H10" s="207"/>
      <c r="O10" s="175"/>
      <c r="P10" s="175"/>
      <c r="Q10" s="175"/>
      <c r="R10" s="175"/>
      <c r="S10" s="175"/>
      <c r="T10" s="175"/>
      <c r="U10" s="175"/>
      <c r="V10" s="175"/>
      <c r="W10" s="175"/>
      <c r="X10" s="175"/>
      <c r="Y10" s="175"/>
      <c r="Z10" s="175"/>
      <c r="AA10" s="175"/>
      <c r="AB10" s="175"/>
      <c r="AC10" s="175"/>
      <c r="AD10" s="175"/>
      <c r="AE10" s="175"/>
      <c r="AF10" s="175"/>
    </row>
    <row r="11" spans="1:32">
      <c r="A11" s="177"/>
      <c r="B11" s="173"/>
      <c r="C11" s="61"/>
      <c r="F11" s="321"/>
      <c r="G11" s="351"/>
      <c r="H11" s="207"/>
      <c r="J11" s="173"/>
      <c r="K11" s="199"/>
      <c r="O11" s="175"/>
      <c r="P11" s="175"/>
      <c r="Q11" s="175"/>
      <c r="R11" s="175"/>
      <c r="S11" s="175"/>
      <c r="T11" s="175"/>
      <c r="U11" s="175"/>
      <c r="V11" s="175"/>
      <c r="W11" s="175"/>
      <c r="X11" s="175"/>
      <c r="Y11" s="175"/>
      <c r="Z11" s="175"/>
      <c r="AA11" s="175"/>
      <c r="AB11" s="175"/>
      <c r="AC11" s="175"/>
      <c r="AD11" s="175"/>
      <c r="AE11" s="175"/>
      <c r="AF11" s="175"/>
    </row>
    <row r="12" spans="1:32">
      <c r="B12" s="173"/>
      <c r="C12" s="80"/>
      <c r="F12" s="122"/>
      <c r="G12" s="269"/>
      <c r="H12" s="207"/>
      <c r="J12" s="173"/>
      <c r="K12" s="159"/>
      <c r="O12" s="175"/>
      <c r="P12" s="175"/>
      <c r="Q12" s="175"/>
      <c r="R12" s="175"/>
      <c r="S12" s="175"/>
      <c r="T12" s="175"/>
      <c r="U12" s="175"/>
      <c r="V12" s="175"/>
      <c r="W12" s="175"/>
      <c r="X12" s="175"/>
      <c r="Y12" s="175"/>
      <c r="Z12" s="175"/>
      <c r="AA12" s="175"/>
      <c r="AB12" s="175"/>
      <c r="AC12" s="175"/>
      <c r="AD12" s="175"/>
      <c r="AE12" s="175"/>
      <c r="AF12" s="175"/>
    </row>
    <row r="13" spans="1:32">
      <c r="A13" s="177"/>
      <c r="B13" s="173"/>
      <c r="C13" s="80"/>
      <c r="H13" s="213"/>
      <c r="J13" s="173"/>
      <c r="K13" s="199"/>
      <c r="O13" s="175"/>
      <c r="P13" s="175"/>
      <c r="Q13" s="175"/>
      <c r="R13" s="175"/>
      <c r="S13" s="175"/>
      <c r="T13" s="175"/>
      <c r="U13" s="175"/>
      <c r="V13" s="175"/>
      <c r="W13" s="175"/>
      <c r="X13" s="175"/>
      <c r="Y13" s="175"/>
      <c r="Z13" s="175"/>
      <c r="AA13" s="175"/>
      <c r="AB13" s="175"/>
      <c r="AC13" s="175"/>
      <c r="AD13" s="175"/>
      <c r="AE13" s="175"/>
      <c r="AF13" s="175"/>
    </row>
    <row r="14" spans="1:32">
      <c r="D14" s="175"/>
      <c r="E14" s="175"/>
      <c r="F14" s="173"/>
      <c r="G14" s="267"/>
      <c r="H14" s="175"/>
      <c r="J14" s="173"/>
      <c r="K14" s="199"/>
      <c r="O14" s="175"/>
      <c r="P14" s="175"/>
      <c r="Q14" s="175"/>
      <c r="R14" s="175"/>
      <c r="S14" s="175"/>
      <c r="T14" s="175"/>
      <c r="U14" s="175"/>
      <c r="V14" s="175"/>
      <c r="W14" s="175"/>
      <c r="X14" s="175"/>
      <c r="Y14" s="175"/>
      <c r="Z14" s="175"/>
      <c r="AA14" s="175"/>
      <c r="AB14" s="175"/>
      <c r="AC14" s="175"/>
      <c r="AD14" s="175"/>
      <c r="AE14" s="175"/>
      <c r="AF14" s="175"/>
    </row>
    <row r="15" spans="1:32">
      <c r="E15" s="180"/>
      <c r="F15" s="180"/>
      <c r="J15" s="173"/>
      <c r="K15" s="199"/>
      <c r="O15" s="175"/>
      <c r="P15" s="175"/>
      <c r="Q15" s="175"/>
      <c r="R15" s="175"/>
      <c r="S15" s="175"/>
      <c r="T15" s="175"/>
      <c r="U15" s="175"/>
      <c r="V15" s="175"/>
      <c r="W15" s="175"/>
      <c r="X15" s="175"/>
      <c r="Y15" s="175"/>
      <c r="Z15" s="175"/>
      <c r="AA15" s="175"/>
      <c r="AB15" s="175"/>
      <c r="AC15" s="175"/>
      <c r="AD15" s="175"/>
      <c r="AE15" s="175"/>
      <c r="AF15" s="175"/>
    </row>
    <row r="16" spans="1:32">
      <c r="E16" s="84"/>
      <c r="F16" s="84"/>
      <c r="O16" s="175"/>
      <c r="P16" s="175"/>
      <c r="Q16" s="175"/>
      <c r="R16" s="175"/>
      <c r="S16" s="175"/>
      <c r="T16" s="175"/>
      <c r="U16" s="175"/>
      <c r="V16" s="175"/>
      <c r="W16" s="175"/>
      <c r="X16" s="175"/>
      <c r="Y16" s="175"/>
      <c r="Z16" s="175"/>
      <c r="AA16" s="175"/>
      <c r="AB16" s="175"/>
      <c r="AC16" s="175"/>
      <c r="AD16" s="175"/>
      <c r="AE16" s="175"/>
      <c r="AF16" s="175"/>
    </row>
    <row r="17" spans="1:32">
      <c r="B17" s="175"/>
      <c r="E17" s="182"/>
      <c r="F17" s="182"/>
      <c r="J17" s="173"/>
      <c r="K17" s="267"/>
      <c r="L17" s="175"/>
      <c r="O17" s="175"/>
      <c r="P17" s="175"/>
      <c r="Q17" s="175"/>
      <c r="R17" s="175"/>
      <c r="S17" s="175"/>
      <c r="T17" s="175"/>
      <c r="U17" s="175"/>
      <c r="V17" s="175"/>
      <c r="W17" s="175"/>
      <c r="X17" s="175"/>
      <c r="Y17" s="175"/>
      <c r="Z17" s="175"/>
      <c r="AA17" s="175"/>
      <c r="AB17" s="175"/>
      <c r="AC17" s="175"/>
      <c r="AD17" s="175"/>
      <c r="AE17" s="175"/>
      <c r="AF17" s="175"/>
    </row>
    <row r="18" spans="1:32">
      <c r="A18" s="177"/>
      <c r="G18" s="215"/>
      <c r="H18" s="216"/>
      <c r="I18" s="216"/>
      <c r="J18" s="216"/>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G19" s="51"/>
      <c r="H19" s="51"/>
      <c r="I19" s="179"/>
      <c r="J19" s="179"/>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G20" s="122"/>
      <c r="H20" s="122"/>
      <c r="I20" s="204"/>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G21" s="122"/>
      <c r="H21" s="122"/>
      <c r="I21" s="204"/>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212"/>
      <c r="G22" s="122"/>
      <c r="H22" s="122"/>
      <c r="I22" s="204"/>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c r="F23" s="219"/>
      <c r="G23" s="122"/>
      <c r="H23" s="122"/>
      <c r="I23" s="204"/>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G24" s="122"/>
      <c r="H24" s="122"/>
      <c r="I24" s="204"/>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G25" s="122"/>
      <c r="H25" s="122"/>
      <c r="I25" s="204"/>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G26" s="122"/>
      <c r="H26" s="122"/>
      <c r="I26" s="204"/>
      <c r="J26" s="207"/>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G27" s="122"/>
      <c r="H27" s="122"/>
      <c r="I27" s="204"/>
      <c r="J27" s="207"/>
      <c r="K27" s="175"/>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G28" s="214"/>
      <c r="H28" s="214"/>
      <c r="I28" s="214"/>
      <c r="J28" s="213"/>
      <c r="K28" s="175"/>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8"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70" customWidth="1"/>
    <col min="2" max="2" width="7" style="170" customWidth="1"/>
    <col min="3" max="3" width="14.7109375" style="170" customWidth="1"/>
    <col min="4" max="4" width="14.85546875" style="170" customWidth="1"/>
    <col min="5" max="5" width="14" style="170" customWidth="1"/>
    <col min="6" max="6" width="12.5703125" style="170" customWidth="1"/>
    <col min="7" max="7" width="14.7109375" style="170" customWidth="1" collapsed="1"/>
    <col min="8" max="8" width="13.140625" style="170" customWidth="1"/>
    <col min="9" max="9" width="12.140625" style="170" bestFit="1" customWidth="1"/>
    <col min="10" max="10" width="12.140625" style="170" customWidth="1"/>
    <col min="11" max="11" width="13" style="170" customWidth="1"/>
    <col min="12" max="12" width="14.28515625" style="170" customWidth="1"/>
    <col min="13" max="13" width="11.42578125" style="170" bestFit="1" customWidth="1"/>
    <col min="14" max="14" width="10.140625" style="170" customWidth="1"/>
    <col min="15" max="18" width="10" style="170" bestFit="1" customWidth="1"/>
    <col min="19" max="21" width="11" style="170" bestFit="1" customWidth="1"/>
    <col min="22" max="22" width="11.140625" style="170" customWidth="1"/>
    <col min="23" max="28" width="9.140625" style="170" customWidth="1"/>
    <col min="29" max="29" width="9.28515625" style="170" customWidth="1"/>
    <col min="30" max="30" width="9.42578125" style="170" customWidth="1"/>
    <col min="31" max="31" width="10" style="170" customWidth="1"/>
    <col min="32" max="32" width="11.42578125" style="170" customWidth="1"/>
    <col min="33" max="33" width="9.42578125" style="170" bestFit="1" customWidth="1" collapsed="1"/>
    <col min="34" max="16384" width="9.140625" style="170"/>
  </cols>
  <sheetData>
    <row r="1" spans="1:32" s="169" customFormat="1" ht="15" customHeight="1">
      <c r="B1" s="16" t="s">
        <v>188</v>
      </c>
      <c r="C1" s="168"/>
      <c r="D1" s="168"/>
      <c r="E1" s="168"/>
      <c r="F1" s="168"/>
      <c r="G1" s="168"/>
      <c r="H1" s="168"/>
      <c r="I1" s="168"/>
      <c r="J1" s="168"/>
      <c r="K1" s="168"/>
      <c r="L1" s="168"/>
      <c r="M1" s="168"/>
      <c r="N1" s="168"/>
    </row>
    <row r="2" spans="1:32" ht="12" customHeight="1">
      <c r="C2" s="198"/>
      <c r="V2" s="177"/>
    </row>
    <row r="3" spans="1:32" ht="12" customHeight="1">
      <c r="A3" s="172"/>
      <c r="B3" s="268"/>
      <c r="C3" s="229" t="s">
        <v>286</v>
      </c>
      <c r="D3" s="229" t="s">
        <v>287</v>
      </c>
      <c r="E3" s="229" t="s">
        <v>6</v>
      </c>
      <c r="F3" s="229" t="s">
        <v>303</v>
      </c>
      <c r="G3" s="229" t="s">
        <v>3</v>
      </c>
      <c r="H3" s="229" t="s">
        <v>194</v>
      </c>
      <c r="I3" s="365"/>
      <c r="J3" s="365"/>
    </row>
    <row r="4" spans="1:32" ht="12" customHeight="1">
      <c r="A4" s="177"/>
      <c r="B4" s="254" t="s">
        <v>193</v>
      </c>
      <c r="C4" s="250">
        <v>1446000</v>
      </c>
      <c r="D4" s="291">
        <f>E4/C4</f>
        <v>0.3526820124481328</v>
      </c>
      <c r="E4" s="250">
        <f>'EBIT &amp; Operating Lease'!C6</f>
        <v>509978.19</v>
      </c>
      <c r="F4" s="270">
        <f>G4/E4</f>
        <v>0.28756438584167682</v>
      </c>
      <c r="G4" s="258">
        <f>'FCFF &amp; FCFE'!G5</f>
        <v>146651.56499999997</v>
      </c>
      <c r="H4" s="258">
        <f>G4*(1-'EBIT &amp; R&amp;D Expense'!C15)</f>
        <v>112232.44269449997</v>
      </c>
      <c r="I4" s="358"/>
      <c r="J4" s="358"/>
      <c r="AA4" s="174"/>
    </row>
    <row r="5" spans="1:32" ht="12" customHeight="1">
      <c r="A5" s="177"/>
      <c r="B5" s="248">
        <v>1</v>
      </c>
      <c r="C5" s="251">
        <f>C4*(1+7.16%)</f>
        <v>1549533.6</v>
      </c>
      <c r="D5" s="208">
        <v>0.36</v>
      </c>
      <c r="E5" s="252">
        <f>C5*D5</f>
        <v>557832.09600000002</v>
      </c>
      <c r="F5" s="255">
        <f>'Future Value of RSU'!G20</f>
        <v>0.2803000000000001</v>
      </c>
      <c r="G5" s="257">
        <f>E5*F5</f>
        <v>156360.33650880007</v>
      </c>
      <c r="H5" s="257">
        <f>G5*(1-'EBIT &amp; R&amp;D Expense'!C15)</f>
        <v>119662.56553018469</v>
      </c>
      <c r="I5" s="292"/>
      <c r="J5" s="207"/>
      <c r="W5" s="175"/>
      <c r="X5" s="175"/>
      <c r="Y5" s="175"/>
      <c r="Z5" s="175"/>
      <c r="AA5" s="175"/>
      <c r="AB5" s="175"/>
      <c r="AC5" s="175"/>
      <c r="AD5" s="175"/>
      <c r="AE5" s="175"/>
      <c r="AF5" s="175"/>
    </row>
    <row r="6" spans="1:32" ht="12" customHeight="1">
      <c r="A6" s="177"/>
      <c r="B6" s="248">
        <f t="shared" ref="B6:B14" si="0">B5+1</f>
        <v>2</v>
      </c>
      <c r="C6" s="251">
        <f t="shared" ref="C6:C14" si="1">C5*(1+7.16%)</f>
        <v>1660480.2057600003</v>
      </c>
      <c r="D6" s="208">
        <f ca="1">AVERAGE(D5,D7)</f>
        <v>0.36333333333333329</v>
      </c>
      <c r="E6" s="252">
        <f t="shared" ref="E6:E14" ca="1" si="2">C6*D6</f>
        <v>603307.80809279997</v>
      </c>
      <c r="F6" s="255">
        <f ca="1">'Future Value of RSU'!G21</f>
        <v>0.28050000000000019</v>
      </c>
      <c r="G6" s="257">
        <f t="shared" ref="G6:G13" ca="1" si="3">E6*F6</f>
        <v>169227.84017003051</v>
      </c>
      <c r="H6" s="257">
        <f ca="1">G6*(1-('EBIT &amp; R&amp;D Expense'!C15+0.5%))</f>
        <v>128663.92688127419</v>
      </c>
      <c r="I6" s="292"/>
      <c r="J6" s="207"/>
      <c r="W6" s="175"/>
      <c r="X6" s="175"/>
      <c r="Y6" s="175"/>
      <c r="Z6" s="175"/>
      <c r="AA6" s="175"/>
      <c r="AB6" s="175"/>
      <c r="AC6" s="175"/>
      <c r="AD6" s="175"/>
      <c r="AE6" s="175"/>
      <c r="AF6" s="175"/>
    </row>
    <row r="7" spans="1:32" ht="12" customHeight="1">
      <c r="B7" s="248">
        <f t="shared" si="0"/>
        <v>3</v>
      </c>
      <c r="C7" s="251">
        <f t="shared" si="1"/>
        <v>1779370.5884924165</v>
      </c>
      <c r="D7" s="208">
        <f ca="1">AVERAGE(D5,D8)</f>
        <v>0.36666666666666664</v>
      </c>
      <c r="E7" s="252">
        <f t="shared" ca="1" si="2"/>
        <v>652435.88244721934</v>
      </c>
      <c r="F7" s="255">
        <f ca="1">'Future Value of RSU'!G22</f>
        <v>0.28049999999999997</v>
      </c>
      <c r="G7" s="257">
        <f t="shared" ca="1" si="3"/>
        <v>183008.26502644501</v>
      </c>
      <c r="H7" s="257">
        <f ca="1">G7*(1-('EBIT &amp; R&amp;D Expense'!C15+0.75%))</f>
        <v>138683.66323704002</v>
      </c>
      <c r="I7" s="292"/>
      <c r="J7" s="207"/>
      <c r="M7" s="243"/>
      <c r="N7" s="242"/>
      <c r="O7" s="175"/>
      <c r="P7" s="175"/>
      <c r="Q7" s="175"/>
      <c r="R7" s="175"/>
      <c r="S7" s="175"/>
      <c r="T7" s="175"/>
      <c r="U7" s="175"/>
      <c r="V7" s="175"/>
      <c r="W7" s="175"/>
      <c r="X7" s="175"/>
      <c r="Y7" s="175"/>
      <c r="Z7" s="175"/>
      <c r="AA7" s="175"/>
      <c r="AB7" s="175"/>
      <c r="AC7" s="175"/>
      <c r="AD7" s="175"/>
      <c r="AE7" s="175"/>
      <c r="AF7" s="175"/>
    </row>
    <row r="8" spans="1:32" ht="12" customHeight="1">
      <c r="A8" s="177"/>
      <c r="B8" s="248">
        <f t="shared" si="0"/>
        <v>4</v>
      </c>
      <c r="C8" s="251">
        <f t="shared" si="1"/>
        <v>1906773.5226284738</v>
      </c>
      <c r="D8" s="208">
        <f ca="1">AVERAGE(D7,D9)</f>
        <v>0.37333333333333329</v>
      </c>
      <c r="E8" s="252">
        <f t="shared" ca="1" si="2"/>
        <v>711862.1151146302</v>
      </c>
      <c r="F8" s="255">
        <f ca="1">'Future Value of RSU'!G23</f>
        <v>0.28089999999999993</v>
      </c>
      <c r="G8" s="257">
        <f t="shared" ca="1" si="3"/>
        <v>199962.06813569958</v>
      </c>
      <c r="H8" s="257">
        <f ca="1">G8*(1-('EBIT &amp; R&amp;D Expense'!C15+1%))</f>
        <v>151031.35006289388</v>
      </c>
      <c r="I8" s="292"/>
      <c r="J8" s="207"/>
      <c r="M8" s="243"/>
      <c r="N8" s="242"/>
      <c r="O8" s="175"/>
      <c r="P8" s="175"/>
      <c r="Q8" s="175"/>
      <c r="R8" s="175"/>
      <c r="S8" s="175"/>
      <c r="T8" s="175"/>
      <c r="U8" s="175"/>
      <c r="V8" s="175"/>
      <c r="W8" s="175"/>
      <c r="X8" s="175"/>
      <c r="Y8" s="175"/>
      <c r="Z8" s="175"/>
      <c r="AA8" s="175"/>
      <c r="AB8" s="175"/>
      <c r="AC8" s="175"/>
      <c r="AD8" s="175"/>
      <c r="AE8" s="175"/>
      <c r="AF8" s="175"/>
    </row>
    <row r="9" spans="1:32" ht="12" customHeight="1">
      <c r="A9" s="177"/>
      <c r="B9" s="248">
        <f t="shared" si="0"/>
        <v>5</v>
      </c>
      <c r="C9" s="251">
        <f t="shared" si="1"/>
        <v>2043298.5068486726</v>
      </c>
      <c r="D9" s="208">
        <f>AVERAGE(D5,D14)</f>
        <v>0.38</v>
      </c>
      <c r="E9" s="252">
        <f t="shared" si="2"/>
        <v>776453.43260249565</v>
      </c>
      <c r="F9" s="255">
        <f>'Future Value of RSU'!G24</f>
        <v>0.28089999999999993</v>
      </c>
      <c r="G9" s="257">
        <f t="shared" si="3"/>
        <v>218105.76921804098</v>
      </c>
      <c r="H9" s="257">
        <f>G9*(1-('EBIT &amp; R&amp;D Expense'!C15+1.25%))</f>
        <v>164190.02306734124</v>
      </c>
      <c r="I9" s="292"/>
      <c r="J9" s="207"/>
      <c r="M9" s="243"/>
      <c r="N9" s="242"/>
      <c r="O9" s="175"/>
      <c r="P9" s="175"/>
      <c r="Q9" s="175"/>
      <c r="R9" s="175"/>
      <c r="S9" s="175"/>
      <c r="T9" s="175"/>
      <c r="U9" s="175"/>
      <c r="V9" s="175"/>
      <c r="W9" s="175"/>
      <c r="X9" s="175"/>
      <c r="Y9" s="175"/>
      <c r="Z9" s="175"/>
      <c r="AA9" s="175"/>
      <c r="AB9" s="175"/>
      <c r="AC9" s="175"/>
      <c r="AD9" s="175"/>
      <c r="AE9" s="175"/>
      <c r="AF9" s="175"/>
    </row>
    <row r="10" spans="1:32">
      <c r="A10" s="173"/>
      <c r="B10" s="248">
        <f t="shared" si="0"/>
        <v>6</v>
      </c>
      <c r="C10" s="251">
        <f t="shared" si="1"/>
        <v>2189598.6799390377</v>
      </c>
      <c r="D10" s="208">
        <f>AVERAGE(D9,D11)</f>
        <v>0.38500000000000001</v>
      </c>
      <c r="E10" s="252">
        <f t="shared" si="2"/>
        <v>842995.49177652947</v>
      </c>
      <c r="F10" s="255">
        <f>'Future Value of RSU'!G25</f>
        <v>0.29110000000000014</v>
      </c>
      <c r="G10" s="257">
        <f t="shared" si="3"/>
        <v>245395.98765614783</v>
      </c>
      <c r="H10" s="257">
        <f>G10*(1-'EBIT &amp; R&amp;D Expense'!$C$14)</f>
        <v>183634.72548284853</v>
      </c>
      <c r="I10" s="292"/>
      <c r="J10" s="207"/>
      <c r="M10" s="243"/>
      <c r="N10" s="242"/>
      <c r="O10" s="175"/>
      <c r="P10" s="175"/>
      <c r="Q10" s="175"/>
      <c r="R10" s="175"/>
      <c r="S10" s="175"/>
      <c r="T10" s="175"/>
      <c r="U10" s="175"/>
      <c r="V10" s="175"/>
      <c r="W10" s="175"/>
      <c r="X10" s="175"/>
      <c r="Y10" s="175"/>
      <c r="Z10" s="175"/>
      <c r="AA10" s="175"/>
      <c r="AB10" s="175"/>
      <c r="AC10" s="175"/>
      <c r="AD10" s="175"/>
      <c r="AE10" s="175"/>
      <c r="AF10" s="175"/>
    </row>
    <row r="11" spans="1:32">
      <c r="A11" s="177"/>
      <c r="B11" s="248">
        <f t="shared" si="0"/>
        <v>7</v>
      </c>
      <c r="C11" s="251">
        <f t="shared" si="1"/>
        <v>2346373.9454226731</v>
      </c>
      <c r="D11" s="208">
        <f>AVERAGE(D9,D14)</f>
        <v>0.39</v>
      </c>
      <c r="E11" s="252">
        <f t="shared" si="2"/>
        <v>915085.83871484257</v>
      </c>
      <c r="F11" s="255">
        <f>'Future Value of RSU'!G26</f>
        <v>0.29100000000000004</v>
      </c>
      <c r="G11" s="257">
        <f t="shared" si="3"/>
        <v>266289.97906601924</v>
      </c>
      <c r="H11" s="257">
        <f>G11*(1-'EBIT &amp; R&amp;D Expense'!$C$14)</f>
        <v>199270.1171346835</v>
      </c>
      <c r="I11" s="292"/>
      <c r="J11" s="207"/>
      <c r="M11" s="243"/>
      <c r="N11" s="242"/>
      <c r="O11" s="175"/>
      <c r="P11" s="175"/>
      <c r="Q11" s="175"/>
      <c r="R11" s="175"/>
      <c r="S11" s="175"/>
      <c r="T11" s="175"/>
      <c r="U11" s="175"/>
      <c r="V11" s="175"/>
      <c r="W11" s="175"/>
      <c r="X11" s="175"/>
      <c r="Y11" s="175"/>
      <c r="Z11" s="175"/>
      <c r="AA11" s="175"/>
      <c r="AB11" s="175"/>
      <c r="AC11" s="175"/>
      <c r="AD11" s="175"/>
      <c r="AE11" s="175"/>
      <c r="AF11" s="175"/>
    </row>
    <row r="12" spans="1:32">
      <c r="B12" s="248">
        <f t="shared" si="0"/>
        <v>8</v>
      </c>
      <c r="C12" s="251">
        <f t="shared" si="1"/>
        <v>2514374.3199149366</v>
      </c>
      <c r="D12" s="208">
        <f>AVERAGE(D11,D13)</f>
        <v>0.39250000000000002</v>
      </c>
      <c r="E12" s="252">
        <f>C12*D12</f>
        <v>986891.92056661262</v>
      </c>
      <c r="F12" s="255">
        <f>'Future Value of RSU'!G27</f>
        <v>0.2913</v>
      </c>
      <c r="G12" s="257">
        <f t="shared" si="3"/>
        <v>287481.61646105425</v>
      </c>
      <c r="H12" s="257">
        <f>G12*(1-'EBIT &amp; R&amp;D Expense'!$C$14)</f>
        <v>215128.24323013611</v>
      </c>
      <c r="I12" s="292"/>
      <c r="J12" s="84"/>
      <c r="M12" s="243"/>
      <c r="N12" s="242"/>
      <c r="O12" s="175"/>
      <c r="P12" s="175"/>
      <c r="Q12" s="175"/>
      <c r="R12" s="175"/>
      <c r="S12" s="175"/>
      <c r="T12" s="175"/>
      <c r="U12" s="175"/>
      <c r="V12" s="175"/>
      <c r="W12" s="175"/>
      <c r="X12" s="175"/>
      <c r="Y12" s="175"/>
      <c r="Z12" s="175"/>
      <c r="AA12" s="175"/>
      <c r="AB12" s="175"/>
      <c r="AC12" s="175"/>
      <c r="AD12" s="175"/>
      <c r="AE12" s="175"/>
      <c r="AF12" s="175"/>
    </row>
    <row r="13" spans="1:32">
      <c r="A13" s="177"/>
      <c r="B13" s="248">
        <f t="shared" si="0"/>
        <v>9</v>
      </c>
      <c r="C13" s="251">
        <f t="shared" si="1"/>
        <v>2694403.5212208461</v>
      </c>
      <c r="D13" s="208">
        <f>AVERAGE(D11,D14)</f>
        <v>0.39500000000000002</v>
      </c>
      <c r="E13" s="252">
        <f t="shared" si="2"/>
        <v>1064289.3908822343</v>
      </c>
      <c r="F13" s="255">
        <f>'Future Value of RSU'!G28</f>
        <v>0.29130000000000011</v>
      </c>
      <c r="G13" s="257">
        <f t="shared" si="3"/>
        <v>310027.49956399499</v>
      </c>
      <c r="H13" s="257">
        <f>G13*(1-'EBIT &amp; R&amp;D Expense'!$C$14)</f>
        <v>231999.77847372871</v>
      </c>
      <c r="I13" s="292"/>
      <c r="J13" s="207"/>
      <c r="M13" s="240"/>
      <c r="N13" s="240"/>
      <c r="O13" s="175"/>
      <c r="P13" s="175"/>
      <c r="Q13" s="175"/>
      <c r="R13" s="175"/>
      <c r="S13" s="175"/>
      <c r="T13" s="175"/>
      <c r="U13" s="175"/>
      <c r="V13" s="175"/>
      <c r="W13" s="175"/>
      <c r="X13" s="175"/>
      <c r="Y13" s="175"/>
      <c r="Z13" s="175"/>
      <c r="AA13" s="175"/>
      <c r="AB13" s="175"/>
      <c r="AC13" s="175"/>
      <c r="AD13" s="175"/>
      <c r="AE13" s="175"/>
      <c r="AF13" s="175"/>
    </row>
    <row r="14" spans="1:32">
      <c r="B14" s="248">
        <f t="shared" si="0"/>
        <v>10</v>
      </c>
      <c r="C14" s="251">
        <f t="shared" si="1"/>
        <v>2887322.8133402588</v>
      </c>
      <c r="D14" s="208">
        <v>0.4</v>
      </c>
      <c r="E14" s="252">
        <f t="shared" si="2"/>
        <v>1154929.1253361036</v>
      </c>
      <c r="F14" s="255">
        <f>'Future Value of RSU'!G29</f>
        <v>0.29160000000000008</v>
      </c>
      <c r="G14" s="257">
        <f>E14*F14</f>
        <v>336777.33294800791</v>
      </c>
      <c r="H14" s="257">
        <f>G14*(1-'EBIT &amp; R&amp;D Expense'!$C$14)</f>
        <v>252017.21379165328</v>
      </c>
      <c r="I14" s="292"/>
      <c r="J14" s="207"/>
      <c r="M14" s="3"/>
      <c r="O14" s="175"/>
      <c r="P14" s="175"/>
      <c r="Q14" s="175"/>
      <c r="R14" s="175"/>
      <c r="S14" s="175"/>
      <c r="T14" s="175"/>
      <c r="U14" s="175"/>
      <c r="V14" s="175"/>
      <c r="W14" s="175"/>
      <c r="X14" s="175"/>
      <c r="Y14" s="175"/>
      <c r="Z14" s="175"/>
      <c r="AA14" s="175"/>
      <c r="AB14" s="175"/>
      <c r="AC14" s="175"/>
      <c r="AD14" s="175"/>
      <c r="AE14" s="175"/>
      <c r="AF14" s="175"/>
    </row>
    <row r="15" spans="1:32">
      <c r="C15" s="358"/>
      <c r="D15" s="207"/>
      <c r="E15" s="292"/>
      <c r="F15" s="290"/>
      <c r="G15" s="219"/>
      <c r="H15" s="13"/>
      <c r="I15" s="13"/>
      <c r="J15" s="13"/>
      <c r="K15" s="2"/>
      <c r="L15" s="2"/>
      <c r="M15" s="2"/>
      <c r="O15" s="175"/>
      <c r="P15" s="175"/>
      <c r="Q15" s="175"/>
      <c r="R15" s="175"/>
      <c r="S15" s="175"/>
      <c r="T15" s="175"/>
      <c r="U15" s="175"/>
      <c r="V15" s="175"/>
      <c r="W15" s="175"/>
      <c r="X15" s="175"/>
      <c r="Y15" s="175"/>
      <c r="Z15" s="175"/>
      <c r="AA15" s="175"/>
      <c r="AB15" s="175"/>
      <c r="AC15" s="175"/>
      <c r="AD15" s="175"/>
      <c r="AE15" s="175"/>
      <c r="AF15" s="175"/>
    </row>
    <row r="16" spans="1:32">
      <c r="F16" s="122"/>
      <c r="G16" s="253"/>
      <c r="H16" s="157"/>
      <c r="I16" s="241"/>
      <c r="J16" s="241"/>
      <c r="K16" s="241"/>
      <c r="L16" s="241"/>
      <c r="M16" s="241"/>
      <c r="O16" s="175"/>
      <c r="P16" s="175"/>
      <c r="Q16" s="175"/>
      <c r="R16" s="175"/>
      <c r="S16" s="175"/>
      <c r="T16" s="175"/>
      <c r="U16" s="175"/>
      <c r="V16" s="175"/>
      <c r="W16" s="175"/>
      <c r="X16" s="175"/>
      <c r="Y16" s="175"/>
      <c r="Z16" s="175"/>
      <c r="AA16" s="175"/>
      <c r="AB16" s="175"/>
      <c r="AC16" s="175"/>
      <c r="AD16" s="175"/>
      <c r="AE16" s="175"/>
      <c r="AF16" s="175"/>
    </row>
    <row r="17" spans="1:34">
      <c r="B17" s="268"/>
      <c r="C17" s="103" t="s">
        <v>195</v>
      </c>
      <c r="D17" s="103" t="s">
        <v>196</v>
      </c>
      <c r="E17" s="103" t="s">
        <v>160</v>
      </c>
      <c r="F17" s="103" t="s">
        <v>197</v>
      </c>
      <c r="G17" s="103" t="s">
        <v>198</v>
      </c>
      <c r="H17" s="103" t="s">
        <v>199</v>
      </c>
      <c r="L17" s="70"/>
      <c r="M17" s="70"/>
      <c r="N17" s="70"/>
      <c r="O17" s="175"/>
      <c r="P17" s="175"/>
      <c r="Q17" s="175"/>
      <c r="R17" s="175"/>
      <c r="S17" s="175"/>
      <c r="T17" s="175"/>
      <c r="U17" s="175"/>
      <c r="V17" s="175"/>
      <c r="W17" s="175"/>
      <c r="X17" s="175"/>
      <c r="Y17" s="175"/>
      <c r="Z17" s="175"/>
      <c r="AA17" s="175"/>
      <c r="AB17" s="175"/>
      <c r="AC17" s="175"/>
      <c r="AD17" s="175"/>
      <c r="AE17" s="175"/>
      <c r="AF17" s="175"/>
    </row>
    <row r="18" spans="1:34">
      <c r="A18" s="177"/>
      <c r="B18" s="254" t="s">
        <v>193</v>
      </c>
      <c r="C18" s="246"/>
      <c r="D18" s="259">
        <f>E4/G18</f>
        <v>4.7728422087037901</v>
      </c>
      <c r="E18" s="256"/>
      <c r="F18" s="245">
        <f>'FCFF &amp; FCFE'!C3</f>
        <v>83932.939434470623</v>
      </c>
      <c r="G18" s="260">
        <f>'Expected Growth Rate'!C8</f>
        <v>106850.00000000001</v>
      </c>
      <c r="H18" s="261">
        <f>H4/G18</f>
        <v>1.0503738202573698</v>
      </c>
      <c r="L18" s="243"/>
      <c r="M18" s="243"/>
      <c r="N18" s="243"/>
      <c r="O18" s="175"/>
      <c r="P18" s="175"/>
      <c r="Q18" s="175"/>
      <c r="R18" s="175"/>
      <c r="S18" s="175"/>
      <c r="T18" s="175"/>
      <c r="U18" s="175"/>
      <c r="V18" s="175"/>
      <c r="W18" s="175"/>
      <c r="X18" s="175"/>
      <c r="Y18" s="175"/>
      <c r="Z18" s="175"/>
      <c r="AA18" s="175"/>
      <c r="AB18" s="175"/>
      <c r="AC18" s="175"/>
      <c r="AD18" s="175"/>
      <c r="AE18" s="175"/>
      <c r="AF18" s="175"/>
    </row>
    <row r="19" spans="1:34">
      <c r="B19" s="248">
        <v>1</v>
      </c>
      <c r="C19" s="247">
        <f t="shared" ref="C19:C28" si="4">E5-E4</f>
        <v>47853.906000000017</v>
      </c>
      <c r="D19" s="231">
        <v>3.6</v>
      </c>
      <c r="E19" s="247">
        <f>C19/D19</f>
        <v>13292.751666666671</v>
      </c>
      <c r="F19" s="247">
        <f t="shared" ref="F19:F28" si="5">H5-E19</f>
        <v>106369.81386351801</v>
      </c>
      <c r="G19" s="76">
        <f>G18+E19</f>
        <v>120142.75166666668</v>
      </c>
      <c r="H19" s="78">
        <f t="shared" ref="H19:H28" si="6">H5/G19</f>
        <v>0.99600320344073479</v>
      </c>
      <c r="L19" s="243"/>
      <c r="M19" s="243"/>
      <c r="N19" s="243"/>
      <c r="O19" s="175"/>
      <c r="P19" s="175"/>
      <c r="Q19" s="175"/>
      <c r="R19" s="175"/>
      <c r="S19" s="175"/>
      <c r="T19" s="175"/>
      <c r="U19" s="175"/>
      <c r="V19" s="175"/>
      <c r="W19" s="175"/>
      <c r="X19" s="175"/>
      <c r="Y19" s="175"/>
      <c r="Z19" s="175"/>
      <c r="AA19" s="175"/>
      <c r="AB19" s="175"/>
      <c r="AC19" s="175"/>
      <c r="AD19" s="175"/>
      <c r="AE19" s="175"/>
      <c r="AF19" s="175"/>
    </row>
    <row r="20" spans="1:34">
      <c r="A20" s="177"/>
      <c r="B20" s="248">
        <f t="shared" ref="B20:B28" si="7">B19+1</f>
        <v>2</v>
      </c>
      <c r="C20" s="247">
        <f t="shared" ca="1" si="4"/>
        <v>45475.712092799949</v>
      </c>
      <c r="D20" s="231">
        <v>3.6</v>
      </c>
      <c r="E20" s="247">
        <f t="shared" ref="E20:E28" ca="1" si="8">C20/D20</f>
        <v>12632.142247999986</v>
      </c>
      <c r="F20" s="247">
        <f t="shared" ca="1" si="5"/>
        <v>116031.7846332742</v>
      </c>
      <c r="G20" s="76">
        <f t="shared" ref="G20:G28" ca="1" si="9">G19+E20</f>
        <v>132774.89391466667</v>
      </c>
      <c r="H20" s="78">
        <f t="shared" ca="1" si="6"/>
        <v>0.96903806953116789</v>
      </c>
      <c r="L20" s="243"/>
      <c r="M20" s="243"/>
      <c r="N20" s="243"/>
      <c r="O20" s="175"/>
      <c r="P20" s="175"/>
      <c r="Q20" s="175"/>
      <c r="R20" s="175"/>
      <c r="S20" s="175"/>
      <c r="T20" s="175"/>
      <c r="U20" s="175"/>
      <c r="V20" s="175"/>
      <c r="W20" s="175"/>
      <c r="X20" s="175"/>
      <c r="Y20" s="175"/>
      <c r="Z20" s="175"/>
      <c r="AA20" s="175"/>
      <c r="AB20" s="175"/>
      <c r="AC20" s="175"/>
      <c r="AD20" s="175"/>
      <c r="AE20" s="175"/>
      <c r="AF20" s="175"/>
    </row>
    <row r="21" spans="1:34">
      <c r="B21" s="248">
        <f t="shared" si="7"/>
        <v>3</v>
      </c>
      <c r="C21" s="247">
        <f t="shared" ca="1" si="4"/>
        <v>49128.074354419368</v>
      </c>
      <c r="D21" s="231">
        <v>3.6</v>
      </c>
      <c r="E21" s="247">
        <f t="shared" ca="1" si="8"/>
        <v>13646.687320672047</v>
      </c>
      <c r="F21" s="247">
        <f t="shared" ca="1" si="5"/>
        <v>125036.97591636797</v>
      </c>
      <c r="G21" s="76">
        <f t="shared" ca="1" si="9"/>
        <v>146421.5812353387</v>
      </c>
      <c r="H21" s="78">
        <f t="shared" ca="1" si="6"/>
        <v>0.94715315916537079</v>
      </c>
      <c r="L21" s="175"/>
      <c r="M21" s="350"/>
      <c r="N21" s="244"/>
      <c r="O21" s="175"/>
      <c r="P21" s="175"/>
      <c r="Q21" s="175"/>
      <c r="R21" s="175"/>
      <c r="S21" s="175"/>
      <c r="T21" s="175"/>
      <c r="U21" s="175"/>
      <c r="V21" s="175"/>
      <c r="W21" s="175"/>
      <c r="X21" s="175"/>
      <c r="Y21" s="175"/>
      <c r="Z21" s="175"/>
      <c r="AA21" s="175"/>
      <c r="AB21" s="175"/>
      <c r="AC21" s="175"/>
      <c r="AD21" s="175"/>
      <c r="AE21" s="175"/>
      <c r="AF21" s="175"/>
    </row>
    <row r="22" spans="1:34">
      <c r="B22" s="248">
        <f t="shared" si="7"/>
        <v>4</v>
      </c>
      <c r="C22" s="247">
        <f t="shared" ca="1" si="4"/>
        <v>59426.232667410863</v>
      </c>
      <c r="D22" s="231">
        <v>3.6</v>
      </c>
      <c r="E22" s="247">
        <f t="shared" ca="1" si="8"/>
        <v>16507.286852058573</v>
      </c>
      <c r="F22" s="247">
        <f t="shared" ca="1" si="5"/>
        <v>134524.0632108353</v>
      </c>
      <c r="G22" s="76">
        <f t="shared" ca="1" si="9"/>
        <v>162928.86808739728</v>
      </c>
      <c r="H22" s="78">
        <f t="shared" ca="1" si="6"/>
        <v>0.92697722531208282</v>
      </c>
      <c r="L22" s="175"/>
      <c r="M22" s="350"/>
      <c r="N22" s="239"/>
      <c r="O22" s="175"/>
      <c r="P22" s="175"/>
      <c r="Q22" s="175"/>
      <c r="R22" s="175"/>
      <c r="S22" s="175"/>
      <c r="T22" s="175"/>
      <c r="U22" s="175"/>
      <c r="V22" s="175"/>
      <c r="W22" s="175"/>
      <c r="X22" s="175"/>
      <c r="Y22" s="175"/>
      <c r="Z22" s="175"/>
      <c r="AA22" s="175"/>
      <c r="AB22" s="175"/>
      <c r="AC22" s="175"/>
      <c r="AD22" s="175"/>
      <c r="AE22" s="175"/>
      <c r="AF22" s="175"/>
      <c r="AG22" s="175"/>
    </row>
    <row r="23" spans="1:34">
      <c r="B23" s="248">
        <f t="shared" si="7"/>
        <v>5</v>
      </c>
      <c r="C23" s="247">
        <f t="shared" ca="1" si="4"/>
        <v>64591.317487865454</v>
      </c>
      <c r="D23" s="231">
        <v>3.6</v>
      </c>
      <c r="E23" s="247">
        <f t="shared" ca="1" si="8"/>
        <v>17942.032635518182</v>
      </c>
      <c r="F23" s="247">
        <f t="shared" ca="1" si="5"/>
        <v>146247.99043182307</v>
      </c>
      <c r="G23" s="76">
        <f t="shared" ca="1" si="9"/>
        <v>180870.90072291545</v>
      </c>
      <c r="H23" s="78">
        <f t="shared" ca="1" si="6"/>
        <v>0.90777467470497963</v>
      </c>
      <c r="I23" s="122"/>
      <c r="J23" s="122"/>
      <c r="K23" s="175"/>
      <c r="L23" s="175"/>
      <c r="M23" s="350"/>
      <c r="N23" s="175"/>
      <c r="O23" s="175"/>
      <c r="P23" s="175"/>
      <c r="Q23" s="175"/>
      <c r="R23" s="175"/>
      <c r="S23" s="175"/>
      <c r="T23" s="175"/>
      <c r="U23" s="175"/>
      <c r="V23" s="175"/>
      <c r="W23" s="175"/>
      <c r="X23" s="175"/>
      <c r="Y23" s="175"/>
      <c r="Z23" s="175"/>
      <c r="AA23" s="175"/>
      <c r="AB23" s="175"/>
      <c r="AC23" s="175"/>
      <c r="AD23" s="175"/>
      <c r="AE23" s="175"/>
      <c r="AF23" s="175"/>
      <c r="AG23" s="175"/>
      <c r="AH23" s="175"/>
    </row>
    <row r="24" spans="1:34">
      <c r="B24" s="248">
        <f t="shared" si="7"/>
        <v>6</v>
      </c>
      <c r="C24" s="247">
        <f t="shared" si="4"/>
        <v>66542.059174033813</v>
      </c>
      <c r="D24" s="231">
        <v>3.6</v>
      </c>
      <c r="E24" s="247">
        <f t="shared" si="8"/>
        <v>18483.905326120504</v>
      </c>
      <c r="F24" s="247">
        <f t="shared" si="5"/>
        <v>165150.82015672803</v>
      </c>
      <c r="G24" s="76">
        <f t="shared" ca="1" si="9"/>
        <v>199354.80604903595</v>
      </c>
      <c r="H24" s="78">
        <f t="shared" ca="1" si="6"/>
        <v>0.92114521401445071</v>
      </c>
      <c r="I24" s="122"/>
      <c r="J24" s="122"/>
      <c r="K24" s="175"/>
      <c r="L24" s="175"/>
      <c r="M24" s="175"/>
      <c r="O24" s="84"/>
      <c r="P24" s="175"/>
      <c r="Q24" s="175"/>
      <c r="R24" s="175"/>
      <c r="S24" s="175"/>
      <c r="T24" s="175"/>
      <c r="U24" s="175"/>
      <c r="V24" s="175"/>
      <c r="W24" s="175"/>
      <c r="X24" s="175"/>
      <c r="Y24" s="175"/>
      <c r="Z24" s="175"/>
      <c r="AA24" s="175"/>
      <c r="AB24" s="175"/>
      <c r="AC24" s="175"/>
      <c r="AD24" s="175"/>
      <c r="AE24" s="175"/>
      <c r="AF24" s="175"/>
      <c r="AG24" s="175"/>
      <c r="AH24" s="175"/>
    </row>
    <row r="25" spans="1:34">
      <c r="B25" s="248">
        <f t="shared" si="7"/>
        <v>7</v>
      </c>
      <c r="C25" s="247">
        <f t="shared" si="4"/>
        <v>72090.346938313101</v>
      </c>
      <c r="D25" s="231">
        <v>3.6</v>
      </c>
      <c r="E25" s="247">
        <f t="shared" si="8"/>
        <v>20025.09637175364</v>
      </c>
      <c r="F25" s="247">
        <f t="shared" si="5"/>
        <v>179245.02076292987</v>
      </c>
      <c r="G25" s="76">
        <f t="shared" ca="1" si="9"/>
        <v>219379.90242078959</v>
      </c>
      <c r="H25" s="78">
        <f t="shared" ca="1" si="6"/>
        <v>0.90833351157421072</v>
      </c>
      <c r="I25" s="122"/>
      <c r="J25" s="122"/>
      <c r="K25" s="175"/>
      <c r="L25" s="175"/>
      <c r="M25" s="175"/>
      <c r="N25" s="347"/>
      <c r="O25" s="180"/>
      <c r="P25" s="175"/>
      <c r="Q25" s="175"/>
      <c r="R25" s="175"/>
      <c r="S25" s="175"/>
      <c r="T25" s="175"/>
      <c r="U25" s="175"/>
      <c r="V25" s="175"/>
      <c r="W25" s="175"/>
      <c r="X25" s="175"/>
      <c r="Y25" s="175"/>
      <c r="Z25" s="175"/>
      <c r="AA25" s="175"/>
      <c r="AB25" s="175"/>
      <c r="AC25" s="175"/>
      <c r="AD25" s="175"/>
      <c r="AE25" s="175"/>
      <c r="AF25" s="175"/>
      <c r="AG25" s="175"/>
      <c r="AH25" s="175"/>
    </row>
    <row r="26" spans="1:34">
      <c r="B26" s="248">
        <f t="shared" si="7"/>
        <v>8</v>
      </c>
      <c r="C26" s="247">
        <f>E12-E11</f>
        <v>71806.081851770054</v>
      </c>
      <c r="D26" s="231">
        <v>3.6</v>
      </c>
      <c r="E26" s="247">
        <f t="shared" si="8"/>
        <v>19946.133847713903</v>
      </c>
      <c r="F26" s="247">
        <f t="shared" si="5"/>
        <v>195182.1093824222</v>
      </c>
      <c r="G26" s="76">
        <f t="shared" ca="1" si="9"/>
        <v>239326.03626850349</v>
      </c>
      <c r="H26" s="78">
        <f t="shared" ca="1" si="6"/>
        <v>0.89889193246312948</v>
      </c>
      <c r="I26" s="122"/>
      <c r="J26" s="122"/>
      <c r="K26" s="175"/>
      <c r="L26" s="175"/>
      <c r="M26" s="175"/>
      <c r="N26" s="348"/>
      <c r="O26" s="180"/>
      <c r="P26" s="175"/>
      <c r="Q26" s="175"/>
      <c r="R26" s="175"/>
      <c r="S26" s="175"/>
      <c r="T26" s="175"/>
      <c r="U26" s="175"/>
      <c r="V26" s="175"/>
      <c r="W26" s="175"/>
      <c r="X26" s="175"/>
      <c r="Y26" s="175"/>
      <c r="Z26" s="175"/>
      <c r="AA26" s="175"/>
      <c r="AB26" s="175"/>
      <c r="AC26" s="175"/>
      <c r="AD26" s="175"/>
      <c r="AE26" s="175"/>
      <c r="AF26" s="175"/>
      <c r="AG26" s="175"/>
      <c r="AH26" s="175"/>
    </row>
    <row r="27" spans="1:34">
      <c r="B27" s="248">
        <f t="shared" si="7"/>
        <v>9</v>
      </c>
      <c r="C27" s="247">
        <f t="shared" si="4"/>
        <v>77397.4703156217</v>
      </c>
      <c r="D27" s="231">
        <v>3.6</v>
      </c>
      <c r="E27" s="247">
        <f t="shared" si="8"/>
        <v>21499.297309894915</v>
      </c>
      <c r="F27" s="247">
        <f t="shared" si="5"/>
        <v>210500.48116383381</v>
      </c>
      <c r="G27" s="76">
        <f t="shared" ca="1" si="9"/>
        <v>260825.33357839839</v>
      </c>
      <c r="H27" s="78">
        <f t="shared" ca="1" si="6"/>
        <v>0.88948330014881261</v>
      </c>
      <c r="I27" s="122"/>
      <c r="J27" s="122"/>
      <c r="K27" s="175"/>
      <c r="L27" s="175"/>
      <c r="N27" s="349"/>
      <c r="O27" s="175"/>
      <c r="P27" s="175"/>
      <c r="Q27" s="175"/>
      <c r="R27" s="175"/>
      <c r="S27" s="175"/>
      <c r="T27" s="175"/>
      <c r="U27" s="175"/>
      <c r="V27" s="175"/>
      <c r="W27" s="175"/>
      <c r="X27" s="175"/>
      <c r="Y27" s="175"/>
      <c r="Z27" s="175"/>
      <c r="AA27" s="175"/>
      <c r="AB27" s="175"/>
      <c r="AC27" s="175"/>
      <c r="AD27" s="175"/>
      <c r="AE27" s="175"/>
      <c r="AF27" s="175"/>
      <c r="AG27" s="175"/>
      <c r="AH27" s="175"/>
    </row>
    <row r="28" spans="1:34">
      <c r="B28" s="248">
        <f t="shared" si="7"/>
        <v>10</v>
      </c>
      <c r="C28" s="247">
        <f t="shared" si="4"/>
        <v>90639.734453869285</v>
      </c>
      <c r="D28" s="231">
        <v>3.6</v>
      </c>
      <c r="E28" s="247">
        <f t="shared" si="8"/>
        <v>25177.704014963689</v>
      </c>
      <c r="F28" s="247">
        <f t="shared" si="5"/>
        <v>226839.50977668958</v>
      </c>
      <c r="G28" s="76">
        <f t="shared" ca="1" si="9"/>
        <v>286003.0375933621</v>
      </c>
      <c r="H28" s="78">
        <f t="shared" ca="1" si="6"/>
        <v>0.88116971033702896</v>
      </c>
      <c r="I28" s="214"/>
      <c r="J28" s="214"/>
      <c r="K28" s="175"/>
      <c r="N28" s="350"/>
      <c r="O28" s="175"/>
      <c r="P28" s="175"/>
      <c r="Q28" s="175"/>
      <c r="R28" s="175"/>
      <c r="S28" s="175"/>
      <c r="T28" s="175"/>
      <c r="U28" s="175"/>
      <c r="V28" s="175"/>
      <c r="W28" s="175"/>
      <c r="X28" s="175"/>
      <c r="Y28" s="175"/>
      <c r="Z28" s="175"/>
      <c r="AA28" s="175"/>
      <c r="AB28" s="175"/>
      <c r="AC28" s="175"/>
      <c r="AD28" s="175"/>
      <c r="AE28" s="175"/>
      <c r="AF28" s="175"/>
      <c r="AG28" s="175"/>
      <c r="AH28" s="175"/>
    </row>
    <row r="29" spans="1:34">
      <c r="K29" s="175"/>
      <c r="N29" s="350"/>
      <c r="O29" s="175"/>
      <c r="P29" s="175"/>
      <c r="Q29" s="175"/>
      <c r="R29" s="175"/>
      <c r="S29" s="175"/>
      <c r="T29" s="175"/>
      <c r="U29" s="175"/>
      <c r="V29" s="175"/>
      <c r="W29" s="175"/>
      <c r="X29" s="175"/>
      <c r="Y29" s="175"/>
      <c r="Z29" s="175"/>
      <c r="AA29" s="175"/>
      <c r="AB29" s="175"/>
      <c r="AC29" s="175"/>
      <c r="AD29" s="175"/>
      <c r="AE29" s="175"/>
      <c r="AF29" s="175"/>
      <c r="AG29" s="175"/>
      <c r="AH29" s="175"/>
    </row>
    <row r="30" spans="1:34" ht="14.25" customHeight="1">
      <c r="J30" s="130"/>
      <c r="K30" s="175"/>
      <c r="P30" s="175"/>
      <c r="Q30" s="175"/>
      <c r="R30" s="175"/>
      <c r="S30" s="175"/>
      <c r="T30" s="175"/>
      <c r="U30" s="175"/>
      <c r="V30" s="175"/>
      <c r="W30" s="175"/>
      <c r="X30" s="175"/>
      <c r="Y30" s="175"/>
      <c r="Z30" s="175"/>
      <c r="AA30" s="175"/>
      <c r="AB30" s="175"/>
      <c r="AC30" s="175"/>
      <c r="AD30" s="175"/>
      <c r="AE30" s="175"/>
      <c r="AF30" s="175"/>
      <c r="AG30" s="175"/>
      <c r="AH30" s="175"/>
    </row>
    <row r="31" spans="1:34">
      <c r="P31" s="175"/>
      <c r="Q31" s="175"/>
      <c r="R31" s="175"/>
      <c r="S31" s="175"/>
      <c r="T31" s="175"/>
      <c r="U31" s="175"/>
      <c r="V31" s="175"/>
      <c r="W31" s="175"/>
      <c r="X31" s="175"/>
      <c r="Y31" s="175"/>
      <c r="Z31" s="175"/>
      <c r="AA31" s="175"/>
      <c r="AB31" s="175"/>
      <c r="AC31" s="175"/>
      <c r="AD31" s="175"/>
      <c r="AE31" s="175"/>
      <c r="AF31" s="175"/>
      <c r="AG31" s="175"/>
      <c r="AH31" s="175"/>
    </row>
    <row r="32" spans="1:34">
      <c r="L32" s="175"/>
      <c r="M32" s="175"/>
      <c r="N32" s="175"/>
      <c r="O32" s="175"/>
      <c r="P32" s="175"/>
      <c r="Q32" s="175"/>
      <c r="R32" s="175"/>
      <c r="S32" s="175"/>
      <c r="T32" s="175"/>
      <c r="U32" s="175"/>
      <c r="V32" s="175"/>
      <c r="W32" s="175"/>
      <c r="X32" s="175"/>
      <c r="Y32" s="175"/>
      <c r="Z32" s="175"/>
      <c r="AA32" s="175"/>
      <c r="AB32" s="175"/>
      <c r="AC32" s="175"/>
      <c r="AD32" s="175"/>
      <c r="AE32" s="175"/>
      <c r="AF32" s="175"/>
      <c r="AG32" s="175"/>
      <c r="AH32" s="175"/>
    </row>
    <row r="33" spans="7:34">
      <c r="L33" s="175"/>
      <c r="M33" s="175"/>
      <c r="N33" s="175"/>
      <c r="O33" s="175"/>
      <c r="P33" s="175"/>
      <c r="Q33" s="175"/>
      <c r="R33" s="175"/>
      <c r="S33" s="175"/>
      <c r="T33" s="175"/>
      <c r="U33" s="175"/>
      <c r="V33" s="175"/>
      <c r="W33" s="175"/>
      <c r="X33" s="175"/>
      <c r="Y33" s="175"/>
      <c r="Z33" s="175"/>
      <c r="AA33" s="175"/>
      <c r="AB33" s="175"/>
      <c r="AC33" s="175"/>
      <c r="AD33" s="175"/>
      <c r="AE33" s="175"/>
      <c r="AF33" s="175"/>
      <c r="AG33" s="175"/>
      <c r="AH33" s="175"/>
    </row>
    <row r="34" spans="7:34">
      <c r="L34" s="175"/>
      <c r="M34" s="175"/>
      <c r="N34" s="175"/>
      <c r="O34" s="175"/>
      <c r="P34" s="175"/>
      <c r="Q34" s="175"/>
      <c r="R34" s="175"/>
      <c r="S34" s="175"/>
      <c r="T34" s="175"/>
      <c r="U34" s="175"/>
      <c r="V34" s="175"/>
      <c r="W34" s="175"/>
      <c r="X34" s="175"/>
      <c r="Y34" s="175"/>
      <c r="Z34" s="175"/>
      <c r="AA34" s="175"/>
      <c r="AB34" s="175"/>
      <c r="AC34" s="175"/>
      <c r="AD34" s="175"/>
      <c r="AE34" s="175"/>
      <c r="AF34" s="175"/>
      <c r="AG34" s="175"/>
      <c r="AH34" s="175"/>
    </row>
    <row r="35" spans="7:34">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c r="AG35" s="175"/>
      <c r="AH35" s="175"/>
    </row>
    <row r="36" spans="7:34">
      <c r="G36" s="175"/>
      <c r="H36" s="175"/>
      <c r="I36" s="175"/>
      <c r="J36" s="175"/>
      <c r="K36" s="175"/>
      <c r="N36" s="175"/>
      <c r="O36" s="175"/>
      <c r="P36" s="175"/>
      <c r="Q36" s="175"/>
      <c r="R36" s="175"/>
      <c r="S36" s="175"/>
      <c r="T36" s="175"/>
      <c r="U36" s="175"/>
      <c r="V36" s="175"/>
      <c r="W36" s="175"/>
      <c r="X36" s="175"/>
      <c r="Y36" s="175"/>
      <c r="Z36" s="175"/>
      <c r="AA36" s="175"/>
      <c r="AB36" s="175"/>
      <c r="AC36" s="175"/>
      <c r="AD36" s="175"/>
      <c r="AE36" s="175"/>
      <c r="AF36" s="175"/>
      <c r="AG36" s="175"/>
      <c r="AH36" s="175"/>
    </row>
    <row r="37" spans="7:34">
      <c r="G37" s="175"/>
      <c r="H37" s="175"/>
      <c r="I37" s="175"/>
      <c r="J37" s="175"/>
      <c r="K37" s="175"/>
      <c r="N37" s="175"/>
      <c r="O37" s="175"/>
      <c r="P37" s="175"/>
      <c r="Q37" s="175"/>
      <c r="R37" s="175"/>
      <c r="S37" s="175"/>
      <c r="T37" s="175"/>
      <c r="U37" s="175"/>
      <c r="V37" s="175"/>
      <c r="W37" s="175"/>
      <c r="X37" s="175"/>
      <c r="Y37" s="175"/>
      <c r="Z37" s="175"/>
      <c r="AA37" s="175"/>
      <c r="AB37" s="175"/>
      <c r="AC37" s="175"/>
      <c r="AD37" s="175"/>
      <c r="AE37" s="175"/>
      <c r="AF37" s="175"/>
      <c r="AG37" s="175"/>
      <c r="AH37" s="175"/>
    </row>
    <row r="38" spans="7:34">
      <c r="G38" s="175"/>
      <c r="H38" s="175"/>
      <c r="I38" s="175"/>
      <c r="J38" s="175"/>
      <c r="K38" s="175"/>
      <c r="N38" s="175"/>
      <c r="O38" s="175"/>
      <c r="P38" s="175"/>
      <c r="Q38" s="175"/>
      <c r="R38" s="175"/>
      <c r="S38" s="175"/>
      <c r="T38" s="175"/>
      <c r="U38" s="175"/>
      <c r="V38" s="175"/>
      <c r="W38" s="175"/>
      <c r="X38" s="175"/>
      <c r="Y38" s="175"/>
      <c r="Z38" s="175"/>
      <c r="AA38" s="175"/>
      <c r="AB38" s="175"/>
      <c r="AC38" s="175"/>
      <c r="AD38" s="175"/>
      <c r="AE38" s="175"/>
      <c r="AF38" s="175"/>
      <c r="AG38" s="175"/>
      <c r="AH38" s="175"/>
    </row>
  </sheetData>
  <pageMargins left="0.7" right="0.7" top="0.75" bottom="0.75" header="0.3" footer="0.3"/>
  <pageSetup orientation="landscape" r:id="rId1"/>
  <ignoredErrors>
    <ignoredError sqref="E4 F5:F14"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9.28515625" style="170" customWidth="1"/>
    <col min="3" max="3" width="15" style="170" customWidth="1"/>
    <col min="4" max="4" width="4.85546875" style="170" customWidth="1"/>
    <col min="5" max="5" width="5.140625" style="170" customWidth="1"/>
    <col min="6" max="6" width="24.28515625" style="170" customWidth="1"/>
    <col min="7" max="7" width="10.14062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189</v>
      </c>
      <c r="C1" s="168"/>
      <c r="D1" s="168"/>
      <c r="E1" s="168"/>
      <c r="F1" s="168"/>
      <c r="G1" s="168"/>
      <c r="H1" s="168"/>
      <c r="I1" s="168"/>
      <c r="J1" s="168"/>
      <c r="K1" s="168"/>
      <c r="L1" s="168"/>
    </row>
    <row r="2" spans="1:32" ht="12" customHeight="1">
      <c r="C2" s="198"/>
    </row>
    <row r="3" spans="1:32" ht="12" customHeight="1">
      <c r="A3" s="172"/>
      <c r="B3" s="201" t="s">
        <v>203</v>
      </c>
      <c r="C3" s="236">
        <v>0.04</v>
      </c>
      <c r="F3" s="388" t="s">
        <v>207</v>
      </c>
      <c r="G3" s="388"/>
      <c r="H3" s="388"/>
      <c r="I3" s="388"/>
      <c r="J3" s="388"/>
      <c r="K3" s="388"/>
      <c r="L3" s="215"/>
      <c r="M3" s="215"/>
      <c r="N3" s="215"/>
      <c r="O3" s="215"/>
      <c r="P3" s="215"/>
      <c r="Q3" s="215"/>
    </row>
    <row r="4" spans="1:32" ht="12" customHeight="1">
      <c r="A4" s="177"/>
      <c r="B4" s="187" t="s">
        <v>204</v>
      </c>
      <c r="C4" s="96">
        <f ca="1">'Future Cashflows (10 Yrs)'!H28</f>
        <v>0.88116971033702896</v>
      </c>
      <c r="F4" s="114" t="s">
        <v>107</v>
      </c>
      <c r="G4" s="96">
        <f>'Risk Free Rate'!C4</f>
        <v>5.568E-2</v>
      </c>
      <c r="H4" s="183"/>
      <c r="I4" s="183"/>
      <c r="J4" s="183"/>
      <c r="K4" s="188"/>
      <c r="L4" s="281"/>
      <c r="M4" s="281"/>
      <c r="N4" s="281"/>
      <c r="O4" s="281"/>
      <c r="P4" s="281"/>
      <c r="Q4" s="171"/>
      <c r="S4" s="174"/>
      <c r="T4" s="174"/>
      <c r="U4" s="174"/>
      <c r="V4" s="174"/>
      <c r="AA4" s="174"/>
    </row>
    <row r="5" spans="1:32" ht="12" customHeight="1">
      <c r="A5" s="177"/>
      <c r="B5" s="191" t="s">
        <v>191</v>
      </c>
      <c r="C5" s="272">
        <f ca="1">C3/C4</f>
        <v>4.5394206735386806E-2</v>
      </c>
      <c r="F5" s="114" t="s">
        <v>15</v>
      </c>
      <c r="G5" s="96">
        <f>'Equity Risk Premium'!F28</f>
        <v>4.0421679880840895E-2</v>
      </c>
      <c r="H5" s="183"/>
      <c r="I5" s="183"/>
      <c r="J5" s="183"/>
      <c r="K5" s="188"/>
      <c r="L5" s="50"/>
      <c r="M5" s="50"/>
      <c r="N5" s="50"/>
      <c r="O5" s="50"/>
      <c r="P5" s="50"/>
      <c r="Q5" s="50"/>
      <c r="S5" s="175"/>
      <c r="T5" s="175"/>
      <c r="U5" s="175"/>
      <c r="V5" s="175"/>
      <c r="W5" s="175"/>
      <c r="X5" s="175"/>
      <c r="Y5" s="175"/>
      <c r="Z5" s="175"/>
      <c r="AA5" s="175"/>
      <c r="AB5" s="175"/>
      <c r="AC5" s="175"/>
      <c r="AD5" s="175"/>
      <c r="AE5" s="175"/>
      <c r="AF5" s="175"/>
    </row>
    <row r="6" spans="1:32" ht="12" customHeight="1">
      <c r="A6" s="177"/>
      <c r="B6" s="183"/>
      <c r="C6" s="183"/>
      <c r="F6" s="114" t="s">
        <v>220</v>
      </c>
      <c r="G6" s="151">
        <f>Beta!C8</f>
        <v>0.49306889818215843</v>
      </c>
      <c r="H6" s="274" t="s">
        <v>292</v>
      </c>
      <c r="I6" s="183"/>
      <c r="J6" s="183"/>
      <c r="K6" s="188"/>
      <c r="L6" s="207"/>
      <c r="M6" s="207"/>
      <c r="N6" s="207"/>
      <c r="O6" s="207"/>
      <c r="P6" s="207"/>
      <c r="Q6" s="207"/>
      <c r="S6" s="175"/>
      <c r="T6" s="175"/>
      <c r="U6" s="175"/>
      <c r="V6" s="175"/>
      <c r="W6" s="175"/>
      <c r="X6" s="175"/>
      <c r="Y6" s="175"/>
      <c r="Z6" s="175"/>
      <c r="AA6" s="175"/>
      <c r="AB6" s="175"/>
      <c r="AC6" s="175"/>
      <c r="AD6" s="175"/>
      <c r="AE6" s="175"/>
      <c r="AF6" s="175"/>
    </row>
    <row r="7" spans="1:32" ht="12" customHeight="1">
      <c r="B7" s="187" t="s">
        <v>205</v>
      </c>
      <c r="C7" s="160">
        <f>'Future Cashflows (10 Yrs)'!$C$14*(1+7.16%)*'Future Cashflows (10 Yrs)'!$D$14*'Future Cashflows (10 Yrs)'!$F$14</f>
        <v>360890.58998708526</v>
      </c>
      <c r="F7" s="18"/>
      <c r="G7" s="18"/>
      <c r="H7" s="183"/>
      <c r="I7" s="183"/>
      <c r="J7" s="183"/>
      <c r="K7" s="183"/>
      <c r="N7" s="175"/>
      <c r="O7" s="175"/>
      <c r="P7" s="198"/>
      <c r="Q7" s="207"/>
      <c r="S7" s="175"/>
      <c r="T7" s="175"/>
      <c r="U7" s="175"/>
      <c r="V7" s="175"/>
      <c r="W7" s="175"/>
      <c r="X7" s="175"/>
      <c r="Y7" s="175"/>
      <c r="Z7" s="175"/>
      <c r="AA7" s="175"/>
      <c r="AB7" s="175"/>
      <c r="AC7" s="175"/>
      <c r="AD7" s="175"/>
      <c r="AE7" s="175"/>
      <c r="AF7" s="175"/>
    </row>
    <row r="8" spans="1:32" ht="12" customHeight="1">
      <c r="A8" s="177"/>
      <c r="B8" s="187" t="s">
        <v>206</v>
      </c>
      <c r="C8" s="96">
        <f>'EBIT &amp; R&amp;D Expense'!C14</f>
        <v>0.25168000000000001</v>
      </c>
      <c r="F8" s="114" t="s">
        <v>12</v>
      </c>
      <c r="G8" s="58">
        <f>G4+G6*G5</f>
        <v>7.5610673161518149E-2</v>
      </c>
      <c r="H8" s="183"/>
      <c r="I8" s="183"/>
      <c r="J8" s="183"/>
      <c r="K8" s="275"/>
      <c r="O8" s="175"/>
      <c r="P8" s="175"/>
      <c r="Q8" s="175"/>
      <c r="R8" s="175"/>
      <c r="S8" s="175"/>
      <c r="T8" s="175"/>
      <c r="U8" s="175"/>
      <c r="V8" s="175"/>
      <c r="W8" s="175"/>
      <c r="X8" s="175"/>
      <c r="Y8" s="175"/>
      <c r="Z8" s="175"/>
      <c r="AA8" s="175"/>
      <c r="AB8" s="175"/>
      <c r="AC8" s="175"/>
      <c r="AD8" s="175"/>
      <c r="AE8" s="175"/>
      <c r="AF8" s="175"/>
    </row>
    <row r="9" spans="1:32" ht="12" customHeight="1">
      <c r="A9" s="177"/>
      <c r="B9" s="191" t="s">
        <v>157</v>
      </c>
      <c r="C9" s="192">
        <f>C7*(1-C8)</f>
        <v>270061.64629913564</v>
      </c>
      <c r="F9" s="183"/>
      <c r="G9" s="183"/>
      <c r="H9" s="183"/>
      <c r="I9" s="183"/>
      <c r="J9" s="183"/>
      <c r="K9" s="249"/>
      <c r="O9" s="175"/>
      <c r="P9" s="175"/>
      <c r="Q9" s="175"/>
      <c r="R9" s="175"/>
      <c r="S9" s="175"/>
      <c r="T9" s="175"/>
      <c r="U9" s="175"/>
      <c r="V9" s="175"/>
      <c r="W9" s="175"/>
      <c r="X9" s="175"/>
      <c r="Y9" s="175"/>
      <c r="Z9" s="175"/>
      <c r="AA9" s="175"/>
      <c r="AB9" s="175"/>
      <c r="AC9" s="175"/>
      <c r="AD9" s="175"/>
      <c r="AE9" s="175"/>
      <c r="AF9" s="175"/>
    </row>
    <row r="10" spans="1:32">
      <c r="A10" s="173"/>
      <c r="B10" s="187"/>
      <c r="C10" s="277"/>
      <c r="F10" s="114" t="s">
        <v>111</v>
      </c>
      <c r="G10" s="98">
        <v>3.2140000000000002E-2</v>
      </c>
      <c r="H10" s="183"/>
      <c r="I10" s="183"/>
      <c r="J10" s="205"/>
      <c r="K10" s="249"/>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187" t="s">
        <v>208</v>
      </c>
      <c r="C11" s="278">
        <f ca="1">C9*(1-C5)</f>
        <v>257802.41209573374</v>
      </c>
      <c r="F11" s="114" t="s">
        <v>110</v>
      </c>
      <c r="G11" s="151">
        <f>17.31/10.75</f>
        <v>1.6102325581395347</v>
      </c>
      <c r="H11" s="183"/>
      <c r="I11" s="183"/>
      <c r="J11" s="208"/>
      <c r="K11" s="249"/>
      <c r="O11" s="175"/>
      <c r="P11" s="175"/>
      <c r="Q11" s="175"/>
      <c r="R11" s="175"/>
      <c r="S11" s="175"/>
      <c r="T11" s="175"/>
      <c r="U11" s="175"/>
      <c r="V11" s="175"/>
      <c r="W11" s="175"/>
      <c r="X11" s="175"/>
      <c r="Y11" s="175"/>
      <c r="Z11" s="175"/>
      <c r="AA11" s="175"/>
      <c r="AB11" s="175"/>
      <c r="AC11" s="175"/>
      <c r="AD11" s="175"/>
      <c r="AE11" s="175"/>
      <c r="AF11" s="175"/>
    </row>
    <row r="12" spans="1:32">
      <c r="B12" s="249"/>
      <c r="C12" s="183"/>
      <c r="F12" s="114" t="s">
        <v>18</v>
      </c>
      <c r="G12" s="96">
        <f>'Risk Free Rate'!C8</f>
        <v>1.8700000000000001E-2</v>
      </c>
      <c r="H12" s="274"/>
      <c r="I12" s="183"/>
      <c r="J12" s="208"/>
      <c r="K12" s="249"/>
      <c r="L12" s="215"/>
      <c r="M12" s="215"/>
      <c r="N12" s="215"/>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54" t="s">
        <v>189</v>
      </c>
      <c r="C13" s="279">
        <f ca="1">C11/(G19-C3)</f>
        <v>7249608.3505784785</v>
      </c>
      <c r="D13" s="2"/>
      <c r="E13" s="6"/>
      <c r="F13" s="54" t="s">
        <v>112</v>
      </c>
      <c r="G13" s="96">
        <v>6.7000000000000002E-3</v>
      </c>
      <c r="H13" s="274" t="s">
        <v>212</v>
      </c>
      <c r="I13" s="183"/>
      <c r="J13" s="208"/>
      <c r="K13" s="249"/>
      <c r="O13" s="175"/>
      <c r="P13" s="175"/>
      <c r="Q13" s="175"/>
      <c r="R13" s="175"/>
      <c r="S13" s="175"/>
      <c r="T13" s="175"/>
      <c r="U13" s="175"/>
      <c r="V13" s="175"/>
      <c r="W13" s="175"/>
      <c r="X13" s="175"/>
      <c r="Y13" s="175"/>
      <c r="Z13" s="175"/>
      <c r="AA13" s="175"/>
      <c r="AB13" s="175"/>
      <c r="AC13" s="175"/>
      <c r="AD13" s="175"/>
      <c r="AE13" s="175"/>
      <c r="AF13" s="175"/>
    </row>
    <row r="14" spans="1:32">
      <c r="D14" s="2"/>
      <c r="E14" s="6"/>
      <c r="F14" s="30"/>
      <c r="G14" s="18"/>
      <c r="H14" s="183"/>
      <c r="I14" s="183"/>
      <c r="J14" s="208"/>
      <c r="K14" s="249"/>
      <c r="O14" s="175"/>
      <c r="P14" s="175"/>
      <c r="Q14" s="175"/>
      <c r="R14" s="175"/>
      <c r="S14" s="175"/>
      <c r="T14" s="175"/>
      <c r="U14" s="175"/>
      <c r="V14" s="175"/>
      <c r="W14" s="175"/>
      <c r="X14" s="175"/>
      <c r="Y14" s="175"/>
      <c r="Z14" s="175"/>
      <c r="AA14" s="175"/>
      <c r="AB14" s="175"/>
      <c r="AC14" s="175"/>
      <c r="AD14" s="175"/>
      <c r="AE14" s="175"/>
      <c r="AF14" s="175"/>
    </row>
    <row r="15" spans="1:32">
      <c r="D15" s="6"/>
      <c r="E15" s="6"/>
      <c r="F15" s="114" t="s">
        <v>13</v>
      </c>
      <c r="G15" s="58">
        <f>G10+(G11*G12)+G13</f>
        <v>6.8951348837209298E-2</v>
      </c>
      <c r="H15" s="183"/>
      <c r="I15" s="183"/>
      <c r="J15" s="208"/>
      <c r="K15" s="249"/>
      <c r="O15" s="175"/>
      <c r="P15" s="175"/>
      <c r="Q15" s="175"/>
      <c r="R15" s="175"/>
      <c r="S15" s="175"/>
      <c r="T15" s="175"/>
      <c r="U15" s="175"/>
      <c r="V15" s="175"/>
      <c r="W15" s="175"/>
      <c r="X15" s="175"/>
      <c r="Y15" s="175"/>
      <c r="Z15" s="175"/>
      <c r="AA15" s="175"/>
      <c r="AB15" s="175"/>
      <c r="AC15" s="175"/>
      <c r="AD15" s="175"/>
      <c r="AE15" s="175"/>
      <c r="AF15" s="175"/>
    </row>
    <row r="16" spans="1:32">
      <c r="B16" s="23"/>
      <c r="C16" s="80"/>
      <c r="D16" s="24"/>
      <c r="E16" s="6"/>
      <c r="F16" s="183"/>
      <c r="G16" s="183"/>
      <c r="H16" s="183"/>
      <c r="I16" s="183"/>
      <c r="J16" s="208"/>
      <c r="K16" s="249"/>
      <c r="O16" s="175"/>
      <c r="P16" s="175"/>
      <c r="Q16" s="175"/>
      <c r="R16" s="175"/>
      <c r="S16" s="175"/>
      <c r="T16" s="175"/>
      <c r="U16" s="175"/>
      <c r="V16" s="175"/>
      <c r="W16" s="175"/>
      <c r="X16" s="175"/>
      <c r="Y16" s="175"/>
      <c r="Z16" s="175"/>
      <c r="AA16" s="175"/>
      <c r="AB16" s="175"/>
      <c r="AC16" s="175"/>
      <c r="AD16" s="175"/>
      <c r="AE16" s="175"/>
      <c r="AF16" s="175"/>
    </row>
    <row r="17" spans="1:32">
      <c r="B17" s="23"/>
      <c r="C17" s="273"/>
      <c r="D17" s="6"/>
      <c r="E17" s="24"/>
      <c r="F17" s="187" t="s">
        <v>209</v>
      </c>
      <c r="G17" s="20">
        <f>WACC!$C$9/(WACC!$C$6+WACC!$C$9)</f>
        <v>2.0738245656737567E-3</v>
      </c>
      <c r="H17" s="183"/>
      <c r="I17" s="183"/>
      <c r="J17" s="208"/>
      <c r="K17" s="249"/>
      <c r="L17" s="175"/>
      <c r="O17" s="175"/>
      <c r="P17" s="175"/>
      <c r="Q17" s="175"/>
      <c r="R17" s="175"/>
      <c r="S17" s="175"/>
      <c r="T17" s="175"/>
      <c r="U17" s="175"/>
      <c r="V17" s="175"/>
      <c r="W17" s="175"/>
      <c r="X17" s="175"/>
      <c r="Y17" s="175"/>
      <c r="Z17" s="175"/>
      <c r="AA17" s="175"/>
      <c r="AB17" s="175"/>
      <c r="AC17" s="175"/>
      <c r="AD17" s="175"/>
      <c r="AE17" s="175"/>
      <c r="AF17" s="175"/>
    </row>
    <row r="18" spans="1:32">
      <c r="A18" s="177"/>
      <c r="B18" s="3"/>
      <c r="C18" s="3"/>
      <c r="D18" s="6"/>
      <c r="E18" s="6"/>
      <c r="F18" s="187" t="s">
        <v>210</v>
      </c>
      <c r="G18" s="276">
        <f>1-G17</f>
        <v>0.99792617543432627</v>
      </c>
      <c r="H18" s="183"/>
      <c r="I18" s="183"/>
      <c r="J18" s="208"/>
      <c r="K18" s="249"/>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23"/>
      <c r="C19" s="61"/>
      <c r="D19" s="6"/>
      <c r="E19" s="6"/>
      <c r="F19" s="191" t="s">
        <v>211</v>
      </c>
      <c r="G19" s="272">
        <f>(G8*G18)+(G15*(1-C8)*G17)</f>
        <v>7.5560874412638104E-2</v>
      </c>
      <c r="H19" s="274" t="s">
        <v>293</v>
      </c>
      <c r="I19" s="183"/>
      <c r="J19" s="359"/>
      <c r="K19" s="249"/>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3"/>
      <c r="C20" s="3"/>
      <c r="D20" s="6"/>
      <c r="E20" s="6"/>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56"/>
      <c r="C21" s="3"/>
      <c r="D21" s="6"/>
      <c r="E21" s="24"/>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
      <c r="C22" s="2"/>
      <c r="D22" s="2"/>
      <c r="E22" s="2"/>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16"/>
      <c r="C23" s="3"/>
      <c r="D23" s="6"/>
      <c r="E23" s="6"/>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3"/>
      <c r="C24" s="3"/>
      <c r="D24" s="6"/>
      <c r="E24" s="6"/>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D25" s="6"/>
      <c r="E25" s="6"/>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D26" s="6"/>
      <c r="E26" s="6"/>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D27" s="24"/>
      <c r="E27" s="24"/>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D28" s="6"/>
      <c r="E28" s="6"/>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D29" s="6"/>
      <c r="E29" s="6"/>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B31" s="114"/>
      <c r="C31" s="114"/>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B32" s="153"/>
      <c r="C32" s="18"/>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7: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7:32">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7:32">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7: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7: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7: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1">
    <mergeCell ref="F3:K3"/>
  </mergeCells>
  <pageMargins left="0.7" right="0.7" top="0.75" bottom="0.75" header="0.3" footer="0.3"/>
  <pageSetup paperSize="11"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9" t="s">
        <v>239</v>
      </c>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35.28515625" style="170" customWidth="1"/>
    <col min="3" max="3" width="13" style="170" customWidth="1"/>
    <col min="4" max="4" width="4.28515625" style="170" customWidth="1"/>
    <col min="5" max="5" width="10.7109375" style="170" customWidth="1"/>
    <col min="6" max="6" width="16.85546875" style="170" customWidth="1"/>
    <col min="7" max="7" width="10.140625" style="170" customWidth="1" collapsed="1"/>
    <col min="8" max="9" width="10.42578125" style="170" customWidth="1"/>
    <col min="10" max="10" width="9.140625" style="170" customWidth="1"/>
    <col min="11" max="11" width="9" style="170" customWidth="1"/>
    <col min="12" max="12" width="9.85546875" style="170" customWidth="1"/>
    <col min="13"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213</v>
      </c>
      <c r="C1" s="168"/>
      <c r="D1" s="168"/>
      <c r="E1" s="168"/>
      <c r="F1" s="168"/>
      <c r="G1" s="168"/>
      <c r="H1" s="168"/>
      <c r="I1" s="168"/>
      <c r="J1" s="168"/>
      <c r="K1" s="168"/>
      <c r="L1" s="168"/>
    </row>
    <row r="2" spans="1:32" ht="12" customHeight="1">
      <c r="C2" s="198"/>
    </row>
    <row r="3" spans="1:32" ht="12" customHeight="1">
      <c r="A3" s="172"/>
      <c r="B3" s="183"/>
      <c r="C3" s="288" t="s">
        <v>241</v>
      </c>
      <c r="D3" s="280"/>
      <c r="E3" s="179"/>
      <c r="F3" s="171"/>
      <c r="G3" s="215"/>
      <c r="H3" s="215"/>
      <c r="I3" s="215"/>
      <c r="J3" s="215"/>
      <c r="K3" s="215"/>
      <c r="L3" s="215"/>
      <c r="M3" s="215"/>
      <c r="N3" s="215"/>
      <c r="O3" s="215"/>
      <c r="P3" s="215"/>
      <c r="Q3" s="215"/>
    </row>
    <row r="4" spans="1:32" ht="12" customHeight="1">
      <c r="A4" s="177"/>
      <c r="B4" s="187" t="s">
        <v>214</v>
      </c>
      <c r="C4" s="287">
        <f>72406.64</f>
        <v>72406.64</v>
      </c>
      <c r="D4" s="283"/>
      <c r="E4" s="285"/>
      <c r="F4" s="284"/>
      <c r="G4" s="281"/>
      <c r="H4" s="281"/>
      <c r="I4" s="281"/>
      <c r="J4" s="281"/>
      <c r="K4" s="281"/>
      <c r="L4" s="281"/>
      <c r="M4" s="281"/>
      <c r="N4" s="281"/>
      <c r="O4" s="281"/>
      <c r="P4" s="281"/>
      <c r="Q4" s="171"/>
      <c r="S4" s="174"/>
      <c r="T4" s="174"/>
      <c r="U4" s="174"/>
      <c r="V4" s="174"/>
      <c r="AA4" s="174"/>
    </row>
    <row r="5" spans="1:32" ht="12" customHeight="1">
      <c r="A5" s="177"/>
      <c r="B5" s="187" t="s">
        <v>215</v>
      </c>
      <c r="C5" s="287">
        <f>3064.63</f>
        <v>3064.63</v>
      </c>
      <c r="D5" s="283"/>
      <c r="E5" s="283"/>
      <c r="F5" s="283"/>
      <c r="G5" s="50"/>
      <c r="H5" s="50"/>
      <c r="I5" s="50"/>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191" t="s">
        <v>216</v>
      </c>
      <c r="C6" s="192">
        <f>C4+C5</f>
        <v>75471.27</v>
      </c>
      <c r="D6" s="283"/>
      <c r="E6" s="283"/>
      <c r="F6" s="283"/>
      <c r="G6" s="207"/>
      <c r="H6" s="207"/>
      <c r="I6" s="207"/>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187"/>
      <c r="C7" s="286"/>
      <c r="D7" s="283"/>
      <c r="E7" s="283"/>
      <c r="F7" s="283"/>
      <c r="G7" s="207"/>
      <c r="I7" s="173"/>
      <c r="J7" s="199"/>
      <c r="N7" s="175"/>
      <c r="O7" s="175"/>
      <c r="P7" s="198"/>
      <c r="Q7" s="207"/>
      <c r="S7" s="175"/>
      <c r="T7" s="175"/>
      <c r="U7" s="175"/>
      <c r="V7" s="175"/>
      <c r="W7" s="175"/>
      <c r="X7" s="175"/>
      <c r="Y7" s="175"/>
      <c r="Z7" s="175"/>
      <c r="AA7" s="175"/>
      <c r="AB7" s="175"/>
      <c r="AC7" s="175"/>
      <c r="AD7" s="175"/>
      <c r="AE7" s="175"/>
      <c r="AF7" s="175"/>
    </row>
    <row r="8" spans="1:32" ht="12" customHeight="1">
      <c r="A8" s="177"/>
      <c r="B8" s="187" t="s">
        <v>217</v>
      </c>
      <c r="C8" s="232">
        <f>'Expected Growth Rate'!C9</f>
        <v>1.0503738202573698</v>
      </c>
      <c r="D8" s="283"/>
      <c r="E8" s="283"/>
      <c r="F8" s="283"/>
      <c r="G8" s="269"/>
      <c r="H8" s="207"/>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B9" s="187" t="s">
        <v>11</v>
      </c>
      <c r="C9" s="232">
        <f>WACC!C12</f>
        <v>7.5558357567243634E-2</v>
      </c>
      <c r="D9" s="283"/>
      <c r="E9" s="283"/>
      <c r="F9" s="283"/>
      <c r="G9" s="269"/>
      <c r="H9" s="207"/>
      <c r="J9" s="173"/>
      <c r="K9" s="199"/>
      <c r="O9" s="175"/>
      <c r="P9" s="175"/>
      <c r="Q9" s="175"/>
      <c r="R9" s="175"/>
      <c r="S9" s="175"/>
      <c r="T9" s="175"/>
      <c r="U9" s="175"/>
      <c r="V9" s="175"/>
      <c r="W9" s="175"/>
      <c r="X9" s="175"/>
      <c r="Y9" s="175"/>
      <c r="Z9" s="175"/>
      <c r="AA9" s="175"/>
      <c r="AB9" s="175"/>
      <c r="AC9" s="175"/>
      <c r="AD9" s="175"/>
      <c r="AE9" s="175"/>
      <c r="AF9" s="175"/>
    </row>
    <row r="10" spans="1:32">
      <c r="A10" s="173"/>
      <c r="B10" s="191" t="s">
        <v>295</v>
      </c>
      <c r="C10" s="289">
        <f>C8-C9</f>
        <v>0.9748154626901262</v>
      </c>
      <c r="D10" s="283"/>
      <c r="E10" s="283"/>
      <c r="F10" s="283"/>
      <c r="G10" s="215"/>
      <c r="H10" s="215"/>
      <c r="I10" s="215"/>
      <c r="J10" s="215"/>
      <c r="K10" s="215"/>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D11" s="283"/>
      <c r="E11" s="283"/>
      <c r="F11" s="283"/>
      <c r="G11" s="80"/>
      <c r="K11" s="199"/>
      <c r="O11" s="175"/>
      <c r="P11" s="175"/>
      <c r="Q11" s="175"/>
      <c r="R11" s="175"/>
      <c r="S11" s="175"/>
      <c r="T11" s="175"/>
      <c r="U11" s="175"/>
      <c r="V11" s="175"/>
      <c r="W11" s="175"/>
      <c r="X11" s="175"/>
      <c r="Y11" s="175"/>
      <c r="Z11" s="175"/>
      <c r="AA11" s="175"/>
      <c r="AB11" s="175"/>
      <c r="AC11" s="175"/>
      <c r="AD11" s="175"/>
      <c r="AE11" s="175"/>
      <c r="AF11" s="175"/>
    </row>
    <row r="12" spans="1:32">
      <c r="B12" s="187" t="s">
        <v>218</v>
      </c>
      <c r="C12" s="196">
        <f>C6*(1+C10)</f>
        <v>149041.83098486144</v>
      </c>
      <c r="D12" s="283"/>
      <c r="E12" s="283"/>
      <c r="F12" s="283"/>
      <c r="G12" s="80"/>
      <c r="K12" s="199"/>
      <c r="L12" s="215"/>
      <c r="M12" s="215"/>
      <c r="N12" s="215"/>
      <c r="O12" s="215"/>
      <c r="P12" s="215"/>
      <c r="Q12" s="215"/>
      <c r="R12" s="175"/>
      <c r="S12" s="175"/>
      <c r="T12" s="175"/>
      <c r="U12" s="175"/>
      <c r="V12" s="175"/>
      <c r="W12" s="175"/>
      <c r="X12" s="175"/>
      <c r="Y12" s="175"/>
      <c r="Z12" s="175"/>
      <c r="AA12" s="175"/>
      <c r="AB12" s="175"/>
      <c r="AC12" s="175"/>
      <c r="AD12" s="175"/>
      <c r="AE12" s="175"/>
      <c r="AF12" s="175"/>
    </row>
    <row r="13" spans="1:32" ht="12" customHeight="1">
      <c r="A13" s="177"/>
      <c r="D13" s="283"/>
      <c r="E13" s="283"/>
      <c r="F13" s="283"/>
      <c r="G13" s="273"/>
      <c r="H13" s="178"/>
      <c r="K13" s="199"/>
      <c r="O13" s="175"/>
      <c r="P13" s="175"/>
      <c r="Q13" s="175"/>
      <c r="R13" s="175"/>
      <c r="S13" s="175"/>
      <c r="T13" s="175"/>
      <c r="U13" s="175"/>
      <c r="V13" s="175"/>
      <c r="W13" s="175"/>
      <c r="X13" s="175"/>
      <c r="Y13" s="175"/>
      <c r="Z13" s="175"/>
      <c r="AA13" s="175"/>
      <c r="AB13" s="175"/>
      <c r="AC13" s="175"/>
      <c r="AD13" s="175"/>
      <c r="AE13" s="175"/>
      <c r="AF13" s="175"/>
    </row>
    <row r="14" spans="1:32">
      <c r="B14" s="175" t="s">
        <v>294</v>
      </c>
      <c r="D14" s="283"/>
      <c r="E14" s="283"/>
      <c r="F14" s="283"/>
      <c r="G14" s="3"/>
      <c r="O14" s="175"/>
      <c r="P14" s="175"/>
      <c r="Q14" s="175"/>
      <c r="R14" s="175"/>
      <c r="S14" s="175"/>
      <c r="T14" s="175"/>
      <c r="U14" s="175"/>
      <c r="V14" s="175"/>
      <c r="W14" s="175"/>
      <c r="X14" s="175"/>
      <c r="Y14" s="175"/>
      <c r="Z14" s="175"/>
      <c r="AA14" s="175"/>
      <c r="AB14" s="175"/>
      <c r="AC14" s="175"/>
      <c r="AD14" s="175"/>
      <c r="AE14" s="175"/>
      <c r="AF14" s="175"/>
    </row>
    <row r="15" spans="1:32">
      <c r="D15" s="283"/>
      <c r="E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E16" s="283"/>
      <c r="F16" s="283"/>
      <c r="K16" s="175"/>
      <c r="O16" s="175"/>
      <c r="P16" s="175"/>
      <c r="Q16" s="175"/>
      <c r="R16" s="175"/>
      <c r="S16" s="175"/>
      <c r="T16" s="175"/>
      <c r="U16" s="175"/>
      <c r="V16" s="175"/>
      <c r="W16" s="175"/>
      <c r="X16" s="175"/>
      <c r="Y16" s="175"/>
      <c r="Z16" s="175"/>
      <c r="AA16" s="175"/>
      <c r="AB16" s="175"/>
      <c r="AC16" s="175"/>
      <c r="AD16" s="175"/>
      <c r="AE16" s="175"/>
      <c r="AF16" s="175"/>
    </row>
    <row r="17" spans="1:32">
      <c r="D17" s="283"/>
      <c r="E17" s="283"/>
      <c r="F17" s="283"/>
      <c r="G17" s="87"/>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173"/>
      <c r="C18" s="283"/>
      <c r="D18" s="283"/>
      <c r="E18" s="283"/>
      <c r="F18" s="283"/>
      <c r="G18" s="273"/>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C19" s="283"/>
      <c r="D19" s="283"/>
      <c r="E19" s="283"/>
      <c r="F19" s="283"/>
      <c r="G19" s="80"/>
      <c r="H19" s="178"/>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C20" s="283"/>
      <c r="D20" s="283"/>
      <c r="E20" s="283"/>
      <c r="F20" s="283"/>
      <c r="G20" s="80"/>
      <c r="H20" s="178"/>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C21" s="283"/>
      <c r="D21" s="283"/>
      <c r="E21" s="283"/>
      <c r="F21" s="283"/>
      <c r="G21" s="3"/>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E22" s="3"/>
      <c r="F22" s="23"/>
      <c r="G22" s="61"/>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E23" s="6"/>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E24" s="6"/>
      <c r="F24" s="173"/>
      <c r="G24" s="19"/>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E25" s="6"/>
      <c r="F25" s="173"/>
      <c r="G25" s="282"/>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D26" s="6"/>
      <c r="E26" s="6"/>
      <c r="F26" s="173"/>
      <c r="G26" s="80"/>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D27" s="24"/>
      <c r="E27" s="24"/>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D28" s="6"/>
      <c r="E28" s="6"/>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D29" s="6"/>
      <c r="E29" s="6"/>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pageMargins left="0.7" right="0.7" top="0.75" bottom="0.75" header="0.3" footer="0.3"/>
  <pageSetup paperSize="11"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2" style="170" customWidth="1"/>
    <col min="3" max="3" width="13" style="170" customWidth="1"/>
    <col min="4" max="4" width="13.140625" style="170" customWidth="1"/>
    <col min="5" max="5" width="13.5703125" style="170" customWidth="1"/>
    <col min="6" max="6" width="12" style="170" customWidth="1"/>
    <col min="7" max="7" width="13.42578125" style="170" customWidth="1" collapsed="1"/>
    <col min="8" max="10" width="12.140625" style="170" bestFit="1" customWidth="1"/>
    <col min="11" max="13" width="13.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309</v>
      </c>
      <c r="C1" s="168"/>
      <c r="D1" s="168"/>
      <c r="E1" s="168"/>
      <c r="F1" s="168"/>
      <c r="G1" s="168"/>
      <c r="H1" s="168"/>
      <c r="I1" s="168"/>
      <c r="J1" s="168"/>
      <c r="K1" s="168"/>
      <c r="L1" s="168"/>
    </row>
    <row r="2" spans="1:32" ht="12" customHeight="1">
      <c r="C2" s="198"/>
    </row>
    <row r="3" spans="1:32" ht="12" customHeight="1">
      <c r="A3" s="172"/>
      <c r="B3" s="388" t="s">
        <v>307</v>
      </c>
      <c r="C3" s="388"/>
      <c r="D3" s="388"/>
      <c r="E3" s="388"/>
      <c r="F3" s="388"/>
      <c r="G3" s="388"/>
      <c r="H3" s="388"/>
      <c r="I3" s="216"/>
      <c r="J3" s="215"/>
      <c r="K3" s="215"/>
      <c r="L3" s="215"/>
      <c r="M3" s="215"/>
      <c r="N3" s="215"/>
      <c r="O3" s="215"/>
      <c r="P3" s="215"/>
      <c r="Q3" s="215"/>
    </row>
    <row r="4" spans="1:32" ht="12" customHeight="1">
      <c r="A4" s="177"/>
      <c r="B4" s="327" t="s">
        <v>53</v>
      </c>
      <c r="C4" s="328" t="s">
        <v>270</v>
      </c>
      <c r="D4" s="327">
        <v>-1</v>
      </c>
      <c r="E4" s="328">
        <v>-2</v>
      </c>
      <c r="F4" s="328">
        <v>-3</v>
      </c>
      <c r="G4" s="328">
        <v>-4</v>
      </c>
      <c r="H4" s="328">
        <v>-5</v>
      </c>
      <c r="I4" s="361"/>
      <c r="J4" s="281"/>
      <c r="K4" s="281"/>
      <c r="L4" s="281"/>
      <c r="M4" s="281"/>
      <c r="N4" s="281"/>
      <c r="O4" s="281"/>
      <c r="P4" s="281"/>
      <c r="Q4" s="171"/>
      <c r="S4" s="174"/>
      <c r="T4" s="174"/>
      <c r="U4" s="174"/>
      <c r="V4" s="174"/>
      <c r="AA4" s="174"/>
    </row>
    <row r="5" spans="1:32" ht="12" customHeight="1">
      <c r="A5" s="177"/>
      <c r="B5" s="249" t="s">
        <v>298</v>
      </c>
      <c r="C5" s="257">
        <v>2509.0261529999998</v>
      </c>
      <c r="D5" s="257">
        <f>848.55*2.94657</f>
        <v>2500.3119734999996</v>
      </c>
      <c r="E5" s="257">
        <f>747.06*3.43236</f>
        <v>2564.1788615999999</v>
      </c>
      <c r="F5" s="257">
        <f>617.53*3.83053</f>
        <v>2365.4671908999999</v>
      </c>
      <c r="G5" s="257">
        <f>538.36*4.07195</f>
        <v>2192.1750019999999</v>
      </c>
      <c r="H5" s="257">
        <f>542.7*3.60077</f>
        <v>1954.1378790000001</v>
      </c>
      <c r="I5" s="361"/>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249" t="s">
        <v>6</v>
      </c>
      <c r="C6" s="257">
        <f>'Future Cashflows (10 Yrs)'!E4</f>
        <v>509978.19</v>
      </c>
      <c r="D6" s="257">
        <v>484121.56</v>
      </c>
      <c r="E6" s="257">
        <v>452508.34</v>
      </c>
      <c r="F6" s="257">
        <v>446243.18</v>
      </c>
      <c r="G6" s="257">
        <v>432842.44</v>
      </c>
      <c r="H6" s="257">
        <v>452019.82</v>
      </c>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249" t="s">
        <v>299</v>
      </c>
      <c r="C7" s="208">
        <f>C5/C6</f>
        <v>4.9198695203024265E-3</v>
      </c>
      <c r="D7" s="208">
        <f t="shared" ref="D7:H7" si="0">D5/D6</f>
        <v>5.1646366947590595E-3</v>
      </c>
      <c r="E7" s="208">
        <f t="shared" si="0"/>
        <v>5.666589176234851E-3</v>
      </c>
      <c r="F7" s="208">
        <f t="shared" si="0"/>
        <v>5.3008478267387747E-3</v>
      </c>
      <c r="G7" s="208">
        <f t="shared" si="0"/>
        <v>5.0646027270338833E-3</v>
      </c>
      <c r="H7" s="208">
        <f t="shared" si="0"/>
        <v>4.3231243245041781E-3</v>
      </c>
      <c r="I7" s="199"/>
      <c r="J7" s="199"/>
      <c r="N7" s="175"/>
      <c r="O7" s="175"/>
      <c r="P7" s="198"/>
      <c r="Q7" s="207"/>
      <c r="S7" s="175"/>
      <c r="T7" s="175"/>
      <c r="U7" s="175"/>
      <c r="V7" s="175"/>
      <c r="W7" s="175"/>
      <c r="X7" s="175"/>
      <c r="Y7" s="175"/>
      <c r="Z7" s="175"/>
      <c r="AA7" s="175"/>
      <c r="AB7" s="175"/>
      <c r="AC7" s="175"/>
      <c r="AD7" s="175"/>
      <c r="AE7" s="175"/>
      <c r="AF7" s="175"/>
    </row>
    <row r="8" spans="1:32" ht="12" customHeight="1">
      <c r="A8" s="177"/>
      <c r="B8" s="175"/>
      <c r="C8" s="219"/>
      <c r="D8" s="204"/>
      <c r="E8" s="204"/>
      <c r="F8" s="204"/>
      <c r="G8" s="369" t="s">
        <v>306</v>
      </c>
      <c r="H8" s="370">
        <f>AVERAGE(C7:H7)</f>
        <v>5.0732783782621955E-3</v>
      </c>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J9" s="173"/>
      <c r="K9" s="199"/>
      <c r="O9" s="175"/>
      <c r="P9" s="175"/>
      <c r="Q9" s="175"/>
      <c r="R9" s="175"/>
      <c r="S9" s="175"/>
      <c r="T9" s="175"/>
      <c r="U9" s="175"/>
      <c r="V9" s="175"/>
      <c r="W9" s="175"/>
      <c r="X9" s="175"/>
      <c r="Y9" s="175"/>
      <c r="Z9" s="175"/>
      <c r="AA9" s="175"/>
      <c r="AB9" s="175"/>
      <c r="AC9" s="175"/>
      <c r="AD9" s="175"/>
      <c r="AE9" s="175"/>
      <c r="AF9" s="175"/>
    </row>
    <row r="10" spans="1:32">
      <c r="A10" s="173"/>
      <c r="B10" s="388" t="s">
        <v>308</v>
      </c>
      <c r="C10" s="388"/>
      <c r="D10" s="388"/>
      <c r="E10" s="388"/>
      <c r="F10" s="388"/>
      <c r="G10" s="388"/>
      <c r="H10" s="388"/>
      <c r="I10" s="388"/>
      <c r="J10" s="388"/>
      <c r="K10" s="388"/>
      <c r="L10" s="388"/>
      <c r="M10" s="388"/>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327" t="s">
        <v>53</v>
      </c>
      <c r="C11" s="328" t="s">
        <v>270</v>
      </c>
      <c r="D11" s="327">
        <v>1</v>
      </c>
      <c r="E11" s="328">
        <v>2</v>
      </c>
      <c r="F11" s="328">
        <v>3</v>
      </c>
      <c r="G11" s="328">
        <v>4</v>
      </c>
      <c r="H11" s="328">
        <v>5</v>
      </c>
      <c r="I11" s="362">
        <v>6</v>
      </c>
      <c r="J11" s="362">
        <v>7</v>
      </c>
      <c r="K11" s="363">
        <v>8</v>
      </c>
      <c r="L11" s="363">
        <v>9</v>
      </c>
      <c r="M11" s="363">
        <v>10</v>
      </c>
      <c r="N11" s="219"/>
      <c r="O11" s="175"/>
      <c r="P11" s="175"/>
      <c r="Q11" s="175"/>
      <c r="R11" s="175"/>
      <c r="S11" s="175"/>
      <c r="T11" s="175"/>
      <c r="U11" s="175"/>
      <c r="V11" s="175"/>
      <c r="W11" s="175"/>
      <c r="X11" s="175"/>
      <c r="Y11" s="175"/>
      <c r="Z11" s="175"/>
      <c r="AA11" s="175"/>
      <c r="AB11" s="175"/>
      <c r="AC11" s="175"/>
      <c r="AD11" s="175"/>
      <c r="AE11" s="175"/>
      <c r="AF11" s="175"/>
    </row>
    <row r="12" spans="1:32">
      <c r="B12" s="249" t="s">
        <v>299</v>
      </c>
      <c r="C12" s="208">
        <v>5.1000000000000004E-3</v>
      </c>
      <c r="D12" s="208">
        <v>5.1000000000000004E-3</v>
      </c>
      <c r="E12" s="208">
        <v>4.8999999999999998E-3</v>
      </c>
      <c r="F12" s="208">
        <v>4.8999999999999998E-3</v>
      </c>
      <c r="G12" s="208">
        <v>4.4000000000000003E-3</v>
      </c>
      <c r="H12" s="208">
        <v>4.4000000000000003E-3</v>
      </c>
      <c r="I12" s="208">
        <v>4.1999999999999997E-3</v>
      </c>
      <c r="J12" s="208">
        <v>4.1999999999999997E-3</v>
      </c>
      <c r="K12" s="208">
        <v>3.8999999999999998E-3</v>
      </c>
      <c r="L12" s="208">
        <v>3.8999999999999998E-3</v>
      </c>
      <c r="M12" s="208">
        <v>3.5000000000000001E-3</v>
      </c>
      <c r="N12" s="219"/>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249" t="s">
        <v>6</v>
      </c>
      <c r="C13" s="257">
        <f>C6</f>
        <v>509978.19</v>
      </c>
      <c r="D13" s="257">
        <f>'Future Cashflows (10 Yrs)'!E5</f>
        <v>557832.09600000002</v>
      </c>
      <c r="E13" s="257">
        <f ca="1">'Future Cashflows (10 Yrs)'!E6</f>
        <v>603307.80809279997</v>
      </c>
      <c r="F13" s="257">
        <f ca="1">'Future Cashflows (10 Yrs)'!E7</f>
        <v>652435.88244721934</v>
      </c>
      <c r="G13" s="257">
        <f ca="1">'Future Cashflows (10 Yrs)'!E8</f>
        <v>711862.1151146302</v>
      </c>
      <c r="H13" s="257">
        <f>'Future Cashflows (10 Yrs)'!E9</f>
        <v>776453.43260249565</v>
      </c>
      <c r="I13" s="257">
        <f>'Future Cashflows (10 Yrs)'!E10</f>
        <v>842995.49177652947</v>
      </c>
      <c r="J13" s="257">
        <f>'Future Cashflows (10 Yrs)'!E11</f>
        <v>915085.83871484257</v>
      </c>
      <c r="K13" s="257">
        <f>'Future Cashflows (10 Yrs)'!E12</f>
        <v>986891.92056661262</v>
      </c>
      <c r="L13" s="257">
        <f>'Future Cashflows (10 Yrs)'!E13</f>
        <v>1064289.3908822343</v>
      </c>
      <c r="M13" s="257">
        <f>'Future Cashflows (10 Yrs)'!E14</f>
        <v>1154929.1253361036</v>
      </c>
      <c r="O13" s="175"/>
      <c r="P13" s="175"/>
      <c r="Q13" s="175"/>
      <c r="R13" s="175"/>
      <c r="S13" s="175"/>
      <c r="T13" s="175"/>
      <c r="U13" s="175"/>
      <c r="V13" s="175"/>
      <c r="W13" s="175"/>
      <c r="X13" s="175"/>
      <c r="Y13" s="175"/>
      <c r="Z13" s="175"/>
      <c r="AA13" s="175"/>
      <c r="AB13" s="175"/>
      <c r="AC13" s="175"/>
      <c r="AD13" s="175"/>
      <c r="AE13" s="175"/>
      <c r="AF13" s="175"/>
    </row>
    <row r="14" spans="1:32">
      <c r="B14" s="249" t="s">
        <v>298</v>
      </c>
      <c r="C14" s="257">
        <f>C13*C12</f>
        <v>2600.8887690000001</v>
      </c>
      <c r="D14" s="257">
        <f t="shared" ref="D14:M14" si="1">D13*D12</f>
        <v>2844.9436896000002</v>
      </c>
      <c r="E14" s="257">
        <f t="shared" ca="1" si="1"/>
        <v>2956.2082596547198</v>
      </c>
      <c r="F14" s="257">
        <f t="shared" ca="1" si="1"/>
        <v>3196.9358239913745</v>
      </c>
      <c r="G14" s="257">
        <f t="shared" ca="1" si="1"/>
        <v>3132.1933065043731</v>
      </c>
      <c r="H14" s="257">
        <f t="shared" si="1"/>
        <v>3416.395103450981</v>
      </c>
      <c r="I14" s="257">
        <f t="shared" si="1"/>
        <v>3540.5810654614233</v>
      </c>
      <c r="J14" s="257">
        <f t="shared" si="1"/>
        <v>3843.3605226023387</v>
      </c>
      <c r="K14" s="257">
        <f t="shared" si="1"/>
        <v>3848.8784902097891</v>
      </c>
      <c r="L14" s="257">
        <f t="shared" si="1"/>
        <v>4150.7286244407132</v>
      </c>
      <c r="M14" s="257">
        <f t="shared" si="1"/>
        <v>4042.2519386763629</v>
      </c>
      <c r="O14" s="175"/>
      <c r="P14" s="175"/>
      <c r="Q14" s="175"/>
      <c r="R14" s="175"/>
      <c r="S14" s="175"/>
      <c r="T14" s="175"/>
      <c r="U14" s="175"/>
      <c r="V14" s="175"/>
      <c r="W14" s="175"/>
      <c r="X14" s="175"/>
      <c r="Y14" s="175"/>
      <c r="Z14" s="175"/>
      <c r="AA14" s="175"/>
      <c r="AB14" s="175"/>
      <c r="AC14" s="175"/>
      <c r="AD14" s="175"/>
      <c r="AE14" s="175"/>
      <c r="AF14" s="175"/>
    </row>
    <row r="15" spans="1:32">
      <c r="D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F16" s="283"/>
      <c r="K16" s="175"/>
      <c r="O16" s="175"/>
      <c r="P16" s="175"/>
      <c r="Q16" s="175"/>
      <c r="R16" s="175"/>
      <c r="S16" s="175"/>
      <c r="T16" s="175"/>
      <c r="U16" s="175"/>
      <c r="V16" s="175"/>
      <c r="W16" s="175"/>
      <c r="X16" s="175"/>
      <c r="Y16" s="175"/>
      <c r="Z16" s="175"/>
      <c r="AA16" s="175"/>
      <c r="AB16" s="175"/>
      <c r="AC16" s="175"/>
      <c r="AD16" s="175"/>
      <c r="AE16" s="175"/>
      <c r="AF16" s="175"/>
    </row>
    <row r="17" spans="1:32">
      <c r="B17" s="388" t="s">
        <v>305</v>
      </c>
      <c r="C17" s="388"/>
      <c r="D17" s="388"/>
      <c r="E17" s="388"/>
      <c r="F17" s="388"/>
      <c r="G17" s="388"/>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366"/>
      <c r="C18" s="367" t="s">
        <v>304</v>
      </c>
      <c r="D18" s="297" t="s">
        <v>302</v>
      </c>
      <c r="E18" s="367" t="s">
        <v>300</v>
      </c>
      <c r="F18" s="297" t="s">
        <v>301</v>
      </c>
      <c r="G18" s="364" t="s">
        <v>303</v>
      </c>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368" t="s">
        <v>193</v>
      </c>
      <c r="C19" s="373">
        <f>'Future Cashflows (10 Yrs)'!G4/'Future Cashflows (10 Yrs)'!E4</f>
        <v>0.28756438584167682</v>
      </c>
      <c r="D19" s="371">
        <f>'Future Cashflows (10 Yrs)'!E4*(1-'Future Cashflows (10 Yrs)'!F4)</f>
        <v>363326.62500000006</v>
      </c>
      <c r="E19" s="183"/>
      <c r="F19" s="372"/>
      <c r="G19" s="208">
        <f>C19</f>
        <v>0.28756438584167682</v>
      </c>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248">
        <v>1</v>
      </c>
      <c r="C20" s="373">
        <v>0.28999999999999998</v>
      </c>
      <c r="D20" s="371">
        <f>'Future Cashflows (10 Yrs)'!E5*(1-C20)</f>
        <v>396060.78816</v>
      </c>
      <c r="E20" s="257">
        <f>D14</f>
        <v>2844.9436896000002</v>
      </c>
      <c r="F20" s="371">
        <f>D20+E20</f>
        <v>398905.73184959998</v>
      </c>
      <c r="G20" s="208">
        <f>1-(F20/'Future Cashflows (10 Yrs)'!E5)</f>
        <v>0.28490000000000004</v>
      </c>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248">
        <f t="shared" ref="B21:B29" si="2">B20+1</f>
        <v>2</v>
      </c>
      <c r="C21" s="373">
        <v>0.28999999999999998</v>
      </c>
      <c r="D21" s="371">
        <f ca="1">'Future Cashflows (10 Yrs)'!E6*(1-C21)</f>
        <v>428348.54374588793</v>
      </c>
      <c r="E21" s="257">
        <f ca="1">E14</f>
        <v>2956.2082596547198</v>
      </c>
      <c r="F21" s="371">
        <f t="shared" ref="F21:F27" ca="1" si="3">D21+E21</f>
        <v>431304.75200554263</v>
      </c>
      <c r="G21" s="208">
        <f ca="1">1-(F21/'Future Cashflows (10 Yrs)'!E6)</f>
        <v>0.28510000000000013</v>
      </c>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48">
        <f t="shared" si="2"/>
        <v>3</v>
      </c>
      <c r="C22" s="373">
        <v>0.28999999999999998</v>
      </c>
      <c r="D22" s="371">
        <f ca="1">'Future Cashflows (10 Yrs)'!E7*(1-C22)</f>
        <v>463229.47653752571</v>
      </c>
      <c r="E22" s="257">
        <f ca="1">F14</f>
        <v>3196.9358239913745</v>
      </c>
      <c r="F22" s="371">
        <f t="shared" ca="1" si="3"/>
        <v>466426.41236151708</v>
      </c>
      <c r="G22" s="208">
        <f ca="1">1-(F22/'Future Cashflows (10 Yrs)'!E7)</f>
        <v>0.28510000000000002</v>
      </c>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248">
        <f t="shared" si="2"/>
        <v>4</v>
      </c>
      <c r="C23" s="208">
        <v>0.28999999999999998</v>
      </c>
      <c r="D23" s="371">
        <f ca="1">'Future Cashflows (10 Yrs)'!E8*(1-C23)</f>
        <v>505422.10173138743</v>
      </c>
      <c r="E23" s="257">
        <f ca="1">G14</f>
        <v>3132.1933065043731</v>
      </c>
      <c r="F23" s="371">
        <f t="shared" ca="1" si="3"/>
        <v>508554.29503789183</v>
      </c>
      <c r="G23" s="208">
        <f ca="1">1-(F23/'Future Cashflows (10 Yrs)'!E8)</f>
        <v>0.28559999999999997</v>
      </c>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248">
        <f t="shared" si="2"/>
        <v>5</v>
      </c>
      <c r="C24" s="208">
        <v>0.28999999999999998</v>
      </c>
      <c r="D24" s="371">
        <f>'Future Cashflows (10 Yrs)'!E9*(1-C24)</f>
        <v>551281.93714777194</v>
      </c>
      <c r="E24" s="257">
        <f>H14</f>
        <v>3416.395103450981</v>
      </c>
      <c r="F24" s="371">
        <f t="shared" si="3"/>
        <v>554698.33225122292</v>
      </c>
      <c r="G24" s="208">
        <f>1-(F24/'Future Cashflows (10 Yrs)'!E9)</f>
        <v>0.28559999999999997</v>
      </c>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B25" s="248">
        <f t="shared" si="2"/>
        <v>6</v>
      </c>
      <c r="C25" s="208">
        <v>0.3</v>
      </c>
      <c r="D25" s="371">
        <f>'Future Cashflows (10 Yrs)'!E10*(1-C25)</f>
        <v>590096.84424357058</v>
      </c>
      <c r="E25" s="257">
        <f>I14</f>
        <v>3540.5810654614233</v>
      </c>
      <c r="F25" s="371">
        <f>D25+E25</f>
        <v>593637.42530903197</v>
      </c>
      <c r="G25" s="208">
        <f>1-(F25/'Future Cashflows (10 Yrs)'!E10)</f>
        <v>0.29580000000000006</v>
      </c>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B26" s="248">
        <f t="shared" si="2"/>
        <v>7</v>
      </c>
      <c r="C26" s="208">
        <v>0.3</v>
      </c>
      <c r="D26" s="371">
        <f>'Future Cashflows (10 Yrs)'!E11*(1-C26)</f>
        <v>640560.08710038976</v>
      </c>
      <c r="E26" s="257">
        <f>J14</f>
        <v>3843.3605226023387</v>
      </c>
      <c r="F26" s="371">
        <f t="shared" si="3"/>
        <v>644403.4476229921</v>
      </c>
      <c r="G26" s="208">
        <f>1-(F26/'Future Cashflows (10 Yrs)'!E11)</f>
        <v>0.29580000000000006</v>
      </c>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B27" s="248">
        <f t="shared" si="2"/>
        <v>8</v>
      </c>
      <c r="C27" s="208">
        <v>0.3</v>
      </c>
      <c r="D27" s="371">
        <f>'Future Cashflows (10 Yrs)'!E12*(1-C27)</f>
        <v>690824.34439662879</v>
      </c>
      <c r="E27" s="257">
        <f>K14</f>
        <v>3848.8784902097891</v>
      </c>
      <c r="F27" s="371">
        <f t="shared" si="3"/>
        <v>694673.2228868386</v>
      </c>
      <c r="G27" s="208">
        <f>1-(F27/'Future Cashflows (10 Yrs)'!E12)</f>
        <v>0.29610000000000003</v>
      </c>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B28" s="248">
        <f t="shared" si="2"/>
        <v>9</v>
      </c>
      <c r="C28" s="208">
        <v>0.3</v>
      </c>
      <c r="D28" s="371">
        <f>'Future Cashflows (10 Yrs)'!E13*(1-C28)</f>
        <v>745002.57361756393</v>
      </c>
      <c r="E28" s="257">
        <f>L14</f>
        <v>4150.7286244407132</v>
      </c>
      <c r="F28" s="371">
        <f>D28+E28</f>
        <v>749153.30224200466</v>
      </c>
      <c r="G28" s="208">
        <f>1-(F28/'Future Cashflows (10 Yrs)'!E13)</f>
        <v>0.29610000000000003</v>
      </c>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B29" s="248">
        <f t="shared" si="2"/>
        <v>10</v>
      </c>
      <c r="C29" s="208">
        <v>0.3</v>
      </c>
      <c r="D29" s="371">
        <f>'Future Cashflows (10 Yrs)'!E14*(1-C29)</f>
        <v>808450.38773527252</v>
      </c>
      <c r="E29" s="257">
        <f>M14</f>
        <v>4042.2519386763629</v>
      </c>
      <c r="F29" s="371">
        <f>D29+E29</f>
        <v>812492.63967394887</v>
      </c>
      <c r="G29" s="208">
        <f>1-(F29/'Future Cashflows (10 Yrs)'!E14)</f>
        <v>0.29649999999999999</v>
      </c>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3">
    <mergeCell ref="B3:H3"/>
    <mergeCell ref="B10:M10"/>
    <mergeCell ref="B17:G17"/>
  </mergeCells>
  <pageMargins left="0.7" right="0.7" top="0.75" bottom="0.75" header="0.3" footer="0.3"/>
  <pageSetup paperSize="8"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70" customWidth="1"/>
    <col min="2" max="2" width="22" style="170" customWidth="1"/>
    <col min="3" max="3" width="13" style="170" customWidth="1"/>
    <col min="4" max="4" width="13.140625" style="170" customWidth="1"/>
    <col min="5" max="5" width="13.5703125" style="170" customWidth="1"/>
    <col min="6" max="6" width="12" style="170" customWidth="1"/>
    <col min="7" max="7" width="13.42578125" style="170" customWidth="1" collapsed="1"/>
    <col min="8" max="10" width="12.140625" style="170" bestFit="1" customWidth="1"/>
    <col min="11" max="13" width="13.7109375" style="170" bestFit="1" customWidth="1"/>
    <col min="14" max="26" width="9.140625" style="170" customWidth="1"/>
    <col min="27" max="27" width="9.28515625" style="170" customWidth="1"/>
    <col min="28" max="28" width="9.42578125" style="170" customWidth="1"/>
    <col min="29" max="29" width="10" style="170" customWidth="1"/>
    <col min="30" max="30" width="11.42578125" style="170" customWidth="1"/>
    <col min="31" max="31" width="9.42578125" style="170" bestFit="1" customWidth="1" collapsed="1"/>
    <col min="32" max="16384" width="9.140625" style="170"/>
  </cols>
  <sheetData>
    <row r="1" spans="1:32" s="169" customFormat="1" ht="15" customHeight="1">
      <c r="B1" s="16" t="s">
        <v>310</v>
      </c>
      <c r="C1" s="168"/>
      <c r="D1" s="168"/>
      <c r="E1" s="168"/>
      <c r="F1" s="168"/>
      <c r="G1" s="168"/>
      <c r="H1" s="168"/>
      <c r="I1" s="168"/>
      <c r="J1" s="168"/>
      <c r="K1" s="168"/>
      <c r="L1" s="168"/>
    </row>
    <row r="2" spans="1:32" ht="12" customHeight="1">
      <c r="C2" s="198"/>
    </row>
    <row r="3" spans="1:32" ht="12" customHeight="1">
      <c r="A3" s="172"/>
      <c r="B3" s="388" t="s">
        <v>311</v>
      </c>
      <c r="C3" s="388"/>
      <c r="D3" s="388"/>
      <c r="E3" s="388"/>
      <c r="F3" s="388"/>
      <c r="G3" s="388"/>
      <c r="H3" s="388"/>
      <c r="I3" s="216"/>
      <c r="J3" s="215"/>
      <c r="K3" s="215"/>
      <c r="L3" s="215"/>
      <c r="M3" s="215"/>
      <c r="N3" s="215"/>
      <c r="O3" s="215"/>
      <c r="P3" s="215"/>
      <c r="Q3" s="215"/>
    </row>
    <row r="4" spans="1:32" ht="12" customHeight="1">
      <c r="A4" s="177"/>
      <c r="B4" s="327" t="s">
        <v>53</v>
      </c>
      <c r="C4" s="328" t="s">
        <v>270</v>
      </c>
      <c r="D4" s="327">
        <v>-1</v>
      </c>
      <c r="E4" s="328">
        <v>-2</v>
      </c>
      <c r="F4" s="328">
        <v>-3</v>
      </c>
      <c r="G4" s="328">
        <v>-4</v>
      </c>
      <c r="H4" s="328">
        <v>-5</v>
      </c>
      <c r="I4" s="361"/>
      <c r="J4" s="281"/>
      <c r="K4" s="281"/>
      <c r="L4" s="281"/>
      <c r="M4" s="281"/>
      <c r="N4" s="281"/>
      <c r="O4" s="281"/>
      <c r="P4" s="281"/>
      <c r="Q4" s="171"/>
      <c r="S4" s="174"/>
      <c r="T4" s="174"/>
      <c r="U4" s="174"/>
      <c r="V4" s="174"/>
      <c r="AA4" s="174"/>
    </row>
    <row r="5" spans="1:32" ht="12" customHeight="1">
      <c r="A5" s="177"/>
      <c r="B5" s="249" t="s">
        <v>312</v>
      </c>
      <c r="C5" s="257">
        <f>5469*0.43156</f>
        <v>2360.2016399999998</v>
      </c>
      <c r="D5" s="257">
        <f>5079*0.41495</f>
        <v>2107.5310500000001</v>
      </c>
      <c r="E5" s="257">
        <f>4780*0.40042</f>
        <v>1914.0075999999999</v>
      </c>
      <c r="F5" s="257">
        <f>4618*0.34629</f>
        <v>1599.16722</v>
      </c>
      <c r="G5" s="257">
        <f>4057*0.36284</f>
        <v>1472.04188</v>
      </c>
      <c r="H5" s="257">
        <f>4365*0.33722</f>
        <v>1471.9653000000001</v>
      </c>
      <c r="I5" s="361"/>
      <c r="J5" s="207"/>
      <c r="K5" s="50"/>
      <c r="L5" s="50"/>
      <c r="M5" s="50"/>
      <c r="N5" s="50"/>
      <c r="O5" s="50"/>
      <c r="P5" s="50"/>
      <c r="Q5" s="50"/>
      <c r="S5" s="175"/>
      <c r="T5" s="175"/>
      <c r="U5" s="175"/>
      <c r="V5" s="175"/>
      <c r="W5" s="175"/>
      <c r="X5" s="175"/>
      <c r="Y5" s="175"/>
      <c r="Z5" s="175"/>
      <c r="AA5" s="175"/>
      <c r="AB5" s="175"/>
      <c r="AC5" s="175"/>
      <c r="AD5" s="175"/>
      <c r="AE5" s="175"/>
      <c r="AF5" s="175"/>
    </row>
    <row r="6" spans="1:32" ht="12" customHeight="1">
      <c r="A6" s="177"/>
      <c r="B6" s="249" t="s">
        <v>6</v>
      </c>
      <c r="C6" s="257">
        <f>'Future Cashflows (10 Yrs)'!E4</f>
        <v>509978.19</v>
      </c>
      <c r="D6" s="257">
        <v>484121.56</v>
      </c>
      <c r="E6" s="257">
        <v>452508.34</v>
      </c>
      <c r="F6" s="257">
        <v>446243.18</v>
      </c>
      <c r="G6" s="257">
        <v>432842.44</v>
      </c>
      <c r="H6" s="257">
        <v>452019.82</v>
      </c>
      <c r="J6" s="207"/>
      <c r="K6" s="207"/>
      <c r="L6" s="207"/>
      <c r="M6" s="207"/>
      <c r="N6" s="207"/>
      <c r="O6" s="207"/>
      <c r="P6" s="207"/>
      <c r="Q6" s="207"/>
      <c r="S6" s="175"/>
      <c r="T6" s="175"/>
      <c r="U6" s="175"/>
      <c r="V6" s="175"/>
      <c r="W6" s="175"/>
      <c r="X6" s="175"/>
      <c r="Y6" s="175"/>
      <c r="Z6" s="175"/>
      <c r="AA6" s="175"/>
      <c r="AB6" s="175"/>
      <c r="AC6" s="175"/>
      <c r="AD6" s="175"/>
      <c r="AE6" s="175"/>
      <c r="AF6" s="175"/>
    </row>
    <row r="7" spans="1:32" ht="12" customHeight="1">
      <c r="B7" s="249" t="s">
        <v>313</v>
      </c>
      <c r="C7" s="208">
        <f>C5/C6</f>
        <v>4.6280442698931881E-3</v>
      </c>
      <c r="D7" s="208">
        <f t="shared" ref="D7:H7" si="0">D5/D6</f>
        <v>4.3533096315726983E-3</v>
      </c>
      <c r="E7" s="208">
        <f t="shared" si="0"/>
        <v>4.2297730910329737E-3</v>
      </c>
      <c r="F7" s="208">
        <f t="shared" si="0"/>
        <v>3.5836227681955834E-3</v>
      </c>
      <c r="G7" s="208">
        <f>G5/G6</f>
        <v>3.4008723359012579E-3</v>
      </c>
      <c r="H7" s="208">
        <f t="shared" si="0"/>
        <v>3.2564176057589688E-3</v>
      </c>
      <c r="I7" s="199"/>
      <c r="J7" s="199"/>
      <c r="N7" s="175"/>
      <c r="O7" s="175"/>
      <c r="P7" s="198"/>
      <c r="Q7" s="207"/>
      <c r="S7" s="175"/>
      <c r="T7" s="175"/>
      <c r="U7" s="175"/>
      <c r="V7" s="175"/>
      <c r="W7" s="175"/>
      <c r="X7" s="175"/>
      <c r="Y7" s="175"/>
      <c r="Z7" s="175"/>
      <c r="AA7" s="175"/>
      <c r="AB7" s="175"/>
      <c r="AC7" s="175"/>
      <c r="AD7" s="175"/>
      <c r="AE7" s="175"/>
      <c r="AF7" s="175"/>
    </row>
    <row r="8" spans="1:32" ht="12" customHeight="1">
      <c r="A8" s="177"/>
      <c r="B8" s="175"/>
      <c r="C8" s="219"/>
      <c r="D8" s="204"/>
      <c r="E8" s="204"/>
      <c r="F8" s="204"/>
      <c r="G8" s="369" t="s">
        <v>306</v>
      </c>
      <c r="H8" s="370">
        <f>AVERAGE(C7:H7)</f>
        <v>3.9086732837257778E-3</v>
      </c>
      <c r="J8" s="265"/>
      <c r="K8" s="266"/>
      <c r="O8" s="175"/>
      <c r="P8" s="175"/>
      <c r="Q8" s="175"/>
      <c r="R8" s="175"/>
      <c r="S8" s="175"/>
      <c r="T8" s="175"/>
      <c r="U8" s="175"/>
      <c r="V8" s="175"/>
      <c r="W8" s="175"/>
      <c r="X8" s="175"/>
      <c r="Y8" s="175"/>
      <c r="Z8" s="175"/>
      <c r="AA8" s="175"/>
      <c r="AB8" s="175"/>
      <c r="AC8" s="175"/>
      <c r="AD8" s="175"/>
      <c r="AE8" s="175"/>
      <c r="AF8" s="175"/>
    </row>
    <row r="9" spans="1:32" ht="12" customHeight="1">
      <c r="A9" s="177"/>
      <c r="J9" s="173"/>
      <c r="K9" s="199"/>
      <c r="O9" s="175"/>
      <c r="P9" s="175"/>
      <c r="Q9" s="175"/>
      <c r="R9" s="175"/>
      <c r="S9" s="175"/>
      <c r="T9" s="175"/>
      <c r="U9" s="175"/>
      <c r="V9" s="175"/>
      <c r="W9" s="175"/>
      <c r="X9" s="175"/>
      <c r="Y9" s="175"/>
      <c r="Z9" s="175"/>
      <c r="AA9" s="175"/>
      <c r="AB9" s="175"/>
      <c r="AC9" s="175"/>
      <c r="AD9" s="175"/>
      <c r="AE9" s="175"/>
      <c r="AF9" s="175"/>
    </row>
    <row r="10" spans="1:32">
      <c r="A10" s="173"/>
      <c r="B10" s="388" t="s">
        <v>308</v>
      </c>
      <c r="C10" s="388"/>
      <c r="D10" s="388"/>
      <c r="E10" s="388"/>
      <c r="F10" s="388"/>
      <c r="G10" s="388"/>
      <c r="H10" s="388"/>
      <c r="I10" s="388"/>
      <c r="J10" s="388"/>
      <c r="K10" s="388"/>
      <c r="L10" s="388"/>
      <c r="M10" s="388"/>
      <c r="O10" s="175"/>
      <c r="P10" s="175"/>
      <c r="Q10" s="175"/>
      <c r="R10" s="175"/>
      <c r="S10" s="175"/>
      <c r="T10" s="175"/>
      <c r="U10" s="175"/>
      <c r="V10" s="175"/>
      <c r="W10" s="175"/>
      <c r="X10" s="175"/>
      <c r="Y10" s="175"/>
      <c r="Z10" s="175"/>
      <c r="AA10" s="175"/>
      <c r="AB10" s="175"/>
      <c r="AC10" s="175"/>
      <c r="AD10" s="175"/>
      <c r="AE10" s="175"/>
      <c r="AF10" s="175"/>
    </row>
    <row r="11" spans="1:32" ht="12.75" customHeight="1">
      <c r="A11" s="177"/>
      <c r="B11" s="327" t="s">
        <v>53</v>
      </c>
      <c r="C11" s="328" t="s">
        <v>270</v>
      </c>
      <c r="D11" s="327">
        <v>1</v>
      </c>
      <c r="E11" s="328">
        <v>2</v>
      </c>
      <c r="F11" s="328">
        <v>3</v>
      </c>
      <c r="G11" s="328">
        <v>4</v>
      </c>
      <c r="H11" s="328">
        <v>5</v>
      </c>
      <c r="I11" s="362">
        <v>6</v>
      </c>
      <c r="J11" s="362">
        <v>7</v>
      </c>
      <c r="K11" s="363">
        <v>8</v>
      </c>
      <c r="L11" s="363">
        <v>9</v>
      </c>
      <c r="M11" s="363">
        <v>10</v>
      </c>
      <c r="N11" s="219"/>
      <c r="O11" s="175"/>
      <c r="P11" s="175"/>
      <c r="Q11" s="175"/>
      <c r="R11" s="175"/>
      <c r="S11" s="175"/>
      <c r="T11" s="175"/>
      <c r="U11" s="175"/>
      <c r="V11" s="175"/>
      <c r="W11" s="175"/>
      <c r="X11" s="175"/>
      <c r="Y11" s="175"/>
      <c r="Z11" s="175"/>
      <c r="AA11" s="175"/>
      <c r="AB11" s="175"/>
      <c r="AC11" s="175"/>
      <c r="AD11" s="175"/>
      <c r="AE11" s="175"/>
      <c r="AF11" s="175"/>
    </row>
    <row r="12" spans="1:32">
      <c r="B12" s="249" t="s">
        <v>299</v>
      </c>
      <c r="C12" s="208">
        <v>4.5999999999999999E-3</v>
      </c>
      <c r="D12" s="208">
        <v>4.5999999999999999E-3</v>
      </c>
      <c r="E12" s="208">
        <v>4.5999999999999999E-3</v>
      </c>
      <c r="F12" s="208">
        <v>4.5999999999999999E-3</v>
      </c>
      <c r="G12" s="208">
        <v>4.7000000000000002E-3</v>
      </c>
      <c r="H12" s="208">
        <v>4.7000000000000002E-3</v>
      </c>
      <c r="I12" s="208">
        <v>4.7000000000000002E-3</v>
      </c>
      <c r="J12" s="208">
        <v>4.7999999999999996E-3</v>
      </c>
      <c r="K12" s="208">
        <v>4.7999999999999996E-3</v>
      </c>
      <c r="L12" s="208">
        <v>4.7999999999999996E-3</v>
      </c>
      <c r="M12" s="208">
        <v>4.8999999999999998E-3</v>
      </c>
      <c r="N12" s="219"/>
      <c r="O12" s="215"/>
      <c r="P12" s="215"/>
      <c r="Q12" s="215"/>
      <c r="R12" s="175"/>
      <c r="S12" s="175"/>
      <c r="T12" s="175"/>
      <c r="U12" s="175"/>
      <c r="V12" s="175"/>
      <c r="W12" s="175"/>
      <c r="X12" s="175"/>
      <c r="Y12" s="175"/>
      <c r="Z12" s="175"/>
      <c r="AA12" s="175"/>
      <c r="AB12" s="175"/>
      <c r="AC12" s="175"/>
      <c r="AD12" s="175"/>
      <c r="AE12" s="175"/>
      <c r="AF12" s="175"/>
    </row>
    <row r="13" spans="1:32" ht="12" customHeight="1">
      <c r="A13" s="177"/>
      <c r="B13" s="249" t="s">
        <v>6</v>
      </c>
      <c r="C13" s="257">
        <f>C6</f>
        <v>509978.19</v>
      </c>
      <c r="D13" s="257">
        <f>'Future Cashflows (10 Yrs)'!E5</f>
        <v>557832.09600000002</v>
      </c>
      <c r="E13" s="257">
        <f ca="1">'Future Cashflows (10 Yrs)'!E6</f>
        <v>603307.80809279997</v>
      </c>
      <c r="F13" s="257">
        <f ca="1">'Future Cashflows (10 Yrs)'!E7</f>
        <v>652435.88244721934</v>
      </c>
      <c r="G13" s="257">
        <f ca="1">'Future Cashflows (10 Yrs)'!E8</f>
        <v>711862.1151146302</v>
      </c>
      <c r="H13" s="257">
        <f>'Future Cashflows (10 Yrs)'!E9</f>
        <v>776453.43260249565</v>
      </c>
      <c r="I13" s="257">
        <f>'Future Cashflows (10 Yrs)'!E10</f>
        <v>842995.49177652947</v>
      </c>
      <c r="J13" s="257">
        <f>'Future Cashflows (10 Yrs)'!E11</f>
        <v>915085.83871484257</v>
      </c>
      <c r="K13" s="257">
        <f>'Future Cashflows (10 Yrs)'!E12</f>
        <v>986891.92056661262</v>
      </c>
      <c r="L13" s="257">
        <f>'Future Cashflows (10 Yrs)'!E13</f>
        <v>1064289.3908822343</v>
      </c>
      <c r="M13" s="257">
        <f>'Future Cashflows (10 Yrs)'!E14</f>
        <v>1154929.1253361036</v>
      </c>
      <c r="O13" s="175"/>
      <c r="P13" s="175"/>
      <c r="Q13" s="175"/>
      <c r="R13" s="175"/>
      <c r="S13" s="175"/>
      <c r="T13" s="175"/>
      <c r="U13" s="175"/>
      <c r="V13" s="175"/>
      <c r="W13" s="175"/>
      <c r="X13" s="175"/>
      <c r="Y13" s="175"/>
      <c r="Z13" s="175"/>
      <c r="AA13" s="175"/>
      <c r="AB13" s="175"/>
      <c r="AC13" s="175"/>
      <c r="AD13" s="175"/>
      <c r="AE13" s="175"/>
      <c r="AF13" s="175"/>
    </row>
    <row r="14" spans="1:32">
      <c r="B14" s="249" t="s">
        <v>298</v>
      </c>
      <c r="C14" s="257">
        <f>C13*C12</f>
        <v>2345.8996739999998</v>
      </c>
      <c r="D14" s="257">
        <f t="shared" ref="D14:M14" si="1">D13*D12</f>
        <v>2566.0276416000002</v>
      </c>
      <c r="E14" s="257">
        <f t="shared" ca="1" si="1"/>
        <v>2775.2159172268798</v>
      </c>
      <c r="F14" s="257">
        <f t="shared" ca="1" si="1"/>
        <v>3001.2050592572091</v>
      </c>
      <c r="G14" s="257">
        <f t="shared" ca="1" si="1"/>
        <v>3345.7519410387622</v>
      </c>
      <c r="H14" s="257">
        <f t="shared" si="1"/>
        <v>3649.3311332317298</v>
      </c>
      <c r="I14" s="257">
        <f t="shared" si="1"/>
        <v>3962.0788113496887</v>
      </c>
      <c r="J14" s="257">
        <f t="shared" si="1"/>
        <v>4392.4120258312441</v>
      </c>
      <c r="K14" s="257">
        <f t="shared" si="1"/>
        <v>4737.0812187197398</v>
      </c>
      <c r="L14" s="257">
        <f t="shared" si="1"/>
        <v>5108.5890762347244</v>
      </c>
      <c r="M14" s="257">
        <f t="shared" si="1"/>
        <v>5659.1527141469078</v>
      </c>
      <c r="O14" s="175"/>
      <c r="P14" s="175"/>
      <c r="Q14" s="175"/>
      <c r="R14" s="175"/>
      <c r="S14" s="175"/>
      <c r="T14" s="175"/>
      <c r="U14" s="175"/>
      <c r="V14" s="175"/>
      <c r="W14" s="175"/>
      <c r="X14" s="175"/>
      <c r="Y14" s="175"/>
      <c r="Z14" s="175"/>
      <c r="AA14" s="175"/>
      <c r="AB14" s="175"/>
      <c r="AC14" s="175"/>
      <c r="AD14" s="175"/>
      <c r="AE14" s="175"/>
      <c r="AF14" s="175"/>
    </row>
    <row r="15" spans="1:32">
      <c r="D15" s="283"/>
      <c r="F15" s="283"/>
      <c r="G15" s="61"/>
      <c r="K15" s="267"/>
      <c r="O15" s="175"/>
      <c r="P15" s="175"/>
      <c r="Q15" s="175"/>
      <c r="R15" s="175"/>
      <c r="S15" s="175"/>
      <c r="T15" s="175"/>
      <c r="U15" s="175"/>
      <c r="V15" s="175"/>
      <c r="W15" s="175"/>
      <c r="X15" s="175"/>
      <c r="Y15" s="175"/>
      <c r="Z15" s="175"/>
      <c r="AA15" s="175"/>
      <c r="AB15" s="175"/>
      <c r="AC15" s="175"/>
      <c r="AD15" s="175"/>
      <c r="AE15" s="175"/>
      <c r="AF15" s="175"/>
    </row>
    <row r="16" spans="1:32">
      <c r="D16" s="283"/>
      <c r="F16" s="283"/>
      <c r="K16" s="175"/>
      <c r="O16" s="175"/>
      <c r="P16" s="175"/>
      <c r="Q16" s="175"/>
      <c r="R16" s="175"/>
      <c r="S16" s="175"/>
      <c r="T16" s="175"/>
      <c r="U16" s="175"/>
      <c r="V16" s="175"/>
      <c r="W16" s="175"/>
      <c r="X16" s="175"/>
      <c r="Y16" s="175"/>
      <c r="Z16" s="175"/>
      <c r="AA16" s="175"/>
      <c r="AB16" s="175"/>
      <c r="AC16" s="175"/>
      <c r="AD16" s="175"/>
      <c r="AE16" s="175"/>
      <c r="AF16" s="175"/>
    </row>
    <row r="17" spans="1:32">
      <c r="B17" s="388" t="s">
        <v>305</v>
      </c>
      <c r="C17" s="388"/>
      <c r="D17" s="388"/>
      <c r="E17" s="388"/>
      <c r="F17" s="388"/>
      <c r="G17" s="388"/>
      <c r="J17" s="179"/>
      <c r="K17" s="175"/>
      <c r="L17" s="175"/>
      <c r="O17" s="175"/>
      <c r="P17" s="175"/>
      <c r="Q17" s="175"/>
      <c r="R17" s="175"/>
      <c r="S17" s="175"/>
      <c r="T17" s="175"/>
      <c r="U17" s="175"/>
      <c r="V17" s="175"/>
      <c r="W17" s="175"/>
      <c r="X17" s="175"/>
      <c r="Y17" s="175"/>
      <c r="Z17" s="175"/>
      <c r="AA17" s="175"/>
      <c r="AB17" s="175"/>
      <c r="AC17" s="175"/>
      <c r="AD17" s="175"/>
      <c r="AE17" s="175"/>
      <c r="AF17" s="175"/>
    </row>
    <row r="18" spans="1:32">
      <c r="A18" s="177"/>
      <c r="B18" s="366"/>
      <c r="C18" s="367" t="s">
        <v>304</v>
      </c>
      <c r="D18" s="297" t="s">
        <v>302</v>
      </c>
      <c r="E18" s="367" t="s">
        <v>314</v>
      </c>
      <c r="F18" s="297" t="s">
        <v>301</v>
      </c>
      <c r="G18" s="364" t="s">
        <v>303</v>
      </c>
      <c r="J18" s="207"/>
      <c r="K18" s="175"/>
      <c r="L18" s="175"/>
      <c r="M18" s="175"/>
      <c r="N18" s="175"/>
      <c r="O18" s="175"/>
      <c r="P18" s="175"/>
      <c r="Q18" s="175"/>
      <c r="R18" s="175"/>
      <c r="S18" s="175"/>
      <c r="T18" s="175"/>
      <c r="U18" s="175"/>
      <c r="V18" s="175"/>
      <c r="W18" s="175"/>
      <c r="X18" s="175"/>
      <c r="Y18" s="175"/>
      <c r="Z18" s="175"/>
      <c r="AA18" s="175"/>
      <c r="AB18" s="175"/>
      <c r="AC18" s="175"/>
      <c r="AD18" s="175"/>
      <c r="AE18" s="175"/>
      <c r="AF18" s="175"/>
    </row>
    <row r="19" spans="1:32">
      <c r="B19" s="368" t="s">
        <v>193</v>
      </c>
      <c r="C19" s="373">
        <f>'Future Value of Equity Options'!G19</f>
        <v>0.28756438584167682</v>
      </c>
      <c r="D19" s="371">
        <f>'Future Cashflows (10 Yrs)'!E4*(1-'Future Cashflows (10 Yrs)'!F4)</f>
        <v>363326.62500000006</v>
      </c>
      <c r="E19" s="183"/>
      <c r="F19" s="372"/>
      <c r="G19" s="208">
        <f>C19</f>
        <v>0.28756438584167682</v>
      </c>
      <c r="J19" s="207"/>
      <c r="K19" s="175"/>
      <c r="L19" s="175"/>
      <c r="M19" s="175"/>
      <c r="N19" s="175"/>
      <c r="O19" s="175"/>
      <c r="P19" s="175"/>
      <c r="Q19" s="175"/>
      <c r="R19" s="175"/>
      <c r="S19" s="175"/>
      <c r="T19" s="175"/>
      <c r="U19" s="175"/>
      <c r="V19" s="175"/>
      <c r="W19" s="175"/>
      <c r="X19" s="175"/>
      <c r="Y19" s="175"/>
      <c r="Z19" s="175"/>
      <c r="AA19" s="175"/>
      <c r="AB19" s="175"/>
      <c r="AC19" s="175"/>
      <c r="AD19" s="175"/>
      <c r="AE19" s="175"/>
      <c r="AF19" s="175"/>
    </row>
    <row r="20" spans="1:32">
      <c r="A20" s="177"/>
      <c r="B20" s="248">
        <v>1</v>
      </c>
      <c r="C20" s="373">
        <f>'Future Value of Equity Options'!G20</f>
        <v>0.28490000000000004</v>
      </c>
      <c r="D20" s="371">
        <f>'Future Cashflows (10 Yrs)'!E5*(1-C20)</f>
        <v>398905.73184959998</v>
      </c>
      <c r="E20" s="257">
        <f>D14</f>
        <v>2566.0276416000002</v>
      </c>
      <c r="F20" s="371">
        <f>D20+E20</f>
        <v>401471.75949119998</v>
      </c>
      <c r="G20" s="208">
        <f>1-(F20/'Future Cashflows (10 Yrs)'!E5)</f>
        <v>0.2803000000000001</v>
      </c>
      <c r="J20" s="207"/>
      <c r="K20" s="175"/>
      <c r="L20" s="175"/>
      <c r="M20" s="175"/>
      <c r="N20" s="175"/>
      <c r="O20" s="175"/>
      <c r="P20" s="175"/>
      <c r="Q20" s="175"/>
      <c r="R20" s="175"/>
      <c r="S20" s="175"/>
      <c r="T20" s="175"/>
      <c r="U20" s="175"/>
      <c r="V20" s="175"/>
      <c r="W20" s="175"/>
      <c r="X20" s="175"/>
      <c r="Y20" s="175"/>
      <c r="Z20" s="175"/>
      <c r="AA20" s="175"/>
      <c r="AB20" s="175"/>
      <c r="AC20" s="175"/>
      <c r="AD20" s="175"/>
      <c r="AE20" s="175"/>
      <c r="AF20" s="175"/>
    </row>
    <row r="21" spans="1:32">
      <c r="B21" s="248">
        <f t="shared" ref="B21:B29" si="2">B20+1</f>
        <v>2</v>
      </c>
      <c r="C21" s="373">
        <f ca="1">'Future Value of Equity Options'!G21</f>
        <v>0.28510000000000013</v>
      </c>
      <c r="D21" s="371">
        <f ca="1">'Future Cashflows (10 Yrs)'!E6*(1-C21)</f>
        <v>431304.75200554263</v>
      </c>
      <c r="E21" s="257">
        <f ca="1">E14</f>
        <v>2775.2159172268798</v>
      </c>
      <c r="F21" s="371">
        <f t="shared" ref="F21:F27" ca="1" si="3">D21+E21</f>
        <v>434079.96792276949</v>
      </c>
      <c r="G21" s="208">
        <f ca="1">1-(F21/'Future Cashflows (10 Yrs)'!E6)</f>
        <v>0.28050000000000019</v>
      </c>
      <c r="J21" s="207"/>
      <c r="K21" s="175"/>
      <c r="L21" s="175"/>
      <c r="M21" s="175"/>
      <c r="N21" s="175"/>
      <c r="O21" s="175"/>
      <c r="P21" s="175"/>
      <c r="Q21" s="175"/>
      <c r="R21" s="175"/>
      <c r="S21" s="175"/>
      <c r="T21" s="175"/>
      <c r="U21" s="175"/>
      <c r="V21" s="175"/>
      <c r="W21" s="175"/>
      <c r="X21" s="175"/>
      <c r="Y21" s="175"/>
      <c r="Z21" s="175"/>
      <c r="AA21" s="175"/>
      <c r="AB21" s="175"/>
      <c r="AC21" s="175"/>
      <c r="AD21" s="175"/>
      <c r="AE21" s="175"/>
      <c r="AF21" s="175"/>
    </row>
    <row r="22" spans="1:32">
      <c r="B22" s="248">
        <f t="shared" si="2"/>
        <v>3</v>
      </c>
      <c r="C22" s="373">
        <f ca="1">'Future Value of Equity Options'!G22</f>
        <v>0.28510000000000002</v>
      </c>
      <c r="D22" s="371">
        <f ca="1">'Future Cashflows (10 Yrs)'!E7*(1-C22)</f>
        <v>466426.41236151708</v>
      </c>
      <c r="E22" s="257">
        <f ca="1">F14</f>
        <v>3001.2050592572091</v>
      </c>
      <c r="F22" s="371">
        <f t="shared" ca="1" si="3"/>
        <v>469427.6174207743</v>
      </c>
      <c r="G22" s="208">
        <f ca="1">1-(F22/'Future Cashflows (10 Yrs)'!E7)</f>
        <v>0.28049999999999997</v>
      </c>
      <c r="J22" s="207"/>
      <c r="K22" s="175"/>
      <c r="L22" s="175"/>
      <c r="M22" s="175"/>
      <c r="N22" s="175"/>
      <c r="O22" s="175"/>
      <c r="P22" s="175"/>
      <c r="Q22" s="175"/>
      <c r="R22" s="175"/>
      <c r="S22" s="175"/>
      <c r="T22" s="175"/>
      <c r="U22" s="175"/>
      <c r="V22" s="175"/>
      <c r="W22" s="175"/>
      <c r="X22" s="175"/>
      <c r="Y22" s="175"/>
      <c r="Z22" s="175"/>
      <c r="AA22" s="175"/>
      <c r="AB22" s="175"/>
      <c r="AC22" s="175"/>
      <c r="AD22" s="175"/>
      <c r="AE22" s="175"/>
      <c r="AF22" s="175"/>
    </row>
    <row r="23" spans="1:32" ht="12" customHeight="1">
      <c r="B23" s="248">
        <f t="shared" si="2"/>
        <v>4</v>
      </c>
      <c r="C23" s="373">
        <f ca="1">'Future Value of Equity Options'!G23</f>
        <v>0.28559999999999997</v>
      </c>
      <c r="D23" s="371">
        <f ca="1">'Future Cashflows (10 Yrs)'!E8*(1-C23)</f>
        <v>508554.29503789183</v>
      </c>
      <c r="E23" s="257">
        <f ca="1">G14</f>
        <v>3345.7519410387622</v>
      </c>
      <c r="F23" s="371">
        <f t="shared" ca="1" si="3"/>
        <v>511900.04697893059</v>
      </c>
      <c r="G23" s="208">
        <f ca="1">1-(F23/'Future Cashflows (10 Yrs)'!E8)</f>
        <v>0.28089999999999993</v>
      </c>
      <c r="J23" s="207"/>
      <c r="K23" s="175"/>
      <c r="L23" s="175"/>
      <c r="M23" s="175"/>
      <c r="N23" s="175"/>
      <c r="O23" s="175"/>
      <c r="P23" s="175"/>
      <c r="Q23" s="175"/>
      <c r="R23" s="175"/>
      <c r="S23" s="175"/>
      <c r="T23" s="175"/>
      <c r="U23" s="175"/>
      <c r="V23" s="175"/>
      <c r="W23" s="175"/>
      <c r="X23" s="175"/>
      <c r="Y23" s="175"/>
      <c r="Z23" s="175"/>
      <c r="AA23" s="175"/>
      <c r="AB23" s="175"/>
      <c r="AC23" s="175"/>
      <c r="AD23" s="175"/>
      <c r="AE23" s="175"/>
      <c r="AF23" s="175"/>
    </row>
    <row r="24" spans="1:32">
      <c r="B24" s="248">
        <f t="shared" si="2"/>
        <v>5</v>
      </c>
      <c r="C24" s="373">
        <f>'Future Value of Equity Options'!G24</f>
        <v>0.28559999999999997</v>
      </c>
      <c r="D24" s="371">
        <f>'Future Cashflows (10 Yrs)'!E9*(1-C24)</f>
        <v>554698.33225122292</v>
      </c>
      <c r="E24" s="257">
        <f>H14</f>
        <v>3649.3311332317298</v>
      </c>
      <c r="F24" s="371">
        <f t="shared" si="3"/>
        <v>558347.66338445467</v>
      </c>
      <c r="G24" s="208">
        <f>1-(F24/'Future Cashflows (10 Yrs)'!E9)</f>
        <v>0.28089999999999993</v>
      </c>
      <c r="J24" s="207"/>
      <c r="K24" s="175"/>
      <c r="L24" s="175"/>
      <c r="M24" s="175"/>
      <c r="N24" s="175"/>
      <c r="O24" s="175"/>
      <c r="P24" s="175"/>
      <c r="Q24" s="175"/>
      <c r="R24" s="175"/>
      <c r="S24" s="175"/>
      <c r="T24" s="175"/>
      <c r="U24" s="175"/>
      <c r="V24" s="175"/>
      <c r="W24" s="175"/>
      <c r="X24" s="175"/>
      <c r="Y24" s="175"/>
      <c r="Z24" s="175"/>
      <c r="AA24" s="175"/>
      <c r="AB24" s="175"/>
      <c r="AC24" s="175"/>
      <c r="AD24" s="175"/>
      <c r="AE24" s="175"/>
      <c r="AF24" s="175"/>
    </row>
    <row r="25" spans="1:32">
      <c r="B25" s="248">
        <f t="shared" si="2"/>
        <v>6</v>
      </c>
      <c r="C25" s="373">
        <f>'Future Value of Equity Options'!G25</f>
        <v>0.29580000000000006</v>
      </c>
      <c r="D25" s="371">
        <f>'Future Cashflows (10 Yrs)'!E10*(1-C25)</f>
        <v>593637.42530903197</v>
      </c>
      <c r="E25" s="257">
        <f>I14</f>
        <v>3962.0788113496887</v>
      </c>
      <c r="F25" s="371">
        <f>D25+E25</f>
        <v>597599.50412038167</v>
      </c>
      <c r="G25" s="208">
        <f>1-(F25/'Future Cashflows (10 Yrs)'!E10)</f>
        <v>0.29110000000000014</v>
      </c>
      <c r="J25" s="207"/>
      <c r="K25" s="175"/>
      <c r="L25" s="175"/>
      <c r="M25" s="175"/>
      <c r="N25" s="175"/>
      <c r="O25" s="175"/>
      <c r="P25" s="175"/>
      <c r="Q25" s="175"/>
      <c r="R25" s="175"/>
      <c r="S25" s="175"/>
      <c r="T25" s="175"/>
      <c r="U25" s="175"/>
      <c r="V25" s="175"/>
      <c r="W25" s="175"/>
      <c r="X25" s="175"/>
      <c r="Y25" s="175"/>
      <c r="Z25" s="175"/>
      <c r="AA25" s="175"/>
      <c r="AB25" s="175"/>
      <c r="AC25" s="175"/>
      <c r="AD25" s="175"/>
      <c r="AE25" s="175"/>
      <c r="AF25" s="175"/>
    </row>
    <row r="26" spans="1:32">
      <c r="B26" s="248">
        <f t="shared" si="2"/>
        <v>7</v>
      </c>
      <c r="C26" s="373">
        <f>'Future Value of Equity Options'!G26</f>
        <v>0.29580000000000006</v>
      </c>
      <c r="D26" s="371">
        <f>'Future Cashflows (10 Yrs)'!E11*(1-C26)</f>
        <v>644403.4476229921</v>
      </c>
      <c r="E26" s="257">
        <f>J14</f>
        <v>4392.4120258312441</v>
      </c>
      <c r="F26" s="371">
        <f t="shared" si="3"/>
        <v>648795.85964882339</v>
      </c>
      <c r="G26" s="208">
        <f>1-(F26/'Future Cashflows (10 Yrs)'!E11)</f>
        <v>0.29100000000000004</v>
      </c>
      <c r="J26" s="213"/>
      <c r="K26" s="175"/>
      <c r="L26" s="175"/>
      <c r="M26" s="175"/>
      <c r="N26" s="175"/>
      <c r="O26" s="175"/>
      <c r="P26" s="175"/>
      <c r="Q26" s="175"/>
      <c r="R26" s="175"/>
      <c r="S26" s="175"/>
      <c r="T26" s="175"/>
      <c r="U26" s="175"/>
      <c r="V26" s="175"/>
      <c r="W26" s="175"/>
      <c r="X26" s="175"/>
      <c r="Y26" s="175"/>
      <c r="Z26" s="175"/>
      <c r="AA26" s="175"/>
      <c r="AB26" s="175"/>
      <c r="AC26" s="175"/>
      <c r="AD26" s="175"/>
      <c r="AE26" s="175"/>
      <c r="AF26" s="175"/>
    </row>
    <row r="27" spans="1:32">
      <c r="B27" s="248">
        <f t="shared" si="2"/>
        <v>8</v>
      </c>
      <c r="C27" s="373">
        <f>'Future Value of Equity Options'!G27</f>
        <v>0.29610000000000003</v>
      </c>
      <c r="D27" s="371">
        <f>'Future Cashflows (10 Yrs)'!E12*(1-C27)</f>
        <v>694673.2228868386</v>
      </c>
      <c r="E27" s="257">
        <f>K14</f>
        <v>4737.0812187197398</v>
      </c>
      <c r="F27" s="371">
        <f t="shared" si="3"/>
        <v>699410.30410555832</v>
      </c>
      <c r="G27" s="208">
        <f>1-(F27/'Future Cashflows (10 Yrs)'!E12)</f>
        <v>0.2913</v>
      </c>
      <c r="L27" s="175"/>
      <c r="M27" s="175"/>
      <c r="N27" s="175"/>
      <c r="O27" s="175"/>
      <c r="P27" s="175"/>
      <c r="Q27" s="175"/>
      <c r="R27" s="175"/>
      <c r="S27" s="175"/>
      <c r="T27" s="175"/>
      <c r="U27" s="175"/>
      <c r="V27" s="175"/>
      <c r="W27" s="175"/>
      <c r="X27" s="175"/>
      <c r="Y27" s="175"/>
      <c r="Z27" s="175"/>
      <c r="AA27" s="175"/>
      <c r="AB27" s="175"/>
      <c r="AC27" s="175"/>
      <c r="AD27" s="175"/>
      <c r="AE27" s="175"/>
      <c r="AF27" s="175"/>
    </row>
    <row r="28" spans="1:32">
      <c r="B28" s="248">
        <f t="shared" si="2"/>
        <v>9</v>
      </c>
      <c r="C28" s="373">
        <f>'Future Value of Equity Options'!G28</f>
        <v>0.29610000000000003</v>
      </c>
      <c r="D28" s="371">
        <f>'Future Cashflows (10 Yrs)'!E13*(1-C28)</f>
        <v>749153.30224200466</v>
      </c>
      <c r="E28" s="257">
        <f>L14</f>
        <v>5108.5890762347244</v>
      </c>
      <c r="F28" s="371">
        <f>D28+E28</f>
        <v>754261.89131823939</v>
      </c>
      <c r="G28" s="208">
        <f>1-(F28/'Future Cashflows (10 Yrs)'!E13)</f>
        <v>0.29130000000000011</v>
      </c>
      <c r="L28" s="175"/>
      <c r="M28" s="175"/>
      <c r="N28" s="175"/>
      <c r="O28" s="175"/>
      <c r="P28" s="175"/>
      <c r="Q28" s="175"/>
      <c r="R28" s="175"/>
      <c r="S28" s="175"/>
      <c r="T28" s="175"/>
      <c r="U28" s="175"/>
      <c r="V28" s="175"/>
      <c r="W28" s="175"/>
      <c r="X28" s="175"/>
      <c r="Y28" s="175"/>
      <c r="Z28" s="175"/>
      <c r="AA28" s="175"/>
      <c r="AB28" s="175"/>
      <c r="AC28" s="175"/>
      <c r="AD28" s="175"/>
      <c r="AE28" s="175"/>
      <c r="AF28" s="175"/>
    </row>
    <row r="29" spans="1:32">
      <c r="B29" s="248">
        <f t="shared" si="2"/>
        <v>10</v>
      </c>
      <c r="C29" s="373">
        <f>'Future Value of Equity Options'!G29</f>
        <v>0.29649999999999999</v>
      </c>
      <c r="D29" s="371">
        <f>'Future Cashflows (10 Yrs)'!E14*(1-C29)</f>
        <v>812492.63967394887</v>
      </c>
      <c r="E29" s="257">
        <f>M14</f>
        <v>5659.1527141469078</v>
      </c>
      <c r="F29" s="371">
        <f>D29+E29</f>
        <v>818151.79238809575</v>
      </c>
      <c r="G29" s="208">
        <f>1-(F29/'Future Cashflows (10 Yrs)'!E14)</f>
        <v>0.29160000000000008</v>
      </c>
      <c r="K29" s="175"/>
      <c r="L29" s="175"/>
      <c r="M29" s="175"/>
      <c r="N29" s="175"/>
      <c r="O29" s="175"/>
      <c r="P29" s="175"/>
      <c r="Q29" s="175"/>
      <c r="R29" s="175"/>
      <c r="S29" s="175"/>
      <c r="T29" s="175"/>
      <c r="U29" s="175"/>
      <c r="V29" s="175"/>
      <c r="W29" s="175"/>
      <c r="X29" s="175"/>
      <c r="Y29" s="175"/>
      <c r="Z29" s="175"/>
      <c r="AA29" s="175"/>
      <c r="AB29" s="175"/>
      <c r="AC29" s="175"/>
      <c r="AD29" s="175"/>
      <c r="AE29" s="175"/>
      <c r="AF29" s="175"/>
    </row>
    <row r="30" spans="1:32" ht="14.25" customHeight="1">
      <c r="D30" s="6"/>
      <c r="E30" s="6"/>
      <c r="K30" s="175"/>
      <c r="L30" s="175"/>
      <c r="M30" s="175"/>
      <c r="N30" s="175"/>
      <c r="O30" s="175"/>
      <c r="P30" s="175"/>
      <c r="Q30" s="175"/>
      <c r="R30" s="175"/>
      <c r="S30" s="175"/>
      <c r="T30" s="175"/>
      <c r="U30" s="175"/>
      <c r="V30" s="175"/>
      <c r="W30" s="175"/>
      <c r="X30" s="175"/>
      <c r="Y30" s="175"/>
      <c r="Z30" s="175"/>
      <c r="AA30" s="175"/>
      <c r="AB30" s="175"/>
      <c r="AC30" s="175"/>
      <c r="AD30" s="175"/>
      <c r="AE30" s="175"/>
      <c r="AF30" s="175"/>
    </row>
    <row r="31" spans="1:32">
      <c r="D31" s="24"/>
      <c r="E31" s="24"/>
      <c r="G31" s="175"/>
      <c r="H31" s="175"/>
      <c r="I31" s="175"/>
      <c r="J31" s="175"/>
      <c r="K31" s="175"/>
      <c r="L31" s="175"/>
      <c r="M31" s="175"/>
      <c r="N31" s="175"/>
      <c r="O31" s="175"/>
      <c r="P31" s="175"/>
      <c r="Q31" s="175"/>
      <c r="R31" s="175"/>
      <c r="S31" s="175"/>
      <c r="T31" s="175"/>
      <c r="U31" s="175"/>
      <c r="V31" s="175"/>
      <c r="W31" s="175"/>
      <c r="X31" s="175"/>
      <c r="Y31" s="175"/>
      <c r="Z31" s="175"/>
      <c r="AA31" s="175"/>
      <c r="AB31" s="175"/>
      <c r="AC31" s="175"/>
      <c r="AD31" s="175"/>
      <c r="AE31" s="175"/>
      <c r="AF31" s="175"/>
    </row>
    <row r="32" spans="1:32">
      <c r="D32" s="3"/>
      <c r="E32" s="3"/>
      <c r="G32" s="175"/>
      <c r="H32" s="175"/>
      <c r="I32" s="175"/>
      <c r="J32" s="175"/>
      <c r="K32" s="175"/>
      <c r="L32" s="175"/>
      <c r="M32" s="175"/>
      <c r="N32" s="175"/>
      <c r="O32" s="175"/>
      <c r="P32" s="175"/>
      <c r="Q32" s="175"/>
      <c r="R32" s="175"/>
      <c r="S32" s="175"/>
      <c r="T32" s="175"/>
      <c r="U32" s="175"/>
      <c r="V32" s="175"/>
      <c r="W32" s="175"/>
      <c r="X32" s="175"/>
      <c r="Y32" s="175"/>
      <c r="Z32" s="175"/>
      <c r="AA32" s="175"/>
      <c r="AB32" s="175"/>
      <c r="AC32" s="175"/>
      <c r="AD32" s="175"/>
      <c r="AE32" s="175"/>
      <c r="AF32" s="175"/>
    </row>
    <row r="33" spans="4:32">
      <c r="G33" s="175"/>
      <c r="H33" s="175"/>
      <c r="I33" s="175"/>
      <c r="J33" s="175"/>
      <c r="K33" s="175"/>
      <c r="L33" s="175"/>
      <c r="M33" s="175"/>
      <c r="N33" s="175"/>
      <c r="O33" s="175"/>
      <c r="P33" s="175"/>
      <c r="Q33" s="175"/>
      <c r="R33" s="175"/>
      <c r="S33" s="175"/>
      <c r="T33" s="175"/>
      <c r="U33" s="175"/>
      <c r="V33" s="175"/>
      <c r="W33" s="175"/>
      <c r="X33" s="175"/>
      <c r="Y33" s="175"/>
      <c r="Z33" s="175"/>
      <c r="AA33" s="175"/>
      <c r="AB33" s="175"/>
      <c r="AC33" s="175"/>
      <c r="AD33" s="175"/>
      <c r="AE33" s="175"/>
      <c r="AF33" s="175"/>
    </row>
    <row r="34" spans="4:32">
      <c r="D34" s="23"/>
      <c r="E34" s="23"/>
      <c r="G34" s="175"/>
      <c r="H34" s="175"/>
      <c r="I34" s="175"/>
      <c r="J34" s="175"/>
      <c r="K34" s="175"/>
      <c r="L34" s="175"/>
      <c r="M34" s="175"/>
      <c r="N34" s="175"/>
      <c r="O34" s="175"/>
      <c r="P34" s="175"/>
      <c r="Q34" s="175"/>
      <c r="R34" s="175"/>
      <c r="S34" s="175"/>
      <c r="T34" s="175"/>
      <c r="U34" s="175"/>
      <c r="V34" s="175"/>
      <c r="W34" s="175"/>
      <c r="X34" s="175"/>
      <c r="Y34" s="175"/>
      <c r="Z34" s="175"/>
      <c r="AA34" s="175"/>
      <c r="AB34" s="175"/>
      <c r="AC34" s="175"/>
      <c r="AD34" s="175"/>
      <c r="AE34" s="175"/>
      <c r="AF34" s="175"/>
    </row>
    <row r="35" spans="4:32">
      <c r="D35" s="56"/>
      <c r="E35" s="3"/>
      <c r="G35" s="175"/>
      <c r="H35" s="175"/>
      <c r="I35" s="175"/>
      <c r="J35" s="175"/>
      <c r="K35" s="175"/>
      <c r="L35" s="175"/>
      <c r="M35" s="175"/>
      <c r="N35" s="175"/>
      <c r="O35" s="175"/>
      <c r="P35" s="175"/>
      <c r="Q35" s="175"/>
      <c r="R35" s="175"/>
      <c r="S35" s="175"/>
      <c r="T35" s="175"/>
      <c r="U35" s="175"/>
      <c r="V35" s="175"/>
      <c r="W35" s="175"/>
      <c r="X35" s="175"/>
      <c r="Y35" s="175"/>
      <c r="Z35" s="175"/>
      <c r="AA35" s="175"/>
      <c r="AB35" s="175"/>
      <c r="AC35" s="175"/>
      <c r="AD35" s="175"/>
      <c r="AE35" s="175"/>
      <c r="AF35" s="175"/>
    </row>
    <row r="36" spans="4:32">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row>
    <row r="37" spans="4:32">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row>
    <row r="38" spans="4:32">
      <c r="G38" s="175"/>
      <c r="H38" s="175"/>
      <c r="I38" s="175"/>
      <c r="J38" s="175"/>
      <c r="K38" s="175"/>
      <c r="L38" s="175"/>
      <c r="M38" s="175"/>
      <c r="N38" s="175"/>
      <c r="O38" s="175"/>
      <c r="P38" s="175"/>
      <c r="Q38" s="175"/>
      <c r="R38" s="175"/>
      <c r="S38" s="175"/>
      <c r="T38" s="175"/>
      <c r="U38" s="175"/>
      <c r="V38" s="175"/>
      <c r="W38" s="175"/>
      <c r="X38" s="175"/>
      <c r="Y38" s="175"/>
      <c r="Z38" s="175"/>
      <c r="AA38" s="175"/>
      <c r="AB38" s="175"/>
      <c r="AC38" s="175"/>
      <c r="AD38" s="175"/>
      <c r="AE38" s="175"/>
      <c r="AF38" s="175"/>
    </row>
  </sheetData>
  <mergeCells count="3">
    <mergeCell ref="B3:H3"/>
    <mergeCell ref="B10:M10"/>
    <mergeCell ref="B17:G17"/>
  </mergeCells>
  <pageMargins left="0.7" right="0.7" top="0.75" bottom="0.75" header="0.3" footer="0.3"/>
  <pageSetup paperSize="8"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5" style="2" customWidth="1"/>
    <col min="4" max="5" width="12.140625" style="2" bestFit="1" customWidth="1"/>
    <col min="6" max="6" width="13.28515625" style="2" customWidth="1"/>
    <col min="7" max="7" width="12.140625" style="2" bestFit="1" customWidth="1"/>
    <col min="8" max="8" width="15" style="2" bestFit="1" customWidth="1"/>
    <col min="9" max="9" width="15.85546875" style="2" customWidth="1"/>
    <col min="10" max="10" width="13.28515625" style="2" customWidth="1"/>
    <col min="11" max="11" width="13.42578125" style="2" customWidth="1"/>
    <col min="12" max="12" width="14.140625" style="2" customWidth="1"/>
    <col min="13" max="13" width="9.140625" style="2"/>
    <col min="14" max="14" width="18.42578125" style="2" customWidth="1"/>
    <col min="15" max="16384" width="9.140625" style="2"/>
  </cols>
  <sheetData>
    <row r="1" spans="1:20" ht="16.5" customHeight="1">
      <c r="B1" s="16" t="s">
        <v>228</v>
      </c>
    </row>
    <row r="3" spans="1:20" ht="12" customHeight="1">
      <c r="E3" s="47"/>
      <c r="F3" s="33"/>
      <c r="G3" s="294"/>
      <c r="H3" s="31"/>
      <c r="I3" s="3"/>
      <c r="J3" s="3"/>
      <c r="K3" s="3"/>
      <c r="L3" s="3"/>
      <c r="M3" s="3"/>
      <c r="N3" s="3"/>
      <c r="O3" s="3"/>
      <c r="P3" s="3"/>
      <c r="Q3" s="3"/>
      <c r="R3" s="3"/>
      <c r="S3" s="3"/>
      <c r="T3" s="3"/>
    </row>
    <row r="4" spans="1:20" ht="12" customHeight="1">
      <c r="B4" s="385" t="s">
        <v>232</v>
      </c>
      <c r="C4" s="385"/>
      <c r="D4" s="385"/>
      <c r="E4" s="385"/>
      <c r="F4" s="385"/>
      <c r="G4" s="385"/>
      <c r="H4" s="385"/>
      <c r="I4" s="385"/>
      <c r="J4" s="385"/>
      <c r="K4" s="385"/>
      <c r="L4" s="385"/>
      <c r="M4" s="3"/>
      <c r="N4" s="3"/>
      <c r="O4" s="3"/>
      <c r="P4" s="3"/>
      <c r="Q4" s="3"/>
      <c r="R4" s="3"/>
      <c r="S4" s="3"/>
      <c r="T4" s="3"/>
    </row>
    <row r="5" spans="1:20" ht="12" customHeight="1">
      <c r="B5" s="293"/>
      <c r="C5" s="296">
        <v>1</v>
      </c>
      <c r="D5" s="296">
        <v>2</v>
      </c>
      <c r="E5" s="297">
        <v>3</v>
      </c>
      <c r="F5" s="298">
        <v>4</v>
      </c>
      <c r="G5" s="299">
        <v>5</v>
      </c>
      <c r="H5" s="300">
        <v>6</v>
      </c>
      <c r="I5" s="296">
        <v>7</v>
      </c>
      <c r="J5" s="296">
        <v>8</v>
      </c>
      <c r="K5" s="296">
        <v>9</v>
      </c>
      <c r="L5" s="296">
        <v>10</v>
      </c>
      <c r="M5" s="3"/>
      <c r="N5" s="3"/>
      <c r="O5" s="3"/>
      <c r="P5" s="3"/>
      <c r="Q5" s="3"/>
      <c r="R5" s="3"/>
      <c r="S5" s="3"/>
      <c r="T5" s="3"/>
    </row>
    <row r="6" spans="1:20" ht="12" customHeight="1">
      <c r="B6" s="54" t="s">
        <v>230</v>
      </c>
      <c r="C6" s="295">
        <f>'Future Cashflows (10 Yrs)'!F19</f>
        <v>106369.81386351801</v>
      </c>
      <c r="D6" s="295">
        <f ca="1">'Future Cashflows (10 Yrs)'!F20</f>
        <v>116031.7846332742</v>
      </c>
      <c r="E6" s="278">
        <f ca="1">'Future Cashflows (10 Yrs)'!F21</f>
        <v>125036.97591636797</v>
      </c>
      <c r="F6" s="278">
        <f ca="1">'Future Cashflows (10 Yrs)'!F22</f>
        <v>134524.0632108353</v>
      </c>
      <c r="G6" s="278">
        <f ca="1">'Future Cashflows (10 Yrs)'!F23</f>
        <v>146247.99043182307</v>
      </c>
      <c r="H6" s="278">
        <f>'Future Cashflows (10 Yrs)'!F24</f>
        <v>165150.82015672803</v>
      </c>
      <c r="I6" s="295">
        <f>'Future Cashflows (10 Yrs)'!F25</f>
        <v>179245.02076292987</v>
      </c>
      <c r="J6" s="295">
        <f>'Future Cashflows (10 Yrs)'!F26</f>
        <v>195182.1093824222</v>
      </c>
      <c r="K6" s="295">
        <f>'Future Cashflows (10 Yrs)'!F27</f>
        <v>210500.48116383381</v>
      </c>
      <c r="L6" s="295">
        <f>'Future Cashflows (10 Yrs)'!F28</f>
        <v>226839.50977668958</v>
      </c>
      <c r="M6" s="3"/>
      <c r="N6" s="3"/>
      <c r="O6" s="3"/>
      <c r="P6" s="3"/>
      <c r="Q6" s="3"/>
      <c r="R6" s="3"/>
      <c r="S6" s="3"/>
      <c r="T6" s="3"/>
    </row>
    <row r="7" spans="1:20" ht="12" customHeight="1">
      <c r="B7" s="54" t="s">
        <v>231</v>
      </c>
      <c r="C7" s="147">
        <f>WACC!$C$12</f>
        <v>7.5558357567243634E-2</v>
      </c>
      <c r="D7" s="147">
        <f>C7</f>
        <v>7.5558357567243634E-2</v>
      </c>
      <c r="E7" s="147">
        <f>AVERAGE(F7,C7)</f>
        <v>7.5558672172917951E-2</v>
      </c>
      <c r="F7" s="95">
        <f>AVERAGE(C7,H7)</f>
        <v>7.5558986778592255E-2</v>
      </c>
      <c r="G7" s="95">
        <f>AVERAGE(F7,H7)</f>
        <v>7.5559301384266558E-2</v>
      </c>
      <c r="H7" s="95">
        <f>AVERAGE(C7,L7)</f>
        <v>7.5559615989940876E-2</v>
      </c>
      <c r="I7" s="147">
        <f>AVERAGE(H7,J7)</f>
        <v>7.555993059561518E-2</v>
      </c>
      <c r="J7" s="147">
        <f>AVERAGE(H7,L7)</f>
        <v>7.5560245201289483E-2</v>
      </c>
      <c r="K7" s="147">
        <f>AVERAGE(J7,L7)</f>
        <v>7.5560559806963801E-2</v>
      </c>
      <c r="L7" s="147">
        <f>'Terminal Value'!$G$19</f>
        <v>7.5560874412638104E-2</v>
      </c>
      <c r="M7" s="21"/>
      <c r="N7" s="3"/>
      <c r="O7" s="3"/>
      <c r="P7" s="3"/>
      <c r="Q7" s="3"/>
      <c r="R7" s="3"/>
      <c r="S7" s="3"/>
      <c r="T7" s="3"/>
    </row>
    <row r="8" spans="1:20" ht="12" customHeight="1">
      <c r="B8" s="116" t="s">
        <v>229</v>
      </c>
      <c r="C8" s="192">
        <f>C6/(1+C7)^C5</f>
        <v>98897.296567069629</v>
      </c>
      <c r="D8" s="192">
        <f t="shared" ref="D8:L8" ca="1" si="0">D6/(1+D7)^D5</f>
        <v>100301.86618060908</v>
      </c>
      <c r="E8" s="192">
        <f t="shared" ca="1" si="0"/>
        <v>100493.07664305977</v>
      </c>
      <c r="F8" s="192">
        <f t="shared" ca="1" si="0"/>
        <v>100522.44492335874</v>
      </c>
      <c r="G8" s="192">
        <f t="shared" ca="1" si="0"/>
        <v>101605.70774810777</v>
      </c>
      <c r="H8" s="192">
        <f t="shared" si="0"/>
        <v>106677.74094566872</v>
      </c>
      <c r="I8" s="192">
        <f t="shared" si="0"/>
        <v>107647.71091031068</v>
      </c>
      <c r="J8" s="192">
        <f t="shared" si="0"/>
        <v>108983.8323125849</v>
      </c>
      <c r="K8" s="192">
        <f t="shared" si="0"/>
        <v>109279.64519251483</v>
      </c>
      <c r="L8" s="192">
        <f t="shared" si="0"/>
        <v>109488.56016963733</v>
      </c>
      <c r="M8" s="3"/>
      <c r="N8" s="3"/>
      <c r="O8" s="3"/>
      <c r="P8" s="3"/>
      <c r="Q8" s="3"/>
      <c r="R8" s="3"/>
      <c r="S8" s="3"/>
      <c r="T8" s="3"/>
    </row>
    <row r="9" spans="1:20" ht="12" customHeight="1">
      <c r="E9" s="34"/>
      <c r="F9" s="35"/>
      <c r="G9" s="31"/>
      <c r="H9" s="31"/>
      <c r="M9" s="3"/>
      <c r="N9" s="3"/>
      <c r="O9" s="3"/>
      <c r="P9" s="3"/>
      <c r="Q9" s="3"/>
      <c r="R9" s="3"/>
      <c r="S9" s="3"/>
      <c r="T9" s="3"/>
    </row>
    <row r="10" spans="1:20" ht="12" customHeight="1">
      <c r="A10" s="3"/>
      <c r="E10" s="31"/>
      <c r="F10" s="31"/>
      <c r="G10" s="31"/>
      <c r="H10" s="31"/>
      <c r="M10" s="3"/>
      <c r="N10" s="3"/>
      <c r="O10" s="3"/>
      <c r="P10" s="3"/>
      <c r="Q10" s="3"/>
      <c r="R10" s="3"/>
      <c r="S10" s="3"/>
      <c r="T10" s="3"/>
    </row>
    <row r="11" spans="1:20" ht="12" customHeight="1">
      <c r="A11" s="3"/>
      <c r="E11" s="38"/>
      <c r="F11" s="38"/>
      <c r="G11" s="38"/>
      <c r="H11" s="38"/>
      <c r="N11" s="3"/>
      <c r="O11" s="3"/>
      <c r="P11" s="3"/>
      <c r="Q11" s="3"/>
      <c r="R11" s="3"/>
      <c r="S11" s="3"/>
      <c r="T11" s="3"/>
    </row>
    <row r="12" spans="1:20" ht="12" customHeight="1">
      <c r="A12" s="3"/>
      <c r="B12" s="31" t="s">
        <v>227</v>
      </c>
      <c r="C12" s="302">
        <f ca="1">SUM(C8:L8)</f>
        <v>1043897.8815929216</v>
      </c>
      <c r="E12" s="108"/>
      <c r="F12" s="382"/>
      <c r="G12" s="108"/>
      <c r="H12" s="108"/>
      <c r="I12" s="31"/>
      <c r="J12" s="31"/>
      <c r="K12" s="31"/>
      <c r="L12" s="3"/>
      <c r="M12" s="3"/>
      <c r="N12" s="3"/>
      <c r="O12" s="3"/>
      <c r="P12" s="3"/>
      <c r="Q12" s="3"/>
      <c r="R12" s="3"/>
      <c r="S12" s="3"/>
      <c r="T12" s="3"/>
    </row>
    <row r="13" spans="1:20" ht="12" customHeight="1">
      <c r="A13" s="3"/>
      <c r="B13" s="31" t="s">
        <v>189</v>
      </c>
      <c r="C13" s="302">
        <f ca="1">'Terminal Value'!$C$13</f>
        <v>7249608.3505784785</v>
      </c>
      <c r="D13" s="31"/>
      <c r="E13" s="69"/>
      <c r="F13" s="380"/>
      <c r="G13" s="80"/>
      <c r="H13" s="381"/>
      <c r="N13" s="3"/>
      <c r="O13" s="3"/>
      <c r="P13" s="3"/>
      <c r="Q13" s="3"/>
      <c r="R13" s="3"/>
      <c r="S13" s="3"/>
      <c r="T13" s="3"/>
    </row>
    <row r="14" spans="1:20" s="26" customFormat="1" ht="12" customHeight="1">
      <c r="A14" s="25"/>
      <c r="B14" s="31" t="s">
        <v>221</v>
      </c>
      <c r="C14" s="302">
        <f ca="1">C13/(1+L7)^'Fair Value of Share'!$L$5</f>
        <v>3499166.3528104844</v>
      </c>
      <c r="D14" s="48"/>
      <c r="E14" s="69"/>
      <c r="F14" s="380"/>
      <c r="G14" s="80"/>
      <c r="H14" s="381"/>
      <c r="N14" s="25"/>
      <c r="O14" s="25"/>
      <c r="P14" s="25"/>
      <c r="Q14" s="25"/>
      <c r="R14" s="25"/>
      <c r="S14" s="25"/>
      <c r="T14" s="25"/>
    </row>
    <row r="15" spans="1:20" ht="12" customHeight="1">
      <c r="A15" s="3"/>
      <c r="B15" s="32" t="s">
        <v>233</v>
      </c>
      <c r="C15" s="374">
        <f ca="1">C14+C12</f>
        <v>4543064.2344034063</v>
      </c>
      <c r="E15" s="69"/>
      <c r="F15" s="380"/>
      <c r="G15" s="80"/>
      <c r="H15" s="381"/>
      <c r="N15" s="3"/>
      <c r="O15" s="3"/>
      <c r="P15" s="3"/>
      <c r="Q15" s="3"/>
      <c r="R15" s="3"/>
      <c r="S15" s="3"/>
      <c r="T15" s="3"/>
    </row>
    <row r="16" spans="1:20" ht="12" customHeight="1">
      <c r="A16" s="301" t="s">
        <v>138</v>
      </c>
      <c r="B16" s="36" t="s">
        <v>213</v>
      </c>
      <c r="C16" s="302">
        <f>'Cash &amp; Marketable Securities'!$C$12</f>
        <v>149041.83098486144</v>
      </c>
      <c r="E16" s="69"/>
      <c r="F16" s="380"/>
      <c r="G16" s="80"/>
      <c r="H16" s="381"/>
      <c r="N16" s="3"/>
      <c r="O16" s="3"/>
      <c r="P16" s="3"/>
      <c r="Q16" s="3"/>
      <c r="R16" s="3"/>
      <c r="S16" s="3"/>
      <c r="T16" s="3"/>
    </row>
    <row r="17" spans="1:20" ht="12" customHeight="1">
      <c r="A17" s="301" t="s">
        <v>138</v>
      </c>
      <c r="B17" s="37" t="s">
        <v>226</v>
      </c>
      <c r="C17" s="302">
        <v>0</v>
      </c>
      <c r="E17" s="69"/>
      <c r="F17" s="380"/>
      <c r="G17" s="80"/>
      <c r="H17" s="381"/>
      <c r="N17" s="3"/>
      <c r="O17" s="3"/>
      <c r="P17" s="3"/>
      <c r="Q17" s="3"/>
      <c r="R17" s="3"/>
      <c r="S17" s="3"/>
      <c r="T17" s="3"/>
    </row>
    <row r="18" spans="1:20" ht="12" customHeight="1">
      <c r="A18" s="301" t="s">
        <v>138</v>
      </c>
      <c r="B18" s="2" t="s">
        <v>234</v>
      </c>
      <c r="C18" s="375">
        <v>0</v>
      </c>
      <c r="D18" s="31"/>
      <c r="E18" s="69"/>
      <c r="F18" s="380"/>
      <c r="G18" s="80"/>
      <c r="H18" s="381"/>
      <c r="I18" s="31"/>
      <c r="J18" s="31"/>
      <c r="K18" s="31"/>
      <c r="L18" s="3"/>
      <c r="M18" s="3"/>
      <c r="N18" s="3"/>
      <c r="O18" s="3"/>
      <c r="P18" s="3"/>
      <c r="Q18" s="3"/>
      <c r="R18" s="3"/>
      <c r="S18" s="3"/>
      <c r="T18" s="3"/>
    </row>
    <row r="19" spans="1:20" ht="12" customHeight="1">
      <c r="A19" s="3"/>
      <c r="B19" s="32" t="s">
        <v>224</v>
      </c>
      <c r="C19" s="374">
        <f ca="1">SUM(C15:C17)</f>
        <v>4692106.0653882679</v>
      </c>
      <c r="D19" s="31"/>
      <c r="E19" s="69"/>
      <c r="F19" s="380"/>
      <c r="G19" s="80"/>
      <c r="H19" s="381"/>
      <c r="J19" s="31"/>
      <c r="K19" s="31"/>
      <c r="L19" s="3"/>
      <c r="M19" s="3"/>
      <c r="N19" s="3"/>
      <c r="O19" s="3"/>
      <c r="P19" s="3"/>
      <c r="Q19" s="3"/>
      <c r="R19" s="3"/>
      <c r="S19" s="3"/>
      <c r="T19" s="3"/>
    </row>
    <row r="20" spans="1:20" ht="12" customHeight="1">
      <c r="A20" s="3" t="s">
        <v>91</v>
      </c>
      <c r="B20" s="31" t="s">
        <v>223</v>
      </c>
      <c r="C20" s="376">
        <f>WACC!$F$20+(5546.55+6030.71+3852.91+107063.5+15)</f>
        <v>131334.80541760288</v>
      </c>
      <c r="D20" s="31"/>
      <c r="E20" s="69"/>
      <c r="F20" s="380"/>
      <c r="G20" s="80"/>
      <c r="H20" s="381"/>
      <c r="J20" s="31"/>
      <c r="K20" s="31"/>
      <c r="L20" s="3"/>
      <c r="M20" s="3"/>
      <c r="N20" s="3"/>
      <c r="O20" s="3"/>
      <c r="P20" s="3"/>
      <c r="Q20" s="3"/>
      <c r="R20" s="3"/>
      <c r="S20" s="3"/>
      <c r="T20" s="3"/>
    </row>
    <row r="21" spans="1:20" ht="12" customHeight="1">
      <c r="A21" s="3"/>
      <c r="B21" s="32" t="s">
        <v>225</v>
      </c>
      <c r="C21" s="377">
        <f ca="1">C19-C20</f>
        <v>4560771.259970665</v>
      </c>
      <c r="D21" s="35"/>
      <c r="E21" s="69"/>
      <c r="F21" s="380"/>
      <c r="G21" s="80"/>
      <c r="H21" s="381"/>
      <c r="J21" s="31"/>
      <c r="K21" s="31"/>
      <c r="L21" s="3"/>
      <c r="M21" s="3"/>
      <c r="N21" s="3"/>
      <c r="O21" s="3"/>
      <c r="P21" s="3"/>
      <c r="Q21" s="3"/>
      <c r="R21" s="3"/>
      <c r="S21" s="3"/>
      <c r="T21" s="3"/>
    </row>
    <row r="22" spans="1:20" ht="12" customHeight="1">
      <c r="A22" s="2" t="s">
        <v>91</v>
      </c>
      <c r="B22" s="2" t="s">
        <v>235</v>
      </c>
      <c r="C22" s="375">
        <v>2509.0261529999998</v>
      </c>
      <c r="D22" s="303"/>
      <c r="E22" s="69"/>
      <c r="F22" s="380"/>
      <c r="G22" s="80"/>
      <c r="H22" s="381"/>
      <c r="J22" s="31"/>
      <c r="K22" s="31"/>
      <c r="L22" s="3"/>
      <c r="M22" s="3"/>
      <c r="O22" s="3"/>
      <c r="P22" s="3"/>
      <c r="Q22" s="3"/>
      <c r="R22" s="3"/>
      <c r="S22" s="3"/>
      <c r="T22" s="3"/>
    </row>
    <row r="23" spans="1:20" s="29" customFormat="1" ht="12" customHeight="1">
      <c r="B23" s="32" t="s">
        <v>237</v>
      </c>
      <c r="C23" s="378">
        <f ca="1">C21-C22</f>
        <v>4558262.2338176649</v>
      </c>
      <c r="D23" s="31"/>
      <c r="E23" s="3"/>
      <c r="F23" s="3"/>
      <c r="G23" s="3"/>
      <c r="H23" s="381"/>
      <c r="J23" s="38"/>
      <c r="K23" s="38"/>
      <c r="L23" s="28"/>
      <c r="M23" s="28"/>
      <c r="N23" s="28"/>
      <c r="O23" s="28"/>
      <c r="P23" s="28"/>
      <c r="Q23" s="28"/>
      <c r="R23" s="28"/>
      <c r="S23" s="28"/>
      <c r="T23" s="28"/>
    </row>
    <row r="24" spans="1:20" ht="12" customHeight="1">
      <c r="B24" s="2" t="s">
        <v>128</v>
      </c>
      <c r="C24" s="360">
        <f>2719.85634+0.43156</f>
        <v>2720.2878999999998</v>
      </c>
      <c r="D24" s="35"/>
      <c r="E24" s="31"/>
      <c r="J24" s="3"/>
      <c r="K24" s="3"/>
      <c r="L24" s="3"/>
      <c r="M24" s="3"/>
      <c r="N24" s="3"/>
      <c r="O24" s="3"/>
      <c r="P24" s="3"/>
      <c r="Q24" s="3"/>
      <c r="R24" s="3"/>
      <c r="S24" s="3"/>
      <c r="T24" s="3"/>
    </row>
    <row r="25" spans="1:20" ht="12" customHeight="1">
      <c r="B25" s="27" t="s">
        <v>236</v>
      </c>
      <c r="C25" s="223">
        <f ca="1">C23/C24</f>
        <v>1675.6543429898229</v>
      </c>
      <c r="D25" s="31"/>
      <c r="E25" s="31"/>
      <c r="J25" s="14"/>
      <c r="K25" s="14"/>
      <c r="L25" s="3"/>
      <c r="M25" s="3"/>
      <c r="N25" s="3"/>
      <c r="O25" s="3"/>
      <c r="P25" s="3"/>
      <c r="Q25" s="3"/>
      <c r="R25" s="3"/>
      <c r="S25" s="3"/>
      <c r="T25" s="3"/>
    </row>
    <row r="26" spans="1:20" ht="12" customHeight="1">
      <c r="D26" s="38"/>
      <c r="E26" s="3"/>
      <c r="J26" s="6"/>
      <c r="K26" s="6"/>
      <c r="L26" s="3"/>
      <c r="M26" s="3"/>
      <c r="N26" s="3"/>
      <c r="O26" s="3"/>
      <c r="P26" s="3"/>
      <c r="Q26" s="3"/>
      <c r="R26" s="3"/>
      <c r="S26" s="3"/>
      <c r="T26" s="3"/>
    </row>
    <row r="27" spans="1:20" ht="12" customHeight="1">
      <c r="B27" s="3"/>
      <c r="C27" s="6"/>
      <c r="D27" s="3"/>
      <c r="E27" s="3"/>
      <c r="J27" s="6"/>
      <c r="K27" s="6"/>
      <c r="L27" s="3"/>
      <c r="M27" s="3"/>
      <c r="N27" s="3"/>
      <c r="O27" s="3"/>
      <c r="P27" s="3"/>
      <c r="Q27" s="3"/>
      <c r="R27" s="3"/>
      <c r="S27" s="3"/>
      <c r="T27" s="3"/>
    </row>
    <row r="28" spans="1:20" ht="12" customHeight="1">
      <c r="B28" s="3"/>
      <c r="C28" s="5"/>
      <c r="D28" s="3"/>
      <c r="E28" s="3"/>
      <c r="J28" s="6"/>
      <c r="K28" s="6"/>
      <c r="L28" s="3"/>
      <c r="M28" s="3"/>
      <c r="N28" s="3"/>
      <c r="O28" s="3"/>
      <c r="P28" s="3"/>
      <c r="Q28" s="3"/>
      <c r="R28" s="3"/>
      <c r="S28" s="3"/>
      <c r="T28" s="3"/>
    </row>
    <row r="29" spans="1:20" ht="12" customHeight="1">
      <c r="B29" s="3"/>
      <c r="C29" s="3"/>
      <c r="D29" s="3"/>
      <c r="E29" s="3"/>
      <c r="J29" s="6"/>
      <c r="K29" s="6"/>
      <c r="L29" s="3"/>
      <c r="M29" s="3"/>
      <c r="N29" s="3"/>
      <c r="O29" s="3"/>
      <c r="P29" s="3"/>
      <c r="Q29" s="3"/>
      <c r="R29" s="3"/>
      <c r="S29" s="3"/>
      <c r="T29" s="3"/>
    </row>
    <row r="30" spans="1:20" ht="12" customHeight="1">
      <c r="B30" s="3"/>
      <c r="C30" s="3"/>
      <c r="D30" s="3"/>
      <c r="E30" s="3"/>
      <c r="J30" s="3"/>
      <c r="K30" s="3"/>
      <c r="L30" s="3"/>
      <c r="M30" s="3"/>
      <c r="N30" s="3"/>
      <c r="O30" s="3"/>
      <c r="P30" s="3"/>
      <c r="Q30" s="3"/>
      <c r="R30" s="3"/>
      <c r="S30" s="3"/>
      <c r="T30" s="3"/>
    </row>
    <row r="31" spans="1:20" ht="12" customHeight="1">
      <c r="G31" s="3"/>
      <c r="H31" s="3"/>
      <c r="I31" s="3"/>
      <c r="J31" s="3"/>
      <c r="K31" s="3"/>
      <c r="L31" s="3"/>
      <c r="M31" s="3"/>
    </row>
    <row r="32" spans="1:20" ht="12" customHeight="1">
      <c r="C32" s="13"/>
      <c r="G32" s="3"/>
      <c r="H32" s="3"/>
      <c r="I32" s="3"/>
      <c r="J32" s="3"/>
      <c r="K32" s="3"/>
      <c r="L32" s="3"/>
      <c r="M32" s="3"/>
    </row>
    <row r="34" spans="2:13" ht="12" customHeight="1">
      <c r="B34" s="15"/>
      <c r="G34" s="8"/>
      <c r="K34" s="10"/>
    </row>
    <row r="35" spans="2:13" ht="12" customHeight="1">
      <c r="B35" s="8"/>
      <c r="G35" s="11"/>
      <c r="K35" s="8"/>
      <c r="M35" s="8"/>
    </row>
    <row r="36" spans="2:13" ht="12" customHeight="1">
      <c r="M36" s="8"/>
    </row>
    <row r="37" spans="2:13" ht="12" customHeight="1">
      <c r="G37" s="15"/>
      <c r="K37" s="4"/>
    </row>
    <row r="40" spans="2:13" ht="12" customHeight="1">
      <c r="G40" s="12"/>
    </row>
    <row r="41" spans="2:13" ht="12" customHeight="1">
      <c r="G41" s="8"/>
    </row>
    <row r="42" spans="2:13" ht="12" customHeight="1">
      <c r="G42" s="12"/>
    </row>
    <row r="44" spans="2:13" ht="12" customHeight="1">
      <c r="G44" s="15"/>
    </row>
  </sheetData>
  <mergeCells count="1">
    <mergeCell ref="B4:L4"/>
  </mergeCells>
  <pageMargins left="0.7" right="0.7" top="0.75" bottom="0.75" header="0.3" footer="0.3"/>
  <pageSetup paperSize="9"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6CAEAFB-A84D-4366-A126-A087BCC258E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18</vt:i4>
      </vt:variant>
    </vt:vector>
  </HeadingPairs>
  <TitlesOfParts>
    <vt:vector size="44"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EBIT &amp; R&amp;D Expense</vt:lpstr>
      <vt:lpstr>Net CapEx</vt:lpstr>
      <vt:lpstr>Working Capital Changes</vt:lpstr>
      <vt:lpstr>FCFF &amp; FCFE</vt:lpstr>
      <vt:lpstr>Growth Rate &amp; TV</vt:lpstr>
      <vt:lpstr>Expected Growth Rate</vt:lpstr>
      <vt:lpstr>Market Analysis</vt:lpstr>
      <vt:lpstr>Future Cashflows (10 Yrs)</vt:lpstr>
      <vt:lpstr>Terminal Value</vt:lpstr>
      <vt:lpstr>Road to Fair Value of Share</vt:lpstr>
      <vt:lpstr>Cash &amp; Marketable Securities</vt:lpstr>
      <vt:lpstr>Future Value of Equity Options</vt:lpstr>
      <vt:lpstr>Future Value of RSU</vt:lpstr>
      <vt:lpstr>Fair Value of Share</vt:lpstr>
      <vt:lpstr>Beta!Print_Area</vt:lpstr>
      <vt:lpstr>'Cash &amp; Marketable Securities'!Print_Area</vt:lpstr>
      <vt:lpstr>'Cost of Equity &amp; Debt'!Print_Area</vt:lpstr>
      <vt:lpstr>'EBIT &amp; Advertising Expense'!Print_Area</vt:lpstr>
      <vt:lpstr>'EBIT &amp; Operating Lease'!Print_Area</vt:lpstr>
      <vt:lpstr>'EBIT &amp; R&amp;D Expense'!Print_Area</vt:lpstr>
      <vt:lpstr>'Equity Risk Premium'!Print_Area</vt:lpstr>
      <vt:lpstr>'Fair Value of Share'!Print_Area</vt:lpstr>
      <vt:lpstr>'FCFF &amp; FCFE'!Print_Area</vt:lpstr>
      <vt:lpstr>'Future Cashflows (10 Yrs)'!Print_Area</vt:lpstr>
      <vt:lpstr>'Future Value of Equity Options'!Print_Area</vt:lpstr>
      <vt:lpstr>'Future Value of RSU'!Print_Area</vt:lpstr>
      <vt:lpstr>'Market Analysis'!Print_Area</vt:lpstr>
      <vt:lpstr>'Net CapEx'!Print_Area</vt:lpstr>
      <vt:lpstr>'Risk Free Rate'!Print_Area</vt:lpstr>
      <vt:lpstr>'Terminal Value'!Print_Area</vt:lpstr>
      <vt:lpstr>WACC!Print_Area</vt:lpstr>
      <vt:lpstr>'Working Capital Changes'!Print_Area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2022-07-27T13:06:05Z</dcterms:modified>
</cp:coreProperties>
</file>