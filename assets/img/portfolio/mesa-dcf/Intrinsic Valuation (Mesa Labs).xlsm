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240" yWindow="585" windowWidth="14805" windowHeight="7530"/>
  </bookViews>
  <sheets>
    <sheet name="Cover" sheetId="28" r:id="rId1"/>
    <sheet name="About" sheetId="29" r:id="rId2"/>
    <sheet name="Corporate Governance" sheetId="66" r:id="rId3"/>
    <sheet name="Index" sheetId="4" r:id="rId4"/>
    <sheet name="Risk Free Rate &amp; ERP" sheetId="24" r:id="rId5"/>
    <sheet name="Beta Calculation Data" sheetId="67" r:id="rId6"/>
    <sheet name="Bottom Up Beta" sheetId="68" r:id="rId7"/>
    <sheet name="Divisional Beta, Ke &amp; WACC" sheetId="30" r:id="rId8"/>
    <sheet name="Cost of Equity, Debt &amp; WACC" sheetId="23" r:id="rId9"/>
    <sheet name="Cash Flows" sheetId="17" r:id="rId10"/>
    <sheet name="Accounting Adjustments" sheetId="49" r:id="rId11"/>
    <sheet name="Reinvestment" sheetId="32" r:id="rId12"/>
    <sheet name="FCFF &amp; FCFE" sheetId="35" r:id="rId13"/>
    <sheet name="Growth Rate &amp; TV" sheetId="36" r:id="rId14"/>
    <sheet name="Expected Growth Rate" sheetId="39" r:id="rId15"/>
    <sheet name="Industry &amp; Revenues" sheetId="70" r:id="rId16"/>
    <sheet name="Future Cashflows (10 Yrs)" sheetId="37" r:id="rId17"/>
    <sheet name="Terminal Value" sheetId="40" r:id="rId18"/>
    <sheet name="Road to Fair Value of Share" sheetId="42" r:id="rId19"/>
    <sheet name="Cash &amp; Marketable Securities" sheetId="43" r:id="rId20"/>
    <sheet name="Future Value (Equity Options)" sheetId="57" r:id="rId21"/>
    <sheet name="Future Value (Restricted Stock)" sheetId="62" r:id="rId22"/>
    <sheet name="Fair Value of Share" sheetId="48" r:id="rId23"/>
  </sheets>
  <definedNames>
    <definedName name="_xlnm.Print_Area" localSheetId="22">'Fair Value of Share'!$A$11:$H$25</definedName>
    <definedName name="_xlnm.Print_Area" localSheetId="16">'Future Cashflows (10 Yrs)'!$B$3:$H$28</definedName>
    <definedName name="_xlnm.Print_Area" localSheetId="20">'Future Value (Equity Options)'!$B$3:$M$29</definedName>
    <definedName name="_xlnm.Print_Area" localSheetId="21">'Future Value (Restricted Stock)'!$B$3:$M$29</definedName>
    <definedName name="_xlnm.Print_Area" localSheetId="15">'Industry &amp; Revenues'!$B$3:$Q$25</definedName>
  </definedNames>
  <calcPr calcId="162913" iterate="1"/>
</workbook>
</file>

<file path=xl/calcChain.xml><?xml version="1.0" encoding="utf-8"?>
<calcChain xmlns="http://schemas.openxmlformats.org/spreadsheetml/2006/main">
  <c r="B12" i="4" l="1"/>
  <c r="B13" i="4" s="1"/>
  <c r="B14" i="4" s="1"/>
  <c r="B15" i="4" s="1"/>
  <c r="B16" i="4" s="1"/>
  <c r="B17" i="4" s="1"/>
  <c r="B18" i="4" s="1"/>
  <c r="B19" i="4" s="1"/>
  <c r="B20" i="4" s="1"/>
  <c r="B21" i="4" s="1"/>
  <c r="B22" i="4" s="1"/>
  <c r="B23" i="4" s="1"/>
  <c r="B24" i="4" s="1"/>
  <c r="F13" i="32" l="1"/>
  <c r="G13" i="32"/>
  <c r="G15" i="32" s="1"/>
  <c r="H13" i="32"/>
  <c r="F15" i="32"/>
  <c r="H15" i="32"/>
  <c r="I15" i="32"/>
  <c r="J15" i="32"/>
  <c r="F20" i="32"/>
  <c r="G20" i="32"/>
  <c r="H20" i="32"/>
  <c r="I20" i="32"/>
  <c r="J20" i="32"/>
  <c r="J26" i="32"/>
  <c r="C15" i="32" s="1"/>
  <c r="C18" i="32"/>
  <c r="C25" i="49"/>
  <c r="C26" i="49"/>
  <c r="F13" i="49"/>
  <c r="F14" i="49"/>
  <c r="G5" i="49"/>
  <c r="G7" i="49" s="1"/>
  <c r="M7" i="49" s="1"/>
  <c r="H6" i="49"/>
  <c r="I6" i="49"/>
  <c r="J6" i="49"/>
  <c r="K6" i="49"/>
  <c r="H7" i="49"/>
  <c r="I7" i="49"/>
  <c r="J7" i="49"/>
  <c r="K7" i="49"/>
  <c r="L7" i="49"/>
  <c r="H8" i="49"/>
  <c r="I8" i="49"/>
  <c r="J8" i="49"/>
  <c r="K8" i="49"/>
  <c r="M8" i="49" s="1"/>
  <c r="C16" i="49" s="1"/>
  <c r="C27" i="49" s="1"/>
  <c r="L8" i="49"/>
  <c r="E10" i="24"/>
  <c r="C14" i="68"/>
  <c r="C21" i="68"/>
  <c r="C13" i="68"/>
  <c r="F19" i="68"/>
  <c r="J17" i="68"/>
  <c r="C4" i="43"/>
  <c r="Q4" i="70"/>
  <c r="M4" i="70"/>
  <c r="I4" i="70"/>
  <c r="E4" i="70"/>
  <c r="C10" i="49"/>
  <c r="C9" i="49"/>
  <c r="C8" i="49"/>
  <c r="C5" i="49"/>
  <c r="C4" i="49"/>
  <c r="H22" i="32" l="1"/>
  <c r="H27" i="32" s="1"/>
  <c r="G22" i="32"/>
  <c r="G27" i="32" s="1"/>
  <c r="F22" i="32"/>
  <c r="F27" i="32" s="1"/>
  <c r="I22" i="32"/>
  <c r="I27" i="32" s="1"/>
  <c r="J22" i="32"/>
  <c r="H24" i="32"/>
  <c r="F15" i="49"/>
  <c r="C17" i="49"/>
  <c r="G6" i="40"/>
  <c r="F5" i="62"/>
  <c r="E5" i="62"/>
  <c r="D5" i="62"/>
  <c r="C5" i="62"/>
  <c r="C29" i="57"/>
  <c r="G5" i="57"/>
  <c r="D5" i="57"/>
  <c r="F5" i="57"/>
  <c r="E5" i="57"/>
  <c r="C22" i="48"/>
  <c r="C24" i="48"/>
  <c r="G20" i="40"/>
  <c r="G19" i="40"/>
  <c r="G17" i="40"/>
  <c r="C8" i="40"/>
  <c r="J48" i="39"/>
  <c r="J38" i="39"/>
  <c r="R28" i="39"/>
  <c r="R34" i="39"/>
  <c r="Q34" i="39"/>
  <c r="I48" i="39"/>
  <c r="I38" i="39"/>
  <c r="Q28" i="39"/>
  <c r="I24" i="32" l="1"/>
  <c r="G24" i="32"/>
  <c r="J24" i="32"/>
  <c r="J27" i="32"/>
  <c r="J28" i="32" s="1"/>
  <c r="C13" i="32" s="1"/>
  <c r="C19" i="32" s="1"/>
  <c r="F16" i="49"/>
  <c r="D4" i="37"/>
  <c r="C5" i="37"/>
  <c r="C6" i="37"/>
  <c r="C7" i="37"/>
  <c r="C8" i="37"/>
  <c r="C9" i="37"/>
  <c r="C4" i="37"/>
  <c r="P4" i="70"/>
  <c r="P9" i="70" s="1"/>
  <c r="P12" i="70" s="1"/>
  <c r="P13" i="70" s="1"/>
  <c r="O6" i="70"/>
  <c r="O7" i="70" s="1"/>
  <c r="O8" i="70" s="1"/>
  <c r="O9" i="70" s="1"/>
  <c r="O5" i="70"/>
  <c r="O4" i="70"/>
  <c r="K4" i="70"/>
  <c r="K5" i="70" s="1"/>
  <c r="G4" i="70"/>
  <c r="G5" i="70" s="1"/>
  <c r="G6" i="70" s="1"/>
  <c r="G7" i="70" s="1"/>
  <c r="G8" i="70" s="1"/>
  <c r="G9" i="70" s="1"/>
  <c r="G10" i="70" s="1"/>
  <c r="G11" i="70" s="1"/>
  <c r="G12" i="70" s="1"/>
  <c r="G13" i="70" s="1"/>
  <c r="G14" i="70" s="1"/>
  <c r="G15" i="70" s="1"/>
  <c r="H4" i="70"/>
  <c r="D4" i="70"/>
  <c r="D9" i="70" s="1"/>
  <c r="D12" i="70" s="1"/>
  <c r="D13" i="70" s="1"/>
  <c r="C4" i="70"/>
  <c r="C5" i="70" s="1"/>
  <c r="C6" i="70" s="1"/>
  <c r="C7" i="70" s="1"/>
  <c r="C8" i="70" s="1"/>
  <c r="C9" i="70" s="1"/>
  <c r="C10" i="70" s="1"/>
  <c r="C11" i="70" s="1"/>
  <c r="C12" i="70" s="1"/>
  <c r="C13" i="70" s="1"/>
  <c r="C14" i="70" s="1"/>
  <c r="C15" i="70" s="1"/>
  <c r="C16" i="32" l="1"/>
  <c r="C21" i="32" s="1"/>
  <c r="Q9" i="70"/>
  <c r="P11" i="70"/>
  <c r="K6" i="70"/>
  <c r="K7" i="70" s="1"/>
  <c r="K8" i="70" s="1"/>
  <c r="K9" i="70" s="1"/>
  <c r="K10" i="70" s="1"/>
  <c r="K11" i="70" s="1"/>
  <c r="K12" i="70" s="1"/>
  <c r="K13" i="70" s="1"/>
  <c r="K14" i="70" s="1"/>
  <c r="K15" i="70" s="1"/>
  <c r="L4" i="70"/>
  <c r="L9" i="70" s="1"/>
  <c r="L12" i="70" s="1"/>
  <c r="L13" i="70" s="1"/>
  <c r="D11" i="70"/>
  <c r="D10" i="70" s="1"/>
  <c r="H9" i="70"/>
  <c r="H12" i="70" s="1"/>
  <c r="H13" i="70" s="1"/>
  <c r="L11" i="70" l="1"/>
  <c r="L10" i="70" s="1"/>
  <c r="P10" i="70"/>
  <c r="H11" i="70"/>
  <c r="H10" i="70" s="1"/>
  <c r="M9" i="70" l="1"/>
  <c r="M10" i="70" l="1"/>
  <c r="E9" i="70"/>
  <c r="M11" i="70" l="1"/>
  <c r="E10" i="70"/>
  <c r="I9" i="70" l="1"/>
  <c r="D9" i="37" s="1"/>
  <c r="E11" i="70"/>
  <c r="M12" i="70"/>
  <c r="E12" i="70" l="1"/>
  <c r="M13" i="70"/>
  <c r="I10" i="70"/>
  <c r="M15" i="70" l="1"/>
  <c r="M14" i="70"/>
  <c r="I11" i="70"/>
  <c r="E13" i="70"/>
  <c r="I12" i="70" l="1"/>
  <c r="E15" i="70"/>
  <c r="E14" i="70"/>
  <c r="I13" i="70" l="1"/>
  <c r="I14" i="70" l="1"/>
  <c r="I15" i="70"/>
  <c r="S40" i="39" l="1"/>
  <c r="S39" i="39"/>
  <c r="S38" i="39"/>
  <c r="S37" i="39"/>
  <c r="R40" i="39"/>
  <c r="R39" i="39"/>
  <c r="R38" i="39"/>
  <c r="R37" i="39"/>
  <c r="Q38" i="39"/>
  <c r="Q39" i="39"/>
  <c r="Q40" i="39"/>
  <c r="Q37" i="39"/>
  <c r="P41" i="39"/>
  <c r="P37" i="39"/>
  <c r="O48" i="67"/>
  <c r="O38" i="67"/>
  <c r="K48" i="39"/>
  <c r="O40" i="39"/>
  <c r="O39" i="39"/>
  <c r="O38" i="39"/>
  <c r="O37" i="39"/>
  <c r="N41" i="39"/>
  <c r="P40" i="39"/>
  <c r="P39" i="39"/>
  <c r="P38" i="39"/>
  <c r="S28" i="39"/>
  <c r="Q33" i="39"/>
  <c r="Q32" i="39"/>
  <c r="S34" i="39"/>
  <c r="Q6" i="39"/>
  <c r="Q7" i="39"/>
  <c r="Q8" i="39"/>
  <c r="Q9" i="39"/>
  <c r="Q10" i="39"/>
  <c r="Q11" i="39"/>
  <c r="Q12" i="39"/>
  <c r="Q13" i="39"/>
  <c r="Q14" i="39"/>
  <c r="Q15" i="39"/>
  <c r="Q16" i="39"/>
  <c r="Q17" i="39"/>
  <c r="Q18" i="39"/>
  <c r="Q19" i="39"/>
  <c r="Q20" i="39"/>
  <c r="Q21" i="39"/>
  <c r="Q22" i="39"/>
  <c r="Q23" i="39"/>
  <c r="Q24" i="39"/>
  <c r="Q25" i="39"/>
  <c r="Q26" i="39"/>
  <c r="Q27" i="39"/>
  <c r="Q5" i="39"/>
  <c r="I43" i="39"/>
  <c r="I44" i="39"/>
  <c r="I45" i="39"/>
  <c r="I46" i="39"/>
  <c r="I47" i="39"/>
  <c r="I42" i="39"/>
  <c r="K38" i="39"/>
  <c r="I6" i="39"/>
  <c r="I7" i="39"/>
  <c r="I8" i="39"/>
  <c r="I9" i="39"/>
  <c r="I10" i="39"/>
  <c r="I11" i="39"/>
  <c r="I12" i="39"/>
  <c r="I13" i="39"/>
  <c r="I14" i="39"/>
  <c r="I15" i="39"/>
  <c r="I16" i="39"/>
  <c r="I17" i="39"/>
  <c r="I18" i="39"/>
  <c r="I19" i="39"/>
  <c r="I20" i="39"/>
  <c r="I21" i="39"/>
  <c r="I22" i="39"/>
  <c r="I23" i="39"/>
  <c r="I24" i="39"/>
  <c r="I25" i="39"/>
  <c r="I26" i="39"/>
  <c r="I27" i="39"/>
  <c r="I28" i="39"/>
  <c r="I29" i="39"/>
  <c r="I30" i="39"/>
  <c r="I31" i="39"/>
  <c r="I32" i="39"/>
  <c r="I33" i="39"/>
  <c r="I34" i="39"/>
  <c r="I35" i="39"/>
  <c r="I36" i="39"/>
  <c r="I37" i="39"/>
  <c r="I5" i="39"/>
  <c r="J15" i="35"/>
  <c r="J13" i="35"/>
  <c r="J14" i="35"/>
  <c r="J6" i="35"/>
  <c r="L8" i="32"/>
  <c r="C6" i="32" s="1"/>
  <c r="G7" i="32"/>
  <c r="H7" i="32"/>
  <c r="I7" i="32"/>
  <c r="J7" i="32"/>
  <c r="K7" i="32"/>
  <c r="F7" i="32"/>
  <c r="C4" i="32"/>
  <c r="L5" i="32"/>
  <c r="C3" i="32" s="1"/>
  <c r="C5" i="32" s="1"/>
  <c r="C11" i="49"/>
  <c r="D11" i="49" s="1"/>
  <c r="C6" i="49"/>
  <c r="D6" i="49" s="1"/>
  <c r="C13" i="49" l="1"/>
  <c r="S41" i="39"/>
  <c r="C14" i="39" s="1"/>
  <c r="R41" i="39"/>
  <c r="C13" i="39" s="1"/>
  <c r="D26" i="37" s="1"/>
  <c r="D23" i="37"/>
  <c r="D27" i="37"/>
  <c r="D19" i="37"/>
  <c r="Q41" i="39"/>
  <c r="E19" i="30"/>
  <c r="E20" i="30"/>
  <c r="E21" i="30"/>
  <c r="E22" i="30"/>
  <c r="E18" i="30"/>
  <c r="D13" i="49" l="1"/>
  <c r="D21" i="37"/>
  <c r="D22" i="37"/>
  <c r="D24" i="37"/>
  <c r="D28" i="37"/>
  <c r="D25" i="37"/>
  <c r="D20" i="37"/>
  <c r="C20" i="23"/>
  <c r="D12" i="30"/>
  <c r="D13" i="30"/>
  <c r="D14" i="30"/>
  <c r="D11" i="30"/>
  <c r="D15" i="30" s="1"/>
  <c r="E5" i="30"/>
  <c r="E6" i="30"/>
  <c r="E7" i="30"/>
  <c r="E4" i="30"/>
  <c r="E8" i="30" s="1"/>
  <c r="D6" i="30"/>
  <c r="C8" i="30"/>
  <c r="D7" i="30" s="1"/>
  <c r="J23" i="68"/>
  <c r="E23" i="68"/>
  <c r="F7" i="23"/>
  <c r="G7" i="23"/>
  <c r="H7" i="23"/>
  <c r="I7" i="23"/>
  <c r="J7" i="23"/>
  <c r="H18" i="68"/>
  <c r="H17" i="68"/>
  <c r="D5" i="30" l="1"/>
  <c r="D4" i="30"/>
  <c r="D8" i="30" s="1"/>
  <c r="J8" i="23"/>
  <c r="E24" i="68"/>
  <c r="E25" i="68" s="1"/>
  <c r="E26" i="68"/>
  <c r="I19" i="68"/>
  <c r="F14" i="68"/>
  <c r="G13" i="68"/>
  <c r="H13" i="68" s="1"/>
  <c r="E13" i="68"/>
  <c r="G12" i="68"/>
  <c r="H12" i="68" s="1"/>
  <c r="E12" i="68"/>
  <c r="G11" i="68"/>
  <c r="H11" i="68" s="1"/>
  <c r="E11" i="68"/>
  <c r="G10" i="68"/>
  <c r="H10" i="68" s="1"/>
  <c r="E10" i="68"/>
  <c r="K7" i="68"/>
  <c r="I7" i="68"/>
  <c r="H7" i="68"/>
  <c r="G7" i="68"/>
  <c r="J7" i="68" s="1"/>
  <c r="F7" i="68"/>
  <c r="E7" i="68"/>
  <c r="K6" i="68"/>
  <c r="I6" i="68"/>
  <c r="H6" i="68"/>
  <c r="G6" i="68"/>
  <c r="F6" i="68"/>
  <c r="E6" i="68"/>
  <c r="K5" i="68"/>
  <c r="I5" i="68"/>
  <c r="H5" i="68"/>
  <c r="G5" i="68"/>
  <c r="J5" i="68" s="1"/>
  <c r="F5" i="68"/>
  <c r="E5" i="68"/>
  <c r="K4" i="68"/>
  <c r="I4" i="68"/>
  <c r="J4" i="68" s="1"/>
  <c r="H4" i="68"/>
  <c r="G4" i="68"/>
  <c r="F4" i="68"/>
  <c r="E4" i="68"/>
  <c r="C4" i="68"/>
  <c r="C3" i="68"/>
  <c r="O81" i="67"/>
  <c r="D81" i="67"/>
  <c r="L81" i="67"/>
  <c r="M81" i="67"/>
  <c r="O80" i="67"/>
  <c r="O79" i="67"/>
  <c r="M80" i="67"/>
  <c r="M79" i="67"/>
  <c r="K80" i="67"/>
  <c r="L80" i="67"/>
  <c r="L79" i="67"/>
  <c r="K79" i="67"/>
  <c r="I80" i="67"/>
  <c r="I79" i="67"/>
  <c r="G80" i="67"/>
  <c r="G79" i="67"/>
  <c r="M55" i="67"/>
  <c r="M56" i="67"/>
  <c r="M59" i="67"/>
  <c r="M60" i="67"/>
  <c r="M63" i="67"/>
  <c r="M64" i="67"/>
  <c r="M67" i="67"/>
  <c r="M69" i="67"/>
  <c r="M73" i="67"/>
  <c r="M74" i="67"/>
  <c r="K68" i="67"/>
  <c r="O68" i="67" s="1"/>
  <c r="I72" i="67"/>
  <c r="L72" i="67" s="1"/>
  <c r="I68" i="67"/>
  <c r="L68" i="67" s="1"/>
  <c r="I55" i="67"/>
  <c r="K55" i="67" s="1"/>
  <c r="O55" i="67" s="1"/>
  <c r="I59" i="67"/>
  <c r="K59" i="67" s="1"/>
  <c r="O59" i="67" s="1"/>
  <c r="I63" i="67"/>
  <c r="K63" i="67" s="1"/>
  <c r="O63" i="67" s="1"/>
  <c r="I67" i="67"/>
  <c r="K67" i="67" s="1"/>
  <c r="O67" i="67" s="1"/>
  <c r="I73" i="67"/>
  <c r="K73" i="67" s="1"/>
  <c r="O73" i="67" s="1"/>
  <c r="G53" i="67"/>
  <c r="M53" i="67" s="1"/>
  <c r="G54" i="67"/>
  <c r="I54" i="67" s="1"/>
  <c r="G55" i="67"/>
  <c r="G56" i="67"/>
  <c r="I56" i="67" s="1"/>
  <c r="G57" i="67"/>
  <c r="M57" i="67" s="1"/>
  <c r="G58" i="67"/>
  <c r="M58" i="67" s="1"/>
  <c r="G59" i="67"/>
  <c r="G60" i="67"/>
  <c r="I60" i="67" s="1"/>
  <c r="G61" i="67"/>
  <c r="M61" i="67" s="1"/>
  <c r="G62" i="67"/>
  <c r="I62" i="67" s="1"/>
  <c r="G63" i="67"/>
  <c r="G64" i="67"/>
  <c r="I64" i="67" s="1"/>
  <c r="G65" i="67"/>
  <c r="M65" i="67" s="1"/>
  <c r="G66" i="67"/>
  <c r="M66" i="67" s="1"/>
  <c r="G67" i="67"/>
  <c r="G69" i="67"/>
  <c r="I69" i="67" s="1"/>
  <c r="G70" i="67"/>
  <c r="M70" i="67" s="1"/>
  <c r="G71" i="67"/>
  <c r="I71" i="67" s="1"/>
  <c r="G73" i="67"/>
  <c r="G74" i="67"/>
  <c r="I74" i="67" s="1"/>
  <c r="G52" i="67"/>
  <c r="M52" i="67" s="1"/>
  <c r="D75" i="67"/>
  <c r="K46" i="67"/>
  <c r="O46" i="67" s="1"/>
  <c r="I46" i="67"/>
  <c r="L46" i="67" s="1"/>
  <c r="I47" i="67"/>
  <c r="K47" i="67" s="1"/>
  <c r="O47" i="67" s="1"/>
  <c r="G32" i="67"/>
  <c r="G43" i="67"/>
  <c r="M43" i="67" s="1"/>
  <c r="G44" i="67"/>
  <c r="M44" i="67" s="1"/>
  <c r="G45" i="67"/>
  <c r="I45" i="67" s="1"/>
  <c r="G46" i="67"/>
  <c r="M46" i="67" s="1"/>
  <c r="G47" i="67"/>
  <c r="M47" i="67" s="1"/>
  <c r="G42" i="67"/>
  <c r="M42" i="67" s="1"/>
  <c r="D48" i="67"/>
  <c r="D38" i="67"/>
  <c r="G6" i="67"/>
  <c r="M6" i="67" s="1"/>
  <c r="G7" i="67"/>
  <c r="G8" i="67"/>
  <c r="G9" i="67"/>
  <c r="M9" i="67" s="1"/>
  <c r="G10" i="67"/>
  <c r="M10" i="67" s="1"/>
  <c r="G11" i="67"/>
  <c r="G12" i="67"/>
  <c r="G13" i="67"/>
  <c r="I13" i="67" s="1"/>
  <c r="G14" i="67"/>
  <c r="M14" i="67" s="1"/>
  <c r="G15" i="67"/>
  <c r="G16" i="67"/>
  <c r="G17" i="67"/>
  <c r="I17" i="67" s="1"/>
  <c r="G18" i="67"/>
  <c r="M18" i="67" s="1"/>
  <c r="G19" i="67"/>
  <c r="G20" i="67"/>
  <c r="G21" i="67"/>
  <c r="M21" i="67" s="1"/>
  <c r="G22" i="67"/>
  <c r="M22" i="67" s="1"/>
  <c r="G23" i="67"/>
  <c r="G24" i="67"/>
  <c r="G25" i="67"/>
  <c r="M25" i="67" s="1"/>
  <c r="G26" i="67"/>
  <c r="M26" i="67" s="1"/>
  <c r="G27" i="67"/>
  <c r="G28" i="67"/>
  <c r="G29" i="67"/>
  <c r="I29" i="67" s="1"/>
  <c r="G30" i="67"/>
  <c r="M30" i="67" s="1"/>
  <c r="G31" i="67"/>
  <c r="G33" i="67"/>
  <c r="I33" i="67" s="1"/>
  <c r="G34" i="67"/>
  <c r="M34" i="67" s="1"/>
  <c r="G35" i="67"/>
  <c r="G36" i="67"/>
  <c r="G37" i="67"/>
  <c r="M37" i="67" s="1"/>
  <c r="G5" i="67"/>
  <c r="M5" i="67" s="1"/>
  <c r="J18" i="68" l="1"/>
  <c r="J22" i="68"/>
  <c r="L5" i="68"/>
  <c r="L7" i="68"/>
  <c r="L4" i="68"/>
  <c r="J6" i="68"/>
  <c r="L6" i="68" s="1"/>
  <c r="J19" i="68"/>
  <c r="H14" i="68"/>
  <c r="K69" i="67"/>
  <c r="O69" i="67" s="1"/>
  <c r="L69" i="67"/>
  <c r="L60" i="67"/>
  <c r="K60" i="67"/>
  <c r="O60" i="67" s="1"/>
  <c r="K74" i="67"/>
  <c r="O74" i="67" s="1"/>
  <c r="L74" i="67"/>
  <c r="L64" i="67"/>
  <c r="K64" i="67"/>
  <c r="O64" i="67" s="1"/>
  <c r="L56" i="67"/>
  <c r="K56" i="67"/>
  <c r="O56" i="67" s="1"/>
  <c r="K71" i="67"/>
  <c r="O71" i="67" s="1"/>
  <c r="L71" i="67"/>
  <c r="K62" i="67"/>
  <c r="O62" i="67" s="1"/>
  <c r="L62" i="67"/>
  <c r="K54" i="67"/>
  <c r="O54" i="67" s="1"/>
  <c r="L54" i="67"/>
  <c r="K72" i="67"/>
  <c r="O72" i="67" s="1"/>
  <c r="L67" i="67"/>
  <c r="L59" i="67"/>
  <c r="I66" i="67"/>
  <c r="I58" i="67"/>
  <c r="I44" i="67"/>
  <c r="L44" i="67" s="1"/>
  <c r="I52" i="67"/>
  <c r="I70" i="67"/>
  <c r="I65" i="67"/>
  <c r="I61" i="67"/>
  <c r="I57" i="67"/>
  <c r="I53" i="67"/>
  <c r="L73" i="67"/>
  <c r="M71" i="67"/>
  <c r="M62" i="67"/>
  <c r="M54" i="67"/>
  <c r="L63" i="67"/>
  <c r="L55" i="67"/>
  <c r="I42" i="67"/>
  <c r="K42" i="67" s="1"/>
  <c r="O42" i="67" s="1"/>
  <c r="I43" i="67"/>
  <c r="L45" i="67"/>
  <c r="K45" i="67"/>
  <c r="O45" i="67" s="1"/>
  <c r="L42" i="67"/>
  <c r="L47" i="67"/>
  <c r="M45" i="67"/>
  <c r="M33" i="67"/>
  <c r="K44" i="67"/>
  <c r="O44" i="67" s="1"/>
  <c r="M17" i="67"/>
  <c r="I34" i="67"/>
  <c r="L34" i="67" s="1"/>
  <c r="I26" i="67"/>
  <c r="L26" i="67" s="1"/>
  <c r="I18" i="67"/>
  <c r="K18" i="67" s="1"/>
  <c r="O18" i="67" s="1"/>
  <c r="I10" i="67"/>
  <c r="L10" i="67" s="1"/>
  <c r="I25" i="67"/>
  <c r="L25" i="67" s="1"/>
  <c r="I9" i="67"/>
  <c r="L9" i="67" s="1"/>
  <c r="M29" i="67"/>
  <c r="M13" i="67"/>
  <c r="I5" i="67"/>
  <c r="I30" i="67"/>
  <c r="L30" i="67" s="1"/>
  <c r="I22" i="67"/>
  <c r="L22" i="67" s="1"/>
  <c r="I14" i="67"/>
  <c r="I6" i="67"/>
  <c r="L6" i="67" s="1"/>
  <c r="I37" i="67"/>
  <c r="L37" i="67" s="1"/>
  <c r="I21" i="67"/>
  <c r="K21" i="67" s="1"/>
  <c r="M48" i="67"/>
  <c r="I28" i="67"/>
  <c r="M28" i="67"/>
  <c r="I8" i="67"/>
  <c r="M8" i="67"/>
  <c r="I35" i="67"/>
  <c r="M35" i="67"/>
  <c r="I27" i="67"/>
  <c r="M27" i="67"/>
  <c r="I19" i="67"/>
  <c r="M19" i="67"/>
  <c r="I11" i="67"/>
  <c r="M11" i="67"/>
  <c r="I7" i="67"/>
  <c r="M7" i="67"/>
  <c r="L29" i="67"/>
  <c r="K29" i="67"/>
  <c r="O29" i="67" s="1"/>
  <c r="L21" i="67"/>
  <c r="L13" i="67"/>
  <c r="K13" i="67"/>
  <c r="O13" i="67" s="1"/>
  <c r="I36" i="67"/>
  <c r="M36" i="67"/>
  <c r="I24" i="67"/>
  <c r="M24" i="67"/>
  <c r="I16" i="67"/>
  <c r="M16" i="67"/>
  <c r="K22" i="67"/>
  <c r="O22" i="67" s="1"/>
  <c r="I23" i="67"/>
  <c r="M23" i="67"/>
  <c r="L18" i="67"/>
  <c r="K10" i="67"/>
  <c r="O10" i="67" s="1"/>
  <c r="I32" i="67"/>
  <c r="M32" i="67"/>
  <c r="I20" i="67"/>
  <c r="K20" i="67" s="1"/>
  <c r="O20" i="67" s="1"/>
  <c r="M20" i="67"/>
  <c r="I12" i="67"/>
  <c r="M12" i="67"/>
  <c r="L14" i="67"/>
  <c r="K14" i="67"/>
  <c r="O14" i="67" s="1"/>
  <c r="I31" i="67"/>
  <c r="M31" i="67"/>
  <c r="I15" i="67"/>
  <c r="M15" i="67"/>
  <c r="L33" i="67"/>
  <c r="K33" i="67"/>
  <c r="L17" i="67"/>
  <c r="K17" i="67"/>
  <c r="O17" i="67" s="1"/>
  <c r="E11" i="24"/>
  <c r="C12" i="24"/>
  <c r="D10" i="24" s="1"/>
  <c r="J12" i="68" l="1"/>
  <c r="C13" i="30"/>
  <c r="J10" i="68"/>
  <c r="C11" i="30"/>
  <c r="J13" i="68"/>
  <c r="C14" i="30"/>
  <c r="J11" i="68"/>
  <c r="C12" i="30"/>
  <c r="I12" i="68"/>
  <c r="H19" i="68"/>
  <c r="C18" i="68"/>
  <c r="C17" i="68"/>
  <c r="I13" i="68"/>
  <c r="I10" i="68"/>
  <c r="I11" i="68"/>
  <c r="L53" i="67"/>
  <c r="K53" i="67"/>
  <c r="O53" i="67" s="1"/>
  <c r="K66" i="67"/>
  <c r="O66" i="67" s="1"/>
  <c r="L66" i="67"/>
  <c r="K57" i="67"/>
  <c r="O57" i="67" s="1"/>
  <c r="L57" i="67"/>
  <c r="K61" i="67"/>
  <c r="O61" i="67" s="1"/>
  <c r="L61" i="67"/>
  <c r="K43" i="67"/>
  <c r="O43" i="67" s="1"/>
  <c r="L43" i="67"/>
  <c r="L48" i="67" s="1"/>
  <c r="L70" i="67"/>
  <c r="K70" i="67"/>
  <c r="O70" i="67" s="1"/>
  <c r="K52" i="67"/>
  <c r="O52" i="67" s="1"/>
  <c r="L52" i="67"/>
  <c r="L75" i="67" s="1"/>
  <c r="K34" i="67"/>
  <c r="O34" i="67" s="1"/>
  <c r="K25" i="67"/>
  <c r="O25" i="67" s="1"/>
  <c r="K6" i="67"/>
  <c r="O6" i="67" s="1"/>
  <c r="K30" i="67"/>
  <c r="K9" i="67"/>
  <c r="O9" i="67" s="1"/>
  <c r="K65" i="67"/>
  <c r="O65" i="67" s="1"/>
  <c r="L65" i="67"/>
  <c r="L58" i="67"/>
  <c r="K58" i="67"/>
  <c r="O58" i="67" s="1"/>
  <c r="K37" i="67"/>
  <c r="M38" i="67"/>
  <c r="K26" i="67"/>
  <c r="O26" i="67" s="1"/>
  <c r="O75" i="67"/>
  <c r="M75" i="67"/>
  <c r="L5" i="67"/>
  <c r="K5" i="67"/>
  <c r="O5" i="67" s="1"/>
  <c r="L31" i="67"/>
  <c r="K31" i="67"/>
  <c r="K24" i="67"/>
  <c r="L24" i="67"/>
  <c r="L11" i="67"/>
  <c r="K11" i="67"/>
  <c r="O11" i="67" s="1"/>
  <c r="L27" i="67"/>
  <c r="K27" i="67"/>
  <c r="O27" i="67" s="1"/>
  <c r="K8" i="67"/>
  <c r="O8" i="67" s="1"/>
  <c r="L8" i="67"/>
  <c r="K32" i="67"/>
  <c r="O32" i="67" s="1"/>
  <c r="L32" i="67"/>
  <c r="L15" i="67"/>
  <c r="K15" i="67"/>
  <c r="O15" i="67" s="1"/>
  <c r="L20" i="67"/>
  <c r="L23" i="67"/>
  <c r="K23" i="67"/>
  <c r="O23" i="67" s="1"/>
  <c r="K12" i="67"/>
  <c r="O12" i="67" s="1"/>
  <c r="L12" i="67"/>
  <c r="K16" i="67"/>
  <c r="O16" i="67" s="1"/>
  <c r="L16" i="67"/>
  <c r="K36" i="67"/>
  <c r="O36" i="67" s="1"/>
  <c r="L36" i="67"/>
  <c r="K7" i="67"/>
  <c r="O7" i="67" s="1"/>
  <c r="L7" i="67"/>
  <c r="L19" i="67"/>
  <c r="K19" i="67"/>
  <c r="L35" i="67"/>
  <c r="K35" i="67"/>
  <c r="K28" i="67"/>
  <c r="O28" i="67" s="1"/>
  <c r="L28" i="67"/>
  <c r="F12" i="24"/>
  <c r="D11" i="24"/>
  <c r="D12" i="24" s="1"/>
  <c r="J25" i="68" l="1"/>
  <c r="I14" i="68"/>
  <c r="J14" i="68"/>
  <c r="L38" i="67"/>
  <c r="E12" i="24"/>
  <c r="F13" i="24" s="1"/>
  <c r="C15" i="68" l="1"/>
  <c r="C19" i="68" s="1"/>
  <c r="C15" i="30"/>
  <c r="C7" i="24"/>
  <c r="Q21" i="70" l="1"/>
  <c r="O10" i="70" s="1"/>
  <c r="C12" i="23"/>
  <c r="H47" i="37"/>
  <c r="H46" i="37"/>
  <c r="H45" i="37"/>
  <c r="H39" i="37"/>
  <c r="H40" i="37"/>
  <c r="H41" i="37"/>
  <c r="H38" i="37"/>
  <c r="C10" i="37" l="1"/>
  <c r="O11" i="70"/>
  <c r="Q10" i="70"/>
  <c r="D10" i="37" s="1"/>
  <c r="E10" i="37" s="1"/>
  <c r="O12" i="70" l="1"/>
  <c r="C11" i="37"/>
  <c r="Q11" i="70"/>
  <c r="D11" i="37" s="1"/>
  <c r="E11" i="37" s="1"/>
  <c r="C12" i="37" l="1"/>
  <c r="O13" i="70"/>
  <c r="Q12" i="70"/>
  <c r="D12" i="37" s="1"/>
  <c r="E12" i="37" s="1"/>
  <c r="C13" i="37" l="1"/>
  <c r="O14" i="70"/>
  <c r="Q13" i="70"/>
  <c r="D13" i="37" s="1"/>
  <c r="E13" i="37" s="1"/>
  <c r="B21" i="62"/>
  <c r="B22" i="62" s="1"/>
  <c r="B23" i="62" s="1"/>
  <c r="B24" i="62" s="1"/>
  <c r="B25" i="62" s="1"/>
  <c r="B26" i="62" s="1"/>
  <c r="B27" i="62" s="1"/>
  <c r="B28" i="62" s="1"/>
  <c r="B29" i="62" s="1"/>
  <c r="O15" i="70" l="1"/>
  <c r="Q15" i="70" s="1"/>
  <c r="Q14" i="70"/>
  <c r="D14" i="37" s="1"/>
  <c r="E14" i="37" s="1"/>
  <c r="C14" i="37"/>
  <c r="C6" i="57" l="1"/>
  <c r="C6" i="62" s="1"/>
  <c r="D6" i="57"/>
  <c r="D6" i="62" s="1"/>
  <c r="D7" i="62" s="1"/>
  <c r="E6" i="57"/>
  <c r="E6" i="62" s="1"/>
  <c r="E7" i="62" s="1"/>
  <c r="C5" i="57"/>
  <c r="C13" i="62" l="1"/>
  <c r="C7" i="62"/>
  <c r="G6" i="57" l="1"/>
  <c r="F6" i="57"/>
  <c r="F6" i="62" s="1"/>
  <c r="F7" i="62" s="1"/>
  <c r="F8" i="62" s="1"/>
  <c r="C12" i="62" l="1"/>
  <c r="H12" i="62" s="1"/>
  <c r="F12" i="62" s="1"/>
  <c r="G12" i="62" s="1"/>
  <c r="C14" i="62" l="1"/>
  <c r="E12" i="62"/>
  <c r="D12" i="62" s="1"/>
  <c r="K12" i="62"/>
  <c r="L12" i="62" s="1"/>
  <c r="C5" i="24"/>
  <c r="J12" i="62" l="1"/>
  <c r="I12" i="62" l="1"/>
  <c r="C5" i="43" l="1"/>
  <c r="C8" i="39" s="1"/>
  <c r="H13" i="62" l="1"/>
  <c r="H14" i="62" s="1"/>
  <c r="E24" i="62" s="1"/>
  <c r="H13" i="57"/>
  <c r="I13" i="62" l="1"/>
  <c r="I14" i="62" s="1"/>
  <c r="E25" i="62" s="1"/>
  <c r="I13" i="57"/>
  <c r="C24" i="37"/>
  <c r="J13" i="62"/>
  <c r="J14" i="62" s="1"/>
  <c r="E26" i="62" s="1"/>
  <c r="J13" i="57"/>
  <c r="C25" i="37"/>
  <c r="K13" i="62" l="1"/>
  <c r="K14" i="62" s="1"/>
  <c r="E27" i="62" s="1"/>
  <c r="K13" i="57"/>
  <c r="C26" i="37"/>
  <c r="G5" i="40"/>
  <c r="G7" i="57"/>
  <c r="F7" i="57"/>
  <c r="E7" i="57"/>
  <c r="D7" i="57"/>
  <c r="B21" i="57"/>
  <c r="B22" i="57"/>
  <c r="B23" i="57" s="1"/>
  <c r="B24" i="57" s="1"/>
  <c r="B25" i="57" s="1"/>
  <c r="B26" i="57" s="1"/>
  <c r="B27" i="57" s="1"/>
  <c r="B28" i="57" s="1"/>
  <c r="B29" i="57" s="1"/>
  <c r="L13" i="62" l="1"/>
  <c r="L14" i="62" s="1"/>
  <c r="E28" i="62" s="1"/>
  <c r="L13" i="57"/>
  <c r="C27" i="37"/>
  <c r="C6" i="23"/>
  <c r="C9" i="32"/>
  <c r="C7" i="32"/>
  <c r="M13" i="62" l="1"/>
  <c r="M14" i="62" s="1"/>
  <c r="E29" i="62" s="1"/>
  <c r="M13" i="57"/>
  <c r="D29" i="57"/>
  <c r="C28" i="37"/>
  <c r="C8" i="32"/>
  <c r="C15" i="49" l="1"/>
  <c r="C13" i="57" l="1"/>
  <c r="C7" i="57"/>
  <c r="G8" i="57" s="1"/>
  <c r="C12" i="57" l="1"/>
  <c r="H12" i="57" l="1"/>
  <c r="F12" i="57" s="1"/>
  <c r="E12" i="57" s="1"/>
  <c r="D12" i="57" s="1"/>
  <c r="C14" i="57"/>
  <c r="B20" i="37"/>
  <c r="B21" i="37" s="1"/>
  <c r="B22" i="37" s="1"/>
  <c r="B23" i="37" s="1"/>
  <c r="B24" i="37" s="1"/>
  <c r="B25" i="37" s="1"/>
  <c r="B26" i="37" s="1"/>
  <c r="B27" i="37" s="1"/>
  <c r="B28" i="37" s="1"/>
  <c r="B6" i="37"/>
  <c r="B7" i="37" s="1"/>
  <c r="B8" i="37" s="1"/>
  <c r="B9" i="37" s="1"/>
  <c r="B10" i="37" s="1"/>
  <c r="B11" i="37" s="1"/>
  <c r="B12" i="37" s="1"/>
  <c r="B13" i="37" s="1"/>
  <c r="B14" i="37" s="1"/>
  <c r="K12" i="57" l="1"/>
  <c r="L12" i="57" s="1"/>
  <c r="G12" i="57"/>
  <c r="J12" i="57" l="1"/>
  <c r="I12" i="57" s="1"/>
  <c r="F11" i="35"/>
  <c r="B5" i="35"/>
  <c r="B4" i="35"/>
  <c r="F10" i="35" l="1"/>
  <c r="J8" i="35"/>
  <c r="I5" i="35"/>
  <c r="G11" i="35" l="1"/>
  <c r="B6" i="4"/>
  <c r="B7" i="4" s="1"/>
  <c r="B8" i="4" s="1"/>
  <c r="B9" i="4" s="1"/>
  <c r="B10" i="4" s="1"/>
  <c r="B11" i="4" s="1"/>
  <c r="G12" i="40" l="1"/>
  <c r="G4" i="40"/>
  <c r="C5" i="23"/>
  <c r="C15" i="23" l="1"/>
  <c r="G10" i="40"/>
  <c r="G15" i="40" s="1"/>
  <c r="H12" i="49" l="1"/>
  <c r="H14" i="49"/>
  <c r="H13" i="49"/>
  <c r="H15" i="49"/>
  <c r="H17" i="49" s="1"/>
  <c r="H16" i="49"/>
  <c r="C21" i="23"/>
  <c r="D20" i="30"/>
  <c r="F20" i="30" s="1"/>
  <c r="D21" i="30"/>
  <c r="F21" i="30" s="1"/>
  <c r="D22" i="30"/>
  <c r="F22" i="30" s="1"/>
  <c r="D18" i="30"/>
  <c r="F18" i="30" s="1"/>
  <c r="D19" i="30"/>
  <c r="F19" i="30" s="1"/>
  <c r="J24" i="68"/>
  <c r="J27" i="68" s="1"/>
  <c r="C21" i="49" s="1"/>
  <c r="G22" i="68"/>
  <c r="G25" i="68"/>
  <c r="G26" i="68"/>
  <c r="G24" i="68"/>
  <c r="G23" i="68"/>
  <c r="G18" i="37"/>
  <c r="C20" i="49" l="1"/>
  <c r="C23" i="49"/>
  <c r="C28" i="49" s="1"/>
  <c r="C29" i="49" s="1"/>
  <c r="G5" i="35" s="1"/>
  <c r="G27" i="68"/>
  <c r="C22" i="68" s="1"/>
  <c r="C20" i="48" s="1"/>
  <c r="G8" i="40"/>
  <c r="G21" i="40" s="1"/>
  <c r="C22" i="23" l="1"/>
  <c r="C26" i="23" s="1"/>
  <c r="F5" i="30"/>
  <c r="F4" i="30"/>
  <c r="F6" i="30"/>
  <c r="F7" i="30"/>
  <c r="C23" i="68"/>
  <c r="C25" i="68" s="1"/>
  <c r="L7" i="48"/>
  <c r="C25" i="23" l="1"/>
  <c r="G6" i="30"/>
  <c r="G7" i="30"/>
  <c r="F8" i="30"/>
  <c r="G4" i="30"/>
  <c r="F15" i="30"/>
  <c r="C7" i="23"/>
  <c r="C8" i="23" s="1"/>
  <c r="G5" i="30"/>
  <c r="I5" i="30" l="1"/>
  <c r="J5" i="30"/>
  <c r="I7" i="30"/>
  <c r="J7" i="30"/>
  <c r="I6" i="30"/>
  <c r="J6" i="30"/>
  <c r="I4" i="30"/>
  <c r="J4" i="30"/>
  <c r="H6" i="30"/>
  <c r="E13" i="30" s="1"/>
  <c r="F13" i="30" s="1"/>
  <c r="G13" i="30" s="1"/>
  <c r="C20" i="30" s="1"/>
  <c r="H7" i="30"/>
  <c r="E14" i="30" s="1"/>
  <c r="F14" i="30" s="1"/>
  <c r="G14" i="30" s="1"/>
  <c r="C21" i="30" s="1"/>
  <c r="H5" i="30"/>
  <c r="E12" i="30" s="1"/>
  <c r="F12" i="30" s="1"/>
  <c r="G12" i="30" s="1"/>
  <c r="C19" i="30" s="1"/>
  <c r="C19" i="23"/>
  <c r="C28" i="23" s="1"/>
  <c r="C7" i="48" s="1"/>
  <c r="H7" i="48" s="1"/>
  <c r="F7" i="48" s="1"/>
  <c r="G15" i="30"/>
  <c r="C22" i="30" s="1"/>
  <c r="H4" i="30"/>
  <c r="E11" i="30" s="1"/>
  <c r="G8" i="30"/>
  <c r="G22" i="30" l="1"/>
  <c r="C8" i="43"/>
  <c r="G19" i="30"/>
  <c r="G20" i="30"/>
  <c r="G21" i="30"/>
  <c r="D7" i="48"/>
  <c r="F11" i="30"/>
  <c r="G11" i="30" s="1"/>
  <c r="C18" i="30" s="1"/>
  <c r="G18" i="30" s="1"/>
  <c r="E15" i="30"/>
  <c r="E7" i="48"/>
  <c r="G7" i="48"/>
  <c r="J7" i="48"/>
  <c r="K7" i="48" s="1"/>
  <c r="I7" i="48" l="1"/>
  <c r="G8" i="35" l="1"/>
  <c r="C10" i="32"/>
  <c r="C11" i="32" s="1"/>
  <c r="G10" i="35" l="1"/>
  <c r="J5" i="35"/>
  <c r="J7" i="35" s="1"/>
  <c r="J9" i="35" s="1"/>
  <c r="G4" i="37"/>
  <c r="H4" i="37" s="1"/>
  <c r="H18" i="37" s="1"/>
  <c r="C4" i="39"/>
  <c r="C7" i="39"/>
  <c r="C9" i="39" s="1"/>
  <c r="C7" i="43" s="1"/>
  <c r="G12" i="35" l="1"/>
  <c r="G14" i="35" s="1"/>
  <c r="C4" i="35" s="1"/>
  <c r="F18" i="37" s="1"/>
  <c r="C19" i="57"/>
  <c r="G19" i="57" s="1"/>
  <c r="C19" i="62" s="1"/>
  <c r="G19" i="62" s="1"/>
  <c r="F4" i="37"/>
  <c r="C9" i="43"/>
  <c r="J11" i="35" l="1"/>
  <c r="J17" i="35" s="1"/>
  <c r="C5" i="35" s="1"/>
  <c r="C3" i="39"/>
  <c r="C5" i="39" s="1"/>
  <c r="C11" i="39" s="1"/>
  <c r="C24" i="57"/>
  <c r="C22" i="57" s="1"/>
  <c r="D19" i="62"/>
  <c r="D19" i="57"/>
  <c r="C11" i="43"/>
  <c r="C16" i="48" s="1"/>
  <c r="C27" i="57" l="1"/>
  <c r="D27" i="57" s="1"/>
  <c r="D24" i="57"/>
  <c r="C20" i="57"/>
  <c r="C23" i="57"/>
  <c r="C25" i="57" l="1"/>
  <c r="C26" i="57" s="1"/>
  <c r="D26" i="57" s="1"/>
  <c r="C28" i="57"/>
  <c r="D28" i="57" s="1"/>
  <c r="C21" i="57"/>
  <c r="E24" i="37"/>
  <c r="E25" i="37"/>
  <c r="E26" i="37"/>
  <c r="E27" i="37"/>
  <c r="E28" i="37"/>
  <c r="H14" i="57"/>
  <c r="E24" i="57" s="1"/>
  <c r="I14" i="57"/>
  <c r="E25" i="57" s="1"/>
  <c r="K14" i="57"/>
  <c r="E27" i="57" s="1"/>
  <c r="L14" i="57"/>
  <c r="E28" i="57" s="1"/>
  <c r="M14" i="57"/>
  <c r="E29" i="57" s="1"/>
  <c r="J14" i="57"/>
  <c r="E26" i="57" s="1"/>
  <c r="D25" i="57" l="1"/>
  <c r="F25" i="57" s="1"/>
  <c r="F26" i="57"/>
  <c r="F27" i="57"/>
  <c r="F24" i="57"/>
  <c r="G24" i="57" s="1"/>
  <c r="C24" i="62" s="1"/>
  <c r="D24" i="62" s="1"/>
  <c r="F24" i="62" s="1"/>
  <c r="G24" i="62" s="1"/>
  <c r="F28" i="57"/>
  <c r="F29" i="57"/>
  <c r="G29" i="57" s="1"/>
  <c r="C29" i="62" s="1"/>
  <c r="D29" i="62" s="1"/>
  <c r="F29" i="62" s="1"/>
  <c r="G29" i="62" s="1"/>
  <c r="F14" i="37" s="1"/>
  <c r="C7" i="40" l="1"/>
  <c r="C9" i="40" s="1"/>
  <c r="G14" i="37"/>
  <c r="H14" i="37" s="1"/>
  <c r="F28" i="37" s="1"/>
  <c r="L6" i="48" s="1"/>
  <c r="L8" i="48" s="1"/>
  <c r="F9" i="37"/>
  <c r="G9" i="37" s="1"/>
  <c r="H9" i="37" s="1"/>
  <c r="G28" i="57"/>
  <c r="C28" i="62" s="1"/>
  <c r="D28" i="62" s="1"/>
  <c r="F28" i="62" s="1"/>
  <c r="G28" i="62" s="1"/>
  <c r="G25" i="57"/>
  <c r="C25" i="62" s="1"/>
  <c r="D25" i="62" s="1"/>
  <c r="F25" i="62" s="1"/>
  <c r="G25" i="62" s="1"/>
  <c r="G27" i="57"/>
  <c r="C27" i="62" s="1"/>
  <c r="D27" i="62" s="1"/>
  <c r="F27" i="62" s="1"/>
  <c r="G27" i="62" s="1"/>
  <c r="G26" i="57"/>
  <c r="C26" i="62" s="1"/>
  <c r="D26" i="62" s="1"/>
  <c r="F26" i="62" s="1"/>
  <c r="G26" i="62" s="1"/>
  <c r="F10" i="37" l="1"/>
  <c r="G10" i="37" s="1"/>
  <c r="H10" i="37" s="1"/>
  <c r="F24" i="37" s="1"/>
  <c r="H6" i="48" s="1"/>
  <c r="H8" i="48" s="1"/>
  <c r="F11" i="37"/>
  <c r="G11" i="37" s="1"/>
  <c r="H11" i="37" s="1"/>
  <c r="F25" i="37" s="1"/>
  <c r="I6" i="48" s="1"/>
  <c r="I8" i="48" s="1"/>
  <c r="F12" i="37"/>
  <c r="G12" i="37" s="1"/>
  <c r="H12" i="37" s="1"/>
  <c r="F26" i="37" s="1"/>
  <c r="J6" i="48" s="1"/>
  <c r="J8" i="48" s="1"/>
  <c r="F13" i="37"/>
  <c r="G13" i="37" s="1"/>
  <c r="H13" i="37" s="1"/>
  <c r="F27" i="37" s="1"/>
  <c r="K6" i="48" s="1"/>
  <c r="K8" i="48" s="1"/>
  <c r="C6" i="48"/>
  <c r="D6" i="48"/>
  <c r="E6" i="48"/>
  <c r="F6" i="48"/>
  <c r="G6" i="48"/>
  <c r="C8" i="48"/>
  <c r="D8" i="48"/>
  <c r="E8" i="48"/>
  <c r="F8" i="48"/>
  <c r="G8" i="48"/>
  <c r="C12" i="48"/>
  <c r="C13" i="48"/>
  <c r="C14" i="48"/>
  <c r="C15" i="48"/>
  <c r="C19" i="48"/>
  <c r="C21" i="48"/>
  <c r="C23" i="48"/>
  <c r="C25" i="48"/>
  <c r="D5" i="37"/>
  <c r="E5" i="37"/>
  <c r="F5" i="37"/>
  <c r="G5" i="37"/>
  <c r="H5" i="37"/>
  <c r="D6" i="37"/>
  <c r="E6" i="37"/>
  <c r="F6" i="37"/>
  <c r="G6" i="37"/>
  <c r="H6" i="37"/>
  <c r="D7" i="37"/>
  <c r="E7" i="37"/>
  <c r="F7" i="37"/>
  <c r="G7" i="37"/>
  <c r="H7" i="37"/>
  <c r="D8" i="37"/>
  <c r="E8" i="37"/>
  <c r="F8" i="37"/>
  <c r="G8" i="37"/>
  <c r="H8" i="37"/>
  <c r="E9" i="37"/>
  <c r="C19" i="37"/>
  <c r="E19" i="37"/>
  <c r="F19" i="37"/>
  <c r="G19" i="37"/>
  <c r="H19" i="37"/>
  <c r="C20" i="37"/>
  <c r="E20" i="37"/>
  <c r="F20" i="37"/>
  <c r="G20" i="37"/>
  <c r="H20" i="37"/>
  <c r="C21" i="37"/>
  <c r="E21" i="37"/>
  <c r="F21" i="37"/>
  <c r="G21" i="37"/>
  <c r="H21" i="37"/>
  <c r="C22" i="37"/>
  <c r="E22" i="37"/>
  <c r="F22" i="37"/>
  <c r="G22" i="37"/>
  <c r="H22" i="37"/>
  <c r="C23" i="37"/>
  <c r="E23" i="37"/>
  <c r="F23" i="37"/>
  <c r="G23" i="37"/>
  <c r="H23" i="37"/>
  <c r="G24" i="37"/>
  <c r="H24" i="37"/>
  <c r="G25" i="37"/>
  <c r="H25" i="37"/>
  <c r="G26" i="37"/>
  <c r="H26" i="37"/>
  <c r="G27" i="37"/>
  <c r="H27" i="37"/>
  <c r="G28" i="37"/>
  <c r="H28" i="37"/>
  <c r="D13" i="57"/>
  <c r="E13" i="57"/>
  <c r="F13" i="57"/>
  <c r="G13" i="57"/>
  <c r="D14" i="57"/>
  <c r="E14" i="57"/>
  <c r="F14" i="57"/>
  <c r="G14" i="57"/>
  <c r="D20" i="57"/>
  <c r="E20" i="57"/>
  <c r="F20" i="57"/>
  <c r="G20" i="57"/>
  <c r="D21" i="57"/>
  <c r="E21" i="57"/>
  <c r="F21" i="57"/>
  <c r="G21" i="57"/>
  <c r="D22" i="57"/>
  <c r="E22" i="57"/>
  <c r="F22" i="57"/>
  <c r="G22" i="57"/>
  <c r="D23" i="57"/>
  <c r="E23" i="57"/>
  <c r="F23" i="57"/>
  <c r="G23" i="57"/>
  <c r="D13" i="62"/>
  <c r="E13" i="62"/>
  <c r="F13" i="62"/>
  <c r="G13" i="62"/>
  <c r="D14" i="62"/>
  <c r="E14" i="62"/>
  <c r="F14" i="62"/>
  <c r="G14" i="62"/>
  <c r="C20" i="62"/>
  <c r="D20" i="62"/>
  <c r="E20" i="62"/>
  <c r="F20" i="62"/>
  <c r="G20" i="62"/>
  <c r="C21" i="62"/>
  <c r="D21" i="62"/>
  <c r="E21" i="62"/>
  <c r="F21" i="62"/>
  <c r="G21" i="62"/>
  <c r="C22" i="62"/>
  <c r="D22" i="62"/>
  <c r="E22" i="62"/>
  <c r="F22" i="62"/>
  <c r="G22" i="62"/>
  <c r="C23" i="62"/>
  <c r="D23" i="62"/>
  <c r="E23" i="62"/>
  <c r="F23" i="62"/>
  <c r="G23" i="62"/>
  <c r="D5" i="70"/>
  <c r="E5" i="70"/>
  <c r="H5" i="70"/>
  <c r="I5" i="70"/>
  <c r="L5" i="70"/>
  <c r="M5" i="70"/>
  <c r="P5" i="70"/>
  <c r="Q5" i="70"/>
  <c r="D6" i="70"/>
  <c r="E6" i="70"/>
  <c r="H6" i="70"/>
  <c r="I6" i="70"/>
  <c r="L6" i="70"/>
  <c r="M6" i="70"/>
  <c r="P6" i="70"/>
  <c r="Q6" i="70"/>
  <c r="D7" i="70"/>
  <c r="E7" i="70"/>
  <c r="H7" i="70"/>
  <c r="I7" i="70"/>
  <c r="L7" i="70"/>
  <c r="M7" i="70"/>
  <c r="P7" i="70"/>
  <c r="Q7" i="70"/>
  <c r="D8" i="70"/>
  <c r="E8" i="70"/>
  <c r="H8" i="70"/>
  <c r="I8" i="70"/>
  <c r="L8" i="70"/>
  <c r="M8" i="70"/>
  <c r="P8" i="70"/>
  <c r="Q8" i="70"/>
  <c r="C4" i="40"/>
  <c r="C5" i="40"/>
  <c r="C11" i="40"/>
  <c r="C13" i="40"/>
</calcChain>
</file>

<file path=xl/sharedStrings.xml><?xml version="1.0" encoding="utf-8"?>
<sst xmlns="http://schemas.openxmlformats.org/spreadsheetml/2006/main" count="898" uniqueCount="513">
  <si>
    <t xml:space="preserve">#                </t>
  </si>
  <si>
    <t>Worksheet</t>
  </si>
  <si>
    <t>D&amp;A</t>
  </si>
  <si>
    <t>EBIT</t>
  </si>
  <si>
    <t>Revenues</t>
  </si>
  <si>
    <t>WACC</t>
  </si>
  <si>
    <t>Cost of Capital</t>
  </si>
  <si>
    <t>Cost of Equity</t>
  </si>
  <si>
    <t>Cost of Debt</t>
  </si>
  <si>
    <t>Equity Risk Premium</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</si>
  <si>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</si>
  <si>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</si>
  <si>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</si>
  <si>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</si>
  <si>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</si>
  <si>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</si>
  <si>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</si>
  <si>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</si>
  <si>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</si>
  <si>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</si>
  <si>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</si>
  <si>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</si>
  <si>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</si>
  <si>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</si>
  <si>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</si>
  <si>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</si>
  <si>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</si>
  <si>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</si>
  <si>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</si>
  <si>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</si>
  <si>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</si>
  <si>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</si>
  <si>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Avg Default Spread (%)</t>
  </si>
  <si>
    <t>Year</t>
  </si>
  <si>
    <t>-</t>
  </si>
  <si>
    <t>Ticker</t>
  </si>
  <si>
    <t>D/E Ratio</t>
  </si>
  <si>
    <t>EV/Sales</t>
  </si>
  <si>
    <t>Bottom-Up Beta</t>
  </si>
  <si>
    <t>Risk Free Rate - Rf</t>
  </si>
  <si>
    <t>Lambda (λ)</t>
  </si>
  <si>
    <t>US Risk Free Rate - Rf</t>
  </si>
  <si>
    <t>Pre-Tax Cost of Debt</t>
  </si>
  <si>
    <t>Market Value of Debt</t>
  </si>
  <si>
    <t>Number of Shares Outstanding</t>
  </si>
  <si>
    <t>Market Capitalization</t>
  </si>
  <si>
    <t>Cash Flows</t>
  </si>
  <si>
    <t>Valuation Index</t>
  </si>
  <si>
    <t>+</t>
  </si>
  <si>
    <t>Adjusted EBIT</t>
  </si>
  <si>
    <t>Net CapEx</t>
  </si>
  <si>
    <t>Capital Expenditures (CapEx)</t>
  </si>
  <si>
    <t>Adjusted Net Capital Expenditures</t>
  </si>
  <si>
    <t>Account Payables</t>
  </si>
  <si>
    <t>Non Cash Working Capital</t>
  </si>
  <si>
    <t>Cash Flows - FCFF</t>
  </si>
  <si>
    <t>EBIT * (1 - Tax Rate)</t>
  </si>
  <si>
    <t>Free Cash Flow to Firm (FCFF)</t>
  </si>
  <si>
    <t>Reinvestment</t>
  </si>
  <si>
    <t>Cash Flows - FCFE</t>
  </si>
  <si>
    <t>Finance Cost</t>
  </si>
  <si>
    <t>Adjusted EBT</t>
  </si>
  <si>
    <t>Adjusted Net Income</t>
  </si>
  <si>
    <t>Principle Repayments</t>
  </si>
  <si>
    <t>New Debt Issue</t>
  </si>
  <si>
    <t>Free Cash Flow to Equity (FCFE)</t>
  </si>
  <si>
    <t>Net Borrowing (2022)</t>
  </si>
  <si>
    <t>FCFE = Net Income - Net CapEx - Change in non cash working capital + Net Borrowings - Preferred Stock</t>
  </si>
  <si>
    <t>FCFF = EBIT * (1 - tax rate) - Net CapEx - Change in non cash working capital</t>
  </si>
  <si>
    <t>FCFE &amp; FCFF</t>
  </si>
  <si>
    <t>FCFF &amp; FCFE</t>
  </si>
  <si>
    <t>Account Recievables</t>
  </si>
  <si>
    <t>Working capital as % of revenues</t>
  </si>
  <si>
    <t>Non Cash Current Assets</t>
  </si>
  <si>
    <t>Non Debt Current Liabilities</t>
  </si>
  <si>
    <t>Average WC as % of revenues</t>
  </si>
  <si>
    <t>Non Cash Working Capital (2022)</t>
  </si>
  <si>
    <t>Non Cash Working Capital (2021)</t>
  </si>
  <si>
    <t>Revenues (2021)</t>
  </si>
  <si>
    <t>Adj Change in Non Cash WC</t>
  </si>
  <si>
    <t>Expected Growth Rate</t>
  </si>
  <si>
    <t>Future Cash Flows (10 Yrs)</t>
  </si>
  <si>
    <t>Terminal Value</t>
  </si>
  <si>
    <t>Growth &amp; TV</t>
  </si>
  <si>
    <t>Reinvestment Rate</t>
  </si>
  <si>
    <t>Return on Invested Capital (ROIC)</t>
  </si>
  <si>
    <t>LTM</t>
  </si>
  <si>
    <t>Op. Margin</t>
  </si>
  <si>
    <t>Change in Sales</t>
  </si>
  <si>
    <t>Sales to Capital</t>
  </si>
  <si>
    <t>FCFF</t>
  </si>
  <si>
    <t>Invested Capital</t>
  </si>
  <si>
    <t>ROIC</t>
  </si>
  <si>
    <t>Growth Rate &amp; TV</t>
  </si>
  <si>
    <t>Growth Rate in perpetuity</t>
  </si>
  <si>
    <t>ROIC in perpetuity</t>
  </si>
  <si>
    <t>EBIT (11th Year)</t>
  </si>
  <si>
    <t>Marginal Tax Rate (%)</t>
  </si>
  <si>
    <t>Mature Company Cost of Capital Estimation</t>
  </si>
  <si>
    <t>FCFF (11th Year)</t>
  </si>
  <si>
    <t>% of Debt</t>
  </si>
  <si>
    <t>% of Equity</t>
  </si>
  <si>
    <t>Mature WACC</t>
  </si>
  <si>
    <t>Cash &amp; Marketable Securities</t>
  </si>
  <si>
    <t>Cash and cash equivalents</t>
  </si>
  <si>
    <t>Return on Capital</t>
  </si>
  <si>
    <t>Sales to Cap</t>
  </si>
  <si>
    <t>Mature Beta</t>
  </si>
  <si>
    <t>Present Value of TV</t>
  </si>
  <si>
    <t>Cash and Marketable Securities</t>
  </si>
  <si>
    <t>Value of Debt</t>
  </si>
  <si>
    <t>Value of Firm</t>
  </si>
  <si>
    <t>Value of Equity</t>
  </si>
  <si>
    <t>Value of Cross Holdings</t>
  </si>
  <si>
    <t>Present Vaue of FCFF</t>
  </si>
  <si>
    <t>Fair Value of the Share</t>
  </si>
  <si>
    <t>Present Value of Cash Flows</t>
  </si>
  <si>
    <t>Free Cash Flows to Firm</t>
  </si>
  <si>
    <t>Discount Rate (WACC)</t>
  </si>
  <si>
    <t>Discounting Future Cash Flows to Present Value</t>
  </si>
  <si>
    <t>Value of Operating Assets</t>
  </si>
  <si>
    <t>Value of Other Assets</t>
  </si>
  <si>
    <t>Value of Equity Options</t>
  </si>
  <si>
    <t>Value of Common Stock</t>
  </si>
  <si>
    <t>Fair Value of Share</t>
  </si>
  <si>
    <t>Road to Fair Value of Share</t>
  </si>
  <si>
    <t xml:space="preserve">Current </t>
  </si>
  <si>
    <t>Amortization (This Year)</t>
  </si>
  <si>
    <t>Advertising Expense</t>
  </si>
  <si>
    <t>Amortization (weights)</t>
  </si>
  <si>
    <t>Amortized Value</t>
  </si>
  <si>
    <t>N/A</t>
  </si>
  <si>
    <t>EBIT * (1 - Tax)</t>
  </si>
  <si>
    <t>EBIT*(1-Tax)</t>
  </si>
  <si>
    <t>OPM %</t>
  </si>
  <si>
    <t>Mature Risk Premium</t>
  </si>
  <si>
    <t>Total Cash &amp; Cash Equivalents</t>
  </si>
  <si>
    <t>ERP</t>
  </si>
  <si>
    <t>Companies</t>
  </si>
  <si>
    <t>Unlevered Beta</t>
  </si>
  <si>
    <t>Amortization</t>
  </si>
  <si>
    <t>Operating Lease</t>
  </si>
  <si>
    <t>Value of Lease Debt</t>
  </si>
  <si>
    <t>Operating Lease (Current)</t>
  </si>
  <si>
    <t>Depreciation on OL</t>
  </si>
  <si>
    <t>Depreciation: Operating Lease</t>
  </si>
  <si>
    <t>Operating Lease (Current Year)</t>
  </si>
  <si>
    <t>Median WC as % of Revenues</t>
  </si>
  <si>
    <t>Adj OPM</t>
  </si>
  <si>
    <t>Adj OpEx</t>
  </si>
  <si>
    <t>Exp. Options</t>
  </si>
  <si>
    <t>OpEx</t>
  </si>
  <si>
    <t>OPM</t>
  </si>
  <si>
    <t>Adjusting Operating Margin with Expected Value of Options</t>
  </si>
  <si>
    <t>Options Value</t>
  </si>
  <si>
    <t>Options as a % Revenues</t>
  </si>
  <si>
    <t>Forecasting Future Option Value (Treating as OpEx)</t>
  </si>
  <si>
    <t>Estimating average option value as a % of revenues</t>
  </si>
  <si>
    <t>Future Value of Equity Options</t>
  </si>
  <si>
    <t>CRP</t>
  </si>
  <si>
    <t>Interest</t>
  </si>
  <si>
    <t>ICR (%)</t>
  </si>
  <si>
    <t>Average ICR (%)</t>
  </si>
  <si>
    <t>(in millions)</t>
  </si>
  <si>
    <t>Revenues (TTM)</t>
  </si>
  <si>
    <t>Market Share</t>
  </si>
  <si>
    <t>Gross Industry</t>
  </si>
  <si>
    <t>Carvana</t>
  </si>
  <si>
    <t>USA Credit Rating</t>
  </si>
  <si>
    <t>%</t>
  </si>
  <si>
    <t>Maturity</t>
  </si>
  <si>
    <t>Years</t>
  </si>
  <si>
    <t>Cost of Revenue</t>
  </si>
  <si>
    <t>Effective Tax Rate (%)</t>
  </si>
  <si>
    <t>USA Default Spread</t>
  </si>
  <si>
    <t>Interest Coverage Ratio will be above 2</t>
  </si>
  <si>
    <t>Discount for Getting Bad Returns on Projects</t>
  </si>
  <si>
    <t>Based on Debt Equity Ratio (Industry Median)</t>
  </si>
  <si>
    <t>Median Option as a % of revenues</t>
  </si>
  <si>
    <t>Future Value of Restricted Stock</t>
  </si>
  <si>
    <t>Estimating average restricted stock as a % of revenues</t>
  </si>
  <si>
    <t>Restricted Stocks Unit</t>
  </si>
  <si>
    <t>RSU as a % Revenues</t>
  </si>
  <si>
    <t>Average option as a % of revenues</t>
  </si>
  <si>
    <t>Exp. RSU</t>
  </si>
  <si>
    <t>Total Debt</t>
  </si>
  <si>
    <t>Vehicle Type</t>
  </si>
  <si>
    <t>Car</t>
  </si>
  <si>
    <t>SUV</t>
  </si>
  <si>
    <t>Pickup Truck</t>
  </si>
  <si>
    <t>Minivan</t>
  </si>
  <si>
    <t>Carmax</t>
  </si>
  <si>
    <t>Vroom</t>
  </si>
  <si>
    <t>Average</t>
  </si>
  <si>
    <t>How Much Car Buying Sites Pay for Different Vehicles?</t>
  </si>
  <si>
    <t>Vehicle Year</t>
  </si>
  <si>
    <t>2001-2009</t>
  </si>
  <si>
    <t>2010-2015</t>
  </si>
  <si>
    <t>2016-2022</t>
  </si>
  <si>
    <t>How Much Car Buying Sites Pay for Vehicles of Different Ages?</t>
  </si>
  <si>
    <t>Mesa Labs Company Analysis</t>
  </si>
  <si>
    <t>Mesa Labs</t>
  </si>
  <si>
    <t>Sector of Mesa Labs</t>
  </si>
  <si>
    <t>Industry of Mesa Labs</t>
  </si>
  <si>
    <t>USA 10-Year Gov. Bond Yield</t>
  </si>
  <si>
    <t>Mesa Labs Equity Risk Premium</t>
  </si>
  <si>
    <t>US$ Risk Free Rate</t>
  </si>
  <si>
    <t>United States</t>
  </si>
  <si>
    <t>Global - Foreign Countries</t>
  </si>
  <si>
    <t>Risk Free Rate &amp; Equity Risk Premium</t>
  </si>
  <si>
    <t>Technology</t>
  </si>
  <si>
    <t>Scientific Instruments</t>
  </si>
  <si>
    <t>Corporate Governance</t>
  </si>
  <si>
    <t>John Sullivan</t>
  </si>
  <si>
    <t>Gary Owens</t>
  </si>
  <si>
    <t>John Schmieder</t>
  </si>
  <si>
    <t>Director</t>
  </si>
  <si>
    <t>Evan Guillemin</t>
  </si>
  <si>
    <t>Jennifer Alltoft</t>
  </si>
  <si>
    <t>Shannon Hall</t>
  </si>
  <si>
    <t>Shiraz Ladiwala</t>
  </si>
  <si>
    <t>Tony Tripeny</t>
  </si>
  <si>
    <t>Name</t>
  </si>
  <si>
    <t>Designation</t>
  </si>
  <si>
    <t>President and CEO</t>
  </si>
  <si>
    <t>Chairman - BOD</t>
  </si>
  <si>
    <t>John Sakys</t>
  </si>
  <si>
    <t>Brian David Archbold</t>
  </si>
  <si>
    <t>Gina Hinman Trulli</t>
  </si>
  <si>
    <t>Bryan T. Leo</t>
  </si>
  <si>
    <t>Garrett Krushefski</t>
  </si>
  <si>
    <t>Peter M. Dansky</t>
  </si>
  <si>
    <t>CEO</t>
  </si>
  <si>
    <t>CFO &amp; CAO</t>
  </si>
  <si>
    <t>VP of HR</t>
  </si>
  <si>
    <t>Sr. VP of Operations</t>
  </si>
  <si>
    <t>Sr. VP of CI</t>
  </si>
  <si>
    <t>President of CG</t>
  </si>
  <si>
    <t>Management</t>
  </si>
  <si>
    <t>Board of Directors</t>
  </si>
  <si>
    <t>*</t>
  </si>
  <si>
    <t>**</t>
  </si>
  <si>
    <t>Audit</t>
  </si>
  <si>
    <t>Board</t>
  </si>
  <si>
    <t>Shareholder Rights</t>
  </si>
  <si>
    <t>Compensation</t>
  </si>
  <si>
    <t>Segment #1</t>
  </si>
  <si>
    <t>Clinical Genomics</t>
  </si>
  <si>
    <t>Segment #2</t>
  </si>
  <si>
    <t>Segment #3</t>
  </si>
  <si>
    <t>Segment #4</t>
  </si>
  <si>
    <t>Steril. &amp; Disinfection</t>
  </si>
  <si>
    <t>Biopharma Dev</t>
  </si>
  <si>
    <t>Calibration Solutions</t>
  </si>
  <si>
    <t>Industry: Clinical Geonomics</t>
  </si>
  <si>
    <t>DGX</t>
  </si>
  <si>
    <t>ERF.PA</t>
  </si>
  <si>
    <t>Eurofins Scientific SE</t>
  </si>
  <si>
    <t>Quest Diagnostics Inc.</t>
  </si>
  <si>
    <t>Illumina, Inc.</t>
  </si>
  <si>
    <t>ILMN</t>
  </si>
  <si>
    <t>PerkinElmer, Inc.</t>
  </si>
  <si>
    <t>PKI</t>
  </si>
  <si>
    <t>OPKO Health, Inc.</t>
  </si>
  <si>
    <t>OPK</t>
  </si>
  <si>
    <t xml:space="preserve">Myriad Genetics, Inc. </t>
  </si>
  <si>
    <t>MYGN</t>
  </si>
  <si>
    <t>Natera, Inc.</t>
  </si>
  <si>
    <t>NTRA</t>
  </si>
  <si>
    <t>NeoGenomics Inc.</t>
  </si>
  <si>
    <t>NEO</t>
  </si>
  <si>
    <t>Ginkgo Bioworks</t>
  </si>
  <si>
    <t>DNA</t>
  </si>
  <si>
    <t>Genscript Biotech</t>
  </si>
  <si>
    <t>1548.HK</t>
  </si>
  <si>
    <t>CRISPR Therapeutics</t>
  </si>
  <si>
    <t>CRSP</t>
  </si>
  <si>
    <t>Intellia Therapeutics</t>
  </si>
  <si>
    <t>NTLA</t>
  </si>
  <si>
    <t>Beam Therapeutics</t>
  </si>
  <si>
    <t>BEAM</t>
  </si>
  <si>
    <t>10x Genomics</t>
  </si>
  <si>
    <t>TXG</t>
  </si>
  <si>
    <t>Verve Therapeutics</t>
  </si>
  <si>
    <t>VERV</t>
  </si>
  <si>
    <t>Genus</t>
  </si>
  <si>
    <t>GNS.L</t>
  </si>
  <si>
    <t>Krystal Biotech</t>
  </si>
  <si>
    <t>KRYS</t>
  </si>
  <si>
    <t>Fulgent Genetics</t>
  </si>
  <si>
    <t>FLGT</t>
  </si>
  <si>
    <t>uniQure</t>
  </si>
  <si>
    <t>QURE</t>
  </si>
  <si>
    <t>Anavex Life Sciences</t>
  </si>
  <si>
    <t>AVXL</t>
  </si>
  <si>
    <t>Editas Medicine</t>
  </si>
  <si>
    <t>EDIT</t>
  </si>
  <si>
    <t>Bionano Genomics</t>
  </si>
  <si>
    <t>BNGO</t>
  </si>
  <si>
    <t>Invitae</t>
  </si>
  <si>
    <t>NVTA</t>
  </si>
  <si>
    <t>bluebird bio</t>
  </si>
  <si>
    <t>BLUE</t>
  </si>
  <si>
    <t>MeiraGTx</t>
  </si>
  <si>
    <t>MGTX</t>
  </si>
  <si>
    <t>Generation Bio</t>
  </si>
  <si>
    <t>GBIO</t>
  </si>
  <si>
    <t>Akouos</t>
  </si>
  <si>
    <t>AKUS</t>
  </si>
  <si>
    <t>Voyager Therapeutics</t>
  </si>
  <si>
    <t>VYGR</t>
  </si>
  <si>
    <t>Graphite Bio</t>
  </si>
  <si>
    <t>GRPH</t>
  </si>
  <si>
    <t>Precision BioSciences</t>
  </si>
  <si>
    <t>DTIL</t>
  </si>
  <si>
    <t>Adverum Biotechnologies</t>
  </si>
  <si>
    <t>ADVM</t>
  </si>
  <si>
    <t>Orchard Therapeutics</t>
  </si>
  <si>
    <t>ORTX</t>
  </si>
  <si>
    <t>Sio Gene Therapies</t>
  </si>
  <si>
    <t>SIOX</t>
  </si>
  <si>
    <t>Levered Beta</t>
  </si>
  <si>
    <t>Firm Value</t>
  </si>
  <si>
    <t>Cash</t>
  </si>
  <si>
    <t>EV</t>
  </si>
  <si>
    <t>Cash/Firm Value</t>
  </si>
  <si>
    <t>Gross D/E</t>
  </si>
  <si>
    <t>Sales</t>
  </si>
  <si>
    <t>Beta Calculation Data</t>
  </si>
  <si>
    <t>Market Price</t>
  </si>
  <si>
    <t>Total debt (m)</t>
  </si>
  <si>
    <t>Market Cap (m)</t>
  </si>
  <si>
    <t>Shares Out. (m)</t>
  </si>
  <si>
    <t>Industry: Sterilization &amp; Disinfection</t>
  </si>
  <si>
    <t>Owens &amp; Minor, Inc.</t>
  </si>
  <si>
    <t>OMI</t>
  </si>
  <si>
    <t>Sotera Health Company</t>
  </si>
  <si>
    <t>SHC</t>
  </si>
  <si>
    <t>Steris PLC</t>
  </si>
  <si>
    <t>STE</t>
  </si>
  <si>
    <t>WST</t>
  </si>
  <si>
    <t>West Pharma., Inc.</t>
  </si>
  <si>
    <t>GETI-B.ST</t>
  </si>
  <si>
    <t>Getinge AB</t>
  </si>
  <si>
    <t>MMM</t>
  </si>
  <si>
    <t>3M Company</t>
  </si>
  <si>
    <t>Industry: Biopharma Development</t>
  </si>
  <si>
    <t>Johnson &amp; Johnson</t>
  </si>
  <si>
    <t>JNJ</t>
  </si>
  <si>
    <t>Pfizer Inc.</t>
  </si>
  <si>
    <t>PFE</t>
  </si>
  <si>
    <t>AbbVie Inc.</t>
  </si>
  <si>
    <t>ABBV</t>
  </si>
  <si>
    <t>Eli Lilly and Company</t>
  </si>
  <si>
    <t>LLY</t>
  </si>
  <si>
    <t>Novartis AG</t>
  </si>
  <si>
    <t>NVS</t>
  </si>
  <si>
    <t>Merck &amp; Co., Inc.</t>
  </si>
  <si>
    <t>MRK</t>
  </si>
  <si>
    <t>AstraZeneca PLC</t>
  </si>
  <si>
    <t>AZN</t>
  </si>
  <si>
    <t>Novo Nordisk A/S</t>
  </si>
  <si>
    <t>NVO</t>
  </si>
  <si>
    <t>BMY</t>
  </si>
  <si>
    <t>Bristol-Myers Squibb Co.</t>
  </si>
  <si>
    <t>Amgen Inc.</t>
  </si>
  <si>
    <t>AMGN</t>
  </si>
  <si>
    <t>Sanofi</t>
  </si>
  <si>
    <t>SNY</t>
  </si>
  <si>
    <t>GSK</t>
  </si>
  <si>
    <t>GlaxoSmithKline PLC</t>
  </si>
  <si>
    <t>CSL Limited</t>
  </si>
  <si>
    <t>CSL.AX</t>
  </si>
  <si>
    <t>Regeneron Pharma. Inc.</t>
  </si>
  <si>
    <t>REGN</t>
  </si>
  <si>
    <t>Gilead Sciences, Inc.</t>
  </si>
  <si>
    <t>GILD</t>
  </si>
  <si>
    <t>Moderna, Inc.</t>
  </si>
  <si>
    <t>MRNA</t>
  </si>
  <si>
    <t>BAYN.BE</t>
  </si>
  <si>
    <t>Bayer AG</t>
  </si>
  <si>
    <t>VRTX</t>
  </si>
  <si>
    <t>Vertex Pharma. Inc.</t>
  </si>
  <si>
    <t>4502.T</t>
  </si>
  <si>
    <t>Takeda Pharma. Co. Ltd</t>
  </si>
  <si>
    <t>Abbott</t>
  </si>
  <si>
    <t>ABT</t>
  </si>
  <si>
    <t>BioNTech SE</t>
  </si>
  <si>
    <t>22UA.DE</t>
  </si>
  <si>
    <t>Biogen Inc</t>
  </si>
  <si>
    <t>BIIB</t>
  </si>
  <si>
    <t>BeiGene, Ltd.</t>
  </si>
  <si>
    <t>6160.HK</t>
  </si>
  <si>
    <t>Industry: Calibration Solutions</t>
  </si>
  <si>
    <t>Transcat, Inc.</t>
  </si>
  <si>
    <t>TRNS</t>
  </si>
  <si>
    <t xml:space="preserve">AMETEK, Inc. </t>
  </si>
  <si>
    <t>AME</t>
  </si>
  <si>
    <t>Segments</t>
  </si>
  <si>
    <t>Sample Size</t>
  </si>
  <si>
    <t>Median Beta</t>
  </si>
  <si>
    <t>Median D/E</t>
  </si>
  <si>
    <t>Tax Rate</t>
  </si>
  <si>
    <t>Median Cash/FV</t>
  </si>
  <si>
    <t>Adj. Unlevered Beta</t>
  </si>
  <si>
    <t>Revenues ($m)</t>
  </si>
  <si>
    <t>EV ($m)</t>
  </si>
  <si>
    <t>Cash &amp; Cash Equivalents</t>
  </si>
  <si>
    <t>Enterprise Value</t>
  </si>
  <si>
    <t>Beta (Operating Assets)</t>
  </si>
  <si>
    <t>Beta (Cash)</t>
  </si>
  <si>
    <t>% Operating Assets</t>
  </si>
  <si>
    <t>% Cash</t>
  </si>
  <si>
    <t>Unlevered Beta (Mesa Labs)</t>
  </si>
  <si>
    <t>Credit Facility</t>
  </si>
  <si>
    <t>Convertible Notes</t>
  </si>
  <si>
    <t>Interest Rate %</t>
  </si>
  <si>
    <t>Value ($m)</t>
  </si>
  <si>
    <t>Mesa Labs Synthetic Rating</t>
  </si>
  <si>
    <t>Mesa Labs Risk Premium</t>
  </si>
  <si>
    <t>"Synthetic" Mesa Labs Risk Premium</t>
  </si>
  <si>
    <t>CC</t>
  </si>
  <si>
    <t>Beta (Mesa Labs)</t>
  </si>
  <si>
    <t>Risk Free Rate (US$)</t>
  </si>
  <si>
    <t>PV of Leases</t>
  </si>
  <si>
    <t>BV of Debt</t>
  </si>
  <si>
    <t>Interest Exp.</t>
  </si>
  <si>
    <t>Maturity (Yrs)</t>
  </si>
  <si>
    <t>MV of Debt</t>
  </si>
  <si>
    <t>Debt to Equity</t>
  </si>
  <si>
    <t>Levered Beta (Mesa Labs)</t>
  </si>
  <si>
    <t>Net Inventories (2022)</t>
  </si>
  <si>
    <t>Allocated Debt</t>
  </si>
  <si>
    <t>Est. Equity</t>
  </si>
  <si>
    <t>Pre Tax Cost of Debt</t>
  </si>
  <si>
    <t>% Equity</t>
  </si>
  <si>
    <t>% Debt</t>
  </si>
  <si>
    <t>Marginal Tax Rate %</t>
  </si>
  <si>
    <t>Market Value of Debt ($m)</t>
  </si>
  <si>
    <t>Market Value of Equity ($m)</t>
  </si>
  <si>
    <t>Cost of Equity, Debt &amp; WACC</t>
  </si>
  <si>
    <t>After tax Kd</t>
  </si>
  <si>
    <t>Debt %</t>
  </si>
  <si>
    <t>Equity %</t>
  </si>
  <si>
    <t>Divisional Beta, Cost of Equity, WACC</t>
  </si>
  <si>
    <t>Risk Free Rate &amp; ERP</t>
  </si>
  <si>
    <t>Bottom Up Beta</t>
  </si>
  <si>
    <t>Divisional Beta, Ke &amp; WACC</t>
  </si>
  <si>
    <t>AAA</t>
  </si>
  <si>
    <t>Gross Profit</t>
  </si>
  <si>
    <t>Selling Expenses</t>
  </si>
  <si>
    <t>General &amp; Admin Expenses</t>
  </si>
  <si>
    <t>Research and development</t>
  </si>
  <si>
    <t>Total Operating Expenses</t>
  </si>
  <si>
    <t>Value of R&amp;D Asset</t>
  </si>
  <si>
    <t>R&amp;D Expense (Current)</t>
  </si>
  <si>
    <t>EBIT &amp; R&amp;D Expense</t>
  </si>
  <si>
    <t>Amortization: R&amp;D Expense</t>
  </si>
  <si>
    <t>Market Debt Outstanding</t>
  </si>
  <si>
    <t>Capital Expenditure (CapEx)</t>
  </si>
  <si>
    <t>Depreciation</t>
  </si>
  <si>
    <t>% Depn</t>
  </si>
  <si>
    <t>Acquisitions</t>
  </si>
  <si>
    <t>R&amp;D Expense (Current Year)</t>
  </si>
  <si>
    <t>Amortization Asset: R&amp;D Expense</t>
  </si>
  <si>
    <t>Inventory</t>
  </si>
  <si>
    <t>Prepaid Expenses</t>
  </si>
  <si>
    <t>Unearned revenues</t>
  </si>
  <si>
    <t>Other Accrued Expenses</t>
  </si>
  <si>
    <t>Accrued payroll and benefits</t>
  </si>
  <si>
    <t>Assets Held for Sale</t>
  </si>
  <si>
    <t>Revenues (2022)</t>
  </si>
  <si>
    <t>Invested Cap</t>
  </si>
  <si>
    <t>Industry: Caliberation Solutions</t>
  </si>
  <si>
    <t>Industry's Sales to Capital</t>
  </si>
  <si>
    <t>Industry's OPM %</t>
  </si>
  <si>
    <t>Industry and Revenues</t>
  </si>
  <si>
    <t>FY22</t>
  </si>
  <si>
    <t>FY23</t>
  </si>
  <si>
    <t>FY24</t>
  </si>
  <si>
    <t>FY25</t>
  </si>
  <si>
    <t>FY26</t>
  </si>
  <si>
    <t>FY27</t>
  </si>
  <si>
    <t>FY28</t>
  </si>
  <si>
    <t>FY29</t>
  </si>
  <si>
    <t>FY30</t>
  </si>
  <si>
    <t>FY31</t>
  </si>
  <si>
    <t>FY32</t>
  </si>
  <si>
    <t>FY33</t>
  </si>
  <si>
    <t>CG Revenues</t>
  </si>
  <si>
    <t>Sterli. Industry</t>
  </si>
  <si>
    <t>S&amp;D Revenues</t>
  </si>
  <si>
    <t>Biop. Industry</t>
  </si>
  <si>
    <t>BP Revenues</t>
  </si>
  <si>
    <t>Cali. Industry</t>
  </si>
  <si>
    <t>CS Revenues</t>
  </si>
  <si>
    <t>Growth Rate CG %</t>
  </si>
  <si>
    <t>Growth Rate S&amp;D %</t>
  </si>
  <si>
    <t>Growth Rate BP %</t>
  </si>
  <si>
    <t>Growth Rate CS %</t>
  </si>
  <si>
    <t>Till FY26</t>
  </si>
  <si>
    <t>Rest</t>
  </si>
  <si>
    <t>Cl. Geo Industry</t>
  </si>
  <si>
    <t>Revenue %</t>
  </si>
  <si>
    <t>Industry Debt to Equity</t>
  </si>
  <si>
    <t>Adjusted Cash &amp;Cash Equivalents</t>
  </si>
  <si>
    <t>RSU Value</t>
  </si>
  <si>
    <t>25th Percentile of Industry</t>
  </si>
  <si>
    <t>Capitalizing R&amp;D Expense as Asset</t>
  </si>
  <si>
    <t>Accounting Adjustments</t>
  </si>
  <si>
    <t>Normalization of Capital Expenditure</t>
  </si>
  <si>
    <t>Chg. in Non Cash Working Capital</t>
  </si>
  <si>
    <t>Industry &amp; Revenues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</si>
</sst>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_);_(* \(#,##0\);_(* &quot;-&quot;?_);@_l"/>
    <numFmt numFmtId="168" formatCode="_-* #,##0.00\ &quot;€&quot;_-;\-* #,##0.00\ &quot;€&quot;_-;_-* &quot;-&quot;??\ &quot;€&quot;_-;_-@_-"/>
    <numFmt numFmtId="169" formatCode="_-* #,##0.00\ _€_-;\-* #,##0.00\ _€_-;_-* &quot;-&quot;??\ _€_-;_-@_-"/>
    <numFmt numFmtId="170" formatCode="_-* #,##0\ _D_M_-;\-* #,##0\ _D_M_-;_-* &quot;-&quot;\ _D_M_-;_-@_-"/>
    <numFmt numFmtId="171" formatCode="_-* #,##0.00\ &quot;Kc&quot;_-;\-* #,##0.00\ &quot;Kc&quot;_-;_-* &quot;-&quot;??\ &quot;Kc&quot;_-;_-@_-"/>
    <numFmt numFmtId="172" formatCode="\(0\'\)"/>
    <numFmt numFmtId="173" formatCode="0.00_)"/>
    <numFmt numFmtId="174" formatCode="#,##0;\(#,##0\);&quot;-&quot;"/>
    <numFmt numFmtId="175" formatCode="_-* #,##0_-;\-* #,##0_-;_-* &quot;-&quot;_-;_-@_-"/>
    <numFmt numFmtId="176" formatCode="#,##0_);\(#,##0\);&quot; - &quot;_);@_)"/>
    <numFmt numFmtId="177" formatCode="\ #,##0.0_);\(#,##0.0\);&quot; - &quot;_);@_)"/>
    <numFmt numFmtId="178" formatCode="_(* #,##0.00_);_(* \(#,##0.00\);_(* &quot;-&quot;?_);@_)"/>
    <numFmt numFmtId="179" formatCode="0.0"/>
    <numFmt numFmtId="180" formatCode="_ [$₹-4009]\ * #,##0.00_ ;_ [$₹-4009]\ * \-#,##0.00_ ;_ [$₹-4009]\ * &quot;-&quot;??_ ;_ @_ "/>
    <numFmt numFmtId="181" formatCode="_ [$₹-4009]\ * #,##0_ ;_ [$₹-4009]\ * \-#,##0_ ;_ [$₹-4009]\ * &quot;-&quot;??_ ;_ @_ "/>
    <numFmt numFmtId="182" formatCode="[$₹-4009]\ #,##0.00;[$₹-4009]\ \-#,##0.00"/>
    <numFmt numFmtId="183" formatCode="_(* #,##0.000_);_(* \(#,##0.000\);_(* &quot;-&quot;?_);@_)"/>
    <numFmt numFmtId="184" formatCode="[$₹-4009]\ #,##0.00"/>
    <numFmt numFmtId="185" formatCode="0.000"/>
    <numFmt numFmtId="186" formatCode="_(&quot;$&quot;* #,##0_);_(&quot;$&quot;* \(#,##0\);_(&quot;$&quot;* &quot;-&quot;??_);_(@_)"/>
    <numFmt numFmtId="187" formatCode="&quot;$&quot;#,##0.00"/>
    <numFmt numFmtId="188" formatCode="&quot;$&quot;#,##0"/>
  </numFmts>
  <fonts count="77">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b/>
      <sz val="8"/>
      <color theme="0"/>
      <name val="Arial"/>
      <family val="2"/>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i/>
      <sz val="9"/>
      <color theme="0"/>
      <name val="Arial"/>
      <family val="2"/>
    </font>
    <font>
      <b/>
      <sz val="32"/>
      <name val="Arial"/>
      <family val="2"/>
    </font>
    <font>
      <b/>
      <sz val="9"/>
      <name val="Calibri"/>
      <family val="2"/>
      <scheme val="minor"/>
    </font>
    <font>
      <sz val="10"/>
      <name val="Arial"/>
      <family val="2"/>
    </font>
    <font>
      <sz val="10"/>
      <name val="Arial"/>
      <family val="2"/>
      <charset val="204"/>
    </font>
    <font>
      <b/>
      <sz val="40"/>
      <color theme="1" tint="4.9989318521683403E-2"/>
      <name val="Arial"/>
      <family val="2"/>
      <charset val="204"/>
    </font>
    <font>
      <sz val="10"/>
      <color rgb="FF002060"/>
      <name val="Arial"/>
      <family val="2"/>
      <charset val="204"/>
    </font>
    <font>
      <b/>
      <sz val="11"/>
      <color theme="1"/>
      <name val="Arial"/>
      <family val="2"/>
    </font>
    <font>
      <i/>
      <sz val="9"/>
      <color theme="0"/>
      <name val="Arial"/>
      <family val="2"/>
    </font>
    <font>
      <b/>
      <i/>
      <sz val="9"/>
      <name val="Arial"/>
      <family val="2"/>
    </font>
  </fonts>
  <fills count="48">
    <fill>
      <patternFill patternType="none"/>
    </fill>
    <fill>
      <patternFill patternType="gray125"/>
    </fill>
    <fill>
      <patternFill patternType="solid">
        <fgColor theme="0"/>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1"/>
        <bgColor indexed="64"/>
      </patternFill>
    </fill>
    <fill>
      <patternFill patternType="solid">
        <fgColor rgb="FFF8F8F8"/>
        <bgColor indexed="64"/>
      </patternFill>
    </fill>
    <fill>
      <patternFill patternType="solid">
        <fgColor theme="2"/>
        <bgColor indexed="64"/>
      </patternFill>
    </fill>
  </fills>
  <borders count="22">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
      <left/>
      <right/>
      <top style="thin">
        <color auto="1"/>
      </top>
      <bottom style="thin">
        <color auto="1"/>
      </bottom>
      <diagonal/>
    </border>
    <border>
      <left/>
      <right/>
      <top style="thin">
        <color auto="1"/>
      </top>
      <bottom style="thin">
        <color indexed="64"/>
      </bottom>
      <diagonal/>
    </border>
  </borders>
  <cellStyleXfs count="170">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3" borderId="3"/>
    <xf numFmtId="0" fontId="12" fillId="0" borderId="0"/>
    <xf numFmtId="0" fontId="9" fillId="0" borderId="0"/>
    <xf numFmtId="0" fontId="9" fillId="0" borderId="0"/>
    <xf numFmtId="0" fontId="12" fillId="0" borderId="0"/>
    <xf numFmtId="0" fontId="12" fillId="0" borderId="0"/>
    <xf numFmtId="0" fontId="13" fillId="0" borderId="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7"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21" borderId="0" applyNumberFormat="0" applyBorder="0" applyAlignment="0" applyProtection="0"/>
    <xf numFmtId="0" fontId="9" fillId="0" borderId="0"/>
    <xf numFmtId="0" fontId="16" fillId="5" borderId="0" applyNumberFormat="0" applyBorder="0" applyAlignment="0" applyProtection="0"/>
    <xf numFmtId="0" fontId="17" fillId="22" borderId="4" applyNumberFormat="0" applyAlignment="0" applyProtection="0"/>
    <xf numFmtId="0" fontId="18" fillId="23" borderId="5" applyNumberFormat="0" applyAlignment="0" applyProtection="0"/>
    <xf numFmtId="49" fontId="10" fillId="0" borderId="0">
      <alignment horizontal="left" vertical="top" wrapText="1"/>
    </xf>
    <xf numFmtId="168" fontId="9" fillId="0" borderId="0" applyFont="0" applyFill="0" applyBorder="0" applyAlignment="0" applyProtection="0"/>
    <xf numFmtId="0" fontId="19" fillId="0" borderId="0" applyNumberFormat="0" applyFill="0" applyBorder="0" applyAlignment="0" applyProtection="0"/>
    <xf numFmtId="0" fontId="20" fillId="6" borderId="0" applyNumberFormat="0" applyBorder="0" applyAlignment="0" applyProtection="0"/>
    <xf numFmtId="38" fontId="10" fillId="24"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9" borderId="4" applyNumberFormat="0" applyAlignment="0" applyProtection="0"/>
    <xf numFmtId="10" fontId="10" fillId="3" borderId="9" applyNumberFormat="0" applyBorder="0" applyAlignment="0" applyProtection="0"/>
    <xf numFmtId="0" fontId="25" fillId="0" borderId="10" applyNumberFormat="0" applyFill="0" applyAlignment="0" applyProtection="0"/>
    <xf numFmtId="171" fontId="26" fillId="0" borderId="0" applyFont="0" applyFill="0" applyBorder="0" applyAlignment="0" applyProtection="0"/>
    <xf numFmtId="170"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2" fontId="9" fillId="0" borderId="0" applyFont="0" applyFill="0" applyBorder="0" applyAlignment="0" applyProtection="0"/>
    <xf numFmtId="0" fontId="28" fillId="25" borderId="0" applyNumberFormat="0" applyBorder="0" applyAlignment="0" applyProtection="0"/>
    <xf numFmtId="173" fontId="29" fillId="0" borderId="0"/>
    <xf numFmtId="0" fontId="26" fillId="0" borderId="0"/>
    <xf numFmtId="0" fontId="14" fillId="26"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2"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7" borderId="0" applyNumberFormat="0" applyFont="0" applyBorder="0" applyAlignment="0" applyProtection="0"/>
    <xf numFmtId="3" fontId="42" fillId="28" borderId="0" applyFont="0" applyFill="0" applyBorder="0" applyAlignment="0" applyProtection="0"/>
    <xf numFmtId="4" fontId="33" fillId="29" borderId="12" applyNumberFormat="0" applyProtection="0">
      <alignment vertical="center"/>
    </xf>
    <xf numFmtId="4" fontId="34" fillId="29" borderId="12" applyNumberFormat="0" applyProtection="0">
      <alignment vertical="center"/>
    </xf>
    <xf numFmtId="4" fontId="33" fillId="29" borderId="12" applyNumberFormat="0" applyProtection="0">
      <alignment horizontal="left" vertical="center" indent="1"/>
    </xf>
    <xf numFmtId="4" fontId="33" fillId="29" borderId="12" applyNumberFormat="0" applyProtection="0">
      <alignment horizontal="left" vertical="center" indent="1"/>
    </xf>
    <xf numFmtId="0" fontId="9" fillId="30" borderId="12" applyNumberFormat="0" applyProtection="0">
      <alignment horizontal="left" vertical="center" indent="1"/>
    </xf>
    <xf numFmtId="4" fontId="33" fillId="31" borderId="12" applyNumberFormat="0" applyProtection="0">
      <alignment horizontal="right" vertical="center"/>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5" fillId="40" borderId="12" applyNumberFormat="0" applyProtection="0">
      <alignment horizontal="left" vertical="center" indent="1"/>
    </xf>
    <xf numFmtId="4" fontId="33" fillId="41" borderId="14" applyNumberFormat="0" applyProtection="0">
      <alignment horizontal="left" vertical="center" indent="1"/>
    </xf>
    <xf numFmtId="4" fontId="36" fillId="42" borderId="0" applyNumberFormat="0" applyProtection="0">
      <alignment horizontal="left" vertical="center" indent="1"/>
    </xf>
    <xf numFmtId="0" fontId="9" fillId="30" borderId="12" applyNumberFormat="0" applyProtection="0">
      <alignment horizontal="left" vertical="center" indent="1"/>
    </xf>
    <xf numFmtId="4" fontId="33" fillId="41" borderId="12" applyNumberFormat="0" applyProtection="0">
      <alignment horizontal="left" vertical="center" indent="1"/>
    </xf>
    <xf numFmtId="4" fontId="33" fillId="43" borderId="12" applyNumberFormat="0" applyProtection="0">
      <alignment horizontal="left" vertical="center" indent="1"/>
    </xf>
    <xf numFmtId="0" fontId="9" fillId="43" borderId="12" applyNumberFormat="0" applyProtection="0">
      <alignment horizontal="left" vertical="center" indent="1"/>
    </xf>
    <xf numFmtId="0" fontId="9" fillId="43"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24" borderId="12" applyNumberFormat="0" applyProtection="0">
      <alignment horizontal="left" vertical="center" indent="1"/>
    </xf>
    <xf numFmtId="0" fontId="9" fillId="24" borderId="12" applyNumberFormat="0" applyProtection="0">
      <alignment horizontal="left" vertical="center" indent="1"/>
    </xf>
    <xf numFmtId="0" fontId="9" fillId="30" borderId="12" applyNumberFormat="0" applyProtection="0">
      <alignment horizontal="left" vertical="center" indent="1"/>
    </xf>
    <xf numFmtId="0" fontId="9" fillId="30" borderId="12" applyNumberFormat="0" applyProtection="0">
      <alignment horizontal="left" vertical="center" indent="1"/>
    </xf>
    <xf numFmtId="4" fontId="33" fillId="3" borderId="12" applyNumberFormat="0" applyProtection="0">
      <alignment vertical="center"/>
    </xf>
    <xf numFmtId="4" fontId="34" fillId="3" borderId="12" applyNumberFormat="0" applyProtection="0">
      <alignment vertical="center"/>
    </xf>
    <xf numFmtId="4" fontId="33" fillId="3" borderId="12" applyNumberFormat="0" applyProtection="0">
      <alignment horizontal="left" vertical="center" indent="1"/>
    </xf>
    <xf numFmtId="4" fontId="33" fillId="3" borderId="12" applyNumberFormat="0" applyProtection="0">
      <alignment horizontal="left" vertical="center" indent="1"/>
    </xf>
    <xf numFmtId="4" fontId="33" fillId="41" borderId="12" applyNumberFormat="0" applyProtection="0">
      <alignment horizontal="right" vertical="center"/>
    </xf>
    <xf numFmtId="4" fontId="34" fillId="41" borderId="12" applyNumberFormat="0" applyProtection="0">
      <alignment horizontal="right" vertical="center"/>
    </xf>
    <xf numFmtId="0" fontId="9" fillId="30" borderId="12" applyNumberFormat="0" applyProtection="0">
      <alignment horizontal="left" vertical="center" indent="1"/>
    </xf>
    <xf numFmtId="0" fontId="9" fillId="30" borderId="12" applyNumberFormat="0" applyProtection="0">
      <alignment horizontal="left" vertical="center" indent="1"/>
    </xf>
    <xf numFmtId="0" fontId="37" fillId="0" borderId="0"/>
    <xf numFmtId="4" fontId="11" fillId="41"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4" fontId="47" fillId="0" borderId="0"/>
    <xf numFmtId="174" fontId="9" fillId="0" borderId="0"/>
    <xf numFmtId="174" fontId="49" fillId="0" borderId="0"/>
    <xf numFmtId="0" fontId="50" fillId="0" borderId="0">
      <alignment horizontal="left"/>
    </xf>
    <xf numFmtId="175" fontId="48" fillId="0" borderId="16" applyFill="0" applyBorder="0" applyProtection="0">
      <alignment horizontal="right" vertical="top"/>
    </xf>
    <xf numFmtId="174" fontId="51" fillId="0" borderId="16">
      <alignment horizontal="left"/>
    </xf>
    <xf numFmtId="0" fontId="50" fillId="0" borderId="16">
      <alignment horizontal="right" wrapText="1"/>
    </xf>
    <xf numFmtId="0" fontId="48" fillId="0" borderId="0" applyFill="0" applyBorder="0">
      <alignment horizontal="left" vertical="top" wrapText="1"/>
    </xf>
    <xf numFmtId="176" fontId="48" fillId="0" borderId="0" applyFill="0" applyBorder="0">
      <alignment horizontal="right" vertical="top"/>
    </xf>
    <xf numFmtId="177" fontId="48" fillId="0" borderId="0" applyFill="0" applyBorder="0">
      <alignment horizontal="right" vertical="top"/>
    </xf>
    <xf numFmtId="49" fontId="48" fillId="0" borderId="0" applyNumberFormat="0" applyFill="0" applyBorder="0" applyProtection="0">
      <alignment horizontal="center" vertical="top"/>
    </xf>
    <xf numFmtId="174" fontId="52" fillId="0" borderId="0">
      <alignment horizontal="left" vertical="top"/>
    </xf>
    <xf numFmtId="0" fontId="53" fillId="0" borderId="0"/>
    <xf numFmtId="0" fontId="5" fillId="0" borderId="0"/>
    <xf numFmtId="0" fontId="54" fillId="0" borderId="0"/>
    <xf numFmtId="0" fontId="5" fillId="0" borderId="0"/>
    <xf numFmtId="169"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1" fillId="0" borderId="0" applyNumberFormat="0" applyFill="0" applyBorder="0" applyAlignment="0" applyProtection="0"/>
    <xf numFmtId="44" fontId="9" fillId="0" borderId="0" applyFont="0" applyFill="0" applyBorder="0" applyAlignment="0" applyProtection="0"/>
    <xf numFmtId="0" fontId="70" fillId="0" borderId="0">
      <alignment vertical="top"/>
    </xf>
    <xf numFmtId="43" fontId="71" fillId="0" borderId="0">
      <alignment vertical="top"/>
    </xf>
    <xf numFmtId="44" fontId="5" fillId="0" borderId="0" applyFont="0" applyFill="0" applyBorder="0" applyAlignment="0" applyProtection="0"/>
  </cellStyleXfs>
  <cellXfs count="484">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7" fontId="1" fillId="2" borderId="0" xfId="0" applyNumberFormat="1" applyFont="1" applyFill="1"/>
    <xf numFmtId="165" fontId="1" fillId="2" borderId="0" xfId="0" applyNumberFormat="1" applyFont="1" applyFill="1" applyBorder="1"/>
    <xf numFmtId="164" fontId="1" fillId="2" borderId="0" xfId="0" applyNumberFormat="1" applyFont="1" applyFill="1" applyBorder="1" applyAlignment="1">
      <alignment horizontal="right"/>
    </xf>
    <xf numFmtId="178" fontId="1" fillId="2" borderId="0" xfId="0" applyNumberFormat="1" applyFont="1" applyFill="1"/>
    <xf numFmtId="0" fontId="60" fillId="2" borderId="0" xfId="0" applyFont="1" applyFill="1"/>
    <xf numFmtId="2" fontId="1" fillId="2" borderId="0" xfId="0" applyNumberFormat="1" applyFont="1" applyFill="1"/>
    <xf numFmtId="178"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3" fillId="2" borderId="0" xfId="0" applyNumberFormat="1" applyFont="1" applyFill="1"/>
    <xf numFmtId="164" fontId="1" fillId="46" borderId="0" xfId="0" applyNumberFormat="1" applyFont="1" applyFill="1" applyBorder="1"/>
    <xf numFmtId="10" fontId="6" fillId="2" borderId="0" xfId="2" applyNumberFormat="1" applyFont="1" applyFill="1" applyBorder="1"/>
    <xf numFmtId="10" fontId="6" fillId="46"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1" fillId="46" borderId="0" xfId="0" applyNumberFormat="1" applyFont="1" applyFill="1"/>
    <xf numFmtId="164" fontId="60" fillId="2" borderId="0" xfId="0" applyNumberFormat="1" applyFont="1" applyFill="1" applyBorder="1"/>
    <xf numFmtId="164" fontId="60" fillId="2" borderId="0" xfId="0" applyNumberFormat="1" applyFont="1" applyFill="1" applyBorder="1" applyAlignment="1">
      <alignment horizontal="right"/>
    </xf>
    <xf numFmtId="164" fontId="40" fillId="2" borderId="0" xfId="0" applyNumberFormat="1" applyFont="1" applyFill="1" applyBorder="1"/>
    <xf numFmtId="164" fontId="60" fillId="2" borderId="0" xfId="0" applyNumberFormat="1" applyFont="1" applyFill="1" applyBorder="1" applyAlignment="1">
      <alignment horizontal="left" vertical="center"/>
    </xf>
    <xf numFmtId="0" fontId="68" fillId="2" borderId="0" xfId="0" applyFont="1" applyFill="1"/>
    <xf numFmtId="0" fontId="62" fillId="2" borderId="0" xfId="0" applyFont="1" applyFill="1"/>
    <xf numFmtId="0" fontId="40" fillId="2" borderId="0" xfId="0" applyFont="1" applyFill="1"/>
    <xf numFmtId="0" fontId="10" fillId="2" borderId="0" xfId="0" applyFont="1" applyFill="1" applyAlignment="1">
      <alignment horizontal="left"/>
    </xf>
    <xf numFmtId="0" fontId="60" fillId="2" borderId="0" xfId="165" applyFont="1" applyFill="1"/>
    <xf numFmtId="0" fontId="59" fillId="45" borderId="0" xfId="0" applyFont="1" applyFill="1" applyAlignment="1">
      <alignment horizontal="left"/>
    </xf>
    <xf numFmtId="0" fontId="8" fillId="45" borderId="0" xfId="0" applyFont="1" applyFill="1"/>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4"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5" fontId="2" fillId="46" borderId="0" xfId="0" applyNumberFormat="1" applyFont="1" applyFill="1" applyBorder="1" applyAlignment="1">
      <alignment horizontal="right"/>
    </xf>
    <xf numFmtId="164" fontId="2" fillId="46" borderId="0" xfId="0" applyNumberFormat="1" applyFont="1" applyFill="1"/>
    <xf numFmtId="164" fontId="65" fillId="2" borderId="0" xfId="0" applyNumberFormat="1" applyFont="1" applyFill="1" applyBorder="1"/>
    <xf numFmtId="10" fontId="1" fillId="46" borderId="0" xfId="2" applyNumberFormat="1" applyFont="1" applyFill="1" applyBorder="1"/>
    <xf numFmtId="10" fontId="8" fillId="45" borderId="0" xfId="2" applyNumberFormat="1" applyFont="1" applyFill="1" applyBorder="1"/>
    <xf numFmtId="166" fontId="1" fillId="46" borderId="0" xfId="2" applyNumberFormat="1" applyFont="1" applyFill="1" applyBorder="1"/>
    <xf numFmtId="164" fontId="1" fillId="46" borderId="0" xfId="0" applyNumberFormat="1" applyFont="1" applyFill="1" applyBorder="1" applyAlignment="1">
      <alignment horizontal="right"/>
    </xf>
    <xf numFmtId="10" fontId="8" fillId="2" borderId="0" xfId="2" applyNumberFormat="1" applyFont="1" applyFill="1" applyBorder="1"/>
    <xf numFmtId="0" fontId="70" fillId="2" borderId="0" xfId="167" applyFill="1">
      <alignment vertical="top"/>
    </xf>
    <xf numFmtId="0" fontId="72" fillId="2" borderId="0" xfId="167" applyFont="1" applyFill="1">
      <alignment vertical="top"/>
    </xf>
    <xf numFmtId="0" fontId="73" fillId="2" borderId="0" xfId="167" applyFont="1" applyFill="1">
      <alignment vertical="top"/>
    </xf>
    <xf numFmtId="0" fontId="70" fillId="0" borderId="0" xfId="167">
      <alignment vertical="top"/>
    </xf>
    <xf numFmtId="0" fontId="69"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182" fontId="1" fillId="46" borderId="0" xfId="0" applyNumberFormat="1" applyFont="1" applyFill="1" applyBorder="1" applyAlignment="1">
      <alignment horizontal="right" vertical="center"/>
    </xf>
    <xf numFmtId="10" fontId="64" fillId="46" borderId="0" xfId="2" applyNumberFormat="1" applyFont="1" applyFill="1" applyBorder="1" applyAlignment="1">
      <alignment horizontal="right"/>
    </xf>
    <xf numFmtId="10" fontId="40" fillId="2" borderId="0" xfId="2" applyNumberFormat="1" applyFont="1" applyFill="1" applyBorder="1"/>
    <xf numFmtId="10" fontId="2" fillId="2" borderId="0" xfId="2" applyNumberFormat="1" applyFont="1" applyFill="1" applyBorder="1"/>
    <xf numFmtId="0" fontId="64" fillId="2" borderId="0" xfId="2" applyNumberFormat="1" applyFont="1" applyFill="1" applyBorder="1"/>
    <xf numFmtId="164" fontId="66" fillId="2" borderId="0" xfId="165" applyNumberFormat="1" applyFont="1" applyFill="1" applyBorder="1"/>
    <xf numFmtId="182"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164" fontId="64" fillId="2" borderId="0" xfId="165" applyNumberFormat="1" applyFont="1" applyFill="1" applyBorder="1"/>
    <xf numFmtId="10" fontId="40" fillId="46" borderId="0" xfId="2" applyNumberFormat="1" applyFont="1" applyFill="1" applyBorder="1"/>
    <xf numFmtId="10" fontId="2" fillId="46" borderId="0" xfId="2" applyNumberFormat="1" applyFont="1" applyFill="1" applyBorder="1"/>
    <xf numFmtId="182" fontId="2" fillId="46" borderId="0" xfId="0" applyNumberFormat="1" applyFont="1" applyFill="1" applyBorder="1" applyAlignment="1">
      <alignment horizontal="right"/>
    </xf>
    <xf numFmtId="10" fontId="2" fillId="46" borderId="0" xfId="2" applyNumberFormat="1" applyFont="1" applyFill="1" applyBorder="1" applyAlignment="1">
      <alignment horizontal="right"/>
    </xf>
    <xf numFmtId="164" fontId="1" fillId="46" borderId="0" xfId="0" applyNumberFormat="1" applyFont="1" applyFill="1" applyAlignment="1">
      <alignment horizontal="right"/>
    </xf>
    <xf numFmtId="165" fontId="8" fillId="45" borderId="0" xfId="0" applyNumberFormat="1" applyFont="1" applyFill="1" applyBorder="1" applyAlignment="1">
      <alignment horizontal="right"/>
    </xf>
    <xf numFmtId="178"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64" fontId="8" fillId="2" borderId="0" xfId="0" applyNumberFormat="1" applyFont="1" applyFill="1" applyBorder="1" applyAlignment="1">
      <alignment horizontal="right"/>
    </xf>
    <xf numFmtId="0" fontId="1" fillId="46" borderId="0" xfId="0" applyNumberFormat="1" applyFont="1" applyFill="1" applyBorder="1" applyAlignment="1">
      <alignment horizontal="right"/>
    </xf>
    <xf numFmtId="164" fontId="2" fillId="46" borderId="0" xfId="0" applyNumberFormat="1" applyFont="1" applyFill="1" applyBorder="1"/>
    <xf numFmtId="164" fontId="2" fillId="46" borderId="18" xfId="0" applyNumberFormat="1" applyFont="1" applyFill="1" applyBorder="1"/>
    <xf numFmtId="164" fontId="8" fillId="2" borderId="0" xfId="0" applyNumberFormat="1" applyFont="1" applyFill="1" applyBorder="1" applyAlignment="1">
      <alignment horizontal="right" vertical="center"/>
    </xf>
    <xf numFmtId="182" fontId="1" fillId="2" borderId="0" xfId="0" applyNumberFormat="1" applyFont="1" applyFill="1" applyBorder="1" applyAlignment="1">
      <alignment horizontal="right" vertical="center"/>
    </xf>
    <xf numFmtId="10" fontId="64"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2" fontId="1" fillId="2" borderId="0" xfId="0" applyNumberFormat="1" applyFont="1" applyFill="1" applyBorder="1" applyAlignment="1">
      <alignment horizontal="right"/>
    </xf>
    <xf numFmtId="179" fontId="1" fillId="2" borderId="0" xfId="2" applyNumberFormat="1" applyFont="1" applyFill="1" applyBorder="1"/>
    <xf numFmtId="183" fontId="1" fillId="2" borderId="0" xfId="0" applyNumberFormat="1" applyFont="1" applyFill="1" applyBorder="1"/>
    <xf numFmtId="10" fontId="1" fillId="2" borderId="0" xfId="0" applyNumberFormat="1" applyFont="1" applyFill="1" applyBorder="1"/>
    <xf numFmtId="178" fontId="8" fillId="2" borderId="0" xfId="0" applyNumberFormat="1" applyFont="1" applyFill="1" applyBorder="1" applyAlignment="1">
      <alignment horizontal="right"/>
    </xf>
    <xf numFmtId="0" fontId="1" fillId="46" borderId="0" xfId="0" applyNumberFormat="1" applyFont="1" applyFill="1" applyBorder="1"/>
    <xf numFmtId="2" fontId="64" fillId="46" borderId="0" xfId="2" applyNumberFormat="1" applyFont="1" applyFill="1" applyBorder="1" applyAlignment="1">
      <alignment horizontal="right"/>
    </xf>
    <xf numFmtId="2" fontId="64" fillId="2" borderId="18" xfId="2" applyNumberFormat="1" applyFont="1" applyFill="1" applyBorder="1" applyAlignment="1">
      <alignment horizontal="right"/>
    </xf>
    <xf numFmtId="10" fontId="2" fillId="46" borderId="0" xfId="2" applyNumberFormat="1" applyFont="1" applyFill="1"/>
    <xf numFmtId="178" fontId="2" fillId="46" borderId="0" xfId="0" applyNumberFormat="1" applyFont="1" applyFill="1" applyBorder="1"/>
    <xf numFmtId="164" fontId="63" fillId="46" borderId="0" xfId="0" applyNumberFormat="1" applyFont="1" applyFill="1"/>
    <xf numFmtId="164" fontId="65" fillId="46" borderId="0" xfId="0" applyNumberFormat="1" applyFont="1" applyFill="1" applyBorder="1"/>
    <xf numFmtId="164" fontId="8" fillId="2" borderId="0" xfId="0" applyNumberFormat="1" applyFont="1" applyFill="1" applyBorder="1" applyAlignment="1"/>
    <xf numFmtId="164" fontId="64" fillId="2" borderId="0" xfId="0" applyNumberFormat="1" applyFont="1" applyFill="1" applyBorder="1" applyAlignment="1"/>
    <xf numFmtId="180" fontId="2" fillId="2" borderId="0" xfId="2" applyNumberFormat="1" applyFont="1" applyFill="1" applyBorder="1"/>
    <xf numFmtId="164" fontId="64" fillId="46" borderId="0" xfId="0" applyNumberFormat="1" applyFont="1" applyFill="1" applyAlignment="1">
      <alignment horizontal="right"/>
    </xf>
    <xf numFmtId="10" fontId="8" fillId="45" borderId="0" xfId="2" applyNumberFormat="1" applyFont="1" applyFill="1"/>
    <xf numFmtId="0" fontId="62"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4" fillId="2" borderId="0" xfId="0" applyFont="1" applyFill="1" applyBorder="1"/>
    <xf numFmtId="0" fontId="65"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9" fontId="64" fillId="2" borderId="0" xfId="0" applyNumberFormat="1" applyFont="1" applyFill="1" applyBorder="1"/>
    <xf numFmtId="1" fontId="64" fillId="2" borderId="0" xfId="0" applyNumberFormat="1" applyFont="1" applyFill="1" applyBorder="1"/>
    <xf numFmtId="179" fontId="1" fillId="2" borderId="0" xfId="0" applyNumberFormat="1" applyFont="1" applyFill="1" applyBorder="1"/>
    <xf numFmtId="0" fontId="1" fillId="46" borderId="0" xfId="0" applyFont="1" applyFill="1" applyBorder="1"/>
    <xf numFmtId="0" fontId="64" fillId="46" borderId="0" xfId="0" applyFont="1" applyFill="1" applyBorder="1" applyAlignment="1">
      <alignment horizontal="right"/>
    </xf>
    <xf numFmtId="0" fontId="40" fillId="46" borderId="0" xfId="0" applyFont="1" applyFill="1" applyBorder="1" applyAlignment="1">
      <alignment horizontal="left"/>
    </xf>
    <xf numFmtId="0" fontId="2" fillId="46" borderId="0" xfId="0" applyFont="1" applyFill="1" applyBorder="1"/>
    <xf numFmtId="180" fontId="2" fillId="46" borderId="0" xfId="0" applyNumberFormat="1" applyFont="1" applyFill="1" applyBorder="1"/>
    <xf numFmtId="0" fontId="2" fillId="46" borderId="19" xfId="0" applyFont="1" applyFill="1" applyBorder="1"/>
    <xf numFmtId="0" fontId="2" fillId="46" borderId="18" xfId="0" applyFont="1" applyFill="1" applyBorder="1"/>
    <xf numFmtId="0" fontId="74" fillId="46" borderId="0" xfId="0" applyFont="1" applyFill="1" applyBorder="1"/>
    <xf numFmtId="0" fontId="64" fillId="2" borderId="0" xfId="0" applyFont="1" applyFill="1" applyBorder="1" applyAlignment="1">
      <alignment horizontal="right"/>
    </xf>
    <xf numFmtId="180" fontId="2" fillId="2" borderId="0" xfId="0" applyNumberFormat="1" applyFont="1" applyFill="1" applyBorder="1"/>
    <xf numFmtId="0" fontId="2" fillId="46" borderId="0" xfId="0" applyFont="1" applyFill="1" applyBorder="1" applyAlignment="1">
      <alignment horizontal="left" vertical="center"/>
    </xf>
    <xf numFmtId="180" fontId="64" fillId="2" borderId="0" xfId="0" applyNumberFormat="1" applyFont="1" applyFill="1" applyBorder="1"/>
    <xf numFmtId="0" fontId="2" fillId="46" borderId="0" xfId="0" applyFont="1" applyFill="1" applyBorder="1" applyAlignment="1">
      <alignment horizontal="right"/>
    </xf>
    <xf numFmtId="10" fontId="64" fillId="2" borderId="0" xfId="2" applyNumberFormat="1" applyFont="1" applyFill="1" applyBorder="1"/>
    <xf numFmtId="10" fontId="64" fillId="46" borderId="0" xfId="2" applyNumberFormat="1" applyFont="1" applyFill="1" applyBorder="1"/>
    <xf numFmtId="181" fontId="1" fillId="2" borderId="0" xfId="0" applyNumberFormat="1" applyFont="1" applyFill="1" applyBorder="1"/>
    <xf numFmtId="10" fontId="65" fillId="2" borderId="0" xfId="0" applyNumberFormat="1" applyFont="1" applyFill="1" applyBorder="1"/>
    <xf numFmtId="0" fontId="65"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81" fontId="8" fillId="2" borderId="0" xfId="0" applyNumberFormat="1" applyFont="1" applyFill="1" applyBorder="1"/>
    <xf numFmtId="180" fontId="1" fillId="2" borderId="0" xfId="0" applyNumberFormat="1" applyFont="1" applyFill="1" applyBorder="1"/>
    <xf numFmtId="10" fontId="2" fillId="46" borderId="0" xfId="2" applyNumberFormat="1" applyFont="1" applyFill="1" applyBorder="1" applyAlignment="1">
      <alignment horizontal="right" vertical="center"/>
    </xf>
    <xf numFmtId="0" fontId="2" fillId="46" borderId="0" xfId="0" applyFont="1" applyFill="1" applyBorder="1" applyAlignment="1">
      <alignment vertical="center"/>
    </xf>
    <xf numFmtId="180" fontId="64" fillId="46" borderId="0" xfId="0" applyNumberFormat="1" applyFont="1" applyFill="1" applyBorder="1" applyAlignment="1">
      <alignment horizontal="right" vertical="center"/>
    </xf>
    <xf numFmtId="0" fontId="1" fillId="46" borderId="0" xfId="0" applyFont="1" applyFill="1" applyBorder="1" applyAlignment="1">
      <alignment horizontal="right"/>
    </xf>
    <xf numFmtId="179" fontId="1" fillId="46" borderId="0" xfId="0" applyNumberFormat="1" applyFont="1" applyFill="1" applyBorder="1" applyAlignment="1">
      <alignment horizontal="right"/>
    </xf>
    <xf numFmtId="0" fontId="2" fillId="46" borderId="18" xfId="0" applyFont="1" applyFill="1" applyBorder="1" applyAlignment="1">
      <alignment horizontal="right"/>
    </xf>
    <xf numFmtId="0" fontId="8" fillId="45" borderId="0" xfId="0" applyFont="1" applyFill="1" applyBorder="1" applyAlignment="1">
      <alignment horizontal="right"/>
    </xf>
    <xf numFmtId="0" fontId="8" fillId="45" borderId="0" xfId="0" applyFont="1" applyFill="1" applyBorder="1"/>
    <xf numFmtId="2" fontId="1" fillId="46" borderId="0" xfId="0" applyNumberFormat="1" applyFont="1" applyFill="1" applyBorder="1"/>
    <xf numFmtId="10" fontId="64" fillId="2" borderId="18" xfId="0" applyNumberFormat="1" applyFont="1" applyFill="1" applyBorder="1"/>
    <xf numFmtId="10" fontId="40" fillId="46" borderId="0" xfId="2" applyNumberFormat="1" applyFont="1" applyFill="1" applyBorder="1" applyAlignment="1">
      <alignment horizontal="right"/>
    </xf>
    <xf numFmtId="2" fontId="64" fillId="2" borderId="0" xfId="0" applyNumberFormat="1" applyFont="1" applyFill="1" applyBorder="1"/>
    <xf numFmtId="10" fontId="40" fillId="46" borderId="0" xfId="2" applyNumberFormat="1" applyFont="1" applyFill="1" applyBorder="1" applyAlignment="1">
      <alignment horizontal="right" vertical="center"/>
    </xf>
    <xf numFmtId="2" fontId="64" fillId="2" borderId="0" xfId="2" applyNumberFormat="1" applyFont="1" applyFill="1" applyBorder="1" applyAlignment="1">
      <alignment horizontal="right"/>
    </xf>
    <xf numFmtId="178" fontId="64" fillId="2" borderId="0" xfId="0" applyNumberFormat="1" applyFont="1" applyFill="1" applyBorder="1"/>
    <xf numFmtId="178" fontId="64" fillId="2" borderId="0" xfId="0" applyNumberFormat="1" applyFont="1" applyFill="1" applyBorder="1" applyAlignment="1">
      <alignment horizontal="right"/>
    </xf>
    <xf numFmtId="164" fontId="8" fillId="2" borderId="0" xfId="0" applyNumberFormat="1" applyFont="1" applyFill="1" applyBorder="1" applyAlignment="1">
      <alignment horizontal="center"/>
    </xf>
    <xf numFmtId="2" fontId="64" fillId="2" borderId="0" xfId="2" applyNumberFormat="1" applyFont="1" applyFill="1" applyBorder="1" applyAlignment="1"/>
    <xf numFmtId="182" fontId="1" fillId="2" borderId="0" xfId="0" applyNumberFormat="1" applyFont="1" applyFill="1" applyBorder="1"/>
    <xf numFmtId="0" fontId="2" fillId="46" borderId="0" xfId="0" applyNumberFormat="1" applyFont="1" applyFill="1" applyBorder="1" applyAlignment="1">
      <alignment horizontal="right" vertical="center"/>
    </xf>
    <xf numFmtId="0" fontId="64" fillId="46" borderId="0" xfId="0" applyFont="1" applyFill="1" applyBorder="1"/>
    <xf numFmtId="10" fontId="40" fillId="2" borderId="0" xfId="2" applyNumberFormat="1" applyFont="1" applyFill="1" applyBorder="1" applyAlignment="1"/>
    <xf numFmtId="0" fontId="2" fillId="47" borderId="0" xfId="0" applyNumberFormat="1" applyFont="1" applyFill="1" applyBorder="1" applyAlignment="1">
      <alignment horizontal="right"/>
    </xf>
    <xf numFmtId="2" fontId="2" fillId="47" borderId="0" xfId="0" applyNumberFormat="1" applyFont="1" applyFill="1" applyBorder="1"/>
    <xf numFmtId="10" fontId="65" fillId="47" borderId="0" xfId="2" applyNumberFormat="1" applyFont="1" applyFill="1" applyBorder="1" applyAlignment="1">
      <alignment horizontal="right"/>
    </xf>
    <xf numFmtId="10" fontId="67" fillId="45" borderId="0" xfId="0" applyNumberFormat="1" applyFont="1" applyFill="1" applyBorder="1"/>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80" fontId="8" fillId="2" borderId="0" xfId="0" applyNumberFormat="1" applyFont="1" applyFill="1" applyBorder="1"/>
    <xf numFmtId="0" fontId="7" fillId="45" borderId="0" xfId="0" applyFont="1" applyFill="1" applyBorder="1"/>
    <xf numFmtId="0" fontId="64" fillId="2" borderId="0" xfId="0" applyNumberFormat="1" applyFont="1" applyFill="1" applyBorder="1"/>
    <xf numFmtId="10" fontId="65" fillId="47" borderId="0" xfId="0" applyNumberFormat="1" applyFont="1" applyFill="1" applyBorder="1"/>
    <xf numFmtId="10" fontId="2" fillId="46" borderId="18" xfId="2" applyNumberFormat="1" applyFont="1" applyFill="1" applyBorder="1"/>
    <xf numFmtId="178" fontId="2" fillId="2" borderId="0" xfId="0" applyNumberFormat="1" applyFont="1" applyFill="1" applyBorder="1"/>
    <xf numFmtId="164" fontId="64" fillId="46" borderId="0" xfId="0" applyNumberFormat="1" applyFont="1" applyFill="1" applyBorder="1"/>
    <xf numFmtId="0" fontId="6" fillId="46" borderId="0" xfId="0" applyFont="1" applyFill="1" applyBorder="1"/>
    <xf numFmtId="180" fontId="8" fillId="46" borderId="0" xfId="0" applyNumberFormat="1" applyFont="1" applyFill="1" applyBorder="1"/>
    <xf numFmtId="10" fontId="6" fillId="46" borderId="0" xfId="0" applyNumberFormat="1" applyFont="1" applyFill="1" applyBorder="1"/>
    <xf numFmtId="10" fontId="2" fillId="2" borderId="18" xfId="2" applyNumberFormat="1" applyFont="1" applyFill="1" applyBorder="1"/>
    <xf numFmtId="0" fontId="2" fillId="2" borderId="18" xfId="0" applyFont="1" applyFill="1" applyBorder="1"/>
    <xf numFmtId="10" fontId="8" fillId="46" borderId="0" xfId="0" applyNumberFormat="1" applyFont="1" applyFill="1" applyBorder="1"/>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9" fontId="40" fillId="2" borderId="0" xfId="2" applyNumberFormat="1" applyFont="1" applyFill="1" applyBorder="1" applyAlignment="1">
      <alignment horizontal="right"/>
    </xf>
    <xf numFmtId="0" fontId="40" fillId="46" borderId="0" xfId="2" applyNumberFormat="1" applyFont="1" applyFill="1" applyBorder="1" applyAlignment="1">
      <alignment horizontal="right"/>
    </xf>
    <xf numFmtId="10" fontId="66" fillId="46" borderId="0" xfId="2" applyNumberFormat="1" applyFont="1" applyFill="1" applyBorder="1" applyAlignment="1">
      <alignment horizontal="right" vertical="center"/>
    </xf>
    <xf numFmtId="10" fontId="2" fillId="46" borderId="18" xfId="0" applyNumberFormat="1" applyFont="1" applyFill="1" applyBorder="1"/>
    <xf numFmtId="9" fontId="64" fillId="2" borderId="0" xfId="0" applyNumberFormat="1" applyFont="1" applyFill="1" applyBorder="1"/>
    <xf numFmtId="10" fontId="64" fillId="2" borderId="0" xfId="0" applyNumberFormat="1" applyFont="1" applyFill="1" applyBorder="1"/>
    <xf numFmtId="2" fontId="1" fillId="2" borderId="0" xfId="0" applyNumberFormat="1" applyFont="1" applyFill="1" applyBorder="1"/>
    <xf numFmtId="184" fontId="1" fillId="2" borderId="0" xfId="0" applyNumberFormat="1" applyFont="1" applyFill="1" applyBorder="1"/>
    <xf numFmtId="2" fontId="1" fillId="2" borderId="0" xfId="0" applyNumberFormat="1" applyFont="1" applyFill="1" applyBorder="1" applyAlignment="1">
      <alignment horizontal="right"/>
    </xf>
    <xf numFmtId="164" fontId="2" fillId="47" borderId="0" xfId="0" applyNumberFormat="1" applyFont="1" applyFill="1"/>
    <xf numFmtId="9" fontId="60" fillId="2" borderId="0" xfId="2" applyFont="1" applyFill="1" applyBorder="1"/>
    <xf numFmtId="0" fontId="2" fillId="47" borderId="0" xfId="0" applyNumberFormat="1" applyFont="1" applyFill="1"/>
    <xf numFmtId="0" fontId="40" fillId="47" borderId="0" xfId="2" applyNumberFormat="1" applyFont="1" applyFill="1" applyBorder="1" applyAlignment="1">
      <alignment horizontal="right"/>
    </xf>
    <xf numFmtId="0" fontId="40" fillId="47" borderId="0" xfId="0" applyNumberFormat="1" applyFont="1" applyFill="1" applyBorder="1" applyAlignment="1">
      <alignment horizontal="right"/>
    </xf>
    <xf numFmtId="0" fontId="40" fillId="47" borderId="0" xfId="2" applyNumberFormat="1" applyFont="1" applyFill="1" applyBorder="1"/>
    <xf numFmtId="0" fontId="40" fillId="47" borderId="0" xfId="0" applyNumberFormat="1" applyFont="1" applyFill="1" applyBorder="1"/>
    <xf numFmtId="164" fontId="1" fillId="2" borderId="0" xfId="0" applyNumberFormat="1" applyFont="1" applyFill="1" applyBorder="1" applyAlignment="1">
      <alignment horizontal="left"/>
    </xf>
    <xf numFmtId="2" fontId="64" fillId="46" borderId="0" xfId="0" applyNumberFormat="1" applyFont="1" applyFill="1" applyBorder="1"/>
    <xf numFmtId="0" fontId="40" fillId="46" borderId="0" xfId="0" applyFont="1" applyFill="1" applyBorder="1" applyAlignment="1"/>
    <xf numFmtId="0" fontId="40" fillId="46" borderId="2" xfId="0" applyFont="1" applyFill="1" applyBorder="1" applyAlignment="1"/>
    <xf numFmtId="0" fontId="2" fillId="47" borderId="0" xfId="0" applyFont="1" applyFill="1" applyBorder="1"/>
    <xf numFmtId="0" fontId="2" fillId="47" borderId="0" xfId="0" applyFont="1" applyFill="1" applyBorder="1" applyAlignment="1">
      <alignment horizontal="right"/>
    </xf>
    <xf numFmtId="0" fontId="2" fillId="47" borderId="0" xfId="0" applyFont="1" applyFill="1" applyBorder="1" applyAlignment="1"/>
    <xf numFmtId="164" fontId="1" fillId="2" borderId="0" xfId="0" applyNumberFormat="1" applyFont="1" applyFill="1" applyAlignment="1">
      <alignment horizontal="right"/>
    </xf>
    <xf numFmtId="164" fontId="60" fillId="46" borderId="0" xfId="0" applyNumberFormat="1" applyFont="1" applyFill="1" applyBorder="1"/>
    <xf numFmtId="164" fontId="40" fillId="46" borderId="17" xfId="0" applyNumberFormat="1" applyFont="1" applyFill="1" applyBorder="1"/>
    <xf numFmtId="49" fontId="60" fillId="46" borderId="0" xfId="0" quotePrefix="1" applyNumberFormat="1" applyFont="1" applyFill="1" applyBorder="1"/>
    <xf numFmtId="49" fontId="60" fillId="46" borderId="0" xfId="0" applyNumberFormat="1" applyFont="1" applyFill="1" applyBorder="1"/>
    <xf numFmtId="180" fontId="8" fillId="2" borderId="0" xfId="0" applyNumberFormat="1" applyFont="1" applyFill="1" applyBorder="1" applyAlignment="1">
      <alignment horizontal="left" vertical="center"/>
    </xf>
    <xf numFmtId="180" fontId="2" fillId="2" borderId="0" xfId="0" applyNumberFormat="1" applyFont="1" applyFill="1" applyBorder="1" applyAlignment="1">
      <alignment horizontal="left" vertical="center"/>
    </xf>
    <xf numFmtId="10" fontId="1" fillId="2" borderId="0" xfId="0" applyNumberFormat="1" applyFont="1" applyFill="1"/>
    <xf numFmtId="164" fontId="66" fillId="2" borderId="0" xfId="0" applyNumberFormat="1" applyFont="1" applyFill="1" applyBorder="1" applyAlignment="1"/>
    <xf numFmtId="166" fontId="66" fillId="2" borderId="0" xfId="2" applyNumberFormat="1" applyFont="1" applyFill="1" applyBorder="1" applyAlignment="1"/>
    <xf numFmtId="0" fontId="1" fillId="2" borderId="0" xfId="2" applyNumberFormat="1" applyFont="1" applyFill="1"/>
    <xf numFmtId="2" fontId="64" fillId="46" borderId="0" xfId="2" applyNumberFormat="1" applyFont="1" applyFill="1" applyBorder="1" applyAlignment="1"/>
    <xf numFmtId="165" fontId="2" fillId="47" borderId="0" xfId="0" applyNumberFormat="1" applyFont="1" applyFill="1" applyBorder="1" applyAlignment="1">
      <alignment horizontal="right"/>
    </xf>
    <xf numFmtId="2" fontId="64" fillId="46" borderId="0" xfId="0" applyNumberFormat="1" applyFont="1" applyFill="1" applyAlignment="1">
      <alignment horizontal="right"/>
    </xf>
    <xf numFmtId="0" fontId="2" fillId="46" borderId="20" xfId="0" applyFont="1" applyFill="1" applyBorder="1"/>
    <xf numFmtId="0" fontId="2" fillId="46" borderId="20" xfId="0" applyFont="1" applyFill="1" applyBorder="1" applyAlignment="1">
      <alignment horizontal="left" vertical="center"/>
    </xf>
    <xf numFmtId="10" fontId="40" fillId="46" borderId="20" xfId="2" applyNumberFormat="1" applyFont="1" applyFill="1" applyBorder="1" applyAlignment="1">
      <alignment horizontal="right" vertical="center"/>
    </xf>
    <xf numFmtId="10" fontId="2" fillId="46" borderId="20" xfId="2" applyNumberFormat="1" applyFont="1" applyFill="1" applyBorder="1"/>
    <xf numFmtId="2" fontId="64" fillId="2" borderId="0" xfId="0" applyNumberFormat="1" applyFont="1" applyFill="1" applyBorder="1" applyAlignment="1">
      <alignment horizontal="right"/>
    </xf>
    <xf numFmtId="2" fontId="2" fillId="2" borderId="0" xfId="0" applyNumberFormat="1" applyFont="1" applyFill="1" applyBorder="1" applyAlignment="1">
      <alignment horizontal="right"/>
    </xf>
    <xf numFmtId="43" fontId="64" fillId="2" borderId="0" xfId="0" applyNumberFormat="1" applyFont="1" applyFill="1" applyBorder="1"/>
    <xf numFmtId="182" fontId="40" fillId="2" borderId="0" xfId="0" applyNumberFormat="1" applyFont="1" applyFill="1" applyBorder="1" applyAlignment="1">
      <alignment horizontal="right"/>
    </xf>
    <xf numFmtId="2" fontId="2" fillId="2" borderId="0" xfId="0" applyNumberFormat="1" applyFont="1" applyFill="1" applyBorder="1"/>
    <xf numFmtId="10" fontId="64" fillId="46" borderId="0" xfId="0" applyNumberFormat="1" applyFont="1" applyFill="1" applyBorder="1" applyAlignment="1">
      <alignment horizontal="right" vertical="center"/>
    </xf>
    <xf numFmtId="10" fontId="64" fillId="2" borderId="18" xfId="2" applyNumberFormat="1" applyFont="1" applyFill="1" applyBorder="1" applyAlignment="1">
      <alignment horizontal="right"/>
    </xf>
    <xf numFmtId="164" fontId="8" fillId="45" borderId="0" xfId="0" applyNumberFormat="1" applyFont="1" applyFill="1" applyAlignment="1">
      <alignment horizontal="right"/>
    </xf>
    <xf numFmtId="164" fontId="2" fillId="47" borderId="0" xfId="0" applyNumberFormat="1" applyFont="1" applyFill="1" applyAlignment="1">
      <alignment horizontal="right"/>
    </xf>
    <xf numFmtId="10" fontId="2" fillId="2" borderId="20" xfId="2" applyNumberFormat="1" applyFont="1" applyFill="1" applyBorder="1"/>
    <xf numFmtId="10" fontId="2" fillId="2" borderId="20" xfId="2" applyNumberFormat="1" applyFont="1" applyFill="1" applyBorder="1" applyAlignment="1">
      <alignment horizontal="right"/>
    </xf>
    <xf numFmtId="0" fontId="1" fillId="46" borderId="0" xfId="0" applyNumberFormat="1" applyFont="1" applyFill="1" applyBorder="1" applyAlignment="1">
      <alignment horizontal="right" vertical="center"/>
    </xf>
    <xf numFmtId="9" fontId="6" fillId="2" borderId="0" xfId="2" applyFont="1" applyFill="1" applyBorder="1"/>
    <xf numFmtId="164" fontId="1" fillId="2" borderId="0" xfId="0" applyNumberFormat="1" applyFont="1" applyFill="1" applyAlignment="1">
      <alignment wrapText="1"/>
    </xf>
    <xf numFmtId="182" fontId="40" fillId="46" borderId="0" xfId="0" applyNumberFormat="1" applyFont="1" applyFill="1" applyBorder="1" applyAlignment="1">
      <alignment horizontal="right"/>
    </xf>
    <xf numFmtId="0" fontId="40" fillId="2" borderId="0" xfId="0" applyFont="1" applyFill="1" applyBorder="1" applyAlignment="1"/>
    <xf numFmtId="2" fontId="64" fillId="46" borderId="0" xfId="2" applyNumberFormat="1" applyFont="1" applyFill="1" applyBorder="1" applyAlignment="1">
      <alignment horizontal="right" wrapText="1"/>
    </xf>
    <xf numFmtId="2" fontId="66" fillId="46" borderId="0" xfId="2" applyNumberFormat="1" applyFont="1" applyFill="1" applyBorder="1" applyAlignment="1">
      <alignment horizontal="right" wrapText="1"/>
    </xf>
    <xf numFmtId="10" fontId="66" fillId="46" borderId="0" xfId="2" applyNumberFormat="1" applyFont="1" applyFill="1" applyBorder="1" applyAlignment="1">
      <alignment horizontal="right" wrapText="1"/>
    </xf>
    <xf numFmtId="10" fontId="64" fillId="46" borderId="0" xfId="2" applyNumberFormat="1" applyFont="1" applyFill="1" applyBorder="1" applyAlignment="1">
      <alignment horizontal="right" wrapText="1"/>
    </xf>
    <xf numFmtId="2" fontId="1" fillId="2" borderId="0" xfId="2" applyNumberFormat="1" applyFont="1" applyFill="1"/>
    <xf numFmtId="10" fontId="64" fillId="2" borderId="0" xfId="2" applyNumberFormat="1" applyFont="1" applyFill="1" applyBorder="1" applyAlignment="1">
      <alignment horizontal="right" vertical="center"/>
    </xf>
    <xf numFmtId="10" fontId="66" fillId="46" borderId="0" xfId="2" applyNumberFormat="1" applyFont="1" applyFill="1" applyBorder="1" applyAlignment="1">
      <alignment horizontal="right"/>
    </xf>
    <xf numFmtId="0" fontId="2" fillId="46" borderId="0" xfId="0" applyNumberFormat="1" applyFont="1" applyFill="1" applyBorder="1" applyAlignment="1">
      <alignment horizontal="right"/>
    </xf>
    <xf numFmtId="10" fontId="40" fillId="47" borderId="0" xfId="2" applyNumberFormat="1" applyFont="1" applyFill="1" applyBorder="1" applyAlignment="1">
      <alignment horizontal="right"/>
    </xf>
    <xf numFmtId="0" fontId="40" fillId="47" borderId="0" xfId="0" applyFont="1" applyFill="1" applyBorder="1" applyAlignment="1">
      <alignment horizontal="right"/>
    </xf>
    <xf numFmtId="0" fontId="60" fillId="47" borderId="0" xfId="0" applyFont="1" applyFill="1" applyBorder="1"/>
    <xf numFmtId="0" fontId="40" fillId="47" borderId="0" xfId="0" applyFont="1" applyFill="1" applyBorder="1"/>
    <xf numFmtId="0" fontId="40" fillId="47" borderId="0" xfId="0" applyFont="1" applyFill="1" applyBorder="1" applyAlignment="1"/>
    <xf numFmtId="180" fontId="64" fillId="2" borderId="0" xfId="0" applyNumberFormat="1" applyFont="1" applyFill="1" applyBorder="1" applyAlignment="1">
      <alignment horizontal="right"/>
    </xf>
    <xf numFmtId="164" fontId="7" fillId="2" borderId="0" xfId="0" applyNumberFormat="1" applyFont="1" applyFill="1" applyAlignment="1">
      <alignment horizontal="right"/>
    </xf>
    <xf numFmtId="2" fontId="75" fillId="2" borderId="0" xfId="2" applyNumberFormat="1" applyFont="1" applyFill="1" applyBorder="1" applyAlignment="1">
      <alignment horizontal="right"/>
    </xf>
    <xf numFmtId="178" fontId="7" fillId="2" borderId="0" xfId="0" applyNumberFormat="1" applyFont="1" applyFill="1"/>
    <xf numFmtId="178" fontId="75" fillId="2" borderId="0" xfId="2" applyNumberFormat="1" applyFont="1" applyFill="1" applyBorder="1" applyAlignment="1">
      <alignment horizontal="right"/>
    </xf>
    <xf numFmtId="2" fontId="64" fillId="47" borderId="0" xfId="2" applyNumberFormat="1" applyFont="1" applyFill="1" applyBorder="1" applyAlignment="1">
      <alignment horizontal="right"/>
    </xf>
    <xf numFmtId="2" fontId="64" fillId="46" borderId="0" xfId="0" applyNumberFormat="1" applyFont="1" applyFill="1" applyBorder="1" applyAlignment="1">
      <alignment horizontal="right"/>
    </xf>
    <xf numFmtId="2" fontId="1" fillId="46" borderId="0" xfId="0" applyNumberFormat="1" applyFont="1" applyFill="1" applyBorder="1" applyAlignment="1">
      <alignment horizontal="right" vertical="center"/>
    </xf>
    <xf numFmtId="2" fontId="1" fillId="46" borderId="0" xfId="0" applyNumberFormat="1" applyFont="1" applyFill="1" applyBorder="1" applyAlignment="1">
      <alignment horizontal="right"/>
    </xf>
    <xf numFmtId="2" fontId="1" fillId="46" borderId="0" xfId="2" applyNumberFormat="1" applyFont="1" applyFill="1" applyBorder="1" applyAlignment="1">
      <alignment horizontal="right"/>
    </xf>
    <xf numFmtId="2" fontId="64" fillId="2" borderId="0" xfId="0" applyNumberFormat="1" applyFont="1" applyFill="1" applyAlignment="1">
      <alignment horizontal="right"/>
    </xf>
    <xf numFmtId="2" fontId="1" fillId="2" borderId="0" xfId="2" applyNumberFormat="1" applyFont="1" applyFill="1" applyBorder="1" applyAlignment="1">
      <alignment horizontal="right"/>
    </xf>
    <xf numFmtId="0" fontId="2" fillId="46" borderId="0" xfId="0" applyNumberFormat="1" applyFont="1" applyFill="1"/>
    <xf numFmtId="164" fontId="65" fillId="46" borderId="0" xfId="0" applyNumberFormat="1" applyFont="1" applyFill="1"/>
    <xf numFmtId="164" fontId="64" fillId="2" borderId="0" xfId="0" applyNumberFormat="1" applyFont="1" applyFill="1" applyAlignment="1">
      <alignment horizontal="right"/>
    </xf>
    <xf numFmtId="164" fontId="40" fillId="2" borderId="0" xfId="0" applyNumberFormat="1" applyFont="1" applyFill="1" applyBorder="1" applyAlignment="1"/>
    <xf numFmtId="164" fontId="60" fillId="2" borderId="0" xfId="0" applyNumberFormat="1" applyFont="1" applyFill="1" applyAlignment="1">
      <alignment horizontal="right"/>
    </xf>
    <xf numFmtId="3" fontId="64" fillId="2" borderId="0" xfId="0" applyNumberFormat="1" applyFont="1" applyFill="1" applyBorder="1"/>
    <xf numFmtId="3" fontId="64" fillId="2" borderId="0" xfId="0" applyNumberFormat="1" applyFont="1" applyFill="1" applyBorder="1" applyAlignment="1">
      <alignment horizontal="right"/>
    </xf>
    <xf numFmtId="3" fontId="1" fillId="2" borderId="0" xfId="0" applyNumberFormat="1" applyFont="1" applyFill="1" applyBorder="1"/>
    <xf numFmtId="3" fontId="1" fillId="2" borderId="0" xfId="0" applyNumberFormat="1" applyFont="1" applyFill="1" applyBorder="1" applyAlignment="1">
      <alignment horizontal="right"/>
    </xf>
    <xf numFmtId="0" fontId="40" fillId="2" borderId="0" xfId="0" applyNumberFormat="1" applyFont="1" applyFill="1" applyBorder="1" applyAlignment="1">
      <alignment horizontal="right"/>
    </xf>
    <xf numFmtId="0" fontId="1" fillId="2" borderId="0" xfId="0" applyNumberFormat="1" applyFont="1" applyFill="1" applyBorder="1" applyAlignment="1">
      <alignment horizontal="right" vertical="center"/>
    </xf>
    <xf numFmtId="182" fontId="64" fillId="2" borderId="0" xfId="0" applyNumberFormat="1" applyFont="1" applyFill="1" applyBorder="1" applyAlignment="1">
      <alignment horizontal="right" vertical="center"/>
    </xf>
    <xf numFmtId="164" fontId="64" fillId="2" borderId="0" xfId="0" applyNumberFormat="1" applyFont="1" applyFill="1" applyBorder="1" applyAlignment="1">
      <alignment horizontal="right"/>
    </xf>
    <xf numFmtId="164" fontId="8" fillId="45" borderId="0" xfId="0" applyNumberFormat="1" applyFont="1" applyFill="1"/>
    <xf numFmtId="10" fontId="64" fillId="46" borderId="0" xfId="2" applyNumberFormat="1" applyFont="1" applyFill="1" applyAlignment="1">
      <alignment horizontal="right"/>
    </xf>
    <xf numFmtId="44" fontId="2" fillId="46" borderId="0" xfId="169" applyFont="1" applyFill="1" applyBorder="1"/>
    <xf numFmtId="44" fontId="2" fillId="46" borderId="18" xfId="169" applyFont="1" applyFill="1" applyBorder="1"/>
    <xf numFmtId="44" fontId="8" fillId="45" borderId="0" xfId="169" applyFont="1" applyFill="1" applyBorder="1" applyAlignment="1">
      <alignment horizontal="right"/>
    </xf>
    <xf numFmtId="44" fontId="2" fillId="46" borderId="0" xfId="169" applyFont="1" applyFill="1"/>
    <xf numFmtId="44" fontId="64" fillId="46" borderId="0" xfId="169" applyFont="1" applyFill="1"/>
    <xf numFmtId="44" fontId="64" fillId="46" borderId="0" xfId="169" applyFont="1" applyFill="1" applyBorder="1"/>
    <xf numFmtId="16" fontId="2" fillId="2" borderId="0" xfId="0" applyNumberFormat="1" applyFont="1" applyFill="1" applyBorder="1"/>
    <xf numFmtId="16" fontId="64" fillId="2" borderId="0" xfId="0" applyNumberFormat="1" applyFont="1" applyFill="1" applyBorder="1"/>
    <xf numFmtId="16" fontId="1" fillId="2" borderId="0" xfId="0" applyNumberFormat="1" applyFont="1" applyFill="1" applyBorder="1"/>
    <xf numFmtId="44" fontId="40" fillId="46" borderId="0" xfId="169" applyFont="1" applyFill="1" applyBorder="1" applyAlignment="1">
      <alignment horizontal="right"/>
    </xf>
    <xf numFmtId="44" fontId="1" fillId="46" borderId="0" xfId="169" applyFont="1" applyFill="1" applyBorder="1"/>
    <xf numFmtId="44" fontId="8" fillId="45" borderId="0" xfId="169" applyFont="1" applyFill="1" applyBorder="1"/>
    <xf numFmtId="187" fontId="1" fillId="46" borderId="0" xfId="169" applyNumberFormat="1" applyFont="1" applyFill="1" applyBorder="1"/>
    <xf numFmtId="187" fontId="1" fillId="2" borderId="0" xfId="169" applyNumberFormat="1" applyFont="1" applyFill="1" applyBorder="1"/>
    <xf numFmtId="187" fontId="64" fillId="2" borderId="20" xfId="169" applyNumberFormat="1" applyFont="1" applyFill="1" applyBorder="1"/>
    <xf numFmtId="187" fontId="64" fillId="46" borderId="0" xfId="169" applyNumberFormat="1" applyFont="1" applyFill="1" applyBorder="1"/>
    <xf numFmtId="187" fontId="2" fillId="46" borderId="18" xfId="169" applyNumberFormat="1" applyFont="1" applyFill="1" applyBorder="1"/>
    <xf numFmtId="44" fontId="2" fillId="46" borderId="0" xfId="169" applyFont="1" applyFill="1" applyBorder="1" applyAlignment="1">
      <alignment horizontal="right" vertical="center"/>
    </xf>
    <xf numFmtId="44" fontId="2" fillId="46" borderId="19" xfId="169" applyFont="1" applyFill="1" applyBorder="1"/>
    <xf numFmtId="44" fontId="2" fillId="46" borderId="18" xfId="169" applyFont="1" applyFill="1" applyBorder="1" applyAlignment="1">
      <alignment horizontal="right" vertical="center"/>
    </xf>
    <xf numFmtId="187" fontId="1" fillId="46" borderId="0" xfId="169" applyNumberFormat="1" applyFont="1" applyFill="1" applyBorder="1" applyAlignment="1">
      <alignment horizontal="right"/>
    </xf>
    <xf numFmtId="187" fontId="2" fillId="46" borderId="0" xfId="169" applyNumberFormat="1" applyFont="1" applyFill="1" applyBorder="1"/>
    <xf numFmtId="44" fontId="40" fillId="46" borderId="18" xfId="169" applyFont="1" applyFill="1" applyBorder="1"/>
    <xf numFmtId="44" fontId="8" fillId="45" borderId="0" xfId="169" applyFont="1" applyFill="1" applyBorder="1" applyAlignment="1">
      <alignment horizontal="left" vertical="center"/>
    </xf>
    <xf numFmtId="44" fontId="8" fillId="45" borderId="0" xfId="169" applyFont="1" applyFill="1" applyBorder="1" applyAlignment="1">
      <alignment vertical="center"/>
    </xf>
    <xf numFmtId="44" fontId="64" fillId="46" borderId="0" xfId="169" applyFont="1" applyFill="1" applyBorder="1" applyAlignment="1">
      <alignment horizontal="right" vertical="center"/>
    </xf>
    <xf numFmtId="10" fontId="65" fillId="46" borderId="0" xfId="2" applyNumberFormat="1" applyFont="1" applyFill="1" applyBorder="1" applyAlignment="1">
      <alignment horizontal="right"/>
    </xf>
    <xf numFmtId="187" fontId="2" fillId="47" borderId="0" xfId="169" applyNumberFormat="1" applyFont="1" applyFill="1" applyBorder="1"/>
    <xf numFmtId="187" fontId="1" fillId="47" borderId="0" xfId="169" applyNumberFormat="1" applyFont="1" applyFill="1" applyBorder="1"/>
    <xf numFmtId="187" fontId="2" fillId="47" borderId="0" xfId="169" applyNumberFormat="1" applyFont="1" applyFill="1" applyBorder="1" applyAlignment="1">
      <alignment horizontal="right" vertical="center"/>
    </xf>
    <xf numFmtId="187" fontId="1" fillId="46" borderId="0" xfId="169" applyNumberFormat="1" applyFont="1" applyFill="1" applyBorder="1" applyAlignment="1">
      <alignment horizontal="right" vertical="center"/>
    </xf>
    <xf numFmtId="187" fontId="1" fillId="2" borderId="0" xfId="2" applyNumberFormat="1" applyFont="1" applyFill="1" applyBorder="1"/>
    <xf numFmtId="187" fontId="6" fillId="2" borderId="0" xfId="2" applyNumberFormat="1" applyFont="1" applyFill="1" applyBorder="1"/>
    <xf numFmtId="3" fontId="1" fillId="2" borderId="0" xfId="0" applyNumberFormat="1" applyFont="1" applyFill="1" applyBorder="1" applyAlignment="1">
      <alignment horizontal="right" vertical="center"/>
    </xf>
    <xf numFmtId="44" fontId="40" fillId="46" borderId="0" xfId="169" applyFont="1" applyFill="1" applyBorder="1"/>
    <xf numFmtId="44" fontId="40" fillId="46" borderId="17" xfId="169" applyFont="1" applyFill="1" applyBorder="1"/>
    <xf numFmtId="44" fontId="40" fillId="46" borderId="0" xfId="169" applyFont="1" applyFill="1"/>
    <xf numFmtId="44" fontId="2" fillId="46" borderId="19" xfId="169" applyFont="1" applyFill="1" applyBorder="1" applyAlignment="1">
      <alignment horizontal="left" vertical="center"/>
    </xf>
    <xf numFmtId="44" fontId="60" fillId="46" borderId="0" xfId="169" applyFont="1" applyFill="1" applyBorder="1" applyAlignment="1">
      <alignment horizontal="right"/>
    </xf>
    <xf numFmtId="10" fontId="2" fillId="2" borderId="21" xfId="2" applyNumberFormat="1" applyFont="1" applyFill="1" applyBorder="1"/>
    <xf numFmtId="44" fontId="8" fillId="2" borderId="0" xfId="169" applyFont="1" applyFill="1" applyBorder="1" applyAlignment="1">
      <alignment horizontal="left" vertical="center"/>
    </xf>
    <xf numFmtId="44" fontId="2" fillId="2" borderId="0" xfId="169" applyFont="1" applyFill="1" applyBorder="1"/>
    <xf numFmtId="10" fontId="1" fillId="46" borderId="0" xfId="2" applyNumberFormat="1" applyFont="1" applyFill="1" applyAlignment="1">
      <alignment horizontal="right"/>
    </xf>
    <xf numFmtId="2" fontId="8" fillId="45" borderId="0" xfId="0" applyNumberFormat="1" applyFont="1" applyFill="1" applyBorder="1"/>
    <xf numFmtId="164" fontId="8" fillId="45" borderId="0" xfId="0" applyNumberFormat="1" applyFont="1" applyFill="1" applyBorder="1"/>
    <xf numFmtId="164" fontId="66" fillId="2" borderId="0" xfId="0" applyNumberFormat="1" applyFont="1" applyFill="1" applyBorder="1" applyAlignment="1">
      <alignment horizontal="left"/>
    </xf>
    <xf numFmtId="0" fontId="2" fillId="2" borderId="0" xfId="0" applyNumberFormat="1" applyFont="1" applyFill="1"/>
    <xf numFmtId="44" fontId="2" fillId="2" borderId="0" xfId="169" applyFont="1" applyFill="1"/>
    <xf numFmtId="164" fontId="8" fillId="2" borderId="0" xfId="0" applyNumberFormat="1" applyFont="1" applyFill="1" applyBorder="1"/>
    <xf numFmtId="164" fontId="2" fillId="46" borderId="0" xfId="0" applyNumberFormat="1" applyFont="1" applyFill="1" applyAlignment="1">
      <alignment horizontal="right"/>
    </xf>
    <xf numFmtId="188" fontId="1" fillId="46" borderId="0" xfId="0" applyNumberFormat="1" applyFont="1" applyFill="1" applyBorder="1"/>
    <xf numFmtId="186" fontId="64" fillId="46" borderId="0" xfId="169" applyNumberFormat="1" applyFont="1" applyFill="1" applyBorder="1" applyAlignment="1">
      <alignment horizontal="right"/>
    </xf>
    <xf numFmtId="186" fontId="2" fillId="2" borderId="20" xfId="169" applyNumberFormat="1" applyFont="1" applyFill="1" applyBorder="1" applyAlignment="1">
      <alignment horizontal="right"/>
    </xf>
    <xf numFmtId="164" fontId="64" fillId="46" borderId="0" xfId="0" applyNumberFormat="1" applyFont="1" applyFill="1"/>
    <xf numFmtId="164" fontId="64" fillId="2" borderId="0" xfId="0" applyNumberFormat="1" applyFont="1" applyFill="1" applyAlignment="1">
      <alignment horizontal="right"/>
    </xf>
    <xf numFmtId="182" fontId="65" fillId="46" borderId="0" xfId="0" applyNumberFormat="1" applyFont="1" applyFill="1" applyBorder="1" applyAlignment="1">
      <alignment horizontal="left"/>
    </xf>
    <xf numFmtId="182" fontId="76" fillId="46" borderId="0" xfId="0" applyNumberFormat="1" applyFont="1" applyFill="1" applyBorder="1" applyAlignment="1">
      <alignment horizontal="left"/>
    </xf>
    <xf numFmtId="164" fontId="65" fillId="46" borderId="0" xfId="0" applyNumberFormat="1" applyFont="1" applyFill="1" applyAlignment="1">
      <alignment horizontal="left"/>
    </xf>
    <xf numFmtId="10" fontId="76" fillId="46" borderId="0" xfId="2" applyNumberFormat="1" applyFont="1" applyFill="1" applyBorder="1" applyAlignment="1">
      <alignment horizontal="left"/>
    </xf>
    <xf numFmtId="10" fontId="65" fillId="46" borderId="0" xfId="2" applyNumberFormat="1" applyFont="1" applyFill="1" applyBorder="1" applyAlignment="1">
      <alignment horizontal="left"/>
    </xf>
    <xf numFmtId="164" fontId="40" fillId="47" borderId="0" xfId="0" applyNumberFormat="1" applyFont="1" applyFill="1"/>
    <xf numFmtId="164" fontId="67" fillId="45" borderId="0" xfId="0" applyNumberFormat="1" applyFont="1" applyFill="1" applyBorder="1"/>
    <xf numFmtId="164" fontId="2" fillId="47" borderId="0" xfId="0" applyNumberFormat="1" applyFont="1" applyFill="1" applyBorder="1" applyAlignment="1">
      <alignment horizontal="right"/>
    </xf>
    <xf numFmtId="182" fontId="40" fillId="46" borderId="0" xfId="0" applyNumberFormat="1" applyFont="1" applyFill="1" applyBorder="1" applyAlignment="1">
      <alignment horizontal="right" wrapText="1"/>
    </xf>
    <xf numFmtId="0" fontId="64" fillId="46" borderId="0" xfId="2" applyNumberFormat="1" applyFont="1" applyFill="1" applyBorder="1" applyAlignment="1">
      <alignment horizontal="right"/>
    </xf>
    <xf numFmtId="179" fontId="64" fillId="46" borderId="0" xfId="0" applyNumberFormat="1" applyFont="1" applyFill="1" applyAlignment="1">
      <alignment horizontal="right"/>
    </xf>
    <xf numFmtId="164" fontId="64" fillId="2" borderId="21" xfId="0" applyNumberFormat="1" applyFont="1" applyFill="1" applyBorder="1"/>
    <xf numFmtId="179" fontId="64" fillId="46" borderId="0" xfId="2" applyNumberFormat="1" applyFont="1" applyFill="1" applyBorder="1" applyAlignment="1">
      <alignment horizontal="right"/>
    </xf>
    <xf numFmtId="179" fontId="64" fillId="46" borderId="0" xfId="0" applyNumberFormat="1" applyFont="1" applyFill="1" applyBorder="1" applyAlignment="1">
      <alignment horizontal="right"/>
    </xf>
    <xf numFmtId="179" fontId="1" fillId="46" borderId="0" xfId="0" applyNumberFormat="1" applyFont="1" applyFill="1" applyBorder="1" applyAlignment="1">
      <alignment horizontal="right" vertical="center"/>
    </xf>
    <xf numFmtId="179" fontId="1" fillId="46" borderId="0" xfId="2" applyNumberFormat="1" applyFont="1" applyFill="1" applyBorder="1" applyAlignment="1">
      <alignment horizontal="right"/>
    </xf>
    <xf numFmtId="1" fontId="1" fillId="46" borderId="0" xfId="0" applyNumberFormat="1" applyFont="1" applyFill="1" applyBorder="1" applyAlignment="1">
      <alignment horizontal="right" vertical="center"/>
    </xf>
    <xf numFmtId="166" fontId="64" fillId="46" borderId="0" xfId="2" applyNumberFormat="1" applyFont="1" applyFill="1" applyAlignment="1">
      <alignment horizontal="right"/>
    </xf>
    <xf numFmtId="0" fontId="64" fillId="2" borderId="0" xfId="2" applyNumberFormat="1" applyFont="1" applyFill="1" applyBorder="1" applyAlignment="1">
      <alignment horizontal="right"/>
    </xf>
    <xf numFmtId="3" fontId="64" fillId="2" borderId="0" xfId="2" applyNumberFormat="1" applyFont="1" applyFill="1" applyBorder="1" applyAlignment="1">
      <alignment horizontal="right"/>
    </xf>
    <xf numFmtId="0" fontId="64" fillId="2" borderId="0" xfId="0" applyNumberFormat="1" applyFont="1" applyFill="1" applyAlignment="1">
      <alignment horizontal="right"/>
    </xf>
    <xf numFmtId="3" fontId="64" fillId="2" borderId="0" xfId="0" applyNumberFormat="1" applyFont="1" applyFill="1" applyAlignment="1">
      <alignment horizontal="right"/>
    </xf>
    <xf numFmtId="3" fontId="1" fillId="2" borderId="0" xfId="2" applyNumberFormat="1" applyFont="1" applyFill="1" applyBorder="1" applyAlignment="1">
      <alignment horizontal="right"/>
    </xf>
    <xf numFmtId="2" fontId="64" fillId="47" borderId="0" xfId="0" applyNumberFormat="1" applyFont="1" applyFill="1" applyAlignment="1">
      <alignment horizontal="right"/>
    </xf>
    <xf numFmtId="178" fontId="64" fillId="2" borderId="21" xfId="0" applyNumberFormat="1" applyFont="1" applyFill="1" applyBorder="1"/>
    <xf numFmtId="10" fontId="64" fillId="2" borderId="21" xfId="2" applyNumberFormat="1" applyFont="1" applyFill="1" applyBorder="1"/>
    <xf numFmtId="0" fontId="64" fillId="47" borderId="0" xfId="2" applyNumberFormat="1" applyFont="1" applyFill="1" applyBorder="1" applyAlignment="1">
      <alignment horizontal="right"/>
    </xf>
    <xf numFmtId="179" fontId="64" fillId="47" borderId="0" xfId="0" applyNumberFormat="1" applyFont="1" applyFill="1" applyBorder="1" applyAlignment="1">
      <alignment horizontal="right"/>
    </xf>
    <xf numFmtId="3" fontId="64" fillId="46" borderId="0" xfId="0" applyNumberFormat="1" applyFont="1" applyFill="1" applyAlignment="1">
      <alignment horizontal="right"/>
    </xf>
    <xf numFmtId="3" fontId="64" fillId="46" borderId="0" xfId="2" applyNumberFormat="1" applyFont="1" applyFill="1" applyBorder="1" applyAlignment="1">
      <alignment horizontal="right"/>
    </xf>
    <xf numFmtId="3" fontId="64" fillId="46" borderId="0" xfId="0" applyNumberFormat="1" applyFont="1" applyFill="1" applyBorder="1" applyAlignment="1">
      <alignment horizontal="right"/>
    </xf>
    <xf numFmtId="185" fontId="64" fillId="2" borderId="0" xfId="0" applyNumberFormat="1" applyFont="1" applyFill="1" applyAlignment="1">
      <alignment horizontal="right"/>
    </xf>
    <xf numFmtId="185" fontId="64" fillId="2" borderId="0" xfId="2" applyNumberFormat="1" applyFont="1" applyFill="1" applyBorder="1" applyAlignment="1">
      <alignment horizontal="right"/>
    </xf>
    <xf numFmtId="2" fontId="1" fillId="2" borderId="0" xfId="0" applyNumberFormat="1" applyFont="1" applyFill="1" applyBorder="1" applyAlignment="1">
      <alignment horizontal="right" vertical="center"/>
    </xf>
    <xf numFmtId="185" fontId="64" fillId="2" borderId="0" xfId="0" applyNumberFormat="1" applyFont="1" applyFill="1" applyBorder="1" applyAlignment="1">
      <alignment horizontal="right"/>
    </xf>
    <xf numFmtId="164" fontId="1" fillId="2" borderId="0" xfId="0" applyNumberFormat="1" applyFont="1" applyFill="1" applyBorder="1" applyAlignment="1">
      <alignment wrapText="1"/>
    </xf>
    <xf numFmtId="2" fontId="64" fillId="46" borderId="0" xfId="2" applyNumberFormat="1" applyFont="1" applyFill="1" applyAlignment="1">
      <alignment horizontal="right"/>
    </xf>
    <xf numFmtId="10" fontId="1" fillId="46" borderId="0" xfId="2" applyNumberFormat="1" applyFont="1" applyFill="1" applyBorder="1" applyAlignment="1">
      <alignment horizontal="right" vertical="center"/>
    </xf>
    <xf numFmtId="10" fontId="1" fillId="2" borderId="0" xfId="2" applyNumberFormat="1" applyFont="1" applyFill="1" applyBorder="1" applyAlignment="1">
      <alignment horizontal="right" vertical="center"/>
    </xf>
    <xf numFmtId="182" fontId="64" fillId="46" borderId="0" xfId="0" applyNumberFormat="1" applyFont="1" applyFill="1" applyBorder="1" applyAlignment="1">
      <alignment horizontal="right" vertical="center"/>
    </xf>
    <xf numFmtId="187" fontId="1" fillId="46" borderId="0" xfId="169" applyNumberFormat="1" applyFont="1" applyFill="1" applyAlignment="1">
      <alignment horizontal="right"/>
    </xf>
    <xf numFmtId="44" fontId="64" fillId="2" borderId="21" xfId="169" applyFont="1" applyFill="1" applyBorder="1" applyAlignment="1">
      <alignment horizontal="right"/>
    </xf>
    <xf numFmtId="187" fontId="64" fillId="2" borderId="21" xfId="169" applyNumberFormat="1" applyFont="1" applyFill="1" applyBorder="1" applyAlignment="1">
      <alignment horizontal="right"/>
    </xf>
    <xf numFmtId="9" fontId="64" fillId="2" borderId="21" xfId="2" applyFont="1" applyFill="1" applyBorder="1" applyAlignment="1">
      <alignment horizontal="right"/>
    </xf>
    <xf numFmtId="10" fontId="64" fillId="2" borderId="21" xfId="2" applyNumberFormat="1" applyFont="1" applyFill="1" applyBorder="1" applyAlignment="1">
      <alignment horizontal="right"/>
    </xf>
    <xf numFmtId="2" fontId="67" fillId="45" borderId="0" xfId="0" applyNumberFormat="1" applyFont="1" applyFill="1" applyBorder="1"/>
    <xf numFmtId="187" fontId="1" fillId="2" borderId="21" xfId="0" applyNumberFormat="1" applyFont="1" applyFill="1" applyBorder="1" applyAlignment="1">
      <alignment horizontal="right" vertical="center"/>
    </xf>
    <xf numFmtId="187" fontId="64" fillId="46" borderId="0" xfId="169" applyNumberFormat="1" applyFont="1" applyFill="1" applyAlignment="1">
      <alignment horizontal="right"/>
    </xf>
    <xf numFmtId="187" fontId="1" fillId="2" borderId="21" xfId="169" applyNumberFormat="1" applyFont="1" applyFill="1" applyBorder="1" applyAlignment="1">
      <alignment horizontal="right"/>
    </xf>
    <xf numFmtId="182" fontId="64" fillId="46" borderId="0" xfId="0" applyNumberFormat="1" applyFont="1" applyFill="1" applyBorder="1" applyAlignment="1">
      <alignment horizontal="left" vertical="center"/>
    </xf>
    <xf numFmtId="10" fontId="66" fillId="46" borderId="0" xfId="2" applyNumberFormat="1" applyFont="1" applyFill="1" applyBorder="1"/>
    <xf numFmtId="164" fontId="64" fillId="46" borderId="0" xfId="0" applyNumberFormat="1" applyFont="1" applyFill="1" applyBorder="1" applyAlignment="1">
      <alignment horizontal="left"/>
    </xf>
    <xf numFmtId="178" fontId="40" fillId="46" borderId="0" xfId="0" applyNumberFormat="1" applyFont="1" applyFill="1" applyBorder="1"/>
    <xf numFmtId="10" fontId="64" fillId="46" borderId="0" xfId="2" applyNumberFormat="1" applyFont="1" applyFill="1"/>
    <xf numFmtId="2" fontId="76" fillId="46" borderId="0" xfId="0" applyNumberFormat="1" applyFont="1" applyFill="1" applyBorder="1" applyAlignment="1">
      <alignment horizontal="right"/>
    </xf>
    <xf numFmtId="2" fontId="64" fillId="46" borderId="0" xfId="0" applyNumberFormat="1" applyFont="1" applyFill="1" applyBorder="1" applyAlignment="1">
      <alignment horizontal="right" vertical="center"/>
    </xf>
    <xf numFmtId="10" fontId="1" fillId="46" borderId="0" xfId="0" applyNumberFormat="1" applyFont="1" applyFill="1" applyBorder="1" applyAlignment="1">
      <alignment horizontal="right"/>
    </xf>
    <xf numFmtId="14" fontId="64" fillId="46" borderId="0" xfId="2" applyNumberFormat="1" applyFont="1" applyFill="1" applyBorder="1" applyAlignment="1">
      <alignment horizontal="right"/>
    </xf>
    <xf numFmtId="2" fontId="64" fillId="2" borderId="21" xfId="2" applyNumberFormat="1" applyFont="1" applyFill="1" applyBorder="1" applyAlignment="1">
      <alignment horizontal="right"/>
    </xf>
    <xf numFmtId="44" fontId="64" fillId="46" borderId="0" xfId="169" applyFont="1" applyFill="1" applyBorder="1" applyAlignment="1">
      <alignment horizontal="right"/>
    </xf>
    <xf numFmtId="10" fontId="1" fillId="2" borderId="21" xfId="2" applyNumberFormat="1" applyFont="1" applyFill="1" applyBorder="1" applyAlignment="1">
      <alignment horizontal="right"/>
    </xf>
    <xf numFmtId="2" fontId="64" fillId="46" borderId="0" xfId="2" applyNumberFormat="1" applyFont="1" applyFill="1"/>
    <xf numFmtId="178" fontId="2" fillId="2" borderId="20" xfId="0" applyNumberFormat="1" applyFont="1" applyFill="1" applyBorder="1"/>
    <xf numFmtId="2" fontId="2" fillId="46" borderId="0" xfId="2" applyNumberFormat="1" applyFont="1" applyFill="1" applyBorder="1"/>
    <xf numFmtId="178" fontId="8" fillId="45" borderId="0" xfId="0" applyNumberFormat="1" applyFont="1" applyFill="1"/>
    <xf numFmtId="178" fontId="64" fillId="46" borderId="0" xfId="0" applyNumberFormat="1" applyFont="1" applyFill="1"/>
    <xf numFmtId="2" fontId="1" fillId="46" borderId="0" xfId="2" applyNumberFormat="1" applyFont="1" applyFill="1" applyBorder="1" applyAlignment="1">
      <alignment horizontal="right" vertical="center"/>
    </xf>
    <xf numFmtId="2" fontId="1" fillId="46" borderId="0" xfId="169" applyNumberFormat="1" applyFont="1" applyFill="1" applyBorder="1" applyAlignment="1">
      <alignment horizontal="right" vertical="center"/>
    </xf>
    <xf numFmtId="2" fontId="1" fillId="2" borderId="21" xfId="0" applyNumberFormat="1" applyFont="1" applyFill="1" applyBorder="1" applyAlignment="1">
      <alignment horizontal="right" vertical="center"/>
    </xf>
    <xf numFmtId="187" fontId="64" fillId="46" borderId="0" xfId="2" applyNumberFormat="1" applyFont="1" applyFill="1" applyBorder="1" applyAlignment="1">
      <alignment horizontal="right"/>
    </xf>
    <xf numFmtId="2" fontId="1" fillId="46" borderId="0" xfId="169" applyNumberFormat="1" applyFont="1" applyFill="1" applyAlignment="1">
      <alignment horizontal="right"/>
    </xf>
    <xf numFmtId="2" fontId="1" fillId="2" borderId="21" xfId="169" applyNumberFormat="1" applyFont="1" applyFill="1" applyBorder="1" applyAlignment="1">
      <alignment horizontal="right"/>
    </xf>
    <xf numFmtId="178" fontId="64" fillId="46" borderId="0" xfId="0" applyNumberFormat="1" applyFont="1" applyFill="1" applyBorder="1"/>
    <xf numFmtId="10" fontId="65" fillId="46" borderId="0" xfId="2" applyNumberFormat="1" applyFont="1" applyFill="1" applyAlignment="1">
      <alignment horizontal="right"/>
    </xf>
    <xf numFmtId="10" fontId="65" fillId="2" borderId="21" xfId="2" applyNumberFormat="1" applyFont="1" applyFill="1" applyBorder="1" applyAlignment="1">
      <alignment horizontal="right"/>
    </xf>
    <xf numFmtId="164" fontId="8" fillId="2" borderId="0" xfId="0" applyNumberFormat="1" applyFont="1" applyFill="1" applyBorder="1" applyAlignment="1">
      <alignment horizontal="center"/>
    </xf>
    <xf numFmtId="10" fontId="1" fillId="2" borderId="21" xfId="2" applyNumberFormat="1" applyFont="1" applyFill="1" applyBorder="1" applyAlignment="1">
      <alignment horizontal="right" vertical="center"/>
    </xf>
    <xf numFmtId="10" fontId="1" fillId="46" borderId="21" xfId="2" applyNumberFormat="1" applyFont="1" applyFill="1" applyBorder="1" applyAlignment="1">
      <alignment horizontal="right" vertical="center"/>
    </xf>
    <xf numFmtId="10" fontId="6" fillId="46" borderId="0" xfId="2" applyNumberFormat="1" applyFont="1" applyFill="1" applyBorder="1" applyAlignment="1">
      <alignment horizontal="right" vertical="center"/>
    </xf>
    <xf numFmtId="10" fontId="6" fillId="46" borderId="0" xfId="2" applyNumberFormat="1" applyFont="1" applyFill="1"/>
    <xf numFmtId="10" fontId="6" fillId="2" borderId="0" xfId="2" applyNumberFormat="1" applyFont="1" applyFill="1"/>
    <xf numFmtId="10" fontId="2" fillId="46" borderId="21" xfId="2" applyNumberFormat="1" applyFont="1" applyFill="1" applyBorder="1" applyAlignment="1">
      <alignment horizontal="right" vertical="center"/>
    </xf>
    <xf numFmtId="0" fontId="2" fillId="46" borderId="21" xfId="0" applyFont="1" applyFill="1" applyBorder="1"/>
    <xf numFmtId="44" fontId="2" fillId="46" borderId="21" xfId="169" applyFont="1" applyFill="1" applyBorder="1"/>
    <xf numFmtId="187" fontId="64" fillId="2" borderId="21" xfId="169" applyNumberFormat="1" applyFont="1" applyFill="1" applyBorder="1"/>
    <xf numFmtId="187" fontId="40" fillId="46" borderId="21" xfId="0" applyNumberFormat="1" applyFont="1" applyFill="1" applyBorder="1" applyAlignment="1"/>
    <xf numFmtId="9" fontId="1" fillId="46" borderId="0" xfId="2" applyFont="1" applyFill="1" applyBorder="1"/>
    <xf numFmtId="187" fontId="2" fillId="46" borderId="21" xfId="169" applyNumberFormat="1" applyFont="1" applyFill="1" applyBorder="1"/>
    <xf numFmtId="2" fontId="64" fillId="47" borderId="0" xfId="0" applyNumberFormat="1" applyFont="1" applyFill="1" applyBorder="1" applyAlignment="1">
      <alignment horizontal="right"/>
    </xf>
    <xf numFmtId="164" fontId="60" fillId="46" borderId="0" xfId="0" applyNumberFormat="1" applyFont="1" applyFill="1" applyAlignment="1">
      <alignment horizontal="right"/>
    </xf>
    <xf numFmtId="179" fontId="64" fillId="46" borderId="0" xfId="2" applyNumberFormat="1" applyFont="1" applyFill="1" applyBorder="1" applyAlignment="1"/>
    <xf numFmtId="179" fontId="64" fillId="46" borderId="0" xfId="0" applyNumberFormat="1" applyFont="1" applyFill="1" applyBorder="1"/>
    <xf numFmtId="179" fontId="1" fillId="46" borderId="0" xfId="0" applyNumberFormat="1" applyFont="1" applyFill="1" applyBorder="1"/>
    <xf numFmtId="3" fontId="8" fillId="2" borderId="0" xfId="0" applyNumberFormat="1" applyFont="1" applyFill="1" applyBorder="1" applyAlignment="1"/>
    <xf numFmtId="0" fontId="2" fillId="2" borderId="0" xfId="0" applyNumberFormat="1" applyFont="1" applyFill="1" applyBorder="1" applyAlignment="1">
      <alignment horizontal="right"/>
    </xf>
    <xf numFmtId="3" fontId="2" fillId="2" borderId="0" xfId="0" applyNumberFormat="1" applyFont="1" applyFill="1" applyBorder="1" applyAlignment="1">
      <alignment horizontal="right"/>
    </xf>
    <xf numFmtId="2" fontId="1" fillId="47" borderId="0" xfId="0" applyNumberFormat="1" applyFont="1" applyFill="1" applyBorder="1" applyAlignment="1">
      <alignment horizontal="right"/>
    </xf>
    <xf numFmtId="9" fontId="64" fillId="46" borderId="0" xfId="2" applyNumberFormat="1" applyFont="1" applyFill="1" applyBorder="1" applyAlignment="1">
      <alignment horizontal="right"/>
    </xf>
    <xf numFmtId="9" fontId="66" fillId="46" borderId="0" xfId="2" applyNumberFormat="1" applyFont="1" applyFill="1" applyBorder="1" applyAlignment="1">
      <alignment horizontal="right" wrapText="1"/>
    </xf>
    <xf numFmtId="9" fontId="64" fillId="46" borderId="0" xfId="2" applyNumberFormat="1" applyFont="1" applyFill="1" applyBorder="1" applyAlignment="1">
      <alignment horizontal="right" wrapText="1"/>
    </xf>
    <xf numFmtId="9" fontId="1" fillId="46" borderId="0" xfId="2" applyNumberFormat="1" applyFont="1" applyFill="1" applyBorder="1"/>
    <xf numFmtId="9" fontId="64" fillId="46" borderId="0" xfId="2" applyNumberFormat="1" applyFont="1" applyFill="1" applyBorder="1"/>
    <xf numFmtId="9" fontId="64" fillId="47" borderId="0" xfId="2" applyNumberFormat="1" applyFont="1" applyFill="1" applyBorder="1" applyAlignment="1">
      <alignment horizontal="right"/>
    </xf>
    <xf numFmtId="2" fontId="8" fillId="45" borderId="0" xfId="169" applyNumberFormat="1" applyFont="1" applyFill="1" applyBorder="1" applyAlignment="1">
      <alignment horizontal="right"/>
    </xf>
    <xf numFmtId="10" fontId="8" fillId="45" borderId="0" xfId="2" applyNumberFormat="1" applyFont="1" applyFill="1" applyBorder="1" applyAlignment="1">
      <alignment horizontal="right"/>
    </xf>
    <xf numFmtId="10" fontId="8" fillId="45" borderId="0" xfId="0" applyNumberFormat="1" applyFont="1" applyFill="1" applyBorder="1"/>
    <xf numFmtId="0" fontId="6" fillId="2" borderId="0" xfId="0" applyFont="1" applyFill="1" applyBorder="1" applyAlignment="1">
      <alignment horizontal="right"/>
    </xf>
    <xf numFmtId="0" fontId="8" fillId="2" borderId="0" xfId="0" applyFont="1" applyFill="1" applyBorder="1" applyAlignment="1">
      <alignment horizontal="right"/>
    </xf>
    <xf numFmtId="10" fontId="2" fillId="47" borderId="0" xfId="2" applyNumberFormat="1" applyFont="1" applyFill="1" applyBorder="1" applyAlignment="1">
      <alignment horizontal="right"/>
    </xf>
    <xf numFmtId="184" fontId="2" fillId="2" borderId="0" xfId="0" applyNumberFormat="1" applyFont="1" applyFill="1" applyBorder="1"/>
    <xf numFmtId="0" fontId="7" fillId="2" borderId="0" xfId="0" applyFont="1" applyFill="1" applyBorder="1"/>
    <xf numFmtId="182" fontId="2" fillId="2" borderId="0" xfId="0" applyNumberFormat="1" applyFont="1" applyFill="1" applyBorder="1"/>
    <xf numFmtId="2" fontId="64" fillId="2" borderId="0" xfId="2" quotePrefix="1" applyNumberFormat="1" applyFont="1" applyFill="1" applyBorder="1" applyAlignment="1">
      <alignment horizontal="right"/>
    </xf>
    <xf numFmtId="2" fontId="64" fillId="2" borderId="0" xfId="0" applyNumberFormat="1" applyFont="1" applyFill="1"/>
    <xf numFmtId="0" fontId="2" fillId="2" borderId="0" xfId="0" applyNumberFormat="1" applyFont="1" applyFill="1" applyBorder="1" applyAlignment="1">
      <alignment horizontal="right" vertical="center"/>
    </xf>
    <xf numFmtId="178" fontId="64" fillId="2" borderId="0" xfId="0" applyNumberFormat="1" applyFont="1" applyFill="1"/>
    <xf numFmtId="187" fontId="2" fillId="47" borderId="0" xfId="169" applyNumberFormat="1" applyFont="1" applyFill="1" applyBorder="1" applyAlignment="1">
      <alignment horizontal="right"/>
    </xf>
    <xf numFmtId="187" fontId="1" fillId="2" borderId="0" xfId="0" applyNumberFormat="1" applyFont="1" applyFill="1" applyBorder="1"/>
    <xf numFmtId="10" fontId="2" fillId="47" borderId="0" xfId="2" applyNumberFormat="1" applyFont="1" applyFill="1" applyBorder="1"/>
    <xf numFmtId="0" fontId="6" fillId="46" borderId="0" xfId="0" applyFont="1" applyFill="1" applyBorder="1" applyAlignment="1">
      <alignment horizontal="right"/>
    </xf>
    <xf numFmtId="10" fontId="64" fillId="46" borderId="0" xfId="2" applyNumberFormat="1" applyFont="1" applyFill="1" applyBorder="1" applyAlignment="1">
      <alignment horizontal="right" vertical="center"/>
    </xf>
    <xf numFmtId="185" fontId="1" fillId="46" borderId="0" xfId="0" applyNumberFormat="1" applyFont="1" applyFill="1" applyBorder="1"/>
    <xf numFmtId="10" fontId="1" fillId="46" borderId="0" xfId="0" applyNumberFormat="1" applyFont="1" applyFill="1" applyBorder="1"/>
    <xf numFmtId="44" fontId="40" fillId="46" borderId="0" xfId="169" applyNumberFormat="1" applyFont="1" applyFill="1" applyBorder="1" applyAlignment="1">
      <alignment horizontal="right"/>
    </xf>
    <xf numFmtId="44" fontId="2" fillId="46" borderId="18" xfId="169" applyNumberFormat="1" applyFont="1" applyFill="1" applyBorder="1"/>
    <xf numFmtId="2" fontId="2" fillId="46" borderId="0" xfId="169" applyNumberFormat="1" applyFont="1" applyFill="1"/>
    <xf numFmtId="178" fontId="40" fillId="2" borderId="0" xfId="0" applyNumberFormat="1" applyFont="1" applyFill="1" applyBorder="1"/>
    <xf numFmtId="49" fontId="66" fillId="2" borderId="0" xfId="0" applyNumberFormat="1" applyFont="1" applyFill="1" applyBorder="1"/>
    <xf numFmtId="10" fontId="76" fillId="2" borderId="0" xfId="169" applyNumberFormat="1" applyFont="1" applyFill="1" applyBorder="1"/>
    <xf numFmtId="44" fontId="6" fillId="2" borderId="0" xfId="169" applyFont="1" applyFill="1" applyBorder="1"/>
    <xf numFmtId="187" fontId="64" fillId="46" borderId="0" xfId="169" applyNumberFormat="1" applyFont="1" applyFill="1"/>
    <xf numFmtId="44" fontId="8" fillId="45" borderId="0" xfId="169" applyFont="1" applyFill="1" applyBorder="1" applyAlignment="1">
      <alignment horizontal="right" vertical="center"/>
    </xf>
    <xf numFmtId="164" fontId="8" fillId="45" borderId="0" xfId="0" applyNumberFormat="1" applyFont="1" applyFill="1" applyBorder="1" applyAlignment="1">
      <alignment horizontal="center"/>
    </xf>
    <xf numFmtId="0" fontId="40" fillId="47" borderId="0" xfId="0" applyFont="1" applyFill="1" applyBorder="1" applyAlignment="1">
      <alignment horizontal="center"/>
    </xf>
    <xf numFmtId="164" fontId="40" fillId="47" borderId="0" xfId="0" applyNumberFormat="1" applyFont="1" applyFill="1" applyAlignment="1">
      <alignment horizontal="center" vertical="center"/>
    </xf>
    <xf numFmtId="0" fontId="8" fillId="45" borderId="0" xfId="0" applyFont="1" applyFill="1" applyBorder="1" applyAlignment="1">
      <alignment horizontal="center" vertical="center"/>
    </xf>
    <xf numFmtId="164" fontId="8" fillId="2" borderId="0" xfId="0" applyNumberFormat="1" applyFont="1" applyFill="1" applyBorder="1" applyAlignment="1">
      <alignment horizontal="center"/>
    </xf>
    <xf numFmtId="0" fontId="8" fillId="45" borderId="0" xfId="0" applyFont="1" applyFill="1" applyBorder="1" applyAlignment="1">
      <alignment horizontal="center"/>
    </xf>
    <xf numFmtId="164" fontId="8" fillId="45" borderId="0" xfId="0" applyNumberFormat="1" applyFont="1" applyFill="1" applyAlignment="1">
      <alignment horizontal="center"/>
    </xf>
    <xf numFmtId="44" fontId="8" fillId="45" borderId="0" xfId="169" applyFont="1" applyFill="1"/>
  </cellXfs>
  <cellStyles count="170">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xfId="169" builtinId="4"/>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F8F8F8"/>
      <color rgb="FFFFCC66"/>
      <color rgb="FF6600CC"/>
      <color rgb="FFFF33CC"/>
      <color rgb="FFCC0099"/>
      <color rgb="FFEC2E79"/>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Voltas' Industry and Revenues Forecast (10 Yrs) </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'Industry &amp; Revenues'!$C$3</c:f>
              <c:strCache>
                <c:ptCount val="1"/>
                <c:pt idx="0">
                  <c:v>Cl. Geo Industry</c:v>
                </c:pt>
              </c:strCache>
            </c:strRef>
          </c:tx>
          <c:spPr>
            <a:solidFill>
              <a:srgbClr val="00B050"/>
            </a:solidFill>
            <a:ln>
              <a:noFill/>
            </a:ln>
            <a:effectLst/>
          </c:spPr>
          <c:invertIfNegative val="0"/>
          <c:cat>
            <c:strRef>
              <c:f>'Industry &amp; Revenues'!$B$4:$B$15</c:f>
              <c:strCache>
                <c:ptCount val="12"/>
                <c:pt idx="0">
                  <c:v>FY22</c:v>
                </c:pt>
                <c:pt idx="1">
                  <c:v>FY23</c:v>
                </c:pt>
                <c:pt idx="2">
                  <c:v>FY24</c:v>
                </c:pt>
                <c:pt idx="3">
                  <c:v>FY25</c:v>
                </c:pt>
                <c:pt idx="4">
                  <c:v>FY26</c:v>
                </c:pt>
                <c:pt idx="5">
                  <c:v>FY27</c:v>
                </c:pt>
                <c:pt idx="6">
                  <c:v>FY28</c:v>
                </c:pt>
                <c:pt idx="7">
                  <c:v>FY29</c:v>
                </c:pt>
                <c:pt idx="8">
                  <c:v>FY30</c:v>
                </c:pt>
                <c:pt idx="9">
                  <c:v>FY31</c:v>
                </c:pt>
                <c:pt idx="10">
                  <c:v>FY32</c:v>
                </c:pt>
                <c:pt idx="11">
                  <c:v>FY33</c:v>
                </c:pt>
              </c:strCache>
            </c:strRef>
          </c:cat>
          <c:val>
            <c:numRef>
              <c:f>'Industry &amp; Revenues'!$C$4:$C$15</c:f>
              <c:numCache>
                <c:formatCode>"$"#,##0.00</c:formatCode>
                <c:ptCount val="12"/>
                <c:pt idx="0">
                  <c:v>32560.000000000004</c:v>
                </c:pt>
                <c:pt idx="1">
                  <c:v>38485.920000000006</c:v>
                </c:pt>
                <c:pt idx="2">
                  <c:v>45490.357440000007</c:v>
                </c:pt>
                <c:pt idx="3">
                  <c:v>53769.602494080005</c:v>
                </c:pt>
                <c:pt idx="4">
                  <c:v>63555.670148002566</c:v>
                </c:pt>
                <c:pt idx="5">
                  <c:v>69275.680461322801</c:v>
                </c:pt>
                <c:pt idx="6">
                  <c:v>75510.491702841857</c:v>
                </c:pt>
                <c:pt idx="7">
                  <c:v>82306.43595609763</c:v>
                </c:pt>
                <c:pt idx="8">
                  <c:v>89714.015192146428</c:v>
                </c:pt>
                <c:pt idx="9">
                  <c:v>97788.276559439619</c:v>
                </c:pt>
                <c:pt idx="10">
                  <c:v>106589.2214497892</c:v>
                </c:pt>
                <c:pt idx="11">
                  <c:v>116182.25138027023</c:v>
                </c:pt>
              </c:numCache>
            </c:numRef>
          </c:val>
          <c:extLst>
            <c:ext xmlns:c16="http://schemas.microsoft.com/office/drawing/2014/chart" uri="{C3380CC4-5D6E-409C-BE32-E72D297353CC}">
              <c16:uniqueId val="{00000000-BD0E-4801-B115-99BDCEA0D867}"/>
            </c:ext>
          </c:extLst>
        </c:ser>
        <c:ser>
          <c:idx val="1"/>
          <c:order val="1"/>
          <c:tx>
            <c:strRef>
              <c:f>'Industry &amp; Revenues'!$G$3</c:f>
              <c:strCache>
                <c:ptCount val="1"/>
                <c:pt idx="0">
                  <c:v>Sterli. Industry</c:v>
                </c:pt>
              </c:strCache>
            </c:strRef>
          </c:tx>
          <c:spPr>
            <a:solidFill>
              <a:srgbClr val="FFC000"/>
            </a:solidFill>
            <a:ln>
              <a:noFill/>
            </a:ln>
            <a:effectLst/>
          </c:spPr>
          <c:invertIfNegative val="0"/>
          <c:cat>
            <c:strRef>
              <c:f>'Industry &amp; Revenues'!$B$4:$B$15</c:f>
              <c:strCache>
                <c:ptCount val="12"/>
                <c:pt idx="0">
                  <c:v>FY22</c:v>
                </c:pt>
                <c:pt idx="1">
                  <c:v>FY23</c:v>
                </c:pt>
                <c:pt idx="2">
                  <c:v>FY24</c:v>
                </c:pt>
                <c:pt idx="3">
                  <c:v>FY25</c:v>
                </c:pt>
                <c:pt idx="4">
                  <c:v>FY26</c:v>
                </c:pt>
                <c:pt idx="5">
                  <c:v>FY27</c:v>
                </c:pt>
                <c:pt idx="6">
                  <c:v>FY28</c:v>
                </c:pt>
                <c:pt idx="7">
                  <c:v>FY29</c:v>
                </c:pt>
                <c:pt idx="8">
                  <c:v>FY30</c:v>
                </c:pt>
                <c:pt idx="9">
                  <c:v>FY31</c:v>
                </c:pt>
                <c:pt idx="10">
                  <c:v>FY32</c:v>
                </c:pt>
                <c:pt idx="11">
                  <c:v>FY33</c:v>
                </c:pt>
              </c:strCache>
            </c:strRef>
          </c:cat>
          <c:val>
            <c:numRef>
              <c:f>'Industry &amp; Revenues'!$G$4:$G$15</c:f>
              <c:numCache>
                <c:formatCode>"$"#,##0.00</c:formatCode>
                <c:ptCount val="12"/>
                <c:pt idx="0">
                  <c:v>13671.249999999998</c:v>
                </c:pt>
                <c:pt idx="1">
                  <c:v>14952.246125</c:v>
                </c:pt>
                <c:pt idx="2">
                  <c:v>16353.271586912502</c:v>
                </c:pt>
                <c:pt idx="3">
                  <c:v>17885.573134606206</c:v>
                </c:pt>
                <c:pt idx="4">
                  <c:v>19561.451337318809</c:v>
                </c:pt>
                <c:pt idx="5">
                  <c:v>21394.359327625585</c:v>
                </c:pt>
                <c:pt idx="6">
                  <c:v>22678.020887283121</c:v>
                </c:pt>
                <c:pt idx="7">
                  <c:v>24038.702140520109</c:v>
                </c:pt>
                <c:pt idx="8">
                  <c:v>25481.024268951318</c:v>
                </c:pt>
                <c:pt idx="9">
                  <c:v>27009.885725088399</c:v>
                </c:pt>
                <c:pt idx="10">
                  <c:v>28630.478868593706</c:v>
                </c:pt>
                <c:pt idx="11">
                  <c:v>30348.30760070933</c:v>
                </c:pt>
              </c:numCache>
            </c:numRef>
          </c:val>
          <c:extLst>
            <c:ext xmlns:c16="http://schemas.microsoft.com/office/drawing/2014/chart" uri="{C3380CC4-5D6E-409C-BE32-E72D297353CC}">
              <c16:uniqueId val="{00000001-BD0E-4801-B115-99BDCEA0D867}"/>
            </c:ext>
          </c:extLst>
        </c:ser>
        <c:ser>
          <c:idx val="2"/>
          <c:order val="2"/>
          <c:tx>
            <c:strRef>
              <c:f>'Industry &amp; Revenues'!$K$3</c:f>
              <c:strCache>
                <c:ptCount val="1"/>
                <c:pt idx="0">
                  <c:v>Biop. Industry</c:v>
                </c:pt>
              </c:strCache>
            </c:strRef>
          </c:tx>
          <c:spPr>
            <a:solidFill>
              <a:schemeClr val="accent1"/>
            </a:solidFill>
            <a:ln>
              <a:noFill/>
            </a:ln>
            <a:effectLst/>
          </c:spPr>
          <c:invertIfNegative val="0"/>
          <c:cat>
            <c:strRef>
              <c:f>'Industry &amp; Revenues'!$B$4:$B$15</c:f>
              <c:strCache>
                <c:ptCount val="12"/>
                <c:pt idx="0">
                  <c:v>FY22</c:v>
                </c:pt>
                <c:pt idx="1">
                  <c:v>FY23</c:v>
                </c:pt>
                <c:pt idx="2">
                  <c:v>FY24</c:v>
                </c:pt>
                <c:pt idx="3">
                  <c:v>FY25</c:v>
                </c:pt>
                <c:pt idx="4">
                  <c:v>FY26</c:v>
                </c:pt>
                <c:pt idx="5">
                  <c:v>FY27</c:v>
                </c:pt>
                <c:pt idx="6">
                  <c:v>FY28</c:v>
                </c:pt>
                <c:pt idx="7">
                  <c:v>FY29</c:v>
                </c:pt>
                <c:pt idx="8">
                  <c:v>FY30</c:v>
                </c:pt>
                <c:pt idx="9">
                  <c:v>FY31</c:v>
                </c:pt>
                <c:pt idx="10">
                  <c:v>FY32</c:v>
                </c:pt>
                <c:pt idx="11">
                  <c:v>FY33</c:v>
                </c:pt>
              </c:strCache>
            </c:strRef>
          </c:cat>
          <c:val>
            <c:numRef>
              <c:f>'Industry &amp; Revenues'!$K$4:$K$15</c:f>
              <c:numCache>
                <c:formatCode>"$"#,##0.00</c:formatCode>
                <c:ptCount val="12"/>
                <c:pt idx="0">
                  <c:v>365064</c:v>
                </c:pt>
                <c:pt idx="1">
                  <c:v>406316.23200000002</c:v>
                </c:pt>
                <c:pt idx="2">
                  <c:v>452229.96621600003</c:v>
                </c:pt>
                <c:pt idx="3">
                  <c:v>503331.95239840803</c:v>
                </c:pt>
                <c:pt idx="4">
                  <c:v>560208.46301942808</c:v>
                </c:pt>
                <c:pt idx="5">
                  <c:v>623512.0193406234</c:v>
                </c:pt>
                <c:pt idx="6">
                  <c:v>693968.87752611388</c:v>
                </c:pt>
                <c:pt idx="7">
                  <c:v>772387.3606865647</c:v>
                </c:pt>
                <c:pt idx="8">
                  <c:v>859667.13244414655</c:v>
                </c:pt>
                <c:pt idx="9">
                  <c:v>911247.16039079544</c:v>
                </c:pt>
                <c:pt idx="10">
                  <c:v>965921.99001424317</c:v>
                </c:pt>
                <c:pt idx="11">
                  <c:v>1023877.3094150978</c:v>
                </c:pt>
              </c:numCache>
            </c:numRef>
          </c:val>
          <c:extLst>
            <c:ext xmlns:c16="http://schemas.microsoft.com/office/drawing/2014/chart" uri="{C3380CC4-5D6E-409C-BE32-E72D297353CC}">
              <c16:uniqueId val="{00000002-BD0E-4801-B115-99BDCEA0D867}"/>
            </c:ext>
          </c:extLst>
        </c:ser>
        <c:ser>
          <c:idx val="3"/>
          <c:order val="3"/>
          <c:tx>
            <c:strRef>
              <c:f>'Industry &amp; Revenues'!$O$3</c:f>
              <c:strCache>
                <c:ptCount val="1"/>
                <c:pt idx="0">
                  <c:v>Cali. Industry</c:v>
                </c:pt>
              </c:strCache>
            </c:strRef>
          </c:tx>
          <c:spPr>
            <a:solidFill>
              <a:schemeClr val="accent4"/>
            </a:solidFill>
            <a:ln>
              <a:noFill/>
            </a:ln>
            <a:effectLst/>
          </c:spPr>
          <c:invertIfNegative val="0"/>
          <c:cat>
            <c:strRef>
              <c:f>'Industry &amp; Revenues'!$B$4:$B$15</c:f>
              <c:strCache>
                <c:ptCount val="12"/>
                <c:pt idx="0">
                  <c:v>FY22</c:v>
                </c:pt>
                <c:pt idx="1">
                  <c:v>FY23</c:v>
                </c:pt>
                <c:pt idx="2">
                  <c:v>FY24</c:v>
                </c:pt>
                <c:pt idx="3">
                  <c:v>FY25</c:v>
                </c:pt>
                <c:pt idx="4">
                  <c:v>FY26</c:v>
                </c:pt>
                <c:pt idx="5">
                  <c:v>FY27</c:v>
                </c:pt>
                <c:pt idx="6">
                  <c:v>FY28</c:v>
                </c:pt>
                <c:pt idx="7">
                  <c:v>FY29</c:v>
                </c:pt>
                <c:pt idx="8">
                  <c:v>FY30</c:v>
                </c:pt>
                <c:pt idx="9">
                  <c:v>FY31</c:v>
                </c:pt>
                <c:pt idx="10">
                  <c:v>FY32</c:v>
                </c:pt>
                <c:pt idx="11">
                  <c:v>FY33</c:v>
                </c:pt>
              </c:strCache>
            </c:strRef>
          </c:cat>
          <c:val>
            <c:numRef>
              <c:f>'Industry &amp; Revenues'!$O$4:$O$15</c:f>
              <c:numCache>
                <c:formatCode>"$"#,##0.00</c:formatCode>
                <c:ptCount val="12"/>
                <c:pt idx="0">
                  <c:v>5496.8781250000002</c:v>
                </c:pt>
                <c:pt idx="1">
                  <c:v>5917.3893015624999</c:v>
                </c:pt>
                <c:pt idx="2">
                  <c:v>6370.0695831320309</c:v>
                </c:pt>
                <c:pt idx="3">
                  <c:v>6857.379906241631</c:v>
                </c:pt>
                <c:pt idx="4">
                  <c:v>7381.9694690691158</c:v>
                </c:pt>
                <c:pt idx="5">
                  <c:v>7946.690133452903</c:v>
                </c:pt>
                <c:pt idx="6">
                  <c:v>8267.8953486470691</c:v>
                </c:pt>
                <c:pt idx="7">
                  <c:v>8602.0836786393829</c:v>
                </c:pt>
                <c:pt idx="8">
                  <c:v>8949.7799009299852</c:v>
                </c:pt>
                <c:pt idx="9">
                  <c:v>9311.5300045255735</c:v>
                </c:pt>
                <c:pt idx="10">
                  <c:v>9687.9020473084965</c:v>
                </c:pt>
                <c:pt idx="11">
                  <c:v>10079.487048060704</c:v>
                </c:pt>
              </c:numCache>
            </c:numRef>
          </c:val>
          <c:extLst>
            <c:ext xmlns:c16="http://schemas.microsoft.com/office/drawing/2014/chart" uri="{C3380CC4-5D6E-409C-BE32-E72D297353CC}">
              <c16:uniqueId val="{00000003-BD0E-4801-B115-99BDCEA0D867}"/>
            </c:ext>
          </c:extLst>
        </c:ser>
        <c:dLbls>
          <c:showLegendKey val="0"/>
          <c:showVal val="0"/>
          <c:showCatName val="0"/>
          <c:showSerName val="0"/>
          <c:showPercent val="0"/>
          <c:showBubbleSize val="0"/>
        </c:dLbls>
        <c:gapWidth val="150"/>
        <c:overlap val="100"/>
        <c:axId val="718807551"/>
        <c:axId val="718806719"/>
      </c:barChart>
      <c:lineChart>
        <c:grouping val="standard"/>
        <c:varyColors val="0"/>
        <c:ser>
          <c:idx val="4"/>
          <c:order val="4"/>
          <c:tx>
            <c:v>Voltas Revenues</c:v>
          </c:tx>
          <c:spPr>
            <a:ln w="28575" cap="rnd">
              <a:solidFill>
                <a:srgbClr val="002060"/>
              </a:solidFill>
              <a:round/>
            </a:ln>
            <a:effectLst/>
          </c:spPr>
          <c:marker>
            <c:symbol val="none"/>
          </c:marker>
          <c:val>
            <c:numRef>
              <c:f>'Industry &amp; Revenues'!$P$4:$P$15</c:f>
              <c:numCache>
                <c:formatCode>0.00%</c:formatCode>
                <c:ptCount val="12"/>
                <c:pt idx="0">
                  <c:v>8.3666362895757317E-3</c:v>
                </c:pt>
                <c:pt idx="1">
                  <c:v>9.5299726606181585E-3</c:v>
                </c:pt>
                <c:pt idx="2">
                  <c:v>1.0693309031660585E-2</c:v>
                </c:pt>
                <c:pt idx="3">
                  <c:v>1.1856645402703012E-2</c:v>
                </c:pt>
                <c:pt idx="4">
                  <c:v>1.3019981773745439E-2</c:v>
                </c:pt>
                <c:pt idx="5">
                  <c:v>1.4183318144787866E-2</c:v>
                </c:pt>
                <c:pt idx="6">
                  <c:v>1.4910403376689382E-2</c:v>
                </c:pt>
                <c:pt idx="7">
                  <c:v>1.5637488608590898E-2</c:v>
                </c:pt>
                <c:pt idx="8">
                  <c:v>1.7091659072393933E-2</c:v>
                </c:pt>
                <c:pt idx="9">
                  <c:v>1.8545829536196969E-2</c:v>
                </c:pt>
                <c:pt idx="10">
                  <c:v>0.02</c:v>
                </c:pt>
                <c:pt idx="11">
                  <c:v>0.02</c:v>
                </c:pt>
              </c:numCache>
            </c:numRef>
          </c:val>
          <c:smooth val="0"/>
          <c:extLst>
            <c:ext xmlns:c16="http://schemas.microsoft.com/office/drawing/2014/chart" uri="{C3380CC4-5D6E-409C-BE32-E72D297353CC}">
              <c16:uniqueId val="{00000004-BD0E-4801-B115-99BDCEA0D867}"/>
            </c:ext>
          </c:extLst>
        </c:ser>
        <c:dLbls>
          <c:showLegendKey val="0"/>
          <c:showVal val="0"/>
          <c:showCatName val="0"/>
          <c:showSerName val="0"/>
          <c:showPercent val="0"/>
          <c:showBubbleSize val="0"/>
        </c:dLbls>
        <c:marker val="1"/>
        <c:smooth val="0"/>
        <c:axId val="712874175"/>
        <c:axId val="712875839"/>
      </c:lineChart>
      <c:catAx>
        <c:axId val="718807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806719"/>
        <c:crosses val="autoZero"/>
        <c:auto val="1"/>
        <c:lblAlgn val="ctr"/>
        <c:lblOffset val="100"/>
        <c:noMultiLvlLbl val="0"/>
      </c:catAx>
      <c:valAx>
        <c:axId val="718806719"/>
        <c:scaling>
          <c:orientation val="minMax"/>
        </c:scaling>
        <c:delete val="0"/>
        <c:axPos val="l"/>
        <c:majorGridlines>
          <c:spPr>
            <a:ln w="9525" cap="flat" cmpd="sng" algn="ctr">
              <a:solidFill>
                <a:schemeClr val="tx1">
                  <a:lumMod val="15000"/>
                  <a:lumOff val="85000"/>
                </a:schemeClr>
              </a:solidFill>
              <a:round/>
            </a:ln>
            <a:effectLst/>
          </c:spPr>
        </c:majorGridlines>
        <c:numFmt formatCode="[$₹-4009]\ #,###\ \c\r"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807551"/>
        <c:crosses val="autoZero"/>
        <c:crossBetween val="between"/>
      </c:valAx>
      <c:valAx>
        <c:axId val="712875839"/>
        <c:scaling>
          <c:orientation val="minMax"/>
        </c:scaling>
        <c:delete val="0"/>
        <c:axPos val="r"/>
        <c:numFmt formatCode="[$₹-4009]\ #,###\ \c\r"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874175"/>
        <c:crosses val="max"/>
        <c:crossBetween val="between"/>
      </c:valAx>
      <c:catAx>
        <c:axId val="712874175"/>
        <c:scaling>
          <c:orientation val="minMax"/>
        </c:scaling>
        <c:delete val="1"/>
        <c:axPos val="b"/>
        <c:majorTickMark val="out"/>
        <c:minorTickMark val="none"/>
        <c:tickLblPos val="nextTo"/>
        <c:crossAx val="712875839"/>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Used</a:t>
            </a:r>
            <a:r>
              <a:rPr lang="en-US" baseline="0"/>
              <a:t> Cars Market Size 2022</a:t>
            </a:r>
            <a:endParaRPr lang="en-US"/>
          </a:p>
        </c:rich>
      </c:tx>
      <c:layout/>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v>Used Cars Industry</c:v>
          </c:tx>
          <c:spPr>
            <a:solidFill>
              <a:schemeClr val="accent1"/>
            </a:solidFill>
            <a:ln>
              <a:noFill/>
            </a:ln>
            <a:effectLst/>
          </c:spPr>
          <c:invertIfNegative val="0"/>
          <c:cat>
            <c:strRef>
              <c:f>'Future Cashflows (10 Yrs)'!$B$4:$B$14</c:f>
              <c:strCache>
                <c:ptCount val="11"/>
                <c:pt idx="0">
                  <c:v>LTM</c:v>
                </c:pt>
                <c:pt idx="1">
                  <c:v>1</c:v>
                </c:pt>
                <c:pt idx="2">
                  <c:v>2</c:v>
                </c:pt>
                <c:pt idx="3">
                  <c:v>3</c:v>
                </c:pt>
                <c:pt idx="4">
                  <c:v>4</c:v>
                </c:pt>
                <c:pt idx="5">
                  <c:v>5</c:v>
                </c:pt>
                <c:pt idx="6">
                  <c:v>6</c:v>
                </c:pt>
                <c:pt idx="7">
                  <c:v>7</c:v>
                </c:pt>
                <c:pt idx="8">
                  <c:v>8</c:v>
                </c:pt>
                <c:pt idx="9">
                  <c:v>9</c:v>
                </c:pt>
                <c:pt idx="10">
                  <c:v>10</c:v>
                </c:pt>
              </c:strCache>
            </c:strRef>
          </c:cat>
          <c:val>
            <c:numRef>
              <c:f>'Future Cashflows (10 Yrs)'!$C$4:$C$14</c:f>
              <c:numCache>
                <c:formatCode>"$"#,##0.00</c:formatCode>
                <c:ptCount val="11"/>
                <c:pt idx="0">
                  <c:v>416792.12812499999</c:v>
                </c:pt>
                <c:pt idx="1">
                  <c:v>465671.78742656251</c:v>
                </c:pt>
                <c:pt idx="2">
                  <c:v>520443.66482604458</c:v>
                </c:pt>
                <c:pt idx="3">
                  <c:v>581844.50793333596</c:v>
                </c:pt>
                <c:pt idx="4">
                  <c:v>650707.55397381855</c:v>
                </c:pt>
                <c:pt idx="5">
                  <c:v>722128.74926302466</c:v>
                </c:pt>
                <c:pt idx="6">
                  <c:v>800425.28546488588</c:v>
                </c:pt>
                <c:pt idx="7">
                  <c:v>887334.58246182185</c:v>
                </c:pt>
                <c:pt idx="8">
                  <c:v>983811.95180617424</c:v>
                </c:pt>
                <c:pt idx="9">
                  <c:v>1045356.852679849</c:v>
                </c:pt>
                <c:pt idx="10">
                  <c:v>1110829.5923799344</c:v>
                </c:pt>
              </c:numCache>
            </c:numRef>
          </c:val>
          <c:extLst>
            <c:ext xmlns:c16="http://schemas.microsoft.com/office/drawing/2014/chart" uri="{C3380CC4-5D6E-409C-BE32-E72D297353CC}">
              <c16:uniqueId val="{00000000-D940-4417-A67A-3E7756D64273}"/>
            </c:ext>
          </c:extLst>
        </c:ser>
        <c:dLbls>
          <c:showLegendKey val="0"/>
          <c:showVal val="0"/>
          <c:showCatName val="0"/>
          <c:showSerName val="0"/>
          <c:showPercent val="0"/>
          <c:showBubbleSize val="0"/>
        </c:dLbls>
        <c:gapWidth val="80"/>
        <c:overlap val="25"/>
        <c:axId val="1789244720"/>
        <c:axId val="1789245136"/>
      </c:barChart>
      <c:lineChart>
        <c:grouping val="stacked"/>
        <c:varyColors val="0"/>
        <c:ser>
          <c:idx val="1"/>
          <c:order val="1"/>
          <c:tx>
            <c:v>Carvana Revenues</c:v>
          </c:tx>
          <c:spPr>
            <a:ln w="28575" cap="rnd">
              <a:solidFill>
                <a:schemeClr val="accent6"/>
              </a:solidFill>
              <a:round/>
            </a:ln>
            <a:effectLst/>
          </c:spPr>
          <c:marker>
            <c:symbol val="circle"/>
            <c:size val="6"/>
            <c:spPr>
              <a:solidFill>
                <a:schemeClr val="accent6"/>
              </a:solidFill>
              <a:ln>
                <a:solidFill>
                  <a:schemeClr val="accent6"/>
                </a:solidFill>
              </a:ln>
              <a:effectLst/>
            </c:spPr>
          </c:marker>
          <c:val>
            <c:numRef>
              <c:f>'Future Cashflows (10 Yrs)'!$D$4:$D$14</c:f>
              <c:numCache>
                <c:formatCode>"$"#,##0.00</c:formatCode>
                <c:ptCount val="11"/>
                <c:pt idx="0">
                  <c:v>222.77699999999999</c:v>
                </c:pt>
                <c:pt idx="1">
                  <c:v>269.95934886127498</c:v>
                </c:pt>
                <c:pt idx="2">
                  <c:v>325.25825314191655</c:v>
                </c:pt>
                <c:pt idx="3">
                  <c:v>390.04272477533289</c:v>
                </c:pt>
                <c:pt idx="4">
                  <c:v>465.91981452787269</c:v>
                </c:pt>
                <c:pt idx="5">
                  <c:v>540.08879801134333</c:v>
                </c:pt>
                <c:pt idx="6">
                  <c:v>603.29961929856688</c:v>
                </c:pt>
                <c:pt idx="7">
                  <c:v>673.53038727358285</c:v>
                </c:pt>
                <c:pt idx="8">
                  <c:v>775.59869822760686</c:v>
                </c:pt>
                <c:pt idx="9">
                  <c:v>877.54556213209003</c:v>
                </c:pt>
                <c:pt idx="10">
                  <c:v>989.40041494566947</c:v>
                </c:pt>
              </c:numCache>
            </c:numRef>
          </c:val>
          <c:smooth val="0"/>
          <c:extLst>
            <c:ext xmlns:c16="http://schemas.microsoft.com/office/drawing/2014/chart" uri="{C3380CC4-5D6E-409C-BE32-E72D297353CC}">
              <c16:uniqueId val="{00000002-D940-4417-A67A-3E7756D64273}"/>
            </c:ext>
          </c:extLst>
        </c:ser>
        <c:dLbls>
          <c:showLegendKey val="0"/>
          <c:showVal val="0"/>
          <c:showCatName val="0"/>
          <c:showSerName val="0"/>
          <c:showPercent val="0"/>
          <c:showBubbleSize val="0"/>
        </c:dLbls>
        <c:marker val="1"/>
        <c:smooth val="0"/>
        <c:axId val="1904538672"/>
        <c:axId val="1904535344"/>
      </c:lineChart>
      <c:catAx>
        <c:axId val="178924472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789245136"/>
        <c:crosses val="autoZero"/>
        <c:auto val="1"/>
        <c:lblAlgn val="ctr"/>
        <c:lblOffset val="100"/>
        <c:noMultiLvlLbl val="0"/>
      </c:catAx>
      <c:valAx>
        <c:axId val="1789245136"/>
        <c:scaling>
          <c:orientation val="minMax"/>
        </c:scaling>
        <c:delete val="0"/>
        <c:axPos val="l"/>
        <c:majorGridlines>
          <c:spPr>
            <a:ln w="9525" cap="flat" cmpd="sng" algn="ctr">
              <a:solidFill>
                <a:schemeClr val="tx1">
                  <a:lumMod val="5000"/>
                  <a:lumOff val="95000"/>
                </a:schemeClr>
              </a:soli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789244720"/>
        <c:crosses val="autoZero"/>
        <c:crossBetween val="between"/>
      </c:valAx>
      <c:valAx>
        <c:axId val="1904535344"/>
        <c:scaling>
          <c:orientation val="minMax"/>
        </c:scaling>
        <c:delete val="0"/>
        <c:axPos val="r"/>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904538672"/>
        <c:crosses val="max"/>
        <c:crossBetween val="between"/>
      </c:valAx>
      <c:catAx>
        <c:axId val="1904538672"/>
        <c:scaling>
          <c:orientation val="minMax"/>
        </c:scaling>
        <c:delete val="1"/>
        <c:axPos val="b"/>
        <c:majorTickMark val="out"/>
        <c:minorTickMark val="none"/>
        <c:tickLblPos val="nextTo"/>
        <c:crossAx val="1904535344"/>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7</xdr:row>
      <xdr:rowOff>0</xdr:rowOff>
    </xdr:from>
    <xdr:to>
      <xdr:col>3</xdr:col>
      <xdr:colOff>304800</xdr:colOff>
      <xdr:row>8</xdr:row>
      <xdr:rowOff>114300</xdr:rowOff>
    </xdr:to>
    <xdr:sp macro="" textlink="">
      <xdr:nvSpPr>
        <xdr:cNvPr id="9217" name="AutoShape 1" descr="Mesa Labs, Inc. - Governance - Governance Documents"/>
        <xdr:cNvSpPr>
          <a:spLocks noChangeAspect="1" noChangeArrowheads="1"/>
        </xdr:cNvSpPr>
      </xdr:nvSpPr>
      <xdr:spPr bwMode="auto">
        <a:xfrm>
          <a:off x="1352550" y="164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390525</xdr:colOff>
      <xdr:row>1</xdr:row>
      <xdr:rowOff>104775</xdr:rowOff>
    </xdr:from>
    <xdr:to>
      <xdr:col>9</xdr:col>
      <xdr:colOff>495301</xdr:colOff>
      <xdr:row>18</xdr:row>
      <xdr:rowOff>133349</xdr:rowOff>
    </xdr:to>
    <xdr:pic>
      <xdr:nvPicPr>
        <xdr:cNvPr id="3" name="Picture 2" descr="About Mesa Labs | Mesa Labs"/>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065" r="1447"/>
        <a:stretch/>
      </xdr:blipFill>
      <xdr:spPr bwMode="auto">
        <a:xfrm>
          <a:off x="523875" y="742950"/>
          <a:ext cx="5133976" cy="2962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28577</xdr:colOff>
      <xdr:row>4</xdr:row>
      <xdr:rowOff>95251</xdr:rowOff>
    </xdr:from>
    <xdr:to>
      <xdr:col>6</xdr:col>
      <xdr:colOff>161925</xdr:colOff>
      <xdr:row>28</xdr:row>
      <xdr:rowOff>123825</xdr:rowOff>
    </xdr:to>
    <xdr:sp macro="" textlink="">
      <xdr:nvSpPr>
        <xdr:cNvPr id="2" name="TextBox 1"/>
        <xdr:cNvSpPr txBox="1"/>
      </xdr:nvSpPr>
      <xdr:spPr>
        <a:xfrm>
          <a:off x="161927" y="752476"/>
          <a:ext cx="5057773" cy="3686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Mesa</a:t>
          </a:r>
          <a:r>
            <a:rPr lang="en-US" sz="900" b="1" baseline="0">
              <a:latin typeface="Arial" panose="020B0604020202020204" pitchFamily="34" charset="0"/>
              <a:cs typeface="Arial" panose="020B0604020202020204" pitchFamily="34" charset="0"/>
            </a:rPr>
            <a:t> Labs</a:t>
          </a:r>
          <a:r>
            <a:rPr lang="en-US" sz="900" b="1">
              <a:latin typeface="Arial" panose="020B0604020202020204" pitchFamily="34" charset="0"/>
              <a:cs typeface="Arial" panose="020B0604020202020204" pitchFamily="34" charset="0"/>
            </a:rPr>
            <a:t>:</a:t>
          </a:r>
        </a:p>
        <a:p>
          <a:endParaRPr lang="en-US" sz="800" b="1">
            <a:latin typeface="Arial" panose="020B0604020202020204" pitchFamily="34" charset="0"/>
            <a:cs typeface="Arial" panose="020B0604020202020204" pitchFamily="34" charset="0"/>
          </a:endParaRPr>
        </a:p>
        <a:p>
          <a:r>
            <a:rPr lang="en-US" sz="900" b="0">
              <a:latin typeface="Arial" panose="020B0604020202020204" pitchFamily="34" charset="0"/>
              <a:cs typeface="Arial" panose="020B0604020202020204" pitchFamily="34" charset="0"/>
            </a:rPr>
            <a:t>Mesa Laboratories, Inc. develops, manufactures, and sells life sciences tools and quality control products and services in the United States, Europe, the Asia Pacific, and internationally.</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Sterilization and Disinfection Control segment </a:t>
          </a:r>
          <a:r>
            <a:rPr lang="en-US" sz="900" b="0">
              <a:latin typeface="Arial" panose="020B0604020202020204" pitchFamily="34" charset="0"/>
              <a:cs typeface="Arial" panose="020B0604020202020204" pitchFamily="34" charset="0"/>
            </a:rPr>
            <a:t>manufactures and sells biological, cleaning, and chemical indicators that are used to assess the effectiveness of sterilization and disinfection processes in the hospital, dental, medical device, and pharmaceutical industries.</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This segment also provides testing and laboratory services primarily to the dental industry. </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Biopharmaceutical Development segment </a:t>
          </a:r>
          <a:r>
            <a:rPr lang="en-US" sz="900" b="0">
              <a:latin typeface="Arial" panose="020B0604020202020204" pitchFamily="34" charset="0"/>
              <a:cs typeface="Arial" panose="020B0604020202020204" pitchFamily="34" charset="0"/>
            </a:rPr>
            <a:t>develops, manufactures, and sells automated systems for protein analysis (immunoassays) and peptide synthesis solutions. This segment's solutions include protein analysis comprising analysis equipment, CDs, kits, and buffers; and peptide synthesizers that enables to automate chemically synthesized peptides that are used in the creation of peptide therapies, biomaterials, cosmetics, and general research. </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Calibration Solutions segment</a:t>
          </a:r>
          <a:r>
            <a:rPr lang="en-US" sz="900" b="0">
              <a:latin typeface="Arial" panose="020B0604020202020204" pitchFamily="34" charset="0"/>
              <a:cs typeface="Arial" panose="020B0604020202020204" pitchFamily="34" charset="0"/>
            </a:rPr>
            <a:t> designs, manufactures, and markets quality control and calibration products to measure or calibrate temperature, pressure, pH, humidity, and other such parameters used for health and safety purposes in the hospital, medical device manufacturing, pharmaceutical manufacturing, and various laboratory and healthcare environments. This segment's products include continuous monitoring systems, dialysate meters and consumables, data loggers, gas flow calibration and air sampling equipment, and torque testing systems.</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Clinical Genomics segment </a:t>
          </a:r>
          <a:r>
            <a:rPr lang="en-US" sz="900" b="0">
              <a:latin typeface="Arial" panose="020B0604020202020204" pitchFamily="34" charset="0"/>
              <a:cs typeface="Arial" panose="020B0604020202020204" pitchFamily="34" charset="0"/>
            </a:rPr>
            <a:t>develops, manufactures, and sells genetic analysis tools that include MassARRAY system and consumables, including chips, panels, and chemical reagent solutions used by clinical labs to perform genomic clinical testing in several therapeutic areas, such as newborn screenings, pharmacogenetics, and oncology.</a:t>
          </a:r>
        </a:p>
      </xdr:txBody>
    </xdr:sp>
    <xdr:clientData/>
  </xdr:twoCellAnchor>
  <xdr:twoCellAnchor>
    <xdr:from>
      <xdr:col>6</xdr:col>
      <xdr:colOff>276227</xdr:colOff>
      <xdr:row>4</xdr:row>
      <xdr:rowOff>85727</xdr:rowOff>
    </xdr:from>
    <xdr:to>
      <xdr:col>12</xdr:col>
      <xdr:colOff>533400</xdr:colOff>
      <xdr:row>28</xdr:row>
      <xdr:rowOff>133351</xdr:rowOff>
    </xdr:to>
    <xdr:sp macro="" textlink="">
      <xdr:nvSpPr>
        <xdr:cNvPr id="3" name="TextBox 2"/>
        <xdr:cNvSpPr txBox="1"/>
      </xdr:nvSpPr>
      <xdr:spPr>
        <a:xfrm>
          <a:off x="5334002" y="742952"/>
          <a:ext cx="4448173" cy="3705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Business Model: </a:t>
          </a:r>
          <a:r>
            <a:rPr lang="en-US" sz="900" b="0">
              <a:latin typeface="Arial" panose="020B0604020202020204" pitchFamily="34" charset="0"/>
              <a:cs typeface="Arial" panose="020B0604020202020204" pitchFamily="34" charset="0"/>
            </a:rPr>
            <a:t>Mesa Labs is a publicly-traded company that specializes in manufacturing and distributing quality control and calibration instruments for various industries, including pharmaceuticals, medical devices, and industrial manufacturing. Its business model is centered around providing high-quality products and services that help its customers ensure the safety, efficacy, and reliability of their products.</a:t>
          </a:r>
        </a:p>
        <a:p>
          <a:endParaRPr lang="en-US" sz="900" b="0">
            <a:latin typeface="Arial" panose="020B0604020202020204" pitchFamily="34" charset="0"/>
            <a:cs typeface="Arial" panose="020B0604020202020204" pitchFamily="34" charset="0"/>
          </a:endParaRPr>
        </a:p>
        <a:p>
          <a:r>
            <a:rPr lang="en-US" sz="900" b="0">
              <a:latin typeface="Arial" panose="020B0604020202020204" pitchFamily="34" charset="0"/>
              <a:cs typeface="Arial" panose="020B0604020202020204" pitchFamily="34" charset="0"/>
            </a:rPr>
            <a:t>Mesa Labs generates revenue through the sale of its products, which include data loggers, biological indicators, gas flow calibrators, and environmental monitoring systems. The company also provides calibration and repair services for its instruments, which generates recurring revenue streams and helps to build long-term relationships with its customers.</a:t>
          </a:r>
        </a:p>
        <a:p>
          <a:r>
            <a:rPr lang="en-US" sz="900" b="0">
              <a:latin typeface="Arial" panose="020B0604020202020204" pitchFamily="34" charset="0"/>
              <a:cs typeface="Arial" panose="020B0604020202020204" pitchFamily="34" charset="0"/>
            </a:rPr>
            <a:t>Mesa Labs' business model is supported by its strong focus on research and development. The company invests heavily in developing new products and improving its existing offerings, which helps to ensure that it remains at the forefront of the industry and continues to meet the evolving needs of its customers.</a:t>
          </a:r>
        </a:p>
        <a:p>
          <a:endParaRPr lang="en-US" sz="900" b="0">
            <a:latin typeface="Arial" panose="020B0604020202020204" pitchFamily="34" charset="0"/>
            <a:cs typeface="Arial" panose="020B0604020202020204" pitchFamily="34" charset="0"/>
          </a:endParaRPr>
        </a:p>
        <a:p>
          <a:r>
            <a:rPr lang="en-US" sz="900" b="0">
              <a:latin typeface="Arial" panose="020B0604020202020204" pitchFamily="34" charset="0"/>
              <a:cs typeface="Arial" panose="020B0604020202020204" pitchFamily="34" charset="0"/>
            </a:rPr>
            <a:t>Additionally, Mesa Labs has a strong emphasis on customer service, which is a key component of its business model. The company provides technical support and training to its customers, and has a dedicated team of customer service representatives who work closely with customers to ensure that they are satisfied with their products and services.</a:t>
          </a:r>
        </a:p>
        <a:p>
          <a:endParaRPr lang="en-US" sz="900" b="0">
            <a:latin typeface="Arial" panose="020B0604020202020204" pitchFamily="34" charset="0"/>
            <a:cs typeface="Arial" panose="020B0604020202020204" pitchFamily="34" charset="0"/>
          </a:endParaRPr>
        </a:p>
        <a:p>
          <a:r>
            <a:rPr lang="en-US" sz="900" b="0">
              <a:latin typeface="Arial" panose="020B0604020202020204" pitchFamily="34" charset="0"/>
              <a:cs typeface="Arial" panose="020B0604020202020204" pitchFamily="34" charset="0"/>
            </a:rPr>
            <a:t>Overall, Mesa Labs' business model is built around providing high-quality products and services, investing in research and development, and emphasizing customer service to build long-term relationships with its customers and create sustainable revenue streams.</a:t>
          </a:r>
        </a:p>
      </xdr:txBody>
    </xdr:sp>
    <xdr:clientData/>
  </xdr:twoCellAnchor>
  <xdr:twoCellAnchor>
    <xdr:from>
      <xdr:col>12</xdr:col>
      <xdr:colOff>676277</xdr:colOff>
      <xdr:row>4</xdr:row>
      <xdr:rowOff>85727</xdr:rowOff>
    </xdr:from>
    <xdr:to>
      <xdr:col>19</xdr:col>
      <xdr:colOff>400050</xdr:colOff>
      <xdr:row>41</xdr:row>
      <xdr:rowOff>123825</xdr:rowOff>
    </xdr:to>
    <xdr:sp macro="" textlink="">
      <xdr:nvSpPr>
        <xdr:cNvPr id="4" name="TextBox 3"/>
        <xdr:cNvSpPr txBox="1"/>
      </xdr:nvSpPr>
      <xdr:spPr>
        <a:xfrm>
          <a:off x="9925052" y="742952"/>
          <a:ext cx="4448173" cy="56768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i="1">
              <a:latin typeface="Arial" panose="020B0604020202020204" pitchFamily="34" charset="0"/>
              <a:cs typeface="Arial" panose="020B0604020202020204" pitchFamily="34" charset="0"/>
            </a:rPr>
            <a:t>Strengths:</a:t>
          </a:r>
        </a:p>
        <a:p>
          <a:r>
            <a:rPr lang="en-US" sz="900" b="1">
              <a:latin typeface="Arial" panose="020B0604020202020204" pitchFamily="34" charset="0"/>
              <a:cs typeface="Arial" panose="020B0604020202020204" pitchFamily="34" charset="0"/>
            </a:rPr>
            <a:t>Strong brand reputation: </a:t>
          </a:r>
          <a:r>
            <a:rPr lang="en-US" sz="900" b="0" i="0">
              <a:latin typeface="Arial" panose="020B0604020202020204" pitchFamily="34" charset="0"/>
              <a:cs typeface="Arial" panose="020B0604020202020204" pitchFamily="34" charset="0"/>
            </a:rPr>
            <a:t>Mesa Labs has a reputation for manufacturing high-quality, reliable, and accurate instruments and services that comply with industry standards, regulations, and guidelines.</a:t>
          </a:r>
        </a:p>
        <a:p>
          <a:r>
            <a:rPr lang="en-US" sz="900" b="1">
              <a:latin typeface="Arial" panose="020B0604020202020204" pitchFamily="34" charset="0"/>
              <a:cs typeface="Arial" panose="020B0604020202020204" pitchFamily="34" charset="0"/>
            </a:rPr>
            <a:t>Diverse customer base: </a:t>
          </a:r>
          <a:r>
            <a:rPr lang="en-US" sz="900" b="0">
              <a:latin typeface="Arial" panose="020B0604020202020204" pitchFamily="34" charset="0"/>
              <a:cs typeface="Arial" panose="020B0604020202020204" pitchFamily="34" charset="0"/>
            </a:rPr>
            <a:t>The company has a diverse customer base across various industries, which helps to mitigate the risk of over-reliance on a single industry or customer.</a:t>
          </a:r>
        </a:p>
        <a:p>
          <a:r>
            <a:rPr lang="en-US" sz="900" b="1">
              <a:latin typeface="Arial" panose="020B0604020202020204" pitchFamily="34" charset="0"/>
              <a:cs typeface="Arial" panose="020B0604020202020204" pitchFamily="34" charset="0"/>
            </a:rPr>
            <a:t>Robust research and development capabilities: </a:t>
          </a:r>
          <a:r>
            <a:rPr lang="en-US" sz="900" b="0">
              <a:latin typeface="Arial" panose="020B0604020202020204" pitchFamily="34" charset="0"/>
              <a:cs typeface="Arial" panose="020B0604020202020204" pitchFamily="34" charset="0"/>
            </a:rPr>
            <a:t>Mesa Labs invests heavily in R&amp;D to develop new products, improve existing ones, and stay at the forefront of the industry.</a:t>
          </a:r>
        </a:p>
        <a:p>
          <a:r>
            <a:rPr lang="en-US" sz="900" b="1">
              <a:latin typeface="Arial" panose="020B0604020202020204" pitchFamily="34" charset="0"/>
              <a:cs typeface="Arial" panose="020B0604020202020204" pitchFamily="34" charset="0"/>
            </a:rPr>
            <a:t>Strong financial performance: </a:t>
          </a:r>
          <a:r>
            <a:rPr lang="en-US" sz="900" b="0">
              <a:latin typeface="Arial" panose="020B0604020202020204" pitchFamily="34" charset="0"/>
              <a:cs typeface="Arial" panose="020B0604020202020204" pitchFamily="34" charset="0"/>
            </a:rPr>
            <a:t>The company has demonstrated strong financial performance with steady revenue growth and healthy profit margins.</a:t>
          </a:r>
        </a:p>
        <a:p>
          <a:endParaRPr lang="en-US" sz="900" b="0" i="1">
            <a:latin typeface="Arial" panose="020B0604020202020204" pitchFamily="34" charset="0"/>
            <a:cs typeface="Arial" panose="020B0604020202020204" pitchFamily="34" charset="0"/>
          </a:endParaRPr>
        </a:p>
        <a:p>
          <a:r>
            <a:rPr lang="en-US" sz="900" b="0" i="1">
              <a:latin typeface="Arial" panose="020B0604020202020204" pitchFamily="34" charset="0"/>
              <a:cs typeface="Arial" panose="020B0604020202020204" pitchFamily="34" charset="0"/>
            </a:rPr>
            <a:t>Weaknesses:</a:t>
          </a:r>
        </a:p>
        <a:p>
          <a:r>
            <a:rPr lang="en-US" sz="900" b="1">
              <a:latin typeface="Arial" panose="020B0604020202020204" pitchFamily="34" charset="0"/>
              <a:cs typeface="Arial" panose="020B0604020202020204" pitchFamily="34" charset="0"/>
            </a:rPr>
            <a:t>Dependence on the regulatory environment: </a:t>
          </a:r>
          <a:r>
            <a:rPr lang="en-US" sz="900" b="0">
              <a:latin typeface="Arial" panose="020B0604020202020204" pitchFamily="34" charset="0"/>
              <a:cs typeface="Arial" panose="020B0604020202020204" pitchFamily="34" charset="0"/>
            </a:rPr>
            <a:t>The company's products and services are subject to strict regulatory requirements and approvals, which can make it challenging to bring new products to market and maintain compliance with evolving regulations.</a:t>
          </a:r>
        </a:p>
        <a:p>
          <a:r>
            <a:rPr lang="en-US" sz="900" b="1">
              <a:latin typeface="Arial" panose="020B0604020202020204" pitchFamily="34" charset="0"/>
              <a:cs typeface="Arial" panose="020B0604020202020204" pitchFamily="34" charset="0"/>
            </a:rPr>
            <a:t>Reliance on a limited number of suppliers: </a:t>
          </a:r>
          <a:r>
            <a:rPr lang="en-US" sz="900" b="0">
              <a:latin typeface="Arial" panose="020B0604020202020204" pitchFamily="34" charset="0"/>
              <a:cs typeface="Arial" panose="020B0604020202020204" pitchFamily="34" charset="0"/>
            </a:rPr>
            <a:t>Mesa Labs relies on a limited number of suppliers for some of its raw materials and components, which can pose a risk to the company's supply chain and production process.</a:t>
          </a:r>
        </a:p>
        <a:p>
          <a:endParaRPr lang="en-US" sz="900" b="1">
            <a:latin typeface="Arial" panose="020B0604020202020204" pitchFamily="34" charset="0"/>
            <a:cs typeface="Arial" panose="020B0604020202020204" pitchFamily="34" charset="0"/>
          </a:endParaRPr>
        </a:p>
        <a:p>
          <a:r>
            <a:rPr lang="en-US" sz="900" b="0" i="1">
              <a:latin typeface="Arial" panose="020B0604020202020204" pitchFamily="34" charset="0"/>
              <a:cs typeface="Arial" panose="020B0604020202020204" pitchFamily="34" charset="0"/>
            </a:rPr>
            <a:t>Opportunities:</a:t>
          </a:r>
        </a:p>
        <a:p>
          <a:r>
            <a:rPr lang="en-US" sz="900" b="1">
              <a:latin typeface="Arial" panose="020B0604020202020204" pitchFamily="34" charset="0"/>
              <a:cs typeface="Arial" panose="020B0604020202020204" pitchFamily="34" charset="0"/>
            </a:rPr>
            <a:t>Expansion into new markets: </a:t>
          </a:r>
          <a:r>
            <a:rPr lang="en-US" sz="900" b="0" i="0">
              <a:latin typeface="Arial" panose="020B0604020202020204" pitchFamily="34" charset="0"/>
              <a:cs typeface="Arial" panose="020B0604020202020204" pitchFamily="34" charset="0"/>
            </a:rPr>
            <a:t>Mesa Labs could expand into new geographies or industries to increase its customer base and revenue streams.</a:t>
          </a:r>
        </a:p>
        <a:p>
          <a:r>
            <a:rPr lang="en-US" sz="900" b="1">
              <a:latin typeface="Arial" panose="020B0604020202020204" pitchFamily="34" charset="0"/>
              <a:cs typeface="Arial" panose="020B0604020202020204" pitchFamily="34" charset="0"/>
            </a:rPr>
            <a:t>Emerging technologies: </a:t>
          </a:r>
          <a:r>
            <a:rPr lang="en-US" sz="900" b="0">
              <a:latin typeface="Arial" panose="020B0604020202020204" pitchFamily="34" charset="0"/>
              <a:cs typeface="Arial" panose="020B0604020202020204" pitchFamily="34" charset="0"/>
            </a:rPr>
            <a:t>The company could leverage emerging technologies such as artificial intelligence, machine learning, and the Internet of Things (IoT) to develop new products and services that meet evolving customer needs and improve its competitive position.</a:t>
          </a:r>
        </a:p>
        <a:p>
          <a:r>
            <a:rPr lang="en-US" sz="900" b="1">
              <a:latin typeface="Arial" panose="020B0604020202020204" pitchFamily="34" charset="0"/>
              <a:cs typeface="Arial" panose="020B0604020202020204" pitchFamily="34" charset="0"/>
            </a:rPr>
            <a:t>Acquisitions and partnerships: </a:t>
          </a:r>
          <a:r>
            <a:rPr lang="en-US" sz="900" b="0">
              <a:latin typeface="Arial" panose="020B0604020202020204" pitchFamily="34" charset="0"/>
              <a:cs typeface="Arial" panose="020B0604020202020204" pitchFamily="34" charset="0"/>
            </a:rPr>
            <a:t>Mesa Labs could explore strategic acquisitions or partnerships to enhance its product offerings, capabilities, and market reach.</a:t>
          </a:r>
        </a:p>
        <a:p>
          <a:endParaRPr lang="en-US" sz="900" b="0" i="1">
            <a:latin typeface="Arial" panose="020B0604020202020204" pitchFamily="34" charset="0"/>
            <a:cs typeface="Arial" panose="020B0604020202020204" pitchFamily="34" charset="0"/>
          </a:endParaRPr>
        </a:p>
        <a:p>
          <a:r>
            <a:rPr lang="en-US" sz="900" b="0" i="1">
              <a:latin typeface="Arial" panose="020B0604020202020204" pitchFamily="34" charset="0"/>
              <a:cs typeface="Arial" panose="020B0604020202020204" pitchFamily="34" charset="0"/>
            </a:rPr>
            <a:t>Threats:</a:t>
          </a:r>
        </a:p>
        <a:p>
          <a:r>
            <a:rPr lang="en-US" sz="900" b="1">
              <a:latin typeface="Arial" panose="020B0604020202020204" pitchFamily="34" charset="0"/>
              <a:cs typeface="Arial" panose="020B0604020202020204" pitchFamily="34" charset="0"/>
            </a:rPr>
            <a:t>Intense competition: </a:t>
          </a:r>
          <a:r>
            <a:rPr lang="en-US" sz="900" b="0">
              <a:latin typeface="Arial" panose="020B0604020202020204" pitchFamily="34" charset="0"/>
              <a:cs typeface="Arial" panose="020B0604020202020204" pitchFamily="34" charset="0"/>
            </a:rPr>
            <a:t>The industry is highly competitive, with numerous players offering similar products and services, which could put pressure on the company's market share and pricing.</a:t>
          </a:r>
        </a:p>
        <a:p>
          <a:r>
            <a:rPr lang="en-US" sz="900" b="1">
              <a:latin typeface="Arial" panose="020B0604020202020204" pitchFamily="34" charset="0"/>
              <a:cs typeface="Arial" panose="020B0604020202020204" pitchFamily="34" charset="0"/>
            </a:rPr>
            <a:t>Economic and geopolitical risks: </a:t>
          </a:r>
          <a:r>
            <a:rPr lang="en-US" sz="900" b="0">
              <a:latin typeface="Arial" panose="020B0604020202020204" pitchFamily="34" charset="0"/>
              <a:cs typeface="Arial" panose="020B0604020202020204" pitchFamily="34" charset="0"/>
            </a:rPr>
            <a:t>Mesa Labs' business is vulnerable to economic and geopolitical risks, including changes in trade policies, currency fluctuations, and macroeconomic volatility.</a:t>
          </a:r>
        </a:p>
        <a:p>
          <a:r>
            <a:rPr lang="en-US" sz="900" b="1">
              <a:latin typeface="Arial" panose="020B0604020202020204" pitchFamily="34" charset="0"/>
              <a:cs typeface="Arial" panose="020B0604020202020204" pitchFamily="34" charset="0"/>
            </a:rPr>
            <a:t>Regulatory changes: </a:t>
          </a:r>
          <a:r>
            <a:rPr lang="en-US" sz="900" b="0">
              <a:latin typeface="Arial" panose="020B0604020202020204" pitchFamily="34" charset="0"/>
              <a:cs typeface="Arial" panose="020B0604020202020204" pitchFamily="34" charset="0"/>
            </a:rPr>
            <a:t>Changes in regulations, guidelines, and industry standards could impact the company's ability to bring new products to market or maintain compliance with existing ones.</a:t>
          </a:r>
        </a:p>
      </xdr:txBody>
    </xdr:sp>
    <xdr:clientData/>
  </xdr:twoCellAnchor>
  <xdr:twoCellAnchor>
    <xdr:from>
      <xdr:col>1</xdr:col>
      <xdr:colOff>28577</xdr:colOff>
      <xdr:row>29</xdr:row>
      <xdr:rowOff>104774</xdr:rowOff>
    </xdr:from>
    <xdr:to>
      <xdr:col>6</xdr:col>
      <xdr:colOff>152400</xdr:colOff>
      <xdr:row>52</xdr:row>
      <xdr:rowOff>85725</xdr:rowOff>
    </xdr:to>
    <xdr:sp macro="" textlink="">
      <xdr:nvSpPr>
        <xdr:cNvPr id="5" name="TextBox 4"/>
        <xdr:cNvSpPr txBox="1"/>
      </xdr:nvSpPr>
      <xdr:spPr>
        <a:xfrm>
          <a:off x="161927" y="4571999"/>
          <a:ext cx="5048248" cy="3486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Mesa Labs'</a:t>
          </a:r>
          <a:r>
            <a:rPr lang="en-US" sz="900" b="1" baseline="0">
              <a:latin typeface="Arial" panose="020B0604020202020204" pitchFamily="34" charset="0"/>
              <a:cs typeface="Arial" panose="020B0604020202020204" pitchFamily="34" charset="0"/>
            </a:rPr>
            <a:t> Competitors:</a:t>
          </a:r>
          <a:endParaRPr lang="en-US" sz="900" b="1">
            <a:latin typeface="Arial" panose="020B0604020202020204" pitchFamily="34" charset="0"/>
            <a:cs typeface="Arial" panose="020B0604020202020204" pitchFamily="34" charset="0"/>
          </a:endParaRPr>
        </a:p>
        <a:p>
          <a:endParaRPr lang="en-US" sz="900" b="1">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Thermo Fisher Scientific: </a:t>
          </a:r>
          <a:r>
            <a:rPr lang="en-US" sz="900" b="0">
              <a:latin typeface="Arial" panose="020B0604020202020204" pitchFamily="34" charset="0"/>
              <a:cs typeface="Arial" panose="020B0604020202020204" pitchFamily="34" charset="0"/>
            </a:rPr>
            <a:t>Thermo Fisher Scientific is a leading provider of scientific instrumentation, reagents, software, services, and consumables. The company serves a wide range of industries, including pharmaceuticals, biotechnology, clinical diagnostics, and academic research. Thermo Fisher Scientific offers a range of products and services that overlap with those offered by Mesa Labs.</a:t>
          </a:r>
        </a:p>
        <a:p>
          <a:r>
            <a:rPr lang="en-US" sz="900" b="1">
              <a:latin typeface="Arial" panose="020B0604020202020204" pitchFamily="34" charset="0"/>
              <a:cs typeface="Arial" panose="020B0604020202020204" pitchFamily="34" charset="0"/>
            </a:rPr>
            <a:t>Bio-Rad Laboratories: </a:t>
          </a:r>
          <a:r>
            <a:rPr lang="en-US" sz="900" b="0">
              <a:latin typeface="Arial" panose="020B0604020202020204" pitchFamily="34" charset="0"/>
              <a:cs typeface="Arial" panose="020B0604020202020204" pitchFamily="34" charset="0"/>
            </a:rPr>
            <a:t>Bio-Rad Laboratories is a global leader in life science research and clinical diagnostics. The company offers a range of products and services, including quality control and calibration instruments, as well as testing and automation solutions for various industries. Bio-Rad Laboratories is a direct competitor to Mesa Labs in the quality control and calibration space.</a:t>
          </a:r>
        </a:p>
        <a:p>
          <a:r>
            <a:rPr lang="en-US" sz="900" b="1">
              <a:latin typeface="Arial" panose="020B0604020202020204" pitchFamily="34" charset="0"/>
              <a:cs typeface="Arial" panose="020B0604020202020204" pitchFamily="34" charset="0"/>
            </a:rPr>
            <a:t>VWR International: </a:t>
          </a:r>
          <a:r>
            <a:rPr lang="en-US" sz="900" b="0">
              <a:latin typeface="Arial" panose="020B0604020202020204" pitchFamily="34" charset="0"/>
              <a:cs typeface="Arial" panose="020B0604020202020204" pitchFamily="34" charset="0"/>
            </a:rPr>
            <a:t>VWR International is a leading provider of laboratory supplies, equipment, and services to the life science, biotechnology, pharmaceutical, and healthcare industries. The company offers a range of products that include quality control and calibration instruments, and has a global presence with operations in over 30 countries.</a:t>
          </a:r>
        </a:p>
        <a:p>
          <a:r>
            <a:rPr lang="en-US" sz="900" b="1">
              <a:latin typeface="Arial" panose="020B0604020202020204" pitchFamily="34" charset="0"/>
              <a:cs typeface="Arial" panose="020B0604020202020204" pitchFamily="34" charset="0"/>
            </a:rPr>
            <a:t>Agilent Technologies: </a:t>
          </a:r>
          <a:r>
            <a:rPr lang="en-US" sz="900" b="0">
              <a:latin typeface="Arial" panose="020B0604020202020204" pitchFamily="34" charset="0"/>
              <a:cs typeface="Arial" panose="020B0604020202020204" pitchFamily="34" charset="0"/>
            </a:rPr>
            <a:t>Agilent Technologies is a global leader in life sciences, diagnostics, and applied chemical markets. The company offers a wide range of products and services, including analytical instruments, software, consumables, and services. Agilent Technologies competes with Mesa Labs in the areas of calibration and quality control instruments.</a:t>
          </a:r>
        </a:p>
        <a:p>
          <a:r>
            <a:rPr lang="en-US" sz="900" b="1">
              <a:latin typeface="Arial" panose="020B0604020202020204" pitchFamily="34" charset="0"/>
              <a:cs typeface="Arial" panose="020B0604020202020204" pitchFamily="34" charset="0"/>
            </a:rPr>
            <a:t>Danaher Corporation: </a:t>
          </a:r>
          <a:r>
            <a:rPr lang="en-US" sz="900" b="0">
              <a:latin typeface="Arial" panose="020B0604020202020204" pitchFamily="34" charset="0"/>
              <a:cs typeface="Arial" panose="020B0604020202020204" pitchFamily="34" charset="0"/>
            </a:rPr>
            <a:t>Danaher Corporation is a diversified conglomerate that operates in several industries, including life sciences, diagnostics, and environmental solutions. The company offers a range of products and services that overlap with those offered by Mesa Labs, including quality control and calibration instruments. Danaher Corporation owns several brands in this space, including Hach, Pall, and Beckman Coulter.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200025</xdr:colOff>
      <xdr:row>2</xdr:row>
      <xdr:rowOff>0</xdr:rowOff>
    </xdr:from>
    <xdr:to>
      <xdr:col>7</xdr:col>
      <xdr:colOff>647700</xdr:colOff>
      <xdr:row>9</xdr:row>
      <xdr:rowOff>95249</xdr:rowOff>
    </xdr:to>
    <xdr:sp macro="" textlink="">
      <xdr:nvSpPr>
        <xdr:cNvPr id="3" name="TextBox 2"/>
        <xdr:cNvSpPr txBox="1"/>
      </xdr:nvSpPr>
      <xdr:spPr>
        <a:xfrm>
          <a:off x="3028950" y="352425"/>
          <a:ext cx="2800350" cy="11620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 </a:t>
          </a:r>
          <a:r>
            <a:rPr lang="en-US" sz="1100" i="1"/>
            <a:t>The CEO (Gary Owens) of Mesa</a:t>
          </a:r>
          <a:r>
            <a:rPr lang="en-US" sz="1100" i="1" baseline="0"/>
            <a:t> Labs is part of Board of Directors (which is not good in itself). Although the Chairman of BOD (John Sullivan) has power to check the work of the CEO. Whether John Sullivan is doing his work, is a question? </a:t>
          </a:r>
          <a:endParaRPr lang="en-US" sz="1100" i="1"/>
        </a:p>
      </xdr:txBody>
    </xdr:sp>
    <xdr:clientData/>
  </xdr:twoCellAnchor>
  <xdr:twoCellAnchor>
    <xdr:from>
      <xdr:col>3</xdr:col>
      <xdr:colOff>200025</xdr:colOff>
      <xdr:row>10</xdr:row>
      <xdr:rowOff>47626</xdr:rowOff>
    </xdr:from>
    <xdr:to>
      <xdr:col>7</xdr:col>
      <xdr:colOff>647700</xdr:colOff>
      <xdr:row>21</xdr:row>
      <xdr:rowOff>104775</xdr:rowOff>
    </xdr:to>
    <xdr:sp macro="" textlink="">
      <xdr:nvSpPr>
        <xdr:cNvPr id="4" name="TextBox 3"/>
        <xdr:cNvSpPr txBox="1"/>
      </xdr:nvSpPr>
      <xdr:spPr>
        <a:xfrm>
          <a:off x="3028950" y="1619251"/>
          <a:ext cx="2800350" cy="1733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 </a:t>
          </a:r>
          <a:r>
            <a:rPr lang="en-US" sz="1100" i="1"/>
            <a:t>John</a:t>
          </a:r>
          <a:r>
            <a:rPr lang="en-US" sz="1100" i="1" baseline="0"/>
            <a:t> Sullivan was the CEO from Mar 2009 till Sep 2017. Upon his retirement, Gary Owens was apponted the next CEO of Mesa Labs and John Sullivan was appointed the chairman of the BOD.</a:t>
          </a:r>
        </a:p>
        <a:p>
          <a:endParaRPr lang="en-US" sz="1100" i="1" baseline="0"/>
        </a:p>
        <a:p>
          <a:r>
            <a:rPr lang="en-US" sz="1100" i="1" baseline="0"/>
            <a:t>There is a high chance that John is going to guide Gary towards his idologies (growing cash flows and strategic acquisitions). </a:t>
          </a:r>
          <a:endParaRPr lang="en-US" sz="1100" i="1"/>
        </a:p>
      </xdr:txBody>
    </xdr:sp>
    <xdr:clientData/>
  </xdr:twoCellAnchor>
  <xdr:twoCellAnchor>
    <xdr:from>
      <xdr:col>3</xdr:col>
      <xdr:colOff>190500</xdr:colOff>
      <xdr:row>22</xdr:row>
      <xdr:rowOff>57151</xdr:rowOff>
    </xdr:from>
    <xdr:to>
      <xdr:col>7</xdr:col>
      <xdr:colOff>638175</xdr:colOff>
      <xdr:row>25</xdr:row>
      <xdr:rowOff>76200</xdr:rowOff>
    </xdr:to>
    <xdr:sp macro="" textlink="">
      <xdr:nvSpPr>
        <xdr:cNvPr id="5" name="TextBox 4"/>
        <xdr:cNvSpPr txBox="1"/>
      </xdr:nvSpPr>
      <xdr:spPr>
        <a:xfrm>
          <a:off x="3019425" y="3457576"/>
          <a:ext cx="2800350" cy="4762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Mesa Laboratories, Inc.’s ISS Governance Quality Score as of October 1, 2022. </a:t>
          </a:r>
          <a:endParaRPr lang="en-US" sz="110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685799</xdr:colOff>
      <xdr:row>32</xdr:row>
      <xdr:rowOff>114300</xdr:rowOff>
    </xdr:from>
    <xdr:to>
      <xdr:col>4</xdr:col>
      <xdr:colOff>304799</xdr:colOff>
      <xdr:row>37</xdr:row>
      <xdr:rowOff>0</xdr:rowOff>
    </xdr:to>
    <xdr:sp macro="" textlink="">
      <xdr:nvSpPr>
        <xdr:cNvPr id="2" name="TextBox 1"/>
        <xdr:cNvSpPr txBox="1"/>
      </xdr:nvSpPr>
      <xdr:spPr>
        <a:xfrm>
          <a:off x="2524124" y="5038725"/>
          <a:ext cx="1028700"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Risk Free Rate:</a:t>
          </a:r>
        </a:p>
        <a:p>
          <a:r>
            <a:rPr lang="en-US" sz="2400" b="1"/>
            <a:t>4.04%</a:t>
          </a:r>
          <a:endParaRPr lang="en-US" sz="1100" b="1"/>
        </a:p>
      </xdr:txBody>
    </xdr:sp>
    <xdr:clientData/>
  </xdr:twoCellAnchor>
  <xdr:twoCellAnchor>
    <xdr:from>
      <xdr:col>4</xdr:col>
      <xdr:colOff>400049</xdr:colOff>
      <xdr:row>32</xdr:row>
      <xdr:rowOff>114300</xdr:rowOff>
    </xdr:from>
    <xdr:to>
      <xdr:col>5</xdr:col>
      <xdr:colOff>742950</xdr:colOff>
      <xdr:row>37</xdr:row>
      <xdr:rowOff>0</xdr:rowOff>
    </xdr:to>
    <xdr:sp macro="" textlink="">
      <xdr:nvSpPr>
        <xdr:cNvPr id="3" name="TextBox 2"/>
        <xdr:cNvSpPr txBox="1"/>
      </xdr:nvSpPr>
      <xdr:spPr>
        <a:xfrm>
          <a:off x="3648074" y="5038725"/>
          <a:ext cx="1066801"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Mesa Labs </a:t>
          </a:r>
          <a:r>
            <a:rPr lang="en-US" sz="1100" baseline="0"/>
            <a:t>ERP</a:t>
          </a:r>
          <a:r>
            <a:rPr lang="en-US" sz="1100"/>
            <a:t>:</a:t>
          </a:r>
        </a:p>
        <a:p>
          <a:r>
            <a:rPr lang="en-US" sz="2400" b="1"/>
            <a:t>5.39%</a:t>
          </a:r>
          <a:endParaRPr lang="en-US" sz="1100" b="1"/>
        </a:p>
      </xdr:txBody>
    </xdr:sp>
    <xdr:clientData/>
  </xdr:twoCellAnchor>
  <xdr:twoCellAnchor>
    <xdr:from>
      <xdr:col>6</xdr:col>
      <xdr:colOff>76199</xdr:colOff>
      <xdr:row>32</xdr:row>
      <xdr:rowOff>114300</xdr:rowOff>
    </xdr:from>
    <xdr:to>
      <xdr:col>7</xdr:col>
      <xdr:colOff>676275</xdr:colOff>
      <xdr:row>37</xdr:row>
      <xdr:rowOff>0</xdr:rowOff>
    </xdr:to>
    <xdr:sp macro="" textlink="">
      <xdr:nvSpPr>
        <xdr:cNvPr id="4" name="TextBox 3"/>
        <xdr:cNvSpPr txBox="1"/>
      </xdr:nvSpPr>
      <xdr:spPr>
        <a:xfrm>
          <a:off x="4810124" y="5038725"/>
          <a:ext cx="933451"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Beta:</a:t>
          </a:r>
        </a:p>
        <a:p>
          <a:r>
            <a:rPr lang="en-US" sz="2400" b="1"/>
            <a:t>1.08</a:t>
          </a:r>
          <a:endParaRPr lang="en-US" sz="1100" b="1"/>
        </a:p>
      </xdr:txBody>
    </xdr:sp>
    <xdr:clientData/>
  </xdr:twoCellAnchor>
  <xdr:twoCellAnchor>
    <xdr:from>
      <xdr:col>7</xdr:col>
      <xdr:colOff>895349</xdr:colOff>
      <xdr:row>32</xdr:row>
      <xdr:rowOff>114300</xdr:rowOff>
    </xdr:from>
    <xdr:to>
      <xdr:col>8</xdr:col>
      <xdr:colOff>1076325</xdr:colOff>
      <xdr:row>37</xdr:row>
      <xdr:rowOff>0</xdr:rowOff>
    </xdr:to>
    <xdr:sp macro="" textlink="">
      <xdr:nvSpPr>
        <xdr:cNvPr id="5" name="TextBox 4"/>
        <xdr:cNvSpPr txBox="1"/>
      </xdr:nvSpPr>
      <xdr:spPr>
        <a:xfrm>
          <a:off x="5962649" y="5038725"/>
          <a:ext cx="1123951"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Risk Free Rate:</a:t>
          </a:r>
        </a:p>
        <a:p>
          <a:r>
            <a:rPr lang="en-US" sz="2400" b="1"/>
            <a:t>4.04%</a:t>
          </a:r>
          <a:endParaRPr lang="en-US" sz="1100" b="1"/>
        </a:p>
      </xdr:txBody>
    </xdr:sp>
    <xdr:clientData/>
  </xdr:twoCellAnchor>
  <xdr:twoCellAnchor>
    <xdr:from>
      <xdr:col>8</xdr:col>
      <xdr:colOff>1219200</xdr:colOff>
      <xdr:row>32</xdr:row>
      <xdr:rowOff>114300</xdr:rowOff>
    </xdr:from>
    <xdr:to>
      <xdr:col>10</xdr:col>
      <xdr:colOff>247650</xdr:colOff>
      <xdr:row>37</xdr:row>
      <xdr:rowOff>0</xdr:rowOff>
    </xdr:to>
    <xdr:sp macro="" textlink="">
      <xdr:nvSpPr>
        <xdr:cNvPr id="7" name="TextBox 6"/>
        <xdr:cNvSpPr txBox="1"/>
      </xdr:nvSpPr>
      <xdr:spPr>
        <a:xfrm>
          <a:off x="7229475" y="5038725"/>
          <a:ext cx="1133475"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Mesa Labs Risk:</a:t>
          </a:r>
        </a:p>
        <a:p>
          <a:r>
            <a:rPr lang="en-US" sz="2400" b="1"/>
            <a:t>11.50%</a:t>
          </a:r>
          <a:endParaRPr lang="en-US" sz="1100" b="1"/>
        </a:p>
      </xdr:txBody>
    </xdr:sp>
    <xdr:clientData/>
  </xdr:twoCellAnchor>
  <xdr:twoCellAnchor>
    <xdr:from>
      <xdr:col>4</xdr:col>
      <xdr:colOff>325210</xdr:colOff>
      <xdr:row>38</xdr:row>
      <xdr:rowOff>38100</xdr:rowOff>
    </xdr:from>
    <xdr:to>
      <xdr:col>5</xdr:col>
      <xdr:colOff>638176</xdr:colOff>
      <xdr:row>42</xdr:row>
      <xdr:rowOff>76200</xdr:rowOff>
    </xdr:to>
    <xdr:sp macro="" textlink="">
      <xdr:nvSpPr>
        <xdr:cNvPr id="8" name="TextBox 7"/>
        <xdr:cNvSpPr txBox="1"/>
      </xdr:nvSpPr>
      <xdr:spPr>
        <a:xfrm>
          <a:off x="3573235" y="5876925"/>
          <a:ext cx="1036866"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 of Equity:</a:t>
          </a:r>
        </a:p>
        <a:p>
          <a:r>
            <a:rPr lang="en-US" sz="2400" b="1"/>
            <a:t>9.87%</a:t>
          </a:r>
          <a:endParaRPr lang="en-US" sz="1100" b="1"/>
        </a:p>
      </xdr:txBody>
    </xdr:sp>
    <xdr:clientData/>
  </xdr:twoCellAnchor>
  <xdr:twoCellAnchor>
    <xdr:from>
      <xdr:col>8</xdr:col>
      <xdr:colOff>628649</xdr:colOff>
      <xdr:row>38</xdr:row>
      <xdr:rowOff>38100</xdr:rowOff>
    </xdr:from>
    <xdr:to>
      <xdr:col>9</xdr:col>
      <xdr:colOff>333376</xdr:colOff>
      <xdr:row>42</xdr:row>
      <xdr:rowOff>76200</xdr:rowOff>
    </xdr:to>
    <xdr:sp macro="" textlink="">
      <xdr:nvSpPr>
        <xdr:cNvPr id="9" name="TextBox 8"/>
        <xdr:cNvSpPr txBox="1"/>
      </xdr:nvSpPr>
      <xdr:spPr>
        <a:xfrm>
          <a:off x="6638924" y="5876925"/>
          <a:ext cx="1104902"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 of Debt:</a:t>
          </a:r>
        </a:p>
        <a:p>
          <a:r>
            <a:rPr lang="en-US" sz="2400" b="1"/>
            <a:t>15.54%</a:t>
          </a:r>
          <a:endParaRPr lang="en-US" sz="1100" b="1"/>
        </a:p>
      </xdr:txBody>
    </xdr:sp>
    <xdr:clientData/>
  </xdr:twoCellAnchor>
  <xdr:twoCellAnchor>
    <xdr:from>
      <xdr:col>7</xdr:col>
      <xdr:colOff>47623</xdr:colOff>
      <xdr:row>38</xdr:row>
      <xdr:rowOff>38100</xdr:rowOff>
    </xdr:from>
    <xdr:to>
      <xdr:col>8</xdr:col>
      <xdr:colOff>228600</xdr:colOff>
      <xdr:row>42</xdr:row>
      <xdr:rowOff>76200</xdr:rowOff>
    </xdr:to>
    <xdr:sp macro="" textlink="">
      <xdr:nvSpPr>
        <xdr:cNvPr id="10" name="TextBox 9"/>
        <xdr:cNvSpPr txBox="1"/>
      </xdr:nvSpPr>
      <xdr:spPr>
        <a:xfrm>
          <a:off x="5114923" y="5876925"/>
          <a:ext cx="1123952" cy="6477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WACC:</a:t>
          </a:r>
        </a:p>
        <a:p>
          <a:r>
            <a:rPr lang="en-US" sz="2400" b="1">
              <a:solidFill>
                <a:schemeClr val="bg1"/>
              </a:solidFill>
            </a:rPr>
            <a:t>10.24%</a:t>
          </a:r>
          <a:endParaRPr lang="en-US" sz="1100" b="1">
            <a:solidFill>
              <a:schemeClr val="bg1"/>
            </a:solidFill>
          </a:endParaRPr>
        </a:p>
      </xdr:txBody>
    </xdr:sp>
    <xdr:clientData/>
  </xdr:twoCellAnchor>
  <xdr:twoCellAnchor>
    <xdr:from>
      <xdr:col>3</xdr:col>
      <xdr:colOff>476249</xdr:colOff>
      <xdr:row>37</xdr:row>
      <xdr:rowOff>0</xdr:rowOff>
    </xdr:from>
    <xdr:to>
      <xdr:col>4</xdr:col>
      <xdr:colOff>325210</xdr:colOff>
      <xdr:row>40</xdr:row>
      <xdr:rowOff>57150</xdr:rowOff>
    </xdr:to>
    <xdr:cxnSp macro="">
      <xdr:nvCxnSpPr>
        <xdr:cNvPr id="12" name="Straight Connector 11"/>
        <xdr:cNvCxnSpPr>
          <a:stCxn id="2" idx="2"/>
          <a:endCxn id="8" idx="1"/>
        </xdr:cNvCxnSpPr>
      </xdr:nvCxnSpPr>
      <xdr:spPr>
        <a:xfrm>
          <a:off x="3038474" y="5686425"/>
          <a:ext cx="534761" cy="51435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119743</xdr:colOff>
      <xdr:row>37</xdr:row>
      <xdr:rowOff>0</xdr:rowOff>
    </xdr:from>
    <xdr:to>
      <xdr:col>5</xdr:col>
      <xdr:colOff>209550</xdr:colOff>
      <xdr:row>38</xdr:row>
      <xdr:rowOff>38100</xdr:rowOff>
    </xdr:to>
    <xdr:cxnSp macro="">
      <xdr:nvCxnSpPr>
        <xdr:cNvPr id="14" name="Straight Connector 13"/>
        <xdr:cNvCxnSpPr>
          <a:stCxn id="3" idx="2"/>
          <a:endCxn id="8" idx="0"/>
        </xdr:cNvCxnSpPr>
      </xdr:nvCxnSpPr>
      <xdr:spPr>
        <a:xfrm flipH="1">
          <a:off x="4091668" y="5686425"/>
          <a:ext cx="89807" cy="19050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638176</xdr:colOff>
      <xdr:row>37</xdr:row>
      <xdr:rowOff>0</xdr:rowOff>
    </xdr:from>
    <xdr:to>
      <xdr:col>7</xdr:col>
      <xdr:colOff>209550</xdr:colOff>
      <xdr:row>40</xdr:row>
      <xdr:rowOff>57150</xdr:rowOff>
    </xdr:to>
    <xdr:cxnSp macro="">
      <xdr:nvCxnSpPr>
        <xdr:cNvPr id="16" name="Straight Connector 15"/>
        <xdr:cNvCxnSpPr>
          <a:stCxn id="4" idx="2"/>
          <a:endCxn id="8" idx="3"/>
        </xdr:cNvCxnSpPr>
      </xdr:nvCxnSpPr>
      <xdr:spPr>
        <a:xfrm flipH="1">
          <a:off x="4610101" y="5686425"/>
          <a:ext cx="666749" cy="51435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514350</xdr:colOff>
      <xdr:row>37</xdr:row>
      <xdr:rowOff>0</xdr:rowOff>
    </xdr:from>
    <xdr:to>
      <xdr:col>8</xdr:col>
      <xdr:colOff>1181100</xdr:colOff>
      <xdr:row>38</xdr:row>
      <xdr:rowOff>38100</xdr:rowOff>
    </xdr:to>
    <xdr:cxnSp macro="">
      <xdr:nvCxnSpPr>
        <xdr:cNvPr id="18" name="Straight Connector 17"/>
        <xdr:cNvCxnSpPr>
          <a:stCxn id="5" idx="2"/>
          <a:endCxn id="9" idx="0"/>
        </xdr:cNvCxnSpPr>
      </xdr:nvCxnSpPr>
      <xdr:spPr>
        <a:xfrm>
          <a:off x="6524625" y="5686425"/>
          <a:ext cx="666750" cy="19050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1181100</xdr:colOff>
      <xdr:row>37</xdr:row>
      <xdr:rowOff>0</xdr:rowOff>
    </xdr:from>
    <xdr:to>
      <xdr:col>9</xdr:col>
      <xdr:colOff>385763</xdr:colOff>
      <xdr:row>38</xdr:row>
      <xdr:rowOff>38100</xdr:rowOff>
    </xdr:to>
    <xdr:cxnSp macro="">
      <xdr:nvCxnSpPr>
        <xdr:cNvPr id="22" name="Straight Connector 21"/>
        <xdr:cNvCxnSpPr>
          <a:stCxn id="7" idx="2"/>
          <a:endCxn id="9" idx="0"/>
        </xdr:cNvCxnSpPr>
      </xdr:nvCxnSpPr>
      <xdr:spPr>
        <a:xfrm flipH="1">
          <a:off x="7191375" y="5686425"/>
          <a:ext cx="604838" cy="19050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638176</xdr:colOff>
      <xdr:row>40</xdr:row>
      <xdr:rowOff>57150</xdr:rowOff>
    </xdr:from>
    <xdr:to>
      <xdr:col>7</xdr:col>
      <xdr:colOff>47623</xdr:colOff>
      <xdr:row>40</xdr:row>
      <xdr:rowOff>57150</xdr:rowOff>
    </xdr:to>
    <xdr:cxnSp macro="">
      <xdr:nvCxnSpPr>
        <xdr:cNvPr id="24" name="Straight Connector 23"/>
        <xdr:cNvCxnSpPr>
          <a:stCxn id="8" idx="3"/>
          <a:endCxn id="10" idx="1"/>
        </xdr:cNvCxnSpPr>
      </xdr:nvCxnSpPr>
      <xdr:spPr>
        <a:xfrm>
          <a:off x="4610101" y="6200775"/>
          <a:ext cx="504822"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228600</xdr:colOff>
      <xdr:row>40</xdr:row>
      <xdr:rowOff>57150</xdr:rowOff>
    </xdr:from>
    <xdr:to>
      <xdr:col>8</xdr:col>
      <xdr:colOff>628649</xdr:colOff>
      <xdr:row>40</xdr:row>
      <xdr:rowOff>57150</xdr:rowOff>
    </xdr:to>
    <xdr:cxnSp macro="">
      <xdr:nvCxnSpPr>
        <xdr:cNvPr id="26" name="Straight Connector 25"/>
        <xdr:cNvCxnSpPr>
          <a:stCxn id="10" idx="3"/>
          <a:endCxn id="9" idx="1"/>
        </xdr:cNvCxnSpPr>
      </xdr:nvCxnSpPr>
      <xdr:spPr>
        <a:xfrm>
          <a:off x="6238875" y="6200775"/>
          <a:ext cx="400049"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95250</xdr:colOff>
      <xdr:row>2</xdr:row>
      <xdr:rowOff>0</xdr:rowOff>
    </xdr:from>
    <xdr:to>
      <xdr:col>5</xdr:col>
      <xdr:colOff>219076</xdr:colOff>
      <xdr:row>6</xdr:row>
      <xdr:rowOff>47624</xdr:rowOff>
    </xdr:to>
    <xdr:sp macro="" textlink="">
      <xdr:nvSpPr>
        <xdr:cNvPr id="17" name="TextBox 16"/>
        <xdr:cNvSpPr txBox="1"/>
      </xdr:nvSpPr>
      <xdr:spPr>
        <a:xfrm>
          <a:off x="2657475" y="352425"/>
          <a:ext cx="1533526" cy="657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u="none" strike="noStrike">
              <a:solidFill>
                <a:schemeClr val="dk1"/>
              </a:solidFill>
              <a:effectLst/>
              <a:latin typeface="+mn-lt"/>
              <a:ea typeface="+mn-ea"/>
              <a:cs typeface="+mn-cs"/>
            </a:rPr>
            <a:t>Note: No foreign</a:t>
          </a:r>
          <a:r>
            <a:rPr lang="en-US" sz="1100" b="0" i="1" u="none" strike="noStrike" baseline="0">
              <a:solidFill>
                <a:schemeClr val="dk1"/>
              </a:solidFill>
              <a:effectLst/>
              <a:latin typeface="+mn-lt"/>
              <a:ea typeface="+mn-ea"/>
              <a:cs typeface="+mn-cs"/>
            </a:rPr>
            <a:t> country has more than 10% of total revenues.</a:t>
          </a:r>
          <a:endParaRPr lang="en-US" sz="1100" b="0" i="0" u="none" strike="noStrike" baseline="0">
            <a:solidFill>
              <a:schemeClr val="dk1"/>
            </a:solidFill>
            <a:effectLst/>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15</xdr:col>
      <xdr:colOff>114300</xdr:colOff>
      <xdr:row>2</xdr:row>
      <xdr:rowOff>0</xdr:rowOff>
    </xdr:from>
    <xdr:to>
      <xdr:col>19</xdr:col>
      <xdr:colOff>304800</xdr:colOff>
      <xdr:row>9</xdr:row>
      <xdr:rowOff>85726</xdr:rowOff>
    </xdr:to>
    <xdr:sp macro="" textlink="">
      <xdr:nvSpPr>
        <xdr:cNvPr id="2" name="TextBox 1"/>
        <xdr:cNvSpPr txBox="1"/>
      </xdr:nvSpPr>
      <xdr:spPr>
        <a:xfrm>
          <a:off x="12334875" y="352425"/>
          <a:ext cx="2714625" cy="1152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baseline="0">
              <a:solidFill>
                <a:schemeClr val="dk1"/>
              </a:solidFill>
              <a:effectLst/>
              <a:latin typeface="+mn-lt"/>
              <a:ea typeface="+mn-ea"/>
              <a:cs typeface="+mn-cs"/>
            </a:rPr>
            <a:t>beta.py - To get the levered beta</a:t>
          </a:r>
        </a:p>
        <a:p>
          <a:r>
            <a:rPr lang="en-US" sz="1100" b="0" i="0" u="none" strike="noStrike" baseline="0">
              <a:solidFill>
                <a:schemeClr val="dk1"/>
              </a:solidFill>
              <a:effectLst/>
              <a:latin typeface="+mn-lt"/>
              <a:ea typeface="+mn-ea"/>
              <a:cs typeface="+mn-cs"/>
            </a:rPr>
            <a:t>mcap.py - To get market price and shares outstanding</a:t>
          </a:r>
        </a:p>
        <a:p>
          <a:r>
            <a:rPr lang="en-US" sz="1100" b="0" i="0" u="none" strike="noStrike" baseline="0">
              <a:solidFill>
                <a:schemeClr val="dk1"/>
              </a:solidFill>
              <a:effectLst/>
              <a:latin typeface="+mn-lt"/>
              <a:ea typeface="+mn-ea"/>
              <a:cs typeface="+mn-cs"/>
            </a:rPr>
            <a:t>debt.py - To get the total debt</a:t>
          </a:r>
        </a:p>
        <a:p>
          <a:r>
            <a:rPr lang="en-US" sz="1100" b="0" i="0" u="none" strike="noStrike" baseline="0">
              <a:solidFill>
                <a:schemeClr val="dk1"/>
              </a:solidFill>
              <a:effectLst/>
              <a:latin typeface="+mn-lt"/>
              <a:ea typeface="+mn-ea"/>
              <a:cs typeface="+mn-cs"/>
            </a:rPr>
            <a:t>cash.py - To get the cash and cash eq.</a:t>
          </a:r>
        </a:p>
        <a:p>
          <a:r>
            <a:rPr lang="en-US" sz="1100" b="0" i="0" u="none" strike="noStrike" baseline="0">
              <a:solidFill>
                <a:schemeClr val="dk1"/>
              </a:solidFill>
              <a:effectLst/>
              <a:latin typeface="+mn-lt"/>
              <a:ea typeface="+mn-ea"/>
              <a:cs typeface="+mn-cs"/>
            </a:rPr>
            <a:t>sales.py - to get the latest revenues</a:t>
          </a:r>
        </a:p>
      </xdr:txBody>
    </xdr:sp>
    <xdr:clientData/>
  </xdr:twoCellAnchor>
  <xdr:twoCellAnchor>
    <xdr:from>
      <xdr:col>1</xdr:col>
      <xdr:colOff>76200</xdr:colOff>
      <xdr:row>81</xdr:row>
      <xdr:rowOff>142875</xdr:rowOff>
    </xdr:from>
    <xdr:to>
      <xdr:col>3</xdr:col>
      <xdr:colOff>885825</xdr:colOff>
      <xdr:row>84</xdr:row>
      <xdr:rowOff>142875</xdr:rowOff>
    </xdr:to>
    <xdr:sp macro="" textlink="">
      <xdr:nvSpPr>
        <xdr:cNvPr id="3" name="TextBox 2"/>
        <xdr:cNvSpPr txBox="1"/>
      </xdr:nvSpPr>
      <xdr:spPr>
        <a:xfrm>
          <a:off x="209550" y="12534900"/>
          <a:ext cx="2952750" cy="45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baseline="0">
              <a:solidFill>
                <a:schemeClr val="dk1"/>
              </a:solidFill>
              <a:effectLst/>
              <a:latin typeface="+mn-lt"/>
              <a:ea typeface="+mn-ea"/>
              <a:cs typeface="+mn-cs"/>
            </a:rPr>
            <a:t>Almost all calibration products manufacturing companies are private companies. Found just 2!</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180975</xdr:colOff>
      <xdr:row>16</xdr:row>
      <xdr:rowOff>76200</xdr:rowOff>
    </xdr:from>
    <xdr:to>
      <xdr:col>13</xdr:col>
      <xdr:colOff>0</xdr:colOff>
      <xdr:row>24</xdr:row>
      <xdr:rowOff>76200</xdr:rowOff>
    </xdr:to>
    <xdr:sp macro="" textlink="">
      <xdr:nvSpPr>
        <xdr:cNvPr id="3" name="TextBox 2"/>
        <xdr:cNvSpPr txBox="1"/>
      </xdr:nvSpPr>
      <xdr:spPr>
        <a:xfrm>
          <a:off x="6677025" y="2552700"/>
          <a:ext cx="2847975" cy="1219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The Global Biopharmaceutical Market Size accounted for USD 328 Billion in 2021 and is estimated to garner a market size of USD 853 Billion by 2030 rising at a CAGR of 11.3% from 2022 to 2030.</a:t>
          </a:r>
        </a:p>
        <a:p>
          <a:r>
            <a:rPr lang="en-US" sz="1100" b="0" i="1">
              <a:solidFill>
                <a:schemeClr val="dk1"/>
              </a:solidFill>
              <a:effectLst/>
              <a:latin typeface="+mn-lt"/>
              <a:ea typeface="+mn-ea"/>
              <a:cs typeface="+mn-cs"/>
            </a:rPr>
            <a:t>~</a:t>
          </a:r>
          <a:r>
            <a:rPr lang="en-US" sz="1100" b="0" i="1" baseline="0">
              <a:solidFill>
                <a:schemeClr val="dk1"/>
              </a:solidFill>
              <a:effectLst/>
              <a:latin typeface="+mn-lt"/>
              <a:ea typeface="+mn-ea"/>
              <a:cs typeface="+mn-cs"/>
            </a:rPr>
            <a:t> Global News Wire</a:t>
          </a:r>
          <a:endParaRPr lang="en-US" sz="1100" i="1"/>
        </a:p>
      </xdr:txBody>
    </xdr:sp>
    <xdr:clientData/>
  </xdr:twoCellAnchor>
  <xdr:twoCellAnchor>
    <xdr:from>
      <xdr:col>6</xdr:col>
      <xdr:colOff>9526</xdr:colOff>
      <xdr:row>16</xdr:row>
      <xdr:rowOff>85726</xdr:rowOff>
    </xdr:from>
    <xdr:to>
      <xdr:col>8</xdr:col>
      <xdr:colOff>781050</xdr:colOff>
      <xdr:row>24</xdr:row>
      <xdr:rowOff>66675</xdr:rowOff>
    </xdr:to>
    <xdr:sp macro="" textlink="">
      <xdr:nvSpPr>
        <xdr:cNvPr id="4" name="TextBox 3"/>
        <xdr:cNvSpPr txBox="1"/>
      </xdr:nvSpPr>
      <xdr:spPr>
        <a:xfrm>
          <a:off x="3609976" y="2562226"/>
          <a:ext cx="2657474" cy="12001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i="0">
              <a:solidFill>
                <a:schemeClr val="dk1"/>
              </a:solidFill>
              <a:effectLst/>
              <a:latin typeface="+mn-lt"/>
              <a:ea typeface="+mn-ea"/>
              <a:cs typeface="Arial" panose="020B0604020202020204" pitchFamily="34" charset="0"/>
            </a:rPr>
            <a:t>The global sterilization equipment market reached a value of US$ 12.5 Billion in 2021. Looking forward, the publisher expects the market to reach US$ 21.4 Billion by 2027, exhibiting a CAGR of 9.37% during 2021-2027</a:t>
          </a:r>
        </a:p>
        <a:p>
          <a:r>
            <a:rPr lang="en-US" sz="1100" b="0" i="1">
              <a:solidFill>
                <a:schemeClr val="dk1"/>
              </a:solidFill>
              <a:effectLst/>
              <a:latin typeface="+mn-lt"/>
              <a:ea typeface="+mn-ea"/>
              <a:cs typeface="+mn-cs"/>
            </a:rPr>
            <a:t>~ PR</a:t>
          </a:r>
          <a:r>
            <a:rPr lang="en-US" sz="1100" b="0" i="1" baseline="0">
              <a:solidFill>
                <a:schemeClr val="dk1"/>
              </a:solidFill>
              <a:effectLst/>
              <a:latin typeface="+mn-lt"/>
              <a:ea typeface="+mn-ea"/>
              <a:cs typeface="+mn-cs"/>
            </a:rPr>
            <a:t> News Wire</a:t>
          </a:r>
          <a:endParaRPr lang="en-US" sz="1050" b="0" i="1">
            <a:solidFill>
              <a:schemeClr val="dk1"/>
            </a:solidFill>
            <a:effectLst/>
            <a:latin typeface="+mn-lt"/>
            <a:ea typeface="+mn-ea"/>
            <a:cs typeface="Arial" panose="020B0604020202020204" pitchFamily="34" charset="0"/>
          </a:endParaRPr>
        </a:p>
      </xdr:txBody>
    </xdr:sp>
    <xdr:clientData/>
  </xdr:twoCellAnchor>
  <xdr:twoCellAnchor>
    <xdr:from>
      <xdr:col>1</xdr:col>
      <xdr:colOff>9524</xdr:colOff>
      <xdr:row>31</xdr:row>
      <xdr:rowOff>104775</xdr:rowOff>
    </xdr:from>
    <xdr:to>
      <xdr:col>17</xdr:col>
      <xdr:colOff>66675</xdr:colOff>
      <xdr:row>59</xdr:row>
      <xdr:rowOff>66675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16</xdr:row>
      <xdr:rowOff>85727</xdr:rowOff>
    </xdr:from>
    <xdr:to>
      <xdr:col>4</xdr:col>
      <xdr:colOff>476249</xdr:colOff>
      <xdr:row>23</xdr:row>
      <xdr:rowOff>133351</xdr:rowOff>
    </xdr:to>
    <xdr:sp macro="" textlink="">
      <xdr:nvSpPr>
        <xdr:cNvPr id="6" name="TextBox 5"/>
        <xdr:cNvSpPr txBox="1"/>
      </xdr:nvSpPr>
      <xdr:spPr>
        <a:xfrm>
          <a:off x="152400" y="2562227"/>
          <a:ext cx="2857499" cy="11144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i="0">
              <a:solidFill>
                <a:schemeClr val="dk1"/>
              </a:solidFill>
              <a:effectLst/>
              <a:latin typeface="+mn-lt"/>
              <a:ea typeface="+mn-ea"/>
              <a:cs typeface="Arial" panose="020B0604020202020204" pitchFamily="34" charset="0"/>
            </a:rPr>
            <a:t>The global genomics market is expected to grow from $27.58 billion in 2021 to $32.56 billion in 2022 at a compound annual growth rate (CAGR) of 18.1%. The market is expected to reach $63.50 billion in 2026 at a CAGR of 18.2%.</a:t>
          </a:r>
        </a:p>
        <a:p>
          <a:r>
            <a:rPr lang="en-US" sz="1100" b="0" i="1">
              <a:solidFill>
                <a:schemeClr val="dk1"/>
              </a:solidFill>
              <a:effectLst/>
              <a:latin typeface="+mn-lt"/>
              <a:ea typeface="+mn-ea"/>
              <a:cs typeface="+mn-cs"/>
            </a:rPr>
            <a:t>~ Business</a:t>
          </a:r>
          <a:r>
            <a:rPr lang="en-US" sz="1100" b="0" i="1" baseline="0">
              <a:solidFill>
                <a:schemeClr val="dk1"/>
              </a:solidFill>
              <a:effectLst/>
              <a:latin typeface="+mn-lt"/>
              <a:ea typeface="+mn-ea"/>
              <a:cs typeface="+mn-cs"/>
            </a:rPr>
            <a:t> Wire</a:t>
          </a:r>
          <a:endParaRPr lang="en-US" sz="1050" b="0" i="1">
            <a:solidFill>
              <a:schemeClr val="dk1"/>
            </a:solidFill>
            <a:effectLst/>
            <a:latin typeface="+mn-lt"/>
            <a:ea typeface="+mn-ea"/>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133350</xdr:colOff>
      <xdr:row>34</xdr:row>
      <xdr:rowOff>133350</xdr:rowOff>
    </xdr:from>
    <xdr:to>
      <xdr:col>19</xdr:col>
      <xdr:colOff>95250</xdr:colOff>
      <xdr:row>54</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O15"/>
  <sheetViews>
    <sheetView tabSelected="1" workbookViewId="0"/>
  </sheetViews>
  <sheetFormatPr defaultColWidth="9.140625" defaultRowHeight="12.75"/>
  <cols>
    <col min="1" max="1" width="2" style="53" customWidth="1"/>
    <col min="2" max="8" width="9.140625" style="53"/>
    <col min="9" max="9" width="11.42578125" style="53" customWidth="1"/>
    <col min="10" max="16384" width="9.140625" style="53"/>
  </cols>
  <sheetData>
    <row r="1" spans="2:15" ht="50.25">
      <c r="B1" s="54" t="s">
        <v>200</v>
      </c>
    </row>
    <row r="3" spans="2:15" ht="13.5" customHeight="1">
      <c r="F3" s="54"/>
      <c r="H3" s="54"/>
    </row>
    <row r="5" spans="2:15" ht="15">
      <c r="E5"/>
    </row>
    <row r="8" spans="2:15" ht="15">
      <c r="D8"/>
    </row>
    <row r="9" spans="2:15" ht="15">
      <c r="C9" s="55"/>
      <c r="F9"/>
    </row>
    <row r="10" spans="2:15" ht="15">
      <c r="C10" s="55"/>
      <c r="F10"/>
    </row>
    <row r="12" spans="2:15" ht="15">
      <c r="J12"/>
    </row>
    <row r="13" spans="2:15">
      <c r="O13" s="56"/>
    </row>
    <row r="15" spans="2:15" ht="15">
      <c r="J15"/>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20.5703125" style="2" customWidth="1"/>
    <col min="4" max="4" width="2.85546875" style="2" customWidth="1"/>
    <col min="5" max="5" width="17.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6" t="s">
        <v>201</v>
      </c>
      <c r="E1" s="3"/>
      <c r="F1" s="59"/>
      <c r="G1" s="3"/>
      <c r="H1" s="3"/>
      <c r="I1" s="3"/>
      <c r="J1" s="3"/>
      <c r="K1" s="3"/>
      <c r="L1" s="3"/>
      <c r="M1" s="3"/>
      <c r="N1" s="3"/>
    </row>
    <row r="2" spans="2:14">
      <c r="E2" s="3"/>
      <c r="F2" s="59"/>
      <c r="G2" s="3"/>
      <c r="H2" s="3"/>
      <c r="I2" s="3"/>
      <c r="J2" s="3"/>
      <c r="K2" s="3"/>
      <c r="L2" s="3"/>
      <c r="M2" s="3"/>
      <c r="N2" s="3"/>
    </row>
    <row r="3" spans="2:14">
      <c r="B3" s="3" t="s">
        <v>202</v>
      </c>
      <c r="C3" s="70" t="s">
        <v>210</v>
      </c>
      <c r="D3" s="21"/>
      <c r="E3" s="44"/>
      <c r="F3" s="90"/>
      <c r="G3" s="86"/>
      <c r="H3" s="82"/>
      <c r="I3" s="82"/>
      <c r="J3" s="82"/>
      <c r="K3" s="3"/>
      <c r="L3" s="91"/>
      <c r="M3" s="82"/>
      <c r="N3" s="3"/>
    </row>
    <row r="4" spans="2:14">
      <c r="B4" s="2" t="s">
        <v>203</v>
      </c>
      <c r="C4" s="236" t="s">
        <v>211</v>
      </c>
      <c r="D4" s="6"/>
      <c r="E4" s="3"/>
      <c r="F4" s="63"/>
      <c r="G4" s="87"/>
      <c r="H4" s="88"/>
      <c r="I4" s="44"/>
      <c r="J4" s="61"/>
      <c r="K4" s="3"/>
      <c r="L4" s="62"/>
      <c r="M4" s="72"/>
      <c r="N4" s="3"/>
    </row>
    <row r="5" spans="2:14">
      <c r="D5" s="6"/>
      <c r="E5" s="3"/>
      <c r="F5" s="63"/>
      <c r="G5" s="87"/>
      <c r="H5" s="88"/>
      <c r="I5" s="44"/>
      <c r="J5" s="61"/>
      <c r="K5" s="3"/>
      <c r="L5" s="62"/>
      <c r="M5" s="72"/>
      <c r="N5" s="3"/>
    </row>
    <row r="6" spans="2:14">
      <c r="C6" s="66"/>
      <c r="D6" s="23"/>
      <c r="E6" s="3"/>
      <c r="F6" s="63"/>
      <c r="G6" s="87"/>
      <c r="H6" s="88"/>
      <c r="I6" s="44"/>
      <c r="J6" s="61"/>
      <c r="K6" s="3"/>
      <c r="L6" s="62"/>
      <c r="M6" s="72"/>
      <c r="N6" s="3"/>
    </row>
    <row r="7" spans="2:14">
      <c r="C7" s="67"/>
      <c r="D7" s="6"/>
      <c r="E7" s="3"/>
      <c r="F7" s="63"/>
      <c r="G7" s="87"/>
      <c r="H7" s="88"/>
      <c r="I7" s="44"/>
      <c r="J7" s="61"/>
      <c r="K7" s="3"/>
      <c r="L7" s="62"/>
      <c r="M7" s="72"/>
      <c r="N7" s="3"/>
    </row>
    <row r="8" spans="2:14">
      <c r="C8" s="43"/>
      <c r="D8" s="6"/>
      <c r="E8" s="3"/>
      <c r="F8" s="63"/>
      <c r="G8" s="87"/>
      <c r="H8" s="88"/>
      <c r="I8" s="44"/>
      <c r="J8" s="61"/>
      <c r="K8" s="3"/>
      <c r="L8" s="62"/>
      <c r="M8" s="72"/>
      <c r="N8" s="3"/>
    </row>
    <row r="9" spans="2:14">
      <c r="B9" s="3"/>
      <c r="C9" s="70"/>
      <c r="D9" s="6"/>
      <c r="E9" s="3"/>
      <c r="F9" s="63"/>
      <c r="G9" s="87"/>
      <c r="H9" s="88"/>
      <c r="I9" s="44"/>
      <c r="J9" s="61"/>
      <c r="K9" s="3"/>
      <c r="L9" s="62"/>
      <c r="M9" s="72"/>
      <c r="N9" s="3"/>
    </row>
    <row r="10" spans="2:14">
      <c r="B10" s="3"/>
      <c r="C10" s="70"/>
      <c r="D10" s="6"/>
      <c r="E10" s="3"/>
      <c r="F10" s="63"/>
      <c r="G10" s="87"/>
      <c r="H10" s="88"/>
      <c r="I10" s="44"/>
      <c r="J10" s="61"/>
      <c r="K10" s="3"/>
      <c r="L10" s="60"/>
      <c r="M10" s="3"/>
      <c r="N10" s="3"/>
    </row>
    <row r="11" spans="2:14">
      <c r="B11" s="3"/>
      <c r="C11" s="71"/>
      <c r="D11" s="6"/>
      <c r="E11" s="3"/>
      <c r="F11" s="63"/>
      <c r="G11" s="87"/>
      <c r="H11" s="88"/>
      <c r="I11" s="44"/>
      <c r="J11" s="61"/>
      <c r="K11" s="3"/>
      <c r="L11" s="68"/>
      <c r="M11" s="73"/>
      <c r="N11" s="3"/>
    </row>
    <row r="12" spans="2:14">
      <c r="B12" s="3"/>
      <c r="C12" s="3"/>
      <c r="D12" s="6"/>
      <c r="E12" s="3"/>
      <c r="F12" s="63"/>
      <c r="G12" s="87"/>
      <c r="H12" s="88"/>
      <c r="I12" s="44"/>
      <c r="J12" s="61"/>
      <c r="K12" s="3"/>
      <c r="L12" s="58"/>
      <c r="M12" s="73"/>
      <c r="N12" s="3"/>
    </row>
    <row r="13" spans="2:14">
      <c r="B13" s="3"/>
      <c r="C13" s="52"/>
      <c r="D13" s="6"/>
      <c r="E13" s="3"/>
      <c r="F13" s="63"/>
      <c r="G13" s="87"/>
      <c r="H13" s="88"/>
      <c r="I13" s="44"/>
      <c r="J13" s="61"/>
      <c r="K13" s="3"/>
      <c r="L13" s="3"/>
      <c r="M13" s="3"/>
      <c r="N13" s="3"/>
    </row>
    <row r="14" spans="2:14">
      <c r="B14" s="22"/>
      <c r="C14" s="22"/>
      <c r="D14" s="23"/>
      <c r="E14" s="3"/>
      <c r="F14" s="62"/>
      <c r="G14" s="7"/>
      <c r="H14" s="3"/>
      <c r="I14" s="44"/>
      <c r="J14" s="22"/>
      <c r="K14" s="3"/>
      <c r="L14" s="3"/>
      <c r="M14" s="3"/>
      <c r="N14" s="3"/>
    </row>
    <row r="15" spans="2:14">
      <c r="B15" s="3"/>
      <c r="C15" s="96"/>
      <c r="D15" s="6"/>
      <c r="E15" s="44"/>
      <c r="F15" s="58"/>
      <c r="G15" s="3"/>
      <c r="H15" s="3"/>
      <c r="I15" s="3"/>
      <c r="J15" s="3"/>
      <c r="K15" s="3"/>
      <c r="L15" s="3"/>
      <c r="M15" s="3"/>
      <c r="N15" s="3"/>
    </row>
    <row r="16" spans="2:14">
      <c r="B16" s="3"/>
      <c r="C16" s="3"/>
      <c r="D16" s="6"/>
      <c r="E16" s="44"/>
      <c r="F16" s="68"/>
      <c r="G16" s="69"/>
      <c r="H16" s="42"/>
      <c r="I16" s="3"/>
      <c r="J16" s="3"/>
      <c r="K16" s="3"/>
      <c r="L16" s="3"/>
      <c r="M16" s="3"/>
      <c r="N16" s="3"/>
    </row>
    <row r="17" spans="2:14">
      <c r="B17" s="3"/>
      <c r="C17" s="67"/>
      <c r="D17" s="6"/>
      <c r="E17" s="44"/>
      <c r="F17" s="58"/>
      <c r="G17" s="69"/>
      <c r="H17" s="3"/>
      <c r="I17" s="3"/>
      <c r="J17" s="3"/>
      <c r="K17" s="3"/>
      <c r="L17" s="3"/>
      <c r="M17" s="3"/>
      <c r="N17" s="3"/>
    </row>
    <row r="18" spans="2:14">
      <c r="B18" s="3"/>
      <c r="C18" s="3"/>
      <c r="D18" s="23"/>
      <c r="E18" s="44"/>
      <c r="F18" s="58"/>
      <c r="G18" s="3"/>
      <c r="H18" s="3"/>
      <c r="I18" s="3"/>
      <c r="J18" s="3"/>
      <c r="K18" s="3"/>
      <c r="L18" s="3"/>
      <c r="M18" s="3"/>
      <c r="N18" s="3"/>
    </row>
    <row r="19" spans="2:14">
      <c r="B19" s="22"/>
      <c r="C19" s="22"/>
      <c r="D19" s="6"/>
      <c r="E19" s="44"/>
      <c r="F19" s="58"/>
      <c r="G19" s="3"/>
      <c r="H19" s="3"/>
      <c r="I19" s="3"/>
      <c r="J19" s="3"/>
      <c r="K19" s="3"/>
      <c r="L19" s="3"/>
      <c r="M19" s="3"/>
      <c r="N19" s="3"/>
    </row>
    <row r="20" spans="2:14">
      <c r="B20" s="3"/>
      <c r="C20" s="3"/>
      <c r="D20" s="6"/>
      <c r="E20" s="89"/>
      <c r="F20" s="91"/>
      <c r="G20" s="91"/>
      <c r="H20" s="91"/>
      <c r="I20" s="91"/>
      <c r="J20" s="91"/>
      <c r="K20" s="91"/>
      <c r="L20" s="3"/>
      <c r="M20" s="3"/>
      <c r="N20" s="3"/>
    </row>
    <row r="21" spans="2:14">
      <c r="B21" s="3"/>
      <c r="C21" s="3"/>
      <c r="D21" s="6"/>
      <c r="E21" s="80"/>
      <c r="F21" s="92"/>
      <c r="G21" s="7"/>
      <c r="H21" s="7"/>
      <c r="I21" s="7"/>
      <c r="J21" s="7"/>
      <c r="K21" s="7"/>
      <c r="L21" s="3"/>
      <c r="M21" s="3"/>
      <c r="N21" s="3"/>
    </row>
    <row r="22" spans="2:14">
      <c r="B22" s="3"/>
      <c r="C22" s="3"/>
      <c r="D22" s="6"/>
      <c r="E22" s="44"/>
      <c r="F22" s="59"/>
      <c r="G22" s="59"/>
      <c r="H22" s="59"/>
      <c r="I22" s="81"/>
      <c r="J22" s="58"/>
      <c r="K22" s="59"/>
      <c r="L22" s="3"/>
      <c r="M22" s="3"/>
      <c r="N22" s="3"/>
    </row>
    <row r="23" spans="2:14">
      <c r="B23" s="22"/>
      <c r="C23" s="22"/>
      <c r="D23" s="23"/>
      <c r="E23" s="44"/>
      <c r="F23" s="3"/>
      <c r="G23" s="3"/>
      <c r="H23" s="3"/>
      <c r="I23" s="3"/>
      <c r="J23" s="3"/>
      <c r="K23" s="3"/>
      <c r="L23" s="93"/>
      <c r="M23" s="3"/>
      <c r="N23" s="3"/>
    </row>
    <row r="24" spans="2:14">
      <c r="B24" s="3"/>
      <c r="C24" s="3"/>
      <c r="D24" s="6"/>
      <c r="E24" s="44"/>
      <c r="F24" s="3"/>
      <c r="G24" s="3"/>
      <c r="H24" s="3"/>
      <c r="I24" s="3"/>
      <c r="J24" s="3"/>
      <c r="K24" s="3"/>
      <c r="L24" s="3"/>
      <c r="M24" s="3"/>
      <c r="N24" s="3"/>
    </row>
    <row r="25" spans="2:14">
      <c r="B25" s="3"/>
      <c r="C25" s="3"/>
      <c r="D25" s="6"/>
      <c r="E25" s="6"/>
      <c r="F25" s="59"/>
      <c r="G25" s="3"/>
      <c r="H25" s="68"/>
      <c r="I25" s="69"/>
      <c r="J25" s="3"/>
      <c r="K25" s="3"/>
      <c r="L25" s="3"/>
      <c r="M25" s="3"/>
      <c r="N25" s="3"/>
    </row>
    <row r="26" spans="2:14">
      <c r="B26" s="3"/>
      <c r="C26" s="3"/>
      <c r="D26" s="6"/>
      <c r="E26" s="23"/>
      <c r="F26" s="43"/>
      <c r="G26" s="3"/>
      <c r="H26" s="58"/>
      <c r="I26" s="69"/>
      <c r="J26" s="3"/>
      <c r="K26" s="3"/>
      <c r="L26" s="94"/>
      <c r="M26" s="3"/>
      <c r="N26" s="3"/>
    </row>
    <row r="27" spans="2:14">
      <c r="B27" s="3"/>
      <c r="C27" s="3"/>
      <c r="D27" s="23"/>
      <c r="E27" s="22"/>
      <c r="F27" s="95"/>
      <c r="G27" s="3"/>
      <c r="H27" s="3"/>
      <c r="I27" s="3"/>
      <c r="J27" s="3"/>
      <c r="K27" s="3"/>
      <c r="L27" s="3"/>
      <c r="M27" s="3"/>
      <c r="N27" s="3"/>
    </row>
    <row r="28" spans="2:14">
      <c r="B28" s="3"/>
      <c r="C28" s="3"/>
      <c r="D28" s="7"/>
      <c r="E28" s="22"/>
      <c r="F28" s="95"/>
      <c r="G28" s="3"/>
      <c r="H28" s="3"/>
      <c r="I28" s="3"/>
      <c r="J28" s="3"/>
      <c r="K28" s="3"/>
      <c r="L28" s="3"/>
      <c r="M28" s="3"/>
      <c r="N28" s="3"/>
    </row>
    <row r="29" spans="2:14">
      <c r="B29" s="3"/>
      <c r="C29" s="3"/>
      <c r="D29" s="3"/>
      <c r="E29" s="3"/>
      <c r="F29" s="59"/>
      <c r="G29" s="3"/>
      <c r="H29" s="3"/>
      <c r="I29" s="3"/>
      <c r="J29" s="3"/>
      <c r="K29" s="3"/>
      <c r="L29" s="3"/>
      <c r="M29" s="3"/>
      <c r="N29" s="3"/>
    </row>
    <row r="30" spans="2:14">
      <c r="B30" s="3"/>
      <c r="C30" s="3"/>
      <c r="D30" s="3"/>
      <c r="E30" s="3"/>
      <c r="F30" s="59"/>
    </row>
    <row r="31" spans="2:14">
      <c r="D31" s="3"/>
      <c r="E31" s="3"/>
      <c r="F31" s="59"/>
    </row>
    <row r="32" spans="2:14">
      <c r="D32" s="3"/>
      <c r="E32" s="3"/>
      <c r="F32" s="59"/>
    </row>
    <row r="33" spans="4:6">
      <c r="D33" s="3"/>
      <c r="E33" s="3"/>
      <c r="F33" s="59"/>
    </row>
    <row r="34" spans="4:6">
      <c r="D34" s="3"/>
      <c r="E34" s="3"/>
      <c r="F34" s="59"/>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1.7109375" style="2" customWidth="1"/>
    <col min="3" max="3" width="18.7109375" style="2" customWidth="1"/>
    <col min="4" max="4" width="3.28515625" style="2" customWidth="1"/>
    <col min="5" max="5" width="10.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0.28515625" style="2" customWidth="1"/>
    <col min="14" max="16384" width="9.140625" style="2"/>
  </cols>
  <sheetData>
    <row r="1" spans="2:14" ht="15.75">
      <c r="B1" s="16" t="s">
        <v>212</v>
      </c>
      <c r="E1" s="3"/>
      <c r="F1" s="59"/>
      <c r="G1" s="3"/>
      <c r="H1" s="3"/>
      <c r="I1" s="3"/>
      <c r="J1" s="3"/>
      <c r="K1" s="3"/>
      <c r="L1" s="3"/>
      <c r="M1" s="3"/>
      <c r="N1" s="3"/>
    </row>
    <row r="2" spans="2:14">
      <c r="E2" s="3"/>
      <c r="F2" s="59"/>
      <c r="G2" s="3"/>
      <c r="H2" s="3"/>
      <c r="I2" s="3"/>
      <c r="J2" s="3"/>
      <c r="K2" s="3"/>
      <c r="L2" s="3"/>
      <c r="M2" s="3"/>
      <c r="N2" s="3"/>
    </row>
    <row r="3" spans="2:14">
      <c r="B3" s="476" t="s">
        <v>239</v>
      </c>
      <c r="C3" s="476"/>
      <c r="D3" s="21"/>
      <c r="E3" s="44"/>
      <c r="F3" s="90"/>
      <c r="G3" s="86"/>
      <c r="H3" s="82"/>
      <c r="I3" s="82"/>
      <c r="J3" s="82"/>
      <c r="K3" s="3"/>
      <c r="L3" s="91"/>
      <c r="M3" s="82"/>
      <c r="N3" s="3"/>
    </row>
    <row r="4" spans="2:14">
      <c r="B4" s="349" t="s">
        <v>222</v>
      </c>
      <c r="C4" s="349" t="s">
        <v>223</v>
      </c>
      <c r="D4" s="6"/>
      <c r="E4" s="3"/>
      <c r="F4" s="63"/>
      <c r="G4" s="87"/>
      <c r="H4" s="88"/>
      <c r="I4" s="44"/>
      <c r="J4" s="61"/>
      <c r="K4" s="3"/>
      <c r="L4" s="62"/>
      <c r="M4" s="72"/>
      <c r="N4" s="3"/>
    </row>
    <row r="5" spans="2:14">
      <c r="B5" s="103" t="s">
        <v>213</v>
      </c>
      <c r="C5" s="344" t="s">
        <v>225</v>
      </c>
      <c r="D5" s="23" t="s">
        <v>241</v>
      </c>
      <c r="E5" s="3"/>
      <c r="F5" s="63"/>
      <c r="G5" s="87"/>
      <c r="H5" s="88"/>
      <c r="I5" s="44"/>
      <c r="J5" s="61"/>
      <c r="K5" s="3"/>
      <c r="L5" s="62"/>
      <c r="M5" s="72"/>
      <c r="N5" s="3"/>
    </row>
    <row r="6" spans="2:14">
      <c r="B6" s="275" t="s">
        <v>214</v>
      </c>
      <c r="C6" s="345" t="s">
        <v>224</v>
      </c>
      <c r="D6" s="23" t="s">
        <v>240</v>
      </c>
      <c r="E6" s="3"/>
      <c r="F6" s="63"/>
      <c r="G6" s="87"/>
      <c r="H6" s="88"/>
      <c r="I6" s="44"/>
      <c r="J6" s="61"/>
      <c r="K6" s="3"/>
      <c r="L6" s="62"/>
      <c r="M6" s="72"/>
      <c r="N6" s="3"/>
    </row>
    <row r="7" spans="2:14">
      <c r="B7" s="275" t="s">
        <v>215</v>
      </c>
      <c r="C7" s="346" t="s">
        <v>216</v>
      </c>
      <c r="D7" s="6"/>
      <c r="E7" s="3"/>
      <c r="F7" s="63"/>
      <c r="G7" s="87"/>
      <c r="H7" s="88"/>
      <c r="I7" s="44"/>
      <c r="J7" s="61"/>
      <c r="K7" s="3"/>
      <c r="L7" s="62"/>
      <c r="M7" s="72"/>
      <c r="N7" s="3"/>
    </row>
    <row r="8" spans="2:14">
      <c r="B8" s="275" t="s">
        <v>217</v>
      </c>
      <c r="C8" s="347" t="s">
        <v>216</v>
      </c>
      <c r="D8" s="6"/>
      <c r="E8" s="3"/>
      <c r="F8" s="63"/>
      <c r="G8" s="87"/>
      <c r="H8" s="88"/>
      <c r="I8" s="44"/>
      <c r="J8" s="61"/>
      <c r="K8" s="3"/>
      <c r="L8" s="62"/>
      <c r="M8" s="72"/>
      <c r="N8" s="3"/>
    </row>
    <row r="9" spans="2:14">
      <c r="B9" s="275" t="s">
        <v>218</v>
      </c>
      <c r="C9" s="348" t="s">
        <v>216</v>
      </c>
      <c r="D9" s="6"/>
      <c r="E9" s="3"/>
      <c r="F9" s="63"/>
      <c r="G9" s="87"/>
      <c r="H9" s="88"/>
      <c r="I9" s="44"/>
      <c r="J9" s="61"/>
      <c r="K9" s="3"/>
      <c r="L9" s="62"/>
      <c r="M9" s="72"/>
      <c r="N9" s="3"/>
    </row>
    <row r="10" spans="2:14">
      <c r="B10" s="275" t="s">
        <v>219</v>
      </c>
      <c r="C10" s="348" t="s">
        <v>216</v>
      </c>
      <c r="D10" s="6"/>
      <c r="E10" s="3"/>
      <c r="F10" s="63"/>
      <c r="G10" s="87"/>
      <c r="H10" s="88"/>
      <c r="I10" s="44"/>
      <c r="J10" s="61"/>
      <c r="K10" s="3"/>
      <c r="L10" s="60"/>
      <c r="M10" s="3"/>
      <c r="N10" s="3"/>
    </row>
    <row r="11" spans="2:14">
      <c r="B11" s="103" t="s">
        <v>220</v>
      </c>
      <c r="C11" s="344" t="s">
        <v>216</v>
      </c>
      <c r="D11" s="6"/>
      <c r="E11" s="3"/>
      <c r="F11" s="63"/>
      <c r="G11" s="87"/>
      <c r="H11" s="88"/>
      <c r="I11" s="44"/>
      <c r="J11" s="61"/>
      <c r="K11" s="3"/>
      <c r="L11" s="68"/>
      <c r="M11" s="73"/>
      <c r="N11" s="3"/>
    </row>
    <row r="12" spans="2:14">
      <c r="B12" s="103" t="s">
        <v>221</v>
      </c>
      <c r="C12" s="344" t="s">
        <v>216</v>
      </c>
      <c r="D12" s="6"/>
      <c r="E12" s="3"/>
      <c r="F12" s="63"/>
      <c r="G12" s="87"/>
      <c r="H12" s="88"/>
      <c r="I12" s="44"/>
      <c r="J12" s="61"/>
      <c r="K12" s="3"/>
      <c r="L12" s="58"/>
      <c r="M12" s="73"/>
      <c r="N12" s="3"/>
    </row>
    <row r="13" spans="2:14">
      <c r="B13" s="3"/>
      <c r="C13" s="3"/>
      <c r="D13" s="6"/>
      <c r="E13" s="3"/>
      <c r="F13" s="63"/>
      <c r="G13" s="87"/>
      <c r="H13" s="88"/>
      <c r="I13" s="44"/>
      <c r="J13" s="61"/>
      <c r="K13" s="3"/>
      <c r="L13" s="3"/>
      <c r="M13" s="3"/>
      <c r="N13" s="3"/>
    </row>
    <row r="14" spans="2:14">
      <c r="B14" s="476" t="s">
        <v>238</v>
      </c>
      <c r="C14" s="476"/>
      <c r="D14" s="23"/>
      <c r="E14" s="3"/>
      <c r="F14" s="62"/>
      <c r="G14" s="7"/>
      <c r="H14" s="3"/>
      <c r="I14" s="44"/>
      <c r="J14" s="22"/>
      <c r="K14" s="3"/>
      <c r="L14" s="3"/>
      <c r="M14" s="3"/>
      <c r="N14" s="3"/>
    </row>
    <row r="15" spans="2:14">
      <c r="B15" s="349" t="s">
        <v>222</v>
      </c>
      <c r="C15" s="349" t="s">
        <v>223</v>
      </c>
      <c r="D15" s="6"/>
      <c r="E15" s="44"/>
      <c r="F15" s="58"/>
      <c r="G15" s="3"/>
      <c r="H15" s="3"/>
      <c r="I15" s="3"/>
      <c r="J15" s="3"/>
      <c r="K15" s="3"/>
      <c r="L15" s="3"/>
      <c r="M15" s="3"/>
      <c r="N15" s="3"/>
    </row>
    <row r="16" spans="2:14">
      <c r="B16" s="103" t="s">
        <v>214</v>
      </c>
      <c r="C16" s="344" t="s">
        <v>232</v>
      </c>
      <c r="D16" s="6"/>
      <c r="E16" s="44"/>
      <c r="F16" s="68"/>
      <c r="G16" s="69"/>
      <c r="H16" s="42"/>
      <c r="I16" s="3"/>
      <c r="J16" s="3"/>
      <c r="K16" s="3"/>
      <c r="L16" s="3"/>
      <c r="M16" s="3"/>
      <c r="N16" s="3"/>
    </row>
    <row r="17" spans="2:14">
      <c r="B17" s="275" t="s">
        <v>226</v>
      </c>
      <c r="C17" s="345" t="s">
        <v>233</v>
      </c>
      <c r="D17" s="6"/>
      <c r="E17" s="44"/>
      <c r="F17" s="58"/>
      <c r="G17" s="69"/>
      <c r="H17" s="3"/>
      <c r="I17" s="3"/>
      <c r="J17" s="3"/>
      <c r="K17" s="3"/>
      <c r="L17" s="3"/>
      <c r="M17" s="3"/>
      <c r="N17" s="3"/>
    </row>
    <row r="18" spans="2:14">
      <c r="B18" s="275" t="s">
        <v>227</v>
      </c>
      <c r="C18" s="346" t="s">
        <v>236</v>
      </c>
      <c r="D18" s="23"/>
      <c r="E18" s="44"/>
      <c r="F18" s="58"/>
      <c r="G18" s="3"/>
      <c r="H18" s="3"/>
      <c r="I18" s="3"/>
      <c r="J18" s="3"/>
      <c r="K18" s="3"/>
      <c r="L18" s="3"/>
      <c r="M18" s="3"/>
      <c r="N18" s="3"/>
    </row>
    <row r="19" spans="2:14">
      <c r="B19" s="275" t="s">
        <v>228</v>
      </c>
      <c r="C19" s="347" t="s">
        <v>234</v>
      </c>
      <c r="D19" s="6"/>
      <c r="E19" s="44"/>
      <c r="F19" s="58"/>
      <c r="G19" s="3"/>
      <c r="H19" s="3"/>
      <c r="I19" s="3"/>
      <c r="J19" s="3"/>
      <c r="K19" s="3"/>
      <c r="L19" s="3"/>
      <c r="M19" s="3"/>
      <c r="N19" s="3"/>
    </row>
    <row r="20" spans="2:14">
      <c r="B20" s="275" t="s">
        <v>229</v>
      </c>
      <c r="C20" s="348" t="s">
        <v>235</v>
      </c>
      <c r="D20" s="6"/>
      <c r="E20" s="89"/>
      <c r="F20" s="91"/>
      <c r="G20" s="91"/>
      <c r="H20" s="91"/>
      <c r="I20" s="91"/>
      <c r="J20" s="91"/>
      <c r="K20" s="91"/>
      <c r="L20" s="3"/>
      <c r="M20" s="3"/>
      <c r="N20" s="3"/>
    </row>
    <row r="21" spans="2:14">
      <c r="B21" s="275" t="s">
        <v>230</v>
      </c>
      <c r="C21" s="348" t="s">
        <v>235</v>
      </c>
      <c r="D21" s="6"/>
      <c r="E21" s="80"/>
      <c r="F21" s="92"/>
      <c r="G21" s="7"/>
      <c r="H21" s="7"/>
      <c r="I21" s="7"/>
      <c r="J21" s="7"/>
      <c r="K21" s="7"/>
      <c r="L21" s="3"/>
      <c r="M21" s="3"/>
      <c r="N21" s="3"/>
    </row>
    <row r="22" spans="2:14">
      <c r="B22" s="103" t="s">
        <v>231</v>
      </c>
      <c r="C22" s="344" t="s">
        <v>237</v>
      </c>
      <c r="D22" s="6"/>
      <c r="E22" s="44"/>
      <c r="F22" s="59"/>
      <c r="G22" s="59"/>
      <c r="H22" s="59"/>
      <c r="I22" s="81"/>
      <c r="J22" s="58"/>
      <c r="K22" s="59"/>
      <c r="L22" s="3"/>
      <c r="M22" s="3"/>
      <c r="N22" s="3"/>
    </row>
    <row r="23" spans="2:14">
      <c r="B23" s="22"/>
      <c r="C23" s="22"/>
      <c r="D23" s="23"/>
      <c r="E23" s="44"/>
      <c r="F23" s="3"/>
      <c r="G23" s="3"/>
      <c r="H23" s="3"/>
      <c r="I23" s="3"/>
      <c r="J23" s="3"/>
      <c r="K23" s="3"/>
      <c r="L23" s="93"/>
      <c r="M23" s="3"/>
      <c r="N23" s="3"/>
    </row>
    <row r="24" spans="2:14">
      <c r="B24" s="180" t="s">
        <v>242</v>
      </c>
      <c r="C24" s="180">
        <v>9</v>
      </c>
      <c r="D24" s="6"/>
      <c r="E24" s="44"/>
      <c r="F24" s="3"/>
      <c r="G24" s="3"/>
      <c r="H24" s="3"/>
      <c r="I24" s="3"/>
      <c r="J24" s="3"/>
      <c r="K24" s="3"/>
      <c r="L24" s="3"/>
      <c r="M24" s="3"/>
      <c r="N24" s="3"/>
    </row>
    <row r="25" spans="2:14">
      <c r="B25" s="180" t="s">
        <v>243</v>
      </c>
      <c r="C25" s="180">
        <v>7</v>
      </c>
      <c r="D25" s="6"/>
      <c r="E25" s="6"/>
      <c r="F25" s="59"/>
      <c r="G25" s="3"/>
      <c r="H25" s="68"/>
      <c r="I25" s="69"/>
      <c r="J25" s="3"/>
      <c r="K25" s="3"/>
      <c r="L25" s="3"/>
      <c r="M25" s="3"/>
      <c r="N25" s="3"/>
    </row>
    <row r="26" spans="2:14">
      <c r="B26" s="180" t="s">
        <v>244</v>
      </c>
      <c r="C26" s="180">
        <v>4</v>
      </c>
      <c r="D26" s="6"/>
      <c r="E26" s="23"/>
      <c r="F26" s="43"/>
      <c r="G26" s="3"/>
      <c r="H26" s="58"/>
      <c r="I26" s="69"/>
      <c r="J26" s="3"/>
      <c r="K26" s="3"/>
      <c r="L26" s="94"/>
      <c r="M26" s="3"/>
      <c r="N26" s="3"/>
    </row>
    <row r="27" spans="2:14">
      <c r="B27" s="180" t="s">
        <v>245</v>
      </c>
      <c r="C27" s="180">
        <v>10</v>
      </c>
      <c r="D27" s="23"/>
      <c r="E27" s="22"/>
      <c r="F27" s="95"/>
      <c r="G27" s="3"/>
      <c r="H27" s="3"/>
      <c r="I27" s="3"/>
      <c r="J27" s="3"/>
      <c r="K27" s="3"/>
      <c r="L27" s="3"/>
      <c r="M27" s="3"/>
      <c r="N27" s="3"/>
    </row>
    <row r="28" spans="2:14">
      <c r="B28" s="350" t="s">
        <v>212</v>
      </c>
      <c r="C28" s="350">
        <v>9</v>
      </c>
      <c r="D28" s="7"/>
      <c r="E28" s="22"/>
      <c r="F28" s="95"/>
      <c r="G28" s="3"/>
      <c r="H28" s="3"/>
      <c r="I28" s="3"/>
      <c r="J28" s="3"/>
      <c r="K28" s="3"/>
      <c r="L28" s="3"/>
      <c r="M28" s="3"/>
      <c r="N28" s="3"/>
    </row>
    <row r="29" spans="2:14">
      <c r="D29" s="3"/>
      <c r="E29" s="3"/>
      <c r="F29" s="59"/>
      <c r="G29" s="3"/>
      <c r="H29" s="3"/>
      <c r="I29" s="3"/>
      <c r="J29" s="3"/>
      <c r="K29" s="3"/>
      <c r="L29" s="3"/>
      <c r="M29" s="3"/>
      <c r="N29" s="3"/>
    </row>
    <row r="30" spans="2:14">
      <c r="B30" s="3"/>
      <c r="C30" s="3"/>
      <c r="D30" s="3"/>
      <c r="E30" s="3"/>
      <c r="F30" s="59"/>
    </row>
    <row r="31" spans="2:14">
      <c r="D31" s="3"/>
      <c r="E31" s="3"/>
      <c r="F31" s="59"/>
    </row>
    <row r="32" spans="2:14">
      <c r="D32" s="3"/>
      <c r="E32" s="3"/>
      <c r="F32" s="59"/>
    </row>
    <row r="33" spans="4:6">
      <c r="D33" s="3"/>
      <c r="E33" s="3"/>
      <c r="F33" s="59"/>
    </row>
    <row r="34" spans="4:6">
      <c r="D34" s="3"/>
      <c r="E34" s="3"/>
      <c r="F34" s="59"/>
    </row>
  </sheetData>
  <mergeCells count="2">
    <mergeCell ref="B3:C3"/>
    <mergeCell ref="B14:C14"/>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24"/>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7.7109375" style="1" customWidth="1"/>
    <col min="3" max="3" width="28.5703125" style="1" customWidth="1"/>
    <col min="4" max="4" width="9.140625" style="1" customWidth="1"/>
    <col min="5" max="16384" width="9.140625" style="1"/>
  </cols>
  <sheetData>
    <row r="1" spans="2:3" ht="15.75">
      <c r="B1" s="34" t="s">
        <v>47</v>
      </c>
      <c r="C1" s="9"/>
    </row>
    <row r="2" spans="2:3">
      <c r="B2" s="35"/>
      <c r="C2" s="9"/>
    </row>
    <row r="3" spans="2:3">
      <c r="B3" s="9"/>
      <c r="C3" s="9"/>
    </row>
    <row r="4" spans="2:3">
      <c r="B4" s="57" t="s">
        <v>0</v>
      </c>
      <c r="C4" s="57" t="s">
        <v>1</v>
      </c>
    </row>
    <row r="5" spans="2:3">
      <c r="B5" s="38">
        <v>1</v>
      </c>
      <c r="C5" s="39" t="s">
        <v>6</v>
      </c>
    </row>
    <row r="6" spans="2:3">
      <c r="B6" s="36">
        <f>B5+1</f>
        <v>2</v>
      </c>
      <c r="C6" s="37" t="s">
        <v>445</v>
      </c>
    </row>
    <row r="7" spans="2:3">
      <c r="B7" s="36">
        <f t="shared" ref="B7:B24" si="0">B6+1</f>
        <v>3</v>
      </c>
      <c r="C7" s="37" t="s">
        <v>328</v>
      </c>
    </row>
    <row r="8" spans="2:3">
      <c r="B8" s="36">
        <f t="shared" si="0"/>
        <v>4</v>
      </c>
      <c r="C8" s="37" t="s">
        <v>446</v>
      </c>
    </row>
    <row r="9" spans="2:3">
      <c r="B9" s="36">
        <f t="shared" si="0"/>
        <v>5</v>
      </c>
      <c r="C9" s="37" t="s">
        <v>447</v>
      </c>
    </row>
    <row r="10" spans="2:3">
      <c r="B10" s="36">
        <f t="shared" si="0"/>
        <v>6</v>
      </c>
      <c r="C10" s="37" t="s">
        <v>440</v>
      </c>
    </row>
    <row r="11" spans="2:3">
      <c r="B11" s="36">
        <f t="shared" si="0"/>
        <v>7</v>
      </c>
      <c r="C11" s="39" t="s">
        <v>46</v>
      </c>
    </row>
    <row r="12" spans="2:3">
      <c r="B12" s="36">
        <f t="shared" si="0"/>
        <v>8</v>
      </c>
      <c r="C12" s="37" t="s">
        <v>509</v>
      </c>
    </row>
    <row r="13" spans="2:3">
      <c r="B13" s="36">
        <f t="shared" si="0"/>
        <v>9</v>
      </c>
      <c r="C13" s="37" t="s">
        <v>58</v>
      </c>
    </row>
    <row r="14" spans="2:3">
      <c r="B14" s="36">
        <f t="shared" si="0"/>
        <v>10</v>
      </c>
      <c r="C14" s="37" t="s">
        <v>69</v>
      </c>
    </row>
    <row r="15" spans="2:3">
      <c r="B15" s="36">
        <f t="shared" si="0"/>
        <v>11</v>
      </c>
      <c r="C15" s="39" t="s">
        <v>83</v>
      </c>
    </row>
    <row r="16" spans="2:3">
      <c r="B16" s="36">
        <f t="shared" si="0"/>
        <v>12</v>
      </c>
      <c r="C16" s="37" t="s">
        <v>80</v>
      </c>
    </row>
    <row r="17" spans="2:3">
      <c r="B17" s="36">
        <f t="shared" si="0"/>
        <v>13</v>
      </c>
      <c r="C17" s="37" t="s">
        <v>512</v>
      </c>
    </row>
    <row r="18" spans="2:3">
      <c r="B18" s="36">
        <f t="shared" si="0"/>
        <v>14</v>
      </c>
      <c r="C18" s="37" t="s">
        <v>81</v>
      </c>
    </row>
    <row r="19" spans="2:3">
      <c r="B19" s="36">
        <f t="shared" si="0"/>
        <v>15</v>
      </c>
      <c r="C19" s="37" t="s">
        <v>82</v>
      </c>
    </row>
    <row r="20" spans="2:3">
      <c r="B20" s="36">
        <f t="shared" si="0"/>
        <v>16</v>
      </c>
      <c r="C20" s="39" t="s">
        <v>125</v>
      </c>
    </row>
    <row r="21" spans="2:3">
      <c r="B21" s="36">
        <f t="shared" si="0"/>
        <v>17</v>
      </c>
      <c r="C21" s="37" t="s">
        <v>109</v>
      </c>
    </row>
    <row r="22" spans="2:3">
      <c r="B22" s="36">
        <f t="shared" si="0"/>
        <v>18</v>
      </c>
      <c r="C22" s="37" t="s">
        <v>158</v>
      </c>
    </row>
    <row r="23" spans="2:3">
      <c r="B23" s="36">
        <f t="shared" si="0"/>
        <v>19</v>
      </c>
      <c r="C23" s="37" t="s">
        <v>179</v>
      </c>
    </row>
    <row r="24" spans="2:3">
      <c r="B24" s="36">
        <f t="shared" si="0"/>
        <v>20</v>
      </c>
      <c r="C24" s="37" t="s">
        <v>124</v>
      </c>
    </row>
  </sheetData>
  <hyperlinks>
    <hyperlink ref="C16" location="'Expected Growth Rate'!A1" display="Expected Growth Rate"/>
    <hyperlink ref="C18" location="'Future Cashflows (10 Yrs)'!A1" display="Future Cash Flows (10 Yrs)"/>
    <hyperlink ref="C19" location="'Terminal Value'!A1" display="Terminal Value"/>
    <hyperlink ref="C21" location="'Cash &amp; Marketable Securities'!A1" display="Cash and Marketable Securities"/>
    <hyperlink ref="C8" location="'Bottom Up Beta'!A1" display="Bottom Up Beta"/>
    <hyperlink ref="C10" location="'Cost of Equity, Debt &amp; WACC'!A1" display="Cost of Equity, Debt &amp; WACC"/>
    <hyperlink ref="C9" location="'Divisional Beta, Ke &amp; WACC'!A1" display="Divisional Beta, Ke &amp; WACC"/>
    <hyperlink ref="C6" location="'Risk Free Rate &amp; ERP'!A1" display="Risk Free Rate &amp; ERP"/>
    <hyperlink ref="C24" location="'Fair Value of Share'!A1" display="Fair Value of Share"/>
    <hyperlink ref="C12" location="'Accounting Adjustments'!A1" display="Accounting Adjustments"/>
    <hyperlink ref="C13" location="Reinvestment!A1" display="Reinvestment"/>
    <hyperlink ref="C14" location="'FCFF &amp; FCFE'!A1" display="FCFE &amp; FCFF"/>
    <hyperlink ref="C7" location="Index!A1" display="Beta Calculation Data"/>
    <hyperlink ref="C22" location="'Future Value (Equity Options)'!A1" display="Future Value of Equity Options"/>
    <hyperlink ref="C23" location="'Future Value (Restricted Stock)'!A1" display="Future Value of Restricted Stock"/>
    <hyperlink ref="C17" location="'Industry &amp; Revenues'!A1" display="Industry &amp; Revenues"/>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34"/>
  <sheetViews>
    <sheetView zoomScaleNormal="100" workbookViewId="0"/>
  </sheetViews>
  <sheetFormatPr defaultRowHeight="12"/>
  <cols>
    <col min="1" max="1" width="2" style="2" customWidth="1"/>
    <col min="2" max="2" width="25.5703125" style="2" customWidth="1"/>
    <col min="3" max="3" width="10.85546875" style="2" customWidth="1"/>
    <col min="4" max="4" width="10.28515625" style="2" customWidth="1"/>
    <col min="5" max="5" width="10.85546875" style="2" customWidth="1"/>
    <col min="6" max="6" width="11.42578125" style="2" customWidth="1"/>
    <col min="7" max="7" width="5" style="2" customWidth="1"/>
    <col min="8" max="8" width="14.140625" style="2" customWidth="1"/>
    <col min="9" max="9" width="21" style="2" customWidth="1"/>
    <col min="10" max="10" width="10.5703125" style="2" customWidth="1"/>
    <col min="11" max="11" width="11.28515625" style="2" customWidth="1"/>
    <col min="12" max="12" width="9.140625" style="2"/>
    <col min="13" max="13" width="12" style="2" bestFit="1" customWidth="1"/>
    <col min="14" max="14" width="20.140625" style="2" bestFit="1" customWidth="1"/>
    <col min="15" max="16384" width="9.140625" style="2"/>
  </cols>
  <sheetData>
    <row r="1" spans="2:9" ht="15.75">
      <c r="B1" s="16" t="s">
        <v>209</v>
      </c>
    </row>
    <row r="3" spans="2:9">
      <c r="B3" s="180" t="s">
        <v>204</v>
      </c>
      <c r="C3" s="50">
        <v>4.0419999999999998E-2</v>
      </c>
      <c r="D3" s="21"/>
      <c r="H3" s="45" t="s">
        <v>31</v>
      </c>
      <c r="I3" s="338" t="s">
        <v>32</v>
      </c>
    </row>
    <row r="4" spans="2:9">
      <c r="B4" s="180" t="s">
        <v>168</v>
      </c>
      <c r="C4" s="51" t="s">
        <v>448</v>
      </c>
      <c r="D4" s="6"/>
      <c r="H4" s="45" t="s">
        <v>16</v>
      </c>
      <c r="I4" s="12">
        <v>0</v>
      </c>
    </row>
    <row r="5" spans="2:9">
      <c r="B5" s="180" t="s">
        <v>174</v>
      </c>
      <c r="C5" s="48">
        <f>VLOOKUP(C4,$H$3:$I$24,2,0)</f>
        <v>0</v>
      </c>
      <c r="D5" s="6"/>
      <c r="H5" s="45" t="s">
        <v>17</v>
      </c>
      <c r="I5" s="12">
        <v>3.3999999999999998E-3</v>
      </c>
    </row>
    <row r="6" spans="2:9">
      <c r="B6" s="342"/>
      <c r="C6" s="28"/>
      <c r="D6" s="23"/>
      <c r="H6" s="45" t="s">
        <v>10</v>
      </c>
      <c r="I6" s="12">
        <v>4.1999999999999997E-3</v>
      </c>
    </row>
    <row r="7" spans="2:9">
      <c r="B7" s="180" t="s">
        <v>206</v>
      </c>
      <c r="C7" s="49">
        <f>C3</f>
        <v>4.0419999999999998E-2</v>
      </c>
      <c r="D7" s="6"/>
      <c r="H7" s="45" t="s">
        <v>21</v>
      </c>
      <c r="I7" s="12">
        <v>5.1000000000000004E-3</v>
      </c>
    </row>
    <row r="8" spans="2:9">
      <c r="B8" s="3"/>
      <c r="C8" s="3"/>
      <c r="D8" s="6"/>
      <c r="H8" s="45" t="s">
        <v>26</v>
      </c>
      <c r="I8" s="43">
        <v>6.0000000000000001E-3</v>
      </c>
    </row>
    <row r="9" spans="2:9">
      <c r="B9" s="240"/>
      <c r="C9" s="240" t="s">
        <v>4</v>
      </c>
      <c r="D9" s="240" t="s">
        <v>169</v>
      </c>
      <c r="E9" s="240" t="s">
        <v>137</v>
      </c>
      <c r="F9" s="240" t="s">
        <v>159</v>
      </c>
      <c r="H9" s="45" t="s">
        <v>23</v>
      </c>
      <c r="I9" s="12">
        <v>7.1999999999999998E-3</v>
      </c>
    </row>
    <row r="10" spans="2:9">
      <c r="B10" s="180" t="s">
        <v>207</v>
      </c>
      <c r="C10" s="340">
        <v>99068</v>
      </c>
      <c r="D10" s="65">
        <f>C10/$C$12</f>
        <v>0.53743456207448392</v>
      </c>
      <c r="E10" s="100">
        <f>4.59%</f>
        <v>4.5899999999999996E-2</v>
      </c>
      <c r="F10" s="77">
        <v>0</v>
      </c>
      <c r="H10" s="45" t="s">
        <v>24</v>
      </c>
      <c r="I10" s="12">
        <v>1.0200000000000001E-2</v>
      </c>
    </row>
    <row r="11" spans="2:9">
      <c r="B11" s="180" t="s">
        <v>208</v>
      </c>
      <c r="C11" s="340">
        <v>85267</v>
      </c>
      <c r="D11" s="65">
        <f>C11/$C$12</f>
        <v>0.46256543792551602</v>
      </c>
      <c r="E11" s="100">
        <f>E10+F11</f>
        <v>6.3299999999999995E-2</v>
      </c>
      <c r="F11" s="77">
        <v>1.7399999999999999E-2</v>
      </c>
      <c r="H11" s="45" t="s">
        <v>25</v>
      </c>
      <c r="I11" s="12">
        <v>1.3599999999999999E-2</v>
      </c>
    </row>
    <row r="12" spans="2:9">
      <c r="C12" s="341">
        <f>SUM(C10:C11)</f>
        <v>184335</v>
      </c>
      <c r="D12" s="243">
        <f>SUM(D10:D11)</f>
        <v>1</v>
      </c>
      <c r="E12" s="243">
        <f>(D10*E10)+(D11*E11)</f>
        <v>5.3948638619903969E-2</v>
      </c>
      <c r="F12" s="243">
        <f>F10*D10</f>
        <v>0</v>
      </c>
      <c r="H12" s="45" t="s">
        <v>12</v>
      </c>
      <c r="I12" s="12">
        <v>1.6199999999999999E-2</v>
      </c>
    </row>
    <row r="13" spans="2:9">
      <c r="E13" s="88" t="s">
        <v>205</v>
      </c>
      <c r="F13" s="49">
        <f>E12</f>
        <v>5.3948638619903969E-2</v>
      </c>
      <c r="H13" s="45" t="s">
        <v>29</v>
      </c>
      <c r="I13" s="12">
        <v>1.8700000000000001E-2</v>
      </c>
    </row>
    <row r="14" spans="2:9">
      <c r="H14" s="45" t="s">
        <v>28</v>
      </c>
      <c r="I14" s="12">
        <v>2.1299999999999999E-2</v>
      </c>
    </row>
    <row r="15" spans="2:9">
      <c r="B15" s="3"/>
      <c r="C15" s="3"/>
      <c r="H15" s="45" t="s">
        <v>18</v>
      </c>
      <c r="I15" s="12">
        <v>2.5600000000000001E-2</v>
      </c>
    </row>
    <row r="16" spans="2:9">
      <c r="H16" s="45" t="s">
        <v>15</v>
      </c>
      <c r="I16" s="12">
        <v>3.0599999999999999E-2</v>
      </c>
    </row>
    <row r="17" spans="2:9">
      <c r="D17" s="6"/>
      <c r="H17" s="45" t="s">
        <v>11</v>
      </c>
      <c r="I17" s="12">
        <v>3.8300000000000001E-2</v>
      </c>
    </row>
    <row r="18" spans="2:9">
      <c r="D18" s="23"/>
      <c r="H18" s="45" t="s">
        <v>19</v>
      </c>
      <c r="I18" s="12">
        <v>4.6800000000000001E-2</v>
      </c>
    </row>
    <row r="19" spans="2:9">
      <c r="D19" s="6"/>
      <c r="H19" s="45" t="s">
        <v>13</v>
      </c>
      <c r="I19" s="12">
        <v>5.5300000000000002E-2</v>
      </c>
    </row>
    <row r="20" spans="2:9">
      <c r="D20" s="6"/>
      <c r="H20" s="45" t="s">
        <v>20</v>
      </c>
      <c r="I20" s="12">
        <v>6.3799999999999996E-2</v>
      </c>
    </row>
    <row r="21" spans="2:9">
      <c r="B21" s="42"/>
      <c r="C21" s="3"/>
      <c r="D21" s="6"/>
      <c r="H21" s="45" t="s">
        <v>27</v>
      </c>
      <c r="I21" s="12">
        <v>7.6600000000000001E-2</v>
      </c>
    </row>
    <row r="22" spans="2:9">
      <c r="B22" s="3"/>
      <c r="C22" s="3"/>
      <c r="D22" s="6"/>
      <c r="H22" s="45" t="s">
        <v>22</v>
      </c>
      <c r="I22" s="12">
        <v>8.5099999999999995E-2</v>
      </c>
    </row>
    <row r="23" spans="2:9">
      <c r="B23" s="22"/>
      <c r="C23" s="22"/>
      <c r="D23" s="23"/>
      <c r="H23" s="45" t="s">
        <v>14</v>
      </c>
      <c r="I23" s="12">
        <v>0.1021</v>
      </c>
    </row>
    <row r="24" spans="2:9">
      <c r="B24" s="3"/>
      <c r="C24" s="3"/>
      <c r="D24" s="6"/>
      <c r="H24" s="45" t="s">
        <v>30</v>
      </c>
      <c r="I24" s="12">
        <v>0.17499999999999999</v>
      </c>
    </row>
    <row r="25" spans="2:9">
      <c r="B25" s="3"/>
      <c r="C25" s="3"/>
      <c r="D25" s="6"/>
      <c r="E25" s="6"/>
    </row>
    <row r="26" spans="2:9">
      <c r="B26" s="3"/>
      <c r="C26" s="3"/>
      <c r="D26" s="6"/>
      <c r="E26" s="6"/>
    </row>
    <row r="27" spans="2:9">
      <c r="B27" s="3"/>
      <c r="C27" s="3"/>
      <c r="D27" s="23"/>
      <c r="E27" s="23"/>
      <c r="F27" s="23"/>
    </row>
    <row r="28" spans="2:9">
      <c r="B28" s="3"/>
      <c r="C28" s="3"/>
      <c r="D28" s="3"/>
      <c r="E28" s="3"/>
      <c r="F28" s="3"/>
    </row>
    <row r="29" spans="2:9">
      <c r="B29" s="3"/>
      <c r="C29" s="3"/>
      <c r="D29" s="3"/>
      <c r="E29" s="3"/>
      <c r="F29" s="3"/>
    </row>
    <row r="30" spans="2:9">
      <c r="B30" s="3"/>
      <c r="C30" s="3"/>
      <c r="D30" s="3"/>
      <c r="E30" s="3"/>
      <c r="F30" s="3"/>
    </row>
    <row r="31" spans="2:9">
      <c r="D31" s="3"/>
      <c r="E31" s="3"/>
      <c r="F31" s="3"/>
    </row>
    <row r="32" spans="2:9">
      <c r="D32" s="3"/>
      <c r="E32" s="3"/>
      <c r="F32" s="3"/>
    </row>
    <row r="33" spans="4:6">
      <c r="D33" s="3"/>
      <c r="E33" s="3"/>
      <c r="F33" s="3"/>
    </row>
    <row r="34" spans="4:6">
      <c r="D34" s="3"/>
      <c r="E34" s="3"/>
      <c r="F34" s="3"/>
    </row>
  </sheetData>
  <sortState ref="H4:I24">
    <sortCondition ref="I6"/>
  </sortState>
  <conditionalFormatting sqref="I4:I24">
    <cfRule type="colorScale" priority="1">
      <colorScale>
        <cfvo type="min"/>
        <cfvo type="percentile" val="50"/>
        <cfvo type="max"/>
        <color rgb="FF63BE7B"/>
        <color rgb="FFFFEB84"/>
        <color rgb="FFF8696B"/>
      </colorScale>
    </cfRule>
  </conditionalFormatting>
  <pageMargins left="0.7" right="0.7" top="0.75" bottom="0.75" header="0.3" footer="0.3"/>
  <pageSetup paperSize="11"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T81"/>
  <sheetViews>
    <sheetView zoomScaleNormal="100" workbookViewId="0"/>
  </sheetViews>
  <sheetFormatPr defaultRowHeight="12"/>
  <cols>
    <col min="1" max="1" width="2" style="2" customWidth="1"/>
    <col min="2" max="2" width="22.42578125" style="2" customWidth="1"/>
    <col min="3" max="3" width="9.7109375" style="2" customWidth="1"/>
    <col min="4" max="4" width="13.7109375" style="2" customWidth="1"/>
    <col min="5" max="5" width="13.5703125" style="2" customWidth="1"/>
    <col min="6" max="6" width="14.140625" style="2" customWidth="1"/>
    <col min="7" max="7" width="14.7109375" style="13" customWidth="1"/>
    <col min="8" max="8" width="13.28515625" style="2" customWidth="1"/>
    <col min="9" max="9" width="11.140625" style="2" customWidth="1"/>
    <col min="10" max="10" width="10.85546875" style="2" customWidth="1"/>
    <col min="11" max="11" width="10.28515625" style="2" customWidth="1"/>
    <col min="12" max="12" width="15.7109375" style="2" customWidth="1"/>
    <col min="13" max="13" width="11.140625" style="2" customWidth="1"/>
    <col min="14" max="14" width="10.85546875" style="2" customWidth="1"/>
    <col min="15" max="15" width="9.7109375" style="2" customWidth="1"/>
    <col min="16" max="16" width="9.140625" style="2"/>
    <col min="17" max="17" width="10.42578125" style="2" bestFit="1" customWidth="1"/>
    <col min="18" max="16384" width="9.140625" style="2"/>
  </cols>
  <sheetData>
    <row r="1" spans="2:17" ht="15.75">
      <c r="B1" s="16" t="s">
        <v>328</v>
      </c>
      <c r="E1" s="3"/>
      <c r="F1" s="3"/>
      <c r="G1" s="59"/>
      <c r="H1" s="3"/>
      <c r="I1" s="3"/>
      <c r="J1" s="3"/>
      <c r="K1" s="3"/>
      <c r="L1" s="3"/>
      <c r="M1" s="3"/>
      <c r="N1" s="3"/>
      <c r="O1" s="3"/>
      <c r="P1" s="3"/>
    </row>
    <row r="2" spans="2:17">
      <c r="M2" s="277"/>
      <c r="N2" s="104"/>
      <c r="O2" s="104"/>
      <c r="P2" s="104"/>
    </row>
    <row r="3" spans="2:17">
      <c r="B3" s="476" t="s">
        <v>254</v>
      </c>
      <c r="C3" s="476"/>
      <c r="D3" s="476"/>
      <c r="E3" s="476"/>
      <c r="F3" s="476"/>
      <c r="G3" s="476"/>
      <c r="H3" s="476"/>
      <c r="I3" s="476"/>
      <c r="J3" s="476"/>
      <c r="K3" s="476"/>
      <c r="L3" s="476"/>
      <c r="M3" s="476"/>
      <c r="N3" s="476"/>
      <c r="O3" s="476"/>
    </row>
    <row r="4" spans="2:17">
      <c r="B4" s="227" t="s">
        <v>138</v>
      </c>
      <c r="C4" s="227" t="s">
        <v>35</v>
      </c>
      <c r="D4" s="205" t="s">
        <v>321</v>
      </c>
      <c r="E4" s="351" t="s">
        <v>329</v>
      </c>
      <c r="F4" s="351" t="s">
        <v>332</v>
      </c>
      <c r="G4" s="351" t="s">
        <v>331</v>
      </c>
      <c r="H4" s="351" t="s">
        <v>330</v>
      </c>
      <c r="I4" s="351" t="s">
        <v>322</v>
      </c>
      <c r="J4" s="351" t="s">
        <v>323</v>
      </c>
      <c r="K4" s="351" t="s">
        <v>324</v>
      </c>
      <c r="L4" s="351" t="s">
        <v>325</v>
      </c>
      <c r="M4" s="351" t="s">
        <v>326</v>
      </c>
      <c r="N4" s="351" t="s">
        <v>327</v>
      </c>
      <c r="O4" s="351" t="s">
        <v>37</v>
      </c>
    </row>
    <row r="5" spans="2:17">
      <c r="B5" s="64" t="s">
        <v>258</v>
      </c>
      <c r="C5" s="64" t="s">
        <v>255</v>
      </c>
      <c r="D5" s="98">
        <v>0.97</v>
      </c>
      <c r="E5" s="228">
        <v>126.11</v>
      </c>
      <c r="F5" s="228">
        <v>116.61</v>
      </c>
      <c r="G5" s="354">
        <f>E5*F5</f>
        <v>14705.687099999999</v>
      </c>
      <c r="H5" s="354">
        <v>4773</v>
      </c>
      <c r="I5" s="354">
        <f>G5+H5</f>
        <v>19478.687099999999</v>
      </c>
      <c r="J5" s="354">
        <v>872</v>
      </c>
      <c r="K5" s="354">
        <f t="shared" ref="K5:K36" si="0">I5-J5</f>
        <v>18606.687099999999</v>
      </c>
      <c r="L5" s="361">
        <f t="shared" ref="L5:L36" si="1">J5/I5</f>
        <v>4.4766877537654994E-2</v>
      </c>
      <c r="M5" s="228">
        <f>H5/G5</f>
        <v>0.32456830935835701</v>
      </c>
      <c r="N5" s="354">
        <v>10582</v>
      </c>
      <c r="O5" s="228">
        <f>K5/N5</f>
        <v>1.7583336892836892</v>
      </c>
      <c r="Q5" s="365"/>
    </row>
    <row r="6" spans="2:17">
      <c r="B6" s="64" t="s">
        <v>257</v>
      </c>
      <c r="C6" s="244" t="s">
        <v>256</v>
      </c>
      <c r="D6" s="98">
        <v>0.7</v>
      </c>
      <c r="E6" s="98">
        <v>62.62</v>
      </c>
      <c r="F6" s="98">
        <v>192.4</v>
      </c>
      <c r="G6" s="354">
        <f t="shared" ref="G6:G37" si="2">E6*F6</f>
        <v>12048.088</v>
      </c>
      <c r="H6" s="356">
        <v>2754.1</v>
      </c>
      <c r="I6" s="354">
        <f t="shared" ref="I6:I37" si="3">G6+H6</f>
        <v>14802.188</v>
      </c>
      <c r="J6" s="354">
        <v>515.29999999999995</v>
      </c>
      <c r="K6" s="354">
        <f t="shared" si="0"/>
        <v>14286.888000000001</v>
      </c>
      <c r="L6" s="361">
        <f t="shared" si="1"/>
        <v>3.4812420974520787E-2</v>
      </c>
      <c r="M6" s="228">
        <f t="shared" ref="M6:M37" si="4">H6/G6</f>
        <v>0.22859228783853505</v>
      </c>
      <c r="N6" s="356">
        <v>6856.9</v>
      </c>
      <c r="O6" s="228">
        <f t="shared" ref="O6:O36" si="5">K6/N6</f>
        <v>2.0835782933978915</v>
      </c>
      <c r="Q6" s="363"/>
    </row>
    <row r="7" spans="2:17">
      <c r="B7" s="64" t="s">
        <v>259</v>
      </c>
      <c r="C7" s="244" t="s">
        <v>260</v>
      </c>
      <c r="D7" s="98">
        <v>1.1200000000000001</v>
      </c>
      <c r="E7" s="228">
        <v>199.32</v>
      </c>
      <c r="F7" s="228">
        <v>157.30000000000001</v>
      </c>
      <c r="G7" s="354">
        <f t="shared" si="2"/>
        <v>31353.036</v>
      </c>
      <c r="H7" s="354">
        <v>2540</v>
      </c>
      <c r="I7" s="354">
        <f t="shared" si="3"/>
        <v>33893.036</v>
      </c>
      <c r="J7" s="356">
        <v>1339</v>
      </c>
      <c r="K7" s="354">
        <f t="shared" si="0"/>
        <v>32554.036</v>
      </c>
      <c r="L7" s="361">
        <f t="shared" si="1"/>
        <v>3.9506640833237835E-2</v>
      </c>
      <c r="M7" s="228">
        <f t="shared" si="4"/>
        <v>8.1012888193666477E-2</v>
      </c>
      <c r="N7" s="354">
        <v>4693</v>
      </c>
      <c r="O7" s="228">
        <f t="shared" si="5"/>
        <v>6.9367219262731732</v>
      </c>
      <c r="Q7" s="365"/>
    </row>
    <row r="8" spans="2:17">
      <c r="B8" s="64" t="s">
        <v>261</v>
      </c>
      <c r="C8" s="244" t="s">
        <v>262</v>
      </c>
      <c r="D8" s="98">
        <v>1.1499999999999999</v>
      </c>
      <c r="E8" s="228">
        <v>120.12</v>
      </c>
      <c r="F8" s="228">
        <v>126.22</v>
      </c>
      <c r="G8" s="354">
        <f t="shared" si="2"/>
        <v>15161.546400000001</v>
      </c>
      <c r="H8" s="354">
        <v>5209.9030000000002</v>
      </c>
      <c r="I8" s="354">
        <f t="shared" si="3"/>
        <v>20371.449400000001</v>
      </c>
      <c r="J8" s="354">
        <v>618.31899999999996</v>
      </c>
      <c r="K8" s="354">
        <f t="shared" si="0"/>
        <v>19753.130400000002</v>
      </c>
      <c r="L8" s="361">
        <f t="shared" si="1"/>
        <v>3.0352234043788749E-2</v>
      </c>
      <c r="M8" s="228">
        <f t="shared" si="4"/>
        <v>0.34362609608212524</v>
      </c>
      <c r="N8" s="354">
        <v>5020.0200000000004</v>
      </c>
      <c r="O8" s="228">
        <f t="shared" si="5"/>
        <v>3.9348708570882187</v>
      </c>
      <c r="Q8" s="365"/>
    </row>
    <row r="9" spans="2:17">
      <c r="B9" s="64" t="s">
        <v>263</v>
      </c>
      <c r="C9" s="244" t="s">
        <v>264</v>
      </c>
      <c r="D9" s="98">
        <v>1.73</v>
      </c>
      <c r="E9" s="228">
        <v>1.73</v>
      </c>
      <c r="F9" s="228">
        <v>771.96</v>
      </c>
      <c r="G9" s="354">
        <f t="shared" si="2"/>
        <v>1335.4908</v>
      </c>
      <c r="H9" s="354">
        <v>254.756</v>
      </c>
      <c r="I9" s="354">
        <f t="shared" si="3"/>
        <v>1590.2468000000001</v>
      </c>
      <c r="J9" s="354">
        <v>134.71</v>
      </c>
      <c r="K9" s="354">
        <f t="shared" si="0"/>
        <v>1455.5368000000001</v>
      </c>
      <c r="L9" s="361">
        <f t="shared" si="1"/>
        <v>8.4710121724502138E-2</v>
      </c>
      <c r="M9" s="228">
        <f t="shared" si="4"/>
        <v>0.19075833393985192</v>
      </c>
      <c r="N9" s="354">
        <v>1426.2560000000001</v>
      </c>
      <c r="O9" s="228">
        <f t="shared" si="5"/>
        <v>1.0205298347561729</v>
      </c>
      <c r="Q9" s="365"/>
    </row>
    <row r="10" spans="2:17">
      <c r="B10" s="64" t="s">
        <v>265</v>
      </c>
      <c r="C10" s="64" t="s">
        <v>266</v>
      </c>
      <c r="D10" s="98">
        <v>1.73</v>
      </c>
      <c r="E10" s="268">
        <v>18.690000000000001</v>
      </c>
      <c r="F10" s="268">
        <v>80.63</v>
      </c>
      <c r="G10" s="354">
        <f t="shared" si="2"/>
        <v>1506.9747</v>
      </c>
      <c r="H10" s="357">
        <v>92.3</v>
      </c>
      <c r="I10" s="354">
        <f t="shared" si="3"/>
        <v>1599.2746999999999</v>
      </c>
      <c r="J10" s="354">
        <v>339.8</v>
      </c>
      <c r="K10" s="354">
        <f t="shared" si="0"/>
        <v>1259.4747</v>
      </c>
      <c r="L10" s="361">
        <f t="shared" si="1"/>
        <v>0.21247131590339047</v>
      </c>
      <c r="M10" s="228">
        <f t="shared" si="4"/>
        <v>6.124853987263356E-2</v>
      </c>
      <c r="N10" s="357">
        <v>672.3</v>
      </c>
      <c r="O10" s="228">
        <f t="shared" si="5"/>
        <v>1.8733819723337797</v>
      </c>
      <c r="Q10" s="280"/>
    </row>
    <row r="11" spans="2:17">
      <c r="B11" s="64" t="s">
        <v>267</v>
      </c>
      <c r="C11" s="64" t="s">
        <v>268</v>
      </c>
      <c r="D11" s="98">
        <v>1.36</v>
      </c>
      <c r="E11" s="269">
        <v>41.51</v>
      </c>
      <c r="F11" s="269">
        <v>96.96</v>
      </c>
      <c r="G11" s="354">
        <f t="shared" si="2"/>
        <v>4024.8095999999996</v>
      </c>
      <c r="H11" s="358">
        <v>397.23399999999998</v>
      </c>
      <c r="I11" s="354">
        <f t="shared" si="3"/>
        <v>4422.0436</v>
      </c>
      <c r="J11" s="357">
        <v>914.28200000000004</v>
      </c>
      <c r="K11" s="354">
        <f t="shared" si="0"/>
        <v>3507.7615999999998</v>
      </c>
      <c r="L11" s="361">
        <f t="shared" si="1"/>
        <v>0.20675553719099468</v>
      </c>
      <c r="M11" s="228">
        <f t="shared" si="4"/>
        <v>9.8696345784903716E-2</v>
      </c>
      <c r="N11" s="358">
        <v>723.47699999999998</v>
      </c>
      <c r="O11" s="228">
        <f t="shared" si="5"/>
        <v>4.8484770075620922</v>
      </c>
      <c r="Q11" s="322"/>
    </row>
    <row r="12" spans="2:17">
      <c r="B12" s="64" t="s">
        <v>269</v>
      </c>
      <c r="C12" s="64" t="s">
        <v>270</v>
      </c>
      <c r="D12" s="98">
        <v>0.98</v>
      </c>
      <c r="E12" s="269">
        <v>7.05</v>
      </c>
      <c r="F12" s="269">
        <v>125.8</v>
      </c>
      <c r="G12" s="354">
        <f t="shared" si="2"/>
        <v>886.89</v>
      </c>
      <c r="H12" s="358">
        <v>612.86199999999997</v>
      </c>
      <c r="I12" s="354">
        <f t="shared" si="3"/>
        <v>1499.752</v>
      </c>
      <c r="J12" s="358">
        <v>515.39</v>
      </c>
      <c r="K12" s="354">
        <f t="shared" si="0"/>
        <v>984.36199999999997</v>
      </c>
      <c r="L12" s="361">
        <f t="shared" si="1"/>
        <v>0.34365015015815947</v>
      </c>
      <c r="M12" s="228">
        <f t="shared" si="4"/>
        <v>0.69102368952181215</v>
      </c>
      <c r="N12" s="358">
        <v>489.31299999999999</v>
      </c>
      <c r="O12" s="228">
        <f t="shared" si="5"/>
        <v>2.0117225579537026</v>
      </c>
      <c r="Q12" s="322"/>
    </row>
    <row r="13" spans="2:17">
      <c r="B13" s="64" t="s">
        <v>271</v>
      </c>
      <c r="C13" s="244" t="s">
        <v>272</v>
      </c>
      <c r="D13" s="267" t="s">
        <v>131</v>
      </c>
      <c r="E13" s="270">
        <v>2.59</v>
      </c>
      <c r="F13" s="270">
        <v>1190</v>
      </c>
      <c r="G13" s="354">
        <f t="shared" si="2"/>
        <v>3082.1</v>
      </c>
      <c r="H13" s="150">
        <v>23.03</v>
      </c>
      <c r="I13" s="354">
        <f t="shared" si="3"/>
        <v>3105.13</v>
      </c>
      <c r="J13" s="358">
        <v>1550.0039999999999</v>
      </c>
      <c r="K13" s="354">
        <f t="shared" si="0"/>
        <v>1555.1260000000002</v>
      </c>
      <c r="L13" s="361">
        <f t="shared" si="1"/>
        <v>0.49917523581943424</v>
      </c>
      <c r="M13" s="228">
        <f t="shared" si="4"/>
        <v>7.4721780604133552E-3</v>
      </c>
      <c r="N13" s="150">
        <v>539.12699999999995</v>
      </c>
      <c r="O13" s="228">
        <f t="shared" si="5"/>
        <v>2.8845262804496907</v>
      </c>
      <c r="Q13" s="282"/>
    </row>
    <row r="14" spans="2:17">
      <c r="B14" s="64" t="s">
        <v>273</v>
      </c>
      <c r="C14" s="244" t="s">
        <v>274</v>
      </c>
      <c r="D14" s="98">
        <v>1.74</v>
      </c>
      <c r="E14" s="269">
        <v>16.3</v>
      </c>
      <c r="F14" s="269">
        <v>2110</v>
      </c>
      <c r="G14" s="354">
        <f t="shared" si="2"/>
        <v>34393</v>
      </c>
      <c r="H14" s="358">
        <v>156.44999999999999</v>
      </c>
      <c r="I14" s="354">
        <f t="shared" si="3"/>
        <v>34549.449999999997</v>
      </c>
      <c r="J14" s="150">
        <v>1403.204</v>
      </c>
      <c r="K14" s="354">
        <f t="shared" si="0"/>
        <v>33146.245999999999</v>
      </c>
      <c r="L14" s="361">
        <f t="shared" si="1"/>
        <v>4.0614365785851876E-2</v>
      </c>
      <c r="M14" s="228">
        <f t="shared" si="4"/>
        <v>4.5488907626551915E-3</v>
      </c>
      <c r="N14" s="358">
        <v>586.17100000000005</v>
      </c>
      <c r="O14" s="228">
        <f t="shared" si="5"/>
        <v>56.547058793423759</v>
      </c>
      <c r="Q14" s="322"/>
    </row>
    <row r="15" spans="2:17">
      <c r="B15" s="64" t="s">
        <v>275</v>
      </c>
      <c r="C15" s="64" t="s">
        <v>276</v>
      </c>
      <c r="D15" s="98">
        <v>1.87</v>
      </c>
      <c r="E15" s="270">
        <v>54.07</v>
      </c>
      <c r="F15" s="270">
        <v>78.010000000000005</v>
      </c>
      <c r="G15" s="354">
        <f t="shared" si="2"/>
        <v>4218.0007000000005</v>
      </c>
      <c r="H15" s="150">
        <v>225.03</v>
      </c>
      <c r="I15" s="354">
        <f t="shared" si="3"/>
        <v>4443.0307000000003</v>
      </c>
      <c r="J15" s="358">
        <v>2379.1289999999999</v>
      </c>
      <c r="K15" s="354">
        <f t="shared" si="0"/>
        <v>2063.9017000000003</v>
      </c>
      <c r="L15" s="361">
        <f t="shared" si="1"/>
        <v>0.53547435537638755</v>
      </c>
      <c r="M15" s="228">
        <f t="shared" si="4"/>
        <v>5.3349920022535788E-2</v>
      </c>
      <c r="N15" s="150">
        <v>13.013</v>
      </c>
      <c r="O15" s="228">
        <f t="shared" si="5"/>
        <v>158.60306616460466</v>
      </c>
      <c r="Q15" s="282"/>
    </row>
    <row r="16" spans="2:17">
      <c r="B16" s="64" t="s">
        <v>277</v>
      </c>
      <c r="C16" s="244" t="s">
        <v>278</v>
      </c>
      <c r="D16" s="98">
        <v>1.93</v>
      </c>
      <c r="E16" s="271">
        <v>52.37</v>
      </c>
      <c r="F16" s="271">
        <v>76.010000000000005</v>
      </c>
      <c r="G16" s="354">
        <f t="shared" si="2"/>
        <v>3980.6437000000001</v>
      </c>
      <c r="H16" s="359">
        <v>74.022999999999996</v>
      </c>
      <c r="I16" s="354">
        <f t="shared" si="3"/>
        <v>4054.6667000000002</v>
      </c>
      <c r="J16" s="150">
        <v>748.68799999999999</v>
      </c>
      <c r="K16" s="354">
        <f t="shared" si="0"/>
        <v>3305.9787000000001</v>
      </c>
      <c r="L16" s="361">
        <f t="shared" si="1"/>
        <v>0.18464846937973964</v>
      </c>
      <c r="M16" s="228">
        <f t="shared" si="4"/>
        <v>1.8595736161967975E-2</v>
      </c>
      <c r="N16" s="359">
        <v>45.34</v>
      </c>
      <c r="O16" s="228">
        <f t="shared" si="5"/>
        <v>72.91527790030878</v>
      </c>
      <c r="Q16" s="366"/>
    </row>
    <row r="17" spans="2:17">
      <c r="B17" s="64" t="s">
        <v>279</v>
      </c>
      <c r="C17" s="64" t="s">
        <v>280</v>
      </c>
      <c r="D17" s="98">
        <v>1.82</v>
      </c>
      <c r="E17" s="268">
        <v>45.47</v>
      </c>
      <c r="F17" s="268">
        <v>70.349999999999994</v>
      </c>
      <c r="G17" s="354">
        <f t="shared" si="2"/>
        <v>3198.8144999999995</v>
      </c>
      <c r="H17" s="357">
        <v>147.64400000000001</v>
      </c>
      <c r="I17" s="354">
        <f t="shared" si="3"/>
        <v>3346.4584999999997</v>
      </c>
      <c r="J17" s="359">
        <v>965.64700000000005</v>
      </c>
      <c r="K17" s="354">
        <f t="shared" si="0"/>
        <v>2380.8114999999998</v>
      </c>
      <c r="L17" s="361">
        <f t="shared" si="1"/>
        <v>0.28855788888462242</v>
      </c>
      <c r="M17" s="228">
        <f t="shared" si="4"/>
        <v>4.6155849299795292E-2</v>
      </c>
      <c r="N17" s="357">
        <v>76.915999999999997</v>
      </c>
      <c r="O17" s="228">
        <f t="shared" si="5"/>
        <v>30.953397212543553</v>
      </c>
      <c r="Q17" s="280"/>
    </row>
    <row r="18" spans="2:17">
      <c r="B18" s="51" t="s">
        <v>281</v>
      </c>
      <c r="C18" s="244" t="s">
        <v>282</v>
      </c>
      <c r="D18" s="98">
        <v>1.67</v>
      </c>
      <c r="E18" s="98">
        <v>25.58</v>
      </c>
      <c r="F18" s="98">
        <v>95.05</v>
      </c>
      <c r="G18" s="354">
        <f t="shared" si="2"/>
        <v>2431.3789999999999</v>
      </c>
      <c r="H18" s="356">
        <v>81.977999999999994</v>
      </c>
      <c r="I18" s="354">
        <f t="shared" si="3"/>
        <v>2513.357</v>
      </c>
      <c r="J18" s="357">
        <v>587.447</v>
      </c>
      <c r="K18" s="354">
        <f t="shared" si="0"/>
        <v>1925.9099999999999</v>
      </c>
      <c r="L18" s="361">
        <f t="shared" si="1"/>
        <v>0.23373002721061911</v>
      </c>
      <c r="M18" s="228">
        <f t="shared" si="4"/>
        <v>3.3716668606580874E-2</v>
      </c>
      <c r="N18" s="356">
        <v>497.93200000000002</v>
      </c>
      <c r="O18" s="228">
        <f t="shared" si="5"/>
        <v>3.8678172923210394</v>
      </c>
      <c r="Q18" s="363"/>
    </row>
    <row r="19" spans="2:17">
      <c r="B19" s="78" t="s">
        <v>283</v>
      </c>
      <c r="C19" s="83" t="s">
        <v>284</v>
      </c>
      <c r="D19" s="267" t="s">
        <v>131</v>
      </c>
      <c r="E19" s="98">
        <v>30.56</v>
      </c>
      <c r="F19" s="98">
        <v>59.94</v>
      </c>
      <c r="G19" s="354">
        <f t="shared" si="2"/>
        <v>1831.7663999999997</v>
      </c>
      <c r="H19" s="356">
        <v>1.9550000000000001</v>
      </c>
      <c r="I19" s="354">
        <f t="shared" si="3"/>
        <v>1833.7213999999997</v>
      </c>
      <c r="J19" s="356">
        <v>360.44200000000001</v>
      </c>
      <c r="K19" s="354">
        <f t="shared" si="0"/>
        <v>1473.2793999999997</v>
      </c>
      <c r="L19" s="361">
        <f t="shared" si="1"/>
        <v>0.1965631202209889</v>
      </c>
      <c r="M19" s="228">
        <f t="shared" si="4"/>
        <v>1.0672758273107315E-3</v>
      </c>
      <c r="N19" s="356">
        <v>0</v>
      </c>
      <c r="O19" s="367" t="s">
        <v>131</v>
      </c>
      <c r="Q19" s="362"/>
    </row>
    <row r="20" spans="2:17">
      <c r="B20" s="78" t="s">
        <v>285</v>
      </c>
      <c r="C20" s="78" t="s">
        <v>286</v>
      </c>
      <c r="D20" s="98">
        <v>0.43</v>
      </c>
      <c r="E20" s="268">
        <v>2428</v>
      </c>
      <c r="F20" s="268">
        <v>65.77</v>
      </c>
      <c r="G20" s="354">
        <f t="shared" si="2"/>
        <v>159689.56</v>
      </c>
      <c r="H20" s="357">
        <v>223.8</v>
      </c>
      <c r="I20" s="354">
        <f t="shared" si="3"/>
        <v>159913.35999999999</v>
      </c>
      <c r="J20" s="356">
        <v>38.799999999999997</v>
      </c>
      <c r="K20" s="354">
        <f t="shared" si="0"/>
        <v>159874.56</v>
      </c>
      <c r="L20" s="361">
        <f t="shared" si="1"/>
        <v>2.4263138489492061E-4</v>
      </c>
      <c r="M20" s="228">
        <f t="shared" si="4"/>
        <v>1.4014692006164963E-3</v>
      </c>
      <c r="N20" s="357">
        <v>593.4</v>
      </c>
      <c r="O20" s="228">
        <f t="shared" si="5"/>
        <v>269.42123356926191</v>
      </c>
      <c r="Q20" s="280"/>
    </row>
    <row r="21" spans="2:17">
      <c r="B21" s="64" t="s">
        <v>287</v>
      </c>
      <c r="C21" s="78" t="s">
        <v>288</v>
      </c>
      <c r="D21" s="98">
        <v>0.87</v>
      </c>
      <c r="E21" s="98">
        <v>66.010000000000005</v>
      </c>
      <c r="F21" s="98">
        <v>25.66</v>
      </c>
      <c r="G21" s="354">
        <f t="shared" si="2"/>
        <v>1693.8166000000001</v>
      </c>
      <c r="H21" s="356">
        <v>8.0239999999999991</v>
      </c>
      <c r="I21" s="354">
        <f t="shared" si="3"/>
        <v>1701.8406</v>
      </c>
      <c r="J21" s="357">
        <v>438.096</v>
      </c>
      <c r="K21" s="354">
        <f t="shared" si="0"/>
        <v>1263.7446</v>
      </c>
      <c r="L21" s="361">
        <f t="shared" si="1"/>
        <v>0.25742481405132772</v>
      </c>
      <c r="M21" s="228">
        <f t="shared" si="4"/>
        <v>4.7372307013640079E-3</v>
      </c>
      <c r="N21" s="356">
        <v>0</v>
      </c>
      <c r="O21" s="367" t="s">
        <v>131</v>
      </c>
      <c r="Q21" s="362"/>
    </row>
    <row r="22" spans="2:17">
      <c r="B22" s="78" t="s">
        <v>289</v>
      </c>
      <c r="C22" s="78" t="s">
        <v>290</v>
      </c>
      <c r="D22" s="98">
        <v>1.6</v>
      </c>
      <c r="E22" s="228">
        <v>36.39</v>
      </c>
      <c r="F22" s="228">
        <v>30.27</v>
      </c>
      <c r="G22" s="354">
        <f t="shared" si="2"/>
        <v>1101.5253</v>
      </c>
      <c r="H22" s="354">
        <v>21.283999999999999</v>
      </c>
      <c r="I22" s="354">
        <f t="shared" si="3"/>
        <v>1122.8093000000001</v>
      </c>
      <c r="J22" s="356">
        <v>450.49900000000002</v>
      </c>
      <c r="K22" s="354">
        <f t="shared" si="0"/>
        <v>672.3103000000001</v>
      </c>
      <c r="L22" s="361">
        <f t="shared" si="1"/>
        <v>0.40122485626009685</v>
      </c>
      <c r="M22" s="228">
        <f t="shared" si="4"/>
        <v>1.9322297908182406E-2</v>
      </c>
      <c r="N22" s="354">
        <v>925.14800000000002</v>
      </c>
      <c r="O22" s="228">
        <f t="shared" si="5"/>
        <v>0.72670567303825995</v>
      </c>
      <c r="Q22" s="365"/>
    </row>
    <row r="23" spans="2:17">
      <c r="B23" s="78" t="s">
        <v>291</v>
      </c>
      <c r="C23" s="78" t="s">
        <v>292</v>
      </c>
      <c r="D23" s="98">
        <v>0.99</v>
      </c>
      <c r="E23" s="98">
        <v>18.8</v>
      </c>
      <c r="F23" s="98">
        <v>46.73</v>
      </c>
      <c r="G23" s="354">
        <f t="shared" si="2"/>
        <v>878.524</v>
      </c>
      <c r="H23" s="356">
        <v>135.72399999999999</v>
      </c>
      <c r="I23" s="354">
        <f t="shared" si="3"/>
        <v>1014.248</v>
      </c>
      <c r="J23" s="354">
        <v>556.25599999999997</v>
      </c>
      <c r="K23" s="354">
        <f t="shared" si="0"/>
        <v>457.99200000000008</v>
      </c>
      <c r="L23" s="361">
        <f t="shared" si="1"/>
        <v>0.54844180121627051</v>
      </c>
      <c r="M23" s="228">
        <f t="shared" si="4"/>
        <v>0.15449094162481616</v>
      </c>
      <c r="N23" s="356">
        <v>61.969000000000001</v>
      </c>
      <c r="O23" s="228">
        <f t="shared" si="5"/>
        <v>7.3906630734722212</v>
      </c>
      <c r="Q23" s="363"/>
    </row>
    <row r="24" spans="2:17">
      <c r="B24" s="78" t="s">
        <v>293</v>
      </c>
      <c r="C24" s="78" t="s">
        <v>294</v>
      </c>
      <c r="D24" s="98">
        <v>0.75</v>
      </c>
      <c r="E24" s="228">
        <v>10.6</v>
      </c>
      <c r="F24" s="228">
        <v>77.94</v>
      </c>
      <c r="G24" s="354">
        <f t="shared" si="2"/>
        <v>826.16399999999999</v>
      </c>
      <c r="H24" s="354">
        <v>0</v>
      </c>
      <c r="I24" s="354">
        <f t="shared" si="3"/>
        <v>826.16399999999999</v>
      </c>
      <c r="J24" s="356">
        <v>152.108</v>
      </c>
      <c r="K24" s="354">
        <f t="shared" si="0"/>
        <v>674.05600000000004</v>
      </c>
      <c r="L24" s="361">
        <f t="shared" si="1"/>
        <v>0.18411356582954475</v>
      </c>
      <c r="M24" s="228">
        <f t="shared" si="4"/>
        <v>0</v>
      </c>
      <c r="N24" s="354">
        <v>0</v>
      </c>
      <c r="O24" s="367" t="s">
        <v>131</v>
      </c>
      <c r="Q24" s="364"/>
    </row>
    <row r="25" spans="2:17">
      <c r="B25" s="78" t="s">
        <v>295</v>
      </c>
      <c r="C25" s="78" t="s">
        <v>296</v>
      </c>
      <c r="D25" s="98">
        <v>2.02</v>
      </c>
      <c r="E25" s="228">
        <v>11.38</v>
      </c>
      <c r="F25" s="228">
        <v>68.739999999999995</v>
      </c>
      <c r="G25" s="354">
        <f t="shared" si="2"/>
        <v>782.26120000000003</v>
      </c>
      <c r="H25" s="354">
        <v>26.378</v>
      </c>
      <c r="I25" s="354">
        <f t="shared" si="3"/>
        <v>808.63920000000007</v>
      </c>
      <c r="J25" s="354">
        <v>499.84500000000003</v>
      </c>
      <c r="K25" s="354">
        <f t="shared" si="0"/>
        <v>308.79420000000005</v>
      </c>
      <c r="L25" s="361">
        <f t="shared" si="1"/>
        <v>0.61813105276123148</v>
      </c>
      <c r="M25" s="228">
        <f t="shared" si="4"/>
        <v>3.3720194738023568E-2</v>
      </c>
      <c r="N25" s="354">
        <v>31.8</v>
      </c>
      <c r="O25" s="228">
        <f t="shared" si="5"/>
        <v>9.7105094339622653</v>
      </c>
      <c r="Q25" s="365"/>
    </row>
    <row r="26" spans="2:17">
      <c r="B26" s="78" t="s">
        <v>297</v>
      </c>
      <c r="C26" s="78" t="s">
        <v>298</v>
      </c>
      <c r="D26" s="98">
        <v>2.2599999999999998</v>
      </c>
      <c r="E26" s="228">
        <v>2.0499999999999998</v>
      </c>
      <c r="F26" s="228">
        <v>290.14</v>
      </c>
      <c r="G26" s="354">
        <f t="shared" si="2"/>
        <v>594.78699999999992</v>
      </c>
      <c r="H26" s="354">
        <v>10.696</v>
      </c>
      <c r="I26" s="354">
        <f t="shared" si="3"/>
        <v>605.48299999999995</v>
      </c>
      <c r="J26" s="354">
        <v>250.61199999999999</v>
      </c>
      <c r="K26" s="354">
        <f t="shared" si="0"/>
        <v>354.87099999999998</v>
      </c>
      <c r="L26" s="361">
        <f t="shared" si="1"/>
        <v>0.41390427146592063</v>
      </c>
      <c r="M26" s="228">
        <f t="shared" si="4"/>
        <v>1.7982908167125375E-2</v>
      </c>
      <c r="N26" s="354">
        <v>23.323</v>
      </c>
      <c r="O26" s="228">
        <f t="shared" si="5"/>
        <v>15.215495433692062</v>
      </c>
      <c r="Q26" s="365"/>
    </row>
    <row r="27" spans="2:17">
      <c r="B27" s="64" t="s">
        <v>299</v>
      </c>
      <c r="C27" s="64" t="s">
        <v>300</v>
      </c>
      <c r="D27" s="98">
        <v>1.61</v>
      </c>
      <c r="E27" s="228">
        <v>2.1</v>
      </c>
      <c r="F27" s="228">
        <v>235.27</v>
      </c>
      <c r="G27" s="354">
        <f t="shared" si="2"/>
        <v>494.06700000000006</v>
      </c>
      <c r="H27" s="354">
        <v>1724.096</v>
      </c>
      <c r="I27" s="354">
        <f t="shared" si="3"/>
        <v>2218.163</v>
      </c>
      <c r="J27" s="354">
        <v>1045.3710000000001</v>
      </c>
      <c r="K27" s="354">
        <f t="shared" si="0"/>
        <v>1172.7919999999999</v>
      </c>
      <c r="L27" s="361">
        <f t="shared" si="1"/>
        <v>0.47127780961092586</v>
      </c>
      <c r="M27" s="228">
        <f t="shared" si="4"/>
        <v>3.4895995887197482</v>
      </c>
      <c r="N27" s="354">
        <v>500.82900000000001</v>
      </c>
      <c r="O27" s="228">
        <f t="shared" si="5"/>
        <v>2.3417014589810092</v>
      </c>
      <c r="Q27" s="365"/>
    </row>
    <row r="28" spans="2:17">
      <c r="B28" s="64" t="s">
        <v>301</v>
      </c>
      <c r="C28" s="244" t="s">
        <v>302</v>
      </c>
      <c r="D28" s="98">
        <v>1</v>
      </c>
      <c r="E28" s="98">
        <v>6.39</v>
      </c>
      <c r="F28" s="98">
        <v>77.12</v>
      </c>
      <c r="G28" s="354">
        <f t="shared" si="2"/>
        <v>492.79680000000002</v>
      </c>
      <c r="H28" s="356">
        <v>89.584000000000003</v>
      </c>
      <c r="I28" s="354">
        <f t="shared" si="3"/>
        <v>582.38080000000002</v>
      </c>
      <c r="J28" s="354">
        <v>299.50299999999999</v>
      </c>
      <c r="K28" s="354">
        <f t="shared" si="0"/>
        <v>282.87780000000004</v>
      </c>
      <c r="L28" s="361">
        <f t="shared" si="1"/>
        <v>0.51427347879600427</v>
      </c>
      <c r="M28" s="228">
        <f t="shared" si="4"/>
        <v>0.18178689472009557</v>
      </c>
      <c r="N28" s="356">
        <v>6.0890000000000004</v>
      </c>
      <c r="O28" s="228">
        <f t="shared" si="5"/>
        <v>46.457185087863365</v>
      </c>
      <c r="Q28" s="363"/>
    </row>
    <row r="29" spans="2:17">
      <c r="B29" s="64" t="s">
        <v>303</v>
      </c>
      <c r="C29" s="244" t="s">
        <v>304</v>
      </c>
      <c r="D29" s="98">
        <v>1.61</v>
      </c>
      <c r="E29" s="228">
        <v>7.86</v>
      </c>
      <c r="F29" s="228">
        <v>45.01</v>
      </c>
      <c r="G29" s="354">
        <f t="shared" si="2"/>
        <v>353.77859999999998</v>
      </c>
      <c r="H29" s="354">
        <v>23.733000000000001</v>
      </c>
      <c r="I29" s="354">
        <f t="shared" si="3"/>
        <v>377.51159999999999</v>
      </c>
      <c r="J29" s="356">
        <v>137.703</v>
      </c>
      <c r="K29" s="354">
        <f t="shared" si="0"/>
        <v>239.80859999999998</v>
      </c>
      <c r="L29" s="361">
        <f t="shared" si="1"/>
        <v>0.36476495026907785</v>
      </c>
      <c r="M29" s="228">
        <f t="shared" si="4"/>
        <v>6.7084329012551916E-2</v>
      </c>
      <c r="N29" s="354">
        <v>44.381999999999998</v>
      </c>
      <c r="O29" s="228">
        <f t="shared" si="5"/>
        <v>5.4032851155874004</v>
      </c>
      <c r="Q29" s="365"/>
    </row>
    <row r="30" spans="2:17">
      <c r="B30" s="64" t="s">
        <v>305</v>
      </c>
      <c r="C30" s="244" t="s">
        <v>306</v>
      </c>
      <c r="D30" s="98">
        <v>1.62</v>
      </c>
      <c r="E30" s="228">
        <v>5.61</v>
      </c>
      <c r="F30" s="228">
        <v>59.01</v>
      </c>
      <c r="G30" s="354">
        <f t="shared" si="2"/>
        <v>331.04610000000002</v>
      </c>
      <c r="H30" s="354">
        <v>80.825000000000003</v>
      </c>
      <c r="I30" s="354">
        <f t="shared" si="3"/>
        <v>411.87110000000001</v>
      </c>
      <c r="J30" s="354">
        <v>375.14499999999998</v>
      </c>
      <c r="K30" s="354">
        <f t="shared" si="0"/>
        <v>36.726100000000031</v>
      </c>
      <c r="L30" s="361">
        <f t="shared" si="1"/>
        <v>0.9108310828314975</v>
      </c>
      <c r="M30" s="228">
        <f t="shared" si="4"/>
        <v>0.24415028601756672</v>
      </c>
      <c r="N30" s="354">
        <v>0</v>
      </c>
      <c r="O30" s="367" t="s">
        <v>131</v>
      </c>
      <c r="Q30" s="364"/>
    </row>
    <row r="31" spans="2:17">
      <c r="B31" s="64" t="s">
        <v>307</v>
      </c>
      <c r="C31" s="244" t="s">
        <v>308</v>
      </c>
      <c r="D31" s="98">
        <v>-1.48</v>
      </c>
      <c r="E31" s="228">
        <v>7.39</v>
      </c>
      <c r="F31" s="228">
        <v>36.9</v>
      </c>
      <c r="G31" s="354">
        <f t="shared" si="2"/>
        <v>272.69099999999997</v>
      </c>
      <c r="H31" s="354">
        <v>28.975000000000001</v>
      </c>
      <c r="I31" s="354">
        <f t="shared" si="3"/>
        <v>301.666</v>
      </c>
      <c r="J31" s="354">
        <v>232.452</v>
      </c>
      <c r="K31" s="354">
        <f t="shared" si="0"/>
        <v>69.213999999999999</v>
      </c>
      <c r="L31" s="361">
        <f t="shared" si="1"/>
        <v>0.7705608189189368</v>
      </c>
      <c r="M31" s="228">
        <f t="shared" si="4"/>
        <v>0.10625579868789217</v>
      </c>
      <c r="N31" s="354">
        <v>0</v>
      </c>
      <c r="O31" s="367" t="s">
        <v>131</v>
      </c>
      <c r="Q31" s="364"/>
    </row>
    <row r="32" spans="2:17">
      <c r="B32" s="64" t="s">
        <v>309</v>
      </c>
      <c r="C32" s="64" t="s">
        <v>310</v>
      </c>
      <c r="D32" s="98">
        <v>0.98</v>
      </c>
      <c r="E32" s="268">
        <v>5.74</v>
      </c>
      <c r="F32" s="268">
        <v>38.65</v>
      </c>
      <c r="G32" s="354">
        <f>E32*F32</f>
        <v>221.851</v>
      </c>
      <c r="H32" s="357">
        <v>44.179000000000002</v>
      </c>
      <c r="I32" s="354">
        <f t="shared" si="3"/>
        <v>266.02999999999997</v>
      </c>
      <c r="J32" s="354">
        <v>132.53899999999999</v>
      </c>
      <c r="K32" s="354">
        <f t="shared" si="0"/>
        <v>133.49099999999999</v>
      </c>
      <c r="L32" s="361">
        <f t="shared" si="1"/>
        <v>0.49821072811337069</v>
      </c>
      <c r="M32" s="228">
        <f t="shared" si="4"/>
        <v>0.19913816029677578</v>
      </c>
      <c r="N32" s="357">
        <v>30.928000000000001</v>
      </c>
      <c r="O32" s="228">
        <f t="shared" si="5"/>
        <v>4.3161859803414373</v>
      </c>
      <c r="Q32" s="280"/>
    </row>
    <row r="33" spans="2:17">
      <c r="B33" s="64" t="s">
        <v>311</v>
      </c>
      <c r="C33" s="64" t="s">
        <v>312</v>
      </c>
      <c r="D33" s="267" t="s">
        <v>131</v>
      </c>
      <c r="E33" s="269">
        <v>3.06</v>
      </c>
      <c r="F33" s="269">
        <v>58.21</v>
      </c>
      <c r="G33" s="354">
        <f t="shared" si="2"/>
        <v>178.12260000000001</v>
      </c>
      <c r="H33" s="358">
        <v>11.276</v>
      </c>
      <c r="I33" s="354">
        <f t="shared" si="3"/>
        <v>189.39860000000002</v>
      </c>
      <c r="J33" s="357">
        <v>376.976</v>
      </c>
      <c r="K33" s="354">
        <f t="shared" si="0"/>
        <v>-187.57739999999998</v>
      </c>
      <c r="L33" s="361">
        <f t="shared" si="1"/>
        <v>1.9903843006231301</v>
      </c>
      <c r="M33" s="228">
        <f t="shared" si="4"/>
        <v>6.3304712596829377E-2</v>
      </c>
      <c r="N33" s="358">
        <v>0</v>
      </c>
      <c r="O33" s="367" t="s">
        <v>131</v>
      </c>
      <c r="Q33" s="284"/>
    </row>
    <row r="34" spans="2:17">
      <c r="B34" s="64" t="s">
        <v>313</v>
      </c>
      <c r="C34" s="64" t="s">
        <v>314</v>
      </c>
      <c r="D34" s="98">
        <v>1.5</v>
      </c>
      <c r="E34" s="269">
        <v>1.33</v>
      </c>
      <c r="F34" s="269">
        <v>110.82</v>
      </c>
      <c r="G34" s="354">
        <f t="shared" si="2"/>
        <v>147.39060000000001</v>
      </c>
      <c r="H34" s="358">
        <v>9.1129999999999995</v>
      </c>
      <c r="I34" s="354">
        <f t="shared" si="3"/>
        <v>156.50360000000001</v>
      </c>
      <c r="J34" s="358">
        <v>143.66300000000001</v>
      </c>
      <c r="K34" s="354">
        <f t="shared" si="0"/>
        <v>12.840599999999995</v>
      </c>
      <c r="L34" s="361">
        <f t="shared" si="1"/>
        <v>0.91795332503533467</v>
      </c>
      <c r="M34" s="228">
        <f t="shared" si="4"/>
        <v>6.1828909034904525E-2</v>
      </c>
      <c r="N34" s="358">
        <v>37.512</v>
      </c>
      <c r="O34" s="228">
        <f t="shared" si="5"/>
        <v>0.34230646193218156</v>
      </c>
      <c r="Q34" s="322"/>
    </row>
    <row r="35" spans="2:17">
      <c r="B35" s="64" t="s">
        <v>315</v>
      </c>
      <c r="C35" s="244" t="s">
        <v>316</v>
      </c>
      <c r="D35" s="98">
        <v>1.18</v>
      </c>
      <c r="E35" s="270">
        <v>0.92979999999999996</v>
      </c>
      <c r="F35" s="270">
        <v>99.33</v>
      </c>
      <c r="G35" s="354">
        <f t="shared" si="2"/>
        <v>92.357033999999999</v>
      </c>
      <c r="H35" s="150">
        <v>102.994</v>
      </c>
      <c r="I35" s="354">
        <f t="shared" si="3"/>
        <v>195.351034</v>
      </c>
      <c r="J35" s="358">
        <v>305.18799999999999</v>
      </c>
      <c r="K35" s="354">
        <f t="shared" si="0"/>
        <v>-109.83696599999999</v>
      </c>
      <c r="L35" s="361">
        <f t="shared" si="1"/>
        <v>1.5622543364679604</v>
      </c>
      <c r="M35" s="228">
        <f t="shared" si="4"/>
        <v>1.115172234742835</v>
      </c>
      <c r="N35" s="150">
        <v>0</v>
      </c>
      <c r="O35" s="367" t="s">
        <v>131</v>
      </c>
      <c r="Q35" s="81"/>
    </row>
    <row r="36" spans="2:17" ht="12" customHeight="1">
      <c r="B36" s="64" t="s">
        <v>317</v>
      </c>
      <c r="C36" s="244" t="s">
        <v>318</v>
      </c>
      <c r="D36" s="98">
        <v>0.71</v>
      </c>
      <c r="E36" s="269">
        <v>0.45750000000000002</v>
      </c>
      <c r="F36" s="269">
        <v>126.46</v>
      </c>
      <c r="G36" s="354">
        <f t="shared" si="2"/>
        <v>57.855449999999998</v>
      </c>
      <c r="H36" s="358">
        <v>59.484999999999999</v>
      </c>
      <c r="I36" s="354">
        <f t="shared" si="3"/>
        <v>117.34045</v>
      </c>
      <c r="J36" s="150">
        <v>220.107</v>
      </c>
      <c r="K36" s="354">
        <f t="shared" si="0"/>
        <v>-102.76655</v>
      </c>
      <c r="L36" s="361">
        <f t="shared" si="1"/>
        <v>1.8757981582651164</v>
      </c>
      <c r="M36" s="228">
        <f t="shared" si="4"/>
        <v>1.0281658858413512</v>
      </c>
      <c r="N36" s="358">
        <v>11.567</v>
      </c>
      <c r="O36" s="228">
        <f t="shared" si="5"/>
        <v>-8.8844601020143514</v>
      </c>
      <c r="Q36" s="322"/>
    </row>
    <row r="37" spans="2:17">
      <c r="B37" s="64" t="s">
        <v>319</v>
      </c>
      <c r="C37" s="64" t="s">
        <v>320</v>
      </c>
      <c r="D37" s="98">
        <v>1.59</v>
      </c>
      <c r="E37" s="270">
        <v>0.307</v>
      </c>
      <c r="F37" s="270">
        <v>73.98</v>
      </c>
      <c r="G37" s="354">
        <f t="shared" si="2"/>
        <v>22.711860000000001</v>
      </c>
      <c r="H37" s="150">
        <v>2.516</v>
      </c>
      <c r="I37" s="354">
        <f t="shared" si="3"/>
        <v>25.22786</v>
      </c>
      <c r="J37" s="358">
        <v>63.728999999999999</v>
      </c>
      <c r="K37" s="354">
        <f t="shared" ref="K37" si="6">I37-J37</f>
        <v>-38.501139999999999</v>
      </c>
      <c r="L37" s="361">
        <f t="shared" ref="L37" si="7">J37/I37</f>
        <v>2.5261357879740891</v>
      </c>
      <c r="M37" s="228">
        <f t="shared" si="4"/>
        <v>0.11077912597206921</v>
      </c>
      <c r="N37" s="150">
        <v>0</v>
      </c>
      <c r="O37" s="367" t="s">
        <v>131</v>
      </c>
      <c r="Q37" s="81"/>
    </row>
    <row r="38" spans="2:17">
      <c r="D38" s="355">
        <f>_xlfn.PERCENTILE.EXC(D5:D37,0.5)</f>
        <v>1.4300000000000002</v>
      </c>
      <c r="E38" s="87"/>
      <c r="F38" s="284"/>
      <c r="G38" s="159"/>
      <c r="H38" s="273"/>
      <c r="K38" s="87"/>
      <c r="L38" s="369">
        <f>_xlfn.PERCENTILE.EXC(L5:L37,0.5)</f>
        <v>0.36476495026907785</v>
      </c>
      <c r="M38" s="368">
        <f>_xlfn.PERCENTILE.EXC(M5:M37,0.5)</f>
        <v>6.7084329012551916E-2</v>
      </c>
      <c r="N38" s="42"/>
      <c r="O38" s="355">
        <f>_xlfn.PERCENTILE.EXC(O5:O37,0.5)</f>
        <v>4.3161859803414373</v>
      </c>
    </row>
    <row r="39" spans="2:17" ht="12" customHeight="1">
      <c r="E39" s="87"/>
      <c r="F39" s="87"/>
      <c r="G39" s="159"/>
      <c r="H39" s="233"/>
      <c r="K39" s="87"/>
      <c r="O39" s="246"/>
    </row>
    <row r="40" spans="2:17">
      <c r="B40" s="476" t="s">
        <v>333</v>
      </c>
      <c r="C40" s="476"/>
      <c r="D40" s="476"/>
      <c r="E40" s="476"/>
      <c r="F40" s="476"/>
      <c r="G40" s="476"/>
      <c r="H40" s="476"/>
      <c r="I40" s="476"/>
      <c r="J40" s="476"/>
      <c r="K40" s="476"/>
      <c r="L40" s="476"/>
      <c r="M40" s="476"/>
      <c r="N40" s="476"/>
      <c r="O40" s="476"/>
    </row>
    <row r="41" spans="2:17">
      <c r="B41" s="227" t="s">
        <v>138</v>
      </c>
      <c r="C41" s="227" t="s">
        <v>35</v>
      </c>
      <c r="D41" s="205" t="s">
        <v>321</v>
      </c>
      <c r="E41" s="351" t="s">
        <v>329</v>
      </c>
      <c r="F41" s="351" t="s">
        <v>332</v>
      </c>
      <c r="G41" s="351" t="s">
        <v>331</v>
      </c>
      <c r="H41" s="351" t="s">
        <v>330</v>
      </c>
      <c r="I41" s="351" t="s">
        <v>322</v>
      </c>
      <c r="J41" s="351" t="s">
        <v>323</v>
      </c>
      <c r="K41" s="351" t="s">
        <v>324</v>
      </c>
      <c r="L41" s="351" t="s">
        <v>325</v>
      </c>
      <c r="M41" s="351" t="s">
        <v>326</v>
      </c>
      <c r="N41" s="351" t="s">
        <v>327</v>
      </c>
      <c r="O41" s="351" t="s">
        <v>37</v>
      </c>
    </row>
    <row r="42" spans="2:17">
      <c r="B42" s="64" t="s">
        <v>334</v>
      </c>
      <c r="C42" s="64" t="s">
        <v>335</v>
      </c>
      <c r="D42" s="353">
        <v>0.72</v>
      </c>
      <c r="E42" s="228">
        <v>15.39</v>
      </c>
      <c r="F42" s="228">
        <v>76.25</v>
      </c>
      <c r="G42" s="354">
        <f>E42*F42</f>
        <v>1173.4875</v>
      </c>
      <c r="H42" s="354">
        <v>1109.7809999999999</v>
      </c>
      <c r="I42" s="354">
        <f>G42+H42</f>
        <v>2283.2685000000001</v>
      </c>
      <c r="J42" s="354">
        <v>55.712000000000003</v>
      </c>
      <c r="K42" s="354">
        <f>I42-J42</f>
        <v>2227.5565000000001</v>
      </c>
      <c r="L42" s="361">
        <f>J42/I42</f>
        <v>2.4400108879003936E-2</v>
      </c>
      <c r="M42" s="228">
        <f>H42/G42</f>
        <v>0.94571182053494396</v>
      </c>
      <c r="N42" s="354">
        <v>9876.2880000000005</v>
      </c>
      <c r="O42" s="228">
        <f>K42/N42</f>
        <v>0.22554592373166923</v>
      </c>
      <c r="Q42" s="365"/>
    </row>
    <row r="43" spans="2:17">
      <c r="B43" s="64" t="s">
        <v>336</v>
      </c>
      <c r="C43" s="244" t="s">
        <v>337</v>
      </c>
      <c r="D43" s="267" t="s">
        <v>131</v>
      </c>
      <c r="E43" s="98">
        <v>6.81</v>
      </c>
      <c r="F43" s="98">
        <v>282.89999999999998</v>
      </c>
      <c r="G43" s="354">
        <f t="shared" ref="G43:G47" si="8">E43*F43</f>
        <v>1926.5489999999998</v>
      </c>
      <c r="H43" s="356">
        <v>1827.877</v>
      </c>
      <c r="I43" s="354">
        <f t="shared" ref="I43:I47" si="9">G43+H43</f>
        <v>3754.4259999999995</v>
      </c>
      <c r="J43" s="354">
        <v>106.917</v>
      </c>
      <c r="K43" s="354">
        <f t="shared" ref="K43:K47" si="10">I43-J43</f>
        <v>3647.5089999999996</v>
      </c>
      <c r="L43" s="361">
        <f t="shared" ref="L43:L46" si="11">J43/I43</f>
        <v>2.8477588851131976E-2</v>
      </c>
      <c r="M43" s="228">
        <f t="shared" ref="M43:M47" si="12">H43/G43</f>
        <v>0.94878303121280605</v>
      </c>
      <c r="N43" s="356">
        <v>970.80600000000004</v>
      </c>
      <c r="O43" s="228">
        <f t="shared" ref="O43:O47" si="13">K43/N43</f>
        <v>3.7571965974664345</v>
      </c>
      <c r="Q43" s="363"/>
    </row>
    <row r="44" spans="2:17">
      <c r="B44" s="64" t="s">
        <v>338</v>
      </c>
      <c r="C44" s="244" t="s">
        <v>339</v>
      </c>
      <c r="D44" s="353">
        <v>0.82</v>
      </c>
      <c r="E44" s="228">
        <v>165.84</v>
      </c>
      <c r="F44" s="228">
        <v>100.02</v>
      </c>
      <c r="G44" s="354">
        <f t="shared" si="8"/>
        <v>16587.316800000001</v>
      </c>
      <c r="H44" s="354">
        <v>3279.884</v>
      </c>
      <c r="I44" s="354">
        <f t="shared" si="9"/>
        <v>19867.200799999999</v>
      </c>
      <c r="J44" s="356">
        <v>348.32</v>
      </c>
      <c r="K44" s="354">
        <f t="shared" si="10"/>
        <v>19518.880799999999</v>
      </c>
      <c r="L44" s="361">
        <f t="shared" si="11"/>
        <v>1.7532414531190525E-2</v>
      </c>
      <c r="M44" s="228">
        <f t="shared" si="12"/>
        <v>0.19773445214478572</v>
      </c>
      <c r="N44" s="354">
        <v>4773.1329999999998</v>
      </c>
      <c r="O44" s="228">
        <f t="shared" si="13"/>
        <v>4.0893226314875362</v>
      </c>
      <c r="Q44" s="365"/>
    </row>
    <row r="45" spans="2:17">
      <c r="B45" s="64" t="s">
        <v>341</v>
      </c>
      <c r="C45" s="244" t="s">
        <v>340</v>
      </c>
      <c r="D45" s="353">
        <v>1.22</v>
      </c>
      <c r="E45" s="228">
        <v>247.53</v>
      </c>
      <c r="F45" s="228">
        <v>74.05</v>
      </c>
      <c r="G45" s="354">
        <f t="shared" si="8"/>
        <v>18329.5965</v>
      </c>
      <c r="H45" s="354">
        <v>325.3</v>
      </c>
      <c r="I45" s="354">
        <f t="shared" si="9"/>
        <v>18654.896499999999</v>
      </c>
      <c r="J45" s="354">
        <v>762.6</v>
      </c>
      <c r="K45" s="354">
        <f t="shared" si="10"/>
        <v>17892.2965</v>
      </c>
      <c r="L45" s="361">
        <f t="shared" si="11"/>
        <v>4.087934768225597E-2</v>
      </c>
      <c r="M45" s="228">
        <f t="shared" si="12"/>
        <v>1.7747253737964173E-2</v>
      </c>
      <c r="N45" s="354">
        <v>2928.6</v>
      </c>
      <c r="O45" s="228">
        <f t="shared" si="13"/>
        <v>6.109505053609233</v>
      </c>
      <c r="Q45" s="365"/>
    </row>
    <row r="46" spans="2:17">
      <c r="B46" s="64" t="s">
        <v>343</v>
      </c>
      <c r="C46" s="244" t="s">
        <v>342</v>
      </c>
      <c r="D46" s="353">
        <v>0.71</v>
      </c>
      <c r="E46" s="228">
        <v>201.9</v>
      </c>
      <c r="F46" s="228">
        <v>272.37</v>
      </c>
      <c r="G46" s="354">
        <f t="shared" si="8"/>
        <v>54991.503000000004</v>
      </c>
      <c r="H46" s="354">
        <v>4306</v>
      </c>
      <c r="I46" s="354">
        <f t="shared" si="9"/>
        <v>59297.503000000004</v>
      </c>
      <c r="J46" s="354">
        <v>4076</v>
      </c>
      <c r="K46" s="354">
        <f t="shared" si="10"/>
        <v>55221.503000000004</v>
      </c>
      <c r="L46" s="361">
        <f t="shared" si="11"/>
        <v>6.8738138939847093E-2</v>
      </c>
      <c r="M46" s="228">
        <f t="shared" si="12"/>
        <v>7.8303006193520472E-2</v>
      </c>
      <c r="N46" s="354">
        <v>27146</v>
      </c>
      <c r="O46" s="228">
        <f t="shared" si="13"/>
        <v>2.0342408826346423</v>
      </c>
      <c r="Q46" s="365"/>
    </row>
    <row r="47" spans="2:17">
      <c r="B47" s="64" t="s">
        <v>345</v>
      </c>
      <c r="C47" s="64" t="s">
        <v>344</v>
      </c>
      <c r="D47" s="353">
        <v>0.99</v>
      </c>
      <c r="E47" s="268">
        <v>113.63</v>
      </c>
      <c r="F47" s="268">
        <v>553.61</v>
      </c>
      <c r="G47" s="354">
        <f t="shared" si="8"/>
        <v>62906.704299999998</v>
      </c>
      <c r="H47" s="357">
        <v>18310</v>
      </c>
      <c r="I47" s="354">
        <f t="shared" si="9"/>
        <v>81216.704299999998</v>
      </c>
      <c r="J47" s="354">
        <v>4765</v>
      </c>
      <c r="K47" s="354">
        <f t="shared" si="10"/>
        <v>76451.704299999998</v>
      </c>
      <c r="L47" s="361">
        <f>J47/I47</f>
        <v>5.8670196495525614E-2</v>
      </c>
      <c r="M47" s="228">
        <f t="shared" si="12"/>
        <v>0.29106595558845705</v>
      </c>
      <c r="N47" s="357">
        <v>35085</v>
      </c>
      <c r="O47" s="228">
        <f t="shared" si="13"/>
        <v>2.1790424483397461</v>
      </c>
      <c r="Q47" s="280"/>
    </row>
    <row r="48" spans="2:17">
      <c r="D48" s="368">
        <f>_xlfn.PERCENTILE.EXC(D42:D47,0.5)</f>
        <v>0.82</v>
      </c>
      <c r="E48" s="87"/>
      <c r="F48" s="284"/>
      <c r="G48" s="159"/>
      <c r="H48" s="273"/>
      <c r="K48" s="87"/>
      <c r="L48" s="369">
        <f>_xlfn.PERCENTILE.EXC(L42:L47,0.5)</f>
        <v>3.4678468266693976E-2</v>
      </c>
      <c r="M48" s="368">
        <f>_xlfn.PERCENTILE.EXC(M42:M47,0.5)</f>
        <v>0.24440020386662137</v>
      </c>
      <c r="N48" s="42"/>
      <c r="O48" s="355">
        <f>_xlfn.PERCENTILE.EXC(O42:O47,0.5)</f>
        <v>2.9681195229030903</v>
      </c>
    </row>
    <row r="50" spans="2:20">
      <c r="B50" s="476" t="s">
        <v>346</v>
      </c>
      <c r="C50" s="476"/>
      <c r="D50" s="476"/>
      <c r="E50" s="476"/>
      <c r="F50" s="476"/>
      <c r="G50" s="476"/>
      <c r="H50" s="476"/>
      <c r="I50" s="476"/>
      <c r="J50" s="476"/>
      <c r="K50" s="476"/>
      <c r="L50" s="476"/>
      <c r="M50" s="476"/>
      <c r="N50" s="476"/>
      <c r="O50" s="476"/>
    </row>
    <row r="51" spans="2:20">
      <c r="B51" s="227" t="s">
        <v>138</v>
      </c>
      <c r="C51" s="227" t="s">
        <v>35</v>
      </c>
      <c r="D51" s="205" t="s">
        <v>321</v>
      </c>
      <c r="E51" s="351" t="s">
        <v>329</v>
      </c>
      <c r="F51" s="351" t="s">
        <v>332</v>
      </c>
      <c r="G51" s="351" t="s">
        <v>331</v>
      </c>
      <c r="H51" s="351" t="s">
        <v>330</v>
      </c>
      <c r="I51" s="351" t="s">
        <v>322</v>
      </c>
      <c r="J51" s="351" t="s">
        <v>323</v>
      </c>
      <c r="K51" s="351" t="s">
        <v>324</v>
      </c>
      <c r="L51" s="351" t="s">
        <v>325</v>
      </c>
      <c r="M51" s="351" t="s">
        <v>326</v>
      </c>
      <c r="N51" s="351" t="s">
        <v>327</v>
      </c>
      <c r="O51" s="351" t="s">
        <v>37</v>
      </c>
    </row>
    <row r="52" spans="2:20">
      <c r="B52" s="64" t="s">
        <v>347</v>
      </c>
      <c r="C52" s="64" t="s">
        <v>348</v>
      </c>
      <c r="D52" s="353">
        <v>0.56000000000000005</v>
      </c>
      <c r="E52" s="228">
        <v>164.46</v>
      </c>
      <c r="F52" s="354">
        <v>2630</v>
      </c>
      <c r="G52" s="354">
        <f>E52*F52</f>
        <v>432529.80000000005</v>
      </c>
      <c r="H52" s="354">
        <v>33751</v>
      </c>
      <c r="I52" s="354">
        <f>G52+H52</f>
        <v>466280.80000000005</v>
      </c>
      <c r="J52" s="354">
        <v>31608</v>
      </c>
      <c r="K52" s="354">
        <f>I52-J52</f>
        <v>434672.80000000005</v>
      </c>
      <c r="L52" s="361">
        <f>J52/I52</f>
        <v>6.7787479132745757E-2</v>
      </c>
      <c r="M52" s="228">
        <f>H52/G52</f>
        <v>7.8031617705878298E-2</v>
      </c>
      <c r="N52" s="372">
        <v>95588</v>
      </c>
      <c r="O52" s="228">
        <f>K52/N52</f>
        <v>4.5473574088797761</v>
      </c>
      <c r="Q52" s="365"/>
      <c r="T52" s="215"/>
    </row>
    <row r="53" spans="2:20">
      <c r="B53" s="64" t="s">
        <v>349</v>
      </c>
      <c r="C53" s="244" t="s">
        <v>350</v>
      </c>
      <c r="D53" s="353">
        <v>0.64</v>
      </c>
      <c r="E53" s="98">
        <v>42.86</v>
      </c>
      <c r="F53" s="356">
        <v>5610</v>
      </c>
      <c r="G53" s="354">
        <f t="shared" ref="G53:G74" si="14">E53*F53</f>
        <v>240444.6</v>
      </c>
      <c r="H53" s="356">
        <v>38436</v>
      </c>
      <c r="I53" s="354">
        <f t="shared" ref="I53:I74" si="15">G53+H53</f>
        <v>278880.59999999998</v>
      </c>
      <c r="J53" s="354">
        <v>31069</v>
      </c>
      <c r="K53" s="354">
        <f>I53-J53</f>
        <v>247811.59999999998</v>
      </c>
      <c r="L53" s="361">
        <f t="shared" ref="L53:L74" si="16">J53/I53</f>
        <v>0.11140609995819001</v>
      </c>
      <c r="M53" s="228">
        <f t="shared" ref="M53:M74" si="17">H53/G53</f>
        <v>0.15985387070451987</v>
      </c>
      <c r="N53" s="373">
        <v>101275</v>
      </c>
      <c r="O53" s="228">
        <f t="shared" ref="O53:O74" si="18">K53/N53</f>
        <v>2.4469177980745491</v>
      </c>
      <c r="Q53" s="363"/>
      <c r="T53" s="215"/>
    </row>
    <row r="54" spans="2:20">
      <c r="B54" s="64" t="s">
        <v>351</v>
      </c>
      <c r="C54" s="244" t="s">
        <v>352</v>
      </c>
      <c r="D54" s="353">
        <v>0.65</v>
      </c>
      <c r="E54" s="228">
        <v>142.94</v>
      </c>
      <c r="F54" s="354">
        <v>1770</v>
      </c>
      <c r="G54" s="354">
        <f t="shared" si="14"/>
        <v>253003.8</v>
      </c>
      <c r="H54" s="354">
        <v>76684</v>
      </c>
      <c r="I54" s="354">
        <f t="shared" si="15"/>
        <v>329687.8</v>
      </c>
      <c r="J54" s="356">
        <v>9830</v>
      </c>
      <c r="K54" s="354">
        <f t="shared" ref="K54:K74" si="19">I54-J54</f>
        <v>319857.8</v>
      </c>
      <c r="L54" s="361">
        <f t="shared" si="16"/>
        <v>2.9816086612850099E-2</v>
      </c>
      <c r="M54" s="228">
        <f t="shared" si="17"/>
        <v>0.30309426182531646</v>
      </c>
      <c r="N54" s="372">
        <v>57349</v>
      </c>
      <c r="O54" s="228">
        <f t="shared" si="18"/>
        <v>5.5773910617447555</v>
      </c>
      <c r="Q54" s="365"/>
      <c r="T54" s="215"/>
    </row>
    <row r="55" spans="2:20">
      <c r="B55" s="64" t="s">
        <v>353</v>
      </c>
      <c r="C55" s="244" t="s">
        <v>354</v>
      </c>
      <c r="D55" s="353">
        <v>0.33</v>
      </c>
      <c r="E55" s="228">
        <v>331.39</v>
      </c>
      <c r="F55" s="354">
        <v>534.92999999999995</v>
      </c>
      <c r="G55" s="354">
        <f t="shared" si="14"/>
        <v>177270.45269999997</v>
      </c>
      <c r="H55" s="354">
        <v>16884.7</v>
      </c>
      <c r="I55" s="354">
        <f t="shared" si="15"/>
        <v>194155.15269999998</v>
      </c>
      <c r="J55" s="354">
        <v>3908.6</v>
      </c>
      <c r="K55" s="354">
        <f t="shared" si="19"/>
        <v>190246.55269999997</v>
      </c>
      <c r="L55" s="361">
        <f t="shared" si="16"/>
        <v>2.0131322530694804E-2</v>
      </c>
      <c r="M55" s="228">
        <f t="shared" si="17"/>
        <v>9.524824776396594E-2</v>
      </c>
      <c r="N55" s="372">
        <v>29070.7</v>
      </c>
      <c r="O55" s="228">
        <f t="shared" si="18"/>
        <v>6.5442714726511566</v>
      </c>
      <c r="Q55" s="365"/>
      <c r="T55" s="215"/>
    </row>
    <row r="56" spans="2:20">
      <c r="B56" s="64" t="s">
        <v>355</v>
      </c>
      <c r="C56" s="244" t="s">
        <v>356</v>
      </c>
      <c r="D56" s="353">
        <v>0.49</v>
      </c>
      <c r="E56" s="228">
        <v>75.569999999999993</v>
      </c>
      <c r="F56" s="354">
        <v>2180</v>
      </c>
      <c r="G56" s="354">
        <f t="shared" si="14"/>
        <v>164742.59999999998</v>
      </c>
      <c r="H56" s="354">
        <v>31025</v>
      </c>
      <c r="I56" s="354">
        <f t="shared" si="15"/>
        <v>195767.59999999998</v>
      </c>
      <c r="J56" s="354">
        <v>28113</v>
      </c>
      <c r="K56" s="354">
        <f t="shared" si="19"/>
        <v>167654.59999999998</v>
      </c>
      <c r="L56" s="361">
        <f t="shared" si="16"/>
        <v>0.14360394672049923</v>
      </c>
      <c r="M56" s="228">
        <f t="shared" si="17"/>
        <v>0.18832408860853236</v>
      </c>
      <c r="N56" s="372">
        <v>52788</v>
      </c>
      <c r="O56" s="228">
        <f t="shared" si="18"/>
        <v>3.175998332954459</v>
      </c>
      <c r="Q56" s="365"/>
      <c r="T56" s="215"/>
    </row>
    <row r="57" spans="2:20" ht="12" customHeight="1">
      <c r="B57" s="64" t="s">
        <v>357</v>
      </c>
      <c r="C57" s="64" t="s">
        <v>358</v>
      </c>
      <c r="D57" s="353">
        <v>0.33</v>
      </c>
      <c r="E57" s="268">
        <v>92.18</v>
      </c>
      <c r="F57" s="357">
        <v>2530</v>
      </c>
      <c r="G57" s="354">
        <f t="shared" si="14"/>
        <v>233215.40000000002</v>
      </c>
      <c r="H57" s="357">
        <v>33102</v>
      </c>
      <c r="I57" s="354">
        <f t="shared" si="15"/>
        <v>266317.40000000002</v>
      </c>
      <c r="J57" s="354">
        <v>8096</v>
      </c>
      <c r="K57" s="354">
        <f t="shared" si="19"/>
        <v>258221.40000000002</v>
      </c>
      <c r="L57" s="361">
        <f t="shared" si="16"/>
        <v>3.039981615921453E-2</v>
      </c>
      <c r="M57" s="228">
        <f t="shared" si="17"/>
        <v>0.14193745353008419</v>
      </c>
      <c r="N57" s="374">
        <v>57169</v>
      </c>
      <c r="O57" s="228">
        <f t="shared" si="18"/>
        <v>4.5168080603124077</v>
      </c>
      <c r="Q57" s="280"/>
      <c r="T57" s="215"/>
    </row>
    <row r="58" spans="2:20">
      <c r="B58" s="64" t="s">
        <v>359</v>
      </c>
      <c r="C58" s="64" t="s">
        <v>360</v>
      </c>
      <c r="D58" s="353">
        <v>0.16</v>
      </c>
      <c r="E58" s="268">
        <v>54.97</v>
      </c>
      <c r="F58" s="357">
        <v>3100</v>
      </c>
      <c r="G58" s="354">
        <f t="shared" si="14"/>
        <v>170407</v>
      </c>
      <c r="H58" s="357">
        <v>30781</v>
      </c>
      <c r="I58" s="354">
        <f t="shared" si="15"/>
        <v>201188</v>
      </c>
      <c r="J58" s="354">
        <v>6398</v>
      </c>
      <c r="K58" s="354">
        <f t="shared" si="19"/>
        <v>194790</v>
      </c>
      <c r="L58" s="361">
        <f t="shared" si="16"/>
        <v>3.1801101457343384E-2</v>
      </c>
      <c r="M58" s="228">
        <f t="shared" si="17"/>
        <v>0.1806322510225519</v>
      </c>
      <c r="N58" s="374">
        <v>44038</v>
      </c>
      <c r="O58" s="228">
        <f t="shared" si="18"/>
        <v>4.4232253962486947</v>
      </c>
      <c r="Q58" s="280"/>
      <c r="T58" s="215"/>
    </row>
    <row r="59" spans="2:20">
      <c r="B59" s="64" t="s">
        <v>361</v>
      </c>
      <c r="C59" s="64" t="s">
        <v>362</v>
      </c>
      <c r="D59" s="353">
        <v>0.31</v>
      </c>
      <c r="E59" s="268">
        <v>103.8</v>
      </c>
      <c r="F59" s="357">
        <v>2260</v>
      </c>
      <c r="G59" s="354">
        <f t="shared" si="14"/>
        <v>234588</v>
      </c>
      <c r="H59" s="357">
        <v>26645</v>
      </c>
      <c r="I59" s="354">
        <f t="shared" si="15"/>
        <v>261233</v>
      </c>
      <c r="J59" s="354">
        <v>17485</v>
      </c>
      <c r="K59" s="354">
        <f t="shared" si="19"/>
        <v>243748</v>
      </c>
      <c r="L59" s="361">
        <f t="shared" si="16"/>
        <v>6.6932585086876467E-2</v>
      </c>
      <c r="M59" s="228">
        <f t="shared" si="17"/>
        <v>0.11358210991184545</v>
      </c>
      <c r="N59" s="374">
        <v>157251</v>
      </c>
      <c r="O59" s="228">
        <f t="shared" si="18"/>
        <v>1.5500569153773267</v>
      </c>
      <c r="Q59" s="280"/>
      <c r="T59" s="215"/>
    </row>
    <row r="60" spans="2:20">
      <c r="B60" s="64" t="s">
        <v>364</v>
      </c>
      <c r="C60" s="64" t="s">
        <v>363</v>
      </c>
      <c r="D60" s="353">
        <v>0.36</v>
      </c>
      <c r="E60" s="268">
        <v>70.62</v>
      </c>
      <c r="F60" s="357">
        <v>2140</v>
      </c>
      <c r="G60" s="354">
        <f t="shared" si="14"/>
        <v>151126.80000000002</v>
      </c>
      <c r="H60" s="357">
        <v>45596</v>
      </c>
      <c r="I60" s="354">
        <f t="shared" si="15"/>
        <v>196722.80000000002</v>
      </c>
      <c r="J60" s="354">
        <v>17221</v>
      </c>
      <c r="K60" s="354">
        <f t="shared" si="19"/>
        <v>179501.80000000002</v>
      </c>
      <c r="L60" s="361">
        <f t="shared" si="16"/>
        <v>8.7539420951714797E-2</v>
      </c>
      <c r="M60" s="228">
        <f t="shared" si="17"/>
        <v>0.30170691101776781</v>
      </c>
      <c r="N60" s="374">
        <v>47144</v>
      </c>
      <c r="O60" s="228">
        <f t="shared" si="18"/>
        <v>3.8075216358391315</v>
      </c>
      <c r="Q60" s="280"/>
      <c r="T60" s="215"/>
    </row>
    <row r="61" spans="2:20">
      <c r="B61" s="64" t="s">
        <v>365</v>
      </c>
      <c r="C61" s="64" t="s">
        <v>366</v>
      </c>
      <c r="D61" s="353">
        <v>0.57999999999999996</v>
      </c>
      <c r="E61" s="268">
        <v>251.34</v>
      </c>
      <c r="F61" s="357">
        <v>534.92999999999995</v>
      </c>
      <c r="G61" s="354">
        <f t="shared" si="14"/>
        <v>134449.30619999999</v>
      </c>
      <c r="H61" s="357">
        <v>33309</v>
      </c>
      <c r="I61" s="354">
        <f t="shared" si="15"/>
        <v>167758.30619999999</v>
      </c>
      <c r="J61" s="354">
        <v>8037</v>
      </c>
      <c r="K61" s="354">
        <f t="shared" si="19"/>
        <v>159721.30619999999</v>
      </c>
      <c r="L61" s="361">
        <f t="shared" si="16"/>
        <v>4.7908209030307916E-2</v>
      </c>
      <c r="M61" s="228">
        <f t="shared" si="17"/>
        <v>0.2477439336908977</v>
      </c>
      <c r="N61" s="374">
        <v>26384</v>
      </c>
      <c r="O61" s="228">
        <f t="shared" si="18"/>
        <v>6.0537183975136442</v>
      </c>
      <c r="Q61" s="280"/>
      <c r="T61" s="215"/>
    </row>
    <row r="62" spans="2:20">
      <c r="B62" s="64" t="s">
        <v>367</v>
      </c>
      <c r="C62" s="64" t="s">
        <v>368</v>
      </c>
      <c r="D62" s="353">
        <v>0.42</v>
      </c>
      <c r="E62" s="268">
        <v>39.58</v>
      </c>
      <c r="F62" s="357">
        <v>2510</v>
      </c>
      <c r="G62" s="354">
        <f t="shared" si="14"/>
        <v>99345.8</v>
      </c>
      <c r="H62" s="357">
        <v>22414</v>
      </c>
      <c r="I62" s="354">
        <f t="shared" si="15"/>
        <v>121759.8</v>
      </c>
      <c r="J62" s="354">
        <v>11152</v>
      </c>
      <c r="K62" s="354">
        <f t="shared" si="19"/>
        <v>110607.8</v>
      </c>
      <c r="L62" s="361">
        <f t="shared" si="16"/>
        <v>9.159016358436857E-2</v>
      </c>
      <c r="M62" s="228">
        <f t="shared" si="17"/>
        <v>0.22561597973945552</v>
      </c>
      <c r="N62" s="374">
        <v>42039</v>
      </c>
      <c r="O62" s="228">
        <f t="shared" si="18"/>
        <v>2.6310759057066058</v>
      </c>
      <c r="Q62" s="280"/>
      <c r="T62" s="215"/>
    </row>
    <row r="63" spans="2:20" ht="12" customHeight="1">
      <c r="B63" s="64" t="s">
        <v>370</v>
      </c>
      <c r="C63" s="64" t="s">
        <v>369</v>
      </c>
      <c r="D63" s="353">
        <v>0.28999999999999998</v>
      </c>
      <c r="E63" s="268">
        <v>30.71</v>
      </c>
      <c r="F63" s="357">
        <v>2029.9999999999998</v>
      </c>
      <c r="G63" s="354">
        <f t="shared" si="14"/>
        <v>62341.299999999996</v>
      </c>
      <c r="H63" s="357">
        <v>24173</v>
      </c>
      <c r="I63" s="354">
        <f t="shared" si="15"/>
        <v>86514.299999999988</v>
      </c>
      <c r="J63" s="354">
        <v>4135</v>
      </c>
      <c r="K63" s="354">
        <f t="shared" si="19"/>
        <v>82379.299999999988</v>
      </c>
      <c r="L63" s="361">
        <f t="shared" si="16"/>
        <v>4.7795566744457278E-2</v>
      </c>
      <c r="M63" s="228">
        <f t="shared" si="17"/>
        <v>0.38775258135457558</v>
      </c>
      <c r="N63" s="374">
        <v>37240</v>
      </c>
      <c r="O63" s="228">
        <f t="shared" si="18"/>
        <v>2.2121186895810951</v>
      </c>
      <c r="Q63" s="280"/>
      <c r="T63" s="215"/>
    </row>
    <row r="64" spans="2:20">
      <c r="B64" s="64" t="s">
        <v>371</v>
      </c>
      <c r="C64" s="64" t="s">
        <v>372</v>
      </c>
      <c r="D64" s="353">
        <v>0.17</v>
      </c>
      <c r="E64" s="268">
        <v>280.43</v>
      </c>
      <c r="F64" s="357">
        <v>482.22</v>
      </c>
      <c r="G64" s="354">
        <f t="shared" si="14"/>
        <v>135228.9546</v>
      </c>
      <c r="H64" s="357">
        <v>9657.7999999999993</v>
      </c>
      <c r="I64" s="354">
        <f t="shared" si="15"/>
        <v>144886.75459999999</v>
      </c>
      <c r="J64" s="354">
        <v>10436.4</v>
      </c>
      <c r="K64" s="354">
        <f t="shared" si="19"/>
        <v>134450.35459999999</v>
      </c>
      <c r="L64" s="361">
        <f t="shared" si="16"/>
        <v>7.203142915867343E-2</v>
      </c>
      <c r="M64" s="228">
        <f t="shared" si="17"/>
        <v>7.1418136955707853E-2</v>
      </c>
      <c r="N64" s="374">
        <v>10493.1</v>
      </c>
      <c r="O64" s="228">
        <f t="shared" si="18"/>
        <v>12.813215789423525</v>
      </c>
      <c r="Q64" s="280"/>
      <c r="T64" s="215"/>
    </row>
    <row r="65" spans="2:20">
      <c r="B65" s="64" t="s">
        <v>373</v>
      </c>
      <c r="C65" s="64" t="s">
        <v>374</v>
      </c>
      <c r="D65" s="353">
        <v>0.17</v>
      </c>
      <c r="E65" s="268">
        <v>736.06</v>
      </c>
      <c r="F65" s="357">
        <v>107.19</v>
      </c>
      <c r="G65" s="354">
        <f t="shared" si="14"/>
        <v>78898.271399999998</v>
      </c>
      <c r="H65" s="357">
        <v>2699.7</v>
      </c>
      <c r="I65" s="354">
        <f t="shared" si="15"/>
        <v>81597.971399999995</v>
      </c>
      <c r="J65" s="354">
        <v>5694.7</v>
      </c>
      <c r="K65" s="354">
        <f t="shared" si="19"/>
        <v>75903.271399999998</v>
      </c>
      <c r="L65" s="361">
        <f t="shared" si="16"/>
        <v>6.9789725189173021E-2</v>
      </c>
      <c r="M65" s="228">
        <f t="shared" si="17"/>
        <v>3.4217479700068561E-2</v>
      </c>
      <c r="N65" s="374">
        <v>14226.8</v>
      </c>
      <c r="O65" s="228">
        <f t="shared" si="18"/>
        <v>5.3352314926757947</v>
      </c>
      <c r="Q65" s="280"/>
      <c r="T65" s="215"/>
    </row>
    <row r="66" spans="2:20">
      <c r="B66" s="64" t="s">
        <v>375</v>
      </c>
      <c r="C66" s="64" t="s">
        <v>376</v>
      </c>
      <c r="D66" s="353">
        <v>0.33</v>
      </c>
      <c r="E66" s="268">
        <v>66.17</v>
      </c>
      <c r="F66" s="357">
        <v>1250</v>
      </c>
      <c r="G66" s="354">
        <f t="shared" si="14"/>
        <v>82712.5</v>
      </c>
      <c r="H66" s="357">
        <v>26695</v>
      </c>
      <c r="I66" s="354">
        <f t="shared" si="15"/>
        <v>109407.5</v>
      </c>
      <c r="J66" s="354">
        <v>6520</v>
      </c>
      <c r="K66" s="354">
        <f t="shared" si="19"/>
        <v>102887.5</v>
      </c>
      <c r="L66" s="361">
        <f t="shared" si="16"/>
        <v>5.9593720722985168E-2</v>
      </c>
      <c r="M66" s="228">
        <f t="shared" si="17"/>
        <v>0.32274444612362096</v>
      </c>
      <c r="N66" s="374">
        <v>27515</v>
      </c>
      <c r="O66" s="228">
        <f t="shared" si="18"/>
        <v>3.7393240050881338</v>
      </c>
      <c r="Q66" s="280"/>
      <c r="T66" s="215"/>
    </row>
    <row r="67" spans="2:20">
      <c r="B67" s="64" t="s">
        <v>377</v>
      </c>
      <c r="C67" s="64" t="s">
        <v>378</v>
      </c>
      <c r="D67" s="353">
        <v>1.69</v>
      </c>
      <c r="E67" s="268">
        <v>134</v>
      </c>
      <c r="F67" s="357">
        <v>391.2</v>
      </c>
      <c r="G67" s="354">
        <f t="shared" si="14"/>
        <v>52420.799999999996</v>
      </c>
      <c r="H67" s="357">
        <v>916</v>
      </c>
      <c r="I67" s="354">
        <f t="shared" si="15"/>
        <v>53336.799999999996</v>
      </c>
      <c r="J67" s="354">
        <v>10727</v>
      </c>
      <c r="K67" s="354">
        <f t="shared" si="19"/>
        <v>42609.799999999996</v>
      </c>
      <c r="L67" s="361">
        <f t="shared" si="16"/>
        <v>0.20111817731847431</v>
      </c>
      <c r="M67" s="228">
        <f t="shared" si="17"/>
        <v>1.7473979794280135E-2</v>
      </c>
      <c r="N67" s="374">
        <v>22284</v>
      </c>
      <c r="O67" s="228">
        <f t="shared" si="18"/>
        <v>1.9121252916891041</v>
      </c>
      <c r="Q67" s="280"/>
      <c r="T67" s="215"/>
    </row>
    <row r="68" spans="2:20">
      <c r="B68" s="64" t="s">
        <v>380</v>
      </c>
      <c r="C68" s="64" t="s">
        <v>379</v>
      </c>
      <c r="D68" s="370" t="s">
        <v>131</v>
      </c>
      <c r="E68" s="268">
        <v>48.97</v>
      </c>
      <c r="F68" s="371" t="s">
        <v>131</v>
      </c>
      <c r="G68" s="371" t="s">
        <v>131</v>
      </c>
      <c r="H68" s="357">
        <v>39531</v>
      </c>
      <c r="I68" s="354">
        <f>H68</f>
        <v>39531</v>
      </c>
      <c r="J68" s="354">
        <v>7739</v>
      </c>
      <c r="K68" s="354">
        <f t="shared" si="19"/>
        <v>31792</v>
      </c>
      <c r="L68" s="361">
        <f t="shared" si="16"/>
        <v>0.19577040803420101</v>
      </c>
      <c r="M68" s="367" t="s">
        <v>131</v>
      </c>
      <c r="N68" s="374">
        <v>48357</v>
      </c>
      <c r="O68" s="228">
        <f t="shared" si="18"/>
        <v>0.65744359658374174</v>
      </c>
      <c r="Q68" s="280"/>
      <c r="T68" s="215"/>
    </row>
    <row r="69" spans="2:20">
      <c r="B69" s="64" t="s">
        <v>382</v>
      </c>
      <c r="C69" s="64" t="s">
        <v>381</v>
      </c>
      <c r="D69" s="353">
        <v>0.42</v>
      </c>
      <c r="E69" s="268">
        <v>293.20999999999998</v>
      </c>
      <c r="F69" s="357">
        <v>256.45999999999998</v>
      </c>
      <c r="G69" s="354">
        <f t="shared" si="14"/>
        <v>75196.636599999983</v>
      </c>
      <c r="H69" s="357">
        <v>934.1</v>
      </c>
      <c r="I69" s="354">
        <f t="shared" si="15"/>
        <v>76130.736599999989</v>
      </c>
      <c r="J69" s="354">
        <v>7524.9</v>
      </c>
      <c r="K69" s="354">
        <f t="shared" si="19"/>
        <v>68605.836599999995</v>
      </c>
      <c r="L69" s="361">
        <f t="shared" si="16"/>
        <v>9.884181259846106E-2</v>
      </c>
      <c r="M69" s="228">
        <f t="shared" si="17"/>
        <v>1.2422098144746015E-2</v>
      </c>
      <c r="N69" s="374">
        <v>8350.4</v>
      </c>
      <c r="O69" s="228">
        <f t="shared" si="18"/>
        <v>8.215874281471546</v>
      </c>
      <c r="Q69" s="280"/>
      <c r="T69" s="215"/>
    </row>
    <row r="70" spans="2:20">
      <c r="B70" s="64" t="s">
        <v>384</v>
      </c>
      <c r="C70" s="64" t="s">
        <v>383</v>
      </c>
      <c r="D70" s="353">
        <v>0.75</v>
      </c>
      <c r="E70" s="268">
        <v>3828</v>
      </c>
      <c r="F70" s="357">
        <v>1550</v>
      </c>
      <c r="G70" s="354">
        <f t="shared" si="14"/>
        <v>5933400</v>
      </c>
      <c r="H70" s="357">
        <v>4345411</v>
      </c>
      <c r="I70" s="354">
        <f t="shared" si="15"/>
        <v>10278811</v>
      </c>
      <c r="J70" s="354">
        <v>875000</v>
      </c>
      <c r="K70" s="354">
        <f t="shared" si="19"/>
        <v>9403811</v>
      </c>
      <c r="L70" s="361">
        <f t="shared" si="16"/>
        <v>8.512657738331797E-2</v>
      </c>
      <c r="M70" s="228">
        <f t="shared" si="17"/>
        <v>0.73236441163582433</v>
      </c>
      <c r="N70" s="374">
        <v>3591868</v>
      </c>
      <c r="O70" s="228">
        <f t="shared" si="18"/>
        <v>2.6180836823624922</v>
      </c>
      <c r="Q70" s="280"/>
      <c r="T70" s="215"/>
    </row>
    <row r="71" spans="2:20">
      <c r="B71" s="64" t="s">
        <v>385</v>
      </c>
      <c r="C71" s="64" t="s">
        <v>386</v>
      </c>
      <c r="D71" s="353">
        <v>0.71</v>
      </c>
      <c r="E71" s="268">
        <v>100.91</v>
      </c>
      <c r="F71" s="357">
        <v>1750</v>
      </c>
      <c r="G71" s="354">
        <f t="shared" si="14"/>
        <v>176592.5</v>
      </c>
      <c r="H71" s="357">
        <v>19006</v>
      </c>
      <c r="I71" s="354">
        <f t="shared" si="15"/>
        <v>195598.5</v>
      </c>
      <c r="J71" s="354">
        <v>10249</v>
      </c>
      <c r="K71" s="354">
        <f t="shared" si="19"/>
        <v>185349.5</v>
      </c>
      <c r="L71" s="361">
        <f t="shared" si="16"/>
        <v>5.2398152337569052E-2</v>
      </c>
      <c r="M71" s="228">
        <f t="shared" si="17"/>
        <v>0.1076263148208446</v>
      </c>
      <c r="N71" s="374">
        <v>45548</v>
      </c>
      <c r="O71" s="228">
        <f t="shared" si="18"/>
        <v>4.0693224729955215</v>
      </c>
      <c r="Q71" s="280"/>
      <c r="T71" s="215"/>
    </row>
    <row r="72" spans="2:20">
      <c r="B72" s="64" t="s">
        <v>387</v>
      </c>
      <c r="C72" s="64" t="s">
        <v>388</v>
      </c>
      <c r="D72" s="370" t="s">
        <v>131</v>
      </c>
      <c r="E72" s="268">
        <v>139.44999999999999</v>
      </c>
      <c r="F72" s="371" t="s">
        <v>131</v>
      </c>
      <c r="G72" s="371" t="s">
        <v>131</v>
      </c>
      <c r="H72" s="357">
        <v>301.5</v>
      </c>
      <c r="I72" s="354">
        <f>H72</f>
        <v>301.5</v>
      </c>
      <c r="J72" s="354">
        <v>2074.3000000000002</v>
      </c>
      <c r="K72" s="354">
        <f t="shared" si="19"/>
        <v>-1772.8000000000002</v>
      </c>
      <c r="L72" s="361">
        <f t="shared" si="16"/>
        <v>6.8799336650082923</v>
      </c>
      <c r="M72" s="367" t="s">
        <v>131</v>
      </c>
      <c r="N72" s="374">
        <v>21190.9</v>
      </c>
      <c r="O72" s="228">
        <f t="shared" si="18"/>
        <v>-8.365855154807017E-2</v>
      </c>
      <c r="Q72" s="280"/>
      <c r="T72" s="215"/>
    </row>
    <row r="73" spans="2:20">
      <c r="B73" s="64" t="s">
        <v>389</v>
      </c>
      <c r="C73" s="64" t="s">
        <v>390</v>
      </c>
      <c r="D73" s="353">
        <v>0.17</v>
      </c>
      <c r="E73" s="268">
        <v>264.63</v>
      </c>
      <c r="F73" s="357">
        <v>145.11000000000001</v>
      </c>
      <c r="G73" s="354">
        <f t="shared" si="14"/>
        <v>38400.459300000002</v>
      </c>
      <c r="H73" s="357">
        <v>7603.5</v>
      </c>
      <c r="I73" s="354">
        <f t="shared" si="15"/>
        <v>46003.959300000002</v>
      </c>
      <c r="J73" s="354">
        <v>3802.5</v>
      </c>
      <c r="K73" s="354">
        <f t="shared" si="19"/>
        <v>42201.459300000002</v>
      </c>
      <c r="L73" s="361">
        <f t="shared" si="16"/>
        <v>8.2655929138690451E-2</v>
      </c>
      <c r="M73" s="228">
        <f t="shared" si="17"/>
        <v>0.19800544416925761</v>
      </c>
      <c r="N73" s="374">
        <v>10633.6</v>
      </c>
      <c r="O73" s="228">
        <f t="shared" si="18"/>
        <v>3.9686897475925371</v>
      </c>
      <c r="Q73" s="280"/>
      <c r="T73" s="215"/>
    </row>
    <row r="74" spans="2:20">
      <c r="B74" s="64" t="s">
        <v>391</v>
      </c>
      <c r="C74" s="64" t="s">
        <v>392</v>
      </c>
      <c r="D74" s="353">
        <v>0.73</v>
      </c>
      <c r="E74" s="268">
        <v>94.8</v>
      </c>
      <c r="F74" s="357">
        <v>1350</v>
      </c>
      <c r="G74" s="354">
        <f t="shared" si="14"/>
        <v>127980</v>
      </c>
      <c r="H74" s="357">
        <v>694.64400000000001</v>
      </c>
      <c r="I74" s="354">
        <f t="shared" si="15"/>
        <v>128674.644</v>
      </c>
      <c r="J74" s="354">
        <v>6617.64</v>
      </c>
      <c r="K74" s="354">
        <f t="shared" si="19"/>
        <v>122057.004</v>
      </c>
      <c r="L74" s="361">
        <f t="shared" si="16"/>
        <v>5.1429246619870195E-2</v>
      </c>
      <c r="M74" s="228">
        <f t="shared" si="17"/>
        <v>5.427754336615096E-3</v>
      </c>
      <c r="N74" s="374">
        <v>1068.617</v>
      </c>
      <c r="O74" s="228">
        <f t="shared" si="18"/>
        <v>114.21959785404874</v>
      </c>
      <c r="Q74" s="280"/>
      <c r="T74" s="215"/>
    </row>
    <row r="75" spans="2:20">
      <c r="D75" s="368">
        <f>_xlfn.PERCENTILE.EXC(D52:D57,0.5)</f>
        <v>0.52500000000000002</v>
      </c>
      <c r="E75" s="87"/>
      <c r="F75" s="284"/>
      <c r="G75" s="159"/>
      <c r="H75" s="273"/>
      <c r="K75" s="87"/>
      <c r="L75" s="369">
        <f>_xlfn.PERCENTILE.EXC(L52:L57,0.5)</f>
        <v>4.9093647645980149E-2</v>
      </c>
      <c r="M75" s="368">
        <f>_xlfn.PERCENTILE.EXC(M52:M57,0.5)</f>
        <v>0.15089566211730204</v>
      </c>
      <c r="N75" s="42"/>
      <c r="O75" s="355">
        <f>_xlfn.PERCENTILE.EXC(O52:O57,0.5)</f>
        <v>4.5320827345960915</v>
      </c>
    </row>
    <row r="77" spans="2:20">
      <c r="B77" s="476" t="s">
        <v>393</v>
      </c>
      <c r="C77" s="476"/>
      <c r="D77" s="476"/>
      <c r="E77" s="476"/>
      <c r="F77" s="476"/>
      <c r="G77" s="476"/>
      <c r="H77" s="476"/>
      <c r="I77" s="476"/>
      <c r="J77" s="476"/>
      <c r="K77" s="476"/>
      <c r="L77" s="476"/>
      <c r="M77" s="476"/>
      <c r="N77" s="476"/>
      <c r="O77" s="476"/>
    </row>
    <row r="78" spans="2:20">
      <c r="B78" s="227" t="s">
        <v>138</v>
      </c>
      <c r="C78" s="227" t="s">
        <v>35</v>
      </c>
      <c r="D78" s="205" t="s">
        <v>321</v>
      </c>
      <c r="E78" s="351" t="s">
        <v>329</v>
      </c>
      <c r="F78" s="351" t="s">
        <v>332</v>
      </c>
      <c r="G78" s="351" t="s">
        <v>331</v>
      </c>
      <c r="H78" s="351" t="s">
        <v>330</v>
      </c>
      <c r="I78" s="351" t="s">
        <v>322</v>
      </c>
      <c r="J78" s="351" t="s">
        <v>323</v>
      </c>
      <c r="K78" s="351" t="s">
        <v>324</v>
      </c>
      <c r="L78" s="351" t="s">
        <v>325</v>
      </c>
      <c r="M78" s="351" t="s">
        <v>326</v>
      </c>
      <c r="N78" s="351" t="s">
        <v>327</v>
      </c>
      <c r="O78" s="351" t="s">
        <v>37</v>
      </c>
    </row>
    <row r="79" spans="2:20">
      <c r="B79" s="64" t="s">
        <v>394</v>
      </c>
      <c r="C79" s="64" t="s">
        <v>395</v>
      </c>
      <c r="D79" s="353">
        <v>0.77</v>
      </c>
      <c r="E79" s="228">
        <v>71.680000000000007</v>
      </c>
      <c r="F79" s="354">
        <v>7.55</v>
      </c>
      <c r="G79" s="354">
        <f>E79*F79</f>
        <v>541.18400000000008</v>
      </c>
      <c r="H79" s="354">
        <v>57.646000000000001</v>
      </c>
      <c r="I79" s="354">
        <f>G79+H79</f>
        <v>598.83000000000004</v>
      </c>
      <c r="J79" s="354">
        <v>1.3959999999999999</v>
      </c>
      <c r="K79" s="354">
        <f>I79-J79</f>
        <v>597.43400000000008</v>
      </c>
      <c r="L79" s="361">
        <f>J79/I79</f>
        <v>2.3312125311023158E-3</v>
      </c>
      <c r="M79" s="228">
        <f>H79/G79</f>
        <v>0.10651830061494795</v>
      </c>
      <c r="N79" s="372">
        <v>211.83</v>
      </c>
      <c r="O79" s="228">
        <f>K79/N79</f>
        <v>2.8203465042722939</v>
      </c>
    </row>
    <row r="80" spans="2:20">
      <c r="B80" s="64" t="s">
        <v>396</v>
      </c>
      <c r="C80" s="244" t="s">
        <v>397</v>
      </c>
      <c r="D80" s="353">
        <v>1.22</v>
      </c>
      <c r="E80" s="98">
        <v>113.26</v>
      </c>
      <c r="F80" s="356">
        <v>229.58</v>
      </c>
      <c r="G80" s="354">
        <f>E80*F80</f>
        <v>26002.230800000001</v>
      </c>
      <c r="H80" s="356">
        <v>2591.5940000000001</v>
      </c>
      <c r="I80" s="354">
        <f>G80+H80</f>
        <v>28593.824800000002</v>
      </c>
      <c r="J80" s="354">
        <v>346.77199999999999</v>
      </c>
      <c r="K80" s="354">
        <f>I80-J80</f>
        <v>28247.052800000001</v>
      </c>
      <c r="L80" s="361">
        <f>J80/I80</f>
        <v>1.2127513630145763E-2</v>
      </c>
      <c r="M80" s="228">
        <f>H80/G80</f>
        <v>9.9668140781213277E-2</v>
      </c>
      <c r="N80" s="373">
        <v>5917.5029999999997</v>
      </c>
      <c r="O80" s="228">
        <f>K80/N80</f>
        <v>4.7734750282340377</v>
      </c>
    </row>
    <row r="81" spans="4:15">
      <c r="D81" s="368">
        <f>_xlfn.PERCENTILE.EXC(D79:D80,0.5)</f>
        <v>0.995</v>
      </c>
      <c r="E81" s="87"/>
      <c r="F81" s="284"/>
      <c r="G81" s="159"/>
      <c r="H81" s="273"/>
      <c r="K81" s="87"/>
      <c r="L81" s="369">
        <f>_xlfn.PERCENTILE.EXC(L79:L80,0.5)</f>
        <v>7.2293630806240395E-3</v>
      </c>
      <c r="M81" s="368">
        <f>_xlfn.PERCENTILE.EXC(M79:M80,0.5)</f>
        <v>0.10309322069808061</v>
      </c>
      <c r="N81" s="42"/>
      <c r="O81" s="355">
        <f>_xlfn.PERCENTILE.EXC(O79:O80,0.5)</f>
        <v>3.7969107662531658</v>
      </c>
    </row>
  </sheetData>
  <mergeCells count="4">
    <mergeCell ref="B3:O3"/>
    <mergeCell ref="B40:O40"/>
    <mergeCell ref="B50:O50"/>
    <mergeCell ref="B77:O77"/>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P117"/>
  <sheetViews>
    <sheetView zoomScaleNormal="100" workbookViewId="0"/>
  </sheetViews>
  <sheetFormatPr defaultRowHeight="12"/>
  <cols>
    <col min="1" max="1" width="2" style="2" customWidth="1"/>
    <col min="2" max="2" width="25.42578125" style="2" customWidth="1"/>
    <col min="3" max="3" width="18.42578125" style="2" customWidth="1"/>
    <col min="4" max="4" width="3.140625" style="2" customWidth="1"/>
    <col min="5" max="5" width="19.7109375" style="2" customWidth="1"/>
    <col min="6" max="6" width="15.85546875" style="2" customWidth="1"/>
    <col min="7" max="7" width="13.5703125" style="13" customWidth="1"/>
    <col min="8" max="8" width="10.5703125" style="2" customWidth="1"/>
    <col min="9" max="9" width="12.5703125" style="2" customWidth="1"/>
    <col min="10" max="10" width="14.28515625" style="2" customWidth="1"/>
    <col min="11" max="11" width="16.28515625" style="2" customWidth="1"/>
    <col min="12" max="12" width="18.42578125" style="2" customWidth="1"/>
    <col min="13" max="13" width="9" style="2" customWidth="1"/>
    <col min="14" max="14" width="12.140625" style="2" customWidth="1"/>
    <col min="15" max="15" width="9.7109375" style="2" customWidth="1"/>
    <col min="16" max="16384" width="9.140625" style="2"/>
  </cols>
  <sheetData>
    <row r="1" spans="2:16" ht="15.75">
      <c r="B1" s="16" t="s">
        <v>38</v>
      </c>
      <c r="E1" s="3"/>
      <c r="F1" s="3"/>
      <c r="G1" s="59"/>
      <c r="H1" s="3"/>
      <c r="I1" s="3"/>
      <c r="J1" s="3"/>
      <c r="K1" s="3"/>
      <c r="L1" s="3"/>
      <c r="M1" s="3"/>
      <c r="N1" s="3"/>
      <c r="O1" s="3"/>
      <c r="P1" s="3"/>
    </row>
    <row r="2" spans="2:16">
      <c r="M2" s="104"/>
      <c r="N2" s="104"/>
      <c r="O2" s="104"/>
      <c r="P2" s="104"/>
    </row>
    <row r="3" spans="2:16">
      <c r="B3" s="17" t="s">
        <v>202</v>
      </c>
      <c r="C3" s="76" t="str">
        <f>About!C3</f>
        <v>Technology</v>
      </c>
      <c r="D3" s="21"/>
      <c r="E3" s="227" t="s">
        <v>398</v>
      </c>
      <c r="F3" s="227" t="s">
        <v>399</v>
      </c>
      <c r="G3" s="205" t="s">
        <v>400</v>
      </c>
      <c r="H3" s="205" t="s">
        <v>401</v>
      </c>
      <c r="I3" s="351" t="s">
        <v>402</v>
      </c>
      <c r="J3" s="351" t="s">
        <v>139</v>
      </c>
      <c r="K3" s="227" t="s">
        <v>403</v>
      </c>
      <c r="L3" s="227" t="s">
        <v>404</v>
      </c>
      <c r="M3" s="104"/>
      <c r="N3" s="104"/>
      <c r="O3" s="104"/>
    </row>
    <row r="4" spans="2:16">
      <c r="B4" s="28" t="s">
        <v>203</v>
      </c>
      <c r="C4" s="247" t="str">
        <f>About!C4</f>
        <v>Scientific Instruments</v>
      </c>
      <c r="D4" s="6"/>
      <c r="E4" s="383" t="str">
        <f>C6</f>
        <v>Clinical Genomics</v>
      </c>
      <c r="F4" s="360">
        <f>COUNTA('Beta Calculation Data'!C5:C37)</f>
        <v>33</v>
      </c>
      <c r="G4" s="98">
        <f>'Beta Calculation Data'!D38</f>
        <v>1.4300000000000002</v>
      </c>
      <c r="H4" s="228">
        <f>'Beta Calculation Data'!M38</f>
        <v>6.7084329012551916E-2</v>
      </c>
      <c r="I4" s="288">
        <f>$C$11</f>
        <v>0.21</v>
      </c>
      <c r="J4" s="380">
        <f>G4/(1+(H4*(1-I4)))</f>
        <v>1.3580290505669015</v>
      </c>
      <c r="K4" s="381">
        <f>'Beta Calculation Data'!L38</f>
        <v>0.36476495026907785</v>
      </c>
      <c r="L4" s="269">
        <f>J4/(1-K4)</f>
        <v>2.1378370906047235</v>
      </c>
      <c r="M4" s="283"/>
      <c r="N4" s="61"/>
      <c r="O4" s="61"/>
    </row>
    <row r="5" spans="2:16">
      <c r="D5" s="6"/>
      <c r="E5" s="383" t="str">
        <f>C7</f>
        <v>Steril. &amp; Disinfection</v>
      </c>
      <c r="F5" s="360">
        <f>COUNTA('Beta Calculation Data'!C42:C47)</f>
        <v>6</v>
      </c>
      <c r="G5" s="98">
        <f>'Beta Calculation Data'!D48</f>
        <v>0.82</v>
      </c>
      <c r="H5" s="98">
        <f>'Beta Calculation Data'!M48</f>
        <v>0.24440020386662137</v>
      </c>
      <c r="I5" s="288">
        <f t="shared" ref="I5:I7" si="0">$C$11</f>
        <v>0.21</v>
      </c>
      <c r="J5" s="380">
        <f t="shared" ref="J5:J6" si="1">G5/(1+(H5*(1-I5)))</f>
        <v>0.68729895606593394</v>
      </c>
      <c r="K5" s="381">
        <f>'Beta Calculation Data'!L48</f>
        <v>3.4678468266693976E-2</v>
      </c>
      <c r="L5" s="269">
        <f t="shared" ref="L5:L7" si="2">J5/(1-K5)</f>
        <v>0.71198966714420842</v>
      </c>
      <c r="M5" s="159"/>
      <c r="N5" s="378"/>
      <c r="O5" s="378"/>
    </row>
    <row r="6" spans="2:16">
      <c r="B6" s="342" t="s">
        <v>246</v>
      </c>
      <c r="C6" s="352" t="s">
        <v>247</v>
      </c>
      <c r="D6" s="23"/>
      <c r="E6" s="383" t="str">
        <f>C8</f>
        <v>Biopharma Dev</v>
      </c>
      <c r="F6" s="360">
        <f>COUNTA('Beta Calculation Data'!C52:C74)</f>
        <v>23</v>
      </c>
      <c r="G6" s="98">
        <f>'Beta Calculation Data'!D75</f>
        <v>0.52500000000000002</v>
      </c>
      <c r="H6" s="228">
        <f>'Beta Calculation Data'!M75</f>
        <v>0.15089566211730204</v>
      </c>
      <c r="I6" s="288">
        <f t="shared" si="0"/>
        <v>0.21</v>
      </c>
      <c r="J6" s="380">
        <f t="shared" si="1"/>
        <v>0.46908188671263795</v>
      </c>
      <c r="K6" s="381">
        <f>'Beta Calculation Data'!L75</f>
        <v>4.9093647645980149E-2</v>
      </c>
      <c r="L6" s="269">
        <f t="shared" si="2"/>
        <v>0.49329977189804286</v>
      </c>
      <c r="M6" s="159"/>
      <c r="N6" s="376"/>
      <c r="O6" s="376"/>
    </row>
    <row r="7" spans="2:16">
      <c r="B7" s="342" t="s">
        <v>248</v>
      </c>
      <c r="C7" s="247" t="s">
        <v>251</v>
      </c>
      <c r="D7" s="6"/>
      <c r="E7" s="383" t="str">
        <f>C9</f>
        <v>Calibration Solutions</v>
      </c>
      <c r="F7" s="360">
        <f>COUNTA('Beta Calculation Data'!C79:C80)</f>
        <v>2</v>
      </c>
      <c r="G7" s="98">
        <f>'Beta Calculation Data'!D81</f>
        <v>0.995</v>
      </c>
      <c r="H7" s="228">
        <f>'Beta Calculation Data'!M81</f>
        <v>0.10309322069808061</v>
      </c>
      <c r="I7" s="288">
        <f t="shared" si="0"/>
        <v>0.21</v>
      </c>
      <c r="J7" s="380">
        <f>G7/(1+(H7*(1-I7)))</f>
        <v>0.9200664363760519</v>
      </c>
      <c r="K7" s="381">
        <f>'Beta Calculation Data'!L81</f>
        <v>7.2293630806240395E-3</v>
      </c>
      <c r="L7" s="269">
        <f t="shared" si="2"/>
        <v>0.92676636693352521</v>
      </c>
      <c r="M7" s="159"/>
      <c r="N7" s="233"/>
      <c r="O7" s="233"/>
    </row>
    <row r="8" spans="2:16">
      <c r="B8" s="342" t="s">
        <v>249</v>
      </c>
      <c r="C8" s="247" t="s">
        <v>252</v>
      </c>
      <c r="D8" s="6"/>
      <c r="E8" s="87"/>
      <c r="F8" s="284"/>
      <c r="G8" s="159"/>
      <c r="H8" s="272"/>
      <c r="I8" s="272"/>
      <c r="K8" s="87"/>
      <c r="L8" s="284"/>
      <c r="M8" s="159"/>
      <c r="N8" s="233"/>
      <c r="O8" s="233"/>
    </row>
    <row r="9" spans="2:16">
      <c r="B9" s="342" t="s">
        <v>250</v>
      </c>
      <c r="C9" s="247" t="s">
        <v>253</v>
      </c>
      <c r="D9" s="18"/>
      <c r="E9" s="227" t="s">
        <v>398</v>
      </c>
      <c r="F9" s="227" t="s">
        <v>405</v>
      </c>
      <c r="G9" s="205" t="s">
        <v>37</v>
      </c>
      <c r="H9" s="205" t="s">
        <v>406</v>
      </c>
      <c r="I9" s="351" t="s">
        <v>169</v>
      </c>
      <c r="J9" s="351" t="s">
        <v>139</v>
      </c>
      <c r="K9" s="87"/>
      <c r="L9" s="87"/>
      <c r="M9" s="159"/>
      <c r="N9" s="233"/>
      <c r="O9" s="233"/>
    </row>
    <row r="10" spans="2:16">
      <c r="C10" s="236"/>
      <c r="D10" s="18"/>
      <c r="E10" s="383" t="str">
        <f>C6</f>
        <v>Clinical Genomics</v>
      </c>
      <c r="F10" s="319">
        <v>32.840000000000003</v>
      </c>
      <c r="G10" s="98">
        <f>'Beta Calculation Data'!O38</f>
        <v>4.3161859803414373</v>
      </c>
      <c r="H10" s="384">
        <f>F10*G10</f>
        <v>141.7435475944128</v>
      </c>
      <c r="I10" s="288">
        <f>H10/$H$14</f>
        <v>0.20204921897860767</v>
      </c>
      <c r="J10" s="380">
        <f>L4</f>
        <v>2.1378370906047235</v>
      </c>
      <c r="K10" s="44"/>
      <c r="L10" s="44"/>
      <c r="M10" s="159"/>
      <c r="N10" s="233"/>
      <c r="O10" s="233"/>
    </row>
    <row r="11" spans="2:16">
      <c r="B11" s="342" t="s">
        <v>97</v>
      </c>
      <c r="C11" s="397">
        <v>0.21</v>
      </c>
      <c r="D11" s="18"/>
      <c r="E11" s="383" t="str">
        <f>C7</f>
        <v>Steril. &amp; Disinfection</v>
      </c>
      <c r="F11" s="319">
        <v>59.043999999999997</v>
      </c>
      <c r="G11" s="98">
        <f>'Beta Calculation Data'!O48</f>
        <v>2.9681195229030903</v>
      </c>
      <c r="H11" s="384">
        <f t="shared" ref="H11:H13" si="3">F11*G11</f>
        <v>175.24964911029005</v>
      </c>
      <c r="I11" s="288">
        <f>H11/$H$14</f>
        <v>0.24981069918137772</v>
      </c>
      <c r="J11" s="380">
        <f>L5</f>
        <v>0.71198966714420842</v>
      </c>
      <c r="K11" s="382"/>
      <c r="L11" s="377"/>
      <c r="M11" s="159"/>
      <c r="N11" s="377"/>
      <c r="O11" s="377"/>
    </row>
    <row r="12" spans="2:16">
      <c r="B12" s="180"/>
      <c r="C12" s="398"/>
      <c r="D12" s="245"/>
      <c r="E12" s="383" t="str">
        <f>C8</f>
        <v>Biopharma Dev</v>
      </c>
      <c r="F12" s="319">
        <v>45.579000000000001</v>
      </c>
      <c r="G12" s="98">
        <f>'Beta Calculation Data'!O75</f>
        <v>4.5320827345960915</v>
      </c>
      <c r="H12" s="384">
        <f t="shared" si="3"/>
        <v>206.56779896015524</v>
      </c>
      <c r="I12" s="288">
        <f>H12/$H$14</f>
        <v>0.2944533501126691</v>
      </c>
      <c r="J12" s="380">
        <f>L6</f>
        <v>0.49329977189804286</v>
      </c>
      <c r="K12" s="382"/>
      <c r="L12" s="377"/>
      <c r="M12" s="159"/>
      <c r="N12" s="377"/>
      <c r="O12" s="377"/>
    </row>
    <row r="13" spans="2:16">
      <c r="B13" s="342" t="s">
        <v>407</v>
      </c>
      <c r="C13" s="293">
        <f>'Cash &amp; Marketable Securities'!C5</f>
        <v>32.377000000000002</v>
      </c>
      <c r="D13" s="6"/>
      <c r="E13" s="383" t="str">
        <f>C9</f>
        <v>Calibration Solutions</v>
      </c>
      <c r="F13" s="319">
        <v>46.872</v>
      </c>
      <c r="G13" s="98">
        <f>'Beta Calculation Data'!O81</f>
        <v>3.7969107662531658</v>
      </c>
      <c r="H13" s="384">
        <f t="shared" si="3"/>
        <v>177.96880143581839</v>
      </c>
      <c r="I13" s="288">
        <f>H13/$H$14</f>
        <v>0.2536867317273454</v>
      </c>
      <c r="J13" s="380">
        <f>L7</f>
        <v>0.92676636693352521</v>
      </c>
      <c r="K13" s="382"/>
      <c r="L13" s="377"/>
      <c r="M13" s="159"/>
      <c r="N13" s="200"/>
      <c r="O13" s="200"/>
    </row>
    <row r="14" spans="2:16">
      <c r="B14" s="342" t="s">
        <v>408</v>
      </c>
      <c r="C14" s="474">
        <f>H14</f>
        <v>701.52979710067655</v>
      </c>
      <c r="D14" s="6"/>
      <c r="E14" s="87"/>
      <c r="F14" s="390">
        <f>SUM(F10:F13)</f>
        <v>184.33499999999998</v>
      </c>
      <c r="G14" s="159"/>
      <c r="H14" s="392">
        <f>SUM(H10:H13)</f>
        <v>701.52979710067655</v>
      </c>
      <c r="I14" s="388">
        <f>SUM(I10:I13)</f>
        <v>1</v>
      </c>
      <c r="J14" s="389">
        <f>(I10*J10)+(I11*J11)+(I12*J12)+(I13*J13)</f>
        <v>0.9901730521667802</v>
      </c>
      <c r="K14" s="382"/>
      <c r="L14" s="377"/>
      <c r="M14" s="159"/>
      <c r="N14" s="377"/>
      <c r="O14" s="377"/>
    </row>
    <row r="15" spans="2:16">
      <c r="B15" s="395" t="s">
        <v>409</v>
      </c>
      <c r="C15" s="209">
        <f>J14</f>
        <v>0.9901730521667802</v>
      </c>
      <c r="D15" s="6"/>
      <c r="K15" s="87"/>
      <c r="L15" s="284"/>
      <c r="M15" s="159"/>
      <c r="N15" s="200"/>
      <c r="O15" s="200"/>
    </row>
    <row r="16" spans="2:16">
      <c r="B16" s="395" t="s">
        <v>410</v>
      </c>
      <c r="C16" s="399">
        <v>0</v>
      </c>
      <c r="D16" s="6"/>
      <c r="E16" s="227" t="s">
        <v>185</v>
      </c>
      <c r="F16" s="227" t="s">
        <v>416</v>
      </c>
      <c r="G16" s="205" t="s">
        <v>170</v>
      </c>
      <c r="H16" s="205" t="s">
        <v>171</v>
      </c>
      <c r="I16" s="205" t="s">
        <v>417</v>
      </c>
      <c r="J16" s="351" t="s">
        <v>169</v>
      </c>
      <c r="M16" s="159"/>
      <c r="N16" s="273"/>
      <c r="O16" s="273"/>
    </row>
    <row r="17" spans="2:15">
      <c r="B17" s="393" t="s">
        <v>411</v>
      </c>
      <c r="C17" s="394">
        <f>C14/(C14+C13)</f>
        <v>0.95588404395775273</v>
      </c>
      <c r="D17" s="23"/>
      <c r="E17" s="78" t="s">
        <v>414</v>
      </c>
      <c r="F17" s="400">
        <v>4.9000000000000002E-2</v>
      </c>
      <c r="G17" s="401">
        <v>45717</v>
      </c>
      <c r="H17" s="98">
        <f ca="1">YEARFRAC(TODAY(),G17)</f>
        <v>1.9944444444444445</v>
      </c>
      <c r="I17" s="403">
        <v>27</v>
      </c>
      <c r="J17" s="65">
        <f>I17/$I$19</f>
        <v>0.13718396878302577</v>
      </c>
      <c r="K17" s="87"/>
      <c r="L17" s="87"/>
      <c r="M17" s="159"/>
      <c r="N17" s="233"/>
      <c r="O17" s="233"/>
    </row>
    <row r="18" spans="2:15">
      <c r="B18" s="393" t="s">
        <v>412</v>
      </c>
      <c r="C18" s="394">
        <f>C13/(C13+C14)</f>
        <v>4.411595604224737E-2</v>
      </c>
      <c r="D18" s="6"/>
      <c r="E18" s="78" t="s">
        <v>415</v>
      </c>
      <c r="F18" s="331">
        <v>1.9E-2</v>
      </c>
      <c r="G18" s="401">
        <v>45884</v>
      </c>
      <c r="H18" s="98">
        <f ca="1">YEARFRAC(TODAY(),G18)</f>
        <v>2.4500000000000002</v>
      </c>
      <c r="I18" s="403">
        <v>169.816</v>
      </c>
      <c r="J18" s="65">
        <f>I18/$I$19</f>
        <v>0.86281603121697426</v>
      </c>
      <c r="K18" s="7"/>
      <c r="L18" s="284"/>
      <c r="M18" s="159"/>
      <c r="N18" s="159"/>
      <c r="O18" s="159"/>
    </row>
    <row r="19" spans="2:15">
      <c r="B19" s="84" t="s">
        <v>413</v>
      </c>
      <c r="C19" s="396">
        <f>(C15*C17)+(C16*C18)</f>
        <v>0.94649062132317274</v>
      </c>
      <c r="D19" s="6"/>
      <c r="E19" s="87"/>
      <c r="F19" s="404">
        <f>(F17*J17)+(F18*J18)</f>
        <v>2.3115519063490773E-2</v>
      </c>
      <c r="G19" s="159"/>
      <c r="H19" s="402">
        <f ca="1">(H17*J17)+(H18*J18)</f>
        <v>2.3875050808877329</v>
      </c>
      <c r="I19" s="385">
        <f>SUM(I17:I18)</f>
        <v>196.816</v>
      </c>
      <c r="J19" s="387">
        <f>SUM(J17:J18)</f>
        <v>1</v>
      </c>
      <c r="K19" s="7"/>
      <c r="L19" s="81"/>
      <c r="M19" s="159"/>
      <c r="N19" s="159"/>
      <c r="O19" s="159"/>
    </row>
    <row r="20" spans="2:15">
      <c r="C20" s="3"/>
      <c r="D20" s="6"/>
      <c r="K20" s="7"/>
      <c r="L20" s="7"/>
      <c r="M20" s="159"/>
      <c r="N20" s="233"/>
      <c r="O20" s="233"/>
    </row>
    <row r="21" spans="2:15" ht="12" customHeight="1">
      <c r="B21" s="342" t="s">
        <v>45</v>
      </c>
      <c r="C21" s="293">
        <f>162.09*5.297308</f>
        <v>858.64065372000005</v>
      </c>
      <c r="D21" s="6"/>
      <c r="E21" s="258" t="s">
        <v>33</v>
      </c>
      <c r="F21" s="258" t="s">
        <v>141</v>
      </c>
      <c r="G21" s="258" t="s">
        <v>424</v>
      </c>
      <c r="I21" s="477" t="s">
        <v>43</v>
      </c>
      <c r="J21" s="477"/>
      <c r="K21" s="87"/>
      <c r="L21" s="7"/>
      <c r="M21" s="159"/>
      <c r="N21" s="159"/>
      <c r="O21" s="159"/>
    </row>
    <row r="22" spans="2:15">
      <c r="B22" s="342" t="s">
        <v>43</v>
      </c>
      <c r="C22" s="293">
        <f ca="1">J27+G27</f>
        <v>153.96817789585853</v>
      </c>
      <c r="D22" s="23"/>
      <c r="E22" s="166">
        <v>1</v>
      </c>
      <c r="F22" s="301">
        <v>2.9049999999999998</v>
      </c>
      <c r="G22" s="301">
        <f>F22/(1+'Cost of Equity, Debt &amp; WACC'!$C$15)^E22</f>
        <v>2.5142372470616747</v>
      </c>
      <c r="I22" s="84" t="s">
        <v>425</v>
      </c>
      <c r="J22" s="289">
        <f>I19</f>
        <v>196.816</v>
      </c>
      <c r="K22" s="7"/>
      <c r="L22" s="7"/>
      <c r="M22" s="159"/>
      <c r="N22" s="233"/>
      <c r="O22" s="233"/>
    </row>
    <row r="23" spans="2:15">
      <c r="B23" s="342" t="s">
        <v>429</v>
      </c>
      <c r="C23" s="409">
        <f ca="1">C22/C21</f>
        <v>0.17931619849211922</v>
      </c>
      <c r="D23" s="6"/>
      <c r="E23" s="166">
        <f>E22+1</f>
        <v>2</v>
      </c>
      <c r="F23" s="301">
        <v>2.1949999999999998</v>
      </c>
      <c r="G23" s="301">
        <f>F23/(1+'Cost of Equity, Debt &amp; WACC'!$C$15)^E23</f>
        <v>1.6442004510301165</v>
      </c>
      <c r="I23" s="84" t="s">
        <v>426</v>
      </c>
      <c r="J23" s="289">
        <f>'Cost of Equity, Debt &amp; WACC'!J5</f>
        <v>3.8849999999999998</v>
      </c>
      <c r="K23" s="7"/>
      <c r="L23" s="7"/>
      <c r="M23" s="159"/>
      <c r="N23" s="159"/>
      <c r="O23" s="159"/>
    </row>
    <row r="24" spans="2:15">
      <c r="D24" s="6"/>
      <c r="E24" s="166">
        <f>E23+1</f>
        <v>3</v>
      </c>
      <c r="F24" s="301">
        <v>1.9990000000000001</v>
      </c>
      <c r="G24" s="301">
        <f>F24/(1+'Cost of Equity, Debt &amp; WACC'!$C$15)^E24</f>
        <v>1.2959646389604655</v>
      </c>
      <c r="I24" s="84" t="s">
        <v>8</v>
      </c>
      <c r="J24" s="75">
        <f>'Cost of Equity, Debt &amp; WACC'!C15</f>
        <v>0.15542</v>
      </c>
      <c r="K24" s="7"/>
      <c r="L24" s="7"/>
      <c r="M24" s="159"/>
      <c r="N24" s="233"/>
      <c r="O24" s="233"/>
    </row>
    <row r="25" spans="2:15">
      <c r="B25" s="287" t="s">
        <v>430</v>
      </c>
      <c r="C25" s="408">
        <f ca="1">C19*(1+(C23*(1-C11)))</f>
        <v>1.080570290421224</v>
      </c>
      <c r="D25" s="6"/>
      <c r="E25" s="166">
        <f>E24+1</f>
        <v>4</v>
      </c>
      <c r="F25" s="301">
        <v>1.954</v>
      </c>
      <c r="G25" s="301">
        <f>F25/(1+'Cost of Equity, Debt &amp; WACC'!$C$15)^E25</f>
        <v>1.0963899254714466</v>
      </c>
      <c r="I25" s="46" t="s">
        <v>427</v>
      </c>
      <c r="J25" s="407">
        <f ca="1">H19</f>
        <v>2.3875050808877329</v>
      </c>
      <c r="K25" s="7"/>
      <c r="L25" s="7"/>
      <c r="M25" s="159"/>
      <c r="N25" s="233"/>
      <c r="O25" s="233"/>
    </row>
    <row r="26" spans="2:15">
      <c r="D26" s="23"/>
      <c r="E26" s="166">
        <f>E25+1</f>
        <v>5</v>
      </c>
      <c r="F26" s="301">
        <v>1.49</v>
      </c>
      <c r="G26" s="301">
        <f>F26/(1+'Cost of Equity, Debt &amp; WACC'!$C$15)^E26</f>
        <v>0.72358051677497981</v>
      </c>
      <c r="I26" s="28"/>
      <c r="J26" s="17"/>
      <c r="K26" s="7"/>
      <c r="L26" s="7"/>
      <c r="M26" s="159"/>
      <c r="N26" s="233"/>
      <c r="O26" s="233"/>
    </row>
    <row r="27" spans="2:15">
      <c r="D27" s="7"/>
      <c r="E27" s="116"/>
      <c r="F27" s="302"/>
      <c r="G27" s="303">
        <f>SUM(G22:G26)</f>
        <v>7.2743727792986839</v>
      </c>
      <c r="I27" s="84" t="s">
        <v>428</v>
      </c>
      <c r="J27" s="291">
        <f ca="1">J23*((1-(1+J24)^(-J25))/J24)+J22/(1+J24)^J25</f>
        <v>146.69380511655984</v>
      </c>
      <c r="K27" s="87"/>
      <c r="L27" s="87"/>
      <c r="M27" s="159"/>
      <c r="N27" s="378"/>
      <c r="O27" s="378"/>
    </row>
    <row r="28" spans="2:15">
      <c r="D28" s="3"/>
      <c r="E28" s="87"/>
      <c r="F28" s="284"/>
      <c r="G28" s="159"/>
      <c r="K28" s="87"/>
      <c r="L28" s="284"/>
      <c r="M28" s="159"/>
      <c r="N28" s="376"/>
      <c r="O28" s="376"/>
    </row>
    <row r="29" spans="2:15">
      <c r="D29" s="3"/>
      <c r="E29" s="87"/>
      <c r="F29" s="284"/>
      <c r="G29" s="159"/>
      <c r="I29" s="272"/>
      <c r="K29" s="87"/>
      <c r="L29" s="284"/>
      <c r="M29" s="159"/>
      <c r="N29" s="233"/>
      <c r="O29" s="233"/>
    </row>
    <row r="30" spans="2:15">
      <c r="D30" s="3"/>
      <c r="E30" s="87"/>
      <c r="F30" s="87"/>
      <c r="G30" s="159"/>
      <c r="H30" s="272"/>
      <c r="K30" s="377"/>
      <c r="L30" s="284"/>
      <c r="M30" s="272"/>
      <c r="O30" s="233"/>
    </row>
    <row r="31" spans="2:15">
      <c r="D31" s="3"/>
      <c r="E31" s="87"/>
      <c r="F31" s="87"/>
      <c r="G31" s="159"/>
      <c r="H31" s="272"/>
      <c r="K31" s="377"/>
      <c r="L31" s="284"/>
      <c r="M31" s="272"/>
      <c r="O31" s="233"/>
    </row>
    <row r="32" spans="2:15">
      <c r="D32" s="3"/>
      <c r="E32" s="87"/>
      <c r="F32" s="87"/>
      <c r="G32" s="159"/>
      <c r="H32" s="233"/>
      <c r="I32" s="233"/>
      <c r="K32" s="87"/>
      <c r="L32" s="87"/>
      <c r="M32" s="159"/>
      <c r="N32" s="233"/>
      <c r="O32" s="233"/>
    </row>
    <row r="33" spans="4:15">
      <c r="D33" s="3"/>
      <c r="E33" s="87"/>
      <c r="F33" s="284"/>
      <c r="G33" s="159"/>
      <c r="H33" s="377"/>
      <c r="I33" s="377"/>
      <c r="K33" s="87"/>
      <c r="L33" s="87"/>
      <c r="M33" s="159"/>
      <c r="N33" s="377"/>
      <c r="O33" s="377"/>
    </row>
    <row r="34" spans="4:15">
      <c r="D34" s="82"/>
      <c r="E34" s="87"/>
      <c r="F34" s="284"/>
      <c r="G34" s="159"/>
      <c r="H34" s="377"/>
      <c r="I34" s="377"/>
      <c r="K34" s="87"/>
      <c r="L34" s="87"/>
      <c r="M34" s="159"/>
      <c r="N34" s="377"/>
      <c r="O34" s="377"/>
    </row>
    <row r="35" spans="4:15">
      <c r="D35" s="285"/>
      <c r="E35" s="87"/>
      <c r="F35" s="87"/>
      <c r="G35" s="159"/>
      <c r="H35" s="200"/>
      <c r="I35" s="200"/>
      <c r="K35" s="87"/>
      <c r="L35" s="284"/>
      <c r="M35" s="159"/>
      <c r="N35" s="200"/>
      <c r="O35" s="200"/>
    </row>
    <row r="36" spans="4:15" ht="12" customHeight="1">
      <c r="D36" s="285"/>
      <c r="E36" s="87"/>
      <c r="F36" s="284"/>
      <c r="G36" s="159"/>
      <c r="H36" s="377"/>
      <c r="I36" s="377"/>
      <c r="K36" s="87"/>
      <c r="L36" s="284"/>
      <c r="M36" s="159"/>
      <c r="N36" s="377"/>
      <c r="O36" s="377"/>
    </row>
    <row r="37" spans="4:15">
      <c r="D37" s="286"/>
      <c r="E37" s="87"/>
      <c r="F37" s="87"/>
      <c r="G37" s="159"/>
      <c r="H37" s="200"/>
      <c r="I37" s="200"/>
      <c r="K37" s="87"/>
      <c r="L37" s="87"/>
      <c r="M37" s="159"/>
      <c r="N37" s="200"/>
      <c r="O37" s="200"/>
    </row>
    <row r="38" spans="4:15">
      <c r="D38" s="3"/>
      <c r="E38" s="7"/>
      <c r="F38" s="284"/>
      <c r="G38" s="159"/>
      <c r="H38" s="273"/>
      <c r="K38" s="87"/>
      <c r="L38" s="3"/>
      <c r="M38" s="3"/>
      <c r="N38" s="3"/>
      <c r="O38" s="3"/>
    </row>
    <row r="39" spans="4:15" ht="12" customHeight="1">
      <c r="E39" s="215"/>
      <c r="F39" s="81"/>
      <c r="G39" s="159"/>
      <c r="H39" s="233"/>
      <c r="K39" s="87"/>
      <c r="L39" s="3"/>
      <c r="M39" s="3"/>
      <c r="N39" s="3"/>
      <c r="O39" s="379"/>
    </row>
    <row r="40" spans="4:15">
      <c r="E40" s="215"/>
      <c r="F40" s="215"/>
      <c r="G40" s="159"/>
      <c r="H40" s="159"/>
      <c r="K40" s="87"/>
      <c r="L40" s="3"/>
      <c r="M40" s="3"/>
      <c r="N40" s="3"/>
      <c r="O40" s="3"/>
    </row>
    <row r="41" spans="4:15">
      <c r="E41" s="87"/>
      <c r="F41" s="215"/>
      <c r="G41" s="159"/>
      <c r="H41" s="159"/>
      <c r="K41" s="87"/>
      <c r="L41" s="3"/>
      <c r="M41" s="3"/>
      <c r="N41" s="3"/>
      <c r="O41" s="3"/>
    </row>
    <row r="42" spans="4:15">
      <c r="E42" s="215"/>
      <c r="F42" s="215"/>
      <c r="G42" s="159"/>
      <c r="H42" s="233"/>
      <c r="K42" s="7"/>
      <c r="L42" s="3"/>
      <c r="M42" s="3"/>
      <c r="N42" s="3"/>
      <c r="O42" s="3"/>
    </row>
    <row r="43" spans="4:15">
      <c r="E43" s="215"/>
      <c r="F43" s="215"/>
      <c r="G43" s="159"/>
      <c r="H43" s="159"/>
      <c r="K43" s="7"/>
      <c r="L43" s="3"/>
      <c r="M43" s="3"/>
      <c r="N43" s="3"/>
      <c r="O43" s="3"/>
    </row>
    <row r="44" spans="4:15">
      <c r="E44" s="215"/>
      <c r="F44" s="215"/>
      <c r="G44" s="159"/>
      <c r="H44" s="272"/>
      <c r="K44" s="7"/>
      <c r="L44" s="3"/>
      <c r="M44" s="3"/>
      <c r="N44" s="3"/>
      <c r="O44" s="3"/>
    </row>
    <row r="45" spans="4:15">
      <c r="E45" s="215"/>
      <c r="F45" s="215"/>
      <c r="G45" s="159"/>
      <c r="H45" s="159"/>
      <c r="K45" s="87"/>
      <c r="L45" s="3"/>
      <c r="M45" s="3"/>
      <c r="N45" s="3"/>
      <c r="O45" s="3"/>
    </row>
    <row r="46" spans="4:15">
      <c r="E46" s="215"/>
      <c r="F46" s="215"/>
      <c r="G46" s="159"/>
      <c r="H46" s="272"/>
      <c r="K46" s="7"/>
      <c r="L46" s="3"/>
      <c r="M46" s="3"/>
      <c r="N46" s="3"/>
      <c r="O46" s="3"/>
    </row>
    <row r="47" spans="4:15">
      <c r="E47" s="263"/>
      <c r="F47" s="263"/>
      <c r="G47" s="264"/>
      <c r="H47" s="272"/>
      <c r="K47" s="7"/>
      <c r="L47" s="3"/>
      <c r="M47" s="3"/>
      <c r="N47" s="3"/>
      <c r="O47" s="3"/>
    </row>
    <row r="48" spans="4:15">
      <c r="E48" s="263"/>
      <c r="F48" s="263"/>
      <c r="G48" s="264"/>
      <c r="H48" s="272"/>
      <c r="K48" s="7"/>
    </row>
    <row r="49" spans="5:11">
      <c r="E49" s="263"/>
      <c r="F49" s="263"/>
      <c r="G49" s="264"/>
      <c r="H49" s="265"/>
      <c r="K49" s="3"/>
    </row>
    <row r="50" spans="5:11">
      <c r="E50" s="263"/>
      <c r="F50" s="263"/>
      <c r="G50" s="264"/>
      <c r="H50" s="265"/>
      <c r="K50" s="87"/>
    </row>
    <row r="51" spans="5:11">
      <c r="E51" s="263"/>
      <c r="F51" s="263"/>
      <c r="G51" s="264"/>
      <c r="H51" s="266"/>
      <c r="K51" s="87"/>
    </row>
    <row r="52" spans="5:11">
      <c r="H52" s="265"/>
      <c r="K52" s="87"/>
    </row>
    <row r="53" spans="5:11">
      <c r="H53" s="265"/>
      <c r="K53" s="87"/>
    </row>
    <row r="54" spans="5:11">
      <c r="K54" s="87"/>
    </row>
    <row r="55" spans="5:11">
      <c r="K55" s="87"/>
    </row>
    <row r="56" spans="5:11">
      <c r="K56" s="87"/>
    </row>
    <row r="57" spans="5:11" ht="12" customHeight="1">
      <c r="K57" s="87"/>
    </row>
    <row r="58" spans="5:11">
      <c r="K58" s="87"/>
    </row>
    <row r="63" spans="5:11" ht="12" customHeight="1"/>
    <row r="117" spans="15:15">
      <c r="O117" s="246"/>
    </row>
  </sheetData>
  <mergeCells count="1">
    <mergeCell ref="I21:J2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P117"/>
  <sheetViews>
    <sheetView zoomScaleNormal="100" workbookViewId="0"/>
  </sheetViews>
  <sheetFormatPr defaultRowHeight="12"/>
  <cols>
    <col min="1" max="1" width="2" style="2" customWidth="1"/>
    <col min="2" max="2" width="19.7109375" style="2" customWidth="1"/>
    <col min="3" max="3" width="19.5703125" style="2" customWidth="1"/>
    <col min="4" max="4" width="13.42578125" style="2" customWidth="1"/>
    <col min="5" max="5" width="10.85546875" style="2" customWidth="1"/>
    <col min="6" max="6" width="14.42578125" style="2" customWidth="1"/>
    <col min="7" max="7" width="13.140625" style="13" customWidth="1"/>
    <col min="8" max="8" width="10.42578125" style="2" customWidth="1"/>
    <col min="9" max="9" width="10" style="2" customWidth="1"/>
    <col min="10" max="10" width="10.140625" style="2" customWidth="1"/>
    <col min="11" max="11" width="16.28515625" style="2" customWidth="1"/>
    <col min="12" max="12" width="18.42578125" style="2" customWidth="1"/>
    <col min="13" max="13" width="9" style="2" customWidth="1"/>
    <col min="14" max="14" width="12.140625" style="2" customWidth="1"/>
    <col min="15" max="15" width="9.7109375" style="2" customWidth="1"/>
    <col min="16" max="16384" width="9.140625" style="2"/>
  </cols>
  <sheetData>
    <row r="1" spans="2:16" ht="15.75">
      <c r="B1" s="16" t="s">
        <v>444</v>
      </c>
      <c r="E1" s="3"/>
      <c r="F1" s="3"/>
      <c r="G1" s="59"/>
      <c r="H1" s="3"/>
      <c r="I1" s="3"/>
      <c r="J1" s="3"/>
      <c r="K1" s="3"/>
      <c r="L1" s="3"/>
      <c r="M1" s="3"/>
      <c r="N1" s="3"/>
      <c r="O1" s="3"/>
      <c r="P1" s="3"/>
    </row>
    <row r="2" spans="2:16">
      <c r="M2" s="104"/>
      <c r="N2" s="104"/>
      <c r="O2" s="104"/>
      <c r="P2" s="104"/>
    </row>
    <row r="3" spans="2:16">
      <c r="B3" s="227" t="s">
        <v>398</v>
      </c>
      <c r="C3" s="227" t="s">
        <v>431</v>
      </c>
      <c r="D3" s="205" t="s">
        <v>169</v>
      </c>
      <c r="E3" s="205" t="s">
        <v>324</v>
      </c>
      <c r="F3" s="351" t="s">
        <v>432</v>
      </c>
      <c r="G3" s="351" t="s">
        <v>433</v>
      </c>
      <c r="H3" s="227" t="s">
        <v>36</v>
      </c>
      <c r="I3" s="227" t="s">
        <v>442</v>
      </c>
      <c r="J3" s="241" t="s">
        <v>443</v>
      </c>
      <c r="M3" s="104"/>
      <c r="N3" s="104"/>
      <c r="O3" s="104"/>
    </row>
    <row r="4" spans="2:16">
      <c r="B4" s="383" t="s">
        <v>247</v>
      </c>
      <c r="C4" s="319">
        <v>11.802</v>
      </c>
      <c r="D4" s="65">
        <f>C4/$C$8</f>
        <v>0.47963911241160695</v>
      </c>
      <c r="E4" s="391">
        <f>'Bottom Up Beta'!H10</f>
        <v>141.7435475944128</v>
      </c>
      <c r="F4" s="391">
        <f ca="1">D4*'Bottom Up Beta'!$C$22</f>
        <v>73.849160185601988</v>
      </c>
      <c r="G4" s="391">
        <f ca="1">E4-F4</f>
        <v>67.894387408810815</v>
      </c>
      <c r="H4" s="410">
        <f ca="1">F4/G4</f>
        <v>1.0877064070250144</v>
      </c>
      <c r="I4" s="422">
        <f ca="1">F4/(F4+G4)</f>
        <v>0.52100544567231466</v>
      </c>
      <c r="J4" s="423">
        <f ca="1">G4/(G4+F4)</f>
        <v>0.47899455432768534</v>
      </c>
      <c r="K4" s="4"/>
      <c r="M4" s="283"/>
      <c r="N4" s="61"/>
      <c r="O4" s="61"/>
    </row>
    <row r="5" spans="2:16">
      <c r="B5" s="383" t="s">
        <v>251</v>
      </c>
      <c r="C5" s="319">
        <v>2.1760000000000002</v>
      </c>
      <c r="D5" s="65">
        <f t="shared" ref="D5:D7" si="0">C5/$C$8</f>
        <v>8.8433715353978717E-2</v>
      </c>
      <c r="E5" s="391">
        <f>'Bottom Up Beta'!H11</f>
        <v>175.24964911029005</v>
      </c>
      <c r="F5" s="391">
        <f ca="1">D5*'Bottom Up Beta'!$C$22</f>
        <v>13.615978017613111</v>
      </c>
      <c r="G5" s="391">
        <f t="shared" ref="G5:G7" ca="1" si="1">E5-F5</f>
        <v>161.63367109267693</v>
      </c>
      <c r="H5" s="410">
        <f t="shared" ref="H5:H7" ca="1" si="2">F5/G5</f>
        <v>8.4239737460433173E-2</v>
      </c>
      <c r="I5" s="422">
        <f t="shared" ref="I5:I7" ca="1" si="3">F5/(F5+G5)</f>
        <v>7.7694751953792232E-2</v>
      </c>
      <c r="J5" s="423">
        <f t="shared" ref="J5:J7" ca="1" si="4">G5/(G5+F5)</f>
        <v>0.92230524804620773</v>
      </c>
      <c r="K5" s="4"/>
      <c r="M5" s="159"/>
      <c r="N5" s="378"/>
      <c r="O5" s="378"/>
    </row>
    <row r="6" spans="2:16">
      <c r="B6" s="383" t="s">
        <v>252</v>
      </c>
      <c r="C6" s="319">
        <v>4.4950000000000001</v>
      </c>
      <c r="D6" s="65">
        <f t="shared" si="0"/>
        <v>0.18267902137689995</v>
      </c>
      <c r="E6" s="391">
        <f>'Bottom Up Beta'!H12</f>
        <v>206.56779896015524</v>
      </c>
      <c r="F6" s="391">
        <f ca="1">D6*'Bottom Up Beta'!$C$22</f>
        <v>28.126756061199874</v>
      </c>
      <c r="G6" s="391">
        <f ca="1">E6-F6</f>
        <v>178.44104289895537</v>
      </c>
      <c r="H6" s="410">
        <f t="shared" ca="1" si="2"/>
        <v>0.157624925321284</v>
      </c>
      <c r="I6" s="422">
        <f t="shared" ca="1" si="3"/>
        <v>0.13616234574211264</v>
      </c>
      <c r="J6" s="423">
        <f t="shared" ca="1" si="4"/>
        <v>0.86383765425788739</v>
      </c>
      <c r="K6" s="4"/>
      <c r="M6" s="159"/>
      <c r="N6" s="376"/>
      <c r="O6" s="376"/>
    </row>
    <row r="7" spans="2:16">
      <c r="B7" s="383" t="s">
        <v>253</v>
      </c>
      <c r="C7" s="319">
        <v>6.133</v>
      </c>
      <c r="D7" s="65">
        <f t="shared" si="0"/>
        <v>0.24924815085751445</v>
      </c>
      <c r="E7" s="391">
        <f>'Bottom Up Beta'!H13</f>
        <v>177.96880143581839</v>
      </c>
      <c r="F7" s="391">
        <f ca="1">D7*'Bottom Up Beta'!$C$22</f>
        <v>38.37628363144357</v>
      </c>
      <c r="G7" s="391">
        <f t="shared" ca="1" si="1"/>
        <v>139.59251780437484</v>
      </c>
      <c r="H7" s="410">
        <f t="shared" ca="1" si="2"/>
        <v>0.27491648001667363</v>
      </c>
      <c r="I7" s="422">
        <f t="shared" ca="1" si="3"/>
        <v>0.21563489399170538</v>
      </c>
      <c r="J7" s="423">
        <f t="shared" ca="1" si="4"/>
        <v>0.78436510600829457</v>
      </c>
      <c r="K7" s="4"/>
      <c r="M7" s="159"/>
      <c r="N7" s="233"/>
      <c r="O7" s="233"/>
    </row>
    <row r="8" spans="2:16">
      <c r="B8" s="87"/>
      <c r="C8" s="390">
        <f>SUM(C4:C7)</f>
        <v>24.605999999999998</v>
      </c>
      <c r="D8" s="388">
        <f>SUM(D4:D7)</f>
        <v>1</v>
      </c>
      <c r="E8" s="386">
        <f>SUM(E4:E7)</f>
        <v>701.52979710067655</v>
      </c>
      <c r="F8" s="386">
        <f ca="1">SUM(F4:F7)</f>
        <v>153.96817789585856</v>
      </c>
      <c r="G8" s="386">
        <f ca="1">SUM(G4:G7)</f>
        <v>547.56161920481804</v>
      </c>
      <c r="H8" s="87"/>
      <c r="I8" s="284"/>
      <c r="J8" s="424"/>
      <c r="M8" s="159"/>
      <c r="N8" s="233"/>
      <c r="O8" s="233"/>
    </row>
    <row r="9" spans="2:16">
      <c r="B9" s="87"/>
      <c r="C9" s="87"/>
      <c r="D9" s="159"/>
      <c r="E9" s="233"/>
      <c r="F9" s="233"/>
      <c r="G9" s="2"/>
      <c r="H9" s="87"/>
      <c r="I9" s="87"/>
      <c r="M9" s="159"/>
      <c r="N9" s="233"/>
      <c r="O9" s="233"/>
    </row>
    <row r="10" spans="2:16">
      <c r="B10" s="227" t="s">
        <v>398</v>
      </c>
      <c r="C10" s="227" t="s">
        <v>139</v>
      </c>
      <c r="D10" s="205" t="s">
        <v>324</v>
      </c>
      <c r="E10" s="205" t="s">
        <v>36</v>
      </c>
      <c r="F10" s="351" t="s">
        <v>321</v>
      </c>
      <c r="G10" s="351" t="s">
        <v>7</v>
      </c>
      <c r="H10" s="44"/>
      <c r="I10" s="44"/>
      <c r="M10" s="159"/>
      <c r="N10" s="233"/>
      <c r="O10" s="233"/>
    </row>
    <row r="11" spans="2:16">
      <c r="B11" s="383" t="s">
        <v>247</v>
      </c>
      <c r="C11" s="411">
        <f>'Bottom Up Beta'!L4</f>
        <v>2.1378370906047235</v>
      </c>
      <c r="D11" s="413">
        <f>'Bottom Up Beta'!H10</f>
        <v>141.7435475944128</v>
      </c>
      <c r="E11" s="414">
        <f ca="1">H4</f>
        <v>1.0877064070250144</v>
      </c>
      <c r="F11" s="380">
        <f ca="1">C11*(1+(E11*(1-'Bottom Up Beta'!$C$11)))</f>
        <v>3.9748549800996384</v>
      </c>
      <c r="G11" s="417">
        <f ca="1">'Risk Free Rate &amp; ERP'!$C$7+('Risk Free Rate &amp; ERP'!$F$13*'Divisional Beta, Ke &amp; WACC'!F11)</f>
        <v>0.25485801488792098</v>
      </c>
      <c r="H11" s="382"/>
      <c r="I11" s="377"/>
      <c r="M11" s="159"/>
      <c r="N11" s="377"/>
      <c r="O11" s="377"/>
    </row>
    <row r="12" spans="2:16">
      <c r="B12" s="383" t="s">
        <v>251</v>
      </c>
      <c r="C12" s="411">
        <f>'Bottom Up Beta'!L5</f>
        <v>0.71198966714420842</v>
      </c>
      <c r="D12" s="413">
        <f>'Bottom Up Beta'!H11</f>
        <v>175.24964911029005</v>
      </c>
      <c r="E12" s="414">
        <f t="shared" ref="E12:E14" ca="1" si="5">H5</f>
        <v>8.4239737460433173E-2</v>
      </c>
      <c r="F12" s="380">
        <f ca="1">C12*(1+(E12*(1-'Bottom Up Beta'!$C$11)))</f>
        <v>0.75937214702567613</v>
      </c>
      <c r="G12" s="417">
        <f ca="1">'Risk Free Rate &amp; ERP'!$C$7+('Risk Free Rate &amp; ERP'!$F$13*'Divisional Beta, Ke &amp; WACC'!F12)</f>
        <v>8.1387093537908781E-2</v>
      </c>
      <c r="H12" s="382"/>
      <c r="I12" s="377"/>
      <c r="M12" s="159"/>
      <c r="N12" s="377"/>
      <c r="O12" s="377"/>
    </row>
    <row r="13" spans="2:16">
      <c r="B13" s="383" t="s">
        <v>252</v>
      </c>
      <c r="C13" s="411">
        <f>'Bottom Up Beta'!L6</f>
        <v>0.49329977189804286</v>
      </c>
      <c r="D13" s="413">
        <f>'Bottom Up Beta'!H12</f>
        <v>206.56779896015524</v>
      </c>
      <c r="E13" s="414">
        <f t="shared" ca="1" si="5"/>
        <v>0.157624925321284</v>
      </c>
      <c r="F13" s="380">
        <f ca="1">C13*(1+(E13*(1-'Bottom Up Beta'!$C$11)))</f>
        <v>0.55472728026612683</v>
      </c>
      <c r="G13" s="417">
        <f ca="1">'Risk Free Rate &amp; ERP'!$C$7+('Risk Free Rate &amp; ERP'!$F$13*'Divisional Beta, Ke &amp; WACC'!F13)</f>
        <v>7.034678157567946E-2</v>
      </c>
      <c r="H13" s="382"/>
      <c r="I13" s="377"/>
      <c r="M13" s="159"/>
      <c r="N13" s="200"/>
      <c r="O13" s="200"/>
    </row>
    <row r="14" spans="2:16">
      <c r="B14" s="383" t="s">
        <v>253</v>
      </c>
      <c r="C14" s="411">
        <f>'Bottom Up Beta'!L7</f>
        <v>0.92676636693352521</v>
      </c>
      <c r="D14" s="413">
        <f>'Bottom Up Beta'!H13</f>
        <v>177.96880143581839</v>
      </c>
      <c r="E14" s="414">
        <f t="shared" ca="1" si="5"/>
        <v>0.27491648001667363</v>
      </c>
      <c r="F14" s="380">
        <f ca="1">C14*(1+(E14*(1-'Bottom Up Beta'!$C$11)))</f>
        <v>1.1280452113757378</v>
      </c>
      <c r="G14" s="417">
        <f ca="1">'Risk Free Rate &amp; ERP'!$C$7+('Risk Free Rate &amp; ERP'!$F$13*'Divisional Beta, Ke &amp; WACC'!F14)</f>
        <v>0.10127650345542286</v>
      </c>
      <c r="H14" s="382"/>
      <c r="I14" s="377"/>
      <c r="M14" s="159"/>
      <c r="N14" s="377"/>
      <c r="O14" s="377"/>
    </row>
    <row r="15" spans="2:16">
      <c r="B15" s="285"/>
      <c r="C15" s="412">
        <f>'Bottom Up Beta'!J14</f>
        <v>0.9901730521667802</v>
      </c>
      <c r="D15" s="386">
        <f>SUM(D11:D14)</f>
        <v>701.52979710067655</v>
      </c>
      <c r="E15" s="415">
        <f ca="1">SUM(E11:E14)</f>
        <v>1.6044875498234052</v>
      </c>
      <c r="F15" s="402">
        <f ca="1">'Bottom Up Beta'!C25</f>
        <v>1.080570290421224</v>
      </c>
      <c r="G15" s="418">
        <f ca="1">'Cost of Equity, Debt &amp; WACC'!C8</f>
        <v>9.8715296101339292E-2</v>
      </c>
      <c r="H15" s="87"/>
      <c r="I15" s="284"/>
      <c r="M15" s="159"/>
      <c r="N15" s="200"/>
      <c r="O15" s="200"/>
    </row>
    <row r="16" spans="2:16">
      <c r="D16" s="6"/>
      <c r="M16" s="159"/>
      <c r="N16" s="273"/>
      <c r="O16" s="273"/>
    </row>
    <row r="17" spans="2:15">
      <c r="B17" s="227" t="s">
        <v>398</v>
      </c>
      <c r="C17" s="351" t="s">
        <v>7</v>
      </c>
      <c r="D17" s="351" t="s">
        <v>8</v>
      </c>
      <c r="E17" s="351" t="s">
        <v>402</v>
      </c>
      <c r="F17" s="351" t="s">
        <v>441</v>
      </c>
      <c r="G17" s="351" t="s">
        <v>5</v>
      </c>
      <c r="H17" s="233"/>
      <c r="I17" s="233"/>
      <c r="K17" s="87"/>
      <c r="L17" s="87"/>
      <c r="M17" s="159"/>
      <c r="N17" s="233"/>
      <c r="O17" s="233"/>
    </row>
    <row r="18" spans="2:15">
      <c r="B18" s="383" t="s">
        <v>247</v>
      </c>
      <c r="C18" s="381">
        <f ca="1">G11</f>
        <v>0.25485801488792098</v>
      </c>
      <c r="D18" s="381">
        <f>'Cost of Equity, Debt &amp; WACC'!$C$15</f>
        <v>0.15542</v>
      </c>
      <c r="E18" s="381">
        <f>'Cost of Equity, Debt &amp; WACC'!$C$23</f>
        <v>0.21</v>
      </c>
      <c r="F18" s="381">
        <f>D18*(1-E18)</f>
        <v>0.12278180000000001</v>
      </c>
      <c r="G18" s="146">
        <f ca="1">(C18*J4)+(F18*I4)</f>
        <v>0.18604558768752733</v>
      </c>
      <c r="H18" s="159"/>
      <c r="I18" s="159"/>
      <c r="K18" s="7"/>
      <c r="L18" s="284"/>
      <c r="M18" s="159"/>
      <c r="N18" s="159"/>
      <c r="O18" s="159"/>
    </row>
    <row r="19" spans="2:15">
      <c r="B19" s="383" t="s">
        <v>251</v>
      </c>
      <c r="C19" s="381">
        <f t="shared" ref="C19:C21" ca="1" si="6">G12</f>
        <v>8.1387093537908781E-2</v>
      </c>
      <c r="D19" s="381">
        <f>'Cost of Equity, Debt &amp; WACC'!$C$15</f>
        <v>0.15542</v>
      </c>
      <c r="E19" s="381">
        <f>'Cost of Equity, Debt &amp; WACC'!$C$23</f>
        <v>0.21</v>
      </c>
      <c r="F19" s="381">
        <f t="shared" ref="F19:F22" si="7">D19*(1-E19)</f>
        <v>0.12278180000000001</v>
      </c>
      <c r="G19" s="146">
        <f ca="1">(C19*J5)+(F19*I5)</f>
        <v>8.4603244988680992E-2</v>
      </c>
      <c r="H19" s="159"/>
      <c r="I19" s="159"/>
      <c r="K19" s="7"/>
      <c r="L19" s="81"/>
      <c r="M19" s="159"/>
      <c r="N19" s="159"/>
      <c r="O19" s="159"/>
    </row>
    <row r="20" spans="2:15">
      <c r="B20" s="383" t="s">
        <v>252</v>
      </c>
      <c r="C20" s="381">
        <f t="shared" ca="1" si="6"/>
        <v>7.034678157567946E-2</v>
      </c>
      <c r="D20" s="381">
        <f>'Cost of Equity, Debt &amp; WACC'!$C$15</f>
        <v>0.15542</v>
      </c>
      <c r="E20" s="381">
        <f>'Cost of Equity, Debt &amp; WACC'!$C$23</f>
        <v>0.21</v>
      </c>
      <c r="F20" s="381">
        <f t="shared" si="7"/>
        <v>0.12278180000000001</v>
      </c>
      <c r="G20" s="146">
        <f t="shared" ref="G20:G21" ca="1" si="8">(C20*J6)+(F20*I6)</f>
        <v>7.7486456683365845E-2</v>
      </c>
      <c r="H20" s="233"/>
      <c r="I20" s="233"/>
      <c r="K20" s="7"/>
      <c r="L20" s="7"/>
      <c r="M20" s="159"/>
      <c r="N20" s="233"/>
      <c r="O20" s="233"/>
    </row>
    <row r="21" spans="2:15">
      <c r="B21" s="383" t="s">
        <v>253</v>
      </c>
      <c r="C21" s="381">
        <f t="shared" ca="1" si="6"/>
        <v>0.10127650345542286</v>
      </c>
      <c r="D21" s="381">
        <f>'Cost of Equity, Debt &amp; WACC'!$C$15</f>
        <v>0.15542</v>
      </c>
      <c r="E21" s="381">
        <f>'Cost of Equity, Debt &amp; WACC'!$C$23</f>
        <v>0.21</v>
      </c>
      <c r="F21" s="381">
        <f t="shared" si="7"/>
        <v>0.12278180000000001</v>
      </c>
      <c r="G21" s="146">
        <f t="shared" ca="1" si="8"/>
        <v>0.10591379579607293</v>
      </c>
      <c r="H21" s="159"/>
      <c r="I21" s="159"/>
      <c r="K21" s="87"/>
      <c r="L21" s="7"/>
      <c r="M21" s="159"/>
      <c r="N21" s="159"/>
      <c r="O21" s="159"/>
    </row>
    <row r="22" spans="2:15">
      <c r="B22" s="285"/>
      <c r="C22" s="420">
        <f ca="1">G15</f>
        <v>9.8715296101339292E-2</v>
      </c>
      <c r="D22" s="420">
        <f>'Cost of Equity, Debt &amp; WACC'!$C$15</f>
        <v>0.15542</v>
      </c>
      <c r="E22" s="421">
        <f>'Cost of Equity, Debt &amp; WACC'!$C$23</f>
        <v>0.21</v>
      </c>
      <c r="F22" s="421">
        <f t="shared" si="7"/>
        <v>0.12278180000000001</v>
      </c>
      <c r="G22" s="425">
        <f ca="1">'Cost of Equity, Debt &amp; WACC'!C28</f>
        <v>0.1023746319059534</v>
      </c>
      <c r="H22" s="272"/>
      <c r="I22" s="272"/>
      <c r="K22" s="7"/>
      <c r="L22" s="7"/>
      <c r="M22" s="159"/>
      <c r="N22" s="233"/>
      <c r="O22" s="233"/>
    </row>
    <row r="23" spans="2:15">
      <c r="D23" s="6"/>
      <c r="E23" s="215"/>
      <c r="F23" s="215"/>
      <c r="G23" s="159"/>
      <c r="H23" s="159"/>
      <c r="I23" s="159"/>
      <c r="K23" s="7"/>
      <c r="L23" s="7"/>
      <c r="M23" s="159"/>
      <c r="N23" s="159"/>
      <c r="O23" s="159"/>
    </row>
    <row r="24" spans="2:15">
      <c r="D24" s="6"/>
      <c r="E24" s="215"/>
      <c r="F24" s="215"/>
      <c r="G24" s="159"/>
      <c r="H24" s="272"/>
      <c r="I24" s="272"/>
      <c r="K24" s="7"/>
      <c r="L24" s="7"/>
      <c r="M24" s="159"/>
      <c r="N24" s="233"/>
      <c r="O24" s="233"/>
    </row>
    <row r="25" spans="2:15">
      <c r="D25" s="6"/>
      <c r="E25" s="215"/>
      <c r="F25" s="215"/>
      <c r="G25" s="159"/>
      <c r="H25" s="272"/>
      <c r="I25" s="272"/>
      <c r="K25" s="7"/>
      <c r="L25" s="7"/>
      <c r="M25" s="159"/>
      <c r="N25" s="233"/>
      <c r="O25" s="233"/>
    </row>
    <row r="26" spans="2:15">
      <c r="D26" s="23"/>
      <c r="E26" s="215"/>
      <c r="F26" s="215"/>
      <c r="G26" s="159"/>
      <c r="H26" s="272"/>
      <c r="I26" s="272"/>
      <c r="K26" s="7"/>
      <c r="L26" s="7"/>
      <c r="M26" s="159"/>
      <c r="N26" s="233"/>
      <c r="O26" s="233"/>
    </row>
    <row r="27" spans="2:15">
      <c r="D27" s="7"/>
      <c r="E27" s="87"/>
      <c r="F27" s="87"/>
      <c r="G27" s="159"/>
      <c r="H27" s="375"/>
      <c r="I27" s="375"/>
      <c r="K27" s="87"/>
      <c r="L27" s="87"/>
      <c r="M27" s="159"/>
      <c r="N27" s="378"/>
      <c r="O27" s="378"/>
    </row>
    <row r="28" spans="2:15">
      <c r="D28" s="3"/>
      <c r="E28" s="87"/>
      <c r="F28" s="284"/>
      <c r="G28" s="159"/>
      <c r="H28" s="376"/>
      <c r="I28" s="376"/>
      <c r="K28" s="87"/>
      <c r="L28" s="284"/>
      <c r="M28" s="159"/>
      <c r="N28" s="376"/>
      <c r="O28" s="376"/>
    </row>
    <row r="29" spans="2:15">
      <c r="D29" s="3"/>
      <c r="E29" s="87"/>
      <c r="F29" s="284"/>
      <c r="G29" s="159"/>
      <c r="H29" s="272"/>
      <c r="I29" s="272"/>
      <c r="K29" s="87"/>
      <c r="L29" s="284"/>
      <c r="M29" s="159"/>
      <c r="N29" s="233"/>
      <c r="O29" s="233"/>
    </row>
    <row r="30" spans="2:15">
      <c r="D30" s="3"/>
      <c r="E30" s="87"/>
      <c r="F30" s="284"/>
      <c r="G30" s="159"/>
      <c r="H30" s="272"/>
      <c r="I30" s="272"/>
      <c r="K30" s="87"/>
      <c r="L30" s="284"/>
      <c r="M30" s="159"/>
      <c r="N30" s="233"/>
      <c r="O30" s="233"/>
    </row>
    <row r="31" spans="2:15">
      <c r="D31" s="3"/>
      <c r="E31" s="87"/>
      <c r="F31" s="284"/>
      <c r="G31" s="159"/>
      <c r="H31" s="272"/>
      <c r="I31" s="272"/>
      <c r="K31" s="87"/>
      <c r="L31" s="284"/>
      <c r="M31" s="159"/>
      <c r="N31" s="233"/>
      <c r="O31" s="233"/>
    </row>
    <row r="32" spans="2:15">
      <c r="D32" s="3"/>
      <c r="E32" s="87"/>
      <c r="F32" s="87"/>
      <c r="G32" s="159"/>
      <c r="H32" s="233"/>
      <c r="I32" s="233"/>
      <c r="K32" s="87"/>
      <c r="L32" s="87"/>
      <c r="M32" s="159"/>
      <c r="N32" s="233"/>
      <c r="O32" s="233"/>
    </row>
    <row r="33" spans="4:15">
      <c r="D33" s="3"/>
      <c r="E33" s="87"/>
      <c r="F33" s="87"/>
      <c r="G33" s="159"/>
      <c r="H33" s="377"/>
      <c r="I33" s="377"/>
      <c r="K33" s="87"/>
      <c r="L33" s="87"/>
      <c r="M33" s="159"/>
      <c r="N33" s="377"/>
      <c r="O33" s="377"/>
    </row>
    <row r="34" spans="4:15">
      <c r="D34" s="82"/>
      <c r="E34" s="87"/>
      <c r="F34" s="87"/>
      <c r="G34" s="159"/>
      <c r="H34" s="377"/>
      <c r="I34" s="377"/>
      <c r="K34" s="87"/>
      <c r="L34" s="87"/>
      <c r="M34" s="159"/>
      <c r="N34" s="377"/>
      <c r="O34" s="377"/>
    </row>
    <row r="35" spans="4:15">
      <c r="D35" s="285"/>
      <c r="E35" s="87"/>
      <c r="F35" s="284"/>
      <c r="G35" s="159"/>
      <c r="H35" s="200"/>
      <c r="I35" s="200"/>
      <c r="K35" s="87"/>
      <c r="L35" s="284"/>
      <c r="M35" s="159"/>
      <c r="N35" s="200"/>
      <c r="O35" s="200"/>
    </row>
    <row r="36" spans="4:15" ht="12" customHeight="1">
      <c r="D36" s="285"/>
      <c r="E36" s="87"/>
      <c r="F36" s="284"/>
      <c r="G36" s="159"/>
      <c r="H36" s="377"/>
      <c r="I36" s="377"/>
      <c r="K36" s="87"/>
      <c r="L36" s="284"/>
      <c r="M36" s="159"/>
      <c r="N36" s="377"/>
      <c r="O36" s="377"/>
    </row>
    <row r="37" spans="4:15">
      <c r="D37" s="286"/>
      <c r="E37" s="87"/>
      <c r="F37" s="87"/>
      <c r="G37" s="159"/>
      <c r="H37" s="200"/>
      <c r="I37" s="200"/>
      <c r="K37" s="87"/>
      <c r="L37" s="87"/>
      <c r="M37" s="159"/>
      <c r="N37" s="200"/>
      <c r="O37" s="200"/>
    </row>
    <row r="38" spans="4:15">
      <c r="D38" s="3"/>
      <c r="E38" s="87"/>
      <c r="F38" s="284"/>
      <c r="G38" s="159"/>
      <c r="H38" s="273"/>
      <c r="K38" s="87"/>
      <c r="L38" s="3"/>
      <c r="M38" s="3"/>
      <c r="N38" s="3"/>
      <c r="O38" s="3"/>
    </row>
    <row r="39" spans="4:15" ht="12" customHeight="1">
      <c r="E39" s="87"/>
      <c r="F39" s="87"/>
      <c r="G39" s="159"/>
      <c r="H39" s="233"/>
      <c r="K39" s="87"/>
      <c r="L39" s="3"/>
      <c r="M39" s="3"/>
      <c r="N39" s="3"/>
      <c r="O39" s="379"/>
    </row>
    <row r="40" spans="4:15">
      <c r="E40" s="7"/>
      <c r="F40" s="284"/>
      <c r="G40" s="159"/>
      <c r="H40" s="159"/>
      <c r="K40" s="87"/>
      <c r="L40" s="3"/>
      <c r="M40" s="3"/>
      <c r="N40" s="3"/>
      <c r="O40" s="3"/>
    </row>
    <row r="41" spans="4:15">
      <c r="E41" s="215"/>
      <c r="F41" s="81"/>
      <c r="G41" s="159"/>
      <c r="H41" s="159"/>
      <c r="K41" s="87"/>
      <c r="L41" s="3"/>
      <c r="M41" s="3"/>
      <c r="N41" s="3"/>
      <c r="O41" s="3"/>
    </row>
    <row r="42" spans="4:15">
      <c r="E42" s="215"/>
      <c r="F42" s="215"/>
      <c r="G42" s="159"/>
      <c r="H42" s="233"/>
      <c r="K42" s="7"/>
      <c r="L42" s="3"/>
      <c r="M42" s="3"/>
      <c r="N42" s="3"/>
      <c r="O42" s="3"/>
    </row>
    <row r="43" spans="4:15">
      <c r="E43" s="87"/>
      <c r="F43" s="215"/>
      <c r="G43" s="159"/>
      <c r="H43" s="159"/>
      <c r="K43" s="7"/>
      <c r="L43" s="3"/>
      <c r="M43" s="3"/>
      <c r="N43" s="3"/>
      <c r="O43" s="3"/>
    </row>
    <row r="44" spans="4:15">
      <c r="E44" s="215"/>
      <c r="F44" s="215"/>
      <c r="G44" s="159"/>
      <c r="H44" s="272"/>
      <c r="K44" s="7"/>
      <c r="L44" s="3"/>
      <c r="M44" s="3"/>
      <c r="N44" s="3"/>
      <c r="O44" s="3"/>
    </row>
    <row r="45" spans="4:15">
      <c r="E45" s="215"/>
      <c r="F45" s="215"/>
      <c r="G45" s="159"/>
      <c r="H45" s="159"/>
      <c r="K45" s="87"/>
      <c r="L45" s="3"/>
      <c r="M45" s="3"/>
      <c r="N45" s="3"/>
      <c r="O45" s="3"/>
    </row>
    <row r="46" spans="4:15">
      <c r="E46" s="215"/>
      <c r="F46" s="215"/>
      <c r="G46" s="159"/>
      <c r="H46" s="272"/>
      <c r="K46" s="7"/>
      <c r="L46" s="3"/>
      <c r="M46" s="3"/>
      <c r="N46" s="3"/>
      <c r="O46" s="3"/>
    </row>
    <row r="47" spans="4:15">
      <c r="E47" s="215"/>
      <c r="F47" s="215"/>
      <c r="G47" s="159"/>
      <c r="H47" s="272"/>
      <c r="K47" s="7"/>
      <c r="L47" s="3"/>
      <c r="M47" s="3"/>
      <c r="N47" s="3"/>
      <c r="O47" s="3"/>
    </row>
    <row r="48" spans="4:15">
      <c r="E48" s="215"/>
      <c r="F48" s="215"/>
      <c r="G48" s="159"/>
      <c r="H48" s="272"/>
      <c r="K48" s="7"/>
    </row>
    <row r="49" spans="5:11">
      <c r="E49" s="263"/>
      <c r="F49" s="263"/>
      <c r="G49" s="264"/>
      <c r="H49" s="265"/>
      <c r="K49" s="3"/>
    </row>
    <row r="50" spans="5:11">
      <c r="E50" s="263"/>
      <c r="F50" s="263"/>
      <c r="G50" s="264"/>
      <c r="H50" s="265"/>
      <c r="K50" s="87"/>
    </row>
    <row r="51" spans="5:11">
      <c r="E51" s="263"/>
      <c r="F51" s="263"/>
      <c r="G51" s="264"/>
      <c r="H51" s="266"/>
      <c r="K51" s="87"/>
    </row>
    <row r="52" spans="5:11">
      <c r="E52" s="263"/>
      <c r="F52" s="263"/>
      <c r="G52" s="264"/>
      <c r="H52" s="265"/>
      <c r="K52" s="87"/>
    </row>
    <row r="53" spans="5:11">
      <c r="E53" s="263"/>
      <c r="F53" s="263"/>
      <c r="G53" s="264"/>
      <c r="H53" s="265"/>
      <c r="K53" s="87"/>
    </row>
    <row r="54" spans="5:11">
      <c r="K54" s="87"/>
    </row>
    <row r="55" spans="5:11">
      <c r="K55" s="87"/>
    </row>
    <row r="56" spans="5:11">
      <c r="K56" s="87"/>
    </row>
    <row r="57" spans="5:11" ht="12" customHeight="1">
      <c r="K57" s="87"/>
    </row>
    <row r="58" spans="5:11">
      <c r="K58" s="87"/>
    </row>
    <row r="63" spans="5:11" ht="12" customHeight="1"/>
    <row r="117" spans="15:15">
      <c r="O117" s="246"/>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8.42578125" style="2" customWidth="1"/>
    <col min="3" max="3" width="9.140625" style="2"/>
    <col min="4" max="4" width="5.85546875" style="2" customWidth="1"/>
    <col min="5" max="5" width="11.5703125" style="2" customWidth="1"/>
    <col min="6" max="6" width="11.5703125" style="2" bestFit="1" customWidth="1"/>
    <col min="7" max="7" width="9.140625" style="2"/>
    <col min="8" max="8" width="9.7109375" style="2" bestFit="1" customWidth="1"/>
    <col min="9" max="9" width="10.5703125" style="2" bestFit="1" customWidth="1"/>
    <col min="10" max="11" width="9.7109375" style="2" bestFit="1" customWidth="1"/>
    <col min="12" max="12" width="10.5703125" style="2" bestFit="1" customWidth="1"/>
    <col min="13" max="16384" width="9.140625" style="2"/>
  </cols>
  <sheetData>
    <row r="1" spans="2:13" ht="15.75">
      <c r="B1" s="16" t="s">
        <v>440</v>
      </c>
    </row>
    <row r="3" spans="2:13" ht="15.75">
      <c r="B3" s="102" t="s">
        <v>7</v>
      </c>
      <c r="C3" s="28"/>
      <c r="E3" s="478" t="s">
        <v>420</v>
      </c>
      <c r="F3" s="478"/>
      <c r="G3" s="478"/>
      <c r="H3" s="478"/>
      <c r="I3" s="478"/>
      <c r="J3" s="478"/>
      <c r="K3" s="8"/>
      <c r="L3" s="8"/>
      <c r="M3" s="8"/>
    </row>
    <row r="4" spans="2:13">
      <c r="B4" s="28"/>
      <c r="C4" s="28"/>
      <c r="E4" s="28"/>
      <c r="F4" s="274">
        <v>2018</v>
      </c>
      <c r="G4" s="274">
        <v>2019</v>
      </c>
      <c r="H4" s="274">
        <v>2020</v>
      </c>
      <c r="I4" s="274">
        <v>2021</v>
      </c>
      <c r="J4" s="274">
        <v>2022</v>
      </c>
    </row>
    <row r="5" spans="2:13">
      <c r="B5" s="180" t="s">
        <v>423</v>
      </c>
      <c r="C5" s="138">
        <f>'Risk Free Rate &amp; ERP'!C7</f>
        <v>4.0419999999999998E-2</v>
      </c>
      <c r="D5" s="6"/>
      <c r="E5" s="275" t="s">
        <v>160</v>
      </c>
      <c r="F5" s="293">
        <v>1.853</v>
      </c>
      <c r="G5" s="293">
        <v>1.7490000000000001</v>
      </c>
      <c r="H5" s="293">
        <v>5.5039999999999996</v>
      </c>
      <c r="I5" s="294">
        <v>8.0239999999999991</v>
      </c>
      <c r="J5" s="294">
        <v>3.8849999999999998</v>
      </c>
    </row>
    <row r="6" spans="2:13">
      <c r="B6" s="180" t="s">
        <v>9</v>
      </c>
      <c r="C6" s="138">
        <f>'Risk Free Rate &amp; ERP'!F13</f>
        <v>5.3948638619903969E-2</v>
      </c>
      <c r="D6" s="23"/>
      <c r="E6" s="275" t="s">
        <v>3</v>
      </c>
      <c r="F6" s="293">
        <v>0.30099999999999999</v>
      </c>
      <c r="G6" s="293">
        <v>8.6229999999999993</v>
      </c>
      <c r="H6" s="293">
        <v>3.8620000000000001</v>
      </c>
      <c r="I6" s="294">
        <v>2.3029999999999999</v>
      </c>
      <c r="J6" s="294">
        <v>3.5739999999999998</v>
      </c>
    </row>
    <row r="7" spans="2:13">
      <c r="B7" s="180" t="s">
        <v>422</v>
      </c>
      <c r="C7" s="416">
        <f ca="1">'Bottom Up Beta'!C25</f>
        <v>1.080570290421224</v>
      </c>
      <c r="D7" s="6"/>
      <c r="E7" s="275" t="s">
        <v>161</v>
      </c>
      <c r="F7" s="405">
        <f>F6/F5</f>
        <v>0.16243928764166216</v>
      </c>
      <c r="G7" s="405">
        <f t="shared" ref="G7:I7" si="0">G6/G5</f>
        <v>4.9302458547741557</v>
      </c>
      <c r="H7" s="405">
        <f t="shared" si="0"/>
        <v>0.70167151162790709</v>
      </c>
      <c r="I7" s="405">
        <f t="shared" si="0"/>
        <v>0.28701395812562314</v>
      </c>
      <c r="J7" s="405">
        <f>J6/J5</f>
        <v>0.91994851994852</v>
      </c>
    </row>
    <row r="8" spans="2:13">
      <c r="B8" s="333" t="s">
        <v>7</v>
      </c>
      <c r="C8" s="49">
        <f ca="1">C5+C7*C6</f>
        <v>9.8715296101339292E-2</v>
      </c>
      <c r="D8" s="6"/>
      <c r="F8" s="343"/>
      <c r="G8" s="343"/>
      <c r="H8" s="343"/>
      <c r="I8" s="343" t="s">
        <v>162</v>
      </c>
      <c r="J8" s="406">
        <f>MEDIAN(F7:J7)</f>
        <v>0.70167151162790709</v>
      </c>
    </row>
    <row r="9" spans="2:13">
      <c r="B9" s="3"/>
      <c r="C9" s="3"/>
      <c r="D9" s="6"/>
      <c r="E9" s="6"/>
      <c r="F9" s="6"/>
    </row>
    <row r="10" spans="2:13" ht="15.75">
      <c r="B10" s="102" t="s">
        <v>42</v>
      </c>
      <c r="C10" s="17"/>
      <c r="D10" s="6"/>
      <c r="E10" s="6"/>
      <c r="F10" s="6"/>
    </row>
    <row r="11" spans="2:13">
      <c r="B11" s="17"/>
      <c r="C11" s="17"/>
      <c r="D11" s="6"/>
      <c r="E11" s="23"/>
      <c r="F11" s="6"/>
    </row>
    <row r="12" spans="2:13">
      <c r="B12" s="180" t="s">
        <v>423</v>
      </c>
      <c r="C12" s="65">
        <f>'Risk Free Rate &amp; ERP'!$C$7</f>
        <v>4.0419999999999998E-2</v>
      </c>
      <c r="F12" s="23"/>
    </row>
    <row r="13" spans="2:13">
      <c r="B13" s="342" t="s">
        <v>418</v>
      </c>
      <c r="C13" s="65" t="s">
        <v>421</v>
      </c>
      <c r="D13" s="6"/>
      <c r="E13" s="6"/>
      <c r="F13" s="6"/>
    </row>
    <row r="14" spans="2:13">
      <c r="B14" s="180" t="s">
        <v>419</v>
      </c>
      <c r="C14" s="138">
        <v>0.115</v>
      </c>
      <c r="D14" s="6"/>
      <c r="E14" s="6"/>
      <c r="F14" s="6"/>
    </row>
    <row r="15" spans="2:13">
      <c r="B15" s="333" t="s">
        <v>42</v>
      </c>
      <c r="C15" s="49">
        <f>C12+C14</f>
        <v>0.15542</v>
      </c>
      <c r="D15" s="6"/>
      <c r="E15" s="6"/>
      <c r="F15" s="6"/>
    </row>
    <row r="16" spans="2:13">
      <c r="D16" s="6"/>
      <c r="E16" s="6"/>
      <c r="F16" s="23"/>
    </row>
    <row r="17" spans="2:12" ht="15.75">
      <c r="B17" s="102" t="s">
        <v>5</v>
      </c>
      <c r="C17" s="107"/>
      <c r="D17" s="23"/>
      <c r="E17" s="23"/>
      <c r="F17" s="6"/>
    </row>
    <row r="18" spans="2:12">
      <c r="B18" s="28"/>
      <c r="C18" s="28"/>
      <c r="D18" s="6"/>
      <c r="E18" s="6"/>
      <c r="F18" s="6"/>
    </row>
    <row r="19" spans="2:12">
      <c r="B19" s="342" t="s">
        <v>7</v>
      </c>
      <c r="C19" s="397">
        <f ca="1">C8</f>
        <v>9.8715296101339292E-2</v>
      </c>
      <c r="D19" s="6"/>
      <c r="E19" s="6"/>
      <c r="F19" s="6"/>
    </row>
    <row r="20" spans="2:12">
      <c r="B20" s="342" t="s">
        <v>439</v>
      </c>
      <c r="C20" s="293">
        <f>'Bottom Up Beta'!C21</f>
        <v>858.64065372000005</v>
      </c>
      <c r="D20" s="6"/>
      <c r="E20" s="6"/>
      <c r="F20" s="6"/>
    </row>
    <row r="21" spans="2:12">
      <c r="B21" s="342" t="s">
        <v>434</v>
      </c>
      <c r="C21" s="397">
        <f>C15</f>
        <v>0.15542</v>
      </c>
      <c r="D21" s="23"/>
      <c r="E21" s="23"/>
      <c r="F21" s="23"/>
      <c r="G21" s="104"/>
      <c r="H21" s="104"/>
    </row>
    <row r="22" spans="2:12">
      <c r="B22" s="342" t="s">
        <v>438</v>
      </c>
      <c r="C22" s="293">
        <f ca="1">'Bottom Up Beta'!C22</f>
        <v>153.96817789585853</v>
      </c>
      <c r="F22" s="6"/>
      <c r="G22" s="3"/>
      <c r="H22" s="60"/>
    </row>
    <row r="23" spans="2:12">
      <c r="B23" s="342" t="s">
        <v>437</v>
      </c>
      <c r="C23" s="397">
        <v>0.21</v>
      </c>
      <c r="E23" s="3"/>
      <c r="F23" s="6"/>
      <c r="G23" s="47"/>
      <c r="H23" s="42"/>
    </row>
    <row r="24" spans="2:12">
      <c r="B24" s="28"/>
      <c r="C24" s="28"/>
      <c r="F24" s="6"/>
      <c r="G24" s="47"/>
      <c r="H24" s="42"/>
      <c r="I24" s="42"/>
      <c r="J24" s="42"/>
      <c r="K24" s="42"/>
      <c r="L24" s="42"/>
    </row>
    <row r="25" spans="2:12">
      <c r="B25" s="342" t="s">
        <v>435</v>
      </c>
      <c r="C25" s="397">
        <f ca="1">C20/(C20+C22)</f>
        <v>0.84794900746602653</v>
      </c>
      <c r="D25" s="3"/>
      <c r="F25" s="23"/>
      <c r="G25" s="47"/>
      <c r="H25" s="42"/>
      <c r="I25" s="42"/>
      <c r="J25" s="42"/>
      <c r="K25" s="42"/>
      <c r="L25" s="42"/>
    </row>
    <row r="26" spans="2:12">
      <c r="B26" s="342" t="s">
        <v>436</v>
      </c>
      <c r="C26" s="397">
        <f ca="1">C22/(C20+C22)</f>
        <v>0.1520509925339735</v>
      </c>
      <c r="F26" s="3"/>
      <c r="G26" s="105"/>
      <c r="H26" s="105"/>
      <c r="I26" s="105"/>
      <c r="J26" s="105"/>
      <c r="K26" s="105"/>
      <c r="L26" s="22"/>
    </row>
    <row r="27" spans="2:12">
      <c r="B27" s="28"/>
      <c r="C27" s="28"/>
      <c r="F27" s="3"/>
    </row>
    <row r="28" spans="2:12">
      <c r="B28" s="287" t="s">
        <v>5</v>
      </c>
      <c r="C28" s="108">
        <f ca="1">(C19*C25)+(C21*(1-C23)*C26)</f>
        <v>0.1023746319059534</v>
      </c>
      <c r="D28" s="3"/>
      <c r="E28" s="3"/>
      <c r="F28" s="3"/>
    </row>
    <row r="29" spans="2:12">
      <c r="D29" s="3"/>
      <c r="E29" s="3"/>
      <c r="F29" s="3"/>
    </row>
    <row r="30" spans="2:12">
      <c r="D30" s="3"/>
      <c r="E30" s="3"/>
      <c r="F30" s="3"/>
    </row>
    <row r="31" spans="2:12">
      <c r="D31" s="3"/>
      <c r="E31" s="3"/>
      <c r="F31" s="3"/>
    </row>
    <row r="32" spans="2:12">
      <c r="D32" s="3"/>
      <c r="E32" s="3"/>
      <c r="F32" s="3"/>
    </row>
  </sheetData>
  <mergeCells count="1">
    <mergeCell ref="E3:J3"/>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33" t="s">
        <v>46</v>
      </c>
    </row>
    <row r="3" spans="2:2">
      <c r="B3" s="117" t="s">
        <v>68</v>
      </c>
    </row>
    <row r="4" spans="2:2">
      <c r="B4" s="117" t="s">
        <v>67</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11" customWidth="1"/>
    <col min="2" max="2" width="29.140625" style="111" customWidth="1"/>
    <col min="3" max="3" width="12.85546875" style="111" customWidth="1"/>
    <col min="4" max="4" width="8" style="111" customWidth="1"/>
    <col min="5" max="5" width="9.28515625" style="111" customWidth="1"/>
    <col min="6" max="6" width="22.140625" style="111" customWidth="1"/>
    <col min="7" max="7" width="16.28515625" style="111" customWidth="1" collapsed="1"/>
    <col min="8" max="8" width="13.85546875" style="111" customWidth="1"/>
    <col min="9" max="11" width="9" style="111" customWidth="1"/>
    <col min="12" max="12" width="9.28515625" style="111" customWidth="1"/>
    <col min="13" max="26" width="9.140625" style="111" customWidth="1"/>
    <col min="27" max="27" width="9.28515625" style="111" customWidth="1"/>
    <col min="28" max="28" width="9.42578125" style="111" customWidth="1"/>
    <col min="29" max="29" width="10" style="111" customWidth="1"/>
    <col min="30" max="30" width="11.42578125" style="111" customWidth="1"/>
    <col min="31" max="31" width="9.42578125" style="111" bestFit="1" customWidth="1" collapsed="1"/>
    <col min="32" max="16384" width="9.140625" style="111"/>
  </cols>
  <sheetData>
    <row r="1" spans="1:32" s="110" customFormat="1" ht="15" customHeight="1">
      <c r="B1" s="16" t="s">
        <v>509</v>
      </c>
      <c r="C1" s="109"/>
      <c r="D1" s="109"/>
      <c r="E1" s="109"/>
      <c r="F1" s="109"/>
      <c r="G1" s="109"/>
      <c r="H1" s="109"/>
      <c r="I1" s="109"/>
      <c r="J1" s="109"/>
      <c r="K1" s="109"/>
      <c r="L1" s="109"/>
    </row>
    <row r="2" spans="1:32" ht="12" customHeight="1"/>
    <row r="3" spans="1:32" s="113" customFormat="1" ht="12" customHeight="1">
      <c r="A3" s="111"/>
      <c r="B3" s="124"/>
      <c r="C3" s="125" t="s">
        <v>163</v>
      </c>
      <c r="D3" s="112"/>
      <c r="E3" s="112"/>
      <c r="F3" s="479" t="s">
        <v>508</v>
      </c>
      <c r="G3" s="479"/>
      <c r="H3" s="479"/>
      <c r="I3" s="479"/>
      <c r="J3" s="479"/>
      <c r="K3" s="479"/>
      <c r="L3" s="479"/>
      <c r="M3" s="479"/>
      <c r="N3" s="112"/>
      <c r="O3" s="112"/>
      <c r="P3" s="112"/>
      <c r="Q3" s="112"/>
      <c r="R3" s="112"/>
      <c r="S3" s="112"/>
      <c r="T3" s="112"/>
      <c r="U3" s="112"/>
      <c r="V3" s="112"/>
      <c r="W3" s="112"/>
      <c r="X3" s="112"/>
      <c r="Y3" s="112"/>
      <c r="Z3" s="112"/>
      <c r="AA3" s="112"/>
    </row>
    <row r="4" spans="1:32" ht="12" customHeight="1">
      <c r="A4" s="113"/>
      <c r="B4" s="126" t="s">
        <v>164</v>
      </c>
      <c r="C4" s="298">
        <f>58.749+50.453+58.879+54.696</f>
        <v>222.77699999999999</v>
      </c>
      <c r="D4" s="145"/>
      <c r="F4" s="212" t="s">
        <v>33</v>
      </c>
      <c r="G4" s="213" t="s">
        <v>126</v>
      </c>
      <c r="H4" s="213">
        <v>2021</v>
      </c>
      <c r="I4" s="213">
        <v>2020</v>
      </c>
      <c r="J4" s="213">
        <v>2019</v>
      </c>
      <c r="K4" s="213">
        <v>2018</v>
      </c>
      <c r="L4" s="213">
        <v>2017</v>
      </c>
      <c r="M4" s="214"/>
    </row>
    <row r="5" spans="1:32" ht="12" customHeight="1">
      <c r="A5" s="118" t="s">
        <v>34</v>
      </c>
      <c r="B5" s="127" t="s">
        <v>172</v>
      </c>
      <c r="C5" s="289">
        <f>-(22.363+19.112+23.767+26.069)</f>
        <v>-91.310999999999993</v>
      </c>
      <c r="D5" s="18"/>
      <c r="F5" s="166" t="s">
        <v>128</v>
      </c>
      <c r="G5" s="301">
        <f>-'Accounting Adjustments'!C10</f>
        <v>21.032</v>
      </c>
      <c r="H5" s="301">
        <v>10.388</v>
      </c>
      <c r="I5" s="301">
        <v>6.3550000000000004</v>
      </c>
      <c r="J5" s="301">
        <v>3.5059999999999998</v>
      </c>
      <c r="K5" s="301">
        <v>3.5390000000000001</v>
      </c>
      <c r="L5" s="301">
        <v>4.157</v>
      </c>
      <c r="M5" s="210"/>
    </row>
    <row r="6" spans="1:32" ht="12" customHeight="1">
      <c r="B6" s="129" t="s">
        <v>449</v>
      </c>
      <c r="C6" s="307">
        <f>SUM(C4:C5)</f>
        <v>131.46600000000001</v>
      </c>
      <c r="D6" s="18">
        <f>C6/$C$4</f>
        <v>0.59012375604303857</v>
      </c>
      <c r="F6" s="166" t="s">
        <v>129</v>
      </c>
      <c r="G6" s="97">
        <v>1</v>
      </c>
      <c r="H6" s="97">
        <f>4/5</f>
        <v>0.8</v>
      </c>
      <c r="I6" s="97">
        <f>3/5</f>
        <v>0.6</v>
      </c>
      <c r="J6" s="97">
        <f>2/5</f>
        <v>0.4</v>
      </c>
      <c r="K6" s="97">
        <f>1/5</f>
        <v>0.2</v>
      </c>
      <c r="L6" s="97">
        <v>0</v>
      </c>
      <c r="M6" s="211"/>
      <c r="O6" s="115"/>
      <c r="P6" s="115"/>
      <c r="Q6" s="115"/>
      <c r="R6" s="115"/>
      <c r="S6" s="115"/>
      <c r="T6" s="115"/>
      <c r="Y6" s="115"/>
    </row>
    <row r="7" spans="1:32" ht="12" customHeight="1">
      <c r="A7" s="118"/>
      <c r="B7" s="127"/>
      <c r="C7" s="289"/>
      <c r="D7" s="18"/>
      <c r="F7" s="166" t="s">
        <v>130</v>
      </c>
      <c r="G7" s="301">
        <f t="shared" ref="G7:L7" si="0">G5*G6</f>
        <v>21.032</v>
      </c>
      <c r="H7" s="301">
        <f t="shared" si="0"/>
        <v>8.3103999999999996</v>
      </c>
      <c r="I7" s="301">
        <f t="shared" si="0"/>
        <v>3.8130000000000002</v>
      </c>
      <c r="J7" s="301">
        <f t="shared" si="0"/>
        <v>1.4024000000000001</v>
      </c>
      <c r="K7" s="301">
        <f t="shared" si="0"/>
        <v>0.7078000000000001</v>
      </c>
      <c r="L7" s="301">
        <f t="shared" si="0"/>
        <v>0</v>
      </c>
      <c r="M7" s="305">
        <f>SUM(G7:L7)</f>
        <v>35.265599999999999</v>
      </c>
      <c r="N7" s="116"/>
      <c r="O7" s="116"/>
      <c r="P7" s="116"/>
      <c r="Q7" s="116"/>
      <c r="R7" s="116"/>
      <c r="S7" s="116"/>
      <c r="T7" s="116"/>
      <c r="U7" s="116"/>
      <c r="V7" s="116"/>
      <c r="W7" s="116"/>
      <c r="X7" s="116"/>
      <c r="Y7" s="116"/>
      <c r="Z7" s="116"/>
      <c r="AA7" s="116"/>
      <c r="AB7" s="116"/>
      <c r="AC7" s="116"/>
      <c r="AD7" s="116"/>
    </row>
    <row r="8" spans="1:32" ht="12" customHeight="1">
      <c r="A8" s="118" t="s">
        <v>34</v>
      </c>
      <c r="B8" s="127" t="s">
        <v>450</v>
      </c>
      <c r="C8" s="289">
        <f>-(9.2+10.023+9.851+8.958)</f>
        <v>-38.031999999999996</v>
      </c>
      <c r="D8" s="18"/>
      <c r="F8" s="166" t="s">
        <v>127</v>
      </c>
      <c r="G8" s="301">
        <v>0</v>
      </c>
      <c r="H8" s="304">
        <f>H5/5</f>
        <v>2.0775999999999999</v>
      </c>
      <c r="I8" s="304">
        <f>I5/5</f>
        <v>1.2710000000000001</v>
      </c>
      <c r="J8" s="304">
        <f>J5/5</f>
        <v>0.70119999999999993</v>
      </c>
      <c r="K8" s="304">
        <f>K5/5</f>
        <v>0.70779999999999998</v>
      </c>
      <c r="L8" s="304">
        <f>L5/5</f>
        <v>0.83140000000000003</v>
      </c>
      <c r="M8" s="305">
        <f>SUM(G8:L8)</f>
        <v>5.5890000000000004</v>
      </c>
      <c r="N8" s="116"/>
      <c r="O8" s="116"/>
      <c r="P8" s="116"/>
      <c r="Q8" s="116"/>
      <c r="R8" s="116"/>
      <c r="S8" s="116"/>
      <c r="T8" s="116"/>
      <c r="U8" s="116"/>
      <c r="V8" s="116"/>
      <c r="W8" s="116"/>
      <c r="X8" s="116"/>
      <c r="Y8" s="116"/>
      <c r="Z8" s="116"/>
      <c r="AA8" s="116"/>
      <c r="AB8" s="116"/>
      <c r="AC8" s="116"/>
      <c r="AD8" s="116"/>
    </row>
    <row r="9" spans="1:32" ht="12" customHeight="1">
      <c r="A9" s="118" t="s">
        <v>34</v>
      </c>
      <c r="B9" s="127" t="s">
        <v>451</v>
      </c>
      <c r="C9" s="289">
        <f>-(18.202+20.212+20.192+17.017)</f>
        <v>-75.623000000000005</v>
      </c>
      <c r="D9" s="473"/>
      <c r="H9" s="116"/>
      <c r="I9" s="116"/>
      <c r="J9" s="116"/>
      <c r="K9" s="116"/>
      <c r="M9" s="116"/>
      <c r="N9" s="116"/>
      <c r="O9" s="116"/>
      <c r="P9" s="116"/>
      <c r="Q9" s="116"/>
      <c r="R9" s="116"/>
      <c r="S9" s="116"/>
      <c r="T9" s="116"/>
      <c r="U9" s="116"/>
      <c r="V9" s="116"/>
      <c r="W9" s="116"/>
      <c r="X9" s="116"/>
      <c r="Y9" s="116"/>
      <c r="Z9" s="116"/>
      <c r="AA9" s="116"/>
      <c r="AB9" s="116"/>
      <c r="AC9" s="116"/>
      <c r="AD9" s="116"/>
      <c r="AE9" s="116"/>
      <c r="AF9" s="116"/>
    </row>
    <row r="10" spans="1:32">
      <c r="A10" s="118" t="s">
        <v>34</v>
      </c>
      <c r="B10" s="127" t="s">
        <v>452</v>
      </c>
      <c r="C10" s="289">
        <f>-(4.989+5.7+5.179+5.164)</f>
        <v>-21.032</v>
      </c>
      <c r="D10" s="18"/>
      <c r="H10" s="116"/>
      <c r="I10" s="116"/>
      <c r="J10" s="116"/>
      <c r="K10" s="116"/>
      <c r="M10" s="116"/>
      <c r="N10" s="137"/>
      <c r="O10" s="116"/>
      <c r="P10" s="116"/>
      <c r="Q10" s="116"/>
      <c r="R10" s="116"/>
      <c r="S10" s="116"/>
      <c r="T10" s="116"/>
      <c r="U10" s="116"/>
      <c r="V10" s="116"/>
      <c r="W10" s="116"/>
      <c r="X10" s="116"/>
      <c r="Y10" s="116"/>
      <c r="Z10" s="116"/>
      <c r="AA10" s="116"/>
      <c r="AB10" s="116"/>
      <c r="AC10" s="116"/>
      <c r="AD10" s="116"/>
      <c r="AE10" s="116"/>
      <c r="AF10" s="116"/>
    </row>
    <row r="11" spans="1:32">
      <c r="A11" s="118"/>
      <c r="B11" s="426" t="s">
        <v>453</v>
      </c>
      <c r="C11" s="427">
        <f>SUM(C8:C10)</f>
        <v>-134.68700000000001</v>
      </c>
      <c r="D11" s="18">
        <f>C11/$C$4</f>
        <v>-0.60458216063597237</v>
      </c>
      <c r="F11" s="152" t="s">
        <v>33</v>
      </c>
      <c r="G11" s="152" t="s">
        <v>141</v>
      </c>
      <c r="H11" s="152" t="s">
        <v>424</v>
      </c>
      <c r="I11" s="116"/>
      <c r="J11" s="116"/>
      <c r="K11" s="116"/>
      <c r="M11" s="116"/>
      <c r="N11" s="116"/>
      <c r="O11" s="116"/>
      <c r="P11" s="116"/>
      <c r="Q11" s="116"/>
      <c r="R11" s="116"/>
      <c r="S11" s="116"/>
      <c r="T11" s="116"/>
      <c r="U11" s="116"/>
      <c r="V11" s="116"/>
      <c r="W11" s="116"/>
      <c r="X11" s="116"/>
      <c r="Y11" s="116"/>
      <c r="Z11" s="116"/>
      <c r="AA11" s="116"/>
      <c r="AB11" s="116"/>
      <c r="AC11" s="116"/>
      <c r="AD11" s="116"/>
      <c r="AE11" s="116"/>
      <c r="AF11" s="116"/>
    </row>
    <row r="12" spans="1:32">
      <c r="A12" s="114"/>
      <c r="B12" s="114"/>
      <c r="C12" s="295"/>
      <c r="E12" s="297"/>
      <c r="F12" s="166">
        <v>1</v>
      </c>
      <c r="G12" s="301">
        <v>2.9049999999999998</v>
      </c>
      <c r="H12" s="301">
        <f>G12/(1+'Cost of Equity, Debt &amp; WACC'!$C$15)^F12</f>
        <v>2.5142372470616747</v>
      </c>
      <c r="I12" s="296"/>
      <c r="J12" s="116"/>
      <c r="K12" s="296"/>
      <c r="M12" s="116"/>
      <c r="N12" s="116"/>
      <c r="O12" s="116"/>
      <c r="P12" s="116"/>
      <c r="Q12" s="116"/>
      <c r="R12" s="116"/>
      <c r="S12" s="116"/>
      <c r="T12" s="116"/>
      <c r="U12" s="116"/>
      <c r="V12" s="116"/>
      <c r="W12" s="116"/>
      <c r="X12" s="116"/>
      <c r="Y12" s="116"/>
      <c r="Z12" s="116"/>
      <c r="AA12" s="116"/>
      <c r="AB12" s="116"/>
      <c r="AC12" s="116"/>
      <c r="AD12" s="116"/>
      <c r="AE12" s="116"/>
      <c r="AF12" s="116"/>
    </row>
    <row r="13" spans="1:32">
      <c r="A13" s="118"/>
      <c r="B13" s="153" t="s">
        <v>3</v>
      </c>
      <c r="C13" s="300">
        <f>C6+C11</f>
        <v>-3.2210000000000036</v>
      </c>
      <c r="D13" s="18">
        <f>C13/$C$4</f>
        <v>-1.4458404592933759E-2</v>
      </c>
      <c r="F13" s="166">
        <f>F12+1</f>
        <v>2</v>
      </c>
      <c r="G13" s="301">
        <v>2.1949999999999998</v>
      </c>
      <c r="H13" s="301">
        <f>G13/(1+'Cost of Equity, Debt &amp; WACC'!$C$15)^F13</f>
        <v>1.6442004510301165</v>
      </c>
      <c r="I13" s="116"/>
      <c r="J13" s="116"/>
      <c r="K13" s="116"/>
      <c r="L13" s="116"/>
      <c r="M13" s="116"/>
      <c r="N13" s="116"/>
      <c r="O13" s="116"/>
      <c r="P13" s="116"/>
      <c r="Q13" s="116"/>
      <c r="R13" s="116"/>
      <c r="S13" s="116"/>
      <c r="T13" s="116"/>
      <c r="U13" s="116"/>
      <c r="V13" s="116"/>
      <c r="W13" s="116"/>
      <c r="X13" s="116"/>
      <c r="Y13" s="116"/>
      <c r="Z13" s="116"/>
      <c r="AA13" s="116"/>
      <c r="AB13" s="116"/>
      <c r="AC13" s="116"/>
      <c r="AD13" s="116"/>
      <c r="AE13" s="116"/>
      <c r="AF13" s="116"/>
    </row>
    <row r="14" spans="1:32">
      <c r="A14" s="118"/>
      <c r="B14" s="114"/>
      <c r="C14" s="330"/>
      <c r="F14" s="166">
        <f>F13+1</f>
        <v>3</v>
      </c>
      <c r="G14" s="301">
        <v>1.9990000000000001</v>
      </c>
      <c r="H14" s="301">
        <f>G14/(1+'Cost of Equity, Debt &amp; WACC'!$C$15)^F14</f>
        <v>1.2959646389604655</v>
      </c>
      <c r="I14" s="116"/>
      <c r="J14" s="116"/>
      <c r="K14" s="116"/>
      <c r="L14" s="116"/>
      <c r="M14" s="116"/>
      <c r="N14" s="116"/>
      <c r="O14" s="116"/>
      <c r="P14" s="116"/>
      <c r="Q14" s="116"/>
      <c r="R14" s="116"/>
      <c r="S14" s="116"/>
      <c r="T14" s="116"/>
      <c r="U14" s="116"/>
      <c r="V14" s="116"/>
      <c r="W14" s="116"/>
      <c r="X14" s="116"/>
      <c r="Y14" s="116"/>
      <c r="Z14" s="116"/>
      <c r="AA14" s="116"/>
      <c r="AB14" s="116"/>
      <c r="AC14" s="116"/>
      <c r="AD14" s="116"/>
      <c r="AE14" s="116"/>
      <c r="AF14" s="116"/>
    </row>
    <row r="15" spans="1:32">
      <c r="A15" s="113"/>
      <c r="B15" s="127" t="s">
        <v>454</v>
      </c>
      <c r="C15" s="289">
        <f>'Accounting Adjustments'!M7</f>
        <v>35.265599999999999</v>
      </c>
      <c r="F15" s="166">
        <f>F14+1</f>
        <v>4</v>
      </c>
      <c r="G15" s="301">
        <v>1.954</v>
      </c>
      <c r="H15" s="301">
        <f>G15/(1+'Cost of Equity, Debt &amp; WACC'!$C$15)^F15</f>
        <v>1.0963899254714466</v>
      </c>
      <c r="I15" s="116"/>
      <c r="J15" s="116"/>
      <c r="K15" s="116"/>
      <c r="L15" s="116"/>
      <c r="M15" s="116"/>
      <c r="N15" s="116"/>
      <c r="O15" s="116"/>
      <c r="P15" s="116"/>
      <c r="Q15" s="116"/>
      <c r="R15" s="116"/>
      <c r="S15" s="116"/>
      <c r="T15" s="116"/>
      <c r="U15" s="116"/>
      <c r="V15" s="116"/>
      <c r="W15" s="116"/>
      <c r="X15" s="116"/>
      <c r="Y15" s="116"/>
      <c r="Z15" s="116"/>
      <c r="AA15" s="116"/>
      <c r="AB15" s="116"/>
      <c r="AC15" s="116"/>
      <c r="AD15" s="116"/>
      <c r="AE15" s="116"/>
      <c r="AF15" s="116"/>
    </row>
    <row r="16" spans="1:32">
      <c r="B16" s="127" t="s">
        <v>140</v>
      </c>
      <c r="C16" s="289">
        <f>'Accounting Adjustments'!M8</f>
        <v>5.5890000000000004</v>
      </c>
      <c r="D16" s="116"/>
      <c r="E16" s="116"/>
      <c r="F16" s="166">
        <f>F15+1</f>
        <v>5</v>
      </c>
      <c r="G16" s="301">
        <v>1.49</v>
      </c>
      <c r="H16" s="301">
        <f>G16/(1+'Cost of Equity, Debt &amp; WACC'!$C$15)^F16</f>
        <v>0.72358051677497981</v>
      </c>
      <c r="I16" s="116"/>
      <c r="K16" s="297"/>
      <c r="O16" s="116"/>
      <c r="P16" s="116"/>
      <c r="Q16" s="116"/>
      <c r="R16" s="116"/>
      <c r="S16" s="116"/>
      <c r="T16" s="116"/>
      <c r="U16" s="116"/>
      <c r="V16" s="116"/>
      <c r="W16" s="116"/>
      <c r="X16" s="116"/>
      <c r="Y16" s="116"/>
      <c r="Z16" s="116"/>
      <c r="AA16" s="116"/>
      <c r="AB16" s="116"/>
      <c r="AC16" s="116"/>
      <c r="AD16" s="116"/>
      <c r="AE16" s="116"/>
      <c r="AF16" s="116"/>
    </row>
    <row r="17" spans="1:32">
      <c r="A17" s="118"/>
      <c r="B17" s="127" t="s">
        <v>455</v>
      </c>
      <c r="C17" s="289">
        <f>'Accounting Adjustments'!G5</f>
        <v>21.032</v>
      </c>
      <c r="D17" s="121"/>
      <c r="E17" s="121"/>
      <c r="F17" s="116"/>
      <c r="G17" s="302"/>
      <c r="H17" s="428">
        <f>SUM(H12:H16)</f>
        <v>7.2743727792986839</v>
      </c>
      <c r="I17" s="122"/>
      <c r="O17" s="116"/>
      <c r="P17" s="116"/>
      <c r="Q17" s="116"/>
      <c r="R17" s="116"/>
      <c r="S17" s="116"/>
      <c r="T17" s="116"/>
      <c r="U17" s="116"/>
      <c r="V17" s="116"/>
      <c r="W17" s="116"/>
      <c r="X17" s="116"/>
      <c r="Y17" s="116"/>
      <c r="Z17" s="116"/>
      <c r="AA17" s="116"/>
      <c r="AB17" s="116"/>
      <c r="AC17" s="116"/>
      <c r="AD17" s="116"/>
      <c r="AE17" s="116"/>
      <c r="AF17" s="116"/>
    </row>
    <row r="18" spans="1:32">
      <c r="A18" s="118"/>
      <c r="B18" s="127"/>
      <c r="C18" s="128"/>
      <c r="D18" s="68"/>
      <c r="E18" s="68"/>
      <c r="F18" s="68"/>
      <c r="G18" s="68"/>
      <c r="H18" s="68"/>
      <c r="I18" s="68"/>
      <c r="J18" s="116"/>
      <c r="K18" s="116"/>
      <c r="L18" s="116"/>
      <c r="M18" s="116"/>
      <c r="N18" s="116"/>
      <c r="O18" s="116"/>
      <c r="P18" s="116"/>
      <c r="Q18" s="116"/>
      <c r="R18" s="116"/>
      <c r="S18" s="116"/>
      <c r="T18" s="116"/>
      <c r="U18" s="116"/>
      <c r="V18" s="116"/>
      <c r="W18" s="116"/>
      <c r="X18" s="116"/>
      <c r="Y18" s="116"/>
      <c r="Z18" s="116"/>
      <c r="AA18" s="116"/>
      <c r="AB18" s="116"/>
      <c r="AC18" s="116"/>
      <c r="AD18" s="116"/>
      <c r="AE18" s="116"/>
      <c r="AF18" s="116"/>
    </row>
    <row r="19" spans="1:32">
      <c r="D19" s="68"/>
      <c r="E19" s="68"/>
      <c r="F19" s="68"/>
      <c r="G19" s="68"/>
      <c r="H19" s="68"/>
      <c r="I19" s="68"/>
      <c r="J19" s="116"/>
      <c r="K19" s="116"/>
      <c r="L19" s="116"/>
      <c r="M19" s="116"/>
      <c r="N19" s="116"/>
      <c r="O19" s="116"/>
      <c r="P19" s="116"/>
      <c r="Q19" s="116"/>
      <c r="R19" s="116"/>
      <c r="S19" s="116"/>
      <c r="T19" s="116"/>
      <c r="U19" s="116"/>
      <c r="V19" s="116"/>
      <c r="W19" s="116"/>
      <c r="X19" s="116"/>
      <c r="Y19" s="116"/>
      <c r="Z19" s="116"/>
      <c r="AA19" s="116"/>
      <c r="AB19" s="116"/>
      <c r="AC19" s="116"/>
      <c r="AD19" s="116"/>
      <c r="AE19" s="116"/>
      <c r="AF19" s="116"/>
    </row>
    <row r="20" spans="1:32">
      <c r="B20" s="127" t="s">
        <v>142</v>
      </c>
      <c r="C20" s="289">
        <f>'Accounting Adjustments'!H17</f>
        <v>7.2743727792986839</v>
      </c>
      <c r="D20" s="123"/>
      <c r="E20" s="123"/>
      <c r="F20" s="123"/>
      <c r="G20" s="123"/>
      <c r="H20" s="123"/>
      <c r="I20" s="121"/>
      <c r="J20" s="116"/>
      <c r="K20" s="116"/>
      <c r="L20" s="116"/>
      <c r="M20" s="116"/>
      <c r="N20" s="116"/>
      <c r="O20" s="116"/>
      <c r="P20" s="116"/>
      <c r="Q20" s="116"/>
      <c r="R20" s="116"/>
      <c r="S20" s="116"/>
      <c r="T20" s="116"/>
      <c r="U20" s="116"/>
      <c r="V20" s="116"/>
      <c r="W20" s="116"/>
      <c r="X20" s="116"/>
      <c r="Y20" s="116"/>
      <c r="Z20" s="116"/>
      <c r="AA20" s="116"/>
      <c r="AB20" s="116"/>
      <c r="AC20" s="116"/>
      <c r="AD20" s="116"/>
      <c r="AE20" s="116"/>
      <c r="AF20" s="116"/>
    </row>
    <row r="21" spans="1:32">
      <c r="B21" s="127" t="s">
        <v>458</v>
      </c>
      <c r="C21" s="289">
        <f ca="1">'Bottom Up Beta'!J27</f>
        <v>146.69380511655984</v>
      </c>
      <c r="G21" s="116"/>
      <c r="H21" s="121"/>
      <c r="I21" s="116"/>
      <c r="J21" s="116"/>
      <c r="K21" s="116"/>
      <c r="L21" s="116"/>
      <c r="M21" s="116"/>
      <c r="N21" s="116"/>
      <c r="O21" s="116"/>
      <c r="P21" s="116"/>
      <c r="Q21" s="116"/>
      <c r="R21" s="116"/>
      <c r="S21" s="116"/>
      <c r="T21" s="116"/>
      <c r="U21" s="116"/>
      <c r="V21" s="116"/>
      <c r="W21" s="116"/>
      <c r="X21" s="116"/>
      <c r="Y21" s="116"/>
      <c r="Z21" s="116"/>
      <c r="AA21" s="116"/>
      <c r="AB21" s="116"/>
      <c r="AC21" s="116"/>
      <c r="AD21" s="116"/>
      <c r="AE21" s="116"/>
      <c r="AF21" s="116"/>
    </row>
    <row r="22" spans="1:32">
      <c r="B22" s="127" t="s">
        <v>143</v>
      </c>
      <c r="C22" s="289">
        <v>2.3919999999999999</v>
      </c>
      <c r="G22" s="116"/>
      <c r="H22" s="116"/>
      <c r="I22" s="116"/>
      <c r="J22" s="116"/>
      <c r="K22" s="116"/>
      <c r="L22" s="116"/>
      <c r="M22" s="116"/>
      <c r="N22" s="116"/>
      <c r="O22" s="116"/>
      <c r="P22" s="116"/>
      <c r="Q22" s="116"/>
      <c r="R22" s="116"/>
      <c r="S22" s="116"/>
      <c r="T22" s="116"/>
      <c r="U22" s="116"/>
      <c r="V22" s="116"/>
      <c r="W22" s="116"/>
      <c r="X22" s="116"/>
      <c r="Y22" s="116"/>
      <c r="Z22" s="116"/>
      <c r="AA22" s="116"/>
      <c r="AB22" s="116"/>
      <c r="AC22" s="116"/>
      <c r="AD22" s="116"/>
      <c r="AE22" s="116"/>
      <c r="AF22" s="116"/>
    </row>
    <row r="23" spans="1:32">
      <c r="B23" s="127" t="s">
        <v>144</v>
      </c>
      <c r="C23" s="289">
        <f>'Accounting Adjustments'!H17/'Accounting Adjustments'!F16</f>
        <v>1.4548745558597367</v>
      </c>
      <c r="G23" s="116"/>
      <c r="H23" s="116"/>
      <c r="I23" s="116"/>
      <c r="J23" s="116"/>
      <c r="K23" s="116"/>
      <c r="L23" s="116"/>
      <c r="M23" s="116"/>
      <c r="N23" s="116"/>
      <c r="O23" s="116"/>
      <c r="P23" s="116"/>
      <c r="Q23" s="116"/>
      <c r="R23" s="116"/>
      <c r="S23" s="116"/>
      <c r="T23" s="116"/>
      <c r="U23" s="116"/>
      <c r="V23" s="116"/>
      <c r="W23" s="116"/>
      <c r="X23" s="116"/>
      <c r="Y23" s="116"/>
      <c r="Z23" s="116"/>
      <c r="AA23" s="116"/>
      <c r="AB23" s="116"/>
      <c r="AC23" s="116"/>
      <c r="AD23" s="116"/>
      <c r="AE23" s="116"/>
      <c r="AF23" s="116"/>
    </row>
    <row r="24" spans="1:32">
      <c r="G24" s="116"/>
      <c r="H24" s="116"/>
      <c r="I24" s="116"/>
      <c r="J24" s="116"/>
      <c r="K24" s="116"/>
      <c r="L24" s="116"/>
      <c r="M24" s="116"/>
      <c r="N24" s="116"/>
      <c r="O24" s="116"/>
      <c r="P24" s="116"/>
      <c r="Q24" s="116"/>
      <c r="R24" s="116"/>
      <c r="S24" s="116"/>
      <c r="T24" s="116"/>
      <c r="U24" s="116"/>
      <c r="V24" s="116"/>
      <c r="W24" s="116"/>
      <c r="X24" s="116"/>
      <c r="Y24" s="116"/>
      <c r="Z24" s="116"/>
      <c r="AA24" s="116"/>
      <c r="AB24" s="116"/>
      <c r="AC24" s="116"/>
      <c r="AD24" s="116"/>
      <c r="AE24" s="116"/>
      <c r="AF24" s="116"/>
    </row>
    <row r="25" spans="1:32">
      <c r="A25" s="118"/>
      <c r="B25" s="127" t="s">
        <v>456</v>
      </c>
      <c r="C25" s="289">
        <f>C13+C17</f>
        <v>17.810999999999996</v>
      </c>
      <c r="G25" s="116"/>
      <c r="H25" s="116"/>
      <c r="I25" s="116"/>
      <c r="J25" s="116"/>
      <c r="K25" s="116"/>
      <c r="L25" s="116"/>
      <c r="M25" s="116"/>
      <c r="N25" s="116"/>
      <c r="O25" s="116"/>
      <c r="P25" s="116"/>
      <c r="Q25" s="116"/>
      <c r="R25" s="116"/>
      <c r="S25" s="116"/>
      <c r="T25" s="116"/>
      <c r="U25" s="116"/>
      <c r="V25" s="116"/>
      <c r="W25" s="116"/>
      <c r="X25" s="116"/>
      <c r="Y25" s="116"/>
      <c r="Z25" s="116"/>
      <c r="AA25" s="116"/>
      <c r="AB25" s="116"/>
      <c r="AC25" s="116"/>
      <c r="AD25" s="116"/>
      <c r="AE25" s="116"/>
      <c r="AF25" s="116"/>
    </row>
    <row r="26" spans="1:32">
      <c r="A26" s="111" t="s">
        <v>48</v>
      </c>
      <c r="B26" s="127" t="s">
        <v>141</v>
      </c>
      <c r="C26" s="289">
        <f>'Accounting Adjustments'!C22</f>
        <v>2.3919999999999999</v>
      </c>
      <c r="G26" s="116"/>
      <c r="H26" s="116"/>
      <c r="I26" s="116"/>
      <c r="J26" s="116"/>
      <c r="K26" s="116"/>
      <c r="L26" s="116"/>
      <c r="M26" s="116"/>
      <c r="N26" s="116"/>
      <c r="O26" s="116"/>
      <c r="P26" s="116"/>
      <c r="Q26" s="116"/>
      <c r="R26" s="116"/>
      <c r="S26" s="116"/>
      <c r="T26" s="116"/>
      <c r="U26" s="116"/>
      <c r="V26" s="116"/>
      <c r="W26" s="116"/>
      <c r="X26" s="116"/>
      <c r="Y26" s="116"/>
      <c r="Z26" s="116"/>
      <c r="AA26" s="116"/>
      <c r="AB26" s="116"/>
      <c r="AC26" s="116"/>
      <c r="AD26" s="116"/>
      <c r="AE26" s="116"/>
      <c r="AF26" s="116"/>
    </row>
    <row r="27" spans="1:32">
      <c r="A27" s="118" t="s">
        <v>34</v>
      </c>
      <c r="B27" s="127" t="s">
        <v>457</v>
      </c>
      <c r="C27" s="289">
        <f>C16</f>
        <v>5.5890000000000004</v>
      </c>
      <c r="G27" s="116"/>
      <c r="H27" s="116"/>
      <c r="I27" s="116"/>
      <c r="J27" s="116"/>
      <c r="K27" s="116"/>
      <c r="L27" s="116"/>
      <c r="M27" s="116"/>
      <c r="N27" s="116"/>
      <c r="O27" s="116"/>
      <c r="P27" s="116"/>
      <c r="Q27" s="116"/>
      <c r="R27" s="116"/>
      <c r="S27" s="116"/>
      <c r="T27" s="116"/>
      <c r="U27" s="116"/>
      <c r="V27" s="116"/>
      <c r="W27" s="116"/>
      <c r="X27" s="116"/>
      <c r="Y27" s="116"/>
      <c r="Z27" s="116"/>
      <c r="AA27" s="116"/>
      <c r="AB27" s="116"/>
      <c r="AC27" s="116"/>
      <c r="AD27" s="116"/>
      <c r="AE27" s="116"/>
      <c r="AF27" s="116"/>
    </row>
    <row r="28" spans="1:32">
      <c r="A28" s="118" t="s">
        <v>34</v>
      </c>
      <c r="B28" s="127" t="s">
        <v>145</v>
      </c>
      <c r="C28" s="289">
        <f>C23</f>
        <v>1.4548745558597367</v>
      </c>
      <c r="G28" s="116"/>
      <c r="H28" s="116"/>
      <c r="I28" s="116"/>
      <c r="J28" s="116"/>
      <c r="K28" s="116"/>
      <c r="L28" s="116"/>
      <c r="M28" s="116"/>
      <c r="N28" s="116"/>
      <c r="O28" s="116"/>
      <c r="P28" s="116"/>
      <c r="Q28" s="116"/>
      <c r="R28" s="116"/>
      <c r="S28" s="116"/>
      <c r="T28" s="116"/>
      <c r="U28" s="116"/>
      <c r="V28" s="116"/>
      <c r="W28" s="116"/>
      <c r="X28" s="116"/>
      <c r="Y28" s="116"/>
      <c r="Z28" s="116"/>
      <c r="AA28" s="116"/>
      <c r="AB28" s="116"/>
      <c r="AC28" s="116"/>
      <c r="AD28" s="116"/>
      <c r="AE28" s="116"/>
      <c r="AF28" s="116"/>
    </row>
    <row r="29" spans="1:32">
      <c r="B29" s="130" t="s">
        <v>49</v>
      </c>
      <c r="C29" s="290">
        <f>C25+C26-C27-C28</f>
        <v>13.159125444140258</v>
      </c>
      <c r="G29" s="116"/>
      <c r="H29" s="116"/>
      <c r="I29" s="116"/>
      <c r="J29" s="116"/>
      <c r="K29" s="116"/>
      <c r="L29" s="116"/>
      <c r="M29" s="116"/>
      <c r="N29" s="116"/>
      <c r="O29" s="116"/>
      <c r="P29" s="116"/>
      <c r="Q29" s="116"/>
      <c r="R29" s="116"/>
      <c r="S29" s="116"/>
      <c r="T29" s="116"/>
      <c r="U29" s="116"/>
      <c r="V29" s="116"/>
      <c r="W29" s="116"/>
      <c r="X29" s="116"/>
      <c r="Y29" s="116"/>
      <c r="Z29" s="116"/>
      <c r="AA29" s="116"/>
      <c r="AB29" s="116"/>
      <c r="AC29" s="116"/>
      <c r="AD29" s="116"/>
      <c r="AE29" s="116"/>
      <c r="AF29" s="116"/>
    </row>
    <row r="30" spans="1:32">
      <c r="A30" s="114"/>
      <c r="G30" s="116"/>
      <c r="H30" s="116"/>
      <c r="I30" s="116"/>
      <c r="J30" s="116"/>
      <c r="K30" s="116"/>
      <c r="L30" s="116"/>
      <c r="M30" s="116"/>
      <c r="N30" s="116"/>
      <c r="O30" s="116"/>
      <c r="P30" s="116"/>
      <c r="Q30" s="116"/>
      <c r="R30" s="116"/>
      <c r="S30" s="116"/>
      <c r="T30" s="116"/>
      <c r="U30" s="116"/>
      <c r="V30" s="116"/>
      <c r="W30" s="116"/>
      <c r="X30" s="116"/>
      <c r="Y30" s="116"/>
      <c r="Z30" s="116"/>
      <c r="AA30" s="116"/>
      <c r="AB30" s="116"/>
      <c r="AC30" s="116"/>
      <c r="AD30" s="116"/>
      <c r="AE30" s="116"/>
      <c r="AF30" s="116"/>
    </row>
    <row r="31" spans="1:32">
      <c r="G31" s="116"/>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c r="AE31" s="116"/>
      <c r="AF31" s="116"/>
    </row>
    <row r="32" spans="1:32">
      <c r="G32" s="116"/>
      <c r="H32" s="116"/>
      <c r="I32" s="116"/>
      <c r="J32" s="116"/>
      <c r="K32" s="116"/>
      <c r="L32" s="116"/>
      <c r="M32" s="116"/>
      <c r="N32" s="116"/>
      <c r="O32" s="116"/>
      <c r="P32" s="116"/>
      <c r="Q32" s="116"/>
      <c r="R32" s="116"/>
      <c r="S32" s="116"/>
      <c r="T32" s="116"/>
      <c r="U32" s="116"/>
      <c r="V32" s="116"/>
      <c r="W32" s="116"/>
      <c r="X32" s="116"/>
      <c r="Y32" s="116"/>
      <c r="Z32" s="116"/>
      <c r="AA32" s="116"/>
      <c r="AB32" s="116"/>
      <c r="AC32" s="116"/>
      <c r="AD32" s="116"/>
      <c r="AE32" s="116"/>
      <c r="AF32" s="116"/>
    </row>
    <row r="33" spans="7:32" ht="14.25" customHeight="1">
      <c r="G33" s="116"/>
      <c r="H33" s="116"/>
      <c r="I33" s="116"/>
      <c r="J33" s="116"/>
      <c r="K33" s="116"/>
      <c r="L33" s="116"/>
      <c r="M33" s="116"/>
      <c r="N33" s="116"/>
      <c r="O33" s="116"/>
      <c r="P33" s="116"/>
      <c r="Q33" s="116"/>
      <c r="R33" s="116"/>
      <c r="S33" s="116"/>
      <c r="T33" s="116"/>
      <c r="U33" s="116"/>
      <c r="V33" s="116"/>
      <c r="W33" s="116"/>
      <c r="X33" s="116"/>
      <c r="Y33" s="116"/>
      <c r="Z33" s="116"/>
      <c r="AA33" s="116"/>
      <c r="AB33" s="116"/>
      <c r="AC33" s="116"/>
      <c r="AD33" s="116"/>
      <c r="AE33" s="116"/>
      <c r="AF33" s="116"/>
    </row>
    <row r="34" spans="7:32">
      <c r="G34" s="116"/>
      <c r="H34" s="116"/>
      <c r="I34" s="116"/>
      <c r="J34" s="116"/>
      <c r="K34" s="116"/>
      <c r="L34" s="116"/>
      <c r="M34" s="116"/>
      <c r="N34" s="116"/>
      <c r="O34" s="116"/>
      <c r="P34" s="116"/>
      <c r="Q34" s="116"/>
      <c r="R34" s="116"/>
      <c r="S34" s="116"/>
      <c r="T34" s="116"/>
      <c r="U34" s="116"/>
      <c r="V34" s="116"/>
      <c r="W34" s="116"/>
      <c r="X34" s="116"/>
      <c r="Y34" s="116"/>
      <c r="Z34" s="116"/>
      <c r="AA34" s="116"/>
      <c r="AB34" s="116"/>
      <c r="AC34" s="116"/>
      <c r="AD34" s="116"/>
      <c r="AE34" s="116"/>
      <c r="AF34" s="116"/>
    </row>
    <row r="35" spans="7:32">
      <c r="G35" s="116"/>
      <c r="H35" s="116"/>
      <c r="I35" s="116"/>
      <c r="J35" s="116"/>
      <c r="K35" s="116"/>
      <c r="L35" s="116"/>
      <c r="M35" s="116"/>
      <c r="N35" s="116"/>
      <c r="O35" s="116"/>
      <c r="P35" s="116"/>
      <c r="Q35" s="116"/>
      <c r="R35" s="116"/>
      <c r="S35" s="116"/>
      <c r="T35" s="116"/>
      <c r="U35" s="116"/>
      <c r="V35" s="116"/>
      <c r="W35" s="116"/>
      <c r="X35" s="116"/>
      <c r="Y35" s="116"/>
      <c r="Z35" s="116"/>
      <c r="AA35" s="116"/>
      <c r="AB35" s="116"/>
      <c r="AC35" s="116"/>
      <c r="AD35" s="116"/>
      <c r="AE35" s="116"/>
      <c r="AF35" s="116"/>
    </row>
    <row r="36" spans="7:32">
      <c r="G36" s="116"/>
      <c r="H36" s="116"/>
      <c r="I36" s="116"/>
      <c r="J36" s="116"/>
      <c r="K36" s="116"/>
      <c r="L36" s="116"/>
      <c r="M36" s="116"/>
      <c r="N36" s="116"/>
      <c r="O36" s="116"/>
      <c r="P36" s="116"/>
      <c r="Q36" s="116"/>
      <c r="R36" s="116"/>
      <c r="S36" s="116"/>
      <c r="T36" s="116"/>
      <c r="U36" s="116"/>
      <c r="V36" s="116"/>
      <c r="W36" s="116"/>
      <c r="X36" s="116"/>
      <c r="Y36" s="116"/>
      <c r="Z36" s="116"/>
      <c r="AA36" s="116"/>
      <c r="AB36" s="116"/>
      <c r="AC36" s="116"/>
      <c r="AD36" s="116"/>
      <c r="AE36" s="116"/>
      <c r="AF36" s="116"/>
    </row>
    <row r="37" spans="7:32">
      <c r="G37" s="116"/>
      <c r="H37" s="116"/>
      <c r="I37" s="116"/>
      <c r="J37" s="116"/>
      <c r="K37" s="116"/>
      <c r="L37" s="116"/>
      <c r="M37" s="116"/>
      <c r="N37" s="116"/>
      <c r="O37" s="116"/>
      <c r="P37" s="116"/>
      <c r="Q37" s="116"/>
      <c r="R37" s="116"/>
      <c r="S37" s="116"/>
      <c r="T37" s="116"/>
      <c r="U37" s="116"/>
      <c r="V37" s="116"/>
      <c r="W37" s="116"/>
      <c r="X37" s="116"/>
      <c r="Y37" s="116"/>
      <c r="Z37" s="116"/>
      <c r="AA37" s="116"/>
      <c r="AB37" s="116"/>
      <c r="AC37" s="116"/>
      <c r="AD37" s="116"/>
      <c r="AE37" s="116"/>
      <c r="AF37" s="116"/>
    </row>
    <row r="38" spans="7:32">
      <c r="G38" s="116"/>
      <c r="H38" s="116"/>
      <c r="I38" s="116"/>
      <c r="J38" s="116"/>
      <c r="K38" s="116"/>
      <c r="L38" s="116"/>
      <c r="M38" s="116"/>
      <c r="N38" s="116"/>
      <c r="O38" s="116"/>
      <c r="P38" s="116"/>
      <c r="Q38" s="116"/>
      <c r="R38" s="116"/>
      <c r="S38" s="116"/>
      <c r="T38" s="116"/>
      <c r="U38" s="116"/>
      <c r="V38" s="116"/>
      <c r="W38" s="116"/>
      <c r="X38" s="116"/>
      <c r="Y38" s="116"/>
      <c r="Z38" s="116"/>
      <c r="AA38" s="116"/>
      <c r="AB38" s="116"/>
      <c r="AC38" s="116"/>
      <c r="AD38" s="116"/>
      <c r="AE38" s="116"/>
      <c r="AF38" s="116"/>
    </row>
    <row r="39" spans="7:32">
      <c r="G39" s="116"/>
      <c r="H39" s="116"/>
      <c r="I39" s="116"/>
      <c r="J39" s="116"/>
      <c r="K39" s="116"/>
      <c r="L39" s="116"/>
      <c r="M39" s="116"/>
      <c r="N39" s="116"/>
      <c r="O39" s="116"/>
      <c r="P39" s="116"/>
      <c r="Q39" s="116"/>
      <c r="R39" s="116"/>
      <c r="S39" s="116"/>
      <c r="T39" s="116"/>
      <c r="U39" s="116"/>
      <c r="V39" s="116"/>
      <c r="W39" s="116"/>
      <c r="X39" s="116"/>
      <c r="Y39" s="116"/>
      <c r="Z39" s="116"/>
      <c r="AA39" s="116"/>
      <c r="AB39" s="116"/>
      <c r="AC39" s="116"/>
      <c r="AD39" s="116"/>
      <c r="AE39" s="116"/>
      <c r="AF39" s="116"/>
    </row>
    <row r="40" spans="7:32">
      <c r="G40" s="116"/>
      <c r="H40" s="116"/>
      <c r="I40" s="116"/>
      <c r="J40" s="116"/>
      <c r="K40" s="116"/>
      <c r="L40" s="116"/>
      <c r="M40" s="116"/>
      <c r="N40" s="116"/>
      <c r="O40" s="116"/>
      <c r="P40" s="116"/>
      <c r="Q40" s="116"/>
      <c r="R40" s="116"/>
      <c r="S40" s="116"/>
      <c r="T40" s="116"/>
      <c r="U40" s="116"/>
      <c r="V40" s="116"/>
      <c r="W40" s="116"/>
      <c r="X40" s="116"/>
      <c r="Y40" s="116"/>
      <c r="Z40" s="116"/>
      <c r="AA40" s="116"/>
      <c r="AB40" s="116"/>
      <c r="AC40" s="116"/>
      <c r="AD40" s="116"/>
      <c r="AE40" s="116"/>
      <c r="AF40" s="116"/>
    </row>
    <row r="41" spans="7:32">
      <c r="G41" s="116"/>
      <c r="H41" s="116"/>
      <c r="I41" s="116"/>
      <c r="J41" s="116"/>
      <c r="K41" s="116"/>
      <c r="L41" s="116"/>
      <c r="M41" s="116"/>
      <c r="N41" s="116"/>
      <c r="O41" s="116"/>
      <c r="P41" s="116"/>
      <c r="Q41" s="116"/>
      <c r="R41" s="116"/>
      <c r="S41" s="116"/>
      <c r="T41" s="116"/>
      <c r="U41" s="116"/>
      <c r="V41" s="116"/>
      <c r="W41" s="116"/>
      <c r="X41" s="116"/>
      <c r="Y41" s="116"/>
      <c r="Z41" s="116"/>
      <c r="AA41" s="116"/>
      <c r="AB41" s="116"/>
      <c r="AC41" s="116"/>
      <c r="AD41" s="116"/>
      <c r="AE41" s="116"/>
      <c r="AF41" s="116"/>
    </row>
  </sheetData>
  <mergeCells count="1">
    <mergeCell ref="F3:M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111" customWidth="1"/>
    <col min="2" max="2" width="33.5703125" style="111" customWidth="1"/>
    <col min="3" max="3" width="12.85546875" style="111" customWidth="1"/>
    <col min="4" max="4" width="9.85546875" style="111" customWidth="1"/>
    <col min="5" max="5" width="31.140625" style="111" bestFit="1" customWidth="1"/>
    <col min="6" max="6" width="12.5703125" style="111" customWidth="1" collapsed="1"/>
    <col min="7" max="7" width="10.28515625" style="111" customWidth="1"/>
    <col min="8" max="8" width="10.42578125" style="111" customWidth="1"/>
    <col min="9" max="9" width="10.7109375" style="111" customWidth="1"/>
    <col min="10" max="10" width="11.85546875" style="111" customWidth="1"/>
    <col min="11" max="11" width="10.85546875" style="111" customWidth="1"/>
    <col min="12" max="12" width="9.5703125" style="111" customWidth="1"/>
    <col min="13" max="25" width="9.140625" style="111" customWidth="1"/>
    <col min="26" max="26" width="9.28515625" style="111" customWidth="1"/>
    <col min="27" max="27" width="9.42578125" style="111" customWidth="1"/>
    <col min="28" max="28" width="10" style="111" customWidth="1"/>
    <col min="29" max="29" width="11.42578125" style="111" customWidth="1"/>
    <col min="30" max="30" width="9.42578125" style="111" bestFit="1" customWidth="1" collapsed="1"/>
    <col min="31" max="16384" width="9.140625" style="111"/>
  </cols>
  <sheetData>
    <row r="1" spans="1:31" s="110" customFormat="1" ht="15" customHeight="1">
      <c r="B1" s="16" t="s">
        <v>58</v>
      </c>
      <c r="C1" s="109"/>
      <c r="D1" s="109"/>
      <c r="E1" s="109"/>
      <c r="F1" s="109"/>
      <c r="G1" s="109"/>
      <c r="H1" s="109"/>
      <c r="I1" s="109"/>
      <c r="J1" s="109"/>
      <c r="K1" s="109"/>
    </row>
    <row r="2" spans="1:31" ht="12.75" customHeight="1">
      <c r="C2" s="132" t="s">
        <v>163</v>
      </c>
    </row>
    <row r="3" spans="1:31">
      <c r="A3" s="113"/>
      <c r="B3" s="127" t="s">
        <v>51</v>
      </c>
      <c r="C3" s="306">
        <f>L5</f>
        <v>2.3955000000000002</v>
      </c>
      <c r="E3" s="479" t="s">
        <v>510</v>
      </c>
      <c r="F3" s="479"/>
      <c r="G3" s="479"/>
      <c r="H3" s="479"/>
      <c r="I3" s="479"/>
      <c r="J3" s="479"/>
      <c r="K3" s="479"/>
      <c r="L3" s="479"/>
    </row>
    <row r="4" spans="1:31">
      <c r="A4" s="118" t="s">
        <v>34</v>
      </c>
      <c r="B4" s="126" t="s">
        <v>2</v>
      </c>
      <c r="C4" s="298">
        <f>-F6</f>
        <v>-25.068000000000001</v>
      </c>
      <c r="E4" s="212"/>
      <c r="F4" s="213" t="s">
        <v>126</v>
      </c>
      <c r="G4" s="213">
        <v>2021</v>
      </c>
      <c r="H4" s="213">
        <v>2020</v>
      </c>
      <c r="I4" s="213">
        <v>2019</v>
      </c>
      <c r="J4" s="213">
        <v>2018</v>
      </c>
      <c r="K4" s="213">
        <v>2017</v>
      </c>
      <c r="L4" s="214"/>
      <c r="M4" s="115"/>
      <c r="N4" s="115"/>
      <c r="P4" s="115"/>
      <c r="Q4" s="115"/>
      <c r="R4" s="115"/>
      <c r="S4" s="115"/>
      <c r="T4" s="115"/>
      <c r="U4" s="115"/>
      <c r="Z4" s="115"/>
    </row>
    <row r="5" spans="1:31">
      <c r="A5" s="118"/>
      <c r="B5" s="129" t="s">
        <v>50</v>
      </c>
      <c r="C5" s="307">
        <f>C3+C4</f>
        <v>-22.672499999999999</v>
      </c>
      <c r="E5" s="125" t="s">
        <v>459</v>
      </c>
      <c r="F5" s="301">
        <v>4.4320000000000004</v>
      </c>
      <c r="G5" s="301">
        <v>1.992</v>
      </c>
      <c r="H5" s="301">
        <v>1.498</v>
      </c>
      <c r="I5" s="301">
        <v>1.262</v>
      </c>
      <c r="J5" s="301">
        <v>2.7989999999999999</v>
      </c>
      <c r="K5" s="301">
        <v>11.605</v>
      </c>
      <c r="L5" s="429">
        <f>MEDIAN(F5:K5)</f>
        <v>2.3955000000000002</v>
      </c>
      <c r="M5" s="116"/>
      <c r="N5" s="116"/>
      <c r="O5" s="116"/>
      <c r="P5" s="116"/>
      <c r="Q5" s="116"/>
      <c r="R5" s="116"/>
      <c r="S5" s="116"/>
      <c r="T5" s="116"/>
      <c r="U5" s="116"/>
      <c r="V5" s="116"/>
      <c r="W5" s="116"/>
      <c r="X5" s="116"/>
      <c r="Y5" s="116"/>
      <c r="Z5" s="116"/>
      <c r="AA5" s="116"/>
      <c r="AB5" s="116"/>
      <c r="AC5" s="116"/>
      <c r="AD5" s="116"/>
      <c r="AE5" s="116"/>
    </row>
    <row r="6" spans="1:31">
      <c r="A6" s="118" t="s">
        <v>48</v>
      </c>
      <c r="B6" s="127" t="s">
        <v>462</v>
      </c>
      <c r="C6" s="306">
        <f>L8</f>
        <v>85.342166666666643</v>
      </c>
      <c r="D6" s="119"/>
      <c r="E6" s="125" t="s">
        <v>460</v>
      </c>
      <c r="F6" s="301">
        <v>25.068000000000001</v>
      </c>
      <c r="G6" s="301">
        <v>17.66</v>
      </c>
      <c r="H6" s="301">
        <v>12.99</v>
      </c>
      <c r="I6" s="301">
        <v>9.4280000000000008</v>
      </c>
      <c r="J6" s="301">
        <v>9.4710000000000001</v>
      </c>
      <c r="K6" s="301">
        <v>8.7370000000000001</v>
      </c>
      <c r="L6" s="210"/>
      <c r="M6" s="116"/>
      <c r="N6" s="116"/>
      <c r="O6" s="116"/>
      <c r="P6" s="116"/>
      <c r="Q6" s="116"/>
      <c r="R6" s="116"/>
      <c r="S6" s="116"/>
      <c r="T6" s="116"/>
      <c r="U6" s="116"/>
      <c r="V6" s="116"/>
      <c r="W6" s="116"/>
      <c r="X6" s="116"/>
      <c r="Y6" s="116"/>
      <c r="Z6" s="116"/>
      <c r="AA6" s="116"/>
      <c r="AB6" s="116"/>
      <c r="AC6" s="116"/>
      <c r="AD6" s="116"/>
      <c r="AE6" s="116"/>
    </row>
    <row r="7" spans="1:31">
      <c r="A7" s="118" t="s">
        <v>48</v>
      </c>
      <c r="B7" s="127" t="s">
        <v>463</v>
      </c>
      <c r="C7" s="306">
        <f>'Accounting Adjustments'!C17</f>
        <v>21.032</v>
      </c>
      <c r="E7" s="125" t="s">
        <v>461</v>
      </c>
      <c r="F7" s="430">
        <f>F6/F5</f>
        <v>5.656137184115523</v>
      </c>
      <c r="G7" s="430">
        <f t="shared" ref="G7:K7" si="0">G6/G5</f>
        <v>8.8654618473895574</v>
      </c>
      <c r="H7" s="430">
        <f t="shared" si="0"/>
        <v>8.6715620827770366</v>
      </c>
      <c r="I7" s="430">
        <f t="shared" si="0"/>
        <v>7.4706814580031704</v>
      </c>
      <c r="J7" s="430">
        <f t="shared" si="0"/>
        <v>3.3837084673097535</v>
      </c>
      <c r="K7" s="430">
        <f t="shared" si="0"/>
        <v>0.7528651443343386</v>
      </c>
      <c r="L7" s="310"/>
      <c r="M7" s="116"/>
      <c r="N7" s="116"/>
      <c r="O7" s="116"/>
      <c r="P7" s="116"/>
      <c r="Q7" s="116"/>
      <c r="R7" s="116"/>
      <c r="S7" s="116"/>
      <c r="T7" s="116"/>
      <c r="U7" s="116"/>
      <c r="V7" s="116"/>
      <c r="W7" s="116"/>
      <c r="X7" s="116"/>
      <c r="Y7" s="116"/>
      <c r="Z7" s="116"/>
      <c r="AA7" s="116"/>
      <c r="AB7" s="116"/>
      <c r="AC7" s="116"/>
      <c r="AD7" s="116"/>
      <c r="AE7" s="116"/>
    </row>
    <row r="8" spans="1:31">
      <c r="A8" s="120" t="s">
        <v>34</v>
      </c>
      <c r="B8" s="127" t="s">
        <v>464</v>
      </c>
      <c r="C8" s="306">
        <f>-'Accounting Adjustments'!C16</f>
        <v>-5.5890000000000004</v>
      </c>
      <c r="E8" s="125" t="s">
        <v>462</v>
      </c>
      <c r="F8" s="301">
        <v>300.79300000000001</v>
      </c>
      <c r="G8" s="304">
        <v>0</v>
      </c>
      <c r="H8" s="304">
        <v>184.102</v>
      </c>
      <c r="I8" s="304">
        <v>4.84</v>
      </c>
      <c r="J8" s="304">
        <v>15.518000000000001</v>
      </c>
      <c r="K8" s="304">
        <v>6.8</v>
      </c>
      <c r="L8" s="431">
        <f>AVERAGE(F8:K8)</f>
        <v>85.342166666666643</v>
      </c>
      <c r="M8" s="116"/>
      <c r="N8" s="116"/>
      <c r="O8" s="116"/>
      <c r="P8" s="116"/>
      <c r="Q8" s="116"/>
      <c r="R8" s="116"/>
      <c r="S8" s="116"/>
      <c r="T8" s="116"/>
      <c r="U8" s="116"/>
      <c r="V8" s="116"/>
      <c r="W8" s="116"/>
      <c r="X8" s="116"/>
      <c r="Y8" s="116"/>
      <c r="Z8" s="116"/>
      <c r="AA8" s="116"/>
      <c r="AB8" s="116"/>
      <c r="AC8" s="116"/>
      <c r="AD8" s="116"/>
      <c r="AE8" s="116"/>
    </row>
    <row r="9" spans="1:31">
      <c r="A9" s="118" t="s">
        <v>48</v>
      </c>
      <c r="B9" s="127" t="s">
        <v>146</v>
      </c>
      <c r="C9" s="306">
        <f>'Accounting Adjustments'!C22</f>
        <v>2.3919999999999999</v>
      </c>
      <c r="G9" s="116"/>
      <c r="H9" s="116"/>
      <c r="I9" s="116"/>
      <c r="J9" s="116"/>
      <c r="K9" s="116"/>
      <c r="L9" s="116"/>
      <c r="M9" s="116"/>
      <c r="N9" s="116"/>
      <c r="O9" s="116"/>
      <c r="P9" s="116"/>
      <c r="Q9" s="116"/>
      <c r="R9" s="116"/>
      <c r="S9" s="116"/>
      <c r="T9" s="116"/>
      <c r="U9" s="116"/>
      <c r="V9" s="116"/>
      <c r="W9" s="116"/>
      <c r="X9" s="116"/>
      <c r="Y9" s="116"/>
      <c r="Z9" s="116"/>
      <c r="AA9" s="116"/>
      <c r="AB9" s="116"/>
      <c r="AC9" s="116"/>
      <c r="AD9" s="116"/>
      <c r="AE9" s="116"/>
    </row>
    <row r="10" spans="1:31">
      <c r="A10" s="120" t="s">
        <v>34</v>
      </c>
      <c r="B10" s="127" t="s">
        <v>144</v>
      </c>
      <c r="C10" s="306">
        <f>-'Accounting Adjustments'!C23</f>
        <v>-1.4548745558597367</v>
      </c>
      <c r="E10" s="152"/>
      <c r="F10" s="153">
        <v>2018</v>
      </c>
      <c r="G10" s="153">
        <v>2019</v>
      </c>
      <c r="H10" s="153">
        <v>2020</v>
      </c>
      <c r="I10" s="153">
        <v>2021</v>
      </c>
      <c r="J10" s="153">
        <v>2022</v>
      </c>
      <c r="K10" s="116"/>
      <c r="L10" s="116"/>
      <c r="M10" s="116"/>
      <c r="N10" s="116"/>
      <c r="O10" s="116"/>
      <c r="P10" s="116"/>
      <c r="Q10" s="116"/>
      <c r="R10" s="116"/>
      <c r="S10" s="116"/>
      <c r="T10" s="116"/>
      <c r="U10" s="116"/>
      <c r="V10" s="116"/>
      <c r="W10" s="116"/>
      <c r="X10" s="116"/>
      <c r="Y10" s="116"/>
      <c r="Z10" s="116"/>
      <c r="AA10" s="116"/>
      <c r="AB10" s="116"/>
      <c r="AC10" s="116"/>
      <c r="AD10" s="116"/>
      <c r="AE10" s="116"/>
    </row>
    <row r="11" spans="1:31">
      <c r="A11" s="118"/>
      <c r="B11" s="127" t="s">
        <v>52</v>
      </c>
      <c r="C11" s="475">
        <f>SUM(C5:C10)</f>
        <v>79.049792110806905</v>
      </c>
      <c r="E11" s="149" t="s">
        <v>71</v>
      </c>
      <c r="F11" s="301">
        <v>14.302</v>
      </c>
      <c r="G11" s="301">
        <v>12.516</v>
      </c>
      <c r="H11" s="301">
        <v>21.132000000000001</v>
      </c>
      <c r="I11" s="301">
        <v>23.786999999999999</v>
      </c>
      <c r="J11" s="301">
        <v>41.808999999999997</v>
      </c>
      <c r="K11" s="116"/>
      <c r="L11" s="116"/>
      <c r="M11" s="116"/>
      <c r="N11" s="116"/>
      <c r="O11" s="116"/>
      <c r="P11" s="116"/>
      <c r="Q11" s="116"/>
      <c r="R11" s="116"/>
      <c r="S11" s="116"/>
      <c r="T11" s="116"/>
      <c r="U11" s="116"/>
      <c r="V11" s="116"/>
      <c r="W11" s="116"/>
      <c r="X11" s="116"/>
      <c r="Y11" s="116"/>
      <c r="Z11" s="116"/>
      <c r="AA11" s="116"/>
      <c r="AB11" s="116"/>
      <c r="AC11" s="116"/>
      <c r="AD11" s="116"/>
      <c r="AE11" s="116"/>
    </row>
    <row r="12" spans="1:31">
      <c r="E12" s="149" t="s">
        <v>465</v>
      </c>
      <c r="F12" s="301">
        <v>9.2279999999999998</v>
      </c>
      <c r="G12" s="301">
        <v>6.7720000000000002</v>
      </c>
      <c r="H12" s="301">
        <v>14.23</v>
      </c>
      <c r="I12" s="301">
        <v>11.178000000000001</v>
      </c>
      <c r="J12" s="301">
        <v>28.039000000000001</v>
      </c>
      <c r="K12" s="116"/>
      <c r="L12" s="116"/>
      <c r="M12" s="116"/>
      <c r="N12" s="116"/>
      <c r="O12" s="116"/>
      <c r="P12" s="116"/>
      <c r="Q12" s="116"/>
      <c r="R12" s="116"/>
      <c r="S12" s="116"/>
      <c r="T12" s="116"/>
      <c r="U12" s="116"/>
      <c r="V12" s="116"/>
      <c r="W12" s="116"/>
      <c r="X12" s="116"/>
      <c r="Y12" s="116"/>
      <c r="Z12" s="116"/>
      <c r="AA12" s="116"/>
      <c r="AB12" s="116"/>
      <c r="AC12" s="116"/>
      <c r="AD12" s="116"/>
      <c r="AE12" s="116"/>
    </row>
    <row r="13" spans="1:31">
      <c r="B13" s="126" t="s">
        <v>75</v>
      </c>
      <c r="C13" s="156">
        <f>Reinvestment!J28</f>
        <v>0.13070420777924496</v>
      </c>
      <c r="E13" s="149" t="s">
        <v>466</v>
      </c>
      <c r="F13" s="301">
        <f>0.782+0.273</f>
        <v>1.0550000000000002</v>
      </c>
      <c r="G13" s="301">
        <f>1.598+2.552</f>
        <v>4.1500000000000004</v>
      </c>
      <c r="H13" s="301">
        <f>1.914+4.136</f>
        <v>6.05</v>
      </c>
      <c r="I13" s="301">
        <v>4.9189999999999996</v>
      </c>
      <c r="J13" s="301">
        <v>14.035</v>
      </c>
      <c r="K13" s="116"/>
      <c r="L13" s="116"/>
      <c r="M13" s="116"/>
      <c r="N13" s="116"/>
      <c r="O13" s="116"/>
      <c r="P13" s="116"/>
      <c r="Q13" s="116"/>
      <c r="R13" s="116"/>
      <c r="S13" s="116"/>
      <c r="T13" s="116"/>
      <c r="U13" s="116"/>
      <c r="V13" s="116"/>
      <c r="W13" s="116"/>
      <c r="X13" s="116"/>
      <c r="Y13" s="116"/>
      <c r="Z13" s="116"/>
      <c r="AA13" s="116"/>
      <c r="AB13" s="116"/>
      <c r="AC13" s="116"/>
      <c r="AD13" s="116"/>
      <c r="AE13" s="116"/>
    </row>
    <row r="14" spans="1:31">
      <c r="B14" s="124"/>
      <c r="C14" s="124"/>
      <c r="D14" s="116"/>
      <c r="E14" s="149" t="s">
        <v>470</v>
      </c>
      <c r="F14" s="301">
        <v>1.9339999999999999</v>
      </c>
      <c r="G14" s="301">
        <v>0</v>
      </c>
      <c r="H14" s="301">
        <v>0</v>
      </c>
      <c r="I14" s="301">
        <v>0</v>
      </c>
      <c r="J14" s="301">
        <v>0</v>
      </c>
      <c r="N14" s="116"/>
      <c r="O14" s="116"/>
      <c r="P14" s="116"/>
      <c r="Q14" s="116"/>
      <c r="R14" s="116"/>
      <c r="S14" s="116"/>
      <c r="T14" s="116"/>
      <c r="U14" s="116"/>
      <c r="V14" s="116"/>
      <c r="W14" s="116"/>
      <c r="X14" s="116"/>
      <c r="Y14" s="116"/>
      <c r="Z14" s="116"/>
      <c r="AA14" s="116"/>
      <c r="AB14" s="116"/>
      <c r="AC14" s="116"/>
      <c r="AD14" s="116"/>
      <c r="AE14" s="116"/>
    </row>
    <row r="15" spans="1:31">
      <c r="B15" s="127" t="s">
        <v>471</v>
      </c>
      <c r="C15" s="289">
        <f>Reinvestment!J26</f>
        <v>222.77699999999999</v>
      </c>
      <c r="D15" s="121"/>
      <c r="E15" s="151" t="s">
        <v>73</v>
      </c>
      <c r="F15" s="305">
        <f>SUM(F11:F14)</f>
        <v>26.519000000000002</v>
      </c>
      <c r="G15" s="305">
        <f>SUM(G11:G14)</f>
        <v>23.438000000000002</v>
      </c>
      <c r="H15" s="305">
        <f>SUM(H11:H14)</f>
        <v>41.411999999999999</v>
      </c>
      <c r="I15" s="305">
        <f>SUM(I11:I14)</f>
        <v>39.884</v>
      </c>
      <c r="J15" s="305">
        <f>SUM(J11:J14)</f>
        <v>83.882999999999996</v>
      </c>
      <c r="N15" s="116"/>
      <c r="O15" s="116"/>
      <c r="P15" s="116"/>
      <c r="Q15" s="116"/>
      <c r="R15" s="116"/>
      <c r="S15" s="116"/>
      <c r="T15" s="116"/>
      <c r="U15" s="116"/>
      <c r="V15" s="116"/>
      <c r="W15" s="116"/>
      <c r="X15" s="116"/>
      <c r="Y15" s="116"/>
      <c r="Z15" s="116"/>
      <c r="AA15" s="116"/>
      <c r="AB15" s="116"/>
      <c r="AC15" s="116"/>
      <c r="AD15" s="116"/>
      <c r="AE15" s="116"/>
    </row>
    <row r="16" spans="1:31">
      <c r="B16" s="130" t="s">
        <v>76</v>
      </c>
      <c r="C16" s="308">
        <f>C15*C13</f>
        <v>29.117891296436852</v>
      </c>
      <c r="D16" s="68"/>
      <c r="E16" s="150" t="s">
        <v>53</v>
      </c>
      <c r="F16" s="301">
        <v>2.38</v>
      </c>
      <c r="G16" s="301">
        <v>2.8980000000000001</v>
      </c>
      <c r="H16" s="301">
        <v>3.4079999999999999</v>
      </c>
      <c r="I16" s="301">
        <v>4.4729999999999999</v>
      </c>
      <c r="J16" s="301">
        <v>7.7380000000000004</v>
      </c>
      <c r="K16" s="116"/>
      <c r="L16" s="116"/>
      <c r="M16" s="116"/>
      <c r="N16" s="116"/>
      <c r="O16" s="116"/>
      <c r="P16" s="116"/>
      <c r="Q16" s="116"/>
      <c r="R16" s="116"/>
      <c r="S16" s="116"/>
      <c r="T16" s="116"/>
      <c r="U16" s="116"/>
      <c r="V16" s="116"/>
      <c r="W16" s="116"/>
      <c r="X16" s="116"/>
      <c r="Y16" s="116"/>
      <c r="Z16" s="116"/>
      <c r="AA16" s="116"/>
      <c r="AB16" s="116"/>
      <c r="AC16" s="116"/>
      <c r="AD16" s="116"/>
      <c r="AE16" s="116"/>
    </row>
    <row r="17" spans="2:31">
      <c r="B17" s="124"/>
      <c r="C17" s="299"/>
      <c r="D17" s="123"/>
      <c r="E17" s="149" t="s">
        <v>467</v>
      </c>
      <c r="F17" s="301">
        <v>3.9209999999999998</v>
      </c>
      <c r="G17" s="301">
        <v>3.9649999999999999</v>
      </c>
      <c r="H17" s="301">
        <v>6.8140000000000001</v>
      </c>
      <c r="I17" s="301">
        <v>8.7769999999999992</v>
      </c>
      <c r="J17" s="309">
        <v>13.831</v>
      </c>
      <c r="K17" s="116"/>
      <c r="L17" s="116"/>
      <c r="M17" s="116"/>
      <c r="N17" s="116"/>
      <c r="O17" s="116"/>
      <c r="P17" s="116"/>
      <c r="Q17" s="116"/>
      <c r="R17" s="116"/>
      <c r="S17" s="116"/>
      <c r="T17" s="116"/>
      <c r="U17" s="116"/>
      <c r="V17" s="116"/>
      <c r="W17" s="116"/>
      <c r="X17" s="116"/>
      <c r="Y17" s="116"/>
      <c r="Z17" s="116"/>
      <c r="AA17" s="116"/>
      <c r="AB17" s="116"/>
      <c r="AC17" s="116"/>
      <c r="AD17" s="116"/>
      <c r="AE17" s="116"/>
    </row>
    <row r="18" spans="2:31">
      <c r="B18" s="127" t="s">
        <v>78</v>
      </c>
      <c r="C18" s="289">
        <f>Reinvestment!I26</f>
        <v>133.93700000000001</v>
      </c>
      <c r="E18" s="149" t="s">
        <v>468</v>
      </c>
      <c r="F18" s="301">
        <v>3.363</v>
      </c>
      <c r="G18" s="301">
        <v>4.0039999999999996</v>
      </c>
      <c r="H18" s="301">
        <v>6.2919999999999998</v>
      </c>
      <c r="I18" s="301">
        <v>9.9450000000000003</v>
      </c>
      <c r="J18" s="309">
        <v>12.456</v>
      </c>
      <c r="K18" s="116"/>
      <c r="L18" s="116"/>
      <c r="M18" s="116"/>
      <c r="N18" s="116"/>
      <c r="O18" s="116"/>
      <c r="P18" s="116"/>
      <c r="Q18" s="116"/>
      <c r="R18" s="116"/>
      <c r="S18" s="116"/>
      <c r="T18" s="116"/>
      <c r="U18" s="116"/>
      <c r="V18" s="116"/>
      <c r="W18" s="116"/>
      <c r="X18" s="116"/>
      <c r="Y18" s="116"/>
      <c r="Z18" s="116"/>
      <c r="AA18" s="116"/>
      <c r="AB18" s="116"/>
      <c r="AC18" s="116"/>
      <c r="AD18" s="116"/>
      <c r="AE18" s="116"/>
    </row>
    <row r="19" spans="2:31">
      <c r="B19" s="130" t="s">
        <v>77</v>
      </c>
      <c r="C19" s="290">
        <f>C18*C13</f>
        <v>17.506129477328734</v>
      </c>
      <c r="E19" s="149" t="s">
        <v>469</v>
      </c>
      <c r="F19" s="301">
        <v>4.2839999999999998</v>
      </c>
      <c r="G19" s="301">
        <v>7.3239999999999998</v>
      </c>
      <c r="H19" s="301">
        <v>8.94</v>
      </c>
      <c r="I19" s="301">
        <v>9.3879999999999999</v>
      </c>
      <c r="J19" s="309">
        <v>7.4809999999999999</v>
      </c>
      <c r="K19" s="116"/>
      <c r="L19" s="116"/>
      <c r="M19" s="116"/>
      <c r="N19" s="116"/>
      <c r="O19" s="116"/>
      <c r="P19" s="116"/>
      <c r="Q19" s="116"/>
      <c r="R19" s="116"/>
      <c r="S19" s="116"/>
      <c r="T19" s="116"/>
      <c r="U19" s="116"/>
      <c r="V19" s="116"/>
      <c r="W19" s="116"/>
      <c r="X19" s="116"/>
      <c r="Y19" s="116"/>
      <c r="Z19" s="116"/>
      <c r="AA19" s="116"/>
      <c r="AB19" s="116"/>
      <c r="AC19" s="116"/>
      <c r="AD19" s="116"/>
      <c r="AE19" s="116"/>
    </row>
    <row r="20" spans="2:31">
      <c r="B20" s="124"/>
      <c r="C20" s="299"/>
      <c r="E20" s="151" t="s">
        <v>74</v>
      </c>
      <c r="F20" s="305">
        <f>SUM(F16:F19)</f>
        <v>13.948</v>
      </c>
      <c r="G20" s="305">
        <f>SUM(G16:G19)</f>
        <v>18.190999999999999</v>
      </c>
      <c r="H20" s="305">
        <f>SUM(H16:H19)</f>
        <v>25.454000000000001</v>
      </c>
      <c r="I20" s="305">
        <f>SUM(I16:I19)</f>
        <v>32.582999999999998</v>
      </c>
      <c r="J20" s="305">
        <f>SUM(J16:J19)</f>
        <v>41.506</v>
      </c>
      <c r="K20" s="116"/>
      <c r="L20" s="116"/>
      <c r="M20" s="116"/>
      <c r="N20" s="116"/>
      <c r="O20" s="116"/>
      <c r="P20" s="116"/>
      <c r="Q20" s="116"/>
      <c r="R20" s="116"/>
      <c r="S20" s="116"/>
      <c r="T20" s="116"/>
      <c r="U20" s="116"/>
      <c r="V20" s="116"/>
      <c r="W20" s="116"/>
      <c r="X20" s="116"/>
      <c r="Y20" s="116"/>
      <c r="Z20" s="116"/>
      <c r="AA20" s="116"/>
      <c r="AB20" s="116"/>
      <c r="AC20" s="116"/>
      <c r="AD20" s="116"/>
      <c r="AE20" s="116"/>
    </row>
    <row r="21" spans="2:31">
      <c r="B21" s="127" t="s">
        <v>79</v>
      </c>
      <c r="C21" s="300">
        <f>C16-C19</f>
        <v>11.611761819108118</v>
      </c>
      <c r="K21" s="116"/>
      <c r="L21" s="116"/>
      <c r="M21" s="116"/>
      <c r="N21" s="116"/>
      <c r="O21" s="116"/>
      <c r="P21" s="116"/>
      <c r="Q21" s="116"/>
      <c r="R21" s="116"/>
      <c r="S21" s="116"/>
      <c r="T21" s="116"/>
      <c r="U21" s="116"/>
      <c r="V21" s="116"/>
      <c r="W21" s="116"/>
      <c r="X21" s="116"/>
      <c r="Y21" s="116"/>
      <c r="Z21" s="116"/>
      <c r="AA21" s="116"/>
      <c r="AB21" s="116"/>
      <c r="AC21" s="116"/>
      <c r="AD21" s="116"/>
      <c r="AE21" s="116"/>
    </row>
    <row r="22" spans="2:31">
      <c r="B22" s="114"/>
      <c r="C22" s="114"/>
      <c r="E22" s="151" t="s">
        <v>54</v>
      </c>
      <c r="F22" s="305">
        <f>F15-F20</f>
        <v>12.571000000000002</v>
      </c>
      <c r="G22" s="305">
        <f>G15-G20</f>
        <v>5.2470000000000034</v>
      </c>
      <c r="H22" s="305">
        <f>H15-H20</f>
        <v>15.957999999999998</v>
      </c>
      <c r="I22" s="305">
        <f>I15-I20</f>
        <v>7.3010000000000019</v>
      </c>
      <c r="J22" s="305">
        <f>J15-J20</f>
        <v>42.376999999999995</v>
      </c>
      <c r="K22" s="116"/>
      <c r="L22" s="116"/>
      <c r="M22" s="116"/>
      <c r="N22" s="116"/>
      <c r="O22" s="116"/>
      <c r="P22" s="116"/>
      <c r="Q22" s="116"/>
      <c r="R22" s="116"/>
      <c r="S22" s="116"/>
      <c r="T22" s="116"/>
      <c r="U22" s="116"/>
      <c r="V22" s="116"/>
      <c r="W22" s="116"/>
      <c r="X22" s="116"/>
      <c r="Y22" s="116"/>
      <c r="Z22" s="116"/>
      <c r="AA22" s="116"/>
      <c r="AB22" s="116"/>
      <c r="AC22" s="116"/>
      <c r="AD22" s="116"/>
      <c r="AE22" s="116"/>
    </row>
    <row r="23" spans="2:31">
      <c r="B23" s="114"/>
      <c r="C23" s="133"/>
      <c r="E23" s="124"/>
      <c r="F23" s="301"/>
      <c r="G23" s="301"/>
      <c r="H23" s="301"/>
      <c r="I23" s="301"/>
      <c r="J23" s="301"/>
      <c r="K23" s="116"/>
      <c r="L23" s="116"/>
      <c r="M23" s="116"/>
      <c r="N23" s="116"/>
      <c r="O23" s="116"/>
      <c r="P23" s="116"/>
      <c r="Q23" s="116"/>
      <c r="R23" s="116"/>
      <c r="S23" s="116"/>
      <c r="T23" s="116"/>
      <c r="U23" s="116"/>
      <c r="V23" s="116"/>
      <c r="W23" s="116"/>
      <c r="X23" s="116"/>
      <c r="Y23" s="116"/>
      <c r="Z23" s="116"/>
      <c r="AA23" s="116"/>
      <c r="AB23" s="116"/>
      <c r="AC23" s="116"/>
      <c r="AD23" s="116"/>
      <c r="AE23" s="116"/>
    </row>
    <row r="24" spans="2:31">
      <c r="E24" s="136" t="s">
        <v>511</v>
      </c>
      <c r="F24" s="310"/>
      <c r="G24" s="310">
        <f>G22-F22</f>
        <v>-7.3239999999999981</v>
      </c>
      <c r="H24" s="310">
        <f>H22-G22</f>
        <v>10.710999999999995</v>
      </c>
      <c r="I24" s="310">
        <f>I22-H22</f>
        <v>-8.6569999999999965</v>
      </c>
      <c r="J24" s="310">
        <f>J22-I22</f>
        <v>35.075999999999993</v>
      </c>
      <c r="K24" s="116"/>
      <c r="L24" s="116"/>
      <c r="M24" s="116"/>
      <c r="N24" s="116"/>
      <c r="O24" s="116"/>
      <c r="P24" s="116"/>
      <c r="Q24" s="116"/>
      <c r="R24" s="116"/>
      <c r="S24" s="116"/>
      <c r="T24" s="116"/>
      <c r="U24" s="116"/>
      <c r="V24" s="116"/>
      <c r="W24" s="116"/>
      <c r="X24" s="116"/>
      <c r="Y24" s="116"/>
      <c r="Z24" s="116"/>
      <c r="AA24" s="116"/>
      <c r="AB24" s="116"/>
      <c r="AC24" s="116"/>
      <c r="AD24" s="116"/>
      <c r="AE24" s="116"/>
    </row>
    <row r="25" spans="2:31">
      <c r="E25" s="124"/>
      <c r="F25" s="124"/>
      <c r="G25" s="124"/>
      <c r="H25" s="124"/>
      <c r="I25" s="124"/>
      <c r="J25" s="124"/>
      <c r="K25" s="116"/>
      <c r="L25" s="116"/>
      <c r="M25" s="116"/>
      <c r="N25" s="116"/>
      <c r="O25" s="116"/>
      <c r="P25" s="116"/>
      <c r="Q25" s="116"/>
      <c r="R25" s="116"/>
      <c r="S25" s="116"/>
      <c r="T25" s="116"/>
      <c r="U25" s="116"/>
      <c r="V25" s="116"/>
      <c r="W25" s="116"/>
      <c r="X25" s="116"/>
      <c r="Y25" s="116"/>
      <c r="Z25" s="116"/>
      <c r="AA25" s="116"/>
      <c r="AB25" s="116"/>
      <c r="AC25" s="116"/>
      <c r="AD25" s="116"/>
      <c r="AE25" s="116"/>
    </row>
    <row r="26" spans="2:31">
      <c r="E26" s="149" t="s">
        <v>4</v>
      </c>
      <c r="F26" s="301">
        <v>96.179000000000002</v>
      </c>
      <c r="G26" s="301">
        <v>103.13500000000001</v>
      </c>
      <c r="H26" s="301">
        <v>117.687</v>
      </c>
      <c r="I26" s="301">
        <v>133.93700000000001</v>
      </c>
      <c r="J26" s="301">
        <f>'Accounting Adjustments'!C4</f>
        <v>222.77699999999999</v>
      </c>
      <c r="K26" s="116"/>
      <c r="L26" s="116"/>
      <c r="M26" s="116"/>
      <c r="N26" s="116"/>
      <c r="O26" s="116"/>
      <c r="P26" s="116"/>
      <c r="Q26" s="116"/>
      <c r="R26" s="116"/>
      <c r="S26" s="116"/>
      <c r="T26" s="116"/>
      <c r="U26" s="116"/>
      <c r="V26" s="116"/>
      <c r="W26" s="116"/>
      <c r="X26" s="116"/>
      <c r="Y26" s="116"/>
      <c r="Z26" s="116"/>
      <c r="AA26" s="116"/>
      <c r="AB26" s="116"/>
      <c r="AC26" s="116"/>
      <c r="AD26" s="116"/>
      <c r="AE26" s="116"/>
    </row>
    <row r="27" spans="2:31">
      <c r="E27" s="125" t="s">
        <v>72</v>
      </c>
      <c r="F27" s="138">
        <f>F22/F26</f>
        <v>0.13070420777924496</v>
      </c>
      <c r="G27" s="138">
        <f>G22/G26</f>
        <v>5.0875066660202681E-2</v>
      </c>
      <c r="H27" s="138">
        <f>H22/H26</f>
        <v>0.13559696483044006</v>
      </c>
      <c r="I27" s="138">
        <f>I22/I26</f>
        <v>5.4510702793104229E-2</v>
      </c>
      <c r="J27" s="138">
        <f>J22/J26</f>
        <v>0.19022161174627542</v>
      </c>
      <c r="K27" s="116"/>
      <c r="L27" s="116"/>
      <c r="M27" s="116"/>
      <c r="N27" s="116"/>
      <c r="O27" s="116"/>
      <c r="P27" s="116"/>
      <c r="Q27" s="116"/>
      <c r="R27" s="116"/>
      <c r="S27" s="116"/>
      <c r="T27" s="116"/>
      <c r="U27" s="116"/>
      <c r="V27" s="116"/>
      <c r="W27" s="116"/>
      <c r="X27" s="116"/>
      <c r="Y27" s="116"/>
      <c r="Z27" s="116"/>
      <c r="AA27" s="116"/>
      <c r="AB27" s="116"/>
      <c r="AC27" s="116"/>
      <c r="AD27" s="116"/>
      <c r="AE27" s="116"/>
    </row>
    <row r="28" spans="2:31">
      <c r="I28" s="132" t="s">
        <v>147</v>
      </c>
      <c r="J28" s="155">
        <f>MEDIAN(F27:J27)</f>
        <v>0.13070420777924496</v>
      </c>
      <c r="K28" s="116"/>
      <c r="L28" s="116"/>
      <c r="M28" s="116"/>
      <c r="N28" s="116"/>
      <c r="O28" s="116"/>
      <c r="P28" s="116"/>
      <c r="Q28" s="116"/>
      <c r="R28" s="116"/>
      <c r="S28" s="116"/>
      <c r="T28" s="116"/>
      <c r="U28" s="116"/>
      <c r="V28" s="116"/>
      <c r="W28" s="116"/>
      <c r="X28" s="116"/>
      <c r="Y28" s="116"/>
      <c r="Z28" s="116"/>
      <c r="AA28" s="116"/>
      <c r="AB28" s="116"/>
      <c r="AC28" s="116"/>
      <c r="AD28" s="116"/>
      <c r="AE28" s="116"/>
    </row>
    <row r="29" spans="2:31">
      <c r="K29" s="116"/>
      <c r="L29" s="116"/>
      <c r="M29" s="116"/>
      <c r="N29" s="116"/>
      <c r="O29" s="116"/>
      <c r="P29" s="116"/>
      <c r="Q29" s="116"/>
      <c r="R29" s="116"/>
      <c r="S29" s="116"/>
      <c r="T29" s="116"/>
      <c r="U29" s="116"/>
      <c r="V29" s="116"/>
      <c r="W29" s="116"/>
      <c r="X29" s="116"/>
      <c r="Y29" s="116"/>
      <c r="Z29" s="116"/>
      <c r="AA29" s="116"/>
      <c r="AB29" s="116"/>
      <c r="AC29" s="116"/>
      <c r="AD29" s="116"/>
      <c r="AE29" s="116"/>
    </row>
    <row r="30" spans="2:31" ht="14.25" customHeight="1">
      <c r="K30" s="116"/>
      <c r="L30" s="116"/>
      <c r="M30" s="116"/>
      <c r="N30" s="116"/>
      <c r="O30" s="116"/>
      <c r="P30" s="116"/>
      <c r="Q30" s="116"/>
      <c r="R30" s="116"/>
      <c r="S30" s="116"/>
      <c r="T30" s="116"/>
      <c r="U30" s="116"/>
      <c r="V30" s="116"/>
      <c r="W30" s="116"/>
      <c r="X30" s="116"/>
      <c r="Y30" s="116"/>
      <c r="Z30" s="116"/>
      <c r="AA30" s="116"/>
      <c r="AB30" s="116"/>
      <c r="AC30" s="116"/>
      <c r="AD30" s="116"/>
      <c r="AE30" s="116"/>
    </row>
    <row r="31" spans="2:31">
      <c r="F31" s="116"/>
      <c r="G31" s="116"/>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c r="AE31" s="116"/>
    </row>
    <row r="32" spans="2:31">
      <c r="F32" s="116"/>
      <c r="G32" s="116"/>
      <c r="H32" s="116"/>
      <c r="I32" s="116"/>
      <c r="J32" s="116"/>
      <c r="K32" s="116"/>
      <c r="L32" s="116"/>
      <c r="M32" s="116"/>
      <c r="N32" s="116"/>
      <c r="O32" s="116"/>
      <c r="P32" s="116"/>
      <c r="Q32" s="116"/>
      <c r="R32" s="116"/>
      <c r="S32" s="116"/>
      <c r="T32" s="116"/>
      <c r="U32" s="116"/>
      <c r="V32" s="116"/>
      <c r="W32" s="116"/>
      <c r="X32" s="116"/>
      <c r="Y32" s="116"/>
      <c r="Z32" s="116"/>
      <c r="AA32" s="116"/>
      <c r="AB32" s="116"/>
      <c r="AC32" s="116"/>
      <c r="AD32" s="116"/>
      <c r="AE32" s="116"/>
    </row>
    <row r="33" spans="6:31">
      <c r="F33" s="116"/>
      <c r="G33" s="116"/>
      <c r="H33" s="116"/>
      <c r="I33" s="116"/>
      <c r="J33" s="116"/>
      <c r="K33" s="116"/>
      <c r="L33" s="116"/>
      <c r="M33" s="116"/>
      <c r="N33" s="116"/>
      <c r="O33" s="116"/>
      <c r="P33" s="116"/>
      <c r="Q33" s="116"/>
      <c r="R33" s="116"/>
      <c r="S33" s="116"/>
      <c r="T33" s="116"/>
      <c r="U33" s="116"/>
      <c r="V33" s="116"/>
      <c r="W33" s="116"/>
      <c r="X33" s="116"/>
      <c r="Y33" s="116"/>
      <c r="Z33" s="116"/>
      <c r="AA33" s="116"/>
      <c r="AB33" s="116"/>
      <c r="AC33" s="116"/>
      <c r="AD33" s="116"/>
      <c r="AE33" s="116"/>
    </row>
    <row r="34" spans="6:31">
      <c r="F34" s="116"/>
      <c r="G34" s="116"/>
      <c r="H34" s="116"/>
      <c r="I34" s="116"/>
      <c r="J34" s="116"/>
      <c r="K34" s="116"/>
      <c r="L34" s="116"/>
      <c r="M34" s="116"/>
      <c r="N34" s="116"/>
      <c r="O34" s="116"/>
      <c r="P34" s="116"/>
      <c r="Q34" s="116"/>
      <c r="R34" s="116"/>
      <c r="S34" s="116"/>
      <c r="T34" s="116"/>
      <c r="U34" s="116"/>
      <c r="V34" s="116"/>
      <c r="W34" s="116"/>
      <c r="X34" s="116"/>
      <c r="Y34" s="116"/>
      <c r="Z34" s="116"/>
      <c r="AA34" s="116"/>
      <c r="AB34" s="116"/>
      <c r="AC34" s="116"/>
      <c r="AD34" s="116"/>
      <c r="AE34" s="116"/>
    </row>
    <row r="35" spans="6:31">
      <c r="F35" s="116"/>
      <c r="G35" s="116"/>
      <c r="H35" s="116"/>
      <c r="I35" s="116"/>
      <c r="J35" s="116"/>
      <c r="K35" s="116"/>
      <c r="L35" s="116"/>
      <c r="M35" s="116"/>
      <c r="N35" s="116"/>
      <c r="O35" s="116"/>
      <c r="P35" s="116"/>
      <c r="Q35" s="116"/>
      <c r="R35" s="116"/>
      <c r="S35" s="116"/>
      <c r="T35" s="116"/>
      <c r="U35" s="116"/>
      <c r="V35" s="116"/>
      <c r="W35" s="116"/>
      <c r="X35" s="116"/>
      <c r="Y35" s="116"/>
      <c r="Z35" s="116"/>
      <c r="AA35" s="116"/>
      <c r="AB35" s="116"/>
      <c r="AC35" s="116"/>
      <c r="AD35" s="116"/>
      <c r="AE35" s="116"/>
    </row>
    <row r="36" spans="6:31">
      <c r="F36" s="116"/>
      <c r="G36" s="116"/>
      <c r="H36" s="116"/>
      <c r="I36" s="116"/>
      <c r="J36" s="116"/>
      <c r="K36" s="116"/>
      <c r="L36" s="116"/>
      <c r="M36" s="116"/>
      <c r="N36" s="116"/>
      <c r="O36" s="116"/>
      <c r="P36" s="116"/>
      <c r="Q36" s="116"/>
      <c r="R36" s="116"/>
      <c r="S36" s="116"/>
      <c r="T36" s="116"/>
      <c r="U36" s="116"/>
      <c r="V36" s="116"/>
      <c r="W36" s="116"/>
      <c r="X36" s="116"/>
      <c r="Y36" s="116"/>
      <c r="Z36" s="116"/>
      <c r="AA36" s="116"/>
      <c r="AB36" s="116"/>
      <c r="AC36" s="116"/>
      <c r="AD36" s="116"/>
      <c r="AE36" s="116"/>
    </row>
    <row r="37" spans="6:31">
      <c r="F37" s="116"/>
      <c r="G37" s="116"/>
      <c r="H37" s="116"/>
      <c r="I37" s="116"/>
      <c r="J37" s="116"/>
      <c r="K37" s="116"/>
      <c r="L37" s="116"/>
      <c r="M37" s="116"/>
      <c r="N37" s="116"/>
      <c r="O37" s="116"/>
      <c r="P37" s="116"/>
      <c r="Q37" s="116"/>
      <c r="R37" s="116"/>
      <c r="S37" s="116"/>
      <c r="T37" s="116"/>
      <c r="U37" s="116"/>
      <c r="V37" s="116"/>
      <c r="W37" s="116"/>
      <c r="X37" s="116"/>
      <c r="Y37" s="116"/>
      <c r="Z37" s="116"/>
      <c r="AA37" s="116"/>
      <c r="AB37" s="116"/>
      <c r="AC37" s="116"/>
      <c r="AD37" s="116"/>
      <c r="AE37" s="116"/>
    </row>
    <row r="38" spans="6:31">
      <c r="F38" s="116"/>
      <c r="G38" s="116"/>
      <c r="H38" s="116"/>
      <c r="I38" s="116"/>
      <c r="J38" s="116"/>
      <c r="K38" s="116"/>
      <c r="L38" s="116"/>
      <c r="M38" s="116"/>
      <c r="N38" s="116"/>
      <c r="O38" s="116"/>
      <c r="P38" s="116"/>
      <c r="Q38" s="116"/>
      <c r="R38" s="116"/>
      <c r="S38" s="116"/>
      <c r="T38" s="116"/>
      <c r="U38" s="116"/>
      <c r="V38" s="116"/>
      <c r="W38" s="116"/>
      <c r="X38" s="116"/>
      <c r="Y38" s="116"/>
      <c r="Z38" s="116"/>
      <c r="AA38" s="116"/>
      <c r="AB38" s="116"/>
      <c r="AC38" s="116"/>
      <c r="AD38" s="116"/>
      <c r="AE38" s="116"/>
    </row>
  </sheetData>
  <mergeCells count="1">
    <mergeCell ref="E3:L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111" customWidth="1"/>
    <col min="2" max="2" width="29.28515625" style="111" customWidth="1"/>
    <col min="3" max="3" width="11.7109375" style="111" customWidth="1"/>
    <col min="4" max="4" width="4.85546875" style="111" customWidth="1"/>
    <col min="5" max="5" width="10.140625" style="111" customWidth="1"/>
    <col min="6" max="6" width="32.42578125" style="111" customWidth="1"/>
    <col min="7" max="7" width="11.85546875" style="111" customWidth="1" collapsed="1"/>
    <col min="8" max="8" width="5.42578125" style="111" customWidth="1"/>
    <col min="9" max="9" width="31.5703125" style="111" customWidth="1"/>
    <col min="10" max="10" width="11.5703125" style="111" bestFit="1" customWidth="1"/>
    <col min="11" max="11" width="9.85546875" style="111" customWidth="1"/>
    <col min="12" max="25" width="9.140625" style="111" customWidth="1"/>
    <col min="26" max="26" width="9.28515625" style="111" customWidth="1"/>
    <col min="27" max="27" width="9.42578125" style="111" customWidth="1"/>
    <col min="28" max="28" width="10" style="111" customWidth="1"/>
    <col min="29" max="29" width="11.42578125" style="111" customWidth="1"/>
    <col min="30" max="30" width="9.42578125" style="111" bestFit="1" customWidth="1" collapsed="1"/>
    <col min="31" max="16384" width="9.140625" style="111"/>
  </cols>
  <sheetData>
    <row r="1" spans="1:31" s="110" customFormat="1" ht="15" customHeight="1">
      <c r="B1" s="16" t="s">
        <v>70</v>
      </c>
      <c r="C1" s="109"/>
      <c r="D1" s="109"/>
      <c r="E1" s="109"/>
      <c r="F1" s="109"/>
      <c r="G1" s="109"/>
      <c r="H1" s="109"/>
      <c r="I1" s="109"/>
      <c r="J1" s="109"/>
      <c r="K1" s="109"/>
    </row>
    <row r="2" spans="1:31" ht="12.75" customHeight="1">
      <c r="C2" s="132"/>
    </row>
    <row r="3" spans="1:31" ht="15.75">
      <c r="A3" s="113"/>
      <c r="F3" s="102" t="s">
        <v>55</v>
      </c>
      <c r="G3" s="124"/>
      <c r="I3" s="102" t="s">
        <v>59</v>
      </c>
      <c r="J3" s="124"/>
      <c r="K3" s="121"/>
    </row>
    <row r="4" spans="1:31" ht="12.75" customHeight="1">
      <c r="A4" s="118"/>
      <c r="B4" s="134" t="str">
        <f>F14</f>
        <v>Free Cash Flow to Firm (FCFF)</v>
      </c>
      <c r="C4" s="312">
        <f>G14</f>
        <v>-80.923801101251229</v>
      </c>
      <c r="F4" s="131"/>
      <c r="G4" s="148" t="s">
        <v>163</v>
      </c>
      <c r="I4" s="131"/>
      <c r="J4" s="314" t="s">
        <v>163</v>
      </c>
      <c r="K4" s="68"/>
      <c r="N4" s="115"/>
      <c r="P4" s="115"/>
      <c r="Q4" s="115"/>
      <c r="R4" s="115"/>
      <c r="S4" s="115"/>
      <c r="T4" s="115"/>
      <c r="U4" s="115"/>
      <c r="Z4" s="115"/>
    </row>
    <row r="5" spans="1:31">
      <c r="A5" s="118"/>
      <c r="B5" s="147" t="str">
        <f>I17</f>
        <v>Free Cash Flow to Equity (FCFE)</v>
      </c>
      <c r="C5" s="313">
        <f>J17</f>
        <v>-34.798701101251226</v>
      </c>
      <c r="F5" s="127" t="s">
        <v>49</v>
      </c>
      <c r="G5" s="306">
        <f>'Accounting Adjustments'!C29</f>
        <v>13.159125444140258</v>
      </c>
      <c r="I5" s="127" t="str">
        <f>F5</f>
        <v>Adjusted EBIT</v>
      </c>
      <c r="J5" s="289">
        <f>G5</f>
        <v>13.159125444140258</v>
      </c>
      <c r="K5" s="123"/>
      <c r="N5" s="116"/>
      <c r="O5" s="116"/>
      <c r="P5" s="116"/>
      <c r="Q5" s="116"/>
      <c r="R5" s="116"/>
      <c r="S5" s="116"/>
      <c r="T5" s="116"/>
      <c r="U5" s="116"/>
      <c r="V5" s="116"/>
      <c r="W5" s="116"/>
      <c r="X5" s="116"/>
      <c r="Y5" s="116"/>
      <c r="Z5" s="116"/>
      <c r="AA5" s="116"/>
      <c r="AB5" s="116"/>
      <c r="AC5" s="116"/>
      <c r="AD5" s="116"/>
      <c r="AE5" s="116"/>
    </row>
    <row r="6" spans="1:31">
      <c r="A6" s="118"/>
      <c r="F6" s="127" t="s">
        <v>173</v>
      </c>
      <c r="G6" s="315">
        <v>0.26</v>
      </c>
      <c r="I6" s="126" t="s">
        <v>60</v>
      </c>
      <c r="J6" s="289">
        <f>'Cost of Equity, Debt &amp; WACC'!J5</f>
        <v>3.8849999999999998</v>
      </c>
      <c r="N6" s="116"/>
      <c r="O6" s="116"/>
      <c r="P6" s="116"/>
      <c r="Q6" s="116"/>
      <c r="R6" s="116"/>
      <c r="S6" s="116"/>
      <c r="T6" s="116"/>
      <c r="U6" s="116"/>
      <c r="V6" s="116"/>
      <c r="W6" s="116"/>
      <c r="X6" s="116"/>
      <c r="Y6" s="116"/>
      <c r="Z6" s="116"/>
      <c r="AA6" s="116"/>
      <c r="AB6" s="116"/>
      <c r="AC6" s="116"/>
      <c r="AD6" s="116"/>
      <c r="AE6" s="116"/>
    </row>
    <row r="7" spans="1:31">
      <c r="F7" s="126"/>
      <c r="G7" s="298"/>
      <c r="I7" s="129" t="s">
        <v>61</v>
      </c>
      <c r="J7" s="307">
        <f>J5-J6</f>
        <v>9.2741254441402585</v>
      </c>
      <c r="N7" s="116"/>
      <c r="O7" s="116"/>
      <c r="P7" s="116"/>
      <c r="Q7" s="116"/>
      <c r="R7" s="116"/>
      <c r="S7" s="116"/>
      <c r="T7" s="116"/>
      <c r="U7" s="116"/>
      <c r="V7" s="116"/>
      <c r="W7" s="116"/>
      <c r="X7" s="116"/>
      <c r="Y7" s="116"/>
      <c r="Z7" s="116"/>
      <c r="AA7" s="116"/>
      <c r="AB7" s="116"/>
      <c r="AC7" s="116"/>
      <c r="AD7" s="116"/>
      <c r="AE7" s="116"/>
    </row>
    <row r="8" spans="1:31">
      <c r="A8" s="118"/>
      <c r="F8" s="127" t="s">
        <v>56</v>
      </c>
      <c r="G8" s="289">
        <f>G5*(1-G6)</f>
        <v>9.7377528286637904</v>
      </c>
      <c r="H8" s="119"/>
      <c r="I8" s="134" t="s">
        <v>173</v>
      </c>
      <c r="J8" s="146">
        <f>'FCFF &amp; FCFE'!G6</f>
        <v>0.26</v>
      </c>
      <c r="N8" s="116"/>
      <c r="O8" s="116"/>
      <c r="P8" s="116"/>
      <c r="Q8" s="116"/>
      <c r="R8" s="116"/>
      <c r="S8" s="116"/>
      <c r="T8" s="116"/>
      <c r="U8" s="116"/>
      <c r="V8" s="116"/>
      <c r="W8" s="116"/>
      <c r="X8" s="116"/>
      <c r="Y8" s="116"/>
      <c r="Z8" s="116"/>
      <c r="AA8" s="116"/>
      <c r="AB8" s="116"/>
      <c r="AC8" s="116"/>
      <c r="AD8" s="116"/>
      <c r="AE8" s="116"/>
    </row>
    <row r="9" spans="1:31">
      <c r="A9" s="118"/>
      <c r="F9" s="134"/>
      <c r="G9" s="306"/>
      <c r="I9" s="130" t="s">
        <v>62</v>
      </c>
      <c r="J9" s="290">
        <f>J7*(1-J8)</f>
        <v>6.8628528286637911</v>
      </c>
      <c r="N9" s="116"/>
      <c r="O9" s="116"/>
      <c r="P9" s="116"/>
      <c r="Q9" s="116"/>
      <c r="R9" s="116"/>
      <c r="S9" s="116"/>
      <c r="T9" s="116"/>
      <c r="U9" s="116"/>
      <c r="V9" s="116"/>
      <c r="W9" s="116"/>
      <c r="X9" s="116"/>
      <c r="Y9" s="116"/>
      <c r="Z9" s="116"/>
      <c r="AA9" s="116"/>
      <c r="AB9" s="116"/>
      <c r="AC9" s="116"/>
      <c r="AD9" s="116"/>
      <c r="AE9" s="116"/>
    </row>
    <row r="10" spans="1:31">
      <c r="A10" s="114"/>
      <c r="F10" s="127" t="str">
        <f>Reinvestment!B11</f>
        <v>Adjusted Net Capital Expenditures</v>
      </c>
      <c r="G10" s="289">
        <f>Reinvestment!C11</f>
        <v>79.049792110806905</v>
      </c>
      <c r="I10" s="124"/>
      <c r="J10" s="299"/>
      <c r="N10" s="116"/>
      <c r="O10" s="116"/>
      <c r="P10" s="116"/>
      <c r="Q10" s="116"/>
      <c r="R10" s="116"/>
      <c r="S10" s="116"/>
      <c r="T10" s="116"/>
      <c r="U10" s="116"/>
      <c r="V10" s="116"/>
      <c r="W10" s="116"/>
      <c r="X10" s="116"/>
      <c r="Y10" s="116"/>
      <c r="Z10" s="116"/>
      <c r="AA10" s="116"/>
      <c r="AB10" s="116"/>
      <c r="AC10" s="116"/>
      <c r="AD10" s="116"/>
      <c r="AE10" s="116"/>
    </row>
    <row r="11" spans="1:31">
      <c r="A11" s="118"/>
      <c r="F11" s="127" t="str">
        <f>Reinvestment!B21</f>
        <v>Adj Change in Non Cash WC</v>
      </c>
      <c r="G11" s="289">
        <f>Reinvestment!C21</f>
        <v>11.611761819108118</v>
      </c>
      <c r="I11" s="127" t="s">
        <v>58</v>
      </c>
      <c r="J11" s="289">
        <f>G12</f>
        <v>90.661553929915016</v>
      </c>
      <c r="N11" s="116"/>
      <c r="O11" s="116"/>
      <c r="P11" s="116"/>
      <c r="Q11" s="116"/>
      <c r="R11" s="116"/>
      <c r="S11" s="116"/>
      <c r="T11" s="116"/>
      <c r="U11" s="116"/>
      <c r="V11" s="116"/>
      <c r="W11" s="116"/>
      <c r="X11" s="116"/>
      <c r="Y11" s="116"/>
      <c r="Z11" s="116"/>
      <c r="AA11" s="116"/>
      <c r="AB11" s="116"/>
      <c r="AC11" s="116"/>
      <c r="AD11" s="116"/>
      <c r="AE11" s="116"/>
    </row>
    <row r="12" spans="1:31">
      <c r="F12" s="130" t="s">
        <v>58</v>
      </c>
      <c r="G12" s="311">
        <f>G10+G11</f>
        <v>90.661553929915016</v>
      </c>
      <c r="I12" s="127"/>
      <c r="J12" s="289"/>
      <c r="N12" s="116"/>
      <c r="O12" s="116"/>
      <c r="P12" s="116"/>
      <c r="Q12" s="116"/>
      <c r="R12" s="116"/>
      <c r="S12" s="116"/>
      <c r="T12" s="116"/>
      <c r="U12" s="116"/>
      <c r="V12" s="116"/>
      <c r="W12" s="116"/>
      <c r="X12" s="116"/>
      <c r="Y12" s="116"/>
      <c r="Z12" s="116"/>
      <c r="AA12" s="116"/>
      <c r="AB12" s="116"/>
      <c r="AC12" s="116"/>
      <c r="AD12" s="116"/>
      <c r="AE12" s="116"/>
    </row>
    <row r="13" spans="1:31">
      <c r="A13" s="118"/>
      <c r="B13" s="114"/>
      <c r="C13" s="144"/>
      <c r="F13" s="124"/>
      <c r="G13" s="124"/>
      <c r="I13" s="127" t="s">
        <v>63</v>
      </c>
      <c r="J13" s="289">
        <f>21</f>
        <v>21</v>
      </c>
      <c r="N13" s="116"/>
      <c r="O13" s="116"/>
      <c r="P13" s="116"/>
      <c r="Q13" s="116"/>
      <c r="R13" s="116"/>
      <c r="S13" s="116"/>
      <c r="T13" s="116"/>
      <c r="U13" s="116"/>
      <c r="V13" s="116"/>
      <c r="W13" s="116"/>
      <c r="X13" s="116"/>
      <c r="Y13" s="116"/>
      <c r="Z13" s="116"/>
      <c r="AA13" s="116"/>
      <c r="AB13" s="116"/>
      <c r="AC13" s="116"/>
      <c r="AD13" s="116"/>
      <c r="AE13" s="116"/>
    </row>
    <row r="14" spans="1:31">
      <c r="D14" s="116"/>
      <c r="E14" s="116"/>
      <c r="F14" s="127" t="s">
        <v>57</v>
      </c>
      <c r="G14" s="300">
        <f>G8-G12</f>
        <v>-80.923801101251229</v>
      </c>
      <c r="H14" s="116"/>
      <c r="I14" s="127" t="s">
        <v>64</v>
      </c>
      <c r="J14" s="289">
        <f>70</f>
        <v>70</v>
      </c>
      <c r="N14" s="116"/>
      <c r="O14" s="116"/>
      <c r="P14" s="116"/>
      <c r="Q14" s="116"/>
      <c r="R14" s="116"/>
      <c r="S14" s="116"/>
      <c r="T14" s="116"/>
      <c r="U14" s="116"/>
      <c r="V14" s="116"/>
      <c r="W14" s="116"/>
      <c r="X14" s="116"/>
      <c r="Y14" s="116"/>
      <c r="Z14" s="116"/>
      <c r="AA14" s="116"/>
      <c r="AB14" s="116"/>
      <c r="AC14" s="116"/>
      <c r="AD14" s="116"/>
      <c r="AE14" s="116"/>
    </row>
    <row r="15" spans="1:31">
      <c r="E15" s="121"/>
      <c r="F15" s="121"/>
      <c r="I15" s="130" t="s">
        <v>66</v>
      </c>
      <c r="J15" s="290">
        <f>J14-J13</f>
        <v>49</v>
      </c>
      <c r="N15" s="116"/>
      <c r="O15" s="116"/>
      <c r="P15" s="116"/>
      <c r="Q15" s="116"/>
      <c r="R15" s="116"/>
      <c r="S15" s="116"/>
      <c r="T15" s="116"/>
      <c r="U15" s="116"/>
      <c r="V15" s="116"/>
      <c r="W15" s="116"/>
      <c r="X15" s="116"/>
      <c r="Y15" s="116"/>
      <c r="Z15" s="116"/>
      <c r="AA15" s="116"/>
      <c r="AB15" s="116"/>
      <c r="AC15" s="116"/>
      <c r="AD15" s="116"/>
      <c r="AE15" s="116"/>
    </row>
    <row r="16" spans="1:31">
      <c r="E16" s="68"/>
      <c r="F16" s="68"/>
      <c r="I16" s="124"/>
      <c r="J16" s="299"/>
      <c r="N16" s="116"/>
      <c r="O16" s="116"/>
      <c r="P16" s="116"/>
      <c r="Q16" s="116"/>
      <c r="R16" s="116"/>
      <c r="S16" s="116"/>
      <c r="T16" s="116"/>
      <c r="U16" s="116"/>
      <c r="V16" s="116"/>
      <c r="W16" s="116"/>
      <c r="X16" s="116"/>
      <c r="Y16" s="116"/>
      <c r="Z16" s="116"/>
      <c r="AA16" s="116"/>
      <c r="AB16" s="116"/>
      <c r="AC16" s="116"/>
      <c r="AD16" s="116"/>
      <c r="AE16" s="116"/>
    </row>
    <row r="17" spans="1:31">
      <c r="E17" s="123"/>
      <c r="F17" s="123"/>
      <c r="I17" s="127" t="s">
        <v>65</v>
      </c>
      <c r="J17" s="300">
        <f>J9-J11+J15</f>
        <v>-34.798701101251226</v>
      </c>
      <c r="K17" s="116"/>
      <c r="N17" s="116"/>
      <c r="O17" s="116"/>
      <c r="P17" s="116"/>
      <c r="Q17" s="116"/>
      <c r="R17" s="116"/>
      <c r="S17" s="116"/>
      <c r="T17" s="116"/>
      <c r="U17" s="116"/>
      <c r="V17" s="116"/>
      <c r="W17" s="116"/>
      <c r="X17" s="116"/>
      <c r="Y17" s="116"/>
      <c r="Z17" s="116"/>
      <c r="AA17" s="116"/>
      <c r="AB17" s="116"/>
      <c r="AC17" s="116"/>
      <c r="AD17" s="116"/>
      <c r="AE17" s="116"/>
    </row>
    <row r="18" spans="1:31">
      <c r="A18" s="118"/>
      <c r="G18" s="142"/>
      <c r="H18" s="143"/>
      <c r="I18" s="143"/>
      <c r="J18" s="116"/>
      <c r="K18" s="116"/>
      <c r="L18" s="116"/>
      <c r="M18" s="116"/>
      <c r="N18" s="116"/>
      <c r="O18" s="116"/>
      <c r="P18" s="116"/>
      <c r="Q18" s="116"/>
      <c r="R18" s="116"/>
      <c r="S18" s="116"/>
      <c r="T18" s="116"/>
      <c r="U18" s="116"/>
      <c r="V18" s="116"/>
      <c r="W18" s="116"/>
      <c r="X18" s="116"/>
      <c r="Y18" s="116"/>
      <c r="Z18" s="116"/>
      <c r="AA18" s="116"/>
      <c r="AB18" s="116"/>
      <c r="AC18" s="116"/>
      <c r="AD18" s="116"/>
      <c r="AE18" s="116"/>
    </row>
    <row r="19" spans="1:31">
      <c r="G19" s="44"/>
      <c r="H19" s="44"/>
      <c r="I19" s="120"/>
      <c r="J19" s="116"/>
      <c r="K19" s="116"/>
      <c r="L19" s="116"/>
      <c r="M19" s="116"/>
      <c r="N19" s="116"/>
      <c r="O19" s="116"/>
      <c r="P19" s="116"/>
      <c r="Q19" s="116"/>
      <c r="R19" s="116"/>
      <c r="S19" s="116"/>
      <c r="T19" s="116"/>
      <c r="U19" s="116"/>
      <c r="V19" s="116"/>
      <c r="W19" s="116"/>
      <c r="X19" s="116"/>
      <c r="Y19" s="116"/>
      <c r="Z19" s="116"/>
      <c r="AA19" s="116"/>
      <c r="AB19" s="116"/>
      <c r="AC19" s="116"/>
      <c r="AD19" s="116"/>
      <c r="AE19" s="116"/>
    </row>
    <row r="20" spans="1:31">
      <c r="A20" s="118"/>
      <c r="G20" s="87"/>
      <c r="H20" s="87"/>
      <c r="I20" s="137"/>
      <c r="J20" s="116"/>
      <c r="K20" s="116"/>
      <c r="L20" s="116"/>
      <c r="M20" s="116"/>
      <c r="N20" s="116"/>
      <c r="O20" s="116"/>
      <c r="P20" s="116"/>
      <c r="Q20" s="116"/>
      <c r="R20" s="116"/>
      <c r="S20" s="116"/>
      <c r="T20" s="116"/>
      <c r="U20" s="116"/>
      <c r="V20" s="116"/>
      <c r="W20" s="116"/>
      <c r="X20" s="116"/>
      <c r="Y20" s="116"/>
      <c r="Z20" s="116"/>
      <c r="AA20" s="116"/>
      <c r="AB20" s="116"/>
      <c r="AC20" s="116"/>
      <c r="AD20" s="116"/>
      <c r="AE20" s="116"/>
    </row>
    <row r="21" spans="1:31">
      <c r="G21" s="87"/>
      <c r="H21" s="87"/>
      <c r="I21" s="137"/>
      <c r="J21" s="116"/>
      <c r="K21" s="116"/>
      <c r="L21" s="116"/>
      <c r="M21" s="116"/>
      <c r="N21" s="116"/>
      <c r="O21" s="116"/>
      <c r="P21" s="116"/>
      <c r="Q21" s="116"/>
      <c r="R21" s="116"/>
      <c r="S21" s="116"/>
      <c r="T21" s="116"/>
      <c r="U21" s="116"/>
      <c r="V21" s="116"/>
      <c r="W21" s="116"/>
      <c r="X21" s="116"/>
      <c r="Y21" s="116"/>
      <c r="Z21" s="116"/>
      <c r="AA21" s="116"/>
      <c r="AB21" s="116"/>
      <c r="AC21" s="116"/>
      <c r="AD21" s="116"/>
      <c r="AE21" s="116"/>
    </row>
    <row r="22" spans="1:31">
      <c r="E22" s="139"/>
      <c r="G22" s="87"/>
      <c r="H22" s="87"/>
      <c r="I22" s="137"/>
      <c r="J22" s="116"/>
      <c r="K22" s="116"/>
      <c r="L22" s="116"/>
      <c r="M22" s="116"/>
      <c r="N22" s="116"/>
      <c r="O22" s="116"/>
      <c r="P22" s="116"/>
      <c r="Q22" s="116"/>
      <c r="R22" s="116"/>
      <c r="S22" s="116"/>
      <c r="T22" s="116"/>
      <c r="U22" s="116"/>
      <c r="V22" s="116"/>
      <c r="W22" s="116"/>
      <c r="X22" s="116"/>
      <c r="Y22" s="116"/>
      <c r="Z22" s="116"/>
      <c r="AA22" s="116"/>
      <c r="AB22" s="116"/>
      <c r="AC22" s="116"/>
      <c r="AD22" s="116"/>
      <c r="AE22" s="116"/>
    </row>
    <row r="23" spans="1:31">
      <c r="F23" s="145"/>
      <c r="G23" s="87"/>
      <c r="H23" s="87"/>
      <c r="I23" s="137"/>
      <c r="J23" s="116"/>
      <c r="K23" s="116"/>
      <c r="L23" s="116"/>
      <c r="M23" s="116"/>
      <c r="N23" s="116"/>
      <c r="O23" s="116"/>
      <c r="P23" s="116"/>
      <c r="Q23" s="116"/>
      <c r="R23" s="116"/>
      <c r="S23" s="116"/>
      <c r="T23" s="116"/>
      <c r="U23" s="116"/>
      <c r="V23" s="116"/>
      <c r="W23" s="116"/>
      <c r="X23" s="116"/>
      <c r="Y23" s="116"/>
      <c r="Z23" s="116"/>
      <c r="AA23" s="116"/>
      <c r="AB23" s="116"/>
      <c r="AC23" s="116"/>
      <c r="AD23" s="116"/>
      <c r="AE23" s="116"/>
    </row>
    <row r="24" spans="1:31">
      <c r="G24" s="87"/>
      <c r="H24" s="87"/>
      <c r="I24" s="137"/>
      <c r="J24" s="116"/>
      <c r="K24" s="116"/>
      <c r="L24" s="116"/>
      <c r="M24" s="116"/>
      <c r="N24" s="116"/>
      <c r="O24" s="116"/>
      <c r="P24" s="116"/>
      <c r="Q24" s="116"/>
      <c r="R24" s="116"/>
      <c r="S24" s="116"/>
      <c r="T24" s="116"/>
      <c r="U24" s="116"/>
      <c r="V24" s="116"/>
      <c r="W24" s="116"/>
      <c r="X24" s="116"/>
      <c r="Y24" s="116"/>
      <c r="Z24" s="116"/>
      <c r="AA24" s="116"/>
      <c r="AB24" s="116"/>
      <c r="AC24" s="116"/>
      <c r="AD24" s="116"/>
      <c r="AE24" s="116"/>
    </row>
    <row r="25" spans="1:31">
      <c r="G25" s="87"/>
      <c r="H25" s="87"/>
      <c r="I25" s="137"/>
      <c r="J25" s="116"/>
      <c r="K25" s="116"/>
      <c r="L25" s="116"/>
      <c r="M25" s="116"/>
      <c r="N25" s="116"/>
      <c r="O25" s="116"/>
      <c r="P25" s="116"/>
      <c r="Q25" s="116"/>
      <c r="R25" s="116"/>
      <c r="S25" s="116"/>
      <c r="T25" s="116"/>
      <c r="U25" s="116"/>
      <c r="V25" s="116"/>
      <c r="W25" s="116"/>
      <c r="X25" s="116"/>
      <c r="Y25" s="116"/>
      <c r="Z25" s="116"/>
      <c r="AA25" s="116"/>
      <c r="AB25" s="116"/>
      <c r="AC25" s="116"/>
      <c r="AD25" s="116"/>
      <c r="AE25" s="116"/>
    </row>
    <row r="26" spans="1:31">
      <c r="G26" s="87"/>
      <c r="H26" s="87"/>
      <c r="I26" s="137"/>
      <c r="J26" s="116"/>
      <c r="K26" s="116"/>
      <c r="L26" s="116"/>
      <c r="M26" s="116"/>
      <c r="N26" s="116"/>
      <c r="O26" s="116"/>
      <c r="P26" s="116"/>
      <c r="Q26" s="116"/>
      <c r="R26" s="116"/>
      <c r="S26" s="116"/>
      <c r="T26" s="116"/>
      <c r="U26" s="116"/>
      <c r="V26" s="116"/>
      <c r="W26" s="116"/>
      <c r="X26" s="116"/>
      <c r="Y26" s="116"/>
      <c r="Z26" s="116"/>
      <c r="AA26" s="116"/>
      <c r="AB26" s="116"/>
      <c r="AC26" s="116"/>
      <c r="AD26" s="116"/>
      <c r="AE26" s="116"/>
    </row>
    <row r="27" spans="1:31">
      <c r="G27" s="87"/>
      <c r="H27" s="87"/>
      <c r="I27" s="137"/>
      <c r="J27" s="116"/>
      <c r="K27" s="116"/>
      <c r="L27" s="116"/>
      <c r="M27" s="116"/>
      <c r="N27" s="116"/>
      <c r="O27" s="116"/>
      <c r="P27" s="116"/>
      <c r="Q27" s="116"/>
      <c r="R27" s="116"/>
      <c r="S27" s="116"/>
      <c r="T27" s="116"/>
      <c r="U27" s="116"/>
      <c r="V27" s="116"/>
      <c r="W27" s="116"/>
      <c r="X27" s="116"/>
      <c r="Y27" s="116"/>
      <c r="Z27" s="116"/>
      <c r="AA27" s="116"/>
      <c r="AB27" s="116"/>
      <c r="AC27" s="116"/>
      <c r="AD27" s="116"/>
      <c r="AE27" s="116"/>
    </row>
    <row r="28" spans="1:31">
      <c r="G28" s="141"/>
      <c r="H28" s="141"/>
      <c r="I28" s="140"/>
      <c r="J28" s="116"/>
      <c r="K28" s="116"/>
      <c r="L28" s="116"/>
      <c r="M28" s="116"/>
      <c r="N28" s="116"/>
      <c r="O28" s="116"/>
      <c r="P28" s="116"/>
      <c r="Q28" s="116"/>
      <c r="R28" s="116"/>
      <c r="S28" s="116"/>
      <c r="T28" s="116"/>
      <c r="U28" s="116"/>
      <c r="V28" s="116"/>
      <c r="W28" s="116"/>
      <c r="X28" s="116"/>
      <c r="Y28" s="116"/>
      <c r="Z28" s="116"/>
      <c r="AA28" s="116"/>
      <c r="AB28" s="116"/>
      <c r="AC28" s="116"/>
      <c r="AD28" s="116"/>
      <c r="AE28" s="116"/>
    </row>
    <row r="29" spans="1:31">
      <c r="J29" s="116"/>
      <c r="K29" s="116"/>
      <c r="L29" s="116"/>
      <c r="M29" s="116"/>
      <c r="N29" s="116"/>
      <c r="O29" s="116"/>
      <c r="P29" s="116"/>
      <c r="Q29" s="116"/>
      <c r="R29" s="116"/>
      <c r="S29" s="116"/>
      <c r="T29" s="116"/>
      <c r="U29" s="116"/>
      <c r="V29" s="116"/>
      <c r="W29" s="116"/>
      <c r="X29" s="116"/>
      <c r="Y29" s="116"/>
      <c r="Z29" s="116"/>
      <c r="AA29" s="116"/>
      <c r="AB29" s="116"/>
      <c r="AC29" s="116"/>
      <c r="AD29" s="116"/>
      <c r="AE29" s="116"/>
    </row>
    <row r="30" spans="1:31" ht="14.25" customHeight="1">
      <c r="J30" s="116"/>
      <c r="K30" s="116"/>
      <c r="L30" s="116"/>
      <c r="M30" s="116"/>
      <c r="N30" s="116"/>
      <c r="O30" s="116"/>
      <c r="P30" s="116"/>
      <c r="Q30" s="116"/>
      <c r="R30" s="116"/>
      <c r="S30" s="116"/>
      <c r="T30" s="116"/>
      <c r="U30" s="116"/>
      <c r="V30" s="116"/>
      <c r="W30" s="116"/>
      <c r="X30" s="116"/>
      <c r="Y30" s="116"/>
      <c r="Z30" s="116"/>
      <c r="AA30" s="116"/>
      <c r="AB30" s="116"/>
      <c r="AC30" s="116"/>
      <c r="AD30" s="116"/>
      <c r="AE30" s="116"/>
    </row>
    <row r="31" spans="1:31">
      <c r="G31" s="116"/>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c r="AE31" s="116"/>
    </row>
    <row r="32" spans="1:31">
      <c r="G32" s="116"/>
      <c r="H32" s="116"/>
      <c r="I32" s="116"/>
      <c r="J32" s="116"/>
      <c r="K32" s="116"/>
      <c r="L32" s="116"/>
      <c r="M32" s="116"/>
      <c r="N32" s="116"/>
      <c r="O32" s="116"/>
      <c r="P32" s="116"/>
      <c r="Q32" s="116"/>
      <c r="R32" s="116"/>
      <c r="S32" s="116"/>
      <c r="T32" s="116"/>
      <c r="U32" s="116"/>
      <c r="V32" s="116"/>
      <c r="W32" s="116"/>
      <c r="X32" s="116"/>
      <c r="Y32" s="116"/>
      <c r="Z32" s="116"/>
      <c r="AA32" s="116"/>
      <c r="AB32" s="116"/>
      <c r="AC32" s="116"/>
      <c r="AD32" s="116"/>
      <c r="AE32" s="116"/>
    </row>
    <row r="33" spans="7:31">
      <c r="G33" s="116"/>
      <c r="H33" s="116"/>
      <c r="I33" s="116"/>
      <c r="J33" s="116"/>
      <c r="K33" s="116"/>
      <c r="L33" s="116"/>
      <c r="M33" s="116"/>
      <c r="N33" s="116"/>
      <c r="O33" s="116"/>
      <c r="P33" s="116"/>
      <c r="Q33" s="116"/>
      <c r="R33" s="116"/>
      <c r="S33" s="116"/>
      <c r="T33" s="116"/>
      <c r="U33" s="116"/>
      <c r="V33" s="116"/>
      <c r="W33" s="116"/>
      <c r="X33" s="116"/>
      <c r="Y33" s="116"/>
      <c r="Z33" s="116"/>
      <c r="AA33" s="116"/>
      <c r="AB33" s="116"/>
      <c r="AC33" s="116"/>
      <c r="AD33" s="116"/>
      <c r="AE33" s="116"/>
    </row>
    <row r="34" spans="7:31">
      <c r="G34" s="116"/>
      <c r="H34" s="116"/>
      <c r="I34" s="116"/>
      <c r="J34" s="116"/>
      <c r="K34" s="116"/>
      <c r="L34" s="116"/>
      <c r="M34" s="116"/>
      <c r="N34" s="116"/>
      <c r="O34" s="116"/>
      <c r="P34" s="116"/>
      <c r="Q34" s="116"/>
      <c r="R34" s="116"/>
      <c r="S34" s="116"/>
      <c r="T34" s="116"/>
      <c r="U34" s="116"/>
      <c r="V34" s="116"/>
      <c r="W34" s="116"/>
      <c r="X34" s="116"/>
      <c r="Y34" s="116"/>
      <c r="Z34" s="116"/>
      <c r="AA34" s="116"/>
      <c r="AB34" s="116"/>
      <c r="AC34" s="116"/>
      <c r="AD34" s="116"/>
      <c r="AE34" s="116"/>
    </row>
    <row r="35" spans="7:31">
      <c r="G35" s="116"/>
      <c r="H35" s="116"/>
      <c r="I35" s="116"/>
      <c r="J35" s="116"/>
      <c r="K35" s="116"/>
      <c r="L35" s="116"/>
      <c r="M35" s="116"/>
      <c r="N35" s="116"/>
      <c r="O35" s="116"/>
      <c r="P35" s="116"/>
      <c r="Q35" s="116"/>
      <c r="R35" s="116"/>
      <c r="S35" s="116"/>
      <c r="T35" s="116"/>
      <c r="U35" s="116"/>
      <c r="V35" s="116"/>
      <c r="W35" s="116"/>
      <c r="X35" s="116"/>
      <c r="Y35" s="116"/>
      <c r="Z35" s="116"/>
      <c r="AA35" s="116"/>
      <c r="AB35" s="116"/>
      <c r="AC35" s="116"/>
      <c r="AD35" s="116"/>
      <c r="AE35" s="116"/>
    </row>
    <row r="36" spans="7:31">
      <c r="G36" s="116"/>
      <c r="H36" s="116"/>
      <c r="I36" s="116"/>
      <c r="J36" s="116"/>
      <c r="K36" s="116"/>
      <c r="L36" s="116"/>
      <c r="M36" s="116"/>
      <c r="N36" s="116"/>
      <c r="O36" s="116"/>
      <c r="P36" s="116"/>
      <c r="Q36" s="116"/>
      <c r="R36" s="116"/>
      <c r="S36" s="116"/>
      <c r="T36" s="116"/>
      <c r="U36" s="116"/>
      <c r="V36" s="116"/>
      <c r="W36" s="116"/>
      <c r="X36" s="116"/>
      <c r="Y36" s="116"/>
      <c r="Z36" s="116"/>
      <c r="AA36" s="116"/>
      <c r="AB36" s="116"/>
      <c r="AC36" s="116"/>
      <c r="AD36" s="116"/>
      <c r="AE36" s="116"/>
    </row>
    <row r="37" spans="7:31">
      <c r="G37" s="116"/>
      <c r="H37" s="116"/>
      <c r="I37" s="116"/>
      <c r="J37" s="116"/>
      <c r="K37" s="116"/>
      <c r="L37" s="116"/>
      <c r="M37" s="116"/>
      <c r="N37" s="116"/>
      <c r="O37" s="116"/>
      <c r="P37" s="116"/>
      <c r="Q37" s="116"/>
      <c r="R37" s="116"/>
      <c r="S37" s="116"/>
      <c r="T37" s="116"/>
      <c r="U37" s="116"/>
      <c r="V37" s="116"/>
      <c r="W37" s="116"/>
      <c r="X37" s="116"/>
      <c r="Y37" s="116"/>
      <c r="Z37" s="116"/>
      <c r="AA37" s="116"/>
      <c r="AB37" s="116"/>
      <c r="AC37" s="116"/>
      <c r="AD37" s="116"/>
      <c r="AE37" s="116"/>
    </row>
    <row r="38" spans="7:31">
      <c r="G38" s="116"/>
      <c r="H38" s="116"/>
      <c r="I38" s="116"/>
      <c r="J38" s="116"/>
      <c r="K38" s="116"/>
      <c r="L38" s="116"/>
      <c r="M38" s="116"/>
      <c r="N38" s="116"/>
      <c r="O38" s="116"/>
      <c r="P38" s="116"/>
      <c r="Q38" s="116"/>
      <c r="R38" s="116"/>
      <c r="S38" s="116"/>
      <c r="T38" s="116"/>
      <c r="U38" s="116"/>
      <c r="V38" s="116"/>
      <c r="W38" s="116"/>
      <c r="X38" s="116"/>
      <c r="Y38" s="116"/>
      <c r="Z38" s="116"/>
      <c r="AA38" s="116"/>
      <c r="AB38" s="116"/>
      <c r="AC38" s="116"/>
      <c r="AD38" s="116"/>
      <c r="AE38" s="116"/>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3" t="s">
        <v>93</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49"/>
  <sheetViews>
    <sheetView workbookViewId="0"/>
  </sheetViews>
  <sheetFormatPr defaultRowHeight="12"/>
  <cols>
    <col min="1" max="1" width="2" style="111" customWidth="1"/>
    <col min="2" max="2" width="29.28515625" style="111" customWidth="1"/>
    <col min="3" max="3" width="12" style="111" bestFit="1" customWidth="1"/>
    <col min="4" max="4" width="2.7109375" style="111" customWidth="1"/>
    <col min="5" max="5" width="23.7109375" style="111" customWidth="1"/>
    <col min="6" max="6" width="10.140625" style="111" customWidth="1" collapsed="1"/>
    <col min="7" max="7" width="11.42578125" style="111" customWidth="1"/>
    <col min="8" max="8" width="13.5703125" style="111" customWidth="1"/>
    <col min="9" max="9" width="12.5703125" style="111" customWidth="1"/>
    <col min="10" max="10" width="9.28515625" style="111" customWidth="1"/>
    <col min="11" max="11" width="9.7109375" style="111" customWidth="1"/>
    <col min="12" max="12" width="3.5703125" style="111" customWidth="1"/>
    <col min="13" max="13" width="22.85546875" style="111" customWidth="1"/>
    <col min="14" max="14" width="14.5703125" style="111" customWidth="1"/>
    <col min="15" max="15" width="11.28515625" style="111" customWidth="1"/>
    <col min="16" max="16" width="13.28515625" style="111" customWidth="1"/>
    <col min="17" max="17" width="12.28515625" style="111" customWidth="1"/>
    <col min="18" max="18" width="13.28515625" style="111" customWidth="1"/>
    <col min="19" max="19" width="11.42578125" style="111" customWidth="1"/>
    <col min="20" max="25" width="9.140625" style="111" customWidth="1"/>
    <col min="26" max="26" width="9.28515625" style="111" customWidth="1"/>
    <col min="27" max="27" width="9.42578125" style="111" customWidth="1"/>
    <col min="28" max="28" width="10" style="111" customWidth="1"/>
    <col min="29" max="29" width="11.42578125" style="111" customWidth="1"/>
    <col min="30" max="30" width="9.42578125" style="111" bestFit="1" customWidth="1" collapsed="1"/>
    <col min="31" max="16384" width="9.140625" style="111"/>
  </cols>
  <sheetData>
    <row r="1" spans="1:31" s="110" customFormat="1" ht="15" customHeight="1">
      <c r="B1" s="16" t="s">
        <v>80</v>
      </c>
      <c r="C1" s="109"/>
      <c r="D1" s="109"/>
      <c r="E1" s="109"/>
      <c r="F1" s="109"/>
      <c r="G1" s="109"/>
      <c r="H1" s="109"/>
      <c r="I1" s="109"/>
      <c r="J1" s="109"/>
      <c r="K1" s="109"/>
    </row>
    <row r="2" spans="1:31" ht="12" customHeight="1">
      <c r="C2" s="132"/>
    </row>
    <row r="3" spans="1:31" ht="12" customHeight="1">
      <c r="A3" s="113"/>
      <c r="B3" s="134" t="s">
        <v>58</v>
      </c>
      <c r="C3" s="289">
        <f>'FCFF &amp; FCFE'!G12</f>
        <v>90.661553929915016</v>
      </c>
      <c r="E3" s="476" t="s">
        <v>254</v>
      </c>
      <c r="F3" s="476"/>
      <c r="G3" s="476"/>
      <c r="H3" s="476"/>
      <c r="I3" s="476"/>
      <c r="J3" s="476"/>
      <c r="K3" s="476"/>
      <c r="L3" s="104"/>
      <c r="M3" s="476" t="s">
        <v>346</v>
      </c>
      <c r="N3" s="476"/>
      <c r="O3" s="476"/>
      <c r="P3" s="476"/>
      <c r="Q3" s="476"/>
      <c r="R3" s="476"/>
      <c r="S3" s="476"/>
    </row>
    <row r="4" spans="1:31" ht="12" customHeight="1">
      <c r="A4" s="118"/>
      <c r="B4" s="127" t="s">
        <v>132</v>
      </c>
      <c r="C4" s="289">
        <f>'FCFF &amp; FCFE'!G8</f>
        <v>9.7377528286637904</v>
      </c>
      <c r="E4" s="227" t="s">
        <v>138</v>
      </c>
      <c r="F4" s="227" t="s">
        <v>35</v>
      </c>
      <c r="G4" s="205" t="s">
        <v>327</v>
      </c>
      <c r="H4" s="205" t="s">
        <v>472</v>
      </c>
      <c r="I4" s="205" t="s">
        <v>106</v>
      </c>
      <c r="J4" s="205" t="s">
        <v>134</v>
      </c>
      <c r="K4" s="205" t="s">
        <v>37</v>
      </c>
      <c r="L4" s="44"/>
      <c r="M4" s="227" t="s">
        <v>138</v>
      </c>
      <c r="N4" s="227" t="s">
        <v>35</v>
      </c>
      <c r="O4" s="205" t="s">
        <v>327</v>
      </c>
      <c r="P4" s="205" t="s">
        <v>472</v>
      </c>
      <c r="Q4" s="205" t="s">
        <v>106</v>
      </c>
      <c r="R4" s="205" t="s">
        <v>134</v>
      </c>
      <c r="S4" s="205" t="s">
        <v>37</v>
      </c>
      <c r="T4" s="115"/>
      <c r="U4" s="115"/>
      <c r="Z4" s="115"/>
    </row>
    <row r="5" spans="1:31" ht="12" customHeight="1">
      <c r="A5" s="118"/>
      <c r="B5" s="230" t="s">
        <v>84</v>
      </c>
      <c r="C5" s="231">
        <f>C3/C4</f>
        <v>9.3103157910361087</v>
      </c>
      <c r="E5" s="64" t="s">
        <v>258</v>
      </c>
      <c r="F5" s="64" t="s">
        <v>255</v>
      </c>
      <c r="G5" s="434">
        <v>10582</v>
      </c>
      <c r="H5" s="434">
        <v>10572</v>
      </c>
      <c r="I5" s="226">
        <f>G5/H5</f>
        <v>1.0009458948164964</v>
      </c>
      <c r="J5" s="441">
        <v>0.18229999999999999</v>
      </c>
      <c r="K5" s="98">
        <v>1.7583336892836892</v>
      </c>
      <c r="L5" s="322"/>
      <c r="M5" s="64" t="s">
        <v>347</v>
      </c>
      <c r="N5" s="64" t="s">
        <v>348</v>
      </c>
      <c r="O5" s="434">
        <v>95588</v>
      </c>
      <c r="P5" s="434">
        <v>107774</v>
      </c>
      <c r="Q5" s="226">
        <f>O5/P5</f>
        <v>0.88693005734221608</v>
      </c>
      <c r="R5" s="65">
        <v>0.25590000000000002</v>
      </c>
      <c r="S5" s="98">
        <v>4.5473574088797761</v>
      </c>
      <c r="T5" s="116"/>
      <c r="U5" s="279"/>
      <c r="V5" s="116"/>
      <c r="W5" s="116"/>
      <c r="X5" s="116"/>
      <c r="Y5" s="116"/>
      <c r="Z5" s="116"/>
      <c r="AA5" s="116"/>
      <c r="AB5" s="116"/>
      <c r="AC5" s="116"/>
    </row>
    <row r="6" spans="1:31" ht="12" customHeight="1">
      <c r="A6" s="118"/>
      <c r="E6" s="64" t="s">
        <v>257</v>
      </c>
      <c r="F6" s="244" t="s">
        <v>256</v>
      </c>
      <c r="G6" s="356">
        <v>6856.9</v>
      </c>
      <c r="H6" s="356">
        <v>6862.8</v>
      </c>
      <c r="I6" s="226">
        <f t="shared" ref="I6:I37" si="0">G6/H6</f>
        <v>0.99914029259194492</v>
      </c>
      <c r="J6" s="442">
        <v>0.1656</v>
      </c>
      <c r="K6" s="250">
        <v>2.0835782933978915</v>
      </c>
      <c r="L6" s="322"/>
      <c r="M6" s="64" t="s">
        <v>349</v>
      </c>
      <c r="N6" s="244" t="s">
        <v>350</v>
      </c>
      <c r="O6" s="356">
        <v>101275</v>
      </c>
      <c r="P6" s="356">
        <v>115637</v>
      </c>
      <c r="Q6" s="226">
        <f t="shared" ref="Q6:Q27" si="1">O6/P6</f>
        <v>0.87580099795048294</v>
      </c>
      <c r="R6" s="251">
        <v>0.3805</v>
      </c>
      <c r="S6" s="250">
        <v>2.4469177980745491</v>
      </c>
      <c r="T6" s="116"/>
      <c r="U6" s="279"/>
      <c r="V6" s="116"/>
      <c r="W6" s="116"/>
      <c r="X6" s="116"/>
      <c r="Y6" s="116"/>
      <c r="Z6" s="116"/>
      <c r="AA6" s="116"/>
      <c r="AB6" s="116"/>
      <c r="AC6" s="116"/>
    </row>
    <row r="7" spans="1:31" ht="12" customHeight="1">
      <c r="B7" s="127" t="s">
        <v>132</v>
      </c>
      <c r="C7" s="289">
        <f>'FCFF &amp; FCFE'!G8</f>
        <v>9.7377528286637904</v>
      </c>
      <c r="E7" s="64" t="s">
        <v>259</v>
      </c>
      <c r="F7" s="244" t="s">
        <v>260</v>
      </c>
      <c r="G7" s="434">
        <v>4693</v>
      </c>
      <c r="H7" s="434">
        <v>12435</v>
      </c>
      <c r="I7" s="226">
        <f t="shared" si="0"/>
        <v>0.37740249296340972</v>
      </c>
      <c r="J7" s="441">
        <v>0.1033</v>
      </c>
      <c r="K7" s="98">
        <v>6.9367219262731732</v>
      </c>
      <c r="L7" s="322"/>
      <c r="M7" s="64" t="s">
        <v>351</v>
      </c>
      <c r="N7" s="244" t="s">
        <v>352</v>
      </c>
      <c r="O7" s="434">
        <v>57349</v>
      </c>
      <c r="P7" s="434">
        <v>92092</v>
      </c>
      <c r="Q7" s="226">
        <f t="shared" si="1"/>
        <v>0.62273595969248141</v>
      </c>
      <c r="R7" s="65">
        <v>0.3306</v>
      </c>
      <c r="S7" s="98">
        <v>5.5773910617447555</v>
      </c>
      <c r="T7" s="116"/>
      <c r="U7" s="279"/>
      <c r="V7" s="116"/>
      <c r="W7" s="116"/>
      <c r="X7" s="116"/>
      <c r="Y7" s="116"/>
      <c r="Z7" s="116"/>
      <c r="AA7" s="116"/>
      <c r="AB7" s="116"/>
      <c r="AC7" s="116"/>
    </row>
    <row r="8" spans="1:31" ht="12" customHeight="1">
      <c r="A8" s="118"/>
      <c r="B8" s="127" t="s">
        <v>91</v>
      </c>
      <c r="C8" s="289">
        <f>'Bottom Up Beta'!J22+393.801-'Cash &amp; Marketable Securities'!C5</f>
        <v>558.24</v>
      </c>
      <c r="E8" s="64" t="s">
        <v>261</v>
      </c>
      <c r="F8" s="244" t="s">
        <v>262</v>
      </c>
      <c r="G8" s="356">
        <v>5020.0200000000004</v>
      </c>
      <c r="H8" s="356">
        <v>12125.222</v>
      </c>
      <c r="I8" s="226">
        <f t="shared" si="0"/>
        <v>0.4140146877310783</v>
      </c>
      <c r="J8" s="443">
        <v>0.25440000000000002</v>
      </c>
      <c r="K8" s="249">
        <v>3.9348708570882187</v>
      </c>
      <c r="L8" s="322"/>
      <c r="M8" s="64" t="s">
        <v>353</v>
      </c>
      <c r="N8" s="244" t="s">
        <v>354</v>
      </c>
      <c r="O8" s="356">
        <v>29070.7</v>
      </c>
      <c r="P8" s="356">
        <v>25863.9</v>
      </c>
      <c r="Q8" s="226">
        <f t="shared" si="1"/>
        <v>1.1239874883524912</v>
      </c>
      <c r="R8" s="252">
        <v>0.30309999999999998</v>
      </c>
      <c r="S8" s="249">
        <v>6.5442714726511566</v>
      </c>
      <c r="T8" s="116"/>
      <c r="U8" s="279"/>
      <c r="V8" s="116"/>
      <c r="W8" s="116"/>
      <c r="X8" s="116"/>
      <c r="Y8" s="116"/>
      <c r="Z8" s="116"/>
      <c r="AA8" s="116"/>
      <c r="AB8" s="116"/>
      <c r="AC8" s="116"/>
    </row>
    <row r="9" spans="1:31" ht="12" customHeight="1">
      <c r="A9" s="118"/>
      <c r="B9" s="229" t="s">
        <v>85</v>
      </c>
      <c r="C9" s="232">
        <f>C7/C8</f>
        <v>1.7443667291243532E-2</v>
      </c>
      <c r="E9" s="64" t="s">
        <v>263</v>
      </c>
      <c r="F9" s="244" t="s">
        <v>264</v>
      </c>
      <c r="G9" s="356">
        <v>1426.2560000000001</v>
      </c>
      <c r="H9" s="356">
        <v>1889.98</v>
      </c>
      <c r="I9" s="226">
        <f t="shared" si="0"/>
        <v>0.75464078984962812</v>
      </c>
      <c r="J9" s="441">
        <v>-0.10489999999999999</v>
      </c>
      <c r="K9" s="98">
        <v>1.0205298347561729</v>
      </c>
      <c r="L9" s="322"/>
      <c r="M9" s="64" t="s">
        <v>355</v>
      </c>
      <c r="N9" s="244" t="s">
        <v>356</v>
      </c>
      <c r="O9" s="356">
        <v>52788</v>
      </c>
      <c r="P9" s="356">
        <v>96784</v>
      </c>
      <c r="Q9" s="226">
        <f t="shared" si="1"/>
        <v>0.54542073069928909</v>
      </c>
      <c r="R9" s="65">
        <v>0.2094</v>
      </c>
      <c r="S9" s="98">
        <v>3.175998332954459</v>
      </c>
      <c r="T9" s="116"/>
      <c r="U9" s="279"/>
      <c r="V9" s="116"/>
      <c r="W9" s="116"/>
      <c r="X9" s="116"/>
      <c r="Y9" s="116"/>
      <c r="Z9" s="116"/>
      <c r="AA9" s="116"/>
      <c r="AB9" s="116"/>
      <c r="AC9" s="116"/>
    </row>
    <row r="10" spans="1:31">
      <c r="A10" s="114"/>
      <c r="E10" s="64" t="s">
        <v>265</v>
      </c>
      <c r="F10" s="64" t="s">
        <v>266</v>
      </c>
      <c r="G10" s="356">
        <v>672.3</v>
      </c>
      <c r="H10" s="356">
        <v>967.8</v>
      </c>
      <c r="I10" s="226">
        <f t="shared" si="0"/>
        <v>0.69466831990080591</v>
      </c>
      <c r="J10" s="441">
        <v>-0.1394</v>
      </c>
      <c r="K10" s="98">
        <v>1.8733819723337797</v>
      </c>
      <c r="L10" s="322"/>
      <c r="M10" s="64" t="s">
        <v>357</v>
      </c>
      <c r="N10" s="64" t="s">
        <v>358</v>
      </c>
      <c r="O10" s="356">
        <v>57169</v>
      </c>
      <c r="P10" s="356">
        <v>71286</v>
      </c>
      <c r="Q10" s="226">
        <f t="shared" si="1"/>
        <v>0.80196672558426618</v>
      </c>
      <c r="R10" s="65">
        <v>0.34910000000000002</v>
      </c>
      <c r="S10" s="98">
        <v>4.5168080603124077</v>
      </c>
      <c r="T10" s="116"/>
      <c r="U10" s="279"/>
      <c r="V10" s="116"/>
      <c r="W10" s="116"/>
      <c r="X10" s="116"/>
      <c r="Y10" s="116"/>
      <c r="Z10" s="116"/>
      <c r="AA10" s="116"/>
      <c r="AB10" s="116"/>
      <c r="AC10" s="116"/>
    </row>
    <row r="11" spans="1:31">
      <c r="A11" s="118"/>
      <c r="B11" s="127" t="s">
        <v>80</v>
      </c>
      <c r="C11" s="49">
        <f>C5*C9</f>
        <v>0.16240605103524472</v>
      </c>
      <c r="E11" s="64" t="s">
        <v>267</v>
      </c>
      <c r="F11" s="64" t="s">
        <v>268</v>
      </c>
      <c r="G11" s="356">
        <v>723.47699999999998</v>
      </c>
      <c r="H11" s="356">
        <v>983.75</v>
      </c>
      <c r="I11" s="226">
        <f t="shared" si="0"/>
        <v>0.73542770012706482</v>
      </c>
      <c r="J11" s="441">
        <v>-0.78800000000000003</v>
      </c>
      <c r="K11" s="98">
        <v>4.8484770075620922</v>
      </c>
      <c r="L11" s="322"/>
      <c r="M11" s="64" t="s">
        <v>359</v>
      </c>
      <c r="N11" s="64" t="s">
        <v>360</v>
      </c>
      <c r="O11" s="356">
        <v>44038</v>
      </c>
      <c r="P11" s="356">
        <v>69062</v>
      </c>
      <c r="Q11" s="226">
        <f t="shared" si="1"/>
        <v>0.63765891517766649</v>
      </c>
      <c r="R11" s="65">
        <v>0.17080000000000001</v>
      </c>
      <c r="S11" s="98">
        <v>4.4232253962486947</v>
      </c>
      <c r="T11" s="116"/>
      <c r="U11" s="279"/>
      <c r="V11" s="116"/>
      <c r="W11" s="116"/>
      <c r="X11" s="116"/>
      <c r="Y11" s="116"/>
      <c r="Z11" s="116"/>
      <c r="AA11" s="116"/>
      <c r="AB11" s="116"/>
      <c r="AC11" s="116"/>
    </row>
    <row r="12" spans="1:31">
      <c r="B12" s="116"/>
      <c r="E12" s="64" t="s">
        <v>269</v>
      </c>
      <c r="F12" s="64" t="s">
        <v>270</v>
      </c>
      <c r="G12" s="356">
        <v>489.31299999999999</v>
      </c>
      <c r="H12" s="356">
        <v>1640.76</v>
      </c>
      <c r="I12" s="226">
        <f t="shared" si="0"/>
        <v>0.29822338428533118</v>
      </c>
      <c r="J12" s="441">
        <v>-0.34100000000000003</v>
      </c>
      <c r="K12" s="98">
        <v>2.0117225579537026</v>
      </c>
      <c r="L12" s="322"/>
      <c r="M12" s="64" t="s">
        <v>361</v>
      </c>
      <c r="N12" s="64" t="s">
        <v>362</v>
      </c>
      <c r="O12" s="356">
        <v>157251</v>
      </c>
      <c r="P12" s="356">
        <v>93262</v>
      </c>
      <c r="Q12" s="226">
        <f t="shared" si="1"/>
        <v>1.6861208209131264</v>
      </c>
      <c r="R12" s="65">
        <v>0.42680000000000001</v>
      </c>
      <c r="S12" s="98">
        <v>1.5500569153773267</v>
      </c>
      <c r="T12" s="116"/>
      <c r="U12" s="279"/>
      <c r="V12" s="116"/>
      <c r="W12" s="116"/>
      <c r="X12" s="116"/>
      <c r="Y12" s="116"/>
      <c r="Z12" s="116"/>
      <c r="AA12" s="116"/>
      <c r="AB12" s="116"/>
      <c r="AC12" s="116"/>
    </row>
    <row r="13" spans="1:31">
      <c r="A13" s="118"/>
      <c r="B13" s="127" t="s">
        <v>474</v>
      </c>
      <c r="C13" s="332">
        <f>R41</f>
        <v>1.2120389859570473</v>
      </c>
      <c r="E13" s="64" t="s">
        <v>271</v>
      </c>
      <c r="F13" s="244" t="s">
        <v>272</v>
      </c>
      <c r="G13" s="357">
        <v>539.12699999999995</v>
      </c>
      <c r="H13" s="357">
        <v>1505.365</v>
      </c>
      <c r="I13" s="226">
        <f t="shared" si="0"/>
        <v>0.35813706310429694</v>
      </c>
      <c r="J13" s="441">
        <v>-5.6242999999999999</v>
      </c>
      <c r="K13" s="98">
        <v>2.8845262804496907</v>
      </c>
      <c r="L13" s="322"/>
      <c r="M13" s="64" t="s">
        <v>364</v>
      </c>
      <c r="N13" s="64" t="s">
        <v>363</v>
      </c>
      <c r="O13" s="357">
        <v>47144</v>
      </c>
      <c r="P13" s="357">
        <v>80499</v>
      </c>
      <c r="Q13" s="226">
        <f t="shared" si="1"/>
        <v>0.58564702667113877</v>
      </c>
      <c r="R13" s="65">
        <v>0.22420000000000001</v>
      </c>
      <c r="S13" s="98">
        <v>3.8075216358391315</v>
      </c>
      <c r="T13" s="116"/>
      <c r="U13" s="279"/>
      <c r="V13" s="116"/>
      <c r="W13" s="116"/>
      <c r="X13" s="116"/>
      <c r="Y13" s="116"/>
      <c r="Z13" s="116"/>
      <c r="AA13" s="116"/>
      <c r="AB13" s="116"/>
      <c r="AC13" s="116"/>
    </row>
    <row r="14" spans="1:31">
      <c r="B14" s="127" t="s">
        <v>475</v>
      </c>
      <c r="C14" s="449">
        <f>S41</f>
        <v>0.21606333594968152</v>
      </c>
      <c r="D14" s="116"/>
      <c r="E14" s="64" t="s">
        <v>273</v>
      </c>
      <c r="F14" s="244" t="s">
        <v>274</v>
      </c>
      <c r="G14" s="356">
        <v>586.17100000000005</v>
      </c>
      <c r="H14" s="356">
        <v>1001.342</v>
      </c>
      <c r="I14" s="226">
        <f t="shared" si="0"/>
        <v>0.5853854127760546</v>
      </c>
      <c r="J14" s="441">
        <v>-0.64129999999999998</v>
      </c>
      <c r="K14" s="98">
        <v>56.547058793423759</v>
      </c>
      <c r="L14" s="322"/>
      <c r="M14" s="64" t="s">
        <v>365</v>
      </c>
      <c r="N14" s="64" t="s">
        <v>366</v>
      </c>
      <c r="O14" s="356">
        <v>26384</v>
      </c>
      <c r="P14" s="356">
        <v>40009</v>
      </c>
      <c r="Q14" s="226">
        <f t="shared" si="1"/>
        <v>0.65945162338473839</v>
      </c>
      <c r="R14" s="65">
        <v>0.3775</v>
      </c>
      <c r="S14" s="98">
        <v>6.0537183975136442</v>
      </c>
      <c r="T14" s="116"/>
      <c r="U14" s="279"/>
      <c r="V14" s="116"/>
      <c r="W14" s="116"/>
      <c r="X14" s="116"/>
      <c r="Y14" s="116"/>
      <c r="Z14" s="116"/>
      <c r="AA14" s="116"/>
      <c r="AB14" s="116"/>
      <c r="AC14" s="116"/>
    </row>
    <row r="15" spans="1:31">
      <c r="E15" s="64" t="s">
        <v>275</v>
      </c>
      <c r="F15" s="64" t="s">
        <v>276</v>
      </c>
      <c r="G15" s="357">
        <v>13.013</v>
      </c>
      <c r="H15" s="357">
        <v>2399.46</v>
      </c>
      <c r="I15" s="226">
        <f t="shared" si="0"/>
        <v>5.4233035766380767E-3</v>
      </c>
      <c r="J15" s="441">
        <v>-42.7622</v>
      </c>
      <c r="K15" s="98">
        <v>158.60306616460466</v>
      </c>
      <c r="L15" s="322"/>
      <c r="M15" s="64" t="s">
        <v>367</v>
      </c>
      <c r="N15" s="64" t="s">
        <v>368</v>
      </c>
      <c r="O15" s="357">
        <v>42039</v>
      </c>
      <c r="P15" s="357">
        <v>88987</v>
      </c>
      <c r="Q15" s="226">
        <f t="shared" si="1"/>
        <v>0.47241731938373022</v>
      </c>
      <c r="R15" s="65">
        <v>0.21859999999999999</v>
      </c>
      <c r="S15" s="98">
        <v>2.6310759057066058</v>
      </c>
      <c r="T15" s="116"/>
      <c r="U15" s="279"/>
      <c r="V15" s="116"/>
      <c r="W15" s="116"/>
      <c r="X15" s="116"/>
      <c r="Y15" s="116"/>
      <c r="Z15" s="116"/>
      <c r="AA15" s="116"/>
      <c r="AB15" s="116"/>
      <c r="AC15" s="116"/>
    </row>
    <row r="16" spans="1:31">
      <c r="E16" s="64" t="s">
        <v>277</v>
      </c>
      <c r="F16" s="244" t="s">
        <v>278</v>
      </c>
      <c r="G16" s="356">
        <v>45.34</v>
      </c>
      <c r="H16" s="356">
        <v>1040.2439999999999</v>
      </c>
      <c r="I16" s="226">
        <f t="shared" si="0"/>
        <v>4.3585927916911807E-2</v>
      </c>
      <c r="J16" s="441">
        <v>-8.4903999999999993</v>
      </c>
      <c r="K16" s="98">
        <v>72.91527790030878</v>
      </c>
      <c r="L16" s="322"/>
      <c r="M16" s="64" t="s">
        <v>370</v>
      </c>
      <c r="N16" s="64" t="s">
        <v>369</v>
      </c>
      <c r="O16" s="356">
        <v>37240</v>
      </c>
      <c r="P16" s="356">
        <v>38213</v>
      </c>
      <c r="Q16" s="226">
        <f t="shared" si="1"/>
        <v>0.97453746107345662</v>
      </c>
      <c r="R16" s="65">
        <v>0.23480000000000001</v>
      </c>
      <c r="S16" s="98">
        <v>2.2121186895810951</v>
      </c>
      <c r="T16" s="116"/>
      <c r="U16" s="279"/>
      <c r="V16" s="116"/>
      <c r="W16" s="116"/>
      <c r="X16" s="116"/>
      <c r="Y16" s="116"/>
      <c r="Z16" s="116"/>
      <c r="AA16" s="116"/>
      <c r="AB16" s="116"/>
      <c r="AC16" s="116"/>
      <c r="AD16" s="116"/>
      <c r="AE16" s="116"/>
    </row>
    <row r="17" spans="1:31">
      <c r="E17" s="64" t="s">
        <v>279</v>
      </c>
      <c r="F17" s="64" t="s">
        <v>280</v>
      </c>
      <c r="G17" s="356">
        <v>76.915999999999997</v>
      </c>
      <c r="H17" s="356">
        <v>832.03200000000004</v>
      </c>
      <c r="I17" s="226">
        <f t="shared" si="0"/>
        <v>9.2443559863082184E-2</v>
      </c>
      <c r="J17" s="441">
        <v>-1.7727999999999999</v>
      </c>
      <c r="K17" s="98">
        <v>30.953397212543553</v>
      </c>
      <c r="L17" s="322"/>
      <c r="M17" s="64" t="s">
        <v>371</v>
      </c>
      <c r="N17" s="64" t="s">
        <v>372</v>
      </c>
      <c r="O17" s="356">
        <v>10493.1</v>
      </c>
      <c r="P17" s="356">
        <v>22860.5</v>
      </c>
      <c r="Q17" s="226">
        <f t="shared" si="1"/>
        <v>0.4590057085365587</v>
      </c>
      <c r="R17" s="65">
        <v>0.28089999999999998</v>
      </c>
      <c r="S17" s="98">
        <v>12.813215789423525</v>
      </c>
      <c r="T17" s="116"/>
      <c r="U17" s="279"/>
      <c r="V17" s="116"/>
      <c r="W17" s="116"/>
      <c r="X17" s="116"/>
      <c r="Y17" s="116"/>
      <c r="Z17" s="116"/>
      <c r="AA17" s="116"/>
      <c r="AB17" s="116"/>
      <c r="AC17" s="116"/>
      <c r="AD17" s="116"/>
      <c r="AE17" s="116"/>
    </row>
    <row r="18" spans="1:31">
      <c r="A18" s="118"/>
      <c r="E18" s="51" t="s">
        <v>281</v>
      </c>
      <c r="F18" s="244" t="s">
        <v>282</v>
      </c>
      <c r="G18" s="356">
        <v>497.93200000000002</v>
      </c>
      <c r="H18" s="356">
        <v>817.56799999999998</v>
      </c>
      <c r="I18" s="226">
        <f t="shared" si="0"/>
        <v>0.60904047125132099</v>
      </c>
      <c r="J18" s="441">
        <v>-0.27429999999999999</v>
      </c>
      <c r="K18" s="98">
        <v>3.8678172923210394</v>
      </c>
      <c r="L18" s="322"/>
      <c r="M18" s="64" t="s">
        <v>373</v>
      </c>
      <c r="N18" s="64" t="s">
        <v>374</v>
      </c>
      <c r="O18" s="356">
        <v>14226.8</v>
      </c>
      <c r="P18" s="356">
        <v>20748.8</v>
      </c>
      <c r="Q18" s="226">
        <f t="shared" si="1"/>
        <v>0.68566856878470084</v>
      </c>
      <c r="R18" s="65">
        <v>0.49769999999999998</v>
      </c>
      <c r="S18" s="98">
        <v>5.3352314926757947</v>
      </c>
      <c r="T18" s="116"/>
      <c r="U18" s="279"/>
      <c r="V18" s="116"/>
      <c r="W18" s="116"/>
      <c r="X18" s="116"/>
      <c r="Y18" s="116"/>
      <c r="Z18" s="116"/>
      <c r="AA18" s="116"/>
      <c r="AB18" s="116"/>
      <c r="AC18" s="116"/>
      <c r="AD18" s="116"/>
      <c r="AE18" s="116"/>
    </row>
    <row r="19" spans="1:31">
      <c r="E19" s="78" t="s">
        <v>283</v>
      </c>
      <c r="F19" s="83" t="s">
        <v>284</v>
      </c>
      <c r="G19" s="356">
        <v>0</v>
      </c>
      <c r="H19" s="356">
        <v>357.35199999999998</v>
      </c>
      <c r="I19" s="226">
        <f t="shared" si="0"/>
        <v>0</v>
      </c>
      <c r="J19" s="441">
        <v>0</v>
      </c>
      <c r="K19" s="432" t="s">
        <v>131</v>
      </c>
      <c r="L19" s="282"/>
      <c r="M19" s="64" t="s">
        <v>375</v>
      </c>
      <c r="N19" s="64" t="s">
        <v>376</v>
      </c>
      <c r="O19" s="356">
        <v>27515</v>
      </c>
      <c r="P19" s="356">
        <v>47764</v>
      </c>
      <c r="Q19" s="226">
        <f t="shared" si="1"/>
        <v>0.5760614688887028</v>
      </c>
      <c r="R19" s="65">
        <v>0.40360000000000001</v>
      </c>
      <c r="S19" s="268">
        <v>3.7393240050881338</v>
      </c>
      <c r="T19" s="116"/>
      <c r="U19" s="279"/>
      <c r="V19" s="116"/>
      <c r="W19" s="116"/>
      <c r="X19" s="116"/>
      <c r="Y19" s="116"/>
      <c r="Z19" s="116"/>
      <c r="AA19" s="116"/>
      <c r="AB19" s="116"/>
      <c r="AC19" s="116"/>
      <c r="AD19" s="116"/>
      <c r="AE19" s="116"/>
    </row>
    <row r="20" spans="1:31">
      <c r="A20" s="118"/>
      <c r="E20" s="78" t="s">
        <v>285</v>
      </c>
      <c r="F20" s="51" t="s">
        <v>286</v>
      </c>
      <c r="G20" s="356">
        <v>593.4</v>
      </c>
      <c r="H20" s="356">
        <v>762</v>
      </c>
      <c r="I20" s="226">
        <f t="shared" si="0"/>
        <v>0.77874015748031489</v>
      </c>
      <c r="J20" s="441">
        <v>9.5399999999999999E-2</v>
      </c>
      <c r="K20" s="98">
        <v>269.42123356926191</v>
      </c>
      <c r="L20" s="282"/>
      <c r="M20" s="64" t="s">
        <v>377</v>
      </c>
      <c r="N20" s="64" t="s">
        <v>378</v>
      </c>
      <c r="O20" s="356">
        <v>22284</v>
      </c>
      <c r="P20" s="356">
        <v>14145</v>
      </c>
      <c r="Q20" s="226">
        <f t="shared" si="1"/>
        <v>1.5753976670201484</v>
      </c>
      <c r="R20" s="65">
        <v>0.68020000000000003</v>
      </c>
      <c r="S20" s="98">
        <v>1.9121252916891041</v>
      </c>
      <c r="T20" s="116"/>
      <c r="U20" s="279"/>
      <c r="V20" s="116"/>
      <c r="W20" s="116"/>
      <c r="X20" s="116"/>
      <c r="Y20" s="116"/>
      <c r="Z20" s="116"/>
      <c r="AA20" s="116"/>
      <c r="AB20" s="116"/>
      <c r="AC20" s="116"/>
      <c r="AD20" s="116"/>
      <c r="AE20" s="116"/>
    </row>
    <row r="21" spans="1:31">
      <c r="E21" s="64" t="s">
        <v>287</v>
      </c>
      <c r="F21" s="78" t="s">
        <v>288</v>
      </c>
      <c r="G21" s="356">
        <v>0</v>
      </c>
      <c r="H21" s="356">
        <v>593.57600000000002</v>
      </c>
      <c r="I21" s="226">
        <f t="shared" si="0"/>
        <v>0</v>
      </c>
      <c r="J21" s="441">
        <v>0</v>
      </c>
      <c r="K21" s="267" t="s">
        <v>131</v>
      </c>
      <c r="L21" s="282"/>
      <c r="M21" s="64" t="s">
        <v>380</v>
      </c>
      <c r="N21" s="64" t="s">
        <v>379</v>
      </c>
      <c r="O21" s="356">
        <v>48357</v>
      </c>
      <c r="P21" s="356">
        <v>71386</v>
      </c>
      <c r="Q21" s="226">
        <f t="shared" si="1"/>
        <v>0.67740173143193338</v>
      </c>
      <c r="R21" s="446" t="s">
        <v>131</v>
      </c>
      <c r="S21" s="98">
        <v>0.65744359658374174</v>
      </c>
      <c r="T21" s="116"/>
      <c r="U21" s="279"/>
      <c r="V21" s="116"/>
      <c r="W21" s="116"/>
      <c r="X21" s="116"/>
      <c r="Y21" s="116"/>
      <c r="Z21" s="116"/>
      <c r="AA21" s="116"/>
      <c r="AB21" s="116"/>
      <c r="AC21" s="116"/>
      <c r="AD21" s="116"/>
      <c r="AE21" s="116"/>
    </row>
    <row r="22" spans="1:31">
      <c r="E22" s="78" t="s">
        <v>289</v>
      </c>
      <c r="F22" s="78" t="s">
        <v>290</v>
      </c>
      <c r="G22" s="356">
        <v>925.14800000000002</v>
      </c>
      <c r="H22" s="356">
        <v>1180.0329999999999</v>
      </c>
      <c r="I22" s="226">
        <f t="shared" si="0"/>
        <v>0.78400180333939817</v>
      </c>
      <c r="J22" s="441">
        <v>0.57689999999999997</v>
      </c>
      <c r="K22" s="98">
        <v>0.72670567303825995</v>
      </c>
      <c r="L22" s="282"/>
      <c r="M22" s="64" t="s">
        <v>382</v>
      </c>
      <c r="N22" s="64" t="s">
        <v>381</v>
      </c>
      <c r="O22" s="356">
        <v>8350.4</v>
      </c>
      <c r="P22" s="356">
        <v>10100</v>
      </c>
      <c r="Q22" s="226">
        <f t="shared" si="1"/>
        <v>0.82677227722772273</v>
      </c>
      <c r="R22" s="65">
        <v>0.37590000000000001</v>
      </c>
      <c r="S22" s="98">
        <v>8.215874281471546</v>
      </c>
      <c r="T22" s="116"/>
      <c r="U22" s="279"/>
      <c r="V22" s="116"/>
      <c r="W22" s="116"/>
      <c r="X22" s="116"/>
      <c r="Y22" s="116"/>
      <c r="Z22" s="116"/>
      <c r="AA22" s="116"/>
      <c r="AB22" s="116"/>
      <c r="AC22" s="116"/>
      <c r="AD22" s="116"/>
      <c r="AE22" s="116"/>
    </row>
    <row r="23" spans="1:31">
      <c r="E23" s="78" t="s">
        <v>291</v>
      </c>
      <c r="F23" s="78" t="s">
        <v>292</v>
      </c>
      <c r="G23" s="356">
        <v>61.969000000000001</v>
      </c>
      <c r="H23" s="356">
        <v>696.73900000000003</v>
      </c>
      <c r="I23" s="226">
        <f t="shared" si="0"/>
        <v>8.8941483109170008E-2</v>
      </c>
      <c r="J23" s="441">
        <v>-2.3557999999999999</v>
      </c>
      <c r="K23" s="98">
        <v>7.3906630734722212</v>
      </c>
      <c r="L23" s="282"/>
      <c r="M23" s="64" t="s">
        <v>384</v>
      </c>
      <c r="N23" s="64" t="s">
        <v>383</v>
      </c>
      <c r="O23" s="356">
        <v>3591868</v>
      </c>
      <c r="P23" s="356">
        <v>10028430</v>
      </c>
      <c r="Q23" s="226">
        <f t="shared" si="1"/>
        <v>0.35816852687808559</v>
      </c>
      <c r="R23" s="65">
        <v>0.1396</v>
      </c>
      <c r="S23" s="98">
        <v>2.6180836823624922</v>
      </c>
      <c r="T23" s="116"/>
      <c r="U23" s="279"/>
      <c r="V23" s="116"/>
      <c r="W23" s="116"/>
      <c r="X23" s="116"/>
      <c r="Y23" s="116"/>
      <c r="Z23" s="116"/>
      <c r="AA23" s="116"/>
      <c r="AB23" s="116"/>
      <c r="AC23" s="116"/>
      <c r="AD23" s="116"/>
      <c r="AE23" s="116"/>
    </row>
    <row r="24" spans="1:31">
      <c r="E24" s="78" t="s">
        <v>293</v>
      </c>
      <c r="F24" s="78" t="s">
        <v>294</v>
      </c>
      <c r="G24" s="356">
        <v>0</v>
      </c>
      <c r="H24" s="356">
        <v>150.81800000000001</v>
      </c>
      <c r="I24" s="226">
        <f t="shared" si="0"/>
        <v>0</v>
      </c>
      <c r="J24" s="441">
        <v>0</v>
      </c>
      <c r="K24" s="267" t="s">
        <v>131</v>
      </c>
      <c r="L24" s="282"/>
      <c r="M24" s="64" t="s">
        <v>385</v>
      </c>
      <c r="N24" s="64" t="s">
        <v>386</v>
      </c>
      <c r="O24" s="356">
        <v>45548</v>
      </c>
      <c r="P24" s="356">
        <v>53852</v>
      </c>
      <c r="Q24" s="226">
        <f t="shared" si="1"/>
        <v>0.84579959890069079</v>
      </c>
      <c r="R24" s="65">
        <v>0.217</v>
      </c>
      <c r="S24" s="98">
        <v>4.0693224729955215</v>
      </c>
      <c r="T24" s="116"/>
      <c r="U24" s="279"/>
      <c r="V24" s="116"/>
      <c r="W24" s="116"/>
      <c r="X24" s="116"/>
      <c r="Y24" s="116"/>
      <c r="Z24" s="116"/>
      <c r="AA24" s="116"/>
      <c r="AB24" s="116"/>
      <c r="AC24" s="116"/>
      <c r="AD24" s="116"/>
      <c r="AE24" s="116"/>
    </row>
    <row r="25" spans="1:31">
      <c r="E25" s="78" t="s">
        <v>295</v>
      </c>
      <c r="F25" s="78" t="s">
        <v>296</v>
      </c>
      <c r="G25" s="435">
        <v>31.8</v>
      </c>
      <c r="H25" s="435">
        <v>553.64200000000005</v>
      </c>
      <c r="I25" s="226">
        <f t="shared" si="0"/>
        <v>5.7437838892280567E-2</v>
      </c>
      <c r="J25" s="441">
        <v>-5.8441999999999998</v>
      </c>
      <c r="K25" s="268">
        <v>9.7105094339622653</v>
      </c>
      <c r="L25" s="282"/>
      <c r="M25" s="64" t="s">
        <v>387</v>
      </c>
      <c r="N25" s="64" t="s">
        <v>388</v>
      </c>
      <c r="O25" s="435">
        <v>21190.9</v>
      </c>
      <c r="P25" s="435">
        <v>12195.2</v>
      </c>
      <c r="Q25" s="226">
        <f t="shared" si="1"/>
        <v>1.7376426790868538</v>
      </c>
      <c r="R25" s="446" t="s">
        <v>131</v>
      </c>
      <c r="S25" s="268">
        <v>-8.365855154807017E-2</v>
      </c>
      <c r="T25" s="116"/>
      <c r="U25" s="279"/>
      <c r="V25" s="116"/>
      <c r="W25" s="116"/>
      <c r="X25" s="116"/>
      <c r="Y25" s="116"/>
      <c r="Z25" s="116"/>
      <c r="AA25" s="116"/>
      <c r="AB25" s="116"/>
      <c r="AC25" s="116"/>
      <c r="AD25" s="116"/>
      <c r="AE25" s="116"/>
    </row>
    <row r="26" spans="1:31">
      <c r="E26" s="78" t="s">
        <v>297</v>
      </c>
      <c r="F26" s="78" t="s">
        <v>298</v>
      </c>
      <c r="G26" s="356">
        <v>23.323</v>
      </c>
      <c r="H26" s="356">
        <v>337.11799999999999</v>
      </c>
      <c r="I26" s="226">
        <f t="shared" si="0"/>
        <v>6.9183490647191787E-2</v>
      </c>
      <c r="J26" s="441">
        <v>-4.7157</v>
      </c>
      <c r="K26" s="268">
        <v>15.215495433692062</v>
      </c>
      <c r="L26" s="282"/>
      <c r="M26" s="64" t="s">
        <v>389</v>
      </c>
      <c r="N26" s="64" t="s">
        <v>390</v>
      </c>
      <c r="O26" s="356">
        <v>10633.6</v>
      </c>
      <c r="P26" s="356">
        <v>18169.3</v>
      </c>
      <c r="Q26" s="226">
        <f t="shared" si="1"/>
        <v>0.58525094527582244</v>
      </c>
      <c r="R26" s="65">
        <v>0.27779999999999999</v>
      </c>
      <c r="S26" s="268">
        <v>3.9686897475925371</v>
      </c>
      <c r="T26" s="116"/>
      <c r="U26" s="279"/>
      <c r="V26" s="116"/>
      <c r="W26" s="116"/>
      <c r="X26" s="116"/>
      <c r="Y26" s="116"/>
      <c r="Z26" s="116"/>
      <c r="AA26" s="116"/>
      <c r="AB26" s="116"/>
      <c r="AC26" s="116"/>
      <c r="AD26" s="116"/>
      <c r="AE26" s="116"/>
    </row>
    <row r="27" spans="1:31">
      <c r="E27" s="149" t="s">
        <v>299</v>
      </c>
      <c r="F27" s="149" t="s">
        <v>300</v>
      </c>
      <c r="G27" s="436">
        <v>500.82900000000001</v>
      </c>
      <c r="H27" s="436">
        <v>4555.9269999999997</v>
      </c>
      <c r="I27" s="226">
        <f t="shared" si="0"/>
        <v>0.109929109926476</v>
      </c>
      <c r="J27" s="444">
        <v>-1.6875</v>
      </c>
      <c r="K27" s="270">
        <v>2.3417014589810092</v>
      </c>
      <c r="L27" s="437"/>
      <c r="M27" s="64" t="s">
        <v>391</v>
      </c>
      <c r="N27" s="64" t="s">
        <v>392</v>
      </c>
      <c r="O27" s="436">
        <v>1068.617</v>
      </c>
      <c r="P27" s="436">
        <v>6872.665</v>
      </c>
      <c r="Q27" s="226">
        <f t="shared" si="1"/>
        <v>0.15548800938209559</v>
      </c>
      <c r="R27" s="48">
        <v>-1.7950999999999999</v>
      </c>
      <c r="S27" s="270">
        <v>114.21959785404874</v>
      </c>
      <c r="T27" s="116"/>
      <c r="U27" s="279"/>
      <c r="V27" s="116"/>
      <c r="W27" s="116"/>
      <c r="X27" s="116"/>
      <c r="Y27" s="116"/>
      <c r="Z27" s="116"/>
      <c r="AA27" s="116"/>
      <c r="AB27" s="116"/>
      <c r="AC27" s="116"/>
      <c r="AD27" s="116"/>
      <c r="AE27" s="116"/>
    </row>
    <row r="28" spans="1:31">
      <c r="E28" s="149" t="s">
        <v>301</v>
      </c>
      <c r="F28" s="149" t="s">
        <v>302</v>
      </c>
      <c r="G28" s="436">
        <v>6.0890000000000004</v>
      </c>
      <c r="H28" s="436">
        <v>374.27699999999999</v>
      </c>
      <c r="I28" s="226">
        <f t="shared" si="0"/>
        <v>1.6268699385749059E-2</v>
      </c>
      <c r="J28" s="444">
        <v>-79.063400000000001</v>
      </c>
      <c r="K28" s="270">
        <v>46.457185087863365</v>
      </c>
      <c r="L28" s="439"/>
      <c r="M28" s="278"/>
      <c r="N28" s="215"/>
      <c r="O28" s="159"/>
      <c r="P28" s="159"/>
      <c r="Q28" s="99">
        <f>_xlfn.PERCENTILE.EXC(Q5:Q27,0.75)</f>
        <v>0.88693005734221608</v>
      </c>
      <c r="R28" s="239">
        <f>_xlfn.PERCENTILE.EXC(R5:R27,0.75)</f>
        <v>0.379</v>
      </c>
      <c r="S28" s="99">
        <f>_xlfn.PERCENTILE.EXC(S5:S27,0.5)</f>
        <v>3.9686897475925371</v>
      </c>
      <c r="T28" s="116"/>
      <c r="U28" s="116"/>
      <c r="V28" s="116"/>
      <c r="W28" s="116"/>
      <c r="X28" s="116"/>
      <c r="Y28" s="116"/>
      <c r="Z28" s="116"/>
      <c r="AA28" s="116"/>
      <c r="AB28" s="116"/>
      <c r="AC28" s="116"/>
      <c r="AD28" s="116"/>
      <c r="AE28" s="116"/>
    </row>
    <row r="29" spans="1:31">
      <c r="E29" s="433" t="s">
        <v>303</v>
      </c>
      <c r="F29" s="78" t="s">
        <v>304</v>
      </c>
      <c r="G29" s="356">
        <v>44.381999999999998</v>
      </c>
      <c r="H29" s="356">
        <v>185.40100000000001</v>
      </c>
      <c r="I29" s="226">
        <f t="shared" si="0"/>
        <v>0.23938382209373193</v>
      </c>
      <c r="J29" s="445">
        <v>-1.8738999999999999</v>
      </c>
      <c r="K29" s="268">
        <v>5.4032851155874004</v>
      </c>
      <c r="L29" s="322"/>
      <c r="M29" s="233"/>
      <c r="N29" s="88"/>
      <c r="O29" s="159"/>
      <c r="Q29" s="281"/>
      <c r="R29" s="282"/>
      <c r="S29" s="116"/>
      <c r="T29" s="116"/>
      <c r="U29" s="116"/>
      <c r="V29" s="116"/>
      <c r="W29" s="116"/>
      <c r="X29" s="116"/>
      <c r="Y29" s="116"/>
      <c r="Z29" s="116"/>
      <c r="AA29" s="116"/>
      <c r="AB29" s="116"/>
      <c r="AC29" s="116"/>
      <c r="AD29" s="116"/>
      <c r="AE29" s="116"/>
    </row>
    <row r="30" spans="1:31" ht="12" customHeight="1">
      <c r="E30" s="433" t="s">
        <v>305</v>
      </c>
      <c r="F30" s="78" t="s">
        <v>306</v>
      </c>
      <c r="G30" s="356">
        <v>0</v>
      </c>
      <c r="H30" s="356">
        <v>381.74599999999998</v>
      </c>
      <c r="I30" s="226">
        <f t="shared" si="0"/>
        <v>0</v>
      </c>
      <c r="J30" s="445">
        <v>0</v>
      </c>
      <c r="K30" s="432" t="s">
        <v>131</v>
      </c>
      <c r="L30" s="322"/>
      <c r="M30" s="476" t="s">
        <v>473</v>
      </c>
      <c r="N30" s="476"/>
      <c r="O30" s="476"/>
      <c r="P30" s="476"/>
      <c r="Q30" s="476"/>
      <c r="R30" s="476"/>
      <c r="S30" s="476"/>
      <c r="T30" s="116"/>
      <c r="U30" s="116"/>
      <c r="V30" s="116"/>
      <c r="W30" s="116"/>
      <c r="X30" s="116"/>
      <c r="Y30" s="116"/>
      <c r="Z30" s="116"/>
      <c r="AA30" s="116"/>
      <c r="AB30" s="116"/>
      <c r="AC30" s="116"/>
      <c r="AD30" s="116"/>
      <c r="AE30" s="116"/>
    </row>
    <row r="31" spans="1:31">
      <c r="E31" s="433" t="s">
        <v>307</v>
      </c>
      <c r="F31" s="78" t="s">
        <v>308</v>
      </c>
      <c r="G31" s="356">
        <v>0</v>
      </c>
      <c r="H31" s="356">
        <v>233.65</v>
      </c>
      <c r="I31" s="226">
        <f t="shared" si="0"/>
        <v>0</v>
      </c>
      <c r="J31" s="445">
        <v>0</v>
      </c>
      <c r="K31" s="432" t="s">
        <v>131</v>
      </c>
      <c r="L31" s="322"/>
      <c r="M31" s="227" t="s">
        <v>138</v>
      </c>
      <c r="N31" s="227" t="s">
        <v>35</v>
      </c>
      <c r="O31" s="205" t="s">
        <v>327</v>
      </c>
      <c r="P31" s="205" t="s">
        <v>472</v>
      </c>
      <c r="Q31" s="205" t="s">
        <v>106</v>
      </c>
      <c r="R31" s="205" t="s">
        <v>134</v>
      </c>
      <c r="S31" s="205" t="s">
        <v>37</v>
      </c>
      <c r="T31" s="116"/>
      <c r="U31" s="116"/>
      <c r="V31" s="116"/>
      <c r="W31" s="116"/>
      <c r="X31" s="116"/>
      <c r="Y31" s="116"/>
      <c r="Z31" s="116"/>
      <c r="AA31" s="116"/>
      <c r="AB31" s="116"/>
      <c r="AC31" s="116"/>
      <c r="AD31" s="116"/>
      <c r="AE31" s="116"/>
    </row>
    <row r="32" spans="1:31">
      <c r="E32" s="433" t="s">
        <v>309</v>
      </c>
      <c r="F32" s="78" t="s">
        <v>310</v>
      </c>
      <c r="G32" s="356">
        <v>30.928000000000001</v>
      </c>
      <c r="H32" s="356">
        <v>95.055000000000007</v>
      </c>
      <c r="I32" s="226">
        <f t="shared" si="0"/>
        <v>0.3253695229077902</v>
      </c>
      <c r="J32" s="445">
        <v>-1.9452</v>
      </c>
      <c r="K32" s="268">
        <v>4.3161859803414373</v>
      </c>
      <c r="L32" s="322"/>
      <c r="M32" s="64" t="s">
        <v>394</v>
      </c>
      <c r="N32" s="64" t="s">
        <v>395</v>
      </c>
      <c r="O32" s="434">
        <v>211.83</v>
      </c>
      <c r="P32" s="434">
        <v>134.62799999999999</v>
      </c>
      <c r="Q32" s="226">
        <f>O32/P32</f>
        <v>1.5734468312683842</v>
      </c>
      <c r="R32" s="65">
        <v>7.0599999999999996E-2</v>
      </c>
      <c r="S32" s="98">
        <v>2.8203465042722939</v>
      </c>
      <c r="T32" s="116"/>
      <c r="U32" s="279"/>
      <c r="V32" s="116"/>
      <c r="W32" s="116"/>
      <c r="X32" s="116"/>
      <c r="Y32" s="116"/>
      <c r="Z32" s="116"/>
      <c r="AA32" s="116"/>
      <c r="AB32" s="116"/>
      <c r="AC32" s="116"/>
      <c r="AD32" s="116"/>
      <c r="AE32" s="116"/>
    </row>
    <row r="33" spans="5:31">
      <c r="E33" s="78" t="s">
        <v>311</v>
      </c>
      <c r="F33" s="78" t="s">
        <v>312</v>
      </c>
      <c r="G33" s="436">
        <v>0</v>
      </c>
      <c r="H33" s="436">
        <v>384.05</v>
      </c>
      <c r="I33" s="226">
        <f t="shared" si="0"/>
        <v>0</v>
      </c>
      <c r="J33" s="444">
        <v>0</v>
      </c>
      <c r="K33" s="440" t="s">
        <v>131</v>
      </c>
      <c r="L33" s="322"/>
      <c r="M33" s="64" t="s">
        <v>396</v>
      </c>
      <c r="N33" s="244" t="s">
        <v>397</v>
      </c>
      <c r="O33" s="356">
        <v>5917.5029999999997</v>
      </c>
      <c r="P33" s="356">
        <v>9416.125</v>
      </c>
      <c r="Q33" s="226">
        <f>O33/P33</f>
        <v>0.62844354763769594</v>
      </c>
      <c r="R33" s="251">
        <v>0.2392</v>
      </c>
      <c r="S33" s="250">
        <v>4.7734750282340377</v>
      </c>
      <c r="T33" s="116"/>
      <c r="U33" s="279"/>
      <c r="V33" s="116"/>
      <c r="W33" s="116"/>
      <c r="X33" s="116"/>
      <c r="Y33" s="116"/>
      <c r="Z33" s="116"/>
      <c r="AA33" s="116"/>
      <c r="AB33" s="116"/>
      <c r="AC33" s="116"/>
      <c r="AD33" s="116"/>
      <c r="AE33" s="116"/>
    </row>
    <row r="34" spans="5:31">
      <c r="E34" s="433" t="s">
        <v>313</v>
      </c>
      <c r="F34" s="78" t="s">
        <v>314</v>
      </c>
      <c r="G34" s="356">
        <v>37.512</v>
      </c>
      <c r="H34" s="356">
        <v>93.646000000000001</v>
      </c>
      <c r="I34" s="226">
        <f t="shared" si="0"/>
        <v>0.40057236828054588</v>
      </c>
      <c r="J34" s="445">
        <v>-2.6455000000000002</v>
      </c>
      <c r="K34" s="268">
        <v>0.34230646193218156</v>
      </c>
      <c r="L34" s="322"/>
      <c r="M34" s="278"/>
      <c r="N34" s="215"/>
      <c r="O34" s="159"/>
      <c r="P34" s="159"/>
      <c r="Q34" s="99">
        <f>_xlfn.PERCENTILE.EXC(Q32:Q33,0.5)</f>
        <v>1.1009451894530402</v>
      </c>
      <c r="R34" s="239">
        <f>_xlfn.PERCENTILE.EXC(R32:R33,0.5)</f>
        <v>0.15489999999999998</v>
      </c>
      <c r="S34" s="99">
        <f>_xlfn.PERCENTILE.EXC(S32:S33,0.5)</f>
        <v>3.7969107662531658</v>
      </c>
      <c r="T34" s="116"/>
      <c r="U34" s="116"/>
      <c r="V34" s="116"/>
      <c r="W34" s="116"/>
      <c r="X34" s="116"/>
      <c r="Y34" s="116"/>
      <c r="Z34" s="116"/>
      <c r="AA34" s="116"/>
      <c r="AB34" s="116"/>
      <c r="AC34" s="116"/>
      <c r="AD34" s="116"/>
      <c r="AE34" s="116"/>
    </row>
    <row r="35" spans="5:31">
      <c r="E35" s="433" t="s">
        <v>315</v>
      </c>
      <c r="F35" s="78" t="s">
        <v>316</v>
      </c>
      <c r="G35" s="434">
        <v>0</v>
      </c>
      <c r="H35" s="434">
        <v>316.185</v>
      </c>
      <c r="I35" s="226">
        <f t="shared" si="0"/>
        <v>0</v>
      </c>
      <c r="J35" s="445">
        <v>0</v>
      </c>
      <c r="K35" s="432" t="s">
        <v>131</v>
      </c>
      <c r="L35" s="322"/>
      <c r="T35" s="116"/>
      <c r="U35" s="116"/>
      <c r="V35" s="116"/>
      <c r="W35" s="116"/>
      <c r="X35" s="116"/>
      <c r="Y35" s="116"/>
      <c r="Z35" s="116"/>
      <c r="AA35" s="116"/>
      <c r="AB35" s="116"/>
      <c r="AC35" s="116"/>
      <c r="AD35" s="116"/>
      <c r="AE35" s="116"/>
    </row>
    <row r="36" spans="5:31">
      <c r="E36" s="433" t="s">
        <v>317</v>
      </c>
      <c r="F36" s="78" t="s">
        <v>318</v>
      </c>
      <c r="G36" s="356">
        <v>11.567</v>
      </c>
      <c r="H36" s="356">
        <v>242.822</v>
      </c>
      <c r="I36" s="226">
        <f t="shared" si="0"/>
        <v>4.763571669782804E-2</v>
      </c>
      <c r="J36" s="445">
        <v>-11.883599999999999</v>
      </c>
      <c r="K36" s="268">
        <v>-8.8844601020143514</v>
      </c>
      <c r="L36" s="322"/>
      <c r="M36" s="227" t="s">
        <v>398</v>
      </c>
      <c r="N36" s="227" t="s">
        <v>405</v>
      </c>
      <c r="O36" s="205" t="s">
        <v>37</v>
      </c>
      <c r="P36" s="205" t="s">
        <v>406</v>
      </c>
      <c r="Q36" s="351" t="s">
        <v>169</v>
      </c>
      <c r="R36" s="205" t="s">
        <v>106</v>
      </c>
      <c r="S36" s="205" t="s">
        <v>134</v>
      </c>
      <c r="T36" s="116"/>
      <c r="U36" s="116"/>
      <c r="V36" s="116"/>
      <c r="W36" s="116"/>
      <c r="X36" s="116"/>
      <c r="Y36" s="116"/>
      <c r="Z36" s="116"/>
      <c r="AA36" s="116"/>
      <c r="AB36" s="116"/>
      <c r="AC36" s="116"/>
      <c r="AD36" s="116"/>
      <c r="AE36" s="116"/>
    </row>
    <row r="37" spans="5:31">
      <c r="E37" s="433" t="s">
        <v>319</v>
      </c>
      <c r="F37" s="78" t="s">
        <v>320</v>
      </c>
      <c r="G37" s="434">
        <v>0</v>
      </c>
      <c r="H37" s="434">
        <v>60.347999999999999</v>
      </c>
      <c r="I37" s="226">
        <f t="shared" si="0"/>
        <v>0</v>
      </c>
      <c r="J37" s="445">
        <v>0</v>
      </c>
      <c r="K37" s="432" t="s">
        <v>131</v>
      </c>
      <c r="L37" s="322"/>
      <c r="M37" s="383" t="s">
        <v>247</v>
      </c>
      <c r="N37" s="319">
        <v>32.840000000000003</v>
      </c>
      <c r="O37" s="98">
        <f>K38</f>
        <v>4.3161859803414373</v>
      </c>
      <c r="P37" s="384">
        <f>N37*O37</f>
        <v>141.7435475944128</v>
      </c>
      <c r="Q37" s="288">
        <f>P37/$P$41</f>
        <v>0.20972605923285093</v>
      </c>
      <c r="R37" s="414">
        <f>I38</f>
        <v>0.5972129420136878</v>
      </c>
      <c r="S37" s="331">
        <f>J38</f>
        <v>0</v>
      </c>
      <c r="T37" s="116"/>
      <c r="U37" s="116"/>
      <c r="V37" s="116"/>
      <c r="W37" s="116"/>
      <c r="X37" s="116"/>
      <c r="Y37" s="116"/>
      <c r="Z37" s="116"/>
      <c r="AA37" s="116"/>
      <c r="AB37" s="116"/>
      <c r="AC37" s="116"/>
      <c r="AD37" s="116"/>
      <c r="AE37" s="116"/>
    </row>
    <row r="38" spans="5:31">
      <c r="E38" s="278"/>
      <c r="F38" s="215"/>
      <c r="G38" s="159"/>
      <c r="H38" s="159"/>
      <c r="I38" s="99">
        <f>_xlfn.PERCENTILE.EXC(I5:I37,0.75)</f>
        <v>0.5972129420136878</v>
      </c>
      <c r="J38" s="239">
        <f>_xlfn.PERCENTILE.EXC(J5:J37,0.75)</f>
        <v>0</v>
      </c>
      <c r="K38" s="99">
        <f>_xlfn.PERCENTILE.EXC(K5:K37,0.5)</f>
        <v>4.3161859803414373</v>
      </c>
      <c r="L38" s="284"/>
      <c r="M38" s="383" t="s">
        <v>251</v>
      </c>
      <c r="N38" s="319">
        <v>59.043999999999997</v>
      </c>
      <c r="O38" s="98">
        <f>K48</f>
        <v>2.9681195229030903</v>
      </c>
      <c r="P38" s="384">
        <f t="shared" ref="P38:P40" si="2">N38*O38</f>
        <v>175.24964911029005</v>
      </c>
      <c r="Q38" s="288">
        <f t="shared" ref="Q38:Q40" si="3">P38/$P$41</f>
        <v>0.25930223219056642</v>
      </c>
      <c r="R38" s="414">
        <f>I48</f>
        <v>2.1577039559259452</v>
      </c>
      <c r="S38" s="331">
        <f>J48</f>
        <v>0.28474999999999995</v>
      </c>
      <c r="T38" s="116"/>
      <c r="U38" s="116"/>
      <c r="V38" s="116"/>
      <c r="W38" s="116"/>
      <c r="X38" s="116"/>
      <c r="Y38" s="116"/>
      <c r="Z38" s="116"/>
      <c r="AA38" s="116"/>
      <c r="AB38" s="116"/>
      <c r="AC38" s="116"/>
      <c r="AD38" s="116"/>
      <c r="AE38" s="116"/>
    </row>
    <row r="39" spans="5:31">
      <c r="E39" s="278"/>
      <c r="F39" s="215"/>
      <c r="G39" s="159"/>
      <c r="H39" s="197"/>
      <c r="I39" s="157"/>
      <c r="K39" s="87"/>
      <c r="L39" s="87"/>
      <c r="M39" s="383" t="s">
        <v>252</v>
      </c>
      <c r="N39" s="319">
        <v>45.579000000000001</v>
      </c>
      <c r="O39" s="98">
        <f>S28</f>
        <v>3.9686897475925371</v>
      </c>
      <c r="P39" s="384">
        <f t="shared" si="2"/>
        <v>180.88891000552024</v>
      </c>
      <c r="Q39" s="288">
        <f t="shared" si="3"/>
        <v>0.26764617436369975</v>
      </c>
      <c r="R39" s="414">
        <f>Q28</f>
        <v>0.88693005734221608</v>
      </c>
      <c r="S39" s="331">
        <f>R28</f>
        <v>0.379</v>
      </c>
    </row>
    <row r="40" spans="5:31">
      <c r="E40" s="476" t="s">
        <v>333</v>
      </c>
      <c r="F40" s="476"/>
      <c r="G40" s="476"/>
      <c r="H40" s="476"/>
      <c r="I40" s="476"/>
      <c r="J40" s="476"/>
      <c r="K40" s="476"/>
      <c r="L40" s="284"/>
      <c r="M40" s="383" t="s">
        <v>253</v>
      </c>
      <c r="N40" s="319">
        <v>46.872</v>
      </c>
      <c r="O40" s="98">
        <f>S34</f>
        <v>3.7969107662531658</v>
      </c>
      <c r="P40" s="384">
        <f t="shared" si="2"/>
        <v>177.96880143581839</v>
      </c>
      <c r="Q40" s="288">
        <f t="shared" si="3"/>
        <v>0.26332553421288285</v>
      </c>
      <c r="R40" s="414">
        <f>Q34</f>
        <v>1.1009451894530402</v>
      </c>
      <c r="S40" s="331">
        <f>R34</f>
        <v>0.15489999999999998</v>
      </c>
    </row>
    <row r="41" spans="5:31">
      <c r="E41" s="227" t="s">
        <v>138</v>
      </c>
      <c r="F41" s="227" t="s">
        <v>35</v>
      </c>
      <c r="G41" s="205" t="s">
        <v>327</v>
      </c>
      <c r="H41" s="205" t="s">
        <v>472</v>
      </c>
      <c r="I41" s="205" t="s">
        <v>106</v>
      </c>
      <c r="J41" s="205" t="s">
        <v>134</v>
      </c>
      <c r="K41" s="205" t="s">
        <v>37</v>
      </c>
      <c r="L41" s="87"/>
      <c r="M41" s="87"/>
      <c r="N41" s="390">
        <f>SUM(N37:N40)</f>
        <v>184.33499999999998</v>
      </c>
      <c r="O41" s="159"/>
      <c r="P41" s="392">
        <f>SUM(P37:P40)</f>
        <v>675.85090814604155</v>
      </c>
      <c r="Q41" s="388">
        <f>SUM(Q37:Q40)</f>
        <v>1</v>
      </c>
      <c r="R41" s="447">
        <f>(R37*Q37)+(Q38*R38)+(Q39*R39)+(Q40*R40)</f>
        <v>1.2120389859570473</v>
      </c>
      <c r="S41" s="448">
        <f>(S37*Q37)+(S38*Q38)+(Q39*S39)+(Q40*S40)</f>
        <v>0.21606333594968152</v>
      </c>
    </row>
    <row r="42" spans="5:31">
      <c r="E42" s="64" t="s">
        <v>334</v>
      </c>
      <c r="F42" s="64" t="s">
        <v>335</v>
      </c>
      <c r="G42" s="434">
        <v>9876.2880000000005</v>
      </c>
      <c r="H42" s="434">
        <v>1886.0409999999999</v>
      </c>
      <c r="I42" s="226">
        <f>G42/H42</f>
        <v>5.2365181880987741</v>
      </c>
      <c r="J42" s="65">
        <v>3.2500000000000001E-2</v>
      </c>
      <c r="K42" s="98">
        <v>0.22554592373166923</v>
      </c>
      <c r="L42" s="322"/>
    </row>
    <row r="43" spans="5:31">
      <c r="E43" s="64" t="s">
        <v>336</v>
      </c>
      <c r="F43" s="244" t="s">
        <v>337</v>
      </c>
      <c r="G43" s="356">
        <v>970.80600000000004</v>
      </c>
      <c r="H43" s="356">
        <v>2329.63</v>
      </c>
      <c r="I43" s="226">
        <f t="shared" ref="I43:I47" si="4">G43/H43</f>
        <v>0.41672111021921937</v>
      </c>
      <c r="J43" s="251">
        <v>0.33079999999999998</v>
      </c>
      <c r="K43" s="250">
        <v>3.7571965974664345</v>
      </c>
      <c r="L43" s="282"/>
    </row>
    <row r="44" spans="5:31">
      <c r="E44" s="64" t="s">
        <v>338</v>
      </c>
      <c r="F44" s="244" t="s">
        <v>339</v>
      </c>
      <c r="G44" s="434">
        <v>4773.1329999999998</v>
      </c>
      <c r="H44" s="434">
        <v>9620.7119999999995</v>
      </c>
      <c r="I44" s="226">
        <f t="shared" si="4"/>
        <v>0.49613095163850657</v>
      </c>
      <c r="J44" s="65">
        <v>0.13500000000000001</v>
      </c>
      <c r="K44" s="98">
        <v>4.0893226314875362</v>
      </c>
      <c r="L44" s="282"/>
    </row>
    <row r="45" spans="5:31">
      <c r="E45" s="64" t="s">
        <v>341</v>
      </c>
      <c r="F45" s="244" t="s">
        <v>340</v>
      </c>
      <c r="G45" s="356">
        <v>2928.6</v>
      </c>
      <c r="H45" s="356">
        <v>2588.4</v>
      </c>
      <c r="I45" s="226">
        <f t="shared" si="4"/>
        <v>1.1314325452016689</v>
      </c>
      <c r="J45" s="252">
        <v>0.26939999999999997</v>
      </c>
      <c r="K45" s="249">
        <v>6.109505053609233</v>
      </c>
      <c r="L45" s="282"/>
    </row>
    <row r="46" spans="5:31">
      <c r="E46" s="64" t="s">
        <v>343</v>
      </c>
      <c r="F46" s="244" t="s">
        <v>342</v>
      </c>
      <c r="G46" s="356">
        <v>27146</v>
      </c>
      <c r="H46" s="356">
        <v>28019</v>
      </c>
      <c r="I46" s="226">
        <f t="shared" si="4"/>
        <v>0.96884257111245942</v>
      </c>
      <c r="J46" s="65">
        <v>0.1371</v>
      </c>
      <c r="K46" s="98">
        <v>2.0342408826346423</v>
      </c>
      <c r="L46" s="282"/>
    </row>
    <row r="47" spans="5:31">
      <c r="E47" s="64" t="s">
        <v>345</v>
      </c>
      <c r="F47" s="64" t="s">
        <v>344</v>
      </c>
      <c r="G47" s="356">
        <v>35085</v>
      </c>
      <c r="H47" s="356">
        <v>32409</v>
      </c>
      <c r="I47" s="226">
        <f t="shared" si="4"/>
        <v>1.0825696565768768</v>
      </c>
      <c r="J47" s="65">
        <v>0</v>
      </c>
      <c r="K47" s="98">
        <v>2.1790424483397461</v>
      </c>
      <c r="L47" s="282"/>
    </row>
    <row r="48" spans="5:31">
      <c r="E48" s="278"/>
      <c r="F48" s="215"/>
      <c r="G48" s="159"/>
      <c r="H48" s="159"/>
      <c r="I48" s="99">
        <f>_xlfn.PERCENTILE.EXC(I42:I47,0.75)</f>
        <v>2.1577039559259452</v>
      </c>
      <c r="J48" s="239">
        <f>_xlfn.PERCENTILE.EXC(J42:J47,0.75)</f>
        <v>0.28474999999999995</v>
      </c>
      <c r="K48" s="99">
        <f>_xlfn.PERCENTILE.EXC(K42:K47,0.5)</f>
        <v>2.9681195229030903</v>
      </c>
      <c r="L48" s="7"/>
    </row>
    <row r="49" spans="12:12">
      <c r="L49" s="7"/>
    </row>
  </sheetData>
  <mergeCells count="4">
    <mergeCell ref="E3:K3"/>
    <mergeCell ref="E40:K40"/>
    <mergeCell ref="M3:S3"/>
    <mergeCell ref="M30:S30"/>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zoomScaleNormal="100" workbookViewId="0"/>
  </sheetViews>
  <sheetFormatPr defaultRowHeight="12"/>
  <cols>
    <col min="1" max="1" width="2" style="111" customWidth="1"/>
    <col min="2" max="2" width="7" style="111" customWidth="1"/>
    <col min="3" max="3" width="14.7109375" style="111" customWidth="1"/>
    <col min="4" max="4" width="14.28515625" style="111" bestFit="1" customWidth="1"/>
    <col min="5" max="5" width="13.85546875" style="111" customWidth="1"/>
    <col min="6" max="6" width="2.140625" style="111" customWidth="1"/>
    <col min="7" max="7" width="14.42578125" style="111" customWidth="1" collapsed="1"/>
    <col min="8" max="8" width="13.85546875" style="111" customWidth="1"/>
    <col min="9" max="9" width="14.140625" style="111" customWidth="1"/>
    <col min="10" max="10" width="2" style="111" customWidth="1"/>
    <col min="11" max="11" width="13.7109375" style="111" customWidth="1"/>
    <col min="12" max="12" width="14.28515625" style="111" customWidth="1"/>
    <col min="13" max="13" width="14.5703125" style="111" customWidth="1"/>
    <col min="14" max="14" width="2.42578125" style="111" customWidth="1"/>
    <col min="15" max="15" width="17.28515625" style="111" customWidth="1"/>
    <col min="16" max="16" width="13.7109375" style="111" customWidth="1"/>
    <col min="17" max="17" width="12.42578125" style="111" customWidth="1"/>
    <col min="18" max="28" width="9.140625" style="111" customWidth="1"/>
    <col min="29" max="29" width="9.28515625" style="111" customWidth="1"/>
    <col min="30" max="30" width="9.42578125" style="111" customWidth="1"/>
    <col min="31" max="31" width="10" style="111" customWidth="1"/>
    <col min="32" max="32" width="11.42578125" style="111" customWidth="1"/>
    <col min="33" max="33" width="9.42578125" style="111" bestFit="1" customWidth="1" collapsed="1"/>
    <col min="34" max="16384" width="9.140625" style="111"/>
  </cols>
  <sheetData>
    <row r="1" spans="1:32" s="110" customFormat="1" ht="15" customHeight="1">
      <c r="B1" s="16" t="s">
        <v>476</v>
      </c>
      <c r="C1" s="109"/>
      <c r="D1" s="109"/>
      <c r="E1" s="109"/>
      <c r="F1" s="109"/>
      <c r="G1" s="109"/>
      <c r="H1" s="109"/>
      <c r="I1" s="109"/>
      <c r="J1" s="109"/>
      <c r="K1" s="109"/>
      <c r="L1" s="109"/>
      <c r="M1" s="109"/>
      <c r="N1" s="109"/>
    </row>
    <row r="2" spans="1:32" ht="12" customHeight="1">
      <c r="C2" s="132"/>
      <c r="G2" s="450"/>
    </row>
    <row r="3" spans="1:32" ht="12" customHeight="1">
      <c r="A3" s="113"/>
      <c r="B3" s="175"/>
      <c r="C3" s="152" t="s">
        <v>502</v>
      </c>
      <c r="D3" s="152" t="s">
        <v>165</v>
      </c>
      <c r="E3" s="152" t="s">
        <v>489</v>
      </c>
      <c r="G3" s="152" t="s">
        <v>490</v>
      </c>
      <c r="H3" s="152" t="s">
        <v>165</v>
      </c>
      <c r="I3" s="152" t="s">
        <v>491</v>
      </c>
      <c r="K3" s="152" t="s">
        <v>492</v>
      </c>
      <c r="L3" s="152" t="s">
        <v>165</v>
      </c>
      <c r="M3" s="152" t="s">
        <v>493</v>
      </c>
      <c r="N3" s="451"/>
      <c r="O3" s="152" t="s">
        <v>494</v>
      </c>
      <c r="P3" s="152" t="s">
        <v>165</v>
      </c>
      <c r="Q3" s="152" t="s">
        <v>495</v>
      </c>
    </row>
    <row r="4" spans="1:32" ht="12" customHeight="1">
      <c r="A4" s="118"/>
      <c r="B4" s="168" t="s">
        <v>477</v>
      </c>
      <c r="C4" s="460">
        <f>32.56*1000</f>
        <v>32560.000000000004</v>
      </c>
      <c r="D4" s="452">
        <f>E4/C4</f>
        <v>2.024297297297297E-3</v>
      </c>
      <c r="E4" s="316">
        <f>18.435+14.505+(28%*58.879)+16.485</f>
        <v>65.911119999999997</v>
      </c>
      <c r="G4" s="460">
        <f>(12.5*(1+9.37%))*1000</f>
        <v>13671.249999999998</v>
      </c>
      <c r="H4" s="452">
        <f>I4/G4</f>
        <v>4.4960285270183786E-3</v>
      </c>
      <c r="I4" s="316">
        <f>16.964+14.774+(27%*58.879)+13.831</f>
        <v>61.466329999999999</v>
      </c>
      <c r="K4" s="460">
        <f>(328*(1+$P$20))*1000</f>
        <v>365064</v>
      </c>
      <c r="L4" s="452">
        <f>M4/K4</f>
        <v>1.3534385751539456E-4</v>
      </c>
      <c r="M4" s="316">
        <f>12.144+10.967+(23%*58.879)+12.756</f>
        <v>49.409170000000003</v>
      </c>
      <c r="N4" s="453"/>
      <c r="O4" s="316">
        <f>5106.25*(1+7.65%)</f>
        <v>5496.8781250000002</v>
      </c>
      <c r="P4" s="462">
        <f>Q4/O4</f>
        <v>8.3666362895757317E-3</v>
      </c>
      <c r="Q4" s="316">
        <f>11.206+10.207+(22%*58.879)+11.624</f>
        <v>45.990380000000002</v>
      </c>
      <c r="R4" s="115"/>
      <c r="W4" s="115"/>
    </row>
    <row r="5" spans="1:32" ht="12" customHeight="1">
      <c r="A5" s="118"/>
      <c r="B5" s="256" t="s">
        <v>478</v>
      </c>
      <c r="C5" s="301">
        <f>C4*(1+$P$18)</f>
        <v>38485.920000000006</v>
      </c>
      <c r="D5" s="146">
        <f ca="1">AVERAGE(D4,D6)</f>
        <v>2.1218675675675671E-3</v>
      </c>
      <c r="E5" s="301">
        <f ca="1">C5*D5</f>
        <v>81.662025455999995</v>
      </c>
      <c r="G5" s="301">
        <f>G4*(1+$P$19)</f>
        <v>14952.246125</v>
      </c>
      <c r="H5" s="146">
        <f ca="1">AVERAGE(H4,H6)</f>
        <v>4.6964256743165407E-3</v>
      </c>
      <c r="I5" s="301">
        <f ca="1">G5*H5</f>
        <v>70.222112590150005</v>
      </c>
      <c r="K5" s="301">
        <f>K4*(1+$P$20)</f>
        <v>406316.23200000002</v>
      </c>
      <c r="L5" s="146">
        <f ca="1">AVERAGE(L4,L6)</f>
        <v>1.5180947176385507E-4</v>
      </c>
      <c r="M5" s="301">
        <f ca="1">K5*L5</f>
        <v>61.68265254899999</v>
      </c>
      <c r="N5" s="199"/>
      <c r="O5" s="301">
        <f>O4*(1+$P$21)</f>
        <v>5917.3893015624999</v>
      </c>
      <c r="P5" s="48">
        <f ca="1">AVERAGE(P4,P6)</f>
        <v>9.5299726606181585E-3</v>
      </c>
      <c r="Q5" s="301">
        <f ca="1">O5*P5</f>
        <v>56.392558266125</v>
      </c>
      <c r="R5" s="116"/>
      <c r="S5" s="116"/>
      <c r="T5" s="116"/>
      <c r="U5" s="116"/>
      <c r="V5" s="116"/>
      <c r="W5" s="116"/>
      <c r="X5" s="116"/>
      <c r="Y5" s="116"/>
      <c r="Z5" s="116"/>
      <c r="AA5" s="116"/>
      <c r="AB5" s="116"/>
    </row>
    <row r="6" spans="1:32" ht="12" customHeight="1">
      <c r="A6" s="118"/>
      <c r="B6" s="256" t="s">
        <v>479</v>
      </c>
      <c r="C6" s="301">
        <f>C5*(1+$P$18)</f>
        <v>45490.357440000007</v>
      </c>
      <c r="D6" s="146">
        <f ca="1">AVERAGE(D5,D7)</f>
        <v>2.2194378378378376E-3</v>
      </c>
      <c r="E6" s="301">
        <f t="shared" ref="E6:E13" ca="1" si="0">C6*D6</f>
        <v>100.96302055910401</v>
      </c>
      <c r="G6" s="301">
        <f t="shared" ref="G6:G9" si="1">G5*(1+$P$19)</f>
        <v>16353.271586912502</v>
      </c>
      <c r="H6" s="146">
        <f ca="1">AVERAGE(H5,H7)</f>
        <v>4.8968228216147028E-3</v>
      </c>
      <c r="I6" s="301">
        <f t="shared" ref="I6:I15" ca="1" si="2">G6*H6</f>
        <v>80.079073514856432</v>
      </c>
      <c r="K6" s="301">
        <f t="shared" ref="K6:K12" si="3">K5*(1+$P$20)</f>
        <v>452229.96621600003</v>
      </c>
      <c r="L6" s="146">
        <f ca="1">AVERAGE(L5,L7)</f>
        <v>1.6827508601231561E-4</v>
      </c>
      <c r="M6" s="301">
        <f t="shared" ref="M6:M15" ca="1" si="4">K6*L6</f>
        <v>76.099036462343989</v>
      </c>
      <c r="N6" s="199"/>
      <c r="O6" s="301">
        <f t="shared" ref="O6:O9" si="5">O5*(1+$P$21)</f>
        <v>6370.0695831320309</v>
      </c>
      <c r="P6" s="48">
        <f ca="1">AVERAGE(P5,P7)</f>
        <v>1.0693309031660585E-2</v>
      </c>
      <c r="Q6" s="301">
        <f t="shared" ref="Q6:Q15" ca="1" si="6">O6*P6</f>
        <v>68.117122605612124</v>
      </c>
      <c r="R6" s="116"/>
      <c r="S6" s="116"/>
      <c r="T6" s="116"/>
      <c r="U6" s="116"/>
      <c r="V6" s="116"/>
      <c r="W6" s="116"/>
      <c r="X6" s="116"/>
      <c r="Y6" s="116"/>
      <c r="Z6" s="116"/>
      <c r="AA6" s="116"/>
      <c r="AB6" s="116"/>
    </row>
    <row r="7" spans="1:32" ht="12" customHeight="1">
      <c r="B7" s="256" t="s">
        <v>480</v>
      </c>
      <c r="C7" s="301">
        <f>C6*(1+$P$18)</f>
        <v>53769.602494080005</v>
      </c>
      <c r="D7" s="146">
        <f ca="1">AVERAGE(D5,D9)</f>
        <v>2.3170081081081077E-3</v>
      </c>
      <c r="E7" s="301">
        <f t="shared" ca="1" si="0"/>
        <v>124.5846049485333</v>
      </c>
      <c r="G7" s="301">
        <f t="shared" si="1"/>
        <v>17885.573134606206</v>
      </c>
      <c r="H7" s="146">
        <f ca="1">AVERAGE(H5,H9)</f>
        <v>5.0972199689128649E-3</v>
      </c>
      <c r="I7" s="301">
        <f t="shared" ca="1" si="2"/>
        <v>91.166700537166221</v>
      </c>
      <c r="K7" s="301">
        <f t="shared" si="3"/>
        <v>503331.95239840803</v>
      </c>
      <c r="L7" s="146">
        <f ca="1">AVERAGE(L5,L9)</f>
        <v>1.8474070026077617E-4</v>
      </c>
      <c r="M7" s="301">
        <f t="shared" ca="1" si="4"/>
        <v>92.985897349705553</v>
      </c>
      <c r="N7" s="199"/>
      <c r="O7" s="301">
        <f t="shared" si="5"/>
        <v>6857.379906241631</v>
      </c>
      <c r="P7" s="48">
        <f ca="1">AVERAGE(P5,P9)</f>
        <v>1.1856645402703012E-2</v>
      </c>
      <c r="Q7" s="301">
        <f t="shared" ca="1" si="6"/>
        <v>81.305521939927843</v>
      </c>
      <c r="R7" s="116"/>
      <c r="S7" s="116"/>
      <c r="T7" s="116"/>
      <c r="U7" s="116"/>
      <c r="V7" s="116"/>
      <c r="W7" s="116"/>
      <c r="X7" s="116"/>
      <c r="Y7" s="116"/>
      <c r="Z7" s="116"/>
      <c r="AA7" s="116"/>
      <c r="AB7" s="116"/>
    </row>
    <row r="8" spans="1:32" ht="12" customHeight="1">
      <c r="A8" s="118"/>
      <c r="B8" s="256" t="s">
        <v>481</v>
      </c>
      <c r="C8" s="301">
        <f>C7*(1+$P$18)</f>
        <v>63555.670148002566</v>
      </c>
      <c r="D8" s="146">
        <f ca="1">AVERAGE(D9,D7)</f>
        <v>2.4145783783783778E-3</v>
      </c>
      <c r="E8" s="301">
        <f t="shared" ca="1" si="0"/>
        <v>153.4601469627151</v>
      </c>
      <c r="G8" s="301">
        <f t="shared" si="1"/>
        <v>19561.451337318809</v>
      </c>
      <c r="H8" s="146">
        <f ca="1">AVERAGE(H9,H7)</f>
        <v>5.297617116211027E-3</v>
      </c>
      <c r="I8" s="301">
        <f t="shared" ca="1" si="2"/>
        <v>103.62907942250921</v>
      </c>
      <c r="K8" s="301">
        <f t="shared" si="3"/>
        <v>560208.46301942808</v>
      </c>
      <c r="L8" s="146">
        <f ca="1">AVERAGE(L9,L7)</f>
        <v>2.0120631450923674E-4</v>
      </c>
      <c r="M8" s="301">
        <f t="shared" ca="1" si="4"/>
        <v>112.71748020102316</v>
      </c>
      <c r="N8" s="199"/>
      <c r="O8" s="301">
        <f t="shared" si="5"/>
        <v>7381.9694690691158</v>
      </c>
      <c r="P8" s="48">
        <f ca="1">AVERAGE(P9,P7)</f>
        <v>1.3019981773745439E-2</v>
      </c>
      <c r="Q8" s="301">
        <f t="shared" ca="1" si="6"/>
        <v>96.113107941625188</v>
      </c>
      <c r="R8" s="116"/>
      <c r="S8" s="116"/>
      <c r="T8" s="116"/>
      <c r="U8" s="116"/>
      <c r="V8" s="116"/>
      <c r="W8" s="116"/>
      <c r="X8" s="116"/>
      <c r="Y8" s="116"/>
      <c r="Z8" s="116"/>
      <c r="AA8" s="116"/>
      <c r="AB8" s="116"/>
    </row>
    <row r="9" spans="1:32" ht="12" customHeight="1">
      <c r="A9" s="118"/>
      <c r="B9" s="256" t="s">
        <v>482</v>
      </c>
      <c r="C9" s="301">
        <f>C8*(1+$Q$18)</f>
        <v>69275.680461322801</v>
      </c>
      <c r="D9" s="146">
        <f>AVERAGE(D4,D14)</f>
        <v>2.5121486486486483E-3</v>
      </c>
      <c r="E9" s="301">
        <f t="shared" si="0"/>
        <v>174.03080705512764</v>
      </c>
      <c r="G9" s="301">
        <f t="shared" si="1"/>
        <v>21394.359327625585</v>
      </c>
      <c r="H9" s="146">
        <f>AVERAGE(H4,H14)</f>
        <v>5.4980142635091891E-3</v>
      </c>
      <c r="I9" s="301">
        <f t="shared" si="2"/>
        <v>117.62649274192633</v>
      </c>
      <c r="K9" s="301">
        <f t="shared" si="3"/>
        <v>623512.0193406234</v>
      </c>
      <c r="L9" s="146">
        <f>AVERAGE(L4,L14)</f>
        <v>2.1767192875769728E-4</v>
      </c>
      <c r="M9" s="301">
        <f t="shared" si="4"/>
        <v>135.72106385348013</v>
      </c>
      <c r="N9" s="199"/>
      <c r="O9" s="301">
        <f t="shared" si="5"/>
        <v>7946.690133452903</v>
      </c>
      <c r="P9" s="48">
        <f>AVERAGE(P4,P14)</f>
        <v>1.4183318144787866E-2</v>
      </c>
      <c r="Q9" s="301">
        <f t="shared" si="6"/>
        <v>112.71043436080927</v>
      </c>
      <c r="R9" s="116"/>
      <c r="S9" s="116"/>
      <c r="T9" s="116"/>
      <c r="U9" s="116"/>
      <c r="V9" s="116"/>
      <c r="W9" s="116"/>
      <c r="X9" s="116"/>
      <c r="Y9" s="116"/>
      <c r="Z9" s="116"/>
      <c r="AA9" s="116"/>
      <c r="AB9" s="116"/>
    </row>
    <row r="10" spans="1:32">
      <c r="A10" s="114"/>
      <c r="B10" s="256" t="s">
        <v>483</v>
      </c>
      <c r="C10" s="301">
        <f t="shared" ref="C10:C15" si="7">C9*(1+$Q$18)</f>
        <v>75510.491702841857</v>
      </c>
      <c r="D10" s="146">
        <f>AVERAGE(D9,D11)</f>
        <v>2.5731300675675673E-3</v>
      </c>
      <c r="E10" s="301">
        <f t="shared" si="0"/>
        <v>194.29831661739371</v>
      </c>
      <c r="G10" s="301">
        <f>G9*(1+$Q$19)</f>
        <v>22678.020887283121</v>
      </c>
      <c r="H10" s="146">
        <f>AVERAGE(H9,H11)</f>
        <v>5.6232624805705404E-3</v>
      </c>
      <c r="I10" s="301">
        <f t="shared" si="2"/>
        <v>127.52446398905421</v>
      </c>
      <c r="K10" s="301">
        <f t="shared" si="3"/>
        <v>693968.87752611388</v>
      </c>
      <c r="L10" s="146">
        <f>AVERAGE(L9,L11)</f>
        <v>2.2796293766298511E-4</v>
      </c>
      <c r="M10" s="301">
        <f t="shared" si="4"/>
        <v>158.19918396753724</v>
      </c>
      <c r="N10" s="199"/>
      <c r="O10" s="301">
        <f>O9*(1+$Q$21)</f>
        <v>8267.8953486470691</v>
      </c>
      <c r="P10" s="48">
        <f>AVERAGE(P9,P11)</f>
        <v>1.4910403376689382E-2</v>
      </c>
      <c r="Q10" s="301">
        <f t="shared" si="6"/>
        <v>123.27765472458169</v>
      </c>
      <c r="R10" s="116"/>
      <c r="S10" s="116"/>
      <c r="T10" s="116"/>
      <c r="U10" s="116"/>
      <c r="V10" s="116"/>
      <c r="W10" s="116"/>
      <c r="X10" s="116"/>
      <c r="Y10" s="116"/>
      <c r="Z10" s="116"/>
      <c r="AA10" s="116"/>
      <c r="AB10" s="116"/>
    </row>
    <row r="11" spans="1:32">
      <c r="A11" s="118"/>
      <c r="B11" s="256" t="s">
        <v>484</v>
      </c>
      <c r="C11" s="301">
        <f t="shared" si="7"/>
        <v>82306.43595609763</v>
      </c>
      <c r="D11" s="146">
        <f>AVERAGE(D9,D12)</f>
        <v>2.6341114864864863E-3</v>
      </c>
      <c r="E11" s="301">
        <f t="shared" si="0"/>
        <v>216.80432836372111</v>
      </c>
      <c r="G11" s="301">
        <f t="shared" ref="G11:G15" si="8">G10*(1+$Q$19)</f>
        <v>24038.702140520109</v>
      </c>
      <c r="H11" s="146">
        <f>AVERAGE(H9,H12)</f>
        <v>5.7485106976318916E-3</v>
      </c>
      <c r="I11" s="301">
        <f t="shared" si="2"/>
        <v>138.18673641196651</v>
      </c>
      <c r="K11" s="301">
        <f t="shared" si="3"/>
        <v>772387.3606865647</v>
      </c>
      <c r="L11" s="146">
        <f>AVERAGE(L9,L12)</f>
        <v>2.3825394656827294E-4</v>
      </c>
      <c r="M11" s="301">
        <f t="shared" si="4"/>
        <v>184.02433696302614</v>
      </c>
      <c r="N11" s="199"/>
      <c r="O11" s="301">
        <f t="shared" ref="O11:O15" si="9">O10*(1+$Q$21)</f>
        <v>8602.0836786393829</v>
      </c>
      <c r="P11" s="48">
        <f>AVERAGE(P9,P12)</f>
        <v>1.5637488608590898E-2</v>
      </c>
      <c r="Q11" s="301">
        <f t="shared" si="6"/>
        <v>134.51498553486903</v>
      </c>
      <c r="R11" s="116"/>
      <c r="S11" s="116"/>
      <c r="T11" s="116"/>
      <c r="U11" s="116"/>
      <c r="V11" s="116"/>
      <c r="W11" s="116"/>
      <c r="X11" s="116"/>
      <c r="Y11" s="116"/>
      <c r="Z11" s="116"/>
      <c r="AA11" s="116"/>
      <c r="AB11" s="116"/>
    </row>
    <row r="12" spans="1:32">
      <c r="B12" s="256" t="s">
        <v>485</v>
      </c>
      <c r="C12" s="301">
        <f t="shared" si="7"/>
        <v>89714.015192146428</v>
      </c>
      <c r="D12" s="146">
        <f>AVERAGE(D9,D14)</f>
        <v>2.7560743243243242E-3</v>
      </c>
      <c r="E12" s="301">
        <f t="shared" si="0"/>
        <v>247.25849380311712</v>
      </c>
      <c r="G12" s="301">
        <f t="shared" si="8"/>
        <v>25481.024268951318</v>
      </c>
      <c r="H12" s="146">
        <f>AVERAGE(H9,H14)</f>
        <v>5.999007131754594E-3</v>
      </c>
      <c r="I12" s="301">
        <f t="shared" si="2"/>
        <v>152.86084631385086</v>
      </c>
      <c r="K12" s="301">
        <f t="shared" si="3"/>
        <v>859667.13244414655</v>
      </c>
      <c r="L12" s="146">
        <f>AVERAGE(L9,L14)</f>
        <v>2.588359643788486E-4</v>
      </c>
      <c r="M12" s="301">
        <f>K12*L12</f>
        <v>222.51277127098004</v>
      </c>
      <c r="N12" s="199"/>
      <c r="O12" s="301">
        <f t="shared" si="9"/>
        <v>8949.7799009299852</v>
      </c>
      <c r="P12" s="48">
        <f>AVERAGE(P9,P14)</f>
        <v>1.7091659072393933E-2</v>
      </c>
      <c r="Q12" s="301">
        <f t="shared" si="6"/>
        <v>152.96658683965885</v>
      </c>
      <c r="R12" s="116"/>
      <c r="S12" s="116"/>
      <c r="T12" s="116"/>
      <c r="U12" s="116"/>
      <c r="V12" s="116"/>
      <c r="W12" s="116"/>
      <c r="X12" s="116"/>
      <c r="Y12" s="116"/>
      <c r="Z12" s="116"/>
      <c r="AA12" s="116"/>
      <c r="AB12" s="116"/>
    </row>
    <row r="13" spans="1:32">
      <c r="A13" s="118"/>
      <c r="B13" s="256" t="s">
        <v>486</v>
      </c>
      <c r="C13" s="301">
        <f t="shared" si="7"/>
        <v>97788.276559439619</v>
      </c>
      <c r="D13" s="146">
        <f>AVERAGE(D14,D12)</f>
        <v>2.8780371621621621E-3</v>
      </c>
      <c r="E13" s="301">
        <f t="shared" si="0"/>
        <v>281.43829396185828</v>
      </c>
      <c r="G13" s="301">
        <f t="shared" si="8"/>
        <v>27009.885725088399</v>
      </c>
      <c r="H13" s="146">
        <f>AVERAGE(H14,H12)</f>
        <v>6.2495035658772964E-3</v>
      </c>
      <c r="I13" s="301">
        <f t="shared" si="2"/>
        <v>168.79837715287823</v>
      </c>
      <c r="K13" s="301">
        <f>K12*(1+$Q$20)</f>
        <v>911247.16039079544</v>
      </c>
      <c r="L13" s="146">
        <f>AVERAGE(L14,L12)</f>
        <v>2.7941798218942431E-4</v>
      </c>
      <c r="M13" s="301">
        <f t="shared" si="4"/>
        <v>254.61884283223876</v>
      </c>
      <c r="N13" s="199"/>
      <c r="O13" s="301">
        <f t="shared" si="9"/>
        <v>9311.5300045255735</v>
      </c>
      <c r="P13" s="48">
        <f>AVERAGE(P14,P12)</f>
        <v>1.8545829536196969E-2</v>
      </c>
      <c r="Q13" s="301">
        <f t="shared" si="6"/>
        <v>172.69004818511468</v>
      </c>
      <c r="R13" s="116"/>
      <c r="S13" s="116"/>
      <c r="T13" s="116"/>
      <c r="U13" s="116"/>
      <c r="V13" s="116"/>
      <c r="W13" s="116"/>
      <c r="X13" s="116"/>
      <c r="Y13" s="116"/>
      <c r="Z13" s="116"/>
      <c r="AA13" s="116"/>
      <c r="AB13" s="116"/>
    </row>
    <row r="14" spans="1:32">
      <c r="B14" s="256" t="s">
        <v>487</v>
      </c>
      <c r="C14" s="301">
        <f t="shared" si="7"/>
        <v>106589.2214497892</v>
      </c>
      <c r="D14" s="146">
        <v>3.0000000000000001E-3</v>
      </c>
      <c r="E14" s="301">
        <f>C14*D14</f>
        <v>319.76766434936758</v>
      </c>
      <c r="G14" s="301">
        <f t="shared" si="8"/>
        <v>28630.478868593706</v>
      </c>
      <c r="H14" s="146">
        <v>6.4999999999999997E-3</v>
      </c>
      <c r="I14" s="301">
        <f t="shared" si="2"/>
        <v>186.09811264585909</v>
      </c>
      <c r="K14" s="301">
        <f t="shared" ref="K14:K15" si="10">K13*(1+$Q$20)</f>
        <v>965921.99001424317</v>
      </c>
      <c r="L14" s="146">
        <v>2.9999999999999997E-4</v>
      </c>
      <c r="M14" s="301">
        <f t="shared" si="4"/>
        <v>289.7765970042729</v>
      </c>
      <c r="N14" s="199"/>
      <c r="O14" s="301">
        <f t="shared" si="9"/>
        <v>9687.9020473084965</v>
      </c>
      <c r="P14" s="48">
        <v>0.02</v>
      </c>
      <c r="Q14" s="301">
        <f t="shared" si="6"/>
        <v>193.75804094616993</v>
      </c>
      <c r="R14" s="116"/>
      <c r="S14" s="116"/>
      <c r="T14" s="116"/>
      <c r="U14" s="116"/>
      <c r="V14" s="116"/>
      <c r="W14" s="116"/>
      <c r="X14" s="116"/>
      <c r="Y14" s="116"/>
      <c r="Z14" s="116"/>
      <c r="AA14" s="116"/>
      <c r="AB14" s="116"/>
    </row>
    <row r="15" spans="1:32">
      <c r="B15" s="256" t="s">
        <v>488</v>
      </c>
      <c r="C15" s="301">
        <f t="shared" si="7"/>
        <v>116182.25138027023</v>
      </c>
      <c r="D15" s="146">
        <v>3.0000000000000001E-3</v>
      </c>
      <c r="E15" s="301">
        <f>C15*D15</f>
        <v>348.54675414081072</v>
      </c>
      <c r="F15" s="87"/>
      <c r="G15" s="301">
        <f t="shared" si="8"/>
        <v>30348.30760070933</v>
      </c>
      <c r="H15" s="146">
        <v>6.4999999999999997E-3</v>
      </c>
      <c r="I15" s="301">
        <f t="shared" si="2"/>
        <v>197.26399940461064</v>
      </c>
      <c r="J15" s="13"/>
      <c r="K15" s="301">
        <f t="shared" si="10"/>
        <v>1023877.3094150978</v>
      </c>
      <c r="L15" s="146">
        <v>2.9999999999999997E-4</v>
      </c>
      <c r="M15" s="301">
        <f t="shared" si="4"/>
        <v>307.16319282452929</v>
      </c>
      <c r="O15" s="301">
        <f t="shared" si="9"/>
        <v>10079.487048060704</v>
      </c>
      <c r="P15" s="48">
        <v>0.02</v>
      </c>
      <c r="Q15" s="301">
        <f t="shared" si="6"/>
        <v>201.58974096121409</v>
      </c>
      <c r="R15" s="116"/>
      <c r="S15" s="116"/>
      <c r="T15" s="116"/>
      <c r="U15" s="116"/>
      <c r="V15" s="116"/>
      <c r="W15" s="116"/>
      <c r="X15" s="116"/>
      <c r="Y15" s="116"/>
      <c r="Z15" s="116"/>
      <c r="AA15" s="116"/>
      <c r="AB15" s="116"/>
      <c r="AC15" s="116"/>
      <c r="AD15" s="116"/>
      <c r="AE15" s="116"/>
      <c r="AF15" s="116"/>
    </row>
    <row r="16" spans="1:32">
      <c r="F16" s="87"/>
      <c r="G16" s="167"/>
      <c r="H16" s="104"/>
      <c r="I16" s="419"/>
      <c r="J16" s="419"/>
      <c r="K16" s="419"/>
      <c r="L16" s="419"/>
      <c r="M16" s="419"/>
      <c r="R16" s="116"/>
      <c r="S16" s="116"/>
      <c r="T16" s="116"/>
      <c r="U16" s="116"/>
      <c r="V16" s="116"/>
      <c r="W16" s="116"/>
      <c r="X16" s="116"/>
      <c r="Y16" s="116"/>
      <c r="Z16" s="116"/>
      <c r="AA16" s="116"/>
      <c r="AB16" s="116"/>
      <c r="AC16" s="116"/>
      <c r="AD16" s="116"/>
      <c r="AE16" s="116"/>
      <c r="AF16" s="116"/>
    </row>
    <row r="17" spans="1:34">
      <c r="B17" s="454"/>
      <c r="C17" s="89"/>
      <c r="D17" s="89"/>
      <c r="E17" s="89"/>
      <c r="F17" s="89"/>
      <c r="G17" s="89"/>
      <c r="H17" s="89"/>
      <c r="I17" s="44"/>
      <c r="J17" s="283"/>
      <c r="K17" s="61"/>
      <c r="L17" s="61"/>
      <c r="M17" s="61"/>
      <c r="N17" s="61"/>
      <c r="O17" s="124"/>
      <c r="P17" s="463" t="s">
        <v>500</v>
      </c>
      <c r="Q17" s="463" t="s">
        <v>501</v>
      </c>
      <c r="R17" s="116"/>
      <c r="S17" s="116"/>
      <c r="T17" s="116"/>
      <c r="U17" s="116"/>
      <c r="V17" s="116"/>
      <c r="W17" s="116"/>
      <c r="X17" s="116"/>
      <c r="Y17" s="116"/>
      <c r="Z17" s="116"/>
      <c r="AA17" s="116"/>
      <c r="AB17" s="116"/>
      <c r="AC17" s="116"/>
      <c r="AD17" s="116"/>
      <c r="AE17" s="116"/>
      <c r="AF17" s="116"/>
    </row>
    <row r="18" spans="1:34">
      <c r="A18" s="118"/>
      <c r="B18" s="438"/>
      <c r="D18" s="237"/>
      <c r="E18" s="145"/>
      <c r="F18" s="455"/>
      <c r="I18" s="159"/>
      <c r="J18" s="456"/>
      <c r="K18" s="457"/>
      <c r="L18" s="457"/>
      <c r="M18" s="457"/>
      <c r="N18" s="457"/>
      <c r="O18" s="166" t="s">
        <v>496</v>
      </c>
      <c r="P18" s="171">
        <v>0.182</v>
      </c>
      <c r="Q18" s="171">
        <v>0.09</v>
      </c>
      <c r="R18" s="116"/>
      <c r="S18" s="116"/>
      <c r="T18" s="116"/>
      <c r="U18" s="116"/>
      <c r="V18" s="116"/>
      <c r="W18" s="116"/>
      <c r="X18" s="116"/>
      <c r="Y18" s="116"/>
      <c r="Z18" s="116"/>
      <c r="AA18" s="116"/>
      <c r="AB18" s="116"/>
      <c r="AC18" s="116"/>
      <c r="AD18" s="116"/>
      <c r="AE18" s="116"/>
      <c r="AF18" s="116"/>
    </row>
    <row r="19" spans="1:34">
      <c r="B19" s="458"/>
      <c r="C19" s="164"/>
      <c r="D19" s="198"/>
      <c r="E19" s="164"/>
      <c r="F19" s="164"/>
      <c r="I19" s="88"/>
      <c r="J19" s="159"/>
      <c r="K19" s="457"/>
      <c r="L19" s="457"/>
      <c r="M19" s="457"/>
      <c r="N19" s="457"/>
      <c r="O19" s="166" t="s">
        <v>497</v>
      </c>
      <c r="P19" s="171">
        <v>9.3700000000000006E-2</v>
      </c>
      <c r="Q19" s="171">
        <v>0.06</v>
      </c>
      <c r="R19" s="116"/>
      <c r="S19" s="116"/>
      <c r="T19" s="116"/>
      <c r="U19" s="116"/>
      <c r="V19" s="116"/>
      <c r="W19" s="116"/>
      <c r="X19" s="116"/>
      <c r="Y19" s="116"/>
      <c r="Z19" s="116"/>
      <c r="AA19" s="116"/>
      <c r="AB19" s="116"/>
      <c r="AC19" s="116"/>
      <c r="AD19" s="116"/>
      <c r="AE19" s="116"/>
      <c r="AF19" s="116"/>
    </row>
    <row r="20" spans="1:34">
      <c r="A20" s="118"/>
      <c r="B20" s="458"/>
      <c r="C20" s="164"/>
      <c r="D20" s="198"/>
      <c r="E20" s="164"/>
      <c r="F20" s="164"/>
      <c r="I20" s="362"/>
      <c r="J20" s="159"/>
      <c r="K20" s="457"/>
      <c r="L20" s="457"/>
      <c r="M20" s="457"/>
      <c r="N20" s="457"/>
      <c r="O20" s="166" t="s">
        <v>498</v>
      </c>
      <c r="P20" s="171">
        <v>0.113</v>
      </c>
      <c r="Q20" s="171">
        <v>0.06</v>
      </c>
      <c r="R20" s="116"/>
      <c r="S20" s="116"/>
      <c r="T20" s="116"/>
      <c r="U20" s="116"/>
      <c r="V20" s="116"/>
      <c r="W20" s="116"/>
      <c r="X20" s="116"/>
      <c r="Y20" s="116"/>
      <c r="Z20" s="116"/>
      <c r="AA20" s="116"/>
      <c r="AB20" s="116"/>
      <c r="AC20" s="116"/>
      <c r="AD20" s="116"/>
      <c r="AE20" s="116"/>
      <c r="AF20" s="116"/>
    </row>
    <row r="21" spans="1:34">
      <c r="B21" s="458"/>
      <c r="C21" s="164"/>
      <c r="D21" s="198"/>
      <c r="E21" s="164"/>
      <c r="F21" s="164"/>
      <c r="G21" s="87"/>
      <c r="H21" s="88"/>
      <c r="I21" s="88"/>
      <c r="J21" s="163"/>
      <c r="K21" s="459"/>
      <c r="L21" s="459"/>
      <c r="M21" s="459"/>
      <c r="N21" s="459"/>
      <c r="O21" s="166" t="s">
        <v>499</v>
      </c>
      <c r="P21" s="171">
        <v>7.6499999999999999E-2</v>
      </c>
      <c r="Q21" s="171">
        <f>'Risk Free Rate &amp; ERP'!C7</f>
        <v>4.0419999999999998E-2</v>
      </c>
      <c r="R21" s="116"/>
      <c r="S21" s="116"/>
      <c r="T21" s="116"/>
      <c r="U21" s="116"/>
      <c r="V21" s="116"/>
      <c r="W21" s="116"/>
      <c r="X21" s="116"/>
      <c r="Y21" s="116"/>
      <c r="Z21" s="116"/>
      <c r="AA21" s="116"/>
      <c r="AB21" s="116"/>
      <c r="AC21" s="116"/>
      <c r="AD21" s="116"/>
      <c r="AE21" s="116"/>
      <c r="AF21" s="116"/>
    </row>
    <row r="22" spans="1:34">
      <c r="B22" s="458"/>
      <c r="C22" s="164"/>
      <c r="D22" s="198"/>
      <c r="E22" s="164"/>
      <c r="F22" s="164"/>
      <c r="G22" s="87"/>
      <c r="H22" s="88"/>
      <c r="I22" s="88"/>
      <c r="J22" s="159"/>
      <c r="K22" s="160"/>
      <c r="L22" s="160"/>
      <c r="M22" s="160"/>
      <c r="N22" s="160"/>
      <c r="Q22" s="116"/>
      <c r="R22" s="116"/>
      <c r="S22" s="116"/>
      <c r="T22" s="116"/>
      <c r="U22" s="116"/>
      <c r="V22" s="116"/>
      <c r="W22" s="116"/>
      <c r="X22" s="116"/>
      <c r="Y22" s="116"/>
      <c r="Z22" s="116"/>
      <c r="AA22" s="116"/>
      <c r="AB22" s="116"/>
      <c r="AC22" s="116"/>
      <c r="AD22" s="116"/>
      <c r="AE22" s="116"/>
      <c r="AF22" s="116"/>
      <c r="AG22" s="116"/>
    </row>
    <row r="23" spans="1:34">
      <c r="B23" s="458"/>
      <c r="C23" s="164"/>
      <c r="D23" s="198"/>
      <c r="E23" s="164"/>
      <c r="F23" s="164"/>
      <c r="G23" s="87"/>
      <c r="H23" s="88"/>
      <c r="I23" s="88"/>
      <c r="J23" s="87"/>
      <c r="K23" s="116"/>
      <c r="L23" s="116"/>
      <c r="Q23" s="116"/>
      <c r="R23" s="116"/>
      <c r="S23" s="116"/>
      <c r="T23" s="116"/>
      <c r="U23" s="116"/>
      <c r="V23" s="116"/>
      <c r="W23" s="116"/>
      <c r="X23" s="116"/>
      <c r="Y23" s="116"/>
      <c r="Z23" s="116"/>
      <c r="AA23" s="116"/>
      <c r="AB23" s="116"/>
      <c r="AC23" s="116"/>
      <c r="AD23" s="116"/>
      <c r="AE23" s="116"/>
      <c r="AF23" s="116"/>
      <c r="AG23" s="116"/>
      <c r="AH23" s="116"/>
    </row>
    <row r="24" spans="1:34">
      <c r="B24" s="458"/>
      <c r="C24" s="164"/>
      <c r="D24" s="198"/>
      <c r="E24" s="164"/>
      <c r="F24" s="164"/>
      <c r="G24" s="87"/>
      <c r="H24" s="88"/>
      <c r="I24" s="88"/>
      <c r="J24" s="87"/>
      <c r="K24" s="116"/>
      <c r="L24" s="116"/>
      <c r="Q24" s="116"/>
      <c r="R24" s="116"/>
      <c r="S24" s="116"/>
      <c r="T24" s="116"/>
      <c r="U24" s="116"/>
      <c r="V24" s="116"/>
      <c r="W24" s="116"/>
      <c r="X24" s="116"/>
      <c r="Y24" s="116"/>
      <c r="Z24" s="116"/>
      <c r="AA24" s="116"/>
      <c r="AB24" s="116"/>
      <c r="AC24" s="116"/>
      <c r="AD24" s="116"/>
      <c r="AE24" s="116"/>
      <c r="AF24" s="116"/>
      <c r="AG24" s="116"/>
      <c r="AH24" s="116"/>
    </row>
    <row r="25" spans="1:34">
      <c r="B25" s="458"/>
      <c r="C25" s="164"/>
      <c r="D25" s="198"/>
      <c r="E25" s="164"/>
      <c r="F25" s="164"/>
      <c r="G25" s="87"/>
      <c r="H25" s="88"/>
      <c r="I25" s="88"/>
      <c r="J25" s="87"/>
      <c r="K25" s="116"/>
      <c r="L25" s="116"/>
      <c r="Q25" s="116"/>
      <c r="R25" s="116"/>
      <c r="S25" s="116"/>
      <c r="T25" s="116"/>
      <c r="U25" s="116"/>
      <c r="V25" s="116"/>
      <c r="W25" s="116"/>
      <c r="X25" s="116"/>
      <c r="Y25" s="116"/>
      <c r="Z25" s="116"/>
      <c r="AA25" s="116"/>
      <c r="AB25" s="116"/>
      <c r="AC25" s="116"/>
      <c r="AD25" s="116"/>
      <c r="AE25" s="116"/>
      <c r="AF25" s="116"/>
      <c r="AG25" s="116"/>
      <c r="AH25" s="116"/>
    </row>
    <row r="26" spans="1:34">
      <c r="B26" s="458"/>
      <c r="C26" s="164"/>
      <c r="D26" s="198"/>
      <c r="E26" s="164"/>
      <c r="F26" s="164"/>
      <c r="G26" s="87"/>
      <c r="H26" s="88"/>
      <c r="I26" s="88"/>
      <c r="J26" s="87"/>
      <c r="K26" s="116"/>
      <c r="L26" s="116"/>
      <c r="O26" s="461"/>
      <c r="Q26" s="116"/>
      <c r="R26" s="116"/>
      <c r="S26" s="116"/>
      <c r="T26" s="116"/>
      <c r="U26" s="116"/>
      <c r="V26" s="116"/>
      <c r="W26" s="116"/>
      <c r="X26" s="116"/>
      <c r="Y26" s="116"/>
      <c r="Z26" s="116"/>
      <c r="AA26" s="116"/>
      <c r="AB26" s="116"/>
      <c r="AC26" s="116"/>
      <c r="AD26" s="116"/>
      <c r="AE26" s="116"/>
      <c r="AF26" s="116"/>
      <c r="AG26" s="116"/>
      <c r="AH26" s="116"/>
    </row>
    <row r="27" spans="1:34">
      <c r="B27" s="458"/>
      <c r="C27" s="164"/>
      <c r="D27" s="198"/>
      <c r="E27" s="164"/>
      <c r="F27" s="164"/>
      <c r="G27" s="87"/>
      <c r="H27" s="88"/>
      <c r="I27" s="88"/>
      <c r="J27" s="87"/>
      <c r="K27" s="116"/>
      <c r="L27" s="116"/>
      <c r="O27" s="116"/>
      <c r="P27" s="116"/>
      <c r="Q27" s="116"/>
      <c r="R27" s="116"/>
      <c r="S27" s="116"/>
      <c r="T27" s="116"/>
      <c r="U27" s="116"/>
      <c r="V27" s="116"/>
      <c r="W27" s="116"/>
      <c r="X27" s="116"/>
      <c r="Y27" s="116"/>
      <c r="Z27" s="116"/>
      <c r="AA27" s="116"/>
      <c r="AB27" s="116"/>
      <c r="AC27" s="116"/>
      <c r="AD27" s="116"/>
      <c r="AE27" s="116"/>
      <c r="AF27" s="116"/>
      <c r="AG27" s="116"/>
      <c r="AH27" s="116"/>
    </row>
    <row r="28" spans="1:34">
      <c r="B28" s="458"/>
      <c r="C28" s="164"/>
      <c r="D28" s="198"/>
      <c r="E28" s="164"/>
      <c r="F28" s="164"/>
      <c r="G28" s="87"/>
      <c r="H28" s="88"/>
      <c r="I28" s="88"/>
      <c r="J28" s="141"/>
      <c r="K28" s="116"/>
      <c r="L28" s="116"/>
      <c r="O28" s="116"/>
      <c r="P28" s="116"/>
      <c r="Q28" s="116"/>
      <c r="R28" s="116"/>
      <c r="S28" s="116"/>
      <c r="T28" s="116"/>
      <c r="U28" s="116"/>
      <c r="V28" s="116"/>
      <c r="W28" s="116"/>
      <c r="X28" s="116"/>
      <c r="Y28" s="116"/>
      <c r="Z28" s="116"/>
      <c r="AA28" s="116"/>
      <c r="AB28" s="116"/>
      <c r="AC28" s="116"/>
      <c r="AD28" s="116"/>
      <c r="AE28" s="116"/>
      <c r="AF28" s="116"/>
      <c r="AG28" s="116"/>
      <c r="AH28" s="116"/>
    </row>
    <row r="29" spans="1:34">
      <c r="E29" s="164"/>
      <c r="K29" s="116"/>
      <c r="L29" s="116"/>
      <c r="P29" s="116"/>
      <c r="Q29" s="116"/>
      <c r="R29" s="116"/>
      <c r="S29" s="116"/>
      <c r="T29" s="116"/>
      <c r="U29" s="116"/>
      <c r="V29" s="116"/>
      <c r="W29" s="116"/>
      <c r="X29" s="116"/>
      <c r="Y29" s="116"/>
      <c r="Z29" s="116"/>
      <c r="AA29" s="116"/>
      <c r="AB29" s="116"/>
      <c r="AC29" s="116"/>
      <c r="AD29" s="116"/>
      <c r="AE29" s="116"/>
      <c r="AF29" s="116"/>
      <c r="AG29" s="116"/>
      <c r="AH29" s="116"/>
    </row>
    <row r="30" spans="1:34" ht="14.25" customHeight="1">
      <c r="J30" s="95"/>
      <c r="K30" s="116"/>
      <c r="L30" s="116"/>
      <c r="M30" s="116"/>
      <c r="N30" s="116"/>
      <c r="P30" s="116"/>
      <c r="Q30" s="116"/>
      <c r="R30" s="116"/>
      <c r="S30" s="116"/>
      <c r="T30" s="116"/>
      <c r="U30" s="116"/>
      <c r="V30" s="116"/>
      <c r="W30" s="116"/>
      <c r="X30" s="116"/>
      <c r="Y30" s="116"/>
      <c r="Z30" s="116"/>
      <c r="AA30" s="116"/>
      <c r="AB30" s="116"/>
      <c r="AC30" s="116"/>
      <c r="AD30" s="116"/>
      <c r="AE30" s="116"/>
      <c r="AF30" s="116"/>
      <c r="AG30" s="116"/>
      <c r="AH30" s="116"/>
    </row>
    <row r="31" spans="1:34">
      <c r="G31" s="116"/>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c r="AE31" s="116"/>
      <c r="AF31" s="116"/>
      <c r="AG31" s="116"/>
      <c r="AH31" s="116"/>
    </row>
    <row r="32" spans="1:34">
      <c r="G32" s="116"/>
      <c r="H32" s="116"/>
      <c r="I32" s="116"/>
      <c r="J32" s="116"/>
      <c r="K32" s="116"/>
      <c r="L32" s="116"/>
      <c r="M32" s="116"/>
      <c r="N32" s="116"/>
      <c r="O32" s="116"/>
      <c r="P32" s="116"/>
      <c r="Q32" s="116"/>
      <c r="R32" s="116"/>
      <c r="S32" s="116"/>
      <c r="T32" s="116"/>
      <c r="U32" s="116"/>
      <c r="V32" s="116"/>
      <c r="W32" s="116"/>
      <c r="X32" s="116"/>
      <c r="Y32" s="116"/>
      <c r="Z32" s="116"/>
      <c r="AA32" s="116"/>
      <c r="AB32" s="116"/>
      <c r="AC32" s="116"/>
      <c r="AD32" s="116"/>
      <c r="AE32" s="116"/>
      <c r="AF32" s="116"/>
      <c r="AG32" s="116"/>
      <c r="AH32" s="116"/>
    </row>
    <row r="33" spans="7:34">
      <c r="G33" s="116"/>
      <c r="H33" s="116"/>
      <c r="I33" s="116"/>
      <c r="J33" s="116"/>
      <c r="K33" s="116"/>
      <c r="L33" s="116"/>
      <c r="M33" s="116"/>
      <c r="N33" s="116"/>
      <c r="O33" s="116"/>
      <c r="P33" s="116"/>
      <c r="Q33" s="116"/>
      <c r="R33" s="116"/>
      <c r="S33" s="116"/>
      <c r="T33" s="116"/>
      <c r="U33" s="116"/>
      <c r="V33" s="116"/>
      <c r="W33" s="116"/>
      <c r="X33" s="116"/>
      <c r="Y33" s="116"/>
      <c r="Z33" s="116"/>
      <c r="AA33" s="116"/>
      <c r="AB33" s="116"/>
      <c r="AC33" s="116"/>
      <c r="AD33" s="116"/>
      <c r="AE33" s="116"/>
      <c r="AF33" s="116"/>
      <c r="AG33" s="116"/>
      <c r="AH33" s="116"/>
    </row>
    <row r="34" spans="7:34">
      <c r="G34" s="116"/>
      <c r="H34" s="116"/>
      <c r="I34" s="116"/>
      <c r="J34" s="116"/>
      <c r="K34" s="116"/>
      <c r="L34" s="116"/>
      <c r="M34" s="116"/>
      <c r="N34" s="116"/>
      <c r="O34" s="116"/>
      <c r="P34" s="116"/>
      <c r="Q34" s="116"/>
      <c r="R34" s="116"/>
      <c r="S34" s="116"/>
      <c r="T34" s="116"/>
      <c r="U34" s="116"/>
      <c r="V34" s="116"/>
      <c r="W34" s="116"/>
      <c r="X34" s="116"/>
      <c r="Y34" s="116"/>
      <c r="Z34" s="116"/>
      <c r="AA34" s="116"/>
      <c r="AB34" s="116"/>
      <c r="AC34" s="116"/>
      <c r="AD34" s="116"/>
      <c r="AE34" s="116"/>
      <c r="AF34" s="116"/>
      <c r="AG34" s="116"/>
      <c r="AH34" s="116"/>
    </row>
    <row r="35" spans="7:34">
      <c r="G35" s="116"/>
      <c r="H35" s="116"/>
      <c r="I35" s="116"/>
      <c r="J35" s="116"/>
      <c r="K35" s="116"/>
      <c r="L35" s="116"/>
      <c r="M35" s="116"/>
      <c r="N35" s="116"/>
      <c r="O35" s="116"/>
      <c r="P35" s="116"/>
      <c r="Q35" s="116"/>
      <c r="R35" s="116"/>
      <c r="S35" s="116"/>
      <c r="T35" s="116"/>
      <c r="U35" s="116"/>
      <c r="V35" s="116"/>
      <c r="W35" s="116"/>
      <c r="X35" s="116"/>
      <c r="Y35" s="116"/>
      <c r="Z35" s="116"/>
      <c r="AA35" s="116"/>
      <c r="AB35" s="116"/>
      <c r="AC35" s="116"/>
      <c r="AD35" s="116"/>
      <c r="AE35" s="116"/>
      <c r="AF35" s="116"/>
      <c r="AG35" s="116"/>
      <c r="AH35" s="116"/>
    </row>
    <row r="36" spans="7:34">
      <c r="G36" s="116"/>
      <c r="H36" s="116"/>
      <c r="I36" s="116"/>
      <c r="J36" s="116"/>
      <c r="K36" s="116"/>
      <c r="L36" s="116"/>
      <c r="M36" s="116"/>
      <c r="N36" s="116"/>
      <c r="O36" s="116"/>
      <c r="P36" s="116"/>
      <c r="Q36" s="116"/>
      <c r="R36" s="116"/>
      <c r="S36" s="116"/>
      <c r="T36" s="116"/>
      <c r="U36" s="116"/>
      <c r="V36" s="116"/>
      <c r="W36" s="116"/>
      <c r="X36" s="116"/>
      <c r="Y36" s="116"/>
      <c r="Z36" s="116"/>
      <c r="AA36" s="116"/>
      <c r="AB36" s="116"/>
      <c r="AC36" s="116"/>
      <c r="AD36" s="116"/>
      <c r="AE36" s="116"/>
      <c r="AF36" s="116"/>
      <c r="AG36" s="116"/>
      <c r="AH36" s="116"/>
    </row>
    <row r="37" spans="7:34">
      <c r="G37" s="116"/>
      <c r="H37" s="116"/>
      <c r="I37" s="116"/>
      <c r="J37" s="116"/>
      <c r="K37" s="116"/>
      <c r="L37" s="116"/>
      <c r="O37" s="116"/>
      <c r="P37" s="116"/>
      <c r="Q37" s="116"/>
      <c r="R37" s="116"/>
      <c r="S37" s="116"/>
      <c r="T37" s="116"/>
      <c r="U37" s="116"/>
      <c r="V37" s="116"/>
      <c r="W37" s="116"/>
      <c r="X37" s="116"/>
      <c r="Y37" s="116"/>
      <c r="Z37" s="116"/>
      <c r="AA37" s="116"/>
      <c r="AB37" s="116"/>
      <c r="AC37" s="116"/>
      <c r="AD37" s="116"/>
      <c r="AE37" s="116"/>
      <c r="AF37" s="116"/>
      <c r="AG37" s="116"/>
      <c r="AH37" s="116"/>
    </row>
    <row r="38" spans="7:34">
      <c r="G38" s="116"/>
      <c r="H38" s="116"/>
      <c r="I38" s="116"/>
      <c r="J38" s="116"/>
      <c r="K38" s="116"/>
      <c r="L38" s="116"/>
      <c r="R38" s="116"/>
      <c r="S38" s="116"/>
      <c r="T38" s="116"/>
      <c r="U38" s="116"/>
      <c r="V38" s="116"/>
      <c r="W38" s="116"/>
      <c r="X38" s="116"/>
      <c r="Y38" s="116"/>
      <c r="Z38" s="116"/>
      <c r="AA38" s="116"/>
      <c r="AB38" s="116"/>
      <c r="AC38" s="116"/>
      <c r="AD38" s="116"/>
      <c r="AE38" s="116"/>
      <c r="AF38" s="116"/>
      <c r="AG38" s="116"/>
      <c r="AH38" s="116"/>
    </row>
  </sheetData>
  <pageMargins left="0.7" right="0.7" top="0.75" bottom="0.75" header="0.3" footer="0.3"/>
  <pageSetup paperSize="8" orientation="landscape"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47"/>
  <sheetViews>
    <sheetView zoomScaleNormal="100" workbookViewId="0"/>
  </sheetViews>
  <sheetFormatPr defaultRowHeight="12"/>
  <cols>
    <col min="1" max="1" width="2" style="111" customWidth="1"/>
    <col min="2" max="2" width="6.85546875" style="111" customWidth="1"/>
    <col min="3" max="3" width="16.7109375" style="111" customWidth="1"/>
    <col min="4" max="4" width="14.5703125" style="111" customWidth="1"/>
    <col min="5" max="5" width="13.7109375" style="111" customWidth="1"/>
    <col min="6" max="6" width="12.5703125" style="111" customWidth="1"/>
    <col min="7" max="7" width="15.7109375" style="111" customWidth="1" collapsed="1"/>
    <col min="8" max="8" width="12.7109375" style="111" customWidth="1"/>
    <col min="9" max="9" width="3" style="111" customWidth="1"/>
    <col min="10" max="10" width="20.42578125" style="111" customWidth="1"/>
    <col min="11" max="11" width="11.5703125" style="111" customWidth="1"/>
    <col min="12" max="12" width="12" style="111" customWidth="1"/>
    <col min="13" max="13" width="10.7109375" style="111" customWidth="1"/>
    <col min="14" max="14" width="8.7109375" style="111" customWidth="1"/>
    <col min="15" max="15" width="6.7109375" style="111" customWidth="1"/>
    <col min="16" max="16" width="8.28515625" style="111" customWidth="1"/>
    <col min="17" max="28" width="9.140625" style="111" customWidth="1"/>
    <col min="29" max="29" width="9.28515625" style="111" customWidth="1"/>
    <col min="30" max="30" width="9.42578125" style="111" customWidth="1"/>
    <col min="31" max="31" width="10" style="111" customWidth="1"/>
    <col min="32" max="32" width="11.42578125" style="111" customWidth="1"/>
    <col min="33" max="33" width="9.42578125" style="111" bestFit="1" customWidth="1" collapsed="1"/>
    <col min="34" max="16384" width="9.140625" style="111"/>
  </cols>
  <sheetData>
    <row r="1" spans="1:32" s="110" customFormat="1" ht="15" customHeight="1">
      <c r="B1" s="16" t="s">
        <v>81</v>
      </c>
      <c r="C1" s="109"/>
      <c r="D1" s="109"/>
      <c r="E1" s="109"/>
      <c r="F1" s="109"/>
      <c r="G1" s="109"/>
      <c r="H1" s="109"/>
      <c r="I1" s="109"/>
      <c r="J1" s="109"/>
      <c r="K1" s="109"/>
      <c r="L1" s="109"/>
      <c r="M1" s="109"/>
      <c r="N1" s="109"/>
    </row>
    <row r="2" spans="1:32" ht="12" customHeight="1">
      <c r="C2" s="132"/>
    </row>
    <row r="3" spans="1:32" ht="12" customHeight="1">
      <c r="A3" s="113"/>
      <c r="B3" s="175"/>
      <c r="C3" s="152" t="s">
        <v>166</v>
      </c>
      <c r="D3" s="152" t="s">
        <v>4</v>
      </c>
      <c r="E3" s="152" t="s">
        <v>503</v>
      </c>
      <c r="F3" s="152" t="s">
        <v>87</v>
      </c>
      <c r="G3" s="152" t="s">
        <v>3</v>
      </c>
      <c r="H3" s="152" t="s">
        <v>133</v>
      </c>
      <c r="J3" s="166" t="s">
        <v>97</v>
      </c>
      <c r="K3" s="171">
        <v>0.21</v>
      </c>
      <c r="L3" s="104"/>
      <c r="M3" s="104"/>
      <c r="N3" s="104"/>
    </row>
    <row r="4" spans="1:32" ht="12" customHeight="1">
      <c r="A4" s="118"/>
      <c r="B4" s="168" t="s">
        <v>86</v>
      </c>
      <c r="C4" s="316">
        <f>'Industry &amp; Revenues'!C4+'Industry &amp; Revenues'!G4+'Industry &amp; Revenues'!K4+'Industry &amp; Revenues'!O4</f>
        <v>416792.12812499999</v>
      </c>
      <c r="D4" s="318">
        <f>'Industry &amp; Revenues'!E4+'Industry &amp; Revenues'!I4+'Industry &amp; Revenues'!M4+'Industry &amp; Revenues'!Q4</f>
        <v>222.77699999999999</v>
      </c>
      <c r="E4" s="318"/>
      <c r="F4" s="177">
        <f>G4/D4</f>
        <v>5.9068599739381798E-2</v>
      </c>
      <c r="G4" s="316">
        <f>'FCFF &amp; FCFE'!G5</f>
        <v>13.159125444140258</v>
      </c>
      <c r="H4" s="316">
        <f>G4*(1-48%)</f>
        <v>6.8427452309529349</v>
      </c>
      <c r="I4" s="43"/>
      <c r="J4" s="166" t="s">
        <v>173</v>
      </c>
      <c r="K4" s="171">
        <v>0.26</v>
      </c>
      <c r="L4" s="44"/>
      <c r="M4" s="44"/>
      <c r="N4" s="61"/>
      <c r="O4" s="115"/>
      <c r="P4" s="115"/>
      <c r="U4" s="115"/>
    </row>
    <row r="5" spans="1:32" ht="12" customHeight="1">
      <c r="A5" s="118"/>
      <c r="B5" s="165">
        <v>1</v>
      </c>
      <c r="C5" s="310">
        <f>'Industry &amp; Revenues'!C5+'Industry &amp; Revenues'!G5+'Industry &amp; Revenues'!K5+'Industry &amp; Revenues'!O5</f>
        <v>465671.78742656251</v>
      </c>
      <c r="D5" s="319">
        <f ca="1">'Industry &amp; Revenues'!E5+'Industry &amp; Revenues'!I5+'Industry &amp; Revenues'!M5+'Industry &amp; Revenues'!Q5</f>
        <v>269.95934886127498</v>
      </c>
      <c r="E5" s="464">
        <f ca="1">(D5-D4)/D4</f>
        <v>0.21179183156822737</v>
      </c>
      <c r="F5" s="238">
        <f ca="1">'Future Value (Restricted Stock)'!G20</f>
        <v>-4.7446129538246229E-2</v>
      </c>
      <c r="G5" s="301">
        <f t="shared" ref="G5:G14" ca="1" si="0">D5*F5</f>
        <v>-12.808526236132657</v>
      </c>
      <c r="H5" s="301">
        <f ca="1">G5*(1-$K$4)</f>
        <v>-9.4783094147381668</v>
      </c>
      <c r="I5" s="321"/>
      <c r="J5" s="87"/>
      <c r="K5" s="163"/>
      <c r="L5" s="87"/>
      <c r="M5" s="87"/>
      <c r="N5" s="121"/>
      <c r="O5" s="116"/>
      <c r="P5" s="116"/>
      <c r="Q5" s="116"/>
      <c r="R5" s="116"/>
      <c r="S5" s="116"/>
      <c r="T5" s="116"/>
      <c r="U5" s="116"/>
      <c r="V5" s="116"/>
      <c r="W5" s="116"/>
      <c r="X5" s="116"/>
      <c r="Y5" s="116"/>
      <c r="Z5" s="116"/>
    </row>
    <row r="6" spans="1:32" ht="12" customHeight="1">
      <c r="A6" s="118"/>
      <c r="B6" s="165">
        <f t="shared" ref="B6:B14" si="1">B5+1</f>
        <v>2</v>
      </c>
      <c r="C6" s="310">
        <f>'Industry &amp; Revenues'!C6+'Industry &amp; Revenues'!G6+'Industry &amp; Revenues'!K6+'Industry &amp; Revenues'!O6</f>
        <v>520443.66482604458</v>
      </c>
      <c r="D6" s="319">
        <f ca="1">'Industry &amp; Revenues'!E6+'Industry &amp; Revenues'!I6+'Industry &amp; Revenues'!M6+'Industry &amp; Revenues'!Q6</f>
        <v>325.25825314191655</v>
      </c>
      <c r="E6" s="464">
        <f ca="1">(D6-D5)/D5</f>
        <v>0.20484159749940067</v>
      </c>
      <c r="F6" s="238">
        <f ca="1">'Future Value (Restricted Stock)'!G21</f>
        <v>-3.1891353771508202E-2</v>
      </c>
      <c r="G6" s="301">
        <f t="shared" ca="1" si="0"/>
        <v>-10.372926018051629</v>
      </c>
      <c r="H6" s="301">
        <f t="shared" ref="H6:H14" ca="1" si="2">G6*(1-$K$4)</f>
        <v>-7.6759652533582052</v>
      </c>
      <c r="I6" s="321"/>
      <c r="J6" s="87"/>
      <c r="K6" s="159"/>
      <c r="L6" s="87"/>
      <c r="M6" s="87"/>
      <c r="N6" s="121"/>
      <c r="O6" s="116"/>
      <c r="P6" s="116"/>
      <c r="Q6" s="116"/>
      <c r="R6" s="116"/>
      <c r="S6" s="116"/>
      <c r="T6" s="116"/>
      <c r="U6" s="116"/>
      <c r="V6" s="116"/>
      <c r="W6" s="116"/>
      <c r="X6" s="116"/>
      <c r="Y6" s="116"/>
      <c r="Z6" s="116"/>
    </row>
    <row r="7" spans="1:32" ht="12" customHeight="1">
      <c r="B7" s="165">
        <f t="shared" si="1"/>
        <v>3</v>
      </c>
      <c r="C7" s="310">
        <f>'Industry &amp; Revenues'!C7+'Industry &amp; Revenues'!G7+'Industry &amp; Revenues'!K7+'Industry &amp; Revenues'!O7</f>
        <v>581844.50793333596</v>
      </c>
      <c r="D7" s="319">
        <f ca="1">'Industry &amp; Revenues'!E7+'Industry &amp; Revenues'!I7+'Industry &amp; Revenues'!M7+'Industry &amp; Revenues'!Q7</f>
        <v>390.04272477533289</v>
      </c>
      <c r="E7" s="464">
        <f t="shared" ref="E7:E14" ca="1" si="3">(D7-D6)/D6</f>
        <v>0.19917856351872368</v>
      </c>
      <c r="F7" s="238">
        <f ca="1">'Future Value (Restricted Stock)'!G22</f>
        <v>-1.0593973251175504E-2</v>
      </c>
      <c r="G7" s="301">
        <f t="shared" ca="1" si="0"/>
        <v>-4.1321021930854851</v>
      </c>
      <c r="H7" s="301">
        <f t="shared" ca="1" si="2"/>
        <v>-3.057755622883259</v>
      </c>
      <c r="I7" s="321"/>
      <c r="J7" s="87"/>
      <c r="K7" s="159"/>
      <c r="L7" s="87"/>
      <c r="M7" s="87"/>
      <c r="N7" s="157"/>
      <c r="O7" s="116"/>
      <c r="P7" s="116"/>
      <c r="Q7" s="116"/>
      <c r="R7" s="116"/>
      <c r="S7" s="116"/>
      <c r="T7" s="116"/>
      <c r="U7" s="116"/>
      <c r="V7" s="116"/>
      <c r="W7" s="116"/>
      <c r="X7" s="116"/>
      <c r="Y7" s="116"/>
      <c r="Z7" s="116"/>
    </row>
    <row r="8" spans="1:32" ht="12" customHeight="1">
      <c r="A8" s="118"/>
      <c r="B8" s="165">
        <f t="shared" si="1"/>
        <v>4</v>
      </c>
      <c r="C8" s="310">
        <f>'Industry &amp; Revenues'!C8+'Industry &amp; Revenues'!G8+'Industry &amp; Revenues'!K8+'Industry &amp; Revenues'!O8</f>
        <v>650707.55397381855</v>
      </c>
      <c r="D8" s="319">
        <f ca="1">'Industry &amp; Revenues'!E8+'Industry &amp; Revenues'!I8+'Industry &amp; Revenues'!M8+'Industry &amp; Revenues'!Q8</f>
        <v>465.91981452787269</v>
      </c>
      <c r="E8" s="464">
        <f t="shared" ca="1" si="3"/>
        <v>0.19453532890850739</v>
      </c>
      <c r="F8" s="238">
        <f ca="1">'Future Value (Restricted Stock)'!G23</f>
        <v>2.0515578282300662E-2</v>
      </c>
      <c r="G8" s="301">
        <f ca="1">D8*F8</f>
        <v>9.5586144282215777</v>
      </c>
      <c r="H8" s="301">
        <f t="shared" ca="1" si="2"/>
        <v>7.0733746768839678</v>
      </c>
      <c r="I8" s="321"/>
      <c r="J8" s="87"/>
      <c r="K8" s="159"/>
      <c r="L8" s="87"/>
      <c r="M8" s="87"/>
      <c r="N8" s="157"/>
      <c r="O8" s="116"/>
      <c r="P8" s="116"/>
      <c r="Q8" s="116"/>
      <c r="R8" s="116"/>
      <c r="S8" s="116"/>
      <c r="T8" s="116"/>
      <c r="U8" s="116"/>
      <c r="V8" s="116"/>
      <c r="W8" s="116"/>
      <c r="X8" s="116"/>
      <c r="Y8" s="116"/>
      <c r="Z8" s="116"/>
    </row>
    <row r="9" spans="1:32" ht="12" customHeight="1">
      <c r="A9" s="118"/>
      <c r="B9" s="165">
        <f t="shared" si="1"/>
        <v>5</v>
      </c>
      <c r="C9" s="310">
        <f>'Industry &amp; Revenues'!C9+'Industry &amp; Revenues'!G9+'Industry &amp; Revenues'!K9+'Industry &amp; Revenues'!O9</f>
        <v>722128.74926302466</v>
      </c>
      <c r="D9" s="319">
        <f>'Industry &amp; Revenues'!E9+'Industry &amp; Revenues'!I9+'Industry &amp; Revenues'!M9+'Industry &amp; Revenues'!Q9</f>
        <v>540.08879801134333</v>
      </c>
      <c r="E9" s="464">
        <f t="shared" ca="1" si="3"/>
        <v>0.15918830058478578</v>
      </c>
      <c r="F9" s="238">
        <f>'Future Value (Restricted Stock)'!G24</f>
        <v>5.1625129815776605E-2</v>
      </c>
      <c r="G9" s="301">
        <f t="shared" si="0"/>
        <v>27.882154309382347</v>
      </c>
      <c r="H9" s="301">
        <f t="shared" si="2"/>
        <v>20.632794188942938</v>
      </c>
      <c r="I9" s="320"/>
      <c r="J9" s="87"/>
      <c r="K9" s="159"/>
      <c r="L9" s="87"/>
      <c r="M9" s="87"/>
      <c r="N9" s="157"/>
      <c r="O9" s="116"/>
      <c r="P9" s="116"/>
      <c r="Q9" s="116"/>
      <c r="R9" s="116"/>
      <c r="S9" s="116"/>
      <c r="T9" s="116"/>
      <c r="U9" s="116"/>
      <c r="V9" s="116"/>
      <c r="W9" s="116"/>
      <c r="X9" s="116"/>
      <c r="Y9" s="116"/>
      <c r="Z9" s="116"/>
    </row>
    <row r="10" spans="1:32">
      <c r="A10" s="114"/>
      <c r="B10" s="165">
        <f t="shared" si="1"/>
        <v>6</v>
      </c>
      <c r="C10" s="310">
        <f>'Industry &amp; Revenues'!C10+'Industry &amp; Revenues'!G10+'Industry &amp; Revenues'!K10+'Industry &amp; Revenues'!O10</f>
        <v>800425.28546488588</v>
      </c>
      <c r="D10" s="319">
        <f>'Industry &amp; Revenues'!E10+'Industry &amp; Revenues'!I10+'Industry &amp; Revenues'!M10+'Industry &amp; Revenues'!Q10</f>
        <v>603.29961929856688</v>
      </c>
      <c r="E10" s="464">
        <f t="shared" si="3"/>
        <v>0.11703783066779318</v>
      </c>
      <c r="F10" s="238">
        <f>'Future Value (Restricted Stock)'!G25</f>
        <v>7.6992076595658654E-2</v>
      </c>
      <c r="G10" s="301">
        <f t="shared" si="0"/>
        <v>46.44929049916697</v>
      </c>
      <c r="H10" s="301">
        <f t="shared" si="2"/>
        <v>34.372474969383561</v>
      </c>
      <c r="I10" s="43"/>
      <c r="J10" s="87"/>
      <c r="K10" s="159"/>
      <c r="L10" s="87"/>
      <c r="M10" s="87"/>
      <c r="N10" s="157"/>
      <c r="O10" s="116"/>
      <c r="P10" s="116"/>
      <c r="Q10" s="116"/>
      <c r="R10" s="116"/>
      <c r="S10" s="116"/>
      <c r="T10" s="116"/>
      <c r="U10" s="116"/>
      <c r="V10" s="116"/>
      <c r="W10" s="116"/>
      <c r="X10" s="116"/>
      <c r="Y10" s="116"/>
      <c r="Z10" s="116"/>
    </row>
    <row r="11" spans="1:32">
      <c r="A11" s="118"/>
      <c r="B11" s="165">
        <f t="shared" si="1"/>
        <v>7</v>
      </c>
      <c r="C11" s="310">
        <f>'Industry &amp; Revenues'!C11+'Industry &amp; Revenues'!G11+'Industry &amp; Revenues'!K11+'Industry &amp; Revenues'!O11</f>
        <v>887334.58246182185</v>
      </c>
      <c r="D11" s="319">
        <f>'Industry &amp; Revenues'!E11+'Industry &amp; Revenues'!I11+'Industry &amp; Revenues'!M11+'Industry &amp; Revenues'!Q11</f>
        <v>673.53038727358285</v>
      </c>
      <c r="E11" s="464">
        <f t="shared" si="3"/>
        <v>0.11641109281101579</v>
      </c>
      <c r="F11" s="238">
        <f>'Future Value (Restricted Stock)'!G26</f>
        <v>9.2546852362396792E-2</v>
      </c>
      <c r="G11" s="301">
        <f t="shared" si="0"/>
        <v>62.333117312596208</v>
      </c>
      <c r="H11" s="301">
        <f t="shared" si="2"/>
        <v>46.126506811321192</v>
      </c>
      <c r="I11" s="43"/>
      <c r="J11" s="87"/>
      <c r="K11" s="233"/>
      <c r="L11" s="87"/>
      <c r="M11" s="87"/>
      <c r="N11" s="157"/>
      <c r="O11" s="116"/>
      <c r="P11" s="116"/>
      <c r="Q11" s="116"/>
      <c r="R11" s="116"/>
      <c r="S11" s="116"/>
      <c r="T11" s="116"/>
      <c r="U11" s="116"/>
      <c r="V11" s="116"/>
      <c r="W11" s="116"/>
      <c r="X11" s="116"/>
      <c r="Y11" s="116"/>
      <c r="Z11" s="116"/>
    </row>
    <row r="12" spans="1:32">
      <c r="B12" s="165">
        <f t="shared" si="1"/>
        <v>8</v>
      </c>
      <c r="C12" s="310">
        <f>'Industry &amp; Revenues'!C12+'Industry &amp; Revenues'!G12+'Industry &amp; Revenues'!K12+'Industry &amp; Revenues'!O12</f>
        <v>983811.95180617424</v>
      </c>
      <c r="D12" s="319">
        <f>'Industry &amp; Revenues'!E12+'Industry &amp; Revenues'!I12+'Industry &amp; Revenues'!M12+'Industry &amp; Revenues'!Q12</f>
        <v>775.59869822760686</v>
      </c>
      <c r="E12" s="464">
        <f t="shared" si="3"/>
        <v>0.15154225092529441</v>
      </c>
      <c r="F12" s="238">
        <f>'Future Value (Restricted Stock)'!G27</f>
        <v>0.11384423288272916</v>
      </c>
      <c r="G12" s="301">
        <f t="shared" si="0"/>
        <v>88.297438824565248</v>
      </c>
      <c r="H12" s="301">
        <f t="shared" si="2"/>
        <v>65.340104730178282</v>
      </c>
      <c r="I12" s="43"/>
      <c r="J12" s="87"/>
      <c r="K12" s="159"/>
      <c r="L12" s="87"/>
      <c r="M12" s="87"/>
      <c r="N12" s="157"/>
      <c r="O12" s="116"/>
      <c r="P12" s="116"/>
      <c r="Q12" s="116"/>
      <c r="R12" s="116"/>
      <c r="S12" s="116"/>
      <c r="T12" s="116"/>
      <c r="U12" s="116"/>
      <c r="V12" s="116"/>
      <c r="W12" s="116"/>
      <c r="X12" s="116"/>
      <c r="Y12" s="116"/>
      <c r="Z12" s="116"/>
    </row>
    <row r="13" spans="1:32">
      <c r="A13" s="118"/>
      <c r="B13" s="165">
        <f t="shared" si="1"/>
        <v>9</v>
      </c>
      <c r="C13" s="310">
        <f>'Industry &amp; Revenues'!C13+'Industry &amp; Revenues'!G13+'Industry &amp; Revenues'!K13+'Industry &amp; Revenues'!O13</f>
        <v>1045356.852679849</v>
      </c>
      <c r="D13" s="319">
        <f>'Industry &amp; Revenues'!E13+'Industry &amp; Revenues'!I13+'Industry &amp; Revenues'!M13+'Industry &amp; Revenues'!Q13</f>
        <v>877.54556213209003</v>
      </c>
      <c r="E13" s="464">
        <f t="shared" si="3"/>
        <v>0.13144279914013715</v>
      </c>
      <c r="F13" s="238">
        <f>'Future Value (Restricted Stock)'!G28</f>
        <v>0.14495378441620532</v>
      </c>
      <c r="G13" s="301">
        <f t="shared" si="0"/>
        <v>127.20355022869269</v>
      </c>
      <c r="H13" s="301">
        <f t="shared" si="2"/>
        <v>94.130627169232596</v>
      </c>
      <c r="I13" s="43"/>
      <c r="J13" s="87"/>
      <c r="K13" s="87"/>
      <c r="L13" s="87"/>
      <c r="M13" s="87"/>
      <c r="N13" s="157"/>
      <c r="O13" s="116"/>
      <c r="P13" s="116"/>
      <c r="Q13" s="116"/>
      <c r="R13" s="116"/>
      <c r="S13" s="116"/>
      <c r="T13" s="116"/>
      <c r="U13" s="116"/>
      <c r="V13" s="116"/>
      <c r="W13" s="116"/>
      <c r="X13" s="116"/>
      <c r="Y13" s="116"/>
      <c r="Z13" s="116"/>
    </row>
    <row r="14" spans="1:32">
      <c r="B14" s="165">
        <f t="shared" si="1"/>
        <v>10</v>
      </c>
      <c r="C14" s="310">
        <f>'Industry &amp; Revenues'!C14+'Industry &amp; Revenues'!G14+'Industry &amp; Revenues'!K14+'Industry &amp; Revenues'!O14</f>
        <v>1110829.5923799344</v>
      </c>
      <c r="D14" s="319">
        <f>'Industry &amp; Revenues'!E14+'Industry &amp; Revenues'!I14+'Industry &amp; Revenues'!M14+'Industry &amp; Revenues'!Q14</f>
        <v>989.40041494566947</v>
      </c>
      <c r="E14" s="464">
        <f t="shared" si="3"/>
        <v>0.12746329950300953</v>
      </c>
      <c r="F14" s="238">
        <f>'Future Value (Restricted Stock)'!G29</f>
        <v>0.17606333594968149</v>
      </c>
      <c r="G14" s="301">
        <f t="shared" si="0"/>
        <v>174.19713764533367</v>
      </c>
      <c r="H14" s="301">
        <f t="shared" si="2"/>
        <v>128.90588185754692</v>
      </c>
      <c r="I14" s="43"/>
      <c r="J14" s="87"/>
      <c r="K14" s="87"/>
      <c r="L14" s="87"/>
      <c r="M14" s="87"/>
      <c r="N14" s="161"/>
      <c r="O14" s="116"/>
      <c r="P14" s="116"/>
      <c r="Q14" s="116"/>
      <c r="R14" s="116"/>
      <c r="S14" s="116"/>
      <c r="T14" s="116"/>
      <c r="U14" s="116"/>
      <c r="V14" s="116"/>
      <c r="W14" s="116"/>
      <c r="X14" s="116"/>
      <c r="Y14" s="116"/>
      <c r="Z14" s="116"/>
    </row>
    <row r="15" spans="1:32">
      <c r="C15" s="164"/>
      <c r="D15" s="95"/>
      <c r="E15" s="254"/>
      <c r="F15" s="254"/>
      <c r="G15" s="253"/>
      <c r="H15" s="13"/>
      <c r="I15" s="222"/>
      <c r="J15" s="87"/>
      <c r="K15" s="87"/>
      <c r="L15" s="233"/>
      <c r="M15" s="157"/>
      <c r="N15" s="157"/>
      <c r="Q15" s="116"/>
      <c r="R15" s="116"/>
      <c r="S15" s="116"/>
      <c r="T15" s="116"/>
      <c r="U15" s="116"/>
      <c r="V15" s="116"/>
      <c r="W15" s="116"/>
      <c r="X15" s="116"/>
      <c r="Y15" s="116"/>
      <c r="Z15" s="116"/>
      <c r="AA15" s="116"/>
      <c r="AB15" s="116"/>
      <c r="AC15" s="116"/>
      <c r="AD15" s="116"/>
      <c r="AE15" s="116"/>
      <c r="AF15" s="116"/>
    </row>
    <row r="16" spans="1:32">
      <c r="F16" s="87"/>
      <c r="G16" s="167"/>
      <c r="H16" s="104"/>
      <c r="I16" s="162"/>
      <c r="J16" s="87"/>
      <c r="K16" s="87"/>
      <c r="L16" s="159"/>
      <c r="M16" s="157"/>
      <c r="N16" s="157"/>
      <c r="O16" s="174"/>
      <c r="P16" s="116"/>
      <c r="Q16" s="116"/>
      <c r="R16" s="116"/>
      <c r="S16" s="116"/>
      <c r="T16" s="116"/>
      <c r="U16" s="116"/>
      <c r="V16" s="116"/>
      <c r="W16" s="116"/>
      <c r="X16" s="116"/>
      <c r="Y16" s="116"/>
      <c r="Z16" s="116"/>
      <c r="AA16" s="116"/>
      <c r="AB16" s="116"/>
      <c r="AC16" s="116"/>
      <c r="AD16" s="116"/>
      <c r="AE16" s="116"/>
      <c r="AF16" s="116"/>
    </row>
    <row r="17" spans="1:34">
      <c r="B17" s="175"/>
      <c r="C17" s="79" t="s">
        <v>88</v>
      </c>
      <c r="D17" s="79" t="s">
        <v>89</v>
      </c>
      <c r="E17" s="79" t="s">
        <v>58</v>
      </c>
      <c r="F17" s="79" t="s">
        <v>90</v>
      </c>
      <c r="G17" s="79" t="s">
        <v>91</v>
      </c>
      <c r="H17" s="79" t="s">
        <v>92</v>
      </c>
      <c r="I17" s="44"/>
      <c r="J17" s="87"/>
      <c r="K17" s="87"/>
      <c r="L17" s="159"/>
      <c r="M17" s="233"/>
      <c r="N17" s="480"/>
      <c r="O17" s="480"/>
      <c r="P17" s="480"/>
      <c r="Q17" s="116"/>
      <c r="R17" s="116"/>
      <c r="S17" s="116"/>
      <c r="T17" s="116"/>
      <c r="U17" s="116"/>
      <c r="V17" s="116"/>
      <c r="W17" s="116"/>
      <c r="X17" s="116"/>
      <c r="Y17" s="116"/>
      <c r="Z17" s="116"/>
      <c r="AA17" s="116"/>
      <c r="AB17" s="116"/>
      <c r="AC17" s="116"/>
      <c r="AD17" s="116"/>
      <c r="AE17" s="116"/>
      <c r="AF17" s="116"/>
    </row>
    <row r="18" spans="1:34">
      <c r="A18" s="118"/>
      <c r="B18" s="168" t="s">
        <v>86</v>
      </c>
      <c r="C18" s="317"/>
      <c r="D18" s="169"/>
      <c r="E18" s="317"/>
      <c r="F18" s="316">
        <f>'FCFF &amp; FCFE'!C4</f>
        <v>-80.923801101251229</v>
      </c>
      <c r="G18" s="318">
        <f>'Expected Growth Rate'!C8</f>
        <v>558.24</v>
      </c>
      <c r="H18" s="170">
        <f t="shared" ref="H18:H28" si="4">H4/G18</f>
        <v>1.2257712150603567E-2</v>
      </c>
      <c r="I18" s="159"/>
      <c r="J18" s="87"/>
      <c r="K18" s="87"/>
      <c r="L18" s="159"/>
      <c r="M18" s="157"/>
      <c r="N18" s="234"/>
      <c r="O18" s="120"/>
      <c r="P18" s="120"/>
      <c r="Q18" s="116"/>
      <c r="R18" s="116"/>
      <c r="S18" s="116"/>
      <c r="T18" s="116"/>
      <c r="U18" s="116"/>
      <c r="V18" s="116"/>
      <c r="W18" s="116"/>
      <c r="X18" s="116"/>
      <c r="Y18" s="116"/>
      <c r="Z18" s="116"/>
      <c r="AA18" s="116"/>
      <c r="AB18" s="116"/>
      <c r="AC18" s="116"/>
      <c r="AD18" s="116"/>
      <c r="AE18" s="116"/>
      <c r="AF18" s="116"/>
    </row>
    <row r="19" spans="1:34">
      <c r="B19" s="165">
        <v>1</v>
      </c>
      <c r="C19" s="301">
        <f t="shared" ref="C19:C28" ca="1" si="5">D5-D4</f>
        <v>47.182348861274988</v>
      </c>
      <c r="D19" s="154">
        <f>'Expected Growth Rate'!$C$13</f>
        <v>1.2120389859570473</v>
      </c>
      <c r="E19" s="301">
        <f ca="1">C19/D19</f>
        <v>38.928078558478859</v>
      </c>
      <c r="F19" s="301">
        <f t="shared" ref="F19:F28" ca="1" si="6">H5-E19</f>
        <v>-48.406387973217022</v>
      </c>
      <c r="G19" s="319">
        <f t="shared" ref="G19:G27" ca="1" si="7">G18+E19</f>
        <v>597.1680785584789</v>
      </c>
      <c r="H19" s="65">
        <f t="shared" ca="1" si="4"/>
        <v>-1.5872096575587444E-2</v>
      </c>
      <c r="I19" s="88"/>
      <c r="J19" s="87"/>
      <c r="K19" s="87"/>
      <c r="L19" s="159"/>
      <c r="M19" s="157"/>
      <c r="N19" s="200"/>
      <c r="O19" s="196"/>
      <c r="P19" s="157"/>
      <c r="Q19" s="116"/>
      <c r="R19" s="116"/>
      <c r="S19" s="116"/>
      <c r="T19" s="116"/>
      <c r="U19" s="116"/>
      <c r="V19" s="116"/>
      <c r="W19" s="116"/>
      <c r="X19" s="116"/>
      <c r="Y19" s="116"/>
      <c r="Z19" s="116"/>
      <c r="AA19" s="116"/>
      <c r="AB19" s="116"/>
      <c r="AC19" s="116"/>
      <c r="AD19" s="116"/>
      <c r="AE19" s="116"/>
      <c r="AF19" s="116"/>
    </row>
    <row r="20" spans="1:34">
      <c r="A20" s="118"/>
      <c r="B20" s="165">
        <f t="shared" ref="B20:B28" si="8">B19+1</f>
        <v>2</v>
      </c>
      <c r="C20" s="301">
        <f t="shared" ca="1" si="5"/>
        <v>55.29890428064158</v>
      </c>
      <c r="D20" s="154">
        <f>'Expected Growth Rate'!$C$13</f>
        <v>1.2120389859570473</v>
      </c>
      <c r="E20" s="301">
        <f t="shared" ref="E20:E28" ca="1" si="9">C20/D20</f>
        <v>45.624691054782033</v>
      </c>
      <c r="F20" s="301">
        <f t="shared" ca="1" si="6"/>
        <v>-53.30065630814024</v>
      </c>
      <c r="G20" s="319">
        <f t="shared" ca="1" si="7"/>
        <v>642.79276961326093</v>
      </c>
      <c r="H20" s="65">
        <f t="shared" ca="1" si="4"/>
        <v>-1.1941586178662967E-2</v>
      </c>
      <c r="I20" s="88"/>
      <c r="J20" s="87"/>
      <c r="K20" s="87"/>
      <c r="L20" s="159"/>
      <c r="M20" s="157"/>
      <c r="N20" s="200"/>
      <c r="O20" s="196"/>
      <c r="P20" s="160"/>
      <c r="Q20" s="116"/>
      <c r="R20" s="116"/>
      <c r="S20" s="116"/>
      <c r="T20" s="116"/>
      <c r="U20" s="116"/>
      <c r="V20" s="116"/>
      <c r="W20" s="116"/>
      <c r="X20" s="116"/>
      <c r="Y20" s="116"/>
      <c r="Z20" s="116"/>
      <c r="AA20" s="116"/>
      <c r="AB20" s="116"/>
      <c r="AC20" s="116"/>
      <c r="AD20" s="116"/>
      <c r="AE20" s="116"/>
      <c r="AF20" s="116"/>
    </row>
    <row r="21" spans="1:34">
      <c r="B21" s="165">
        <f t="shared" si="8"/>
        <v>3</v>
      </c>
      <c r="C21" s="301">
        <f t="shared" ca="1" si="5"/>
        <v>64.784471633416331</v>
      </c>
      <c r="D21" s="154">
        <f>'Expected Growth Rate'!$C$13</f>
        <v>1.2120389859570473</v>
      </c>
      <c r="E21" s="301">
        <f t="shared" ca="1" si="9"/>
        <v>53.450815018348088</v>
      </c>
      <c r="F21" s="301">
        <f t="shared" ca="1" si="6"/>
        <v>-56.508570641231344</v>
      </c>
      <c r="G21" s="319">
        <f t="shared" ca="1" si="7"/>
        <v>696.243584631609</v>
      </c>
      <c r="H21" s="65">
        <f t="shared" ca="1" si="4"/>
        <v>-4.391790014842514E-3</v>
      </c>
      <c r="I21" s="88"/>
      <c r="J21" s="87"/>
      <c r="K21" s="87"/>
      <c r="L21" s="159"/>
      <c r="M21" s="157"/>
      <c r="N21" s="157"/>
      <c r="O21" s="132"/>
      <c r="P21" s="235"/>
      <c r="Q21" s="116"/>
      <c r="R21" s="116"/>
      <c r="S21" s="116"/>
      <c r="T21" s="116"/>
      <c r="U21" s="116"/>
      <c r="V21" s="116"/>
      <c r="W21" s="116"/>
      <c r="X21" s="116"/>
      <c r="Y21" s="116"/>
      <c r="Z21" s="116"/>
      <c r="AA21" s="116"/>
      <c r="AB21" s="116"/>
      <c r="AC21" s="116"/>
      <c r="AD21" s="116"/>
      <c r="AE21" s="116"/>
      <c r="AF21" s="116"/>
    </row>
    <row r="22" spans="1:34">
      <c r="B22" s="165">
        <f t="shared" si="8"/>
        <v>4</v>
      </c>
      <c r="C22" s="301">
        <f t="shared" ca="1" si="5"/>
        <v>75.877089752539803</v>
      </c>
      <c r="D22" s="154">
        <f>'Expected Growth Rate'!$C$13</f>
        <v>1.2120389859570473</v>
      </c>
      <c r="E22" s="301">
        <f ca="1">C22/D22</f>
        <v>62.602845809143602</v>
      </c>
      <c r="F22" s="301">
        <f t="shared" ca="1" si="6"/>
        <v>-55.529471132259637</v>
      </c>
      <c r="G22" s="319">
        <f t="shared" ca="1" si="7"/>
        <v>758.84643044075256</v>
      </c>
      <c r="H22" s="65">
        <f t="shared" ca="1" si="4"/>
        <v>9.3212202010038003E-3</v>
      </c>
      <c r="I22" s="88"/>
      <c r="J22" s="87"/>
      <c r="K22" s="87"/>
      <c r="L22" s="159"/>
      <c r="M22" s="157"/>
      <c r="N22" s="157"/>
      <c r="O22" s="116"/>
      <c r="P22" s="116"/>
      <c r="Q22" s="116"/>
      <c r="R22" s="116"/>
      <c r="S22" s="116"/>
      <c r="T22" s="116"/>
      <c r="U22" s="116"/>
      <c r="V22" s="116"/>
      <c r="W22" s="116"/>
      <c r="X22" s="116"/>
      <c r="Y22" s="116"/>
      <c r="Z22" s="116"/>
      <c r="AA22" s="116"/>
      <c r="AB22" s="116"/>
      <c r="AC22" s="116"/>
      <c r="AD22" s="116"/>
      <c r="AE22" s="116"/>
      <c r="AF22" s="116"/>
      <c r="AG22" s="116"/>
    </row>
    <row r="23" spans="1:34">
      <c r="B23" s="165">
        <f t="shared" si="8"/>
        <v>5</v>
      </c>
      <c r="C23" s="301">
        <f t="shared" ca="1" si="5"/>
        <v>74.16898348347064</v>
      </c>
      <c r="D23" s="154">
        <f>'Expected Growth Rate'!$C$13</f>
        <v>1.2120389859570473</v>
      </c>
      <c r="E23" s="301">
        <f t="shared" ca="1" si="9"/>
        <v>61.193562536196396</v>
      </c>
      <c r="F23" s="301">
        <f t="shared" ca="1" si="6"/>
        <v>-40.560768347253457</v>
      </c>
      <c r="G23" s="319">
        <f t="shared" ca="1" si="7"/>
        <v>820.03999297694895</v>
      </c>
      <c r="H23" s="65">
        <f t="shared" ca="1" si="4"/>
        <v>2.5160716996302544E-2</v>
      </c>
      <c r="I23" s="88"/>
      <c r="J23" s="3"/>
      <c r="K23" s="3"/>
      <c r="L23" s="159"/>
      <c r="M23" s="157"/>
      <c r="N23" s="157"/>
      <c r="O23" s="116"/>
      <c r="P23" s="116"/>
      <c r="Q23" s="116"/>
      <c r="R23" s="116"/>
      <c r="S23" s="116"/>
      <c r="T23" s="116"/>
      <c r="U23" s="116"/>
      <c r="V23" s="116"/>
      <c r="W23" s="116"/>
      <c r="X23" s="116"/>
      <c r="Y23" s="116"/>
      <c r="Z23" s="116"/>
      <c r="AA23" s="116"/>
      <c r="AB23" s="116"/>
      <c r="AC23" s="116"/>
      <c r="AD23" s="116"/>
      <c r="AE23" s="116"/>
      <c r="AF23" s="116"/>
      <c r="AG23" s="116"/>
      <c r="AH23" s="116"/>
    </row>
    <row r="24" spans="1:34">
      <c r="B24" s="165">
        <f t="shared" si="8"/>
        <v>6</v>
      </c>
      <c r="C24" s="301">
        <f t="shared" si="5"/>
        <v>63.210821287223553</v>
      </c>
      <c r="D24" s="154">
        <f>'Expected Growth Rate'!$C$13</f>
        <v>1.2120389859570473</v>
      </c>
      <c r="E24" s="301">
        <f t="shared" si="9"/>
        <v>52.15246540713472</v>
      </c>
      <c r="F24" s="301">
        <f t="shared" si="6"/>
        <v>-17.77999043775116</v>
      </c>
      <c r="G24" s="319">
        <f t="shared" ca="1" si="7"/>
        <v>872.19245838408369</v>
      </c>
      <c r="H24" s="65">
        <f t="shared" ca="1" si="4"/>
        <v>3.9409277893855739E-2</v>
      </c>
      <c r="I24" s="88"/>
      <c r="J24" s="87"/>
      <c r="K24" s="116"/>
      <c r="L24" s="159"/>
      <c r="M24" s="157"/>
      <c r="N24" s="157"/>
      <c r="O24" s="116"/>
      <c r="P24" s="116"/>
      <c r="Q24" s="116"/>
      <c r="R24" s="116"/>
      <c r="S24" s="116"/>
      <c r="T24" s="116"/>
      <c r="U24" s="116"/>
      <c r="V24" s="116"/>
      <c r="W24" s="116"/>
      <c r="X24" s="116"/>
      <c r="Y24" s="116"/>
      <c r="Z24" s="116"/>
      <c r="AA24" s="116"/>
      <c r="AB24" s="116"/>
      <c r="AC24" s="116"/>
      <c r="AD24" s="116"/>
      <c r="AE24" s="116"/>
      <c r="AF24" s="116"/>
    </row>
    <row r="25" spans="1:34">
      <c r="B25" s="165">
        <f t="shared" si="8"/>
        <v>7</v>
      </c>
      <c r="C25" s="301">
        <f t="shared" si="5"/>
        <v>70.230767975015965</v>
      </c>
      <c r="D25" s="154">
        <f>'Expected Growth Rate'!$C$13</f>
        <v>1.2120389859570473</v>
      </c>
      <c r="E25" s="301">
        <f t="shared" si="9"/>
        <v>57.944314323817331</v>
      </c>
      <c r="F25" s="301">
        <f t="shared" si="6"/>
        <v>-11.817807512496138</v>
      </c>
      <c r="G25" s="319">
        <f t="shared" ca="1" si="7"/>
        <v>930.13677270790106</v>
      </c>
      <c r="H25" s="65">
        <f t="shared" ca="1" si="4"/>
        <v>4.9591101185079908E-2</v>
      </c>
      <c r="I25" s="88"/>
      <c r="J25" s="87"/>
      <c r="K25" s="116"/>
      <c r="L25" s="159"/>
      <c r="M25" s="159"/>
      <c r="N25" s="159"/>
      <c r="O25" s="116"/>
      <c r="P25" s="116"/>
      <c r="Q25" s="116"/>
      <c r="R25" s="116"/>
      <c r="S25" s="116"/>
      <c r="T25" s="116"/>
      <c r="U25" s="116"/>
      <c r="V25" s="116"/>
      <c r="W25" s="116"/>
      <c r="X25" s="116"/>
      <c r="Y25" s="116"/>
      <c r="Z25" s="116"/>
      <c r="AA25" s="116"/>
      <c r="AB25" s="116"/>
      <c r="AC25" s="116"/>
      <c r="AD25" s="116"/>
      <c r="AE25" s="116"/>
      <c r="AF25" s="116"/>
    </row>
    <row r="26" spans="1:34">
      <c r="B26" s="165">
        <f t="shared" si="8"/>
        <v>8</v>
      </c>
      <c r="C26" s="301">
        <f t="shared" si="5"/>
        <v>102.06831095402401</v>
      </c>
      <c r="D26" s="154">
        <f>'Expected Growth Rate'!$C$13</f>
        <v>1.2120389859570473</v>
      </c>
      <c r="E26" s="301">
        <f t="shared" si="9"/>
        <v>84.212069196296582</v>
      </c>
      <c r="F26" s="301">
        <f t="shared" si="6"/>
        <v>-18.8719644661183</v>
      </c>
      <c r="G26" s="319">
        <f t="shared" ca="1" si="7"/>
        <v>1014.3488419041977</v>
      </c>
      <c r="H26" s="65">
        <f t="shared" ca="1" si="4"/>
        <v>6.4415812421610139E-2</v>
      </c>
      <c r="I26" s="88"/>
      <c r="J26" s="141"/>
      <c r="K26" s="116"/>
      <c r="L26" s="116"/>
      <c r="M26" s="121"/>
      <c r="N26" s="116"/>
      <c r="O26" s="116"/>
      <c r="P26" s="116"/>
      <c r="Q26" s="116"/>
      <c r="R26" s="116"/>
      <c r="S26" s="116"/>
      <c r="T26" s="116"/>
      <c r="U26" s="116"/>
      <c r="V26" s="116"/>
      <c r="W26" s="116"/>
      <c r="X26" s="116"/>
      <c r="Y26" s="116"/>
      <c r="Z26" s="116"/>
      <c r="AA26" s="116"/>
      <c r="AB26" s="116"/>
      <c r="AC26" s="116"/>
      <c r="AD26" s="116"/>
      <c r="AE26" s="116"/>
      <c r="AF26" s="116"/>
    </row>
    <row r="27" spans="1:34">
      <c r="B27" s="165">
        <f t="shared" si="8"/>
        <v>9</v>
      </c>
      <c r="C27" s="301">
        <f t="shared" si="5"/>
        <v>101.94686390448317</v>
      </c>
      <c r="D27" s="154">
        <f>'Expected Growth Rate'!$C$13</f>
        <v>1.2120389859570473</v>
      </c>
      <c r="E27" s="301">
        <f t="shared" si="9"/>
        <v>84.111868583157928</v>
      </c>
      <c r="F27" s="301">
        <f t="shared" si="6"/>
        <v>10.018758586074668</v>
      </c>
      <c r="G27" s="319">
        <f t="shared" ca="1" si="7"/>
        <v>1098.4607104873555</v>
      </c>
      <c r="H27" s="65">
        <f t="shared" ca="1" si="4"/>
        <v>8.5693212575140287E-2</v>
      </c>
      <c r="I27" s="88"/>
      <c r="K27" s="116"/>
      <c r="L27" s="116"/>
      <c r="O27" s="116"/>
      <c r="P27" s="116"/>
      <c r="Q27" s="116"/>
      <c r="R27" s="116"/>
      <c r="S27" s="116"/>
      <c r="T27" s="116"/>
      <c r="U27" s="116"/>
      <c r="V27" s="116"/>
      <c r="W27" s="116"/>
      <c r="X27" s="116"/>
      <c r="Y27" s="116"/>
      <c r="Z27" s="116"/>
      <c r="AA27" s="116"/>
      <c r="AB27" s="116"/>
      <c r="AC27" s="116"/>
      <c r="AD27" s="116"/>
      <c r="AE27" s="116"/>
      <c r="AF27" s="116"/>
      <c r="AG27" s="116"/>
      <c r="AH27" s="116"/>
    </row>
    <row r="28" spans="1:34">
      <c r="B28" s="165">
        <f t="shared" si="8"/>
        <v>10</v>
      </c>
      <c r="C28" s="301">
        <f t="shared" si="5"/>
        <v>111.85485281357944</v>
      </c>
      <c r="D28" s="154">
        <f>'Expected Growth Rate'!$C$13</f>
        <v>1.2120389859570473</v>
      </c>
      <c r="E28" s="301">
        <f t="shared" si="9"/>
        <v>92.286513973192768</v>
      </c>
      <c r="F28" s="301">
        <f t="shared" si="6"/>
        <v>36.619367884354148</v>
      </c>
      <c r="G28" s="319">
        <f ca="1">G27+E28</f>
        <v>1190.7472244605483</v>
      </c>
      <c r="H28" s="65">
        <f t="shared" ca="1" si="4"/>
        <v>0.10825629420714876</v>
      </c>
      <c r="I28" s="88"/>
      <c r="J28" s="95"/>
      <c r="K28" s="116"/>
      <c r="L28" s="116"/>
      <c r="O28" s="116"/>
      <c r="P28" s="116"/>
      <c r="Q28" s="116"/>
      <c r="R28" s="116"/>
      <c r="S28" s="116"/>
      <c r="T28" s="116"/>
      <c r="U28" s="116"/>
      <c r="V28" s="116"/>
      <c r="W28" s="116"/>
      <c r="X28" s="116"/>
      <c r="Y28" s="116"/>
      <c r="Z28" s="116"/>
      <c r="AA28" s="116"/>
      <c r="AB28" s="116"/>
      <c r="AC28" s="116"/>
      <c r="AD28" s="116"/>
      <c r="AE28" s="116"/>
      <c r="AF28" s="116"/>
      <c r="AG28" s="116"/>
      <c r="AH28" s="116"/>
    </row>
    <row r="29" spans="1:34">
      <c r="E29" s="164"/>
      <c r="J29" s="116"/>
      <c r="K29" s="116"/>
      <c r="L29" s="116"/>
      <c r="O29" s="116"/>
      <c r="P29" s="116"/>
      <c r="Q29" s="116"/>
      <c r="R29" s="116"/>
      <c r="S29" s="116"/>
      <c r="T29" s="116"/>
      <c r="U29" s="116"/>
      <c r="V29" s="116"/>
      <c r="W29" s="116"/>
      <c r="X29" s="116"/>
      <c r="Y29" s="116"/>
      <c r="Z29" s="116"/>
      <c r="AA29" s="116"/>
      <c r="AB29" s="116"/>
      <c r="AC29" s="116"/>
      <c r="AD29" s="116"/>
      <c r="AE29" s="116"/>
      <c r="AF29" s="116"/>
      <c r="AG29" s="116"/>
      <c r="AH29" s="116"/>
    </row>
    <row r="30" spans="1:34" ht="14.25" customHeight="1">
      <c r="J30" s="116"/>
      <c r="K30" s="116"/>
      <c r="L30" s="116"/>
      <c r="P30" s="116"/>
      <c r="Q30" s="116"/>
      <c r="R30" s="116"/>
      <c r="S30" s="116"/>
      <c r="T30" s="116"/>
      <c r="U30" s="116"/>
      <c r="V30" s="116"/>
      <c r="W30" s="116"/>
      <c r="X30" s="116"/>
      <c r="Y30" s="116"/>
      <c r="Z30" s="116"/>
      <c r="AA30" s="116"/>
      <c r="AB30" s="116"/>
      <c r="AC30" s="116"/>
      <c r="AD30" s="116"/>
      <c r="AE30" s="116"/>
      <c r="AF30" s="116"/>
      <c r="AG30" s="116"/>
      <c r="AH30" s="116"/>
    </row>
    <row r="31" spans="1:34">
      <c r="G31" s="116"/>
      <c r="H31" s="116"/>
      <c r="I31" s="116"/>
      <c r="J31" s="116"/>
      <c r="K31" s="116"/>
      <c r="L31" s="116"/>
      <c r="M31" s="116"/>
      <c r="N31" s="116"/>
      <c r="P31" s="116"/>
      <c r="Q31" s="116"/>
      <c r="R31" s="116"/>
      <c r="S31" s="116"/>
      <c r="T31" s="116"/>
      <c r="U31" s="116"/>
      <c r="V31" s="116"/>
      <c r="W31" s="116"/>
      <c r="X31" s="116"/>
      <c r="Y31" s="116"/>
      <c r="Z31" s="116"/>
      <c r="AA31" s="116"/>
      <c r="AB31" s="116"/>
      <c r="AC31" s="116"/>
      <c r="AD31" s="116"/>
      <c r="AE31" s="116"/>
      <c r="AF31" s="116"/>
      <c r="AG31" s="116"/>
      <c r="AH31" s="116"/>
    </row>
    <row r="32" spans="1:34">
      <c r="G32" s="116"/>
      <c r="H32" s="116"/>
      <c r="I32" s="116"/>
      <c r="J32" s="116"/>
      <c r="K32" s="116"/>
      <c r="L32" s="116"/>
      <c r="M32" s="116"/>
      <c r="N32" s="116"/>
      <c r="O32" s="116"/>
      <c r="P32" s="116"/>
      <c r="Q32" s="116"/>
      <c r="R32" s="116"/>
      <c r="S32" s="116"/>
      <c r="T32" s="116"/>
      <c r="U32" s="116"/>
      <c r="V32" s="116"/>
      <c r="W32" s="116"/>
      <c r="X32" s="116"/>
      <c r="Y32" s="116"/>
      <c r="Z32" s="116"/>
      <c r="AA32" s="116"/>
      <c r="AB32" s="116"/>
      <c r="AC32" s="116"/>
      <c r="AD32" s="116"/>
      <c r="AE32" s="116"/>
      <c r="AF32" s="116"/>
      <c r="AG32" s="116"/>
      <c r="AH32" s="116"/>
    </row>
    <row r="33" spans="4:34">
      <c r="G33" s="116"/>
      <c r="H33" s="116"/>
      <c r="I33" s="116"/>
      <c r="J33" s="116"/>
      <c r="K33" s="116"/>
      <c r="L33" s="116"/>
      <c r="M33" s="116"/>
      <c r="N33" s="116"/>
      <c r="O33" s="116"/>
      <c r="P33" s="116"/>
      <c r="Q33" s="116"/>
      <c r="R33" s="116"/>
      <c r="S33" s="116"/>
      <c r="T33" s="116"/>
      <c r="U33" s="116"/>
      <c r="V33" s="116"/>
      <c r="W33" s="116"/>
      <c r="X33" s="116"/>
      <c r="Y33" s="116"/>
      <c r="Z33" s="116"/>
      <c r="AA33" s="116"/>
      <c r="AB33" s="116"/>
      <c r="AC33" s="116"/>
      <c r="AD33" s="116"/>
      <c r="AE33" s="116"/>
      <c r="AF33" s="116"/>
      <c r="AG33" s="116"/>
      <c r="AH33" s="116"/>
    </row>
    <row r="34" spans="4:34">
      <c r="G34" s="116"/>
      <c r="H34" s="116"/>
      <c r="I34" s="116"/>
      <c r="J34" s="116"/>
      <c r="K34" s="116"/>
      <c r="L34" s="116"/>
      <c r="M34" s="116"/>
      <c r="N34" s="116"/>
      <c r="O34" s="116"/>
      <c r="P34" s="116"/>
      <c r="Q34" s="116"/>
      <c r="R34" s="116"/>
      <c r="S34" s="116"/>
      <c r="T34" s="116"/>
      <c r="U34" s="116"/>
      <c r="V34" s="116"/>
      <c r="W34" s="116"/>
      <c r="X34" s="116"/>
      <c r="Y34" s="116"/>
      <c r="Z34" s="116"/>
      <c r="AA34" s="116"/>
      <c r="AB34" s="116"/>
      <c r="AC34" s="116"/>
      <c r="AD34" s="116"/>
      <c r="AE34" s="116"/>
      <c r="AF34" s="116"/>
      <c r="AG34" s="116"/>
      <c r="AH34" s="116"/>
    </row>
    <row r="35" spans="4:34">
      <c r="G35" s="116"/>
      <c r="H35" s="116"/>
      <c r="I35" s="116"/>
      <c r="J35" s="116"/>
      <c r="K35" s="116"/>
      <c r="L35" s="116"/>
      <c r="M35" s="116"/>
      <c r="N35" s="116"/>
      <c r="O35" s="116"/>
      <c r="P35" s="116"/>
      <c r="Q35" s="116"/>
      <c r="R35" s="116"/>
      <c r="S35" s="116"/>
      <c r="T35" s="116"/>
      <c r="U35" s="116"/>
      <c r="V35" s="116"/>
      <c r="W35" s="116"/>
      <c r="X35" s="116"/>
      <c r="Y35" s="116"/>
      <c r="Z35" s="116"/>
      <c r="AA35" s="116"/>
      <c r="AB35" s="116"/>
      <c r="AC35" s="116"/>
      <c r="AD35" s="116"/>
      <c r="AE35" s="116"/>
      <c r="AF35" s="116"/>
      <c r="AG35" s="116"/>
      <c r="AH35" s="116"/>
    </row>
    <row r="36" spans="4:34">
      <c r="D36" s="481" t="s">
        <v>194</v>
      </c>
      <c r="E36" s="481"/>
      <c r="F36" s="481"/>
      <c r="G36" s="481"/>
      <c r="H36" s="481"/>
      <c r="I36" s="116"/>
      <c r="J36" s="116"/>
      <c r="K36" s="116"/>
      <c r="L36" s="116"/>
      <c r="M36" s="116"/>
      <c r="N36" s="116"/>
      <c r="O36" s="116"/>
      <c r="P36" s="116"/>
      <c r="Q36" s="116"/>
      <c r="R36" s="116"/>
      <c r="S36" s="116"/>
      <c r="T36" s="116"/>
      <c r="U36" s="116"/>
      <c r="V36" s="116"/>
      <c r="W36" s="116"/>
      <c r="X36" s="116"/>
      <c r="Y36" s="116"/>
      <c r="Z36" s="116"/>
      <c r="AA36" s="116"/>
      <c r="AB36" s="116"/>
      <c r="AC36" s="116"/>
      <c r="AD36" s="116"/>
      <c r="AE36" s="116"/>
      <c r="AF36" s="116"/>
      <c r="AG36" s="116"/>
      <c r="AH36" s="116"/>
    </row>
    <row r="37" spans="4:34">
      <c r="D37" s="258" t="s">
        <v>186</v>
      </c>
      <c r="E37" s="258" t="s">
        <v>191</v>
      </c>
      <c r="F37" s="258" t="s">
        <v>167</v>
      </c>
      <c r="G37" s="258" t="s">
        <v>192</v>
      </c>
      <c r="H37" s="258" t="s">
        <v>193</v>
      </c>
      <c r="I37" s="116"/>
      <c r="L37" s="116"/>
      <c r="M37" s="116"/>
      <c r="N37" s="116"/>
      <c r="O37" s="116"/>
      <c r="P37" s="116"/>
      <c r="Q37" s="116"/>
      <c r="R37" s="116"/>
      <c r="S37" s="116"/>
      <c r="T37" s="116"/>
      <c r="U37" s="116"/>
      <c r="V37" s="116"/>
      <c r="W37" s="116"/>
      <c r="X37" s="116"/>
      <c r="Y37" s="116"/>
      <c r="Z37" s="116"/>
      <c r="AA37" s="116"/>
      <c r="AB37" s="116"/>
      <c r="AC37" s="116"/>
      <c r="AD37" s="116"/>
      <c r="AE37" s="116"/>
      <c r="AF37" s="116"/>
      <c r="AG37" s="116"/>
      <c r="AH37" s="116"/>
    </row>
    <row r="38" spans="4:34">
      <c r="D38" s="136" t="s">
        <v>187</v>
      </c>
      <c r="E38" s="339">
        <v>10093</v>
      </c>
      <c r="F38" s="339">
        <v>9453</v>
      </c>
      <c r="G38" s="339">
        <v>9320</v>
      </c>
      <c r="H38" s="339">
        <f>AVERAGE(E38:G38)</f>
        <v>9622</v>
      </c>
      <c r="I38" s="116"/>
      <c r="L38" s="116"/>
      <c r="O38" s="116"/>
      <c r="P38" s="116"/>
      <c r="Q38" s="116"/>
      <c r="R38" s="116"/>
      <c r="S38" s="116"/>
      <c r="T38" s="116"/>
      <c r="U38" s="116"/>
      <c r="V38" s="116"/>
      <c r="W38" s="116"/>
      <c r="X38" s="116"/>
      <c r="Y38" s="116"/>
      <c r="Z38" s="116"/>
      <c r="AA38" s="116"/>
      <c r="AB38" s="116"/>
      <c r="AC38" s="116"/>
      <c r="AD38" s="116"/>
      <c r="AE38" s="116"/>
      <c r="AF38" s="116"/>
      <c r="AG38" s="116"/>
      <c r="AH38" s="116"/>
    </row>
    <row r="39" spans="4:34">
      <c r="D39" s="136" t="s">
        <v>188</v>
      </c>
      <c r="E39" s="339">
        <v>17945</v>
      </c>
      <c r="F39" s="339">
        <v>16359</v>
      </c>
      <c r="G39" s="339">
        <v>16103</v>
      </c>
      <c r="H39" s="339">
        <f t="shared" ref="H39:H41" si="10">AVERAGE(E39:G39)</f>
        <v>16802.333333333332</v>
      </c>
    </row>
    <row r="40" spans="4:34">
      <c r="D40" s="136" t="s">
        <v>189</v>
      </c>
      <c r="E40" s="339">
        <v>22476</v>
      </c>
      <c r="F40" s="339">
        <v>21346</v>
      </c>
      <c r="G40" s="339">
        <v>22369</v>
      </c>
      <c r="H40" s="339">
        <f t="shared" si="10"/>
        <v>22063.666666666668</v>
      </c>
    </row>
    <row r="41" spans="4:34">
      <c r="D41" s="136" t="s">
        <v>190</v>
      </c>
      <c r="E41" s="339">
        <v>10127</v>
      </c>
      <c r="F41" s="339">
        <v>9774</v>
      </c>
      <c r="G41" s="339">
        <v>9557</v>
      </c>
      <c r="H41" s="339">
        <f t="shared" si="10"/>
        <v>9819.3333333333339</v>
      </c>
    </row>
    <row r="43" spans="4:34">
      <c r="D43" s="481" t="s">
        <v>199</v>
      </c>
      <c r="E43" s="481"/>
      <c r="F43" s="481"/>
      <c r="G43" s="481"/>
      <c r="H43" s="481"/>
    </row>
    <row r="44" spans="4:34">
      <c r="D44" s="258" t="s">
        <v>195</v>
      </c>
      <c r="E44" s="258" t="s">
        <v>191</v>
      </c>
      <c r="F44" s="258" t="s">
        <v>167</v>
      </c>
      <c r="G44" s="258" t="s">
        <v>192</v>
      </c>
      <c r="H44" s="258" t="s">
        <v>193</v>
      </c>
    </row>
    <row r="45" spans="4:34">
      <c r="D45" s="136" t="s">
        <v>196</v>
      </c>
      <c r="E45" s="339">
        <v>2728</v>
      </c>
      <c r="F45" s="339">
        <v>1944</v>
      </c>
      <c r="G45" s="339">
        <v>1619</v>
      </c>
      <c r="H45" s="339">
        <f>AVERAGE(E45:G45)</f>
        <v>2097</v>
      </c>
    </row>
    <row r="46" spans="4:34">
      <c r="D46" s="136" t="s">
        <v>197</v>
      </c>
      <c r="E46" s="339">
        <v>8207</v>
      </c>
      <c r="F46" s="339">
        <v>7855</v>
      </c>
      <c r="G46" s="339">
        <v>6841</v>
      </c>
      <c r="H46" s="339">
        <f t="shared" ref="H46:H47" si="11">AVERAGE(E46:G46)</f>
        <v>7634.333333333333</v>
      </c>
    </row>
    <row r="47" spans="4:34">
      <c r="D47" s="136" t="s">
        <v>198</v>
      </c>
      <c r="E47" s="339">
        <v>20878</v>
      </c>
      <c r="F47" s="339">
        <v>19361</v>
      </c>
      <c r="G47" s="339">
        <v>19909</v>
      </c>
      <c r="H47" s="339">
        <f t="shared" si="11"/>
        <v>20049.333333333332</v>
      </c>
    </row>
  </sheetData>
  <mergeCells count="3">
    <mergeCell ref="N17:P17"/>
    <mergeCell ref="D36:H36"/>
    <mergeCell ref="D43:H43"/>
  </mergeCells>
  <pageMargins left="0.7" right="0.7" top="0.75" bottom="0.75" header="0.3" footer="0.3"/>
  <pageSetup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11" customWidth="1"/>
    <col min="2" max="2" width="23.85546875" style="111" customWidth="1"/>
    <col min="3" max="3" width="15.28515625" style="111" customWidth="1"/>
    <col min="4" max="4" width="4.85546875" style="111" customWidth="1"/>
    <col min="5" max="5" width="5.140625" style="111" customWidth="1"/>
    <col min="6" max="6" width="21.5703125" style="111" customWidth="1"/>
    <col min="7" max="7" width="10.140625" style="111" customWidth="1" collapsed="1"/>
    <col min="8" max="9" width="10.42578125" style="111" customWidth="1"/>
    <col min="10" max="10" width="9.140625" style="111" customWidth="1"/>
    <col min="11" max="11" width="9" style="111" customWidth="1"/>
    <col min="12" max="12" width="9.85546875" style="111" customWidth="1"/>
    <col min="13" max="26" width="9.140625" style="111" customWidth="1"/>
    <col min="27" max="27" width="9.28515625" style="111" customWidth="1"/>
    <col min="28" max="28" width="9.42578125" style="111" customWidth="1"/>
    <col min="29" max="29" width="10" style="111" customWidth="1"/>
    <col min="30" max="30" width="11.42578125" style="111" customWidth="1"/>
    <col min="31" max="31" width="9.42578125" style="111" bestFit="1" customWidth="1" collapsed="1"/>
    <col min="32" max="16384" width="9.140625" style="111"/>
  </cols>
  <sheetData>
    <row r="1" spans="1:32" s="110" customFormat="1" ht="15" customHeight="1">
      <c r="B1" s="16" t="s">
        <v>82</v>
      </c>
      <c r="C1" s="109"/>
      <c r="D1" s="109"/>
      <c r="E1" s="109"/>
      <c r="F1" s="109"/>
      <c r="G1" s="109"/>
      <c r="H1" s="109"/>
      <c r="I1" s="109"/>
      <c r="J1" s="109"/>
      <c r="K1" s="109"/>
      <c r="L1" s="109"/>
    </row>
    <row r="2" spans="1:32" ht="12" customHeight="1">
      <c r="C2" s="132"/>
    </row>
    <row r="3" spans="1:32" ht="12" customHeight="1">
      <c r="A3" s="113"/>
      <c r="B3" s="134" t="s">
        <v>94</v>
      </c>
      <c r="C3" s="158">
        <v>0.02</v>
      </c>
      <c r="F3" s="481" t="s">
        <v>98</v>
      </c>
      <c r="G3" s="481"/>
      <c r="H3" s="481"/>
      <c r="I3" s="481"/>
      <c r="J3" s="481"/>
      <c r="K3" s="481"/>
      <c r="L3" s="142"/>
      <c r="M3" s="142"/>
      <c r="N3" s="142"/>
      <c r="O3" s="142"/>
      <c r="P3" s="142"/>
      <c r="Q3" s="142"/>
    </row>
    <row r="4" spans="1:32" ht="12" customHeight="1">
      <c r="A4" s="118"/>
      <c r="B4" s="127" t="s">
        <v>95</v>
      </c>
      <c r="C4" s="75">
        <f ca="1">'Future Cashflows (10 Yrs)'!H28</f>
        <v>0.10825629420714876</v>
      </c>
      <c r="F4" s="84" t="s">
        <v>39</v>
      </c>
      <c r="G4" s="75">
        <f>'Risk Free Rate &amp; ERP'!C7</f>
        <v>4.0419999999999998E-2</v>
      </c>
      <c r="H4" s="124"/>
      <c r="I4" s="124"/>
      <c r="J4" s="124"/>
      <c r="K4" s="128"/>
      <c r="L4" s="188"/>
      <c r="M4" s="188"/>
      <c r="N4" s="188"/>
      <c r="O4" s="188"/>
      <c r="P4" s="188"/>
      <c r="Q4" s="112"/>
      <c r="S4" s="115"/>
      <c r="T4" s="115"/>
      <c r="U4" s="115"/>
      <c r="V4" s="115"/>
      <c r="AA4" s="115"/>
    </row>
    <row r="5" spans="1:32" ht="12" customHeight="1">
      <c r="A5" s="118"/>
      <c r="B5" s="130" t="s">
        <v>84</v>
      </c>
      <c r="C5" s="178">
        <f ca="1">C3/C4</f>
        <v>0.1847467636544988</v>
      </c>
      <c r="F5" s="84" t="s">
        <v>9</v>
      </c>
      <c r="G5" s="75">
        <f>'Risk Free Rate &amp; ERP'!F13</f>
        <v>5.3948638619903969E-2</v>
      </c>
      <c r="H5" s="124"/>
      <c r="I5" s="124"/>
      <c r="J5" s="124"/>
      <c r="K5" s="128"/>
      <c r="L5" s="43"/>
      <c r="M5" s="43"/>
      <c r="N5" s="43"/>
      <c r="O5" s="43"/>
      <c r="P5" s="43"/>
      <c r="Q5" s="43"/>
      <c r="S5" s="116"/>
      <c r="T5" s="116"/>
      <c r="U5" s="116"/>
      <c r="V5" s="116"/>
      <c r="W5" s="116"/>
      <c r="X5" s="116"/>
      <c r="Y5" s="116"/>
      <c r="Z5" s="116"/>
      <c r="AA5" s="116"/>
      <c r="AB5" s="116"/>
      <c r="AC5" s="116"/>
      <c r="AD5" s="116"/>
      <c r="AE5" s="116"/>
      <c r="AF5" s="116"/>
    </row>
    <row r="6" spans="1:32" ht="12" customHeight="1">
      <c r="A6" s="118"/>
      <c r="B6" s="124"/>
      <c r="C6" s="124"/>
      <c r="F6" s="84" t="s">
        <v>107</v>
      </c>
      <c r="G6" s="101">
        <f>(_xlfn.PERCENTILE.EXC('Beta Calculation Data'!D5:D37,0.25)*'Bottom Up Beta'!I10)+(_xlfn.PERCENTILE.EXC('Beta Calculation Data'!D42:D47,0.25)*'Bottom Up Beta'!I11)+(_xlfn.PERCENTILE.EXC('Beta Calculation Data'!D52:D74,0.25)*'Bottom Up Beta'!I12)+(_xlfn.PERCENTILE.EXC('Beta Calculation Data'!D79:D80,0.5)*'Bottom Up Beta'!I13)</f>
        <v>0.7168720645687835</v>
      </c>
      <c r="H6" s="181" t="s">
        <v>507</v>
      </c>
      <c r="I6" s="124"/>
      <c r="J6" s="124"/>
      <c r="K6" s="128"/>
      <c r="L6" s="137"/>
      <c r="M6" s="137"/>
      <c r="N6" s="137"/>
      <c r="O6" s="137"/>
      <c r="P6" s="137"/>
      <c r="Q6" s="137"/>
      <c r="S6" s="116"/>
      <c r="T6" s="116"/>
      <c r="U6" s="116"/>
      <c r="V6" s="116"/>
      <c r="W6" s="116"/>
      <c r="X6" s="116"/>
      <c r="Y6" s="116"/>
      <c r="Z6" s="116"/>
      <c r="AA6" s="116"/>
      <c r="AB6" s="116"/>
      <c r="AC6" s="116"/>
      <c r="AD6" s="116"/>
      <c r="AE6" s="116"/>
      <c r="AF6" s="116"/>
    </row>
    <row r="7" spans="1:32" ht="12" customHeight="1">
      <c r="B7" s="127" t="s">
        <v>96</v>
      </c>
      <c r="C7" s="289">
        <f>('Industry &amp; Revenues'!E15+'Industry &amp; Revenues'!I15+'Industry &amp; Revenues'!M15+'Industry &amp; Revenues'!Q15)*'Future Cashflows (10 Yrs)'!F14</f>
        <v>185.67000076292175</v>
      </c>
      <c r="F7" s="17"/>
      <c r="G7" s="17"/>
      <c r="H7" s="124"/>
      <c r="I7" s="124"/>
      <c r="J7" s="124"/>
      <c r="K7" s="124"/>
      <c r="N7" s="116"/>
      <c r="O7" s="116"/>
      <c r="P7" s="132"/>
      <c r="Q7" s="137"/>
      <c r="S7" s="116"/>
      <c r="T7" s="116"/>
      <c r="U7" s="116"/>
      <c r="V7" s="116"/>
      <c r="W7" s="116"/>
      <c r="X7" s="116"/>
      <c r="Y7" s="116"/>
      <c r="Z7" s="116"/>
      <c r="AA7" s="116"/>
      <c r="AB7" s="116"/>
      <c r="AC7" s="116"/>
      <c r="AD7" s="116"/>
      <c r="AE7" s="116"/>
      <c r="AF7" s="116"/>
    </row>
    <row r="8" spans="1:32" ht="12" customHeight="1">
      <c r="A8" s="118"/>
      <c r="B8" s="127" t="s">
        <v>97</v>
      </c>
      <c r="C8" s="75">
        <f>'Future Cashflows (10 Yrs)'!K4</f>
        <v>0.26</v>
      </c>
      <c r="F8" s="84" t="s">
        <v>7</v>
      </c>
      <c r="G8" s="49">
        <f>G4+G6*G5</f>
        <v>7.9094271948125766E-2</v>
      </c>
      <c r="H8" s="124"/>
      <c r="I8" s="124"/>
      <c r="J8" s="124"/>
      <c r="K8" s="182"/>
      <c r="O8" s="116"/>
      <c r="P8" s="116"/>
      <c r="Q8" s="116"/>
      <c r="R8" s="116"/>
      <c r="S8" s="116"/>
      <c r="T8" s="116"/>
      <c r="U8" s="116"/>
      <c r="V8" s="116"/>
      <c r="W8" s="116"/>
      <c r="X8" s="116"/>
      <c r="Y8" s="116"/>
      <c r="Z8" s="116"/>
      <c r="AA8" s="116"/>
      <c r="AB8" s="116"/>
      <c r="AC8" s="116"/>
      <c r="AD8" s="116"/>
      <c r="AE8" s="116"/>
      <c r="AF8" s="116"/>
    </row>
    <row r="9" spans="1:32" ht="12" customHeight="1">
      <c r="A9" s="118"/>
      <c r="B9" s="130" t="s">
        <v>56</v>
      </c>
      <c r="C9" s="290">
        <f>C7*(1-C8)</f>
        <v>137.39580056456208</v>
      </c>
      <c r="F9" s="124"/>
      <c r="G9" s="124"/>
      <c r="H9" s="124"/>
      <c r="I9" s="124"/>
      <c r="J9" s="124"/>
      <c r="K9" s="166"/>
      <c r="O9" s="116"/>
      <c r="P9" s="116"/>
      <c r="Q9" s="116"/>
      <c r="R9" s="116"/>
      <c r="S9" s="116"/>
      <c r="T9" s="116"/>
      <c r="U9" s="116"/>
      <c r="V9" s="116"/>
      <c r="W9" s="116"/>
      <c r="X9" s="116"/>
      <c r="Y9" s="116"/>
      <c r="Z9" s="116"/>
      <c r="AA9" s="116"/>
      <c r="AB9" s="116"/>
      <c r="AC9" s="116"/>
      <c r="AD9" s="116"/>
      <c r="AE9" s="116"/>
      <c r="AF9" s="116"/>
    </row>
    <row r="10" spans="1:32">
      <c r="A10" s="114"/>
      <c r="B10" s="127"/>
      <c r="C10" s="186"/>
      <c r="F10" s="84" t="s">
        <v>41</v>
      </c>
      <c r="G10" s="77">
        <f>'Cost of Equity, Debt &amp; WACC'!C12</f>
        <v>4.0419999999999998E-2</v>
      </c>
      <c r="H10" s="124"/>
      <c r="I10" s="124"/>
      <c r="J10" s="136"/>
      <c r="K10" s="166"/>
      <c r="O10" s="116"/>
      <c r="P10" s="116"/>
      <c r="Q10" s="116"/>
      <c r="R10" s="116"/>
      <c r="S10" s="116"/>
      <c r="T10" s="116"/>
      <c r="U10" s="116"/>
      <c r="V10" s="116"/>
      <c r="W10" s="116"/>
      <c r="X10" s="116"/>
      <c r="Y10" s="116"/>
      <c r="Z10" s="116"/>
      <c r="AA10" s="116"/>
      <c r="AB10" s="116"/>
      <c r="AC10" s="116"/>
      <c r="AD10" s="116"/>
      <c r="AE10" s="116"/>
      <c r="AF10" s="116"/>
    </row>
    <row r="11" spans="1:32" ht="12.75" customHeight="1">
      <c r="A11" s="118"/>
      <c r="B11" s="127" t="s">
        <v>99</v>
      </c>
      <c r="C11" s="323">
        <f ca="1">C9*(1-C5)</f>
        <v>112.01237107054027</v>
      </c>
      <c r="F11" s="84" t="s">
        <v>40</v>
      </c>
      <c r="G11" s="101">
        <v>0</v>
      </c>
      <c r="H11" s="124"/>
      <c r="I11" s="124"/>
      <c r="J11" s="138"/>
      <c r="K11" s="166"/>
      <c r="O11" s="116"/>
      <c r="P11" s="116"/>
      <c r="Q11" s="116"/>
      <c r="R11" s="116"/>
      <c r="S11" s="116"/>
      <c r="T11" s="116"/>
      <c r="U11" s="116"/>
      <c r="V11" s="116"/>
      <c r="W11" s="116"/>
      <c r="X11" s="116"/>
      <c r="Y11" s="116"/>
      <c r="Z11" s="116"/>
      <c r="AA11" s="116"/>
      <c r="AB11" s="116"/>
      <c r="AC11" s="116"/>
      <c r="AD11" s="116"/>
      <c r="AE11" s="116"/>
      <c r="AF11" s="116"/>
    </row>
    <row r="12" spans="1:32">
      <c r="B12" s="166"/>
      <c r="C12" s="124"/>
      <c r="F12" s="84" t="s">
        <v>174</v>
      </c>
      <c r="G12" s="75">
        <f>'Risk Free Rate &amp; ERP'!C5</f>
        <v>0</v>
      </c>
      <c r="H12" s="181"/>
      <c r="I12" s="124"/>
      <c r="J12" s="138"/>
      <c r="K12" s="166"/>
      <c r="L12" s="142"/>
      <c r="M12" s="142"/>
      <c r="N12" s="142"/>
      <c r="O12" s="142"/>
      <c r="P12" s="142"/>
      <c r="Q12" s="142"/>
      <c r="R12" s="116"/>
      <c r="S12" s="116"/>
      <c r="T12" s="116"/>
      <c r="U12" s="116"/>
      <c r="V12" s="116"/>
      <c r="W12" s="116"/>
      <c r="X12" s="116"/>
      <c r="Y12" s="116"/>
      <c r="Z12" s="116"/>
      <c r="AA12" s="116"/>
      <c r="AB12" s="116"/>
      <c r="AC12" s="116"/>
      <c r="AD12" s="116"/>
      <c r="AE12" s="116"/>
      <c r="AF12" s="116"/>
    </row>
    <row r="13" spans="1:32" ht="12" customHeight="1">
      <c r="A13" s="118"/>
      <c r="B13" s="46" t="s">
        <v>82</v>
      </c>
      <c r="C13" s="483">
        <f ca="1">C11/(G21-C3)</f>
        <v>2081.9015210221987</v>
      </c>
      <c r="D13" s="2"/>
      <c r="E13" s="6"/>
      <c r="F13" s="46" t="s">
        <v>135</v>
      </c>
      <c r="G13" s="75">
        <v>0.01</v>
      </c>
      <c r="H13" s="181" t="s">
        <v>175</v>
      </c>
      <c r="I13" s="124"/>
      <c r="J13" s="138"/>
      <c r="K13" s="166"/>
      <c r="O13" s="116"/>
      <c r="P13" s="116"/>
      <c r="Q13" s="116"/>
      <c r="R13" s="116"/>
      <c r="S13" s="116"/>
      <c r="T13" s="116"/>
      <c r="U13" s="116"/>
      <c r="V13" s="116"/>
      <c r="W13" s="116"/>
      <c r="X13" s="116"/>
      <c r="Y13" s="116"/>
      <c r="Z13" s="116"/>
      <c r="AA13" s="116"/>
      <c r="AB13" s="116"/>
      <c r="AC13" s="116"/>
      <c r="AD13" s="116"/>
      <c r="AE13" s="116"/>
      <c r="AF13" s="116"/>
    </row>
    <row r="14" spans="1:32">
      <c r="D14" s="2"/>
      <c r="E14" s="6"/>
      <c r="F14" s="28"/>
      <c r="G14" s="17"/>
      <c r="H14" s="124"/>
      <c r="I14" s="124"/>
      <c r="J14" s="138"/>
      <c r="K14" s="166"/>
      <c r="O14" s="116"/>
      <c r="P14" s="116"/>
      <c r="Q14" s="116"/>
      <c r="R14" s="116"/>
      <c r="S14" s="116"/>
      <c r="T14" s="116"/>
      <c r="U14" s="116"/>
      <c r="V14" s="116"/>
      <c r="W14" s="116"/>
      <c r="X14" s="116"/>
      <c r="Y14" s="116"/>
      <c r="Z14" s="116"/>
      <c r="AA14" s="116"/>
      <c r="AB14" s="116"/>
      <c r="AC14" s="116"/>
      <c r="AD14" s="116"/>
      <c r="AE14" s="116"/>
      <c r="AF14" s="116"/>
    </row>
    <row r="15" spans="1:32">
      <c r="D15" s="6"/>
      <c r="E15" s="6"/>
      <c r="F15" s="84" t="s">
        <v>8</v>
      </c>
      <c r="G15" s="49">
        <f>G10+(G11*G12)+G13</f>
        <v>5.042E-2</v>
      </c>
      <c r="H15" s="124"/>
      <c r="I15" s="124"/>
      <c r="J15" s="138"/>
      <c r="K15" s="166"/>
      <c r="O15" s="116"/>
      <c r="P15" s="116"/>
      <c r="Q15" s="116"/>
      <c r="R15" s="116"/>
      <c r="S15" s="116"/>
      <c r="T15" s="116"/>
      <c r="U15" s="116"/>
      <c r="V15" s="116"/>
      <c r="W15" s="116"/>
      <c r="X15" s="116"/>
      <c r="Y15" s="116"/>
      <c r="Z15" s="116"/>
      <c r="AA15" s="116"/>
      <c r="AB15" s="116"/>
      <c r="AC15" s="116"/>
      <c r="AD15" s="116"/>
      <c r="AE15" s="116"/>
      <c r="AF15" s="116"/>
    </row>
    <row r="16" spans="1:32">
      <c r="B16" s="22"/>
      <c r="C16" s="67"/>
      <c r="D16" s="23"/>
      <c r="E16" s="6"/>
      <c r="F16" s="124"/>
      <c r="G16" s="124"/>
      <c r="H16" s="124"/>
      <c r="I16" s="124"/>
      <c r="J16" s="138"/>
      <c r="K16" s="166"/>
      <c r="O16" s="116"/>
      <c r="P16" s="116"/>
      <c r="Q16" s="116"/>
      <c r="R16" s="116"/>
      <c r="S16" s="116"/>
      <c r="T16" s="116"/>
      <c r="U16" s="116"/>
      <c r="V16" s="116"/>
      <c r="W16" s="116"/>
      <c r="X16" s="116"/>
      <c r="Y16" s="116"/>
      <c r="Z16" s="116"/>
      <c r="AA16" s="116"/>
      <c r="AB16" s="116"/>
      <c r="AC16" s="116"/>
      <c r="AD16" s="116"/>
      <c r="AE16" s="116"/>
      <c r="AF16" s="116"/>
    </row>
    <row r="17" spans="1:32">
      <c r="B17" s="22"/>
      <c r="C17" s="179"/>
      <c r="D17" s="6"/>
      <c r="E17" s="23"/>
      <c r="F17" s="127" t="s">
        <v>504</v>
      </c>
      <c r="G17" s="465">
        <f>('Bottom Up Beta'!H4*'Bottom Up Beta'!I10)+('Bottom Up Beta'!H5*'Bottom Up Beta'!I11)+('Bottom Up Beta'!H6*'Bottom Up Beta'!I12)+('Bottom Up Beta'!H7*'Bottom Up Beta'!I13)</f>
        <v>0.14519323754073293</v>
      </c>
      <c r="H17" s="124"/>
      <c r="I17" s="124"/>
      <c r="J17" s="124"/>
      <c r="K17" s="124"/>
      <c r="L17" s="116"/>
      <c r="O17" s="116"/>
      <c r="P17" s="116"/>
      <c r="Q17" s="116"/>
      <c r="R17" s="116"/>
      <c r="S17" s="116"/>
      <c r="T17" s="116"/>
      <c r="U17" s="116"/>
      <c r="V17" s="116"/>
      <c r="W17" s="116"/>
      <c r="X17" s="116"/>
      <c r="Y17" s="116"/>
      <c r="Z17" s="116"/>
      <c r="AA17" s="116"/>
      <c r="AB17" s="116"/>
      <c r="AC17" s="116"/>
      <c r="AD17" s="116"/>
      <c r="AE17" s="116"/>
      <c r="AF17" s="116"/>
    </row>
    <row r="18" spans="1:32">
      <c r="A18" s="118"/>
      <c r="B18" s="3"/>
      <c r="C18" s="3"/>
      <c r="D18" s="6"/>
      <c r="E18" s="6"/>
      <c r="F18" s="124"/>
      <c r="G18" s="124"/>
      <c r="H18" s="124"/>
      <c r="I18" s="124"/>
      <c r="J18" s="124"/>
      <c r="K18" s="124"/>
      <c r="L18" s="116"/>
      <c r="M18" s="116"/>
      <c r="N18" s="116"/>
      <c r="O18" s="116"/>
      <c r="P18" s="116"/>
      <c r="Q18" s="116"/>
      <c r="R18" s="116"/>
      <c r="S18" s="116"/>
      <c r="T18" s="116"/>
      <c r="U18" s="116"/>
      <c r="V18" s="116"/>
      <c r="W18" s="116"/>
      <c r="X18" s="116"/>
      <c r="Y18" s="116"/>
      <c r="Z18" s="116"/>
      <c r="AA18" s="116"/>
      <c r="AB18" s="116"/>
      <c r="AC18" s="116"/>
      <c r="AD18" s="116"/>
      <c r="AE18" s="116"/>
      <c r="AF18" s="116"/>
    </row>
    <row r="19" spans="1:32">
      <c r="B19" s="22"/>
      <c r="C19" s="52"/>
      <c r="D19" s="6"/>
      <c r="E19" s="6"/>
      <c r="F19" s="127" t="s">
        <v>100</v>
      </c>
      <c r="G19" s="19">
        <f>145/1145</f>
        <v>0.12663755458515283</v>
      </c>
      <c r="H19" s="181" t="s">
        <v>177</v>
      </c>
      <c r="I19" s="124"/>
      <c r="J19" s="138"/>
      <c r="K19" s="166"/>
      <c r="L19" s="116"/>
      <c r="M19" s="116"/>
      <c r="N19" s="116"/>
      <c r="O19" s="116"/>
      <c r="P19" s="116"/>
      <c r="Q19" s="116"/>
      <c r="R19" s="116"/>
      <c r="S19" s="116"/>
      <c r="T19" s="116"/>
      <c r="U19" s="116"/>
      <c r="V19" s="116"/>
      <c r="W19" s="116"/>
      <c r="X19" s="116"/>
      <c r="Y19" s="116"/>
      <c r="Z19" s="116"/>
      <c r="AA19" s="116"/>
      <c r="AB19" s="116"/>
      <c r="AC19" s="116"/>
      <c r="AD19" s="116"/>
      <c r="AE19" s="116"/>
      <c r="AF19" s="116"/>
    </row>
    <row r="20" spans="1:32">
      <c r="A20" s="118"/>
      <c r="B20" s="3"/>
      <c r="C20" s="3"/>
      <c r="D20" s="6"/>
      <c r="E20" s="6"/>
      <c r="F20" s="127" t="s">
        <v>101</v>
      </c>
      <c r="G20" s="183">
        <f>1-G19</f>
        <v>0.8733624454148472</v>
      </c>
      <c r="H20" s="466"/>
      <c r="I20" s="124"/>
      <c r="J20" s="138"/>
      <c r="K20" s="166"/>
      <c r="L20" s="116"/>
      <c r="M20" s="116"/>
      <c r="N20" s="116"/>
      <c r="O20" s="116"/>
      <c r="P20" s="116"/>
      <c r="Q20" s="116"/>
      <c r="R20" s="116"/>
      <c r="S20" s="116"/>
      <c r="T20" s="116"/>
      <c r="U20" s="116"/>
      <c r="V20" s="116"/>
      <c r="W20" s="116"/>
      <c r="X20" s="116"/>
      <c r="Y20" s="116"/>
      <c r="Z20" s="116"/>
      <c r="AA20" s="116"/>
      <c r="AB20" s="116"/>
      <c r="AC20" s="116"/>
      <c r="AD20" s="116"/>
      <c r="AE20" s="116"/>
      <c r="AF20" s="116"/>
    </row>
    <row r="21" spans="1:32">
      <c r="B21" s="47"/>
      <c r="C21" s="3"/>
      <c r="D21" s="6"/>
      <c r="E21" s="23"/>
      <c r="F21" s="185" t="s">
        <v>102</v>
      </c>
      <c r="G21" s="184">
        <f>(G8*G20)+(G15*(1-C8)*G19)</f>
        <v>7.3802915238537797E-2</v>
      </c>
      <c r="J21" s="140"/>
      <c r="K21" s="116"/>
      <c r="L21" s="116"/>
      <c r="M21" s="116"/>
      <c r="N21" s="116"/>
      <c r="O21" s="116"/>
      <c r="P21" s="116"/>
      <c r="Q21" s="116"/>
      <c r="R21" s="116"/>
      <c r="S21" s="116"/>
      <c r="T21" s="116"/>
      <c r="U21" s="116"/>
      <c r="V21" s="116"/>
      <c r="W21" s="116"/>
      <c r="X21" s="116"/>
      <c r="Y21" s="116"/>
      <c r="Z21" s="116"/>
      <c r="AA21" s="116"/>
      <c r="AB21" s="116"/>
      <c r="AC21" s="116"/>
      <c r="AD21" s="116"/>
      <c r="AE21" s="116"/>
      <c r="AF21" s="116"/>
    </row>
    <row r="22" spans="1:32">
      <c r="B22" s="2"/>
      <c r="C22" s="2"/>
      <c r="D22" s="2"/>
      <c r="E22" s="2"/>
      <c r="L22" s="116"/>
      <c r="M22" s="116"/>
      <c r="N22" s="116"/>
      <c r="O22" s="116"/>
      <c r="P22" s="116"/>
      <c r="Q22" s="116"/>
      <c r="R22" s="116"/>
      <c r="S22" s="116"/>
      <c r="T22" s="116"/>
      <c r="U22" s="116"/>
      <c r="V22" s="116"/>
      <c r="W22" s="116"/>
      <c r="X22" s="116"/>
      <c r="Y22" s="116"/>
      <c r="Z22" s="116"/>
      <c r="AA22" s="116"/>
      <c r="AB22" s="116"/>
      <c r="AC22" s="116"/>
      <c r="AD22" s="116"/>
      <c r="AE22" s="116"/>
      <c r="AF22" s="116"/>
    </row>
    <row r="23" spans="1:32" ht="12" customHeight="1">
      <c r="B23" s="16"/>
      <c r="C23" s="3"/>
      <c r="D23" s="6"/>
      <c r="E23" s="6"/>
      <c r="L23" s="116"/>
      <c r="M23" s="116"/>
      <c r="N23" s="116"/>
      <c r="O23" s="116"/>
      <c r="P23" s="116"/>
      <c r="Q23" s="116"/>
      <c r="R23" s="116"/>
      <c r="S23" s="116"/>
      <c r="T23" s="116"/>
      <c r="U23" s="116"/>
      <c r="V23" s="116"/>
      <c r="W23" s="116"/>
      <c r="X23" s="116"/>
      <c r="Y23" s="116"/>
      <c r="Z23" s="116"/>
      <c r="AA23" s="116"/>
      <c r="AB23" s="116"/>
      <c r="AC23" s="116"/>
      <c r="AD23" s="116"/>
      <c r="AE23" s="116"/>
      <c r="AF23" s="116"/>
    </row>
    <row r="24" spans="1:32">
      <c r="B24" s="3"/>
      <c r="C24" s="3"/>
      <c r="D24" s="6"/>
      <c r="E24" s="6"/>
      <c r="L24" s="116"/>
      <c r="M24" s="116"/>
      <c r="N24" s="116"/>
      <c r="O24" s="116"/>
      <c r="P24" s="116"/>
      <c r="Q24" s="116"/>
      <c r="R24" s="116"/>
      <c r="S24" s="116"/>
      <c r="T24" s="116"/>
      <c r="U24" s="116"/>
      <c r="V24" s="116"/>
      <c r="W24" s="116"/>
      <c r="X24" s="116"/>
      <c r="Y24" s="116"/>
      <c r="Z24" s="116"/>
      <c r="AA24" s="116"/>
      <c r="AB24" s="116"/>
      <c r="AC24" s="116"/>
      <c r="AD24" s="116"/>
      <c r="AE24" s="116"/>
      <c r="AF24" s="116"/>
    </row>
    <row r="25" spans="1:32">
      <c r="D25" s="6"/>
      <c r="E25" s="6"/>
      <c r="L25" s="116"/>
      <c r="M25" s="116"/>
      <c r="N25" s="116"/>
      <c r="O25" s="116"/>
      <c r="P25" s="116"/>
      <c r="Q25" s="116"/>
      <c r="R25" s="116"/>
      <c r="S25" s="116"/>
      <c r="T25" s="116"/>
      <c r="U25" s="116"/>
      <c r="V25" s="116"/>
      <c r="W25" s="116"/>
      <c r="X25" s="116"/>
      <c r="Y25" s="116"/>
      <c r="Z25" s="116"/>
      <c r="AA25" s="116"/>
      <c r="AB25" s="116"/>
      <c r="AC25" s="116"/>
      <c r="AD25" s="116"/>
      <c r="AE25" s="116"/>
      <c r="AF25" s="116"/>
    </row>
    <row r="26" spans="1:32">
      <c r="D26" s="6"/>
      <c r="E26" s="6"/>
      <c r="L26" s="116"/>
      <c r="M26" s="116"/>
      <c r="N26" s="116"/>
      <c r="O26" s="116"/>
      <c r="P26" s="116"/>
      <c r="Q26" s="116"/>
      <c r="R26" s="116"/>
      <c r="S26" s="116"/>
      <c r="T26" s="116"/>
      <c r="U26" s="116"/>
      <c r="V26" s="116"/>
      <c r="W26" s="116"/>
      <c r="X26" s="116"/>
      <c r="Y26" s="116"/>
      <c r="Z26" s="116"/>
      <c r="AA26" s="116"/>
      <c r="AB26" s="116"/>
      <c r="AC26" s="116"/>
      <c r="AD26" s="116"/>
      <c r="AE26" s="116"/>
      <c r="AF26" s="116"/>
    </row>
    <row r="27" spans="1:32">
      <c r="D27" s="23"/>
      <c r="E27" s="23"/>
      <c r="L27" s="116"/>
      <c r="M27" s="116"/>
      <c r="N27" s="116"/>
      <c r="O27" s="116"/>
      <c r="P27" s="116"/>
      <c r="Q27" s="116"/>
      <c r="R27" s="116"/>
      <c r="S27" s="116"/>
      <c r="T27" s="116"/>
      <c r="U27" s="116"/>
      <c r="V27" s="116"/>
      <c r="W27" s="116"/>
      <c r="X27" s="116"/>
      <c r="Y27" s="116"/>
      <c r="Z27" s="116"/>
      <c r="AA27" s="116"/>
      <c r="AB27" s="116"/>
      <c r="AC27" s="116"/>
      <c r="AD27" s="116"/>
      <c r="AE27" s="116"/>
      <c r="AF27" s="116"/>
    </row>
    <row r="28" spans="1:32">
      <c r="D28" s="6"/>
      <c r="E28" s="6"/>
      <c r="L28" s="116"/>
      <c r="M28" s="116"/>
      <c r="N28" s="116"/>
      <c r="O28" s="116"/>
      <c r="P28" s="116"/>
      <c r="Q28" s="116"/>
      <c r="R28" s="116"/>
      <c r="S28" s="116"/>
      <c r="T28" s="116"/>
      <c r="U28" s="116"/>
      <c r="V28" s="116"/>
      <c r="W28" s="116"/>
      <c r="X28" s="116"/>
      <c r="Y28" s="116"/>
      <c r="Z28" s="116"/>
      <c r="AA28" s="116"/>
      <c r="AB28" s="116"/>
      <c r="AC28" s="116"/>
      <c r="AD28" s="116"/>
      <c r="AE28" s="116"/>
      <c r="AF28" s="116"/>
    </row>
    <row r="29" spans="1:32">
      <c r="D29" s="6"/>
      <c r="E29" s="6"/>
      <c r="K29" s="116"/>
      <c r="L29" s="116"/>
      <c r="M29" s="116"/>
      <c r="N29" s="116"/>
      <c r="O29" s="116"/>
      <c r="P29" s="116"/>
      <c r="Q29" s="116"/>
      <c r="R29" s="116"/>
      <c r="S29" s="116"/>
      <c r="T29" s="116"/>
      <c r="U29" s="116"/>
      <c r="V29" s="116"/>
      <c r="W29" s="116"/>
      <c r="X29" s="116"/>
      <c r="Y29" s="116"/>
      <c r="Z29" s="116"/>
      <c r="AA29" s="116"/>
      <c r="AB29" s="116"/>
      <c r="AC29" s="116"/>
      <c r="AD29" s="116"/>
      <c r="AE29" s="116"/>
      <c r="AF29" s="116"/>
    </row>
    <row r="30" spans="1:32" ht="14.25" customHeight="1">
      <c r="D30" s="6"/>
      <c r="E30" s="6"/>
      <c r="K30" s="116"/>
      <c r="L30" s="116"/>
      <c r="M30" s="116"/>
      <c r="N30" s="116"/>
      <c r="O30" s="116"/>
      <c r="P30" s="116"/>
      <c r="Q30" s="116"/>
      <c r="R30" s="116"/>
      <c r="S30" s="116"/>
      <c r="T30" s="116"/>
      <c r="U30" s="116"/>
      <c r="V30" s="116"/>
      <c r="W30" s="116"/>
      <c r="X30" s="116"/>
      <c r="Y30" s="116"/>
      <c r="Z30" s="116"/>
      <c r="AA30" s="116"/>
      <c r="AB30" s="116"/>
      <c r="AC30" s="116"/>
      <c r="AD30" s="116"/>
      <c r="AE30" s="116"/>
      <c r="AF30" s="116"/>
    </row>
    <row r="31" spans="1:32">
      <c r="B31" s="22"/>
      <c r="C31" s="22"/>
      <c r="D31" s="23"/>
      <c r="E31" s="23"/>
      <c r="G31" s="116"/>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c r="AE31" s="116"/>
      <c r="AF31" s="116"/>
    </row>
    <row r="32" spans="1:32">
      <c r="B32" s="47"/>
      <c r="C32" s="3"/>
      <c r="D32" s="3"/>
      <c r="E32" s="3"/>
      <c r="G32" s="116"/>
      <c r="H32" s="116"/>
      <c r="I32" s="116"/>
      <c r="J32" s="116"/>
      <c r="K32" s="116"/>
      <c r="L32" s="116"/>
      <c r="M32" s="116"/>
      <c r="N32" s="116"/>
      <c r="O32" s="116"/>
      <c r="P32" s="116"/>
      <c r="Q32" s="116"/>
      <c r="R32" s="116"/>
      <c r="S32" s="116"/>
      <c r="T32" s="116"/>
      <c r="U32" s="116"/>
      <c r="V32" s="116"/>
      <c r="W32" s="116"/>
      <c r="X32" s="116"/>
      <c r="Y32" s="116"/>
      <c r="Z32" s="116"/>
      <c r="AA32" s="116"/>
      <c r="AB32" s="116"/>
      <c r="AC32" s="116"/>
      <c r="AD32" s="116"/>
      <c r="AE32" s="116"/>
      <c r="AF32" s="116"/>
    </row>
    <row r="33" spans="7:32">
      <c r="G33" s="116"/>
      <c r="H33" s="116"/>
      <c r="I33" s="116"/>
      <c r="J33" s="116"/>
      <c r="K33" s="116"/>
      <c r="L33" s="116"/>
      <c r="M33" s="116"/>
      <c r="N33" s="116"/>
      <c r="O33" s="116"/>
      <c r="P33" s="116"/>
      <c r="Q33" s="116"/>
      <c r="R33" s="116"/>
      <c r="S33" s="116"/>
      <c r="T33" s="116"/>
      <c r="U33" s="116"/>
      <c r="V33" s="116"/>
      <c r="W33" s="116"/>
      <c r="X33" s="116"/>
      <c r="Y33" s="116"/>
      <c r="Z33" s="116"/>
      <c r="AA33" s="116"/>
      <c r="AB33" s="116"/>
      <c r="AC33" s="116"/>
      <c r="AD33" s="116"/>
      <c r="AE33" s="116"/>
      <c r="AF33" s="116"/>
    </row>
    <row r="34" spans="7:32">
      <c r="G34" s="116"/>
      <c r="H34" s="116"/>
      <c r="I34" s="116"/>
      <c r="J34" s="116"/>
      <c r="K34" s="116"/>
      <c r="L34" s="116"/>
      <c r="M34" s="116"/>
      <c r="N34" s="116"/>
      <c r="O34" s="116"/>
      <c r="P34" s="116"/>
      <c r="Q34" s="116"/>
      <c r="R34" s="116"/>
      <c r="S34" s="116"/>
      <c r="T34" s="116"/>
      <c r="U34" s="116"/>
      <c r="V34" s="116"/>
      <c r="W34" s="116"/>
      <c r="X34" s="116"/>
      <c r="Y34" s="116"/>
      <c r="Z34" s="116"/>
      <c r="AA34" s="116"/>
      <c r="AB34" s="116"/>
      <c r="AC34" s="116"/>
      <c r="AD34" s="116"/>
      <c r="AE34" s="116"/>
      <c r="AF34" s="116"/>
    </row>
    <row r="35" spans="7:32">
      <c r="G35" s="116"/>
      <c r="H35" s="116"/>
      <c r="I35" s="116"/>
      <c r="J35" s="116"/>
      <c r="K35" s="116"/>
      <c r="L35" s="116"/>
      <c r="M35" s="116"/>
      <c r="N35" s="116"/>
      <c r="O35" s="116"/>
      <c r="P35" s="116"/>
      <c r="Q35" s="116"/>
      <c r="R35" s="116"/>
      <c r="S35" s="116"/>
      <c r="T35" s="116"/>
      <c r="U35" s="116"/>
      <c r="V35" s="116"/>
      <c r="W35" s="116"/>
      <c r="X35" s="116"/>
      <c r="Y35" s="116"/>
      <c r="Z35" s="116"/>
      <c r="AA35" s="116"/>
      <c r="AB35" s="116"/>
      <c r="AC35" s="116"/>
      <c r="AD35" s="116"/>
      <c r="AE35" s="116"/>
      <c r="AF35" s="116"/>
    </row>
    <row r="36" spans="7:32">
      <c r="G36" s="116"/>
      <c r="H36" s="116"/>
      <c r="I36" s="116"/>
      <c r="J36" s="116"/>
      <c r="K36" s="116"/>
      <c r="L36" s="116"/>
      <c r="M36" s="116"/>
      <c r="N36" s="116"/>
      <c r="O36" s="116"/>
      <c r="P36" s="116"/>
      <c r="Q36" s="116"/>
      <c r="R36" s="116"/>
      <c r="S36" s="116"/>
      <c r="T36" s="116"/>
      <c r="U36" s="116"/>
      <c r="V36" s="116"/>
      <c r="W36" s="116"/>
      <c r="X36" s="116"/>
      <c r="Y36" s="116"/>
      <c r="Z36" s="116"/>
      <c r="AA36" s="116"/>
      <c r="AB36" s="116"/>
      <c r="AC36" s="116"/>
      <c r="AD36" s="116"/>
      <c r="AE36" s="116"/>
      <c r="AF36" s="116"/>
    </row>
    <row r="37" spans="7:32">
      <c r="G37" s="116"/>
      <c r="H37" s="116"/>
      <c r="I37" s="116"/>
      <c r="J37" s="116"/>
      <c r="K37" s="116"/>
      <c r="L37" s="116"/>
      <c r="M37" s="116"/>
      <c r="N37" s="116"/>
      <c r="O37" s="116"/>
      <c r="P37" s="116"/>
      <c r="Q37" s="116"/>
      <c r="R37" s="116"/>
      <c r="S37" s="116"/>
      <c r="T37" s="116"/>
      <c r="U37" s="116"/>
      <c r="V37" s="116"/>
      <c r="W37" s="116"/>
      <c r="X37" s="116"/>
      <c r="Y37" s="116"/>
      <c r="Z37" s="116"/>
      <c r="AA37" s="116"/>
      <c r="AB37" s="116"/>
      <c r="AC37" s="116"/>
      <c r="AD37" s="116"/>
      <c r="AE37" s="116"/>
      <c r="AF37" s="116"/>
    </row>
    <row r="38" spans="7:32">
      <c r="G38" s="116"/>
      <c r="H38" s="116"/>
      <c r="I38" s="116"/>
      <c r="J38" s="116"/>
      <c r="K38" s="116"/>
      <c r="L38" s="116"/>
      <c r="M38" s="116"/>
      <c r="N38" s="116"/>
      <c r="O38" s="116"/>
      <c r="P38" s="116"/>
      <c r="Q38" s="116"/>
      <c r="R38" s="116"/>
      <c r="S38" s="116"/>
      <c r="T38" s="116"/>
      <c r="U38" s="116"/>
      <c r="V38" s="116"/>
      <c r="W38" s="116"/>
      <c r="X38" s="116"/>
      <c r="Y38" s="116"/>
      <c r="Z38" s="116"/>
      <c r="AA38" s="116"/>
      <c r="AB38" s="116"/>
      <c r="AC38" s="116"/>
      <c r="AD38" s="116"/>
      <c r="AE38" s="116"/>
      <c r="AF38" s="116"/>
    </row>
  </sheetData>
  <mergeCells count="1">
    <mergeCell ref="F3:K3"/>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3" t="s">
        <v>125</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11" customWidth="1"/>
    <col min="2" max="2" width="36.85546875" style="111" customWidth="1"/>
    <col min="3" max="3" width="13" style="111" customWidth="1"/>
    <col min="4" max="4" width="4.28515625" style="111" customWidth="1"/>
    <col min="5" max="5" width="10.7109375" style="111" customWidth="1"/>
    <col min="6" max="6" width="16.85546875" style="111" customWidth="1"/>
    <col min="7" max="7" width="10.140625" style="111" customWidth="1" collapsed="1"/>
    <col min="8" max="9" width="10.42578125" style="111" customWidth="1"/>
    <col min="10" max="10" width="9.140625" style="111" customWidth="1"/>
    <col min="11" max="11" width="9" style="111" customWidth="1"/>
    <col min="12" max="12" width="9.85546875" style="111" customWidth="1"/>
    <col min="13" max="26" width="9.140625" style="111" customWidth="1"/>
    <col min="27" max="27" width="9.28515625" style="111" customWidth="1"/>
    <col min="28" max="28" width="9.42578125" style="111" customWidth="1"/>
    <col min="29" max="29" width="10" style="111" customWidth="1"/>
    <col min="30" max="30" width="11.42578125" style="111" customWidth="1"/>
    <col min="31" max="31" width="9.42578125" style="111" bestFit="1" customWidth="1" collapsed="1"/>
    <col min="32" max="16384" width="9.140625" style="111"/>
  </cols>
  <sheetData>
    <row r="1" spans="1:32" s="110" customFormat="1" ht="15" customHeight="1">
      <c r="B1" s="16" t="s">
        <v>103</v>
      </c>
      <c r="C1" s="109"/>
      <c r="D1" s="109"/>
      <c r="E1" s="109"/>
      <c r="F1" s="109"/>
      <c r="G1" s="109"/>
      <c r="H1" s="109"/>
      <c r="I1" s="109"/>
      <c r="J1" s="109"/>
      <c r="K1" s="109"/>
      <c r="L1" s="109"/>
    </row>
    <row r="2" spans="1:32" ht="12" customHeight="1">
      <c r="C2" s="132"/>
    </row>
    <row r="3" spans="1:32" ht="12" customHeight="1">
      <c r="A3" s="113"/>
      <c r="B3" s="124"/>
      <c r="C3" s="194" t="s">
        <v>163</v>
      </c>
      <c r="D3" s="187"/>
      <c r="E3" s="120"/>
      <c r="F3" s="112"/>
      <c r="G3" s="142"/>
      <c r="H3" s="142"/>
      <c r="I3" s="142"/>
      <c r="J3" s="142"/>
      <c r="K3" s="142"/>
      <c r="L3" s="142"/>
      <c r="M3" s="142"/>
      <c r="N3" s="142"/>
      <c r="O3" s="142"/>
      <c r="P3" s="142"/>
      <c r="Q3" s="142"/>
    </row>
    <row r="4" spans="1:32" ht="12" customHeight="1">
      <c r="A4" s="118"/>
      <c r="B4" s="127" t="s">
        <v>104</v>
      </c>
      <c r="C4" s="467">
        <f>32.377</f>
        <v>32.377000000000002</v>
      </c>
      <c r="D4" s="190"/>
      <c r="E4" s="192"/>
      <c r="F4" s="191"/>
      <c r="G4" s="188"/>
      <c r="H4" s="188"/>
      <c r="I4" s="188"/>
      <c r="J4" s="188"/>
      <c r="K4" s="188"/>
      <c r="L4" s="188"/>
      <c r="M4" s="188"/>
      <c r="N4" s="188"/>
      <c r="O4" s="188"/>
      <c r="P4" s="188"/>
      <c r="Q4" s="112"/>
      <c r="S4" s="115"/>
      <c r="T4" s="115"/>
      <c r="U4" s="115"/>
      <c r="V4" s="115"/>
      <c r="AA4" s="115"/>
    </row>
    <row r="5" spans="1:32" ht="12" customHeight="1">
      <c r="A5" s="118"/>
      <c r="B5" s="130" t="s">
        <v>136</v>
      </c>
      <c r="C5" s="468">
        <f>SUM(C4:C4)</f>
        <v>32.377000000000002</v>
      </c>
      <c r="D5" s="190"/>
      <c r="E5" s="190"/>
      <c r="F5" s="190"/>
      <c r="G5" s="43"/>
      <c r="H5" s="43"/>
      <c r="I5" s="43"/>
      <c r="J5" s="137"/>
      <c r="K5" s="43"/>
      <c r="L5" s="43"/>
      <c r="M5" s="43"/>
      <c r="N5" s="43"/>
      <c r="O5" s="43"/>
      <c r="P5" s="43"/>
      <c r="Q5" s="43"/>
      <c r="S5" s="116"/>
      <c r="T5" s="116"/>
      <c r="U5" s="116"/>
      <c r="V5" s="116"/>
      <c r="W5" s="116"/>
      <c r="X5" s="116"/>
      <c r="Y5" s="116"/>
      <c r="Z5" s="116"/>
      <c r="AA5" s="116"/>
      <c r="AB5" s="116"/>
      <c r="AC5" s="116"/>
      <c r="AD5" s="116"/>
      <c r="AE5" s="116"/>
      <c r="AF5" s="116"/>
    </row>
    <row r="6" spans="1:32" ht="12" customHeight="1">
      <c r="A6" s="118"/>
      <c r="B6" s="127"/>
      <c r="C6" s="193"/>
      <c r="D6" s="190"/>
      <c r="E6" s="190"/>
      <c r="F6" s="190"/>
      <c r="G6" s="137"/>
      <c r="H6" s="137"/>
      <c r="I6" s="137"/>
      <c r="J6" s="137"/>
      <c r="K6" s="137"/>
      <c r="L6" s="137"/>
      <c r="M6" s="137"/>
      <c r="N6" s="137"/>
      <c r="O6" s="137"/>
      <c r="P6" s="137"/>
      <c r="Q6" s="137"/>
      <c r="S6" s="116"/>
      <c r="T6" s="116"/>
      <c r="U6" s="116"/>
      <c r="V6" s="116"/>
      <c r="W6" s="116"/>
      <c r="X6" s="116"/>
      <c r="Y6" s="116"/>
      <c r="Z6" s="116"/>
      <c r="AA6" s="116"/>
      <c r="AB6" s="116"/>
      <c r="AC6" s="116"/>
      <c r="AD6" s="116"/>
      <c r="AE6" s="116"/>
      <c r="AF6" s="116"/>
    </row>
    <row r="7" spans="1:32" ht="12" customHeight="1">
      <c r="B7" s="127" t="s">
        <v>105</v>
      </c>
      <c r="C7" s="156">
        <f>'Expected Growth Rate'!C9</f>
        <v>1.7443667291243532E-2</v>
      </c>
      <c r="D7" s="190"/>
      <c r="E7" s="190"/>
      <c r="F7" s="190"/>
      <c r="G7" s="137"/>
      <c r="I7" s="114"/>
      <c r="J7" s="133"/>
      <c r="N7" s="116"/>
      <c r="O7" s="116"/>
      <c r="P7" s="132"/>
      <c r="Q7" s="137"/>
      <c r="S7" s="116"/>
      <c r="T7" s="116"/>
      <c r="U7" s="116"/>
      <c r="V7" s="116"/>
      <c r="W7" s="116"/>
      <c r="X7" s="116"/>
      <c r="Y7" s="116"/>
      <c r="Z7" s="116"/>
      <c r="AA7" s="116"/>
      <c r="AB7" s="116"/>
      <c r="AC7" s="116"/>
      <c r="AD7" s="116"/>
      <c r="AE7" s="116"/>
      <c r="AF7" s="116"/>
    </row>
    <row r="8" spans="1:32" ht="12" customHeight="1">
      <c r="A8" s="118"/>
      <c r="B8" s="127" t="s">
        <v>6</v>
      </c>
      <c r="C8" s="156">
        <f ca="1">'Cost of Equity, Debt &amp; WACC'!C28</f>
        <v>0.1023746319059534</v>
      </c>
      <c r="D8" s="190"/>
      <c r="E8" s="190"/>
      <c r="F8" s="190"/>
      <c r="G8" s="176"/>
      <c r="H8" s="137"/>
      <c r="J8" s="172"/>
      <c r="K8" s="173"/>
      <c r="O8" s="116"/>
      <c r="P8" s="116"/>
      <c r="Q8" s="116"/>
      <c r="R8" s="116"/>
      <c r="S8" s="116"/>
      <c r="T8" s="116"/>
      <c r="U8" s="116"/>
      <c r="V8" s="116"/>
      <c r="W8" s="116"/>
      <c r="X8" s="116"/>
      <c r="Y8" s="116"/>
      <c r="Z8" s="116"/>
      <c r="AA8" s="116"/>
      <c r="AB8" s="116"/>
      <c r="AC8" s="116"/>
      <c r="AD8" s="116"/>
      <c r="AE8" s="116"/>
      <c r="AF8" s="116"/>
    </row>
    <row r="9" spans="1:32" ht="12" customHeight="1">
      <c r="A9" s="118"/>
      <c r="B9" s="130" t="s">
        <v>176</v>
      </c>
      <c r="C9" s="195">
        <f ca="1">C7-C8</f>
        <v>-8.4930964614709864E-2</v>
      </c>
      <c r="D9" s="190"/>
      <c r="E9" s="190"/>
      <c r="F9" s="190"/>
      <c r="G9" s="176"/>
      <c r="H9" s="137"/>
      <c r="J9" s="114"/>
      <c r="K9" s="133"/>
      <c r="O9" s="116"/>
      <c r="P9" s="116"/>
      <c r="Q9" s="116"/>
      <c r="R9" s="116"/>
      <c r="S9" s="116"/>
      <c r="T9" s="116"/>
      <c r="U9" s="116"/>
      <c r="V9" s="116"/>
      <c r="W9" s="116"/>
      <c r="X9" s="116"/>
      <c r="Y9" s="116"/>
      <c r="Z9" s="116"/>
      <c r="AA9" s="116"/>
      <c r="AB9" s="116"/>
      <c r="AC9" s="116"/>
      <c r="AD9" s="116"/>
      <c r="AE9" s="116"/>
      <c r="AF9" s="116"/>
    </row>
    <row r="10" spans="1:32">
      <c r="A10" s="114"/>
      <c r="D10" s="190"/>
      <c r="E10" s="190"/>
      <c r="F10" s="190"/>
      <c r="G10" s="142"/>
      <c r="H10" s="142"/>
      <c r="I10" s="142"/>
      <c r="J10" s="142"/>
      <c r="K10" s="142"/>
      <c r="O10" s="116"/>
      <c r="P10" s="116"/>
      <c r="Q10" s="116"/>
      <c r="R10" s="116"/>
      <c r="S10" s="116"/>
      <c r="T10" s="116"/>
      <c r="U10" s="116"/>
      <c r="V10" s="116"/>
      <c r="W10" s="116"/>
      <c r="X10" s="116"/>
      <c r="Y10" s="116"/>
      <c r="Z10" s="116"/>
      <c r="AA10" s="116"/>
      <c r="AB10" s="116"/>
      <c r="AC10" s="116"/>
      <c r="AD10" s="116"/>
      <c r="AE10" s="116"/>
      <c r="AF10" s="116"/>
    </row>
    <row r="11" spans="1:32" ht="12.75" customHeight="1">
      <c r="A11" s="118"/>
      <c r="B11" s="127" t="s">
        <v>505</v>
      </c>
      <c r="C11" s="300">
        <f ca="1">C5*(1+C9)</f>
        <v>29.627190158669542</v>
      </c>
      <c r="D11" s="190"/>
      <c r="E11" s="190"/>
      <c r="F11" s="190"/>
      <c r="G11" s="67"/>
      <c r="K11" s="133"/>
      <c r="O11" s="116"/>
      <c r="P11" s="116"/>
      <c r="Q11" s="116"/>
      <c r="R11" s="116"/>
      <c r="S11" s="116"/>
      <c r="T11" s="116"/>
      <c r="U11" s="116"/>
      <c r="V11" s="116"/>
      <c r="W11" s="116"/>
      <c r="X11" s="116"/>
      <c r="Y11" s="116"/>
      <c r="Z11" s="116"/>
      <c r="AA11" s="116"/>
      <c r="AB11" s="116"/>
      <c r="AC11" s="116"/>
      <c r="AD11" s="116"/>
      <c r="AE11" s="116"/>
      <c r="AF11" s="116"/>
    </row>
    <row r="12" spans="1:32">
      <c r="D12" s="190"/>
      <c r="E12" s="190"/>
      <c r="F12" s="190"/>
      <c r="G12" s="67"/>
      <c r="K12" s="133"/>
      <c r="L12" s="142"/>
      <c r="M12" s="142"/>
      <c r="N12" s="142"/>
      <c r="O12" s="142"/>
      <c r="P12" s="142"/>
      <c r="Q12" s="142"/>
      <c r="R12" s="116"/>
      <c r="S12" s="116"/>
      <c r="T12" s="116"/>
      <c r="U12" s="116"/>
      <c r="V12" s="116"/>
      <c r="W12" s="116"/>
      <c r="X12" s="116"/>
      <c r="Y12" s="116"/>
      <c r="Z12" s="116"/>
      <c r="AA12" s="116"/>
      <c r="AB12" s="116"/>
      <c r="AC12" s="116"/>
      <c r="AD12" s="116"/>
      <c r="AE12" s="116"/>
      <c r="AF12" s="116"/>
    </row>
    <row r="13" spans="1:32" ht="12" customHeight="1">
      <c r="A13" s="118"/>
      <c r="D13" s="190"/>
      <c r="E13" s="190"/>
      <c r="F13" s="190"/>
      <c r="G13" s="179"/>
      <c r="H13" s="119"/>
      <c r="K13" s="133"/>
      <c r="O13" s="116"/>
      <c r="P13" s="116"/>
      <c r="Q13" s="116"/>
      <c r="R13" s="116"/>
      <c r="S13" s="116"/>
      <c r="T13" s="116"/>
      <c r="U13" s="116"/>
      <c r="V13" s="116"/>
      <c r="W13" s="116"/>
      <c r="X13" s="116"/>
      <c r="Y13" s="116"/>
      <c r="Z13" s="116"/>
      <c r="AA13" s="116"/>
      <c r="AB13" s="116"/>
      <c r="AC13" s="116"/>
      <c r="AD13" s="116"/>
      <c r="AE13" s="116"/>
      <c r="AF13" s="116"/>
    </row>
    <row r="14" spans="1:32">
      <c r="D14" s="190"/>
      <c r="E14" s="190"/>
      <c r="F14" s="190"/>
      <c r="G14" s="3"/>
      <c r="O14" s="116"/>
      <c r="P14" s="116"/>
      <c r="Q14" s="116"/>
      <c r="R14" s="116"/>
      <c r="S14" s="116"/>
      <c r="T14" s="116"/>
      <c r="U14" s="116"/>
      <c r="V14" s="116"/>
      <c r="W14" s="116"/>
      <c r="X14" s="116"/>
      <c r="Y14" s="116"/>
      <c r="Z14" s="116"/>
      <c r="AA14" s="116"/>
      <c r="AB14" s="116"/>
      <c r="AC14" s="116"/>
      <c r="AD14" s="116"/>
      <c r="AE14" s="116"/>
      <c r="AF14" s="116"/>
    </row>
    <row r="15" spans="1:32">
      <c r="D15" s="190"/>
      <c r="E15" s="190"/>
      <c r="F15" s="190"/>
      <c r="G15" s="52"/>
      <c r="K15" s="174"/>
      <c r="O15" s="116"/>
      <c r="P15" s="116"/>
      <c r="Q15" s="116"/>
      <c r="R15" s="116"/>
      <c r="S15" s="116"/>
      <c r="T15" s="116"/>
      <c r="U15" s="116"/>
      <c r="V15" s="116"/>
      <c r="W15" s="116"/>
      <c r="X15" s="116"/>
      <c r="Y15" s="116"/>
      <c r="Z15" s="116"/>
      <c r="AA15" s="116"/>
      <c r="AB15" s="116"/>
      <c r="AC15" s="116"/>
      <c r="AD15" s="116"/>
      <c r="AE15" s="116"/>
      <c r="AF15" s="116"/>
    </row>
    <row r="16" spans="1:32">
      <c r="D16" s="190"/>
      <c r="E16" s="190"/>
      <c r="F16" s="190"/>
      <c r="K16" s="116"/>
      <c r="O16" s="116"/>
      <c r="P16" s="116"/>
      <c r="Q16" s="116"/>
      <c r="R16" s="116"/>
      <c r="S16" s="116"/>
      <c r="T16" s="116"/>
      <c r="U16" s="116"/>
      <c r="V16" s="116"/>
      <c r="W16" s="116"/>
      <c r="X16" s="116"/>
      <c r="Y16" s="116"/>
      <c r="Z16" s="116"/>
      <c r="AA16" s="116"/>
      <c r="AB16" s="116"/>
      <c r="AC16" s="116"/>
      <c r="AD16" s="116"/>
      <c r="AE16" s="116"/>
      <c r="AF16" s="116"/>
    </row>
    <row r="17" spans="1:32">
      <c r="B17" s="114"/>
      <c r="C17" s="190"/>
      <c r="D17" s="190"/>
      <c r="E17" s="190"/>
      <c r="F17" s="190"/>
      <c r="G17" s="71"/>
      <c r="J17" s="120"/>
      <c r="K17" s="116"/>
      <c r="L17" s="116"/>
      <c r="O17" s="116"/>
      <c r="P17" s="116"/>
      <c r="Q17" s="116"/>
      <c r="R17" s="116"/>
      <c r="S17" s="116"/>
      <c r="T17" s="116"/>
      <c r="U17" s="116"/>
      <c r="V17" s="116"/>
      <c r="W17" s="116"/>
      <c r="X17" s="116"/>
      <c r="Y17" s="116"/>
      <c r="Z17" s="116"/>
      <c r="AA17" s="116"/>
      <c r="AB17" s="116"/>
      <c r="AC17" s="116"/>
      <c r="AD17" s="116"/>
      <c r="AE17" s="116"/>
      <c r="AF17" s="116"/>
    </row>
    <row r="18" spans="1:32">
      <c r="A18" s="118"/>
      <c r="C18" s="190"/>
      <c r="D18" s="190"/>
      <c r="E18" s="190"/>
      <c r="F18" s="190"/>
      <c r="G18" s="179"/>
      <c r="J18" s="137"/>
      <c r="K18" s="116"/>
      <c r="L18" s="116"/>
      <c r="M18" s="116"/>
      <c r="N18" s="116"/>
      <c r="O18" s="116"/>
      <c r="P18" s="116"/>
      <c r="Q18" s="116"/>
      <c r="R18" s="116"/>
      <c r="S18" s="116"/>
      <c r="T18" s="116"/>
      <c r="U18" s="116"/>
      <c r="V18" s="116"/>
      <c r="W18" s="116"/>
      <c r="X18" s="116"/>
      <c r="Y18" s="116"/>
      <c r="Z18" s="116"/>
      <c r="AA18" s="116"/>
      <c r="AB18" s="116"/>
      <c r="AC18" s="116"/>
      <c r="AD18" s="116"/>
      <c r="AE18" s="116"/>
      <c r="AF18" s="116"/>
    </row>
    <row r="19" spans="1:32">
      <c r="C19" s="190"/>
      <c r="D19" s="190"/>
      <c r="E19" s="190"/>
      <c r="F19" s="190"/>
      <c r="G19" s="67"/>
      <c r="H19" s="119"/>
      <c r="J19" s="137"/>
      <c r="K19" s="116"/>
      <c r="L19" s="116"/>
      <c r="M19" s="116"/>
      <c r="N19" s="116"/>
      <c r="O19" s="116"/>
      <c r="P19" s="116"/>
      <c r="Q19" s="116"/>
      <c r="R19" s="116"/>
      <c r="S19" s="116"/>
      <c r="T19" s="116"/>
      <c r="U19" s="116"/>
      <c r="V19" s="116"/>
      <c r="W19" s="116"/>
      <c r="X19" s="116"/>
      <c r="Y19" s="116"/>
      <c r="Z19" s="116"/>
      <c r="AA19" s="116"/>
      <c r="AB19" s="116"/>
      <c r="AC19" s="116"/>
      <c r="AD19" s="116"/>
      <c r="AE19" s="116"/>
      <c r="AF19" s="116"/>
    </row>
    <row r="20" spans="1:32">
      <c r="A20" s="118"/>
      <c r="C20" s="190"/>
      <c r="D20" s="190"/>
      <c r="E20" s="190"/>
      <c r="F20" s="190"/>
      <c r="G20" s="67"/>
      <c r="H20" s="119"/>
      <c r="J20" s="137"/>
      <c r="K20" s="116"/>
      <c r="L20" s="116"/>
      <c r="M20" s="116"/>
      <c r="N20" s="116"/>
      <c r="O20" s="116"/>
      <c r="P20" s="116"/>
      <c r="Q20" s="116"/>
      <c r="R20" s="116"/>
      <c r="S20" s="116"/>
      <c r="T20" s="116"/>
      <c r="U20" s="116"/>
      <c r="V20" s="116"/>
      <c r="W20" s="116"/>
      <c r="X20" s="116"/>
      <c r="Y20" s="116"/>
      <c r="Z20" s="116"/>
      <c r="AA20" s="116"/>
      <c r="AB20" s="116"/>
      <c r="AC20" s="116"/>
      <c r="AD20" s="116"/>
      <c r="AE20" s="116"/>
      <c r="AF20" s="116"/>
    </row>
    <row r="21" spans="1:32">
      <c r="D21" s="190"/>
      <c r="E21" s="190"/>
      <c r="F21" s="190"/>
      <c r="G21" s="3"/>
      <c r="J21" s="137"/>
      <c r="K21" s="116"/>
      <c r="L21" s="116"/>
      <c r="M21" s="116"/>
      <c r="N21" s="116"/>
      <c r="O21" s="116"/>
      <c r="P21" s="116"/>
      <c r="Q21" s="116"/>
      <c r="R21" s="116"/>
      <c r="S21" s="116"/>
      <c r="T21" s="116"/>
      <c r="U21" s="116"/>
      <c r="V21" s="116"/>
      <c r="W21" s="116"/>
      <c r="X21" s="116"/>
      <c r="Y21" s="116"/>
      <c r="Z21" s="116"/>
      <c r="AA21" s="116"/>
      <c r="AB21" s="116"/>
      <c r="AC21" s="116"/>
      <c r="AD21" s="116"/>
      <c r="AE21" s="116"/>
      <c r="AF21" s="116"/>
    </row>
    <row r="22" spans="1:32">
      <c r="E22" s="3"/>
      <c r="F22" s="22"/>
      <c r="G22" s="52"/>
      <c r="J22" s="137"/>
      <c r="K22" s="116"/>
      <c r="L22" s="116"/>
      <c r="M22" s="116"/>
      <c r="N22" s="116"/>
      <c r="O22" s="116"/>
      <c r="P22" s="116"/>
      <c r="Q22" s="116"/>
      <c r="R22" s="116"/>
      <c r="S22" s="116"/>
      <c r="T22" s="116"/>
      <c r="U22" s="116"/>
      <c r="V22" s="116"/>
      <c r="W22" s="116"/>
      <c r="X22" s="116"/>
      <c r="Y22" s="116"/>
      <c r="Z22" s="116"/>
      <c r="AA22" s="116"/>
      <c r="AB22" s="116"/>
      <c r="AC22" s="116"/>
      <c r="AD22" s="116"/>
      <c r="AE22" s="116"/>
      <c r="AF22" s="116"/>
    </row>
    <row r="23" spans="1:32" ht="12" customHeight="1">
      <c r="E23" s="6"/>
      <c r="J23" s="137"/>
      <c r="K23" s="116"/>
      <c r="L23" s="116"/>
      <c r="M23" s="116"/>
      <c r="N23" s="116"/>
      <c r="O23" s="116"/>
      <c r="P23" s="116"/>
      <c r="Q23" s="116"/>
      <c r="R23" s="116"/>
      <c r="S23" s="116"/>
      <c r="T23" s="116"/>
      <c r="U23" s="116"/>
      <c r="V23" s="116"/>
      <c r="W23" s="116"/>
      <c r="X23" s="116"/>
      <c r="Y23" s="116"/>
      <c r="Z23" s="116"/>
      <c r="AA23" s="116"/>
      <c r="AB23" s="116"/>
      <c r="AC23" s="116"/>
      <c r="AD23" s="116"/>
      <c r="AE23" s="116"/>
      <c r="AF23" s="116"/>
    </row>
    <row r="24" spans="1:32">
      <c r="E24" s="6"/>
      <c r="F24" s="114"/>
      <c r="G24" s="18"/>
      <c r="J24" s="137"/>
      <c r="K24" s="116"/>
      <c r="L24" s="116"/>
      <c r="M24" s="116"/>
      <c r="N24" s="116"/>
      <c r="O24" s="116"/>
      <c r="P24" s="116"/>
      <c r="Q24" s="116"/>
      <c r="R24" s="116"/>
      <c r="S24" s="116"/>
      <c r="T24" s="116"/>
      <c r="U24" s="116"/>
      <c r="V24" s="116"/>
      <c r="W24" s="116"/>
      <c r="X24" s="116"/>
      <c r="Y24" s="116"/>
      <c r="Z24" s="116"/>
      <c r="AA24" s="116"/>
      <c r="AB24" s="116"/>
      <c r="AC24" s="116"/>
      <c r="AD24" s="116"/>
      <c r="AE24" s="116"/>
      <c r="AF24" s="116"/>
    </row>
    <row r="25" spans="1:32">
      <c r="E25" s="6"/>
      <c r="F25" s="114"/>
      <c r="G25" s="189"/>
      <c r="J25" s="137"/>
      <c r="K25" s="116"/>
      <c r="L25" s="116"/>
      <c r="M25" s="116"/>
      <c r="N25" s="116"/>
      <c r="O25" s="116"/>
      <c r="P25" s="116"/>
      <c r="Q25" s="116"/>
      <c r="R25" s="116"/>
      <c r="S25" s="116"/>
      <c r="T25" s="116"/>
      <c r="U25" s="116"/>
      <c r="V25" s="116"/>
      <c r="W25" s="116"/>
      <c r="X25" s="116"/>
      <c r="Y25" s="116"/>
      <c r="Z25" s="116"/>
      <c r="AA25" s="116"/>
      <c r="AB25" s="116"/>
      <c r="AC25" s="116"/>
      <c r="AD25" s="116"/>
      <c r="AE25" s="116"/>
      <c r="AF25" s="116"/>
    </row>
    <row r="26" spans="1:32">
      <c r="D26" s="6"/>
      <c r="E26" s="6"/>
      <c r="F26" s="114"/>
      <c r="G26" s="67"/>
      <c r="J26" s="140"/>
      <c r="K26" s="116"/>
      <c r="L26" s="116"/>
      <c r="M26" s="116"/>
      <c r="N26" s="116"/>
      <c r="O26" s="116"/>
      <c r="P26" s="116"/>
      <c r="Q26" s="116"/>
      <c r="R26" s="116"/>
      <c r="S26" s="116"/>
      <c r="T26" s="116"/>
      <c r="U26" s="116"/>
      <c r="V26" s="116"/>
      <c r="W26" s="116"/>
      <c r="X26" s="116"/>
      <c r="Y26" s="116"/>
      <c r="Z26" s="116"/>
      <c r="AA26" s="116"/>
      <c r="AB26" s="116"/>
      <c r="AC26" s="116"/>
      <c r="AD26" s="116"/>
      <c r="AE26" s="116"/>
      <c r="AF26" s="116"/>
    </row>
    <row r="27" spans="1:32">
      <c r="D27" s="23"/>
      <c r="E27" s="23"/>
      <c r="L27" s="116"/>
      <c r="M27" s="116"/>
      <c r="N27" s="116"/>
      <c r="O27" s="116"/>
      <c r="P27" s="116"/>
      <c r="Q27" s="116"/>
      <c r="R27" s="116"/>
      <c r="S27" s="116"/>
      <c r="T27" s="116"/>
      <c r="U27" s="116"/>
      <c r="V27" s="116"/>
      <c r="W27" s="116"/>
      <c r="X27" s="116"/>
      <c r="Y27" s="116"/>
      <c r="Z27" s="116"/>
      <c r="AA27" s="116"/>
      <c r="AB27" s="116"/>
      <c r="AC27" s="116"/>
      <c r="AD27" s="116"/>
      <c r="AE27" s="116"/>
      <c r="AF27" s="116"/>
    </row>
    <row r="28" spans="1:32">
      <c r="D28" s="6"/>
      <c r="E28" s="6"/>
      <c r="L28" s="116"/>
      <c r="M28" s="116"/>
      <c r="N28" s="116"/>
      <c r="O28" s="116"/>
      <c r="P28" s="116"/>
      <c r="Q28" s="116"/>
      <c r="R28" s="116"/>
      <c r="S28" s="116"/>
      <c r="T28" s="116"/>
      <c r="U28" s="116"/>
      <c r="V28" s="116"/>
      <c r="W28" s="116"/>
      <c r="X28" s="116"/>
      <c r="Y28" s="116"/>
      <c r="Z28" s="116"/>
      <c r="AA28" s="116"/>
      <c r="AB28" s="116"/>
      <c r="AC28" s="116"/>
      <c r="AD28" s="116"/>
      <c r="AE28" s="116"/>
      <c r="AF28" s="116"/>
    </row>
    <row r="29" spans="1:32">
      <c r="D29" s="6"/>
      <c r="E29" s="6"/>
      <c r="K29" s="116"/>
      <c r="L29" s="116"/>
      <c r="M29" s="116"/>
      <c r="N29" s="116"/>
      <c r="O29" s="116"/>
      <c r="P29" s="116"/>
      <c r="Q29" s="116"/>
      <c r="R29" s="116"/>
      <c r="S29" s="116"/>
      <c r="T29" s="116"/>
      <c r="U29" s="116"/>
      <c r="V29" s="116"/>
      <c r="W29" s="116"/>
      <c r="X29" s="116"/>
      <c r="Y29" s="116"/>
      <c r="Z29" s="116"/>
      <c r="AA29" s="116"/>
      <c r="AB29" s="116"/>
      <c r="AC29" s="116"/>
      <c r="AD29" s="116"/>
      <c r="AE29" s="116"/>
      <c r="AF29" s="116"/>
    </row>
    <row r="30" spans="1:32" ht="14.25" customHeight="1">
      <c r="D30" s="6"/>
      <c r="E30" s="6"/>
      <c r="K30" s="116"/>
      <c r="L30" s="116"/>
      <c r="M30" s="116"/>
      <c r="N30" s="116"/>
      <c r="O30" s="116"/>
      <c r="P30" s="116"/>
      <c r="Q30" s="116"/>
      <c r="R30" s="116"/>
      <c r="S30" s="116"/>
      <c r="T30" s="116"/>
      <c r="U30" s="116"/>
      <c r="V30" s="116"/>
      <c r="W30" s="116"/>
      <c r="X30" s="116"/>
      <c r="Y30" s="116"/>
      <c r="Z30" s="116"/>
      <c r="AA30" s="116"/>
      <c r="AB30" s="116"/>
      <c r="AC30" s="116"/>
      <c r="AD30" s="116"/>
      <c r="AE30" s="116"/>
      <c r="AF30" s="116"/>
    </row>
    <row r="31" spans="1:32">
      <c r="D31" s="23"/>
      <c r="E31" s="23"/>
      <c r="G31" s="116"/>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c r="AE31" s="116"/>
      <c r="AF31" s="116"/>
    </row>
    <row r="32" spans="1:32">
      <c r="D32" s="3"/>
      <c r="E32" s="3"/>
      <c r="G32" s="116"/>
      <c r="H32" s="116"/>
      <c r="I32" s="116"/>
      <c r="J32" s="116"/>
      <c r="K32" s="116"/>
      <c r="L32" s="116"/>
      <c r="M32" s="116"/>
      <c r="N32" s="116"/>
      <c r="O32" s="116"/>
      <c r="P32" s="116"/>
      <c r="Q32" s="116"/>
      <c r="R32" s="116"/>
      <c r="S32" s="116"/>
      <c r="T32" s="116"/>
      <c r="U32" s="116"/>
      <c r="V32" s="116"/>
      <c r="W32" s="116"/>
      <c r="X32" s="116"/>
      <c r="Y32" s="116"/>
      <c r="Z32" s="116"/>
      <c r="AA32" s="116"/>
      <c r="AB32" s="116"/>
      <c r="AC32" s="116"/>
      <c r="AD32" s="116"/>
      <c r="AE32" s="116"/>
      <c r="AF32" s="116"/>
    </row>
    <row r="33" spans="4:32">
      <c r="G33" s="116"/>
      <c r="H33" s="116"/>
      <c r="I33" s="116"/>
      <c r="J33" s="116"/>
      <c r="K33" s="116"/>
      <c r="L33" s="116"/>
      <c r="M33" s="116"/>
      <c r="N33" s="116"/>
      <c r="O33" s="116"/>
      <c r="P33" s="116"/>
      <c r="Q33" s="116"/>
      <c r="R33" s="116"/>
      <c r="S33" s="116"/>
      <c r="T33" s="116"/>
      <c r="U33" s="116"/>
      <c r="V33" s="116"/>
      <c r="W33" s="116"/>
      <c r="X33" s="116"/>
      <c r="Y33" s="116"/>
      <c r="Z33" s="116"/>
      <c r="AA33" s="116"/>
      <c r="AB33" s="116"/>
      <c r="AC33" s="116"/>
      <c r="AD33" s="116"/>
      <c r="AE33" s="116"/>
      <c r="AF33" s="116"/>
    </row>
    <row r="34" spans="4:32">
      <c r="D34" s="22"/>
      <c r="E34" s="22"/>
      <c r="G34" s="116"/>
      <c r="H34" s="116"/>
      <c r="I34" s="116"/>
      <c r="J34" s="116"/>
      <c r="K34" s="116"/>
      <c r="L34" s="116"/>
      <c r="M34" s="116"/>
      <c r="N34" s="116"/>
      <c r="O34" s="116"/>
      <c r="P34" s="116"/>
      <c r="Q34" s="116"/>
      <c r="R34" s="116"/>
      <c r="S34" s="116"/>
      <c r="T34" s="116"/>
      <c r="U34" s="116"/>
      <c r="V34" s="116"/>
      <c r="W34" s="116"/>
      <c r="X34" s="116"/>
      <c r="Y34" s="116"/>
      <c r="Z34" s="116"/>
      <c r="AA34" s="116"/>
      <c r="AB34" s="116"/>
      <c r="AC34" s="116"/>
      <c r="AD34" s="116"/>
      <c r="AE34" s="116"/>
      <c r="AF34" s="116"/>
    </row>
    <row r="35" spans="4:32">
      <c r="D35" s="47"/>
      <c r="E35" s="3"/>
      <c r="G35" s="116"/>
      <c r="H35" s="116"/>
      <c r="I35" s="116"/>
      <c r="J35" s="116"/>
      <c r="K35" s="116"/>
      <c r="L35" s="116"/>
      <c r="M35" s="116"/>
      <c r="N35" s="116"/>
      <c r="O35" s="116"/>
      <c r="P35" s="116"/>
      <c r="Q35" s="116"/>
      <c r="R35" s="116"/>
      <c r="S35" s="116"/>
      <c r="T35" s="116"/>
      <c r="U35" s="116"/>
      <c r="V35" s="116"/>
      <c r="W35" s="116"/>
      <c r="X35" s="116"/>
      <c r="Y35" s="116"/>
      <c r="Z35" s="116"/>
      <c r="AA35" s="116"/>
      <c r="AB35" s="116"/>
      <c r="AC35" s="116"/>
      <c r="AD35" s="116"/>
      <c r="AE35" s="116"/>
      <c r="AF35" s="116"/>
    </row>
    <row r="36" spans="4:32">
      <c r="G36" s="116"/>
      <c r="H36" s="116"/>
      <c r="I36" s="116"/>
      <c r="J36" s="116"/>
      <c r="K36" s="116"/>
      <c r="L36" s="116"/>
      <c r="M36" s="116"/>
      <c r="N36" s="116"/>
      <c r="O36" s="116"/>
      <c r="P36" s="116"/>
      <c r="Q36" s="116"/>
      <c r="R36" s="116"/>
      <c r="S36" s="116"/>
      <c r="T36" s="116"/>
      <c r="U36" s="116"/>
      <c r="V36" s="116"/>
      <c r="W36" s="116"/>
      <c r="X36" s="116"/>
      <c r="Y36" s="116"/>
      <c r="Z36" s="116"/>
      <c r="AA36" s="116"/>
      <c r="AB36" s="116"/>
      <c r="AC36" s="116"/>
      <c r="AD36" s="116"/>
      <c r="AE36" s="116"/>
      <c r="AF36" s="116"/>
    </row>
    <row r="37" spans="4:32">
      <c r="G37" s="116"/>
      <c r="H37" s="116"/>
      <c r="I37" s="116"/>
      <c r="J37" s="116"/>
      <c r="K37" s="116"/>
      <c r="L37" s="116"/>
      <c r="M37" s="116"/>
      <c r="N37" s="116"/>
      <c r="O37" s="116"/>
      <c r="P37" s="116"/>
      <c r="Q37" s="116"/>
      <c r="R37" s="116"/>
      <c r="S37" s="116"/>
      <c r="T37" s="116"/>
      <c r="U37" s="116"/>
      <c r="V37" s="116"/>
      <c r="W37" s="116"/>
      <c r="X37" s="116"/>
      <c r="Y37" s="116"/>
      <c r="Z37" s="116"/>
      <c r="AA37" s="116"/>
      <c r="AB37" s="116"/>
      <c r="AC37" s="116"/>
      <c r="AD37" s="116"/>
      <c r="AE37" s="116"/>
      <c r="AF37" s="116"/>
    </row>
    <row r="38" spans="4:32">
      <c r="G38" s="116"/>
      <c r="H38" s="116"/>
      <c r="I38" s="116"/>
      <c r="J38" s="116"/>
      <c r="K38" s="116"/>
      <c r="L38" s="116"/>
      <c r="M38" s="116"/>
      <c r="N38" s="116"/>
      <c r="O38" s="116"/>
      <c r="P38" s="116"/>
      <c r="Q38" s="116"/>
      <c r="R38" s="116"/>
      <c r="S38" s="116"/>
      <c r="T38" s="116"/>
      <c r="U38" s="116"/>
      <c r="V38" s="116"/>
      <c r="W38" s="116"/>
      <c r="X38" s="116"/>
      <c r="Y38" s="116"/>
      <c r="Z38" s="116"/>
      <c r="AA38" s="116"/>
      <c r="AB38" s="116"/>
      <c r="AC38" s="116"/>
      <c r="AD38" s="116"/>
      <c r="AE38" s="116"/>
      <c r="AF38" s="116"/>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11" customWidth="1"/>
    <col min="2" max="2" width="22" style="111" customWidth="1"/>
    <col min="3" max="3" width="14.28515625" style="111" customWidth="1"/>
    <col min="4" max="4" width="15" style="111" customWidth="1"/>
    <col min="5" max="5" width="13.5703125" style="111" customWidth="1"/>
    <col min="6" max="6" width="15.42578125" style="111" customWidth="1"/>
    <col min="7" max="7" width="13.42578125" style="111" customWidth="1" collapsed="1"/>
    <col min="8" max="13" width="13.7109375" style="111" bestFit="1" customWidth="1"/>
    <col min="14" max="26" width="9.140625" style="111" customWidth="1"/>
    <col min="27" max="27" width="9.28515625" style="111" customWidth="1"/>
    <col min="28" max="28" width="9.42578125" style="111" customWidth="1"/>
    <col min="29" max="29" width="10" style="111" customWidth="1"/>
    <col min="30" max="30" width="11.42578125" style="111" customWidth="1"/>
    <col min="31" max="31" width="9.42578125" style="111" bestFit="1" customWidth="1" collapsed="1"/>
    <col min="32" max="16384" width="9.140625" style="111"/>
  </cols>
  <sheetData>
    <row r="1" spans="1:32" s="110" customFormat="1" ht="15" customHeight="1">
      <c r="B1" s="16" t="s">
        <v>158</v>
      </c>
      <c r="C1" s="109"/>
      <c r="D1" s="109"/>
      <c r="E1" s="109"/>
      <c r="F1" s="109"/>
      <c r="G1" s="109"/>
      <c r="H1" s="109"/>
      <c r="I1" s="109"/>
      <c r="J1" s="109"/>
      <c r="K1" s="109"/>
      <c r="L1" s="109"/>
    </row>
    <row r="2" spans="1:32" ht="12" customHeight="1">
      <c r="C2" s="132"/>
    </row>
    <row r="3" spans="1:32" ht="12" customHeight="1">
      <c r="A3" s="113"/>
      <c r="B3" s="481" t="s">
        <v>157</v>
      </c>
      <c r="C3" s="481"/>
      <c r="D3" s="481"/>
      <c r="E3" s="481"/>
      <c r="F3" s="481"/>
      <c r="G3" s="481"/>
      <c r="H3" s="142"/>
      <c r="I3" s="143"/>
      <c r="J3" s="142"/>
      <c r="K3" s="142"/>
      <c r="L3" s="142"/>
      <c r="M3" s="142"/>
      <c r="N3" s="142"/>
      <c r="O3" s="142"/>
      <c r="P3" s="142"/>
      <c r="Q3" s="142"/>
    </row>
    <row r="4" spans="1:32" ht="12" customHeight="1">
      <c r="A4" s="118"/>
      <c r="B4" s="212" t="s">
        <v>33</v>
      </c>
      <c r="C4" s="213" t="s">
        <v>126</v>
      </c>
      <c r="D4" s="212">
        <v>2021</v>
      </c>
      <c r="E4" s="213">
        <v>2020</v>
      </c>
      <c r="F4" s="213">
        <v>2019</v>
      </c>
      <c r="G4" s="213">
        <v>2018</v>
      </c>
      <c r="H4" s="120"/>
      <c r="I4" s="248"/>
      <c r="J4" s="188"/>
      <c r="K4" s="188"/>
      <c r="L4" s="188"/>
      <c r="M4" s="188"/>
      <c r="N4" s="188"/>
      <c r="O4" s="188"/>
      <c r="P4" s="188"/>
      <c r="Q4" s="112"/>
      <c r="S4" s="115"/>
      <c r="T4" s="115"/>
      <c r="U4" s="115"/>
      <c r="V4" s="115"/>
      <c r="AA4" s="115"/>
    </row>
    <row r="5" spans="1:32" ht="12" customHeight="1">
      <c r="A5" s="118"/>
      <c r="B5" s="166" t="s">
        <v>154</v>
      </c>
      <c r="C5" s="299">
        <f>'Fair Value of Share'!C22</f>
        <v>16.737248416</v>
      </c>
      <c r="D5" s="299">
        <f>128.503466*0.253</f>
        <v>32.511376898000002</v>
      </c>
      <c r="E5" s="299">
        <f>118.87694*0.286</f>
        <v>33.998804839999998</v>
      </c>
      <c r="F5" s="299">
        <f>145.143163*0.354</f>
        <v>51.380679701999995</v>
      </c>
      <c r="G5" s="299">
        <f>77.052224*0.458358</f>
        <v>35.317503288192</v>
      </c>
      <c r="H5" s="145"/>
      <c r="I5" s="248"/>
      <c r="J5" s="137"/>
      <c r="K5" s="43"/>
      <c r="L5" s="43"/>
      <c r="M5" s="43"/>
      <c r="N5" s="43"/>
      <c r="O5" s="43"/>
      <c r="P5" s="43"/>
      <c r="Q5" s="43"/>
      <c r="S5" s="116"/>
      <c r="T5" s="116"/>
      <c r="U5" s="116"/>
      <c r="V5" s="116"/>
      <c r="W5" s="116"/>
      <c r="X5" s="116"/>
      <c r="Y5" s="116"/>
      <c r="Z5" s="116"/>
      <c r="AA5" s="116"/>
      <c r="AB5" s="116"/>
      <c r="AC5" s="116"/>
      <c r="AD5" s="116"/>
      <c r="AE5" s="116"/>
      <c r="AF5" s="116"/>
    </row>
    <row r="6" spans="1:32" ht="12" customHeight="1">
      <c r="A6" s="118"/>
      <c r="B6" s="166" t="s">
        <v>4</v>
      </c>
      <c r="C6" s="299">
        <f>Reinvestment!J26</f>
        <v>222.77699999999999</v>
      </c>
      <c r="D6" s="299">
        <f>Reinvestment!I26</f>
        <v>133.93700000000001</v>
      </c>
      <c r="E6" s="299">
        <f>Reinvestment!H26</f>
        <v>117.687</v>
      </c>
      <c r="F6" s="299">
        <f>Reinvestment!G26</f>
        <v>103.13500000000001</v>
      </c>
      <c r="G6" s="299">
        <f>Reinvestment!F26</f>
        <v>96.179000000000002</v>
      </c>
      <c r="H6" s="145"/>
      <c r="J6" s="137"/>
      <c r="K6" s="137"/>
      <c r="L6" s="137"/>
      <c r="M6" s="137"/>
      <c r="N6" s="137"/>
      <c r="O6" s="137"/>
      <c r="P6" s="137"/>
      <c r="Q6" s="137"/>
      <c r="S6" s="116"/>
      <c r="T6" s="116"/>
      <c r="U6" s="116"/>
      <c r="V6" s="116"/>
      <c r="W6" s="116"/>
      <c r="X6" s="116"/>
      <c r="Y6" s="116"/>
      <c r="Z6" s="116"/>
      <c r="AA6" s="116"/>
      <c r="AB6" s="116"/>
      <c r="AC6" s="116"/>
      <c r="AD6" s="116"/>
      <c r="AE6" s="116"/>
      <c r="AF6" s="116"/>
    </row>
    <row r="7" spans="1:32" ht="12" customHeight="1">
      <c r="B7" s="166" t="s">
        <v>155</v>
      </c>
      <c r="C7" s="138">
        <f>C5/C6</f>
        <v>7.513005568797497E-2</v>
      </c>
      <c r="D7" s="138">
        <f>D5/D6</f>
        <v>0.24273633796486407</v>
      </c>
      <c r="E7" s="138">
        <f>E5/E6</f>
        <v>0.28889176238666969</v>
      </c>
      <c r="F7" s="138">
        <f>F5/F6</f>
        <v>0.49818858488388995</v>
      </c>
      <c r="G7" s="138">
        <f>G5/G6</f>
        <v>0.36720597311462999</v>
      </c>
      <c r="H7" s="137"/>
      <c r="I7" s="133"/>
      <c r="J7" s="133"/>
      <c r="N7" s="116"/>
      <c r="O7" s="116"/>
      <c r="P7" s="132"/>
      <c r="Q7" s="137"/>
      <c r="S7" s="116"/>
      <c r="T7" s="116"/>
      <c r="U7" s="116"/>
      <c r="V7" s="116"/>
      <c r="W7" s="116"/>
      <c r="X7" s="116"/>
      <c r="Y7" s="116"/>
      <c r="Z7" s="116"/>
      <c r="AA7" s="116"/>
      <c r="AB7" s="116"/>
      <c r="AC7" s="116"/>
      <c r="AD7" s="116"/>
      <c r="AE7" s="116"/>
      <c r="AF7" s="116"/>
    </row>
    <row r="8" spans="1:32" ht="12" customHeight="1">
      <c r="A8" s="118"/>
      <c r="B8" s="116"/>
      <c r="C8" s="145"/>
      <c r="D8" s="135"/>
      <c r="E8" s="135"/>
      <c r="F8" s="262" t="s">
        <v>178</v>
      </c>
      <c r="G8" s="242">
        <f>C7</f>
        <v>7.513005568797497E-2</v>
      </c>
      <c r="H8" s="67"/>
      <c r="J8" s="172"/>
      <c r="K8" s="173"/>
      <c r="O8" s="116"/>
      <c r="P8" s="116"/>
      <c r="Q8" s="116"/>
      <c r="R8" s="116"/>
      <c r="S8" s="116"/>
      <c r="T8" s="116"/>
      <c r="U8" s="116"/>
      <c r="V8" s="116"/>
      <c r="W8" s="116"/>
      <c r="X8" s="116"/>
      <c r="Y8" s="116"/>
      <c r="Z8" s="116"/>
      <c r="AA8" s="116"/>
      <c r="AB8" s="116"/>
      <c r="AC8" s="116"/>
      <c r="AD8" s="116"/>
      <c r="AE8" s="116"/>
      <c r="AF8" s="116"/>
    </row>
    <row r="9" spans="1:32" ht="12" customHeight="1">
      <c r="A9" s="118"/>
      <c r="J9" s="114"/>
      <c r="K9" s="133"/>
      <c r="O9" s="116"/>
      <c r="P9" s="116"/>
      <c r="Q9" s="116"/>
      <c r="R9" s="116"/>
      <c r="S9" s="116"/>
      <c r="T9" s="116"/>
      <c r="U9" s="116"/>
      <c r="V9" s="116"/>
      <c r="W9" s="116"/>
      <c r="X9" s="116"/>
      <c r="Y9" s="116"/>
      <c r="Z9" s="116"/>
      <c r="AA9" s="116"/>
      <c r="AB9" s="116"/>
      <c r="AC9" s="116"/>
      <c r="AD9" s="116"/>
      <c r="AE9" s="116"/>
      <c r="AF9" s="116"/>
    </row>
    <row r="10" spans="1:32">
      <c r="A10" s="114"/>
      <c r="B10" s="481" t="s">
        <v>156</v>
      </c>
      <c r="C10" s="481"/>
      <c r="D10" s="481"/>
      <c r="E10" s="481"/>
      <c r="F10" s="481"/>
      <c r="G10" s="481"/>
      <c r="H10" s="481"/>
      <c r="I10" s="481"/>
      <c r="J10" s="481"/>
      <c r="K10" s="481"/>
      <c r="L10" s="481"/>
      <c r="M10" s="481"/>
      <c r="O10" s="116"/>
      <c r="P10" s="116"/>
      <c r="Q10" s="116"/>
      <c r="R10" s="116"/>
      <c r="S10" s="116"/>
      <c r="T10" s="116"/>
      <c r="U10" s="116"/>
      <c r="V10" s="116"/>
      <c r="W10" s="116"/>
      <c r="X10" s="116"/>
      <c r="Y10" s="116"/>
      <c r="Z10" s="116"/>
      <c r="AA10" s="116"/>
      <c r="AB10" s="116"/>
      <c r="AC10" s="116"/>
      <c r="AD10" s="116"/>
      <c r="AE10" s="116"/>
      <c r="AF10" s="116"/>
    </row>
    <row r="11" spans="1:32" ht="12.75" customHeight="1">
      <c r="A11" s="118"/>
      <c r="B11" s="212" t="s">
        <v>33</v>
      </c>
      <c r="C11" s="213" t="s">
        <v>126</v>
      </c>
      <c r="D11" s="212">
        <v>1</v>
      </c>
      <c r="E11" s="213">
        <v>2</v>
      </c>
      <c r="F11" s="213">
        <v>3</v>
      </c>
      <c r="G11" s="213">
        <v>4</v>
      </c>
      <c r="H11" s="213">
        <v>5</v>
      </c>
      <c r="I11" s="261">
        <v>6</v>
      </c>
      <c r="J11" s="261">
        <v>7</v>
      </c>
      <c r="K11" s="260">
        <v>8</v>
      </c>
      <c r="L11" s="260">
        <v>9</v>
      </c>
      <c r="M11" s="260">
        <v>10</v>
      </c>
      <c r="N11" s="145"/>
      <c r="O11" s="116"/>
      <c r="P11" s="116"/>
      <c r="Q11" s="116"/>
      <c r="R11" s="116"/>
      <c r="S11" s="116"/>
      <c r="T11" s="116"/>
      <c r="U11" s="116"/>
      <c r="V11" s="116"/>
      <c r="W11" s="116"/>
      <c r="X11" s="116"/>
      <c r="Y11" s="116"/>
      <c r="Z11" s="116"/>
      <c r="AA11" s="116"/>
      <c r="AB11" s="116"/>
      <c r="AC11" s="116"/>
      <c r="AD11" s="116"/>
      <c r="AE11" s="116"/>
      <c r="AF11" s="116"/>
    </row>
    <row r="12" spans="1:32">
      <c r="B12" s="166" t="s">
        <v>155</v>
      </c>
      <c r="C12" s="138">
        <f>G8</f>
        <v>7.513005568797497E-2</v>
      </c>
      <c r="D12" s="138">
        <f>AVERAGE(C12,E12)</f>
        <v>7.1684427207476531E-2</v>
      </c>
      <c r="E12" s="138">
        <f>AVERAGE(C12,F12)</f>
        <v>6.8238798726978106E-2</v>
      </c>
      <c r="F12" s="138">
        <f>AVERAGE(C12,H12)</f>
        <v>6.1347541765981228E-2</v>
      </c>
      <c r="G12" s="138">
        <f>AVERAGE(F12,H12)</f>
        <v>5.4456284804984358E-2</v>
      </c>
      <c r="H12" s="138">
        <f>AVERAGE(C12,M12)</f>
        <v>4.7565027843987487E-2</v>
      </c>
      <c r="I12" s="138">
        <f>AVERAGE(H12,J12)</f>
        <v>4.4119399363489048E-2</v>
      </c>
      <c r="J12" s="138">
        <f>AVERAGE(H12,K12)</f>
        <v>4.0673770882990616E-2</v>
      </c>
      <c r="K12" s="138">
        <f>AVERAGE(H12,M12)</f>
        <v>3.3782513921993745E-2</v>
      </c>
      <c r="L12" s="138">
        <f>AVERAGE(K12,M12)</f>
        <v>2.6891256960996875E-2</v>
      </c>
      <c r="M12" s="138">
        <v>0.02</v>
      </c>
      <c r="N12" s="145"/>
      <c r="O12" s="142"/>
      <c r="P12" s="142"/>
      <c r="Q12" s="142"/>
      <c r="R12" s="116"/>
      <c r="S12" s="116"/>
      <c r="T12" s="116"/>
      <c r="U12" s="116"/>
      <c r="V12" s="116"/>
      <c r="W12" s="116"/>
      <c r="X12" s="116"/>
      <c r="Y12" s="116"/>
      <c r="Z12" s="116"/>
      <c r="AA12" s="116"/>
      <c r="AB12" s="116"/>
      <c r="AC12" s="116"/>
      <c r="AD12" s="116"/>
      <c r="AE12" s="116"/>
      <c r="AF12" s="116"/>
    </row>
    <row r="13" spans="1:32" ht="12" customHeight="1">
      <c r="A13" s="118"/>
      <c r="B13" s="166" t="s">
        <v>4</v>
      </c>
      <c r="C13" s="299">
        <f>C6</f>
        <v>222.77699999999999</v>
      </c>
      <c r="D13" s="299">
        <f ca="1">'Future Cashflows (10 Yrs)'!D5</f>
        <v>269.95934886127498</v>
      </c>
      <c r="E13" s="299">
        <f ca="1">'Future Cashflows (10 Yrs)'!D6</f>
        <v>325.25825314191655</v>
      </c>
      <c r="F13" s="299">
        <f ca="1">'Future Cashflows (10 Yrs)'!D7</f>
        <v>390.04272477533289</v>
      </c>
      <c r="G13" s="299">
        <f ca="1">'Future Cashflows (10 Yrs)'!D8</f>
        <v>465.91981452787269</v>
      </c>
      <c r="H13" s="299">
        <f>'Future Cashflows (10 Yrs)'!D9</f>
        <v>540.08879801134333</v>
      </c>
      <c r="I13" s="299">
        <f>'Future Cashflows (10 Yrs)'!D10</f>
        <v>603.29961929856688</v>
      </c>
      <c r="J13" s="299">
        <f>'Future Cashflows (10 Yrs)'!D11</f>
        <v>673.53038727358285</v>
      </c>
      <c r="K13" s="299">
        <f>'Future Cashflows (10 Yrs)'!D12</f>
        <v>775.59869822760686</v>
      </c>
      <c r="L13" s="299">
        <f>'Future Cashflows (10 Yrs)'!D13</f>
        <v>877.54556213209003</v>
      </c>
      <c r="M13" s="299">
        <f>'Future Cashflows (10 Yrs)'!D14</f>
        <v>989.40041494566947</v>
      </c>
      <c r="O13" s="116"/>
      <c r="P13" s="116"/>
      <c r="Q13" s="116"/>
      <c r="R13" s="116"/>
      <c r="S13" s="116"/>
      <c r="T13" s="116"/>
      <c r="U13" s="116"/>
      <c r="V13" s="116"/>
      <c r="W13" s="116"/>
      <c r="X13" s="116"/>
      <c r="Y13" s="116"/>
      <c r="Z13" s="116"/>
      <c r="AA13" s="116"/>
      <c r="AB13" s="116"/>
      <c r="AC13" s="116"/>
      <c r="AD13" s="116"/>
      <c r="AE13" s="116"/>
      <c r="AF13" s="116"/>
    </row>
    <row r="14" spans="1:32">
      <c r="B14" s="166" t="s">
        <v>154</v>
      </c>
      <c r="C14" s="299">
        <f>C13*C12</f>
        <v>16.737248416</v>
      </c>
      <c r="D14" s="299">
        <f t="shared" ref="D14:M14" ca="1" si="0">D13*D12</f>
        <v>19.35188129242383</v>
      </c>
      <c r="E14" s="299">
        <f t="shared" ca="1" si="0"/>
        <v>22.195232470439738</v>
      </c>
      <c r="F14" s="299">
        <f t="shared" ca="1" si="0"/>
        <v>23.928162348671854</v>
      </c>
      <c r="G14" s="299">
        <f t="shared" ca="1" si="0"/>
        <v>25.372262116215325</v>
      </c>
      <c r="H14" s="299">
        <f t="shared" si="0"/>
        <v>25.68933871563528</v>
      </c>
      <c r="I14" s="299">
        <f t="shared" si="0"/>
        <v>26.617216839674377</v>
      </c>
      <c r="J14" s="299">
        <f t="shared" si="0"/>
        <v>27.395020654697646</v>
      </c>
      <c r="K14" s="299">
        <f>K13*K12</f>
        <v>26.201673820754355</v>
      </c>
      <c r="L14" s="299">
        <f t="shared" si="0"/>
        <v>23.59830320627648</v>
      </c>
      <c r="M14" s="299">
        <f t="shared" si="0"/>
        <v>19.78800829891339</v>
      </c>
      <c r="O14" s="116"/>
      <c r="P14" s="116"/>
      <c r="Q14" s="116"/>
      <c r="R14" s="116"/>
      <c r="S14" s="116"/>
      <c r="T14" s="116"/>
      <c r="U14" s="116"/>
      <c r="V14" s="116"/>
      <c r="W14" s="116"/>
      <c r="X14" s="116"/>
      <c r="Y14" s="116"/>
      <c r="Z14" s="116"/>
      <c r="AA14" s="116"/>
      <c r="AB14" s="116"/>
      <c r="AC14" s="116"/>
      <c r="AD14" s="116"/>
      <c r="AE14" s="116"/>
      <c r="AF14" s="116"/>
    </row>
    <row r="15" spans="1:32">
      <c r="D15" s="190"/>
      <c r="F15" s="190"/>
      <c r="G15" s="52"/>
      <c r="K15" s="174"/>
      <c r="O15" s="116"/>
      <c r="P15" s="116"/>
      <c r="Q15" s="116"/>
      <c r="R15" s="116"/>
      <c r="S15" s="116"/>
      <c r="T15" s="116"/>
      <c r="U15" s="116"/>
      <c r="V15" s="116"/>
      <c r="W15" s="116"/>
      <c r="X15" s="116"/>
      <c r="Y15" s="116"/>
      <c r="Z15" s="116"/>
      <c r="AA15" s="116"/>
      <c r="AB15" s="116"/>
      <c r="AC15" s="116"/>
      <c r="AD15" s="116"/>
      <c r="AE15" s="116"/>
      <c r="AF15" s="116"/>
    </row>
    <row r="16" spans="1:32">
      <c r="D16" s="190"/>
      <c r="F16" s="190"/>
      <c r="K16" s="116"/>
      <c r="O16" s="116"/>
      <c r="P16" s="116"/>
      <c r="Q16" s="116"/>
      <c r="R16" s="116"/>
      <c r="S16" s="116"/>
      <c r="T16" s="116"/>
      <c r="U16" s="116"/>
      <c r="V16" s="116"/>
      <c r="W16" s="116"/>
      <c r="X16" s="116"/>
      <c r="Y16" s="116"/>
      <c r="Z16" s="116"/>
      <c r="AA16" s="116"/>
      <c r="AB16" s="116"/>
      <c r="AC16" s="116"/>
      <c r="AD16" s="116"/>
      <c r="AE16" s="116"/>
      <c r="AF16" s="116"/>
    </row>
    <row r="17" spans="1:32">
      <c r="B17" s="481" t="s">
        <v>153</v>
      </c>
      <c r="C17" s="481"/>
      <c r="D17" s="481"/>
      <c r="E17" s="481"/>
      <c r="F17" s="481"/>
      <c r="G17" s="481"/>
      <c r="J17" s="120"/>
      <c r="K17" s="116"/>
      <c r="L17" s="116"/>
      <c r="O17" s="116"/>
      <c r="P17" s="116"/>
      <c r="Q17" s="116"/>
      <c r="R17" s="116"/>
      <c r="S17" s="116"/>
      <c r="T17" s="116"/>
      <c r="U17" s="116"/>
      <c r="V17" s="116"/>
      <c r="W17" s="116"/>
      <c r="X17" s="116"/>
      <c r="Y17" s="116"/>
      <c r="Z17" s="116"/>
      <c r="AA17" s="116"/>
      <c r="AB17" s="116"/>
      <c r="AC17" s="116"/>
      <c r="AD17" s="116"/>
      <c r="AE17" s="116"/>
      <c r="AF17" s="116"/>
    </row>
    <row r="18" spans="1:32">
      <c r="A18" s="118"/>
      <c r="B18" s="259"/>
      <c r="C18" s="258" t="s">
        <v>152</v>
      </c>
      <c r="D18" s="204" t="s">
        <v>151</v>
      </c>
      <c r="E18" s="258" t="s">
        <v>150</v>
      </c>
      <c r="F18" s="204" t="s">
        <v>149</v>
      </c>
      <c r="G18" s="257" t="s">
        <v>148</v>
      </c>
      <c r="J18" s="137"/>
      <c r="K18" s="116"/>
      <c r="L18" s="116"/>
      <c r="M18" s="116"/>
      <c r="N18" s="116"/>
      <c r="O18" s="116"/>
      <c r="P18" s="116"/>
      <c r="Q18" s="116"/>
      <c r="R18" s="116"/>
      <c r="S18" s="116"/>
      <c r="T18" s="116"/>
      <c r="U18" s="116"/>
      <c r="V18" s="116"/>
      <c r="W18" s="116"/>
      <c r="X18" s="116"/>
      <c r="Y18" s="116"/>
      <c r="Z18" s="116"/>
      <c r="AA18" s="116"/>
      <c r="AB18" s="116"/>
      <c r="AC18" s="116"/>
      <c r="AD18" s="116"/>
      <c r="AE18" s="116"/>
      <c r="AF18" s="116"/>
    </row>
    <row r="19" spans="1:32">
      <c r="B19" s="256" t="s">
        <v>86</v>
      </c>
      <c r="C19" s="255">
        <f>'Future Cashflows (10 Yrs)'!G4/'Future Cashflows (10 Yrs)'!D4</f>
        <v>5.9068599739381798E-2</v>
      </c>
      <c r="D19" s="327">
        <f>'Future Cashflows (10 Yrs)'!D4*(1-'Future Cashflows (10 Yrs)'!F4)</f>
        <v>209.61787455585971</v>
      </c>
      <c r="E19" s="299"/>
      <c r="F19" s="327"/>
      <c r="G19" s="138">
        <f>C19</f>
        <v>5.9068599739381798E-2</v>
      </c>
      <c r="J19" s="137"/>
      <c r="K19" s="116"/>
      <c r="L19" s="116"/>
      <c r="M19" s="116"/>
      <c r="N19" s="116"/>
      <c r="O19" s="116"/>
      <c r="P19" s="116"/>
      <c r="Q19" s="116"/>
      <c r="R19" s="116"/>
      <c r="S19" s="116"/>
      <c r="T19" s="116"/>
      <c r="U19" s="116"/>
      <c r="V19" s="116"/>
      <c r="W19" s="116"/>
      <c r="X19" s="116"/>
      <c r="Y19" s="116"/>
      <c r="Z19" s="116"/>
      <c r="AA19" s="116"/>
      <c r="AB19" s="116"/>
      <c r="AC19" s="116"/>
      <c r="AD19" s="116"/>
      <c r="AE19" s="116"/>
      <c r="AF19" s="116"/>
    </row>
    <row r="20" spans="1:32">
      <c r="A20" s="118"/>
      <c r="B20" s="165">
        <v>1</v>
      </c>
      <c r="C20" s="255">
        <f>AVERAGE(C19,C22)</f>
        <v>7.8692941765669266E-2</v>
      </c>
      <c r="D20" s="327">
        <f ca="1">'Future Cashflows (10 Yrs)'!D5*(1-C20)</f>
        <v>248.71545354223667</v>
      </c>
      <c r="E20" s="299">
        <f ca="1">D14</f>
        <v>19.35188129242383</v>
      </c>
      <c r="F20" s="327">
        <f ca="1">D20+E20</f>
        <v>268.06733483466053</v>
      </c>
      <c r="G20" s="138">
        <f ca="1">1-(F20/'Future Cashflows (10 Yrs)'!D5)</f>
        <v>7.0085145581926245E-3</v>
      </c>
      <c r="J20" s="137"/>
      <c r="K20" s="116"/>
      <c r="L20" s="116"/>
      <c r="M20" s="116"/>
      <c r="N20" s="116"/>
      <c r="O20" s="116"/>
      <c r="P20" s="116"/>
      <c r="Q20" s="116"/>
      <c r="R20" s="116"/>
      <c r="S20" s="116"/>
      <c r="T20" s="116"/>
      <c r="U20" s="116"/>
      <c r="V20" s="116"/>
      <c r="W20" s="116"/>
      <c r="X20" s="116"/>
      <c r="Y20" s="116"/>
      <c r="Z20" s="116"/>
      <c r="AA20" s="116"/>
      <c r="AB20" s="116"/>
      <c r="AC20" s="116"/>
      <c r="AD20" s="116"/>
      <c r="AE20" s="116"/>
      <c r="AF20" s="116"/>
    </row>
    <row r="21" spans="1:32">
      <c r="B21" s="165">
        <f t="shared" ref="B21:B29" si="1">B20+1</f>
        <v>2</v>
      </c>
      <c r="C21" s="255">
        <f>AVERAGE(C20,C22)</f>
        <v>8.8505112778812997E-2</v>
      </c>
      <c r="D21" s="327">
        <f ca="1">'Future Cashflows (10 Yrs)'!D6*(1-C21)</f>
        <v>296.47123476535154</v>
      </c>
      <c r="E21" s="299">
        <f ca="1">E14</f>
        <v>22.195232470439738</v>
      </c>
      <c r="F21" s="327">
        <f t="shared" ref="F21:F29" ca="1" si="2">D21+E21</f>
        <v>318.66646723579129</v>
      </c>
      <c r="G21" s="138">
        <f ca="1">1-(F21/'Future Cashflows (10 Yrs)'!D6)</f>
        <v>2.0266314051834766E-2</v>
      </c>
      <c r="J21" s="137"/>
      <c r="K21" s="116"/>
      <c r="L21" s="116"/>
      <c r="M21" s="116"/>
      <c r="N21" s="116"/>
      <c r="O21" s="116"/>
      <c r="P21" s="116"/>
      <c r="Q21" s="116"/>
      <c r="R21" s="116"/>
      <c r="S21" s="116"/>
      <c r="T21" s="116"/>
      <c r="U21" s="116"/>
      <c r="V21" s="116"/>
      <c r="W21" s="116"/>
      <c r="X21" s="116"/>
      <c r="Y21" s="116"/>
      <c r="Z21" s="116"/>
      <c r="AA21" s="116"/>
      <c r="AB21" s="116"/>
      <c r="AC21" s="116"/>
      <c r="AD21" s="116"/>
      <c r="AE21" s="116"/>
      <c r="AF21" s="116"/>
    </row>
    <row r="22" spans="1:32">
      <c r="B22" s="165">
        <f t="shared" si="1"/>
        <v>3</v>
      </c>
      <c r="C22" s="255">
        <f>AVERAGE(C19,C24)</f>
        <v>9.8317283791956728E-2</v>
      </c>
      <c r="D22" s="327">
        <f ca="1">'Future Cashflows (10 Yrs)'!D7*(1-C22)</f>
        <v>351.69478351260841</v>
      </c>
      <c r="E22" s="299">
        <f ca="1">F14</f>
        <v>23.928162348671854</v>
      </c>
      <c r="F22" s="327">
        <f t="shared" ca="1" si="2"/>
        <v>375.62294586128024</v>
      </c>
      <c r="G22" s="138">
        <f ca="1">1-(F22/'Future Cashflows (10 Yrs)'!D7)</f>
        <v>3.6969742025975583E-2</v>
      </c>
      <c r="J22" s="137"/>
      <c r="K22" s="116"/>
      <c r="L22" s="116"/>
      <c r="M22" s="116"/>
      <c r="N22" s="116"/>
      <c r="O22" s="116"/>
      <c r="P22" s="116"/>
      <c r="Q22" s="116"/>
      <c r="R22" s="116"/>
      <c r="S22" s="116"/>
      <c r="T22" s="116"/>
      <c r="U22" s="116"/>
      <c r="V22" s="116"/>
      <c r="W22" s="116"/>
      <c r="X22" s="116"/>
      <c r="Y22" s="116"/>
      <c r="Z22" s="116"/>
      <c r="AA22" s="116"/>
      <c r="AB22" s="116"/>
      <c r="AC22" s="116"/>
      <c r="AD22" s="116"/>
      <c r="AE22" s="116"/>
      <c r="AF22" s="116"/>
    </row>
    <row r="23" spans="1:32" ht="12" customHeight="1">
      <c r="B23" s="165">
        <f t="shared" si="1"/>
        <v>4</v>
      </c>
      <c r="C23" s="255">
        <f>AVERAGE(C22,C24)</f>
        <v>0.11794162581824419</v>
      </c>
      <c r="D23" s="327">
        <f ca="1">'Future Cashflows (10 Yrs)'!D8*(1-C23)</f>
        <v>410.9684741015206</v>
      </c>
      <c r="E23" s="299">
        <f ca="1">G14</f>
        <v>25.372262116215325</v>
      </c>
      <c r="F23" s="327">
        <f t="shared" ca="1" si="2"/>
        <v>436.34073621773592</v>
      </c>
      <c r="G23" s="138">
        <f ca="1">1-(F23/'Future Cashflows (10 Yrs)'!D8)</f>
        <v>6.3485341013259866E-2</v>
      </c>
      <c r="J23" s="137"/>
      <c r="K23" s="116"/>
      <c r="L23" s="116"/>
      <c r="M23" s="116"/>
      <c r="N23" s="116"/>
      <c r="O23" s="116"/>
      <c r="P23" s="116"/>
      <c r="Q23" s="116"/>
      <c r="R23" s="116"/>
      <c r="S23" s="116"/>
      <c r="T23" s="116"/>
      <c r="U23" s="116"/>
      <c r="V23" s="116"/>
      <c r="W23" s="116"/>
      <c r="X23" s="116"/>
      <c r="Y23" s="116"/>
      <c r="Z23" s="116"/>
      <c r="AA23" s="116"/>
      <c r="AB23" s="116"/>
      <c r="AC23" s="116"/>
      <c r="AD23" s="116"/>
      <c r="AE23" s="116"/>
      <c r="AF23" s="116"/>
    </row>
    <row r="24" spans="1:32">
      <c r="B24" s="165">
        <f t="shared" si="1"/>
        <v>5</v>
      </c>
      <c r="C24" s="255">
        <f>AVERAGE(C19,C29)</f>
        <v>0.13756596784453165</v>
      </c>
      <c r="D24" s="327">
        <f>'Future Cashflows (10 Yrs)'!D9*(1-C24)</f>
        <v>465.79095979092313</v>
      </c>
      <c r="E24" s="299">
        <f>H14</f>
        <v>25.68933871563528</v>
      </c>
      <c r="F24" s="327">
        <f t="shared" si="2"/>
        <v>491.48029850655843</v>
      </c>
      <c r="G24" s="138">
        <f>1-(F24/'Future Cashflows (10 Yrs)'!D9)</f>
        <v>9.000094000054415E-2</v>
      </c>
      <c r="J24" s="137"/>
      <c r="K24" s="116"/>
      <c r="L24" s="116"/>
      <c r="M24" s="116"/>
      <c r="N24" s="116"/>
      <c r="O24" s="116"/>
      <c r="P24" s="116"/>
      <c r="Q24" s="116"/>
      <c r="R24" s="116"/>
      <c r="S24" s="116"/>
      <c r="T24" s="116"/>
      <c r="U24" s="116"/>
      <c r="V24" s="116"/>
      <c r="W24" s="116"/>
      <c r="X24" s="116"/>
      <c r="Y24" s="116"/>
      <c r="Z24" s="116"/>
      <c r="AA24" s="116"/>
      <c r="AB24" s="116"/>
      <c r="AC24" s="116"/>
      <c r="AD24" s="116"/>
      <c r="AE24" s="116"/>
      <c r="AF24" s="116"/>
    </row>
    <row r="25" spans="1:32">
      <c r="B25" s="165">
        <f t="shared" si="1"/>
        <v>6</v>
      </c>
      <c r="C25" s="255">
        <f>AVERAGE(C24,C27)</f>
        <v>0.15719030987081911</v>
      </c>
      <c r="D25" s="327">
        <f>'Future Cashflows (10 Yrs)'!D10*(1-C25)</f>
        <v>508.46676519607792</v>
      </c>
      <c r="E25" s="299">
        <f>I14</f>
        <v>26.617216839674377</v>
      </c>
      <c r="F25" s="327">
        <f t="shared" si="2"/>
        <v>535.08398203575234</v>
      </c>
      <c r="G25" s="138">
        <f>1-(F25/'Future Cashflows (10 Yrs)'!D10)</f>
        <v>0.11307091050733009</v>
      </c>
      <c r="J25" s="137"/>
      <c r="K25" s="116"/>
      <c r="L25" s="116"/>
      <c r="M25" s="116"/>
      <c r="N25" s="116"/>
      <c r="O25" s="116"/>
      <c r="P25" s="116"/>
      <c r="Q25" s="116"/>
      <c r="R25" s="116"/>
      <c r="S25" s="116"/>
      <c r="T25" s="116"/>
      <c r="U25" s="116"/>
      <c r="V25" s="116"/>
      <c r="W25" s="116"/>
      <c r="X25" s="116"/>
      <c r="Y25" s="116"/>
      <c r="Z25" s="116"/>
      <c r="AA25" s="116"/>
      <c r="AB25" s="116"/>
      <c r="AC25" s="116"/>
      <c r="AD25" s="116"/>
      <c r="AE25" s="116"/>
      <c r="AF25" s="116"/>
    </row>
    <row r="26" spans="1:32">
      <c r="B26" s="165">
        <f t="shared" si="1"/>
        <v>7</v>
      </c>
      <c r="C26" s="255">
        <f>AVERAGE(C25,C27)</f>
        <v>0.16700248088396286</v>
      </c>
      <c r="D26" s="327">
        <f>'Future Cashflows (10 Yrs)'!D11*(1-C26)</f>
        <v>561.04914164815818</v>
      </c>
      <c r="E26" s="299">
        <f>J14</f>
        <v>27.395020654697646</v>
      </c>
      <c r="F26" s="327">
        <f t="shared" si="2"/>
        <v>588.44416230285583</v>
      </c>
      <c r="G26" s="138">
        <f>1-(F26/'Future Cashflows (10 Yrs)'!D11)</f>
        <v>0.12632871000097234</v>
      </c>
      <c r="J26" s="140"/>
      <c r="K26" s="116"/>
      <c r="L26" s="116"/>
      <c r="M26" s="116"/>
      <c r="N26" s="116"/>
      <c r="O26" s="116"/>
      <c r="P26" s="116"/>
      <c r="Q26" s="116"/>
      <c r="R26" s="116"/>
      <c r="S26" s="116"/>
      <c r="T26" s="116"/>
      <c r="U26" s="116"/>
      <c r="V26" s="116"/>
      <c r="W26" s="116"/>
      <c r="X26" s="116"/>
      <c r="Y26" s="116"/>
      <c r="Z26" s="116"/>
      <c r="AA26" s="116"/>
      <c r="AB26" s="116"/>
      <c r="AC26" s="116"/>
      <c r="AD26" s="116"/>
      <c r="AE26" s="116"/>
      <c r="AF26" s="116"/>
    </row>
    <row r="27" spans="1:32">
      <c r="B27" s="165">
        <f t="shared" si="1"/>
        <v>8</v>
      </c>
      <c r="C27" s="255">
        <f>AVERAGE(C24,C29)</f>
        <v>0.1768146518971066</v>
      </c>
      <c r="D27" s="327">
        <f>'Future Cashflows (10 Yrs)'!D12*(1-C27)</f>
        <v>638.46148438864361</v>
      </c>
      <c r="E27" s="299">
        <f>K14</f>
        <v>26.201673820754355</v>
      </c>
      <c r="F27" s="327">
        <f t="shared" si="2"/>
        <v>664.66315820939792</v>
      </c>
      <c r="G27" s="138">
        <f>1-(F27/'Future Cashflows (10 Yrs)'!D12)</f>
        <v>0.14303213797511283</v>
      </c>
      <c r="L27" s="116"/>
      <c r="M27" s="116"/>
      <c r="N27" s="116"/>
      <c r="O27" s="116"/>
      <c r="P27" s="116"/>
      <c r="Q27" s="116"/>
      <c r="R27" s="116"/>
      <c r="S27" s="116"/>
      <c r="T27" s="116"/>
      <c r="U27" s="116"/>
      <c r="V27" s="116"/>
      <c r="W27" s="116"/>
      <c r="X27" s="116"/>
      <c r="Y27" s="116"/>
      <c r="Z27" s="116"/>
      <c r="AA27" s="116"/>
      <c r="AB27" s="116"/>
      <c r="AC27" s="116"/>
      <c r="AD27" s="116"/>
      <c r="AE27" s="116"/>
      <c r="AF27" s="116"/>
    </row>
    <row r="28" spans="1:32">
      <c r="B28" s="165">
        <f t="shared" si="1"/>
        <v>9</v>
      </c>
      <c r="C28" s="255">
        <f>AVERAGE(C27,C29)</f>
        <v>0.19643899392339406</v>
      </c>
      <c r="D28" s="327">
        <f>'Future Cashflows (10 Yrs)'!D13*(1-C28)</f>
        <v>705.161394784923</v>
      </c>
      <c r="E28" s="299">
        <f>L14</f>
        <v>23.59830320627648</v>
      </c>
      <c r="F28" s="327">
        <f t="shared" si="2"/>
        <v>728.75969799119946</v>
      </c>
      <c r="G28" s="138">
        <f>1-(F28/'Future Cashflows (10 Yrs)'!D13)</f>
        <v>0.16954773696239722</v>
      </c>
      <c r="L28" s="116"/>
      <c r="M28" s="116"/>
      <c r="N28" s="116"/>
      <c r="O28" s="116"/>
      <c r="P28" s="116"/>
      <c r="Q28" s="116"/>
      <c r="R28" s="116"/>
      <c r="S28" s="116"/>
      <c r="T28" s="116"/>
      <c r="U28" s="116"/>
      <c r="V28" s="116"/>
      <c r="W28" s="116"/>
      <c r="X28" s="116"/>
      <c r="Y28" s="116"/>
      <c r="Z28" s="116"/>
      <c r="AA28" s="116"/>
      <c r="AB28" s="116"/>
      <c r="AC28" s="116"/>
      <c r="AD28" s="116"/>
      <c r="AE28" s="116"/>
      <c r="AF28" s="116"/>
    </row>
    <row r="29" spans="1:32">
      <c r="B29" s="165">
        <f t="shared" si="1"/>
        <v>10</v>
      </c>
      <c r="C29" s="255">
        <f>'Expected Growth Rate'!C14</f>
        <v>0.21606333594968152</v>
      </c>
      <c r="D29" s="327">
        <f>'Future Cashflows (10 Yrs)'!D14*(1-C29)</f>
        <v>775.62726070250903</v>
      </c>
      <c r="E29" s="299">
        <f>M14</f>
        <v>19.78800829891339</v>
      </c>
      <c r="F29" s="327">
        <f t="shared" si="2"/>
        <v>795.41526900142242</v>
      </c>
      <c r="G29" s="138">
        <f>1-(F29/'Future Cashflows (10 Yrs)'!D14)</f>
        <v>0.19606333594968151</v>
      </c>
      <c r="K29" s="116"/>
      <c r="L29" s="116"/>
      <c r="M29" s="116"/>
      <c r="N29" s="116"/>
      <c r="O29" s="116"/>
      <c r="P29" s="116"/>
      <c r="Q29" s="116"/>
      <c r="R29" s="116"/>
      <c r="S29" s="116"/>
      <c r="T29" s="116"/>
      <c r="U29" s="116"/>
      <c r="V29" s="116"/>
      <c r="W29" s="116"/>
      <c r="X29" s="116"/>
      <c r="Y29" s="116"/>
      <c r="Z29" s="116"/>
      <c r="AA29" s="116"/>
      <c r="AB29" s="116"/>
      <c r="AC29" s="116"/>
      <c r="AD29" s="116"/>
      <c r="AE29" s="116"/>
      <c r="AF29" s="116"/>
    </row>
    <row r="30" spans="1:32" ht="14.25" customHeight="1">
      <c r="D30" s="6"/>
      <c r="E30" s="11"/>
      <c r="K30" s="116"/>
      <c r="L30" s="116"/>
      <c r="M30" s="116"/>
      <c r="N30" s="116"/>
      <c r="O30" s="116"/>
      <c r="P30" s="116"/>
      <c r="Q30" s="116"/>
      <c r="R30" s="116"/>
      <c r="S30" s="116"/>
      <c r="T30" s="116"/>
      <c r="U30" s="116"/>
      <c r="V30" s="116"/>
      <c r="W30" s="116"/>
      <c r="X30" s="116"/>
      <c r="Y30" s="116"/>
      <c r="Z30" s="116"/>
      <c r="AA30" s="116"/>
      <c r="AB30" s="116"/>
      <c r="AC30" s="116"/>
      <c r="AD30" s="116"/>
      <c r="AE30" s="116"/>
      <c r="AF30" s="116"/>
    </row>
    <row r="31" spans="1:32">
      <c r="D31" s="23"/>
      <c r="E31" s="23"/>
      <c r="G31" s="116"/>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c r="AE31" s="116"/>
      <c r="AF31" s="116"/>
    </row>
    <row r="32" spans="1:32">
      <c r="D32" s="3"/>
      <c r="E32" s="3"/>
      <c r="G32" s="116"/>
      <c r="H32" s="116"/>
      <c r="I32" s="116"/>
      <c r="J32" s="116"/>
      <c r="K32" s="116"/>
      <c r="L32" s="116"/>
      <c r="M32" s="116"/>
      <c r="N32" s="116"/>
      <c r="O32" s="116"/>
      <c r="P32" s="116"/>
      <c r="Q32" s="116"/>
      <c r="R32" s="116"/>
      <c r="S32" s="116"/>
      <c r="T32" s="116"/>
      <c r="U32" s="116"/>
      <c r="V32" s="116"/>
      <c r="W32" s="116"/>
      <c r="X32" s="116"/>
      <c r="Y32" s="116"/>
      <c r="Z32" s="116"/>
      <c r="AA32" s="116"/>
      <c r="AB32" s="116"/>
      <c r="AC32" s="116"/>
      <c r="AD32" s="116"/>
      <c r="AE32" s="116"/>
      <c r="AF32" s="116"/>
    </row>
    <row r="33" spans="4:32">
      <c r="G33" s="116"/>
      <c r="H33" s="116"/>
      <c r="I33" s="116"/>
      <c r="J33" s="116"/>
      <c r="K33" s="116"/>
      <c r="L33" s="116"/>
      <c r="M33" s="116"/>
      <c r="N33" s="116"/>
      <c r="O33" s="116"/>
      <c r="P33" s="116"/>
      <c r="Q33" s="116"/>
      <c r="R33" s="116"/>
      <c r="S33" s="116"/>
      <c r="T33" s="116"/>
      <c r="U33" s="116"/>
      <c r="V33" s="116"/>
      <c r="W33" s="116"/>
      <c r="X33" s="116"/>
      <c r="Y33" s="116"/>
      <c r="Z33" s="116"/>
      <c r="AA33" s="116"/>
      <c r="AB33" s="116"/>
      <c r="AC33" s="116"/>
      <c r="AD33" s="116"/>
      <c r="AE33" s="116"/>
      <c r="AF33" s="116"/>
    </row>
    <row r="34" spans="4:32">
      <c r="D34" s="22"/>
      <c r="E34" s="22"/>
      <c r="G34" s="116"/>
      <c r="H34" s="116"/>
      <c r="I34" s="116"/>
      <c r="J34" s="116"/>
      <c r="K34" s="116"/>
      <c r="L34" s="116"/>
      <c r="M34" s="116"/>
      <c r="N34" s="116"/>
      <c r="O34" s="116"/>
      <c r="P34" s="116"/>
      <c r="Q34" s="116"/>
      <c r="R34" s="116"/>
      <c r="S34" s="116"/>
      <c r="T34" s="116"/>
      <c r="U34" s="116"/>
      <c r="V34" s="116"/>
      <c r="W34" s="116"/>
      <c r="X34" s="116"/>
      <c r="Y34" s="116"/>
      <c r="Z34" s="116"/>
      <c r="AA34" s="116"/>
      <c r="AB34" s="116"/>
      <c r="AC34" s="116"/>
      <c r="AD34" s="116"/>
      <c r="AE34" s="116"/>
      <c r="AF34" s="116"/>
    </row>
    <row r="35" spans="4:32">
      <c r="D35" s="47"/>
      <c r="E35" s="3"/>
      <c r="G35" s="116"/>
      <c r="H35" s="116"/>
      <c r="I35" s="116"/>
      <c r="J35" s="116"/>
      <c r="K35" s="116"/>
      <c r="L35" s="116"/>
      <c r="M35" s="116"/>
      <c r="N35" s="116"/>
      <c r="O35" s="116"/>
      <c r="P35" s="116"/>
      <c r="Q35" s="116"/>
      <c r="R35" s="116"/>
      <c r="S35" s="116"/>
      <c r="T35" s="116"/>
      <c r="U35" s="116"/>
      <c r="V35" s="116"/>
      <c r="W35" s="116"/>
      <c r="X35" s="116"/>
      <c r="Y35" s="116"/>
      <c r="Z35" s="116"/>
      <c r="AA35" s="116"/>
      <c r="AB35" s="116"/>
      <c r="AC35" s="116"/>
      <c r="AD35" s="116"/>
      <c r="AE35" s="116"/>
      <c r="AF35" s="116"/>
    </row>
    <row r="36" spans="4:32">
      <c r="G36" s="116"/>
      <c r="H36" s="116"/>
      <c r="I36" s="116"/>
      <c r="J36" s="116"/>
      <c r="K36" s="116"/>
      <c r="L36" s="116"/>
      <c r="M36" s="116"/>
      <c r="N36" s="116"/>
      <c r="O36" s="116"/>
      <c r="P36" s="116"/>
      <c r="Q36" s="116"/>
      <c r="R36" s="116"/>
      <c r="S36" s="116"/>
      <c r="T36" s="116"/>
      <c r="U36" s="116"/>
      <c r="V36" s="116"/>
      <c r="W36" s="116"/>
      <c r="X36" s="116"/>
      <c r="Y36" s="116"/>
      <c r="Z36" s="116"/>
      <c r="AA36" s="116"/>
      <c r="AB36" s="116"/>
      <c r="AC36" s="116"/>
      <c r="AD36" s="116"/>
      <c r="AE36" s="116"/>
      <c r="AF36" s="116"/>
    </row>
    <row r="37" spans="4:32">
      <c r="G37" s="116"/>
      <c r="H37" s="116"/>
      <c r="I37" s="116"/>
      <c r="J37" s="116"/>
      <c r="K37" s="116"/>
      <c r="L37" s="116"/>
      <c r="M37" s="116"/>
      <c r="N37" s="116"/>
      <c r="O37" s="116"/>
      <c r="P37" s="116"/>
      <c r="Q37" s="116"/>
      <c r="R37" s="116"/>
      <c r="S37" s="116"/>
      <c r="T37" s="116"/>
      <c r="U37" s="116"/>
      <c r="V37" s="116"/>
      <c r="W37" s="116"/>
      <c r="X37" s="116"/>
      <c r="Y37" s="116"/>
      <c r="Z37" s="116"/>
      <c r="AA37" s="116"/>
      <c r="AB37" s="116"/>
      <c r="AC37" s="116"/>
      <c r="AD37" s="116"/>
      <c r="AE37" s="116"/>
      <c r="AF37" s="116"/>
    </row>
    <row r="38" spans="4:32">
      <c r="G38" s="116"/>
      <c r="H38" s="116"/>
      <c r="I38" s="116"/>
      <c r="J38" s="116"/>
      <c r="K38" s="116"/>
      <c r="L38" s="116"/>
      <c r="M38" s="116"/>
      <c r="N38" s="116"/>
      <c r="O38" s="116"/>
      <c r="P38" s="116"/>
      <c r="Q38" s="116"/>
      <c r="R38" s="116"/>
      <c r="S38" s="116"/>
      <c r="T38" s="116"/>
      <c r="U38" s="116"/>
      <c r="V38" s="116"/>
      <c r="W38" s="116"/>
      <c r="X38" s="116"/>
      <c r="Y38" s="116"/>
      <c r="Z38" s="116"/>
      <c r="AA38" s="116"/>
      <c r="AB38" s="116"/>
      <c r="AC38" s="116"/>
      <c r="AD38" s="116"/>
      <c r="AE38" s="116"/>
      <c r="AF38" s="116"/>
    </row>
  </sheetData>
  <mergeCells count="3">
    <mergeCell ref="B10:M10"/>
    <mergeCell ref="B17:G17"/>
    <mergeCell ref="B3:G3"/>
  </mergeCells>
  <pageMargins left="0.7" right="0.7" top="0.75" bottom="0.75" header="0.3" footer="0.3"/>
  <pageSetup paperSize="8"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11" customWidth="1"/>
    <col min="2" max="2" width="22" style="111" customWidth="1"/>
    <col min="3" max="3" width="13" style="111" customWidth="1"/>
    <col min="4" max="4" width="13.140625" style="111" customWidth="1"/>
    <col min="5" max="5" width="13.5703125" style="111" customWidth="1"/>
    <col min="6" max="6" width="12" style="111" customWidth="1"/>
    <col min="7" max="7" width="13.42578125" style="111" customWidth="1" collapsed="1"/>
    <col min="8" max="10" width="12.140625" style="111" bestFit="1" customWidth="1"/>
    <col min="11" max="13" width="13.7109375" style="111" bestFit="1" customWidth="1"/>
    <col min="14" max="26" width="9.140625" style="111" customWidth="1"/>
    <col min="27" max="27" width="9.28515625" style="111" customWidth="1"/>
    <col min="28" max="28" width="9.42578125" style="111" customWidth="1"/>
    <col min="29" max="29" width="10" style="111" customWidth="1"/>
    <col min="30" max="30" width="11.42578125" style="111" customWidth="1"/>
    <col min="31" max="31" width="9.42578125" style="111" bestFit="1" customWidth="1" collapsed="1"/>
    <col min="32" max="16384" width="9.140625" style="111"/>
  </cols>
  <sheetData>
    <row r="1" spans="1:32" s="110" customFormat="1" ht="15" customHeight="1">
      <c r="B1" s="16" t="s">
        <v>179</v>
      </c>
      <c r="C1" s="109"/>
      <c r="D1" s="109"/>
      <c r="E1" s="109"/>
      <c r="F1" s="109"/>
      <c r="G1" s="109"/>
      <c r="H1" s="109"/>
      <c r="I1" s="109"/>
      <c r="J1" s="109"/>
      <c r="K1" s="109"/>
      <c r="L1" s="109"/>
    </row>
    <row r="2" spans="1:32" ht="12" customHeight="1">
      <c r="C2" s="132"/>
    </row>
    <row r="3" spans="1:32" ht="12" customHeight="1">
      <c r="A3" s="113"/>
      <c r="B3" s="481" t="s">
        <v>180</v>
      </c>
      <c r="C3" s="481"/>
      <c r="D3" s="481"/>
      <c r="E3" s="481"/>
      <c r="F3" s="481"/>
      <c r="G3" s="142"/>
      <c r="H3" s="142"/>
      <c r="I3" s="143"/>
      <c r="J3" s="142"/>
      <c r="K3" s="142"/>
      <c r="L3" s="142"/>
      <c r="M3" s="142"/>
      <c r="N3" s="142"/>
      <c r="O3" s="142"/>
      <c r="P3" s="142"/>
      <c r="Q3" s="142"/>
    </row>
    <row r="4" spans="1:32" ht="12" customHeight="1">
      <c r="A4" s="118"/>
      <c r="B4" s="212" t="s">
        <v>33</v>
      </c>
      <c r="C4" s="213" t="s">
        <v>126</v>
      </c>
      <c r="D4" s="212">
        <v>2021</v>
      </c>
      <c r="E4" s="213">
        <v>2020</v>
      </c>
      <c r="F4" s="213">
        <v>2019</v>
      </c>
      <c r="G4" s="120"/>
      <c r="H4" s="248"/>
      <c r="I4" s="188"/>
      <c r="J4" s="188"/>
      <c r="K4" s="188"/>
      <c r="L4" s="188"/>
      <c r="M4" s="188"/>
      <c r="N4" s="188"/>
      <c r="O4" s="188"/>
      <c r="P4" s="112"/>
      <c r="R4" s="115"/>
      <c r="S4" s="115"/>
      <c r="T4" s="115"/>
      <c r="U4" s="115"/>
      <c r="Z4" s="115"/>
    </row>
    <row r="5" spans="1:32" ht="12" customHeight="1">
      <c r="A5" s="118"/>
      <c r="B5" s="166" t="s">
        <v>181</v>
      </c>
      <c r="C5" s="299">
        <f>(227.63*0.075)+(0.066*269.18)</f>
        <v>34.838130000000007</v>
      </c>
      <c r="D5" s="299">
        <f>(252.86*0.051)+(288.45*0.055)</f>
        <v>28.76061</v>
      </c>
      <c r="E5" s="299">
        <f>(0.028*180.15)+(0.022*204.68)</f>
        <v>9.5471599999999999</v>
      </c>
      <c r="F5" s="299">
        <f>(146.92*0.021)+(192.99*0.01)</f>
        <v>5.0152200000000002</v>
      </c>
      <c r="G5" s="145"/>
      <c r="H5" s="248"/>
      <c r="I5" s="137"/>
      <c r="J5" s="43"/>
      <c r="K5" s="43"/>
      <c r="L5" s="43"/>
      <c r="M5" s="43"/>
      <c r="N5" s="43"/>
      <c r="O5" s="43"/>
      <c r="P5" s="43"/>
      <c r="R5" s="116"/>
      <c r="S5" s="116"/>
      <c r="T5" s="116"/>
      <c r="U5" s="116"/>
      <c r="V5" s="116"/>
      <c r="W5" s="116"/>
      <c r="X5" s="116"/>
      <c r="Y5" s="116"/>
      <c r="Z5" s="116"/>
      <c r="AA5" s="116"/>
      <c r="AB5" s="116"/>
      <c r="AC5" s="116"/>
      <c r="AD5" s="116"/>
      <c r="AE5" s="116"/>
    </row>
    <row r="6" spans="1:32" ht="12" customHeight="1">
      <c r="A6" s="118"/>
      <c r="B6" s="166" t="s">
        <v>4</v>
      </c>
      <c r="C6" s="299">
        <f>'Future Value (Equity Options)'!C6</f>
        <v>222.77699999999999</v>
      </c>
      <c r="D6" s="299">
        <f>'Future Value (Equity Options)'!D6</f>
        <v>133.93700000000001</v>
      </c>
      <c r="E6" s="299">
        <f>'Future Value (Equity Options)'!E6</f>
        <v>117.687</v>
      </c>
      <c r="F6" s="299">
        <f>'Future Value (Equity Options)'!F6</f>
        <v>103.13500000000001</v>
      </c>
      <c r="G6" s="145"/>
      <c r="I6" s="137"/>
      <c r="J6" s="137"/>
      <c r="K6" s="137"/>
      <c r="L6" s="137"/>
      <c r="M6" s="137"/>
      <c r="N6" s="137"/>
      <c r="O6" s="137"/>
      <c r="P6" s="137"/>
      <c r="R6" s="116"/>
      <c r="S6" s="116"/>
      <c r="T6" s="116"/>
      <c r="U6" s="116"/>
      <c r="V6" s="116"/>
      <c r="W6" s="116"/>
      <c r="X6" s="116"/>
      <c r="Y6" s="116"/>
      <c r="Z6" s="116"/>
      <c r="AA6" s="116"/>
      <c r="AB6" s="116"/>
      <c r="AC6" s="116"/>
      <c r="AD6" s="116"/>
      <c r="AE6" s="116"/>
    </row>
    <row r="7" spans="1:32" ht="12" customHeight="1">
      <c r="B7" s="166" t="s">
        <v>182</v>
      </c>
      <c r="C7" s="138">
        <f>C5/C6</f>
        <v>0.15638117938566373</v>
      </c>
      <c r="D7" s="138">
        <f>D5/D6</f>
        <v>0.21473237417591851</v>
      </c>
      <c r="E7" s="138">
        <f>E5/E6</f>
        <v>8.112331863332399E-2</v>
      </c>
      <c r="F7" s="138">
        <f>F5/F6</f>
        <v>4.8627720948271683E-2</v>
      </c>
      <c r="G7" s="137"/>
      <c r="H7" s="133"/>
      <c r="I7" s="133"/>
      <c r="M7" s="116"/>
      <c r="N7" s="116"/>
      <c r="O7" s="132"/>
      <c r="P7" s="137"/>
      <c r="R7" s="116"/>
      <c r="S7" s="116"/>
      <c r="T7" s="116"/>
      <c r="U7" s="116"/>
      <c r="V7" s="116"/>
      <c r="W7" s="116"/>
      <c r="X7" s="116"/>
      <c r="Y7" s="116"/>
      <c r="Z7" s="116"/>
      <c r="AA7" s="116"/>
      <c r="AB7" s="116"/>
      <c r="AC7" s="116"/>
      <c r="AD7" s="116"/>
      <c r="AE7" s="116"/>
    </row>
    <row r="8" spans="1:32" ht="12" customHeight="1">
      <c r="A8" s="118"/>
      <c r="B8" s="116"/>
      <c r="C8" s="145"/>
      <c r="E8" s="262" t="s">
        <v>183</v>
      </c>
      <c r="F8" s="328">
        <f>_xlfn.PERCENTILE.EXC(C7:F7,0.25)</f>
        <v>5.675162036953476E-2</v>
      </c>
      <c r="J8" s="172"/>
      <c r="K8" s="173"/>
      <c r="O8" s="116"/>
      <c r="P8" s="116"/>
      <c r="Q8" s="116"/>
      <c r="R8" s="116"/>
      <c r="S8" s="116"/>
      <c r="T8" s="116"/>
      <c r="U8" s="116"/>
      <c r="V8" s="116"/>
      <c r="W8" s="116"/>
      <c r="X8" s="116"/>
      <c r="Y8" s="116"/>
      <c r="Z8" s="116"/>
      <c r="AA8" s="116"/>
      <c r="AB8" s="116"/>
      <c r="AC8" s="116"/>
      <c r="AD8" s="116"/>
      <c r="AE8" s="116"/>
      <c r="AF8" s="116"/>
    </row>
    <row r="9" spans="1:32" ht="12" customHeight="1">
      <c r="A9" s="118"/>
      <c r="J9" s="114"/>
      <c r="K9" s="133"/>
      <c r="O9" s="116"/>
      <c r="P9" s="116"/>
      <c r="Q9" s="116"/>
      <c r="R9" s="116"/>
      <c r="S9" s="116"/>
      <c r="T9" s="116"/>
      <c r="U9" s="116"/>
      <c r="V9" s="116"/>
      <c r="W9" s="116"/>
      <c r="X9" s="116"/>
      <c r="Y9" s="116"/>
      <c r="Z9" s="116"/>
      <c r="AA9" s="116"/>
      <c r="AB9" s="116"/>
      <c r="AC9" s="116"/>
      <c r="AD9" s="116"/>
      <c r="AE9" s="116"/>
      <c r="AF9" s="116"/>
    </row>
    <row r="10" spans="1:32">
      <c r="A10" s="114"/>
      <c r="B10" s="481" t="s">
        <v>156</v>
      </c>
      <c r="C10" s="481"/>
      <c r="D10" s="481"/>
      <c r="E10" s="481"/>
      <c r="F10" s="481"/>
      <c r="G10" s="481"/>
      <c r="H10" s="481"/>
      <c r="I10" s="481"/>
      <c r="J10" s="481"/>
      <c r="K10" s="481"/>
      <c r="L10" s="481"/>
      <c r="M10" s="481"/>
      <c r="O10" s="116"/>
      <c r="P10" s="116"/>
      <c r="Q10" s="116"/>
      <c r="R10" s="116"/>
      <c r="S10" s="116"/>
      <c r="T10" s="116"/>
      <c r="U10" s="116"/>
      <c r="V10" s="116"/>
      <c r="W10" s="116"/>
      <c r="X10" s="116"/>
      <c r="Y10" s="116"/>
      <c r="Z10" s="116"/>
      <c r="AA10" s="116"/>
      <c r="AB10" s="116"/>
      <c r="AC10" s="116"/>
      <c r="AD10" s="116"/>
      <c r="AE10" s="116"/>
      <c r="AF10" s="116"/>
    </row>
    <row r="11" spans="1:32" ht="12.75" customHeight="1">
      <c r="A11" s="118"/>
      <c r="B11" s="212" t="s">
        <v>33</v>
      </c>
      <c r="C11" s="213" t="s">
        <v>126</v>
      </c>
      <c r="D11" s="212">
        <v>1</v>
      </c>
      <c r="E11" s="213">
        <v>2</v>
      </c>
      <c r="F11" s="213">
        <v>3</v>
      </c>
      <c r="G11" s="213">
        <v>4</v>
      </c>
      <c r="H11" s="213">
        <v>5</v>
      </c>
      <c r="I11" s="261">
        <v>6</v>
      </c>
      <c r="J11" s="261">
        <v>7</v>
      </c>
      <c r="K11" s="260">
        <v>8</v>
      </c>
      <c r="L11" s="260">
        <v>9</v>
      </c>
      <c r="M11" s="260">
        <v>10</v>
      </c>
      <c r="N11" s="145"/>
      <c r="O11" s="116"/>
      <c r="P11" s="116"/>
      <c r="Q11" s="116"/>
      <c r="R11" s="116"/>
      <c r="S11" s="116"/>
      <c r="T11" s="116"/>
      <c r="U11" s="116"/>
      <c r="V11" s="116"/>
      <c r="W11" s="116"/>
      <c r="X11" s="116"/>
      <c r="Y11" s="116"/>
      <c r="Z11" s="116"/>
      <c r="AA11" s="116"/>
      <c r="AB11" s="116"/>
      <c r="AC11" s="116"/>
      <c r="AD11" s="116"/>
      <c r="AE11" s="116"/>
      <c r="AF11" s="116"/>
    </row>
    <row r="12" spans="1:32">
      <c r="B12" s="166" t="s">
        <v>182</v>
      </c>
      <c r="C12" s="138">
        <f>F8</f>
        <v>5.675162036953476E-2</v>
      </c>
      <c r="D12" s="138">
        <f>AVERAGE(C12,E12)</f>
        <v>5.445464409643884E-2</v>
      </c>
      <c r="E12" s="138">
        <f>AVERAGE(C12,F12)</f>
        <v>5.2157667823342913E-2</v>
      </c>
      <c r="F12" s="138">
        <f>AVERAGE(C12,H12)</f>
        <v>4.7563715277151072E-2</v>
      </c>
      <c r="G12" s="138">
        <f>AVERAGE(F12,H12)</f>
        <v>4.2969762730959225E-2</v>
      </c>
      <c r="H12" s="138">
        <f>AVERAGE(C12,M12)</f>
        <v>3.8375810184767378E-2</v>
      </c>
      <c r="I12" s="138">
        <f>AVERAGE(H12,J12)</f>
        <v>3.6078833911671458E-2</v>
      </c>
      <c r="J12" s="138">
        <f>AVERAGE(H12,K12)</f>
        <v>3.3781857638575538E-2</v>
      </c>
      <c r="K12" s="138">
        <f>AVERAGE(H12,M12)</f>
        <v>2.9187905092383691E-2</v>
      </c>
      <c r="L12" s="138">
        <f>AVERAGE(K12,M12)</f>
        <v>2.4593952546191844E-2</v>
      </c>
      <c r="M12" s="138">
        <v>0.02</v>
      </c>
      <c r="N12" s="145"/>
      <c r="O12" s="142"/>
      <c r="P12" s="142"/>
      <c r="Q12" s="142"/>
      <c r="R12" s="116"/>
      <c r="S12" s="116"/>
      <c r="T12" s="116"/>
      <c r="U12" s="116"/>
      <c r="V12" s="116"/>
      <c r="W12" s="116"/>
      <c r="X12" s="116"/>
      <c r="Y12" s="116"/>
      <c r="Z12" s="116"/>
      <c r="AA12" s="116"/>
      <c r="AB12" s="116"/>
      <c r="AC12" s="116"/>
      <c r="AD12" s="116"/>
      <c r="AE12" s="116"/>
      <c r="AF12" s="116"/>
    </row>
    <row r="13" spans="1:32" ht="12" customHeight="1">
      <c r="A13" s="118"/>
      <c r="B13" s="166" t="s">
        <v>4</v>
      </c>
      <c r="C13" s="299">
        <f>C6</f>
        <v>222.77699999999999</v>
      </c>
      <c r="D13" s="299">
        <f ca="1">'Future Cashflows (10 Yrs)'!D5</f>
        <v>269.95934886127498</v>
      </c>
      <c r="E13" s="299">
        <f ca="1">'Future Cashflows (10 Yrs)'!D6</f>
        <v>325.25825314191655</v>
      </c>
      <c r="F13" s="299">
        <f ca="1">'Future Cashflows (10 Yrs)'!D7</f>
        <v>390.04272477533289</v>
      </c>
      <c r="G13" s="299">
        <f ca="1">'Future Cashflows (10 Yrs)'!D8</f>
        <v>465.91981452787269</v>
      </c>
      <c r="H13" s="299">
        <f>'Future Cashflows (10 Yrs)'!D9</f>
        <v>540.08879801134333</v>
      </c>
      <c r="I13" s="299">
        <f>'Future Cashflows (10 Yrs)'!D10</f>
        <v>603.29961929856688</v>
      </c>
      <c r="J13" s="299">
        <f>'Future Cashflows (10 Yrs)'!D11</f>
        <v>673.53038727358285</v>
      </c>
      <c r="K13" s="299">
        <f>'Future Cashflows (10 Yrs)'!D12</f>
        <v>775.59869822760686</v>
      </c>
      <c r="L13" s="299">
        <f>'Future Cashflows (10 Yrs)'!D13</f>
        <v>877.54556213209003</v>
      </c>
      <c r="M13" s="299">
        <f>'Future Cashflows (10 Yrs)'!D14</f>
        <v>989.40041494566947</v>
      </c>
      <c r="O13" s="116"/>
      <c r="P13" s="116"/>
      <c r="Q13" s="116"/>
      <c r="R13" s="116"/>
      <c r="S13" s="116"/>
      <c r="T13" s="116"/>
      <c r="U13" s="116"/>
      <c r="V13" s="116"/>
      <c r="W13" s="116"/>
      <c r="X13" s="116"/>
      <c r="Y13" s="116"/>
      <c r="Z13" s="116"/>
      <c r="AA13" s="116"/>
      <c r="AB13" s="116"/>
      <c r="AC13" s="116"/>
      <c r="AD13" s="116"/>
      <c r="AE13" s="116"/>
      <c r="AF13" s="116"/>
    </row>
    <row r="14" spans="1:32">
      <c r="B14" s="166" t="s">
        <v>506</v>
      </c>
      <c r="C14" s="299">
        <f>C13*C12</f>
        <v>12.642955731063845</v>
      </c>
      <c r="D14" s="299">
        <f t="shared" ref="D14:M14" ca="1" si="0">D13*D12</f>
        <v>14.700540262747101</v>
      </c>
      <c r="E14" s="299">
        <f t="shared" ca="1" si="0"/>
        <v>16.964711924176864</v>
      </c>
      <c r="F14" s="299">
        <f t="shared" ca="1" si="0"/>
        <v>18.551881107138133</v>
      </c>
      <c r="G14" s="299">
        <f t="shared" ca="1" si="0"/>
        <v>20.020463881915219</v>
      </c>
      <c r="H14" s="299">
        <f t="shared" si="0"/>
        <v>20.72634519540248</v>
      </c>
      <c r="I14" s="299">
        <f t="shared" si="0"/>
        <v>21.766346763647615</v>
      </c>
      <c r="J14" s="299">
        <f>J13*J12</f>
        <v>22.753107658130826</v>
      </c>
      <c r="K14" s="299">
        <f t="shared" si="0"/>
        <v>22.638101193643728</v>
      </c>
      <c r="L14" s="299">
        <f t="shared" si="0"/>
        <v>21.582313912197868</v>
      </c>
      <c r="M14" s="299">
        <f t="shared" si="0"/>
        <v>19.78800829891339</v>
      </c>
      <c r="O14" s="116"/>
      <c r="P14" s="116"/>
      <c r="Q14" s="116"/>
      <c r="R14" s="116"/>
      <c r="S14" s="116"/>
      <c r="T14" s="116"/>
      <c r="U14" s="116"/>
      <c r="V14" s="116"/>
      <c r="W14" s="116"/>
      <c r="X14" s="116"/>
      <c r="Y14" s="116"/>
      <c r="Z14" s="116"/>
      <c r="AA14" s="116"/>
      <c r="AB14" s="116"/>
      <c r="AC14" s="116"/>
      <c r="AD14" s="116"/>
      <c r="AE14" s="116"/>
      <c r="AF14" s="116"/>
    </row>
    <row r="15" spans="1:32">
      <c r="D15" s="190"/>
      <c r="F15" s="190"/>
      <c r="G15" s="52"/>
      <c r="K15" s="174"/>
      <c r="O15" s="116"/>
      <c r="P15" s="116"/>
      <c r="Q15" s="116"/>
      <c r="R15" s="116"/>
      <c r="S15" s="116"/>
      <c r="T15" s="116"/>
      <c r="U15" s="116"/>
      <c r="V15" s="116"/>
      <c r="W15" s="116"/>
      <c r="X15" s="116"/>
      <c r="Y15" s="116"/>
      <c r="Z15" s="116"/>
      <c r="AA15" s="116"/>
      <c r="AB15" s="116"/>
      <c r="AC15" s="116"/>
      <c r="AD15" s="116"/>
      <c r="AE15" s="116"/>
      <c r="AF15" s="116"/>
    </row>
    <row r="16" spans="1:32">
      <c r="D16" s="190"/>
      <c r="F16" s="190"/>
      <c r="K16" s="116"/>
      <c r="O16" s="116"/>
      <c r="P16" s="116"/>
      <c r="Q16" s="116"/>
      <c r="R16" s="116"/>
      <c r="S16" s="116"/>
      <c r="T16" s="116"/>
      <c r="U16" s="116"/>
      <c r="V16" s="116"/>
      <c r="W16" s="116"/>
      <c r="X16" s="116"/>
      <c r="Y16" s="116"/>
      <c r="Z16" s="116"/>
      <c r="AA16" s="116"/>
      <c r="AB16" s="116"/>
      <c r="AC16" s="116"/>
      <c r="AD16" s="116"/>
      <c r="AE16" s="116"/>
      <c r="AF16" s="116"/>
    </row>
    <row r="17" spans="1:32">
      <c r="B17" s="481" t="s">
        <v>153</v>
      </c>
      <c r="C17" s="481"/>
      <c r="D17" s="481"/>
      <c r="E17" s="481"/>
      <c r="F17" s="481"/>
      <c r="G17" s="481"/>
      <c r="J17" s="120"/>
      <c r="K17" s="116"/>
      <c r="L17" s="116"/>
      <c r="O17" s="116"/>
      <c r="P17" s="116"/>
      <c r="Q17" s="116"/>
      <c r="R17" s="116"/>
      <c r="S17" s="116"/>
      <c r="T17" s="116"/>
      <c r="U17" s="116"/>
      <c r="V17" s="116"/>
      <c r="W17" s="116"/>
      <c r="X17" s="116"/>
      <c r="Y17" s="116"/>
      <c r="Z17" s="116"/>
      <c r="AA17" s="116"/>
      <c r="AB17" s="116"/>
      <c r="AC17" s="116"/>
      <c r="AD17" s="116"/>
      <c r="AE17" s="116"/>
      <c r="AF17" s="116"/>
    </row>
    <row r="18" spans="1:32">
      <c r="A18" s="118"/>
      <c r="B18" s="259"/>
      <c r="C18" s="258" t="s">
        <v>152</v>
      </c>
      <c r="D18" s="204" t="s">
        <v>151</v>
      </c>
      <c r="E18" s="258" t="s">
        <v>184</v>
      </c>
      <c r="F18" s="204" t="s">
        <v>149</v>
      </c>
      <c r="G18" s="257" t="s">
        <v>148</v>
      </c>
      <c r="J18" s="137"/>
      <c r="K18" s="116"/>
      <c r="L18" s="116"/>
      <c r="M18" s="116"/>
      <c r="N18" s="116"/>
      <c r="O18" s="116"/>
      <c r="P18" s="116"/>
      <c r="Q18" s="116"/>
      <c r="R18" s="116"/>
      <c r="S18" s="116"/>
      <c r="T18" s="116"/>
      <c r="U18" s="116"/>
      <c r="V18" s="116"/>
      <c r="W18" s="116"/>
      <c r="X18" s="116"/>
      <c r="Y18" s="116"/>
      <c r="Z18" s="116"/>
      <c r="AA18" s="116"/>
      <c r="AB18" s="116"/>
      <c r="AC18" s="116"/>
      <c r="AD18" s="116"/>
      <c r="AE18" s="116"/>
      <c r="AF18" s="116"/>
    </row>
    <row r="19" spans="1:32">
      <c r="B19" s="256" t="s">
        <v>86</v>
      </c>
      <c r="C19" s="255">
        <f>'Future Value (Equity Options)'!G19</f>
        <v>5.9068599739381798E-2</v>
      </c>
      <c r="D19" s="327">
        <f>'Future Cashflows (10 Yrs)'!D4*(1-'Future Cashflows (10 Yrs)'!F4)</f>
        <v>209.61787455585971</v>
      </c>
      <c r="E19" s="299"/>
      <c r="F19" s="327"/>
      <c r="G19" s="138">
        <f>C19</f>
        <v>5.9068599739381798E-2</v>
      </c>
      <c r="J19" s="137"/>
      <c r="K19" s="116"/>
      <c r="L19" s="116"/>
      <c r="M19" s="116"/>
      <c r="N19" s="116"/>
      <c r="O19" s="116"/>
      <c r="P19" s="116"/>
      <c r="Q19" s="116"/>
      <c r="R19" s="116"/>
      <c r="S19" s="116"/>
      <c r="T19" s="116"/>
      <c r="U19" s="116"/>
      <c r="V19" s="116"/>
      <c r="W19" s="116"/>
      <c r="X19" s="116"/>
      <c r="Y19" s="116"/>
      <c r="Z19" s="116"/>
      <c r="AA19" s="116"/>
      <c r="AB19" s="116"/>
      <c r="AC19" s="116"/>
      <c r="AD19" s="116"/>
      <c r="AE19" s="116"/>
      <c r="AF19" s="116"/>
    </row>
    <row r="20" spans="1:32">
      <c r="A20" s="118"/>
      <c r="B20" s="165">
        <v>1</v>
      </c>
      <c r="C20" s="255">
        <f ca="1">'Future Value (Equity Options)'!G20</f>
        <v>7.0085145581926245E-3</v>
      </c>
      <c r="D20" s="327">
        <f ca="1">'Future Cashflows (10 Yrs)'!D5*(1-C20)</f>
        <v>268.06733483466053</v>
      </c>
      <c r="E20" s="299">
        <f ca="1">D14</f>
        <v>14.700540262747101</v>
      </c>
      <c r="F20" s="327">
        <f ca="1">D20+E20</f>
        <v>282.76787509740763</v>
      </c>
      <c r="G20" s="138">
        <f ca="1">1-(F20/'Future Cashflows (10 Yrs)'!D5)</f>
        <v>-4.7446129538246229E-2</v>
      </c>
      <c r="J20" s="137"/>
      <c r="K20" s="116"/>
      <c r="L20" s="116"/>
      <c r="M20" s="116"/>
      <c r="N20" s="116"/>
      <c r="O20" s="116"/>
      <c r="P20" s="116"/>
      <c r="Q20" s="116"/>
      <c r="R20" s="116"/>
      <c r="S20" s="116"/>
      <c r="T20" s="116"/>
      <c r="U20" s="116"/>
      <c r="V20" s="116"/>
      <c r="W20" s="116"/>
      <c r="X20" s="116"/>
      <c r="Y20" s="116"/>
      <c r="Z20" s="116"/>
      <c r="AA20" s="116"/>
      <c r="AB20" s="116"/>
      <c r="AC20" s="116"/>
      <c r="AD20" s="116"/>
      <c r="AE20" s="116"/>
      <c r="AF20" s="116"/>
    </row>
    <row r="21" spans="1:32">
      <c r="B21" s="165">
        <f t="shared" ref="B21:B29" si="1">B20+1</f>
        <v>2</v>
      </c>
      <c r="C21" s="255">
        <f ca="1">'Future Value (Equity Options)'!G21</f>
        <v>2.0266314051834766E-2</v>
      </c>
      <c r="D21" s="327">
        <f ca="1">'Future Cashflows (10 Yrs)'!D6*(1-C21)</f>
        <v>318.66646723579129</v>
      </c>
      <c r="E21" s="299">
        <f ca="1">E14</f>
        <v>16.964711924176864</v>
      </c>
      <c r="F21" s="327">
        <f t="shared" ref="F21:F27" ca="1" si="2">D21+E21</f>
        <v>335.63117915996816</v>
      </c>
      <c r="G21" s="138">
        <f ca="1">1-(F21/'Future Cashflows (10 Yrs)'!D6)</f>
        <v>-3.1891353771508202E-2</v>
      </c>
      <c r="J21" s="137"/>
      <c r="K21" s="116"/>
      <c r="L21" s="116"/>
      <c r="M21" s="116"/>
      <c r="N21" s="116"/>
      <c r="O21" s="116"/>
      <c r="P21" s="116"/>
      <c r="Q21" s="116"/>
      <c r="R21" s="116"/>
      <c r="S21" s="116"/>
      <c r="T21" s="116"/>
      <c r="U21" s="116"/>
      <c r="V21" s="116"/>
      <c r="W21" s="116"/>
      <c r="X21" s="116"/>
      <c r="Y21" s="116"/>
      <c r="Z21" s="116"/>
      <c r="AA21" s="116"/>
      <c r="AB21" s="116"/>
      <c r="AC21" s="116"/>
      <c r="AD21" s="116"/>
      <c r="AE21" s="116"/>
      <c r="AF21" s="116"/>
    </row>
    <row r="22" spans="1:32">
      <c r="B22" s="165">
        <f t="shared" si="1"/>
        <v>3</v>
      </c>
      <c r="C22" s="255">
        <f ca="1">'Future Value (Equity Options)'!G22</f>
        <v>3.6969742025975583E-2</v>
      </c>
      <c r="D22" s="327">
        <f ca="1">'Future Cashflows (10 Yrs)'!D7*(1-C22)</f>
        <v>375.62294586128024</v>
      </c>
      <c r="E22" s="299">
        <f ca="1">F14</f>
        <v>18.551881107138133</v>
      </c>
      <c r="F22" s="327">
        <f t="shared" ca="1" si="2"/>
        <v>394.17482696841836</v>
      </c>
      <c r="G22" s="138">
        <f ca="1">1-(F22/'Future Cashflows (10 Yrs)'!D7)</f>
        <v>-1.0593973251175504E-2</v>
      </c>
      <c r="J22" s="137"/>
      <c r="K22" s="116"/>
      <c r="L22" s="116"/>
      <c r="M22" s="116"/>
      <c r="N22" s="116"/>
      <c r="O22" s="116"/>
      <c r="P22" s="116"/>
      <c r="Q22" s="116"/>
      <c r="R22" s="116"/>
      <c r="S22" s="116"/>
      <c r="T22" s="116"/>
      <c r="U22" s="116"/>
      <c r="V22" s="116"/>
      <c r="W22" s="116"/>
      <c r="X22" s="116"/>
      <c r="Y22" s="116"/>
      <c r="Z22" s="116"/>
      <c r="AA22" s="116"/>
      <c r="AB22" s="116"/>
      <c r="AC22" s="116"/>
      <c r="AD22" s="116"/>
      <c r="AE22" s="116"/>
      <c r="AF22" s="116"/>
    </row>
    <row r="23" spans="1:32" ht="12" customHeight="1">
      <c r="B23" s="165">
        <f t="shared" si="1"/>
        <v>4</v>
      </c>
      <c r="C23" s="255">
        <f ca="1">'Future Value (Equity Options)'!G23</f>
        <v>6.3485341013259866E-2</v>
      </c>
      <c r="D23" s="327">
        <f ca="1">'Future Cashflows (10 Yrs)'!D8*(1-C23)</f>
        <v>436.34073621773592</v>
      </c>
      <c r="E23" s="299">
        <f ca="1">G14</f>
        <v>20.020463881915219</v>
      </c>
      <c r="F23" s="327">
        <f t="shared" ca="1" si="2"/>
        <v>456.36120009965111</v>
      </c>
      <c r="G23" s="138">
        <f ca="1">1-(F23/'Future Cashflows (10 Yrs)'!D8)</f>
        <v>2.0515578282300662E-2</v>
      </c>
      <c r="J23" s="137"/>
      <c r="K23" s="116"/>
      <c r="L23" s="116"/>
      <c r="M23" s="116"/>
      <c r="N23" s="116"/>
      <c r="O23" s="116"/>
      <c r="P23" s="116"/>
      <c r="Q23" s="116"/>
      <c r="R23" s="116"/>
      <c r="S23" s="116"/>
      <c r="T23" s="116"/>
      <c r="U23" s="116"/>
      <c r="V23" s="116"/>
      <c r="W23" s="116"/>
      <c r="X23" s="116"/>
      <c r="Y23" s="116"/>
      <c r="Z23" s="116"/>
      <c r="AA23" s="116"/>
      <c r="AB23" s="116"/>
      <c r="AC23" s="116"/>
      <c r="AD23" s="116"/>
      <c r="AE23" s="116"/>
      <c r="AF23" s="116"/>
    </row>
    <row r="24" spans="1:32">
      <c r="B24" s="165">
        <f t="shared" si="1"/>
        <v>5</v>
      </c>
      <c r="C24" s="255">
        <f>'Future Value (Equity Options)'!G24</f>
        <v>9.000094000054415E-2</v>
      </c>
      <c r="D24" s="327">
        <f>'Future Cashflows (10 Yrs)'!D9*(1-C24)</f>
        <v>491.48029850655843</v>
      </c>
      <c r="E24" s="299">
        <f>H14</f>
        <v>20.72634519540248</v>
      </c>
      <c r="F24" s="327">
        <f t="shared" si="2"/>
        <v>512.20664370196096</v>
      </c>
      <c r="G24" s="138">
        <f>1-(F24/'Future Cashflows (10 Yrs)'!D9)</f>
        <v>5.1625129815776605E-2</v>
      </c>
      <c r="J24" s="137"/>
      <c r="K24" s="116"/>
      <c r="L24" s="116"/>
      <c r="M24" s="116"/>
      <c r="N24" s="116"/>
      <c r="O24" s="116"/>
      <c r="P24" s="116"/>
      <c r="Q24" s="116"/>
      <c r="R24" s="116"/>
      <c r="S24" s="116"/>
      <c r="T24" s="116"/>
      <c r="U24" s="116"/>
      <c r="V24" s="116"/>
      <c r="W24" s="116"/>
      <c r="X24" s="116"/>
      <c r="Y24" s="116"/>
      <c r="Z24" s="116"/>
      <c r="AA24" s="116"/>
      <c r="AB24" s="116"/>
      <c r="AC24" s="116"/>
      <c r="AD24" s="116"/>
      <c r="AE24" s="116"/>
      <c r="AF24" s="116"/>
    </row>
    <row r="25" spans="1:32">
      <c r="B25" s="165">
        <f t="shared" si="1"/>
        <v>6</v>
      </c>
      <c r="C25" s="255">
        <f>'Future Value (Equity Options)'!G25</f>
        <v>0.11307091050733009</v>
      </c>
      <c r="D25" s="327">
        <f>'Future Cashflows (10 Yrs)'!D10*(1-C25)</f>
        <v>535.08398203575234</v>
      </c>
      <c r="E25" s="299">
        <f>I14</f>
        <v>21.766346763647615</v>
      </c>
      <c r="F25" s="327">
        <f>D25+E25</f>
        <v>556.8503287993999</v>
      </c>
      <c r="G25" s="138">
        <f>1-(F25/'Future Cashflows (10 Yrs)'!D10)</f>
        <v>7.6992076595658654E-2</v>
      </c>
      <c r="J25" s="137"/>
      <c r="K25" s="116"/>
      <c r="L25" s="116"/>
      <c r="M25" s="116"/>
      <c r="N25" s="116"/>
      <c r="O25" s="116"/>
      <c r="P25" s="116"/>
      <c r="Q25" s="116"/>
      <c r="R25" s="116"/>
      <c r="S25" s="116"/>
      <c r="T25" s="116"/>
      <c r="U25" s="116"/>
      <c r="V25" s="116"/>
      <c r="W25" s="116"/>
      <c r="X25" s="116"/>
      <c r="Y25" s="116"/>
      <c r="Z25" s="116"/>
      <c r="AA25" s="116"/>
      <c r="AB25" s="116"/>
      <c r="AC25" s="116"/>
      <c r="AD25" s="116"/>
      <c r="AE25" s="116"/>
      <c r="AF25" s="116"/>
    </row>
    <row r="26" spans="1:32">
      <c r="B26" s="165">
        <f t="shared" si="1"/>
        <v>7</v>
      </c>
      <c r="C26" s="255">
        <f>'Future Value (Equity Options)'!G26</f>
        <v>0.12632871000097234</v>
      </c>
      <c r="D26" s="327">
        <f>'Future Cashflows (10 Yrs)'!D11*(1-C26)</f>
        <v>588.44416230285583</v>
      </c>
      <c r="E26" s="299">
        <f>J14</f>
        <v>22.753107658130826</v>
      </c>
      <c r="F26" s="327">
        <f t="shared" si="2"/>
        <v>611.19726996098666</v>
      </c>
      <c r="G26" s="138">
        <f>1-(F26/'Future Cashflows (10 Yrs)'!D11)</f>
        <v>9.2546852362396792E-2</v>
      </c>
      <c r="J26" s="140"/>
      <c r="K26" s="116"/>
      <c r="L26" s="116"/>
      <c r="M26" s="116"/>
      <c r="N26" s="116"/>
      <c r="O26" s="116"/>
      <c r="P26" s="116"/>
      <c r="Q26" s="116"/>
      <c r="R26" s="116"/>
      <c r="S26" s="116"/>
      <c r="T26" s="116"/>
      <c r="U26" s="116"/>
      <c r="V26" s="116"/>
      <c r="W26" s="116"/>
      <c r="X26" s="116"/>
      <c r="Y26" s="116"/>
      <c r="Z26" s="116"/>
      <c r="AA26" s="116"/>
      <c r="AB26" s="116"/>
      <c r="AC26" s="116"/>
      <c r="AD26" s="116"/>
      <c r="AE26" s="116"/>
      <c r="AF26" s="116"/>
    </row>
    <row r="27" spans="1:32">
      <c r="B27" s="165">
        <f t="shared" si="1"/>
        <v>8</v>
      </c>
      <c r="C27" s="255">
        <f>'Future Value (Equity Options)'!G27</f>
        <v>0.14303213797511283</v>
      </c>
      <c r="D27" s="327">
        <f>'Future Cashflows (10 Yrs)'!D12*(1-C27)</f>
        <v>664.66315820939792</v>
      </c>
      <c r="E27" s="299">
        <f>K14</f>
        <v>22.638101193643728</v>
      </c>
      <c r="F27" s="327">
        <f t="shared" si="2"/>
        <v>687.30125940304163</v>
      </c>
      <c r="G27" s="138">
        <f>1-(F27/'Future Cashflows (10 Yrs)'!D12)</f>
        <v>0.11384423288272916</v>
      </c>
      <c r="L27" s="116"/>
      <c r="M27" s="116"/>
      <c r="N27" s="116"/>
      <c r="O27" s="116"/>
      <c r="P27" s="116"/>
      <c r="Q27" s="116"/>
      <c r="R27" s="116"/>
      <c r="S27" s="116"/>
      <c r="T27" s="116"/>
      <c r="U27" s="116"/>
      <c r="V27" s="116"/>
      <c r="W27" s="116"/>
      <c r="X27" s="116"/>
      <c r="Y27" s="116"/>
      <c r="Z27" s="116"/>
      <c r="AA27" s="116"/>
      <c r="AB27" s="116"/>
      <c r="AC27" s="116"/>
      <c r="AD27" s="116"/>
      <c r="AE27" s="116"/>
      <c r="AF27" s="116"/>
    </row>
    <row r="28" spans="1:32">
      <c r="B28" s="165">
        <f t="shared" si="1"/>
        <v>9</v>
      </c>
      <c r="C28" s="255">
        <f>'Future Value (Equity Options)'!G28</f>
        <v>0.16954773696239722</v>
      </c>
      <c r="D28" s="327">
        <f>'Future Cashflows (10 Yrs)'!D13*(1-C28)</f>
        <v>728.75969799119946</v>
      </c>
      <c r="E28" s="299">
        <f>L14</f>
        <v>21.582313912197868</v>
      </c>
      <c r="F28" s="327">
        <f>D28+E28</f>
        <v>750.34201190339729</v>
      </c>
      <c r="G28" s="138">
        <f>1-(F28/'Future Cashflows (10 Yrs)'!D13)</f>
        <v>0.14495378441620532</v>
      </c>
      <c r="L28" s="116"/>
      <c r="M28" s="116"/>
      <c r="N28" s="116"/>
      <c r="O28" s="116"/>
      <c r="P28" s="116"/>
      <c r="Q28" s="116"/>
      <c r="R28" s="116"/>
      <c r="S28" s="116"/>
      <c r="T28" s="116"/>
      <c r="U28" s="116"/>
      <c r="V28" s="116"/>
      <c r="W28" s="116"/>
      <c r="X28" s="116"/>
      <c r="Y28" s="116"/>
      <c r="Z28" s="116"/>
      <c r="AA28" s="116"/>
      <c r="AB28" s="116"/>
      <c r="AC28" s="116"/>
      <c r="AD28" s="116"/>
      <c r="AE28" s="116"/>
      <c r="AF28" s="116"/>
    </row>
    <row r="29" spans="1:32">
      <c r="B29" s="165">
        <f t="shared" si="1"/>
        <v>10</v>
      </c>
      <c r="C29" s="255">
        <f>'Future Value (Equity Options)'!G29</f>
        <v>0.19606333594968151</v>
      </c>
      <c r="D29" s="327">
        <f>'Future Cashflows (10 Yrs)'!D14*(1-C29)</f>
        <v>795.41526900142242</v>
      </c>
      <c r="E29" s="299">
        <f>M14</f>
        <v>19.78800829891339</v>
      </c>
      <c r="F29" s="327">
        <f>D29+E29</f>
        <v>815.2032773003358</v>
      </c>
      <c r="G29" s="138">
        <f>1-(F29/'Future Cashflows (10 Yrs)'!D14)</f>
        <v>0.17606333594968149</v>
      </c>
      <c r="K29" s="116"/>
      <c r="L29" s="116"/>
      <c r="M29" s="116"/>
      <c r="N29" s="116"/>
      <c r="O29" s="116"/>
      <c r="P29" s="116"/>
      <c r="Q29" s="116"/>
      <c r="R29" s="116"/>
      <c r="S29" s="116"/>
      <c r="T29" s="116"/>
      <c r="U29" s="116"/>
      <c r="V29" s="116"/>
      <c r="W29" s="116"/>
      <c r="X29" s="116"/>
      <c r="Y29" s="116"/>
      <c r="Z29" s="116"/>
      <c r="AA29" s="116"/>
      <c r="AB29" s="116"/>
      <c r="AC29" s="116"/>
      <c r="AD29" s="116"/>
      <c r="AE29" s="116"/>
      <c r="AF29" s="116"/>
    </row>
    <row r="30" spans="1:32" ht="14.25" customHeight="1">
      <c r="D30" s="6"/>
      <c r="E30" s="11"/>
      <c r="K30" s="116"/>
      <c r="L30" s="116"/>
      <c r="M30" s="116"/>
      <c r="N30" s="116"/>
      <c r="O30" s="116"/>
      <c r="P30" s="116"/>
      <c r="Q30" s="116"/>
      <c r="R30" s="116"/>
      <c r="S30" s="116"/>
      <c r="T30" s="116"/>
      <c r="U30" s="116"/>
      <c r="V30" s="116"/>
      <c r="W30" s="116"/>
      <c r="X30" s="116"/>
      <c r="Y30" s="116"/>
      <c r="Z30" s="116"/>
      <c r="AA30" s="116"/>
      <c r="AB30" s="116"/>
      <c r="AC30" s="116"/>
      <c r="AD30" s="116"/>
      <c r="AE30" s="116"/>
      <c r="AF30" s="116"/>
    </row>
    <row r="31" spans="1:32">
      <c r="D31" s="23"/>
      <c r="E31" s="23"/>
      <c r="G31" s="116"/>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c r="AE31" s="116"/>
      <c r="AF31" s="116"/>
    </row>
    <row r="32" spans="1:32">
      <c r="D32" s="3"/>
      <c r="E32" s="3"/>
      <c r="G32" s="116"/>
      <c r="H32" s="116"/>
      <c r="I32" s="116"/>
      <c r="J32" s="116"/>
      <c r="K32" s="116"/>
      <c r="L32" s="116"/>
      <c r="M32" s="116"/>
      <c r="N32" s="116"/>
      <c r="O32" s="116"/>
      <c r="P32" s="116"/>
      <c r="Q32" s="116"/>
      <c r="R32" s="116"/>
      <c r="S32" s="116"/>
      <c r="T32" s="116"/>
      <c r="U32" s="116"/>
      <c r="V32" s="116"/>
      <c r="W32" s="116"/>
      <c r="X32" s="116"/>
      <c r="Y32" s="116"/>
      <c r="Z32" s="116"/>
      <c r="AA32" s="116"/>
      <c r="AB32" s="116"/>
      <c r="AC32" s="116"/>
      <c r="AD32" s="116"/>
      <c r="AE32" s="116"/>
      <c r="AF32" s="116"/>
    </row>
    <row r="33" spans="4:32">
      <c r="G33" s="116"/>
      <c r="H33" s="116"/>
      <c r="I33" s="116"/>
      <c r="J33" s="116"/>
      <c r="K33" s="116"/>
      <c r="L33" s="116"/>
      <c r="M33" s="116"/>
      <c r="N33" s="116"/>
      <c r="O33" s="116"/>
      <c r="P33" s="116"/>
      <c r="Q33" s="116"/>
      <c r="R33" s="116"/>
      <c r="S33" s="116"/>
      <c r="T33" s="116"/>
      <c r="U33" s="116"/>
      <c r="V33" s="116"/>
      <c r="W33" s="116"/>
      <c r="X33" s="116"/>
      <c r="Y33" s="116"/>
      <c r="Z33" s="116"/>
      <c r="AA33" s="116"/>
      <c r="AB33" s="116"/>
      <c r="AC33" s="116"/>
      <c r="AD33" s="116"/>
      <c r="AE33" s="116"/>
      <c r="AF33" s="116"/>
    </row>
    <row r="34" spans="4:32">
      <c r="D34" s="22"/>
      <c r="E34" s="22"/>
      <c r="G34" s="116"/>
      <c r="H34" s="116"/>
      <c r="I34" s="116"/>
      <c r="J34" s="116"/>
      <c r="K34" s="116"/>
      <c r="L34" s="116"/>
      <c r="M34" s="116"/>
      <c r="N34" s="116"/>
      <c r="O34" s="116"/>
      <c r="P34" s="116"/>
      <c r="Q34" s="116"/>
      <c r="R34" s="116"/>
      <c r="S34" s="116"/>
      <c r="T34" s="116"/>
      <c r="U34" s="116"/>
      <c r="V34" s="116"/>
      <c r="W34" s="116"/>
      <c r="X34" s="116"/>
      <c r="Y34" s="116"/>
      <c r="Z34" s="116"/>
      <c r="AA34" s="116"/>
      <c r="AB34" s="116"/>
      <c r="AC34" s="116"/>
      <c r="AD34" s="116"/>
      <c r="AE34" s="116"/>
      <c r="AF34" s="116"/>
    </row>
    <row r="35" spans="4:32">
      <c r="D35" s="47"/>
      <c r="E35" s="3"/>
      <c r="G35" s="116"/>
      <c r="H35" s="116"/>
      <c r="I35" s="116"/>
      <c r="J35" s="116"/>
      <c r="K35" s="116"/>
      <c r="L35" s="116"/>
      <c r="M35" s="116"/>
      <c r="N35" s="116"/>
      <c r="O35" s="116"/>
      <c r="P35" s="116"/>
      <c r="Q35" s="116"/>
      <c r="R35" s="116"/>
      <c r="S35" s="116"/>
      <c r="T35" s="116"/>
      <c r="U35" s="116"/>
      <c r="V35" s="116"/>
      <c r="W35" s="116"/>
      <c r="X35" s="116"/>
      <c r="Y35" s="116"/>
      <c r="Z35" s="116"/>
      <c r="AA35" s="116"/>
      <c r="AB35" s="116"/>
      <c r="AC35" s="116"/>
      <c r="AD35" s="116"/>
      <c r="AE35" s="116"/>
      <c r="AF35" s="116"/>
    </row>
    <row r="36" spans="4:32">
      <c r="G36" s="116"/>
      <c r="H36" s="116"/>
      <c r="I36" s="116"/>
      <c r="J36" s="116"/>
      <c r="K36" s="116"/>
      <c r="L36" s="116"/>
      <c r="M36" s="116"/>
      <c r="N36" s="116"/>
      <c r="O36" s="116"/>
      <c r="P36" s="116"/>
      <c r="Q36" s="116"/>
      <c r="R36" s="116"/>
      <c r="S36" s="116"/>
      <c r="T36" s="116"/>
      <c r="U36" s="116"/>
      <c r="V36" s="116"/>
      <c r="W36" s="116"/>
      <c r="X36" s="116"/>
      <c r="Y36" s="116"/>
      <c r="Z36" s="116"/>
      <c r="AA36" s="116"/>
      <c r="AB36" s="116"/>
      <c r="AC36" s="116"/>
      <c r="AD36" s="116"/>
      <c r="AE36" s="116"/>
      <c r="AF36" s="116"/>
    </row>
    <row r="37" spans="4:32">
      <c r="G37" s="116"/>
      <c r="H37" s="116"/>
      <c r="I37" s="116"/>
      <c r="J37" s="116"/>
      <c r="K37" s="116"/>
      <c r="L37" s="116"/>
      <c r="M37" s="116"/>
      <c r="N37" s="116"/>
      <c r="O37" s="116"/>
      <c r="P37" s="116"/>
      <c r="Q37" s="116"/>
      <c r="R37" s="116"/>
      <c r="S37" s="116"/>
      <c r="T37" s="116"/>
      <c r="U37" s="116"/>
      <c r="V37" s="116"/>
      <c r="W37" s="116"/>
      <c r="X37" s="116"/>
      <c r="Y37" s="116"/>
      <c r="Z37" s="116"/>
      <c r="AA37" s="116"/>
      <c r="AB37" s="116"/>
      <c r="AC37" s="116"/>
      <c r="AD37" s="116"/>
      <c r="AE37" s="116"/>
      <c r="AF37" s="116"/>
    </row>
    <row r="38" spans="4:32">
      <c r="G38" s="116"/>
      <c r="H38" s="116"/>
      <c r="I38" s="116"/>
      <c r="J38" s="116"/>
      <c r="K38" s="116"/>
      <c r="L38" s="116"/>
      <c r="M38" s="116"/>
      <c r="N38" s="116"/>
      <c r="O38" s="116"/>
      <c r="P38" s="116"/>
      <c r="Q38" s="116"/>
      <c r="R38" s="116"/>
      <c r="S38" s="116"/>
      <c r="T38" s="116"/>
      <c r="U38" s="116"/>
      <c r="V38" s="116"/>
      <c r="W38" s="116"/>
      <c r="X38" s="116"/>
      <c r="Y38" s="116"/>
      <c r="Z38" s="116"/>
      <c r="AA38" s="116"/>
      <c r="AB38" s="116"/>
      <c r="AC38" s="116"/>
      <c r="AD38" s="116"/>
      <c r="AE38" s="116"/>
      <c r="AF38" s="116"/>
    </row>
  </sheetData>
  <mergeCells count="3">
    <mergeCell ref="B10:M10"/>
    <mergeCell ref="B17:G17"/>
    <mergeCell ref="B3:F3"/>
  </mergeCells>
  <pageMargins left="0.7" right="0.7" top="0.75" bottom="0.75" header="0.3" footer="0.3"/>
  <pageSetup paperSize="8"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7"/>
  <sheetViews>
    <sheetView workbookViewId="0"/>
  </sheetViews>
  <sheetFormatPr defaultRowHeight="12" customHeight="1"/>
  <cols>
    <col min="1" max="1" width="2" style="2" customWidth="1"/>
    <col min="2" max="2" width="25.5703125" style="2" customWidth="1"/>
    <col min="3" max="3" width="11.7109375" style="2" customWidth="1"/>
    <col min="4" max="4" width="11.140625" style="2" customWidth="1"/>
    <col min="5" max="5" width="10.5703125" style="2" customWidth="1"/>
    <col min="6" max="6" width="10.28515625" style="2" customWidth="1"/>
    <col min="7" max="7" width="10" style="2" customWidth="1"/>
    <col min="8" max="8" width="11.140625" style="2" customWidth="1"/>
    <col min="9" max="9" width="11.42578125" style="2" customWidth="1"/>
    <col min="10" max="10" width="12" style="2" customWidth="1"/>
    <col min="11" max="11" width="11.140625" style="2" bestFit="1" customWidth="1"/>
    <col min="12" max="12" width="11.42578125" style="2" customWidth="1"/>
    <col min="13" max="13" width="9.140625" style="2"/>
    <col min="14" max="14" width="18.42578125" style="2" customWidth="1"/>
    <col min="15" max="19" width="9.140625" style="2"/>
    <col min="20" max="20" width="10.140625" style="2" bestFit="1" customWidth="1"/>
    <col min="21" max="16384" width="9.140625" style="2"/>
  </cols>
  <sheetData>
    <row r="1" spans="1:20" ht="16.5" customHeight="1">
      <c r="B1" s="16" t="s">
        <v>115</v>
      </c>
    </row>
    <row r="3" spans="1:20" ht="12" customHeight="1">
      <c r="E3" s="40"/>
      <c r="F3" s="30"/>
      <c r="G3" s="202"/>
      <c r="H3" s="29"/>
      <c r="I3" s="3"/>
      <c r="J3" s="3"/>
      <c r="K3" s="3"/>
      <c r="L3" s="3"/>
      <c r="M3" s="3"/>
      <c r="N3" s="3"/>
      <c r="O3" s="3"/>
      <c r="P3" s="3"/>
      <c r="Q3" s="3"/>
      <c r="R3" s="3"/>
      <c r="S3" s="3"/>
      <c r="T3" s="3"/>
    </row>
    <row r="4" spans="1:20" ht="12" customHeight="1">
      <c r="B4" s="482" t="s">
        <v>119</v>
      </c>
      <c r="C4" s="482"/>
      <c r="D4" s="482"/>
      <c r="E4" s="482"/>
      <c r="F4" s="482"/>
      <c r="G4" s="482"/>
      <c r="H4" s="482"/>
      <c r="I4" s="482"/>
      <c r="J4" s="482"/>
      <c r="K4" s="482"/>
      <c r="L4" s="482"/>
      <c r="M4" s="3"/>
      <c r="N4" s="3"/>
      <c r="O4" s="3"/>
      <c r="P4" s="3"/>
      <c r="Q4" s="3"/>
      <c r="R4" s="3"/>
      <c r="S4" s="3"/>
      <c r="T4" s="3"/>
    </row>
    <row r="5" spans="1:20" ht="12" customHeight="1">
      <c r="B5" s="201"/>
      <c r="C5" s="203">
        <v>1</v>
      </c>
      <c r="D5" s="203">
        <v>2</v>
      </c>
      <c r="E5" s="204">
        <v>3</v>
      </c>
      <c r="F5" s="205">
        <v>4</v>
      </c>
      <c r="G5" s="206">
        <v>5</v>
      </c>
      <c r="H5" s="207">
        <v>6</v>
      </c>
      <c r="I5" s="203">
        <v>7</v>
      </c>
      <c r="J5" s="203">
        <v>8</v>
      </c>
      <c r="K5" s="203">
        <v>9</v>
      </c>
      <c r="L5" s="203">
        <v>10</v>
      </c>
      <c r="M5" s="3"/>
      <c r="N5" s="3"/>
      <c r="O5" s="3"/>
      <c r="P5" s="3"/>
      <c r="Q5" s="3"/>
      <c r="R5" s="3"/>
      <c r="S5" s="3"/>
      <c r="T5" s="3"/>
    </row>
    <row r="6" spans="1:20" ht="12" customHeight="1">
      <c r="B6" s="46" t="s">
        <v>117</v>
      </c>
      <c r="C6" s="292">
        <f ca="1">'Future Cashflows (10 Yrs)'!F19</f>
        <v>-48.406387973217022</v>
      </c>
      <c r="D6" s="292">
        <f ca="1">'Future Cashflows (10 Yrs)'!F20</f>
        <v>-53.30065630814024</v>
      </c>
      <c r="E6" s="323">
        <f ca="1">'Future Cashflows (10 Yrs)'!F21</f>
        <v>-56.508570641231344</v>
      </c>
      <c r="F6" s="323">
        <f ca="1">'Future Cashflows (10 Yrs)'!F22</f>
        <v>-55.529471132259637</v>
      </c>
      <c r="G6" s="323">
        <f ca="1">'Future Cashflows (10 Yrs)'!F23</f>
        <v>-40.560768347253457</v>
      </c>
      <c r="H6" s="323">
        <f>'Future Cashflows (10 Yrs)'!F24</f>
        <v>-17.77999043775116</v>
      </c>
      <c r="I6" s="292">
        <f>'Future Cashflows (10 Yrs)'!F25</f>
        <v>-11.817807512496138</v>
      </c>
      <c r="J6" s="292">
        <f>'Future Cashflows (10 Yrs)'!F26</f>
        <v>-18.8719644661183</v>
      </c>
      <c r="K6" s="292">
        <f>'Future Cashflows (10 Yrs)'!F27</f>
        <v>10.018758586074668</v>
      </c>
      <c r="L6" s="292">
        <f>'Future Cashflows (10 Yrs)'!F28</f>
        <v>36.619367884354148</v>
      </c>
      <c r="M6" s="3"/>
      <c r="N6" s="3"/>
      <c r="O6" s="3"/>
      <c r="P6" s="3"/>
      <c r="Q6" s="3"/>
      <c r="R6" s="3"/>
      <c r="S6" s="3"/>
      <c r="T6" s="3"/>
    </row>
    <row r="7" spans="1:20" ht="12" customHeight="1">
      <c r="B7" s="46" t="s">
        <v>118</v>
      </c>
      <c r="C7" s="100">
        <f ca="1">'Cost of Equity, Debt &amp; WACC'!C28</f>
        <v>0.1023746319059534</v>
      </c>
      <c r="D7" s="100">
        <f ca="1">C7</f>
        <v>0.1023746319059534</v>
      </c>
      <c r="E7" s="100">
        <f ca="1">AVERAGE(F7,C7)</f>
        <v>9.8803167322526447E-2</v>
      </c>
      <c r="F7" s="74">
        <f ca="1">AVERAGE(C7,H7)</f>
        <v>9.5231702739099505E-2</v>
      </c>
      <c r="G7" s="74">
        <f ca="1">AVERAGE(F7,H7)</f>
        <v>9.1660238155672549E-2</v>
      </c>
      <c r="H7" s="74">
        <f ca="1">AVERAGE(C7,L7)</f>
        <v>8.8088773572245593E-2</v>
      </c>
      <c r="I7" s="100">
        <f ca="1">AVERAGE(H7,J7)</f>
        <v>8.4517308988818651E-2</v>
      </c>
      <c r="J7" s="100">
        <f ca="1">AVERAGE(H7,L7)</f>
        <v>8.0945844405391695E-2</v>
      </c>
      <c r="K7" s="100">
        <f ca="1">AVERAGE(J7,L7)</f>
        <v>7.7374379821964739E-2</v>
      </c>
      <c r="L7" s="100">
        <f>'Terminal Value'!$G$21</f>
        <v>7.3802915238537797E-2</v>
      </c>
      <c r="M7" s="20"/>
      <c r="N7" s="3"/>
      <c r="O7" s="3"/>
      <c r="P7" s="3"/>
      <c r="Q7" s="3"/>
      <c r="R7" s="3"/>
      <c r="S7" s="3"/>
      <c r="T7" s="3"/>
    </row>
    <row r="8" spans="1:20" ht="12" customHeight="1">
      <c r="B8" s="85" t="s">
        <v>116</v>
      </c>
      <c r="C8" s="290">
        <f ca="1">C6/(1+C7)^C5</f>
        <v>-43.911014071073716</v>
      </c>
      <c r="D8" s="290">
        <f t="shared" ref="D8:K8" ca="1" si="0">D6/(1+D7)^D5</f>
        <v>-43.860556277605482</v>
      </c>
      <c r="E8" s="290">
        <f ca="1">E6/(1+E7)^E5</f>
        <v>-42.594606876714103</v>
      </c>
      <c r="F8" s="290">
        <f t="shared" ca="1" si="0"/>
        <v>-38.592197740757662</v>
      </c>
      <c r="G8" s="290">
        <f t="shared" ca="1" si="0"/>
        <v>-26.161865733380402</v>
      </c>
      <c r="H8" s="290">
        <f t="shared" ca="1" si="0"/>
        <v>-10.713849619837248</v>
      </c>
      <c r="I8" s="290">
        <f t="shared" ca="1" si="0"/>
        <v>-6.6970184819079099</v>
      </c>
      <c r="J8" s="290">
        <f t="shared" ca="1" si="0"/>
        <v>-10.12478057807116</v>
      </c>
      <c r="K8" s="290">
        <f t="shared" ca="1" si="0"/>
        <v>5.1228792384500679</v>
      </c>
      <c r="L8" s="290">
        <f>L6/(1+L7)^L5</f>
        <v>17.966565146907655</v>
      </c>
      <c r="M8" s="3"/>
      <c r="N8" s="3"/>
      <c r="O8" s="3"/>
      <c r="P8" s="3"/>
      <c r="Q8" s="3"/>
      <c r="R8" s="3"/>
      <c r="S8" s="3"/>
      <c r="T8" s="3"/>
    </row>
    <row r="9" spans="1:20" ht="12" customHeight="1">
      <c r="M9" s="3"/>
      <c r="N9" s="3"/>
      <c r="O9" s="3"/>
      <c r="P9" s="3"/>
      <c r="Q9" s="3"/>
      <c r="R9" s="3"/>
      <c r="S9" s="3"/>
      <c r="T9" s="3"/>
    </row>
    <row r="10" spans="1:20" ht="12" customHeight="1">
      <c r="A10" s="3"/>
      <c r="E10" s="29"/>
      <c r="F10" s="29"/>
      <c r="G10" s="29"/>
      <c r="H10" s="29"/>
      <c r="M10" s="3"/>
      <c r="N10" s="3"/>
      <c r="O10" s="3"/>
      <c r="P10" s="3"/>
      <c r="Q10" s="3"/>
      <c r="R10" s="3"/>
      <c r="S10" s="3"/>
      <c r="T10" s="3"/>
    </row>
    <row r="11" spans="1:20" ht="12" customHeight="1">
      <c r="A11" s="3"/>
      <c r="C11" s="276" t="s">
        <v>163</v>
      </c>
      <c r="E11" s="32"/>
      <c r="F11" s="32"/>
      <c r="G11" s="32"/>
      <c r="H11" s="32"/>
      <c r="L11" s="225"/>
      <c r="N11" s="3"/>
      <c r="O11" s="3"/>
      <c r="P11" s="3"/>
      <c r="Q11" s="3"/>
      <c r="R11" s="3"/>
      <c r="S11" s="3"/>
      <c r="T11" s="3"/>
    </row>
    <row r="12" spans="1:20" ht="12" customHeight="1">
      <c r="A12" s="3"/>
      <c r="B12" s="216" t="s">
        <v>114</v>
      </c>
      <c r="C12" s="323">
        <f ca="1">SUM(C8:L8)</f>
        <v>-199.56644499398993</v>
      </c>
      <c r="I12" s="29"/>
      <c r="J12" s="29"/>
      <c r="K12" s="29"/>
      <c r="L12" s="3"/>
      <c r="M12" s="3"/>
      <c r="N12" s="3"/>
      <c r="O12" s="3"/>
      <c r="P12" s="3"/>
      <c r="Q12" s="3"/>
      <c r="R12" s="3"/>
      <c r="S12" s="3"/>
      <c r="T12" s="3"/>
    </row>
    <row r="13" spans="1:20" ht="12" customHeight="1">
      <c r="A13" s="3"/>
      <c r="B13" s="216" t="s">
        <v>82</v>
      </c>
      <c r="C13" s="323">
        <f ca="1">'Terminal Value'!$C$13</f>
        <v>2081.9015210221987</v>
      </c>
      <c r="D13" s="29"/>
      <c r="I13" s="29"/>
      <c r="J13" s="29"/>
      <c r="K13" s="29"/>
      <c r="L13" s="3"/>
      <c r="M13" s="3"/>
      <c r="N13" s="3"/>
      <c r="O13" s="3"/>
      <c r="P13" s="3"/>
      <c r="Q13" s="3"/>
      <c r="R13" s="3"/>
      <c r="S13" s="3"/>
      <c r="T13" s="3"/>
    </row>
    <row r="14" spans="1:20" s="25" customFormat="1" ht="12" customHeight="1">
      <c r="A14" s="24"/>
      <c r="B14" s="216" t="s">
        <v>108</v>
      </c>
      <c r="C14" s="323">
        <f ca="1">C13/(1+L7)^'Fair Value of Share'!$L$5</f>
        <v>1021.4436094314131</v>
      </c>
      <c r="D14" s="41"/>
      <c r="E14" s="2"/>
      <c r="F14" s="2"/>
      <c r="G14" s="2"/>
      <c r="H14" s="2"/>
      <c r="I14" s="104"/>
      <c r="J14" s="104"/>
      <c r="K14" s="104"/>
      <c r="L14" s="24"/>
      <c r="M14" s="24"/>
      <c r="N14" s="24"/>
      <c r="O14" s="24"/>
      <c r="P14" s="24"/>
      <c r="Q14" s="24"/>
      <c r="R14" s="24"/>
      <c r="S14" s="24"/>
      <c r="T14" s="24"/>
    </row>
    <row r="15" spans="1:20" ht="12" customHeight="1">
      <c r="A15" s="3"/>
      <c r="B15" s="217" t="s">
        <v>120</v>
      </c>
      <c r="C15" s="324">
        <f ca="1">C14+C12</f>
        <v>821.87716443742306</v>
      </c>
      <c r="I15" s="335"/>
      <c r="J15" s="335"/>
      <c r="K15" s="190"/>
      <c r="L15" s="3"/>
    </row>
    <row r="16" spans="1:20" ht="12" customHeight="1">
      <c r="A16" s="208" t="s">
        <v>48</v>
      </c>
      <c r="B16" s="218" t="s">
        <v>103</v>
      </c>
      <c r="C16" s="323">
        <f ca="1">'Cash &amp; Marketable Securities'!$C$11</f>
        <v>29.627190158669542</v>
      </c>
      <c r="E16" s="223"/>
      <c r="F16" s="224"/>
      <c r="G16" s="14"/>
      <c r="H16" s="6"/>
      <c r="I16" s="336"/>
      <c r="J16" s="336"/>
      <c r="K16" s="336"/>
      <c r="L16" s="3"/>
      <c r="M16" s="3"/>
    </row>
    <row r="17" spans="1:20" ht="12" customHeight="1">
      <c r="A17" s="208" t="s">
        <v>48</v>
      </c>
      <c r="B17" s="219" t="s">
        <v>113</v>
      </c>
      <c r="C17" s="323">
        <v>0</v>
      </c>
      <c r="E17" s="42"/>
      <c r="F17" s="157"/>
      <c r="G17" s="14"/>
      <c r="H17" s="6"/>
      <c r="I17" s="67"/>
      <c r="J17" s="67"/>
      <c r="K17" s="106"/>
      <c r="L17" s="3"/>
      <c r="M17" s="3"/>
    </row>
    <row r="18" spans="1:20" ht="12" customHeight="1">
      <c r="A18" s="208" t="s">
        <v>48</v>
      </c>
      <c r="B18" s="28" t="s">
        <v>121</v>
      </c>
      <c r="C18" s="292">
        <v>0</v>
      </c>
      <c r="D18" s="29"/>
      <c r="E18" s="42"/>
      <c r="F18" s="137"/>
      <c r="G18" s="3"/>
      <c r="H18" s="3"/>
      <c r="I18" s="133"/>
      <c r="J18" s="133"/>
      <c r="K18" s="133"/>
      <c r="L18" s="3"/>
      <c r="M18" s="3"/>
    </row>
    <row r="19" spans="1:20" ht="12" customHeight="1">
      <c r="A19" s="7"/>
      <c r="B19" s="217" t="s">
        <v>111</v>
      </c>
      <c r="C19" s="324">
        <f ca="1">SUM(C15:C18)</f>
        <v>851.50435459609264</v>
      </c>
      <c r="D19" s="29"/>
      <c r="E19" s="31"/>
      <c r="F19" s="133"/>
      <c r="G19" s="3"/>
      <c r="H19" s="3"/>
      <c r="L19" s="3"/>
      <c r="M19" s="3"/>
      <c r="Q19" s="29"/>
      <c r="R19" s="3"/>
      <c r="S19" s="3"/>
      <c r="T19" s="3"/>
    </row>
    <row r="20" spans="1:20" ht="12" customHeight="1">
      <c r="A20" s="7" t="s">
        <v>34</v>
      </c>
      <c r="B20" s="216" t="s">
        <v>110</v>
      </c>
      <c r="C20" s="325">
        <f ca="1">'Bottom Up Beta'!C22</f>
        <v>153.96817789585853</v>
      </c>
      <c r="D20" s="29"/>
      <c r="E20" s="3"/>
      <c r="F20" s="133"/>
      <c r="G20" s="3"/>
      <c r="H20" s="3"/>
      <c r="K20" s="29"/>
      <c r="L20" s="3"/>
      <c r="M20" s="3"/>
      <c r="N20" s="3"/>
      <c r="P20" s="3"/>
      <c r="Q20" s="3"/>
      <c r="R20" s="3"/>
      <c r="S20" s="3"/>
      <c r="T20" s="3"/>
    </row>
    <row r="21" spans="1:20" ht="12" customHeight="1">
      <c r="A21" s="7"/>
      <c r="B21" s="217" t="s">
        <v>112</v>
      </c>
      <c r="C21" s="307">
        <f ca="1">C19-C20</f>
        <v>697.53617670023414</v>
      </c>
      <c r="D21" s="31"/>
      <c r="E21" s="3"/>
      <c r="F21" s="221"/>
      <c r="I21" s="29"/>
      <c r="J21" s="29"/>
      <c r="K21" s="29"/>
      <c r="L21" s="3"/>
      <c r="M21" s="3"/>
      <c r="N21" s="3"/>
      <c r="O21" s="3"/>
      <c r="P21" s="3"/>
      <c r="Q21" s="3"/>
      <c r="R21" s="3"/>
      <c r="S21" s="3"/>
      <c r="T21" s="3"/>
    </row>
    <row r="22" spans="1:20" ht="12" customHeight="1">
      <c r="A22" s="215" t="s">
        <v>34</v>
      </c>
      <c r="B22" s="28" t="s">
        <v>122</v>
      </c>
      <c r="C22" s="292">
        <f>74.719859*0.224</f>
        <v>16.737248416</v>
      </c>
      <c r="D22" s="29"/>
      <c r="E22" s="3"/>
      <c r="F22" s="67"/>
      <c r="G22" s="8"/>
      <c r="I22" s="29"/>
      <c r="J22" s="29"/>
      <c r="K22" s="29"/>
      <c r="L22" s="3"/>
      <c r="M22" s="3"/>
      <c r="O22" s="3"/>
      <c r="P22" s="3"/>
      <c r="Q22" s="3"/>
      <c r="R22" s="3"/>
      <c r="S22" s="3"/>
      <c r="T22" s="3"/>
    </row>
    <row r="23" spans="1:20" s="27" customFormat="1" ht="12" customHeight="1">
      <c r="B23" s="217" t="s">
        <v>123</v>
      </c>
      <c r="C23" s="326">
        <f ca="1">C21-C22</f>
        <v>680.79892828423408</v>
      </c>
      <c r="D23" s="29"/>
      <c r="E23" s="29"/>
      <c r="F23" s="220"/>
      <c r="G23" s="11"/>
      <c r="H23" s="2"/>
      <c r="I23" s="32"/>
      <c r="J23" s="32"/>
      <c r="K23" s="32"/>
      <c r="L23" s="26"/>
      <c r="M23" s="26"/>
      <c r="N23" s="26"/>
      <c r="O23" s="26"/>
      <c r="P23" s="26"/>
      <c r="Q23" s="26"/>
      <c r="R23" s="26"/>
      <c r="S23" s="26"/>
      <c r="T23" s="26"/>
    </row>
    <row r="24" spans="1:20" ht="12" customHeight="1">
      <c r="B24" s="28" t="s">
        <v>44</v>
      </c>
      <c r="C24" s="469">
        <f>5.273+0.075+0.066</f>
        <v>5.4139999999999997</v>
      </c>
      <c r="D24" s="470"/>
      <c r="E24" s="29"/>
      <c r="I24" s="3"/>
      <c r="J24" s="3"/>
      <c r="K24" s="3"/>
      <c r="L24" s="3"/>
      <c r="M24" s="3"/>
      <c r="N24" s="3"/>
      <c r="O24" s="3"/>
      <c r="P24" s="3"/>
      <c r="Q24" s="3"/>
      <c r="R24" s="3"/>
      <c r="S24" s="3"/>
      <c r="T24" s="3"/>
    </row>
    <row r="25" spans="1:20" ht="12" customHeight="1">
      <c r="B25" s="333" t="s">
        <v>124</v>
      </c>
      <c r="C25" s="312">
        <f ca="1">C23/C24</f>
        <v>125.74786263100002</v>
      </c>
      <c r="D25" s="334"/>
      <c r="E25" s="29"/>
      <c r="F25" s="6"/>
      <c r="G25" s="15"/>
      <c r="I25" s="29"/>
      <c r="J25" s="29"/>
      <c r="K25" s="14"/>
      <c r="L25" s="3"/>
      <c r="M25" s="3"/>
      <c r="N25" s="3"/>
      <c r="O25" s="3"/>
      <c r="P25" s="3"/>
      <c r="Q25" s="3"/>
      <c r="R25" s="3"/>
      <c r="S25" s="3"/>
      <c r="T25" s="3"/>
    </row>
    <row r="26" spans="1:20" ht="12" customHeight="1">
      <c r="B26" s="471"/>
      <c r="C26" s="472"/>
      <c r="D26" s="32"/>
      <c r="I26" s="29"/>
      <c r="J26" s="29"/>
      <c r="K26" s="6"/>
      <c r="L26" s="3"/>
      <c r="M26" s="3"/>
      <c r="N26" s="3"/>
      <c r="O26" s="3"/>
      <c r="P26" s="3"/>
      <c r="Q26" s="3"/>
      <c r="R26" s="3"/>
      <c r="S26" s="3"/>
      <c r="T26" s="3"/>
    </row>
    <row r="27" spans="1:20" ht="12" customHeight="1">
      <c r="B27" s="337"/>
      <c r="C27" s="329"/>
      <c r="D27" s="3"/>
      <c r="I27" s="29"/>
      <c r="J27" s="29"/>
      <c r="K27" s="6"/>
      <c r="L27" s="3"/>
      <c r="M27" s="3"/>
      <c r="N27" s="3"/>
      <c r="O27" s="3"/>
      <c r="P27" s="3"/>
      <c r="Q27" s="3"/>
      <c r="R27" s="3"/>
      <c r="S27" s="3"/>
      <c r="T27" s="3"/>
    </row>
    <row r="28" spans="1:20" ht="12" customHeight="1">
      <c r="B28" s="3"/>
      <c r="C28" s="5"/>
      <c r="D28" s="3"/>
      <c r="G28" s="12"/>
      <c r="I28" s="6"/>
      <c r="J28" s="6"/>
      <c r="K28" s="6"/>
      <c r="L28" s="3"/>
      <c r="M28" s="3"/>
      <c r="N28" s="3"/>
      <c r="O28" s="3"/>
      <c r="P28" s="3"/>
      <c r="Q28" s="3"/>
      <c r="R28" s="3"/>
      <c r="S28" s="3"/>
      <c r="T28" s="3"/>
    </row>
    <row r="29" spans="1:20" ht="12" customHeight="1">
      <c r="B29" s="3"/>
      <c r="C29" s="3"/>
      <c r="D29" s="3"/>
      <c r="G29" s="8"/>
      <c r="I29" s="6"/>
      <c r="J29" s="6"/>
      <c r="K29" s="6"/>
      <c r="L29" s="3"/>
      <c r="M29" s="3"/>
      <c r="N29" s="3"/>
      <c r="O29" s="3"/>
      <c r="P29" s="3"/>
      <c r="Q29" s="3"/>
      <c r="R29" s="3"/>
      <c r="S29" s="3"/>
      <c r="T29" s="3"/>
    </row>
    <row r="30" spans="1:20" ht="12" customHeight="1">
      <c r="B30" s="3"/>
      <c r="C30" s="3"/>
      <c r="D30" s="3"/>
      <c r="G30" s="12"/>
      <c r="I30" s="3"/>
      <c r="J30" s="3"/>
      <c r="K30" s="3"/>
      <c r="L30" s="3"/>
      <c r="M30" s="3"/>
      <c r="N30" s="3"/>
      <c r="O30" s="3"/>
      <c r="P30" s="3"/>
      <c r="Q30" s="3"/>
      <c r="R30" s="3"/>
      <c r="S30" s="3"/>
      <c r="T30" s="3"/>
    </row>
    <row r="31" spans="1:20" ht="12" customHeight="1">
      <c r="I31" s="3"/>
      <c r="J31" s="3"/>
      <c r="K31" s="3"/>
      <c r="L31" s="3"/>
      <c r="M31" s="3"/>
    </row>
    <row r="32" spans="1:20" ht="12" customHeight="1">
      <c r="C32" s="13"/>
      <c r="G32" s="15"/>
      <c r="I32" s="3"/>
      <c r="J32" s="3"/>
      <c r="K32" s="3"/>
      <c r="L32" s="3"/>
      <c r="M32" s="3"/>
    </row>
    <row r="34" spans="2:13" ht="12" customHeight="1">
      <c r="B34" s="15"/>
      <c r="K34" s="10"/>
    </row>
    <row r="35" spans="2:13" ht="12" customHeight="1">
      <c r="B35" s="8"/>
      <c r="K35" s="8"/>
      <c r="M35" s="8"/>
    </row>
    <row r="36" spans="2:13" ht="12" customHeight="1">
      <c r="M36" s="8"/>
    </row>
    <row r="37" spans="2:13" ht="12" customHeight="1">
      <c r="K37" s="4"/>
    </row>
  </sheetData>
  <mergeCells count="1">
    <mergeCell ref="B4:L4"/>
  </mergeCells>
  <pageMargins left="0.7" right="0.7" top="0.75" bottom="0.75" header="0.3" footer="0.3"/>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5</vt:i4>
      </vt:variant>
    </vt:vector>
  </HeadingPairs>
  <TitlesOfParts>
    <vt:vector size="28" baseType="lpstr">
      <vt:lpstr>Cover</vt:lpstr>
      <vt:lpstr>About</vt:lpstr>
      <vt:lpstr>Corporate Governance</vt:lpstr>
      <vt:lpstr>Index</vt:lpstr>
      <vt:lpstr>Risk Free Rate &amp; ERP</vt:lpstr>
      <vt:lpstr>Beta Calculation Data</vt:lpstr>
      <vt:lpstr>Bottom Up Beta</vt:lpstr>
      <vt:lpstr>Divisional Beta, Ke &amp; WACC</vt:lpstr>
      <vt:lpstr>Cost of Equity, Debt &amp; WACC</vt:lpstr>
      <vt:lpstr>Cash Flows</vt:lpstr>
      <vt:lpstr>Accounting Adjustments</vt:lpstr>
      <vt:lpstr>Reinvestment</vt:lpstr>
      <vt:lpstr>FCFF &amp; FCFE</vt:lpstr>
      <vt:lpstr>Growth Rate &amp; TV</vt:lpstr>
      <vt:lpstr>Expected Growth Rate</vt:lpstr>
      <vt:lpstr>Industry &amp; Revenues</vt:lpstr>
      <vt:lpstr>Future Cashflows (10 Yrs)</vt:lpstr>
      <vt:lpstr>Terminal Value</vt:lpstr>
      <vt:lpstr>Road to Fair Value of Share</vt:lpstr>
      <vt:lpstr>Cash &amp; Marketable Securities</vt:lpstr>
      <vt:lpstr>Future Value (Equity Options)</vt:lpstr>
      <vt:lpstr>Future Value (Restricted Stock)</vt:lpstr>
      <vt:lpstr>Fair Value of Share</vt:lpstr>
      <vt:lpstr>'Fair Value of Share'!Print_Area</vt:lpstr>
      <vt:lpstr>'Future Cashflows (10 Yrs)'!Print_Area</vt:lpstr>
      <vt:lpstr>'Future Value (Equity Options)'!Print_Area</vt:lpstr>
      <vt:lpstr>'Future Value (Restricted Stock)'!Print_Area</vt:lpstr>
      <vt:lpstr>'Industry &amp; Revenues'!Print_Area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2023-03-03T09:21:16Z</dcterms:modified>
</cp:coreProperties>
</file>