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About" sheetId="29" r:id="rId2"/>
    <sheet name="Corporate Governance" sheetId="66" r:id="rId3"/>
    <sheet name="Index" sheetId="4" r:id="rId4"/>
    <sheet name="Risk Free Rate &amp; ERP" sheetId="24" r:id="rId5"/>
    <sheet name="Beta Calculation Data" sheetId="67" r:id="rId6"/>
    <sheet name="Bottom Up Beta" sheetId="68" r:id="rId7"/>
    <sheet name="Cost of Equity, Debt &amp; WACC" sheetId="23" r:id="rId8"/>
    <sheet name="Cash Flows" sheetId="17" r:id="rId9"/>
    <sheet name="Accounting Adjustments" sheetId="49" r:id="rId10"/>
    <sheet name="Reinvestment" sheetId="32" r:id="rId11"/>
    <sheet name="FCFF &amp; FCFE" sheetId="35" r:id="rId12"/>
    <sheet name="Growth Rate &amp; TV" sheetId="36" r:id="rId13"/>
    <sheet name="Expected Growth Rate" sheetId="39" r:id="rId14"/>
    <sheet name="Future Cashflows (10 Yrs)" sheetId="37" r:id="rId15"/>
    <sheet name="Terminal Value" sheetId="40" r:id="rId16"/>
    <sheet name="Road to Fair Value of Share" sheetId="42" r:id="rId17"/>
    <sheet name="Cash &amp; Marketable Securities" sheetId="43" r:id="rId18"/>
    <sheet name="Future Value (Equity Options)" sheetId="57" r:id="rId19"/>
    <sheet name="Fair Value of Share" sheetId="48" r:id="rId20"/>
  </sheets>
  <definedNames>
    <definedName name="_xlchart.v1.0" hidden="1">('Accounting Adjustments'!$B$4:$B$6,'Accounting Adjustments'!$B$8:$B$12)</definedName>
    <definedName name="_xlchart.v1.1" hidden="1">('Accounting Adjustments'!$G$4:$G$6,'Accounting Adjustments'!$G$8:$G$12)</definedName>
    <definedName name="_xlnm.Print_Area" localSheetId="0">Dashboard!$A$1:$AC$31</definedName>
    <definedName name="_xlnm.Print_Area" localSheetId="19">'Fair Value of Share'!$A$11:$H$27</definedName>
    <definedName name="_xlnm.Print_Area" localSheetId="14">'Future Cashflows (10 Yrs)'!$B$3:$H$28</definedName>
    <definedName name="_xlnm.Print_Area" localSheetId="18">'Future Value (Equity Options)'!$B$3:$M$29</definedName>
  </definedNames>
  <calcPr calcId="162913" iterate="1"/>
</workbook>
</file>

<file path=xl/calcChain.xml><?xml version="1.0" encoding="utf-8"?>
<calcChain xmlns="http://schemas.openxmlformats.org/spreadsheetml/2006/main">
  <c r="Q26" i="28" l="1"/>
  <c r="Q22" i="28"/>
  <c r="C41" i="49" l="1"/>
  <c r="C38" i="66"/>
  <c r="G36" i="49"/>
  <c r="F36" i="49"/>
  <c r="E36" i="49"/>
  <c r="D36" i="49"/>
  <c r="Z3" i="28"/>
  <c r="Q3" i="28"/>
  <c r="K3" i="28"/>
  <c r="H3" i="28"/>
  <c r="E3" i="28"/>
  <c r="B21" i="4" l="1"/>
  <c r="F14" i="37"/>
  <c r="C22" i="48"/>
  <c r="C24" i="48"/>
  <c r="C16" i="48"/>
  <c r="C5" i="43"/>
  <c r="C4" i="43"/>
  <c r="C7" i="43" s="1"/>
  <c r="G19" i="40" l="1"/>
  <c r="G17" i="40"/>
  <c r="M5" i="67"/>
  <c r="G6" i="67"/>
  <c r="C7" i="40"/>
  <c r="D28" i="37"/>
  <c r="D27" i="37"/>
  <c r="D26" i="37"/>
  <c r="D25" i="37"/>
  <c r="D24" i="37"/>
  <c r="D23" i="37"/>
  <c r="D22" i="37"/>
  <c r="D21" i="37"/>
  <c r="D20" i="37"/>
  <c r="D19" i="37"/>
  <c r="K4" i="37"/>
  <c r="C4" i="37"/>
  <c r="E4" i="37"/>
  <c r="C5" i="37"/>
  <c r="C23" i="39"/>
  <c r="C22" i="39"/>
  <c r="C21" i="39"/>
  <c r="C20" i="39"/>
  <c r="C17" i="39"/>
  <c r="C16" i="39"/>
  <c r="C15" i="39"/>
  <c r="C14" i="39"/>
  <c r="I21" i="39"/>
  <c r="J23" i="39"/>
  <c r="K23" i="39"/>
  <c r="I23" i="39"/>
  <c r="G5" i="35"/>
  <c r="G8" i="35" s="1"/>
  <c r="C39" i="49"/>
  <c r="G34" i="49"/>
  <c r="C38" i="49"/>
  <c r="C8" i="39"/>
  <c r="F35" i="49"/>
  <c r="E35" i="49"/>
  <c r="D35" i="49"/>
  <c r="G35" i="49"/>
  <c r="D30" i="49"/>
  <c r="E30" i="49"/>
  <c r="F30" i="49"/>
  <c r="F32" i="49" s="1"/>
  <c r="G30" i="49"/>
  <c r="I5" i="68"/>
  <c r="E32" i="49"/>
  <c r="D32" i="49"/>
  <c r="G32" i="49"/>
  <c r="G31" i="49"/>
  <c r="F31" i="49"/>
  <c r="E31" i="49"/>
  <c r="D31" i="49"/>
  <c r="H5" i="68"/>
  <c r="F27" i="49"/>
  <c r="E27" i="49"/>
  <c r="D27" i="49"/>
  <c r="C27" i="49"/>
  <c r="G27" i="49"/>
  <c r="E26" i="49"/>
  <c r="D25" i="49"/>
  <c r="C25" i="49"/>
  <c r="G25" i="49"/>
  <c r="D24" i="49"/>
  <c r="C24" i="49"/>
  <c r="G24" i="49"/>
  <c r="C18" i="49"/>
  <c r="D18" i="49"/>
  <c r="E18" i="49"/>
  <c r="F18" i="49"/>
  <c r="C19" i="49"/>
  <c r="D19" i="49"/>
  <c r="G19" i="49"/>
  <c r="P23" i="49"/>
  <c r="P22" i="49"/>
  <c r="P21" i="49"/>
  <c r="P20" i="49"/>
  <c r="P17" i="49"/>
  <c r="P16" i="49"/>
  <c r="P15" i="49"/>
  <c r="P14" i="49"/>
  <c r="P37" i="49"/>
  <c r="P39" i="49"/>
  <c r="P38" i="49"/>
  <c r="P36" i="49"/>
  <c r="P45" i="49"/>
  <c r="P44" i="49"/>
  <c r="P43" i="49"/>
  <c r="E19" i="49" s="1"/>
  <c r="E24" i="49" s="1"/>
  <c r="E25" i="49" s="1"/>
  <c r="E34" i="49" s="1"/>
  <c r="O19" i="49"/>
  <c r="O20" i="49"/>
  <c r="O21" i="49"/>
  <c r="O22" i="49"/>
  <c r="O23" i="49"/>
  <c r="O44" i="49"/>
  <c r="O43" i="49"/>
  <c r="N43" i="49"/>
  <c r="M43" i="49"/>
  <c r="O42" i="49"/>
  <c r="N42" i="49"/>
  <c r="M42" i="49"/>
  <c r="L42" i="49"/>
  <c r="P42" i="49" s="1"/>
  <c r="F19" i="49" s="1"/>
  <c r="F24" i="49" s="1"/>
  <c r="F25" i="49" s="1"/>
  <c r="F34" i="49" s="1"/>
  <c r="O39" i="49"/>
  <c r="O38" i="49"/>
  <c r="N38" i="49"/>
  <c r="O37" i="49"/>
  <c r="N37" i="49"/>
  <c r="M37" i="49"/>
  <c r="O36" i="49"/>
  <c r="N36" i="49"/>
  <c r="M36" i="49"/>
  <c r="L36" i="49"/>
  <c r="O35" i="49"/>
  <c r="N35" i="49"/>
  <c r="M35" i="49"/>
  <c r="L35" i="49"/>
  <c r="K35" i="49"/>
  <c r="N31" i="49"/>
  <c r="N30" i="49"/>
  <c r="N29" i="49"/>
  <c r="M29" i="49"/>
  <c r="L29" i="49"/>
  <c r="F23" i="49"/>
  <c r="G23" i="49"/>
  <c r="D15" i="49"/>
  <c r="D23" i="49" s="1"/>
  <c r="E15" i="49"/>
  <c r="E23" i="49" s="1"/>
  <c r="F15" i="49"/>
  <c r="G15" i="49"/>
  <c r="C14" i="49"/>
  <c r="D14" i="49"/>
  <c r="E14" i="49"/>
  <c r="F14" i="49"/>
  <c r="G14" i="49"/>
  <c r="C15" i="49"/>
  <c r="C23" i="49" s="1"/>
  <c r="N22" i="49"/>
  <c r="N21" i="49"/>
  <c r="L19" i="49"/>
  <c r="M20" i="49"/>
  <c r="M21" i="49"/>
  <c r="N20" i="49"/>
  <c r="K19" i="49"/>
  <c r="N19" i="49"/>
  <c r="M19" i="49"/>
  <c r="O17" i="49"/>
  <c r="O16" i="49"/>
  <c r="N16" i="49"/>
  <c r="O15" i="49"/>
  <c r="N15" i="49"/>
  <c r="M15" i="49"/>
  <c r="O14" i="49"/>
  <c r="N14" i="49"/>
  <c r="M14" i="49"/>
  <c r="L14" i="49"/>
  <c r="O13" i="49"/>
  <c r="N13" i="49"/>
  <c r="M13" i="49"/>
  <c r="L13" i="49"/>
  <c r="K13" i="49"/>
  <c r="N9" i="49"/>
  <c r="N8" i="49"/>
  <c r="D34" i="49"/>
  <c r="E20" i="49"/>
  <c r="D20" i="49"/>
  <c r="C20" i="49"/>
  <c r="F20" i="49"/>
  <c r="E16" i="49"/>
  <c r="D16" i="49"/>
  <c r="C16" i="49"/>
  <c r="F16" i="49"/>
  <c r="O27" i="49"/>
  <c r="N27" i="49"/>
  <c r="M27" i="49"/>
  <c r="L27" i="49"/>
  <c r="O5" i="49"/>
  <c r="N5" i="49"/>
  <c r="M5" i="49"/>
  <c r="L5" i="49"/>
  <c r="C7" i="49"/>
  <c r="C12" i="49" s="1"/>
  <c r="D12" i="49"/>
  <c r="D7" i="49"/>
  <c r="E7" i="49"/>
  <c r="E12" i="49" s="1"/>
  <c r="F12" i="49"/>
  <c r="F22" i="49" s="1"/>
  <c r="F7" i="49"/>
  <c r="D4" i="37" l="1"/>
  <c r="K8" i="37"/>
  <c r="AB3" i="28" s="1"/>
  <c r="C6" i="57"/>
  <c r="C7" i="57" s="1"/>
  <c r="F8" i="57" s="1"/>
  <c r="D9" i="37"/>
  <c r="D11" i="37" s="1"/>
  <c r="D12" i="37" s="1"/>
  <c r="D13" i="37" s="1"/>
  <c r="C6" i="37"/>
  <c r="I6" i="68"/>
  <c r="J5" i="68" s="1"/>
  <c r="C22" i="49"/>
  <c r="E22" i="49"/>
  <c r="D22" i="49"/>
  <c r="J15" i="35"/>
  <c r="J14" i="35"/>
  <c r="J13" i="35"/>
  <c r="C21" i="32"/>
  <c r="C18" i="32"/>
  <c r="C15" i="32"/>
  <c r="H26" i="32"/>
  <c r="F25" i="32"/>
  <c r="G22" i="32"/>
  <c r="H20" i="32"/>
  <c r="G20" i="32"/>
  <c r="F20" i="32"/>
  <c r="F18" i="32"/>
  <c r="G18" i="32"/>
  <c r="H18" i="32"/>
  <c r="H13" i="32"/>
  <c r="L41" i="49"/>
  <c r="J8" i="32"/>
  <c r="J5" i="32"/>
  <c r="O41" i="49"/>
  <c r="N41" i="49"/>
  <c r="M41" i="49"/>
  <c r="N7" i="49"/>
  <c r="M7" i="49"/>
  <c r="L7" i="49"/>
  <c r="G11" i="49"/>
  <c r="G10" i="49"/>
  <c r="G9" i="49"/>
  <c r="K27" i="49" s="1"/>
  <c r="G8" i="49"/>
  <c r="G6" i="49"/>
  <c r="G5" i="49"/>
  <c r="G4" i="49"/>
  <c r="G7" i="49" s="1"/>
  <c r="D6" i="37" l="1"/>
  <c r="D7" i="37" s="1"/>
  <c r="D8" i="37" s="1"/>
  <c r="C7" i="37"/>
  <c r="E6" i="37"/>
  <c r="D10" i="37"/>
  <c r="D5" i="37"/>
  <c r="E5" i="37" s="1"/>
  <c r="C19" i="37" s="1"/>
  <c r="P35" i="49"/>
  <c r="G18" i="49" s="1"/>
  <c r="G20" i="49"/>
  <c r="P41" i="49"/>
  <c r="H5" i="49"/>
  <c r="H10" i="49"/>
  <c r="H6" i="49"/>
  <c r="H11" i="49"/>
  <c r="H8" i="49"/>
  <c r="K5" i="49"/>
  <c r="G16" i="49" s="1"/>
  <c r="G12" i="49"/>
  <c r="H9" i="49"/>
  <c r="I8" i="23"/>
  <c r="I5" i="23"/>
  <c r="F10" i="68"/>
  <c r="C13" i="68"/>
  <c r="C8" i="37" l="1"/>
  <c r="E7" i="37"/>
  <c r="G22" i="49"/>
  <c r="C9" i="32"/>
  <c r="C10" i="32"/>
  <c r="H12" i="49"/>
  <c r="P13" i="49"/>
  <c r="H7" i="49"/>
  <c r="C6" i="68"/>
  <c r="Q23" i="67"/>
  <c r="Q6" i="67"/>
  <c r="Q7" i="67"/>
  <c r="Q8" i="67"/>
  <c r="Q9" i="67"/>
  <c r="Q10" i="67"/>
  <c r="Q12" i="67"/>
  <c r="Q13" i="67"/>
  <c r="Q14" i="67"/>
  <c r="Q15" i="67"/>
  <c r="Q16" i="67"/>
  <c r="Q19" i="67"/>
  <c r="Q20" i="67"/>
  <c r="Q21" i="67"/>
  <c r="Q22" i="67"/>
  <c r="C9" i="37" l="1"/>
  <c r="E8" i="37"/>
  <c r="O7" i="67"/>
  <c r="O8" i="67"/>
  <c r="O9" i="67"/>
  <c r="O10" i="67"/>
  <c r="O11" i="67"/>
  <c r="O12" i="67"/>
  <c r="O13" i="67"/>
  <c r="O14" i="67"/>
  <c r="O15" i="67"/>
  <c r="O16" i="67"/>
  <c r="O17" i="67"/>
  <c r="O18" i="67"/>
  <c r="O19" i="67"/>
  <c r="O20" i="67"/>
  <c r="O21" i="67"/>
  <c r="O22" i="67"/>
  <c r="O5" i="67"/>
  <c r="M6" i="67"/>
  <c r="M23" i="67" s="1"/>
  <c r="C7" i="68" s="1"/>
  <c r="C9" i="68" s="1"/>
  <c r="M7" i="67"/>
  <c r="M8" i="67"/>
  <c r="M9" i="67"/>
  <c r="M10" i="67"/>
  <c r="M11" i="67"/>
  <c r="M12" i="67"/>
  <c r="M13" i="67"/>
  <c r="M14" i="67"/>
  <c r="M15" i="67"/>
  <c r="M16" i="67"/>
  <c r="M17" i="67"/>
  <c r="M18" i="67"/>
  <c r="M19" i="67"/>
  <c r="M20" i="67"/>
  <c r="M21" i="67"/>
  <c r="M22" i="67"/>
  <c r="L7" i="67"/>
  <c r="L8" i="67"/>
  <c r="L9" i="67"/>
  <c r="L10" i="67"/>
  <c r="L11" i="67"/>
  <c r="L12" i="67"/>
  <c r="L13" i="67"/>
  <c r="L14" i="67"/>
  <c r="L15" i="67"/>
  <c r="L16" i="67"/>
  <c r="L17" i="67"/>
  <c r="L18" i="67"/>
  <c r="L19" i="67"/>
  <c r="L20" i="67"/>
  <c r="L21" i="67"/>
  <c r="L22" i="67"/>
  <c r="L5" i="67"/>
  <c r="K6" i="67"/>
  <c r="O6" i="67" s="1"/>
  <c r="O23" i="67" s="1"/>
  <c r="K7" i="67"/>
  <c r="K8" i="67"/>
  <c r="K9" i="67"/>
  <c r="K10" i="67"/>
  <c r="K11" i="67"/>
  <c r="K12" i="67"/>
  <c r="K13" i="67"/>
  <c r="K14" i="67"/>
  <c r="K15" i="67"/>
  <c r="K16" i="67"/>
  <c r="K17" i="67"/>
  <c r="K18" i="67"/>
  <c r="K19" i="67"/>
  <c r="K20" i="67"/>
  <c r="K21" i="67"/>
  <c r="K22" i="67"/>
  <c r="K5" i="67"/>
  <c r="I22" i="67"/>
  <c r="I21" i="67"/>
  <c r="I20" i="67"/>
  <c r="I19" i="67"/>
  <c r="I18" i="67"/>
  <c r="I17" i="67"/>
  <c r="I16" i="67"/>
  <c r="I15" i="67"/>
  <c r="I14" i="67"/>
  <c r="I13" i="67"/>
  <c r="I12" i="67"/>
  <c r="I11" i="67"/>
  <c r="I10" i="67"/>
  <c r="I9" i="67"/>
  <c r="I8" i="67"/>
  <c r="I7" i="67"/>
  <c r="I6" i="67"/>
  <c r="L6" i="67" s="1"/>
  <c r="L23" i="67" s="1"/>
  <c r="C10" i="68" s="1"/>
  <c r="I5" i="67"/>
  <c r="G22" i="67"/>
  <c r="G21" i="67"/>
  <c r="G20" i="67"/>
  <c r="G19" i="67"/>
  <c r="G18" i="67"/>
  <c r="G17" i="67"/>
  <c r="G16" i="67"/>
  <c r="G15" i="67"/>
  <c r="G14" i="67"/>
  <c r="G13" i="67"/>
  <c r="G12" i="67"/>
  <c r="G11" i="67"/>
  <c r="G10" i="67"/>
  <c r="G9" i="67"/>
  <c r="G8" i="67"/>
  <c r="G7" i="67"/>
  <c r="G5" i="67"/>
  <c r="D23" i="67"/>
  <c r="E17" i="24"/>
  <c r="E19" i="24"/>
  <c r="E18" i="24"/>
  <c r="E16" i="24"/>
  <c r="E15" i="24"/>
  <c r="E14" i="24"/>
  <c r="E13" i="24"/>
  <c r="E11" i="24"/>
  <c r="E12" i="24"/>
  <c r="C12" i="24"/>
  <c r="C11" i="68" l="1"/>
  <c r="C10" i="37"/>
  <c r="E9" i="37"/>
  <c r="E10" i="24"/>
  <c r="C11" i="37" l="1"/>
  <c r="E10" i="37"/>
  <c r="F13" i="32"/>
  <c r="G13" i="32"/>
  <c r="C12" i="37" l="1"/>
  <c r="E11" i="37"/>
  <c r="P19" i="49"/>
  <c r="G25" i="32"/>
  <c r="H25" i="32"/>
  <c r="G20" i="40"/>
  <c r="C13" i="37" l="1"/>
  <c r="E12" i="37"/>
  <c r="F22" i="32"/>
  <c r="H22" i="32"/>
  <c r="C14" i="37" l="1"/>
  <c r="E13" i="37"/>
  <c r="C13" i="32"/>
  <c r="C19" i="32" s="1"/>
  <c r="E14" i="37" l="1"/>
  <c r="C16" i="32"/>
  <c r="I6" i="39" l="1"/>
  <c r="I7" i="39"/>
  <c r="I8" i="39"/>
  <c r="I9" i="39"/>
  <c r="I10" i="39"/>
  <c r="I11" i="39"/>
  <c r="I12" i="39"/>
  <c r="I13" i="39"/>
  <c r="I14" i="39"/>
  <c r="I15" i="39"/>
  <c r="I16" i="39"/>
  <c r="I17" i="39"/>
  <c r="I18" i="39"/>
  <c r="I19" i="39"/>
  <c r="I20" i="39"/>
  <c r="I22" i="39"/>
  <c r="I5" i="39"/>
  <c r="J6" i="35"/>
  <c r="C6" i="32"/>
  <c r="G7" i="32"/>
  <c r="H7" i="32"/>
  <c r="I7" i="32"/>
  <c r="F7" i="32"/>
  <c r="C4" i="32"/>
  <c r="C3" i="32"/>
  <c r="C29" i="57" l="1"/>
  <c r="C5" i="32"/>
  <c r="C20" i="23" l="1"/>
  <c r="F7" i="23"/>
  <c r="G7" i="23"/>
  <c r="H7" i="23"/>
  <c r="I7" i="23"/>
  <c r="H4" i="68"/>
  <c r="J4" i="68" l="1"/>
  <c r="C4" i="68"/>
  <c r="C3" i="68"/>
  <c r="F6" i="68" l="1"/>
  <c r="J6" i="68"/>
  <c r="H6" i="68"/>
  <c r="F9" i="68"/>
  <c r="F12" i="68" l="1"/>
  <c r="C7" i="24" l="1"/>
  <c r="C12" i="23" l="1"/>
  <c r="H47" i="37"/>
  <c r="H46" i="37"/>
  <c r="H45" i="37"/>
  <c r="H39" i="37"/>
  <c r="H40" i="37"/>
  <c r="H41" i="37"/>
  <c r="H38" i="37"/>
  <c r="D6" i="57" l="1"/>
  <c r="E6" i="57"/>
  <c r="C5" i="57"/>
  <c r="F6" i="57" l="1"/>
  <c r="C5" i="24" l="1"/>
  <c r="H13" i="57" l="1"/>
  <c r="I13" i="57" l="1"/>
  <c r="C24" i="37"/>
  <c r="J13" i="57"/>
  <c r="C25" i="37"/>
  <c r="K13" i="57" l="1"/>
  <c r="C26" i="37"/>
  <c r="F7" i="57"/>
  <c r="E7" i="57"/>
  <c r="D7" i="57"/>
  <c r="B21" i="57"/>
  <c r="B22" i="57" s="1"/>
  <c r="B23" i="57" s="1"/>
  <c r="B24" i="57" s="1"/>
  <c r="B25" i="57" s="1"/>
  <c r="B26" i="57" s="1"/>
  <c r="B27" i="57" s="1"/>
  <c r="B28" i="57" s="1"/>
  <c r="B29" i="57" s="1"/>
  <c r="L13" i="57" l="1"/>
  <c r="C27" i="37"/>
  <c r="C7" i="32"/>
  <c r="M13" i="57" l="1"/>
  <c r="D29" i="57"/>
  <c r="C28" i="37"/>
  <c r="C8" i="32"/>
  <c r="C11" i="32" s="1"/>
  <c r="C23" i="32" s="1"/>
  <c r="C13" i="57" l="1"/>
  <c r="C14" i="57" l="1"/>
  <c r="C12" i="57"/>
  <c r="G12" i="57" l="1"/>
  <c r="B20" i="37"/>
  <c r="B21" i="37" s="1"/>
  <c r="B22" i="37" s="1"/>
  <c r="B23" i="37" s="1"/>
  <c r="B24" i="37" s="1"/>
  <c r="B25" i="37" s="1"/>
  <c r="B26" i="37" s="1"/>
  <c r="B27" i="37" s="1"/>
  <c r="B28" i="37" s="1"/>
  <c r="B6" i="37"/>
  <c r="B7" i="37" s="1"/>
  <c r="B8" i="37" s="1"/>
  <c r="B9" i="37" s="1"/>
  <c r="B10" i="37" s="1"/>
  <c r="B11" i="37" s="1"/>
  <c r="B12" i="37" s="1"/>
  <c r="B13" i="37" s="1"/>
  <c r="B14" i="37" s="1"/>
  <c r="I12" i="57" l="1"/>
  <c r="J12" i="57" s="1"/>
  <c r="H12" i="57"/>
  <c r="E12" i="57"/>
  <c r="F11" i="35"/>
  <c r="B5" i="35"/>
  <c r="B4" i="35"/>
  <c r="F12" i="57" l="1"/>
  <c r="D12" i="57"/>
  <c r="F10" i="35"/>
  <c r="J8" i="35"/>
  <c r="I5" i="35"/>
  <c r="G11" i="35" l="1"/>
  <c r="B6" i="4"/>
  <c r="B7" i="4" s="1"/>
  <c r="B8" i="4" s="1"/>
  <c r="B9" i="4" s="1"/>
  <c r="B10" i="4" s="1"/>
  <c r="B11" i="4" s="1"/>
  <c r="B12" i="4" s="1"/>
  <c r="B13" i="4" s="1"/>
  <c r="B14" i="4" s="1"/>
  <c r="B15" i="4" s="1"/>
  <c r="B16" i="4" s="1"/>
  <c r="B17" i="4" s="1"/>
  <c r="B18" i="4" s="1"/>
  <c r="B19" i="4" s="1"/>
  <c r="B20" i="4" s="1"/>
  <c r="G12" i="40" l="1"/>
  <c r="G4" i="40"/>
  <c r="C5" i="23"/>
  <c r="C15" i="23" l="1"/>
  <c r="G10" i="40"/>
  <c r="G15" i="40" s="1"/>
  <c r="C21" i="23" l="1"/>
  <c r="F11" i="68"/>
  <c r="G18" i="37"/>
  <c r="F14" i="68" l="1"/>
  <c r="C14" i="68" l="1"/>
  <c r="C20" i="48" l="1"/>
  <c r="C15" i="68"/>
  <c r="N3" i="28" s="1"/>
  <c r="C22" i="23"/>
  <c r="C17" i="68" l="1"/>
  <c r="G6" i="40"/>
  <c r="C26" i="23"/>
  <c r="C25" i="23"/>
  <c r="C7" i="23" l="1"/>
  <c r="U3" i="28"/>
  <c r="G10" i="35"/>
  <c r="J5" i="35"/>
  <c r="J7" i="35" s="1"/>
  <c r="J9" i="35" s="1"/>
  <c r="G4" i="37"/>
  <c r="C4" i="39"/>
  <c r="C7" i="39"/>
  <c r="C9" i="39" s="1"/>
  <c r="H4" i="37" l="1"/>
  <c r="H18" i="37" s="1"/>
  <c r="F4" i="37"/>
  <c r="G12" i="35"/>
  <c r="G14" i="35" s="1"/>
  <c r="C4" i="35" s="1"/>
  <c r="F18" i="37" s="1"/>
  <c r="C19" i="57"/>
  <c r="G19" i="57" s="1"/>
  <c r="J11" i="35" l="1"/>
  <c r="J17" i="35" s="1"/>
  <c r="C5" i="35" s="1"/>
  <c r="C3" i="39"/>
  <c r="C5" i="39" s="1"/>
  <c r="C11" i="39" s="1"/>
  <c r="C24" i="57"/>
  <c r="C22" i="57" s="1"/>
  <c r="D19" i="57"/>
  <c r="C27" i="57" l="1"/>
  <c r="D27" i="57" s="1"/>
  <c r="D24" i="57"/>
  <c r="C20" i="57"/>
  <c r="C23" i="57"/>
  <c r="C25" i="57" l="1"/>
  <c r="C26" i="57" s="1"/>
  <c r="D26" i="57" s="1"/>
  <c r="C28" i="57"/>
  <c r="D28" i="57" s="1"/>
  <c r="C21" i="57"/>
  <c r="E24" i="37"/>
  <c r="E25" i="37"/>
  <c r="E26" i="37"/>
  <c r="E27" i="37"/>
  <c r="E28" i="37"/>
  <c r="H14" i="57"/>
  <c r="E24" i="57" s="1"/>
  <c r="I14" i="57"/>
  <c r="E25" i="57" s="1"/>
  <c r="K14" i="57"/>
  <c r="E27" i="57" s="1"/>
  <c r="L14" i="57"/>
  <c r="E28" i="57" s="1"/>
  <c r="M14" i="57"/>
  <c r="E29" i="57" s="1"/>
  <c r="J14" i="57"/>
  <c r="E26" i="57" s="1"/>
  <c r="D25" i="57" l="1"/>
  <c r="F25" i="57" s="1"/>
  <c r="F26" i="57"/>
  <c r="F27" i="57"/>
  <c r="F24" i="57"/>
  <c r="G24" i="57" s="1"/>
  <c r="F9" i="37" s="1"/>
  <c r="F28" i="57"/>
  <c r="F29" i="57"/>
  <c r="G29" i="57" s="1"/>
  <c r="G14" i="37" l="1"/>
  <c r="G28" i="57"/>
  <c r="F13" i="37" s="1"/>
  <c r="G25" i="57"/>
  <c r="F10" i="37" s="1"/>
  <c r="G27" i="57"/>
  <c r="F12" i="37" s="1"/>
  <c r="G26" i="57"/>
  <c r="F11" i="37" s="1"/>
  <c r="G9" i="37" l="1"/>
  <c r="G10" i="37" l="1"/>
  <c r="G13" i="37"/>
  <c r="G11" i="37"/>
  <c r="G12" i="37"/>
  <c r="E19" i="37" l="1"/>
  <c r="G19" i="37" s="1"/>
  <c r="C20" i="37"/>
  <c r="E20" i="37" s="1"/>
  <c r="C21" i="37"/>
  <c r="E21" i="37" s="1"/>
  <c r="C22" i="37"/>
  <c r="E22" i="37" s="1"/>
  <c r="C23" i="37"/>
  <c r="E23" i="37" s="1"/>
  <c r="D13" i="57"/>
  <c r="D14" i="57" s="1"/>
  <c r="E20" i="57" s="1"/>
  <c r="E13" i="57"/>
  <c r="E14" i="57" s="1"/>
  <c r="E21" i="57" s="1"/>
  <c r="F13" i="57"/>
  <c r="F14" i="57" s="1"/>
  <c r="E22" i="57" s="1"/>
  <c r="G13" i="57"/>
  <c r="G14" i="57"/>
  <c r="E23" i="57" s="1"/>
  <c r="D20" i="57"/>
  <c r="D21" i="57"/>
  <c r="D22" i="57"/>
  <c r="D23" i="57"/>
  <c r="F22" i="57" l="1"/>
  <c r="G22" i="57" s="1"/>
  <c r="F7" i="37" s="1"/>
  <c r="F23" i="57"/>
  <c r="G23" i="57" s="1"/>
  <c r="F8" i="37" s="1"/>
  <c r="F21" i="57"/>
  <c r="G21" i="57" s="1"/>
  <c r="F6" i="37" s="1"/>
  <c r="G20" i="37"/>
  <c r="G21" i="37" s="1"/>
  <c r="G22" i="37" s="1"/>
  <c r="G23" i="37" s="1"/>
  <c r="F20" i="57"/>
  <c r="G20" i="57" s="1"/>
  <c r="F5" i="37" s="1"/>
  <c r="G6" i="37" l="1"/>
  <c r="G8" i="37"/>
  <c r="G5" i="37"/>
  <c r="G7" i="37"/>
  <c r="G24" i="37"/>
  <c r="G25" i="37" l="1"/>
  <c r="G26" i="37" l="1"/>
  <c r="G27" i="37" l="1"/>
  <c r="G28" i="37" l="1"/>
  <c r="C6" i="23"/>
  <c r="C8" i="23"/>
  <c r="C19" i="23"/>
  <c r="C28" i="23"/>
  <c r="W3" i="28"/>
  <c r="C6" i="48"/>
  <c r="D6" i="48"/>
  <c r="E6" i="48"/>
  <c r="F6" i="48"/>
  <c r="G6" i="48"/>
  <c r="H6" i="48"/>
  <c r="I6" i="48"/>
  <c r="J6" i="48"/>
  <c r="K6" i="48"/>
  <c r="L6" i="48"/>
  <c r="C7" i="48"/>
  <c r="D7" i="48"/>
  <c r="E7" i="48"/>
  <c r="F7" i="48"/>
  <c r="G7" i="48"/>
  <c r="H7" i="48"/>
  <c r="I7" i="48"/>
  <c r="J7" i="48"/>
  <c r="K7" i="48"/>
  <c r="L7" i="48"/>
  <c r="C8" i="48"/>
  <c r="D8" i="48"/>
  <c r="E8" i="48"/>
  <c r="F8" i="48"/>
  <c r="G8" i="48"/>
  <c r="H8" i="48"/>
  <c r="I8" i="48"/>
  <c r="J8" i="48"/>
  <c r="K8" i="48"/>
  <c r="L8" i="48"/>
  <c r="C12" i="48"/>
  <c r="C13" i="48"/>
  <c r="C14" i="48"/>
  <c r="C15" i="48"/>
  <c r="C19" i="48"/>
  <c r="C21" i="48"/>
  <c r="C23" i="48"/>
  <c r="C25" i="48"/>
  <c r="K3" i="37"/>
  <c r="H5" i="37"/>
  <c r="H6" i="37"/>
  <c r="H7" i="37"/>
  <c r="H8" i="37"/>
  <c r="H9" i="37"/>
  <c r="H10" i="37"/>
  <c r="H11" i="37"/>
  <c r="H12" i="37"/>
  <c r="H13" i="37"/>
  <c r="H14" i="37"/>
  <c r="F19" i="37"/>
  <c r="H19" i="37"/>
  <c r="F20" i="37"/>
  <c r="H20" i="37"/>
  <c r="F21" i="37"/>
  <c r="H21" i="37"/>
  <c r="F22" i="37"/>
  <c r="H22" i="37"/>
  <c r="F23" i="37"/>
  <c r="H23" i="37"/>
  <c r="F24" i="37"/>
  <c r="H24" i="37"/>
  <c r="F25" i="37"/>
  <c r="H25" i="37"/>
  <c r="F26" i="37"/>
  <c r="H26" i="37"/>
  <c r="F27" i="37"/>
  <c r="H27" i="37"/>
  <c r="F28" i="37"/>
  <c r="H28" i="37"/>
  <c r="D10" i="24"/>
  <c r="D11" i="24"/>
  <c r="C13" i="24"/>
  <c r="C14" i="24"/>
  <c r="C15" i="24"/>
  <c r="C16" i="24"/>
  <c r="C17" i="24"/>
  <c r="C18" i="24"/>
  <c r="C19" i="24"/>
  <c r="C20" i="24"/>
  <c r="D20" i="24"/>
  <c r="E20" i="24"/>
  <c r="F20" i="24"/>
  <c r="G20" i="24"/>
  <c r="F21" i="24"/>
  <c r="C4" i="40"/>
  <c r="C5" i="40"/>
  <c r="G5" i="40"/>
  <c r="C8" i="40"/>
  <c r="G8" i="40"/>
  <c r="C9" i="40"/>
  <c r="C11" i="40"/>
  <c r="C13" i="40"/>
  <c r="G21" i="40"/>
</calcChain>
</file>

<file path=xl/sharedStrings.xml><?xml version="1.0" encoding="utf-8"?>
<sst xmlns="http://schemas.openxmlformats.org/spreadsheetml/2006/main" count="593" uniqueCount="412">
  <si>
    <t xml:space="preserve">#                </t>
  </si>
  <si>
    <t>Worksheet</t>
  </si>
  <si>
    <t>D&amp;A</t>
  </si>
  <si>
    <t>EBIT</t>
  </si>
  <si>
    <t>Revenues</t>
  </si>
  <si>
    <t>WACC</t>
  </si>
  <si>
    <t>Cost of Capital</t>
  </si>
  <si>
    <t>Cost of Equity</t>
  </si>
  <si>
    <t>Cost of Debt</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</si>
  <si>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</si>
  <si>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</si>
  <si>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</si>
  <si>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</si>
  <si>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</si>
  <si>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</si>
  <si>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</si>
  <si>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</si>
  <si>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</si>
  <si>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</si>
  <si>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</si>
  <si>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</si>
  <si>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</si>
  <si>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</si>
  <si>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</si>
  <si>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</si>
  <si>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</si>
  <si>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</si>
  <si>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</si>
  <si>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</si>
  <si>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</si>
  <si>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</si>
  <si>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</si>
  <si>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</si>
  <si>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</si>
  <si>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</si>
  <si>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</si>
  <si>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</si>
  <si>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Risk Free Rate - Rf</t>
  </si>
  <si>
    <t>Lambda (λ)</t>
  </si>
  <si>
    <t>US Risk Free Rate - Rf</t>
  </si>
  <si>
    <t>Pre-Tax Cost of Debt</t>
  </si>
  <si>
    <t>Market Value of Debt</t>
  </si>
  <si>
    <t>Number of Shares Outstanding</t>
  </si>
  <si>
    <t>Market Capitalization</t>
  </si>
  <si>
    <t>Cash Flows</t>
  </si>
  <si>
    <t>Valuation Index</t>
  </si>
  <si>
    <t>+</t>
  </si>
  <si>
    <t>Adjusted EBIT</t>
  </si>
  <si>
    <t>Net CapEx</t>
  </si>
  <si>
    <t>Capital Expenditures (CapEx)</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</si>
  <si>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</si>
  <si>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</si>
  <si>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</si>
  <si>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</si>
  <si>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</si>
  <si>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</si>
  <si>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</si>
  <si>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</si>
  <si>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</si>
  <si>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</si>
  <si>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</si>
  <si>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</si>
  <si>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</si>
  <si>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</si>
  <si>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</si>
  <si>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</si>
  <si>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</si>
  <si>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</si>
  <si>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</si>
  <si>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</si>
  <si>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Non Cash Current Assets</t>
  </si>
  <si>
    <t>Non Debt Current Liabilities</t>
  </si>
  <si>
    <t>Average WC as % of revenues</t>
  </si>
  <si>
    <t>Non Cash Working Capital (2021)</t>
  </si>
  <si>
    <t>Revenues (2021)</t>
  </si>
  <si>
    <t>Adj Change in Non Cash WC</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</si>
  <si>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</si>
  <si>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</si>
  <si>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</si>
  <si>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</si>
  <si>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</si>
  <si>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</si>
  <si>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</si>
  <si>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</si>
  <si>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</si>
  <si>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</si>
  <si>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</si>
  <si>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</si>
  <si>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</si>
  <si>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</si>
  <si>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Growth Rate in perpetuity</t>
  </si>
  <si>
    <t>ROIC in perpetuity</t>
  </si>
  <si>
    <t>EBIT (11th Year)</t>
  </si>
  <si>
    <t>Marginal Tax Rate (%)</t>
  </si>
  <si>
    <t>Mature Company Cost of Capital Estimation</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</si>
  <si>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</si>
  <si>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</si>
  <si>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</si>
  <si>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</si>
  <si>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</si>
  <si>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</si>
  <si>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</si>
  <si>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</si>
  <si>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</si>
  <si>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</si>
  <si>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</si>
  <si>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</si>
  <si>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</si>
  <si>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</si>
  <si>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</si>
  <si>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</si>
  <si>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</si>
  <si>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</si>
  <si>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</si>
  <si>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</si>
  <si>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</si>
  <si>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</si>
  <si>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</si>
  <si>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Value of Common Stock</t>
  </si>
  <si>
    <t>Fair Value of Share</t>
  </si>
  <si>
    <t>Road to Fair Value of Share</t>
  </si>
  <si>
    <t xml:space="preserve">Current </t>
  </si>
  <si>
    <t>Advertising Expense</t>
  </si>
  <si>
    <t>N/A</t>
  </si>
  <si>
    <t>EBIT * (1 - Tax)</t>
  </si>
  <si>
    <t>EBIT*(1-Tax)</t>
  </si>
  <si>
    <t>OPM %</t>
  </si>
  <si>
    <t>Mature Risk Premium</t>
  </si>
  <si>
    <t>Total Cash &amp; Cash Equivalents</t>
  </si>
  <si>
    <t>ERP</t>
  </si>
  <si>
    <t>Companies</t>
  </si>
  <si>
    <t>Unlevered Beta</t>
  </si>
  <si>
    <t>Amortization</t>
  </si>
  <si>
    <t>Median WC as % of Revenues</t>
  </si>
  <si>
    <t>Adj OPM</t>
  </si>
  <si>
    <t>Adj OpEx</t>
  </si>
  <si>
    <t>Exp. Options</t>
  </si>
  <si>
    <t>OpEx</t>
  </si>
  <si>
    <t>OPM</t>
  </si>
  <si>
    <t>Adjusting Operating Margin with Expected Value of Options</t>
  </si>
  <si>
    <t>Options Value</t>
  </si>
  <si>
    <t>Options as a % Revenues</t>
  </si>
  <si>
    <t>Forecasting Future Option Value (Treating as OpEx)</t>
  </si>
  <si>
    <t>Estimating average option value as a % of revenues</t>
  </si>
  <si>
    <t>Future Value of Equity Options</t>
  </si>
  <si>
    <t>CRP</t>
  </si>
  <si>
    <t>Interest</t>
  </si>
  <si>
    <t>ICR (%)</t>
  </si>
  <si>
    <t>Average ICR (%)</t>
  </si>
  <si>
    <t>(in millions)</t>
  </si>
  <si>
    <t>Market Share</t>
  </si>
  <si>
    <t>Gross Industry</t>
  </si>
  <si>
    <t>Carvana</t>
  </si>
  <si>
    <t>USA Credit Rating</t>
  </si>
  <si>
    <t>%</t>
  </si>
  <si>
    <t>Maturity</t>
  </si>
  <si>
    <t>Years</t>
  </si>
  <si>
    <t>Effective Tax Rate (%)</t>
  </si>
  <si>
    <t>USA Default Spread</t>
  </si>
  <si>
    <t>Based on Debt Equity Ratio (Industry Median)</t>
  </si>
  <si>
    <t>Median Option as a % of revenues</t>
  </si>
  <si>
    <t>Total Debt</t>
  </si>
  <si>
    <t>Vehicle Type</t>
  </si>
  <si>
    <t>Car</t>
  </si>
  <si>
    <t>SUV</t>
  </si>
  <si>
    <t>Pickup Truck</t>
  </si>
  <si>
    <t>Minivan</t>
  </si>
  <si>
    <t>Carmax</t>
  </si>
  <si>
    <t>Vroom</t>
  </si>
  <si>
    <t>Average</t>
  </si>
  <si>
    <t>How Much Car Buying Sites Pay for Different Vehicles?</t>
  </si>
  <si>
    <t>Vehicle Year</t>
  </si>
  <si>
    <t>2001-2009</t>
  </si>
  <si>
    <t>2010-2015</t>
  </si>
  <si>
    <t>2016-2022</t>
  </si>
  <si>
    <t>How Much Car Buying Sites Pay for Vehicles of Different Ages?</t>
  </si>
  <si>
    <t>USA 10-Year Gov. Bond Yield</t>
  </si>
  <si>
    <t>US$ Risk Free Rate</t>
  </si>
  <si>
    <t>United States</t>
  </si>
  <si>
    <t>Risk Free Rate &amp; Equity Risk Premium</t>
  </si>
  <si>
    <t>Corporate Governance</t>
  </si>
  <si>
    <t>Director</t>
  </si>
  <si>
    <t>Name</t>
  </si>
  <si>
    <t>Designation</t>
  </si>
  <si>
    <t>Management</t>
  </si>
  <si>
    <t>Board of Directors</t>
  </si>
  <si>
    <t>*</t>
  </si>
  <si>
    <t>Audit</t>
  </si>
  <si>
    <t>Board</t>
  </si>
  <si>
    <t>Shareholder Rights</t>
  </si>
  <si>
    <t>Compensation</t>
  </si>
  <si>
    <t>Levered Beta</t>
  </si>
  <si>
    <t>Firm Value</t>
  </si>
  <si>
    <t>Cash</t>
  </si>
  <si>
    <t>EV</t>
  </si>
  <si>
    <t>Cash/Firm Value</t>
  </si>
  <si>
    <t>Gross D/E</t>
  </si>
  <si>
    <t>Sales</t>
  </si>
  <si>
    <t>Beta Calculation Data</t>
  </si>
  <si>
    <t>Market Price</t>
  </si>
  <si>
    <t>Total debt (m)</t>
  </si>
  <si>
    <t>Market Cap (m)</t>
  </si>
  <si>
    <t>Shares Out. (m)</t>
  </si>
  <si>
    <t>Median Beta</t>
  </si>
  <si>
    <t>Median D/E</t>
  </si>
  <si>
    <t>Median Cash/FV</t>
  </si>
  <si>
    <t>Convertible Notes</t>
  </si>
  <si>
    <t>Interest Rate %</t>
  </si>
  <si>
    <t>Value ($m)</t>
  </si>
  <si>
    <t>"Synthetic" Mesa Labs Risk Premium</t>
  </si>
  <si>
    <t>Risk Free Rate (US$)</t>
  </si>
  <si>
    <t>Maturity (Yrs)</t>
  </si>
  <si>
    <t>MV of Debt</t>
  </si>
  <si>
    <t>Debt to Equity</t>
  </si>
  <si>
    <t>Pre Tax Cost of Debt</t>
  </si>
  <si>
    <t>% Equity</t>
  </si>
  <si>
    <t>% Debt</t>
  </si>
  <si>
    <t>Marginal Tax Rate %</t>
  </si>
  <si>
    <t>Market Value of Debt ($m)</t>
  </si>
  <si>
    <t>Market Value of Equity ($m)</t>
  </si>
  <si>
    <t>Cost of Equity, Debt &amp; WACC</t>
  </si>
  <si>
    <t>Risk Free Rate &amp; ERP</t>
  </si>
  <si>
    <t>Bottom Up Beta</t>
  </si>
  <si>
    <t>AAA</t>
  </si>
  <si>
    <t>Gross Profit</t>
  </si>
  <si>
    <t>Value of R&amp;D Asset</t>
  </si>
  <si>
    <t>R&amp;D Expense (Current)</t>
  </si>
  <si>
    <t>Amortization: R&amp;D Expense</t>
  </si>
  <si>
    <t>Capital Expenditure (CapEx)</t>
  </si>
  <si>
    <t>Depreciation</t>
  </si>
  <si>
    <t>% Depn</t>
  </si>
  <si>
    <t>Acquisitions</t>
  </si>
  <si>
    <t>R&amp;D Expense (Current Year)</t>
  </si>
  <si>
    <t>Amortization Asset: R&amp;D Expense</t>
  </si>
  <si>
    <t>Invested Cap</t>
  </si>
  <si>
    <t>Industry's Sales to Capital</t>
  </si>
  <si>
    <t>Industry's OPM %</t>
  </si>
  <si>
    <t>Industry Debt to Equity</t>
  </si>
  <si>
    <t>25th Percentile of Industry</t>
  </si>
  <si>
    <t>Capitalizing R&amp;D Expense as Asset</t>
  </si>
  <si>
    <t>Accounting Adjustments</t>
  </si>
  <si>
    <t>Normalization of Capital Expenditure</t>
  </si>
  <si>
    <t>Chg. in Non Cash Working Capital</t>
  </si>
  <si>
    <t>Spread (%)</t>
  </si>
  <si>
    <t>Airbnb</t>
  </si>
  <si>
    <t>Sector of Airbnb</t>
  </si>
  <si>
    <t>Industry of Airbnb</t>
  </si>
  <si>
    <t>Consumer Cyclical</t>
  </si>
  <si>
    <t>Travel Services</t>
  </si>
  <si>
    <t>Mr. Brian Chesky</t>
  </si>
  <si>
    <t>CEO &amp; Chairman</t>
  </si>
  <si>
    <t>Ms. Angela Ahrendts</t>
  </si>
  <si>
    <t>Ms. Amrita Ahuja</t>
  </si>
  <si>
    <t>Mr. Nathan Blecharczyk</t>
  </si>
  <si>
    <t>Co-founder and CSO</t>
  </si>
  <si>
    <t>Mr. Kenneth Chenault</t>
  </si>
  <si>
    <t>Mr. Joe Gebbia</t>
  </si>
  <si>
    <t>Co-founder</t>
  </si>
  <si>
    <t>Ms. Belinda Johnson</t>
  </si>
  <si>
    <t>Mr. Jeffrey Jordan</t>
  </si>
  <si>
    <t>Mr. Alfred Lin</t>
  </si>
  <si>
    <t>Mr. Hiroki Asai</t>
  </si>
  <si>
    <t>Global Head of Marketing</t>
  </si>
  <si>
    <t>Mr. Rich Baer</t>
  </si>
  <si>
    <t>Chief Legal Officer</t>
  </si>
  <si>
    <t>Mr. Ari Balogh</t>
  </si>
  <si>
    <t>Chief Technology Officer</t>
  </si>
  <si>
    <t>Ms. Tara Bunch</t>
  </si>
  <si>
    <t>Global Head of Operations</t>
  </si>
  <si>
    <t>Mr. Jay Carney</t>
  </si>
  <si>
    <t>Global Head of Policy</t>
  </si>
  <si>
    <t>Ms. Catherine Powell</t>
  </si>
  <si>
    <t>Global Head of Hosting</t>
  </si>
  <si>
    <t>Mr. Dave Stephenson</t>
  </si>
  <si>
    <t>Chief Financial Officer</t>
  </si>
  <si>
    <t>France</t>
  </si>
  <si>
    <t>Airbnb Equity Risk Premium</t>
  </si>
  <si>
    <t>China</t>
  </si>
  <si>
    <t>Italy</t>
  </si>
  <si>
    <t>Brazil</t>
  </si>
  <si>
    <t>UK</t>
  </si>
  <si>
    <t>Spain</t>
  </si>
  <si>
    <t>Mexico</t>
  </si>
  <si>
    <t>Germany</t>
  </si>
  <si>
    <t>Canada</t>
  </si>
  <si>
    <t>Booking.com</t>
  </si>
  <si>
    <t>BKNG</t>
  </si>
  <si>
    <t>EXPE</t>
  </si>
  <si>
    <t>Expedia Group, Inc.</t>
  </si>
  <si>
    <t>TRIP</t>
  </si>
  <si>
    <t>Tripadvisor, Inc.</t>
  </si>
  <si>
    <t>Trip.com Group Limited</t>
  </si>
  <si>
    <t>TCOM</t>
  </si>
  <si>
    <t>Vacasa, Inc.</t>
  </si>
  <si>
    <t>VCSA</t>
  </si>
  <si>
    <t>HTG.DE</t>
  </si>
  <si>
    <t>HomeToGo SE</t>
  </si>
  <si>
    <t>CCL</t>
  </si>
  <si>
    <t>Carnival Corporation &amp; plc</t>
  </si>
  <si>
    <t>CUK</t>
  </si>
  <si>
    <t>DESP</t>
  </si>
  <si>
    <t>Despegar.com, Corp.</t>
  </si>
  <si>
    <t>LIND</t>
  </si>
  <si>
    <t>MMYT</t>
  </si>
  <si>
    <t>MakeMyTrip Limited</t>
  </si>
  <si>
    <t>MOND</t>
  </si>
  <si>
    <t>Mondee Holdings, Inc.</t>
  </si>
  <si>
    <t>NCLH</t>
  </si>
  <si>
    <t>RCL</t>
  </si>
  <si>
    <t>TNL</t>
  </si>
  <si>
    <t>Travel + Leisure Co.</t>
  </si>
  <si>
    <t>TOUR</t>
  </si>
  <si>
    <t>Tuniu Corporation</t>
  </si>
  <si>
    <t>TZOO</t>
  </si>
  <si>
    <t>Travelzoo</t>
  </si>
  <si>
    <t>YTRA</t>
  </si>
  <si>
    <t>Yatra Online, Inc.</t>
  </si>
  <si>
    <t>Lindblad Expeditions</t>
  </si>
  <si>
    <t>Norwegian Cruise Line</t>
  </si>
  <si>
    <t>Royal Caribbean</t>
  </si>
  <si>
    <t>Industry: Travel Services</t>
  </si>
  <si>
    <t>Ad Exp</t>
  </si>
  <si>
    <t>ROAS</t>
  </si>
  <si>
    <t>Adj. Unlevered Beta (Airbnb)</t>
  </si>
  <si>
    <t>Interest Expense</t>
  </si>
  <si>
    <t>Book Value of Debt</t>
  </si>
  <si>
    <t>Cost of Debt %</t>
  </si>
  <si>
    <t>Levered Beta (Airbnb)</t>
  </si>
  <si>
    <t>Beta (Airbnb)</t>
  </si>
  <si>
    <t>Company Risk Premium</t>
  </si>
  <si>
    <t>Current Synthetic Rating</t>
  </si>
  <si>
    <t>Value of Ad Asset</t>
  </si>
  <si>
    <t>Capitalizing Ad Expense as Asset</t>
  </si>
  <si>
    <t>EBIT &amp; R&amp;D &amp; Ad</t>
  </si>
  <si>
    <t>Amortization: Ad Expense</t>
  </si>
  <si>
    <t>Ad Expense (Current)</t>
  </si>
  <si>
    <t>Ad Expense (Current Year)</t>
  </si>
  <si>
    <t>Amortization Asset: Ad Expense</t>
  </si>
  <si>
    <t>Adj Net Capital Expenditures</t>
  </si>
  <si>
    <t>Prepaids and other current assets</t>
  </si>
  <si>
    <t>Accrued expenses and other CL</t>
  </si>
  <si>
    <t>Funds payable</t>
  </si>
  <si>
    <t>Unearned fees</t>
  </si>
  <si>
    <t>Revenues (2020)</t>
  </si>
  <si>
    <t>Non Cash Working Capital (2020)</t>
  </si>
  <si>
    <t>2022H3</t>
  </si>
  <si>
    <t>TTM</t>
  </si>
  <si>
    <t>EBIT Margin %</t>
  </si>
  <si>
    <t>Amortization (2021 weights)</t>
  </si>
  <si>
    <t>Amortization (2020 weights)</t>
  </si>
  <si>
    <t>Amortization (2019 weights)</t>
  </si>
  <si>
    <t>Amortization (2018 weights)</t>
  </si>
  <si>
    <t>Amortization (TTM weights)</t>
  </si>
  <si>
    <t>Amortized Value (TTM)</t>
  </si>
  <si>
    <t>Amortized Value (2021)</t>
  </si>
  <si>
    <t>Amortized Value (2020)</t>
  </si>
  <si>
    <t>Amortized Value (2019)</t>
  </si>
  <si>
    <t>Amortized Value (2018)</t>
  </si>
  <si>
    <t>Amortization (TTM)</t>
  </si>
  <si>
    <t>Amortization (2021)</t>
  </si>
  <si>
    <t>Amortization (2020)</t>
  </si>
  <si>
    <t>Amortization (2019)</t>
  </si>
  <si>
    <t>Amortization (2018)</t>
  </si>
  <si>
    <t>Provision for Taxes</t>
  </si>
  <si>
    <t>After Tax EBIT</t>
  </si>
  <si>
    <t>Book Value of Equity</t>
  </si>
  <si>
    <t>Operating Lease Lia</t>
  </si>
  <si>
    <t>Cash and Cash Eq.</t>
  </si>
  <si>
    <t>Return on Capital %</t>
  </si>
  <si>
    <t>Median EBIT Margin %</t>
  </si>
  <si>
    <t>Normalized EBIT</t>
  </si>
  <si>
    <t>At 90th %ile</t>
  </si>
  <si>
    <t>At 75th %ile</t>
  </si>
  <si>
    <t>At 50th %ile</t>
  </si>
  <si>
    <t>At 25th %ile</t>
  </si>
  <si>
    <t>Vacation Rental %</t>
  </si>
  <si>
    <t>ARPU (Per User)</t>
  </si>
  <si>
    <t>Marginal Tax %</t>
  </si>
  <si>
    <t>Interest Coverage Ratio will be above 8.5</t>
  </si>
  <si>
    <t>Marketable securities</t>
  </si>
  <si>
    <t>Restricted Cash</t>
  </si>
  <si>
    <t>Revenue (TTM)</t>
  </si>
  <si>
    <t>Market Cap</t>
  </si>
  <si>
    <t>EBIT (TTM)</t>
  </si>
  <si>
    <t>Revenue Growth %</t>
  </si>
  <si>
    <t>Beta</t>
  </si>
  <si>
    <t>WACC %</t>
  </si>
  <si>
    <t>CG Score</t>
  </si>
  <si>
    <t>Airbnb ARPU</t>
  </si>
  <si>
    <t>ARPU</t>
  </si>
  <si>
    <t>Revenue From Operations</t>
  </si>
  <si>
    <t>Support</t>
  </si>
  <si>
    <t>R&amp;D</t>
  </si>
  <si>
    <t>Ads</t>
  </si>
  <si>
    <t>G&amp;A</t>
  </si>
  <si>
    <t>Restruct.</t>
  </si>
  <si>
    <t>COGS</t>
  </si>
  <si>
    <t>Operating Profit Waterfall</t>
  </si>
  <si>
    <t>Shareholding Pattern</t>
  </si>
  <si>
    <t>Ownership</t>
  </si>
  <si>
    <t>Institutional</t>
  </si>
  <si>
    <t>Insider</t>
  </si>
  <si>
    <t>Retail</t>
  </si>
  <si>
    <t>CAGR Revenues</t>
  </si>
  <si>
    <t>Revenue - Geography</t>
  </si>
  <si>
    <t>Key Ratios</t>
  </si>
  <si>
    <t>Industry</t>
  </si>
  <si>
    <t>NASD</t>
  </si>
  <si>
    <t>ABNB</t>
  </si>
  <si>
    <t>Stock Information</t>
  </si>
  <si>
    <t>Stock Price Data</t>
  </si>
  <si>
    <t>Ticker (NASD)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</si>
</sst>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0.000"/>
    <numFmt numFmtId="185" formatCode="&quot;$&quot;#,##0.00"/>
    <numFmt numFmtId="186" formatCode="&quot;$&quot;#,##0"/>
    <numFmt numFmtId="187" formatCode="_(&quot;$&quot;* #,##0.0_);_(&quot;$&quot;* \(#,##0.0\);_(&quot;$&quot;* &quot;-&quot;??_);_(@_)"/>
    <numFmt numFmtId="188" formatCode="0.000%"/>
    <numFmt numFmtId="189" formatCode="&quot;$&quot;#,##0.0"/>
  </numFmts>
  <fonts count="88">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b/>
      <sz val="11"/>
      <color theme="1"/>
      <name val="Arial"/>
      <family val="2"/>
    </font>
    <font>
      <i/>
      <sz val="9"/>
      <color theme="0"/>
      <name val="Arial"/>
      <family val="2"/>
    </font>
    <font>
      <b/>
      <i/>
      <sz val="9"/>
      <name val="Arial"/>
      <family val="2"/>
    </font>
    <font>
      <b/>
      <i/>
      <sz val="8"/>
      <color theme="1"/>
      <name val="Arial"/>
      <family val="2"/>
    </font>
    <font>
      <b/>
      <sz val="18"/>
      <color theme="1" tint="4.9989318521683403E-2"/>
      <name val="Arial"/>
      <family val="2"/>
      <charset val="204"/>
    </font>
    <font>
      <i/>
      <sz val="9"/>
      <color theme="1" tint="0.14999847407452621"/>
      <name val="Arial"/>
      <family val="2"/>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1"/>
      <name val="Catamaran SemiBold"/>
    </font>
    <font>
      <sz val="14"/>
      <name val="Catamaran SemiBold"/>
    </font>
  </fonts>
  <fills count="51">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
      <patternFill patternType="solid">
        <fgColor theme="0" tint="-0.14999847407452621"/>
        <bgColor indexed="64"/>
      </patternFill>
    </fill>
    <fill>
      <patternFill patternType="solid">
        <fgColor rgb="FFFFD1D2"/>
        <bgColor indexed="64"/>
      </patternFill>
    </fill>
    <fill>
      <patternFill patternType="solid">
        <fgColor rgb="FFFFB7B9"/>
        <bgColor indexed="64"/>
      </patternFill>
    </fill>
  </fills>
  <borders count="22">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s>
  <cellStyleXfs count="170">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xf numFmtId="44" fontId="5" fillId="0" borderId="0" applyFont="0" applyFill="0" applyBorder="0" applyAlignment="0" applyProtection="0"/>
  </cellStyleXfs>
  <cellXfs count="463">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5" fontId="2" fillId="46" borderId="0" xfId="0" applyNumberFormat="1" applyFont="1" applyFill="1" applyBorder="1" applyAlignment="1">
      <alignment horizontal="right"/>
    </xf>
    <xf numFmtId="164" fontId="2"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4" fillId="2" borderId="0" xfId="165"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64" fontId="1" fillId="46" borderId="0" xfId="0" applyNumberFormat="1" applyFont="1" applyFill="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0" fontId="1" fillId="46" borderId="0" xfId="0" applyNumberFormat="1" applyFont="1" applyFill="1" applyBorder="1" applyAlignment="1">
      <alignment horizontal="right"/>
    </xf>
    <xf numFmtId="164" fontId="2" fillId="46" borderId="0" xfId="0" applyNumberFormat="1" applyFont="1" applyFill="1" applyBorder="1"/>
    <xf numFmtId="164" fontId="2" fillId="46" borderId="18" xfId="0"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0" fontId="1" fillId="46" borderId="0" xfId="0" applyNumberFormat="1" applyFont="1" applyFill="1" applyBorder="1"/>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0" fontId="2" fillId="46" borderId="0" xfId="2" applyNumberFormat="1" applyFont="1" applyFill="1"/>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64" fontId="64" fillId="46" borderId="0" xfId="0" applyNumberFormat="1" applyFont="1" applyFill="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0" fontId="2" fillId="46" borderId="18" xfId="0" applyFont="1" applyFill="1" applyBorder="1"/>
    <xf numFmtId="0" fontId="73" fillId="46"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0" fontId="2" fillId="46" borderId="0" xfId="0" applyFont="1" applyFill="1" applyBorder="1" applyAlignment="1">
      <alignment horizontal="lef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80" fontId="1" fillId="2" borderId="0" xfId="0"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64" fillId="2" borderId="0" xfId="0" applyNumberFormat="1" applyFont="1" applyFill="1" applyBorder="1"/>
    <xf numFmtId="10" fontId="40" fillId="46" borderId="0" xfId="2" applyNumberFormat="1" applyFont="1" applyFill="1" applyBorder="1" applyAlignment="1">
      <alignment horizontal="right" vertic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2" fontId="64" fillId="2" borderId="0" xfId="2" applyNumberFormat="1" applyFont="1" applyFill="1" applyBorder="1" applyAlignment="1"/>
    <xf numFmtId="182" fontId="1" fillId="2"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2" fontId="2" fillId="47" borderId="0" xfId="0" applyNumberFormat="1" applyFont="1" applyFill="1" applyBorder="1"/>
    <xf numFmtId="10" fontId="65" fillId="47"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7"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2" fontId="1" fillId="2" borderId="0" xfId="0" applyNumberFormat="1" applyFont="1" applyFill="1" applyBorder="1" applyAlignment="1">
      <alignment horizontal="right"/>
    </xf>
    <xf numFmtId="164" fontId="2" fillId="47" borderId="0" xfId="0" applyNumberFormat="1" applyFont="1" applyFill="1"/>
    <xf numFmtId="9" fontId="60" fillId="2" borderId="0" xfId="2" applyFont="1" applyFill="1" applyBorder="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0" fontId="40" fillId="46" borderId="0"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0" fontId="1" fillId="2" borderId="0" xfId="0"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1" fillId="2" borderId="0" xfId="2" applyNumberFormat="1" applyFont="1" applyFill="1"/>
    <xf numFmtId="2" fontId="64" fillId="46" borderId="0" xfId="2" applyNumberFormat="1" applyFont="1" applyFill="1" applyBorder="1" applyAlignment="1"/>
    <xf numFmtId="165" fontId="2" fillId="47" borderId="0" xfId="0" applyNumberFormat="1" applyFont="1" applyFill="1" applyBorder="1" applyAlignment="1">
      <alignment horizontal="right"/>
    </xf>
    <xf numFmtId="2" fontId="64" fillId="46" borderId="0" xfId="0" applyNumberFormat="1" applyFont="1" applyFill="1" applyAlignment="1">
      <alignment horizontal="right"/>
    </xf>
    <xf numFmtId="0" fontId="2" fillId="46" borderId="20" xfId="0" applyFont="1" applyFill="1" applyBorder="1"/>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43" fontId="64" fillId="2" borderId="0" xfId="0" applyNumberFormat="1" applyFont="1" applyFill="1" applyBorder="1"/>
    <xf numFmtId="182" fontId="40" fillId="2" borderId="0" xfId="0" applyNumberFormat="1" applyFont="1" applyFill="1" applyBorder="1" applyAlignment="1">
      <alignment horizontal="right"/>
    </xf>
    <xf numFmtId="10" fontId="64" fillId="46" borderId="0" xfId="0" applyNumberFormat="1" applyFont="1" applyFill="1" applyBorder="1" applyAlignment="1">
      <alignment horizontal="right" vertical="center"/>
    </xf>
    <xf numFmtId="10" fontId="64" fillId="2" borderId="18" xfId="2" applyNumberFormat="1" applyFont="1" applyFill="1" applyBorder="1" applyAlignment="1">
      <alignment horizontal="right"/>
    </xf>
    <xf numFmtId="164" fontId="8" fillId="45" borderId="0" xfId="0" applyNumberFormat="1" applyFont="1" applyFill="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0" fontId="1" fillId="46" borderId="0" xfId="0" applyNumberFormat="1" applyFont="1" applyFill="1" applyBorder="1" applyAlignment="1">
      <alignment horizontal="right" vertical="center"/>
    </xf>
    <xf numFmtId="9" fontId="6" fillId="2" borderId="0" xfId="2" applyFont="1" applyFill="1" applyBorder="1"/>
    <xf numFmtId="164" fontId="1" fillId="2" borderId="0" xfId="0" applyNumberFormat="1" applyFont="1" applyFill="1" applyAlignment="1">
      <alignment wrapText="1"/>
    </xf>
    <xf numFmtId="182" fontId="40" fillId="46" borderId="0" xfId="0" applyNumberFormat="1" applyFont="1" applyFill="1" applyBorder="1" applyAlignment="1">
      <alignment horizontal="right"/>
    </xf>
    <xf numFmtId="0" fontId="40" fillId="2" borderId="0" xfId="0" applyFont="1" applyFill="1" applyBorder="1" applyAlignment="1"/>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1" fillId="2" borderId="0" xfId="2" applyNumberFormat="1" applyFont="1" applyFill="1"/>
    <xf numFmtId="10" fontId="64" fillId="2" borderId="0" xfId="2" applyNumberFormat="1" applyFont="1" applyFill="1" applyBorder="1" applyAlignment="1">
      <alignment horizontal="right" vertical="center"/>
    </xf>
    <xf numFmtId="10" fontId="66"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7" borderId="0" xfId="2" applyNumberFormat="1" applyFont="1" applyFill="1" applyBorder="1" applyAlignment="1">
      <alignment horizontal="right"/>
    </xf>
    <xf numFmtId="0" fontId="40" fillId="47" borderId="0" xfId="0" applyFont="1" applyFill="1" applyBorder="1" applyAlignment="1">
      <alignment horizontal="right"/>
    </xf>
    <xf numFmtId="0" fontId="60" fillId="47" borderId="0" xfId="0" applyFont="1" applyFill="1" applyBorder="1"/>
    <xf numFmtId="0" fontId="40" fillId="47" borderId="0" xfId="0" applyFont="1" applyFill="1" applyBorder="1"/>
    <xf numFmtId="0" fontId="40" fillId="47" borderId="0" xfId="0" applyFont="1" applyFill="1" applyBorder="1" applyAlignment="1"/>
    <xf numFmtId="180" fontId="64" fillId="2" borderId="0" xfId="0" applyNumberFormat="1" applyFont="1" applyFill="1" applyBorder="1" applyAlignment="1">
      <alignment horizontal="right"/>
    </xf>
    <xf numFmtId="164" fontId="7" fillId="2" borderId="0" xfId="0" applyNumberFormat="1" applyFont="1" applyFill="1" applyAlignment="1">
      <alignment horizontal="right"/>
    </xf>
    <xf numFmtId="2" fontId="74" fillId="2" borderId="0" xfId="2" applyNumberFormat="1" applyFont="1" applyFill="1" applyBorder="1" applyAlignment="1">
      <alignment horizontal="right"/>
    </xf>
    <xf numFmtId="178" fontId="7" fillId="2" borderId="0" xfId="0" applyNumberFormat="1" applyFont="1" applyFill="1"/>
    <xf numFmtId="178" fontId="74" fillId="2" borderId="0" xfId="2" applyNumberFormat="1" applyFont="1" applyFill="1" applyBorder="1" applyAlignment="1">
      <alignment horizontal="right"/>
    </xf>
    <xf numFmtId="2" fontId="64" fillId="46" borderId="0" xfId="0" applyNumberFormat="1" applyFont="1" applyFill="1" applyBorder="1" applyAlignment="1">
      <alignment horizontal="right"/>
    </xf>
    <xf numFmtId="2" fontId="64" fillId="2" borderId="0" xfId="0" applyNumberFormat="1" applyFont="1" applyFill="1" applyAlignment="1">
      <alignment horizontal="right"/>
    </xf>
    <xf numFmtId="2" fontId="1" fillId="2" borderId="0" xfId="2" applyNumberFormat="1" applyFont="1" applyFill="1" applyBorder="1" applyAlignment="1">
      <alignment horizontal="right"/>
    </xf>
    <xf numFmtId="0" fontId="2" fillId="46" borderId="0" xfId="0" applyNumberFormat="1" applyFont="1" applyFill="1"/>
    <xf numFmtId="164" fontId="65" fillId="46" borderId="0" xfId="0" applyNumberFormat="1" applyFont="1" applyFill="1"/>
    <xf numFmtId="164" fontId="64" fillId="2" borderId="0" xfId="0" applyNumberFormat="1" applyFont="1" applyFill="1" applyAlignment="1">
      <alignment horizontal="right"/>
    </xf>
    <xf numFmtId="164" fontId="40" fillId="2" borderId="0" xfId="0" applyNumberFormat="1" applyFont="1" applyFill="1" applyBorder="1" applyAlignment="1"/>
    <xf numFmtId="164" fontId="60" fillId="2" borderId="0" xfId="0" applyNumberFormat="1" applyFont="1" applyFill="1" applyAlignment="1">
      <alignment horizontal="right"/>
    </xf>
    <xf numFmtId="3" fontId="64" fillId="2" borderId="0" xfId="0" applyNumberFormat="1" applyFont="1" applyFill="1" applyBorder="1"/>
    <xf numFmtId="3" fontId="64" fillId="2" borderId="0" xfId="0" applyNumberFormat="1" applyFont="1" applyFill="1" applyBorder="1" applyAlignment="1">
      <alignment horizontal="right"/>
    </xf>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2" fontId="64" fillId="2" borderId="0" xfId="0" applyNumberFormat="1" applyFont="1" applyFill="1" applyBorder="1" applyAlignment="1">
      <alignment horizontal="right" vertical="center"/>
    </xf>
    <xf numFmtId="164" fontId="64" fillId="2" borderId="0" xfId="0" applyNumberFormat="1" applyFont="1" applyFill="1" applyBorder="1" applyAlignment="1">
      <alignment horizontal="right"/>
    </xf>
    <xf numFmtId="164" fontId="8" fillId="45" borderId="0" xfId="0" applyNumberFormat="1" applyFont="1" applyFill="1"/>
    <xf numFmtId="44" fontId="2" fillId="46" borderId="0" xfId="169" applyFont="1" applyFill="1" applyBorder="1"/>
    <xf numFmtId="44" fontId="2" fillId="46" borderId="18" xfId="169" applyFont="1" applyFill="1" applyBorder="1"/>
    <xf numFmtId="44" fontId="8" fillId="45" borderId="0" xfId="169" applyFont="1" applyFill="1" applyBorder="1" applyAlignment="1">
      <alignment horizontal="right"/>
    </xf>
    <xf numFmtId="44" fontId="2" fillId="46" borderId="0" xfId="169" applyFont="1" applyFill="1"/>
    <xf numFmtId="44" fontId="64" fillId="46" borderId="0" xfId="169" applyFont="1" applyFill="1"/>
    <xf numFmtId="44" fontId="64" fillId="46" borderId="0" xfId="169" applyFont="1" applyFill="1" applyBorder="1"/>
    <xf numFmtId="16" fontId="1" fillId="2" borderId="0" xfId="0" applyNumberFormat="1" applyFont="1" applyFill="1" applyBorder="1"/>
    <xf numFmtId="44" fontId="40" fillId="46" borderId="0" xfId="169" applyFont="1" applyFill="1" applyBorder="1" applyAlignment="1">
      <alignment horizontal="right"/>
    </xf>
    <xf numFmtId="44" fontId="1" fillId="46" borderId="0" xfId="169" applyFont="1" applyFill="1" applyBorder="1"/>
    <xf numFmtId="44" fontId="8" fillId="45" borderId="0" xfId="169" applyFont="1" applyFill="1" applyBorder="1"/>
    <xf numFmtId="185" fontId="1" fillId="46" borderId="0" xfId="169" applyNumberFormat="1" applyFont="1" applyFill="1" applyBorder="1"/>
    <xf numFmtId="185" fontId="1" fillId="2" borderId="0" xfId="169" applyNumberFormat="1" applyFont="1" applyFill="1" applyBorder="1"/>
    <xf numFmtId="185" fontId="64" fillId="46" borderId="0" xfId="169" applyNumberFormat="1" applyFont="1" applyFill="1" applyBorder="1"/>
    <xf numFmtId="185" fontId="2" fillId="46" borderId="18" xfId="169" applyNumberFormat="1" applyFont="1" applyFill="1" applyBorder="1"/>
    <xf numFmtId="44" fontId="2" fillId="46" borderId="0" xfId="169" applyFont="1" applyFill="1" applyBorder="1" applyAlignment="1">
      <alignment horizontal="right" vertical="center"/>
    </xf>
    <xf numFmtId="44" fontId="2" fillId="46" borderId="19" xfId="169" applyFont="1" applyFill="1" applyBorder="1"/>
    <xf numFmtId="44" fontId="2" fillId="46" borderId="18" xfId="169" applyFont="1" applyFill="1" applyBorder="1" applyAlignment="1">
      <alignment horizontal="right" vertical="center"/>
    </xf>
    <xf numFmtId="185" fontId="1" fillId="46" borderId="0" xfId="169" applyNumberFormat="1" applyFont="1" applyFill="1" applyBorder="1" applyAlignment="1">
      <alignment horizontal="right"/>
    </xf>
    <xf numFmtId="185" fontId="2" fillId="46" borderId="0" xfId="169" applyNumberFormat="1" applyFont="1" applyFill="1" applyBorder="1"/>
    <xf numFmtId="44" fontId="40" fillId="46" borderId="18" xfId="169" applyFont="1" applyFill="1" applyBorder="1"/>
    <xf numFmtId="44" fontId="8" fillId="45" borderId="0" xfId="169" applyFont="1" applyFill="1" applyBorder="1" applyAlignment="1">
      <alignment horizontal="left" vertical="center"/>
    </xf>
    <xf numFmtId="44" fontId="8" fillId="45" borderId="0" xfId="169" applyFont="1" applyFill="1" applyBorder="1" applyAlignment="1">
      <alignment vertical="center"/>
    </xf>
    <xf numFmtId="44" fontId="64" fillId="46" borderId="0" xfId="169" applyFont="1" applyFill="1" applyBorder="1" applyAlignment="1">
      <alignment horizontal="right" vertical="center"/>
    </xf>
    <xf numFmtId="10" fontId="65" fillId="46" borderId="0" xfId="2" applyNumberFormat="1" applyFont="1" applyFill="1" applyBorder="1" applyAlignment="1">
      <alignment horizontal="right"/>
    </xf>
    <xf numFmtId="185" fontId="2" fillId="47" borderId="0" xfId="169" applyNumberFormat="1" applyFont="1" applyFill="1" applyBorder="1"/>
    <xf numFmtId="185" fontId="1" fillId="47" borderId="0" xfId="169" applyNumberFormat="1" applyFont="1" applyFill="1" applyBorder="1"/>
    <xf numFmtId="185" fontId="2" fillId="47" borderId="0" xfId="169" applyNumberFormat="1" applyFont="1" applyFill="1" applyBorder="1" applyAlignment="1">
      <alignment horizontal="right" vertical="center"/>
    </xf>
    <xf numFmtId="185" fontId="1" fillId="46" borderId="0" xfId="169" applyNumberFormat="1" applyFont="1" applyFill="1" applyBorder="1" applyAlignment="1">
      <alignment horizontal="right" vertical="center"/>
    </xf>
    <xf numFmtId="3" fontId="1" fillId="2" borderId="0" xfId="0" applyNumberFormat="1" applyFont="1" applyFill="1" applyBorder="1" applyAlignment="1">
      <alignment horizontal="right" vertical="center"/>
    </xf>
    <xf numFmtId="44" fontId="40" fillId="46" borderId="0" xfId="169" applyFont="1" applyFill="1" applyBorder="1"/>
    <xf numFmtId="44" fontId="40" fillId="46" borderId="17" xfId="169" applyFont="1" applyFill="1" applyBorder="1"/>
    <xf numFmtId="44" fontId="40" fillId="46" borderId="0" xfId="169" applyFont="1" applyFill="1"/>
    <xf numFmtId="44" fontId="2" fillId="46" borderId="19" xfId="169" applyFont="1" applyFill="1" applyBorder="1" applyAlignment="1">
      <alignment horizontal="left" vertical="center"/>
    </xf>
    <xf numFmtId="44" fontId="60" fillId="46" borderId="0" xfId="169" applyFont="1" applyFill="1" applyBorder="1" applyAlignment="1">
      <alignment horizontal="right"/>
    </xf>
    <xf numFmtId="10" fontId="2" fillId="2" borderId="21" xfId="2" applyNumberFormat="1" applyFont="1" applyFill="1" applyBorder="1"/>
    <xf numFmtId="44" fontId="8" fillId="2" borderId="0" xfId="169" applyFont="1" applyFill="1" applyBorder="1" applyAlignment="1">
      <alignment horizontal="left" vertical="center"/>
    </xf>
    <xf numFmtId="164" fontId="8" fillId="45" borderId="0" xfId="0" applyNumberFormat="1" applyFont="1" applyFill="1" applyBorder="1"/>
    <xf numFmtId="164" fontId="66" fillId="2" borderId="0" xfId="0" applyNumberFormat="1" applyFont="1" applyFill="1" applyBorder="1" applyAlignment="1">
      <alignment horizontal="left"/>
    </xf>
    <xf numFmtId="0" fontId="2" fillId="2" borderId="0" xfId="0" applyNumberFormat="1" applyFont="1" applyFill="1"/>
    <xf numFmtId="44" fontId="2" fillId="2" borderId="0" xfId="169" applyFont="1" applyFill="1"/>
    <xf numFmtId="164" fontId="8" fillId="2" borderId="0" xfId="0" applyNumberFormat="1" applyFont="1" applyFill="1" applyBorder="1"/>
    <xf numFmtId="164" fontId="2" fillId="46" borderId="0" xfId="0" applyNumberFormat="1" applyFont="1" applyFill="1" applyAlignment="1">
      <alignment horizontal="right"/>
    </xf>
    <xf numFmtId="186" fontId="1" fillId="46" borderId="0" xfId="0" applyNumberFormat="1" applyFont="1" applyFill="1" applyBorder="1"/>
    <xf numFmtId="185" fontId="40" fillId="2" borderId="0" xfId="169" applyNumberFormat="1" applyFont="1" applyFill="1" applyBorder="1" applyAlignment="1">
      <alignment horizontal="right"/>
    </xf>
    <xf numFmtId="185" fontId="40" fillId="2" borderId="0" xfId="169" applyNumberFormat="1" applyFont="1" applyFill="1" applyBorder="1"/>
    <xf numFmtId="165" fontId="40" fillId="2" borderId="0" xfId="0" applyNumberFormat="1" applyFont="1" applyFill="1" applyBorder="1"/>
    <xf numFmtId="185" fontId="2" fillId="2" borderId="0" xfId="169" applyNumberFormat="1" applyFont="1" applyFill="1" applyBorder="1"/>
    <xf numFmtId="10" fontId="40" fillId="2" borderId="0" xfId="2" applyNumberFormat="1" applyFont="1" applyFill="1" applyBorder="1" applyAlignment="1">
      <alignment vertical="center"/>
    </xf>
    <xf numFmtId="44" fontId="2" fillId="2" borderId="0" xfId="169" applyNumberFormat="1" applyFont="1" applyFill="1" applyBorder="1" applyAlignment="1">
      <alignment horizontal="right" vertical="center"/>
    </xf>
    <xf numFmtId="164" fontId="64" fillId="46" borderId="0" xfId="0" applyNumberFormat="1" applyFont="1" applyFill="1"/>
    <xf numFmtId="164" fontId="64" fillId="2" borderId="0" xfId="0" applyNumberFormat="1" applyFont="1" applyFill="1" applyAlignment="1">
      <alignment horizontal="right"/>
    </xf>
    <xf numFmtId="182" fontId="65" fillId="46" borderId="0" xfId="0" applyNumberFormat="1" applyFont="1" applyFill="1" applyBorder="1" applyAlignment="1">
      <alignment horizontal="left"/>
    </xf>
    <xf numFmtId="182" fontId="75" fillId="46" borderId="0" xfId="0" applyNumberFormat="1" applyFont="1" applyFill="1" applyBorder="1" applyAlignment="1">
      <alignment horizontal="left"/>
    </xf>
    <xf numFmtId="164" fontId="65" fillId="46" borderId="0" xfId="0" applyNumberFormat="1" applyFont="1" applyFill="1" applyAlignment="1">
      <alignment horizontal="left"/>
    </xf>
    <xf numFmtId="10" fontId="75" fillId="46" borderId="0" xfId="2" applyNumberFormat="1" applyFont="1" applyFill="1" applyBorder="1" applyAlignment="1">
      <alignment horizontal="left"/>
    </xf>
    <xf numFmtId="10" fontId="65" fillId="46" borderId="0" xfId="2" applyNumberFormat="1" applyFont="1" applyFill="1" applyBorder="1" applyAlignment="1">
      <alignment horizontal="left"/>
    </xf>
    <xf numFmtId="164" fontId="40" fillId="47" borderId="0" xfId="0" applyNumberFormat="1" applyFont="1" applyFill="1"/>
    <xf numFmtId="164" fontId="67" fillId="45" borderId="0" xfId="0" applyNumberFormat="1" applyFont="1" applyFill="1" applyBorder="1"/>
    <xf numFmtId="164" fontId="2" fillId="47" borderId="0" xfId="0" applyNumberFormat="1" applyFont="1" applyFill="1" applyBorder="1" applyAlignment="1">
      <alignment horizontal="right"/>
    </xf>
    <xf numFmtId="179" fontId="64" fillId="46" borderId="0" xfId="0" applyNumberFormat="1" applyFont="1" applyFill="1" applyAlignment="1">
      <alignment horizontal="right"/>
    </xf>
    <xf numFmtId="179" fontId="64" fillId="46" borderId="0" xfId="2" applyNumberFormat="1" applyFont="1" applyFill="1" applyBorder="1" applyAlignment="1">
      <alignment horizontal="right"/>
    </xf>
    <xf numFmtId="179" fontId="64" fillId="46" borderId="0" xfId="0" applyNumberFormat="1" applyFont="1" applyFill="1" applyBorder="1" applyAlignment="1">
      <alignment horizontal="right"/>
    </xf>
    <xf numFmtId="166" fontId="64" fillId="46" borderId="0" xfId="2" applyNumberFormat="1" applyFont="1" applyFill="1" applyAlignment="1">
      <alignment horizontal="right"/>
    </xf>
    <xf numFmtId="0" fontId="64" fillId="2" borderId="0" xfId="2" applyNumberFormat="1" applyFont="1" applyFill="1" applyBorder="1" applyAlignment="1">
      <alignment horizontal="right"/>
    </xf>
    <xf numFmtId="3" fontId="64" fillId="2" borderId="0" xfId="2" applyNumberFormat="1" applyFont="1" applyFill="1" applyBorder="1" applyAlignment="1">
      <alignment horizontal="right"/>
    </xf>
    <xf numFmtId="0" fontId="64" fillId="2" borderId="0" xfId="0" applyNumberFormat="1" applyFont="1" applyFill="1" applyAlignment="1">
      <alignment horizontal="right"/>
    </xf>
    <xf numFmtId="3" fontId="64" fillId="2" borderId="0" xfId="0" applyNumberFormat="1" applyFont="1" applyFill="1" applyAlignment="1">
      <alignment horizontal="right"/>
    </xf>
    <xf numFmtId="178" fontId="64" fillId="2" borderId="21" xfId="0" applyNumberFormat="1" applyFont="1" applyFill="1" applyBorder="1"/>
    <xf numFmtId="10" fontId="64" fillId="2" borderId="21" xfId="2" applyNumberFormat="1" applyFont="1" applyFill="1" applyBorder="1"/>
    <xf numFmtId="184" fontId="64"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4" fontId="64"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44" fontId="64" fillId="2" borderId="21" xfId="169" applyFont="1" applyFill="1" applyBorder="1" applyAlignment="1">
      <alignment horizontal="right"/>
    </xf>
    <xf numFmtId="10" fontId="64" fillId="2" borderId="21" xfId="2" applyNumberFormat="1" applyFont="1" applyFill="1" applyBorder="1" applyAlignment="1">
      <alignment horizontal="right"/>
    </xf>
    <xf numFmtId="178" fontId="40" fillId="46" borderId="0" xfId="0" applyNumberFormat="1" applyFont="1" applyFill="1" applyBorder="1"/>
    <xf numFmtId="10" fontId="64" fillId="46" borderId="0" xfId="2" applyNumberFormat="1" applyFont="1" applyFill="1"/>
    <xf numFmtId="2" fontId="64" fillId="46" borderId="0" xfId="0" applyNumberFormat="1" applyFont="1" applyFill="1" applyBorder="1" applyAlignment="1">
      <alignment horizontal="right" vertical="center"/>
    </xf>
    <xf numFmtId="10" fontId="1" fillId="46" borderId="0" xfId="0" applyNumberFormat="1" applyFont="1" applyFill="1" applyBorder="1" applyAlignment="1">
      <alignment horizontal="right"/>
    </xf>
    <xf numFmtId="14" fontId="64" fillId="46" borderId="0" xfId="2" applyNumberFormat="1" applyFont="1" applyFill="1" applyBorder="1" applyAlignment="1">
      <alignment horizontal="right"/>
    </xf>
    <xf numFmtId="2" fontId="64" fillId="2" borderId="21" xfId="2" applyNumberFormat="1" applyFont="1" applyFill="1" applyBorder="1" applyAlignment="1">
      <alignment horizontal="right"/>
    </xf>
    <xf numFmtId="44" fontId="64" fillId="46" borderId="0" xfId="169" applyFont="1" applyFill="1" applyBorder="1" applyAlignment="1">
      <alignment horizontal="right"/>
    </xf>
    <xf numFmtId="2" fontId="64" fillId="46" borderId="0" xfId="2" applyNumberFormat="1" applyFont="1" applyFill="1"/>
    <xf numFmtId="178" fontId="2" fillId="2" borderId="20" xfId="0" applyNumberFormat="1" applyFont="1" applyFill="1" applyBorder="1"/>
    <xf numFmtId="2" fontId="2" fillId="46" borderId="0" xfId="2" applyNumberFormat="1" applyFont="1" applyFill="1" applyBorder="1"/>
    <xf numFmtId="178" fontId="8" fillId="45" borderId="0" xfId="0" applyNumberFormat="1" applyFont="1" applyFill="1"/>
    <xf numFmtId="178" fontId="64" fillId="46" borderId="0" xfId="0" applyNumberFormat="1" applyFont="1" applyFill="1"/>
    <xf numFmtId="178" fontId="64" fillId="46" borderId="0" xfId="0" applyNumberFormat="1" applyFont="1" applyFill="1" applyBorder="1"/>
    <xf numFmtId="185" fontId="40" fillId="46" borderId="21" xfId="0" applyNumberFormat="1" applyFont="1" applyFill="1" applyBorder="1" applyAlignment="1"/>
    <xf numFmtId="185" fontId="2" fillId="46" borderId="21" xfId="169" applyNumberFormat="1" applyFont="1" applyFill="1" applyBorder="1"/>
    <xf numFmtId="179" fontId="64" fillId="46" borderId="0" xfId="2" applyNumberFormat="1" applyFont="1" applyFill="1" applyBorder="1" applyAlignment="1"/>
    <xf numFmtId="3" fontId="8" fillId="2" borderId="0" xfId="0" applyNumberFormat="1" applyFont="1" applyFill="1" applyBorder="1" applyAlignment="1"/>
    <xf numFmtId="3" fontId="2" fillId="2" borderId="0" xfId="0" applyNumberFormat="1" applyFont="1" applyFill="1" applyBorder="1" applyAlignment="1">
      <alignment horizontal="right"/>
    </xf>
    <xf numFmtId="10" fontId="64" fillId="46" borderId="0" xfId="2" applyNumberFormat="1" applyFont="1" applyFill="1" applyBorder="1" applyAlignment="1">
      <alignment horizontal="right" vertical="center"/>
    </xf>
    <xf numFmtId="10" fontId="1" fillId="46" borderId="0" xfId="0" applyNumberFormat="1" applyFont="1" applyFill="1" applyBorder="1"/>
    <xf numFmtId="44" fontId="40" fillId="46" borderId="0" xfId="169" applyNumberFormat="1" applyFont="1" applyFill="1" applyBorder="1" applyAlignment="1">
      <alignment horizontal="right"/>
    </xf>
    <xf numFmtId="44" fontId="2" fillId="46" borderId="18" xfId="169" applyNumberFormat="1" applyFont="1" applyFill="1" applyBorder="1"/>
    <xf numFmtId="2" fontId="2" fillId="46" borderId="0" xfId="169" applyNumberFormat="1" applyFont="1" applyFill="1"/>
    <xf numFmtId="178" fontId="40" fillId="2" borderId="0" xfId="0" applyNumberFormat="1" applyFont="1" applyFill="1" applyBorder="1"/>
    <xf numFmtId="49" fontId="66" fillId="2" borderId="0" xfId="0" applyNumberFormat="1" applyFont="1" applyFill="1" applyBorder="1"/>
    <xf numFmtId="10" fontId="75" fillId="2" borderId="0" xfId="169" applyNumberFormat="1" applyFont="1" applyFill="1" applyBorder="1"/>
    <xf numFmtId="44" fontId="8" fillId="45" borderId="0" xfId="169" applyFont="1" applyFill="1" applyBorder="1" applyAlignment="1">
      <alignment horizontal="right" vertical="center"/>
    </xf>
    <xf numFmtId="187" fontId="64" fillId="46" borderId="0" xfId="169" applyNumberFormat="1" applyFont="1" applyFill="1" applyBorder="1" applyAlignment="1">
      <alignment horizontal="right"/>
    </xf>
    <xf numFmtId="44" fontId="2" fillId="2" borderId="20" xfId="169" applyNumberFormat="1" applyFont="1" applyFill="1" applyBorder="1" applyAlignment="1">
      <alignment horizontal="right"/>
    </xf>
    <xf numFmtId="165" fontId="1" fillId="2" borderId="0" xfId="0" applyNumberFormat="1" applyFont="1" applyFill="1"/>
    <xf numFmtId="9" fontId="1" fillId="2" borderId="0" xfId="2" applyFont="1" applyFill="1" applyBorder="1"/>
    <xf numFmtId="187" fontId="64" fillId="2" borderId="0" xfId="169" applyNumberFormat="1" applyFont="1" applyFill="1" applyBorder="1" applyAlignment="1">
      <alignment horizontal="right"/>
    </xf>
    <xf numFmtId="179" fontId="64" fillId="2" borderId="0" xfId="2" applyNumberFormat="1" applyFont="1" applyFill="1" applyBorder="1" applyAlignment="1">
      <alignment horizontal="right"/>
    </xf>
    <xf numFmtId="179" fontId="64" fillId="2" borderId="0" xfId="0" applyNumberFormat="1" applyFont="1" applyFill="1" applyBorder="1" applyAlignment="1">
      <alignment horizontal="right"/>
    </xf>
    <xf numFmtId="2" fontId="64" fillId="48" borderId="0" xfId="2" applyNumberFormat="1" applyFont="1" applyFill="1" applyBorder="1" applyAlignment="1">
      <alignment horizontal="right"/>
    </xf>
    <xf numFmtId="2" fontId="64" fillId="48" borderId="0" xfId="0" applyNumberFormat="1" applyFont="1" applyFill="1" applyAlignment="1">
      <alignment horizontal="right"/>
    </xf>
    <xf numFmtId="166" fontId="64" fillId="2" borderId="0" xfId="2" applyNumberFormat="1" applyFont="1" applyFill="1" applyBorder="1" applyAlignment="1">
      <alignment horizontal="right"/>
    </xf>
    <xf numFmtId="4" fontId="64" fillId="46" borderId="0" xfId="0" applyNumberFormat="1" applyFont="1" applyFill="1" applyAlignment="1">
      <alignment horizontal="right"/>
    </xf>
    <xf numFmtId="4" fontId="64" fillId="46" borderId="0" xfId="2" applyNumberFormat="1" applyFont="1" applyFill="1" applyBorder="1" applyAlignment="1">
      <alignment horizontal="right"/>
    </xf>
    <xf numFmtId="4" fontId="64" fillId="46" borderId="0" xfId="0" applyNumberFormat="1" applyFont="1" applyFill="1" applyBorder="1" applyAlignment="1">
      <alignment horizontal="right"/>
    </xf>
    <xf numFmtId="4" fontId="64" fillId="46" borderId="0" xfId="0" applyNumberFormat="1" applyFont="1" applyFill="1" applyBorder="1" applyAlignment="1">
      <alignment horizontal="right" vertical="center"/>
    </xf>
    <xf numFmtId="179" fontId="64" fillId="46" borderId="0" xfId="0" applyNumberFormat="1" applyFont="1" applyFill="1" applyBorder="1" applyAlignment="1">
      <alignment horizontal="right" vertical="center"/>
    </xf>
    <xf numFmtId="185" fontId="64" fillId="2" borderId="0" xfId="169" applyNumberFormat="1" applyFont="1" applyFill="1" applyBorder="1"/>
    <xf numFmtId="164" fontId="40" fillId="2" borderId="0" xfId="0" applyNumberFormat="1" applyFont="1" applyFill="1" applyAlignment="1">
      <alignment vertical="center"/>
    </xf>
    <xf numFmtId="0" fontId="8" fillId="2" borderId="0" xfId="0" applyFont="1" applyFill="1" applyBorder="1"/>
    <xf numFmtId="44" fontId="8" fillId="2" borderId="0" xfId="169" applyFont="1" applyFill="1" applyBorder="1"/>
    <xf numFmtId="10" fontId="76" fillId="2" borderId="0" xfId="2" applyNumberFormat="1" applyFont="1" applyFill="1" applyBorder="1"/>
    <xf numFmtId="0" fontId="8" fillId="2" borderId="0" xfId="0" applyFont="1" applyFill="1" applyBorder="1" applyAlignment="1">
      <alignment vertical="center"/>
    </xf>
    <xf numFmtId="44" fontId="2" fillId="46" borderId="0" xfId="169" applyNumberFormat="1" applyFont="1" applyFill="1" applyBorder="1"/>
    <xf numFmtId="0" fontId="40" fillId="46" borderId="21" xfId="0" applyFont="1" applyFill="1" applyBorder="1"/>
    <xf numFmtId="44" fontId="40" fillId="46" borderId="21" xfId="169" applyFont="1" applyFill="1" applyBorder="1"/>
    <xf numFmtId="44" fontId="2" fillId="46" borderId="0" xfId="169" applyNumberFormat="1" applyFont="1" applyFill="1" applyBorder="1" applyAlignment="1">
      <alignment horizontal="right" vertical="center"/>
    </xf>
    <xf numFmtId="9" fontId="64" fillId="46" borderId="0" xfId="2" applyFont="1" applyFill="1" applyBorder="1"/>
    <xf numFmtId="44" fontId="40" fillId="46" borderId="21" xfId="169" applyFont="1" applyFill="1" applyBorder="1" applyAlignment="1">
      <alignment horizontal="right" vertical="center"/>
    </xf>
    <xf numFmtId="0" fontId="2" fillId="46" borderId="0" xfId="0" applyNumberFormat="1" applyFont="1" applyFill="1" applyAlignment="1">
      <alignment horizontal="right"/>
    </xf>
    <xf numFmtId="1" fontId="1" fillId="46" borderId="0" xfId="0" applyNumberFormat="1" applyFont="1" applyFill="1" applyBorder="1"/>
    <xf numFmtId="44" fontId="2" fillId="46" borderId="0" xfId="0" applyNumberFormat="1" applyFont="1" applyFill="1" applyBorder="1"/>
    <xf numFmtId="0" fontId="40" fillId="46" borderId="19" xfId="0" applyFont="1" applyFill="1" applyBorder="1"/>
    <xf numFmtId="44" fontId="40" fillId="46" borderId="19" xfId="169" applyFont="1" applyFill="1" applyBorder="1"/>
    <xf numFmtId="44" fontId="40" fillId="46" borderId="19" xfId="2" applyNumberFormat="1" applyFont="1" applyFill="1" applyBorder="1" applyAlignment="1">
      <alignment horizontal="right"/>
    </xf>
    <xf numFmtId="0" fontId="2" fillId="46" borderId="21" xfId="0" applyFont="1" applyFill="1" applyBorder="1"/>
    <xf numFmtId="44" fontId="40" fillId="46" borderId="21" xfId="2" applyNumberFormat="1" applyFont="1" applyFill="1" applyBorder="1" applyAlignment="1">
      <alignment horizontal="right"/>
    </xf>
    <xf numFmtId="44" fontId="40" fillId="46" borderId="0" xfId="2" applyNumberFormat="1" applyFont="1" applyFill="1" applyBorder="1" applyAlignment="1">
      <alignment horizontal="right"/>
    </xf>
    <xf numFmtId="188" fontId="1" fillId="2" borderId="21" xfId="2" applyNumberFormat="1" applyFont="1" applyFill="1" applyBorder="1" applyAlignment="1">
      <alignment horizontal="right"/>
    </xf>
    <xf numFmtId="44" fontId="75" fillId="47" borderId="0" xfId="2" applyNumberFormat="1" applyFont="1" applyFill="1" applyBorder="1" applyAlignment="1">
      <alignment horizontal="right"/>
    </xf>
    <xf numFmtId="44" fontId="75" fillId="47" borderId="19" xfId="2" applyNumberFormat="1" applyFont="1" applyFill="1" applyBorder="1" applyAlignment="1">
      <alignment horizontal="right"/>
    </xf>
    <xf numFmtId="10" fontId="64" fillId="46" borderId="0" xfId="0" applyNumberFormat="1" applyFont="1" applyFill="1" applyBorder="1"/>
    <xf numFmtId="44" fontId="1" fillId="2" borderId="0" xfId="0" applyNumberFormat="1" applyFont="1" applyFill="1" applyBorder="1"/>
    <xf numFmtId="0" fontId="67" fillId="45" borderId="0" xfId="0" applyFont="1" applyFill="1" applyBorder="1"/>
    <xf numFmtId="44" fontId="67" fillId="45" borderId="0" xfId="0" applyNumberFormat="1" applyFont="1" applyFill="1" applyBorder="1"/>
    <xf numFmtId="179" fontId="64" fillId="2" borderId="0" xfId="2" applyNumberFormat="1" applyFont="1" applyFill="1" applyBorder="1" applyAlignment="1"/>
    <xf numFmtId="10" fontId="66" fillId="2" borderId="0" xfId="2" applyNumberFormat="1" applyFont="1" applyFill="1" applyBorder="1" applyAlignment="1">
      <alignment horizontal="right" wrapText="1"/>
    </xf>
    <xf numFmtId="2" fontId="66" fillId="2" borderId="0" xfId="2" applyNumberFormat="1" applyFont="1" applyFill="1" applyBorder="1" applyAlignment="1">
      <alignment horizontal="right" wrapText="1"/>
    </xf>
    <xf numFmtId="10" fontId="64" fillId="2" borderId="0" xfId="2" applyNumberFormat="1" applyFont="1" applyFill="1" applyBorder="1" applyAlignment="1">
      <alignment horizontal="right" wrapText="1"/>
    </xf>
    <xf numFmtId="2" fontId="64" fillId="2" borderId="0" xfId="2" applyNumberFormat="1" applyFont="1" applyFill="1" applyBorder="1" applyAlignment="1">
      <alignment horizontal="right" wrapText="1"/>
    </xf>
    <xf numFmtId="9" fontId="64" fillId="2" borderId="0" xfId="2" applyNumberFormat="1" applyFont="1" applyFill="1" applyBorder="1" applyAlignment="1">
      <alignment horizontal="right"/>
    </xf>
    <xf numFmtId="185" fontId="1" fillId="2" borderId="0" xfId="169" applyNumberFormat="1" applyFont="1" applyFill="1" applyBorder="1" applyAlignment="1">
      <alignment horizontal="right" vertical="center"/>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5"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185" fontId="1" fillId="2" borderId="0" xfId="0" applyNumberFormat="1" applyFont="1" applyFill="1" applyBorder="1" applyAlignment="1">
      <alignment horizontal="right" vertical="center"/>
    </xf>
    <xf numFmtId="2" fontId="40" fillId="46" borderId="0" xfId="0" applyNumberFormat="1" applyFont="1" applyFill="1" applyBorder="1"/>
    <xf numFmtId="10" fontId="2" fillId="47" borderId="0" xfId="2" applyNumberFormat="1" applyFont="1" applyFill="1" applyBorder="1" applyAlignment="1">
      <alignment horizontal="right" vertical="center"/>
    </xf>
    <xf numFmtId="44" fontId="8" fillId="45" borderId="0" xfId="169" applyFont="1" applyFill="1"/>
    <xf numFmtId="0" fontId="77" fillId="2" borderId="0" xfId="167" applyFont="1" applyFill="1">
      <alignment vertical="top"/>
    </xf>
    <xf numFmtId="0" fontId="78" fillId="2" borderId="0" xfId="167" applyFont="1" applyFill="1">
      <alignment vertical="top"/>
    </xf>
    <xf numFmtId="0" fontId="82" fillId="2" borderId="0" xfId="167" applyFont="1" applyFill="1">
      <alignment vertical="top"/>
    </xf>
    <xf numFmtId="0" fontId="83" fillId="2" borderId="0" xfId="167" applyFont="1" applyFill="1">
      <alignment vertical="top"/>
    </xf>
    <xf numFmtId="0" fontId="85" fillId="2" borderId="0" xfId="167" applyFont="1" applyFill="1">
      <alignment vertical="top"/>
    </xf>
    <xf numFmtId="0" fontId="79" fillId="2" borderId="0" xfId="167" applyFont="1" applyFill="1" applyAlignment="1">
      <alignment horizontal="left" vertical="top"/>
    </xf>
    <xf numFmtId="0" fontId="80" fillId="2" borderId="0" xfId="167" applyFont="1" applyFill="1" applyAlignment="1">
      <alignment horizontal="left" vertical="top"/>
    </xf>
    <xf numFmtId="0" fontId="0" fillId="2" borderId="0" xfId="0" applyFill="1"/>
    <xf numFmtId="0" fontId="81" fillId="50" borderId="0" xfId="167" applyFont="1" applyFill="1" applyAlignment="1">
      <alignment horizontal="center" vertical="top"/>
    </xf>
    <xf numFmtId="0" fontId="81" fillId="2" borderId="0" xfId="167" applyFont="1" applyFill="1" applyAlignment="1">
      <alignment vertical="top"/>
    </xf>
    <xf numFmtId="185" fontId="84" fillId="2" borderId="0" xfId="167" applyNumberFormat="1" applyFont="1" applyFill="1" applyAlignment="1">
      <alignment vertical="center"/>
    </xf>
    <xf numFmtId="0" fontId="87" fillId="2" borderId="0" xfId="167" applyFont="1" applyFill="1" applyAlignment="1">
      <alignment vertical="center"/>
    </xf>
    <xf numFmtId="2" fontId="64" fillId="46" borderId="0" xfId="2" applyNumberFormat="1" applyFont="1" applyFill="1" applyBorder="1"/>
    <xf numFmtId="164" fontId="40" fillId="47" borderId="0" xfId="0" applyNumberFormat="1" applyFont="1" applyFill="1" applyAlignment="1">
      <alignment horizontal="right"/>
    </xf>
    <xf numFmtId="10" fontId="78" fillId="46" borderId="0" xfId="2" applyNumberFormat="1" applyFont="1" applyFill="1" applyBorder="1"/>
    <xf numFmtId="0" fontId="86" fillId="2" borderId="0" xfId="167" applyFont="1" applyFill="1" applyAlignment="1">
      <alignment vertical="center"/>
    </xf>
    <xf numFmtId="189" fontId="84" fillId="2" borderId="0" xfId="167" applyNumberFormat="1" applyFont="1" applyFill="1" applyAlignment="1">
      <alignment vertical="center"/>
    </xf>
    <xf numFmtId="0" fontId="81" fillId="50" borderId="0" xfId="167" applyFont="1" applyFill="1" applyAlignment="1">
      <alignment horizontal="center" vertical="top"/>
    </xf>
    <xf numFmtId="0" fontId="86" fillId="50" borderId="0" xfId="167" applyFont="1" applyFill="1" applyAlignment="1">
      <alignment horizontal="center" vertical="top"/>
    </xf>
    <xf numFmtId="189" fontId="84" fillId="49" borderId="0" xfId="167" applyNumberFormat="1" applyFont="1" applyFill="1" applyAlignment="1">
      <alignment horizontal="center" vertical="center"/>
    </xf>
    <xf numFmtId="185" fontId="84" fillId="49" borderId="0" xfId="167" applyNumberFormat="1" applyFont="1" applyFill="1" applyAlignment="1">
      <alignment horizontal="center" vertical="center"/>
    </xf>
    <xf numFmtId="164" fontId="8" fillId="45" borderId="0" xfId="0" applyNumberFormat="1" applyFont="1" applyFill="1" applyBorder="1" applyAlignment="1">
      <alignment horizontal="center"/>
    </xf>
    <xf numFmtId="0" fontId="40" fillId="47" borderId="0" xfId="0" applyFont="1" applyFill="1" applyBorder="1" applyAlignment="1">
      <alignment horizontal="center"/>
    </xf>
    <xf numFmtId="164" fontId="40" fillId="47" borderId="0" xfId="0" applyNumberFormat="1" applyFont="1" applyFill="1" applyAlignment="1">
      <alignment horizontal="center" vertical="center"/>
    </xf>
    <xf numFmtId="0" fontId="8" fillId="45" borderId="0" xfId="0" applyFont="1" applyFill="1" applyBorder="1" applyAlignment="1">
      <alignment horizontal="center" vertical="center"/>
    </xf>
    <xf numFmtId="0" fontId="8" fillId="45" borderId="0" xfId="0" applyFont="1" applyFill="1" applyBorder="1" applyAlignment="1">
      <alignment horizontal="center"/>
    </xf>
    <xf numFmtId="164" fontId="8" fillId="2" borderId="0" xfId="0" applyNumberFormat="1" applyFont="1" applyFill="1" applyBorder="1" applyAlignment="1">
      <alignment horizontal="center"/>
    </xf>
    <xf numFmtId="164" fontId="8" fillId="45" borderId="0" xfId="0" applyNumberFormat="1" applyFont="1" applyFill="1" applyAlignment="1">
      <alignment horizontal="center"/>
    </xf>
  </cellXfs>
  <cellStyles count="170">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FB7B9"/>
      <color rgb="FFFF5A5F"/>
      <color rgb="FFFF4347"/>
      <color rgb="FF9E0004"/>
      <color rgb="FFFFCC66"/>
      <color rgb="FFFFE6B3"/>
      <color rgb="FFF8F8F8"/>
      <color rgb="FFFFC1C2"/>
      <color rgb="FFFFD1D2"/>
      <color rgb="FFFFD6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Adjustments'!$B$4</c:f>
              <c:strCache>
                <c:ptCount val="1"/>
                <c:pt idx="0">
                  <c:v>Revenues</c:v>
                </c:pt>
              </c:strCache>
            </c:strRef>
          </c:tx>
          <c:spPr>
            <a:solidFill>
              <a:srgbClr val="FF5A5F"/>
            </a:solidFill>
            <a:ln>
              <a:noFill/>
            </a:ln>
            <a:effectLst/>
          </c:spPr>
          <c:invertIfNegative val="0"/>
          <c:cat>
            <c:strRef>
              <c:f>'Accounting Adjustments'!$C$3:$G$3</c:f>
              <c:strCache>
                <c:ptCount val="5"/>
                <c:pt idx="0">
                  <c:v>2018</c:v>
                </c:pt>
                <c:pt idx="1">
                  <c:v>2019</c:v>
                </c:pt>
                <c:pt idx="2">
                  <c:v>2020</c:v>
                </c:pt>
                <c:pt idx="3">
                  <c:v>2021</c:v>
                </c:pt>
                <c:pt idx="4">
                  <c:v>TTM</c:v>
                </c:pt>
              </c:strCache>
            </c:strRef>
          </c:cat>
          <c:val>
            <c:numRef>
              <c:f>'Accounting Adjustments'!$C$4:$G$4</c:f>
              <c:numCache>
                <c:formatCode>_("$"* #,##0.00_);_("$"* \(#,##0.00\);_("$"* "-"??_);_(@_)</c:formatCode>
                <c:ptCount val="5"/>
                <c:pt idx="0">
                  <c:v>3651.9850000000001</c:v>
                </c:pt>
                <c:pt idx="1">
                  <c:v>4805.2389999999996</c:v>
                </c:pt>
                <c:pt idx="2">
                  <c:v>3378.1990000000001</c:v>
                </c:pt>
                <c:pt idx="3">
                  <c:v>5991.76</c:v>
                </c:pt>
                <c:pt idx="4">
                  <c:v>8029.65</c:v>
                </c:pt>
              </c:numCache>
            </c:numRef>
          </c:val>
          <c:extLs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catAx>
        <c:axId val="18800420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Algn val="ctr"/>
        <c:lblOffset val="100"/>
        <c:noMultiLvlLbl val="0"/>
      </c:catAx>
      <c:valAx>
        <c:axId val="188004625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2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FFCC66"/>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rgbClr val="FFB7B9"/>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rgbClr val="FF5A5F"/>
              </a:solidFill>
              <a:ln w="19050">
                <a:solidFill>
                  <a:schemeClr val="lt1"/>
                </a:solidFill>
              </a:ln>
              <a:effectLst/>
            </c:spPr>
            <c:extLst>
              <c:ext xmlns:c16="http://schemas.microsoft.com/office/drawing/2014/chart" uri="{C3380CC4-5D6E-409C-BE32-E72D297353CC}">
                <c16:uniqueId val="{00000005-3CA0-479F-B988-0A55D3BCC3C6}"/>
              </c:ext>
            </c:extLst>
          </c:dPt>
          <c:cat>
            <c:strRef>
              <c:f>'Corporate Governance'!$B$35:$B$37</c:f>
              <c:strCache>
                <c:ptCount val="3"/>
                <c:pt idx="0">
                  <c:v>Institutional</c:v>
                </c:pt>
                <c:pt idx="1">
                  <c:v>Insider</c:v>
                </c:pt>
                <c:pt idx="2">
                  <c:v>Retail</c:v>
                </c:pt>
              </c:strCache>
            </c:strRef>
          </c:cat>
          <c:val>
            <c:numRef>
              <c:f>'Corporate Governance'!$C$35:$C$37</c:f>
              <c:numCache>
                <c:formatCode>0.00%</c:formatCode>
                <c:ptCount val="3"/>
                <c:pt idx="0">
                  <c:v>0.3896</c:v>
                </c:pt>
                <c:pt idx="1">
                  <c:v>4.2099999999999999E-2</c:v>
                </c:pt>
                <c:pt idx="2">
                  <c:v>0.56830000000000003</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71391076115486E-3"/>
          <c:y val="0"/>
          <c:w val="0.98439842892086105"/>
          <c:h val="1"/>
        </c:manualLayout>
      </c:layout>
      <c:barChart>
        <c:barDir val="col"/>
        <c:grouping val="stacked"/>
        <c:varyColors val="0"/>
        <c:ser>
          <c:idx val="0"/>
          <c:order val="0"/>
          <c:tx>
            <c:strRef>
              <c:f>'Corporate Governance'!$B$27</c:f>
              <c:strCache>
                <c:ptCount val="1"/>
                <c:pt idx="0">
                  <c:v>Audit</c:v>
                </c:pt>
              </c:strCache>
            </c:strRef>
          </c:tx>
          <c:spPr>
            <a:solidFill>
              <a:srgbClr val="FFE6B3"/>
            </a:solidFill>
            <a:ln>
              <a:noFill/>
            </a:ln>
            <a:effectLst/>
          </c:spPr>
          <c:invertIfNegative val="0"/>
          <c:val>
            <c:numRef>
              <c:f>'Corporate Governance'!$C$27</c:f>
              <c:numCache>
                <c:formatCode>_(* #,##0.0_);_(* \(#,##0.0\);_(* "-"?_);@_)</c:formatCode>
                <c:ptCount val="1"/>
                <c:pt idx="0">
                  <c:v>6</c:v>
                </c:pt>
              </c:numCache>
            </c:numRef>
          </c:val>
          <c:extLst>
            <c:ext xmlns:c16="http://schemas.microsoft.com/office/drawing/2014/chart" uri="{C3380CC4-5D6E-409C-BE32-E72D297353CC}">
              <c16:uniqueId val="{00000000-1C27-4A4A-BF09-DEEC91878B14}"/>
            </c:ext>
          </c:extLst>
        </c:ser>
        <c:ser>
          <c:idx val="1"/>
          <c:order val="1"/>
          <c:tx>
            <c:strRef>
              <c:f>'Corporate Governance'!$B$28</c:f>
              <c:strCache>
                <c:ptCount val="1"/>
                <c:pt idx="0">
                  <c:v>Board</c:v>
                </c:pt>
              </c:strCache>
            </c:strRef>
          </c:tx>
          <c:spPr>
            <a:solidFill>
              <a:srgbClr val="FFB7B9"/>
            </a:solidFill>
            <a:ln>
              <a:noFill/>
            </a:ln>
            <a:effectLst/>
          </c:spPr>
          <c:invertIfNegative val="0"/>
          <c:val>
            <c:numRef>
              <c:f>'Corporate Governance'!$C$28</c:f>
              <c:numCache>
                <c:formatCode>_(* #,##0.0_);_(* \(#,##0.0\);_(* "-"?_);@_)</c:formatCode>
                <c:ptCount val="1"/>
                <c:pt idx="0">
                  <c:v>7</c:v>
                </c:pt>
              </c:numCache>
            </c:numRef>
          </c:val>
          <c:extLst>
            <c:ext xmlns:c16="http://schemas.microsoft.com/office/drawing/2014/chart" uri="{C3380CC4-5D6E-409C-BE32-E72D297353CC}">
              <c16:uniqueId val="{00000001-1C27-4A4A-BF09-DEEC91878B14}"/>
            </c:ext>
          </c:extLst>
        </c:ser>
        <c:ser>
          <c:idx val="2"/>
          <c:order val="2"/>
          <c:tx>
            <c:strRef>
              <c:f>'Corporate Governance'!$B$29</c:f>
              <c:strCache>
                <c:ptCount val="1"/>
                <c:pt idx="0">
                  <c:v>Shareholder Rights</c:v>
                </c:pt>
              </c:strCache>
            </c:strRef>
          </c:tx>
          <c:spPr>
            <a:solidFill>
              <a:srgbClr val="9E0004"/>
            </a:solidFill>
            <a:ln>
              <a:noFill/>
            </a:ln>
            <a:effectLst/>
          </c:spPr>
          <c:invertIfNegative val="0"/>
          <c:val>
            <c:numRef>
              <c:f>'Corporate Governance'!$C$29</c:f>
              <c:numCache>
                <c:formatCode>_(* #,##0.0_);_(* \(#,##0.0\);_(* "-"?_);@_)</c:formatCode>
                <c:ptCount val="1"/>
                <c:pt idx="0">
                  <c:v>10</c:v>
                </c:pt>
              </c:numCache>
            </c:numRef>
          </c:val>
          <c:extLst>
            <c:ext xmlns:c16="http://schemas.microsoft.com/office/drawing/2014/chart" uri="{C3380CC4-5D6E-409C-BE32-E72D297353CC}">
              <c16:uniqueId val="{00000002-1C27-4A4A-BF09-DEEC91878B14}"/>
            </c:ext>
          </c:extLst>
        </c:ser>
        <c:ser>
          <c:idx val="3"/>
          <c:order val="3"/>
          <c:tx>
            <c:strRef>
              <c:f>'Corporate Governance'!$B$30</c:f>
              <c:strCache>
                <c:ptCount val="1"/>
                <c:pt idx="0">
                  <c:v>Compensation</c:v>
                </c:pt>
              </c:strCache>
            </c:strRef>
          </c:tx>
          <c:spPr>
            <a:solidFill>
              <a:srgbClr val="FFCC66"/>
            </a:solidFill>
            <a:ln>
              <a:noFill/>
            </a:ln>
            <a:effectLst/>
          </c:spPr>
          <c:invertIfNegative val="0"/>
          <c:val>
            <c:numRef>
              <c:f>'Corporate Governance'!$C$30</c:f>
              <c:numCache>
                <c:formatCode>_(* #,##0.0_);_(* \(#,##0.0\);_(* "-"?_);@_)</c:formatCode>
                <c:ptCount val="1"/>
                <c:pt idx="0">
                  <c:v>8</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dPt>
            <c:idx val="0"/>
            <c:bubble3D val="0"/>
            <c:spPr>
              <a:solidFill>
                <a:srgbClr val="FF5A5F"/>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rgbClr val="FFCC66"/>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rgbClr val="9E0004"/>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rgbClr val="FF4347"/>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rgbClr val="FFB7B9"/>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accent2"/>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cat>
            <c:strRef>
              <c:f>'Risk Free Rate &amp; ERP'!$B$10:$B$19</c:f>
              <c:strCache>
                <c:ptCount val="10"/>
                <c:pt idx="0">
                  <c:v>United States</c:v>
                </c:pt>
                <c:pt idx="1">
                  <c:v>France</c:v>
                </c:pt>
                <c:pt idx="2">
                  <c:v>China</c:v>
                </c:pt>
                <c:pt idx="3">
                  <c:v>Italy</c:v>
                </c:pt>
                <c:pt idx="4">
                  <c:v>Brazil</c:v>
                </c:pt>
                <c:pt idx="5">
                  <c:v>UK</c:v>
                </c:pt>
                <c:pt idx="6">
                  <c:v>Spain</c:v>
                </c:pt>
                <c:pt idx="7">
                  <c:v>Mexico</c:v>
                </c:pt>
                <c:pt idx="8">
                  <c:v>Germany</c:v>
                </c:pt>
                <c:pt idx="9">
                  <c:v>Canada</c:v>
                </c:pt>
              </c:strCache>
            </c:strRef>
          </c:cat>
          <c:val>
            <c:numRef>
              <c:f>'Risk Free Rate &amp; ERP'!$C$10:$C$19</c:f>
              <c:numCache>
                <c:formatCode>_("$"* #,##0.0_);_("$"* \(#,##0.0\);_("$"* "-"??_);_(@_)</c:formatCode>
                <c:ptCount val="10"/>
                <c:pt idx="0">
                  <c:v>1189.2280000000001</c:v>
                </c:pt>
                <c:pt idx="1">
                  <c:v>309.81200000000001</c:v>
                </c:pt>
                <c:pt idx="2">
                  <c:v>141.912972</c:v>
                </c:pt>
                <c:pt idx="3">
                  <c:v>198.44887409667774</c:v>
                </c:pt>
                <c:pt idx="4">
                  <c:v>124.895875703287</c:v>
                </c:pt>
                <c:pt idx="5">
                  <c:v>272.00187249006848</c:v>
                </c:pt>
                <c:pt idx="6">
                  <c:v>217.77456387062745</c:v>
                </c:pt>
                <c:pt idx="7">
                  <c:v>152.00953001300749</c:v>
                </c:pt>
                <c:pt idx="8">
                  <c:v>117.97324056037964</c:v>
                </c:pt>
                <c:pt idx="9">
                  <c:v>160.37438081068723</c:v>
                </c:pt>
              </c:numCache>
            </c:numRef>
          </c:val>
          <c:extLs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'Accounting Adjustments'!$B$34</c:f>
              <c:strCache>
                <c:ptCount val="1"/>
                <c:pt idx="0">
                  <c:v>EBIT Margin %</c:v>
                </c:pt>
              </c:strCache>
            </c:strRef>
          </c:tx>
          <c:spPr>
            <a:solidFill>
              <a:srgbClr val="FFB7B9"/>
            </a:solidFill>
            <a:ln>
              <a:noFill/>
            </a:ln>
            <a:effectLst/>
          </c:spPr>
          <c:invertIfNegative val="0"/>
          <c:cat>
            <c:strRef>
              <c:f>'Accounting Adjustments'!$C$3:$G$3</c:f>
              <c:strCache>
                <c:ptCount val="5"/>
                <c:pt idx="0">
                  <c:v>2018</c:v>
                </c:pt>
                <c:pt idx="1">
                  <c:v>2019</c:v>
                </c:pt>
                <c:pt idx="2">
                  <c:v>2020</c:v>
                </c:pt>
                <c:pt idx="3">
                  <c:v>2021</c:v>
                </c:pt>
                <c:pt idx="4">
                  <c:v>TTM</c:v>
                </c:pt>
              </c:strCache>
            </c:strRef>
          </c:cat>
          <c:val>
            <c:numRef>
              <c:f>'Accounting Adjustments'!$D$34:$G$34</c:f>
              <c:numCache>
                <c:formatCode>0.00%</c:formatCode>
                <c:ptCount val="4"/>
                <c:pt idx="0">
                  <c:v>8.66036007782338E-2</c:v>
                </c:pt>
                <c:pt idx="1">
                  <c:v>-0.53321814375056054</c:v>
                </c:pt>
                <c:pt idx="2">
                  <c:v>5.0912141563302558E-2</c:v>
                </c:pt>
                <c:pt idx="3">
                  <c:v>0.23274342592765551</c:v>
                </c:pt>
              </c:numCache>
            </c:numRef>
          </c:val>
          <c:extLst>
            <c:ext xmlns:c16="http://schemas.microsoft.com/office/drawing/2014/chart" uri="{C3380CC4-5D6E-409C-BE32-E72D297353CC}">
              <c16:uniqueId val="{00000000-939C-4706-ACAE-7DD4377B791F}"/>
            </c:ext>
          </c:extLst>
        </c:ser>
        <c:ser>
          <c:idx val="1"/>
          <c:order val="1"/>
          <c:tx>
            <c:strRef>
              <c:f>'Accounting Adjustments'!$B$35</c:f>
              <c:strCache>
                <c:ptCount val="1"/>
                <c:pt idx="0">
                  <c:v>Return on Capital %</c:v>
                </c:pt>
              </c:strCache>
            </c:strRef>
          </c:tx>
          <c:spPr>
            <a:solidFill>
              <a:srgbClr val="FF5A5F"/>
            </a:solidFill>
            <a:ln>
              <a:noFill/>
            </a:ln>
            <a:effectLst/>
          </c:spPr>
          <c:invertIfNegative val="0"/>
          <c:cat>
            <c:strRef>
              <c:f>'Accounting Adjustments'!$C$3:$G$3</c:f>
              <c:strCache>
                <c:ptCount val="5"/>
                <c:pt idx="0">
                  <c:v>2018</c:v>
                </c:pt>
                <c:pt idx="1">
                  <c:v>2019</c:v>
                </c:pt>
                <c:pt idx="2">
                  <c:v>2020</c:v>
                </c:pt>
                <c:pt idx="3">
                  <c:v>2021</c:v>
                </c:pt>
                <c:pt idx="4">
                  <c:v>TTM</c:v>
                </c:pt>
              </c:strCache>
            </c:strRef>
          </c:cat>
          <c:val>
            <c:numRef>
              <c:f>'Accounting Adjustments'!$D$35:$G$35</c:f>
              <c:numCache>
                <c:formatCode>0.00%</c:formatCode>
                <c:ptCount val="4"/>
                <c:pt idx="0">
                  <c:v>-4.4334195768187264E-2</c:v>
                </c:pt>
                <c:pt idx="1">
                  <c:v>1.3964935542795145</c:v>
                </c:pt>
                <c:pt idx="2">
                  <c:v>-0.22153992144841045</c:v>
                </c:pt>
                <c:pt idx="3">
                  <c:v>-1.0305317035790311</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219"/>
        <c:overlap val="-27"/>
        <c:axId val="861408064"/>
        <c:axId val="861410144"/>
      </c:barChart>
      <c:catAx>
        <c:axId val="86140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861410144"/>
        <c:crosses val="autoZero"/>
        <c:auto val="1"/>
        <c:lblAlgn val="ctr"/>
        <c:lblOffset val="100"/>
        <c:noMultiLvlLbl val="0"/>
      </c:catAx>
      <c:valAx>
        <c:axId val="8614101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Yrs)'!$C$4:$C$14</c:f>
              <c:numCache>
                <c:formatCode>"$"#,##0.00</c:formatCode>
                <c:ptCount val="11"/>
                <c:pt idx="0">
                  <c:v>88199.28</c:v>
                </c:pt>
                <c:pt idx="1">
                  <c:v>92873.841839999994</c:v>
                </c:pt>
                <c:pt idx="2">
                  <c:v>97796.155457519984</c:v>
                </c:pt>
                <c:pt idx="3">
                  <c:v>102979.35169676854</c:v>
                </c:pt>
                <c:pt idx="4">
                  <c:v>108437.25733669726</c:v>
                </c:pt>
                <c:pt idx="5">
                  <c:v>114184.43197554222</c:v>
                </c:pt>
                <c:pt idx="6">
                  <c:v>120236.20687024595</c:v>
                </c:pt>
                <c:pt idx="7">
                  <c:v>126608.72583436898</c:v>
                </c:pt>
                <c:pt idx="8">
                  <c:v>133318.98830359054</c:v>
                </c:pt>
                <c:pt idx="9">
                  <c:v>140384.89468368082</c:v>
                </c:pt>
                <c:pt idx="10">
                  <c:v>147825.2941019159</c:v>
                </c:pt>
              </c:numCache>
            </c:numRef>
          </c:val>
          <c:extLst>
            <c:ext xmlns:c16="http://schemas.microsoft.com/office/drawing/2014/chart" uri="{C3380CC4-5D6E-409C-BE32-E72D297353CC}">
              <c16:uniqueId val="{00000000-D940-4417-A67A-3E7756D64273}"/>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'Future Cashflows (10 Yrs)'!$E$4:$E$14</c:f>
              <c:numCache>
                <c:formatCode>"$"#,##0.00</c:formatCode>
                <c:ptCount val="11"/>
                <c:pt idx="0">
                  <c:v>8029.65</c:v>
                </c:pt>
                <c:pt idx="1">
                  <c:v>9720.1648147499982</c:v>
                </c:pt>
                <c:pt idx="2">
                  <c:v>11567.318913013498</c:v>
                </c:pt>
                <c:pt idx="3">
                  <c:v>13582.967402728298</c:v>
                </c:pt>
                <c:pt idx="4">
                  <c:v>15041.323354299553</c:v>
                </c:pt>
                <c:pt idx="5">
                  <c:v>16616.110481303098</c:v>
                </c:pt>
                <c:pt idx="6">
                  <c:v>19134.383596121417</c:v>
                </c:pt>
                <c:pt idx="7">
                  <c:v>21872.919006768501</c:v>
                </c:pt>
                <c:pt idx="8">
                  <c:v>24847.990687422669</c:v>
                </c:pt>
                <c:pt idx="9">
                  <c:v>27120.956565296117</c:v>
                </c:pt>
                <c:pt idx="10">
                  <c:v>29565.058820383183</c:v>
                </c:pt>
              </c:numCache>
            </c:numRef>
          </c:val>
          <c:smooth val="0"/>
          <c:extLst>
            <c:ext xmlns:c16="http://schemas.microsoft.com/office/drawing/2014/chart" uri="{C3380CC4-5D6E-409C-BE32-E72D297353CC}">
              <c16:uniqueId val="{00000002-D940-4417-A67A-3E7756D64273}"/>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ln>
                <a:noFill/>
              </a:ln>
            </cx:spPr>
          </cx:dataPt>
          <cx:dataPt idx="1">
            <cx:spPr>
              <a:solidFill>
                <a:srgbClr val="FFCC66"/>
              </a:solidFill>
              <a:ln>
                <a:noFill/>
              </a:ln>
            </cx:spPr>
          </cx:dataPt>
          <cx:dataPt idx="2">
            <cx:spPr>
              <a:solidFill>
                <a:srgbClr val="FFCC66"/>
              </a:solidFill>
              <a:ln>
                <a:noFill/>
              </a:ln>
            </cx:spPr>
          </cx:dataPt>
          <cx:dataPt idx="3">
            <cx:spPr>
              <a:solidFill>
                <a:srgbClr val="FFCC66"/>
              </a:solidFill>
              <a:ln>
                <a:noFill/>
              </a:ln>
            </cx:spPr>
          </cx:dataPt>
          <cx:dataPt idx="4">
            <cx:spPr>
              <a:solidFill>
                <a:srgbClr val="FFCC66"/>
              </a:solidFill>
              <a:ln>
                <a:noFill/>
              </a:ln>
            </cx:spPr>
          </cx:dataPt>
          <cx:dataPt idx="5">
            <cx:spPr>
              <a:solidFill>
                <a:srgbClr val="FFCC66"/>
              </a:solidFill>
              <a:ln>
                <a:noFill/>
              </a:ln>
            </cx:spPr>
          </cx:dataPt>
          <cx:dataPt idx="6">
            <cx:spPr>
              <a:solidFill>
                <a:srgbClr val="FFCC66"/>
              </a:solidFill>
              <a:ln>
                <a:noFill/>
              </a:ln>
            </cx:spPr>
          </cx:dataPt>
          <cx:dataPt idx="7">
            <cx:spPr>
              <a:ln>
                <a:noFill/>
              </a:ln>
            </cx:spPr>
          </cx:dataPt>
          <cx:dataLabels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endParaRPr lang="en-US" sz="800"/>
              </a:p>
            </cx:txPr>
            <cx:visibility seriesName="0" categoryName="0" value="1"/>
            <cx:dataLabel idx="0"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a:t> $8,029.65 </a:t>
                  </a:r>
                </a:p>
              </cx:txPr>
              <cx:visibility seriesName="0" categoryName="0" value="1"/>
            </cx:dataLabel>
            <cx:dataLabel idx="1"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sz="800"/>
                    <a:t> $(1,449.19)</a:t>
                  </a:r>
                </a:p>
              </cx:txPr>
            </cx:dataLabel>
          </cx:dataLabels>
          <cx:dataId val="0"/>
          <cx:layoutPr>
            <cx:visibility connectorLines="0"/>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microsoft.com/office/2007/relationships/hdphoto" Target="../media/hdphoto1.wdp"/><Relationship Id="rId7" Type="http://schemas.openxmlformats.org/officeDocument/2006/relationships/chart" Target="../charts/chart4.xml"/><Relationship Id="rId2" Type="http://schemas.openxmlformats.org/officeDocument/2006/relationships/image" Target="../media/image1.png"/><Relationship Id="rId1" Type="http://schemas.microsoft.com/office/2014/relationships/chartEx" Target="../charts/chartEx1.xml"/><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9525</xdr:colOff>
      <xdr:row>1</xdr:row>
      <xdr:rowOff>0</xdr:rowOff>
    </xdr:from>
    <xdr:to>
      <xdr:col>3</xdr:col>
      <xdr:colOff>133350</xdr:colOff>
      <xdr:row>3</xdr:row>
      <xdr:rowOff>152400</xdr:rowOff>
    </xdr:to>
    <xdr:sp macro="" textlink="">
      <xdr:nvSpPr>
        <xdr:cNvPr id="6" name="Rectangle 5"/>
        <xdr:cNvSpPr/>
      </xdr:nvSpPr>
      <xdr:spPr>
        <a:xfrm>
          <a:off x="142875" y="66675"/>
          <a:ext cx="1343025" cy="5334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137159</xdr:colOff>
      <xdr:row>1</xdr:row>
      <xdr:rowOff>95250</xdr:rowOff>
    </xdr:from>
    <xdr:to>
      <xdr:col>3</xdr:col>
      <xdr:colOff>19050</xdr:colOff>
      <xdr:row>3</xdr:row>
      <xdr:rowOff>58341</xdr:rowOff>
    </xdr:to>
    <xdr:pic>
      <xdr:nvPicPr>
        <xdr:cNvPr id="5" name="Picture 4" descr="File:Airbnb Logo Bélo.svg - Wikimedia Commons"/>
        <xdr:cNvPicPr>
          <a:picLocks noChangeAspect="1" noChangeArrowheads="1"/>
        </xdr:cNvPicPr>
      </xdr:nvPicPr>
      <xdr:blipFill>
        <a:blip xmlns:r="http://schemas.openxmlformats.org/officeDocument/2006/relationships" r:embed="rId2" cstate="print">
          <a:biLevel thresh="50000"/>
          <a:extLst>
            <a:ext uri="{BEBA8EAE-BF5A-486C-A8C5-ECC9F3942E4B}">
              <a14:imgProps xmlns:a14="http://schemas.microsoft.com/office/drawing/2010/main">
                <a14:imgLayer r:embed="rId3">
                  <a14:imgEffect>
                    <a14:colorTemperature colorTemp="11200"/>
                  </a14:imgEffect>
                  <a14:imgEffect>
                    <a14:saturation sat="66000"/>
                  </a14:imgEffect>
                </a14:imgLayer>
              </a14:imgProps>
            </a:ext>
            <a:ext uri="{28A0092B-C50C-407E-A947-70E740481C1C}">
              <a14:useLocalDpi xmlns:a14="http://schemas.microsoft.com/office/drawing/2010/main" val="0"/>
            </a:ext>
          </a:extLst>
        </a:blip>
        <a:srcRect/>
        <a:stretch>
          <a:fillRect/>
        </a:stretch>
      </xdr:blipFill>
      <xdr:spPr bwMode="auto">
        <a:xfrm>
          <a:off x="270509" y="161925"/>
          <a:ext cx="1101091" cy="3440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7</xdr:row>
      <xdr:rowOff>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142874</xdr:colOff>
      <xdr:row>7</xdr:row>
      <xdr:rowOff>0</xdr:rowOff>
    </xdr:from>
    <xdr:to>
      <xdr:col>20</xdr:col>
      <xdr:colOff>314325</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571500</xdr:colOff>
      <xdr:row>8</xdr:row>
      <xdr:rowOff>95250</xdr:rowOff>
    </xdr:from>
    <xdr:to>
      <xdr:col>22</xdr:col>
      <xdr:colOff>742951</xdr:colOff>
      <xdr:row>10</xdr:row>
      <xdr:rowOff>38100</xdr:rowOff>
    </xdr:to>
    <xdr:sp macro="" textlink="">
      <xdr:nvSpPr>
        <xdr:cNvPr id="7" name="TextBox 6"/>
        <xdr:cNvSpPr txBox="1"/>
      </xdr:nvSpPr>
      <xdr:spPr>
        <a:xfrm>
          <a:off x="8943975" y="1323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Retail</a:t>
          </a:r>
        </a:p>
      </xdr:txBody>
    </xdr:sp>
    <xdr:clientData/>
  </xdr:twoCellAnchor>
  <xdr:twoCellAnchor>
    <xdr:from>
      <xdr:col>20</xdr:col>
      <xdr:colOff>571500</xdr:colOff>
      <xdr:row>10</xdr:row>
      <xdr:rowOff>128588</xdr:rowOff>
    </xdr:from>
    <xdr:to>
      <xdr:col>22</xdr:col>
      <xdr:colOff>742951</xdr:colOff>
      <xdr:row>12</xdr:row>
      <xdr:rowOff>42863</xdr:rowOff>
    </xdr:to>
    <xdr:sp macro="" textlink="">
      <xdr:nvSpPr>
        <xdr:cNvPr id="12" name="TextBox 11"/>
        <xdr:cNvSpPr txBox="1"/>
      </xdr:nvSpPr>
      <xdr:spPr>
        <a:xfrm>
          <a:off x="8943975" y="1681163"/>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Institutional</a:t>
          </a:r>
        </a:p>
      </xdr:txBody>
    </xdr:sp>
    <xdr:clientData/>
  </xdr:twoCellAnchor>
  <xdr:twoCellAnchor>
    <xdr:from>
      <xdr:col>20</xdr:col>
      <xdr:colOff>581025</xdr:colOff>
      <xdr:row>12</xdr:row>
      <xdr:rowOff>114300</xdr:rowOff>
    </xdr:from>
    <xdr:to>
      <xdr:col>23</xdr:col>
      <xdr:colOff>1</xdr:colOff>
      <xdr:row>14</xdr:row>
      <xdr:rowOff>57150</xdr:rowOff>
    </xdr:to>
    <xdr:sp macro="" textlink="">
      <xdr:nvSpPr>
        <xdr:cNvPr id="13" name="TextBox 12"/>
        <xdr:cNvSpPr txBox="1"/>
      </xdr:nvSpPr>
      <xdr:spPr>
        <a:xfrm>
          <a:off x="8953500" y="201930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Insider</a:t>
          </a:r>
        </a:p>
      </xdr:txBody>
    </xdr:sp>
    <xdr:clientData/>
  </xdr:twoCellAnchor>
  <xdr:twoCellAnchor>
    <xdr:from>
      <xdr:col>20</xdr:col>
      <xdr:colOff>390524</xdr:colOff>
      <xdr:row>9</xdr:row>
      <xdr:rowOff>9525</xdr:rowOff>
    </xdr:from>
    <xdr:to>
      <xdr:col>20</xdr:col>
      <xdr:colOff>552450</xdr:colOff>
      <xdr:row>10</xdr:row>
      <xdr:rowOff>9525</xdr:rowOff>
    </xdr:to>
    <xdr:sp macro="" textlink="">
      <xdr:nvSpPr>
        <xdr:cNvPr id="11" name="Rounded Rectangle 10"/>
        <xdr:cNvSpPr/>
      </xdr:nvSpPr>
      <xdr:spPr>
        <a:xfrm>
          <a:off x="8762999" y="1238250"/>
          <a:ext cx="161926" cy="161925"/>
        </a:xfrm>
        <a:prstGeom prst="roundRect">
          <a:avLst/>
        </a:prstGeom>
        <a:solidFill>
          <a:srgbClr val="FF5A5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11</xdr:row>
      <xdr:rowOff>33338</xdr:rowOff>
    </xdr:from>
    <xdr:to>
      <xdr:col>20</xdr:col>
      <xdr:colOff>552450</xdr:colOff>
      <xdr:row>12</xdr:row>
      <xdr:rowOff>4763</xdr:rowOff>
    </xdr:to>
    <xdr:sp macro="" textlink="">
      <xdr:nvSpPr>
        <xdr:cNvPr id="15" name="Rounded Rectangle 14"/>
        <xdr:cNvSpPr/>
      </xdr:nvSpPr>
      <xdr:spPr>
        <a:xfrm>
          <a:off x="8762999" y="1585913"/>
          <a:ext cx="161926" cy="161925"/>
        </a:xfrm>
        <a:prstGeom prst="roundRect">
          <a:avLst/>
        </a:prstGeom>
        <a:solidFill>
          <a:srgbClr val="FFCC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13</xdr:row>
      <xdr:rowOff>28575</xdr:rowOff>
    </xdr:from>
    <xdr:to>
      <xdr:col>20</xdr:col>
      <xdr:colOff>552450</xdr:colOff>
      <xdr:row>14</xdr:row>
      <xdr:rowOff>28575</xdr:rowOff>
    </xdr:to>
    <xdr:sp macro="" textlink="">
      <xdr:nvSpPr>
        <xdr:cNvPr id="16" name="Rounded Rectangle 15"/>
        <xdr:cNvSpPr/>
      </xdr:nvSpPr>
      <xdr:spPr>
        <a:xfrm>
          <a:off x="8762999" y="1933575"/>
          <a:ext cx="161926" cy="161925"/>
        </a:xfrm>
        <a:prstGeom prst="roundRect">
          <a:avLst/>
        </a:prstGeom>
        <a:solidFill>
          <a:srgbClr val="FFD1D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409575</xdr:colOff>
      <xdr:row>10</xdr:row>
      <xdr:rowOff>76201</xdr:rowOff>
    </xdr:from>
    <xdr:to>
      <xdr:col>20</xdr:col>
      <xdr:colOff>114300</xdr:colOff>
      <xdr:row>11</xdr:row>
      <xdr:rowOff>95250</xdr:rowOff>
    </xdr:to>
    <xdr:sp macro="" textlink="">
      <xdr:nvSpPr>
        <xdr:cNvPr id="17" name="TextBox 16"/>
        <xdr:cNvSpPr txBox="1"/>
      </xdr:nvSpPr>
      <xdr:spPr>
        <a:xfrm>
          <a:off x="7943850" y="1628776"/>
          <a:ext cx="542925" cy="180974"/>
        </a:xfrm>
        <a:prstGeom prst="rect">
          <a:avLst/>
        </a:prstGeom>
        <a:solidFill>
          <a:srgbClr val="FFE6B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38.96%</a:t>
          </a:r>
        </a:p>
      </xdr:txBody>
    </xdr:sp>
    <xdr:clientData/>
  </xdr:twoCellAnchor>
  <xdr:twoCellAnchor>
    <xdr:from>
      <xdr:col>17</xdr:col>
      <xdr:colOff>323851</xdr:colOff>
      <xdr:row>13</xdr:row>
      <xdr:rowOff>28575</xdr:rowOff>
    </xdr:from>
    <xdr:to>
      <xdr:col>19</xdr:col>
      <xdr:colOff>38100</xdr:colOff>
      <xdr:row>14</xdr:row>
      <xdr:rowOff>66675</xdr:rowOff>
    </xdr:to>
    <xdr:sp macro="" textlink="">
      <xdr:nvSpPr>
        <xdr:cNvPr id="19" name="TextBox 18"/>
        <xdr:cNvSpPr txBox="1"/>
      </xdr:nvSpPr>
      <xdr:spPr>
        <a:xfrm>
          <a:off x="7858126" y="2095500"/>
          <a:ext cx="457199" cy="200025"/>
        </a:xfrm>
        <a:prstGeom prst="rect">
          <a:avLst/>
        </a:prstGeom>
        <a:solidFill>
          <a:srgbClr val="FFD1D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4.21%</a:t>
          </a:r>
        </a:p>
      </xdr:txBody>
    </xdr:sp>
    <xdr:clientData/>
  </xdr:twoCellAnchor>
  <xdr:twoCellAnchor>
    <xdr:from>
      <xdr:col>16</xdr:col>
      <xdr:colOff>361951</xdr:colOff>
      <xdr:row>11</xdr:row>
      <xdr:rowOff>95250</xdr:rowOff>
    </xdr:from>
    <xdr:to>
      <xdr:col>17</xdr:col>
      <xdr:colOff>295275</xdr:colOff>
      <xdr:row>12</xdr:row>
      <xdr:rowOff>114300</xdr:rowOff>
    </xdr:to>
    <xdr:sp macro="" textlink="">
      <xdr:nvSpPr>
        <xdr:cNvPr id="20" name="TextBox 19"/>
        <xdr:cNvSpPr txBox="1"/>
      </xdr:nvSpPr>
      <xdr:spPr>
        <a:xfrm>
          <a:off x="7286626" y="1809750"/>
          <a:ext cx="542924" cy="209550"/>
        </a:xfrm>
        <a:prstGeom prst="rect">
          <a:avLst/>
        </a:prstGeom>
        <a:solidFill>
          <a:srgbClr val="FFC1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56.83%</a:t>
          </a:r>
        </a:p>
      </xdr:txBody>
    </xdr:sp>
    <xdr:clientData/>
  </xdr:twoCellAnchor>
  <xdr:twoCellAnchor>
    <xdr:from>
      <xdr:col>2</xdr:col>
      <xdr:colOff>85726</xdr:colOff>
      <xdr:row>7</xdr:row>
      <xdr:rowOff>95250</xdr:rowOff>
    </xdr:from>
    <xdr:to>
      <xdr:col>5</xdr:col>
      <xdr:colOff>304800</xdr:colOff>
      <xdr:row>11</xdr:row>
      <xdr:rowOff>95251</xdr:rowOff>
    </xdr:to>
    <xdr:cxnSp macro="">
      <xdr:nvCxnSpPr>
        <xdr:cNvPr id="21" name="Straight Arrow Connector 20"/>
        <xdr:cNvCxnSpPr/>
      </xdr:nvCxnSpPr>
      <xdr:spPr>
        <a:xfrm flipV="1">
          <a:off x="828676" y="971550"/>
          <a:ext cx="1666874" cy="676276"/>
        </a:xfrm>
        <a:prstGeom prst="straightConnector1">
          <a:avLst/>
        </a:prstGeom>
        <a:ln>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400052</xdr:colOff>
      <xdr:row>8</xdr:row>
      <xdr:rowOff>142877</xdr:rowOff>
    </xdr:from>
    <xdr:to>
      <xdr:col>4</xdr:col>
      <xdr:colOff>533402</xdr:colOff>
      <xdr:row>10</xdr:row>
      <xdr:rowOff>38101</xdr:rowOff>
    </xdr:to>
    <xdr:sp macro="" textlink="">
      <xdr:nvSpPr>
        <xdr:cNvPr id="22" name="TextBox 21"/>
        <xdr:cNvSpPr txBox="1"/>
      </xdr:nvSpPr>
      <xdr:spPr>
        <a:xfrm rot="20289846">
          <a:off x="1143002" y="1209677"/>
          <a:ext cx="971550" cy="219074"/>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CAGR:</a:t>
          </a:r>
          <a:r>
            <a:rPr lang="en-US" sz="900" baseline="0">
              <a:latin typeface="Montserrat Medium" panose="00000600000000000000" pitchFamily="2" charset="0"/>
            </a:rPr>
            <a:t> 23.38%</a:t>
          </a:r>
          <a:endParaRPr lang="en-US" sz="900">
            <a:latin typeface="Montserrat Medium" panose="00000600000000000000" pitchFamily="2" charset="0"/>
          </a:endParaRPr>
        </a:p>
      </xdr:txBody>
    </xdr:sp>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1000125</xdr:colOff>
      <xdr:row>8</xdr:row>
      <xdr:rowOff>0</xdr:rowOff>
    </xdr:from>
    <xdr:to>
      <xdr:col>27</xdr:col>
      <xdr:colOff>819150</xdr:colOff>
      <xdr:row>9</xdr:row>
      <xdr:rowOff>104775</xdr:rowOff>
    </xdr:to>
    <xdr:sp macro="" textlink="">
      <xdr:nvSpPr>
        <xdr:cNvPr id="25" name="TextBox 24"/>
        <xdr:cNvSpPr txBox="1"/>
      </xdr:nvSpPr>
      <xdr:spPr>
        <a:xfrm>
          <a:off x="11001375" y="10668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1000125</xdr:colOff>
      <xdr:row>10</xdr:row>
      <xdr:rowOff>15875</xdr:rowOff>
    </xdr:from>
    <xdr:to>
      <xdr:col>27</xdr:col>
      <xdr:colOff>1114425</xdr:colOff>
      <xdr:row>11</xdr:row>
      <xdr:rowOff>120650</xdr:rowOff>
    </xdr:to>
    <xdr:sp macro="" textlink="">
      <xdr:nvSpPr>
        <xdr:cNvPr id="26" name="TextBox 25"/>
        <xdr:cNvSpPr txBox="1"/>
      </xdr:nvSpPr>
      <xdr:spPr>
        <a:xfrm>
          <a:off x="11001375" y="1406525"/>
          <a:ext cx="1323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1000125</xdr:colOff>
      <xdr:row>12</xdr:row>
      <xdr:rowOff>3175</xdr:rowOff>
    </xdr:from>
    <xdr:to>
      <xdr:col>27</xdr:col>
      <xdr:colOff>666751</xdr:colOff>
      <xdr:row>13</xdr:row>
      <xdr:rowOff>107950</xdr:rowOff>
    </xdr:to>
    <xdr:sp macro="" textlink="">
      <xdr:nvSpPr>
        <xdr:cNvPr id="27" name="TextBox 26"/>
        <xdr:cNvSpPr txBox="1"/>
      </xdr:nvSpPr>
      <xdr:spPr>
        <a:xfrm>
          <a:off x="11001375" y="17462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1000125</xdr:colOff>
      <xdr:row>14</xdr:row>
      <xdr:rowOff>19050</xdr:rowOff>
    </xdr:from>
    <xdr:to>
      <xdr:col>27</xdr:col>
      <xdr:colOff>666751</xdr:colOff>
      <xdr:row>15</xdr:row>
      <xdr:rowOff>95250</xdr:rowOff>
    </xdr:to>
    <xdr:sp macro="" textlink="">
      <xdr:nvSpPr>
        <xdr:cNvPr id="31" name="TextBox 30"/>
        <xdr:cNvSpPr txBox="1"/>
      </xdr:nvSpPr>
      <xdr:spPr>
        <a:xfrm>
          <a:off x="11001375" y="2085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25</xdr:col>
      <xdr:colOff>457200</xdr:colOff>
      <xdr:row>8</xdr:row>
      <xdr:rowOff>57151</xdr:rowOff>
    </xdr:from>
    <xdr:to>
      <xdr:col>25</xdr:col>
      <xdr:colOff>800100</xdr:colOff>
      <xdr:row>9</xdr:row>
      <xdr:rowOff>76200</xdr:rowOff>
    </xdr:to>
    <xdr:sp macro="" textlink="">
      <xdr:nvSpPr>
        <xdr:cNvPr id="33" name="TextBox 32"/>
        <xdr:cNvSpPr txBox="1"/>
      </xdr:nvSpPr>
      <xdr:spPr>
        <a:xfrm>
          <a:off x="10458450" y="1123951"/>
          <a:ext cx="342900" cy="180974"/>
        </a:xfrm>
        <a:prstGeom prst="rect">
          <a:avLst/>
        </a:prstGeom>
        <a:solidFill>
          <a:srgbClr val="FFCC6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8.0</a:t>
          </a:r>
        </a:p>
      </xdr:txBody>
    </xdr:sp>
    <xdr:clientData/>
  </xdr:twoCellAnchor>
  <xdr:twoCellAnchor>
    <xdr:from>
      <xdr:col>25</xdr:col>
      <xdr:colOff>419101</xdr:colOff>
      <xdr:row>10</xdr:row>
      <xdr:rowOff>104775</xdr:rowOff>
    </xdr:from>
    <xdr:to>
      <xdr:col>25</xdr:col>
      <xdr:colOff>819150</xdr:colOff>
      <xdr:row>11</xdr:row>
      <xdr:rowOff>123825</xdr:rowOff>
    </xdr:to>
    <xdr:sp macro="" textlink="">
      <xdr:nvSpPr>
        <xdr:cNvPr id="34" name="TextBox 33"/>
        <xdr:cNvSpPr txBox="1"/>
      </xdr:nvSpPr>
      <xdr:spPr>
        <a:xfrm>
          <a:off x="10420351" y="1495425"/>
          <a:ext cx="400049" cy="180975"/>
        </a:xfrm>
        <a:prstGeom prst="rect">
          <a:avLst/>
        </a:prstGeom>
        <a:solidFill>
          <a:srgbClr val="9E000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solidFill>
                <a:schemeClr val="bg1"/>
              </a:solidFill>
              <a:latin typeface="Montserrat Medium" panose="00000600000000000000" pitchFamily="2" charset="0"/>
              <a:cs typeface="Catamaran" pitchFamily="2" charset="0"/>
            </a:rPr>
            <a:t>10.0</a:t>
          </a:r>
        </a:p>
      </xdr:txBody>
    </xdr:sp>
    <xdr:clientData/>
  </xdr:twoCellAnchor>
  <xdr:twoCellAnchor>
    <xdr:from>
      <xdr:col>25</xdr:col>
      <xdr:colOff>457201</xdr:colOff>
      <xdr:row>12</xdr:row>
      <xdr:rowOff>95249</xdr:rowOff>
    </xdr:from>
    <xdr:to>
      <xdr:col>25</xdr:col>
      <xdr:colOff>800100</xdr:colOff>
      <xdr:row>13</xdr:row>
      <xdr:rowOff>133349</xdr:rowOff>
    </xdr:to>
    <xdr:sp macro="" textlink="">
      <xdr:nvSpPr>
        <xdr:cNvPr id="35" name="TextBox 34"/>
        <xdr:cNvSpPr txBox="1"/>
      </xdr:nvSpPr>
      <xdr:spPr>
        <a:xfrm>
          <a:off x="10458451" y="1838324"/>
          <a:ext cx="342899" cy="200025"/>
        </a:xfrm>
        <a:prstGeom prst="rect">
          <a:avLst/>
        </a:prstGeom>
        <a:solidFill>
          <a:srgbClr val="FFB7B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7.0</a:t>
          </a:r>
        </a:p>
      </xdr:txBody>
    </xdr:sp>
    <xdr:clientData/>
  </xdr:twoCellAnchor>
  <xdr:twoCellAnchor>
    <xdr:from>
      <xdr:col>25</xdr:col>
      <xdr:colOff>457201</xdr:colOff>
      <xdr:row>14</xdr:row>
      <xdr:rowOff>28574</xdr:rowOff>
    </xdr:from>
    <xdr:to>
      <xdr:col>25</xdr:col>
      <xdr:colOff>800100</xdr:colOff>
      <xdr:row>15</xdr:row>
      <xdr:rowOff>38099</xdr:rowOff>
    </xdr:to>
    <xdr:sp macro="" textlink="">
      <xdr:nvSpPr>
        <xdr:cNvPr id="37" name="TextBox 36"/>
        <xdr:cNvSpPr txBox="1"/>
      </xdr:nvSpPr>
      <xdr:spPr>
        <a:xfrm>
          <a:off x="10458451" y="2095499"/>
          <a:ext cx="342899" cy="200025"/>
        </a:xfrm>
        <a:prstGeom prst="rect">
          <a:avLst/>
        </a:prstGeom>
        <a:solidFill>
          <a:srgbClr val="FFE6B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6.0</a:t>
          </a:r>
        </a:p>
      </xdr:txBody>
    </xdr:sp>
    <xdr:clientData/>
  </xdr:twoCellAnchor>
  <xdr:twoCellAnchor>
    <xdr:from>
      <xdr:col>0</xdr:col>
      <xdr:colOff>76200</xdr:colOff>
      <xdr:row>19</xdr:row>
      <xdr:rowOff>66675</xdr:rowOff>
    </xdr:from>
    <xdr:to>
      <xdr:col>4</xdr:col>
      <xdr:colOff>400050</xdr:colOff>
      <xdr:row>30</xdr:row>
      <xdr:rowOff>38099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323850</xdr:colOff>
      <xdr:row>19</xdr:row>
      <xdr:rowOff>0</xdr:rowOff>
    </xdr:from>
    <xdr:to>
      <xdr:col>5</xdr:col>
      <xdr:colOff>590551</xdr:colOff>
      <xdr:row>20</xdr:row>
      <xdr:rowOff>104775</xdr:rowOff>
    </xdr:to>
    <xdr:sp macro="" textlink="">
      <xdr:nvSpPr>
        <xdr:cNvPr id="39" name="TextBox 38"/>
        <xdr:cNvSpPr txBox="1"/>
      </xdr:nvSpPr>
      <xdr:spPr>
        <a:xfrm>
          <a:off x="1905000" y="279082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USA - </a:t>
          </a:r>
          <a:r>
            <a:rPr lang="en-US" sz="800">
              <a:latin typeface="Montserrat SemiBold" panose="00000700000000000000" pitchFamily="2" charset="0"/>
              <a:cs typeface="Catamaran" pitchFamily="2" charset="0"/>
            </a:rPr>
            <a:t>41.23%</a:t>
          </a:r>
          <a:endParaRPr lang="en-US" sz="900">
            <a:latin typeface="Montserrat SemiBold" panose="00000700000000000000" pitchFamily="2" charset="0"/>
            <a:cs typeface="Catamaran" pitchFamily="2" charset="0"/>
          </a:endParaRPr>
        </a:p>
      </xdr:txBody>
    </xdr:sp>
    <xdr:clientData/>
  </xdr:twoCellAnchor>
  <xdr:twoCellAnchor>
    <xdr:from>
      <xdr:col>4</xdr:col>
      <xdr:colOff>323850</xdr:colOff>
      <xdr:row>20</xdr:row>
      <xdr:rowOff>19050</xdr:rowOff>
    </xdr:from>
    <xdr:to>
      <xdr:col>6</xdr:col>
      <xdr:colOff>57150</xdr:colOff>
      <xdr:row>21</xdr:row>
      <xdr:rowOff>85725</xdr:rowOff>
    </xdr:to>
    <xdr:sp macro="" textlink="">
      <xdr:nvSpPr>
        <xdr:cNvPr id="40" name="TextBox 39"/>
        <xdr:cNvSpPr txBox="1"/>
      </xdr:nvSpPr>
      <xdr:spPr>
        <a:xfrm>
          <a:off x="1905000" y="2971800"/>
          <a:ext cx="9525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France -</a:t>
          </a:r>
          <a:r>
            <a:rPr lang="en-US" sz="900" baseline="0">
              <a:latin typeface="Catamaran" pitchFamily="2" charset="0"/>
              <a:cs typeface="Catamaran" pitchFamily="2" charset="0"/>
            </a:rPr>
            <a:t> </a:t>
          </a:r>
          <a:r>
            <a:rPr lang="en-US" sz="800" baseline="0">
              <a:latin typeface="Montserrat SemiBold" panose="00000700000000000000" pitchFamily="2" charset="0"/>
              <a:cs typeface="Catamaran" pitchFamily="2" charset="0"/>
            </a:rPr>
            <a:t>10.74%</a:t>
          </a:r>
          <a:endParaRPr lang="en-US" sz="800">
            <a:latin typeface="Montserrat SemiBold" panose="00000700000000000000" pitchFamily="2" charset="0"/>
            <a:cs typeface="Catamaran" pitchFamily="2" charset="0"/>
          </a:endParaRPr>
        </a:p>
      </xdr:txBody>
    </xdr:sp>
    <xdr:clientData/>
  </xdr:twoCellAnchor>
  <xdr:twoCellAnchor>
    <xdr:from>
      <xdr:col>4</xdr:col>
      <xdr:colOff>323850</xdr:colOff>
      <xdr:row>20</xdr:row>
      <xdr:rowOff>200025</xdr:rowOff>
    </xdr:from>
    <xdr:to>
      <xdr:col>5</xdr:col>
      <xdr:colOff>581026</xdr:colOff>
      <xdr:row>22</xdr:row>
      <xdr:rowOff>66675</xdr:rowOff>
    </xdr:to>
    <xdr:sp macro="" textlink="">
      <xdr:nvSpPr>
        <xdr:cNvPr id="41" name="TextBox 40"/>
        <xdr:cNvSpPr txBox="1"/>
      </xdr:nvSpPr>
      <xdr:spPr>
        <a:xfrm>
          <a:off x="1905000" y="3152775"/>
          <a:ext cx="866776"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China - </a:t>
          </a:r>
          <a:r>
            <a:rPr lang="en-US" sz="800">
              <a:latin typeface="Montserrat SemiBold" panose="00000700000000000000" pitchFamily="2" charset="0"/>
              <a:cs typeface="Catamaran" pitchFamily="2" charset="0"/>
            </a:rPr>
            <a:t>4.92%</a:t>
          </a:r>
          <a:endParaRPr lang="en-US" sz="900">
            <a:latin typeface="Montserrat SemiBold" panose="00000700000000000000" pitchFamily="2" charset="0"/>
            <a:cs typeface="Catamaran" pitchFamily="2" charset="0"/>
          </a:endParaRPr>
        </a:p>
      </xdr:txBody>
    </xdr:sp>
    <xdr:clientData/>
  </xdr:twoCellAnchor>
  <xdr:twoCellAnchor>
    <xdr:from>
      <xdr:col>4</xdr:col>
      <xdr:colOff>323850</xdr:colOff>
      <xdr:row>21</xdr:row>
      <xdr:rowOff>142874</xdr:rowOff>
    </xdr:from>
    <xdr:to>
      <xdr:col>5</xdr:col>
      <xdr:colOff>533400</xdr:colOff>
      <xdr:row>23</xdr:row>
      <xdr:rowOff>19049</xdr:rowOff>
    </xdr:to>
    <xdr:sp macro="" textlink="">
      <xdr:nvSpPr>
        <xdr:cNvPr id="42" name="TextBox 41"/>
        <xdr:cNvSpPr txBox="1"/>
      </xdr:nvSpPr>
      <xdr:spPr>
        <a:xfrm>
          <a:off x="1905000" y="3333749"/>
          <a:ext cx="819150"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Italy - </a:t>
          </a:r>
          <a:r>
            <a:rPr lang="en-US" sz="800">
              <a:latin typeface="Montserrat SemiBold" panose="00000700000000000000" pitchFamily="2" charset="0"/>
              <a:cs typeface="Catamaran" pitchFamily="2" charset="0"/>
            </a:rPr>
            <a:t>6.88%</a:t>
          </a:r>
        </a:p>
      </xdr:txBody>
    </xdr:sp>
    <xdr:clientData/>
  </xdr:twoCellAnchor>
  <xdr:twoCellAnchor>
    <xdr:from>
      <xdr:col>4</xdr:col>
      <xdr:colOff>323849</xdr:colOff>
      <xdr:row>23</xdr:row>
      <xdr:rowOff>9524</xdr:rowOff>
    </xdr:from>
    <xdr:to>
      <xdr:col>7</xdr:col>
      <xdr:colOff>66674</xdr:colOff>
      <xdr:row>24</xdr:row>
      <xdr:rowOff>142874</xdr:rowOff>
    </xdr:to>
    <xdr:sp macro="" textlink="">
      <xdr:nvSpPr>
        <xdr:cNvPr id="43" name="TextBox 42"/>
        <xdr:cNvSpPr txBox="1"/>
      </xdr:nvSpPr>
      <xdr:spPr>
        <a:xfrm>
          <a:off x="1904999" y="3524249"/>
          <a:ext cx="10572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Brazil - </a:t>
          </a:r>
          <a:r>
            <a:rPr lang="en-US" sz="800">
              <a:latin typeface="Montserrat SemiBold" panose="00000700000000000000" pitchFamily="2" charset="0"/>
              <a:cs typeface="Catamaran" pitchFamily="2" charset="0"/>
            </a:rPr>
            <a:t>4.33%</a:t>
          </a:r>
        </a:p>
      </xdr:txBody>
    </xdr:sp>
    <xdr:clientData/>
  </xdr:twoCellAnchor>
  <xdr:twoCellAnchor>
    <xdr:from>
      <xdr:col>4</xdr:col>
      <xdr:colOff>323850</xdr:colOff>
      <xdr:row>24</xdr:row>
      <xdr:rowOff>38100</xdr:rowOff>
    </xdr:from>
    <xdr:to>
      <xdr:col>5</xdr:col>
      <xdr:colOff>447675</xdr:colOff>
      <xdr:row>25</xdr:row>
      <xdr:rowOff>142875</xdr:rowOff>
    </xdr:to>
    <xdr:sp macro="" textlink="">
      <xdr:nvSpPr>
        <xdr:cNvPr id="44" name="TextBox 43"/>
        <xdr:cNvSpPr txBox="1"/>
      </xdr:nvSpPr>
      <xdr:spPr>
        <a:xfrm>
          <a:off x="1905000" y="3714750"/>
          <a:ext cx="7334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UK - </a:t>
          </a:r>
          <a:r>
            <a:rPr lang="en-US" sz="800">
              <a:latin typeface="Montserrat SemiBold" panose="00000700000000000000" pitchFamily="2" charset="0"/>
              <a:cs typeface="Catamaran" pitchFamily="2" charset="0"/>
            </a:rPr>
            <a:t>9.43%</a:t>
          </a:r>
          <a:endParaRPr lang="en-US" sz="900">
            <a:latin typeface="Montserrat SemiBold" panose="00000700000000000000" pitchFamily="2" charset="0"/>
            <a:cs typeface="Catamaran" pitchFamily="2" charset="0"/>
          </a:endParaRPr>
        </a:p>
      </xdr:txBody>
    </xdr:sp>
    <xdr:clientData/>
  </xdr:twoCellAnchor>
  <xdr:twoCellAnchor>
    <xdr:from>
      <xdr:col>4</xdr:col>
      <xdr:colOff>323850</xdr:colOff>
      <xdr:row>24</xdr:row>
      <xdr:rowOff>219075</xdr:rowOff>
    </xdr:from>
    <xdr:to>
      <xdr:col>5</xdr:col>
      <xdr:colOff>552450</xdr:colOff>
      <xdr:row>26</xdr:row>
      <xdr:rowOff>76200</xdr:rowOff>
    </xdr:to>
    <xdr:sp macro="" textlink="">
      <xdr:nvSpPr>
        <xdr:cNvPr id="45" name="TextBox 44"/>
        <xdr:cNvSpPr txBox="1"/>
      </xdr:nvSpPr>
      <xdr:spPr>
        <a:xfrm>
          <a:off x="1905000" y="3895725"/>
          <a:ext cx="8382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Spain - </a:t>
          </a:r>
          <a:r>
            <a:rPr lang="en-US" sz="800">
              <a:latin typeface="Montserrat SemiBold" panose="00000700000000000000" pitchFamily="2" charset="0"/>
              <a:cs typeface="Catamaran" pitchFamily="2" charset="0"/>
            </a:rPr>
            <a:t>7.55%</a:t>
          </a:r>
        </a:p>
      </xdr:txBody>
    </xdr:sp>
    <xdr:clientData/>
  </xdr:twoCellAnchor>
  <xdr:twoCellAnchor>
    <xdr:from>
      <xdr:col>4</xdr:col>
      <xdr:colOff>323850</xdr:colOff>
      <xdr:row>26</xdr:row>
      <xdr:rowOff>0</xdr:rowOff>
    </xdr:from>
    <xdr:to>
      <xdr:col>6</xdr:col>
      <xdr:colOff>76200</xdr:colOff>
      <xdr:row>27</xdr:row>
      <xdr:rowOff>104775</xdr:rowOff>
    </xdr:to>
    <xdr:sp macro="" textlink="">
      <xdr:nvSpPr>
        <xdr:cNvPr id="46" name="TextBox 45"/>
        <xdr:cNvSpPr txBox="1"/>
      </xdr:nvSpPr>
      <xdr:spPr>
        <a:xfrm>
          <a:off x="1905000" y="4086225"/>
          <a:ext cx="97155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Mexico - </a:t>
          </a:r>
          <a:r>
            <a:rPr lang="en-US" sz="800">
              <a:latin typeface="Montserrat SemiBold" panose="00000700000000000000" pitchFamily="2" charset="0"/>
              <a:cs typeface="Catamaran" pitchFamily="2" charset="0"/>
            </a:rPr>
            <a:t>5.27%</a:t>
          </a:r>
        </a:p>
      </xdr:txBody>
    </xdr:sp>
    <xdr:clientData/>
  </xdr:twoCellAnchor>
  <xdr:twoCellAnchor>
    <xdr:from>
      <xdr:col>4</xdr:col>
      <xdr:colOff>323850</xdr:colOff>
      <xdr:row>27</xdr:row>
      <xdr:rowOff>28575</xdr:rowOff>
    </xdr:from>
    <xdr:to>
      <xdr:col>7</xdr:col>
      <xdr:colOff>28576</xdr:colOff>
      <xdr:row>28</xdr:row>
      <xdr:rowOff>133350</xdr:rowOff>
    </xdr:to>
    <xdr:sp macro="" textlink="">
      <xdr:nvSpPr>
        <xdr:cNvPr id="47" name="TextBox 46"/>
        <xdr:cNvSpPr txBox="1"/>
      </xdr:nvSpPr>
      <xdr:spPr>
        <a:xfrm>
          <a:off x="1905000" y="4276725"/>
          <a:ext cx="1019176"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Germany - </a:t>
          </a:r>
          <a:r>
            <a:rPr lang="en-US" sz="800">
              <a:latin typeface="Montserrat SemiBold" panose="00000700000000000000" pitchFamily="2" charset="0"/>
              <a:cs typeface="Catamaran" pitchFamily="2" charset="0"/>
            </a:rPr>
            <a:t>4.09%</a:t>
          </a:r>
        </a:p>
      </xdr:txBody>
    </xdr:sp>
    <xdr:clientData/>
  </xdr:twoCellAnchor>
  <xdr:twoCellAnchor>
    <xdr:from>
      <xdr:col>4</xdr:col>
      <xdr:colOff>323850</xdr:colOff>
      <xdr:row>28</xdr:row>
      <xdr:rowOff>57150</xdr:rowOff>
    </xdr:from>
    <xdr:to>
      <xdr:col>6</xdr:col>
      <xdr:colOff>76200</xdr:colOff>
      <xdr:row>30</xdr:row>
      <xdr:rowOff>0</xdr:rowOff>
    </xdr:to>
    <xdr:sp macro="" textlink="">
      <xdr:nvSpPr>
        <xdr:cNvPr id="48" name="TextBox 47"/>
        <xdr:cNvSpPr txBox="1"/>
      </xdr:nvSpPr>
      <xdr:spPr>
        <a:xfrm>
          <a:off x="1905000" y="4467225"/>
          <a:ext cx="97155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Canada - </a:t>
          </a:r>
          <a:r>
            <a:rPr lang="en-US" sz="800">
              <a:latin typeface="Montserrat SemiBold" panose="00000700000000000000" pitchFamily="2" charset="0"/>
              <a:cs typeface="Catamaran" pitchFamily="2" charset="0"/>
            </a:rPr>
            <a:t>5.56%</a:t>
          </a:r>
        </a:p>
      </xdr:txBody>
    </xdr:sp>
    <xdr:clientData/>
  </xdr:twoCellAnchor>
  <xdr:twoCellAnchor>
    <xdr:from>
      <xdr:col>7</xdr:col>
      <xdr:colOff>19050</xdr:colOff>
      <xdr:row>19</xdr:row>
      <xdr:rowOff>9525</xdr:rowOff>
    </xdr:from>
    <xdr:to>
      <xdr:col>14</xdr:col>
      <xdr:colOff>685799</xdr:colOff>
      <xdr:row>30</xdr:row>
      <xdr:rowOff>28575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352425</xdr:colOff>
      <xdr:row>19</xdr:row>
      <xdr:rowOff>76200</xdr:rowOff>
    </xdr:from>
    <xdr:to>
      <xdr:col>14</xdr:col>
      <xdr:colOff>619126</xdr:colOff>
      <xdr:row>21</xdr:row>
      <xdr:rowOff>19050</xdr:rowOff>
    </xdr:to>
    <xdr:sp macro="" textlink="">
      <xdr:nvSpPr>
        <xdr:cNvPr id="50" name="TextBox 49"/>
        <xdr:cNvSpPr txBox="1"/>
      </xdr:nvSpPr>
      <xdr:spPr>
        <a:xfrm>
          <a:off x="5876925" y="286702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13</xdr:col>
      <xdr:colOff>361950</xdr:colOff>
      <xdr:row>20</xdr:row>
      <xdr:rowOff>180975</xdr:rowOff>
    </xdr:from>
    <xdr:to>
      <xdr:col>15</xdr:col>
      <xdr:colOff>0</xdr:colOff>
      <xdr:row>22</xdr:row>
      <xdr:rowOff>47625</xdr:rowOff>
    </xdr:to>
    <xdr:sp macro="" textlink="">
      <xdr:nvSpPr>
        <xdr:cNvPr id="51" name="TextBox 50"/>
        <xdr:cNvSpPr txBox="1"/>
      </xdr:nvSpPr>
      <xdr:spPr>
        <a:xfrm>
          <a:off x="5886450" y="3133725"/>
          <a:ext cx="942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13</xdr:col>
      <xdr:colOff>171449</xdr:colOff>
      <xdr:row>19</xdr:row>
      <xdr:rowOff>152400</xdr:rowOff>
    </xdr:from>
    <xdr:to>
      <xdr:col>13</xdr:col>
      <xdr:colOff>333375</xdr:colOff>
      <xdr:row>20</xdr:row>
      <xdr:rowOff>152400</xdr:rowOff>
    </xdr:to>
    <xdr:sp macro="" textlink="">
      <xdr:nvSpPr>
        <xdr:cNvPr id="52" name="Rounded Rectangle 51"/>
        <xdr:cNvSpPr/>
      </xdr:nvSpPr>
      <xdr:spPr>
        <a:xfrm>
          <a:off x="5695949" y="2943225"/>
          <a:ext cx="161926" cy="161925"/>
        </a:xfrm>
        <a:prstGeom prst="roundRect">
          <a:avLst/>
        </a:prstGeom>
        <a:solidFill>
          <a:srgbClr val="FF5A5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171449</xdr:colOff>
      <xdr:row>21</xdr:row>
      <xdr:rowOff>19050</xdr:rowOff>
    </xdr:from>
    <xdr:to>
      <xdr:col>13</xdr:col>
      <xdr:colOff>333375</xdr:colOff>
      <xdr:row>22</xdr:row>
      <xdr:rowOff>19050</xdr:rowOff>
    </xdr:to>
    <xdr:sp macro="" textlink="">
      <xdr:nvSpPr>
        <xdr:cNvPr id="53" name="Rounded Rectangle 52"/>
        <xdr:cNvSpPr/>
      </xdr:nvSpPr>
      <xdr:spPr>
        <a:xfrm>
          <a:off x="5695949" y="3209925"/>
          <a:ext cx="161926" cy="161925"/>
        </a:xfrm>
        <a:prstGeom prst="roundRect">
          <a:avLst/>
        </a:prstGeom>
        <a:solidFill>
          <a:srgbClr val="FFD1D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228602</xdr:colOff>
      <xdr:row>7</xdr:row>
      <xdr:rowOff>85727</xdr:rowOff>
    </xdr:from>
    <xdr:to>
      <xdr:col>14</xdr:col>
      <xdr:colOff>676275</xdr:colOff>
      <xdr:row>8</xdr:row>
      <xdr:rowOff>123825</xdr:rowOff>
    </xdr:to>
    <xdr:sp macro="" textlink="">
      <xdr:nvSpPr>
        <xdr:cNvPr id="54" name="TextBox 53"/>
        <xdr:cNvSpPr txBox="1"/>
      </xdr:nvSpPr>
      <xdr:spPr>
        <a:xfrm>
          <a:off x="5048252" y="962027"/>
          <a:ext cx="1762123" cy="228598"/>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Median EBIT Margin:</a:t>
          </a:r>
          <a:r>
            <a:rPr lang="en-US" sz="900" baseline="0">
              <a:latin typeface="Montserrat Medium" panose="00000600000000000000" pitchFamily="2" charset="0"/>
            </a:rPr>
            <a:t> 6.88%</a:t>
          </a:r>
          <a:endParaRPr lang="en-US" sz="900">
            <a:latin typeface="Montserrat Medium" panose="00000600000000000000" pitchFamily="2" charset="0"/>
          </a:endParaRPr>
        </a:p>
      </xdr:txBody>
    </xdr:sp>
    <xdr:clientData/>
  </xdr:twoCellAnchor>
  <xdr:twoCellAnchor editAs="oneCell">
    <xdr:from>
      <xdr:col>22</xdr:col>
      <xdr:colOff>76200</xdr:colOff>
      <xdr:row>19</xdr:row>
      <xdr:rowOff>38100</xdr:rowOff>
    </xdr:from>
    <xdr:to>
      <xdr:col>28</xdr:col>
      <xdr:colOff>9526</xdr:colOff>
      <xdr:row>29</xdr:row>
      <xdr:rowOff>114300</xdr:rowOff>
    </xdr:to>
    <xdr:pic>
      <xdr:nvPicPr>
        <xdr:cNvPr id="3" name="Picture 2"/>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7939" t="5882" r="3552" b="7059"/>
        <a:stretch/>
      </xdr:blipFill>
      <xdr:spPr>
        <a:xfrm>
          <a:off x="9153525" y="2828925"/>
          <a:ext cx="328612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6</xdr:row>
      <xdr:rowOff>19049</xdr:rowOff>
    </xdr:from>
    <xdr:to>
      <xdr:col>4</xdr:col>
      <xdr:colOff>828675</xdr:colOff>
      <xdr:row>29</xdr:row>
      <xdr:rowOff>9524</xdr:rowOff>
    </xdr:to>
    <xdr:sp macro="" textlink="">
      <xdr:nvSpPr>
        <xdr:cNvPr id="3" name="TextBox 2"/>
        <xdr:cNvSpPr txBox="1"/>
      </xdr:nvSpPr>
      <xdr:spPr>
        <a:xfrm>
          <a:off x="152402" y="981074"/>
          <a:ext cx="3895723" cy="3495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Airbnb:</a:t>
          </a:r>
        </a:p>
        <a:p>
          <a:endParaRPr lang="en-US" sz="800" b="1">
            <a:latin typeface="Arial" panose="020B0604020202020204" pitchFamily="34" charset="0"/>
            <a:cs typeface="Arial" panose="020B0604020202020204" pitchFamily="34" charset="0"/>
          </a:endParaRPr>
        </a:p>
        <a:p>
          <a:r>
            <a:rPr lang="en-US" sz="1100" b="0" i="0">
              <a:solidFill>
                <a:schemeClr val="dk1"/>
              </a:solidFill>
              <a:effectLst/>
              <a:latin typeface="+mn-lt"/>
              <a:ea typeface="+mn-ea"/>
              <a:cs typeface="+mn-cs"/>
            </a:rPr>
            <a:t>Airbnb is a online marketplace and hospitality service that enables people to lease or rent short-term lodging including holiday cottages, apartments, homestays, hostel beds, or hotel rooms. It acts as a broker and receives a commission from both the guests and hosts in return for its services.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basic business model of Airbnb involves three main parties:</a:t>
          </a:r>
        </a:p>
        <a:p>
          <a:r>
            <a:rPr lang="en-US" sz="1100" b="0" i="0">
              <a:solidFill>
                <a:schemeClr val="dk1"/>
              </a:solidFill>
              <a:effectLst/>
              <a:latin typeface="+mn-lt"/>
              <a:ea typeface="+mn-ea"/>
              <a:cs typeface="+mn-cs"/>
            </a:rPr>
            <a:t>1. Hosts: Individuals or property owners who list their properties on Airbnb for short-term rental.</a:t>
          </a:r>
        </a:p>
        <a:p>
          <a:r>
            <a:rPr lang="en-US" sz="1100" b="0" i="0">
              <a:solidFill>
                <a:schemeClr val="dk1"/>
              </a:solidFill>
              <a:effectLst/>
              <a:latin typeface="+mn-lt"/>
              <a:ea typeface="+mn-ea"/>
              <a:cs typeface="+mn-cs"/>
            </a:rPr>
            <a:t>2. Guests: People who are looking for accommodation for their travels and find a suitable property on Airbnb.</a:t>
          </a:r>
        </a:p>
        <a:p>
          <a:r>
            <a:rPr lang="en-US" sz="1100" b="0" i="0">
              <a:solidFill>
                <a:schemeClr val="dk1"/>
              </a:solidFill>
              <a:effectLst/>
              <a:latin typeface="+mn-lt"/>
              <a:ea typeface="+mn-ea"/>
              <a:cs typeface="+mn-cs"/>
            </a:rPr>
            <a:t>3. Airbnb: The platform that connects hosts and guests, provides the booking and payment infrastructure, and takes a percentage of the booking value as a commission.</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In this way, Airbnb earns its revenue by charging a service fee from both the hosts and guests for every booking made through its platform.</a:t>
          </a:r>
        </a:p>
        <a:p>
          <a:endParaRPr lang="en-US" sz="800" b="1">
            <a:latin typeface="Arial" panose="020B0604020202020204" pitchFamily="34" charset="0"/>
            <a:cs typeface="Arial" panose="020B0604020202020204" pitchFamily="34" charset="0"/>
          </a:endParaRPr>
        </a:p>
      </xdr:txBody>
    </xdr:sp>
    <xdr:clientData/>
  </xdr:twoCellAnchor>
  <xdr:twoCellAnchor>
    <xdr:from>
      <xdr:col>4</xdr:col>
      <xdr:colOff>952502</xdr:colOff>
      <xdr:row>3</xdr:row>
      <xdr:rowOff>19049</xdr:rowOff>
    </xdr:from>
    <xdr:to>
      <xdr:col>10</xdr:col>
      <xdr:colOff>228600</xdr:colOff>
      <xdr:row>29</xdr:row>
      <xdr:rowOff>28575</xdr:rowOff>
    </xdr:to>
    <xdr:sp macro="" textlink="">
      <xdr:nvSpPr>
        <xdr:cNvPr id="4" name="TextBox 3"/>
        <xdr:cNvSpPr txBox="1"/>
      </xdr:nvSpPr>
      <xdr:spPr>
        <a:xfrm>
          <a:off x="4171952" y="523874"/>
          <a:ext cx="4114798" cy="3971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SWOT Analysis:</a:t>
          </a:r>
        </a:p>
        <a:p>
          <a:endParaRPr lang="en-US" sz="800" b="1">
            <a:latin typeface="Arial" panose="020B0604020202020204" pitchFamily="34" charset="0"/>
            <a:cs typeface="Arial" panose="020B0604020202020204" pitchFamily="34" charset="0"/>
          </a:endParaRPr>
        </a:p>
        <a:p>
          <a:r>
            <a:rPr lang="en-US" sz="1100" b="0" i="1">
              <a:solidFill>
                <a:schemeClr val="dk1"/>
              </a:solidFill>
              <a:effectLst/>
              <a:latin typeface="+mn-lt"/>
              <a:ea typeface="+mn-ea"/>
              <a:cs typeface="+mn-cs"/>
            </a:rPr>
            <a:t>Strengths:</a:t>
          </a:r>
        </a:p>
        <a:p>
          <a:r>
            <a:rPr lang="en-US" sz="1100" b="1" i="1">
              <a:solidFill>
                <a:schemeClr val="dk1"/>
              </a:solidFill>
              <a:effectLst/>
              <a:latin typeface="+mn-lt"/>
              <a:ea typeface="+mn-ea"/>
              <a:cs typeface="+mn-cs"/>
            </a:rPr>
            <a:t>Large and growing user base: </a:t>
          </a:r>
          <a:r>
            <a:rPr lang="en-US" sz="1100" b="0" i="0">
              <a:solidFill>
                <a:schemeClr val="dk1"/>
              </a:solidFill>
              <a:effectLst/>
              <a:latin typeface="+mn-lt"/>
              <a:ea typeface="+mn-ea"/>
              <a:cs typeface="+mn-cs"/>
            </a:rPr>
            <a:t>Airbnb has a large number of users, both hosts and guests, and a strong brand recognition globally.</a:t>
          </a:r>
        </a:p>
        <a:p>
          <a:r>
            <a:rPr lang="en-US" sz="1100" b="1" i="1">
              <a:solidFill>
                <a:schemeClr val="dk1"/>
              </a:solidFill>
              <a:effectLst/>
              <a:latin typeface="+mn-lt"/>
              <a:ea typeface="+mn-ea"/>
              <a:cs typeface="+mn-cs"/>
            </a:rPr>
            <a:t>Unique offering: </a:t>
          </a:r>
          <a:r>
            <a:rPr lang="en-US" sz="1100" b="0" i="0">
              <a:solidFill>
                <a:schemeClr val="dk1"/>
              </a:solidFill>
              <a:effectLst/>
              <a:latin typeface="+mn-lt"/>
              <a:ea typeface="+mn-ea"/>
              <a:cs typeface="+mn-cs"/>
            </a:rPr>
            <a:t>Airbnb offers unique and locally-situated accommodation options, which sets it apart from traditional hotels and resorts.</a:t>
          </a:r>
        </a:p>
        <a:p>
          <a:r>
            <a:rPr lang="en-US" sz="1100" b="1" i="1">
              <a:solidFill>
                <a:schemeClr val="dk1"/>
              </a:solidFill>
              <a:effectLst/>
              <a:latin typeface="+mn-lt"/>
              <a:ea typeface="+mn-ea"/>
              <a:cs typeface="+mn-cs"/>
            </a:rPr>
            <a:t>Strong technology platform: </a:t>
          </a:r>
          <a:r>
            <a:rPr lang="en-US" sz="1100" b="0" i="0">
              <a:solidFill>
                <a:schemeClr val="dk1"/>
              </a:solidFill>
              <a:effectLst/>
              <a:latin typeface="+mn-lt"/>
              <a:ea typeface="+mn-ea"/>
              <a:cs typeface="+mn-cs"/>
            </a:rPr>
            <a:t>Airbnb has a robust technology platform that supports easy property search, booking, and payment processes for guests and efficient management of listings for hosts.</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Weaknesses:</a:t>
          </a:r>
        </a:p>
        <a:p>
          <a:r>
            <a:rPr lang="en-US" sz="1100" b="1" i="1">
              <a:solidFill>
                <a:schemeClr val="dk1"/>
              </a:solidFill>
              <a:effectLst/>
              <a:latin typeface="+mn-lt"/>
              <a:ea typeface="+mn-ea"/>
              <a:cs typeface="+mn-cs"/>
            </a:rPr>
            <a:t>Regulatory challenges: </a:t>
          </a:r>
          <a:r>
            <a:rPr lang="en-US" sz="1100" b="0" i="0">
              <a:solidFill>
                <a:schemeClr val="dk1"/>
              </a:solidFill>
              <a:effectLst/>
              <a:latin typeface="+mn-lt"/>
              <a:ea typeface="+mn-ea"/>
              <a:cs typeface="+mn-cs"/>
            </a:rPr>
            <a:t>Airbnb faces regulatory challenges in several cities and countries, including zoning laws, taxes, and insurance requirements, which could limit its growth potential.</a:t>
          </a:r>
        </a:p>
        <a:p>
          <a:r>
            <a:rPr lang="en-US" sz="1100" b="1" i="1">
              <a:solidFill>
                <a:schemeClr val="dk1"/>
              </a:solidFill>
              <a:effectLst/>
              <a:latin typeface="+mn-lt"/>
              <a:ea typeface="+mn-ea"/>
              <a:cs typeface="+mn-cs"/>
            </a:rPr>
            <a:t>Quality control issues: </a:t>
          </a:r>
          <a:r>
            <a:rPr lang="en-US" sz="1100" b="0" i="0">
              <a:solidFill>
                <a:schemeClr val="dk1"/>
              </a:solidFill>
              <a:effectLst/>
              <a:latin typeface="+mn-lt"/>
              <a:ea typeface="+mn-ea"/>
              <a:cs typeface="+mn-cs"/>
            </a:rPr>
            <a:t>Airbnb has faced quality control issues, including incidents of fraud, property damage, and safety concerns, which could harm its reputation.</a:t>
          </a:r>
        </a:p>
        <a:p>
          <a:r>
            <a:rPr lang="en-US" sz="1100" b="1" i="1">
              <a:solidFill>
                <a:schemeClr val="dk1"/>
              </a:solidFill>
              <a:effectLst/>
              <a:latin typeface="+mn-lt"/>
              <a:ea typeface="+mn-ea"/>
              <a:cs typeface="+mn-cs"/>
            </a:rPr>
            <a:t>Dependence on property owners: </a:t>
          </a:r>
          <a:r>
            <a:rPr lang="en-US" sz="1100" b="0" i="0">
              <a:solidFill>
                <a:schemeClr val="dk1"/>
              </a:solidFill>
              <a:effectLst/>
              <a:latin typeface="+mn-lt"/>
              <a:ea typeface="+mn-ea"/>
              <a:cs typeface="+mn-cs"/>
            </a:rPr>
            <a:t>Airbnb's business model is dependent on property owners who list their properties on its platform, and it may face challenges in retaining them and attracting new ones.</a:t>
          </a:r>
        </a:p>
      </xdr:txBody>
    </xdr:sp>
    <xdr:clientData/>
  </xdr:twoCellAnchor>
  <xdr:twoCellAnchor>
    <xdr:from>
      <xdr:col>10</xdr:col>
      <xdr:colOff>361951</xdr:colOff>
      <xdr:row>3</xdr:row>
      <xdr:rowOff>19049</xdr:rowOff>
    </xdr:from>
    <xdr:to>
      <xdr:col>16</xdr:col>
      <xdr:colOff>247649</xdr:colOff>
      <xdr:row>29</xdr:row>
      <xdr:rowOff>123825</xdr:rowOff>
    </xdr:to>
    <xdr:sp macro="" textlink="">
      <xdr:nvSpPr>
        <xdr:cNvPr id="5" name="TextBox 4"/>
        <xdr:cNvSpPr txBox="1"/>
      </xdr:nvSpPr>
      <xdr:spPr>
        <a:xfrm>
          <a:off x="8420101" y="523874"/>
          <a:ext cx="3971923" cy="4067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Opportunities:</a:t>
          </a:r>
        </a:p>
        <a:p>
          <a:r>
            <a:rPr lang="en-US" sz="1100" b="1" i="1">
              <a:solidFill>
                <a:schemeClr val="dk1"/>
              </a:solidFill>
              <a:effectLst/>
              <a:latin typeface="+mn-lt"/>
              <a:ea typeface="+mn-ea"/>
              <a:cs typeface="+mn-cs"/>
            </a:rPr>
            <a:t>Expansion into new markets: </a:t>
          </a:r>
          <a:r>
            <a:rPr lang="en-US" sz="1100" b="0" i="0">
              <a:solidFill>
                <a:schemeClr val="dk1"/>
              </a:solidFill>
              <a:effectLst/>
              <a:latin typeface="+mn-lt"/>
              <a:ea typeface="+mn-ea"/>
              <a:cs typeface="+mn-cs"/>
            </a:rPr>
            <a:t>Airbnb has the opportunity to expand into new markets and diversify its offerings, such as experiences, transport, and other travel services.</a:t>
          </a:r>
        </a:p>
        <a:p>
          <a:r>
            <a:rPr lang="en-US" sz="1100" b="1" i="1">
              <a:solidFill>
                <a:schemeClr val="dk1"/>
              </a:solidFill>
              <a:effectLst/>
              <a:latin typeface="+mn-lt"/>
              <a:ea typeface="+mn-ea"/>
              <a:cs typeface="+mn-cs"/>
            </a:rPr>
            <a:t>Partnerships and acquisitions: </a:t>
          </a:r>
          <a:r>
            <a:rPr lang="en-US" sz="1100" b="0" i="0">
              <a:solidFill>
                <a:schemeClr val="dk1"/>
              </a:solidFill>
              <a:effectLst/>
              <a:latin typeface="+mn-lt"/>
              <a:ea typeface="+mn-ea"/>
              <a:cs typeface="+mn-cs"/>
            </a:rPr>
            <a:t>Airbnb can partner with other companies and acquire startups to enhance its offerings and strengthen its market position.</a:t>
          </a:r>
        </a:p>
        <a:p>
          <a:r>
            <a:rPr lang="en-US" sz="1100" b="1" i="1">
              <a:solidFill>
                <a:schemeClr val="dk1"/>
              </a:solidFill>
              <a:effectLst/>
              <a:latin typeface="+mn-lt"/>
              <a:ea typeface="+mn-ea"/>
              <a:cs typeface="+mn-cs"/>
            </a:rPr>
            <a:t>Increased demand for alternative accommodations: </a:t>
          </a:r>
          <a:r>
            <a:rPr lang="en-US" sz="1100" b="0" i="0">
              <a:solidFill>
                <a:schemeClr val="dk1"/>
              </a:solidFill>
              <a:effectLst/>
              <a:latin typeface="+mn-lt"/>
              <a:ea typeface="+mn-ea"/>
              <a:cs typeface="+mn-cs"/>
            </a:rPr>
            <a:t>With the growing popularity of alternative travel options, Airbnb has the opportunity to benefit from increased demand for short-term rental properties.</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Threats:</a:t>
          </a:r>
        </a:p>
        <a:p>
          <a:r>
            <a:rPr lang="en-US" sz="1100" b="1" i="1">
              <a:solidFill>
                <a:schemeClr val="dk1"/>
              </a:solidFill>
              <a:effectLst/>
              <a:latin typeface="+mn-lt"/>
              <a:ea typeface="+mn-ea"/>
              <a:cs typeface="+mn-cs"/>
            </a:rPr>
            <a:t>Competition from established players: </a:t>
          </a:r>
          <a:r>
            <a:rPr lang="en-US" sz="1100" b="0" i="0">
              <a:solidFill>
                <a:schemeClr val="dk1"/>
              </a:solidFill>
              <a:effectLst/>
              <a:latin typeface="+mn-lt"/>
              <a:ea typeface="+mn-ea"/>
              <a:cs typeface="+mn-cs"/>
            </a:rPr>
            <a:t>Airbnb faces intense competition from established players in the travel and hospitality industry, including hotels, online travel agencies, and home-sharing platforms.</a:t>
          </a:r>
        </a:p>
        <a:p>
          <a:r>
            <a:rPr lang="en-US" sz="1100" b="1" i="1">
              <a:solidFill>
                <a:schemeClr val="dk1"/>
              </a:solidFill>
              <a:effectLst/>
              <a:latin typeface="+mn-lt"/>
              <a:ea typeface="+mn-ea"/>
              <a:cs typeface="+mn-cs"/>
            </a:rPr>
            <a:t>Economic downturns:</a:t>
          </a:r>
          <a:r>
            <a:rPr lang="en-US" sz="1100" b="0" i="0">
              <a:solidFill>
                <a:schemeClr val="dk1"/>
              </a:solidFill>
              <a:effectLst/>
              <a:latin typeface="+mn-lt"/>
              <a:ea typeface="+mn-ea"/>
              <a:cs typeface="+mn-cs"/>
            </a:rPr>
            <a:t> Airbnb's business is vulnerable to economic downturns, as reduced consumer spending on travel and tourism could lead to decreased demand for its services.</a:t>
          </a:r>
        </a:p>
        <a:p>
          <a:r>
            <a:rPr lang="en-US" sz="1100" b="1" i="1">
              <a:solidFill>
                <a:schemeClr val="dk1"/>
              </a:solidFill>
              <a:effectLst/>
              <a:latin typeface="+mn-lt"/>
              <a:ea typeface="+mn-ea"/>
              <a:cs typeface="+mn-cs"/>
            </a:rPr>
            <a:t>Legal and regulatory risks:</a:t>
          </a:r>
          <a:r>
            <a:rPr lang="en-US" sz="1100" b="0" i="0">
              <a:solidFill>
                <a:schemeClr val="dk1"/>
              </a:solidFill>
              <a:effectLst/>
              <a:latin typeface="+mn-lt"/>
              <a:ea typeface="+mn-ea"/>
              <a:cs typeface="+mn-cs"/>
            </a:rPr>
            <a:t> Airbnb faces legal and regulatory risks, such as lawsuits, fines, and increased regulations, which could increase its operating costs and harm its reputation.</a:t>
          </a:r>
        </a:p>
        <a:p>
          <a:endParaRPr lang="en-US" sz="8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200025</xdr:colOff>
      <xdr:row>2</xdr:row>
      <xdr:rowOff>0</xdr:rowOff>
    </xdr:from>
    <xdr:to>
      <xdr:col>7</xdr:col>
      <xdr:colOff>647700</xdr:colOff>
      <xdr:row>9</xdr:row>
      <xdr:rowOff>95249</xdr:rowOff>
    </xdr:to>
    <xdr:sp macro="" textlink="">
      <xdr:nvSpPr>
        <xdr:cNvPr id="3" name="TextBox 2"/>
        <xdr:cNvSpPr txBox="1"/>
      </xdr:nvSpPr>
      <xdr:spPr>
        <a:xfrm>
          <a:off x="3028950" y="352425"/>
          <a:ext cx="2800350" cy="11620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(Brian</a:t>
          </a:r>
          <a:r>
            <a:rPr lang="en-US" sz="1100" i="1" baseline="0"/>
            <a:t> Chesky</a:t>
          </a:r>
          <a:r>
            <a:rPr lang="en-US" sz="1100" i="1"/>
            <a:t>) of Airbnb</a:t>
          </a:r>
          <a:r>
            <a:rPr lang="en-US" sz="1100" i="1" baseline="0"/>
            <a:t> is also the Chairman of Board of Directors (which is not good in itself). The chairman of the board has the power to discipline the CEO, but in Airbnb's case, that cannot happen as it's the same person!</a:t>
          </a:r>
          <a:endParaRPr lang="en-US" sz="1100" i="1"/>
        </a:p>
      </xdr:txBody>
    </xdr:sp>
    <xdr:clientData/>
  </xdr:twoCellAnchor>
  <xdr:twoCellAnchor>
    <xdr:from>
      <xdr:col>3</xdr:col>
      <xdr:colOff>190500</xdr:colOff>
      <xdr:row>10</xdr:row>
      <xdr:rowOff>38101</xdr:rowOff>
    </xdr:from>
    <xdr:to>
      <xdr:col>7</xdr:col>
      <xdr:colOff>638175</xdr:colOff>
      <xdr:row>13</xdr:row>
      <xdr:rowOff>57150</xdr:rowOff>
    </xdr:to>
    <xdr:sp macro="" textlink="">
      <xdr:nvSpPr>
        <xdr:cNvPr id="5" name="TextBox 4"/>
        <xdr:cNvSpPr txBox="1"/>
      </xdr:nvSpPr>
      <xdr:spPr>
        <a:xfrm>
          <a:off x="3276600" y="1609726"/>
          <a:ext cx="28003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Airbnb's ISS Governance Quality Score is as of </a:t>
          </a:r>
          <a:r>
            <a:rPr lang="en-US" sz="1100" b="0" i="1">
              <a:solidFill>
                <a:schemeClr val="dk1"/>
              </a:solidFill>
              <a:effectLst/>
              <a:latin typeface="+mn-lt"/>
              <a:ea typeface="+mn-ea"/>
              <a:cs typeface="+mn-cs"/>
            </a:rPr>
            <a:t>February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95250</xdr:colOff>
      <xdr:row>2</xdr:row>
      <xdr:rowOff>0</xdr:rowOff>
    </xdr:from>
    <xdr:to>
      <xdr:col>5</xdr:col>
      <xdr:colOff>219076</xdr:colOff>
      <xdr:row>6</xdr:row>
      <xdr:rowOff>47624</xdr:rowOff>
    </xdr:to>
    <xdr:sp macro="" textlink="">
      <xdr:nvSpPr>
        <xdr:cNvPr id="17" name="TextBox 16"/>
        <xdr:cNvSpPr txBox="1"/>
      </xdr:nvSpPr>
      <xdr:spPr>
        <a:xfrm>
          <a:off x="2657475" y="352425"/>
          <a:ext cx="1533526" cy="657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Revenues are from 2021-22 annual</a:t>
          </a:r>
          <a:r>
            <a:rPr lang="en-US" sz="1100" b="0" i="1" u="none" strike="noStrike" baseline="0">
              <a:solidFill>
                <a:schemeClr val="dk1"/>
              </a:solidFill>
              <a:effectLst/>
              <a:latin typeface="+mn-lt"/>
              <a:ea typeface="+mn-ea"/>
              <a:cs typeface="+mn-cs"/>
            </a:rPr>
            <a:t> report.</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685800</xdr:colOff>
      <xdr:row>23</xdr:row>
      <xdr:rowOff>47625</xdr:rowOff>
    </xdr:from>
    <xdr:to>
      <xdr:col>9</xdr:col>
      <xdr:colOff>390525</xdr:colOff>
      <xdr:row>29</xdr:row>
      <xdr:rowOff>133350</xdr:rowOff>
    </xdr:to>
    <xdr:sp macro="" textlink="">
      <xdr:nvSpPr>
        <xdr:cNvPr id="2" name="TextBox 1"/>
        <xdr:cNvSpPr txBox="1"/>
      </xdr:nvSpPr>
      <xdr:spPr>
        <a:xfrm>
          <a:off x="4781550" y="3600450"/>
          <a:ext cx="3257550" cy="1000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mcap.py - To get market price and shares outstanding</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27"/>
  <sheetViews>
    <sheetView tabSelected="1" zoomScaleNormal="100" workbookViewId="0"/>
  </sheetViews>
  <sheetFormatPr defaultColWidth="9.140625" defaultRowHeight="12.75"/>
  <cols>
    <col min="1" max="1" width="2" style="52" customWidth="1"/>
    <col min="2" max="3" width="9.140625" style="52"/>
    <col min="4" max="4" width="3.42578125" style="52" customWidth="1"/>
    <col min="5" max="6" width="9.140625" style="52"/>
    <col min="7" max="7" width="1.42578125" style="52" customWidth="1"/>
    <col min="8" max="9" width="9.140625" style="52"/>
    <col min="10" max="10" width="1.42578125" style="52" customWidth="1"/>
    <col min="11" max="12" width="9.140625" style="52"/>
    <col min="13" max="13" width="1.42578125" style="52" customWidth="1"/>
    <col min="14" max="14" width="9.140625" style="52"/>
    <col min="15" max="15" width="10.42578125" style="52" customWidth="1"/>
    <col min="16" max="16" width="1.42578125" style="52" customWidth="1"/>
    <col min="17" max="17" width="9.140625" style="52"/>
    <col min="18" max="18" width="7.85546875" style="52" customWidth="1"/>
    <col min="19" max="19" width="3.28515625" style="52" customWidth="1"/>
    <col min="20" max="20" width="1.42578125" style="52" customWidth="1"/>
    <col min="21" max="21" width="9.140625" style="52"/>
    <col min="22" max="22" width="1.42578125" style="52" customWidth="1"/>
    <col min="23" max="23" width="11.28515625" style="52" customWidth="1"/>
    <col min="24" max="25" width="1.28515625" style="52" customWidth="1"/>
    <col min="26" max="26" width="16.7109375" style="52" customWidth="1"/>
    <col min="27" max="27" width="1.42578125" style="52" customWidth="1"/>
    <col min="28" max="28" width="18.28515625" style="52" customWidth="1"/>
    <col min="29" max="29" width="11.7109375" style="52" customWidth="1"/>
    <col min="30" max="16384" width="9.140625" style="52"/>
  </cols>
  <sheetData>
    <row r="1" spans="2:33" ht="5.25" customHeight="1">
      <c r="B1" s="442"/>
      <c r="C1" s="435"/>
    </row>
    <row r="2" spans="2:33" ht="16.5" customHeight="1">
      <c r="E2" s="452" t="s">
        <v>382</v>
      </c>
      <c r="F2" s="452"/>
      <c r="G2" s="437"/>
      <c r="H2" s="452" t="s">
        <v>381</v>
      </c>
      <c r="I2" s="452"/>
      <c r="J2" s="438"/>
      <c r="K2" s="452" t="s">
        <v>383</v>
      </c>
      <c r="L2" s="452"/>
      <c r="M2" s="438"/>
      <c r="N2" s="452" t="s">
        <v>213</v>
      </c>
      <c r="O2" s="452"/>
      <c r="P2" s="438"/>
      <c r="Q2" s="452" t="s">
        <v>384</v>
      </c>
      <c r="R2" s="452"/>
      <c r="S2" s="452"/>
      <c r="T2" s="438"/>
      <c r="U2" s="443" t="s">
        <v>385</v>
      </c>
      <c r="V2" s="438"/>
      <c r="W2" s="452" t="s">
        <v>386</v>
      </c>
      <c r="X2" s="452"/>
      <c r="Z2" s="443" t="s">
        <v>387</v>
      </c>
      <c r="AA2" s="444"/>
      <c r="AB2" s="443" t="s">
        <v>389</v>
      </c>
      <c r="AD2" s="444"/>
    </row>
    <row r="3" spans="2:33" ht="13.5" customHeight="1">
      <c r="E3" s="454" t="str">
        <f>CONCATENATE("$",ROUND('Cost of Equity, Debt &amp; WACC'!C20/1000,2)," Bn")</f>
        <v>$75.62 Bn</v>
      </c>
      <c r="F3" s="454"/>
      <c r="G3" s="439"/>
      <c r="H3" s="454" t="str">
        <f>CONCATENATE("$",ROUND('Accounting Adjustments'!G4/1000,2)," Bn")</f>
        <v>$8.03 Bn</v>
      </c>
      <c r="I3" s="454"/>
      <c r="J3" s="438"/>
      <c r="K3" s="454" t="str">
        <f>CONCATENATE("$",ROUND('Accounting Adjustments'!G12/1000,2)," Bn")</f>
        <v>$1.64 Bn</v>
      </c>
      <c r="L3" s="454"/>
      <c r="M3" s="438"/>
      <c r="N3" s="455" t="str">
        <f ca="1">CONCATENATE(ROUND('Bottom Up Beta'!C15,2))</f>
        <v>0.03</v>
      </c>
      <c r="O3" s="455"/>
      <c r="P3" s="438"/>
      <c r="Q3" s="455" t="str">
        <f>CONCATENATE(ROUND((('Accounting Adjustments'!F4-'Accounting Adjustments'!E4)/'Accounting Adjustments'!E4)*100,2),"%")</f>
        <v>77.37%</v>
      </c>
      <c r="R3" s="455"/>
      <c r="S3" s="455"/>
      <c r="T3" s="438"/>
      <c r="U3" s="455" t="str">
        <f ca="1">CONCATENATE(ROUND('Bottom Up Beta'!C17,2))</f>
        <v>1.35</v>
      </c>
      <c r="V3" s="438"/>
      <c r="W3" s="455" t="str">
        <f ca="1">CONCATENATE(ROUND('Cost of Equity, Debt &amp; WACC'!C28*100,2),"%")</f>
        <v>11.05%</v>
      </c>
      <c r="X3" s="455"/>
      <c r="Z3" s="455" t="str">
        <f>CONCATENATE(ROUND('Corporate Governance'!C31,2))</f>
        <v>9</v>
      </c>
      <c r="AA3" s="445"/>
      <c r="AB3" s="455" t="str">
        <f>CONCATENATE("$",ROUND('Future Cashflows (10 Yrs)'!K8,2))</f>
        <v>$53.53</v>
      </c>
      <c r="AD3" s="445"/>
    </row>
    <row r="4" spans="2:33" ht="12.75" customHeight="1">
      <c r="B4" s="436"/>
      <c r="E4" s="454"/>
      <c r="F4" s="454"/>
      <c r="G4" s="439"/>
      <c r="H4" s="454"/>
      <c r="I4" s="454"/>
      <c r="J4" s="438"/>
      <c r="K4" s="454"/>
      <c r="L4" s="454"/>
      <c r="M4" s="438"/>
      <c r="N4" s="455"/>
      <c r="O4" s="455"/>
      <c r="P4" s="438"/>
      <c r="Q4" s="455"/>
      <c r="R4" s="455"/>
      <c r="S4" s="455"/>
      <c r="T4" s="438"/>
      <c r="U4" s="455"/>
      <c r="V4" s="438"/>
      <c r="W4" s="455"/>
      <c r="X4" s="455"/>
      <c r="Z4" s="455"/>
      <c r="AA4" s="445"/>
      <c r="AB4" s="455"/>
      <c r="AD4" s="445"/>
    </row>
    <row r="5" spans="2:33" ht="4.5" customHeight="1">
      <c r="B5" s="441"/>
      <c r="C5" s="440"/>
    </row>
    <row r="6" spans="2:33" ht="8.25" customHeight="1">
      <c r="B6" s="453" t="s">
        <v>390</v>
      </c>
      <c r="C6" s="453"/>
      <c r="D6" s="453"/>
      <c r="E6" s="453"/>
      <c r="F6" s="453"/>
      <c r="G6" s="446"/>
      <c r="H6" s="453" t="s">
        <v>397</v>
      </c>
      <c r="I6" s="453"/>
      <c r="J6" s="453"/>
      <c r="K6" s="453"/>
      <c r="L6" s="453"/>
      <c r="M6" s="453"/>
      <c r="N6" s="453"/>
      <c r="O6" s="453"/>
      <c r="P6" s="446"/>
      <c r="Q6" s="453" t="s">
        <v>398</v>
      </c>
      <c r="R6" s="453"/>
      <c r="S6" s="453"/>
      <c r="T6" s="453"/>
      <c r="U6" s="453"/>
      <c r="V6" s="453"/>
      <c r="W6" s="453"/>
      <c r="X6" s="453"/>
      <c r="Z6" s="453" t="s">
        <v>180</v>
      </c>
      <c r="AA6" s="453"/>
      <c r="AB6" s="453"/>
      <c r="AC6" s="446"/>
      <c r="AD6" s="446"/>
      <c r="AE6" s="446"/>
      <c r="AF6" s="446"/>
      <c r="AG6" s="446"/>
    </row>
    <row r="7" spans="2:33" ht="8.25" customHeight="1">
      <c r="B7" s="453"/>
      <c r="C7" s="453"/>
      <c r="D7" s="453"/>
      <c r="E7" s="453"/>
      <c r="F7" s="453"/>
      <c r="G7" s="446"/>
      <c r="H7" s="453"/>
      <c r="I7" s="453"/>
      <c r="J7" s="453"/>
      <c r="K7" s="453"/>
      <c r="L7" s="453"/>
      <c r="M7" s="453"/>
      <c r="N7" s="453"/>
      <c r="O7" s="453"/>
      <c r="P7" s="446"/>
      <c r="Q7" s="453"/>
      <c r="R7" s="453"/>
      <c r="S7" s="453"/>
      <c r="T7" s="453"/>
      <c r="U7" s="453"/>
      <c r="V7" s="453"/>
      <c r="W7" s="453"/>
      <c r="X7" s="453"/>
      <c r="Z7" s="453"/>
      <c r="AA7" s="453"/>
      <c r="AB7" s="453"/>
      <c r="AC7" s="446"/>
      <c r="AD7" s="446"/>
      <c r="AE7" s="446"/>
      <c r="AF7" s="446"/>
      <c r="AG7" s="446"/>
    </row>
    <row r="8" spans="2:33" ht="15" customHeight="1"/>
    <row r="9" spans="2:33" ht="12.75" customHeight="1"/>
    <row r="10" spans="2:33">
      <c r="C10" s="53"/>
    </row>
    <row r="12" spans="2:33" ht="15">
      <c r="H12"/>
    </row>
    <row r="13" spans="2:33">
      <c r="M13" s="54"/>
    </row>
    <row r="15" spans="2:33" ht="15">
      <c r="H15"/>
    </row>
    <row r="18" spans="2:28" ht="8.25" customHeight="1">
      <c r="B18" s="453" t="s">
        <v>404</v>
      </c>
      <c r="C18" s="453"/>
      <c r="D18" s="453"/>
      <c r="E18" s="453"/>
      <c r="F18" s="453"/>
      <c r="H18" s="453" t="s">
        <v>405</v>
      </c>
      <c r="I18" s="453"/>
      <c r="J18" s="453"/>
      <c r="K18" s="453"/>
      <c r="L18" s="453"/>
      <c r="M18" s="453"/>
      <c r="N18" s="453"/>
      <c r="O18" s="453"/>
      <c r="Q18" s="453" t="s">
        <v>409</v>
      </c>
      <c r="R18" s="453"/>
      <c r="S18" s="453"/>
      <c r="T18" s="453"/>
      <c r="U18" s="453"/>
      <c r="V18" s="450"/>
      <c r="W18" s="453" t="s">
        <v>410</v>
      </c>
      <c r="X18" s="453"/>
      <c r="Y18" s="453"/>
      <c r="Z18" s="453"/>
      <c r="AA18" s="453"/>
      <c r="AB18" s="453"/>
    </row>
    <row r="19" spans="2:28" ht="8.25" customHeight="1">
      <c r="B19" s="453"/>
      <c r="C19" s="453"/>
      <c r="D19" s="453"/>
      <c r="E19" s="453"/>
      <c r="F19" s="453"/>
      <c r="H19" s="453"/>
      <c r="I19" s="453"/>
      <c r="J19" s="453"/>
      <c r="K19" s="453"/>
      <c r="L19" s="453"/>
      <c r="M19" s="453"/>
      <c r="N19" s="453"/>
      <c r="O19" s="453"/>
      <c r="Q19" s="453"/>
      <c r="R19" s="453"/>
      <c r="S19" s="453"/>
      <c r="T19" s="453"/>
      <c r="U19" s="453"/>
      <c r="V19" s="450"/>
      <c r="W19" s="453"/>
      <c r="X19" s="453"/>
      <c r="Y19" s="453"/>
      <c r="Z19" s="453"/>
      <c r="AA19" s="453"/>
      <c r="AB19" s="453"/>
    </row>
    <row r="20" spans="2:28" ht="12.75" customHeight="1"/>
    <row r="21" spans="2:28" ht="18.75" customHeight="1">
      <c r="Q21" s="452" t="s">
        <v>406</v>
      </c>
      <c r="R21" s="452"/>
      <c r="S21" s="452"/>
      <c r="T21" s="452"/>
      <c r="U21" s="452"/>
      <c r="V21" s="444"/>
      <c r="Y21" s="444"/>
      <c r="Z21" s="444"/>
      <c r="AA21" s="444"/>
    </row>
    <row r="22" spans="2:28" ht="12.75" customHeight="1">
      <c r="Q22" s="454" t="str">
        <f>About!C4</f>
        <v>Travel Services</v>
      </c>
      <c r="R22" s="454"/>
      <c r="S22" s="454"/>
      <c r="T22" s="454"/>
      <c r="U22" s="454"/>
      <c r="V22" s="451"/>
      <c r="Y22" s="444"/>
      <c r="Z22" s="451"/>
      <c r="AA22" s="451"/>
    </row>
    <row r="23" spans="2:28" ht="12.75" customHeight="1">
      <c r="Q23" s="454"/>
      <c r="R23" s="454"/>
      <c r="S23" s="454"/>
      <c r="T23" s="454"/>
      <c r="U23" s="454"/>
      <c r="V23" s="451"/>
      <c r="Y23" s="444"/>
      <c r="Z23" s="451"/>
      <c r="AA23" s="451"/>
    </row>
    <row r="25" spans="2:28" ht="19.5">
      <c r="Q25" s="452" t="s">
        <v>411</v>
      </c>
      <c r="R25" s="452"/>
      <c r="S25" s="452"/>
      <c r="T25" s="452"/>
      <c r="U25" s="452"/>
      <c r="V25" s="444"/>
    </row>
    <row r="26" spans="2:28" ht="12.75" customHeight="1">
      <c r="Q26" s="454" t="str">
        <f>About!C5</f>
        <v>ABNB</v>
      </c>
      <c r="R26" s="454"/>
      <c r="S26" s="454"/>
      <c r="T26" s="454"/>
      <c r="U26" s="454"/>
      <c r="V26" s="451"/>
    </row>
    <row r="27" spans="2:28" ht="12.75" customHeight="1">
      <c r="Q27" s="454"/>
      <c r="R27" s="454"/>
      <c r="S27" s="454"/>
      <c r="T27" s="454"/>
      <c r="U27" s="454"/>
      <c r="V27" s="451"/>
    </row>
  </sheetData>
  <mergeCells count="27">
    <mergeCell ref="E2:F2"/>
    <mergeCell ref="E3:F4"/>
    <mergeCell ref="H2:I2"/>
    <mergeCell ref="H3:I4"/>
    <mergeCell ref="W2:X2"/>
    <mergeCell ref="W3:X4"/>
    <mergeCell ref="U3:U4"/>
    <mergeCell ref="K2:L2"/>
    <mergeCell ref="K3:L4"/>
    <mergeCell ref="N2:O2"/>
    <mergeCell ref="N3:O4"/>
    <mergeCell ref="Q2:S2"/>
    <mergeCell ref="Q3:S4"/>
    <mergeCell ref="B18:F19"/>
    <mergeCell ref="H18:O19"/>
    <mergeCell ref="H6:O7"/>
    <mergeCell ref="AB3:AB4"/>
    <mergeCell ref="Z3:Z4"/>
    <mergeCell ref="B6:F7"/>
    <mergeCell ref="Q6:X7"/>
    <mergeCell ref="Z6:AB7"/>
    <mergeCell ref="Q25:U25"/>
    <mergeCell ref="Q18:U19"/>
    <mergeCell ref="W18:AB19"/>
    <mergeCell ref="Q26:U27"/>
    <mergeCell ref="Q21:U21"/>
    <mergeCell ref="Q22:U23"/>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244</v>
      </c>
      <c r="E1" s="3"/>
      <c r="F1" s="57"/>
      <c r="G1" s="3"/>
      <c r="H1" s="3"/>
      <c r="I1" s="3"/>
      <c r="J1" s="3"/>
      <c r="K1" s="3"/>
      <c r="L1" s="3"/>
      <c r="M1" s="3"/>
      <c r="N1" s="3"/>
    </row>
    <row r="2" spans="2:14">
      <c r="E2" s="3"/>
      <c r="F2" s="57"/>
      <c r="G2" s="3"/>
      <c r="H2" s="3"/>
      <c r="I2" s="3"/>
      <c r="J2" s="3"/>
      <c r="K2" s="3"/>
      <c r="L2" s="3"/>
      <c r="M2" s="3"/>
      <c r="N2" s="3"/>
    </row>
    <row r="3" spans="2:14">
      <c r="B3" s="3" t="s">
        <v>245</v>
      </c>
      <c r="C3" s="68" t="s">
        <v>247</v>
      </c>
      <c r="D3" s="21"/>
      <c r="E3" s="44"/>
      <c r="F3" s="88"/>
      <c r="G3" s="84"/>
      <c r="H3" s="80"/>
      <c r="I3" s="80"/>
      <c r="J3" s="80"/>
      <c r="K3" s="3"/>
      <c r="L3" s="89"/>
      <c r="M3" s="80"/>
      <c r="N3" s="3"/>
    </row>
    <row r="4" spans="2:14">
      <c r="B4" s="2" t="s">
        <v>246</v>
      </c>
      <c r="C4" s="228" t="s">
        <v>248</v>
      </c>
      <c r="D4" s="6"/>
      <c r="E4" s="3"/>
      <c r="F4" s="61"/>
      <c r="G4" s="85"/>
      <c r="H4" s="86"/>
      <c r="I4" s="44"/>
      <c r="J4" s="59"/>
      <c r="K4" s="3"/>
      <c r="L4" s="60"/>
      <c r="M4" s="70"/>
      <c r="N4" s="3"/>
    </row>
    <row r="5" spans="2:14">
      <c r="B5" s="2" t="s">
        <v>407</v>
      </c>
      <c r="C5" s="324" t="s">
        <v>408</v>
      </c>
      <c r="D5" s="6"/>
      <c r="E5" s="3"/>
      <c r="F5" s="61"/>
      <c r="G5" s="85"/>
      <c r="H5" s="86"/>
      <c r="I5" s="44"/>
      <c r="J5" s="59"/>
      <c r="K5" s="3"/>
      <c r="L5" s="60"/>
      <c r="M5" s="70"/>
      <c r="N5" s="3"/>
    </row>
    <row r="6" spans="2:14">
      <c r="C6" s="64"/>
      <c r="D6" s="23"/>
      <c r="E6" s="3"/>
      <c r="F6" s="61"/>
      <c r="G6" s="85"/>
      <c r="H6" s="86"/>
      <c r="I6" s="44"/>
      <c r="J6" s="59"/>
      <c r="K6" s="3"/>
      <c r="L6" s="60"/>
      <c r="M6" s="70"/>
      <c r="N6" s="3"/>
    </row>
    <row r="7" spans="2:14">
      <c r="C7" s="65"/>
      <c r="D7" s="6"/>
      <c r="E7" s="3"/>
      <c r="F7" s="61"/>
      <c r="G7" s="85"/>
      <c r="H7" s="86"/>
      <c r="I7" s="44"/>
      <c r="J7" s="59"/>
      <c r="K7" s="3"/>
      <c r="L7" s="60"/>
      <c r="M7" s="70"/>
      <c r="N7" s="3"/>
    </row>
    <row r="8" spans="2:14">
      <c r="C8" s="43"/>
      <c r="D8" s="6"/>
      <c r="E8" s="3"/>
      <c r="F8" s="61"/>
      <c r="G8" s="85"/>
      <c r="H8" s="86"/>
      <c r="I8" s="44"/>
      <c r="J8" s="59"/>
      <c r="K8" s="3"/>
      <c r="L8" s="60"/>
      <c r="M8" s="70"/>
      <c r="N8" s="3"/>
    </row>
    <row r="9" spans="2:14">
      <c r="B9" s="3"/>
      <c r="C9" s="68"/>
      <c r="D9" s="6"/>
      <c r="E9" s="3"/>
      <c r="F9" s="61"/>
      <c r="G9" s="85"/>
      <c r="H9" s="86"/>
      <c r="I9" s="44"/>
      <c r="J9" s="59"/>
      <c r="K9" s="3"/>
      <c r="L9" s="60"/>
      <c r="M9" s="70"/>
      <c r="N9" s="3"/>
    </row>
    <row r="10" spans="2:14">
      <c r="B10" s="3"/>
      <c r="C10" s="68"/>
      <c r="D10" s="6"/>
      <c r="E10" s="3"/>
      <c r="F10" s="61"/>
      <c r="G10" s="85"/>
      <c r="H10" s="86"/>
      <c r="I10" s="44"/>
      <c r="J10" s="59"/>
      <c r="K10" s="3"/>
      <c r="L10" s="58"/>
      <c r="M10" s="3"/>
      <c r="N10" s="3"/>
    </row>
    <row r="11" spans="2:14">
      <c r="B11" s="3"/>
      <c r="C11" s="69"/>
      <c r="D11" s="6"/>
      <c r="E11" s="3"/>
      <c r="F11" s="61"/>
      <c r="G11" s="85"/>
      <c r="H11" s="86"/>
      <c r="I11" s="44"/>
      <c r="J11" s="59"/>
      <c r="K11" s="3"/>
      <c r="L11" s="66"/>
      <c r="M11" s="71"/>
      <c r="N11" s="3"/>
    </row>
    <row r="12" spans="2:14">
      <c r="B12" s="3"/>
      <c r="C12" s="3"/>
      <c r="D12" s="6"/>
      <c r="E12" s="3"/>
      <c r="F12" s="61"/>
      <c r="G12" s="85"/>
      <c r="H12" s="86"/>
      <c r="I12" s="44"/>
      <c r="J12" s="59"/>
      <c r="K12" s="3"/>
      <c r="L12" s="56"/>
      <c r="M12" s="71"/>
      <c r="N12" s="3"/>
    </row>
    <row r="13" spans="2:14">
      <c r="B13" s="3"/>
      <c r="C13" s="51"/>
      <c r="D13" s="6"/>
      <c r="E13" s="3"/>
      <c r="F13" s="61"/>
      <c r="G13" s="85"/>
      <c r="H13" s="86"/>
      <c r="I13" s="44"/>
      <c r="J13" s="59"/>
      <c r="K13" s="3"/>
      <c r="L13" s="3"/>
      <c r="M13" s="3"/>
      <c r="N13" s="3"/>
    </row>
    <row r="14" spans="2:14">
      <c r="B14" s="22"/>
      <c r="C14" s="22"/>
      <c r="D14" s="23"/>
      <c r="E14" s="3"/>
      <c r="F14" s="60"/>
      <c r="G14" s="7"/>
      <c r="H14" s="3"/>
      <c r="I14" s="44"/>
      <c r="J14" s="22"/>
      <c r="K14" s="3"/>
      <c r="L14" s="3"/>
      <c r="M14" s="3"/>
      <c r="N14" s="3"/>
    </row>
    <row r="15" spans="2:14">
      <c r="B15" s="3"/>
      <c r="C15" s="94"/>
      <c r="D15" s="6"/>
      <c r="E15" s="44"/>
      <c r="F15" s="56"/>
      <c r="G15" s="3"/>
      <c r="H15" s="3"/>
      <c r="I15" s="3"/>
      <c r="J15" s="3"/>
      <c r="K15" s="3"/>
      <c r="L15" s="3"/>
      <c r="M15" s="3"/>
      <c r="N15" s="3"/>
    </row>
    <row r="16" spans="2:14">
      <c r="B16" s="3"/>
      <c r="C16" s="3"/>
      <c r="D16" s="6"/>
      <c r="E16" s="44"/>
      <c r="F16" s="66"/>
      <c r="G16" s="67"/>
      <c r="H16" s="42"/>
      <c r="I16" s="3"/>
      <c r="J16" s="3"/>
      <c r="K16" s="3"/>
      <c r="L16" s="3"/>
      <c r="M16" s="3"/>
      <c r="N16" s="3"/>
    </row>
    <row r="17" spans="2:14">
      <c r="B17" s="3"/>
      <c r="C17" s="65"/>
      <c r="D17" s="6"/>
      <c r="E17" s="44"/>
      <c r="F17" s="56"/>
      <c r="G17" s="67"/>
      <c r="H17" s="3"/>
      <c r="I17" s="3"/>
      <c r="J17" s="3"/>
      <c r="K17" s="3"/>
      <c r="L17" s="3"/>
      <c r="M17" s="3"/>
      <c r="N17" s="3"/>
    </row>
    <row r="18" spans="2:14">
      <c r="B18" s="3"/>
      <c r="C18" s="3"/>
      <c r="D18" s="23"/>
      <c r="E18" s="44"/>
      <c r="F18" s="56"/>
      <c r="G18" s="3"/>
      <c r="H18" s="3"/>
      <c r="I18" s="3"/>
      <c r="J18" s="3"/>
      <c r="K18" s="3"/>
      <c r="L18" s="3"/>
      <c r="M18" s="3"/>
      <c r="N18" s="3"/>
    </row>
    <row r="19" spans="2:14">
      <c r="B19" s="22"/>
      <c r="C19" s="22"/>
      <c r="D19" s="6"/>
      <c r="E19" s="44"/>
      <c r="F19" s="56"/>
      <c r="G19" s="3"/>
      <c r="H19" s="3"/>
      <c r="I19" s="3"/>
      <c r="J19" s="3"/>
      <c r="K19" s="3"/>
      <c r="L19" s="3"/>
      <c r="M19" s="3"/>
      <c r="N19" s="3"/>
    </row>
    <row r="20" spans="2:14">
      <c r="B20" s="3"/>
      <c r="C20" s="3"/>
      <c r="D20" s="6"/>
      <c r="E20" s="87"/>
      <c r="F20" s="89"/>
      <c r="G20" s="89"/>
      <c r="H20" s="89"/>
      <c r="I20" s="89"/>
      <c r="J20" s="89"/>
      <c r="K20" s="89"/>
      <c r="L20" s="3"/>
      <c r="M20" s="3"/>
      <c r="N20" s="3"/>
    </row>
    <row r="21" spans="2:14">
      <c r="B21" s="3"/>
      <c r="C21" s="3"/>
      <c r="D21" s="6"/>
      <c r="E21" s="78"/>
      <c r="F21" s="90"/>
      <c r="G21" s="7"/>
      <c r="H21" s="7"/>
      <c r="I21" s="7"/>
      <c r="J21" s="7"/>
      <c r="K21" s="7"/>
      <c r="L21" s="3"/>
      <c r="M21" s="3"/>
      <c r="N21" s="3"/>
    </row>
    <row r="22" spans="2:14">
      <c r="B22" s="3"/>
      <c r="C22" s="3"/>
      <c r="D22" s="6"/>
      <c r="E22" s="44"/>
      <c r="F22" s="57"/>
      <c r="G22" s="57"/>
      <c r="H22" s="57"/>
      <c r="I22" s="79"/>
      <c r="J22" s="56"/>
      <c r="K22" s="57"/>
      <c r="L22" s="3"/>
      <c r="M22" s="3"/>
      <c r="N22" s="3"/>
    </row>
    <row r="23" spans="2:14">
      <c r="B23" s="22"/>
      <c r="C23" s="22"/>
      <c r="D23" s="23"/>
      <c r="E23" s="44"/>
      <c r="F23" s="3"/>
      <c r="G23" s="3"/>
      <c r="H23" s="3"/>
      <c r="I23" s="3"/>
      <c r="J23" s="3"/>
      <c r="K23" s="3"/>
      <c r="L23" s="91"/>
      <c r="M23" s="3"/>
      <c r="N23" s="3"/>
    </row>
    <row r="24" spans="2:14">
      <c r="B24" s="3"/>
      <c r="C24" s="3"/>
      <c r="D24" s="6"/>
      <c r="E24" s="44"/>
      <c r="F24" s="3"/>
      <c r="G24" s="3"/>
      <c r="H24" s="3"/>
      <c r="I24" s="3"/>
      <c r="J24" s="3"/>
      <c r="K24" s="3"/>
      <c r="L24" s="3"/>
      <c r="M24" s="3"/>
      <c r="N24" s="3"/>
    </row>
    <row r="25" spans="2:14">
      <c r="B25" s="3"/>
      <c r="C25" s="3"/>
      <c r="D25" s="6"/>
      <c r="E25" s="6"/>
      <c r="F25" s="57"/>
      <c r="G25" s="3"/>
      <c r="H25" s="66"/>
      <c r="I25" s="67"/>
      <c r="J25" s="3"/>
      <c r="K25" s="3"/>
      <c r="L25" s="3"/>
      <c r="M25" s="3"/>
      <c r="N25" s="3"/>
    </row>
    <row r="26" spans="2:14">
      <c r="B26" s="3"/>
      <c r="C26" s="3"/>
      <c r="D26" s="6"/>
      <c r="E26" s="23"/>
      <c r="F26" s="43"/>
      <c r="G26" s="3"/>
      <c r="H26" s="56"/>
      <c r="I26" s="67"/>
      <c r="J26" s="3"/>
      <c r="K26" s="3"/>
      <c r="L26" s="92"/>
      <c r="M26" s="3"/>
      <c r="N26" s="3"/>
    </row>
    <row r="27" spans="2:14">
      <c r="B27" s="3"/>
      <c r="C27" s="3"/>
      <c r="D27" s="23"/>
      <c r="E27" s="22"/>
      <c r="F27" s="93"/>
      <c r="G27" s="3"/>
      <c r="H27" s="3"/>
      <c r="I27" s="3"/>
      <c r="J27" s="3"/>
      <c r="K27" s="3"/>
      <c r="L27" s="3"/>
      <c r="M27" s="3"/>
      <c r="N27" s="3"/>
    </row>
    <row r="28" spans="2:14">
      <c r="B28" s="3"/>
      <c r="C28" s="3"/>
      <c r="D28" s="7"/>
      <c r="E28" s="22"/>
      <c r="F28" s="93"/>
      <c r="G28" s="3"/>
      <c r="H28" s="3"/>
      <c r="I28" s="3"/>
      <c r="J28" s="3"/>
      <c r="K28" s="3"/>
      <c r="L28" s="3"/>
      <c r="M28" s="3"/>
      <c r="N28" s="3"/>
    </row>
    <row r="29" spans="2:14">
      <c r="B29" s="3"/>
      <c r="C29" s="3"/>
      <c r="D29" s="3"/>
      <c r="E29" s="3"/>
      <c r="F29" s="57"/>
      <c r="G29" s="3"/>
      <c r="H29" s="3"/>
      <c r="I29" s="3"/>
      <c r="J29" s="3"/>
      <c r="K29" s="3"/>
      <c r="L29" s="3"/>
      <c r="M29" s="3"/>
      <c r="N29" s="3"/>
    </row>
    <row r="30" spans="2:14">
      <c r="B30" s="3"/>
      <c r="C30" s="3"/>
      <c r="D30" s="3"/>
      <c r="E30" s="3"/>
      <c r="F30" s="57"/>
    </row>
    <row r="31" spans="2:14">
      <c r="D31" s="3"/>
      <c r="E31" s="3"/>
      <c r="F31" s="57"/>
    </row>
    <row r="32" spans="2:14">
      <c r="D32" s="3"/>
      <c r="E32" s="3"/>
      <c r="F32" s="57"/>
    </row>
    <row r="33" spans="4:6">
      <c r="D33" s="3"/>
      <c r="E33" s="3"/>
      <c r="F33" s="57"/>
    </row>
    <row r="34" spans="4:6">
      <c r="D34" s="3"/>
      <c r="E34" s="3"/>
      <c r="F34" s="5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8"/>
  <sheetViews>
    <sheetView zoomScaleNormal="100" workbookViewId="0"/>
  </sheetViews>
  <sheetFormatPr defaultRowHeight="12"/>
  <cols>
    <col min="1" max="1" width="2" style="2" customWidth="1"/>
    <col min="2" max="2" width="21.7109375" style="2" customWidth="1"/>
    <col min="3" max="3" width="22.5703125" style="2" customWidth="1"/>
    <col min="4" max="4" width="3.28515625" style="2" customWidth="1"/>
    <col min="5" max="5" width="10.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0.28515625" style="2" customWidth="1"/>
    <col min="14" max="16384" width="9.140625" style="2"/>
  </cols>
  <sheetData>
    <row r="1" spans="2:14" ht="15.75">
      <c r="B1" s="16" t="s">
        <v>180</v>
      </c>
      <c r="E1" s="3"/>
      <c r="F1" s="57"/>
      <c r="G1" s="3"/>
      <c r="H1" s="3"/>
      <c r="I1" s="3"/>
      <c r="J1" s="3"/>
      <c r="K1" s="3"/>
      <c r="L1" s="3"/>
      <c r="M1" s="3"/>
      <c r="N1" s="3"/>
    </row>
    <row r="2" spans="2:14">
      <c r="E2" s="3"/>
      <c r="F2" s="57"/>
      <c r="G2" s="3"/>
      <c r="H2" s="3"/>
      <c r="I2" s="3"/>
      <c r="J2" s="3"/>
      <c r="K2" s="3"/>
      <c r="L2" s="3"/>
      <c r="M2" s="3"/>
      <c r="N2" s="3"/>
    </row>
    <row r="3" spans="2:14">
      <c r="B3" s="456" t="s">
        <v>185</v>
      </c>
      <c r="C3" s="456"/>
      <c r="D3" s="21"/>
      <c r="E3" s="44"/>
      <c r="F3" s="88"/>
      <c r="G3" s="84"/>
      <c r="H3" s="80"/>
      <c r="I3" s="80"/>
      <c r="J3" s="80"/>
      <c r="K3" s="3"/>
      <c r="L3" s="89"/>
      <c r="M3" s="80"/>
      <c r="N3" s="3"/>
    </row>
    <row r="4" spans="2:14">
      <c r="B4" s="330" t="s">
        <v>182</v>
      </c>
      <c r="C4" s="330" t="s">
        <v>183</v>
      </c>
      <c r="D4" s="6"/>
      <c r="E4" s="3"/>
      <c r="F4" s="61"/>
      <c r="G4" s="85"/>
      <c r="H4" s="86"/>
      <c r="I4" s="44"/>
      <c r="J4" s="59"/>
      <c r="K4" s="3"/>
      <c r="L4" s="60"/>
      <c r="M4" s="70"/>
      <c r="N4" s="3"/>
    </row>
    <row r="5" spans="2:14">
      <c r="B5" s="101" t="s">
        <v>249</v>
      </c>
      <c r="C5" s="325" t="s">
        <v>250</v>
      </c>
      <c r="D5" s="23" t="s">
        <v>186</v>
      </c>
      <c r="E5" s="3"/>
      <c r="F5" s="61"/>
      <c r="G5" s="85"/>
      <c r="H5" s="86"/>
      <c r="I5" s="44"/>
      <c r="J5" s="59"/>
      <c r="K5" s="3"/>
      <c r="L5" s="60"/>
      <c r="M5" s="70"/>
      <c r="N5" s="3"/>
    </row>
    <row r="6" spans="2:14">
      <c r="B6" s="261" t="s">
        <v>251</v>
      </c>
      <c r="C6" s="326" t="s">
        <v>181</v>
      </c>
      <c r="D6" s="23"/>
      <c r="E6" s="3"/>
      <c r="F6" s="61"/>
      <c r="G6" s="85"/>
      <c r="H6" s="86"/>
      <c r="I6" s="44"/>
      <c r="J6" s="59"/>
      <c r="K6" s="3"/>
      <c r="L6" s="60"/>
      <c r="M6" s="70"/>
      <c r="N6" s="3"/>
    </row>
    <row r="7" spans="2:14">
      <c r="B7" s="261" t="s">
        <v>252</v>
      </c>
      <c r="C7" s="326" t="s">
        <v>181</v>
      </c>
      <c r="D7" s="6"/>
      <c r="E7" s="3"/>
      <c r="F7" s="61"/>
      <c r="G7" s="85"/>
      <c r="H7" s="86"/>
      <c r="I7" s="44"/>
      <c r="J7" s="59"/>
      <c r="K7" s="3"/>
      <c r="L7" s="60"/>
      <c r="M7" s="70"/>
      <c r="N7" s="3"/>
    </row>
    <row r="8" spans="2:14">
      <c r="B8" s="261" t="s">
        <v>253</v>
      </c>
      <c r="C8" s="328" t="s">
        <v>254</v>
      </c>
      <c r="D8" s="6"/>
      <c r="E8" s="3"/>
      <c r="F8" s="61"/>
      <c r="G8" s="85"/>
      <c r="H8" s="86"/>
      <c r="I8" s="44"/>
      <c r="J8" s="59"/>
      <c r="K8" s="3"/>
      <c r="L8" s="60"/>
      <c r="M8" s="70"/>
      <c r="N8" s="3"/>
    </row>
    <row r="9" spans="2:14">
      <c r="B9" s="261" t="s">
        <v>255</v>
      </c>
      <c r="C9" s="329" t="s">
        <v>181</v>
      </c>
      <c r="D9" s="6"/>
      <c r="E9" s="3"/>
      <c r="F9" s="61"/>
      <c r="G9" s="85"/>
      <c r="H9" s="86"/>
      <c r="I9" s="44"/>
      <c r="J9" s="59"/>
      <c r="K9" s="3"/>
      <c r="L9" s="60"/>
      <c r="M9" s="70"/>
      <c r="N9" s="3"/>
    </row>
    <row r="10" spans="2:14">
      <c r="B10" s="261" t="s">
        <v>256</v>
      </c>
      <c r="C10" s="329" t="s">
        <v>257</v>
      </c>
      <c r="D10" s="6"/>
      <c r="E10" s="3"/>
      <c r="F10" s="61"/>
      <c r="G10" s="85"/>
      <c r="H10" s="86"/>
      <c r="I10" s="44"/>
      <c r="J10" s="59"/>
      <c r="K10" s="3"/>
      <c r="L10" s="58"/>
      <c r="M10" s="3"/>
      <c r="N10" s="3"/>
    </row>
    <row r="11" spans="2:14">
      <c r="B11" s="101" t="s">
        <v>258</v>
      </c>
      <c r="C11" s="325" t="s">
        <v>181</v>
      </c>
      <c r="D11" s="6"/>
      <c r="E11" s="3"/>
      <c r="F11" s="61"/>
      <c r="G11" s="85"/>
      <c r="H11" s="86"/>
      <c r="I11" s="44"/>
      <c r="J11" s="59"/>
      <c r="K11" s="3"/>
      <c r="L11" s="66"/>
      <c r="M11" s="71"/>
      <c r="N11" s="3"/>
    </row>
    <row r="12" spans="2:14">
      <c r="B12" s="101" t="s">
        <v>259</v>
      </c>
      <c r="C12" s="325" t="s">
        <v>181</v>
      </c>
      <c r="D12" s="6"/>
      <c r="E12" s="3"/>
      <c r="F12" s="61"/>
      <c r="G12" s="85"/>
      <c r="H12" s="86"/>
      <c r="I12" s="44"/>
      <c r="J12" s="59"/>
      <c r="K12" s="3"/>
      <c r="L12" s="56"/>
      <c r="M12" s="71"/>
      <c r="N12" s="3"/>
    </row>
    <row r="13" spans="2:14">
      <c r="B13" s="101" t="s">
        <v>260</v>
      </c>
      <c r="C13" s="325" t="s">
        <v>181</v>
      </c>
      <c r="D13" s="6"/>
      <c r="E13" s="3"/>
      <c r="F13" s="61"/>
      <c r="G13" s="85"/>
      <c r="H13" s="86"/>
      <c r="I13" s="44"/>
      <c r="J13" s="59"/>
      <c r="K13" s="3"/>
      <c r="L13" s="3"/>
      <c r="M13" s="3"/>
      <c r="N13" s="3"/>
    </row>
    <row r="14" spans="2:14">
      <c r="D14" s="23"/>
      <c r="E14" s="3"/>
      <c r="F14" s="60"/>
      <c r="G14" s="7"/>
      <c r="H14" s="3"/>
      <c r="I14" s="44"/>
      <c r="J14" s="22"/>
      <c r="K14" s="3"/>
      <c r="L14" s="3"/>
      <c r="M14" s="3"/>
      <c r="N14" s="3"/>
    </row>
    <row r="15" spans="2:14">
      <c r="B15" s="456" t="s">
        <v>184</v>
      </c>
      <c r="C15" s="456"/>
      <c r="D15" s="6"/>
      <c r="E15" s="44"/>
      <c r="F15" s="56"/>
      <c r="G15" s="3"/>
      <c r="H15" s="3"/>
      <c r="I15" s="3"/>
      <c r="J15" s="3"/>
      <c r="K15" s="3"/>
      <c r="L15" s="3"/>
      <c r="M15" s="3"/>
      <c r="N15" s="3"/>
    </row>
    <row r="16" spans="2:14">
      <c r="B16" s="330" t="s">
        <v>182</v>
      </c>
      <c r="C16" s="330" t="s">
        <v>183</v>
      </c>
      <c r="D16" s="6"/>
      <c r="E16" s="44"/>
      <c r="F16" s="66"/>
      <c r="G16" s="67"/>
      <c r="H16" s="42"/>
      <c r="I16" s="3"/>
      <c r="J16" s="3"/>
      <c r="K16" s="3"/>
      <c r="L16" s="3"/>
      <c r="M16" s="3"/>
      <c r="N16" s="3"/>
    </row>
    <row r="17" spans="2:14">
      <c r="B17" s="101" t="s">
        <v>249</v>
      </c>
      <c r="C17" s="325" t="s">
        <v>250</v>
      </c>
      <c r="D17" s="6" t="s">
        <v>186</v>
      </c>
      <c r="E17" s="44"/>
      <c r="F17" s="56"/>
      <c r="G17" s="67"/>
      <c r="H17" s="3"/>
      <c r="I17" s="3"/>
      <c r="J17" s="3"/>
      <c r="K17" s="3"/>
      <c r="L17" s="3"/>
      <c r="M17" s="3"/>
      <c r="N17" s="3"/>
    </row>
    <row r="18" spans="2:14">
      <c r="B18" s="261" t="s">
        <v>261</v>
      </c>
      <c r="C18" s="326" t="s">
        <v>262</v>
      </c>
      <c r="D18" s="23"/>
      <c r="E18" s="44"/>
      <c r="F18" s="56"/>
      <c r="G18" s="3"/>
      <c r="H18" s="3"/>
      <c r="I18" s="3"/>
      <c r="J18" s="3"/>
      <c r="K18" s="3"/>
      <c r="L18" s="3"/>
      <c r="M18" s="3"/>
      <c r="N18" s="3"/>
    </row>
    <row r="19" spans="2:14">
      <c r="B19" s="261" t="s">
        <v>263</v>
      </c>
      <c r="C19" s="327" t="s">
        <v>264</v>
      </c>
      <c r="D19" s="6"/>
      <c r="E19" s="44"/>
      <c r="F19" s="56"/>
      <c r="G19" s="3"/>
      <c r="H19" s="3"/>
      <c r="I19" s="3"/>
      <c r="J19" s="3"/>
      <c r="K19" s="3"/>
      <c r="L19" s="3"/>
      <c r="M19" s="3"/>
      <c r="N19" s="3"/>
    </row>
    <row r="20" spans="2:14">
      <c r="B20" s="261" t="s">
        <v>265</v>
      </c>
      <c r="C20" s="328" t="s">
        <v>266</v>
      </c>
      <c r="E20" s="87"/>
      <c r="F20" s="89"/>
      <c r="G20" s="89"/>
      <c r="H20" s="89"/>
      <c r="I20" s="89"/>
      <c r="J20" s="89"/>
      <c r="K20" s="89"/>
      <c r="L20" s="3"/>
      <c r="M20" s="3"/>
      <c r="N20" s="3"/>
    </row>
    <row r="21" spans="2:14">
      <c r="B21" s="261" t="s">
        <v>253</v>
      </c>
      <c r="C21" s="328" t="s">
        <v>254</v>
      </c>
      <c r="D21" s="6"/>
      <c r="E21" s="78"/>
      <c r="F21" s="90"/>
      <c r="G21" s="7"/>
      <c r="H21" s="7"/>
      <c r="I21" s="7"/>
      <c r="J21" s="7"/>
      <c r="K21" s="7"/>
      <c r="L21" s="3"/>
      <c r="M21" s="3"/>
      <c r="N21" s="3"/>
    </row>
    <row r="22" spans="2:14">
      <c r="B22" s="261" t="s">
        <v>267</v>
      </c>
      <c r="C22" s="329" t="s">
        <v>268</v>
      </c>
      <c r="D22" s="6"/>
      <c r="E22" s="44"/>
      <c r="F22" s="57"/>
      <c r="G22" s="57"/>
      <c r="H22" s="57"/>
      <c r="I22" s="79"/>
      <c r="J22" s="56"/>
      <c r="K22" s="57"/>
      <c r="L22" s="3"/>
      <c r="M22" s="3"/>
      <c r="N22" s="3"/>
    </row>
    <row r="23" spans="2:14">
      <c r="B23" s="101" t="s">
        <v>269</v>
      </c>
      <c r="C23" s="325" t="s">
        <v>270</v>
      </c>
      <c r="D23" s="23"/>
      <c r="E23" s="44"/>
      <c r="F23" s="3"/>
      <c r="G23" s="3"/>
      <c r="H23" s="3"/>
      <c r="I23" s="3"/>
      <c r="J23" s="3"/>
      <c r="K23" s="3"/>
      <c r="L23" s="91"/>
      <c r="M23" s="3"/>
      <c r="N23" s="3"/>
    </row>
    <row r="24" spans="2:14">
      <c r="B24" s="101" t="s">
        <v>271</v>
      </c>
      <c r="C24" s="325" t="s">
        <v>272</v>
      </c>
      <c r="D24" s="6"/>
      <c r="E24" s="44"/>
      <c r="F24" s="3"/>
      <c r="G24" s="3"/>
      <c r="H24" s="3"/>
      <c r="I24" s="3"/>
      <c r="J24" s="3"/>
      <c r="K24" s="3"/>
      <c r="L24" s="3"/>
      <c r="M24" s="3"/>
      <c r="N24" s="3"/>
    </row>
    <row r="25" spans="2:14">
      <c r="B25" s="101" t="s">
        <v>273</v>
      </c>
      <c r="C25" s="325" t="s">
        <v>274</v>
      </c>
      <c r="D25" s="6"/>
      <c r="E25" s="6"/>
      <c r="F25" s="57"/>
      <c r="G25" s="3"/>
      <c r="H25" s="66"/>
      <c r="I25" s="67"/>
      <c r="J25" s="3"/>
      <c r="K25" s="3"/>
      <c r="L25" s="3"/>
      <c r="M25" s="3"/>
      <c r="N25" s="3"/>
    </row>
    <row r="26" spans="2:14">
      <c r="D26" s="6"/>
      <c r="E26" s="23"/>
      <c r="F26" s="43"/>
      <c r="G26" s="3"/>
      <c r="H26" s="56"/>
      <c r="I26" s="67"/>
      <c r="J26" s="3"/>
      <c r="K26" s="3"/>
      <c r="L26" s="92"/>
      <c r="M26" s="3"/>
      <c r="N26" s="3"/>
    </row>
    <row r="27" spans="2:14">
      <c r="B27" s="177" t="s">
        <v>187</v>
      </c>
      <c r="C27" s="177">
        <v>6</v>
      </c>
      <c r="D27" s="23"/>
      <c r="E27" s="22"/>
      <c r="F27" s="93"/>
      <c r="G27" s="3"/>
      <c r="H27" s="3"/>
      <c r="I27" s="3"/>
      <c r="J27" s="3"/>
      <c r="K27" s="3"/>
      <c r="L27" s="3"/>
      <c r="M27" s="3"/>
      <c r="N27" s="3"/>
    </row>
    <row r="28" spans="2:14">
      <c r="B28" s="177" t="s">
        <v>188</v>
      </c>
      <c r="C28" s="177">
        <v>7</v>
      </c>
      <c r="D28" s="7"/>
      <c r="E28" s="22"/>
      <c r="F28" s="93"/>
      <c r="G28" s="3"/>
      <c r="H28" s="3"/>
      <c r="I28" s="3"/>
      <c r="J28" s="3"/>
      <c r="K28" s="3"/>
      <c r="L28" s="3"/>
      <c r="M28" s="3"/>
      <c r="N28" s="3"/>
    </row>
    <row r="29" spans="2:14">
      <c r="B29" s="177" t="s">
        <v>189</v>
      </c>
      <c r="C29" s="177">
        <v>10</v>
      </c>
      <c r="D29" s="3"/>
      <c r="E29" s="3"/>
      <c r="F29" s="57"/>
      <c r="G29" s="3"/>
      <c r="H29" s="3"/>
      <c r="I29" s="3"/>
      <c r="J29" s="3"/>
      <c r="K29" s="3"/>
      <c r="L29" s="3"/>
      <c r="M29" s="3"/>
      <c r="N29" s="3"/>
    </row>
    <row r="30" spans="2:14">
      <c r="B30" s="177" t="s">
        <v>190</v>
      </c>
      <c r="C30" s="177">
        <v>8</v>
      </c>
      <c r="D30" s="3"/>
      <c r="E30" s="3"/>
      <c r="F30" s="57"/>
    </row>
    <row r="31" spans="2:14">
      <c r="B31" s="331" t="s">
        <v>180</v>
      </c>
      <c r="C31" s="331">
        <v>9</v>
      </c>
      <c r="D31" s="3"/>
      <c r="E31" s="3"/>
      <c r="F31" s="57"/>
    </row>
    <row r="32" spans="2:14">
      <c r="D32" s="3"/>
      <c r="E32" s="3"/>
      <c r="F32" s="57"/>
    </row>
    <row r="33" spans="2:6">
      <c r="B33" s="456" t="s">
        <v>399</v>
      </c>
      <c r="C33" s="456"/>
      <c r="D33" s="3"/>
      <c r="E33" s="3"/>
      <c r="F33" s="57"/>
    </row>
    <row r="34" spans="2:6">
      <c r="B34" s="330" t="s">
        <v>182</v>
      </c>
      <c r="C34" s="448" t="s">
        <v>154</v>
      </c>
      <c r="D34" s="3"/>
      <c r="E34" s="3"/>
      <c r="F34" s="57"/>
    </row>
    <row r="35" spans="2:6">
      <c r="B35" s="101" t="s">
        <v>400</v>
      </c>
      <c r="C35" s="135">
        <v>0.3896</v>
      </c>
    </row>
    <row r="36" spans="2:6">
      <c r="B36" s="101" t="s">
        <v>401</v>
      </c>
      <c r="C36" s="135">
        <v>4.2099999999999999E-2</v>
      </c>
    </row>
    <row r="37" spans="2:6">
      <c r="B37" s="101" t="s">
        <v>402</v>
      </c>
      <c r="C37" s="135">
        <v>0.56830000000000003</v>
      </c>
    </row>
    <row r="38" spans="2:6">
      <c r="C38" s="342">
        <f>SUM(C35:C37)</f>
        <v>1</v>
      </c>
    </row>
  </sheetData>
  <mergeCells count="3">
    <mergeCell ref="B3:C3"/>
    <mergeCell ref="B15:C15"/>
    <mergeCell ref="B33:C33"/>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1"/>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4" t="s">
        <v>45</v>
      </c>
      <c r="C1" s="9"/>
    </row>
    <row r="2" spans="2:3">
      <c r="B2" s="35"/>
      <c r="C2" s="9"/>
    </row>
    <row r="3" spans="2:3">
      <c r="B3" s="9"/>
      <c r="C3" s="9"/>
    </row>
    <row r="4" spans="2:3">
      <c r="B4" s="55" t="s">
        <v>0</v>
      </c>
      <c r="C4" s="55" t="s">
        <v>1</v>
      </c>
    </row>
    <row r="5" spans="2:3">
      <c r="B5" s="38">
        <v>1</v>
      </c>
      <c r="C5" s="39" t="s">
        <v>6</v>
      </c>
    </row>
    <row r="6" spans="2:3">
      <c r="B6" s="36">
        <f>B5+1</f>
        <v>2</v>
      </c>
      <c r="C6" s="37" t="s">
        <v>221</v>
      </c>
    </row>
    <row r="7" spans="2:3">
      <c r="B7" s="36">
        <f t="shared" ref="B7:B21" si="0">B6+1</f>
        <v>3</v>
      </c>
      <c r="C7" s="37" t="s">
        <v>198</v>
      </c>
    </row>
    <row r="8" spans="2:3">
      <c r="B8" s="36">
        <f t="shared" si="0"/>
        <v>4</v>
      </c>
      <c r="C8" s="37" t="s">
        <v>222</v>
      </c>
    </row>
    <row r="9" spans="2:3">
      <c r="B9" s="36">
        <f t="shared" si="0"/>
        <v>5</v>
      </c>
      <c r="C9" s="37" t="s">
        <v>220</v>
      </c>
    </row>
    <row r="10" spans="2:3">
      <c r="B10" s="36">
        <f t="shared" si="0"/>
        <v>6</v>
      </c>
      <c r="C10" s="39" t="s">
        <v>44</v>
      </c>
    </row>
    <row r="11" spans="2:3">
      <c r="B11" s="36">
        <f t="shared" si="0"/>
        <v>7</v>
      </c>
      <c r="C11" s="37" t="s">
        <v>240</v>
      </c>
    </row>
    <row r="12" spans="2:3">
      <c r="B12" s="36">
        <f t="shared" si="0"/>
        <v>8</v>
      </c>
      <c r="C12" s="37" t="s">
        <v>55</v>
      </c>
    </row>
    <row r="13" spans="2:3">
      <c r="B13" s="36">
        <f t="shared" si="0"/>
        <v>9</v>
      </c>
      <c r="C13" s="37" t="s">
        <v>66</v>
      </c>
    </row>
    <row r="14" spans="2:3">
      <c r="B14" s="36">
        <f t="shared" si="0"/>
        <v>10</v>
      </c>
      <c r="C14" s="39" t="s">
        <v>79</v>
      </c>
    </row>
    <row r="15" spans="2:3">
      <c r="B15" s="36">
        <f t="shared" si="0"/>
        <v>11</v>
      </c>
      <c r="C15" s="37" t="s">
        <v>76</v>
      </c>
    </row>
    <row r="16" spans="2:3">
      <c r="B16" s="36">
        <f t="shared" si="0"/>
        <v>12</v>
      </c>
      <c r="C16" s="37" t="s">
        <v>77</v>
      </c>
    </row>
    <row r="17" spans="2:3">
      <c r="B17" s="36">
        <f t="shared" si="0"/>
        <v>13</v>
      </c>
      <c r="C17" s="37" t="s">
        <v>78</v>
      </c>
    </row>
    <row r="18" spans="2:3">
      <c r="B18" s="36">
        <f t="shared" si="0"/>
        <v>14</v>
      </c>
      <c r="C18" s="39" t="s">
        <v>120</v>
      </c>
    </row>
    <row r="19" spans="2:3">
      <c r="B19" s="36">
        <f t="shared" si="0"/>
        <v>15</v>
      </c>
      <c r="C19" s="37" t="s">
        <v>104</v>
      </c>
    </row>
    <row r="20" spans="2:3">
      <c r="B20" s="36">
        <f t="shared" si="0"/>
        <v>16</v>
      </c>
      <c r="C20" s="37" t="s">
        <v>144</v>
      </c>
    </row>
    <row r="21" spans="2:3">
      <c r="B21" s="36">
        <f t="shared" si="0"/>
        <v>17</v>
      </c>
      <c r="C21" s="37" t="s">
        <v>119</v>
      </c>
    </row>
  </sheetData>
  <hyperlinks>
    <hyperlink ref="C15" location="'Expected Growth Rate'!A1" display="Expected Growth Rate"/>
    <hyperlink ref="C16" location="'Future Cashflows (10 Yrs)'!A1" display="Future Cash Flows (10 Yrs)"/>
    <hyperlink ref="C17" location="'Terminal Value'!A1" display="Terminal Value"/>
    <hyperlink ref="C19"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1"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0" location="'Future Value (Equity Options)'!A1" display="Future Value of Equity Option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37"/>
  <sheetViews>
    <sheetView zoomScaleNormal="100" workbookViewId="0"/>
  </sheetViews>
  <sheetFormatPr defaultRowHeight="12"/>
  <cols>
    <col min="1" max="1" width="2" style="2" customWidth="1"/>
    <col min="2" max="2" width="25.5703125" style="2" customWidth="1"/>
    <col min="3" max="3" width="11.7109375" style="2" customWidth="1"/>
    <col min="4" max="4" width="10.28515625" style="2" customWidth="1"/>
    <col min="5" max="5" width="10.85546875" style="2" customWidth="1"/>
    <col min="6" max="6" width="11.42578125" style="2" customWidth="1"/>
    <col min="7" max="7" width="16.42578125" style="2" customWidth="1"/>
    <col min="8" max="8" width="6.85546875" style="2" customWidth="1"/>
    <col min="9" max="9" width="11.85546875" style="2" customWidth="1"/>
    <col min="10" max="10" width="10.5703125" style="2" customWidth="1"/>
    <col min="11" max="11" width="11.28515625" style="2" customWidth="1"/>
    <col min="12" max="12" width="9.140625" style="2"/>
    <col min="13" max="13" width="12" style="2" bestFit="1" customWidth="1"/>
    <col min="14" max="14" width="20.140625" style="2" bestFit="1" customWidth="1"/>
    <col min="15" max="16384" width="9.140625" style="2"/>
  </cols>
  <sheetData>
    <row r="1" spans="2:10" ht="15.75">
      <c r="B1" s="16" t="s">
        <v>179</v>
      </c>
    </row>
    <row r="3" spans="2:10">
      <c r="B3" s="177" t="s">
        <v>176</v>
      </c>
      <c r="C3" s="48">
        <v>3.5990000000000001E-2</v>
      </c>
      <c r="D3" s="21"/>
      <c r="I3" s="45" t="s">
        <v>31</v>
      </c>
      <c r="J3" s="315" t="s">
        <v>243</v>
      </c>
    </row>
    <row r="4" spans="2:10">
      <c r="B4" s="177" t="s">
        <v>153</v>
      </c>
      <c r="C4" s="50" t="s">
        <v>223</v>
      </c>
      <c r="D4" s="6"/>
      <c r="I4" s="45" t="s">
        <v>16</v>
      </c>
      <c r="J4" s="12">
        <v>0</v>
      </c>
    </row>
    <row r="5" spans="2:10">
      <c r="B5" s="177" t="s">
        <v>158</v>
      </c>
      <c r="C5" s="48">
        <f>VLOOKUP(C4,$I$3:$J$24,2,0)</f>
        <v>0</v>
      </c>
      <c r="D5" s="6"/>
      <c r="I5" s="45" t="s">
        <v>17</v>
      </c>
      <c r="J5" s="12">
        <v>3.3999999999999998E-3</v>
      </c>
    </row>
    <row r="6" spans="2:10">
      <c r="B6" s="323"/>
      <c r="C6" s="28"/>
      <c r="D6" s="23"/>
      <c r="I6" s="45" t="s">
        <v>10</v>
      </c>
      <c r="J6" s="12">
        <v>4.1999999999999997E-3</v>
      </c>
    </row>
    <row r="7" spans="2:10">
      <c r="B7" s="177" t="s">
        <v>177</v>
      </c>
      <c r="C7" s="49">
        <f>C3</f>
        <v>3.5990000000000001E-2</v>
      </c>
      <c r="D7" s="6"/>
      <c r="I7" s="45" t="s">
        <v>21</v>
      </c>
      <c r="J7" s="12">
        <v>5.1000000000000004E-3</v>
      </c>
    </row>
    <row r="8" spans="2:10">
      <c r="B8" s="3"/>
      <c r="C8" s="3"/>
      <c r="D8" s="6"/>
      <c r="I8" s="45" t="s">
        <v>26</v>
      </c>
      <c r="J8" s="43">
        <v>6.0000000000000001E-3</v>
      </c>
    </row>
    <row r="9" spans="2:10">
      <c r="B9" s="231"/>
      <c r="C9" s="231" t="s">
        <v>4</v>
      </c>
      <c r="D9" s="231" t="s">
        <v>154</v>
      </c>
      <c r="E9" s="231" t="s">
        <v>129</v>
      </c>
      <c r="F9" s="231" t="s">
        <v>145</v>
      </c>
      <c r="G9" s="231" t="s">
        <v>377</v>
      </c>
      <c r="I9" s="45" t="s">
        <v>23</v>
      </c>
      <c r="J9" s="12">
        <v>7.1999999999999998E-3</v>
      </c>
    </row>
    <row r="10" spans="2:10">
      <c r="B10" s="177" t="s">
        <v>178</v>
      </c>
      <c r="C10" s="377">
        <v>1189.2280000000001</v>
      </c>
      <c r="D10" s="63">
        <f ca="1">C10/$C$20</f>
        <v>0.41229201612975919</v>
      </c>
      <c r="E10" s="98">
        <f>4.89%</f>
        <v>4.8899999999999999E-2</v>
      </c>
      <c r="F10" s="75">
        <v>0</v>
      </c>
      <c r="G10" s="351">
        <v>0.21</v>
      </c>
      <c r="I10" s="45" t="s">
        <v>24</v>
      </c>
      <c r="J10" s="12">
        <v>1.0200000000000001E-2</v>
      </c>
    </row>
    <row r="11" spans="2:10">
      <c r="B11" s="177" t="s">
        <v>275</v>
      </c>
      <c r="C11" s="377">
        <v>309.81200000000001</v>
      </c>
      <c r="D11" s="63">
        <f ca="1">C11/$C$20</f>
        <v>0.10740834734903058</v>
      </c>
      <c r="E11" s="98">
        <f>$E$10+F11</f>
        <v>5.4939908256880728E-2</v>
      </c>
      <c r="F11" s="75">
        <v>6.0399082568807303E-3</v>
      </c>
      <c r="G11" s="351">
        <v>0.25</v>
      </c>
      <c r="I11" s="45" t="s">
        <v>25</v>
      </c>
      <c r="J11" s="12">
        <v>1.3599999999999999E-2</v>
      </c>
    </row>
    <row r="12" spans="2:10">
      <c r="B12" s="323" t="s">
        <v>277</v>
      </c>
      <c r="C12" s="377">
        <f>2884.41*D12</f>
        <v>141.912972</v>
      </c>
      <c r="D12" s="63">
        <v>4.9200000000000001E-2</v>
      </c>
      <c r="E12" s="98">
        <f>$E$10+F12</f>
        <v>5.752844036697248E-2</v>
      </c>
      <c r="F12" s="75">
        <v>8.6284403669724796E-3</v>
      </c>
      <c r="G12" s="351">
        <v>0.25</v>
      </c>
      <c r="I12" s="45" t="s">
        <v>12</v>
      </c>
      <c r="J12" s="12">
        <v>1.6199999999999999E-2</v>
      </c>
    </row>
    <row r="13" spans="2:10">
      <c r="B13" s="323" t="s">
        <v>278</v>
      </c>
      <c r="C13" s="377">
        <f t="shared" ref="C13:C18" ca="1" si="0">$C$20*D13</f>
        <v>198.44887409667774</v>
      </c>
      <c r="D13" s="63">
        <v>6.88E-2</v>
      </c>
      <c r="E13" s="98">
        <f t="shared" ref="E13:E19" si="1">$E$10+F13</f>
        <v>7.5791972477064207E-2</v>
      </c>
      <c r="F13" s="75">
        <v>2.6891972477064201E-2</v>
      </c>
      <c r="G13" s="351">
        <v>0.24</v>
      </c>
      <c r="I13" s="45" t="s">
        <v>29</v>
      </c>
      <c r="J13" s="12">
        <v>1.8700000000000001E-2</v>
      </c>
    </row>
    <row r="14" spans="2:10">
      <c r="B14" s="323" t="s">
        <v>279</v>
      </c>
      <c r="C14" s="377">
        <f ca="1">$C$20*D14</f>
        <v>124.895875703287</v>
      </c>
      <c r="D14" s="63">
        <v>4.3299999999999998E-2</v>
      </c>
      <c r="E14" s="98">
        <f t="shared" si="1"/>
        <v>8.5714678899082603E-2</v>
      </c>
      <c r="F14" s="75">
        <v>3.6814678899082597E-2</v>
      </c>
      <c r="G14" s="351">
        <v>0.2</v>
      </c>
      <c r="I14" s="45" t="s">
        <v>28</v>
      </c>
      <c r="J14" s="12">
        <v>2.1299999999999999E-2</v>
      </c>
    </row>
    <row r="15" spans="2:10">
      <c r="B15" s="177" t="s">
        <v>280</v>
      </c>
      <c r="C15" s="377">
        <f t="shared" ca="1" si="0"/>
        <v>272.00187249006848</v>
      </c>
      <c r="D15" s="63">
        <v>9.4299999999999995E-2</v>
      </c>
      <c r="E15" s="98">
        <f t="shared" si="1"/>
        <v>5.6234174311926607E-2</v>
      </c>
      <c r="F15" s="75">
        <v>7.3341743119266101E-3</v>
      </c>
      <c r="G15" s="351">
        <v>0.25</v>
      </c>
      <c r="I15" s="45" t="s">
        <v>18</v>
      </c>
      <c r="J15" s="12">
        <v>2.5600000000000001E-2</v>
      </c>
    </row>
    <row r="16" spans="2:10">
      <c r="B16" s="177" t="s">
        <v>281</v>
      </c>
      <c r="C16" s="377">
        <f t="shared" ca="1" si="0"/>
        <v>217.77456387062745</v>
      </c>
      <c r="D16" s="63">
        <v>7.5499999999999998E-2</v>
      </c>
      <c r="E16" s="98">
        <f t="shared" si="1"/>
        <v>6.8457798165137598E-2</v>
      </c>
      <c r="F16" s="75">
        <v>1.9557798165137599E-2</v>
      </c>
      <c r="G16" s="351">
        <v>0.25</v>
      </c>
      <c r="I16" s="45" t="s">
        <v>15</v>
      </c>
      <c r="J16" s="12">
        <v>3.0599999999999999E-2</v>
      </c>
    </row>
    <row r="17" spans="2:10">
      <c r="B17" s="177" t="s">
        <v>282</v>
      </c>
      <c r="C17" s="377">
        <f t="shared" ca="1" si="0"/>
        <v>152.00953001300749</v>
      </c>
      <c r="D17" s="63">
        <v>5.2699999999999997E-2</v>
      </c>
      <c r="E17" s="98">
        <f>$E$10+F17</f>
        <v>7.2196788990825697E-2</v>
      </c>
      <c r="F17" s="75">
        <v>2.3296788990825702E-2</v>
      </c>
      <c r="G17" s="351">
        <v>0.3</v>
      </c>
      <c r="I17" s="45" t="s">
        <v>11</v>
      </c>
      <c r="J17" s="12">
        <v>3.8300000000000001E-2</v>
      </c>
    </row>
    <row r="18" spans="2:10">
      <c r="B18" s="177" t="s">
        <v>283</v>
      </c>
      <c r="C18" s="377">
        <f t="shared" ca="1" si="0"/>
        <v>117.97324056037964</v>
      </c>
      <c r="D18" s="63">
        <v>4.0899999999999999E-2</v>
      </c>
      <c r="E18" s="98">
        <f t="shared" si="1"/>
        <v>4.8899999999999999E-2</v>
      </c>
      <c r="F18" s="75">
        <v>0</v>
      </c>
      <c r="G18" s="351">
        <v>0.3</v>
      </c>
      <c r="I18" s="45" t="s">
        <v>19</v>
      </c>
      <c r="J18" s="12">
        <v>4.6800000000000001E-2</v>
      </c>
    </row>
    <row r="19" spans="2:10">
      <c r="B19" s="177" t="s">
        <v>284</v>
      </c>
      <c r="C19" s="377">
        <f ca="1">$C$20*D19</f>
        <v>160.37438081068723</v>
      </c>
      <c r="D19" s="63">
        <v>5.5599999999999997E-2</v>
      </c>
      <c r="E19" s="98">
        <f t="shared" si="1"/>
        <v>4.8899999999999999E-2</v>
      </c>
      <c r="F19" s="75">
        <v>0</v>
      </c>
      <c r="G19" s="351">
        <v>0.26500000000000001</v>
      </c>
      <c r="I19" s="45" t="s">
        <v>13</v>
      </c>
      <c r="J19" s="12">
        <v>5.5300000000000002E-2</v>
      </c>
    </row>
    <row r="20" spans="2:10">
      <c r="C20" s="378">
        <f ca="1">SUM(C10:C19)</f>
        <v>2884.4313095447346</v>
      </c>
      <c r="D20" s="233">
        <f ca="1">SUM(D10:D19)</f>
        <v>1.00000036347879</v>
      </c>
      <c r="E20" s="233">
        <f ca="1">(D10*E10)+(D11*E11)+(D12*E12)+(D13*E13)+(D14*E14)+(D15*E15)+(D16*E16)+(D17*E17)+(D18*E18)+(D19*E19)</f>
        <v>5.6813484085830562E-2</v>
      </c>
      <c r="F20" s="233">
        <f ca="1">(F10*D10)+(D11*F11)+(D12*F12)+(D13*F13)+(D14*F14)+(D15*F15)+(D16*F16)+(D17*F17)+(D18*F18)+(D19*F19)</f>
        <v>7.9134663117177446E-3</v>
      </c>
      <c r="G20" s="308">
        <f ca="1">(D10*G10)+(D11*G11)+(D12*G12)+(D13*G13)+(D14*G14)+(D15*G15)+(D16*G16)+(D17*G17)+(D18*G18)+(D19*G19)</f>
        <v>0.23616941022450705</v>
      </c>
      <c r="I20" s="45" t="s">
        <v>20</v>
      </c>
      <c r="J20" s="12">
        <v>6.3799999999999996E-2</v>
      </c>
    </row>
    <row r="21" spans="2:10">
      <c r="E21" s="86" t="s">
        <v>276</v>
      </c>
      <c r="F21" s="49">
        <f ca="1">E20</f>
        <v>5.6813484085830562E-2</v>
      </c>
      <c r="I21" s="45" t="s">
        <v>27</v>
      </c>
      <c r="J21" s="12">
        <v>7.6600000000000001E-2</v>
      </c>
    </row>
    <row r="22" spans="2:10">
      <c r="I22" s="45" t="s">
        <v>22</v>
      </c>
      <c r="J22" s="12">
        <v>8.5099999999999995E-2</v>
      </c>
    </row>
    <row r="23" spans="2:10">
      <c r="C23" s="381"/>
      <c r="I23" s="45" t="s">
        <v>14</v>
      </c>
      <c r="J23" s="12">
        <v>0.1021</v>
      </c>
    </row>
    <row r="24" spans="2:10">
      <c r="I24" s="45" t="s">
        <v>30</v>
      </c>
      <c r="J24" s="12">
        <v>0.17499999999999999</v>
      </c>
    </row>
    <row r="25" spans="2:10">
      <c r="E25" s="6"/>
    </row>
    <row r="26" spans="2:10">
      <c r="E26" s="6"/>
    </row>
    <row r="27" spans="2:10">
      <c r="C27" s="379"/>
      <c r="D27" s="12"/>
      <c r="E27" s="23"/>
      <c r="F27" s="23"/>
    </row>
    <row r="28" spans="2:10">
      <c r="D28" s="12"/>
      <c r="E28" s="3"/>
      <c r="F28" s="3"/>
    </row>
    <row r="29" spans="2:10">
      <c r="D29" s="12"/>
      <c r="E29" s="3"/>
      <c r="F29" s="3"/>
    </row>
    <row r="30" spans="2:10">
      <c r="D30" s="12"/>
      <c r="E30" s="3"/>
      <c r="F30" s="3"/>
    </row>
    <row r="31" spans="2:10">
      <c r="D31" s="12"/>
      <c r="E31" s="3"/>
      <c r="F31" s="3"/>
    </row>
    <row r="32" spans="2:10">
      <c r="B32" s="42"/>
      <c r="C32" s="3"/>
      <c r="D32" s="12"/>
      <c r="E32" s="3"/>
      <c r="F32" s="3"/>
    </row>
    <row r="33" spans="2:6">
      <c r="B33" s="3"/>
      <c r="C33" s="3"/>
      <c r="D33" s="12"/>
      <c r="E33" s="3"/>
      <c r="F33" s="3"/>
    </row>
    <row r="34" spans="2:6">
      <c r="B34" s="22"/>
      <c r="C34" s="22"/>
      <c r="D34" s="12"/>
      <c r="E34" s="3"/>
      <c r="F34" s="3"/>
    </row>
    <row r="35" spans="2:6">
      <c r="B35" s="3"/>
      <c r="C35" s="3"/>
      <c r="D35" s="12"/>
    </row>
    <row r="36" spans="2:6">
      <c r="B36" s="3"/>
      <c r="C36" s="3"/>
      <c r="D36" s="12"/>
    </row>
    <row r="37" spans="2:6">
      <c r="B37" s="3"/>
      <c r="C37" s="3"/>
      <c r="D37" s="380"/>
    </row>
  </sheetData>
  <sortState ref="I4:J24">
    <sortCondition ref="J6"/>
  </sortState>
  <conditionalFormatting sqref="J4:J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T74"/>
  <sheetViews>
    <sheetView zoomScaleNormal="100" workbookViewId="0"/>
  </sheetViews>
  <sheetFormatPr defaultRowHeight="12"/>
  <cols>
    <col min="1" max="1" width="2" style="2" customWidth="1"/>
    <col min="2" max="2" width="22.42578125" style="2" customWidth="1"/>
    <col min="3" max="3" width="9.7109375" style="2" customWidth="1"/>
    <col min="4" max="4" width="13.7109375" style="2" customWidth="1"/>
    <col min="5" max="5" width="13.5703125" style="2" customWidth="1"/>
    <col min="6" max="6" width="14.140625" style="2" customWidth="1"/>
    <col min="7" max="7" width="14.7109375" style="13" customWidth="1"/>
    <col min="8" max="8" width="13.28515625" style="2" customWidth="1"/>
    <col min="9" max="9" width="11.140625" style="2" customWidth="1"/>
    <col min="10" max="10" width="10.85546875" style="2" customWidth="1"/>
    <col min="11" max="11" width="10.28515625" style="2" customWidth="1"/>
    <col min="12" max="12" width="15.7109375" style="2" customWidth="1"/>
    <col min="13" max="13" width="11.140625" style="2" customWidth="1"/>
    <col min="14" max="14" width="10.85546875" style="2" customWidth="1"/>
    <col min="15" max="15" width="9.7109375" style="2" customWidth="1"/>
    <col min="16" max="16" width="9.140625" style="2"/>
    <col min="17" max="17" width="10.42578125" style="2" bestFit="1" customWidth="1"/>
    <col min="18" max="16384" width="9.140625" style="2"/>
  </cols>
  <sheetData>
    <row r="1" spans="2:17" ht="15.75">
      <c r="B1" s="16" t="s">
        <v>198</v>
      </c>
      <c r="E1" s="3"/>
      <c r="F1" s="3"/>
      <c r="G1" s="57"/>
      <c r="H1" s="3"/>
      <c r="I1" s="3"/>
      <c r="J1" s="3"/>
      <c r="K1" s="3"/>
      <c r="L1" s="3"/>
      <c r="M1" s="3"/>
      <c r="N1" s="3"/>
      <c r="O1" s="3"/>
      <c r="P1" s="3"/>
    </row>
    <row r="2" spans="2:17">
      <c r="M2" s="263"/>
      <c r="N2" s="102"/>
      <c r="O2" s="102"/>
      <c r="P2" s="102"/>
    </row>
    <row r="3" spans="2:17">
      <c r="B3" s="456" t="s">
        <v>320</v>
      </c>
      <c r="C3" s="456"/>
      <c r="D3" s="456"/>
      <c r="E3" s="456"/>
      <c r="F3" s="456"/>
      <c r="G3" s="456"/>
      <c r="H3" s="456"/>
      <c r="I3" s="456"/>
      <c r="J3" s="456"/>
      <c r="K3" s="456"/>
      <c r="L3" s="456"/>
      <c r="M3" s="456"/>
      <c r="N3" s="456"/>
      <c r="O3" s="456"/>
      <c r="P3" s="456"/>
      <c r="Q3" s="456"/>
    </row>
    <row r="4" spans="2:17">
      <c r="B4" s="219" t="s">
        <v>130</v>
      </c>
      <c r="C4" s="219" t="s">
        <v>34</v>
      </c>
      <c r="D4" s="199" t="s">
        <v>191</v>
      </c>
      <c r="E4" s="332" t="s">
        <v>199</v>
      </c>
      <c r="F4" s="332" t="s">
        <v>202</v>
      </c>
      <c r="G4" s="332" t="s">
        <v>201</v>
      </c>
      <c r="H4" s="332" t="s">
        <v>200</v>
      </c>
      <c r="I4" s="332" t="s">
        <v>192</v>
      </c>
      <c r="J4" s="332" t="s">
        <v>193</v>
      </c>
      <c r="K4" s="332" t="s">
        <v>194</v>
      </c>
      <c r="L4" s="332" t="s">
        <v>195</v>
      </c>
      <c r="M4" s="332" t="s">
        <v>196</v>
      </c>
      <c r="N4" s="332" t="s">
        <v>197</v>
      </c>
      <c r="O4" s="332" t="s">
        <v>35</v>
      </c>
      <c r="P4" s="332" t="s">
        <v>321</v>
      </c>
      <c r="Q4" s="332" t="s">
        <v>322</v>
      </c>
    </row>
    <row r="5" spans="2:17">
      <c r="B5" s="62" t="s">
        <v>285</v>
      </c>
      <c r="C5" s="62" t="s">
        <v>286</v>
      </c>
      <c r="D5" s="96">
        <v>1.26</v>
      </c>
      <c r="E5" s="387">
        <v>2455.0700000000002</v>
      </c>
      <c r="F5" s="220">
        <v>38.79</v>
      </c>
      <c r="G5" s="333">
        <f>E5*F5</f>
        <v>95232.165300000008</v>
      </c>
      <c r="H5" s="333">
        <v>11277</v>
      </c>
      <c r="I5" s="333">
        <f>G5+H5</f>
        <v>106509.16530000001</v>
      </c>
      <c r="J5" s="333">
        <v>0</v>
      </c>
      <c r="K5" s="333">
        <f>I5-J5</f>
        <v>106509.16530000001</v>
      </c>
      <c r="L5" s="336">
        <f>J5/I5</f>
        <v>0</v>
      </c>
      <c r="M5" s="220">
        <f>H5/G5</f>
        <v>0.11841587308736745</v>
      </c>
      <c r="N5" s="333">
        <v>16022</v>
      </c>
      <c r="O5" s="220">
        <f>K5/N5</f>
        <v>6.6476822681313203</v>
      </c>
      <c r="P5" s="220">
        <v>0</v>
      </c>
      <c r="Q5" s="385" t="s">
        <v>123</v>
      </c>
    </row>
    <row r="6" spans="2:17">
      <c r="B6" s="62" t="s">
        <v>288</v>
      </c>
      <c r="C6" s="234" t="s">
        <v>287</v>
      </c>
      <c r="D6" s="96">
        <v>1.57</v>
      </c>
      <c r="E6" s="388">
        <v>118.7</v>
      </c>
      <c r="F6" s="96">
        <v>150.57</v>
      </c>
      <c r="G6" s="333">
        <f>E6*F6</f>
        <v>17872.659</v>
      </c>
      <c r="H6" s="334">
        <v>8810</v>
      </c>
      <c r="I6" s="333">
        <f t="shared" ref="I6:I22" si="0">G6+H6</f>
        <v>26682.659</v>
      </c>
      <c r="J6" s="333">
        <v>4311</v>
      </c>
      <c r="K6" s="333">
        <f t="shared" ref="K6:K22" si="1">I6-J6</f>
        <v>22371.659</v>
      </c>
      <c r="L6" s="336">
        <f t="shared" ref="L6:L22" si="2">J6/I6</f>
        <v>0.16156560708586051</v>
      </c>
      <c r="M6" s="220">
        <f t="shared" ref="M6:M22" si="3">H6/G6</f>
        <v>0.49293168968310758</v>
      </c>
      <c r="N6" s="334">
        <v>11328</v>
      </c>
      <c r="O6" s="220">
        <f t="shared" ref="O6:O22" si="4">K6/N6</f>
        <v>1.9748992761299435</v>
      </c>
      <c r="P6" s="220">
        <v>5768</v>
      </c>
      <c r="Q6" s="220">
        <f t="shared" ref="Q6:Q22" si="5">N6/P6</f>
        <v>1.9639389736477115</v>
      </c>
    </row>
    <row r="7" spans="2:17">
      <c r="B7" s="62" t="s">
        <v>290</v>
      </c>
      <c r="C7" s="234" t="s">
        <v>289</v>
      </c>
      <c r="D7" s="96">
        <v>1.26</v>
      </c>
      <c r="E7" s="387">
        <v>23.93</v>
      </c>
      <c r="F7" s="220">
        <v>127.79</v>
      </c>
      <c r="G7" s="333">
        <f t="shared" ref="G7:G22" si="6">E7*F7</f>
        <v>3058.0147000000002</v>
      </c>
      <c r="H7" s="333">
        <v>953</v>
      </c>
      <c r="I7" s="333">
        <f t="shared" si="0"/>
        <v>4011.0147000000002</v>
      </c>
      <c r="J7" s="334">
        <v>723</v>
      </c>
      <c r="K7" s="333">
        <f t="shared" si="1"/>
        <v>3288.0147000000002</v>
      </c>
      <c r="L7" s="336">
        <f t="shared" si="2"/>
        <v>0.18025364005771408</v>
      </c>
      <c r="M7" s="220">
        <f t="shared" si="3"/>
        <v>0.31164009774053736</v>
      </c>
      <c r="N7" s="333">
        <v>1379</v>
      </c>
      <c r="O7" s="220">
        <f t="shared" si="4"/>
        <v>2.3843471356055113</v>
      </c>
      <c r="P7" s="220">
        <v>705</v>
      </c>
      <c r="Q7" s="220">
        <f t="shared" si="5"/>
        <v>1.9560283687943263</v>
      </c>
    </row>
    <row r="8" spans="2:17">
      <c r="B8" s="62" t="s">
        <v>291</v>
      </c>
      <c r="C8" s="234" t="s">
        <v>292</v>
      </c>
      <c r="D8" s="96">
        <v>0.51</v>
      </c>
      <c r="E8" s="387">
        <v>35.770000000000003</v>
      </c>
      <c r="F8" s="220">
        <v>641.75</v>
      </c>
      <c r="G8" s="333">
        <f t="shared" si="6"/>
        <v>22955.397500000003</v>
      </c>
      <c r="H8" s="333">
        <v>51722</v>
      </c>
      <c r="I8" s="333">
        <f t="shared" si="0"/>
        <v>74677.397500000006</v>
      </c>
      <c r="J8" s="333">
        <v>49384</v>
      </c>
      <c r="K8" s="333">
        <f t="shared" si="1"/>
        <v>25293.397500000006</v>
      </c>
      <c r="L8" s="336">
        <f t="shared" si="2"/>
        <v>0.66129781772322738</v>
      </c>
      <c r="M8" s="220">
        <f t="shared" si="3"/>
        <v>2.2531520092387853</v>
      </c>
      <c r="N8" s="333">
        <v>18145</v>
      </c>
      <c r="O8" s="220">
        <f t="shared" si="4"/>
        <v>1.3939596307522737</v>
      </c>
      <c r="P8" s="220">
        <v>4237</v>
      </c>
      <c r="Q8" s="220">
        <f t="shared" si="5"/>
        <v>4.2825112107623315</v>
      </c>
    </row>
    <row r="9" spans="2:17">
      <c r="B9" s="62" t="s">
        <v>293</v>
      </c>
      <c r="C9" s="234" t="s">
        <v>294</v>
      </c>
      <c r="D9" s="384" t="s">
        <v>123</v>
      </c>
      <c r="E9" s="387">
        <v>1.87</v>
      </c>
      <c r="F9" s="220">
        <v>236.35</v>
      </c>
      <c r="G9" s="333">
        <f t="shared" si="6"/>
        <v>441.97450000000003</v>
      </c>
      <c r="H9" s="333">
        <v>0.51200000000000001</v>
      </c>
      <c r="I9" s="333">
        <f t="shared" si="0"/>
        <v>442.48650000000004</v>
      </c>
      <c r="J9" s="333">
        <v>353.84199999999998</v>
      </c>
      <c r="K9" s="333">
        <f t="shared" si="1"/>
        <v>88.64450000000005</v>
      </c>
      <c r="L9" s="336">
        <f t="shared" si="2"/>
        <v>0.79966733448365079</v>
      </c>
      <c r="M9" s="220">
        <f t="shared" si="3"/>
        <v>1.1584378736782324E-3</v>
      </c>
      <c r="N9" s="333">
        <v>1161.896</v>
      </c>
      <c r="O9" s="220">
        <f t="shared" si="4"/>
        <v>7.6292972865041317E-2</v>
      </c>
      <c r="P9" s="220">
        <v>270.15600000000001</v>
      </c>
      <c r="Q9" s="220">
        <f t="shared" si="5"/>
        <v>4.3008335924428849</v>
      </c>
    </row>
    <row r="10" spans="2:17">
      <c r="B10" s="62" t="s">
        <v>296</v>
      </c>
      <c r="C10" s="62" t="s">
        <v>295</v>
      </c>
      <c r="D10" s="384" t="s">
        <v>123</v>
      </c>
      <c r="E10" s="389">
        <v>3.16</v>
      </c>
      <c r="F10" s="257">
        <v>122.56</v>
      </c>
      <c r="G10" s="333">
        <f t="shared" si="6"/>
        <v>387.28960000000001</v>
      </c>
      <c r="H10" s="335">
        <v>26.555</v>
      </c>
      <c r="I10" s="333">
        <f t="shared" si="0"/>
        <v>413.84460000000001</v>
      </c>
      <c r="J10" s="333">
        <v>252.90899999999999</v>
      </c>
      <c r="K10" s="333">
        <f t="shared" si="1"/>
        <v>160.93560000000002</v>
      </c>
      <c r="L10" s="336">
        <f t="shared" si="2"/>
        <v>0.61112069602937913</v>
      </c>
      <c r="M10" s="220">
        <f t="shared" si="3"/>
        <v>6.8566261526258387E-2</v>
      </c>
      <c r="N10" s="335">
        <v>147.387</v>
      </c>
      <c r="O10" s="220">
        <f t="shared" si="4"/>
        <v>1.091925339412567</v>
      </c>
      <c r="P10" s="220">
        <v>104.395</v>
      </c>
      <c r="Q10" s="220">
        <f t="shared" si="5"/>
        <v>1.4118204894870445</v>
      </c>
    </row>
    <row r="11" spans="2:17">
      <c r="B11" s="62" t="s">
        <v>298</v>
      </c>
      <c r="C11" s="62" t="s">
        <v>297</v>
      </c>
      <c r="D11" s="96">
        <v>2.15</v>
      </c>
      <c r="E11" s="390">
        <v>11.8</v>
      </c>
      <c r="F11" s="352">
        <v>1110</v>
      </c>
      <c r="G11" s="333">
        <f t="shared" si="6"/>
        <v>13098</v>
      </c>
      <c r="H11" s="391">
        <v>35881</v>
      </c>
      <c r="I11" s="333">
        <f t="shared" si="0"/>
        <v>48979</v>
      </c>
      <c r="J11" s="335">
        <v>4029</v>
      </c>
      <c r="K11" s="333">
        <f t="shared" si="1"/>
        <v>44950</v>
      </c>
      <c r="L11" s="336">
        <f t="shared" si="2"/>
        <v>8.2259743971906329E-2</v>
      </c>
      <c r="M11" s="220">
        <f t="shared" si="3"/>
        <v>2.7394258665445106</v>
      </c>
      <c r="N11" s="391">
        <v>12169</v>
      </c>
      <c r="O11" s="220">
        <f t="shared" si="4"/>
        <v>3.6938121456159094</v>
      </c>
      <c r="P11" s="220">
        <v>0</v>
      </c>
      <c r="Q11" s="385" t="s">
        <v>123</v>
      </c>
    </row>
    <row r="12" spans="2:17">
      <c r="B12" s="62" t="s">
        <v>298</v>
      </c>
      <c r="C12" s="234" t="s">
        <v>299</v>
      </c>
      <c r="D12" s="96">
        <v>2.15</v>
      </c>
      <c r="E12" s="390">
        <v>10.64</v>
      </c>
      <c r="F12" s="352">
        <v>1300</v>
      </c>
      <c r="G12" s="333">
        <f t="shared" si="6"/>
        <v>13832</v>
      </c>
      <c r="H12" s="391">
        <v>35881</v>
      </c>
      <c r="I12" s="333">
        <f t="shared" si="0"/>
        <v>49713</v>
      </c>
      <c r="J12" s="391">
        <v>4029</v>
      </c>
      <c r="K12" s="333">
        <f t="shared" si="1"/>
        <v>45684</v>
      </c>
      <c r="L12" s="336">
        <f t="shared" si="2"/>
        <v>8.1045199444813226E-2</v>
      </c>
      <c r="M12" s="220">
        <f t="shared" si="3"/>
        <v>2.5940572585309427</v>
      </c>
      <c r="N12" s="391">
        <v>12169</v>
      </c>
      <c r="O12" s="220">
        <f t="shared" si="4"/>
        <v>3.7541293450571125</v>
      </c>
      <c r="P12" s="220">
        <v>2515</v>
      </c>
      <c r="Q12" s="220">
        <f t="shared" si="5"/>
        <v>4.8385685884691849</v>
      </c>
    </row>
    <row r="13" spans="2:17">
      <c r="B13" s="62" t="s">
        <v>301</v>
      </c>
      <c r="C13" s="234" t="s">
        <v>300</v>
      </c>
      <c r="D13" s="96">
        <v>1.82</v>
      </c>
      <c r="E13" s="389">
        <v>7.25</v>
      </c>
      <c r="F13" s="257">
        <v>66.239999999999995</v>
      </c>
      <c r="G13" s="333">
        <f t="shared" si="6"/>
        <v>480.23999999999995</v>
      </c>
      <c r="H13" s="335">
        <v>68.881</v>
      </c>
      <c r="I13" s="333">
        <f t="shared" si="0"/>
        <v>549.12099999999998</v>
      </c>
      <c r="J13" s="391">
        <v>246.078</v>
      </c>
      <c r="K13" s="333">
        <f t="shared" si="1"/>
        <v>303.04300000000001</v>
      </c>
      <c r="L13" s="336">
        <f t="shared" si="2"/>
        <v>0.44813073985515034</v>
      </c>
      <c r="M13" s="220">
        <f t="shared" si="3"/>
        <v>0.14343036814925872</v>
      </c>
      <c r="N13" s="335">
        <v>383.40699999999998</v>
      </c>
      <c r="O13" s="220">
        <f t="shared" si="4"/>
        <v>0.79039506320959196</v>
      </c>
      <c r="P13" s="220">
        <v>110.425</v>
      </c>
      <c r="Q13" s="220">
        <f t="shared" si="5"/>
        <v>3.4721032374915102</v>
      </c>
    </row>
    <row r="14" spans="2:17">
      <c r="B14" s="62" t="s">
        <v>317</v>
      </c>
      <c r="C14" s="234" t="s">
        <v>302</v>
      </c>
      <c r="D14" s="96">
        <v>2.15</v>
      </c>
      <c r="E14" s="390">
        <v>12.02</v>
      </c>
      <c r="F14" s="352">
        <v>53.14</v>
      </c>
      <c r="G14" s="333">
        <f t="shared" si="6"/>
        <v>638.74279999999999</v>
      </c>
      <c r="H14" s="391">
        <v>549.45000000000005</v>
      </c>
      <c r="I14" s="333">
        <f t="shared" si="0"/>
        <v>1188.1928</v>
      </c>
      <c r="J14" s="335">
        <v>150.75299999999999</v>
      </c>
      <c r="K14" s="333">
        <f t="shared" si="1"/>
        <v>1037.4398000000001</v>
      </c>
      <c r="L14" s="336">
        <f t="shared" si="2"/>
        <v>0.1268758740164054</v>
      </c>
      <c r="M14" s="220">
        <f t="shared" si="3"/>
        <v>0.86020539096487669</v>
      </c>
      <c r="N14" s="391">
        <v>369.09199999999998</v>
      </c>
      <c r="O14" s="220">
        <f t="shared" si="4"/>
        <v>2.8107891799334586</v>
      </c>
      <c r="P14" s="220">
        <v>51.997</v>
      </c>
      <c r="Q14" s="220">
        <f t="shared" si="5"/>
        <v>7.0983325961113142</v>
      </c>
    </row>
    <row r="15" spans="2:17">
      <c r="B15" s="62" t="s">
        <v>304</v>
      </c>
      <c r="C15" s="62" t="s">
        <v>303</v>
      </c>
      <c r="D15" s="96">
        <v>1.18</v>
      </c>
      <c r="E15" s="389">
        <v>27.49</v>
      </c>
      <c r="F15" s="257">
        <v>65.61</v>
      </c>
      <c r="G15" s="333">
        <f t="shared" si="6"/>
        <v>1803.6188999999999</v>
      </c>
      <c r="H15" s="335">
        <v>216.584</v>
      </c>
      <c r="I15" s="333">
        <f t="shared" si="0"/>
        <v>2020.2029</v>
      </c>
      <c r="J15" s="391">
        <v>477.46199999999999</v>
      </c>
      <c r="K15" s="333">
        <f t="shared" si="1"/>
        <v>1542.7409</v>
      </c>
      <c r="L15" s="336">
        <f t="shared" si="2"/>
        <v>0.23634358707236783</v>
      </c>
      <c r="M15" s="220">
        <f t="shared" si="3"/>
        <v>0.12008301753768494</v>
      </c>
      <c r="N15" s="335">
        <v>533.1</v>
      </c>
      <c r="O15" s="220">
        <f t="shared" si="4"/>
        <v>2.8939052710560871</v>
      </c>
      <c r="P15" s="220">
        <v>90.456999999999994</v>
      </c>
      <c r="Q15" s="220">
        <f t="shared" si="5"/>
        <v>5.8934079175740965</v>
      </c>
    </row>
    <row r="16" spans="2:17">
      <c r="B16" s="50" t="s">
        <v>306</v>
      </c>
      <c r="C16" s="234" t="s">
        <v>305</v>
      </c>
      <c r="D16" s="384" t="s">
        <v>123</v>
      </c>
      <c r="E16" s="388">
        <v>11</v>
      </c>
      <c r="F16" s="96">
        <v>82.27</v>
      </c>
      <c r="G16" s="333">
        <f t="shared" si="6"/>
        <v>904.96999999999991</v>
      </c>
      <c r="H16" s="334">
        <v>175.679</v>
      </c>
      <c r="I16" s="333">
        <f t="shared" si="0"/>
        <v>1080.6489999999999</v>
      </c>
      <c r="J16" s="335">
        <v>15.506</v>
      </c>
      <c r="K16" s="333">
        <f t="shared" si="1"/>
        <v>1065.1429999999998</v>
      </c>
      <c r="L16" s="336">
        <f t="shared" si="2"/>
        <v>1.4348784850585159E-2</v>
      </c>
      <c r="M16" s="220">
        <f t="shared" si="3"/>
        <v>0.19412687713404866</v>
      </c>
      <c r="N16" s="334">
        <v>153.042</v>
      </c>
      <c r="O16" s="220">
        <f t="shared" si="4"/>
        <v>6.9598084186040419</v>
      </c>
      <c r="P16" s="220">
        <v>107.83499999999999</v>
      </c>
      <c r="Q16" s="220">
        <f t="shared" si="5"/>
        <v>1.4192238141605231</v>
      </c>
    </row>
    <row r="17" spans="2:17">
      <c r="B17" s="76" t="s">
        <v>318</v>
      </c>
      <c r="C17" s="81" t="s">
        <v>307</v>
      </c>
      <c r="D17" s="96">
        <v>2.4700000000000002</v>
      </c>
      <c r="E17" s="389">
        <v>16.57</v>
      </c>
      <c r="F17" s="257">
        <v>421.4</v>
      </c>
      <c r="G17" s="333">
        <f t="shared" si="6"/>
        <v>6982.598</v>
      </c>
      <c r="H17" s="335">
        <v>12446.59</v>
      </c>
      <c r="I17" s="333">
        <f t="shared" si="0"/>
        <v>19429.188000000002</v>
      </c>
      <c r="J17" s="334">
        <v>1746.6469999999999</v>
      </c>
      <c r="K17" s="333">
        <f t="shared" si="1"/>
        <v>17682.541000000001</v>
      </c>
      <c r="L17" s="336">
        <f t="shared" si="2"/>
        <v>8.9898095586907686E-2</v>
      </c>
      <c r="M17" s="220">
        <f t="shared" si="3"/>
        <v>1.7825156195444734</v>
      </c>
      <c r="N17" s="335">
        <v>3812.0680000000002</v>
      </c>
      <c r="O17" s="220">
        <f t="shared" si="4"/>
        <v>4.6385691440971151</v>
      </c>
      <c r="P17" s="220">
        <v>0</v>
      </c>
      <c r="Q17" s="385" t="s">
        <v>123</v>
      </c>
    </row>
    <row r="18" spans="2:17">
      <c r="B18" s="76" t="s">
        <v>319</v>
      </c>
      <c r="C18" s="76" t="s">
        <v>308</v>
      </c>
      <c r="D18" s="96">
        <v>2.4300000000000002</v>
      </c>
      <c r="E18" s="388">
        <v>68.44</v>
      </c>
      <c r="F18" s="96">
        <v>255.18</v>
      </c>
      <c r="G18" s="333">
        <f t="shared" si="6"/>
        <v>17464.519199999999</v>
      </c>
      <c r="H18" s="334">
        <v>21693.988000000001</v>
      </c>
      <c r="I18" s="333">
        <f t="shared" si="0"/>
        <v>39158.5072</v>
      </c>
      <c r="J18" s="335">
        <v>2701.77</v>
      </c>
      <c r="K18" s="333">
        <f t="shared" si="1"/>
        <v>36456.737200000003</v>
      </c>
      <c r="L18" s="336">
        <f t="shared" si="2"/>
        <v>6.8995735363476779E-2</v>
      </c>
      <c r="M18" s="220">
        <f t="shared" si="3"/>
        <v>1.2421749348816888</v>
      </c>
      <c r="N18" s="334">
        <v>7218.7950000000001</v>
      </c>
      <c r="O18" s="220">
        <f t="shared" si="4"/>
        <v>5.0502524590322908</v>
      </c>
      <c r="P18" s="220">
        <v>0</v>
      </c>
      <c r="Q18" s="385" t="s">
        <v>123</v>
      </c>
    </row>
    <row r="19" spans="2:17">
      <c r="B19" s="76" t="s">
        <v>310</v>
      </c>
      <c r="C19" s="76" t="s">
        <v>309</v>
      </c>
      <c r="D19" s="96">
        <v>1.68</v>
      </c>
      <c r="E19" s="388">
        <v>42.82</v>
      </c>
      <c r="F19" s="96">
        <v>81.28</v>
      </c>
      <c r="G19" s="333">
        <f t="shared" si="6"/>
        <v>3480.4096</v>
      </c>
      <c r="H19" s="334">
        <v>5449</v>
      </c>
      <c r="I19" s="333">
        <f t="shared" si="0"/>
        <v>8929.409599999999</v>
      </c>
      <c r="J19" s="334">
        <v>396</v>
      </c>
      <c r="K19" s="333">
        <f t="shared" si="1"/>
        <v>8533.409599999999</v>
      </c>
      <c r="L19" s="336">
        <f t="shared" si="2"/>
        <v>4.4347836837947276E-2</v>
      </c>
      <c r="M19" s="220">
        <f t="shared" si="3"/>
        <v>1.5656203223896406</v>
      </c>
      <c r="N19" s="334">
        <v>3538</v>
      </c>
      <c r="O19" s="220">
        <f t="shared" si="4"/>
        <v>2.4119303561334084</v>
      </c>
      <c r="P19" s="220">
        <v>439</v>
      </c>
      <c r="Q19" s="220">
        <f t="shared" si="5"/>
        <v>8.0592255125284744</v>
      </c>
    </row>
    <row r="20" spans="2:17">
      <c r="B20" s="76" t="s">
        <v>312</v>
      </c>
      <c r="C20" s="76" t="s">
        <v>311</v>
      </c>
      <c r="D20" s="96">
        <v>1.68</v>
      </c>
      <c r="E20" s="389">
        <v>2.35</v>
      </c>
      <c r="F20" s="257">
        <v>123.69</v>
      </c>
      <c r="G20" s="333">
        <f t="shared" si="6"/>
        <v>290.67149999999998</v>
      </c>
      <c r="H20" s="335">
        <v>291.53800000000001</v>
      </c>
      <c r="I20" s="333">
        <f t="shared" si="0"/>
        <v>582.20949999999993</v>
      </c>
      <c r="J20" s="334">
        <v>964.97799999999995</v>
      </c>
      <c r="K20" s="333">
        <f t="shared" si="1"/>
        <v>-382.76850000000002</v>
      </c>
      <c r="L20" s="336">
        <f t="shared" si="2"/>
        <v>1.6574411788196517</v>
      </c>
      <c r="M20" s="220">
        <f t="shared" si="3"/>
        <v>1.0029810284117984</v>
      </c>
      <c r="N20" s="335">
        <v>390.46699999999998</v>
      </c>
      <c r="O20" s="220">
        <f t="shared" si="4"/>
        <v>-0.98028386521780342</v>
      </c>
      <c r="P20" s="220">
        <v>144.858</v>
      </c>
      <c r="Q20" s="220">
        <f t="shared" si="5"/>
        <v>2.6955156083889049</v>
      </c>
    </row>
    <row r="21" spans="2:17">
      <c r="B21" s="76" t="s">
        <v>314</v>
      </c>
      <c r="C21" s="76" t="s">
        <v>313</v>
      </c>
      <c r="D21" s="96">
        <v>1.5</v>
      </c>
      <c r="E21" s="388">
        <v>4.91</v>
      </c>
      <c r="F21" s="96">
        <v>12.4</v>
      </c>
      <c r="G21" s="333">
        <f t="shared" si="6"/>
        <v>60.884</v>
      </c>
      <c r="H21" s="334">
        <v>12.291</v>
      </c>
      <c r="I21" s="333">
        <f t="shared" si="0"/>
        <v>73.174999999999997</v>
      </c>
      <c r="J21" s="335">
        <v>43.814999999999998</v>
      </c>
      <c r="K21" s="333">
        <f t="shared" si="1"/>
        <v>29.36</v>
      </c>
      <c r="L21" s="336">
        <f t="shared" si="2"/>
        <v>0.59877007174581487</v>
      </c>
      <c r="M21" s="220">
        <f t="shared" si="3"/>
        <v>0.20187569804874844</v>
      </c>
      <c r="N21" s="334">
        <v>65.652000000000001</v>
      </c>
      <c r="O21" s="220">
        <f t="shared" si="4"/>
        <v>0.44720648266617924</v>
      </c>
      <c r="P21" s="220">
        <v>34.027999999999999</v>
      </c>
      <c r="Q21" s="220">
        <f t="shared" si="5"/>
        <v>1.9293522981074411</v>
      </c>
    </row>
    <row r="22" spans="2:17">
      <c r="B22" s="76" t="s">
        <v>316</v>
      </c>
      <c r="C22" s="76" t="s">
        <v>315</v>
      </c>
      <c r="D22" s="96">
        <v>1.48</v>
      </c>
      <c r="E22" s="387">
        <v>2.36</v>
      </c>
      <c r="F22" s="220">
        <v>58.44</v>
      </c>
      <c r="G22" s="333">
        <f t="shared" si="6"/>
        <v>137.91839999999999</v>
      </c>
      <c r="H22" s="333">
        <v>628.23900000000003</v>
      </c>
      <c r="I22" s="333">
        <f t="shared" si="0"/>
        <v>766.15740000000005</v>
      </c>
      <c r="J22" s="334">
        <v>1423.14</v>
      </c>
      <c r="K22" s="333">
        <f t="shared" si="1"/>
        <v>-656.98260000000005</v>
      </c>
      <c r="L22" s="336">
        <f t="shared" si="2"/>
        <v>1.8575034320623935</v>
      </c>
      <c r="M22" s="220">
        <f t="shared" si="3"/>
        <v>4.5551500017401603</v>
      </c>
      <c r="N22" s="333">
        <v>2962.4119999999998</v>
      </c>
      <c r="O22" s="220">
        <f t="shared" si="4"/>
        <v>-0.22177286616446332</v>
      </c>
      <c r="P22" s="220">
        <v>192.16399999999999</v>
      </c>
      <c r="Q22" s="220">
        <f t="shared" si="5"/>
        <v>15.416061280989155</v>
      </c>
    </row>
    <row r="23" spans="2:17">
      <c r="D23" s="341">
        <f>_xlfn.PERCENTILE.EXC(D5:D22,0.5)</f>
        <v>1.68</v>
      </c>
      <c r="E23" s="85"/>
      <c r="F23" s="270"/>
      <c r="G23" s="156"/>
      <c r="H23" s="259"/>
      <c r="K23" s="85"/>
      <c r="L23" s="342">
        <f>_xlfn.PERCENTILE.EXC(L5:L22,0.5)</f>
        <v>0.17090962357178729</v>
      </c>
      <c r="M23" s="341">
        <f>_xlfn.PERCENTILE.EXC(M5:M22,0.5)</f>
        <v>0.67656854032399216</v>
      </c>
      <c r="N23" s="42"/>
      <c r="O23" s="341">
        <f>_xlfn.PERCENTILE.EXC(O5:O22,0.5)</f>
        <v>2.3981387458694599</v>
      </c>
      <c r="P23" s="157"/>
      <c r="Q23" s="341">
        <f>_xlfn.PERCENTILE.EXC(Q5:Q22,0.5)</f>
        <v>3.8773072241269206</v>
      </c>
    </row>
    <row r="24" spans="2:17">
      <c r="E24" s="85"/>
      <c r="F24" s="85"/>
      <c r="G24" s="156"/>
      <c r="H24" s="225"/>
      <c r="K24" s="85"/>
      <c r="O24" s="236"/>
      <c r="Q24" s="339"/>
    </row>
    <row r="25" spans="2:17">
      <c r="B25" s="102"/>
      <c r="C25" s="102"/>
      <c r="D25" s="102"/>
      <c r="E25" s="102"/>
      <c r="F25" s="102"/>
      <c r="G25" s="102"/>
      <c r="H25" s="102"/>
      <c r="I25" s="102"/>
      <c r="J25" s="102"/>
      <c r="K25" s="102"/>
      <c r="L25" s="102"/>
      <c r="M25" s="102"/>
      <c r="N25" s="102"/>
      <c r="O25" s="102"/>
      <c r="Q25" s="340"/>
    </row>
    <row r="26" spans="2:17">
      <c r="B26" s="44"/>
      <c r="C26" s="44"/>
      <c r="D26" s="269"/>
      <c r="E26" s="59"/>
      <c r="F26" s="59"/>
      <c r="G26" s="59"/>
      <c r="H26" s="59"/>
      <c r="I26" s="59"/>
      <c r="J26" s="59"/>
      <c r="K26" s="59"/>
      <c r="L26" s="59"/>
      <c r="M26" s="59"/>
      <c r="N26" s="59"/>
      <c r="O26" s="59"/>
      <c r="Q26" s="340"/>
    </row>
    <row r="27" spans="2:17">
      <c r="B27" s="85"/>
      <c r="C27" s="85"/>
      <c r="D27" s="337"/>
      <c r="E27" s="225"/>
      <c r="F27" s="225"/>
      <c r="G27" s="383"/>
      <c r="H27" s="383"/>
      <c r="I27" s="383"/>
      <c r="J27" s="383"/>
      <c r="K27" s="383"/>
      <c r="L27" s="386"/>
      <c r="M27" s="225"/>
      <c r="N27" s="383"/>
      <c r="O27" s="225"/>
      <c r="Q27" s="340"/>
    </row>
    <row r="28" spans="2:17">
      <c r="B28" s="85"/>
      <c r="C28" s="270"/>
      <c r="D28" s="156"/>
      <c r="E28" s="156"/>
      <c r="F28" s="156"/>
      <c r="G28" s="383"/>
      <c r="H28" s="382"/>
      <c r="I28" s="383"/>
      <c r="J28" s="383"/>
      <c r="K28" s="383"/>
      <c r="L28" s="386"/>
      <c r="M28" s="225"/>
      <c r="N28" s="382"/>
      <c r="O28" s="225"/>
      <c r="Q28" s="338"/>
    </row>
    <row r="29" spans="2:17">
      <c r="B29" s="85"/>
      <c r="C29" s="270"/>
      <c r="D29" s="337"/>
      <c r="E29" s="225"/>
      <c r="F29" s="225"/>
      <c r="G29" s="383"/>
      <c r="H29" s="383"/>
      <c r="I29" s="383"/>
      <c r="J29" s="382"/>
      <c r="K29" s="383"/>
      <c r="L29" s="386"/>
      <c r="M29" s="225"/>
      <c r="N29" s="383"/>
      <c r="O29" s="225"/>
      <c r="Q29" s="340"/>
    </row>
    <row r="30" spans="2:17">
      <c r="B30" s="85"/>
      <c r="C30" s="270"/>
      <c r="D30" s="337"/>
      <c r="E30" s="225"/>
      <c r="F30" s="225"/>
      <c r="G30" s="383"/>
      <c r="H30" s="383"/>
      <c r="I30" s="383"/>
      <c r="J30" s="383"/>
      <c r="K30" s="383"/>
      <c r="L30" s="386"/>
      <c r="M30" s="225"/>
      <c r="N30" s="383"/>
      <c r="O30" s="225"/>
      <c r="Q30" s="339"/>
    </row>
    <row r="31" spans="2:17">
      <c r="B31" s="85"/>
      <c r="C31" s="270"/>
      <c r="D31" s="337"/>
      <c r="E31" s="225"/>
      <c r="F31" s="225"/>
      <c r="G31" s="383"/>
      <c r="H31" s="383"/>
      <c r="I31" s="383"/>
      <c r="J31" s="383"/>
      <c r="K31" s="383"/>
      <c r="L31" s="386"/>
      <c r="M31" s="225"/>
      <c r="N31" s="383"/>
      <c r="O31" s="225"/>
      <c r="Q31" s="339"/>
    </row>
    <row r="32" spans="2:17">
      <c r="B32" s="85"/>
      <c r="C32" s="85"/>
      <c r="D32" s="337"/>
      <c r="E32" s="225"/>
      <c r="F32" s="225"/>
      <c r="G32" s="383"/>
      <c r="H32" s="383"/>
      <c r="I32" s="383"/>
      <c r="J32" s="383"/>
      <c r="K32" s="383"/>
      <c r="L32" s="386"/>
      <c r="M32" s="225"/>
      <c r="N32" s="383"/>
      <c r="O32" s="225"/>
      <c r="Q32" s="266"/>
    </row>
    <row r="33" spans="2:17">
      <c r="B33" s="3"/>
      <c r="C33" s="3"/>
      <c r="D33" s="157"/>
      <c r="E33" s="85"/>
      <c r="F33" s="270"/>
      <c r="G33" s="156"/>
      <c r="H33" s="259"/>
      <c r="I33" s="3"/>
      <c r="J33" s="3"/>
      <c r="K33" s="85"/>
      <c r="L33" s="134"/>
      <c r="M33" s="157"/>
      <c r="N33" s="42"/>
      <c r="O33" s="42"/>
      <c r="Q33" s="270"/>
    </row>
    <row r="34" spans="2:17">
      <c r="B34" s="3"/>
      <c r="C34" s="3"/>
      <c r="D34" s="3"/>
      <c r="E34" s="3"/>
      <c r="F34" s="3"/>
      <c r="G34" s="57"/>
      <c r="H34" s="3"/>
      <c r="I34" s="3"/>
      <c r="J34" s="3"/>
      <c r="K34" s="3"/>
      <c r="L34" s="3"/>
      <c r="M34" s="3"/>
      <c r="N34" s="3"/>
      <c r="O34" s="3"/>
      <c r="Q34" s="302"/>
    </row>
    <row r="35" spans="2:17">
      <c r="B35" s="102"/>
      <c r="C35" s="102"/>
      <c r="D35" s="102"/>
      <c r="E35" s="102"/>
      <c r="F35" s="102"/>
      <c r="G35" s="102"/>
      <c r="H35" s="102"/>
      <c r="I35" s="102"/>
      <c r="J35" s="102"/>
      <c r="K35" s="102"/>
      <c r="L35" s="102"/>
      <c r="M35" s="102"/>
      <c r="N35" s="102"/>
      <c r="O35" s="102"/>
      <c r="Q35" s="79"/>
    </row>
    <row r="36" spans="2:17" ht="12" customHeight="1">
      <c r="B36" s="44"/>
      <c r="C36" s="44"/>
      <c r="D36" s="269"/>
      <c r="E36" s="59"/>
      <c r="F36" s="59"/>
      <c r="G36" s="59"/>
      <c r="H36" s="59"/>
      <c r="I36" s="59"/>
      <c r="J36" s="59"/>
      <c r="K36" s="59"/>
      <c r="L36" s="59"/>
      <c r="M36" s="59"/>
      <c r="N36" s="59"/>
      <c r="O36" s="59"/>
      <c r="Q36" s="302"/>
    </row>
    <row r="37" spans="2:17">
      <c r="B37" s="85"/>
      <c r="C37" s="85"/>
      <c r="D37" s="337"/>
      <c r="E37" s="225"/>
      <c r="F37" s="383"/>
      <c r="G37" s="383"/>
      <c r="H37" s="383"/>
      <c r="I37" s="383"/>
      <c r="J37" s="383"/>
      <c r="K37" s="383"/>
      <c r="L37" s="386"/>
      <c r="M37" s="225"/>
      <c r="N37" s="266"/>
      <c r="O37" s="225"/>
      <c r="Q37" s="79"/>
    </row>
    <row r="38" spans="2:17">
      <c r="B38" s="85"/>
      <c r="C38" s="270"/>
      <c r="D38" s="337"/>
      <c r="E38" s="156"/>
      <c r="F38" s="382"/>
      <c r="G38" s="383"/>
      <c r="H38" s="382"/>
      <c r="I38" s="383"/>
      <c r="J38" s="383"/>
      <c r="K38" s="383"/>
      <c r="L38" s="386"/>
      <c r="M38" s="225"/>
      <c r="N38" s="338"/>
      <c r="O38" s="225"/>
    </row>
    <row r="39" spans="2:17" ht="12" customHeight="1">
      <c r="B39" s="85"/>
      <c r="C39" s="270"/>
      <c r="D39" s="337"/>
      <c r="E39" s="225"/>
      <c r="F39" s="383"/>
      <c r="G39" s="383"/>
      <c r="H39" s="383"/>
      <c r="I39" s="383"/>
      <c r="J39" s="382"/>
      <c r="K39" s="383"/>
      <c r="L39" s="386"/>
      <c r="M39" s="225"/>
      <c r="N39" s="266"/>
      <c r="O39" s="225"/>
    </row>
    <row r="40" spans="2:17">
      <c r="B40" s="85"/>
      <c r="C40" s="270"/>
      <c r="D40" s="337"/>
      <c r="E40" s="225"/>
      <c r="F40" s="383"/>
      <c r="G40" s="383"/>
      <c r="H40" s="383"/>
      <c r="I40" s="383"/>
      <c r="J40" s="383"/>
      <c r="K40" s="383"/>
      <c r="L40" s="386"/>
      <c r="M40" s="225"/>
      <c r="N40" s="266"/>
      <c r="O40" s="225"/>
    </row>
    <row r="41" spans="2:17">
      <c r="B41" s="85"/>
      <c r="C41" s="270"/>
      <c r="D41" s="337"/>
      <c r="E41" s="225"/>
      <c r="F41" s="383"/>
      <c r="G41" s="383"/>
      <c r="H41" s="383"/>
      <c r="I41" s="383"/>
      <c r="J41" s="383"/>
      <c r="K41" s="383"/>
      <c r="L41" s="386"/>
      <c r="M41" s="225"/>
      <c r="N41" s="266"/>
      <c r="O41" s="225"/>
    </row>
    <row r="42" spans="2:17">
      <c r="B42" s="85"/>
      <c r="C42" s="85"/>
      <c r="D42" s="337"/>
      <c r="E42" s="225"/>
      <c r="F42" s="383"/>
      <c r="G42" s="383"/>
      <c r="H42" s="383"/>
      <c r="I42" s="383"/>
      <c r="J42" s="383"/>
      <c r="K42" s="383"/>
      <c r="L42" s="386"/>
      <c r="M42" s="225"/>
      <c r="N42" s="266"/>
      <c r="O42" s="225"/>
      <c r="Q42" s="340"/>
    </row>
    <row r="43" spans="2:17">
      <c r="B43" s="85"/>
      <c r="C43" s="85"/>
      <c r="D43" s="337"/>
      <c r="E43" s="225"/>
      <c r="F43" s="383"/>
      <c r="G43" s="383"/>
      <c r="H43" s="383"/>
      <c r="I43" s="383"/>
      <c r="J43" s="383"/>
      <c r="K43" s="383"/>
      <c r="L43" s="386"/>
      <c r="M43" s="225"/>
      <c r="N43" s="266"/>
      <c r="O43" s="225"/>
      <c r="Q43" s="338"/>
    </row>
    <row r="44" spans="2:17">
      <c r="B44" s="85"/>
      <c r="C44" s="85"/>
      <c r="D44" s="337"/>
      <c r="E44" s="225"/>
      <c r="F44" s="383"/>
      <c r="G44" s="383"/>
      <c r="H44" s="383"/>
      <c r="I44" s="383"/>
      <c r="J44" s="383"/>
      <c r="K44" s="383"/>
      <c r="L44" s="386"/>
      <c r="M44" s="225"/>
      <c r="N44" s="266"/>
      <c r="O44" s="225"/>
      <c r="Q44" s="340"/>
    </row>
    <row r="45" spans="2:17">
      <c r="B45" s="85"/>
      <c r="C45" s="85"/>
      <c r="D45" s="337"/>
      <c r="E45" s="225"/>
      <c r="F45" s="383"/>
      <c r="G45" s="383"/>
      <c r="H45" s="383"/>
      <c r="I45" s="383"/>
      <c r="J45" s="383"/>
      <c r="K45" s="383"/>
      <c r="L45" s="386"/>
      <c r="M45" s="225"/>
      <c r="N45" s="266"/>
      <c r="O45" s="225"/>
      <c r="Q45" s="340"/>
    </row>
    <row r="46" spans="2:17">
      <c r="B46" s="85"/>
      <c r="C46" s="85"/>
      <c r="D46" s="337"/>
      <c r="E46" s="225"/>
      <c r="F46" s="383"/>
      <c r="G46" s="383"/>
      <c r="H46" s="383"/>
      <c r="I46" s="383"/>
      <c r="J46" s="383"/>
      <c r="K46" s="383"/>
      <c r="L46" s="386"/>
      <c r="M46" s="225"/>
      <c r="N46" s="266"/>
      <c r="O46" s="225"/>
      <c r="Q46" s="340"/>
    </row>
    <row r="47" spans="2:17">
      <c r="B47" s="85"/>
      <c r="C47" s="85"/>
      <c r="D47" s="337"/>
      <c r="E47" s="225"/>
      <c r="F47" s="383"/>
      <c r="G47" s="383"/>
      <c r="H47" s="383"/>
      <c r="I47" s="383"/>
      <c r="J47" s="383"/>
      <c r="K47" s="383"/>
      <c r="L47" s="386"/>
      <c r="M47" s="225"/>
      <c r="N47" s="266"/>
      <c r="O47" s="225"/>
      <c r="Q47" s="266"/>
    </row>
    <row r="48" spans="2:17">
      <c r="B48" s="85"/>
      <c r="C48" s="85"/>
      <c r="D48" s="337"/>
      <c r="E48" s="225"/>
      <c r="F48" s="383"/>
      <c r="G48" s="383"/>
      <c r="H48" s="383"/>
      <c r="I48" s="383"/>
      <c r="J48" s="383"/>
      <c r="K48" s="383"/>
      <c r="L48" s="386"/>
      <c r="M48" s="225"/>
      <c r="N48" s="266"/>
      <c r="O48" s="225"/>
    </row>
    <row r="49" spans="2:20">
      <c r="B49" s="85"/>
      <c r="C49" s="85"/>
      <c r="D49" s="337"/>
      <c r="E49" s="225"/>
      <c r="F49" s="383"/>
      <c r="G49" s="383"/>
      <c r="H49" s="383"/>
      <c r="I49" s="383"/>
      <c r="J49" s="383"/>
      <c r="K49" s="383"/>
      <c r="L49" s="386"/>
      <c r="M49" s="225"/>
      <c r="N49" s="266"/>
      <c r="O49" s="225"/>
    </row>
    <row r="50" spans="2:20">
      <c r="B50" s="85"/>
      <c r="C50" s="85"/>
      <c r="D50" s="337"/>
      <c r="E50" s="225"/>
      <c r="F50" s="383"/>
      <c r="G50" s="383"/>
      <c r="H50" s="383"/>
      <c r="I50" s="383"/>
      <c r="J50" s="383"/>
      <c r="K50" s="383"/>
      <c r="L50" s="386"/>
      <c r="M50" s="225"/>
      <c r="N50" s="266"/>
      <c r="O50" s="225"/>
    </row>
    <row r="51" spans="2:20">
      <c r="B51" s="85"/>
      <c r="C51" s="85"/>
      <c r="D51" s="337"/>
      <c r="E51" s="225"/>
      <c r="F51" s="383"/>
      <c r="G51" s="383"/>
      <c r="H51" s="383"/>
      <c r="I51" s="383"/>
      <c r="J51" s="383"/>
      <c r="K51" s="383"/>
      <c r="L51" s="386"/>
      <c r="M51" s="225"/>
      <c r="N51" s="266"/>
      <c r="O51" s="225"/>
    </row>
    <row r="52" spans="2:20">
      <c r="B52" s="85"/>
      <c r="C52" s="85"/>
      <c r="D52" s="337"/>
      <c r="E52" s="225"/>
      <c r="F52" s="383"/>
      <c r="G52" s="383"/>
      <c r="H52" s="383"/>
      <c r="I52" s="383"/>
      <c r="J52" s="383"/>
      <c r="K52" s="383"/>
      <c r="L52" s="386"/>
      <c r="M52" s="225"/>
      <c r="N52" s="266"/>
      <c r="O52" s="225"/>
      <c r="Q52" s="340"/>
      <c r="T52" s="207"/>
    </row>
    <row r="53" spans="2:20">
      <c r="B53" s="85"/>
      <c r="C53" s="85"/>
      <c r="D53" s="337"/>
      <c r="E53" s="225"/>
      <c r="F53" s="383"/>
      <c r="G53" s="383"/>
      <c r="H53" s="383"/>
      <c r="I53" s="383"/>
      <c r="J53" s="383"/>
      <c r="K53" s="383"/>
      <c r="L53" s="386"/>
      <c r="M53" s="225"/>
      <c r="N53" s="266"/>
      <c r="O53" s="225"/>
      <c r="Q53" s="338"/>
      <c r="T53" s="207"/>
    </row>
    <row r="54" spans="2:20">
      <c r="B54" s="85"/>
      <c r="C54" s="85"/>
      <c r="D54" s="337"/>
      <c r="E54" s="225"/>
      <c r="F54" s="383"/>
      <c r="G54" s="383"/>
      <c r="H54" s="383"/>
      <c r="I54" s="383"/>
      <c r="J54" s="383"/>
      <c r="K54" s="383"/>
      <c r="L54" s="386"/>
      <c r="M54" s="225"/>
      <c r="N54" s="266"/>
      <c r="O54" s="225"/>
      <c r="Q54" s="340"/>
      <c r="T54" s="207"/>
    </row>
    <row r="55" spans="2:20">
      <c r="B55" s="85"/>
      <c r="C55" s="85"/>
      <c r="D55" s="337"/>
      <c r="E55" s="225"/>
      <c r="F55" s="383"/>
      <c r="G55" s="383"/>
      <c r="H55" s="383"/>
      <c r="I55" s="383"/>
      <c r="J55" s="383"/>
      <c r="K55" s="383"/>
      <c r="L55" s="386"/>
      <c r="M55" s="225"/>
      <c r="N55" s="266"/>
      <c r="O55" s="225"/>
      <c r="Q55" s="340"/>
      <c r="T55" s="207"/>
    </row>
    <row r="56" spans="2:20">
      <c r="B56" s="85"/>
      <c r="C56" s="85"/>
      <c r="D56" s="337"/>
      <c r="E56" s="225"/>
      <c r="F56" s="383"/>
      <c r="G56" s="383"/>
      <c r="H56" s="383"/>
      <c r="I56" s="383"/>
      <c r="J56" s="383"/>
      <c r="K56" s="383"/>
      <c r="L56" s="386"/>
      <c r="M56" s="225"/>
      <c r="N56" s="266"/>
      <c r="O56" s="225"/>
      <c r="Q56" s="340"/>
      <c r="T56" s="207"/>
    </row>
    <row r="57" spans="2:20" ht="12" customHeight="1">
      <c r="B57" s="85"/>
      <c r="C57" s="85"/>
      <c r="D57" s="337"/>
      <c r="E57" s="225"/>
      <c r="F57" s="383"/>
      <c r="G57" s="383"/>
      <c r="H57" s="383"/>
      <c r="I57" s="383"/>
      <c r="J57" s="383"/>
      <c r="K57" s="383"/>
      <c r="L57" s="386"/>
      <c r="M57" s="225"/>
      <c r="N57" s="266"/>
      <c r="O57" s="225"/>
      <c r="Q57" s="266"/>
      <c r="T57" s="207"/>
    </row>
    <row r="58" spans="2:20">
      <c r="B58" s="85"/>
      <c r="C58" s="85"/>
      <c r="D58" s="337"/>
      <c r="E58" s="225"/>
      <c r="F58" s="383"/>
      <c r="G58" s="383"/>
      <c r="H58" s="383"/>
      <c r="I58" s="383"/>
      <c r="J58" s="383"/>
      <c r="K58" s="383"/>
      <c r="L58" s="386"/>
      <c r="M58" s="225"/>
      <c r="N58" s="266"/>
      <c r="O58" s="225"/>
      <c r="Q58" s="266"/>
      <c r="T58" s="207"/>
    </row>
    <row r="59" spans="2:20">
      <c r="B59" s="85"/>
      <c r="C59" s="85"/>
      <c r="D59" s="337"/>
      <c r="E59" s="225"/>
      <c r="F59" s="383"/>
      <c r="G59" s="383"/>
      <c r="H59" s="383"/>
      <c r="I59" s="383"/>
      <c r="J59" s="383"/>
      <c r="K59" s="383"/>
      <c r="L59" s="386"/>
      <c r="M59" s="225"/>
      <c r="N59" s="266"/>
      <c r="O59" s="225"/>
      <c r="Q59" s="266"/>
      <c r="T59" s="207"/>
    </row>
    <row r="60" spans="2:20">
      <c r="B60" s="3"/>
      <c r="C60" s="3"/>
      <c r="D60" s="157"/>
      <c r="E60" s="85"/>
      <c r="F60" s="270"/>
      <c r="G60" s="156"/>
      <c r="H60" s="259"/>
      <c r="I60" s="3"/>
      <c r="J60" s="3"/>
      <c r="K60" s="85"/>
      <c r="L60" s="134"/>
      <c r="M60" s="157"/>
      <c r="N60" s="42"/>
      <c r="O60" s="42"/>
      <c r="Q60" s="266"/>
      <c r="T60" s="207"/>
    </row>
    <row r="61" spans="2:20">
      <c r="B61" s="3"/>
      <c r="C61" s="3"/>
      <c r="D61" s="3"/>
      <c r="E61" s="3"/>
      <c r="F61" s="3"/>
      <c r="G61" s="57"/>
      <c r="H61" s="3"/>
      <c r="I61" s="3"/>
      <c r="J61" s="3"/>
      <c r="K61" s="3"/>
      <c r="L61" s="3"/>
      <c r="M61" s="3"/>
      <c r="N61" s="3"/>
      <c r="O61" s="3"/>
      <c r="Q61" s="266"/>
      <c r="T61" s="207"/>
    </row>
    <row r="62" spans="2:20">
      <c r="B62" s="102"/>
      <c r="C62" s="102"/>
      <c r="D62" s="102"/>
      <c r="E62" s="102"/>
      <c r="F62" s="102"/>
      <c r="G62" s="102"/>
      <c r="H62" s="102"/>
      <c r="I62" s="102"/>
      <c r="J62" s="102"/>
      <c r="K62" s="102"/>
      <c r="L62" s="102"/>
      <c r="M62" s="102"/>
      <c r="N62" s="102"/>
      <c r="O62" s="102"/>
      <c r="Q62" s="266"/>
      <c r="T62" s="207"/>
    </row>
    <row r="63" spans="2:20" ht="12" customHeight="1">
      <c r="B63" s="44"/>
      <c r="C63" s="44"/>
      <c r="D63" s="269"/>
      <c r="E63" s="59"/>
      <c r="F63" s="59"/>
      <c r="G63" s="59"/>
      <c r="H63" s="59"/>
      <c r="I63" s="59"/>
      <c r="J63" s="59"/>
      <c r="K63" s="59"/>
      <c r="L63" s="59"/>
      <c r="M63" s="59"/>
      <c r="N63" s="59"/>
      <c r="O63" s="59"/>
      <c r="Q63" s="266"/>
      <c r="T63" s="207"/>
    </row>
    <row r="64" spans="2:20">
      <c r="B64" s="85"/>
      <c r="C64" s="85"/>
      <c r="D64" s="337"/>
      <c r="E64" s="225"/>
      <c r="F64" s="383"/>
      <c r="G64" s="383"/>
      <c r="H64" s="383"/>
      <c r="I64" s="383"/>
      <c r="J64" s="383"/>
      <c r="K64" s="383"/>
      <c r="L64" s="386"/>
      <c r="M64" s="225"/>
      <c r="N64" s="266"/>
      <c r="O64" s="225"/>
      <c r="Q64" s="266"/>
      <c r="T64" s="207"/>
    </row>
    <row r="65" spans="2:20">
      <c r="B65" s="85"/>
      <c r="C65" s="270"/>
      <c r="D65" s="337"/>
      <c r="E65" s="156"/>
      <c r="F65" s="382"/>
      <c r="G65" s="383"/>
      <c r="H65" s="382"/>
      <c r="I65" s="383"/>
      <c r="J65" s="383"/>
      <c r="K65" s="383"/>
      <c r="L65" s="386"/>
      <c r="M65" s="225"/>
      <c r="N65" s="338"/>
      <c r="O65" s="225"/>
      <c r="Q65" s="266"/>
      <c r="T65" s="207"/>
    </row>
    <row r="66" spans="2:20">
      <c r="B66" s="3"/>
      <c r="C66" s="3"/>
      <c r="D66" s="157"/>
      <c r="E66" s="85"/>
      <c r="F66" s="270"/>
      <c r="G66" s="156"/>
      <c r="H66" s="259"/>
      <c r="I66" s="3"/>
      <c r="J66" s="3"/>
      <c r="K66" s="85"/>
      <c r="L66" s="134"/>
      <c r="M66" s="157"/>
      <c r="N66" s="42"/>
      <c r="O66" s="42"/>
      <c r="Q66" s="266"/>
      <c r="T66" s="207"/>
    </row>
    <row r="67" spans="2:20">
      <c r="Q67" s="266"/>
      <c r="T67" s="207"/>
    </row>
    <row r="68" spans="2:20">
      <c r="Q68" s="266"/>
      <c r="T68" s="207"/>
    </row>
    <row r="69" spans="2:20">
      <c r="Q69" s="266"/>
      <c r="T69" s="207"/>
    </row>
    <row r="70" spans="2:20">
      <c r="Q70" s="266"/>
      <c r="T70" s="207"/>
    </row>
    <row r="71" spans="2:20">
      <c r="Q71" s="266"/>
      <c r="T71" s="207"/>
    </row>
    <row r="72" spans="2:20">
      <c r="Q72" s="266"/>
      <c r="T72" s="207"/>
    </row>
    <row r="73" spans="2:20">
      <c r="Q73" s="266"/>
      <c r="T73" s="207"/>
    </row>
    <row r="74" spans="2:20">
      <c r="Q74" s="266"/>
      <c r="T74" s="207"/>
    </row>
  </sheetData>
  <mergeCells count="1">
    <mergeCell ref="B3:Q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5.42578125" style="2" customWidth="1"/>
    <col min="3" max="3" width="16.42578125" style="2" customWidth="1"/>
    <col min="4" max="4" width="3.140625" style="2" customWidth="1"/>
    <col min="5" max="5" width="19.7109375" style="2" customWidth="1"/>
    <col min="6" max="6" width="14.140625" style="2" customWidth="1"/>
    <col min="7" max="7" width="13.5703125" style="13" customWidth="1"/>
    <col min="8" max="8" width="10.5703125" style="2" customWidth="1"/>
    <col min="9" max="9" width="12.5703125" style="2" customWidth="1"/>
    <col min="10" max="10" width="14.28515625" style="2" customWidth="1"/>
    <col min="11" max="11" width="16.285156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6" t="s">
        <v>36</v>
      </c>
      <c r="E1" s="3"/>
      <c r="F1" s="3"/>
      <c r="G1" s="57"/>
      <c r="H1" s="3"/>
      <c r="I1" s="3"/>
      <c r="J1" s="3"/>
      <c r="K1" s="3"/>
      <c r="L1" s="3"/>
      <c r="M1" s="3"/>
      <c r="N1" s="3"/>
      <c r="O1" s="3"/>
      <c r="P1" s="3"/>
    </row>
    <row r="2" spans="2:16">
      <c r="M2" s="102"/>
      <c r="N2" s="102"/>
      <c r="O2" s="102"/>
      <c r="P2" s="102"/>
    </row>
    <row r="3" spans="2:16">
      <c r="B3" s="17" t="s">
        <v>245</v>
      </c>
      <c r="C3" s="74" t="str">
        <f>About!C3</f>
        <v>Consumer Cyclical</v>
      </c>
      <c r="D3" s="21"/>
      <c r="E3" s="219" t="s">
        <v>161</v>
      </c>
      <c r="F3" s="219" t="s">
        <v>207</v>
      </c>
      <c r="G3" s="199" t="s">
        <v>155</v>
      </c>
      <c r="H3" s="199" t="s">
        <v>156</v>
      </c>
      <c r="I3" s="199" t="s">
        <v>208</v>
      </c>
      <c r="J3" s="332" t="s">
        <v>154</v>
      </c>
      <c r="K3" s="347"/>
      <c r="L3" s="344"/>
      <c r="M3" s="102"/>
      <c r="N3" s="102"/>
      <c r="O3" s="102"/>
    </row>
    <row r="4" spans="2:16">
      <c r="B4" s="28" t="s">
        <v>246</v>
      </c>
      <c r="C4" s="237" t="str">
        <f>About!C4</f>
        <v>Travel Services</v>
      </c>
      <c r="D4" s="6"/>
      <c r="E4" s="76" t="s">
        <v>206</v>
      </c>
      <c r="F4" s="353">
        <v>2E-3</v>
      </c>
      <c r="G4" s="354">
        <v>46082</v>
      </c>
      <c r="H4" s="96">
        <f ca="1">YEARFRAC(TODAY(),G4)</f>
        <v>3.0388888888888888</v>
      </c>
      <c r="I4" s="356">
        <v>1985.6590000000001</v>
      </c>
      <c r="J4" s="63">
        <f>I4/$I$6</f>
        <v>0.84095902733543848</v>
      </c>
      <c r="K4" s="347"/>
      <c r="L4" s="344"/>
      <c r="M4" s="269"/>
      <c r="N4" s="59"/>
      <c r="O4" s="59"/>
    </row>
    <row r="5" spans="2:16">
      <c r="D5" s="6"/>
      <c r="E5" s="76" t="s">
        <v>366</v>
      </c>
      <c r="F5" s="353">
        <v>2E-3</v>
      </c>
      <c r="G5" s="354">
        <v>46082</v>
      </c>
      <c r="H5" s="96">
        <f ca="1">YEARFRAC(TODAY(),G5)</f>
        <v>3.0388888888888888</v>
      </c>
      <c r="I5" s="356">
        <f>323.201+52.324</f>
        <v>375.52500000000003</v>
      </c>
      <c r="J5" s="63">
        <f>I5/$I$6</f>
        <v>0.15904097266456152</v>
      </c>
      <c r="K5" s="347"/>
      <c r="L5" s="344"/>
      <c r="M5" s="156"/>
      <c r="N5" s="345"/>
      <c r="O5" s="345"/>
    </row>
    <row r="6" spans="2:16">
      <c r="B6" s="323" t="s">
        <v>203</v>
      </c>
      <c r="C6" s="357">
        <f>'Beta Calculation Data'!D23</f>
        <v>1.68</v>
      </c>
      <c r="D6" s="23"/>
      <c r="E6" s="85"/>
      <c r="F6" s="413">
        <f>(F4*J4)+(F5*J5)</f>
        <v>2E-3</v>
      </c>
      <c r="G6" s="156"/>
      <c r="H6" s="355">
        <f ca="1">(H4*J4)+(H5*J5)</f>
        <v>3.0388888888888888</v>
      </c>
      <c r="I6" s="348">
        <f>SUM(I4:I5)</f>
        <v>2361.1840000000002</v>
      </c>
      <c r="J6" s="349">
        <f>SUM(J4:J5)</f>
        <v>1</v>
      </c>
      <c r="K6" s="85"/>
      <c r="L6" s="270"/>
      <c r="M6" s="156"/>
      <c r="N6" s="343"/>
      <c r="O6" s="343"/>
    </row>
    <row r="7" spans="2:16">
      <c r="B7" s="323" t="s">
        <v>204</v>
      </c>
      <c r="C7" s="357">
        <f>'Beta Calculation Data'!M23</f>
        <v>0.67656854032399216</v>
      </c>
      <c r="D7" s="6"/>
      <c r="M7" s="156"/>
      <c r="N7" s="225"/>
      <c r="O7" s="225"/>
    </row>
    <row r="8" spans="2:16">
      <c r="B8" s="323" t="s">
        <v>217</v>
      </c>
      <c r="C8" s="351">
        <v>0.21</v>
      </c>
      <c r="D8" s="6"/>
      <c r="E8" s="457" t="s">
        <v>41</v>
      </c>
      <c r="F8" s="457"/>
      <c r="G8" s="110"/>
      <c r="K8" s="85"/>
      <c r="L8" s="85"/>
      <c r="M8" s="156"/>
      <c r="N8" s="225"/>
      <c r="O8" s="225"/>
    </row>
    <row r="9" spans="2:16">
      <c r="B9" s="323" t="s">
        <v>131</v>
      </c>
      <c r="C9" s="357">
        <f>C6/(1+(C7*(1-C8)))</f>
        <v>1.0948269027788085</v>
      </c>
      <c r="D9" s="18"/>
      <c r="E9" s="82" t="s">
        <v>325</v>
      </c>
      <c r="F9" s="274">
        <f>I6</f>
        <v>2361.1840000000002</v>
      </c>
      <c r="G9" s="285"/>
      <c r="K9" s="7"/>
      <c r="L9" s="270"/>
      <c r="M9" s="156"/>
      <c r="N9" s="225"/>
      <c r="O9" s="225"/>
    </row>
    <row r="10" spans="2:16">
      <c r="B10" s="323" t="s">
        <v>205</v>
      </c>
      <c r="C10" s="351">
        <f>'Beta Calculation Data'!L23</f>
        <v>0.17090962357178729</v>
      </c>
      <c r="D10" s="18"/>
      <c r="E10" s="82" t="s">
        <v>324</v>
      </c>
      <c r="F10" s="274">
        <f>21.448</f>
        <v>21.448</v>
      </c>
      <c r="G10" s="285"/>
      <c r="K10" s="7"/>
      <c r="L10" s="79"/>
      <c r="M10" s="156"/>
      <c r="N10" s="225"/>
      <c r="O10" s="225"/>
    </row>
    <row r="11" spans="2:16">
      <c r="B11" s="82" t="s">
        <v>323</v>
      </c>
      <c r="C11" s="350">
        <f>C9/(1-C10)</f>
        <v>1.3205157530538587</v>
      </c>
      <c r="D11" s="18"/>
      <c r="E11" s="82" t="s">
        <v>326</v>
      </c>
      <c r="F11" s="73">
        <f>'Cost of Equity, Debt &amp; WACC'!C15</f>
        <v>4.3490000000000001E-2</v>
      </c>
      <c r="G11" s="285"/>
      <c r="K11" s="7"/>
      <c r="L11" s="7"/>
      <c r="M11" s="156"/>
      <c r="N11" s="344"/>
      <c r="O11" s="344"/>
    </row>
    <row r="12" spans="2:16">
      <c r="D12" s="235"/>
      <c r="E12" s="46" t="s">
        <v>211</v>
      </c>
      <c r="F12" s="359">
        <f ca="1">H6</f>
        <v>3.0388888888888888</v>
      </c>
      <c r="G12" s="285"/>
      <c r="K12" s="85"/>
      <c r="L12" s="7"/>
      <c r="M12" s="156"/>
      <c r="N12" s="344"/>
      <c r="O12" s="344"/>
    </row>
    <row r="13" spans="2:16">
      <c r="B13" s="323" t="s">
        <v>43</v>
      </c>
      <c r="C13" s="278">
        <f>118.39*638.7</f>
        <v>75615.692999999999</v>
      </c>
      <c r="D13" s="6"/>
      <c r="E13" s="28"/>
      <c r="F13" s="17"/>
      <c r="G13" s="285"/>
      <c r="K13" s="7"/>
      <c r="L13" s="7"/>
      <c r="M13" s="156"/>
      <c r="N13" s="194"/>
      <c r="O13" s="194"/>
    </row>
    <row r="14" spans="2:16">
      <c r="B14" s="323" t="s">
        <v>41</v>
      </c>
      <c r="C14" s="278">
        <f ca="1">F14+G14</f>
        <v>2134.5014465910417</v>
      </c>
      <c r="D14" s="6"/>
      <c r="E14" s="82" t="s">
        <v>212</v>
      </c>
      <c r="F14" s="276">
        <f ca="1">F10*((1-(1+F11)^(-F12))/F11)+F9/(1+F11)^F12</f>
        <v>2134.5014465910417</v>
      </c>
      <c r="G14" s="392"/>
      <c r="K14" s="7"/>
      <c r="L14" s="7"/>
      <c r="M14" s="156"/>
      <c r="N14" s="344"/>
      <c r="O14" s="344"/>
    </row>
    <row r="15" spans="2:16">
      <c r="B15" s="323" t="s">
        <v>213</v>
      </c>
      <c r="C15" s="361">
        <f ca="1">C14/C13</f>
        <v>2.8228286509138278E-2</v>
      </c>
      <c r="D15" s="6"/>
      <c r="E15" s="85"/>
      <c r="F15" s="270"/>
      <c r="G15" s="156"/>
      <c r="K15" s="7"/>
      <c r="L15" s="7"/>
      <c r="M15" s="156"/>
      <c r="N15" s="194"/>
      <c r="O15" s="194"/>
    </row>
    <row r="16" spans="2:16">
      <c r="D16" s="6"/>
      <c r="E16" s="85"/>
      <c r="F16" s="270"/>
      <c r="G16" s="156"/>
      <c r="I16" s="258"/>
      <c r="K16" s="7"/>
      <c r="L16" s="7"/>
      <c r="M16" s="156"/>
      <c r="N16" s="259"/>
      <c r="O16" s="259"/>
    </row>
    <row r="17" spans="2:15">
      <c r="B17" s="273" t="s">
        <v>327</v>
      </c>
      <c r="C17" s="360">
        <f ca="1">C11*(1+(C15*(1-C8)))</f>
        <v>1.3499637116973164</v>
      </c>
      <c r="D17" s="23"/>
      <c r="E17" s="85"/>
      <c r="F17" s="85"/>
      <c r="G17" s="156"/>
      <c r="H17" s="258"/>
      <c r="K17" s="7"/>
      <c r="L17" s="7"/>
      <c r="M17" s="156"/>
      <c r="N17" s="225"/>
      <c r="O17" s="225"/>
    </row>
    <row r="18" spans="2:15">
      <c r="D18" s="6"/>
      <c r="E18" s="85"/>
      <c r="F18" s="85"/>
      <c r="G18" s="156"/>
      <c r="H18" s="258"/>
      <c r="K18" s="85"/>
      <c r="L18" s="85"/>
      <c r="M18" s="156"/>
      <c r="N18" s="156"/>
      <c r="O18" s="156"/>
    </row>
    <row r="19" spans="2:15">
      <c r="D19" s="6"/>
      <c r="E19" s="85"/>
      <c r="F19" s="85"/>
      <c r="G19" s="156"/>
      <c r="H19" s="225"/>
      <c r="I19" s="225"/>
      <c r="K19" s="85"/>
      <c r="L19" s="270"/>
      <c r="M19" s="156"/>
      <c r="N19" s="156"/>
      <c r="O19" s="156"/>
    </row>
    <row r="20" spans="2:15">
      <c r="D20" s="6"/>
      <c r="E20" s="85"/>
      <c r="F20" s="270"/>
      <c r="G20" s="156"/>
      <c r="H20" s="344"/>
      <c r="I20" s="344"/>
      <c r="K20" s="85"/>
      <c r="L20" s="270"/>
      <c r="M20" s="156"/>
      <c r="N20" s="225"/>
      <c r="O20" s="225"/>
    </row>
    <row r="21" spans="2:15" ht="12" customHeight="1">
      <c r="D21" s="6"/>
      <c r="E21" s="85"/>
      <c r="F21" s="270"/>
      <c r="G21" s="156"/>
      <c r="H21" s="344"/>
      <c r="I21" s="344"/>
      <c r="K21" s="344"/>
      <c r="L21" s="270"/>
      <c r="M21" s="156"/>
      <c r="N21" s="156"/>
      <c r="O21" s="156"/>
    </row>
    <row r="22" spans="2:15">
      <c r="D22" s="23"/>
      <c r="E22" s="85"/>
      <c r="F22" s="85"/>
      <c r="G22" s="156"/>
      <c r="H22" s="194"/>
      <c r="I22" s="194"/>
      <c r="K22" s="344"/>
      <c r="L22" s="270"/>
      <c r="M22" s="156"/>
      <c r="N22" s="225"/>
      <c r="O22" s="225"/>
    </row>
    <row r="23" spans="2:15">
      <c r="D23" s="6"/>
      <c r="E23" s="85"/>
      <c r="F23" s="270"/>
      <c r="G23" s="156"/>
      <c r="H23" s="344"/>
      <c r="I23" s="344"/>
      <c r="K23" s="85"/>
      <c r="L23" s="85"/>
      <c r="M23" s="156"/>
      <c r="N23" s="156"/>
      <c r="O23" s="156"/>
    </row>
    <row r="24" spans="2:15">
      <c r="D24" s="6"/>
      <c r="E24" s="85"/>
      <c r="F24" s="85"/>
      <c r="G24" s="156"/>
      <c r="H24" s="194"/>
      <c r="I24" s="194"/>
      <c r="K24" s="85"/>
      <c r="L24" s="85"/>
      <c r="M24" s="156"/>
      <c r="N24" s="225"/>
      <c r="O24" s="225"/>
    </row>
    <row r="25" spans="2:15">
      <c r="D25" s="6"/>
      <c r="E25" s="7"/>
      <c r="F25" s="270"/>
      <c r="G25" s="156"/>
      <c r="H25" s="259"/>
      <c r="K25" s="85"/>
      <c r="L25" s="85"/>
      <c r="M25" s="156"/>
      <c r="N25" s="225"/>
      <c r="O25" s="225"/>
    </row>
    <row r="26" spans="2:15">
      <c r="D26" s="23"/>
      <c r="E26" s="207"/>
      <c r="F26" s="79"/>
      <c r="G26" s="156"/>
      <c r="H26" s="225"/>
      <c r="K26" s="85"/>
      <c r="L26" s="270"/>
      <c r="M26" s="156"/>
      <c r="N26" s="225"/>
      <c r="O26" s="225"/>
    </row>
    <row r="27" spans="2:15">
      <c r="D27" s="7"/>
      <c r="E27" s="207"/>
      <c r="F27" s="207"/>
      <c r="G27" s="156"/>
      <c r="H27" s="156"/>
      <c r="K27" s="85"/>
      <c r="L27" s="270"/>
      <c r="M27" s="156"/>
      <c r="N27" s="345"/>
      <c r="O27" s="345"/>
    </row>
    <row r="28" spans="2:15">
      <c r="D28" s="3"/>
      <c r="E28" s="85"/>
      <c r="F28" s="207"/>
      <c r="G28" s="156"/>
      <c r="H28" s="156"/>
      <c r="K28" s="85"/>
      <c r="L28" s="85"/>
      <c r="M28" s="156"/>
      <c r="N28" s="343"/>
      <c r="O28" s="343"/>
    </row>
    <row r="29" spans="2:15">
      <c r="D29" s="3"/>
      <c r="E29" s="207"/>
      <c r="F29" s="207"/>
      <c r="G29" s="156"/>
      <c r="H29" s="225"/>
      <c r="K29" s="85"/>
      <c r="L29" s="3"/>
      <c r="M29" s="156"/>
      <c r="N29" s="225"/>
      <c r="O29" s="225"/>
    </row>
    <row r="30" spans="2:15">
      <c r="D30" s="3"/>
      <c r="E30" s="207"/>
      <c r="F30" s="207"/>
      <c r="G30" s="156"/>
      <c r="H30" s="156"/>
      <c r="K30" s="85"/>
      <c r="L30" s="3"/>
      <c r="M30" s="258"/>
      <c r="O30" s="225"/>
    </row>
    <row r="31" spans="2:15">
      <c r="D31" s="3"/>
      <c r="E31" s="207"/>
      <c r="F31" s="207"/>
      <c r="G31" s="156"/>
      <c r="H31" s="258"/>
      <c r="K31" s="85"/>
      <c r="L31" s="3"/>
      <c r="M31" s="258"/>
      <c r="O31" s="225"/>
    </row>
    <row r="32" spans="2:15">
      <c r="D32" s="3"/>
      <c r="E32" s="207"/>
      <c r="F32" s="207"/>
      <c r="G32" s="156"/>
      <c r="H32" s="156"/>
      <c r="K32" s="85"/>
      <c r="L32" s="3"/>
      <c r="M32" s="156"/>
      <c r="N32" s="225"/>
      <c r="O32" s="225"/>
    </row>
    <row r="33" spans="4:15">
      <c r="D33" s="3"/>
      <c r="E33" s="207"/>
      <c r="F33" s="207"/>
      <c r="G33" s="156"/>
      <c r="H33" s="258"/>
      <c r="K33" s="7"/>
      <c r="L33" s="3"/>
      <c r="M33" s="156"/>
      <c r="N33" s="344"/>
      <c r="O33" s="344"/>
    </row>
    <row r="34" spans="4:15">
      <c r="D34" s="80"/>
      <c r="E34" s="253"/>
      <c r="F34" s="253"/>
      <c r="G34" s="254"/>
      <c r="H34" s="258"/>
      <c r="K34" s="7"/>
      <c r="L34" s="3"/>
      <c r="M34" s="156"/>
      <c r="N34" s="344"/>
      <c r="O34" s="344"/>
    </row>
    <row r="35" spans="4:15">
      <c r="D35" s="271"/>
      <c r="E35" s="253"/>
      <c r="F35" s="253"/>
      <c r="G35" s="254"/>
      <c r="H35" s="258"/>
      <c r="K35" s="7"/>
      <c r="L35" s="3"/>
      <c r="M35" s="156"/>
      <c r="N35" s="194"/>
      <c r="O35" s="194"/>
    </row>
    <row r="36" spans="4:15" ht="12" customHeight="1">
      <c r="D36" s="271"/>
      <c r="E36" s="253"/>
      <c r="F36" s="253"/>
      <c r="G36" s="254"/>
      <c r="H36" s="255"/>
      <c r="K36" s="85"/>
      <c r="L36" s="3"/>
      <c r="M36" s="156"/>
      <c r="N36" s="344"/>
      <c r="O36" s="344"/>
    </row>
    <row r="37" spans="4:15">
      <c r="D37" s="272"/>
      <c r="E37" s="253"/>
      <c r="F37" s="253"/>
      <c r="G37" s="254"/>
      <c r="H37" s="255"/>
      <c r="K37" s="7"/>
      <c r="L37" s="3"/>
      <c r="M37" s="156"/>
      <c r="N37" s="194"/>
      <c r="O37" s="194"/>
    </row>
    <row r="38" spans="4:15">
      <c r="D38" s="3"/>
      <c r="E38" s="253"/>
      <c r="F38" s="253"/>
      <c r="G38" s="254"/>
      <c r="H38" s="256"/>
      <c r="K38" s="7"/>
      <c r="L38" s="3"/>
      <c r="M38" s="3"/>
      <c r="N38" s="3"/>
      <c r="O38" s="3"/>
    </row>
    <row r="39" spans="4:15" ht="12" customHeight="1">
      <c r="H39" s="255"/>
      <c r="K39" s="7"/>
      <c r="M39" s="3"/>
      <c r="N39" s="3"/>
      <c r="O39" s="346"/>
    </row>
    <row r="40" spans="4:15">
      <c r="H40" s="255"/>
      <c r="K40" s="3"/>
      <c r="M40" s="3"/>
      <c r="N40" s="3"/>
      <c r="O40" s="3"/>
    </row>
    <row r="41" spans="4:15">
      <c r="K41" s="85"/>
      <c r="M41" s="3"/>
      <c r="N41" s="3"/>
      <c r="O41" s="3"/>
    </row>
    <row r="42" spans="4:15">
      <c r="K42" s="85"/>
      <c r="M42" s="3"/>
      <c r="N42" s="3"/>
      <c r="O42" s="3"/>
    </row>
    <row r="43" spans="4:15">
      <c r="K43" s="85"/>
      <c r="M43" s="3"/>
      <c r="N43" s="3"/>
      <c r="O43" s="3"/>
    </row>
    <row r="44" spans="4:15">
      <c r="K44" s="85"/>
      <c r="M44" s="3"/>
      <c r="N44" s="3"/>
      <c r="O44" s="3"/>
    </row>
    <row r="45" spans="4:15">
      <c r="K45" s="85"/>
      <c r="M45" s="3"/>
      <c r="N45" s="3"/>
      <c r="O45" s="3"/>
    </row>
    <row r="46" spans="4:15">
      <c r="K46" s="85"/>
      <c r="M46" s="3"/>
      <c r="N46" s="3"/>
      <c r="O46" s="3"/>
    </row>
    <row r="47" spans="4:15">
      <c r="K47" s="85"/>
      <c r="M47" s="3"/>
      <c r="N47" s="3"/>
      <c r="O47" s="3"/>
    </row>
    <row r="48" spans="4:15">
      <c r="K48" s="85"/>
    </row>
    <row r="49" spans="11:11">
      <c r="K49" s="85"/>
    </row>
    <row r="57" spans="11:11" ht="12" customHeight="1"/>
    <row r="63" spans="11:11" ht="12" customHeight="1"/>
    <row r="117" spans="15:15">
      <c r="O117" s="236"/>
    </row>
  </sheetData>
  <mergeCells count="1">
    <mergeCell ref="E8:F8"/>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8.42578125" style="2" customWidth="1"/>
    <col min="3" max="3" width="11.5703125" style="2" bestFit="1" customWidth="1"/>
    <col min="4" max="4" width="5.85546875" style="2" customWidth="1"/>
    <col min="5" max="5" width="11.5703125" style="2" customWidth="1"/>
    <col min="6" max="6" width="11.28515625" style="2" customWidth="1"/>
    <col min="7" max="7" width="10.5703125" style="2" customWidth="1"/>
    <col min="8" max="8" width="9.7109375" style="2" bestFit="1" customWidth="1"/>
    <col min="9" max="9" width="10.5703125" style="2" bestFit="1" customWidth="1"/>
    <col min="10" max="11" width="9.7109375" style="2" bestFit="1" customWidth="1"/>
    <col min="12" max="12" width="10.5703125" style="2" bestFit="1" customWidth="1"/>
    <col min="13" max="16384" width="9.140625" style="2"/>
  </cols>
  <sheetData>
    <row r="1" spans="2:13" ht="15.75">
      <c r="B1" s="16" t="s">
        <v>220</v>
      </c>
    </row>
    <row r="3" spans="2:13" ht="15.75">
      <c r="B3" s="100" t="s">
        <v>7</v>
      </c>
      <c r="C3" s="28"/>
      <c r="E3" s="458" t="s">
        <v>209</v>
      </c>
      <c r="F3" s="458"/>
      <c r="G3" s="458"/>
      <c r="H3" s="458"/>
      <c r="I3" s="458"/>
      <c r="J3" s="393"/>
      <c r="K3" s="8"/>
      <c r="L3" s="8"/>
      <c r="M3" s="8"/>
    </row>
    <row r="4" spans="2:13">
      <c r="B4" s="28"/>
      <c r="C4" s="28"/>
      <c r="E4" s="28"/>
      <c r="F4" s="260">
        <v>2019</v>
      </c>
      <c r="G4" s="260">
        <v>2020</v>
      </c>
      <c r="H4" s="260">
        <v>2021</v>
      </c>
      <c r="I4" s="404" t="s">
        <v>345</v>
      </c>
    </row>
    <row r="5" spans="2:13">
      <c r="B5" s="177" t="s">
        <v>210</v>
      </c>
      <c r="C5" s="135">
        <f>'Risk Free Rate &amp; ERP'!C7</f>
        <v>3.5990000000000001E-2</v>
      </c>
      <c r="D5" s="6"/>
      <c r="E5" s="261" t="s">
        <v>146</v>
      </c>
      <c r="F5" s="278">
        <v>9.968</v>
      </c>
      <c r="G5" s="278">
        <v>171.68799999999999</v>
      </c>
      <c r="H5" s="279">
        <v>437.59899999999999</v>
      </c>
      <c r="I5" s="279">
        <f>21.448</f>
        <v>21.448</v>
      </c>
    </row>
    <row r="6" spans="2:13">
      <c r="B6" s="177" t="s">
        <v>9</v>
      </c>
      <c r="C6" s="135">
        <f ca="1">'Risk Free Rate &amp; ERP'!F21</f>
        <v>5.6813484085830562E-2</v>
      </c>
      <c r="D6" s="23"/>
      <c r="E6" s="261" t="s">
        <v>3</v>
      </c>
      <c r="F6" s="278">
        <v>-501.54300000000001</v>
      </c>
      <c r="G6" s="278">
        <v>-3438.7919999999999</v>
      </c>
      <c r="H6" s="279">
        <v>542.16600000000005</v>
      </c>
      <c r="I6" s="279">
        <v>1732.6220000000001</v>
      </c>
    </row>
    <row r="7" spans="2:13">
      <c r="B7" s="177" t="s">
        <v>328</v>
      </c>
      <c r="C7" s="362">
        <f ca="1">'Bottom Up Beta'!C17</f>
        <v>1.3499637116973164</v>
      </c>
      <c r="D7" s="6"/>
      <c r="E7" s="261" t="s">
        <v>147</v>
      </c>
      <c r="F7" s="357">
        <f>F6/F5</f>
        <v>-50.315308988764045</v>
      </c>
      <c r="G7" s="357">
        <f>G6/G5</f>
        <v>-20.02930897907833</v>
      </c>
      <c r="H7" s="357">
        <f>H6/H5</f>
        <v>1.2389562133368679</v>
      </c>
      <c r="I7" s="357">
        <f>I6/I5</f>
        <v>80.782450578142488</v>
      </c>
    </row>
    <row r="8" spans="2:13">
      <c r="B8" s="310" t="s">
        <v>7</v>
      </c>
      <c r="C8" s="49">
        <f ca="1">C5+C7*C6</f>
        <v>0.11268614185096423</v>
      </c>
      <c r="D8" s="6"/>
      <c r="F8" s="324"/>
      <c r="G8" s="324"/>
      <c r="H8" s="324" t="s">
        <v>148</v>
      </c>
      <c r="I8" s="358">
        <f>MEDIAN(F7:I7)</f>
        <v>-9.3951763828707318</v>
      </c>
    </row>
    <row r="9" spans="2:13">
      <c r="B9" s="3"/>
      <c r="C9" s="3"/>
      <c r="D9" s="6"/>
      <c r="E9" s="6"/>
      <c r="F9" s="6"/>
    </row>
    <row r="10" spans="2:13" ht="15.75">
      <c r="B10" s="100" t="s">
        <v>40</v>
      </c>
      <c r="C10" s="17"/>
      <c r="D10" s="6"/>
      <c r="E10" s="6"/>
      <c r="F10" s="6"/>
    </row>
    <row r="11" spans="2:13">
      <c r="B11" s="17"/>
      <c r="C11" s="17"/>
      <c r="D11" s="6"/>
      <c r="E11" s="23"/>
      <c r="F11" s="6"/>
    </row>
    <row r="12" spans="2:13">
      <c r="B12" s="177" t="s">
        <v>210</v>
      </c>
      <c r="C12" s="63">
        <f>'Risk Free Rate &amp; ERP'!$C$7</f>
        <v>3.5990000000000001E-2</v>
      </c>
      <c r="F12" s="23"/>
    </row>
    <row r="13" spans="2:13">
      <c r="B13" s="323" t="s">
        <v>330</v>
      </c>
      <c r="C13" s="63" t="s">
        <v>223</v>
      </c>
      <c r="D13" s="6"/>
      <c r="E13" s="6"/>
      <c r="F13" s="6"/>
    </row>
    <row r="14" spans="2:13">
      <c r="B14" s="177" t="s">
        <v>329</v>
      </c>
      <c r="C14" s="135">
        <v>7.4999999999999997E-3</v>
      </c>
      <c r="D14" s="6"/>
      <c r="E14" s="6"/>
      <c r="F14" s="6"/>
    </row>
    <row r="15" spans="2:13">
      <c r="B15" s="310" t="s">
        <v>40</v>
      </c>
      <c r="C15" s="49">
        <f>C12+C14</f>
        <v>4.3490000000000001E-2</v>
      </c>
      <c r="D15" s="6"/>
      <c r="E15" s="6"/>
      <c r="F15" s="6"/>
    </row>
    <row r="16" spans="2:13">
      <c r="D16" s="6"/>
      <c r="E16" s="6"/>
      <c r="F16" s="23"/>
    </row>
    <row r="17" spans="2:12" ht="15.75">
      <c r="B17" s="100" t="s">
        <v>5</v>
      </c>
      <c r="C17" s="105"/>
      <c r="D17" s="23"/>
      <c r="E17" s="23"/>
      <c r="F17" s="6"/>
    </row>
    <row r="18" spans="2:12">
      <c r="B18" s="28"/>
      <c r="C18" s="28"/>
      <c r="D18" s="6"/>
      <c r="E18" s="6"/>
      <c r="F18" s="6"/>
    </row>
    <row r="19" spans="2:12">
      <c r="B19" s="323" t="s">
        <v>7</v>
      </c>
      <c r="C19" s="351">
        <f ca="1">C8</f>
        <v>0.11268614185096423</v>
      </c>
      <c r="D19" s="6"/>
      <c r="E19" s="6"/>
      <c r="F19" s="6"/>
    </row>
    <row r="20" spans="2:12">
      <c r="B20" s="323" t="s">
        <v>219</v>
      </c>
      <c r="C20" s="278">
        <f>'Bottom Up Beta'!C13</f>
        <v>75615.692999999999</v>
      </c>
      <c r="D20" s="6"/>
      <c r="E20" s="6"/>
      <c r="F20" s="6"/>
    </row>
    <row r="21" spans="2:12">
      <c r="B21" s="323" t="s">
        <v>214</v>
      </c>
      <c r="C21" s="351">
        <f>C15</f>
        <v>4.3490000000000001E-2</v>
      </c>
      <c r="D21" s="23"/>
      <c r="E21" s="23"/>
      <c r="F21" s="23"/>
      <c r="G21" s="102"/>
      <c r="H21" s="102"/>
    </row>
    <row r="22" spans="2:12">
      <c r="B22" s="323" t="s">
        <v>218</v>
      </c>
      <c r="C22" s="278">
        <f ca="1">'Bottom Up Beta'!C14</f>
        <v>2134.5014465910417</v>
      </c>
      <c r="F22" s="6"/>
      <c r="G22" s="3"/>
      <c r="H22" s="58"/>
    </row>
    <row r="23" spans="2:12">
      <c r="B23" s="323" t="s">
        <v>217</v>
      </c>
      <c r="C23" s="351">
        <v>0.21</v>
      </c>
      <c r="E23" s="3"/>
      <c r="F23" s="6"/>
      <c r="G23" s="47"/>
      <c r="H23" s="42"/>
    </row>
    <row r="24" spans="2:12">
      <c r="B24" s="28"/>
      <c r="C24" s="28"/>
      <c r="F24" s="6"/>
      <c r="G24" s="47"/>
      <c r="H24" s="42"/>
      <c r="I24" s="42"/>
      <c r="J24" s="42"/>
      <c r="K24" s="42"/>
      <c r="L24" s="42"/>
    </row>
    <row r="25" spans="2:12">
      <c r="B25" s="323" t="s">
        <v>215</v>
      </c>
      <c r="C25" s="351">
        <f ca="1">C20/(C20+C22)</f>
        <v>0.97254667384713378</v>
      </c>
      <c r="D25" s="3"/>
      <c r="F25" s="23"/>
      <c r="G25" s="47"/>
      <c r="H25" s="42"/>
      <c r="I25" s="42"/>
      <c r="J25" s="42"/>
      <c r="K25" s="42"/>
      <c r="L25" s="42"/>
    </row>
    <row r="26" spans="2:12">
      <c r="B26" s="323" t="s">
        <v>216</v>
      </c>
      <c r="C26" s="351">
        <f ca="1">C22/(C20+C22)</f>
        <v>2.7453326152866352E-2</v>
      </c>
      <c r="F26" s="3"/>
      <c r="G26" s="103"/>
      <c r="H26" s="103"/>
      <c r="I26" s="103"/>
      <c r="J26" s="103"/>
      <c r="K26" s="103"/>
      <c r="L26" s="22"/>
    </row>
    <row r="27" spans="2:12">
      <c r="B27" s="28"/>
      <c r="C27" s="28"/>
      <c r="F27" s="3"/>
    </row>
    <row r="28" spans="2:12">
      <c r="B28" s="273" t="s">
        <v>5</v>
      </c>
      <c r="C28" s="106">
        <f ca="1">(C19*C25)+(C21*(1-C23)*C26)</f>
        <v>0.11053574911778821</v>
      </c>
      <c r="D28" s="3"/>
      <c r="E28" s="3"/>
      <c r="F28" s="3"/>
    </row>
    <row r="29" spans="2:12">
      <c r="D29" s="3"/>
      <c r="E29" s="3"/>
      <c r="F29" s="3"/>
    </row>
    <row r="30" spans="2:12">
      <c r="D30" s="3"/>
      <c r="E30" s="3"/>
      <c r="F30" s="3"/>
    </row>
    <row r="31" spans="2:12">
      <c r="D31" s="3"/>
      <c r="E31" s="3"/>
      <c r="F31" s="3"/>
    </row>
    <row r="32" spans="2:12">
      <c r="D32" s="3"/>
      <c r="E32" s="3"/>
      <c r="F32" s="3"/>
    </row>
  </sheetData>
  <mergeCells count="1">
    <mergeCell ref="E3:I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3" t="s">
        <v>44</v>
      </c>
    </row>
    <row r="3" spans="2:2">
      <c r="B3" s="115" t="s">
        <v>65</v>
      </c>
    </row>
    <row r="4" spans="2:2">
      <c r="B4" s="115" t="s">
        <v>64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45"/>
  <sheetViews>
    <sheetView workbookViewId="0"/>
  </sheetViews>
  <sheetFormatPr defaultRowHeight="12"/>
  <cols>
    <col min="1" max="1" width="2" style="109" customWidth="1"/>
    <col min="2" max="2" width="25.42578125" style="109" customWidth="1"/>
    <col min="3" max="3" width="11.140625" style="109" customWidth="1"/>
    <col min="4" max="4" width="11.5703125" style="109" customWidth="1"/>
    <col min="5" max="5" width="11.28515625" style="109" customWidth="1"/>
    <col min="6" max="6" width="11.85546875" style="109" customWidth="1"/>
    <col min="7" max="7" width="12.85546875" style="109" customWidth="1"/>
    <col min="8" max="8" width="8" style="109" customWidth="1"/>
    <col min="9" max="9" width="4.85546875" style="109" customWidth="1"/>
    <col min="10" max="10" width="23" style="109" customWidth="1"/>
    <col min="11" max="11" width="10.7109375" style="109" customWidth="1" collapsed="1"/>
    <col min="12" max="16" width="10.7109375" style="109" customWidth="1"/>
    <col min="17" max="17" width="11.140625" style="109" customWidth="1"/>
    <col min="18" max="30" width="9.140625" style="109" customWidth="1"/>
    <col min="31" max="31" width="9.28515625" style="109" customWidth="1"/>
    <col min="32" max="32" width="9.42578125" style="109" customWidth="1"/>
    <col min="33" max="33" width="10" style="109" customWidth="1"/>
    <col min="34" max="34" width="11.42578125" style="109" customWidth="1"/>
    <col min="35" max="35" width="9.42578125" style="109" bestFit="1" customWidth="1" collapsed="1"/>
    <col min="36" max="16384" width="9.140625" style="109"/>
  </cols>
  <sheetData>
    <row r="1" spans="1:36" s="108" customFormat="1" ht="15" customHeight="1">
      <c r="B1" s="16" t="s">
        <v>240</v>
      </c>
      <c r="C1" s="16"/>
      <c r="D1" s="16"/>
      <c r="E1" s="16"/>
      <c r="F1" s="16"/>
      <c r="G1" s="107"/>
      <c r="H1" s="107"/>
      <c r="I1" s="107"/>
      <c r="J1" s="107"/>
      <c r="K1" s="107"/>
      <c r="L1" s="107"/>
      <c r="M1" s="107"/>
      <c r="N1" s="107"/>
      <c r="O1" s="107"/>
      <c r="P1" s="107"/>
    </row>
    <row r="2" spans="1:36" ht="12" customHeight="1"/>
    <row r="3" spans="1:36" s="111" customFormat="1" ht="12" customHeight="1">
      <c r="A3" s="109"/>
      <c r="B3" s="121"/>
      <c r="C3" s="122">
        <v>2018</v>
      </c>
      <c r="D3" s="122">
        <v>2019</v>
      </c>
      <c r="E3" s="122">
        <v>2020</v>
      </c>
      <c r="F3" s="122">
        <v>2021</v>
      </c>
      <c r="G3" s="122" t="s">
        <v>346</v>
      </c>
      <c r="H3" s="110"/>
      <c r="I3" s="110"/>
      <c r="J3" s="459" t="s">
        <v>239</v>
      </c>
      <c r="K3" s="459"/>
      <c r="L3" s="459"/>
      <c r="M3" s="459"/>
      <c r="N3" s="459"/>
      <c r="O3" s="459"/>
      <c r="P3" s="459"/>
      <c r="Q3" s="397"/>
      <c r="R3" s="110"/>
      <c r="S3" s="110"/>
      <c r="T3" s="110"/>
      <c r="U3" s="110"/>
      <c r="V3" s="110"/>
      <c r="W3" s="110"/>
      <c r="X3" s="110"/>
      <c r="Y3" s="110"/>
      <c r="Z3" s="110"/>
      <c r="AA3" s="110"/>
      <c r="AB3" s="110"/>
      <c r="AC3" s="110"/>
      <c r="AD3" s="110"/>
      <c r="AE3" s="110"/>
    </row>
    <row r="4" spans="1:36" ht="12" customHeight="1">
      <c r="A4" s="111"/>
      <c r="B4" s="123" t="s">
        <v>4</v>
      </c>
      <c r="C4" s="281">
        <v>3651.9850000000001</v>
      </c>
      <c r="D4" s="281">
        <v>4805.2389999999996</v>
      </c>
      <c r="E4" s="281">
        <v>3378.1990000000001</v>
      </c>
      <c r="F4" s="281">
        <v>5991.76</v>
      </c>
      <c r="G4" s="281">
        <f>2884.41+2104.107+1508.937+(5991.76-2237.432-1335.196-886.936)</f>
        <v>8029.65</v>
      </c>
      <c r="H4" s="142"/>
      <c r="J4" s="204" t="s">
        <v>32</v>
      </c>
      <c r="K4" s="205" t="s">
        <v>346</v>
      </c>
      <c r="L4" s="205">
        <v>2021</v>
      </c>
      <c r="M4" s="205">
        <v>2020</v>
      </c>
      <c r="N4" s="205">
        <v>2019</v>
      </c>
      <c r="O4" s="205">
        <v>2018</v>
      </c>
      <c r="P4" s="206"/>
    </row>
    <row r="5" spans="1:36" ht="12" customHeight="1">
      <c r="A5" s="116" t="s">
        <v>33</v>
      </c>
      <c r="B5" s="124" t="s">
        <v>396</v>
      </c>
      <c r="C5" s="274">
        <v>-864.03200000000004</v>
      </c>
      <c r="D5" s="274">
        <v>-1196.3130000000001</v>
      </c>
      <c r="E5" s="274">
        <v>-876.04200000000003</v>
      </c>
      <c r="F5" s="274">
        <v>-1155.8330000000001</v>
      </c>
      <c r="G5" s="274">
        <f>-(401.149+390.107+362.623+(1155.833-311.58-254.515-294.427))</f>
        <v>-1449.1900000000003</v>
      </c>
      <c r="H5" s="18">
        <f t="shared" ref="H5:H6" si="0">G5/$G$4</f>
        <v>-0.18047984656865496</v>
      </c>
      <c r="J5" s="163" t="s">
        <v>122</v>
      </c>
      <c r="K5" s="284">
        <f>-G8</f>
        <v>1472.0020000000002</v>
      </c>
      <c r="L5" s="284">
        <f>-F8</f>
        <v>1425.048</v>
      </c>
      <c r="M5" s="284">
        <f>-E8</f>
        <v>2752.8719999999998</v>
      </c>
      <c r="N5" s="284">
        <f>-D8</f>
        <v>976.69500000000005</v>
      </c>
      <c r="O5" s="284">
        <f>-C8</f>
        <v>579.19299999999998</v>
      </c>
      <c r="P5" s="203"/>
    </row>
    <row r="6" spans="1:36" ht="12" customHeight="1">
      <c r="A6" s="116" t="s">
        <v>33</v>
      </c>
      <c r="B6" s="124" t="s">
        <v>391</v>
      </c>
      <c r="C6" s="274">
        <v>-609.202</v>
      </c>
      <c r="D6" s="274">
        <v>-815.07399999999996</v>
      </c>
      <c r="E6" s="274">
        <v>-877.90099999999995</v>
      </c>
      <c r="F6" s="274">
        <v>-847.05700000000002</v>
      </c>
      <c r="G6" s="274">
        <f>-(289.946+258.255+233.012+(847.057-228.33-185.436-208.125))</f>
        <v>-1006.3789999999999</v>
      </c>
      <c r="H6" s="18">
        <f t="shared" si="0"/>
        <v>-0.12533286008730143</v>
      </c>
      <c r="J6" s="121"/>
      <c r="K6" s="121"/>
      <c r="L6" s="121"/>
      <c r="M6" s="121"/>
      <c r="N6" s="121"/>
      <c r="O6" s="121"/>
      <c r="P6" s="121"/>
      <c r="R6" s="113"/>
      <c r="S6" s="113"/>
      <c r="T6" s="113"/>
      <c r="U6" s="113"/>
      <c r="V6" s="113"/>
      <c r="W6" s="113"/>
      <c r="AB6" s="113"/>
    </row>
    <row r="7" spans="1:36" ht="12" customHeight="1">
      <c r="B7" s="126" t="s">
        <v>224</v>
      </c>
      <c r="C7" s="289">
        <f>SUM(C4:C6)</f>
        <v>2178.7510000000002</v>
      </c>
      <c r="D7" s="289">
        <f>SUM(D4:D6)</f>
        <v>2793.8519999999994</v>
      </c>
      <c r="E7" s="289">
        <f>SUM(E4:E6)</f>
        <v>1624.2560000000003</v>
      </c>
      <c r="F7" s="289">
        <f>SUM(F4:F6)</f>
        <v>3988.87</v>
      </c>
      <c r="G7" s="289">
        <f>SUM(G4:G6)</f>
        <v>5574.0809999999992</v>
      </c>
      <c r="H7" s="396">
        <f t="shared" ref="H7:H12" si="1">G7/$G$4</f>
        <v>0.69418729334404361</v>
      </c>
      <c r="J7" s="163" t="s">
        <v>352</v>
      </c>
      <c r="K7" s="95">
        <v>1</v>
      </c>
      <c r="L7" s="151">
        <f>3/4</f>
        <v>0.75</v>
      </c>
      <c r="M7" s="151">
        <f>2/4</f>
        <v>0.5</v>
      </c>
      <c r="N7" s="95">
        <f>1/4</f>
        <v>0.25</v>
      </c>
      <c r="O7" s="95">
        <v>0</v>
      </c>
      <c r="P7" s="203"/>
      <c r="Q7" s="114"/>
      <c r="R7" s="114"/>
      <c r="S7" s="114"/>
      <c r="T7" s="114"/>
      <c r="U7" s="114"/>
      <c r="V7" s="114"/>
      <c r="W7" s="114"/>
      <c r="X7" s="114"/>
      <c r="Y7" s="114"/>
      <c r="Z7" s="114"/>
      <c r="AA7" s="114"/>
      <c r="AB7" s="114"/>
      <c r="AC7" s="114"/>
      <c r="AD7" s="114"/>
      <c r="AE7" s="114"/>
      <c r="AF7" s="114"/>
      <c r="AG7" s="114"/>
    </row>
    <row r="8" spans="1:36" ht="12" customHeight="1">
      <c r="A8" s="116" t="s">
        <v>33</v>
      </c>
      <c r="B8" s="123" t="s">
        <v>392</v>
      </c>
      <c r="C8" s="274">
        <v>-579.19299999999998</v>
      </c>
      <c r="D8" s="274">
        <v>-976.69500000000005</v>
      </c>
      <c r="E8" s="274">
        <v>-2752.8719999999998</v>
      </c>
      <c r="F8" s="274">
        <v>-1425.048</v>
      </c>
      <c r="G8" s="274">
        <f>-(366.182+375.05+362.927+(1425.048-344.41-363.061-349.734))</f>
        <v>-1472.0020000000002</v>
      </c>
      <c r="H8" s="18">
        <f t="shared" si="1"/>
        <v>-0.18332081722117405</v>
      </c>
      <c r="J8" s="163" t="s">
        <v>348</v>
      </c>
      <c r="K8" s="95"/>
      <c r="L8" s="405">
        <v>1</v>
      </c>
      <c r="M8" s="151">
        <v>0.33333333333333331</v>
      </c>
      <c r="N8" s="151">
        <f>2/3</f>
        <v>0.66666666666666663</v>
      </c>
      <c r="O8" s="95">
        <v>0</v>
      </c>
      <c r="P8" s="121"/>
      <c r="Q8" s="114"/>
      <c r="R8" s="114"/>
      <c r="S8" s="114"/>
      <c r="T8" s="114"/>
      <c r="U8" s="114"/>
      <c r="V8" s="114"/>
      <c r="W8" s="114"/>
      <c r="X8" s="114"/>
      <c r="Y8" s="114"/>
      <c r="Z8" s="114"/>
      <c r="AA8" s="114"/>
      <c r="AB8" s="114"/>
      <c r="AC8" s="114"/>
      <c r="AD8" s="114"/>
      <c r="AE8" s="114"/>
      <c r="AF8" s="114"/>
      <c r="AG8" s="114"/>
    </row>
    <row r="9" spans="1:36" ht="12" customHeight="1">
      <c r="A9" s="116" t="s">
        <v>33</v>
      </c>
      <c r="B9" s="123" t="s">
        <v>393</v>
      </c>
      <c r="C9" s="274">
        <v>-1101.327</v>
      </c>
      <c r="D9" s="274">
        <v>-1621.519</v>
      </c>
      <c r="E9" s="274">
        <v>-1175.325</v>
      </c>
      <c r="F9" s="274">
        <v>-1186.3320000000001</v>
      </c>
      <c r="G9" s="274">
        <f>-(383.165+379.875+344.616+(1186.332-290.856-229.125-315.323))</f>
        <v>-1458.6840000000002</v>
      </c>
      <c r="H9" s="18">
        <f t="shared" si="1"/>
        <v>-0.18166221441781402</v>
      </c>
      <c r="J9" s="163" t="s">
        <v>349</v>
      </c>
      <c r="K9" s="95"/>
      <c r="L9" s="405"/>
      <c r="M9" s="405">
        <v>1</v>
      </c>
      <c r="N9" s="151">
        <f>1/2</f>
        <v>0.5</v>
      </c>
      <c r="O9" s="95">
        <v>0</v>
      </c>
      <c r="P9" s="121"/>
      <c r="Q9" s="114"/>
      <c r="R9" s="114"/>
      <c r="S9" s="114"/>
      <c r="T9" s="114"/>
      <c r="U9" s="114"/>
      <c r="V9" s="114"/>
      <c r="W9" s="114"/>
      <c r="X9" s="114"/>
      <c r="Y9" s="114"/>
      <c r="Z9" s="114"/>
      <c r="AA9" s="114"/>
      <c r="AB9" s="114"/>
      <c r="AC9" s="114"/>
      <c r="AD9" s="114"/>
      <c r="AE9" s="114"/>
      <c r="AF9" s="114"/>
      <c r="AG9" s="114"/>
      <c r="AH9" s="114"/>
      <c r="AI9" s="114"/>
      <c r="AJ9" s="114"/>
    </row>
    <row r="10" spans="1:36">
      <c r="A10" s="116" t="s">
        <v>33</v>
      </c>
      <c r="B10" s="124" t="s">
        <v>394</v>
      </c>
      <c r="C10" s="274">
        <v>-479.48700000000002</v>
      </c>
      <c r="D10" s="274">
        <v>-697.18100000000004</v>
      </c>
      <c r="E10" s="274">
        <v>-1134.8510000000001</v>
      </c>
      <c r="F10" s="274">
        <v>-835.32399999999996</v>
      </c>
      <c r="G10" s="274">
        <f>-(240.435+243.254+210.573+(835.324-210.748-189.762-218.303))</f>
        <v>-910.77299999999991</v>
      </c>
      <c r="H10" s="18">
        <f t="shared" si="1"/>
        <v>-0.11342623900169994</v>
      </c>
      <c r="J10" s="163" t="s">
        <v>350</v>
      </c>
      <c r="K10" s="95"/>
      <c r="L10" s="405"/>
      <c r="M10" s="151"/>
      <c r="N10" s="405">
        <v>1</v>
      </c>
      <c r="O10" s="95">
        <v>0</v>
      </c>
      <c r="P10" s="121"/>
      <c r="Q10" s="114"/>
      <c r="R10" s="134"/>
      <c r="S10" s="114"/>
      <c r="T10" s="114"/>
      <c r="U10" s="114"/>
      <c r="V10" s="114"/>
      <c r="W10" s="114"/>
      <c r="X10" s="114"/>
      <c r="Y10" s="114"/>
      <c r="Z10" s="114"/>
      <c r="AA10" s="114"/>
      <c r="AB10" s="114"/>
      <c r="AC10" s="114"/>
      <c r="AD10" s="114"/>
      <c r="AE10" s="114"/>
      <c r="AF10" s="114"/>
      <c r="AG10" s="114"/>
      <c r="AH10" s="114"/>
      <c r="AI10" s="114"/>
      <c r="AJ10" s="114"/>
    </row>
    <row r="11" spans="1:36">
      <c r="A11" s="116" t="s">
        <v>33</v>
      </c>
      <c r="B11" s="124" t="s">
        <v>395</v>
      </c>
      <c r="C11" s="274">
        <v>0</v>
      </c>
      <c r="D11" s="274">
        <v>0</v>
      </c>
      <c r="E11" s="274">
        <v>-151.35499999999999</v>
      </c>
      <c r="F11" s="274">
        <v>-112.849</v>
      </c>
      <c r="G11" s="274">
        <f>-(0.052+88.743+0.317+(112.849+0.465-111.982-0.562))</f>
        <v>-89.882000000000005</v>
      </c>
      <c r="H11" s="18">
        <f t="shared" si="1"/>
        <v>-1.1193763115453352E-2</v>
      </c>
      <c r="J11" s="163" t="s">
        <v>351</v>
      </c>
      <c r="K11" s="95"/>
      <c r="L11" s="405"/>
      <c r="M11" s="151"/>
      <c r="N11" s="405"/>
      <c r="O11" s="95">
        <v>1</v>
      </c>
      <c r="P11" s="121"/>
      <c r="Q11" s="114"/>
      <c r="R11" s="114"/>
      <c r="S11" s="114"/>
      <c r="T11" s="114"/>
      <c r="U11" s="114"/>
      <c r="V11" s="114"/>
      <c r="W11" s="114"/>
      <c r="X11" s="114"/>
      <c r="Y11" s="114"/>
      <c r="Z11" s="114"/>
      <c r="AA11" s="114"/>
      <c r="AB11" s="114"/>
      <c r="AC11" s="114"/>
      <c r="AD11" s="114"/>
      <c r="AE11" s="114"/>
      <c r="AF11" s="114"/>
      <c r="AG11" s="114"/>
      <c r="AH11" s="114"/>
      <c r="AI11" s="114"/>
      <c r="AJ11" s="114"/>
    </row>
    <row r="12" spans="1:36">
      <c r="B12" s="399" t="s">
        <v>3</v>
      </c>
      <c r="C12" s="400">
        <f>SUM(C7:C11)</f>
        <v>18.744000000000199</v>
      </c>
      <c r="D12" s="400">
        <f>SUM(D7:D11)</f>
        <v>-501.5430000000008</v>
      </c>
      <c r="E12" s="400">
        <f>SUM(E7:E11)</f>
        <v>-3590.1469999999999</v>
      </c>
      <c r="F12" s="400">
        <f>SUM(F7:F11)</f>
        <v>429.31700000000006</v>
      </c>
      <c r="G12" s="400">
        <f>SUM(G7:G11)</f>
        <v>1642.7399999999986</v>
      </c>
      <c r="H12" s="396">
        <f t="shared" si="1"/>
        <v>0.20458425958790219</v>
      </c>
      <c r="I12" s="280"/>
      <c r="J12" s="121"/>
      <c r="K12" s="121"/>
      <c r="L12" s="121"/>
      <c r="M12" s="121"/>
      <c r="N12" s="121"/>
      <c r="O12" s="121"/>
      <c r="P12" s="121"/>
      <c r="Q12" s="114"/>
      <c r="R12" s="114"/>
      <c r="S12" s="114"/>
      <c r="T12" s="114"/>
      <c r="U12" s="114"/>
      <c r="V12" s="114"/>
      <c r="W12" s="114"/>
      <c r="X12" s="114"/>
      <c r="Y12" s="114"/>
      <c r="Z12" s="114"/>
      <c r="AA12" s="114"/>
      <c r="AB12" s="114"/>
      <c r="AC12" s="114"/>
      <c r="AD12" s="114"/>
      <c r="AE12" s="114"/>
      <c r="AF12" s="114"/>
      <c r="AG12" s="114"/>
      <c r="AH12" s="114"/>
      <c r="AI12" s="114"/>
    </row>
    <row r="13" spans="1:36">
      <c r="A13" s="116"/>
      <c r="B13" s="394"/>
      <c r="C13" s="394"/>
      <c r="D13" s="394"/>
      <c r="E13" s="394"/>
      <c r="F13" s="395"/>
      <c r="G13" s="395"/>
      <c r="H13" s="18"/>
      <c r="J13" s="163" t="s">
        <v>353</v>
      </c>
      <c r="K13" s="284">
        <f>K$5*K7</f>
        <v>1472.0020000000002</v>
      </c>
      <c r="L13" s="284">
        <f t="shared" ref="L13:O13" si="2">L$5*L7</f>
        <v>1068.7860000000001</v>
      </c>
      <c r="M13" s="284">
        <f t="shared" si="2"/>
        <v>1376.4359999999999</v>
      </c>
      <c r="N13" s="284">
        <f t="shared" si="2"/>
        <v>244.17375000000001</v>
      </c>
      <c r="O13" s="284">
        <f t="shared" si="2"/>
        <v>0</v>
      </c>
      <c r="P13" s="287">
        <f>SUM(K13:O13)</f>
        <v>4161.3977500000001</v>
      </c>
      <c r="Q13" s="114"/>
      <c r="R13" s="114"/>
      <c r="S13" s="114"/>
      <c r="T13" s="114"/>
      <c r="U13" s="114"/>
      <c r="V13" s="114"/>
      <c r="W13" s="114"/>
      <c r="X13" s="114"/>
      <c r="Y13" s="114"/>
      <c r="Z13" s="114"/>
      <c r="AA13" s="114"/>
      <c r="AB13" s="114"/>
      <c r="AC13" s="114"/>
      <c r="AD13" s="114"/>
      <c r="AE13" s="114"/>
      <c r="AF13" s="114"/>
      <c r="AG13" s="114"/>
      <c r="AH13" s="114"/>
      <c r="AI13" s="114"/>
    </row>
    <row r="14" spans="1:36">
      <c r="A14" s="111"/>
      <c r="B14" s="124" t="s">
        <v>225</v>
      </c>
      <c r="C14" s="406">
        <f>P17</f>
        <v>579.19299999999998</v>
      </c>
      <c r="D14" s="406">
        <f>P16</f>
        <v>976.69500000000005</v>
      </c>
      <c r="E14" s="406">
        <f>P15</f>
        <v>3241.2194999999997</v>
      </c>
      <c r="F14" s="398">
        <f>P14</f>
        <v>2993.8020000000001</v>
      </c>
      <c r="G14" s="398">
        <f>P13</f>
        <v>4161.3977500000001</v>
      </c>
      <c r="J14" s="163" t="s">
        <v>354</v>
      </c>
      <c r="K14" s="284"/>
      <c r="L14" s="284">
        <f t="shared" ref="L14:O14" si="3">L$5*L8</f>
        <v>1425.048</v>
      </c>
      <c r="M14" s="284">
        <f t="shared" si="3"/>
        <v>917.62399999999991</v>
      </c>
      <c r="N14" s="284">
        <f t="shared" si="3"/>
        <v>651.13</v>
      </c>
      <c r="O14" s="284">
        <f t="shared" si="3"/>
        <v>0</v>
      </c>
      <c r="P14" s="287">
        <f>SUM(L14:O14)</f>
        <v>2993.8020000000001</v>
      </c>
      <c r="Q14" s="114"/>
      <c r="R14" s="114"/>
      <c r="S14" s="114"/>
      <c r="T14" s="114"/>
      <c r="U14" s="114"/>
      <c r="V14" s="114"/>
      <c r="W14" s="114"/>
      <c r="X14" s="114"/>
      <c r="Y14" s="114"/>
      <c r="Z14" s="114"/>
      <c r="AA14" s="114"/>
      <c r="AB14" s="114"/>
      <c r="AC14" s="114"/>
      <c r="AD14" s="114"/>
      <c r="AE14" s="114"/>
      <c r="AF14" s="114"/>
      <c r="AG14" s="114"/>
      <c r="AH14" s="114"/>
      <c r="AI14" s="114"/>
    </row>
    <row r="15" spans="1:36">
      <c r="B15" s="124" t="s">
        <v>132</v>
      </c>
      <c r="C15" s="406">
        <f>P23</f>
        <v>0</v>
      </c>
      <c r="D15" s="406">
        <f>P22</f>
        <v>579.19299999999998</v>
      </c>
      <c r="E15" s="406">
        <f>P21</f>
        <v>777.94399999999996</v>
      </c>
      <c r="F15" s="398">
        <f>P20</f>
        <v>1436.2533333333331</v>
      </c>
      <c r="G15" s="398">
        <f>P19</f>
        <v>1433.452</v>
      </c>
      <c r="J15" s="163" t="s">
        <v>355</v>
      </c>
      <c r="K15" s="284"/>
      <c r="L15" s="284"/>
      <c r="M15" s="284">
        <f t="shared" ref="M15:O15" si="4">M$5*M9</f>
        <v>2752.8719999999998</v>
      </c>
      <c r="N15" s="284">
        <f t="shared" si="4"/>
        <v>488.34750000000003</v>
      </c>
      <c r="O15" s="284">
        <f t="shared" si="4"/>
        <v>0</v>
      </c>
      <c r="P15" s="287">
        <f>SUM(M15:O15)</f>
        <v>3241.2194999999997</v>
      </c>
      <c r="Q15" s="114"/>
      <c r="R15" s="114"/>
      <c r="S15" s="114"/>
      <c r="T15" s="114"/>
      <c r="U15" s="114"/>
      <c r="V15" s="114"/>
      <c r="W15" s="114"/>
      <c r="X15" s="114"/>
      <c r="Y15" s="114"/>
      <c r="Z15" s="114"/>
      <c r="AA15" s="114"/>
      <c r="AB15" s="114"/>
      <c r="AC15" s="114"/>
      <c r="AD15" s="114"/>
      <c r="AE15" s="114"/>
      <c r="AF15" s="114"/>
      <c r="AG15" s="114"/>
      <c r="AH15" s="114"/>
      <c r="AI15" s="114"/>
    </row>
    <row r="16" spans="1:36">
      <c r="A16" s="116"/>
      <c r="B16" s="124" t="s">
        <v>226</v>
      </c>
      <c r="C16" s="398">
        <f t="shared" ref="C16:E16" si="5">-C8</f>
        <v>579.19299999999998</v>
      </c>
      <c r="D16" s="398">
        <f t="shared" si="5"/>
        <v>976.69500000000005</v>
      </c>
      <c r="E16" s="398">
        <f t="shared" si="5"/>
        <v>2752.8719999999998</v>
      </c>
      <c r="F16" s="398">
        <f>-F8</f>
        <v>1425.048</v>
      </c>
      <c r="G16" s="398">
        <f>'Accounting Adjustments'!K5</f>
        <v>1472.0020000000002</v>
      </c>
      <c r="H16" s="114"/>
      <c r="I16" s="114"/>
      <c r="J16" s="163" t="s">
        <v>356</v>
      </c>
      <c r="K16" s="284"/>
      <c r="L16" s="284"/>
      <c r="M16" s="284"/>
      <c r="N16" s="284">
        <f>N$5*N10</f>
        <v>976.69500000000005</v>
      </c>
      <c r="O16" s="284">
        <f>O$5*O10</f>
        <v>0</v>
      </c>
      <c r="P16" s="287">
        <f>SUM(N16:O16)</f>
        <v>976.69500000000005</v>
      </c>
      <c r="S16" s="114"/>
      <c r="T16" s="114"/>
      <c r="U16" s="114"/>
      <c r="V16" s="114"/>
      <c r="W16" s="114"/>
      <c r="X16" s="114"/>
      <c r="Y16" s="114"/>
      <c r="Z16" s="114"/>
      <c r="AA16" s="114"/>
      <c r="AB16" s="114"/>
      <c r="AC16" s="114"/>
      <c r="AD16" s="114"/>
      <c r="AE16" s="114"/>
      <c r="AF16" s="114"/>
      <c r="AG16" s="114"/>
      <c r="AH16" s="114"/>
      <c r="AI16" s="114"/>
      <c r="AJ16" s="114"/>
    </row>
    <row r="17" spans="1:36">
      <c r="A17" s="116"/>
      <c r="H17" s="119"/>
      <c r="I17" s="119"/>
      <c r="J17" s="163" t="s">
        <v>357</v>
      </c>
      <c r="K17" s="284"/>
      <c r="L17" s="284"/>
      <c r="M17" s="284"/>
      <c r="N17" s="284"/>
      <c r="O17" s="284">
        <f>O$5*O11</f>
        <v>579.19299999999998</v>
      </c>
      <c r="P17" s="287">
        <f>SUM(O17:O17)</f>
        <v>579.19299999999998</v>
      </c>
      <c r="S17" s="114"/>
      <c r="T17" s="114"/>
      <c r="U17" s="114"/>
      <c r="V17" s="114"/>
      <c r="W17" s="114"/>
      <c r="X17" s="114"/>
      <c r="Y17" s="114"/>
      <c r="Z17" s="114"/>
      <c r="AA17" s="114"/>
      <c r="AB17" s="114"/>
      <c r="AC17" s="114"/>
      <c r="AD17" s="114"/>
      <c r="AE17" s="114"/>
      <c r="AF17" s="114"/>
      <c r="AG17" s="114"/>
      <c r="AH17" s="114"/>
      <c r="AI17" s="114"/>
      <c r="AJ17" s="114"/>
    </row>
    <row r="18" spans="1:36">
      <c r="B18" s="124" t="s">
        <v>331</v>
      </c>
      <c r="C18" s="406">
        <f>P39</f>
        <v>1101.327</v>
      </c>
      <c r="D18" s="406">
        <f>P38</f>
        <v>1621.519</v>
      </c>
      <c r="E18" s="406">
        <f>P37</f>
        <v>1986.0844999999999</v>
      </c>
      <c r="F18" s="398">
        <f>P36</f>
        <v>2659.1196666666665</v>
      </c>
      <c r="G18" s="398">
        <f>P35</f>
        <v>3341.47525</v>
      </c>
      <c r="H18" s="66"/>
      <c r="I18" s="66"/>
      <c r="J18" s="124"/>
      <c r="K18" s="133"/>
      <c r="L18" s="133"/>
      <c r="M18" s="133"/>
      <c r="N18" s="133"/>
      <c r="O18" s="133"/>
      <c r="P18" s="163"/>
      <c r="Q18" s="114"/>
      <c r="R18" s="114"/>
      <c r="S18" s="114"/>
      <c r="T18" s="114"/>
      <c r="U18" s="114"/>
      <c r="V18" s="114"/>
      <c r="W18" s="114"/>
      <c r="X18" s="114"/>
      <c r="Y18" s="114"/>
      <c r="Z18" s="114"/>
      <c r="AA18" s="114"/>
      <c r="AB18" s="114"/>
      <c r="AC18" s="114"/>
      <c r="AD18" s="114"/>
      <c r="AE18" s="114"/>
      <c r="AF18" s="114"/>
      <c r="AG18" s="114"/>
      <c r="AH18" s="114"/>
      <c r="AI18" s="114"/>
      <c r="AJ18" s="114"/>
    </row>
    <row r="19" spans="1:36">
      <c r="B19" s="124" t="s">
        <v>132</v>
      </c>
      <c r="C19" s="406">
        <f>P45</f>
        <v>0</v>
      </c>
      <c r="D19" s="406">
        <f>P44</f>
        <v>1101.327</v>
      </c>
      <c r="E19" s="406">
        <f>P43</f>
        <v>1361.423</v>
      </c>
      <c r="F19" s="398">
        <f>P42</f>
        <v>1299.3903333333333</v>
      </c>
      <c r="G19" s="398">
        <f>P41</f>
        <v>1271.1257500000002</v>
      </c>
      <c r="H19" s="66"/>
      <c r="I19" s="66"/>
      <c r="J19" s="163" t="s">
        <v>358</v>
      </c>
      <c r="K19" s="286">
        <f>0</f>
        <v>0</v>
      </c>
      <c r="L19" s="286">
        <f>L$5/4</f>
        <v>356.262</v>
      </c>
      <c r="M19" s="286">
        <f>M$5/4</f>
        <v>688.21799999999996</v>
      </c>
      <c r="N19" s="286">
        <f t="shared" ref="N19" si="6">N$5/4</f>
        <v>244.17375000000001</v>
      </c>
      <c r="O19" s="286">
        <f>O$5/4</f>
        <v>144.79825</v>
      </c>
      <c r="P19" s="287">
        <f>SUM(K19:O19)</f>
        <v>1433.452</v>
      </c>
      <c r="Q19" s="114"/>
      <c r="R19" s="114"/>
      <c r="S19" s="114"/>
      <c r="T19" s="114"/>
      <c r="U19" s="114"/>
      <c r="V19" s="114"/>
      <c r="W19" s="114"/>
      <c r="X19" s="114"/>
      <c r="Y19" s="114"/>
      <c r="Z19" s="114"/>
      <c r="AA19" s="114"/>
      <c r="AB19" s="114"/>
      <c r="AC19" s="114"/>
      <c r="AD19" s="114"/>
      <c r="AE19" s="114"/>
      <c r="AF19" s="114"/>
      <c r="AG19" s="114"/>
      <c r="AH19" s="114"/>
      <c r="AI19" s="114"/>
      <c r="AJ19" s="114"/>
    </row>
    <row r="20" spans="1:36">
      <c r="B20" s="124" t="s">
        <v>335</v>
      </c>
      <c r="C20" s="398">
        <f t="shared" ref="C20:E20" si="7">-C9</f>
        <v>1101.327</v>
      </c>
      <c r="D20" s="398">
        <f t="shared" si="7"/>
        <v>1621.519</v>
      </c>
      <c r="E20" s="398">
        <f t="shared" si="7"/>
        <v>1175.325</v>
      </c>
      <c r="F20" s="398">
        <f>-F9</f>
        <v>1186.3320000000001</v>
      </c>
      <c r="G20" s="398">
        <f>K27</f>
        <v>1458.6840000000002</v>
      </c>
      <c r="H20" s="120"/>
      <c r="I20" s="120"/>
      <c r="J20" s="163" t="s">
        <v>359</v>
      </c>
      <c r="K20" s="284"/>
      <c r="L20" s="286">
        <v>0</v>
      </c>
      <c r="M20" s="286">
        <f>M5/3</f>
        <v>917.62399999999991</v>
      </c>
      <c r="N20" s="286">
        <f t="shared" ref="N20" si="8">N5/3</f>
        <v>325.565</v>
      </c>
      <c r="O20" s="286">
        <f>O5/3</f>
        <v>193.06433333333334</v>
      </c>
      <c r="P20" s="287">
        <f>SUM(L20:O20)</f>
        <v>1436.2533333333331</v>
      </c>
      <c r="Q20" s="114"/>
      <c r="R20" s="114"/>
      <c r="S20" s="114"/>
      <c r="T20" s="114"/>
      <c r="U20" s="114"/>
      <c r="V20" s="114"/>
      <c r="W20" s="114"/>
      <c r="X20" s="114"/>
      <c r="Y20" s="114"/>
      <c r="Z20" s="114"/>
      <c r="AA20" s="114"/>
      <c r="AB20" s="114"/>
      <c r="AC20" s="114"/>
      <c r="AD20" s="114"/>
      <c r="AE20" s="114"/>
      <c r="AF20" s="114"/>
      <c r="AG20" s="114"/>
      <c r="AH20" s="114"/>
      <c r="AI20" s="114"/>
      <c r="AJ20" s="114"/>
    </row>
    <row r="21" spans="1:36">
      <c r="J21" s="163" t="s">
        <v>360</v>
      </c>
      <c r="K21" s="284"/>
      <c r="L21" s="286"/>
      <c r="M21" s="286">
        <f>M6/3</f>
        <v>0</v>
      </c>
      <c r="N21" s="286">
        <f>N5/2</f>
        <v>488.34750000000003</v>
      </c>
      <c r="O21" s="286">
        <f>O5/2</f>
        <v>289.59649999999999</v>
      </c>
      <c r="P21" s="287">
        <f>SUM(M21:O21)</f>
        <v>777.94399999999996</v>
      </c>
      <c r="Q21" s="114"/>
      <c r="R21" s="114"/>
      <c r="S21" s="114"/>
      <c r="T21" s="114"/>
      <c r="U21" s="114"/>
      <c r="V21" s="114"/>
      <c r="W21" s="114"/>
      <c r="X21" s="114"/>
      <c r="Y21" s="114"/>
      <c r="Z21" s="114"/>
      <c r="AA21" s="114"/>
      <c r="AB21" s="114"/>
      <c r="AC21" s="114"/>
      <c r="AD21" s="114"/>
      <c r="AE21" s="114"/>
      <c r="AF21" s="114"/>
      <c r="AG21" s="114"/>
      <c r="AH21" s="114"/>
      <c r="AI21" s="114"/>
      <c r="AJ21" s="114"/>
    </row>
    <row r="22" spans="1:36">
      <c r="B22" s="124" t="s">
        <v>333</v>
      </c>
      <c r="C22" s="274">
        <f t="shared" ref="C22:F22" si="9">C12+C16+C20</f>
        <v>1699.2640000000001</v>
      </c>
      <c r="D22" s="274">
        <f t="shared" si="9"/>
        <v>2096.6709999999994</v>
      </c>
      <c r="E22" s="274">
        <f t="shared" si="9"/>
        <v>338.04999999999995</v>
      </c>
      <c r="F22" s="274">
        <f t="shared" si="9"/>
        <v>3040.6970000000001</v>
      </c>
      <c r="G22" s="274">
        <f>G12+G16+G20</f>
        <v>4573.4259999999995</v>
      </c>
      <c r="J22" s="163" t="s">
        <v>361</v>
      </c>
      <c r="K22" s="284"/>
      <c r="L22" s="286"/>
      <c r="M22" s="286"/>
      <c r="N22" s="286">
        <f>N6/2</f>
        <v>0</v>
      </c>
      <c r="O22" s="286">
        <f>O5/1</f>
        <v>579.19299999999998</v>
      </c>
      <c r="P22" s="287">
        <f>SUM(N22:O22)</f>
        <v>579.19299999999998</v>
      </c>
      <c r="Q22" s="114"/>
      <c r="R22" s="114"/>
      <c r="S22" s="114"/>
      <c r="T22" s="114"/>
      <c r="U22" s="114"/>
      <c r="V22" s="114"/>
      <c r="W22" s="114"/>
      <c r="X22" s="114"/>
      <c r="Y22" s="114"/>
      <c r="Z22" s="114"/>
      <c r="AA22" s="114"/>
      <c r="AB22" s="114"/>
      <c r="AC22" s="114"/>
      <c r="AD22" s="114"/>
      <c r="AE22" s="114"/>
      <c r="AF22" s="114"/>
      <c r="AG22" s="114"/>
      <c r="AH22" s="114"/>
      <c r="AI22" s="114"/>
      <c r="AJ22" s="114"/>
    </row>
    <row r="23" spans="1:36">
      <c r="A23" s="116" t="s">
        <v>33</v>
      </c>
      <c r="B23" s="124" t="s">
        <v>227</v>
      </c>
      <c r="C23" s="274">
        <f t="shared" ref="C23:F23" si="10">-C15</f>
        <v>0</v>
      </c>
      <c r="D23" s="274">
        <f t="shared" si="10"/>
        <v>-579.19299999999998</v>
      </c>
      <c r="E23" s="274">
        <f t="shared" si="10"/>
        <v>-777.94399999999996</v>
      </c>
      <c r="F23" s="274">
        <f t="shared" si="10"/>
        <v>-1436.2533333333331</v>
      </c>
      <c r="G23" s="274">
        <f>-G15</f>
        <v>-1433.452</v>
      </c>
      <c r="J23" s="163" t="s">
        <v>362</v>
      </c>
      <c r="K23" s="284"/>
      <c r="L23" s="286"/>
      <c r="M23" s="286"/>
      <c r="N23" s="286"/>
      <c r="O23" s="286">
        <f>0</f>
        <v>0</v>
      </c>
      <c r="P23" s="287">
        <f>SUM(O23:O23)</f>
        <v>0</v>
      </c>
      <c r="Q23" s="114"/>
      <c r="R23" s="114"/>
      <c r="S23" s="114"/>
      <c r="T23" s="114"/>
      <c r="U23" s="114"/>
      <c r="V23" s="114"/>
      <c r="W23" s="114"/>
      <c r="X23" s="114"/>
      <c r="Y23" s="114"/>
      <c r="Z23" s="114"/>
      <c r="AA23" s="114"/>
      <c r="AB23" s="114"/>
      <c r="AC23" s="114"/>
      <c r="AD23" s="114"/>
      <c r="AE23" s="114"/>
      <c r="AF23" s="114"/>
      <c r="AG23" s="114"/>
      <c r="AH23" s="114"/>
      <c r="AI23" s="114"/>
      <c r="AJ23" s="114"/>
    </row>
    <row r="24" spans="1:36">
      <c r="A24" s="116" t="s">
        <v>33</v>
      </c>
      <c r="B24" s="124" t="s">
        <v>334</v>
      </c>
      <c r="C24" s="274">
        <f t="shared" ref="C24:F24" si="11">-C19</f>
        <v>0</v>
      </c>
      <c r="D24" s="274">
        <f t="shared" si="11"/>
        <v>-1101.327</v>
      </c>
      <c r="E24" s="274">
        <f t="shared" si="11"/>
        <v>-1361.423</v>
      </c>
      <c r="F24" s="274">
        <f t="shared" si="11"/>
        <v>-1299.3903333333333</v>
      </c>
      <c r="G24" s="274">
        <f>-G19</f>
        <v>-1271.1257500000002</v>
      </c>
      <c r="Q24" s="114"/>
      <c r="R24" s="114"/>
      <c r="S24" s="114"/>
      <c r="T24" s="114"/>
      <c r="U24" s="114"/>
      <c r="V24" s="114"/>
      <c r="W24" s="114"/>
      <c r="X24" s="114"/>
      <c r="Y24" s="114"/>
      <c r="Z24" s="114"/>
      <c r="AA24" s="114"/>
      <c r="AB24" s="114"/>
      <c r="AC24" s="114"/>
      <c r="AD24" s="114"/>
      <c r="AE24" s="114"/>
      <c r="AF24" s="114"/>
      <c r="AG24" s="114"/>
      <c r="AH24" s="114"/>
      <c r="AI24" s="114"/>
      <c r="AJ24" s="114"/>
    </row>
    <row r="25" spans="1:36">
      <c r="B25" s="407" t="s">
        <v>47</v>
      </c>
      <c r="C25" s="408">
        <f t="shared" ref="C25:F25" si="12">SUM(C22:C24)</f>
        <v>1699.2640000000001</v>
      </c>
      <c r="D25" s="408">
        <f t="shared" si="12"/>
        <v>416.15099999999939</v>
      </c>
      <c r="E25" s="408">
        <f t="shared" si="12"/>
        <v>-1801.317</v>
      </c>
      <c r="F25" s="408">
        <f t="shared" si="12"/>
        <v>305.05333333333374</v>
      </c>
      <c r="G25" s="408">
        <f>SUM(G22:G24)</f>
        <v>1868.8482499999991</v>
      </c>
      <c r="H25" s="396"/>
      <c r="J25" s="459" t="s">
        <v>332</v>
      </c>
      <c r="K25" s="459"/>
      <c r="L25" s="459"/>
      <c r="M25" s="459"/>
      <c r="N25" s="459"/>
      <c r="O25" s="459"/>
      <c r="P25" s="459"/>
      <c r="Q25" s="114"/>
      <c r="R25" s="114"/>
      <c r="S25" s="114"/>
      <c r="T25" s="114"/>
      <c r="U25" s="114"/>
      <c r="V25" s="114"/>
      <c r="W25" s="114"/>
      <c r="X25" s="114"/>
      <c r="Y25" s="114"/>
      <c r="Z25" s="114"/>
      <c r="AA25" s="114"/>
      <c r="AB25" s="114"/>
      <c r="AC25" s="114"/>
      <c r="AD25" s="114"/>
      <c r="AE25" s="114"/>
      <c r="AF25" s="114"/>
      <c r="AG25" s="114"/>
      <c r="AH25" s="114"/>
      <c r="AI25" s="114"/>
      <c r="AJ25" s="114"/>
    </row>
    <row r="26" spans="1:36">
      <c r="B26" s="124" t="s">
        <v>363</v>
      </c>
      <c r="C26" s="281">
        <v>-63.893000000000001</v>
      </c>
      <c r="D26" s="281">
        <v>-262.63600000000002</v>
      </c>
      <c r="E26" s="281">
        <f>97.222</f>
        <v>97.221999999999994</v>
      </c>
      <c r="F26" s="281">
        <v>-51.826999999999998</v>
      </c>
      <c r="G26" s="281">
        <v>-88.31</v>
      </c>
      <c r="J26" s="204" t="s">
        <v>32</v>
      </c>
      <c r="K26" s="205" t="s">
        <v>346</v>
      </c>
      <c r="L26" s="205">
        <v>2021</v>
      </c>
      <c r="M26" s="205">
        <v>2020</v>
      </c>
      <c r="N26" s="205">
        <v>2019</v>
      </c>
      <c r="O26" s="205">
        <v>2018</v>
      </c>
      <c r="P26" s="206"/>
      <c r="Q26" s="114"/>
      <c r="R26" s="114"/>
      <c r="S26" s="114"/>
      <c r="T26" s="114"/>
      <c r="U26" s="114"/>
      <c r="V26" s="114"/>
      <c r="W26" s="114"/>
      <c r="X26" s="114"/>
      <c r="Y26" s="114"/>
      <c r="Z26" s="114"/>
      <c r="AA26" s="114"/>
      <c r="AB26" s="114"/>
      <c r="AC26" s="114"/>
      <c r="AD26" s="114"/>
      <c r="AE26" s="114"/>
      <c r="AF26" s="114"/>
      <c r="AG26" s="114"/>
      <c r="AH26" s="114"/>
      <c r="AI26" s="114"/>
      <c r="AJ26" s="114"/>
    </row>
    <row r="27" spans="1:36">
      <c r="B27" s="410" t="s">
        <v>364</v>
      </c>
      <c r="C27" s="411">
        <f t="shared" ref="C27:F27" si="13">SUM(C25:C26)</f>
        <v>1635.3710000000001</v>
      </c>
      <c r="D27" s="411">
        <f t="shared" si="13"/>
        <v>153.51499999999936</v>
      </c>
      <c r="E27" s="411">
        <f t="shared" si="13"/>
        <v>-1704.095</v>
      </c>
      <c r="F27" s="411">
        <f t="shared" si="13"/>
        <v>253.22633333333374</v>
      </c>
      <c r="G27" s="411">
        <f>SUM(G25:G26)</f>
        <v>1780.5382499999992</v>
      </c>
      <c r="J27" s="163" t="s">
        <v>122</v>
      </c>
      <c r="K27" s="284">
        <f>-G9</f>
        <v>1458.6840000000002</v>
      </c>
      <c r="L27" s="284">
        <f>-F9</f>
        <v>1186.3320000000001</v>
      </c>
      <c r="M27" s="284">
        <f>-E9</f>
        <v>1175.325</v>
      </c>
      <c r="N27" s="284">
        <f>-D9</f>
        <v>1621.519</v>
      </c>
      <c r="O27" s="284">
        <f>-C9</f>
        <v>1101.327</v>
      </c>
      <c r="P27" s="203"/>
      <c r="Q27" s="114"/>
      <c r="R27" s="114"/>
      <c r="S27" s="114"/>
      <c r="T27" s="114"/>
      <c r="U27" s="114"/>
      <c r="V27" s="114"/>
      <c r="W27" s="114"/>
      <c r="X27" s="114"/>
      <c r="Y27" s="114"/>
      <c r="Z27" s="114"/>
      <c r="AA27" s="114"/>
      <c r="AB27" s="114"/>
      <c r="AC27" s="114"/>
      <c r="AD27" s="114"/>
      <c r="AE27" s="114"/>
      <c r="AF27" s="114"/>
      <c r="AG27" s="114"/>
      <c r="AH27" s="114"/>
      <c r="AI27" s="114"/>
      <c r="AJ27" s="114"/>
    </row>
    <row r="28" spans="1:36">
      <c r="E28" s="267"/>
      <c r="J28" s="121"/>
      <c r="K28" s="121"/>
      <c r="L28" s="121"/>
      <c r="M28" s="121"/>
      <c r="N28" s="121"/>
      <c r="O28" s="121"/>
      <c r="P28" s="121"/>
      <c r="Q28" s="114"/>
      <c r="R28" s="114"/>
      <c r="S28" s="114"/>
      <c r="T28" s="114"/>
      <c r="U28" s="114"/>
      <c r="V28" s="114"/>
      <c r="W28" s="114"/>
      <c r="X28" s="114"/>
      <c r="Y28" s="114"/>
      <c r="Z28" s="114"/>
      <c r="AA28" s="114"/>
      <c r="AB28" s="114"/>
      <c r="AC28" s="114"/>
      <c r="AD28" s="114"/>
      <c r="AE28" s="114"/>
      <c r="AF28" s="114"/>
      <c r="AG28" s="114"/>
      <c r="AH28" s="114"/>
      <c r="AI28" s="114"/>
      <c r="AJ28" s="114"/>
    </row>
    <row r="29" spans="1:36">
      <c r="B29" s="124" t="s">
        <v>365</v>
      </c>
      <c r="C29" s="414" t="s">
        <v>123</v>
      </c>
      <c r="D29" s="412">
        <v>-807.68499999999995</v>
      </c>
      <c r="E29" s="412">
        <v>2901.7829999999999</v>
      </c>
      <c r="F29" s="412">
        <v>4775.7129999999997</v>
      </c>
      <c r="G29" s="412">
        <v>5540.1360000000004</v>
      </c>
      <c r="J29" s="163" t="s">
        <v>352</v>
      </c>
      <c r="K29" s="95">
        <v>1</v>
      </c>
      <c r="L29" s="151">
        <f>3/4</f>
        <v>0.75</v>
      </c>
      <c r="M29" s="151">
        <f>2/4</f>
        <v>0.5</v>
      </c>
      <c r="N29" s="95">
        <f>1/4</f>
        <v>0.25</v>
      </c>
      <c r="O29" s="95">
        <v>0</v>
      </c>
      <c r="P29" s="203"/>
      <c r="Q29" s="114"/>
      <c r="R29" s="114"/>
      <c r="S29" s="114"/>
      <c r="T29" s="114"/>
      <c r="U29" s="114"/>
      <c r="V29" s="114"/>
      <c r="W29" s="114"/>
      <c r="X29" s="114"/>
      <c r="Y29" s="114"/>
      <c r="Z29" s="114"/>
      <c r="AA29" s="114"/>
      <c r="AB29" s="114"/>
      <c r="AC29" s="114"/>
      <c r="AD29" s="114"/>
      <c r="AE29" s="114"/>
      <c r="AF29" s="114"/>
      <c r="AG29" s="114"/>
      <c r="AH29" s="114"/>
      <c r="AI29" s="114"/>
      <c r="AJ29" s="114"/>
    </row>
    <row r="30" spans="1:36">
      <c r="B30" s="124" t="s">
        <v>325</v>
      </c>
      <c r="C30" s="414" t="s">
        <v>123</v>
      </c>
      <c r="D30" s="412">
        <f>381.374+38.022</f>
        <v>419.39600000000002</v>
      </c>
      <c r="E30" s="412">
        <f>1815.562+430.905+56.586</f>
        <v>2303.0529999999994</v>
      </c>
      <c r="F30" s="412">
        <f>1982.537+372.483+63.479</f>
        <v>2418.4989999999998</v>
      </c>
      <c r="G30" s="412">
        <f>1985.659+323.201+52.324</f>
        <v>2361.1840000000002</v>
      </c>
      <c r="J30" s="163" t="s">
        <v>348</v>
      </c>
      <c r="K30" s="95"/>
      <c r="L30" s="405">
        <v>1</v>
      </c>
      <c r="M30" s="151">
        <v>0.33333333333333331</v>
      </c>
      <c r="N30" s="151">
        <f>2/3</f>
        <v>0.66666666666666663</v>
      </c>
      <c r="O30" s="95">
        <v>0</v>
      </c>
      <c r="P30" s="121"/>
      <c r="Q30" s="114"/>
      <c r="R30" s="114"/>
      <c r="S30" s="114"/>
      <c r="T30" s="114"/>
      <c r="U30" s="114"/>
      <c r="V30" s="114"/>
      <c r="W30" s="114"/>
      <c r="X30" s="114"/>
      <c r="Y30" s="114"/>
      <c r="Z30" s="114"/>
      <c r="AA30" s="114"/>
      <c r="AB30" s="114"/>
      <c r="AC30" s="114"/>
      <c r="AD30" s="114"/>
      <c r="AE30" s="114"/>
      <c r="AF30" s="114"/>
      <c r="AG30" s="114"/>
      <c r="AH30" s="114"/>
      <c r="AI30" s="114"/>
      <c r="AJ30" s="114"/>
    </row>
    <row r="31" spans="1:36">
      <c r="B31" s="124" t="s">
        <v>367</v>
      </c>
      <c r="C31" s="414" t="s">
        <v>123</v>
      </c>
      <c r="D31" s="412">
        <f>2013.547+1060.726+0.115</f>
        <v>3074.3879999999999</v>
      </c>
      <c r="E31" s="412">
        <f>5480.557+910.7+33.846</f>
        <v>6425.1029999999992</v>
      </c>
      <c r="F31" s="412">
        <f>6067.438+2255.038+14.764</f>
        <v>8337.24</v>
      </c>
      <c r="G31" s="412">
        <f>7523.688+2103.898+1.52</f>
        <v>9629.1059999999998</v>
      </c>
      <c r="J31" s="163" t="s">
        <v>349</v>
      </c>
      <c r="K31" s="95"/>
      <c r="L31" s="405"/>
      <c r="M31" s="405">
        <v>1</v>
      </c>
      <c r="N31" s="151">
        <f>1/2</f>
        <v>0.5</v>
      </c>
      <c r="O31" s="95">
        <v>0</v>
      </c>
      <c r="P31" s="121"/>
      <c r="Q31" s="114"/>
      <c r="R31" s="114"/>
      <c r="S31" s="114"/>
      <c r="T31" s="114"/>
      <c r="U31" s="114"/>
      <c r="V31" s="114"/>
      <c r="W31" s="114"/>
      <c r="X31" s="114"/>
      <c r="Y31" s="114"/>
      <c r="Z31" s="114"/>
      <c r="AA31" s="114"/>
      <c r="AB31" s="114"/>
      <c r="AC31" s="114"/>
      <c r="AD31" s="114"/>
      <c r="AE31" s="114"/>
      <c r="AF31" s="114"/>
      <c r="AG31" s="114"/>
      <c r="AH31" s="114"/>
      <c r="AI31" s="114"/>
      <c r="AJ31" s="114"/>
    </row>
    <row r="32" spans="1:36">
      <c r="B32" s="126" t="s">
        <v>87</v>
      </c>
      <c r="C32" s="415" t="s">
        <v>123</v>
      </c>
      <c r="D32" s="409">
        <f t="shared" ref="D32:F32" si="14">SUM(D29:D30)-D31</f>
        <v>-3462.6769999999997</v>
      </c>
      <c r="E32" s="409">
        <f t="shared" si="14"/>
        <v>-1220.2669999999998</v>
      </c>
      <c r="F32" s="409">
        <f t="shared" si="14"/>
        <v>-1143.0280000000002</v>
      </c>
      <c r="G32" s="409">
        <f>SUM(G29:G30)-G31</f>
        <v>-1727.7859999999991</v>
      </c>
      <c r="J32" s="163" t="s">
        <v>350</v>
      </c>
      <c r="K32" s="95"/>
      <c r="L32" s="405"/>
      <c r="M32" s="151"/>
      <c r="N32" s="405">
        <v>1</v>
      </c>
      <c r="O32" s="95">
        <v>0</v>
      </c>
      <c r="P32" s="163"/>
      <c r="Q32" s="114"/>
      <c r="R32" s="114"/>
      <c r="S32" s="114"/>
      <c r="T32" s="114"/>
      <c r="U32" s="114"/>
      <c r="V32" s="114"/>
      <c r="W32" s="114"/>
      <c r="X32" s="114"/>
      <c r="Y32" s="114"/>
      <c r="Z32" s="114"/>
      <c r="AA32" s="114"/>
      <c r="AB32" s="114"/>
      <c r="AC32" s="114"/>
      <c r="AD32" s="114"/>
      <c r="AE32" s="114"/>
      <c r="AF32" s="114"/>
      <c r="AG32" s="114"/>
      <c r="AH32" s="114"/>
      <c r="AI32" s="114"/>
      <c r="AJ32" s="114"/>
    </row>
    <row r="33" spans="2:36" ht="12.75" customHeight="1">
      <c r="J33" s="163" t="s">
        <v>351</v>
      </c>
      <c r="K33" s="95"/>
      <c r="L33" s="405"/>
      <c r="M33" s="151"/>
      <c r="N33" s="405"/>
      <c r="O33" s="95">
        <v>1</v>
      </c>
      <c r="P33" s="163"/>
      <c r="Q33" s="114"/>
      <c r="R33" s="114"/>
      <c r="S33" s="114"/>
      <c r="T33" s="114"/>
      <c r="U33" s="114"/>
      <c r="V33" s="114"/>
      <c r="W33" s="114"/>
      <c r="X33" s="114"/>
      <c r="Y33" s="114"/>
      <c r="Z33" s="114"/>
      <c r="AA33" s="114"/>
      <c r="AB33" s="114"/>
      <c r="AC33" s="114"/>
      <c r="AD33" s="114"/>
      <c r="AE33" s="114"/>
      <c r="AF33" s="114"/>
      <c r="AG33" s="114"/>
      <c r="AH33" s="114"/>
      <c r="AI33" s="114"/>
      <c r="AJ33" s="114"/>
    </row>
    <row r="34" spans="2:36">
      <c r="B34" s="163" t="s">
        <v>347</v>
      </c>
      <c r="C34" s="414" t="s">
        <v>123</v>
      </c>
      <c r="D34" s="135">
        <f>D25/D4</f>
        <v>8.66036007782338E-2</v>
      </c>
      <c r="E34" s="135">
        <f>E25/E4</f>
        <v>-0.53321814375056054</v>
      </c>
      <c r="F34" s="135">
        <f>F25/F4</f>
        <v>5.0912141563302558E-2</v>
      </c>
      <c r="G34" s="135">
        <f>G25/G4</f>
        <v>0.23274342592765551</v>
      </c>
      <c r="J34" s="121"/>
      <c r="K34" s="163"/>
      <c r="L34" s="163"/>
      <c r="M34" s="163"/>
      <c r="N34" s="163"/>
      <c r="O34" s="163"/>
      <c r="P34" s="163"/>
      <c r="Q34" s="114"/>
      <c r="R34" s="114"/>
      <c r="S34" s="114"/>
      <c r="T34" s="114"/>
      <c r="U34" s="114"/>
      <c r="V34" s="114"/>
      <c r="W34" s="114"/>
      <c r="X34" s="114"/>
      <c r="Y34" s="114"/>
      <c r="Z34" s="114"/>
      <c r="AA34" s="114"/>
      <c r="AB34" s="114"/>
      <c r="AC34" s="114"/>
      <c r="AD34" s="114"/>
      <c r="AE34" s="114"/>
      <c r="AF34" s="114"/>
      <c r="AG34" s="114"/>
      <c r="AH34" s="114"/>
      <c r="AI34" s="114"/>
      <c r="AJ34" s="114"/>
    </row>
    <row r="35" spans="2:36">
      <c r="B35" s="163" t="s">
        <v>368</v>
      </c>
      <c r="C35" s="414" t="s">
        <v>123</v>
      </c>
      <c r="D35" s="135">
        <f t="shared" ref="D35:F35" si="15">D27/D32</f>
        <v>-4.4334195768187264E-2</v>
      </c>
      <c r="E35" s="135">
        <f t="shared" si="15"/>
        <v>1.3964935542795145</v>
      </c>
      <c r="F35" s="135">
        <f t="shared" si="15"/>
        <v>-0.22153992144841045</v>
      </c>
      <c r="G35" s="135">
        <f>G27/G32</f>
        <v>-1.0305317035790311</v>
      </c>
      <c r="J35" s="163" t="s">
        <v>353</v>
      </c>
      <c r="K35" s="284">
        <f>K$27*K29</f>
        <v>1458.6840000000002</v>
      </c>
      <c r="L35" s="284">
        <f t="shared" ref="L35:O35" si="16">L$27*L29</f>
        <v>889.74900000000002</v>
      </c>
      <c r="M35" s="284">
        <f t="shared" si="16"/>
        <v>587.66250000000002</v>
      </c>
      <c r="N35" s="284">
        <f t="shared" si="16"/>
        <v>405.37975</v>
      </c>
      <c r="O35" s="284">
        <f t="shared" si="16"/>
        <v>0</v>
      </c>
      <c r="P35" s="287">
        <f>SUM(K35:O35)</f>
        <v>3341.47525</v>
      </c>
      <c r="Q35" s="114"/>
      <c r="R35" s="114"/>
      <c r="S35" s="114"/>
      <c r="T35" s="114"/>
      <c r="U35" s="114"/>
      <c r="V35" s="114"/>
      <c r="W35" s="114"/>
      <c r="X35" s="114"/>
      <c r="Y35" s="114"/>
      <c r="Z35" s="114"/>
      <c r="AA35" s="114"/>
      <c r="AB35" s="114"/>
      <c r="AC35" s="114"/>
      <c r="AD35" s="114"/>
      <c r="AE35" s="114"/>
      <c r="AF35" s="114"/>
      <c r="AG35" s="114"/>
      <c r="AH35" s="114"/>
      <c r="AI35" s="114"/>
      <c r="AJ35" s="114"/>
    </row>
    <row r="36" spans="2:36">
      <c r="B36" s="163" t="s">
        <v>213</v>
      </c>
      <c r="C36" s="414" t="s">
        <v>123</v>
      </c>
      <c r="D36" s="447">
        <f>D30/D29</f>
        <v>-0.51925688851470564</v>
      </c>
      <c r="E36" s="447">
        <f>E30/E29</f>
        <v>0.79366823776967454</v>
      </c>
      <c r="F36" s="447">
        <f t="shared" ref="F36:G36" si="17">F30/F29</f>
        <v>0.50641631940612841</v>
      </c>
      <c r="G36" s="447">
        <f t="shared" si="17"/>
        <v>0.42619603562078623</v>
      </c>
      <c r="J36" s="163" t="s">
        <v>354</v>
      </c>
      <c r="K36" s="284"/>
      <c r="L36" s="284">
        <f t="shared" ref="L36:O36" si="18">L$27*L30</f>
        <v>1186.3320000000001</v>
      </c>
      <c r="M36" s="284">
        <f t="shared" si="18"/>
        <v>391.77499999999998</v>
      </c>
      <c r="N36" s="284">
        <f t="shared" si="18"/>
        <v>1081.0126666666665</v>
      </c>
      <c r="O36" s="284">
        <f t="shared" si="18"/>
        <v>0</v>
      </c>
      <c r="P36" s="287">
        <f>SUM(L36:O36)</f>
        <v>2659.1196666666665</v>
      </c>
      <c r="Q36" s="114"/>
      <c r="R36" s="114"/>
      <c r="S36" s="114"/>
      <c r="T36" s="114"/>
      <c r="U36" s="114"/>
      <c r="V36" s="114"/>
      <c r="W36" s="114"/>
      <c r="X36" s="114"/>
      <c r="Y36" s="114"/>
      <c r="Z36" s="114"/>
      <c r="AA36" s="114"/>
      <c r="AB36" s="114"/>
      <c r="AC36" s="114"/>
      <c r="AD36" s="114"/>
      <c r="AE36" s="114"/>
      <c r="AF36" s="114"/>
      <c r="AG36" s="114"/>
      <c r="AH36" s="114"/>
      <c r="AI36" s="114"/>
      <c r="AJ36" s="114"/>
    </row>
    <row r="37" spans="2:36">
      <c r="D37" s="417"/>
      <c r="J37" s="163" t="s">
        <v>355</v>
      </c>
      <c r="K37" s="284"/>
      <c r="L37" s="284"/>
      <c r="M37" s="284">
        <f t="shared" ref="M37:O37" si="19">M$27*M31</f>
        <v>1175.325</v>
      </c>
      <c r="N37" s="284">
        <f t="shared" si="19"/>
        <v>810.7595</v>
      </c>
      <c r="O37" s="284">
        <f t="shared" si="19"/>
        <v>0</v>
      </c>
      <c r="P37" s="287">
        <f>SUM(M37:O37)</f>
        <v>1986.0844999999999</v>
      </c>
      <c r="Q37" s="114"/>
      <c r="R37" s="114"/>
      <c r="S37" s="114"/>
      <c r="T37" s="114"/>
      <c r="U37" s="114"/>
      <c r="V37" s="114"/>
      <c r="W37" s="114"/>
      <c r="X37" s="114"/>
      <c r="Y37" s="114"/>
      <c r="Z37" s="114"/>
      <c r="AA37" s="114"/>
      <c r="AB37" s="114"/>
      <c r="AC37" s="114"/>
      <c r="AD37" s="114"/>
      <c r="AE37" s="114"/>
      <c r="AF37" s="114"/>
      <c r="AG37" s="114"/>
      <c r="AH37" s="114"/>
      <c r="AI37" s="114"/>
      <c r="AJ37" s="114"/>
    </row>
    <row r="38" spans="2:36">
      <c r="B38" s="163" t="s">
        <v>369</v>
      </c>
      <c r="C38" s="416">
        <f>MEDIAN(D34:G34)</f>
        <v>6.8757871170768176E-2</v>
      </c>
      <c r="J38" s="163" t="s">
        <v>356</v>
      </c>
      <c r="K38" s="284"/>
      <c r="L38" s="284"/>
      <c r="M38" s="284"/>
      <c r="N38" s="284">
        <f t="shared" ref="N38:O38" si="20">N$27*N32</f>
        <v>1621.519</v>
      </c>
      <c r="O38" s="284">
        <f t="shared" si="20"/>
        <v>0</v>
      </c>
      <c r="P38" s="287">
        <f>SUM(N38:O38)</f>
        <v>1621.519</v>
      </c>
      <c r="Q38" s="114"/>
      <c r="R38" s="114"/>
      <c r="S38" s="114"/>
      <c r="T38" s="114"/>
      <c r="U38" s="114"/>
      <c r="V38" s="114"/>
      <c r="W38" s="114"/>
      <c r="X38" s="114"/>
      <c r="Y38" s="114"/>
      <c r="Z38" s="114"/>
      <c r="AA38" s="114"/>
      <c r="AB38" s="114"/>
      <c r="AC38" s="114"/>
      <c r="AD38" s="114"/>
      <c r="AE38" s="114"/>
      <c r="AF38" s="114"/>
      <c r="AG38" s="114"/>
      <c r="AH38" s="114"/>
      <c r="AI38" s="114"/>
      <c r="AJ38" s="114"/>
    </row>
    <row r="39" spans="2:36">
      <c r="B39" s="418" t="s">
        <v>370</v>
      </c>
      <c r="C39" s="419">
        <f>G4*C38</f>
        <v>552.10164024635867</v>
      </c>
      <c r="J39" s="163" t="s">
        <v>357</v>
      </c>
      <c r="K39" s="284"/>
      <c r="L39" s="284"/>
      <c r="M39" s="284"/>
      <c r="N39" s="284"/>
      <c r="O39" s="284">
        <f t="shared" ref="O39" si="21">O$27*O33</f>
        <v>1101.327</v>
      </c>
      <c r="P39" s="287">
        <f>SUM(O39:O39)</f>
        <v>1101.327</v>
      </c>
      <c r="Q39" s="114"/>
      <c r="R39" s="114"/>
      <c r="S39" s="114"/>
      <c r="T39" s="114"/>
      <c r="U39" s="114"/>
      <c r="V39" s="114"/>
      <c r="W39" s="114"/>
      <c r="X39" s="114"/>
      <c r="Y39" s="114"/>
      <c r="Z39" s="114"/>
      <c r="AA39" s="114"/>
      <c r="AB39" s="114"/>
      <c r="AC39" s="114"/>
      <c r="AD39" s="114"/>
      <c r="AE39" s="114"/>
      <c r="AF39" s="114"/>
      <c r="AG39" s="114"/>
      <c r="AH39" s="114"/>
      <c r="AI39" s="114"/>
      <c r="AJ39" s="114"/>
    </row>
    <row r="40" spans="2:36">
      <c r="C40" s="193"/>
      <c r="D40" s="193"/>
      <c r="F40" s="193"/>
      <c r="G40" s="193"/>
      <c r="J40" s="121"/>
      <c r="K40" s="163"/>
      <c r="L40" s="163"/>
      <c r="M40" s="163"/>
      <c r="N40" s="163"/>
      <c r="O40" s="163"/>
      <c r="P40" s="163"/>
      <c r="Q40" s="114"/>
      <c r="R40" s="114"/>
      <c r="S40" s="114"/>
      <c r="T40" s="114"/>
      <c r="U40" s="114"/>
      <c r="V40" s="114"/>
      <c r="W40" s="114"/>
      <c r="X40" s="114"/>
      <c r="Y40" s="114"/>
      <c r="Z40" s="114"/>
      <c r="AA40" s="114"/>
      <c r="AB40" s="114"/>
      <c r="AC40" s="114"/>
      <c r="AD40" s="114"/>
      <c r="AE40" s="114"/>
      <c r="AF40" s="114"/>
      <c r="AG40" s="114"/>
      <c r="AH40" s="114"/>
      <c r="AI40" s="114"/>
      <c r="AJ40" s="114"/>
    </row>
    <row r="41" spans="2:36">
      <c r="B41" s="163" t="s">
        <v>403</v>
      </c>
      <c r="C41" s="449">
        <f>((G4/C4)^(1/3.75))-1</f>
        <v>0.23379981685382578</v>
      </c>
      <c r="D41" s="193"/>
      <c r="E41" s="193"/>
      <c r="F41" s="193"/>
      <c r="G41" s="193"/>
      <c r="J41" s="163" t="s">
        <v>358</v>
      </c>
      <c r="K41" s="284">
        <v>0</v>
      </c>
      <c r="L41" s="286">
        <f>L27/4</f>
        <v>296.58300000000003</v>
      </c>
      <c r="M41" s="286">
        <f>M27/4</f>
        <v>293.83125000000001</v>
      </c>
      <c r="N41" s="286">
        <f>N27/4</f>
        <v>405.37975</v>
      </c>
      <c r="O41" s="286">
        <f>O27/4</f>
        <v>275.33175</v>
      </c>
      <c r="P41" s="287">
        <f>SUM(K41:O41)</f>
        <v>1271.1257500000002</v>
      </c>
      <c r="Q41" s="114"/>
      <c r="R41" s="114"/>
      <c r="S41" s="114"/>
      <c r="T41" s="114"/>
      <c r="U41" s="114"/>
      <c r="V41" s="114"/>
      <c r="W41" s="114"/>
      <c r="X41" s="114"/>
      <c r="Y41" s="114"/>
      <c r="Z41" s="114"/>
      <c r="AA41" s="114"/>
      <c r="AB41" s="114"/>
      <c r="AC41" s="114"/>
      <c r="AD41" s="114"/>
      <c r="AE41" s="114"/>
      <c r="AF41" s="114"/>
      <c r="AG41" s="114"/>
      <c r="AH41" s="114"/>
      <c r="AI41" s="114"/>
      <c r="AJ41" s="114"/>
    </row>
    <row r="42" spans="2:36">
      <c r="J42" s="163" t="s">
        <v>359</v>
      </c>
      <c r="K42" s="284"/>
      <c r="L42" s="286">
        <f>L28/4</f>
        <v>0</v>
      </c>
      <c r="M42" s="286">
        <f>M27/3</f>
        <v>391.77500000000003</v>
      </c>
      <c r="N42" s="286">
        <f t="shared" ref="N42:O42" si="22">N27/3</f>
        <v>540.50633333333337</v>
      </c>
      <c r="O42" s="286">
        <f t="shared" si="22"/>
        <v>367.10899999999998</v>
      </c>
      <c r="P42" s="287">
        <f>SUM(L42:O42)</f>
        <v>1299.3903333333333</v>
      </c>
    </row>
    <row r="43" spans="2:36">
      <c r="J43" s="163" t="s">
        <v>360</v>
      </c>
      <c r="K43" s="121"/>
      <c r="L43" s="286"/>
      <c r="M43" s="286">
        <f>M28/3</f>
        <v>0</v>
      </c>
      <c r="N43" s="286">
        <f>N27/2</f>
        <v>810.7595</v>
      </c>
      <c r="O43" s="286">
        <f>O27/2</f>
        <v>550.6635</v>
      </c>
      <c r="P43" s="287">
        <f>SUM(M43:O43)</f>
        <v>1361.423</v>
      </c>
    </row>
    <row r="44" spans="2:36">
      <c r="J44" s="163" t="s">
        <v>361</v>
      </c>
      <c r="K44" s="121"/>
      <c r="L44" s="121"/>
      <c r="M44" s="286"/>
      <c r="N44" s="286">
        <v>0</v>
      </c>
      <c r="O44" s="286">
        <f>O27/1</f>
        <v>1101.327</v>
      </c>
      <c r="P44" s="287">
        <f>SUM(N44:O44)</f>
        <v>1101.327</v>
      </c>
    </row>
    <row r="45" spans="2:36">
      <c r="J45" s="163" t="s">
        <v>362</v>
      </c>
      <c r="K45" s="121"/>
      <c r="L45" s="121"/>
      <c r="M45" s="121"/>
      <c r="N45" s="286"/>
      <c r="O45" s="286">
        <v>0</v>
      </c>
      <c r="P45" s="287">
        <f>SUM(O45:O45)</f>
        <v>0</v>
      </c>
    </row>
  </sheetData>
  <mergeCells count="2">
    <mergeCell ref="J3:P3"/>
    <mergeCell ref="J25:P2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30.42578125" style="109" customWidth="1"/>
    <col min="3" max="3" width="12.7109375" style="109" customWidth="1"/>
    <col min="4" max="4" width="9.85546875" style="109" customWidth="1"/>
    <col min="5" max="5" width="29.28515625" style="109" customWidth="1"/>
    <col min="6" max="6" width="11.140625" style="109" customWidth="1" collapsed="1"/>
    <col min="7" max="7" width="10.28515625" style="109" customWidth="1"/>
    <col min="8" max="8" width="10.42578125" style="109" customWidth="1"/>
    <col min="9" max="9" width="10.7109375" style="109" customWidth="1"/>
    <col min="10" max="10" width="11.85546875" style="109" customWidth="1"/>
    <col min="11" max="11" width="10.85546875" style="109" customWidth="1"/>
    <col min="12" max="12" width="9.5703125" style="109" customWidth="1"/>
    <col min="13"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55</v>
      </c>
      <c r="C1" s="107"/>
      <c r="D1" s="107"/>
      <c r="E1" s="107"/>
      <c r="F1" s="107"/>
      <c r="G1" s="107"/>
      <c r="H1" s="107"/>
      <c r="I1" s="107"/>
      <c r="J1" s="107"/>
      <c r="K1" s="107"/>
    </row>
    <row r="2" spans="1:31" ht="12.75" customHeight="1">
      <c r="C2" s="129" t="s">
        <v>149</v>
      </c>
    </row>
    <row r="3" spans="1:31">
      <c r="A3" s="111"/>
      <c r="B3" s="124" t="s">
        <v>49</v>
      </c>
      <c r="C3" s="288">
        <f>J5</f>
        <v>63.997500000000002</v>
      </c>
      <c r="E3" s="459" t="s">
        <v>241</v>
      </c>
      <c r="F3" s="459"/>
      <c r="G3" s="459"/>
      <c r="H3" s="459"/>
      <c r="I3" s="459"/>
      <c r="J3" s="459"/>
      <c r="K3" s="397"/>
      <c r="L3" s="397"/>
    </row>
    <row r="4" spans="1:31">
      <c r="A4" s="116" t="s">
        <v>33</v>
      </c>
      <c r="B4" s="123" t="s">
        <v>2</v>
      </c>
      <c r="C4" s="281">
        <f>-F6</f>
        <v>-138.31899999999999</v>
      </c>
      <c r="E4" s="204"/>
      <c r="F4" s="205">
        <v>2021</v>
      </c>
      <c r="G4" s="205">
        <v>2020</v>
      </c>
      <c r="H4" s="205">
        <v>2019</v>
      </c>
      <c r="I4" s="205">
        <v>2018</v>
      </c>
      <c r="J4" s="206"/>
      <c r="K4" s="113"/>
      <c r="L4" s="113"/>
      <c r="N4" s="113"/>
      <c r="O4" s="113"/>
      <c r="P4" s="113"/>
      <c r="Q4" s="113"/>
      <c r="R4" s="113"/>
      <c r="S4" s="113"/>
      <c r="X4" s="113"/>
    </row>
    <row r="5" spans="1:31">
      <c r="A5" s="116"/>
      <c r="B5" s="126" t="s">
        <v>48</v>
      </c>
      <c r="C5" s="289">
        <f>C3+C4</f>
        <v>-74.321499999999986</v>
      </c>
      <c r="E5" s="122" t="s">
        <v>228</v>
      </c>
      <c r="F5" s="284">
        <v>25.321999999999999</v>
      </c>
      <c r="G5" s="284">
        <v>37.371000000000002</v>
      </c>
      <c r="H5" s="284">
        <v>125.452</v>
      </c>
      <c r="I5" s="284">
        <v>90.623999999999995</v>
      </c>
      <c r="J5" s="363">
        <f>MEDIAN(F5:I5)</f>
        <v>63.997500000000002</v>
      </c>
      <c r="K5" s="114"/>
      <c r="L5" s="114"/>
      <c r="M5" s="114"/>
      <c r="N5" s="114"/>
      <c r="O5" s="114"/>
      <c r="P5" s="114"/>
      <c r="Q5" s="114"/>
      <c r="R5" s="114"/>
      <c r="S5" s="114"/>
      <c r="T5" s="114"/>
      <c r="U5" s="114"/>
      <c r="V5" s="114"/>
      <c r="W5" s="114"/>
      <c r="X5" s="114"/>
      <c r="Y5" s="114"/>
      <c r="Z5" s="114"/>
      <c r="AA5" s="114"/>
      <c r="AB5" s="114"/>
      <c r="AC5" s="114"/>
    </row>
    <row r="6" spans="1:31">
      <c r="A6" s="116" t="s">
        <v>46</v>
      </c>
      <c r="B6" s="124" t="s">
        <v>231</v>
      </c>
      <c r="C6" s="401">
        <f>J8</f>
        <v>55.854000000000006</v>
      </c>
      <c r="D6" s="117"/>
      <c r="E6" s="122" t="s">
        <v>229</v>
      </c>
      <c r="F6" s="284">
        <v>138.31899999999999</v>
      </c>
      <c r="G6" s="284">
        <v>125.876</v>
      </c>
      <c r="H6" s="284">
        <v>114.16200000000001</v>
      </c>
      <c r="I6" s="284">
        <v>82.400999999999996</v>
      </c>
      <c r="J6" s="203"/>
      <c r="K6" s="114"/>
      <c r="L6" s="114"/>
      <c r="M6" s="114"/>
      <c r="N6" s="114"/>
      <c r="O6" s="114"/>
      <c r="P6" s="114"/>
      <c r="Q6" s="114"/>
      <c r="R6" s="114"/>
      <c r="S6" s="114"/>
      <c r="T6" s="114"/>
      <c r="U6" s="114"/>
      <c r="V6" s="114"/>
      <c r="W6" s="114"/>
      <c r="X6" s="114"/>
      <c r="Y6" s="114"/>
      <c r="Z6" s="114"/>
      <c r="AA6" s="114"/>
      <c r="AB6" s="114"/>
      <c r="AC6" s="114"/>
    </row>
    <row r="7" spans="1:31">
      <c r="A7" s="116" t="s">
        <v>46</v>
      </c>
      <c r="B7" s="124" t="s">
        <v>232</v>
      </c>
      <c r="C7" s="288">
        <f>'Accounting Adjustments'!G16</f>
        <v>1472.0020000000002</v>
      </c>
      <c r="E7" s="122" t="s">
        <v>230</v>
      </c>
      <c r="F7" s="402">
        <f t="shared" ref="F7:I7" si="0">F6/F5</f>
        <v>5.4624042334728689</v>
      </c>
      <c r="G7" s="402">
        <f t="shared" si="0"/>
        <v>3.3682802172807791</v>
      </c>
      <c r="H7" s="402">
        <f t="shared" si="0"/>
        <v>0.91000542039983423</v>
      </c>
      <c r="I7" s="402">
        <f t="shared" si="0"/>
        <v>0.90926244703389836</v>
      </c>
      <c r="J7" s="292"/>
      <c r="K7" s="114"/>
      <c r="L7" s="114"/>
      <c r="M7" s="114"/>
      <c r="N7" s="114"/>
      <c r="O7" s="114"/>
      <c r="P7" s="114"/>
      <c r="Q7" s="114"/>
      <c r="R7" s="114"/>
      <c r="S7" s="114"/>
      <c r="T7" s="114"/>
      <c r="U7" s="114"/>
      <c r="V7" s="114"/>
      <c r="W7" s="114"/>
      <c r="X7" s="114"/>
      <c r="Y7" s="114"/>
      <c r="Z7" s="114"/>
      <c r="AA7" s="114"/>
      <c r="AB7" s="114"/>
      <c r="AC7" s="114"/>
    </row>
    <row r="8" spans="1:31">
      <c r="A8" s="118" t="s">
        <v>33</v>
      </c>
      <c r="B8" s="124" t="s">
        <v>233</v>
      </c>
      <c r="C8" s="288">
        <f>-'Accounting Adjustments'!G15</f>
        <v>-1433.452</v>
      </c>
      <c r="E8" s="122" t="s">
        <v>231</v>
      </c>
      <c r="F8" s="284">
        <v>0</v>
      </c>
      <c r="G8" s="286">
        <v>0</v>
      </c>
      <c r="H8" s="286">
        <v>192.11600000000001</v>
      </c>
      <c r="I8" s="286">
        <v>31.3</v>
      </c>
      <c r="J8" s="364">
        <f>AVERAGE(F8:I8)</f>
        <v>55.854000000000006</v>
      </c>
      <c r="K8" s="114"/>
      <c r="L8" s="114"/>
      <c r="M8" s="114"/>
      <c r="N8" s="114"/>
      <c r="O8" s="114"/>
      <c r="P8" s="114"/>
      <c r="Q8" s="114"/>
      <c r="R8" s="114"/>
      <c r="S8" s="114"/>
      <c r="T8" s="114"/>
      <c r="U8" s="114"/>
      <c r="V8" s="114"/>
      <c r="W8" s="114"/>
      <c r="X8" s="114"/>
      <c r="Y8" s="114"/>
      <c r="Z8" s="114"/>
      <c r="AA8" s="114"/>
      <c r="AB8" s="114"/>
      <c r="AC8" s="114"/>
    </row>
    <row r="9" spans="1:31">
      <c r="A9" s="116" t="s">
        <v>46</v>
      </c>
      <c r="B9" s="124" t="s">
        <v>336</v>
      </c>
      <c r="C9" s="288">
        <f>'Accounting Adjustments'!G20</f>
        <v>1458.6840000000002</v>
      </c>
      <c r="G9" s="114"/>
      <c r="H9" s="114"/>
      <c r="I9" s="114"/>
      <c r="J9" s="114"/>
      <c r="K9" s="114"/>
      <c r="L9" s="114"/>
      <c r="M9" s="114"/>
      <c r="N9" s="114"/>
      <c r="O9" s="114"/>
      <c r="P9" s="114"/>
      <c r="Q9" s="114"/>
      <c r="R9" s="114"/>
      <c r="S9" s="114"/>
      <c r="T9" s="114"/>
      <c r="U9" s="114"/>
      <c r="V9" s="114"/>
      <c r="W9" s="114"/>
      <c r="X9" s="114"/>
      <c r="Y9" s="114"/>
      <c r="Z9" s="114"/>
      <c r="AA9" s="114"/>
      <c r="AB9" s="114"/>
      <c r="AC9" s="114"/>
      <c r="AD9" s="114"/>
      <c r="AE9" s="114"/>
    </row>
    <row r="10" spans="1:31">
      <c r="A10" s="118" t="s">
        <v>33</v>
      </c>
      <c r="B10" s="124" t="s">
        <v>337</v>
      </c>
      <c r="C10" s="288">
        <f>-'Accounting Adjustments'!G19</f>
        <v>-1271.1257500000002</v>
      </c>
      <c r="E10" s="149"/>
      <c r="F10" s="150">
        <v>2019</v>
      </c>
      <c r="G10" s="150">
        <v>2020</v>
      </c>
      <c r="H10" s="150">
        <v>2021</v>
      </c>
      <c r="I10" s="114"/>
      <c r="J10" s="114"/>
      <c r="K10" s="114"/>
      <c r="L10" s="114"/>
      <c r="M10" s="114"/>
      <c r="N10" s="114"/>
      <c r="O10" s="114"/>
      <c r="P10" s="114"/>
      <c r="Q10" s="114"/>
      <c r="R10" s="114"/>
      <c r="S10" s="114"/>
      <c r="T10" s="114"/>
      <c r="U10" s="114"/>
      <c r="V10" s="114"/>
      <c r="W10" s="114"/>
      <c r="X10" s="114"/>
      <c r="Y10" s="114"/>
      <c r="Z10" s="114"/>
      <c r="AA10" s="114"/>
      <c r="AB10" s="114"/>
      <c r="AC10" s="114"/>
    </row>
    <row r="11" spans="1:31">
      <c r="A11" s="116"/>
      <c r="B11" s="399" t="s">
        <v>338</v>
      </c>
      <c r="C11" s="403">
        <f>SUM(C5:C10)</f>
        <v>207.64075000000025</v>
      </c>
      <c r="E11" s="146" t="s">
        <v>68</v>
      </c>
      <c r="F11" s="284">
        <v>3145.4569999999999</v>
      </c>
      <c r="G11" s="284">
        <v>2181.3290000000002</v>
      </c>
      <c r="H11" s="284">
        <v>3715.471</v>
      </c>
      <c r="I11" s="265"/>
      <c r="J11" s="114"/>
      <c r="K11" s="114"/>
      <c r="L11" s="114"/>
      <c r="M11" s="114"/>
      <c r="N11" s="114"/>
      <c r="O11" s="114"/>
      <c r="P11" s="114"/>
      <c r="Q11" s="114"/>
      <c r="R11" s="114"/>
      <c r="S11" s="114"/>
      <c r="T11" s="114"/>
      <c r="U11" s="114"/>
      <c r="V11" s="114"/>
      <c r="W11" s="114"/>
      <c r="X11" s="114"/>
      <c r="Y11" s="114"/>
      <c r="Z11" s="114"/>
      <c r="AA11" s="114"/>
      <c r="AB11" s="114"/>
      <c r="AC11" s="114"/>
    </row>
    <row r="12" spans="1:31">
      <c r="E12" s="146" t="s">
        <v>339</v>
      </c>
      <c r="F12" s="284">
        <v>341.59800000000001</v>
      </c>
      <c r="G12" s="284">
        <v>309.95400000000001</v>
      </c>
      <c r="H12" s="284">
        <v>333.66899999999998</v>
      </c>
      <c r="I12" s="114"/>
      <c r="J12" s="114"/>
      <c r="K12" s="114"/>
      <c r="L12" s="114"/>
      <c r="M12" s="114"/>
      <c r="N12" s="114"/>
      <c r="O12" s="114"/>
      <c r="P12" s="114"/>
      <c r="Q12" s="114"/>
      <c r="R12" s="114"/>
      <c r="S12" s="114"/>
      <c r="T12" s="114"/>
      <c r="U12" s="114"/>
      <c r="V12" s="114"/>
      <c r="W12" s="114"/>
      <c r="X12" s="114"/>
      <c r="Y12" s="114"/>
      <c r="Z12" s="114"/>
      <c r="AA12" s="114"/>
      <c r="AB12" s="114"/>
      <c r="AC12" s="114"/>
    </row>
    <row r="13" spans="1:31">
      <c r="B13" s="123" t="s">
        <v>72</v>
      </c>
      <c r="C13" s="153">
        <f>Reinvestment!H26</f>
        <v>-0.37495877672002881</v>
      </c>
      <c r="E13" s="148" t="s">
        <v>70</v>
      </c>
      <c r="F13" s="287">
        <f>SUM(F11:F12)</f>
        <v>3487.0549999999998</v>
      </c>
      <c r="G13" s="287">
        <f>SUM(G11:G12)</f>
        <v>2491.2830000000004</v>
      </c>
      <c r="H13" s="287">
        <f>SUM(H11:H12)</f>
        <v>4049.14</v>
      </c>
      <c r="I13" s="114"/>
      <c r="J13" s="114"/>
      <c r="K13" s="114"/>
      <c r="L13" s="114"/>
      <c r="M13" s="114"/>
      <c r="N13" s="114"/>
      <c r="O13" s="114"/>
      <c r="P13" s="114"/>
      <c r="Q13" s="114"/>
      <c r="R13" s="114"/>
      <c r="S13" s="114"/>
      <c r="T13" s="114"/>
      <c r="U13" s="114"/>
      <c r="V13" s="114"/>
      <c r="W13" s="114"/>
      <c r="X13" s="114"/>
      <c r="Y13" s="114"/>
      <c r="Z13" s="114"/>
      <c r="AA13" s="114"/>
      <c r="AB13" s="114"/>
      <c r="AC13" s="114"/>
    </row>
    <row r="14" spans="1:31">
      <c r="B14" s="121"/>
      <c r="C14" s="121"/>
      <c r="D14" s="114"/>
      <c r="E14" s="147" t="s">
        <v>50</v>
      </c>
      <c r="F14" s="284">
        <v>151.417</v>
      </c>
      <c r="G14" s="284">
        <v>79.897999999999996</v>
      </c>
      <c r="H14" s="284">
        <v>118.361</v>
      </c>
      <c r="L14" s="114"/>
      <c r="M14" s="114"/>
      <c r="N14" s="114"/>
      <c r="O14" s="114"/>
      <c r="P14" s="114"/>
      <c r="Q14" s="114"/>
      <c r="R14" s="114"/>
      <c r="S14" s="114"/>
      <c r="T14" s="114"/>
      <c r="U14" s="114"/>
      <c r="V14" s="114"/>
      <c r="W14" s="114"/>
      <c r="X14" s="114"/>
      <c r="Y14" s="114"/>
      <c r="Z14" s="114"/>
      <c r="AA14" s="114"/>
      <c r="AB14" s="114"/>
      <c r="AC14" s="114"/>
    </row>
    <row r="15" spans="1:31">
      <c r="B15" s="124" t="s">
        <v>74</v>
      </c>
      <c r="C15" s="292">
        <f>H24</f>
        <v>5991.76</v>
      </c>
      <c r="D15" s="119"/>
      <c r="E15" s="146" t="s">
        <v>340</v>
      </c>
      <c r="F15" s="284">
        <v>1224.08</v>
      </c>
      <c r="G15" s="284">
        <v>2414.0709999999999</v>
      </c>
      <c r="H15" s="291">
        <v>1558.2429999999999</v>
      </c>
      <c r="L15" s="114"/>
      <c r="M15" s="114"/>
      <c r="N15" s="114"/>
      <c r="O15" s="114"/>
      <c r="P15" s="114"/>
      <c r="Q15" s="114"/>
      <c r="R15" s="114"/>
      <c r="S15" s="114"/>
      <c r="T15" s="114"/>
      <c r="U15" s="114"/>
      <c r="V15" s="114"/>
      <c r="W15" s="114"/>
      <c r="X15" s="114"/>
      <c r="Y15" s="114"/>
      <c r="Z15" s="114"/>
      <c r="AA15" s="114"/>
      <c r="AB15" s="114"/>
      <c r="AC15" s="114"/>
    </row>
    <row r="16" spans="1:31">
      <c r="B16" s="127" t="s">
        <v>73</v>
      </c>
      <c r="C16" s="290">
        <f>C15*C13</f>
        <v>-2246.663</v>
      </c>
      <c r="D16" s="66"/>
      <c r="E16" s="146" t="s">
        <v>341</v>
      </c>
      <c r="F16" s="284">
        <v>3145.4569999999999</v>
      </c>
      <c r="G16" s="284">
        <v>2181.3290000000002</v>
      </c>
      <c r="H16" s="291">
        <v>3715.471</v>
      </c>
      <c r="I16" s="114"/>
      <c r="J16" s="114"/>
      <c r="K16" s="114"/>
      <c r="L16" s="114"/>
      <c r="M16" s="114"/>
      <c r="N16" s="114"/>
      <c r="O16" s="114"/>
      <c r="P16" s="114"/>
      <c r="Q16" s="114"/>
      <c r="R16" s="114"/>
      <c r="S16" s="114"/>
      <c r="T16" s="114"/>
      <c r="U16" s="114"/>
      <c r="V16" s="114"/>
      <c r="W16" s="114"/>
      <c r="X16" s="114"/>
      <c r="Y16" s="114"/>
      <c r="Z16" s="114"/>
      <c r="AA16" s="114"/>
      <c r="AB16" s="114"/>
      <c r="AC16" s="114"/>
    </row>
    <row r="17" spans="2:31">
      <c r="B17" s="121"/>
      <c r="C17" s="282"/>
      <c r="D17" s="120"/>
      <c r="E17" s="146" t="s">
        <v>342</v>
      </c>
      <c r="F17" s="284">
        <v>674.78800000000001</v>
      </c>
      <c r="G17" s="284">
        <v>407.89499999999998</v>
      </c>
      <c r="H17" s="291">
        <v>903.72799999999995</v>
      </c>
      <c r="I17" s="114"/>
      <c r="J17" s="114"/>
      <c r="K17" s="114"/>
      <c r="L17" s="114"/>
      <c r="M17" s="114"/>
      <c r="N17" s="114"/>
      <c r="O17" s="114"/>
      <c r="P17" s="114"/>
      <c r="Q17" s="114"/>
      <c r="R17" s="114"/>
      <c r="S17" s="114"/>
      <c r="T17" s="114"/>
      <c r="U17" s="114"/>
      <c r="V17" s="114"/>
      <c r="W17" s="114"/>
      <c r="X17" s="114"/>
      <c r="Y17" s="114"/>
      <c r="Z17" s="114"/>
      <c r="AA17" s="114"/>
      <c r="AB17" s="114"/>
      <c r="AC17" s="114"/>
    </row>
    <row r="18" spans="2:31">
      <c r="B18" s="124" t="s">
        <v>343</v>
      </c>
      <c r="C18" s="292">
        <f>G24</f>
        <v>3378.1990000000001</v>
      </c>
      <c r="E18" s="148" t="s">
        <v>71</v>
      </c>
      <c r="F18" s="287">
        <f>SUM(F14:F17)</f>
        <v>5195.7420000000002</v>
      </c>
      <c r="G18" s="287">
        <f>SUM(G14:G17)</f>
        <v>5083.1930000000011</v>
      </c>
      <c r="H18" s="287">
        <f>SUM(H14:H17)</f>
        <v>6295.8029999999999</v>
      </c>
      <c r="I18" s="114"/>
      <c r="J18" s="114"/>
      <c r="K18" s="114"/>
      <c r="L18" s="114"/>
      <c r="M18" s="114"/>
      <c r="N18" s="114"/>
      <c r="O18" s="114"/>
      <c r="P18" s="114"/>
      <c r="Q18" s="114"/>
      <c r="R18" s="114"/>
      <c r="S18" s="114"/>
      <c r="T18" s="114"/>
      <c r="U18" s="114"/>
      <c r="V18" s="114"/>
      <c r="W18" s="114"/>
      <c r="X18" s="114"/>
      <c r="Y18" s="114"/>
      <c r="Z18" s="114"/>
      <c r="AA18" s="114"/>
      <c r="AB18" s="114"/>
      <c r="AC18" s="114"/>
    </row>
    <row r="19" spans="2:31">
      <c r="B19" s="127" t="s">
        <v>344</v>
      </c>
      <c r="C19" s="275">
        <f>C18*C13</f>
        <v>-1266.6853645568247</v>
      </c>
      <c r="I19" s="114"/>
      <c r="J19" s="114"/>
      <c r="K19" s="114"/>
      <c r="L19" s="114"/>
      <c r="M19" s="114"/>
      <c r="N19" s="114"/>
      <c r="O19" s="114"/>
      <c r="P19" s="114"/>
      <c r="Q19" s="114"/>
      <c r="R19" s="114"/>
      <c r="S19" s="114"/>
      <c r="T19" s="114"/>
      <c r="U19" s="114"/>
      <c r="V19" s="114"/>
      <c r="W19" s="114"/>
      <c r="X19" s="114"/>
      <c r="Y19" s="114"/>
      <c r="Z19" s="114"/>
      <c r="AA19" s="114"/>
      <c r="AB19" s="114"/>
      <c r="AC19" s="114"/>
    </row>
    <row r="20" spans="2:31">
      <c r="B20" s="121"/>
      <c r="C20" s="282"/>
      <c r="E20" s="148" t="s">
        <v>51</v>
      </c>
      <c r="F20" s="287">
        <f>F13-F18</f>
        <v>-1708.6870000000004</v>
      </c>
      <c r="G20" s="287">
        <f>G13-G18</f>
        <v>-2591.9100000000008</v>
      </c>
      <c r="H20" s="287">
        <f>H13-H18</f>
        <v>-2246.663</v>
      </c>
      <c r="I20" s="114"/>
      <c r="J20" s="114"/>
      <c r="K20" s="114"/>
      <c r="L20" s="114"/>
      <c r="M20" s="114"/>
      <c r="N20" s="114"/>
      <c r="O20" s="114"/>
      <c r="P20" s="114"/>
      <c r="Q20" s="114"/>
      <c r="R20" s="114"/>
      <c r="S20" s="114"/>
      <c r="T20" s="114"/>
      <c r="U20" s="114"/>
      <c r="V20" s="114"/>
      <c r="W20" s="114"/>
      <c r="X20" s="114"/>
      <c r="Y20" s="114"/>
      <c r="Z20" s="114"/>
      <c r="AA20" s="114"/>
      <c r="AB20" s="114"/>
      <c r="AC20" s="114"/>
    </row>
    <row r="21" spans="2:31">
      <c r="B21" s="399" t="s">
        <v>75</v>
      </c>
      <c r="C21" s="400">
        <f>C16-C19</f>
        <v>-979.97763544317536</v>
      </c>
      <c r="E21" s="121"/>
      <c r="F21" s="284"/>
      <c r="G21" s="284"/>
      <c r="H21" s="284"/>
      <c r="I21" s="114"/>
      <c r="J21" s="114"/>
      <c r="K21" s="114"/>
      <c r="L21" s="114"/>
      <c r="M21" s="114"/>
      <c r="N21" s="114"/>
      <c r="O21" s="114"/>
      <c r="P21" s="114"/>
      <c r="Q21" s="114"/>
      <c r="R21" s="114"/>
      <c r="S21" s="114"/>
      <c r="T21" s="114"/>
      <c r="U21" s="114"/>
      <c r="V21" s="114"/>
      <c r="W21" s="114"/>
      <c r="X21" s="114"/>
      <c r="Y21" s="114"/>
      <c r="Z21" s="114"/>
      <c r="AA21" s="114"/>
      <c r="AB21" s="114"/>
      <c r="AC21" s="114"/>
    </row>
    <row r="22" spans="2:31">
      <c r="B22" s="112"/>
      <c r="C22" s="112"/>
      <c r="E22" s="133" t="s">
        <v>242</v>
      </c>
      <c r="F22" s="292" t="e">
        <f>F20-#REF!</f>
        <v>#REF!</v>
      </c>
      <c r="G22" s="292">
        <f>G20-F20</f>
        <v>-883.22300000000041</v>
      </c>
      <c r="H22" s="292">
        <f>H20-G20</f>
        <v>345.24700000000075</v>
      </c>
      <c r="I22" s="114"/>
      <c r="J22" s="114"/>
      <c r="K22" s="114"/>
      <c r="L22" s="114"/>
      <c r="M22" s="114"/>
      <c r="N22" s="114"/>
      <c r="O22" s="114"/>
      <c r="P22" s="114"/>
      <c r="Q22" s="114"/>
      <c r="R22" s="114"/>
      <c r="S22" s="114"/>
      <c r="T22" s="114"/>
      <c r="U22" s="114"/>
      <c r="V22" s="114"/>
      <c r="W22" s="114"/>
      <c r="X22" s="114"/>
      <c r="Y22" s="114"/>
      <c r="Z22" s="114"/>
      <c r="AA22" s="114"/>
      <c r="AB22" s="114"/>
      <c r="AC22" s="114"/>
    </row>
    <row r="23" spans="2:31">
      <c r="B23" s="150" t="s">
        <v>55</v>
      </c>
      <c r="C23" s="376">
        <f>C11+C21</f>
        <v>-772.33688544317511</v>
      </c>
      <c r="E23" s="121"/>
      <c r="F23" s="121"/>
      <c r="G23" s="121"/>
      <c r="H23" s="121"/>
      <c r="I23" s="114"/>
      <c r="J23" s="114"/>
      <c r="K23" s="114"/>
      <c r="L23" s="114"/>
      <c r="M23" s="114"/>
      <c r="N23" s="114"/>
      <c r="O23" s="114"/>
      <c r="P23" s="114"/>
      <c r="Q23" s="114"/>
      <c r="R23" s="114"/>
      <c r="S23" s="114"/>
      <c r="T23" s="114"/>
      <c r="U23" s="114"/>
      <c r="V23" s="114"/>
      <c r="W23" s="114"/>
      <c r="X23" s="114"/>
      <c r="Y23" s="114"/>
      <c r="Z23" s="114"/>
      <c r="AA23" s="114"/>
      <c r="AB23" s="114"/>
      <c r="AC23" s="114"/>
    </row>
    <row r="24" spans="2:31">
      <c r="E24" s="146" t="s">
        <v>4</v>
      </c>
      <c r="F24" s="284">
        <v>4805.2389999999996</v>
      </c>
      <c r="G24" s="284">
        <v>3378.1990000000001</v>
      </c>
      <c r="H24" s="284">
        <v>5991.76</v>
      </c>
      <c r="I24" s="114"/>
      <c r="J24" s="114"/>
      <c r="K24" s="114"/>
      <c r="L24" s="114"/>
      <c r="M24" s="114"/>
      <c r="N24" s="114"/>
      <c r="O24" s="114"/>
      <c r="P24" s="114"/>
      <c r="Q24" s="114"/>
      <c r="R24" s="114"/>
      <c r="S24" s="114"/>
      <c r="T24" s="114"/>
      <c r="U24" s="114"/>
      <c r="V24" s="114"/>
      <c r="W24" s="114"/>
      <c r="X24" s="114"/>
      <c r="Y24" s="114"/>
      <c r="Z24" s="114"/>
      <c r="AA24" s="114"/>
      <c r="AB24" s="114"/>
      <c r="AC24" s="114"/>
    </row>
    <row r="25" spans="2:31">
      <c r="E25" s="122" t="s">
        <v>69</v>
      </c>
      <c r="F25" s="135">
        <f>F20/F24</f>
        <v>-0.3555883484671627</v>
      </c>
      <c r="G25" s="135">
        <f t="shared" ref="G25" si="1">G20/G24</f>
        <v>-0.76724609769880359</v>
      </c>
      <c r="H25" s="135">
        <f>H20/H24</f>
        <v>-0.37495877672002881</v>
      </c>
      <c r="I25" s="114"/>
      <c r="J25" s="114"/>
      <c r="K25" s="114"/>
      <c r="L25" s="114"/>
      <c r="M25" s="114"/>
      <c r="N25" s="114"/>
      <c r="O25" s="114"/>
      <c r="P25" s="114"/>
      <c r="Q25" s="114"/>
      <c r="R25" s="114"/>
      <c r="S25" s="114"/>
      <c r="T25" s="114"/>
      <c r="U25" s="114"/>
      <c r="V25" s="114"/>
      <c r="W25" s="114"/>
      <c r="X25" s="114"/>
      <c r="Y25" s="114"/>
      <c r="Z25" s="114"/>
      <c r="AA25" s="114"/>
      <c r="AB25" s="114"/>
      <c r="AC25" s="114"/>
    </row>
    <row r="26" spans="2:31">
      <c r="G26" s="129" t="s">
        <v>133</v>
      </c>
      <c r="H26" s="152">
        <f>MEDIAN(F25:H25)</f>
        <v>-0.37495877672002881</v>
      </c>
      <c r="I26" s="114"/>
      <c r="J26" s="114"/>
      <c r="K26" s="114"/>
      <c r="L26" s="114"/>
      <c r="M26" s="114"/>
      <c r="N26" s="114"/>
      <c r="O26" s="114"/>
      <c r="P26" s="114"/>
      <c r="Q26" s="114"/>
      <c r="R26" s="114"/>
      <c r="S26" s="114"/>
      <c r="T26" s="114"/>
      <c r="U26" s="114"/>
      <c r="V26" s="114"/>
      <c r="W26" s="114"/>
      <c r="X26" s="114"/>
      <c r="Y26" s="114"/>
      <c r="Z26" s="114"/>
      <c r="AA26" s="114"/>
      <c r="AB26" s="114"/>
      <c r="AC26" s="114"/>
    </row>
    <row r="27" spans="2:31">
      <c r="I27" s="114"/>
      <c r="J27" s="114"/>
      <c r="K27" s="114"/>
      <c r="L27" s="114"/>
      <c r="M27" s="114"/>
      <c r="N27" s="114"/>
      <c r="O27" s="114"/>
      <c r="P27" s="114"/>
      <c r="Q27" s="114"/>
      <c r="R27" s="114"/>
      <c r="S27" s="114"/>
      <c r="T27" s="114"/>
      <c r="U27" s="114"/>
      <c r="V27" s="114"/>
      <c r="W27" s="114"/>
      <c r="X27" s="114"/>
      <c r="Y27" s="114"/>
      <c r="Z27" s="114"/>
      <c r="AA27" s="114"/>
      <c r="AB27" s="114"/>
      <c r="AC27" s="114"/>
    </row>
    <row r="28" spans="2:31">
      <c r="I28" s="114"/>
      <c r="J28" s="114"/>
      <c r="K28" s="114"/>
      <c r="L28" s="114"/>
      <c r="M28" s="114"/>
      <c r="N28" s="114"/>
      <c r="O28" s="114"/>
      <c r="P28" s="114"/>
      <c r="Q28" s="114"/>
      <c r="R28" s="114"/>
      <c r="S28" s="114"/>
      <c r="T28" s="114"/>
      <c r="U28" s="114"/>
      <c r="V28" s="114"/>
      <c r="W28" s="114"/>
      <c r="X28" s="114"/>
      <c r="Y28" s="114"/>
      <c r="Z28" s="114"/>
      <c r="AA28" s="114"/>
      <c r="AB28" s="114"/>
      <c r="AC28" s="114"/>
    </row>
    <row r="29" spans="2:31">
      <c r="F29" s="114"/>
      <c r="G29" s="114"/>
      <c r="H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2:31" ht="14.25" customHeight="1">
      <c r="F30" s="114"/>
      <c r="G30" s="114"/>
      <c r="H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2:31">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2:31">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6:31">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6:31">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6:31">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6:31">
      <c r="F36" s="114"/>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6:31">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6:31">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row>
  </sheetData>
  <mergeCells count="1">
    <mergeCell ref="E3:J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29.28515625" style="109" customWidth="1"/>
    <col min="3" max="3" width="11.7109375" style="109" customWidth="1"/>
    <col min="4" max="4" width="4.85546875" style="109" customWidth="1"/>
    <col min="5" max="5" width="10.140625" style="109" customWidth="1"/>
    <col min="6" max="6" width="32.42578125" style="109" customWidth="1"/>
    <col min="7" max="7" width="11.85546875" style="109" customWidth="1" collapsed="1"/>
    <col min="8" max="8" width="5.42578125" style="109" customWidth="1"/>
    <col min="9" max="9" width="31.5703125" style="109" customWidth="1"/>
    <col min="10" max="10" width="11.5703125" style="109" bestFit="1" customWidth="1"/>
    <col min="11" max="11" width="9.85546875" style="109" customWidth="1"/>
    <col min="12"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67</v>
      </c>
      <c r="C1" s="107"/>
      <c r="D1" s="107"/>
      <c r="E1" s="107"/>
      <c r="F1" s="107"/>
      <c r="G1" s="107"/>
      <c r="H1" s="107"/>
      <c r="I1" s="107"/>
      <c r="J1" s="107"/>
      <c r="K1" s="107"/>
    </row>
    <row r="2" spans="1:31" ht="12.75" customHeight="1">
      <c r="C2" s="129"/>
    </row>
    <row r="3" spans="1:31" ht="15.75">
      <c r="A3" s="111"/>
      <c r="F3" s="100" t="s">
        <v>52</v>
      </c>
      <c r="G3" s="121"/>
      <c r="I3" s="100" t="s">
        <v>56</v>
      </c>
      <c r="J3" s="121"/>
      <c r="K3" s="119"/>
    </row>
    <row r="4" spans="1:31" ht="12.75" customHeight="1">
      <c r="A4" s="116"/>
      <c r="B4" s="131" t="str">
        <f>F14</f>
        <v>Free Cash Flow to Firm (FCFF)</v>
      </c>
      <c r="C4" s="294">
        <f>G14</f>
        <v>1296.0605013808708</v>
      </c>
      <c r="F4" s="128"/>
      <c r="G4" s="145" t="s">
        <v>149</v>
      </c>
      <c r="I4" s="128"/>
      <c r="J4" s="296" t="s">
        <v>149</v>
      </c>
      <c r="K4" s="66"/>
      <c r="N4" s="113"/>
      <c r="P4" s="113"/>
      <c r="Q4" s="113"/>
      <c r="R4" s="113"/>
      <c r="S4" s="113"/>
      <c r="T4" s="113"/>
      <c r="U4" s="113"/>
      <c r="Z4" s="113"/>
    </row>
    <row r="5" spans="1:31">
      <c r="A5" s="116"/>
      <c r="B5" s="144" t="str">
        <f>I17</f>
        <v>Free Cash Flow to Equity (FCFE)</v>
      </c>
      <c r="C5" s="295">
        <f>J17</f>
        <v>1046.9979285808711</v>
      </c>
      <c r="F5" s="124" t="s">
        <v>370</v>
      </c>
      <c r="G5" s="288">
        <f>'Accounting Adjustments'!C39</f>
        <v>552.10164024635867</v>
      </c>
      <c r="I5" s="124" t="str">
        <f>F5</f>
        <v>Normalized EBIT</v>
      </c>
      <c r="J5" s="274">
        <f>G5</f>
        <v>552.10164024635867</v>
      </c>
      <c r="K5" s="120"/>
      <c r="N5" s="114"/>
      <c r="O5" s="114"/>
      <c r="P5" s="114"/>
      <c r="Q5" s="114"/>
      <c r="R5" s="114"/>
      <c r="S5" s="114"/>
      <c r="T5" s="114"/>
      <c r="U5" s="114"/>
      <c r="V5" s="114"/>
      <c r="W5" s="114"/>
      <c r="X5" s="114"/>
      <c r="Y5" s="114"/>
      <c r="Z5" s="114"/>
      <c r="AA5" s="114"/>
      <c r="AB5" s="114"/>
      <c r="AC5" s="114"/>
      <c r="AD5" s="114"/>
      <c r="AE5" s="114"/>
    </row>
    <row r="6" spans="1:31">
      <c r="A6" s="116"/>
      <c r="F6" s="124" t="s">
        <v>157</v>
      </c>
      <c r="G6" s="297">
        <v>5.1400000000000001E-2</v>
      </c>
      <c r="I6" s="123" t="s">
        <v>57</v>
      </c>
      <c r="J6" s="274">
        <f>'Cost of Equity, Debt &amp; WACC'!I5</f>
        <v>21.448</v>
      </c>
      <c r="N6" s="114"/>
      <c r="O6" s="114"/>
      <c r="P6" s="114"/>
      <c r="Q6" s="114"/>
      <c r="R6" s="114"/>
      <c r="S6" s="114"/>
      <c r="T6" s="114"/>
      <c r="U6" s="114"/>
      <c r="V6" s="114"/>
      <c r="W6" s="114"/>
      <c r="X6" s="114"/>
      <c r="Y6" s="114"/>
      <c r="Z6" s="114"/>
      <c r="AA6" s="114"/>
      <c r="AB6" s="114"/>
      <c r="AC6" s="114"/>
      <c r="AD6" s="114"/>
      <c r="AE6" s="114"/>
    </row>
    <row r="7" spans="1:31">
      <c r="F7" s="123"/>
      <c r="G7" s="281"/>
      <c r="I7" s="126" t="s">
        <v>58</v>
      </c>
      <c r="J7" s="289">
        <f>J5-J6</f>
        <v>530.65364024635869</v>
      </c>
      <c r="N7" s="114"/>
      <c r="O7" s="114"/>
      <c r="P7" s="114"/>
      <c r="Q7" s="114"/>
      <c r="R7" s="114"/>
      <c r="S7" s="114"/>
      <c r="T7" s="114"/>
      <c r="U7" s="114"/>
      <c r="V7" s="114"/>
      <c r="W7" s="114"/>
      <c r="X7" s="114"/>
      <c r="Y7" s="114"/>
      <c r="Z7" s="114"/>
      <c r="AA7" s="114"/>
      <c r="AB7" s="114"/>
      <c r="AC7" s="114"/>
      <c r="AD7" s="114"/>
      <c r="AE7" s="114"/>
    </row>
    <row r="8" spans="1:31">
      <c r="A8" s="116"/>
      <c r="F8" s="124" t="s">
        <v>53</v>
      </c>
      <c r="G8" s="274">
        <f>G5*(1-G6)</f>
        <v>523.72361593769585</v>
      </c>
      <c r="H8" s="117"/>
      <c r="I8" s="131" t="s">
        <v>157</v>
      </c>
      <c r="J8" s="143">
        <f>'FCFF &amp; FCFE'!G6</f>
        <v>5.1400000000000001E-2</v>
      </c>
      <c r="N8" s="114"/>
      <c r="O8" s="114"/>
      <c r="P8" s="114"/>
      <c r="Q8" s="114"/>
      <c r="R8" s="114"/>
      <c r="S8" s="114"/>
      <c r="T8" s="114"/>
      <c r="U8" s="114"/>
      <c r="V8" s="114"/>
      <c r="W8" s="114"/>
      <c r="X8" s="114"/>
      <c r="Y8" s="114"/>
      <c r="Z8" s="114"/>
      <c r="AA8" s="114"/>
      <c r="AB8" s="114"/>
      <c r="AC8" s="114"/>
      <c r="AD8" s="114"/>
      <c r="AE8" s="114"/>
    </row>
    <row r="9" spans="1:31">
      <c r="A9" s="116"/>
      <c r="F9" s="131"/>
      <c r="G9" s="288"/>
      <c r="I9" s="127" t="s">
        <v>59</v>
      </c>
      <c r="J9" s="275">
        <f>J7*(1-J8)</f>
        <v>503.37804313769584</v>
      </c>
      <c r="N9" s="114"/>
      <c r="O9" s="114"/>
      <c r="P9" s="114"/>
      <c r="Q9" s="114"/>
      <c r="R9" s="114"/>
      <c r="S9" s="114"/>
      <c r="T9" s="114"/>
      <c r="U9" s="114"/>
      <c r="V9" s="114"/>
      <c r="W9" s="114"/>
      <c r="X9" s="114"/>
      <c r="Y9" s="114"/>
      <c r="Z9" s="114"/>
      <c r="AA9" s="114"/>
      <c r="AB9" s="114"/>
      <c r="AC9" s="114"/>
      <c r="AD9" s="114"/>
      <c r="AE9" s="114"/>
    </row>
    <row r="10" spans="1:31">
      <c r="A10" s="112"/>
      <c r="F10" s="124" t="str">
        <f>Reinvestment!B11</f>
        <v>Adj Net Capital Expenditures</v>
      </c>
      <c r="G10" s="274">
        <f>Reinvestment!C11</f>
        <v>207.64075000000025</v>
      </c>
      <c r="I10" s="121"/>
      <c r="J10" s="282"/>
      <c r="N10" s="114"/>
      <c r="O10" s="114"/>
      <c r="P10" s="114"/>
      <c r="Q10" s="114"/>
      <c r="R10" s="114"/>
      <c r="S10" s="114"/>
      <c r="T10" s="114"/>
      <c r="U10" s="114"/>
      <c r="V10" s="114"/>
      <c r="W10" s="114"/>
      <c r="X10" s="114"/>
      <c r="Y10" s="114"/>
      <c r="Z10" s="114"/>
      <c r="AA10" s="114"/>
      <c r="AB10" s="114"/>
      <c r="AC10" s="114"/>
      <c r="AD10" s="114"/>
      <c r="AE10" s="114"/>
    </row>
    <row r="11" spans="1:31">
      <c r="A11" s="116"/>
      <c r="F11" s="124" t="str">
        <f>Reinvestment!B21</f>
        <v>Adj Change in Non Cash WC</v>
      </c>
      <c r="G11" s="274">
        <f>Reinvestment!C21</f>
        <v>-979.97763544317536</v>
      </c>
      <c r="I11" s="124" t="s">
        <v>55</v>
      </c>
      <c r="J11" s="274">
        <f>G12</f>
        <v>-772.33688544317511</v>
      </c>
      <c r="N11" s="114"/>
      <c r="O11" s="114"/>
      <c r="P11" s="114"/>
      <c r="Q11" s="114"/>
      <c r="R11" s="114"/>
      <c r="S11" s="114"/>
      <c r="T11" s="114"/>
      <c r="U11" s="114"/>
      <c r="V11" s="114"/>
      <c r="W11" s="114"/>
      <c r="X11" s="114"/>
      <c r="Y11" s="114"/>
      <c r="Z11" s="114"/>
      <c r="AA11" s="114"/>
      <c r="AB11" s="114"/>
      <c r="AC11" s="114"/>
      <c r="AD11" s="114"/>
      <c r="AE11" s="114"/>
    </row>
    <row r="12" spans="1:31">
      <c r="F12" s="127" t="s">
        <v>55</v>
      </c>
      <c r="G12" s="293">
        <f>G10+G11</f>
        <v>-772.33688544317511</v>
      </c>
      <c r="I12" s="124"/>
      <c r="J12" s="274"/>
      <c r="N12" s="114"/>
      <c r="O12" s="114"/>
      <c r="P12" s="114"/>
      <c r="Q12" s="114"/>
      <c r="R12" s="114"/>
      <c r="S12" s="114"/>
      <c r="T12" s="114"/>
      <c r="U12" s="114"/>
      <c r="V12" s="114"/>
      <c r="W12" s="114"/>
      <c r="X12" s="114"/>
      <c r="Y12" s="114"/>
      <c r="Z12" s="114"/>
      <c r="AA12" s="114"/>
      <c r="AB12" s="114"/>
      <c r="AC12" s="114"/>
      <c r="AD12" s="114"/>
      <c r="AE12" s="114"/>
    </row>
    <row r="13" spans="1:31">
      <c r="A13" s="116"/>
      <c r="B13" s="112"/>
      <c r="C13" s="141"/>
      <c r="F13" s="121"/>
      <c r="G13" s="121"/>
      <c r="I13" s="124" t="s">
        <v>60</v>
      </c>
      <c r="J13" s="274">
        <f>1995+212.883</f>
        <v>2207.8829999999998</v>
      </c>
      <c r="N13" s="114"/>
      <c r="O13" s="114"/>
      <c r="P13" s="114"/>
      <c r="Q13" s="114"/>
      <c r="R13" s="114"/>
      <c r="S13" s="114"/>
      <c r="T13" s="114"/>
      <c r="U13" s="114"/>
      <c r="V13" s="114"/>
      <c r="W13" s="114"/>
      <c r="X13" s="114"/>
      <c r="Y13" s="114"/>
      <c r="Z13" s="114"/>
      <c r="AA13" s="114"/>
      <c r="AB13" s="114"/>
      <c r="AC13" s="114"/>
      <c r="AD13" s="114"/>
      <c r="AE13" s="114"/>
    </row>
    <row r="14" spans="1:31">
      <c r="D14" s="114"/>
      <c r="E14" s="114"/>
      <c r="F14" s="124" t="s">
        <v>54</v>
      </c>
      <c r="G14" s="283">
        <f>G8-G12</f>
        <v>1296.0605013808708</v>
      </c>
      <c r="H14" s="114"/>
      <c r="I14" s="124" t="s">
        <v>61</v>
      </c>
      <c r="J14" s="274">
        <f>1979.166</f>
        <v>1979.1659999999999</v>
      </c>
      <c r="N14" s="114"/>
      <c r="O14" s="114"/>
      <c r="P14" s="114"/>
      <c r="Q14" s="114"/>
      <c r="R14" s="114"/>
      <c r="S14" s="114"/>
      <c r="T14" s="114"/>
      <c r="U14" s="114"/>
      <c r="V14" s="114"/>
      <c r="W14" s="114"/>
      <c r="X14" s="114"/>
      <c r="Y14" s="114"/>
      <c r="Z14" s="114"/>
      <c r="AA14" s="114"/>
      <c r="AB14" s="114"/>
      <c r="AC14" s="114"/>
      <c r="AD14" s="114"/>
      <c r="AE14" s="114"/>
    </row>
    <row r="15" spans="1:31">
      <c r="E15" s="119"/>
      <c r="F15" s="119"/>
      <c r="I15" s="127" t="s">
        <v>63</v>
      </c>
      <c r="J15" s="275">
        <f>J14-J13</f>
        <v>-228.71699999999987</v>
      </c>
      <c r="N15" s="114"/>
      <c r="O15" s="114"/>
      <c r="P15" s="114"/>
      <c r="Q15" s="114"/>
      <c r="R15" s="114"/>
      <c r="S15" s="114"/>
      <c r="T15" s="114"/>
      <c r="U15" s="114"/>
      <c r="V15" s="114"/>
      <c r="W15" s="114"/>
      <c r="X15" s="114"/>
      <c r="Y15" s="114"/>
      <c r="Z15" s="114"/>
      <c r="AA15" s="114"/>
      <c r="AB15" s="114"/>
      <c r="AC15" s="114"/>
      <c r="AD15" s="114"/>
      <c r="AE15" s="114"/>
    </row>
    <row r="16" spans="1:31">
      <c r="E16" s="66"/>
      <c r="F16" s="66"/>
      <c r="I16" s="121"/>
      <c r="J16" s="282"/>
      <c r="N16" s="114"/>
      <c r="O16" s="114"/>
      <c r="P16" s="114"/>
      <c r="Q16" s="114"/>
      <c r="R16" s="114"/>
      <c r="S16" s="114"/>
      <c r="T16" s="114"/>
      <c r="U16" s="114"/>
      <c r="V16" s="114"/>
      <c r="W16" s="114"/>
      <c r="X16" s="114"/>
      <c r="Y16" s="114"/>
      <c r="Z16" s="114"/>
      <c r="AA16" s="114"/>
      <c r="AB16" s="114"/>
      <c r="AC16" s="114"/>
      <c r="AD16" s="114"/>
      <c r="AE16" s="114"/>
    </row>
    <row r="17" spans="1:31">
      <c r="E17" s="120"/>
      <c r="F17" s="120"/>
      <c r="I17" s="124" t="s">
        <v>62</v>
      </c>
      <c r="J17" s="283">
        <f>J9-J11+J15</f>
        <v>1046.9979285808711</v>
      </c>
      <c r="K17" s="114"/>
      <c r="N17" s="114"/>
      <c r="O17" s="114"/>
      <c r="P17" s="114"/>
      <c r="Q17" s="114"/>
      <c r="R17" s="114"/>
      <c r="S17" s="114"/>
      <c r="T17" s="114"/>
      <c r="U17" s="114"/>
      <c r="V17" s="114"/>
      <c r="W17" s="114"/>
      <c r="X17" s="114"/>
      <c r="Y17" s="114"/>
      <c r="Z17" s="114"/>
      <c r="AA17" s="114"/>
      <c r="AB17" s="114"/>
      <c r="AC17" s="114"/>
      <c r="AD17" s="114"/>
      <c r="AE17" s="114"/>
    </row>
    <row r="18" spans="1:31">
      <c r="A18" s="116"/>
      <c r="G18" s="139"/>
      <c r="H18" s="140"/>
      <c r="I18" s="140"/>
      <c r="J18" s="114"/>
      <c r="K18" s="114"/>
      <c r="L18" s="114"/>
      <c r="M18" s="114"/>
      <c r="N18" s="114"/>
      <c r="O18" s="114"/>
      <c r="P18" s="114"/>
      <c r="Q18" s="114"/>
      <c r="R18" s="114"/>
      <c r="S18" s="114"/>
      <c r="T18" s="114"/>
      <c r="U18" s="114"/>
      <c r="V18" s="114"/>
      <c r="W18" s="114"/>
      <c r="X18" s="114"/>
      <c r="Y18" s="114"/>
      <c r="Z18" s="114"/>
      <c r="AA18" s="114"/>
      <c r="AB18" s="114"/>
      <c r="AC18" s="114"/>
      <c r="AD18" s="114"/>
      <c r="AE18" s="114"/>
    </row>
    <row r="19" spans="1:31">
      <c r="G19" s="44"/>
      <c r="H19" s="44"/>
      <c r="I19" s="118"/>
      <c r="J19" s="114"/>
      <c r="K19" s="114"/>
      <c r="L19" s="114"/>
      <c r="M19" s="114"/>
      <c r="N19" s="114"/>
      <c r="O19" s="114"/>
      <c r="P19" s="114"/>
      <c r="Q19" s="114"/>
      <c r="R19" s="114"/>
      <c r="S19" s="114"/>
      <c r="T19" s="114"/>
      <c r="U19" s="114"/>
      <c r="V19" s="114"/>
      <c r="W19" s="114"/>
      <c r="X19" s="114"/>
      <c r="Y19" s="114"/>
      <c r="Z19" s="114"/>
      <c r="AA19" s="114"/>
      <c r="AB19" s="114"/>
      <c r="AC19" s="114"/>
      <c r="AD19" s="114"/>
      <c r="AE19" s="114"/>
    </row>
    <row r="20" spans="1:31">
      <c r="A20" s="116"/>
      <c r="G20" s="85"/>
      <c r="H20" s="85"/>
      <c r="I20" s="134"/>
      <c r="J20" s="114"/>
      <c r="K20" s="114"/>
      <c r="L20" s="114"/>
      <c r="M20" s="114"/>
      <c r="N20" s="114"/>
      <c r="O20" s="114"/>
      <c r="P20" s="114"/>
      <c r="Q20" s="114"/>
      <c r="R20" s="114"/>
      <c r="S20" s="114"/>
      <c r="T20" s="114"/>
      <c r="U20" s="114"/>
      <c r="V20" s="114"/>
      <c r="W20" s="114"/>
      <c r="X20" s="114"/>
      <c r="Y20" s="114"/>
      <c r="Z20" s="114"/>
      <c r="AA20" s="114"/>
      <c r="AB20" s="114"/>
      <c r="AC20" s="114"/>
      <c r="AD20" s="114"/>
      <c r="AE20" s="114"/>
    </row>
    <row r="21" spans="1:31">
      <c r="G21" s="85"/>
      <c r="H21" s="85"/>
      <c r="I21" s="134"/>
      <c r="J21" s="114"/>
      <c r="K21" s="114"/>
      <c r="L21" s="114"/>
      <c r="M21" s="114"/>
      <c r="N21" s="114"/>
      <c r="O21" s="114"/>
      <c r="P21" s="114"/>
      <c r="Q21" s="114"/>
      <c r="R21" s="114"/>
      <c r="S21" s="114"/>
      <c r="T21" s="114"/>
      <c r="U21" s="114"/>
      <c r="V21" s="114"/>
      <c r="W21" s="114"/>
      <c r="X21" s="114"/>
      <c r="Y21" s="114"/>
      <c r="Z21" s="114"/>
      <c r="AA21" s="114"/>
      <c r="AB21" s="114"/>
      <c r="AC21" s="114"/>
      <c r="AD21" s="114"/>
      <c r="AE21" s="114"/>
    </row>
    <row r="22" spans="1:31">
      <c r="E22" s="136"/>
      <c r="G22" s="85"/>
      <c r="H22" s="85"/>
      <c r="I22" s="134"/>
      <c r="J22" s="114"/>
      <c r="K22" s="114"/>
      <c r="L22" s="114"/>
      <c r="M22" s="114"/>
      <c r="N22" s="114"/>
      <c r="O22" s="114"/>
      <c r="P22" s="114"/>
      <c r="Q22" s="114"/>
      <c r="R22" s="114"/>
      <c r="S22" s="114"/>
      <c r="T22" s="114"/>
      <c r="U22" s="114"/>
      <c r="V22" s="114"/>
      <c r="W22" s="114"/>
      <c r="X22" s="114"/>
      <c r="Y22" s="114"/>
      <c r="Z22" s="114"/>
      <c r="AA22" s="114"/>
      <c r="AB22" s="114"/>
      <c r="AC22" s="114"/>
      <c r="AD22" s="114"/>
      <c r="AE22" s="114"/>
    </row>
    <row r="23" spans="1:31">
      <c r="F23" s="142"/>
      <c r="G23" s="85"/>
      <c r="H23" s="85"/>
      <c r="I23" s="134"/>
      <c r="J23" s="114"/>
      <c r="K23" s="114"/>
      <c r="L23" s="114"/>
      <c r="M23" s="114"/>
      <c r="N23" s="114"/>
      <c r="O23" s="114"/>
      <c r="P23" s="114"/>
      <c r="Q23" s="114"/>
      <c r="R23" s="114"/>
      <c r="S23" s="114"/>
      <c r="T23" s="114"/>
      <c r="U23" s="114"/>
      <c r="V23" s="114"/>
      <c r="W23" s="114"/>
      <c r="X23" s="114"/>
      <c r="Y23" s="114"/>
      <c r="Z23" s="114"/>
      <c r="AA23" s="114"/>
      <c r="AB23" s="114"/>
      <c r="AC23" s="114"/>
      <c r="AD23" s="114"/>
      <c r="AE23" s="114"/>
    </row>
    <row r="24" spans="1:31">
      <c r="G24" s="85"/>
      <c r="H24" s="85"/>
      <c r="I24" s="134"/>
      <c r="J24" s="114"/>
      <c r="K24" s="114"/>
      <c r="L24" s="114"/>
      <c r="M24" s="114"/>
      <c r="N24" s="114"/>
      <c r="O24" s="114"/>
      <c r="P24" s="114"/>
      <c r="Q24" s="114"/>
      <c r="R24" s="114"/>
      <c r="S24" s="114"/>
      <c r="T24" s="114"/>
      <c r="U24" s="114"/>
      <c r="V24" s="114"/>
      <c r="W24" s="114"/>
      <c r="X24" s="114"/>
      <c r="Y24" s="114"/>
      <c r="Z24" s="114"/>
      <c r="AA24" s="114"/>
      <c r="AB24" s="114"/>
      <c r="AC24" s="114"/>
      <c r="AD24" s="114"/>
      <c r="AE24" s="114"/>
    </row>
    <row r="25" spans="1:31">
      <c r="G25" s="85"/>
      <c r="H25" s="85"/>
      <c r="I25" s="134"/>
      <c r="J25" s="114"/>
      <c r="K25" s="114"/>
      <c r="L25" s="114"/>
      <c r="M25" s="114"/>
      <c r="N25" s="114"/>
      <c r="O25" s="114"/>
      <c r="P25" s="114"/>
      <c r="Q25" s="114"/>
      <c r="R25" s="114"/>
      <c r="S25" s="114"/>
      <c r="T25" s="114"/>
      <c r="U25" s="114"/>
      <c r="V25" s="114"/>
      <c r="W25" s="114"/>
      <c r="X25" s="114"/>
      <c r="Y25" s="114"/>
      <c r="Z25" s="114"/>
      <c r="AA25" s="114"/>
      <c r="AB25" s="114"/>
      <c r="AC25" s="114"/>
      <c r="AD25" s="114"/>
      <c r="AE25" s="114"/>
    </row>
    <row r="26" spans="1:31">
      <c r="G26" s="85"/>
      <c r="H26" s="85"/>
      <c r="I26" s="134"/>
      <c r="J26" s="114"/>
      <c r="K26" s="114"/>
      <c r="L26" s="114"/>
      <c r="M26" s="114"/>
      <c r="N26" s="114"/>
      <c r="O26" s="114"/>
      <c r="P26" s="114"/>
      <c r="Q26" s="114"/>
      <c r="R26" s="114"/>
      <c r="S26" s="114"/>
      <c r="T26" s="114"/>
      <c r="U26" s="114"/>
      <c r="V26" s="114"/>
      <c r="W26" s="114"/>
      <c r="X26" s="114"/>
      <c r="Y26" s="114"/>
      <c r="Z26" s="114"/>
      <c r="AA26" s="114"/>
      <c r="AB26" s="114"/>
      <c r="AC26" s="114"/>
      <c r="AD26" s="114"/>
      <c r="AE26" s="114"/>
    </row>
    <row r="27" spans="1:31">
      <c r="G27" s="85"/>
      <c r="H27" s="85"/>
      <c r="I27" s="134"/>
      <c r="J27" s="114"/>
      <c r="K27" s="114"/>
      <c r="L27" s="114"/>
      <c r="M27" s="114"/>
      <c r="N27" s="114"/>
      <c r="O27" s="114"/>
      <c r="P27" s="114"/>
      <c r="Q27" s="114"/>
      <c r="R27" s="114"/>
      <c r="S27" s="114"/>
      <c r="T27" s="114"/>
      <c r="U27" s="114"/>
      <c r="V27" s="114"/>
      <c r="W27" s="114"/>
      <c r="X27" s="114"/>
      <c r="Y27" s="114"/>
      <c r="Z27" s="114"/>
      <c r="AA27" s="114"/>
      <c r="AB27" s="114"/>
      <c r="AC27" s="114"/>
      <c r="AD27" s="114"/>
      <c r="AE27" s="114"/>
    </row>
    <row r="28" spans="1:31">
      <c r="G28" s="138"/>
      <c r="H28" s="138"/>
      <c r="I28" s="137"/>
      <c r="J28" s="114"/>
      <c r="K28" s="114"/>
      <c r="L28" s="114"/>
      <c r="M28" s="114"/>
      <c r="N28" s="114"/>
      <c r="O28" s="114"/>
      <c r="P28" s="114"/>
      <c r="Q28" s="114"/>
      <c r="R28" s="114"/>
      <c r="S28" s="114"/>
      <c r="T28" s="114"/>
      <c r="U28" s="114"/>
      <c r="V28" s="114"/>
      <c r="W28" s="114"/>
      <c r="X28" s="114"/>
      <c r="Y28" s="114"/>
      <c r="Z28" s="114"/>
      <c r="AA28" s="114"/>
      <c r="AB28" s="114"/>
      <c r="AC28" s="114"/>
      <c r="AD28" s="114"/>
      <c r="AE28" s="114"/>
    </row>
    <row r="29" spans="1:31">
      <c r="J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1:31" ht="14.25" customHeight="1">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1:31">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1:31">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7:31">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7:31">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7:31">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7:31">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7:31">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7:31">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89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9"/>
  <sheetViews>
    <sheetView workbookViewId="0"/>
  </sheetViews>
  <sheetFormatPr defaultRowHeight="12"/>
  <cols>
    <col min="1" max="1" width="2" style="109" customWidth="1"/>
    <col min="2" max="2" width="29.28515625" style="109" customWidth="1"/>
    <col min="3" max="3" width="12" style="109" bestFit="1" customWidth="1"/>
    <col min="4" max="4" width="2.7109375" style="109" customWidth="1"/>
    <col min="5" max="5" width="23.7109375" style="109" customWidth="1"/>
    <col min="6" max="6" width="10.140625" style="109" customWidth="1" collapsed="1"/>
    <col min="7" max="7" width="11.42578125" style="109" customWidth="1"/>
    <col min="8" max="8" width="13.5703125" style="109" customWidth="1"/>
    <col min="9" max="9" width="12.5703125" style="109" customWidth="1"/>
    <col min="10" max="10" width="9.28515625" style="109" customWidth="1"/>
    <col min="11" max="11" width="9.7109375" style="109" customWidth="1"/>
    <col min="12" max="12" width="3.5703125" style="109" customWidth="1"/>
    <col min="13" max="13" width="22.85546875" style="109" customWidth="1"/>
    <col min="14" max="14" width="14.5703125" style="109" customWidth="1"/>
    <col min="15" max="15" width="11.28515625" style="109" customWidth="1"/>
    <col min="16" max="16" width="13.28515625" style="109" customWidth="1"/>
    <col min="17" max="17" width="12.28515625" style="109" customWidth="1"/>
    <col min="18" max="18" width="13.28515625" style="109" customWidth="1"/>
    <col min="19" max="19" width="11.42578125" style="109" customWidth="1"/>
    <col min="20"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76</v>
      </c>
      <c r="C1" s="107"/>
      <c r="D1" s="107"/>
      <c r="E1" s="107"/>
      <c r="F1" s="107"/>
      <c r="G1" s="107"/>
      <c r="H1" s="107"/>
      <c r="I1" s="107"/>
      <c r="J1" s="107"/>
      <c r="K1" s="107"/>
    </row>
    <row r="2" spans="1:31" ht="12" customHeight="1">
      <c r="C2" s="129"/>
    </row>
    <row r="3" spans="1:31" ht="12" customHeight="1">
      <c r="A3" s="111"/>
      <c r="B3" s="131" t="s">
        <v>55</v>
      </c>
      <c r="C3" s="274">
        <f>'FCFF &amp; FCFE'!G12</f>
        <v>-772.33688544317511</v>
      </c>
      <c r="E3" s="456" t="s">
        <v>320</v>
      </c>
      <c r="F3" s="456"/>
      <c r="G3" s="456"/>
      <c r="H3" s="456"/>
      <c r="I3" s="456"/>
      <c r="J3" s="456"/>
      <c r="K3" s="456"/>
      <c r="L3" s="102"/>
      <c r="M3" s="102"/>
      <c r="N3" s="102"/>
      <c r="O3" s="102"/>
      <c r="P3" s="102"/>
      <c r="Q3" s="102"/>
      <c r="R3" s="102"/>
      <c r="S3" s="102"/>
    </row>
    <row r="4" spans="1:31" ht="12" customHeight="1">
      <c r="A4" s="116"/>
      <c r="B4" s="124" t="s">
        <v>124</v>
      </c>
      <c r="C4" s="274">
        <f>'FCFF &amp; FCFE'!G8</f>
        <v>523.72361593769585</v>
      </c>
      <c r="E4" s="219" t="s">
        <v>130</v>
      </c>
      <c r="F4" s="219" t="s">
        <v>34</v>
      </c>
      <c r="G4" s="199" t="s">
        <v>197</v>
      </c>
      <c r="H4" s="199" t="s">
        <v>234</v>
      </c>
      <c r="I4" s="199" t="s">
        <v>101</v>
      </c>
      <c r="J4" s="199" t="s">
        <v>126</v>
      </c>
      <c r="K4" s="199" t="s">
        <v>35</v>
      </c>
      <c r="L4" s="44"/>
      <c r="M4" s="44"/>
      <c r="N4" s="44"/>
      <c r="O4" s="269"/>
      <c r="P4" s="269"/>
      <c r="Q4" s="269"/>
      <c r="R4" s="269"/>
      <c r="S4" s="269"/>
      <c r="T4" s="113"/>
      <c r="U4" s="113"/>
      <c r="Z4" s="113"/>
    </row>
    <row r="5" spans="1:31" ht="12" customHeight="1">
      <c r="A5" s="116"/>
      <c r="B5" s="222" t="s">
        <v>80</v>
      </c>
      <c r="C5" s="223">
        <f>C3/C4</f>
        <v>-1.4747031868332918</v>
      </c>
      <c r="E5" s="62" t="s">
        <v>285</v>
      </c>
      <c r="F5" s="62" t="s">
        <v>286</v>
      </c>
      <c r="G5" s="365">
        <v>16022</v>
      </c>
      <c r="H5" s="365">
        <v>17104</v>
      </c>
      <c r="I5" s="218">
        <f>G5/H5</f>
        <v>0.93673994387277826</v>
      </c>
      <c r="J5" s="63">
        <v>0.29010000000000002</v>
      </c>
      <c r="K5" s="96">
        <v>6.6476822681313203</v>
      </c>
      <c r="L5" s="302"/>
      <c r="M5" s="85"/>
      <c r="N5" s="85"/>
      <c r="O5" s="420"/>
      <c r="P5" s="420"/>
      <c r="Q5" s="160"/>
      <c r="R5" s="86"/>
      <c r="S5" s="156"/>
      <c r="T5" s="114"/>
      <c r="U5" s="265"/>
      <c r="V5" s="114"/>
      <c r="W5" s="114"/>
      <c r="X5" s="114"/>
      <c r="Y5" s="114"/>
      <c r="Z5" s="114"/>
      <c r="AA5" s="114"/>
      <c r="AB5" s="114"/>
      <c r="AC5" s="114"/>
    </row>
    <row r="6" spans="1:31" ht="12" customHeight="1">
      <c r="A6" s="116"/>
      <c r="E6" s="62" t="s">
        <v>288</v>
      </c>
      <c r="F6" s="234" t="s">
        <v>287</v>
      </c>
      <c r="G6" s="334">
        <v>11328</v>
      </c>
      <c r="H6" s="334">
        <v>10507</v>
      </c>
      <c r="I6" s="218">
        <f t="shared" ref="I6:I22" si="0">G6/H6</f>
        <v>1.0781383839345198</v>
      </c>
      <c r="J6" s="241">
        <v>0.1099</v>
      </c>
      <c r="K6" s="240">
        <v>1.9748992761299435</v>
      </c>
      <c r="L6" s="302"/>
      <c r="M6" s="85"/>
      <c r="N6" s="85"/>
      <c r="O6" s="420"/>
      <c r="P6" s="382"/>
      <c r="Q6" s="160"/>
      <c r="R6" s="421"/>
      <c r="S6" s="422"/>
      <c r="T6" s="114"/>
      <c r="U6" s="265"/>
      <c r="V6" s="114"/>
      <c r="W6" s="114"/>
      <c r="X6" s="114"/>
      <c r="Y6" s="114"/>
      <c r="Z6" s="114"/>
      <c r="AA6" s="114"/>
      <c r="AB6" s="114"/>
      <c r="AC6" s="114"/>
    </row>
    <row r="7" spans="1:31" ht="12" customHeight="1">
      <c r="B7" s="124" t="s">
        <v>124</v>
      </c>
      <c r="C7" s="274">
        <f>'FCFF &amp; FCFE'!G8</f>
        <v>523.72361593769585</v>
      </c>
      <c r="E7" s="62" t="s">
        <v>290</v>
      </c>
      <c r="F7" s="234" t="s">
        <v>289</v>
      </c>
      <c r="G7" s="365">
        <v>1379</v>
      </c>
      <c r="H7" s="365">
        <v>1622</v>
      </c>
      <c r="I7" s="218">
        <f t="shared" si="0"/>
        <v>0.85018495684340323</v>
      </c>
      <c r="J7" s="63">
        <v>5.4399999999999997E-2</v>
      </c>
      <c r="K7" s="96">
        <v>2.3843471356055113</v>
      </c>
      <c r="L7" s="302"/>
      <c r="M7" s="85"/>
      <c r="N7" s="85"/>
      <c r="O7" s="420"/>
      <c r="P7" s="420"/>
      <c r="Q7" s="160"/>
      <c r="R7" s="86"/>
      <c r="S7" s="156"/>
      <c r="T7" s="114"/>
      <c r="U7" s="265"/>
      <c r="V7" s="114"/>
      <c r="W7" s="114"/>
      <c r="X7" s="114"/>
      <c r="Y7" s="114"/>
      <c r="Z7" s="114"/>
      <c r="AA7" s="114"/>
      <c r="AB7" s="114"/>
      <c r="AC7" s="114"/>
    </row>
    <row r="8" spans="1:31" ht="12" customHeight="1">
      <c r="A8" s="116"/>
      <c r="B8" s="124" t="s">
        <v>87</v>
      </c>
      <c r="C8" s="274">
        <f>'Accounting Adjustments'!G32</f>
        <v>-1727.7859999999991</v>
      </c>
      <c r="E8" s="62" t="s">
        <v>291</v>
      </c>
      <c r="F8" s="234" t="s">
        <v>292</v>
      </c>
      <c r="G8" s="334">
        <v>18145</v>
      </c>
      <c r="H8" s="334">
        <v>160636</v>
      </c>
      <c r="I8" s="218">
        <f t="shared" si="0"/>
        <v>0.11295724495131851</v>
      </c>
      <c r="J8" s="242">
        <v>-1.9099999999999999E-2</v>
      </c>
      <c r="K8" s="239">
        <v>1.3939596307522737</v>
      </c>
      <c r="L8" s="302"/>
      <c r="M8" s="85"/>
      <c r="N8" s="85"/>
      <c r="O8" s="420"/>
      <c r="P8" s="382"/>
      <c r="Q8" s="160"/>
      <c r="R8" s="423"/>
      <c r="S8" s="424"/>
      <c r="T8" s="114"/>
      <c r="U8" s="265"/>
      <c r="V8" s="114"/>
      <c r="W8" s="114"/>
      <c r="X8" s="114"/>
      <c r="Y8" s="114"/>
      <c r="Z8" s="114"/>
      <c r="AA8" s="114"/>
      <c r="AB8" s="114"/>
      <c r="AC8" s="114"/>
    </row>
    <row r="9" spans="1:31" ht="12" customHeight="1">
      <c r="A9" s="116"/>
      <c r="B9" s="221" t="s">
        <v>81</v>
      </c>
      <c r="C9" s="224">
        <f>C7/C8</f>
        <v>-0.30311833522073689</v>
      </c>
      <c r="E9" s="62" t="s">
        <v>293</v>
      </c>
      <c r="F9" s="234" t="s">
        <v>294</v>
      </c>
      <c r="G9" s="334">
        <v>1161.896</v>
      </c>
      <c r="H9" s="334">
        <v>-751.43399999999997</v>
      </c>
      <c r="I9" s="218">
        <f t="shared" si="0"/>
        <v>-1.5462382591152384</v>
      </c>
      <c r="J9" s="63">
        <v>-0.1595</v>
      </c>
      <c r="K9" s="96">
        <v>7.6292972865041317E-2</v>
      </c>
      <c r="L9" s="302"/>
      <c r="M9" s="85"/>
      <c r="N9" s="85"/>
      <c r="O9" s="420"/>
      <c r="P9" s="382"/>
      <c r="Q9" s="160"/>
      <c r="R9" s="86"/>
      <c r="S9" s="156"/>
      <c r="T9" s="114"/>
      <c r="U9" s="265"/>
      <c r="V9" s="114"/>
      <c r="W9" s="114"/>
      <c r="X9" s="114"/>
      <c r="Y9" s="114"/>
      <c r="Z9" s="114"/>
      <c r="AA9" s="114"/>
      <c r="AB9" s="114"/>
      <c r="AC9" s="114"/>
    </row>
    <row r="10" spans="1:31">
      <c r="A10" s="112"/>
      <c r="E10" s="62" t="s">
        <v>296</v>
      </c>
      <c r="F10" s="62" t="s">
        <v>295</v>
      </c>
      <c r="G10" s="334">
        <v>147.387</v>
      </c>
      <c r="H10" s="334">
        <v>313.06400000000002</v>
      </c>
      <c r="I10" s="218">
        <f t="shared" si="0"/>
        <v>0.47078872051721049</v>
      </c>
      <c r="J10" s="63">
        <v>-0.21659999999999999</v>
      </c>
      <c r="K10" s="96">
        <v>1.091925339412567</v>
      </c>
      <c r="L10" s="302"/>
      <c r="M10" s="85"/>
      <c r="N10" s="85"/>
      <c r="O10" s="420"/>
      <c r="P10" s="382"/>
      <c r="Q10" s="160"/>
      <c r="R10" s="86"/>
      <c r="S10" s="156"/>
      <c r="T10" s="114"/>
      <c r="U10" s="265"/>
      <c r="V10" s="114"/>
      <c r="W10" s="114"/>
      <c r="X10" s="114"/>
      <c r="Y10" s="114"/>
      <c r="Z10" s="114"/>
      <c r="AA10" s="114"/>
      <c r="AB10" s="114"/>
      <c r="AC10" s="114"/>
    </row>
    <row r="11" spans="1:31">
      <c r="A11" s="116"/>
      <c r="B11" s="124" t="s">
        <v>76</v>
      </c>
      <c r="C11" s="49">
        <f>C5*C9</f>
        <v>0.44700957493762272</v>
      </c>
      <c r="E11" s="62" t="s">
        <v>298</v>
      </c>
      <c r="F11" s="62" t="s">
        <v>297</v>
      </c>
      <c r="G11" s="334">
        <v>12169</v>
      </c>
      <c r="H11" s="334">
        <v>41610</v>
      </c>
      <c r="I11" s="218">
        <f t="shared" si="0"/>
        <v>0.29245373708243211</v>
      </c>
      <c r="J11" s="63">
        <v>-0.32429999999999998</v>
      </c>
      <c r="K11" s="96">
        <v>3.6938121456159094</v>
      </c>
      <c r="L11" s="302"/>
      <c r="M11" s="85"/>
      <c r="N11" s="85"/>
      <c r="O11" s="420"/>
      <c r="P11" s="382"/>
      <c r="Q11" s="160"/>
      <c r="R11" s="86"/>
      <c r="S11" s="156"/>
      <c r="T11" s="114"/>
      <c r="U11" s="265"/>
      <c r="V11" s="114"/>
      <c r="W11" s="114"/>
      <c r="X11" s="114"/>
      <c r="Y11" s="114"/>
      <c r="Z11" s="114"/>
      <c r="AA11" s="114"/>
      <c r="AB11" s="114"/>
      <c r="AC11" s="114"/>
    </row>
    <row r="12" spans="1:31">
      <c r="B12" s="114"/>
      <c r="E12" s="62" t="s">
        <v>298</v>
      </c>
      <c r="F12" s="234" t="s">
        <v>299</v>
      </c>
      <c r="G12" s="334">
        <v>12169</v>
      </c>
      <c r="H12" s="334">
        <v>41610</v>
      </c>
      <c r="I12" s="218">
        <f t="shared" si="0"/>
        <v>0.29245373708243211</v>
      </c>
      <c r="J12" s="63">
        <v>-0.32429999999999998</v>
      </c>
      <c r="K12" s="96">
        <v>3.7541293450571125</v>
      </c>
      <c r="L12" s="302"/>
      <c r="M12" s="85"/>
      <c r="N12" s="85"/>
      <c r="O12" s="420"/>
      <c r="P12" s="382"/>
      <c r="Q12" s="160"/>
      <c r="R12" s="86"/>
      <c r="S12" s="156"/>
      <c r="T12" s="114"/>
      <c r="U12" s="265"/>
      <c r="V12" s="114"/>
      <c r="W12" s="114"/>
      <c r="X12" s="114"/>
      <c r="Y12" s="114"/>
      <c r="Z12" s="114"/>
      <c r="AA12" s="114"/>
      <c r="AB12" s="114"/>
      <c r="AC12" s="114"/>
    </row>
    <row r="13" spans="1:31">
      <c r="A13" s="116"/>
      <c r="B13" s="460" t="s">
        <v>235</v>
      </c>
      <c r="C13" s="460"/>
      <c r="E13" s="62" t="s">
        <v>301</v>
      </c>
      <c r="F13" s="234" t="s">
        <v>300</v>
      </c>
      <c r="G13" s="335">
        <v>383.40699999999998</v>
      </c>
      <c r="H13" s="335">
        <v>9.2769999999999992</v>
      </c>
      <c r="I13" s="218">
        <f t="shared" si="0"/>
        <v>41.328770076533367</v>
      </c>
      <c r="J13" s="63">
        <v>-6.7999999999999996E-3</v>
      </c>
      <c r="K13" s="96">
        <v>0.79039506320959196</v>
      </c>
      <c r="L13" s="302"/>
      <c r="M13" s="85"/>
      <c r="N13" s="85"/>
      <c r="O13" s="420"/>
      <c r="P13" s="383"/>
      <c r="Q13" s="160"/>
      <c r="R13" s="86"/>
      <c r="S13" s="156"/>
      <c r="T13" s="114"/>
      <c r="U13" s="265"/>
      <c r="V13" s="114"/>
      <c r="W13" s="114"/>
      <c r="X13" s="114"/>
      <c r="Y13" s="114"/>
      <c r="Z13" s="114"/>
      <c r="AA13" s="114"/>
      <c r="AB13" s="114"/>
      <c r="AC13" s="114"/>
    </row>
    <row r="14" spans="1:31">
      <c r="B14" s="124" t="s">
        <v>371</v>
      </c>
      <c r="C14" s="432">
        <f>_xlfn.PERCENTILE.EXC(I5:I22,0.9)</f>
        <v>6.2677982704592967</v>
      </c>
      <c r="D14" s="114"/>
      <c r="E14" s="62" t="s">
        <v>317</v>
      </c>
      <c r="F14" s="234" t="s">
        <v>302</v>
      </c>
      <c r="G14" s="334">
        <v>369.09199999999998</v>
      </c>
      <c r="H14" s="334">
        <v>466.13600000000002</v>
      </c>
      <c r="I14" s="218">
        <f t="shared" si="0"/>
        <v>0.79181183174009295</v>
      </c>
      <c r="J14" s="63">
        <v>-0.20669999999999999</v>
      </c>
      <c r="K14" s="96">
        <v>2.8107891799334586</v>
      </c>
      <c r="L14" s="302"/>
      <c r="M14" s="85"/>
      <c r="N14" s="85"/>
      <c r="O14" s="420"/>
      <c r="P14" s="382"/>
      <c r="Q14" s="160"/>
      <c r="R14" s="86"/>
      <c r="S14" s="156"/>
      <c r="T14" s="114"/>
      <c r="U14" s="265"/>
      <c r="V14" s="114"/>
      <c r="W14" s="114"/>
      <c r="X14" s="114"/>
      <c r="Y14" s="114"/>
      <c r="Z14" s="114"/>
      <c r="AA14" s="114"/>
      <c r="AB14" s="114"/>
      <c r="AC14" s="114"/>
    </row>
    <row r="15" spans="1:31">
      <c r="B15" s="124" t="s">
        <v>372</v>
      </c>
      <c r="C15" s="432">
        <f>_xlfn.PERCENTILE.EXC(I5:I22,0.75)</f>
        <v>0.95958869566104299</v>
      </c>
      <c r="E15" s="62" t="s">
        <v>304</v>
      </c>
      <c r="F15" s="62" t="s">
        <v>303</v>
      </c>
      <c r="G15" s="335">
        <v>533.1</v>
      </c>
      <c r="H15" s="335">
        <v>1096.7660000000001</v>
      </c>
      <c r="I15" s="218">
        <f t="shared" si="0"/>
        <v>0.48606539590031056</v>
      </c>
      <c r="J15" s="63">
        <v>1.1599999999999999E-2</v>
      </c>
      <c r="K15" s="96">
        <v>2.8939052710560871</v>
      </c>
      <c r="L15" s="302"/>
      <c r="M15" s="85"/>
      <c r="N15" s="85"/>
      <c r="O15" s="420"/>
      <c r="P15" s="383"/>
      <c r="Q15" s="160"/>
      <c r="R15" s="86"/>
      <c r="S15" s="156"/>
      <c r="T15" s="114"/>
      <c r="U15" s="265"/>
      <c r="V15" s="114"/>
      <c r="W15" s="114"/>
      <c r="X15" s="114"/>
      <c r="Y15" s="114"/>
      <c r="Z15" s="114"/>
      <c r="AA15" s="114"/>
      <c r="AB15" s="114"/>
      <c r="AC15" s="114"/>
    </row>
    <row r="16" spans="1:31">
      <c r="B16" s="124" t="s">
        <v>373</v>
      </c>
      <c r="C16" s="432">
        <f>_xlfn.PERCENTILE.EXC(I5:I22,0.5)</f>
        <v>0.47842705820876053</v>
      </c>
      <c r="E16" s="50" t="s">
        <v>306</v>
      </c>
      <c r="F16" s="234" t="s">
        <v>305</v>
      </c>
      <c r="G16" s="334">
        <v>153.042</v>
      </c>
      <c r="H16" s="334">
        <v>148.85400000000001</v>
      </c>
      <c r="I16" s="218">
        <f t="shared" si="0"/>
        <v>1.0281349510258373</v>
      </c>
      <c r="J16" s="63">
        <v>-0.38129999999999997</v>
      </c>
      <c r="K16" s="96">
        <v>6.9598084186040419</v>
      </c>
      <c r="L16" s="302"/>
      <c r="M16" s="85"/>
      <c r="N16" s="85"/>
      <c r="O16" s="420"/>
      <c r="P16" s="382"/>
      <c r="Q16" s="160"/>
      <c r="R16" s="86"/>
      <c r="S16" s="156"/>
      <c r="T16" s="114"/>
      <c r="U16" s="265"/>
      <c r="V16" s="114"/>
      <c r="W16" s="114"/>
      <c r="X16" s="114"/>
      <c r="Y16" s="114"/>
      <c r="Z16" s="114"/>
      <c r="AA16" s="114"/>
      <c r="AB16" s="114"/>
      <c r="AC16" s="114"/>
      <c r="AD16" s="114"/>
      <c r="AE16" s="114"/>
    </row>
    <row r="17" spans="1:31">
      <c r="B17" s="124" t="s">
        <v>374</v>
      </c>
      <c r="C17" s="432">
        <f>_xlfn.PERCENTILE.EXC(I5:I22,0.25)</f>
        <v>0.25859699198887021</v>
      </c>
      <c r="E17" s="76" t="s">
        <v>318</v>
      </c>
      <c r="F17" s="81" t="s">
        <v>307</v>
      </c>
      <c r="G17" s="334">
        <v>3812.0680000000002</v>
      </c>
      <c r="H17" s="334">
        <v>14879.24</v>
      </c>
      <c r="I17" s="218">
        <f t="shared" si="0"/>
        <v>0.2562004510983088</v>
      </c>
      <c r="J17" s="63">
        <v>-0.51359999999999995</v>
      </c>
      <c r="K17" s="96">
        <v>4.6385691440971151</v>
      </c>
      <c r="L17" s="302"/>
      <c r="M17" s="85"/>
      <c r="N17" s="85"/>
      <c r="O17" s="420"/>
      <c r="P17" s="382"/>
      <c r="Q17" s="160"/>
      <c r="R17" s="86"/>
      <c r="S17" s="156"/>
      <c r="T17" s="114"/>
      <c r="U17" s="265"/>
      <c r="V17" s="114"/>
      <c r="W17" s="114"/>
      <c r="X17" s="114"/>
      <c r="Y17" s="114"/>
      <c r="Z17" s="114"/>
      <c r="AA17" s="114"/>
      <c r="AB17" s="114"/>
      <c r="AC17" s="114"/>
      <c r="AD17" s="114"/>
      <c r="AE17" s="114"/>
    </row>
    <row r="18" spans="1:31">
      <c r="A18" s="116"/>
      <c r="E18" s="76" t="s">
        <v>319</v>
      </c>
      <c r="F18" s="76" t="s">
        <v>308</v>
      </c>
      <c r="G18" s="334">
        <v>7218.7950000000001</v>
      </c>
      <c r="H18" s="334">
        <v>26175.896000000001</v>
      </c>
      <c r="I18" s="218">
        <f t="shared" si="0"/>
        <v>0.27578024454253636</v>
      </c>
      <c r="J18" s="63">
        <v>-0.24429999999999999</v>
      </c>
      <c r="K18" s="96">
        <v>5.0502524590322908</v>
      </c>
      <c r="L18" s="302"/>
      <c r="M18" s="85"/>
      <c r="N18" s="85"/>
      <c r="O18" s="420"/>
      <c r="P18" s="382"/>
      <c r="Q18" s="160"/>
      <c r="R18" s="86"/>
      <c r="S18" s="156"/>
      <c r="T18" s="114"/>
      <c r="U18" s="265"/>
      <c r="V18" s="114"/>
      <c r="W18" s="114"/>
      <c r="X18" s="114"/>
      <c r="Y18" s="114"/>
      <c r="Z18" s="114"/>
      <c r="AA18" s="114"/>
      <c r="AB18" s="114"/>
      <c r="AC18" s="114"/>
      <c r="AD18" s="114"/>
      <c r="AE18" s="114"/>
    </row>
    <row r="19" spans="1:31">
      <c r="B19" s="460" t="s">
        <v>236</v>
      </c>
      <c r="C19" s="460"/>
      <c r="E19" s="76" t="s">
        <v>310</v>
      </c>
      <c r="F19" s="76" t="s">
        <v>309</v>
      </c>
      <c r="G19" s="334">
        <v>3538</v>
      </c>
      <c r="H19" s="334">
        <v>4503</v>
      </c>
      <c r="I19" s="218">
        <f t="shared" si="0"/>
        <v>0.78569842327337336</v>
      </c>
      <c r="J19" s="63">
        <v>0.2001</v>
      </c>
      <c r="K19" s="257">
        <v>2.4119303561334084</v>
      </c>
      <c r="L19" s="268"/>
      <c r="M19" s="85"/>
      <c r="N19" s="85"/>
      <c r="O19" s="420"/>
      <c r="P19" s="382"/>
      <c r="Q19" s="160"/>
      <c r="R19" s="86"/>
      <c r="S19" s="225"/>
      <c r="T19" s="114"/>
      <c r="U19" s="265"/>
      <c r="V19" s="114"/>
      <c r="W19" s="114"/>
      <c r="X19" s="114"/>
      <c r="Y19" s="114"/>
      <c r="Z19" s="114"/>
      <c r="AA19" s="114"/>
      <c r="AB19" s="114"/>
      <c r="AC19" s="114"/>
      <c r="AD19" s="114"/>
      <c r="AE19" s="114"/>
    </row>
    <row r="20" spans="1:31">
      <c r="A20" s="116"/>
      <c r="B20" s="124" t="s">
        <v>371</v>
      </c>
      <c r="C20" s="72">
        <f>_xlfn.PERCENTILE.EXC(J5:J22,0.9)</f>
        <v>0.20910000000000012</v>
      </c>
      <c r="E20" s="76" t="s">
        <v>312</v>
      </c>
      <c r="F20" s="76" t="s">
        <v>311</v>
      </c>
      <c r="G20" s="334">
        <v>390.46699999999998</v>
      </c>
      <c r="H20" s="334">
        <v>1505.2940000000001</v>
      </c>
      <c r="I20" s="218">
        <f t="shared" si="0"/>
        <v>0.25939583895239066</v>
      </c>
      <c r="J20" s="63">
        <v>-0.68830000000000002</v>
      </c>
      <c r="K20" s="96">
        <v>-0.98028386521780342</v>
      </c>
      <c r="L20" s="268"/>
      <c r="M20" s="85"/>
      <c r="N20" s="85"/>
      <c r="O20" s="420"/>
      <c r="P20" s="382"/>
      <c r="Q20" s="160"/>
      <c r="R20" s="86"/>
      <c r="S20" s="156"/>
      <c r="T20" s="114"/>
      <c r="U20" s="265"/>
      <c r="V20" s="114"/>
      <c r="W20" s="114"/>
      <c r="X20" s="114"/>
      <c r="Y20" s="114"/>
      <c r="Z20" s="114"/>
      <c r="AA20" s="114"/>
      <c r="AB20" s="114"/>
      <c r="AC20" s="114"/>
      <c r="AD20" s="114"/>
      <c r="AE20" s="114"/>
    </row>
    <row r="21" spans="1:31">
      <c r="B21" s="124" t="s">
        <v>372</v>
      </c>
      <c r="C21" s="72">
        <f>_xlfn.PERCENTILE.EXC(J5:J22,0.75)</f>
        <v>2.23E-2</v>
      </c>
      <c r="E21" s="76" t="s">
        <v>314</v>
      </c>
      <c r="F21" s="76" t="s">
        <v>313</v>
      </c>
      <c r="G21" s="334">
        <v>65.652000000000001</v>
      </c>
      <c r="H21" s="334">
        <v>-4.2320000000000002</v>
      </c>
      <c r="I21" s="218">
        <f t="shared" si="0"/>
        <v>-15.513232514177693</v>
      </c>
      <c r="J21" s="63">
        <v>3.2000000000000002E-3</v>
      </c>
      <c r="K21" s="96">
        <v>0.44720648266617924</v>
      </c>
      <c r="L21" s="268"/>
      <c r="M21" s="85"/>
      <c r="N21" s="85"/>
      <c r="O21" s="420"/>
      <c r="P21" s="382"/>
      <c r="Q21" s="160"/>
      <c r="R21" s="425"/>
      <c r="S21" s="156"/>
      <c r="T21" s="114"/>
      <c r="U21" s="265"/>
      <c r="V21" s="114"/>
      <c r="W21" s="114"/>
      <c r="X21" s="114"/>
      <c r="Y21" s="114"/>
      <c r="Z21" s="114"/>
      <c r="AA21" s="114"/>
      <c r="AB21" s="114"/>
      <c r="AC21" s="114"/>
      <c r="AD21" s="114"/>
      <c r="AE21" s="114"/>
    </row>
    <row r="22" spans="1:31">
      <c r="B22" s="124" t="s">
        <v>373</v>
      </c>
      <c r="C22" s="72">
        <f>_xlfn.PERCENTILE.EXC(J5:J22,0.5)</f>
        <v>-0.12385</v>
      </c>
      <c r="E22" s="76" t="s">
        <v>316</v>
      </c>
      <c r="F22" s="76" t="s">
        <v>315</v>
      </c>
      <c r="G22" s="334">
        <v>2962.4119999999998</v>
      </c>
      <c r="H22" s="334">
        <v>1248.838</v>
      </c>
      <c r="I22" s="218">
        <f t="shared" si="0"/>
        <v>2.3721347364510046</v>
      </c>
      <c r="J22" s="63">
        <v>-8.8200000000000001E-2</v>
      </c>
      <c r="K22" s="96">
        <v>-0.22177286616446332</v>
      </c>
      <c r="L22" s="268"/>
      <c r="M22" s="85"/>
      <c r="N22" s="85"/>
      <c r="O22" s="420"/>
      <c r="P22" s="382"/>
      <c r="Q22" s="160"/>
      <c r="R22" s="86"/>
      <c r="S22" s="156"/>
      <c r="T22" s="114"/>
      <c r="U22" s="265"/>
      <c r="V22" s="114"/>
      <c r="W22" s="114"/>
      <c r="X22" s="114"/>
      <c r="Y22" s="114"/>
      <c r="Z22" s="114"/>
      <c r="AA22" s="114"/>
      <c r="AB22" s="114"/>
      <c r="AC22" s="114"/>
      <c r="AD22" s="114"/>
      <c r="AE22" s="114"/>
    </row>
    <row r="23" spans="1:31">
      <c r="B23" s="124" t="s">
        <v>374</v>
      </c>
      <c r="C23" s="72">
        <f>_xlfn.PERCENTILE.EXC(J5:J22,0.25)</f>
        <v>-0.32429999999999998</v>
      </c>
      <c r="E23" s="264"/>
      <c r="F23" s="207"/>
      <c r="G23" s="156"/>
      <c r="H23" s="156"/>
      <c r="I23" s="97">
        <f>_xlfn.PERCENTILE.EXC(I5:I22,0.5)</f>
        <v>0.47842705820876053</v>
      </c>
      <c r="J23" s="230">
        <f>_xlfn.PERCENTILE.EXC(J5:J22,0.9)</f>
        <v>0.20910000000000012</v>
      </c>
      <c r="K23" s="97">
        <f>_xlfn.PERCENTILE.EXC(K5:K22,0.5)</f>
        <v>2.3981387458694599</v>
      </c>
      <c r="L23" s="268"/>
      <c r="M23" s="85"/>
      <c r="N23" s="85"/>
      <c r="O23" s="382"/>
      <c r="P23" s="382"/>
      <c r="Q23" s="160"/>
      <c r="R23" s="86"/>
      <c r="S23" s="156"/>
      <c r="T23" s="114"/>
      <c r="U23" s="265"/>
      <c r="V23" s="114"/>
      <c r="W23" s="114"/>
      <c r="X23" s="114"/>
      <c r="Y23" s="114"/>
      <c r="Z23" s="114"/>
      <c r="AA23" s="114"/>
      <c r="AB23" s="114"/>
      <c r="AC23" s="114"/>
      <c r="AD23" s="114"/>
      <c r="AE23" s="114"/>
    </row>
    <row r="24" spans="1:31">
      <c r="E24" s="264"/>
      <c r="F24" s="207"/>
      <c r="G24" s="156"/>
      <c r="H24" s="192"/>
      <c r="I24" s="154"/>
      <c r="K24" s="85"/>
      <c r="L24" s="268"/>
      <c r="M24" s="85"/>
      <c r="N24" s="85"/>
      <c r="O24" s="382"/>
      <c r="P24" s="382"/>
      <c r="Q24" s="160"/>
      <c r="R24" s="86"/>
      <c r="S24" s="156"/>
      <c r="T24" s="114"/>
      <c r="U24" s="265"/>
      <c r="V24" s="114"/>
      <c r="W24" s="114"/>
      <c r="X24" s="114"/>
      <c r="Y24" s="114"/>
      <c r="Z24" s="114"/>
      <c r="AA24" s="114"/>
      <c r="AB24" s="114"/>
      <c r="AC24" s="114"/>
      <c r="AD24" s="114"/>
      <c r="AE24" s="114"/>
    </row>
    <row r="25" spans="1:31">
      <c r="L25" s="268"/>
      <c r="M25" s="85"/>
      <c r="N25" s="85"/>
      <c r="O25" s="119"/>
      <c r="P25" s="119"/>
      <c r="Q25" s="160"/>
      <c r="R25" s="425"/>
      <c r="S25" s="225"/>
      <c r="T25" s="114"/>
      <c r="U25" s="265"/>
      <c r="V25" s="114"/>
      <c r="W25" s="114"/>
      <c r="X25" s="114"/>
      <c r="Y25" s="114"/>
      <c r="Z25" s="114"/>
      <c r="AA25" s="114"/>
      <c r="AB25" s="114"/>
      <c r="AC25" s="114"/>
      <c r="AD25" s="114"/>
      <c r="AE25" s="114"/>
    </row>
    <row r="26" spans="1:31">
      <c r="L26" s="268"/>
      <c r="M26" s="85"/>
      <c r="N26" s="85"/>
      <c r="O26" s="382"/>
      <c r="P26" s="382"/>
      <c r="Q26" s="160"/>
      <c r="R26" s="86"/>
      <c r="S26" s="225"/>
      <c r="T26" s="114"/>
      <c r="U26" s="265"/>
      <c r="V26" s="114"/>
      <c r="W26" s="114"/>
      <c r="X26" s="114"/>
      <c r="Y26" s="114"/>
      <c r="Z26" s="114"/>
      <c r="AA26" s="114"/>
      <c r="AB26" s="114"/>
      <c r="AC26" s="114"/>
      <c r="AD26" s="114"/>
      <c r="AE26" s="114"/>
    </row>
    <row r="27" spans="1:31">
      <c r="L27" s="366"/>
      <c r="M27" s="85"/>
      <c r="N27" s="85"/>
      <c r="O27" s="120"/>
      <c r="P27" s="120"/>
      <c r="Q27" s="160"/>
      <c r="R27" s="43"/>
      <c r="S27" s="194"/>
      <c r="T27" s="114"/>
      <c r="U27" s="265"/>
      <c r="V27" s="114"/>
      <c r="W27" s="114"/>
      <c r="X27" s="114"/>
      <c r="Y27" s="114"/>
      <c r="Z27" s="114"/>
      <c r="AA27" s="114"/>
      <c r="AB27" s="114"/>
      <c r="AC27" s="114"/>
      <c r="AD27" s="114"/>
      <c r="AE27" s="114"/>
    </row>
    <row r="28" spans="1:31">
      <c r="L28" s="367"/>
      <c r="M28" s="30"/>
      <c r="N28" s="7"/>
      <c r="O28" s="156"/>
      <c r="P28" s="156"/>
      <c r="Q28" s="156"/>
      <c r="R28" s="86"/>
      <c r="S28" s="156"/>
      <c r="T28" s="114"/>
      <c r="U28" s="114"/>
      <c r="V28" s="114"/>
      <c r="W28" s="114"/>
      <c r="X28" s="114"/>
      <c r="Y28" s="114"/>
      <c r="Z28" s="114"/>
      <c r="AA28" s="114"/>
      <c r="AB28" s="114"/>
      <c r="AC28" s="114"/>
      <c r="AD28" s="114"/>
      <c r="AE28" s="114"/>
    </row>
    <row r="29" spans="1:31">
      <c r="L29" s="302"/>
      <c r="M29" s="225"/>
      <c r="N29" s="86"/>
      <c r="O29" s="156"/>
      <c r="Q29" s="267"/>
      <c r="R29" s="268"/>
      <c r="S29" s="114"/>
      <c r="T29" s="114"/>
      <c r="U29" s="114"/>
      <c r="V29" s="114"/>
      <c r="W29" s="114"/>
      <c r="X29" s="114"/>
      <c r="Y29" s="114"/>
      <c r="Z29" s="114"/>
      <c r="AA29" s="114"/>
      <c r="AB29" s="114"/>
      <c r="AC29" s="114"/>
      <c r="AD29" s="114"/>
      <c r="AE29" s="114"/>
    </row>
    <row r="30" spans="1:31" ht="12" customHeight="1">
      <c r="L30" s="302"/>
      <c r="M30" s="102"/>
      <c r="N30" s="102"/>
      <c r="O30" s="102"/>
      <c r="P30" s="102"/>
      <c r="Q30" s="102"/>
      <c r="R30" s="102"/>
      <c r="S30" s="102"/>
      <c r="T30" s="114"/>
      <c r="U30" s="114"/>
      <c r="V30" s="114"/>
      <c r="W30" s="114"/>
      <c r="X30" s="114"/>
      <c r="Y30" s="114"/>
      <c r="Z30" s="114"/>
      <c r="AA30" s="114"/>
      <c r="AB30" s="114"/>
      <c r="AC30" s="114"/>
      <c r="AD30" s="114"/>
      <c r="AE30" s="114"/>
    </row>
    <row r="31" spans="1:31">
      <c r="L31" s="302"/>
      <c r="M31" s="44"/>
      <c r="N31" s="44"/>
      <c r="O31" s="269"/>
      <c r="P31" s="269"/>
      <c r="Q31" s="269"/>
      <c r="R31" s="269"/>
      <c r="S31" s="269"/>
      <c r="T31" s="114"/>
      <c r="U31" s="114"/>
      <c r="V31" s="114"/>
      <c r="W31" s="114"/>
      <c r="X31" s="114"/>
      <c r="Y31" s="114"/>
      <c r="Z31" s="114"/>
      <c r="AA31" s="114"/>
      <c r="AB31" s="114"/>
      <c r="AC31" s="114"/>
      <c r="AD31" s="114"/>
      <c r="AE31" s="114"/>
    </row>
    <row r="32" spans="1:31">
      <c r="L32" s="302"/>
      <c r="M32" s="85"/>
      <c r="N32" s="85"/>
      <c r="O32" s="420"/>
      <c r="P32" s="420"/>
      <c r="Q32" s="160"/>
      <c r="R32" s="86"/>
      <c r="S32" s="156"/>
      <c r="T32" s="114"/>
      <c r="U32" s="265"/>
      <c r="V32" s="114"/>
      <c r="W32" s="114"/>
      <c r="X32" s="114"/>
      <c r="Y32" s="114"/>
      <c r="Z32" s="114"/>
      <c r="AA32" s="114"/>
      <c r="AB32" s="114"/>
      <c r="AC32" s="114"/>
      <c r="AD32" s="114"/>
      <c r="AE32" s="114"/>
    </row>
    <row r="33" spans="12:31">
      <c r="L33" s="302"/>
      <c r="M33" s="85"/>
      <c r="N33" s="270"/>
      <c r="O33" s="382"/>
      <c r="P33" s="382"/>
      <c r="Q33" s="160"/>
      <c r="R33" s="421"/>
      <c r="S33" s="422"/>
      <c r="T33" s="114"/>
      <c r="U33" s="265"/>
      <c r="V33" s="114"/>
      <c r="W33" s="114"/>
      <c r="X33" s="114"/>
      <c r="Y33" s="114"/>
      <c r="Z33" s="114"/>
      <c r="AA33" s="114"/>
      <c r="AB33" s="114"/>
      <c r="AC33" s="114"/>
      <c r="AD33" s="114"/>
      <c r="AE33" s="114"/>
    </row>
    <row r="34" spans="12:31">
      <c r="L34" s="302"/>
      <c r="M34" s="30"/>
      <c r="N34" s="7"/>
      <c r="O34" s="156"/>
      <c r="P34" s="156"/>
      <c r="Q34" s="156"/>
      <c r="R34" s="86"/>
      <c r="S34" s="156"/>
      <c r="T34" s="114"/>
      <c r="U34" s="114"/>
      <c r="V34" s="114"/>
      <c r="W34" s="114"/>
      <c r="X34" s="114"/>
      <c r="Y34" s="114"/>
      <c r="Z34" s="114"/>
      <c r="AA34" s="114"/>
      <c r="AB34" s="114"/>
      <c r="AC34" s="114"/>
      <c r="AD34" s="114"/>
      <c r="AE34" s="114"/>
    </row>
    <row r="35" spans="12:31">
      <c r="L35" s="302"/>
      <c r="T35" s="114"/>
      <c r="U35" s="114"/>
      <c r="V35" s="114"/>
      <c r="W35" s="114"/>
      <c r="X35" s="114"/>
      <c r="Y35" s="114"/>
      <c r="Z35" s="114"/>
      <c r="AA35" s="114"/>
      <c r="AB35" s="114"/>
      <c r="AC35" s="114"/>
      <c r="AD35" s="114"/>
      <c r="AE35" s="114"/>
    </row>
    <row r="36" spans="12:31">
      <c r="L36" s="302"/>
      <c r="M36" s="44"/>
      <c r="N36" s="44"/>
      <c r="O36" s="269"/>
      <c r="P36" s="269"/>
      <c r="Q36" s="59"/>
      <c r="R36" s="269"/>
      <c r="S36" s="269"/>
      <c r="T36" s="114"/>
      <c r="U36" s="114"/>
      <c r="V36" s="114"/>
      <c r="W36" s="114"/>
      <c r="X36" s="114"/>
      <c r="Y36" s="114"/>
      <c r="Z36" s="114"/>
      <c r="AA36" s="114"/>
      <c r="AB36" s="114"/>
      <c r="AC36" s="114"/>
      <c r="AD36" s="114"/>
      <c r="AE36" s="114"/>
    </row>
    <row r="37" spans="12:31">
      <c r="L37" s="302"/>
      <c r="M37" s="271"/>
      <c r="N37" s="426"/>
      <c r="O37" s="156"/>
      <c r="P37" s="429"/>
      <c r="Q37" s="86"/>
      <c r="R37" s="430"/>
      <c r="S37" s="70"/>
      <c r="T37" s="114"/>
      <c r="U37" s="114"/>
      <c r="V37" s="114"/>
      <c r="W37" s="114"/>
      <c r="X37" s="114"/>
      <c r="Y37" s="114"/>
      <c r="Z37" s="114"/>
      <c r="AA37" s="114"/>
      <c r="AB37" s="114"/>
      <c r="AC37" s="114"/>
      <c r="AD37" s="114"/>
      <c r="AE37" s="114"/>
    </row>
    <row r="38" spans="12:31">
      <c r="L38" s="270"/>
      <c r="M38" s="271"/>
      <c r="N38" s="426"/>
      <c r="O38" s="156"/>
      <c r="P38" s="429"/>
      <c r="Q38" s="86"/>
      <c r="R38" s="430"/>
      <c r="S38" s="70"/>
      <c r="T38" s="114"/>
      <c r="U38" s="114"/>
      <c r="V38" s="114"/>
      <c r="W38" s="114"/>
      <c r="X38" s="114"/>
      <c r="Y38" s="114"/>
      <c r="Z38" s="114"/>
      <c r="AA38" s="114"/>
      <c r="AB38" s="114"/>
      <c r="AC38" s="114"/>
      <c r="AD38" s="114"/>
      <c r="AE38" s="114"/>
    </row>
    <row r="39" spans="12:31">
      <c r="L39" s="85"/>
      <c r="M39" s="271"/>
      <c r="N39" s="426"/>
      <c r="O39" s="156"/>
      <c r="P39" s="429"/>
      <c r="Q39" s="86"/>
      <c r="R39" s="430"/>
      <c r="S39" s="70"/>
    </row>
    <row r="40" spans="12:31">
      <c r="L40" s="270"/>
      <c r="M40" s="271"/>
      <c r="N40" s="426"/>
      <c r="O40" s="156"/>
      <c r="P40" s="429"/>
      <c r="Q40" s="86"/>
      <c r="R40" s="430"/>
      <c r="S40" s="70"/>
    </row>
    <row r="41" spans="12:31">
      <c r="L41" s="85"/>
      <c r="M41" s="85"/>
      <c r="N41" s="431"/>
      <c r="O41" s="156"/>
      <c r="P41" s="429"/>
      <c r="Q41" s="86"/>
      <c r="R41" s="427"/>
      <c r="S41" s="428"/>
    </row>
    <row r="42" spans="12:31">
      <c r="L42" s="302"/>
    </row>
    <row r="43" spans="12:31">
      <c r="L43" s="268"/>
    </row>
    <row r="44" spans="12:31">
      <c r="L44" s="268"/>
    </row>
    <row r="45" spans="12:31">
      <c r="L45" s="268"/>
    </row>
    <row r="46" spans="12:31">
      <c r="L46" s="268"/>
    </row>
    <row r="47" spans="12:31">
      <c r="L47" s="268"/>
    </row>
    <row r="48" spans="12:31">
      <c r="L48" s="7"/>
    </row>
    <row r="49" spans="12:12">
      <c r="L49" s="7"/>
    </row>
  </sheetData>
  <mergeCells count="3">
    <mergeCell ref="B19:C19"/>
    <mergeCell ref="E3:K3"/>
    <mergeCell ref="B13:C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7"/>
  <sheetViews>
    <sheetView zoomScaleNormal="100" workbookViewId="0"/>
  </sheetViews>
  <sheetFormatPr defaultRowHeight="12"/>
  <cols>
    <col min="1" max="1" width="2" style="109" customWidth="1"/>
    <col min="2" max="2" width="6.85546875" style="109" customWidth="1"/>
    <col min="3" max="3" width="16.7109375" style="109" customWidth="1"/>
    <col min="4" max="4" width="14.5703125" style="109" customWidth="1"/>
    <col min="5" max="5" width="13.7109375" style="109" customWidth="1"/>
    <col min="6" max="6" width="12.5703125" style="109" customWidth="1"/>
    <col min="7" max="7" width="15.7109375" style="109" customWidth="1" collapsed="1"/>
    <col min="8" max="8" width="12.7109375" style="109" customWidth="1"/>
    <col min="9" max="9" width="3" style="109" customWidth="1"/>
    <col min="10" max="10" width="20.42578125"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77</v>
      </c>
      <c r="C1" s="107"/>
      <c r="D1" s="107"/>
      <c r="E1" s="107"/>
      <c r="F1" s="107"/>
      <c r="G1" s="107"/>
      <c r="H1" s="107"/>
      <c r="I1" s="107"/>
      <c r="J1" s="107"/>
      <c r="K1" s="107"/>
      <c r="L1" s="107"/>
      <c r="M1" s="107"/>
      <c r="N1" s="107"/>
    </row>
    <row r="2" spans="1:32" ht="12" customHeight="1">
      <c r="C2" s="129"/>
    </row>
    <row r="3" spans="1:32" ht="12" customHeight="1">
      <c r="A3" s="111"/>
      <c r="B3" s="172"/>
      <c r="C3" s="149" t="s">
        <v>151</v>
      </c>
      <c r="D3" s="149" t="s">
        <v>150</v>
      </c>
      <c r="E3" s="149" t="s">
        <v>4</v>
      </c>
      <c r="F3" s="149" t="s">
        <v>83</v>
      </c>
      <c r="G3" s="149" t="s">
        <v>3</v>
      </c>
      <c r="H3" s="149" t="s">
        <v>125</v>
      </c>
      <c r="J3" s="163" t="s">
        <v>93</v>
      </c>
      <c r="K3" s="168">
        <f ca="1">'Risk Free Rate &amp; ERP'!G20</f>
        <v>0.23616941022450705</v>
      </c>
      <c r="L3" s="102"/>
      <c r="M3" s="102"/>
      <c r="N3" s="102"/>
    </row>
    <row r="4" spans="1:32" ht="12" customHeight="1">
      <c r="A4" s="116"/>
      <c r="B4" s="165" t="s">
        <v>82</v>
      </c>
      <c r="C4" s="298">
        <f>83.76*1000*(1+5.3%)</f>
        <v>88199.28</v>
      </c>
      <c r="D4" s="433">
        <f>E4/C4</f>
        <v>9.1039858828779546E-2</v>
      </c>
      <c r="E4" s="300">
        <f>'Accounting Adjustments'!G4</f>
        <v>8029.65</v>
      </c>
      <c r="F4" s="174">
        <f>G4/E4</f>
        <v>6.8757871170768176E-2</v>
      </c>
      <c r="G4" s="298">
        <f>'FCFF &amp; FCFE'!G5</f>
        <v>552.10164024635867</v>
      </c>
      <c r="H4" s="298">
        <f>G4*(1-$K$4)</f>
        <v>523.72361593769585</v>
      </c>
      <c r="J4" s="163" t="s">
        <v>157</v>
      </c>
      <c r="K4" s="168">
        <f>'FCFF &amp; FCFE'!G6</f>
        <v>5.1400000000000001E-2</v>
      </c>
      <c r="L4" s="44"/>
      <c r="M4" s="44"/>
      <c r="N4" s="59"/>
      <c r="O4" s="113"/>
      <c r="P4" s="113"/>
      <c r="U4" s="113"/>
    </row>
    <row r="5" spans="1:32" ht="12" customHeight="1">
      <c r="A5" s="116"/>
      <c r="B5" s="162">
        <v>1</v>
      </c>
      <c r="C5" s="292">
        <f t="shared" ref="C5:C14" si="0">C4*(1+$K$6)</f>
        <v>92873.841839999994</v>
      </c>
      <c r="D5" s="368">
        <f>AVERAGE(D4,D6)</f>
        <v>0.1046598764751821</v>
      </c>
      <c r="E5" s="301">
        <f t="shared" ref="E5:E14" si="1">C5*D5</f>
        <v>9720.1648147499982</v>
      </c>
      <c r="F5" s="229">
        <f>'Future Value (Equity Options)'!G20</f>
        <v>-0.16009759482520236</v>
      </c>
      <c r="G5" s="284">
        <f t="shared" ref="G5:G14" si="2">E5*F5</f>
        <v>-1556.1750081460334</v>
      </c>
      <c r="H5" s="284">
        <f ca="1">G5*(1-$K$3)</f>
        <v>-1188.6540742660673</v>
      </c>
      <c r="J5" s="85"/>
      <c r="K5" s="160"/>
      <c r="L5" s="85"/>
      <c r="M5" s="85"/>
      <c r="N5" s="119"/>
      <c r="O5" s="114"/>
      <c r="P5" s="114"/>
      <c r="Q5" s="114"/>
      <c r="R5" s="114"/>
      <c r="S5" s="114"/>
      <c r="T5" s="114"/>
      <c r="U5" s="114"/>
      <c r="V5" s="114"/>
      <c r="W5" s="114"/>
      <c r="X5" s="114"/>
      <c r="Y5" s="114"/>
      <c r="Z5" s="114"/>
    </row>
    <row r="6" spans="1:32" ht="12" customHeight="1">
      <c r="A6" s="116"/>
      <c r="B6" s="162">
        <f t="shared" ref="B6:B14" si="3">B5+1</f>
        <v>2</v>
      </c>
      <c r="C6" s="292">
        <f t="shared" si="0"/>
        <v>97796.155457519984</v>
      </c>
      <c r="D6" s="368">
        <f>AVERAGE(D4,D9)</f>
        <v>0.11827989412158467</v>
      </c>
      <c r="E6" s="301">
        <f t="shared" si="1"/>
        <v>11567.318913013498</v>
      </c>
      <c r="F6" s="229">
        <f>'Future Value (Equity Options)'!G21</f>
        <v>-0.11898360718771483</v>
      </c>
      <c r="G6" s="284">
        <f t="shared" si="2"/>
        <v>-1376.3213297610225</v>
      </c>
      <c r="H6" s="284">
        <f t="shared" ref="H6:H13" ca="1" si="4">G6*(1-$K$3)</f>
        <v>-1051.2763330319524</v>
      </c>
      <c r="J6" s="163" t="s">
        <v>375</v>
      </c>
      <c r="K6" s="168">
        <v>5.2999999999999999E-2</v>
      </c>
      <c r="L6" s="85"/>
      <c r="M6" s="85"/>
      <c r="N6" s="119"/>
      <c r="O6" s="114"/>
      <c r="P6" s="114"/>
      <c r="Q6" s="114"/>
      <c r="R6" s="114"/>
      <c r="S6" s="114"/>
      <c r="T6" s="114"/>
      <c r="U6" s="114"/>
      <c r="V6" s="114"/>
      <c r="W6" s="114"/>
      <c r="X6" s="114"/>
      <c r="Y6" s="114"/>
      <c r="Z6" s="114"/>
    </row>
    <row r="7" spans="1:32" ht="12" customHeight="1">
      <c r="B7" s="162">
        <f t="shared" si="3"/>
        <v>3</v>
      </c>
      <c r="C7" s="292">
        <f t="shared" si="0"/>
        <v>102979.35169676854</v>
      </c>
      <c r="D7" s="368">
        <f>AVERAGE(D6,D9)</f>
        <v>0.13189991176798724</v>
      </c>
      <c r="E7" s="301">
        <f t="shared" si="1"/>
        <v>13582.967402728298</v>
      </c>
      <c r="F7" s="229">
        <f>'Future Value (Equity Options)'!G22</f>
        <v>-7.7869619550227087E-2</v>
      </c>
      <c r="G7" s="284">
        <f t="shared" si="2"/>
        <v>-1057.7005040135887</v>
      </c>
      <c r="H7" s="284">
        <f t="shared" ca="1" si="4"/>
        <v>-807.90399978653556</v>
      </c>
      <c r="J7" s="163" t="s">
        <v>376</v>
      </c>
      <c r="K7" s="419">
        <v>119.8</v>
      </c>
      <c r="L7" s="85"/>
      <c r="M7" s="85"/>
      <c r="N7" s="154"/>
      <c r="O7" s="114"/>
      <c r="P7" s="114"/>
      <c r="Q7" s="114"/>
      <c r="R7" s="114"/>
      <c r="S7" s="114"/>
      <c r="T7" s="114"/>
      <c r="U7" s="114"/>
      <c r="V7" s="114"/>
      <c r="W7" s="114"/>
      <c r="X7" s="114"/>
      <c r="Y7" s="114"/>
      <c r="Z7" s="114"/>
    </row>
    <row r="8" spans="1:32" ht="12" customHeight="1">
      <c r="A8" s="116"/>
      <c r="B8" s="162">
        <f t="shared" si="3"/>
        <v>4</v>
      </c>
      <c r="C8" s="292">
        <f t="shared" si="0"/>
        <v>108437.25733669726</v>
      </c>
      <c r="D8" s="368">
        <f>AVERAGE(D7,D9)</f>
        <v>0.13870992059118853</v>
      </c>
      <c r="E8" s="301">
        <f t="shared" si="1"/>
        <v>15041.323354299553</v>
      </c>
      <c r="F8" s="229">
        <f>'Future Value (Equity Options)'!G23</f>
        <v>-2.7984248860912331E-2</v>
      </c>
      <c r="G8" s="284">
        <f t="shared" si="2"/>
        <v>-420.92013594417131</v>
      </c>
      <c r="H8" s="284">
        <f t="shared" ca="1" si="4"/>
        <v>-321.51167568661702</v>
      </c>
      <c r="J8" s="163" t="s">
        <v>388</v>
      </c>
      <c r="K8" s="419">
        <f>E4/150</f>
        <v>53.530999999999999</v>
      </c>
      <c r="L8" s="85"/>
      <c r="M8" s="85"/>
      <c r="N8" s="154"/>
      <c r="O8" s="114"/>
      <c r="P8" s="114"/>
      <c r="Q8" s="114"/>
      <c r="R8" s="114"/>
      <c r="S8" s="114"/>
      <c r="T8" s="114"/>
      <c r="U8" s="114"/>
      <c r="V8" s="114"/>
      <c r="W8" s="114"/>
      <c r="X8" s="114"/>
      <c r="Y8" s="114"/>
      <c r="Z8" s="114"/>
    </row>
    <row r="9" spans="1:32" ht="12" customHeight="1">
      <c r="A9" s="116"/>
      <c r="B9" s="162">
        <f t="shared" si="3"/>
        <v>5</v>
      </c>
      <c r="C9" s="292">
        <f t="shared" si="0"/>
        <v>114184.43197554222</v>
      </c>
      <c r="D9" s="368">
        <f>AVERAGE(D4,D14)</f>
        <v>0.14551992941438979</v>
      </c>
      <c r="E9" s="301">
        <f t="shared" si="1"/>
        <v>16616.110481303098</v>
      </c>
      <c r="F9" s="229">
        <f>'Future Value (Equity Options)'!G24</f>
        <v>2.1901121828402315E-2</v>
      </c>
      <c r="G9" s="284">
        <f t="shared" si="2"/>
        <v>363.91145996521175</v>
      </c>
      <c r="H9" s="284">
        <f t="shared" ca="1" si="4"/>
        <v>277.96670509128836</v>
      </c>
      <c r="J9" s="85"/>
      <c r="K9" s="156"/>
      <c r="L9" s="85"/>
      <c r="M9" s="85"/>
      <c r="N9" s="154"/>
      <c r="O9" s="114"/>
      <c r="P9" s="114"/>
      <c r="Q9" s="114"/>
      <c r="R9" s="114"/>
      <c r="S9" s="114"/>
      <c r="T9" s="114"/>
      <c r="U9" s="114"/>
      <c r="V9" s="114"/>
      <c r="W9" s="114"/>
      <c r="X9" s="114"/>
      <c r="Y9" s="114"/>
      <c r="Z9" s="114"/>
    </row>
    <row r="10" spans="1:32">
      <c r="A10" s="112"/>
      <c r="B10" s="162">
        <f t="shared" si="3"/>
        <v>6</v>
      </c>
      <c r="C10" s="292">
        <f t="shared" si="0"/>
        <v>120236.20687024595</v>
      </c>
      <c r="D10" s="368">
        <f>AVERAGE(D9,D11)</f>
        <v>0.15913994706079235</v>
      </c>
      <c r="E10" s="301">
        <f t="shared" si="1"/>
        <v>19134.383596121417</v>
      </c>
      <c r="F10" s="229">
        <f>'Future Value (Equity Options)'!G25</f>
        <v>7.1786492517716849E-2</v>
      </c>
      <c r="G10" s="284">
        <f t="shared" si="2"/>
        <v>1373.5902848540941</v>
      </c>
      <c r="H10" s="284">
        <f t="shared" ca="1" si="4"/>
        <v>1049.1902773899899</v>
      </c>
      <c r="J10" s="85"/>
      <c r="K10" s="156"/>
      <c r="L10" s="85"/>
      <c r="M10" s="85"/>
      <c r="N10" s="154"/>
      <c r="O10" s="114"/>
      <c r="P10" s="114"/>
      <c r="Q10" s="114"/>
      <c r="R10" s="114"/>
      <c r="S10" s="114"/>
      <c r="T10" s="114"/>
      <c r="U10" s="114"/>
      <c r="V10" s="114"/>
      <c r="W10" s="114"/>
      <c r="X10" s="114"/>
      <c r="Y10" s="114"/>
      <c r="Z10" s="114"/>
    </row>
    <row r="11" spans="1:32">
      <c r="A11" s="116"/>
      <c r="B11" s="162">
        <f t="shared" si="3"/>
        <v>7</v>
      </c>
      <c r="C11" s="292">
        <f t="shared" si="0"/>
        <v>126608.72583436898</v>
      </c>
      <c r="D11" s="368">
        <f>AVERAGE(D9,D14)</f>
        <v>0.1727599647071949</v>
      </c>
      <c r="E11" s="301">
        <f t="shared" si="1"/>
        <v>21872.919006768501</v>
      </c>
      <c r="F11" s="229">
        <f>'Future Value (Equity Options)'!G26</f>
        <v>0.11290048015520449</v>
      </c>
      <c r="G11" s="284">
        <f t="shared" si="2"/>
        <v>2469.4630582600621</v>
      </c>
      <c r="H11" s="284">
        <f t="shared" ca="1" si="4"/>
        <v>1886.2514242195757</v>
      </c>
      <c r="J11" s="344"/>
      <c r="K11" s="225"/>
      <c r="L11" s="85"/>
      <c r="M11" s="85"/>
      <c r="N11" s="154"/>
      <c r="O11" s="114"/>
      <c r="P11" s="114"/>
      <c r="Q11" s="114"/>
      <c r="R11" s="114"/>
      <c r="S11" s="114"/>
      <c r="T11" s="114"/>
      <c r="U11" s="114"/>
      <c r="V11" s="114"/>
      <c r="W11" s="114"/>
      <c r="X11" s="114"/>
      <c r="Y11" s="114"/>
      <c r="Z11" s="114"/>
    </row>
    <row r="12" spans="1:32">
      <c r="B12" s="162">
        <f t="shared" si="3"/>
        <v>8</v>
      </c>
      <c r="C12" s="292">
        <f t="shared" si="0"/>
        <v>133318.98830359054</v>
      </c>
      <c r="D12" s="368">
        <f>AVERAGE(D11,D14)</f>
        <v>0.18637998235359746</v>
      </c>
      <c r="E12" s="301">
        <f t="shared" si="1"/>
        <v>24847.990687422669</v>
      </c>
      <c r="F12" s="229">
        <f>'Future Value (Equity Options)'!G27</f>
        <v>0.15401446779269212</v>
      </c>
      <c r="G12" s="284">
        <f t="shared" si="2"/>
        <v>3826.9500614411722</v>
      </c>
      <c r="H12" s="284">
        <f t="shared" ca="1" si="4"/>
        <v>2923.1415224719694</v>
      </c>
      <c r="J12" s="85"/>
      <c r="K12" s="156"/>
      <c r="L12" s="85"/>
      <c r="M12" s="85"/>
      <c r="N12" s="154"/>
      <c r="O12" s="114"/>
      <c r="P12" s="114"/>
      <c r="Q12" s="114"/>
      <c r="R12" s="114"/>
      <c r="S12" s="114"/>
      <c r="T12" s="114"/>
      <c r="U12" s="114"/>
      <c r="V12" s="114"/>
      <c r="W12" s="114"/>
      <c r="X12" s="114"/>
      <c r="Y12" s="114"/>
      <c r="Z12" s="114"/>
    </row>
    <row r="13" spans="1:32">
      <c r="A13" s="116"/>
      <c r="B13" s="162">
        <f t="shared" si="3"/>
        <v>9</v>
      </c>
      <c r="C13" s="292">
        <f t="shared" si="0"/>
        <v>140384.89468368082</v>
      </c>
      <c r="D13" s="368">
        <f>AVERAGE(D12,D14)</f>
        <v>0.19318999117679875</v>
      </c>
      <c r="E13" s="301">
        <f t="shared" si="1"/>
        <v>27120.956565296117</v>
      </c>
      <c r="F13" s="229">
        <f>'Future Value (Equity Options)'!G28</f>
        <v>0.17155723389634614</v>
      </c>
      <c r="G13" s="284">
        <f t="shared" si="2"/>
        <v>4652.7962889651508</v>
      </c>
      <c r="H13" s="284">
        <f t="shared" ca="1" si="4"/>
        <v>3553.9481335054757</v>
      </c>
      <c r="J13" s="85"/>
      <c r="K13" s="85"/>
      <c r="L13" s="85"/>
      <c r="M13" s="85"/>
      <c r="N13" s="154"/>
      <c r="O13" s="114"/>
      <c r="P13" s="114"/>
      <c r="Q13" s="114"/>
      <c r="R13" s="114"/>
      <c r="S13" s="114"/>
      <c r="T13" s="114"/>
      <c r="U13" s="114"/>
      <c r="V13" s="114"/>
      <c r="W13" s="114"/>
      <c r="X13" s="114"/>
      <c r="Y13" s="114"/>
      <c r="Z13" s="114"/>
    </row>
    <row r="14" spans="1:32">
      <c r="B14" s="162">
        <f t="shared" si="3"/>
        <v>10</v>
      </c>
      <c r="C14" s="292">
        <f t="shared" si="0"/>
        <v>147825.2941019159</v>
      </c>
      <c r="D14" s="368">
        <v>0.2</v>
      </c>
      <c r="E14" s="301">
        <f t="shared" si="1"/>
        <v>29565.058820383183</v>
      </c>
      <c r="F14" s="229">
        <f>'Future Value (Equity Options)'!G29</f>
        <v>0.18910000000000005</v>
      </c>
      <c r="G14" s="284">
        <f t="shared" si="2"/>
        <v>5590.7526229344612</v>
      </c>
      <c r="H14" s="284">
        <f ca="1">G14*(1-$K$3)</f>
        <v>4270.3878732649137</v>
      </c>
      <c r="J14" s="85"/>
      <c r="K14" s="85"/>
      <c r="L14" s="85"/>
      <c r="M14" s="85"/>
      <c r="N14" s="158"/>
      <c r="O14" s="114"/>
      <c r="P14" s="114"/>
      <c r="Q14" s="114"/>
      <c r="R14" s="114"/>
      <c r="S14" s="114"/>
      <c r="T14" s="114"/>
      <c r="U14" s="114"/>
      <c r="V14" s="114"/>
      <c r="W14" s="114"/>
      <c r="X14" s="114"/>
      <c r="Y14" s="114"/>
      <c r="Z14" s="114"/>
    </row>
    <row r="15" spans="1:32">
      <c r="C15" s="161"/>
      <c r="D15" s="93"/>
      <c r="E15" s="244"/>
      <c r="F15" s="244"/>
      <c r="G15" s="243"/>
      <c r="H15" s="13"/>
      <c r="I15" s="214"/>
      <c r="J15" s="85"/>
      <c r="K15" s="85"/>
      <c r="L15" s="225"/>
      <c r="M15" s="154"/>
      <c r="N15" s="154"/>
      <c r="Q15" s="114"/>
      <c r="R15" s="114"/>
      <c r="S15" s="114"/>
      <c r="T15" s="114"/>
      <c r="U15" s="114"/>
      <c r="V15" s="114"/>
      <c r="W15" s="114"/>
      <c r="X15" s="114"/>
      <c r="Y15" s="114"/>
      <c r="Z15" s="114"/>
      <c r="AA15" s="114"/>
      <c r="AB15" s="114"/>
      <c r="AC15" s="114"/>
      <c r="AD15" s="114"/>
      <c r="AE15" s="114"/>
      <c r="AF15" s="114"/>
    </row>
    <row r="16" spans="1:32">
      <c r="F16" s="85"/>
      <c r="G16" s="164"/>
      <c r="H16" s="102"/>
      <c r="I16" s="159"/>
      <c r="J16" s="85"/>
      <c r="K16" s="85"/>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B17" s="172"/>
      <c r="C17" s="77" t="s">
        <v>84</v>
      </c>
      <c r="D17" s="77" t="s">
        <v>85</v>
      </c>
      <c r="E17" s="77" t="s">
        <v>55</v>
      </c>
      <c r="F17" s="77" t="s">
        <v>86</v>
      </c>
      <c r="G17" s="77" t="s">
        <v>87</v>
      </c>
      <c r="H17" s="77" t="s">
        <v>88</v>
      </c>
      <c r="I17" s="44"/>
      <c r="J17" s="85"/>
      <c r="K17" s="85"/>
      <c r="L17" s="156"/>
      <c r="M17" s="225"/>
      <c r="N17" s="461"/>
      <c r="O17" s="461"/>
      <c r="P17" s="461"/>
      <c r="Q17" s="114"/>
      <c r="R17" s="114"/>
      <c r="S17" s="114"/>
      <c r="T17" s="114"/>
      <c r="U17" s="114"/>
      <c r="V17" s="114"/>
      <c r="W17" s="114"/>
      <c r="X17" s="114"/>
      <c r="Y17" s="114"/>
      <c r="Z17" s="114"/>
      <c r="AA17" s="114"/>
      <c r="AB17" s="114"/>
      <c r="AC17" s="114"/>
      <c r="AD17" s="114"/>
      <c r="AE17" s="114"/>
      <c r="AF17" s="114"/>
    </row>
    <row r="18" spans="1:34">
      <c r="A18" s="116"/>
      <c r="B18" s="165" t="s">
        <v>82</v>
      </c>
      <c r="C18" s="299"/>
      <c r="D18" s="166"/>
      <c r="E18" s="299"/>
      <c r="F18" s="298">
        <f>'FCFF &amp; FCFE'!C4</f>
        <v>1296.0605013808708</v>
      </c>
      <c r="G18" s="300">
        <f>'Expected Growth Rate'!C8</f>
        <v>-1727.7859999999991</v>
      </c>
      <c r="H18" s="167">
        <f t="shared" ref="H18:H28" si="5">H4/G18</f>
        <v>-0.30311833522073689</v>
      </c>
      <c r="I18" s="156"/>
      <c r="J18" s="85"/>
      <c r="K18" s="85"/>
      <c r="L18" s="156"/>
      <c r="M18" s="154"/>
      <c r="N18" s="226"/>
      <c r="O18" s="118"/>
      <c r="P18" s="118"/>
      <c r="Q18" s="114"/>
      <c r="R18" s="114"/>
      <c r="S18" s="114"/>
      <c r="T18" s="114"/>
      <c r="U18" s="114"/>
      <c r="V18" s="114"/>
      <c r="W18" s="114"/>
      <c r="X18" s="114"/>
      <c r="Y18" s="114"/>
      <c r="Z18" s="114"/>
      <c r="AA18" s="114"/>
      <c r="AB18" s="114"/>
      <c r="AC18" s="114"/>
      <c r="AD18" s="114"/>
      <c r="AE18" s="114"/>
      <c r="AF18" s="114"/>
    </row>
    <row r="19" spans="1:34">
      <c r="B19" s="162">
        <v>1</v>
      </c>
      <c r="C19" s="284">
        <f t="shared" ref="C19:C28" si="6">E5-E4</f>
        <v>1690.5148147499985</v>
      </c>
      <c r="D19" s="151">
        <f>'Expected Growth Rate'!$C$15</f>
        <v>0.95958869566104299</v>
      </c>
      <c r="E19" s="284">
        <f>C19/D19</f>
        <v>1761.7077216457142</v>
      </c>
      <c r="F19" s="284">
        <f t="shared" ref="F19:F28" ca="1" si="7">H5-E19</f>
        <v>-2950.3617959117814</v>
      </c>
      <c r="G19" s="301">
        <f t="shared" ref="G19:G27" si="8">G18+E19</f>
        <v>33.921721645715024</v>
      </c>
      <c r="H19" s="63">
        <f t="shared" ca="1" si="5"/>
        <v>-35.041089207694078</v>
      </c>
      <c r="I19" s="86"/>
      <c r="J19" s="85"/>
      <c r="K19" s="85"/>
      <c r="L19" s="156"/>
      <c r="M19" s="154"/>
      <c r="N19" s="194"/>
      <c r="O19" s="191"/>
      <c r="P19" s="154"/>
      <c r="Q19" s="114"/>
      <c r="R19" s="114"/>
      <c r="S19" s="114"/>
      <c r="T19" s="114"/>
      <c r="U19" s="114"/>
      <c r="V19" s="114"/>
      <c r="W19" s="114"/>
      <c r="X19" s="114"/>
      <c r="Y19" s="114"/>
      <c r="Z19" s="114"/>
      <c r="AA19" s="114"/>
      <c r="AB19" s="114"/>
      <c r="AC19" s="114"/>
      <c r="AD19" s="114"/>
      <c r="AE19" s="114"/>
      <c r="AF19" s="114"/>
    </row>
    <row r="20" spans="1:34">
      <c r="A20" s="116"/>
      <c r="B20" s="162">
        <f t="shared" ref="B20:B28" si="9">B19+1</f>
        <v>2</v>
      </c>
      <c r="C20" s="284">
        <f t="shared" si="6"/>
        <v>1847.1540982634997</v>
      </c>
      <c r="D20" s="151">
        <f>'Expected Growth Rate'!$C$15</f>
        <v>0.95958869566104299</v>
      </c>
      <c r="E20" s="284">
        <f t="shared" ref="E20:E28" si="10">C20/D20</f>
        <v>1924.9435790727289</v>
      </c>
      <c r="F20" s="284">
        <f t="shared" ca="1" si="7"/>
        <v>-2976.2199121046815</v>
      </c>
      <c r="G20" s="301">
        <f t="shared" si="8"/>
        <v>1958.8653007184439</v>
      </c>
      <c r="H20" s="63">
        <f t="shared" ca="1" si="5"/>
        <v>-0.53667617301015069</v>
      </c>
      <c r="I20" s="86"/>
      <c r="J20" s="85"/>
      <c r="K20" s="85"/>
      <c r="L20" s="156"/>
      <c r="M20" s="154"/>
      <c r="N20" s="194"/>
      <c r="O20" s="191"/>
      <c r="P20" s="157"/>
      <c r="Q20" s="114"/>
      <c r="R20" s="114"/>
      <c r="S20" s="114"/>
      <c r="T20" s="114"/>
      <c r="U20" s="114"/>
      <c r="V20" s="114"/>
      <c r="W20" s="114"/>
      <c r="X20" s="114"/>
      <c r="Y20" s="114"/>
      <c r="Z20" s="114"/>
      <c r="AA20" s="114"/>
      <c r="AB20" s="114"/>
      <c r="AC20" s="114"/>
      <c r="AD20" s="114"/>
      <c r="AE20" s="114"/>
      <c r="AF20" s="114"/>
    </row>
    <row r="21" spans="1:34">
      <c r="B21" s="162">
        <f t="shared" si="9"/>
        <v>3</v>
      </c>
      <c r="C21" s="284">
        <f t="shared" si="6"/>
        <v>2015.6484897148002</v>
      </c>
      <c r="D21" s="151">
        <f>'Expected Growth Rate'!$C$15</f>
        <v>0.95958869566104299</v>
      </c>
      <c r="E21" s="284">
        <f t="shared" si="10"/>
        <v>2100.5338003969055</v>
      </c>
      <c r="F21" s="284">
        <f t="shared" ca="1" si="7"/>
        <v>-2908.4378001834411</v>
      </c>
      <c r="G21" s="301">
        <f t="shared" si="8"/>
        <v>4059.3991011153494</v>
      </c>
      <c r="H21" s="63">
        <f t="shared" ca="1" si="5"/>
        <v>-0.19902058892523233</v>
      </c>
      <c r="I21" s="86"/>
      <c r="J21" s="85"/>
      <c r="K21" s="85"/>
      <c r="L21" s="156"/>
      <c r="M21" s="154"/>
      <c r="N21" s="154"/>
      <c r="O21" s="129"/>
      <c r="P21" s="227"/>
      <c r="Q21" s="114"/>
      <c r="R21" s="114"/>
      <c r="S21" s="114"/>
      <c r="T21" s="114"/>
      <c r="U21" s="114"/>
      <c r="V21" s="114"/>
      <c r="W21" s="114"/>
      <c r="X21" s="114"/>
      <c r="Y21" s="114"/>
      <c r="Z21" s="114"/>
      <c r="AA21" s="114"/>
      <c r="AB21" s="114"/>
      <c r="AC21" s="114"/>
      <c r="AD21" s="114"/>
      <c r="AE21" s="114"/>
      <c r="AF21" s="114"/>
    </row>
    <row r="22" spans="1:34">
      <c r="B22" s="162">
        <f t="shared" si="9"/>
        <v>4</v>
      </c>
      <c r="C22" s="284">
        <f t="shared" si="6"/>
        <v>1458.355951571255</v>
      </c>
      <c r="D22" s="151">
        <f>'Expected Growth Rate'!$C$15</f>
        <v>0.95958869566104299</v>
      </c>
      <c r="E22" s="284">
        <f>C22/D22</f>
        <v>1519.7719170364137</v>
      </c>
      <c r="F22" s="284">
        <f t="shared" ca="1" si="7"/>
        <v>-1841.2835927230308</v>
      </c>
      <c r="G22" s="301">
        <f t="shared" si="8"/>
        <v>5579.1710181517628</v>
      </c>
      <c r="H22" s="63">
        <f t="shared" ca="1" si="5"/>
        <v>-5.7627141136305522E-2</v>
      </c>
      <c r="I22" s="86"/>
      <c r="J22" s="85"/>
      <c r="K22" s="85"/>
      <c r="L22" s="156"/>
      <c r="M22" s="154"/>
      <c r="N22" s="154"/>
      <c r="O22" s="114"/>
      <c r="P22" s="114"/>
      <c r="Q22" s="114"/>
      <c r="R22" s="114"/>
      <c r="S22" s="114"/>
      <c r="T22" s="114"/>
      <c r="U22" s="114"/>
      <c r="V22" s="114"/>
      <c r="W22" s="114"/>
      <c r="X22" s="114"/>
      <c r="Y22" s="114"/>
      <c r="Z22" s="114"/>
      <c r="AA22" s="114"/>
      <c r="AB22" s="114"/>
      <c r="AC22" s="114"/>
      <c r="AD22" s="114"/>
      <c r="AE22" s="114"/>
      <c r="AF22" s="114"/>
      <c r="AG22" s="114"/>
    </row>
    <row r="23" spans="1:34">
      <c r="B23" s="162">
        <f t="shared" si="9"/>
        <v>5</v>
      </c>
      <c r="C23" s="284">
        <f t="shared" si="6"/>
        <v>1574.7871270035448</v>
      </c>
      <c r="D23" s="151">
        <f>'Expected Growth Rate'!$C$15</f>
        <v>0.95958869566104299</v>
      </c>
      <c r="E23" s="284">
        <f t="shared" si="10"/>
        <v>1641.1063762258088</v>
      </c>
      <c r="F23" s="284">
        <f t="shared" ca="1" si="7"/>
        <v>-1363.1396711345205</v>
      </c>
      <c r="G23" s="301">
        <f t="shared" si="8"/>
        <v>7220.2773943775719</v>
      </c>
      <c r="H23" s="63">
        <f t="shared" ca="1" si="5"/>
        <v>3.8498064535268543E-2</v>
      </c>
      <c r="I23" s="86"/>
      <c r="J23" s="3"/>
      <c r="K23" s="3"/>
      <c r="L23" s="156"/>
      <c r="M23" s="15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B24" s="162">
        <f t="shared" si="9"/>
        <v>6</v>
      </c>
      <c r="C24" s="284">
        <f t="shared" si="6"/>
        <v>2518.2731148183193</v>
      </c>
      <c r="D24" s="151">
        <f>'Expected Growth Rate'!$C$15</f>
        <v>0.95958869566104299</v>
      </c>
      <c r="E24" s="284">
        <f t="shared" si="10"/>
        <v>2624.3255326007434</v>
      </c>
      <c r="F24" s="284">
        <f t="shared" ca="1" si="7"/>
        <v>-1575.1352552107535</v>
      </c>
      <c r="G24" s="301">
        <f t="shared" si="8"/>
        <v>9844.6029269783157</v>
      </c>
      <c r="H24" s="63">
        <f t="shared" ca="1" si="5"/>
        <v>0.10657517476045389</v>
      </c>
      <c r="I24" s="86"/>
      <c r="J24" s="85"/>
      <c r="K24" s="114"/>
      <c r="L24" s="156"/>
      <c r="M24" s="154"/>
      <c r="N24" s="154"/>
      <c r="O24" s="114"/>
      <c r="P24" s="114"/>
      <c r="Q24" s="114"/>
      <c r="R24" s="114"/>
      <c r="S24" s="114"/>
      <c r="T24" s="114"/>
      <c r="U24" s="114"/>
      <c r="V24" s="114"/>
      <c r="W24" s="114"/>
      <c r="X24" s="114"/>
      <c r="Y24" s="114"/>
      <c r="Z24" s="114"/>
      <c r="AA24" s="114"/>
      <c r="AB24" s="114"/>
      <c r="AC24" s="114"/>
      <c r="AD24" s="114"/>
      <c r="AE24" s="114"/>
      <c r="AF24" s="114"/>
    </row>
    <row r="25" spans="1:34">
      <c r="B25" s="162">
        <f t="shared" si="9"/>
        <v>7</v>
      </c>
      <c r="C25" s="284">
        <f t="shared" si="6"/>
        <v>2738.5354106470841</v>
      </c>
      <c r="D25" s="151">
        <f>'Expected Growth Rate'!$C$15</f>
        <v>0.95958869566104299</v>
      </c>
      <c r="E25" s="284">
        <f t="shared" si="10"/>
        <v>2853.8637679141871</v>
      </c>
      <c r="F25" s="284">
        <f t="shared" ca="1" si="7"/>
        <v>-967.61234369461135</v>
      </c>
      <c r="G25" s="301">
        <f t="shared" si="8"/>
        <v>12698.466694892502</v>
      </c>
      <c r="H25" s="63">
        <f t="shared" ca="1" si="5"/>
        <v>0.14854166802502636</v>
      </c>
      <c r="I25" s="86"/>
      <c r="J25" s="85"/>
      <c r="K25" s="114"/>
      <c r="L25" s="156"/>
      <c r="M25" s="156"/>
      <c r="N25" s="156"/>
      <c r="O25" s="114"/>
      <c r="P25" s="114"/>
      <c r="Q25" s="114"/>
      <c r="R25" s="114"/>
      <c r="S25" s="114"/>
      <c r="T25" s="114"/>
      <c r="U25" s="114"/>
      <c r="V25" s="114"/>
      <c r="W25" s="114"/>
      <c r="X25" s="114"/>
      <c r="Y25" s="114"/>
      <c r="Z25" s="114"/>
      <c r="AA25" s="114"/>
      <c r="AB25" s="114"/>
      <c r="AC25" s="114"/>
      <c r="AD25" s="114"/>
      <c r="AE25" s="114"/>
      <c r="AF25" s="114"/>
    </row>
    <row r="26" spans="1:34">
      <c r="B26" s="162">
        <f t="shared" si="9"/>
        <v>8</v>
      </c>
      <c r="C26" s="284">
        <f t="shared" si="6"/>
        <v>2975.0716806541677</v>
      </c>
      <c r="D26" s="151">
        <f>'Expected Growth Rate'!$C$15</f>
        <v>0.95958869566104299</v>
      </c>
      <c r="E26" s="284">
        <f t="shared" si="10"/>
        <v>3100.3613257497741</v>
      </c>
      <c r="F26" s="284">
        <f t="shared" ca="1" si="7"/>
        <v>-177.21980327780466</v>
      </c>
      <c r="G26" s="301">
        <f t="shared" si="8"/>
        <v>15798.828020642277</v>
      </c>
      <c r="H26" s="63">
        <f t="shared" ca="1" si="5"/>
        <v>0.18502268134400096</v>
      </c>
      <c r="I26" s="86"/>
      <c r="J26" s="138"/>
      <c r="K26" s="114"/>
      <c r="L26" s="114"/>
      <c r="M26" s="119"/>
      <c r="N26" s="114"/>
      <c r="O26" s="114"/>
      <c r="P26" s="114"/>
      <c r="Q26" s="114"/>
      <c r="R26" s="114"/>
      <c r="S26" s="114"/>
      <c r="T26" s="114"/>
      <c r="U26" s="114"/>
      <c r="V26" s="114"/>
      <c r="W26" s="114"/>
      <c r="X26" s="114"/>
      <c r="Y26" s="114"/>
      <c r="Z26" s="114"/>
      <c r="AA26" s="114"/>
      <c r="AB26" s="114"/>
      <c r="AC26" s="114"/>
      <c r="AD26" s="114"/>
      <c r="AE26" s="114"/>
      <c r="AF26" s="114"/>
    </row>
    <row r="27" spans="1:34">
      <c r="B27" s="162">
        <f t="shared" si="9"/>
        <v>9</v>
      </c>
      <c r="C27" s="284">
        <f t="shared" si="6"/>
        <v>2272.9658778734483</v>
      </c>
      <c r="D27" s="151">
        <f>'Expected Growth Rate'!$C$15</f>
        <v>0.95958869566104299</v>
      </c>
      <c r="E27" s="284">
        <f t="shared" si="10"/>
        <v>2368.6876347658972</v>
      </c>
      <c r="F27" s="284">
        <f t="shared" ca="1" si="7"/>
        <v>1185.2604987395785</v>
      </c>
      <c r="G27" s="301">
        <f t="shared" si="8"/>
        <v>18167.515655408173</v>
      </c>
      <c r="H27" s="63">
        <f t="shared" ca="1" si="5"/>
        <v>0.19562103046530324</v>
      </c>
      <c r="I27" s="86"/>
      <c r="K27" s="11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B28" s="162">
        <f t="shared" si="9"/>
        <v>10</v>
      </c>
      <c r="C28" s="284">
        <f t="shared" si="6"/>
        <v>2444.1022550870657</v>
      </c>
      <c r="D28" s="151">
        <f>'Expected Growth Rate'!$C$15</f>
        <v>0.95958869566104299</v>
      </c>
      <c r="E28" s="284">
        <f t="shared" si="10"/>
        <v>2547.0311041996683</v>
      </c>
      <c r="F28" s="284">
        <f t="shared" ca="1" si="7"/>
        <v>1723.3567690652453</v>
      </c>
      <c r="G28" s="301">
        <f>G27+E28</f>
        <v>20714.546759607842</v>
      </c>
      <c r="H28" s="63">
        <f t="shared" ca="1" si="5"/>
        <v>0.20615405795853187</v>
      </c>
      <c r="I28" s="86"/>
      <c r="J28" s="93"/>
      <c r="K28" s="11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E29" s="161"/>
      <c r="J29" s="114"/>
      <c r="K29" s="114"/>
      <c r="L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J30" s="114"/>
      <c r="K30" s="114"/>
      <c r="L30" s="114"/>
      <c r="P30" s="114"/>
      <c r="Q30" s="114"/>
      <c r="R30" s="114"/>
      <c r="S30" s="114"/>
      <c r="T30" s="114"/>
      <c r="U30" s="114"/>
      <c r="V30" s="114"/>
      <c r="W30" s="114"/>
      <c r="X30" s="114"/>
      <c r="Y30" s="114"/>
      <c r="Z30" s="114"/>
      <c r="AA30" s="114"/>
      <c r="AB30" s="114"/>
      <c r="AC30" s="114"/>
      <c r="AD30" s="114"/>
      <c r="AE30" s="114"/>
      <c r="AF30" s="114"/>
      <c r="AG30" s="114"/>
      <c r="AH30" s="114"/>
    </row>
    <row r="31" spans="1:34">
      <c r="G31" s="114"/>
      <c r="H31" s="114"/>
      <c r="I31" s="114"/>
      <c r="J31" s="114"/>
      <c r="K31" s="11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4:3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4:3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4:3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4:34">
      <c r="D36" s="460" t="s">
        <v>170</v>
      </c>
      <c r="E36" s="460"/>
      <c r="F36" s="460"/>
      <c r="G36" s="460"/>
      <c r="H36" s="460"/>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4:34">
      <c r="D37" s="248" t="s">
        <v>162</v>
      </c>
      <c r="E37" s="248" t="s">
        <v>167</v>
      </c>
      <c r="F37" s="248" t="s">
        <v>152</v>
      </c>
      <c r="G37" s="248" t="s">
        <v>168</v>
      </c>
      <c r="H37" s="248" t="s">
        <v>169</v>
      </c>
      <c r="I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row>
    <row r="38" spans="4:34">
      <c r="D38" s="133" t="s">
        <v>163</v>
      </c>
      <c r="E38" s="316">
        <v>10093</v>
      </c>
      <c r="F38" s="316">
        <v>9453</v>
      </c>
      <c r="G38" s="316">
        <v>9320</v>
      </c>
      <c r="H38" s="316">
        <f>AVERAGE(E38:G38)</f>
        <v>9622</v>
      </c>
      <c r="I38" s="114"/>
      <c r="L38" s="114"/>
      <c r="O38" s="114"/>
      <c r="P38" s="114"/>
      <c r="Q38" s="114"/>
      <c r="R38" s="114"/>
      <c r="S38" s="114"/>
      <c r="T38" s="114"/>
      <c r="U38" s="114"/>
      <c r="V38" s="114"/>
      <c r="W38" s="114"/>
      <c r="X38" s="114"/>
      <c r="Y38" s="114"/>
      <c r="Z38" s="114"/>
      <c r="AA38" s="114"/>
      <c r="AB38" s="114"/>
      <c r="AC38" s="114"/>
      <c r="AD38" s="114"/>
      <c r="AE38" s="114"/>
      <c r="AF38" s="114"/>
      <c r="AG38" s="114"/>
      <c r="AH38" s="114"/>
    </row>
    <row r="39" spans="4:34">
      <c r="D39" s="133" t="s">
        <v>164</v>
      </c>
      <c r="E39" s="316">
        <v>17945</v>
      </c>
      <c r="F39" s="316">
        <v>16359</v>
      </c>
      <c r="G39" s="316">
        <v>16103</v>
      </c>
      <c r="H39" s="316">
        <f>AVERAGE(E39:G39)</f>
        <v>16802.333333333332</v>
      </c>
    </row>
    <row r="40" spans="4:34">
      <c r="D40" s="133" t="s">
        <v>165</v>
      </c>
      <c r="E40" s="316">
        <v>22476</v>
      </c>
      <c r="F40" s="316">
        <v>21346</v>
      </c>
      <c r="G40" s="316">
        <v>22369</v>
      </c>
      <c r="H40" s="316">
        <f>AVERAGE(E40:G40)</f>
        <v>22063.666666666668</v>
      </c>
    </row>
    <row r="41" spans="4:34">
      <c r="D41" s="133" t="s">
        <v>166</v>
      </c>
      <c r="E41" s="316">
        <v>10127</v>
      </c>
      <c r="F41" s="316">
        <v>9774</v>
      </c>
      <c r="G41" s="316">
        <v>9557</v>
      </c>
      <c r="H41" s="316">
        <f>AVERAGE(E41:G41)</f>
        <v>9819.3333333333339</v>
      </c>
    </row>
    <row r="43" spans="4:34">
      <c r="D43" s="460" t="s">
        <v>175</v>
      </c>
      <c r="E43" s="460"/>
      <c r="F43" s="460"/>
      <c r="G43" s="460"/>
      <c r="H43" s="460"/>
    </row>
    <row r="44" spans="4:34">
      <c r="D44" s="248" t="s">
        <v>171</v>
      </c>
      <c r="E44" s="248" t="s">
        <v>167</v>
      </c>
      <c r="F44" s="248" t="s">
        <v>152</v>
      </c>
      <c r="G44" s="248" t="s">
        <v>168</v>
      </c>
      <c r="H44" s="248" t="s">
        <v>169</v>
      </c>
    </row>
    <row r="45" spans="4:34">
      <c r="D45" s="133" t="s">
        <v>172</v>
      </c>
      <c r="E45" s="316">
        <v>2728</v>
      </c>
      <c r="F45" s="316">
        <v>1944</v>
      </c>
      <c r="G45" s="316">
        <v>1619</v>
      </c>
      <c r="H45" s="316">
        <f>AVERAGE(E45:G45)</f>
        <v>2097</v>
      </c>
    </row>
    <row r="46" spans="4:34">
      <c r="D46" s="133" t="s">
        <v>173</v>
      </c>
      <c r="E46" s="316">
        <v>8207</v>
      </c>
      <c r="F46" s="316">
        <v>7855</v>
      </c>
      <c r="G46" s="316">
        <v>6841</v>
      </c>
      <c r="H46" s="316">
        <f>AVERAGE(E46:G46)</f>
        <v>7634.333333333333</v>
      </c>
    </row>
    <row r="47" spans="4:34">
      <c r="D47" s="133" t="s">
        <v>174</v>
      </c>
      <c r="E47" s="316">
        <v>20878</v>
      </c>
      <c r="F47" s="316">
        <v>19361</v>
      </c>
      <c r="G47" s="316">
        <v>19909</v>
      </c>
      <c r="H47" s="316">
        <f>AVERAGE(E47:G47)</f>
        <v>20049.333333333332</v>
      </c>
    </row>
  </sheetData>
  <mergeCells count="3">
    <mergeCell ref="N17:P17"/>
    <mergeCell ref="D36:H36"/>
    <mergeCell ref="D43:H43"/>
  </mergeCells>
  <pageMargins left="0.7" right="0.7" top="0.75" bottom="0.75" header="0.3" footer="0.3"/>
  <pageSetup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3.85546875" style="109" customWidth="1"/>
    <col min="3" max="3" width="15.28515625" style="109" customWidth="1"/>
    <col min="4" max="4" width="4.85546875" style="109" customWidth="1"/>
    <col min="5" max="5" width="5.140625" style="109" customWidth="1"/>
    <col min="6" max="6" width="21.570312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78</v>
      </c>
      <c r="C1" s="107"/>
      <c r="D1" s="107"/>
      <c r="E1" s="107"/>
      <c r="F1" s="107"/>
      <c r="G1" s="107"/>
      <c r="H1" s="107"/>
      <c r="I1" s="107"/>
      <c r="J1" s="107"/>
      <c r="K1" s="107"/>
      <c r="L1" s="107"/>
    </row>
    <row r="2" spans="1:32" ht="12" customHeight="1">
      <c r="C2" s="129"/>
    </row>
    <row r="3" spans="1:32" ht="12" customHeight="1">
      <c r="A3" s="111"/>
      <c r="B3" s="131" t="s">
        <v>90</v>
      </c>
      <c r="C3" s="155">
        <v>0.02</v>
      </c>
      <c r="F3" s="460" t="s">
        <v>94</v>
      </c>
      <c r="G3" s="460"/>
      <c r="H3" s="460"/>
      <c r="I3" s="460"/>
      <c r="J3" s="460"/>
      <c r="K3" s="460"/>
      <c r="L3" s="139"/>
      <c r="M3" s="139"/>
      <c r="N3" s="139"/>
      <c r="O3" s="139"/>
      <c r="P3" s="139"/>
      <c r="Q3" s="139"/>
    </row>
    <row r="4" spans="1:32" ht="12" customHeight="1">
      <c r="A4" s="116"/>
      <c r="B4" s="124" t="s">
        <v>91</v>
      </c>
      <c r="C4" s="73">
        <f ca="1">'Future Cashflows (10 Yrs)'!H28</f>
        <v>0.20615405795853187</v>
      </c>
      <c r="F4" s="82" t="s">
        <v>37</v>
      </c>
      <c r="G4" s="73">
        <f>'Risk Free Rate &amp; ERP'!C7</f>
        <v>3.5990000000000001E-2</v>
      </c>
      <c r="H4" s="121"/>
      <c r="I4" s="121"/>
      <c r="J4" s="121"/>
      <c r="K4" s="125"/>
      <c r="L4" s="185"/>
      <c r="M4" s="185"/>
      <c r="N4" s="185"/>
      <c r="O4" s="185"/>
      <c r="P4" s="185"/>
      <c r="Q4" s="110"/>
      <c r="S4" s="113"/>
      <c r="T4" s="113"/>
      <c r="U4" s="113"/>
      <c r="V4" s="113"/>
      <c r="AA4" s="113"/>
    </row>
    <row r="5" spans="1:32" ht="12" customHeight="1">
      <c r="A5" s="116"/>
      <c r="B5" s="127" t="s">
        <v>80</v>
      </c>
      <c r="C5" s="175">
        <f ca="1">C3/C4</f>
        <v>9.7014825699055729E-2</v>
      </c>
      <c r="F5" s="82" t="s">
        <v>9</v>
      </c>
      <c r="G5" s="73">
        <f ca="1">'Risk Free Rate &amp; ERP'!F21</f>
        <v>5.6813484085830562E-2</v>
      </c>
      <c r="H5" s="121"/>
      <c r="I5" s="121"/>
      <c r="J5" s="121"/>
      <c r="K5" s="125"/>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1"/>
      <c r="C6" s="121"/>
      <c r="F6" s="82" t="s">
        <v>102</v>
      </c>
      <c r="G6" s="99">
        <f ca="1">((_xlfn.PERCENTILE.EXC('Beta Calculation Data'!D5:D22,0.25)/(1+(_xlfn.PERCENTILE.EXC('Beta Calculation Data'!M5:M22,0.25)*(1-'Bottom Up Beta'!C8))))/(1-_xlfn.PERCENTILE.EXC('Beta Calculation Data'!L5:L22,0.25)))*(1+('Bottom Up Beta'!C15*(1-'Bottom Up Beta'!C8)))</f>
        <v>1.2601434477151656</v>
      </c>
      <c r="H6" s="178" t="s">
        <v>238</v>
      </c>
      <c r="I6" s="121"/>
      <c r="J6" s="121"/>
      <c r="K6" s="125"/>
      <c r="L6" s="134"/>
      <c r="M6" s="134"/>
      <c r="N6" s="134"/>
      <c r="O6" s="134"/>
      <c r="P6" s="134"/>
      <c r="Q6" s="134"/>
      <c r="S6" s="114"/>
      <c r="T6" s="114"/>
      <c r="U6" s="114"/>
      <c r="V6" s="114"/>
      <c r="W6" s="114"/>
      <c r="X6" s="114"/>
      <c r="Y6" s="114"/>
      <c r="Z6" s="114"/>
      <c r="AA6" s="114"/>
      <c r="AB6" s="114"/>
      <c r="AC6" s="114"/>
      <c r="AD6" s="114"/>
      <c r="AE6" s="114"/>
      <c r="AF6" s="114"/>
    </row>
    <row r="7" spans="1:32" ht="12" customHeight="1">
      <c r="B7" s="124" t="s">
        <v>92</v>
      </c>
      <c r="C7" s="274">
        <f>('Future Cashflows (10 Yrs)'!C14*(1+'Future Cashflows (10 Yrs)'!$K$6))*'Future Cashflows (10 Yrs)'!D14*'Future Cashflows (10 Yrs)'!F14</f>
        <v>5887.0625119499864</v>
      </c>
      <c r="F7" s="17"/>
      <c r="G7" s="17"/>
      <c r="H7" s="121"/>
      <c r="I7" s="121"/>
      <c r="J7" s="121"/>
      <c r="K7" s="121"/>
      <c r="N7" s="114"/>
      <c r="O7" s="114"/>
      <c r="P7" s="129"/>
      <c r="Q7" s="134"/>
      <c r="S7" s="114"/>
      <c r="T7" s="114"/>
      <c r="U7" s="114"/>
      <c r="V7" s="114"/>
      <c r="W7" s="114"/>
      <c r="X7" s="114"/>
      <c r="Y7" s="114"/>
      <c r="Z7" s="114"/>
      <c r="AA7" s="114"/>
      <c r="AB7" s="114"/>
      <c r="AC7" s="114"/>
      <c r="AD7" s="114"/>
      <c r="AE7" s="114"/>
      <c r="AF7" s="114"/>
    </row>
    <row r="8" spans="1:32" ht="12" customHeight="1">
      <c r="A8" s="116"/>
      <c r="B8" s="124" t="s">
        <v>93</v>
      </c>
      <c r="C8" s="73">
        <f ca="1">'Future Cashflows (10 Yrs)'!K3</f>
        <v>0.23616941022450705</v>
      </c>
      <c r="F8" s="82" t="s">
        <v>7</v>
      </c>
      <c r="G8" s="49">
        <f ca="1">G4+G6*G5</f>
        <v>0.10758313971262923</v>
      </c>
      <c r="H8" s="121"/>
      <c r="I8" s="121"/>
      <c r="J8" s="121"/>
      <c r="K8" s="179"/>
      <c r="O8" s="114"/>
      <c r="P8" s="114"/>
      <c r="Q8" s="114"/>
      <c r="R8" s="114"/>
      <c r="S8" s="114"/>
      <c r="T8" s="114"/>
      <c r="U8" s="114"/>
      <c r="V8" s="114"/>
      <c r="W8" s="114"/>
      <c r="X8" s="114"/>
      <c r="Y8" s="114"/>
      <c r="Z8" s="114"/>
      <c r="AA8" s="114"/>
      <c r="AB8" s="114"/>
      <c r="AC8" s="114"/>
      <c r="AD8" s="114"/>
      <c r="AE8" s="114"/>
      <c r="AF8" s="114"/>
    </row>
    <row r="9" spans="1:32" ht="12" customHeight="1">
      <c r="A9" s="116"/>
      <c r="B9" s="127" t="s">
        <v>53</v>
      </c>
      <c r="C9" s="275">
        <f ca="1">C7*(1-C8)</f>
        <v>4496.7184305479532</v>
      </c>
      <c r="F9" s="121"/>
      <c r="G9" s="121"/>
      <c r="H9" s="121"/>
      <c r="I9" s="121"/>
      <c r="J9" s="121"/>
      <c r="K9" s="163"/>
      <c r="O9" s="114"/>
      <c r="P9" s="114"/>
      <c r="Q9" s="114"/>
      <c r="R9" s="114"/>
      <c r="S9" s="114"/>
      <c r="T9" s="114"/>
      <c r="U9" s="114"/>
      <c r="V9" s="114"/>
      <c r="W9" s="114"/>
      <c r="X9" s="114"/>
      <c r="Y9" s="114"/>
      <c r="Z9" s="114"/>
      <c r="AA9" s="114"/>
      <c r="AB9" s="114"/>
      <c r="AC9" s="114"/>
      <c r="AD9" s="114"/>
      <c r="AE9" s="114"/>
      <c r="AF9" s="114"/>
    </row>
    <row r="10" spans="1:32">
      <c r="A10" s="112"/>
      <c r="B10" s="124"/>
      <c r="C10" s="183"/>
      <c r="F10" s="82" t="s">
        <v>39</v>
      </c>
      <c r="G10" s="75">
        <f>'Cost of Equity, Debt &amp; WACC'!C12</f>
        <v>3.5990000000000001E-2</v>
      </c>
      <c r="H10" s="121"/>
      <c r="I10" s="121"/>
      <c r="J10" s="133"/>
      <c r="K10" s="163"/>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124" t="s">
        <v>95</v>
      </c>
      <c r="C11" s="303">
        <f ca="1">C9*(1-C5)</f>
        <v>4060.4700757906121</v>
      </c>
      <c r="F11" s="82" t="s">
        <v>38</v>
      </c>
      <c r="G11" s="99">
        <v>0</v>
      </c>
      <c r="H11" s="121"/>
      <c r="I11" s="121"/>
      <c r="J11" s="135"/>
      <c r="K11" s="163"/>
      <c r="O11" s="114"/>
      <c r="P11" s="114"/>
      <c r="Q11" s="114"/>
      <c r="R11" s="114"/>
      <c r="S11" s="114"/>
      <c r="T11" s="114"/>
      <c r="U11" s="114"/>
      <c r="V11" s="114"/>
      <c r="W11" s="114"/>
      <c r="X11" s="114"/>
      <c r="Y11" s="114"/>
      <c r="Z11" s="114"/>
      <c r="AA11" s="114"/>
      <c r="AB11" s="114"/>
      <c r="AC11" s="114"/>
      <c r="AD11" s="114"/>
      <c r="AE11" s="114"/>
      <c r="AF11" s="114"/>
    </row>
    <row r="12" spans="1:32">
      <c r="B12" s="163"/>
      <c r="C12" s="121"/>
      <c r="F12" s="82" t="s">
        <v>158</v>
      </c>
      <c r="G12" s="73">
        <f>'Risk Free Rate &amp; ERP'!C5</f>
        <v>0</v>
      </c>
      <c r="H12" s="178"/>
      <c r="I12" s="121"/>
      <c r="J12" s="135"/>
      <c r="K12" s="163"/>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46" t="s">
        <v>78</v>
      </c>
      <c r="C13" s="434">
        <f ca="1">C11/(G21-C3)</f>
        <v>70526.152931250472</v>
      </c>
      <c r="D13" s="2"/>
      <c r="E13" s="6"/>
      <c r="F13" s="46" t="s">
        <v>127</v>
      </c>
      <c r="G13" s="73">
        <v>7.4999999999999997E-3</v>
      </c>
      <c r="H13" s="178" t="s">
        <v>378</v>
      </c>
      <c r="I13" s="121"/>
      <c r="J13" s="135"/>
      <c r="K13" s="163"/>
      <c r="O13" s="114"/>
      <c r="P13" s="114"/>
      <c r="Q13" s="114"/>
      <c r="R13" s="114"/>
      <c r="S13" s="114"/>
      <c r="T13" s="114"/>
      <c r="U13" s="114"/>
      <c r="V13" s="114"/>
      <c r="W13" s="114"/>
      <c r="X13" s="114"/>
      <c r="Y13" s="114"/>
      <c r="Z13" s="114"/>
      <c r="AA13" s="114"/>
      <c r="AB13" s="114"/>
      <c r="AC13" s="114"/>
      <c r="AD13" s="114"/>
      <c r="AE13" s="114"/>
      <c r="AF13" s="114"/>
    </row>
    <row r="14" spans="1:32">
      <c r="D14" s="2"/>
      <c r="E14" s="6"/>
      <c r="F14" s="28"/>
      <c r="G14" s="17"/>
      <c r="H14" s="121"/>
      <c r="I14" s="121"/>
      <c r="J14" s="135"/>
      <c r="K14" s="163"/>
      <c r="O14" s="114"/>
      <c r="P14" s="114"/>
      <c r="Q14" s="114"/>
      <c r="R14" s="114"/>
      <c r="S14" s="114"/>
      <c r="T14" s="114"/>
      <c r="U14" s="114"/>
      <c r="V14" s="114"/>
      <c r="W14" s="114"/>
      <c r="X14" s="114"/>
      <c r="Y14" s="114"/>
      <c r="Z14" s="114"/>
      <c r="AA14" s="114"/>
      <c r="AB14" s="114"/>
      <c r="AC14" s="114"/>
      <c r="AD14" s="114"/>
      <c r="AE14" s="114"/>
      <c r="AF14" s="114"/>
    </row>
    <row r="15" spans="1:32">
      <c r="D15" s="6"/>
      <c r="E15" s="6"/>
      <c r="F15" s="82" t="s">
        <v>8</v>
      </c>
      <c r="G15" s="49">
        <f>G10+(G11*G12)+G13</f>
        <v>4.3490000000000001E-2</v>
      </c>
      <c r="H15" s="121"/>
      <c r="I15" s="121"/>
      <c r="J15" s="135"/>
      <c r="K15" s="163"/>
      <c r="O15" s="114"/>
      <c r="P15" s="114"/>
      <c r="Q15" s="114"/>
      <c r="R15" s="114"/>
      <c r="S15" s="114"/>
      <c r="T15" s="114"/>
      <c r="U15" s="114"/>
      <c r="V15" s="114"/>
      <c r="W15" s="114"/>
      <c r="X15" s="114"/>
      <c r="Y15" s="114"/>
      <c r="Z15" s="114"/>
      <c r="AA15" s="114"/>
      <c r="AB15" s="114"/>
      <c r="AC15" s="114"/>
      <c r="AD15" s="114"/>
      <c r="AE15" s="114"/>
      <c r="AF15" s="114"/>
    </row>
    <row r="16" spans="1:32">
      <c r="B16" s="22"/>
      <c r="C16" s="65"/>
      <c r="D16" s="23"/>
      <c r="E16" s="6"/>
      <c r="F16" s="121"/>
      <c r="G16" s="121"/>
      <c r="H16" s="121"/>
      <c r="I16" s="121"/>
      <c r="J16" s="135"/>
      <c r="K16" s="163"/>
      <c r="O16" s="114"/>
      <c r="P16" s="114"/>
      <c r="Q16" s="114"/>
      <c r="R16" s="114"/>
      <c r="S16" s="114"/>
      <c r="T16" s="114"/>
      <c r="U16" s="114"/>
      <c r="V16" s="114"/>
      <c r="W16" s="114"/>
      <c r="X16" s="114"/>
      <c r="Y16" s="114"/>
      <c r="Z16" s="114"/>
      <c r="AA16" s="114"/>
      <c r="AB16" s="114"/>
      <c r="AC16" s="114"/>
      <c r="AD16" s="114"/>
      <c r="AE16" s="114"/>
      <c r="AF16" s="114"/>
    </row>
    <row r="17" spans="1:32">
      <c r="B17" s="22"/>
      <c r="C17" s="176"/>
      <c r="D17" s="6"/>
      <c r="E17" s="23"/>
      <c r="F17" s="124" t="s">
        <v>237</v>
      </c>
      <c r="G17" s="151">
        <f>'Beta Calculation Data'!M23</f>
        <v>0.67656854032399216</v>
      </c>
      <c r="H17" s="121"/>
      <c r="I17" s="121"/>
      <c r="J17" s="121"/>
      <c r="K17" s="121"/>
      <c r="L17" s="114"/>
      <c r="O17" s="114"/>
      <c r="P17" s="114"/>
      <c r="Q17" s="114"/>
      <c r="R17" s="114"/>
      <c r="S17" s="114"/>
      <c r="T17" s="114"/>
      <c r="U17" s="114"/>
      <c r="V17" s="114"/>
      <c r="W17" s="114"/>
      <c r="X17" s="114"/>
      <c r="Y17" s="114"/>
      <c r="Z17" s="114"/>
      <c r="AA17" s="114"/>
      <c r="AB17" s="114"/>
      <c r="AC17" s="114"/>
      <c r="AD17" s="114"/>
      <c r="AE17" s="114"/>
      <c r="AF17" s="114"/>
    </row>
    <row r="18" spans="1:32">
      <c r="A18" s="116"/>
      <c r="B18" s="3"/>
      <c r="C18" s="3"/>
      <c r="D18" s="6"/>
      <c r="E18" s="6"/>
      <c r="F18" s="121"/>
      <c r="G18" s="121"/>
      <c r="H18" s="121"/>
      <c r="I18" s="121"/>
      <c r="J18" s="121"/>
      <c r="K18" s="121"/>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2"/>
      <c r="C19" s="51"/>
      <c r="D19" s="6"/>
      <c r="E19" s="6"/>
      <c r="F19" s="124" t="s">
        <v>96</v>
      </c>
      <c r="G19" s="19">
        <f>G17/(1+G17)</f>
        <v>0.40354362142167305</v>
      </c>
      <c r="H19" s="178" t="s">
        <v>159</v>
      </c>
      <c r="I19" s="121"/>
      <c r="J19" s="135"/>
      <c r="K19" s="163"/>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3"/>
      <c r="C20" s="3"/>
      <c r="D20" s="6"/>
      <c r="E20" s="6"/>
      <c r="F20" s="124" t="s">
        <v>97</v>
      </c>
      <c r="G20" s="180">
        <f>1-G19</f>
        <v>0.59645637857832701</v>
      </c>
      <c r="H20" s="369"/>
      <c r="I20" s="121"/>
      <c r="J20" s="135"/>
      <c r="K20" s="163"/>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47"/>
      <c r="C21" s="3"/>
      <c r="D21" s="6"/>
      <c r="E21" s="23"/>
      <c r="F21" s="182" t="s">
        <v>98</v>
      </c>
      <c r="G21" s="181">
        <f ca="1">(G8*G20)+(G15*(1-C8)*G19)</f>
        <v>7.7573962381711006E-2</v>
      </c>
      <c r="J21" s="137"/>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2"/>
      <c r="C22" s="2"/>
      <c r="D22" s="2"/>
      <c r="E22" s="2"/>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
      <c r="C23" s="3"/>
      <c r="D23" s="6"/>
      <c r="E23" s="6"/>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3"/>
      <c r="C24" s="3"/>
      <c r="D24" s="6"/>
      <c r="E24" s="6"/>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D25" s="6"/>
      <c r="E25" s="6"/>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B31" s="22"/>
      <c r="C31" s="2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B32" s="47"/>
      <c r="C32" s="3"/>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7: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7:3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7:32">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7: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7: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7: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1">
    <mergeCell ref="F3:K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120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36.85546875" style="109" customWidth="1"/>
    <col min="3" max="3" width="13" style="109" customWidth="1"/>
    <col min="4" max="4" width="4.28515625" style="109" customWidth="1"/>
    <col min="5" max="5" width="10.7109375" style="109" customWidth="1"/>
    <col min="6" max="6" width="16.8554687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99</v>
      </c>
      <c r="C1" s="107"/>
      <c r="D1" s="107"/>
      <c r="E1" s="107"/>
      <c r="F1" s="107"/>
      <c r="G1" s="107"/>
      <c r="H1" s="107"/>
      <c r="I1" s="107"/>
      <c r="J1" s="107"/>
      <c r="K1" s="107"/>
      <c r="L1" s="107"/>
    </row>
    <row r="2" spans="1:32" ht="12" customHeight="1">
      <c r="C2" s="129"/>
    </row>
    <row r="3" spans="1:32" ht="12" customHeight="1">
      <c r="A3" s="111"/>
      <c r="B3" s="121"/>
      <c r="C3" s="190" t="s">
        <v>149</v>
      </c>
      <c r="D3" s="184"/>
      <c r="E3" s="118"/>
      <c r="F3" s="110"/>
      <c r="G3" s="139"/>
      <c r="H3" s="139"/>
      <c r="I3" s="139"/>
      <c r="J3" s="139"/>
      <c r="K3" s="139"/>
      <c r="L3" s="139"/>
      <c r="M3" s="139"/>
      <c r="N3" s="139"/>
      <c r="O3" s="139"/>
      <c r="P3" s="139"/>
      <c r="Q3" s="139"/>
    </row>
    <row r="4" spans="1:32" ht="12" customHeight="1">
      <c r="A4" s="116"/>
      <c r="B4" s="124" t="s">
        <v>100</v>
      </c>
      <c r="C4" s="370">
        <f>7523.688</f>
        <v>7523.6880000000001</v>
      </c>
      <c r="D4" s="187"/>
      <c r="E4" s="189"/>
      <c r="F4" s="188"/>
      <c r="G4" s="185"/>
      <c r="H4" s="185"/>
      <c r="I4" s="185"/>
      <c r="J4" s="185"/>
      <c r="K4" s="185"/>
      <c r="L4" s="185"/>
      <c r="M4" s="185"/>
      <c r="N4" s="185"/>
      <c r="O4" s="185"/>
      <c r="P4" s="185"/>
      <c r="Q4" s="110"/>
      <c r="S4" s="113"/>
      <c r="T4" s="113"/>
      <c r="U4" s="113"/>
      <c r="V4" s="113"/>
      <c r="AA4" s="113"/>
    </row>
    <row r="5" spans="1:32" ht="12" customHeight="1">
      <c r="A5" s="116"/>
      <c r="B5" s="124" t="s">
        <v>379</v>
      </c>
      <c r="C5" s="370">
        <f>2103.898</f>
        <v>2103.8980000000001</v>
      </c>
      <c r="D5" s="187"/>
      <c r="E5" s="187"/>
      <c r="F5" s="187"/>
      <c r="G5" s="43"/>
      <c r="H5" s="43"/>
      <c r="I5" s="43"/>
      <c r="J5" s="134"/>
      <c r="K5" s="43"/>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4" t="s">
        <v>380</v>
      </c>
      <c r="C6" s="370">
        <v>1.52</v>
      </c>
      <c r="D6" s="187"/>
      <c r="E6" s="187"/>
      <c r="F6" s="187"/>
      <c r="G6" s="134"/>
      <c r="H6" s="134"/>
      <c r="I6" s="134"/>
      <c r="J6" s="134"/>
      <c r="K6" s="134"/>
      <c r="L6" s="134"/>
      <c r="M6" s="134"/>
      <c r="N6" s="134"/>
      <c r="O6" s="134"/>
      <c r="P6" s="134"/>
      <c r="Q6" s="134"/>
      <c r="S6" s="114"/>
      <c r="T6" s="114"/>
      <c r="U6" s="114"/>
      <c r="V6" s="114"/>
      <c r="W6" s="114"/>
      <c r="X6" s="114"/>
      <c r="Y6" s="114"/>
      <c r="Z6" s="114"/>
      <c r="AA6" s="114"/>
      <c r="AB6" s="114"/>
      <c r="AC6" s="114"/>
      <c r="AD6" s="114"/>
      <c r="AE6" s="114"/>
      <c r="AF6" s="114"/>
    </row>
    <row r="7" spans="1:32" ht="12" customHeight="1">
      <c r="B7" s="127" t="s">
        <v>128</v>
      </c>
      <c r="C7" s="371">
        <f>SUM(C4:C6)</f>
        <v>9629.1059999999998</v>
      </c>
      <c r="D7" s="187"/>
      <c r="E7" s="187"/>
      <c r="F7" s="187"/>
      <c r="G7" s="134"/>
      <c r="I7" s="112"/>
      <c r="J7" s="130"/>
      <c r="N7" s="114"/>
      <c r="O7" s="114"/>
      <c r="P7" s="129"/>
      <c r="Q7" s="134"/>
      <c r="S7" s="114"/>
      <c r="T7" s="114"/>
      <c r="U7" s="114"/>
      <c r="V7" s="114"/>
      <c r="W7" s="114"/>
      <c r="X7" s="114"/>
      <c r="Y7" s="114"/>
      <c r="Z7" s="114"/>
      <c r="AA7" s="114"/>
      <c r="AB7" s="114"/>
      <c r="AC7" s="114"/>
      <c r="AD7" s="114"/>
      <c r="AE7" s="114"/>
      <c r="AF7" s="114"/>
    </row>
    <row r="8" spans="1:32" ht="12" customHeight="1">
      <c r="A8" s="116"/>
      <c r="B8" s="112"/>
      <c r="C8" s="187"/>
      <c r="D8" s="187"/>
      <c r="E8" s="187"/>
      <c r="F8" s="187"/>
      <c r="G8" s="173"/>
      <c r="H8" s="134"/>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D9" s="187"/>
      <c r="E9" s="187"/>
      <c r="F9" s="187"/>
      <c r="G9" s="173"/>
      <c r="H9" s="134"/>
      <c r="J9" s="112"/>
      <c r="K9" s="130"/>
      <c r="O9" s="114"/>
      <c r="P9" s="114"/>
      <c r="Q9" s="114"/>
      <c r="R9" s="114"/>
      <c r="S9" s="114"/>
      <c r="T9" s="114"/>
      <c r="U9" s="114"/>
      <c r="V9" s="114"/>
      <c r="W9" s="114"/>
      <c r="X9" s="114"/>
      <c r="Y9" s="114"/>
      <c r="Z9" s="114"/>
      <c r="AA9" s="114"/>
      <c r="AB9" s="114"/>
      <c r="AC9" s="114"/>
      <c r="AD9" s="114"/>
      <c r="AE9" s="114"/>
      <c r="AF9" s="114"/>
    </row>
    <row r="10" spans="1:32">
      <c r="A10" s="112"/>
      <c r="D10" s="187"/>
      <c r="E10" s="187"/>
      <c r="F10" s="187"/>
      <c r="G10" s="139"/>
      <c r="H10" s="139"/>
      <c r="I10" s="139"/>
      <c r="J10" s="139"/>
      <c r="K10" s="139"/>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D11" s="187"/>
      <c r="E11" s="187"/>
      <c r="F11" s="187"/>
      <c r="G11" s="65"/>
      <c r="K11" s="130"/>
      <c r="O11" s="114"/>
      <c r="P11" s="114"/>
      <c r="Q11" s="114"/>
      <c r="R11" s="114"/>
      <c r="S11" s="114"/>
      <c r="T11" s="114"/>
      <c r="U11" s="114"/>
      <c r="V11" s="114"/>
      <c r="W11" s="114"/>
      <c r="X11" s="114"/>
      <c r="Y11" s="114"/>
      <c r="Z11" s="114"/>
      <c r="AA11" s="114"/>
      <c r="AB11" s="114"/>
      <c r="AC11" s="114"/>
      <c r="AD11" s="114"/>
      <c r="AE11" s="114"/>
      <c r="AF11" s="114"/>
    </row>
    <row r="12" spans="1:32">
      <c r="B12" s="112"/>
      <c r="C12" s="187"/>
      <c r="D12" s="187"/>
      <c r="E12" s="187"/>
      <c r="F12" s="187"/>
      <c r="G12" s="65"/>
      <c r="K12" s="130"/>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C13" s="187"/>
      <c r="D13" s="187"/>
      <c r="E13" s="187"/>
      <c r="F13" s="187"/>
      <c r="G13" s="176"/>
      <c r="H13" s="117"/>
      <c r="K13" s="130"/>
      <c r="O13" s="114"/>
      <c r="P13" s="114"/>
      <c r="Q13" s="114"/>
      <c r="R13" s="114"/>
      <c r="S13" s="114"/>
      <c r="T13" s="114"/>
      <c r="U13" s="114"/>
      <c r="V13" s="114"/>
      <c r="W13" s="114"/>
      <c r="X13" s="114"/>
      <c r="Y13" s="114"/>
      <c r="Z13" s="114"/>
      <c r="AA13" s="114"/>
      <c r="AB13" s="114"/>
      <c r="AC13" s="114"/>
      <c r="AD13" s="114"/>
      <c r="AE13" s="114"/>
      <c r="AF13" s="114"/>
    </row>
    <row r="14" spans="1:32">
      <c r="C14" s="187"/>
      <c r="D14" s="187"/>
      <c r="E14" s="187"/>
      <c r="F14" s="187"/>
      <c r="G14" s="3"/>
      <c r="O14" s="114"/>
      <c r="P14" s="114"/>
      <c r="Q14" s="114"/>
      <c r="R14" s="114"/>
      <c r="S14" s="114"/>
      <c r="T14" s="114"/>
      <c r="U14" s="114"/>
      <c r="V14" s="114"/>
      <c r="W14" s="114"/>
      <c r="X14" s="114"/>
      <c r="Y14" s="114"/>
      <c r="Z14" s="114"/>
      <c r="AA14" s="114"/>
      <c r="AB14" s="114"/>
      <c r="AC14" s="114"/>
      <c r="AD14" s="114"/>
      <c r="AE14" s="114"/>
      <c r="AF14" s="114"/>
    </row>
    <row r="15" spans="1:32">
      <c r="C15" s="187"/>
      <c r="D15" s="187"/>
      <c r="E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E16" s="187"/>
      <c r="F16" s="187"/>
      <c r="K16" s="114"/>
      <c r="O16" s="114"/>
      <c r="P16" s="114"/>
      <c r="Q16" s="114"/>
      <c r="R16" s="114"/>
      <c r="S16" s="114"/>
      <c r="T16" s="114"/>
      <c r="U16" s="114"/>
      <c r="V16" s="114"/>
      <c r="W16" s="114"/>
      <c r="X16" s="114"/>
      <c r="Y16" s="114"/>
      <c r="Z16" s="114"/>
      <c r="AA16" s="114"/>
      <c r="AB16" s="114"/>
      <c r="AC16" s="114"/>
      <c r="AD16" s="114"/>
      <c r="AE16" s="114"/>
      <c r="AF16" s="114"/>
    </row>
    <row r="17" spans="1:32">
      <c r="D17" s="187"/>
      <c r="E17" s="187"/>
      <c r="F17" s="187"/>
      <c r="G17" s="69"/>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D18" s="187"/>
      <c r="E18" s="187"/>
      <c r="F18" s="187"/>
      <c r="G18" s="176"/>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D19" s="187"/>
      <c r="E19" s="187"/>
      <c r="F19" s="187"/>
      <c r="G19" s="65"/>
      <c r="H19" s="117"/>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D20" s="187"/>
      <c r="E20" s="187"/>
      <c r="F20" s="187"/>
      <c r="G20" s="65"/>
      <c r="H20" s="117"/>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D21" s="187"/>
      <c r="E21" s="187"/>
      <c r="F21" s="187"/>
      <c r="G21" s="3"/>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E22" s="3"/>
      <c r="F22" s="22"/>
      <c r="G22" s="51"/>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E23" s="6"/>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E24" s="6"/>
      <c r="F24" s="112"/>
      <c r="G24" s="18"/>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E25" s="6"/>
      <c r="F25" s="112"/>
      <c r="G25" s="186"/>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F26" s="112"/>
      <c r="G26" s="65"/>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2" style="109" customWidth="1"/>
    <col min="3" max="3" width="14.28515625" style="109" customWidth="1"/>
    <col min="4" max="4" width="15" style="109" customWidth="1"/>
    <col min="5" max="5" width="13.5703125" style="109" customWidth="1"/>
    <col min="6" max="6" width="15.42578125" style="109" customWidth="1"/>
    <col min="7" max="7" width="13.42578125" style="109" customWidth="1" collapsed="1"/>
    <col min="8" max="13" width="13.7109375" style="109" bestFit="1" customWidth="1"/>
    <col min="14"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144</v>
      </c>
      <c r="C1" s="107"/>
      <c r="D1" s="107"/>
      <c r="E1" s="107"/>
      <c r="F1" s="107"/>
      <c r="G1" s="107"/>
      <c r="H1" s="107"/>
      <c r="I1" s="107"/>
      <c r="J1" s="107"/>
      <c r="K1" s="107"/>
      <c r="L1" s="107"/>
    </row>
    <row r="2" spans="1:32" ht="12" customHeight="1">
      <c r="C2" s="129"/>
    </row>
    <row r="3" spans="1:32" ht="12" customHeight="1">
      <c r="A3" s="111"/>
      <c r="B3" s="460" t="s">
        <v>143</v>
      </c>
      <c r="C3" s="460"/>
      <c r="D3" s="460"/>
      <c r="E3" s="460"/>
      <c r="F3" s="460"/>
      <c r="G3" s="139"/>
      <c r="H3" s="139"/>
      <c r="I3" s="140"/>
      <c r="J3" s="139"/>
      <c r="K3" s="139"/>
      <c r="L3" s="139"/>
      <c r="M3" s="139"/>
      <c r="N3" s="139"/>
      <c r="O3" s="139"/>
      <c r="P3" s="139"/>
      <c r="Q3" s="139"/>
    </row>
    <row r="4" spans="1:32" ht="12" customHeight="1">
      <c r="A4" s="116"/>
      <c r="B4" s="204" t="s">
        <v>32</v>
      </c>
      <c r="C4" s="205" t="s">
        <v>121</v>
      </c>
      <c r="D4" s="204">
        <v>2021</v>
      </c>
      <c r="E4" s="205">
        <v>2020</v>
      </c>
      <c r="F4" s="205">
        <v>2019</v>
      </c>
      <c r="G4" s="118"/>
      <c r="H4" s="238"/>
      <c r="I4" s="185"/>
      <c r="J4" s="185"/>
      <c r="K4" s="185"/>
      <c r="L4" s="185"/>
      <c r="M4" s="185"/>
      <c r="N4" s="185"/>
      <c r="O4" s="185"/>
      <c r="P4" s="110"/>
      <c r="R4" s="113"/>
      <c r="S4" s="113"/>
      <c r="T4" s="113"/>
      <c r="U4" s="113"/>
      <c r="Z4" s="113"/>
    </row>
    <row r="5" spans="1:32" ht="12" customHeight="1">
      <c r="A5" s="116"/>
      <c r="B5" s="163" t="s">
        <v>140</v>
      </c>
      <c r="C5" s="282">
        <f>'Fair Value of Share'!C22</f>
        <v>2238.19135929</v>
      </c>
      <c r="D5" s="282">
        <v>3555.384</v>
      </c>
      <c r="E5" s="282">
        <v>5563.7349999999997</v>
      </c>
      <c r="F5" s="282">
        <v>2298.6849999999999</v>
      </c>
      <c r="G5" s="142"/>
      <c r="H5" s="238"/>
      <c r="I5" s="134"/>
      <c r="J5" s="43"/>
      <c r="K5" s="43"/>
      <c r="L5" s="43"/>
      <c r="M5" s="43"/>
      <c r="N5" s="43"/>
      <c r="O5" s="43"/>
      <c r="P5" s="43"/>
      <c r="R5" s="114"/>
      <c r="S5" s="114"/>
      <c r="T5" s="114"/>
      <c r="U5" s="114"/>
      <c r="V5" s="114"/>
      <c r="W5" s="114"/>
      <c r="X5" s="114"/>
      <c r="Y5" s="114"/>
      <c r="Z5" s="114"/>
      <c r="AA5" s="114"/>
      <c r="AB5" s="114"/>
      <c r="AC5" s="114"/>
      <c r="AD5" s="114"/>
      <c r="AE5" s="114"/>
    </row>
    <row r="6" spans="1:32" ht="12" customHeight="1">
      <c r="A6" s="116"/>
      <c r="B6" s="163" t="s">
        <v>4</v>
      </c>
      <c r="C6" s="282">
        <f>'Future Cashflows (10 Yrs)'!E4</f>
        <v>8029.65</v>
      </c>
      <c r="D6" s="282">
        <f>Reinvestment!H24</f>
        <v>5991.76</v>
      </c>
      <c r="E6" s="282">
        <f>Reinvestment!G24</f>
        <v>3378.1990000000001</v>
      </c>
      <c r="F6" s="282">
        <f>Reinvestment!F24</f>
        <v>4805.2389999999996</v>
      </c>
      <c r="G6" s="142"/>
      <c r="I6" s="134"/>
      <c r="J6" s="134"/>
      <c r="K6" s="134"/>
      <c r="L6" s="134"/>
      <c r="M6" s="134"/>
      <c r="N6" s="134"/>
      <c r="O6" s="134"/>
      <c r="P6" s="134"/>
      <c r="R6" s="114"/>
      <c r="S6" s="114"/>
      <c r="T6" s="114"/>
      <c r="U6" s="114"/>
      <c r="V6" s="114"/>
      <c r="W6" s="114"/>
      <c r="X6" s="114"/>
      <c r="Y6" s="114"/>
      <c r="Z6" s="114"/>
      <c r="AA6" s="114"/>
      <c r="AB6" s="114"/>
      <c r="AC6" s="114"/>
      <c r="AD6" s="114"/>
      <c r="AE6" s="114"/>
    </row>
    <row r="7" spans="1:32" ht="12" customHeight="1">
      <c r="B7" s="163" t="s">
        <v>141</v>
      </c>
      <c r="C7" s="135">
        <f>C5/C6</f>
        <v>0.27874083668528515</v>
      </c>
      <c r="D7" s="135">
        <f>D5/D6</f>
        <v>0.59337890703232432</v>
      </c>
      <c r="E7" s="135">
        <f>E5/E6</f>
        <v>1.6469530066168392</v>
      </c>
      <c r="F7" s="135">
        <f>F5/F6</f>
        <v>0.47837058676998173</v>
      </c>
      <c r="G7" s="134"/>
      <c r="H7" s="130"/>
      <c r="I7" s="130"/>
      <c r="M7" s="114"/>
      <c r="N7" s="114"/>
      <c r="O7" s="129"/>
      <c r="P7" s="134"/>
      <c r="R7" s="114"/>
      <c r="S7" s="114"/>
      <c r="T7" s="114"/>
      <c r="U7" s="114"/>
      <c r="V7" s="114"/>
      <c r="W7" s="114"/>
      <c r="X7" s="114"/>
      <c r="Y7" s="114"/>
      <c r="Z7" s="114"/>
      <c r="AA7" s="114"/>
      <c r="AB7" s="114"/>
      <c r="AC7" s="114"/>
      <c r="AD7" s="114"/>
      <c r="AE7" s="114"/>
    </row>
    <row r="8" spans="1:32" ht="12" customHeight="1">
      <c r="A8" s="116"/>
      <c r="B8" s="114"/>
      <c r="C8" s="142"/>
      <c r="D8" s="132"/>
      <c r="E8" s="252" t="s">
        <v>160</v>
      </c>
      <c r="F8" s="232">
        <f>C7</f>
        <v>0.27874083668528515</v>
      </c>
      <c r="H8" s="65"/>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J9" s="112"/>
      <c r="K9" s="130"/>
      <c r="O9" s="114"/>
      <c r="P9" s="114"/>
      <c r="Q9" s="114"/>
      <c r="R9" s="114"/>
      <c r="S9" s="114"/>
      <c r="T9" s="114"/>
      <c r="U9" s="114"/>
      <c r="V9" s="114"/>
      <c r="W9" s="114"/>
      <c r="X9" s="114"/>
      <c r="Y9" s="114"/>
      <c r="Z9" s="114"/>
      <c r="AA9" s="114"/>
      <c r="AB9" s="114"/>
      <c r="AC9" s="114"/>
      <c r="AD9" s="114"/>
      <c r="AE9" s="114"/>
      <c r="AF9" s="114"/>
    </row>
    <row r="10" spans="1:32">
      <c r="A10" s="112"/>
      <c r="B10" s="460" t="s">
        <v>142</v>
      </c>
      <c r="C10" s="460"/>
      <c r="D10" s="460"/>
      <c r="E10" s="460"/>
      <c r="F10" s="460"/>
      <c r="G10" s="460"/>
      <c r="H10" s="460"/>
      <c r="I10" s="460"/>
      <c r="J10" s="460"/>
      <c r="K10" s="460"/>
      <c r="L10" s="460"/>
      <c r="M10" s="460"/>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204" t="s">
        <v>32</v>
      </c>
      <c r="C11" s="205" t="s">
        <v>121</v>
      </c>
      <c r="D11" s="204">
        <v>1</v>
      </c>
      <c r="E11" s="205">
        <v>2</v>
      </c>
      <c r="F11" s="205">
        <v>3</v>
      </c>
      <c r="G11" s="205">
        <v>4</v>
      </c>
      <c r="H11" s="205">
        <v>5</v>
      </c>
      <c r="I11" s="251">
        <v>6</v>
      </c>
      <c r="J11" s="251">
        <v>7</v>
      </c>
      <c r="K11" s="250">
        <v>8</v>
      </c>
      <c r="L11" s="250">
        <v>9</v>
      </c>
      <c r="M11" s="250">
        <v>10</v>
      </c>
      <c r="N11" s="142"/>
      <c r="O11" s="114"/>
      <c r="P11" s="114"/>
      <c r="Q11" s="114"/>
      <c r="R11" s="114"/>
      <c r="S11" s="114"/>
      <c r="T11" s="114"/>
      <c r="U11" s="114"/>
      <c r="V11" s="114"/>
      <c r="W11" s="114"/>
      <c r="X11" s="114"/>
      <c r="Y11" s="114"/>
      <c r="Z11" s="114"/>
      <c r="AA11" s="114"/>
      <c r="AB11" s="114"/>
      <c r="AC11" s="114"/>
      <c r="AD11" s="114"/>
      <c r="AE11" s="114"/>
      <c r="AF11" s="114"/>
    </row>
    <row r="12" spans="1:32">
      <c r="B12" s="163" t="s">
        <v>141</v>
      </c>
      <c r="C12" s="135">
        <f>F8</f>
        <v>0.27874083668528515</v>
      </c>
      <c r="D12" s="135">
        <f>AVERAGE(C12,E12)</f>
        <v>0.24639823209962453</v>
      </c>
      <c r="E12" s="135">
        <f>AVERAGE(C12,G12)</f>
        <v>0.21405562751396387</v>
      </c>
      <c r="F12" s="135">
        <f>AVERAGE(E12,G12)</f>
        <v>0.18171302292830321</v>
      </c>
      <c r="G12" s="135">
        <f>AVERAGE(C12,K12)</f>
        <v>0.14937041834264259</v>
      </c>
      <c r="H12" s="135">
        <f>AVERAGE(G12,I12)</f>
        <v>0.11702781375698193</v>
      </c>
      <c r="I12" s="135">
        <f>AVERAGE(G12,K12)</f>
        <v>8.4685209171321288E-2</v>
      </c>
      <c r="J12" s="135">
        <f>AVERAGE(I12,K12)</f>
        <v>5.2342604585660646E-2</v>
      </c>
      <c r="K12" s="135">
        <v>0.02</v>
      </c>
      <c r="L12" s="135">
        <v>0.02</v>
      </c>
      <c r="M12" s="135">
        <v>0.02</v>
      </c>
      <c r="N12" s="142"/>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163" t="s">
        <v>4</v>
      </c>
      <c r="C13" s="282">
        <f>C6</f>
        <v>8029.65</v>
      </c>
      <c r="D13" s="282">
        <f>'Future Cashflows (10 Yrs)'!E5</f>
        <v>9720.1648147499982</v>
      </c>
      <c r="E13" s="282">
        <f>'Future Cashflows (10 Yrs)'!E6</f>
        <v>11567.318913013498</v>
      </c>
      <c r="F13" s="282">
        <f>'Future Cashflows (10 Yrs)'!E7</f>
        <v>13582.967402728298</v>
      </c>
      <c r="G13" s="282">
        <f>'Future Cashflows (10 Yrs)'!E8</f>
        <v>15041.323354299553</v>
      </c>
      <c r="H13" s="282">
        <f>'Future Cashflows (10 Yrs)'!E9</f>
        <v>16616.110481303098</v>
      </c>
      <c r="I13" s="282">
        <f>'Future Cashflows (10 Yrs)'!E10</f>
        <v>19134.383596121417</v>
      </c>
      <c r="J13" s="282">
        <f>'Future Cashflows (10 Yrs)'!E11</f>
        <v>21872.919006768501</v>
      </c>
      <c r="K13" s="282">
        <f>'Future Cashflows (10 Yrs)'!E12</f>
        <v>24847.990687422669</v>
      </c>
      <c r="L13" s="282">
        <f>'Future Cashflows (10 Yrs)'!E13</f>
        <v>27120.956565296117</v>
      </c>
      <c r="M13" s="282">
        <f>'Future Cashflows (10 Yrs)'!E14</f>
        <v>29565.058820383183</v>
      </c>
      <c r="O13" s="114"/>
      <c r="P13" s="114"/>
      <c r="Q13" s="114"/>
      <c r="R13" s="114"/>
      <c r="S13" s="114"/>
      <c r="T13" s="114"/>
      <c r="U13" s="114"/>
      <c r="V13" s="114"/>
      <c r="W13" s="114"/>
      <c r="X13" s="114"/>
      <c r="Y13" s="114"/>
      <c r="Z13" s="114"/>
      <c r="AA13" s="114"/>
      <c r="AB13" s="114"/>
      <c r="AC13" s="114"/>
      <c r="AD13" s="114"/>
      <c r="AE13" s="114"/>
      <c r="AF13" s="114"/>
    </row>
    <row r="14" spans="1:32">
      <c r="B14" s="163" t="s">
        <v>140</v>
      </c>
      <c r="C14" s="282">
        <f>C13*C12</f>
        <v>2238.19135929</v>
      </c>
      <c r="D14" s="282">
        <f t="shared" ref="D14:M14" si="0">D13*D12</f>
        <v>2395.031426071374</v>
      </c>
      <c r="E14" s="282">
        <f t="shared" si="0"/>
        <v>2476.0497085792467</v>
      </c>
      <c r="F14" s="282">
        <f t="shared" si="0"/>
        <v>2468.2020670863626</v>
      </c>
      <c r="G14" s="282">
        <f t="shared" si="0"/>
        <v>2246.7287618586843</v>
      </c>
      <c r="H14" s="282">
        <f t="shared" si="0"/>
        <v>1944.5470827713743</v>
      </c>
      <c r="I14" s="282">
        <f t="shared" si="0"/>
        <v>1620.399277201841</v>
      </c>
      <c r="J14" s="282">
        <f t="shared" si="0"/>
        <v>1144.8855507054648</v>
      </c>
      <c r="K14" s="282">
        <f>K13*K12</f>
        <v>496.95981374845337</v>
      </c>
      <c r="L14" s="282">
        <f t="shared" si="0"/>
        <v>542.41913130592241</v>
      </c>
      <c r="M14" s="282">
        <f t="shared" si="0"/>
        <v>591.30117640766366</v>
      </c>
      <c r="O14" s="114"/>
      <c r="P14" s="114"/>
      <c r="Q14" s="114"/>
      <c r="R14" s="114"/>
      <c r="S14" s="114"/>
      <c r="T14" s="114"/>
      <c r="U14" s="114"/>
      <c r="V14" s="114"/>
      <c r="W14" s="114"/>
      <c r="X14" s="114"/>
      <c r="Y14" s="114"/>
      <c r="Z14" s="114"/>
      <c r="AA14" s="114"/>
      <c r="AB14" s="114"/>
      <c r="AC14" s="114"/>
      <c r="AD14" s="114"/>
      <c r="AE14" s="114"/>
      <c r="AF14" s="114"/>
    </row>
    <row r="15" spans="1:32">
      <c r="D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F16" s="187"/>
      <c r="K16" s="114"/>
      <c r="O16" s="114"/>
      <c r="P16" s="114"/>
      <c r="Q16" s="114"/>
      <c r="R16" s="114"/>
      <c r="S16" s="114"/>
      <c r="T16" s="114"/>
      <c r="U16" s="114"/>
      <c r="V16" s="114"/>
      <c r="W16" s="114"/>
      <c r="X16" s="114"/>
      <c r="Y16" s="114"/>
      <c r="Z16" s="114"/>
      <c r="AA16" s="114"/>
      <c r="AB16" s="114"/>
      <c r="AC16" s="114"/>
      <c r="AD16" s="114"/>
      <c r="AE16" s="114"/>
      <c r="AF16" s="114"/>
    </row>
    <row r="17" spans="1:32">
      <c r="B17" s="460" t="s">
        <v>139</v>
      </c>
      <c r="C17" s="460"/>
      <c r="D17" s="460"/>
      <c r="E17" s="460"/>
      <c r="F17" s="460"/>
      <c r="G17" s="460"/>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B18" s="249"/>
      <c r="C18" s="248" t="s">
        <v>138</v>
      </c>
      <c r="D18" s="198" t="s">
        <v>137</v>
      </c>
      <c r="E18" s="248" t="s">
        <v>136</v>
      </c>
      <c r="F18" s="198" t="s">
        <v>135</v>
      </c>
      <c r="G18" s="247" t="s">
        <v>134</v>
      </c>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46" t="s">
        <v>82</v>
      </c>
      <c r="C19" s="245">
        <f>'Future Cashflows (10 Yrs)'!G4/'Future Cashflows (10 Yrs)'!E4</f>
        <v>6.8757871170768176E-2</v>
      </c>
      <c r="D19" s="307">
        <f>'Future Cashflows (10 Yrs)'!E4*(1-'Future Cashflows (10 Yrs)'!F4)</f>
        <v>7477.5483597536413</v>
      </c>
      <c r="E19" s="282"/>
      <c r="F19" s="307"/>
      <c r="G19" s="135">
        <f>C19</f>
        <v>6.8757871170768176E-2</v>
      </c>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162">
        <v>1</v>
      </c>
      <c r="C20" s="245">
        <f>AVERAGE(C19,C22)</f>
        <v>8.6300637274422165E-2</v>
      </c>
      <c r="D20" s="307">
        <f>'Future Cashflows (10 Yrs)'!E5*(1-C20)</f>
        <v>8881.3083968246574</v>
      </c>
      <c r="E20" s="282">
        <f>D14</f>
        <v>2395.031426071374</v>
      </c>
      <c r="F20" s="307">
        <f>D20+E20</f>
        <v>11276.339822896032</v>
      </c>
      <c r="G20" s="135">
        <f>1-(F20/'Future Cashflows (10 Yrs)'!E5)</f>
        <v>-0.16009759482520236</v>
      </c>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162">
        <f t="shared" ref="B21:B29" si="1">B20+1</f>
        <v>2</v>
      </c>
      <c r="C21" s="245">
        <f>AVERAGE(C20,C22)</f>
        <v>9.5072020326249174E-2</v>
      </c>
      <c r="D21" s="307">
        <f>'Future Cashflows (10 Yrs)'!E6*(1-C21)</f>
        <v>10467.590534195273</v>
      </c>
      <c r="E21" s="282">
        <f>E14</f>
        <v>2476.0497085792467</v>
      </c>
      <c r="F21" s="307">
        <f t="shared" ref="F21:F29" si="2">D21+E21</f>
        <v>12943.64024277452</v>
      </c>
      <c r="G21" s="135">
        <f>1-(F21/'Future Cashflows (10 Yrs)'!E6)</f>
        <v>-0.11898360718771483</v>
      </c>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162">
        <f t="shared" si="1"/>
        <v>3</v>
      </c>
      <c r="C22" s="245">
        <f>AVERAGE(C19,C24)</f>
        <v>0.10384340337807617</v>
      </c>
      <c r="D22" s="307">
        <f>'Future Cashflows (10 Yrs)'!E7*(1-C22)</f>
        <v>12172.465839655524</v>
      </c>
      <c r="E22" s="282">
        <f>F14</f>
        <v>2468.2020670863626</v>
      </c>
      <c r="F22" s="307">
        <f t="shared" si="2"/>
        <v>14640.667906741886</v>
      </c>
      <c r="G22" s="135">
        <f>1-(F22/'Future Cashflows (10 Yrs)'!E7)</f>
        <v>-7.7869619550227087E-2</v>
      </c>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2">
        <f t="shared" si="1"/>
        <v>4</v>
      </c>
      <c r="C23" s="245">
        <f>AVERAGE(C22,C24)</f>
        <v>0.12138616948173017</v>
      </c>
      <c r="D23" s="307">
        <f>'Future Cashflows (10 Yrs)'!E8*(1-C23)</f>
        <v>13215.51472838504</v>
      </c>
      <c r="E23" s="282">
        <f>G14</f>
        <v>2246.7287618586843</v>
      </c>
      <c r="F23" s="307">
        <f t="shared" si="2"/>
        <v>15462.243490243723</v>
      </c>
      <c r="G23" s="135">
        <f>1-(F23/'Future Cashflows (10 Yrs)'!E8)</f>
        <v>-2.7984248860912331E-2</v>
      </c>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162">
        <f t="shared" si="1"/>
        <v>5</v>
      </c>
      <c r="C24" s="245">
        <f>AVERAGE(C19,C29)</f>
        <v>0.13892893558538416</v>
      </c>
      <c r="D24" s="307">
        <f>'Future Cashflows (10 Yrs)'!E9*(1-C24)</f>
        <v>14307.651938566512</v>
      </c>
      <c r="E24" s="282">
        <f>H14</f>
        <v>1944.5470827713743</v>
      </c>
      <c r="F24" s="307">
        <f t="shared" si="2"/>
        <v>16252.199021337887</v>
      </c>
      <c r="G24" s="135">
        <f>1-(F24/'Future Cashflows (10 Yrs)'!E9)</f>
        <v>2.1901121828402315E-2</v>
      </c>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B25" s="162">
        <f t="shared" si="1"/>
        <v>6</v>
      </c>
      <c r="C25" s="245">
        <f>AVERAGE(C24,C27)</f>
        <v>0.15647170168903815</v>
      </c>
      <c r="D25" s="307">
        <f>'Future Cashflows (10 Yrs)'!E10*(1-C25)</f>
        <v>16140.394034065483</v>
      </c>
      <c r="E25" s="282">
        <f>I14</f>
        <v>1620.399277201841</v>
      </c>
      <c r="F25" s="307">
        <f t="shared" si="2"/>
        <v>17760.793311267324</v>
      </c>
      <c r="G25" s="135">
        <f>1-(F25/'Future Cashflows (10 Yrs)'!E10)</f>
        <v>7.1786492517716849E-2</v>
      </c>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B26" s="162">
        <f t="shared" si="1"/>
        <v>7</v>
      </c>
      <c r="C26" s="245">
        <f>AVERAGE(C25,C27)</f>
        <v>0.16524308474086513</v>
      </c>
      <c r="D26" s="307">
        <f>'Future Cashflows (10 Yrs)'!E11*(1-C26)</f>
        <v>18258.570397802974</v>
      </c>
      <c r="E26" s="282">
        <f>J14</f>
        <v>1144.8855507054648</v>
      </c>
      <c r="F26" s="307">
        <f t="shared" si="2"/>
        <v>19403.455948508439</v>
      </c>
      <c r="G26" s="135">
        <f>1-(F26/'Future Cashflows (10 Yrs)'!E11)</f>
        <v>0.11290048015520449</v>
      </c>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B27" s="162">
        <f t="shared" si="1"/>
        <v>8</v>
      </c>
      <c r="C27" s="245">
        <f>AVERAGE(C24,C29)</f>
        <v>0.17401446779269214</v>
      </c>
      <c r="D27" s="307">
        <f>'Future Cashflows (10 Yrs)'!E12*(1-C27)</f>
        <v>20524.080812233042</v>
      </c>
      <c r="E27" s="282">
        <f>K14</f>
        <v>496.95981374845337</v>
      </c>
      <c r="F27" s="307">
        <f t="shared" si="2"/>
        <v>21021.040625981495</v>
      </c>
      <c r="G27" s="135">
        <f>1-(F27/'Future Cashflows (10 Yrs)'!E12)</f>
        <v>0.15401446779269212</v>
      </c>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B28" s="162">
        <f t="shared" si="1"/>
        <v>9</v>
      </c>
      <c r="C28" s="245">
        <f>AVERAGE(C27,C29)</f>
        <v>0.19155723389634613</v>
      </c>
      <c r="D28" s="307">
        <f>'Future Cashflows (10 Yrs)'!E13*(1-C28)</f>
        <v>21925.741145025044</v>
      </c>
      <c r="E28" s="282">
        <f>L14</f>
        <v>542.41913130592241</v>
      </c>
      <c r="F28" s="307">
        <f t="shared" si="2"/>
        <v>22468.160276330967</v>
      </c>
      <c r="G28" s="135">
        <f>1-(F28/'Future Cashflows (10 Yrs)'!E13)</f>
        <v>0.17155723389634614</v>
      </c>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B29" s="162">
        <f t="shared" si="1"/>
        <v>10</v>
      </c>
      <c r="C29" s="245">
        <f>'Expected Growth Rate'!C20</f>
        <v>0.20910000000000012</v>
      </c>
      <c r="D29" s="307">
        <f>'Future Cashflows (10 Yrs)'!E14*(1-C29)</f>
        <v>23383.005021041059</v>
      </c>
      <c r="E29" s="282">
        <f>M14</f>
        <v>591.30117640766366</v>
      </c>
      <c r="F29" s="307">
        <f t="shared" si="2"/>
        <v>23974.306197448721</v>
      </c>
      <c r="G29" s="135">
        <f>1-(F29/'Future Cashflows (10 Yrs)'!E14)</f>
        <v>0.18910000000000005</v>
      </c>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3">
    <mergeCell ref="B10:M10"/>
    <mergeCell ref="B17:G17"/>
    <mergeCell ref="B3:F3"/>
  </mergeCells>
  <pageMargins left="0.7" right="0.7" top="0.75" bottom="0.75" header="0.3" footer="0.3"/>
  <pageSetup paperSize="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5703125" style="2" customWidth="1"/>
    <col min="5" max="5" width="10.5703125" style="2" bestFit="1" customWidth="1"/>
    <col min="6" max="6" width="11.42578125" style="2" customWidth="1"/>
    <col min="7" max="7" width="11.140625" style="2" bestFit="1" customWidth="1"/>
    <col min="8" max="8" width="10.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6" t="s">
        <v>110</v>
      </c>
    </row>
    <row r="3" spans="1:20" ht="12" customHeight="1">
      <c r="E3" s="40"/>
      <c r="F3" s="30"/>
      <c r="G3" s="196"/>
      <c r="H3" s="29"/>
      <c r="I3" s="3"/>
      <c r="J3" s="3"/>
      <c r="K3" s="3"/>
      <c r="L3" s="3"/>
      <c r="M3" s="3"/>
      <c r="N3" s="3"/>
      <c r="O3" s="3"/>
      <c r="P3" s="3"/>
      <c r="Q3" s="3"/>
      <c r="R3" s="3"/>
      <c r="S3" s="3"/>
      <c r="T3" s="3"/>
    </row>
    <row r="4" spans="1:20" ht="12" customHeight="1">
      <c r="B4" s="462" t="s">
        <v>114</v>
      </c>
      <c r="C4" s="462"/>
      <c r="D4" s="462"/>
      <c r="E4" s="462"/>
      <c r="F4" s="462"/>
      <c r="G4" s="462"/>
      <c r="H4" s="462"/>
      <c r="I4" s="462"/>
      <c r="J4" s="462"/>
      <c r="K4" s="462"/>
      <c r="L4" s="462"/>
      <c r="M4" s="3"/>
      <c r="N4" s="3"/>
      <c r="O4" s="3"/>
      <c r="P4" s="3"/>
      <c r="Q4" s="3"/>
      <c r="R4" s="3"/>
      <c r="S4" s="3"/>
      <c r="T4" s="3"/>
    </row>
    <row r="5" spans="1:20" ht="12" customHeight="1">
      <c r="B5" s="195"/>
      <c r="C5" s="197">
        <v>1</v>
      </c>
      <c r="D5" s="197">
        <v>2</v>
      </c>
      <c r="E5" s="198">
        <v>3</v>
      </c>
      <c r="F5" s="199">
        <v>4</v>
      </c>
      <c r="G5" s="200">
        <v>5</v>
      </c>
      <c r="H5" s="201">
        <v>6</v>
      </c>
      <c r="I5" s="197">
        <v>7</v>
      </c>
      <c r="J5" s="197">
        <v>8</v>
      </c>
      <c r="K5" s="197">
        <v>9</v>
      </c>
      <c r="L5" s="197">
        <v>10</v>
      </c>
      <c r="M5" s="3"/>
      <c r="N5" s="3"/>
      <c r="O5" s="3"/>
      <c r="P5" s="3"/>
      <c r="Q5" s="3"/>
      <c r="R5" s="3"/>
      <c r="S5" s="3"/>
      <c r="T5" s="3"/>
    </row>
    <row r="6" spans="1:20" ht="12" customHeight="1">
      <c r="B6" s="46" t="s">
        <v>112</v>
      </c>
      <c r="C6" s="277">
        <f ca="1">'Future Cashflows (10 Yrs)'!F19</f>
        <v>-2950.3617959117814</v>
      </c>
      <c r="D6" s="277">
        <f ca="1">'Future Cashflows (10 Yrs)'!F20</f>
        <v>-2976.2199121046815</v>
      </c>
      <c r="E6" s="303">
        <f ca="1">'Future Cashflows (10 Yrs)'!F21</f>
        <v>-2908.4378001834411</v>
      </c>
      <c r="F6" s="303">
        <f ca="1">'Future Cashflows (10 Yrs)'!F22</f>
        <v>-1841.2835927230308</v>
      </c>
      <c r="G6" s="303">
        <f ca="1">'Future Cashflows (10 Yrs)'!F23</f>
        <v>-1363.1396711345205</v>
      </c>
      <c r="H6" s="303">
        <f ca="1">'Future Cashflows (10 Yrs)'!F24</f>
        <v>-1575.1352552107535</v>
      </c>
      <c r="I6" s="277">
        <f ca="1">'Future Cashflows (10 Yrs)'!F25</f>
        <v>-967.61234369461135</v>
      </c>
      <c r="J6" s="277">
        <f ca="1">'Future Cashflows (10 Yrs)'!F26</f>
        <v>-177.21980327780466</v>
      </c>
      <c r="K6" s="277">
        <f ca="1">'Future Cashflows (10 Yrs)'!F27</f>
        <v>1185.2604987395785</v>
      </c>
      <c r="L6" s="277">
        <f ca="1">'Future Cashflows (10 Yrs)'!F28</f>
        <v>1723.3567690652453</v>
      </c>
      <c r="M6" s="3"/>
      <c r="N6" s="3"/>
      <c r="O6" s="3"/>
      <c r="P6" s="3"/>
      <c r="Q6" s="3"/>
      <c r="R6" s="3"/>
      <c r="S6" s="3"/>
      <c r="T6" s="3"/>
    </row>
    <row r="7" spans="1:20" ht="12" customHeight="1">
      <c r="B7" s="46" t="s">
        <v>113</v>
      </c>
      <c r="C7" s="98">
        <f ca="1">'Cost of Equity, Debt &amp; WACC'!C28</f>
        <v>0.11053574911778821</v>
      </c>
      <c r="D7" s="98">
        <f ca="1">C7</f>
        <v>0.11053574911778821</v>
      </c>
      <c r="E7" s="98">
        <f ca="1">AVERAGE(F7,C7)</f>
        <v>0.10641552577577856</v>
      </c>
      <c r="F7" s="72">
        <f ca="1">AVERAGE(C7,H7)</f>
        <v>0.10229530243376891</v>
      </c>
      <c r="G7" s="72">
        <f ca="1">AVERAGE(F7,H7)</f>
        <v>9.8175079091759265E-2</v>
      </c>
      <c r="H7" s="72">
        <f ca="1">AVERAGE(C7,L7)</f>
        <v>9.4054855749749616E-2</v>
      </c>
      <c r="I7" s="98">
        <f ca="1">AVERAGE(H7,J7)</f>
        <v>8.9934632407739967E-2</v>
      </c>
      <c r="J7" s="98">
        <f ca="1">AVERAGE(H7,L7)</f>
        <v>8.5814409065730318E-2</v>
      </c>
      <c r="K7" s="98">
        <f ca="1">AVERAGE(J7,L7)</f>
        <v>8.1694185723720669E-2</v>
      </c>
      <c r="L7" s="98">
        <f ca="1">'Terminal Value'!$G$21</f>
        <v>7.7573962381711006E-2</v>
      </c>
      <c r="M7" s="20"/>
      <c r="N7" s="3"/>
      <c r="O7" s="3"/>
      <c r="P7" s="3"/>
      <c r="Q7" s="3"/>
      <c r="R7" s="3"/>
      <c r="S7" s="3"/>
      <c r="T7" s="3"/>
    </row>
    <row r="8" spans="1:20" ht="12" customHeight="1">
      <c r="B8" s="83" t="s">
        <v>111</v>
      </c>
      <c r="C8" s="275">
        <f ca="1">C6/(1+C7)^C5</f>
        <v>-2656.7013247935101</v>
      </c>
      <c r="D8" s="275">
        <f t="shared" ref="D8:K8" ca="1" si="0">D6/(1+D7)^D5</f>
        <v>-2413.2367541875633</v>
      </c>
      <c r="E8" s="275">
        <f ca="1">E6/(1+E7)^E5</f>
        <v>-2147.3606786547693</v>
      </c>
      <c r="F8" s="275">
        <f t="shared" ca="1" si="0"/>
        <v>-1247.1791930005993</v>
      </c>
      <c r="G8" s="275">
        <f t="shared" ca="1" si="0"/>
        <v>-853.45855677654072</v>
      </c>
      <c r="H8" s="275">
        <f t="shared" ca="1" si="0"/>
        <v>-918.508678563643</v>
      </c>
      <c r="I8" s="275">
        <f t="shared" ca="1" si="0"/>
        <v>-529.53934405967766</v>
      </c>
      <c r="J8" s="275">
        <f t="shared" ca="1" si="0"/>
        <v>-91.720717958765562</v>
      </c>
      <c r="K8" s="275">
        <f t="shared" ca="1" si="0"/>
        <v>584.61957524406671</v>
      </c>
      <c r="L8" s="275">
        <f ca="1">L6/(1+L7)^L5</f>
        <v>816.40246117286063</v>
      </c>
      <c r="M8" s="3"/>
      <c r="N8" s="3"/>
      <c r="O8" s="3"/>
      <c r="P8" s="3"/>
      <c r="Q8" s="3"/>
      <c r="R8" s="3"/>
      <c r="S8" s="3"/>
      <c r="T8" s="3"/>
    </row>
    <row r="9" spans="1:20" ht="12" customHeight="1">
      <c r="M9" s="3"/>
      <c r="N9" s="3"/>
      <c r="O9" s="3"/>
      <c r="P9" s="3"/>
      <c r="Q9" s="3"/>
      <c r="R9" s="3"/>
      <c r="S9" s="3"/>
      <c r="T9" s="3"/>
    </row>
    <row r="10" spans="1:20" ht="12" customHeight="1">
      <c r="A10" s="3"/>
      <c r="E10" s="29"/>
      <c r="F10" s="29"/>
      <c r="G10" s="29"/>
      <c r="H10" s="29"/>
      <c r="M10" s="3"/>
      <c r="N10" s="3"/>
      <c r="O10" s="3"/>
      <c r="P10" s="3"/>
      <c r="Q10" s="3"/>
      <c r="R10" s="3"/>
      <c r="S10" s="3"/>
      <c r="T10" s="3"/>
    </row>
    <row r="11" spans="1:20" ht="12" customHeight="1">
      <c r="A11" s="3"/>
      <c r="C11" s="262" t="s">
        <v>149</v>
      </c>
      <c r="E11" s="32"/>
      <c r="F11" s="32"/>
      <c r="G11" s="32"/>
      <c r="H11" s="32"/>
      <c r="L11" s="217"/>
      <c r="N11" s="3"/>
      <c r="O11" s="3"/>
      <c r="P11" s="3"/>
      <c r="Q11" s="3"/>
      <c r="R11" s="3"/>
      <c r="S11" s="3"/>
      <c r="T11" s="3"/>
    </row>
    <row r="12" spans="1:20" ht="12" customHeight="1">
      <c r="A12" s="3"/>
      <c r="B12" s="208" t="s">
        <v>109</v>
      </c>
      <c r="C12" s="303">
        <f ca="1">SUM(C8:L8)</f>
        <v>-9456.6832115781435</v>
      </c>
      <c r="E12" s="80"/>
      <c r="F12" s="80"/>
      <c r="G12" s="80"/>
      <c r="H12" s="80"/>
      <c r="I12" s="29"/>
      <c r="J12" s="29"/>
      <c r="K12" s="29"/>
      <c r="L12" s="3"/>
      <c r="M12" s="3"/>
      <c r="N12" s="3"/>
      <c r="O12" s="3"/>
      <c r="P12" s="3"/>
      <c r="Q12" s="3"/>
      <c r="R12" s="3"/>
      <c r="S12" s="3"/>
      <c r="T12" s="3"/>
    </row>
    <row r="13" spans="1:20" ht="12" customHeight="1">
      <c r="A13" s="3"/>
      <c r="B13" s="208" t="s">
        <v>78</v>
      </c>
      <c r="C13" s="303">
        <f ca="1">'Terminal Value'!$C$13</f>
        <v>70526.152931250472</v>
      </c>
      <c r="D13" s="29"/>
      <c r="E13" s="23"/>
      <c r="F13" s="318"/>
      <c r="G13" s="164"/>
      <c r="H13" s="320"/>
      <c r="I13" s="29"/>
      <c r="J13" s="29"/>
      <c r="K13" s="29"/>
      <c r="L13" s="3"/>
      <c r="M13" s="3"/>
      <c r="N13" s="3"/>
      <c r="O13" s="3"/>
      <c r="P13" s="3"/>
      <c r="Q13" s="3"/>
      <c r="R13" s="3"/>
      <c r="S13" s="3"/>
      <c r="T13" s="3"/>
    </row>
    <row r="14" spans="1:20" s="25" customFormat="1" ht="12" customHeight="1">
      <c r="A14" s="24"/>
      <c r="B14" s="208" t="s">
        <v>103</v>
      </c>
      <c r="C14" s="303">
        <f ca="1">C13/(1+L7)^'Fair Value of Share'!$L$5</f>
        <v>33410.217700515263</v>
      </c>
      <c r="D14" s="41"/>
      <c r="E14" s="23"/>
      <c r="F14" s="318"/>
      <c r="G14" s="164"/>
      <c r="H14" s="320"/>
      <c r="I14" s="102"/>
      <c r="J14" s="102"/>
      <c r="K14" s="102"/>
      <c r="L14" s="24"/>
      <c r="M14" s="24"/>
      <c r="N14" s="24"/>
      <c r="O14" s="24"/>
      <c r="P14" s="24"/>
      <c r="Q14" s="24"/>
      <c r="R14" s="24"/>
      <c r="S14" s="24"/>
      <c r="T14" s="24"/>
    </row>
    <row r="15" spans="1:20" ht="12" customHeight="1">
      <c r="A15" s="3"/>
      <c r="B15" s="209" t="s">
        <v>115</v>
      </c>
      <c r="C15" s="304">
        <f ca="1">C14+C12</f>
        <v>23953.534488937119</v>
      </c>
      <c r="E15" s="319"/>
      <c r="F15" s="318"/>
      <c r="G15" s="164"/>
      <c r="H15" s="317"/>
      <c r="I15" s="312"/>
      <c r="J15" s="312"/>
      <c r="K15" s="187"/>
      <c r="L15" s="3"/>
    </row>
    <row r="16" spans="1:20" ht="12" customHeight="1">
      <c r="A16" s="202" t="s">
        <v>46</v>
      </c>
      <c r="B16" s="210" t="s">
        <v>99</v>
      </c>
      <c r="C16" s="303">
        <f>'Cash &amp; Marketable Securities'!C7</f>
        <v>9629.1059999999998</v>
      </c>
      <c r="E16" s="319"/>
      <c r="F16" s="318"/>
      <c r="G16" s="164"/>
      <c r="H16" s="320"/>
      <c r="I16" s="313"/>
      <c r="J16" s="313"/>
      <c r="K16" s="313"/>
      <c r="L16" s="3"/>
      <c r="M16" s="3"/>
    </row>
    <row r="17" spans="1:20" ht="12" customHeight="1">
      <c r="A17" s="202" t="s">
        <v>46</v>
      </c>
      <c r="B17" s="211" t="s">
        <v>108</v>
      </c>
      <c r="C17" s="303">
        <v>0</v>
      </c>
      <c r="E17" s="319"/>
      <c r="F17" s="318"/>
      <c r="G17" s="164"/>
      <c r="H17" s="320"/>
      <c r="I17" s="65"/>
      <c r="J17" s="65"/>
      <c r="K17" s="104"/>
      <c r="L17" s="3"/>
      <c r="M17" s="3"/>
    </row>
    <row r="18" spans="1:20" ht="12" customHeight="1">
      <c r="A18" s="202" t="s">
        <v>46</v>
      </c>
      <c r="B18" s="28" t="s">
        <v>116</v>
      </c>
      <c r="C18" s="277">
        <v>0</v>
      </c>
      <c r="D18" s="29"/>
      <c r="E18" s="319"/>
      <c r="F18" s="318"/>
      <c r="G18" s="164"/>
      <c r="H18" s="317"/>
      <c r="I18" s="130"/>
      <c r="J18" s="130"/>
      <c r="K18" s="130"/>
      <c r="L18" s="3"/>
      <c r="M18" s="3"/>
    </row>
    <row r="19" spans="1:20" ht="12" customHeight="1">
      <c r="A19" s="7"/>
      <c r="B19" s="209" t="s">
        <v>106</v>
      </c>
      <c r="C19" s="304">
        <f ca="1">SUM(C15:C18)</f>
        <v>33582.640488937119</v>
      </c>
      <c r="D19" s="29"/>
      <c r="E19" s="23"/>
      <c r="F19" s="320"/>
      <c r="G19" s="321"/>
      <c r="H19" s="320"/>
      <c r="L19" s="3"/>
      <c r="M19" s="3"/>
      <c r="Q19" s="29"/>
      <c r="R19" s="3"/>
      <c r="S19" s="3"/>
      <c r="T19" s="3"/>
    </row>
    <row r="20" spans="1:20" ht="12" customHeight="1">
      <c r="A20" s="7" t="s">
        <v>33</v>
      </c>
      <c r="B20" s="208" t="s">
        <v>105</v>
      </c>
      <c r="C20" s="305">
        <f ca="1">'Bottom Up Beta'!C14</f>
        <v>2134.5014465910417</v>
      </c>
      <c r="D20" s="29"/>
      <c r="E20" s="23"/>
      <c r="F20" s="320"/>
      <c r="G20" s="321"/>
      <c r="H20" s="320"/>
      <c r="K20" s="29"/>
      <c r="L20" s="3"/>
      <c r="M20" s="3"/>
      <c r="N20" s="3"/>
      <c r="P20" s="3"/>
      <c r="Q20" s="3"/>
      <c r="R20" s="3"/>
      <c r="S20" s="3"/>
      <c r="T20" s="3"/>
    </row>
    <row r="21" spans="1:20" ht="12" customHeight="1">
      <c r="A21" s="7"/>
      <c r="B21" s="209" t="s">
        <v>107</v>
      </c>
      <c r="C21" s="289">
        <f ca="1">C19-C20</f>
        <v>31448.139042346076</v>
      </c>
      <c r="D21" s="31"/>
      <c r="E21" s="23"/>
      <c r="F21" s="320"/>
      <c r="G21" s="321"/>
      <c r="H21" s="320"/>
      <c r="I21" s="29"/>
      <c r="J21" s="29"/>
      <c r="K21" s="29"/>
      <c r="L21" s="3"/>
      <c r="M21" s="3"/>
      <c r="N21" s="3"/>
      <c r="O21" s="3"/>
      <c r="P21" s="3"/>
      <c r="Q21" s="3"/>
      <c r="R21" s="3"/>
      <c r="S21" s="3"/>
      <c r="T21" s="3"/>
    </row>
    <row r="22" spans="1:20" ht="12" customHeight="1">
      <c r="A22" s="207" t="s">
        <v>33</v>
      </c>
      <c r="B22" s="28" t="s">
        <v>117</v>
      </c>
      <c r="C22" s="277">
        <f>99.395655*22.518</f>
        <v>2238.19135929</v>
      </c>
      <c r="D22" s="29"/>
      <c r="E22" s="23"/>
      <c r="F22" s="320"/>
      <c r="G22" s="321"/>
      <c r="H22" s="320"/>
      <c r="I22" s="29"/>
      <c r="J22" s="29"/>
      <c r="K22" s="29"/>
      <c r="L22" s="3"/>
      <c r="M22" s="3"/>
      <c r="O22" s="3"/>
      <c r="P22" s="3"/>
      <c r="Q22" s="3"/>
      <c r="R22" s="3"/>
      <c r="S22" s="3"/>
      <c r="T22" s="3"/>
    </row>
    <row r="23" spans="1:20" s="27" customFormat="1" ht="12" customHeight="1">
      <c r="B23" s="209" t="s">
        <v>118</v>
      </c>
      <c r="C23" s="306">
        <f ca="1">C21-C22</f>
        <v>29209.947683056074</v>
      </c>
      <c r="D23" s="29"/>
      <c r="E23" s="26"/>
      <c r="F23" s="26"/>
      <c r="G23" s="26"/>
      <c r="H23" s="322"/>
      <c r="I23" s="32"/>
      <c r="J23" s="32"/>
      <c r="K23" s="32"/>
      <c r="L23" s="26"/>
      <c r="M23" s="26"/>
      <c r="N23" s="26"/>
      <c r="O23" s="26"/>
      <c r="P23" s="26"/>
      <c r="Q23" s="26"/>
      <c r="R23" s="26"/>
      <c r="S23" s="26"/>
      <c r="T23" s="26"/>
    </row>
    <row r="24" spans="1:20" ht="12" customHeight="1">
      <c r="B24" s="28" t="s">
        <v>42</v>
      </c>
      <c r="C24" s="372">
        <f>638.696+34.974</f>
        <v>673.67000000000007</v>
      </c>
      <c r="D24" s="373"/>
      <c r="I24" s="3"/>
      <c r="J24" s="3"/>
      <c r="K24" s="3"/>
      <c r="L24" s="3"/>
      <c r="M24" s="3"/>
      <c r="N24" s="3"/>
      <c r="O24" s="3"/>
      <c r="P24" s="3"/>
      <c r="Q24" s="3"/>
      <c r="R24" s="3"/>
      <c r="S24" s="3"/>
      <c r="T24" s="3"/>
    </row>
    <row r="25" spans="1:20" ht="12" customHeight="1">
      <c r="B25" s="310" t="s">
        <v>119</v>
      </c>
      <c r="C25" s="294">
        <f ca="1">C23/C24</f>
        <v>43.359430705027791</v>
      </c>
      <c r="D25" s="311"/>
      <c r="I25" s="29"/>
      <c r="J25" s="29"/>
      <c r="K25" s="14"/>
      <c r="L25" s="3"/>
      <c r="M25" s="3"/>
      <c r="N25" s="3"/>
      <c r="O25" s="3"/>
      <c r="P25" s="3"/>
      <c r="Q25" s="3"/>
      <c r="R25" s="3"/>
      <c r="S25" s="3"/>
      <c r="T25" s="3"/>
    </row>
    <row r="26" spans="1:20" ht="12" customHeight="1">
      <c r="B26" s="374"/>
      <c r="C26" s="375"/>
      <c r="D26" s="32"/>
      <c r="I26" s="29"/>
      <c r="J26" s="29"/>
      <c r="K26" s="6"/>
      <c r="L26" s="3"/>
      <c r="M26" s="3"/>
      <c r="N26" s="3"/>
      <c r="O26" s="3"/>
      <c r="P26" s="3"/>
      <c r="Q26" s="3"/>
      <c r="R26" s="3"/>
      <c r="S26" s="3"/>
      <c r="T26" s="3"/>
    </row>
    <row r="27" spans="1:20" ht="12" customHeight="1">
      <c r="B27" s="314"/>
      <c r="C27" s="309"/>
      <c r="D27" s="3"/>
      <c r="I27" s="29"/>
      <c r="J27" s="29"/>
      <c r="K27" s="6"/>
      <c r="L27" s="3"/>
      <c r="M27" s="3"/>
      <c r="N27" s="3"/>
      <c r="O27" s="3"/>
      <c r="P27" s="3"/>
      <c r="Q27" s="3"/>
      <c r="R27" s="3"/>
      <c r="S27" s="3"/>
      <c r="T27" s="3"/>
    </row>
    <row r="28" spans="1:20" ht="12" customHeight="1">
      <c r="B28" s="3"/>
      <c r="C28" s="5"/>
      <c r="D28" s="3"/>
      <c r="E28" s="215"/>
      <c r="F28" s="216"/>
      <c r="G28" s="14"/>
      <c r="H28" s="6"/>
      <c r="I28" s="6"/>
      <c r="J28" s="6"/>
      <c r="K28" s="6"/>
      <c r="L28" s="3"/>
      <c r="M28" s="3"/>
      <c r="N28" s="3"/>
      <c r="O28" s="3"/>
      <c r="P28" s="3"/>
      <c r="Q28" s="3"/>
      <c r="R28" s="3"/>
      <c r="S28" s="3"/>
      <c r="T28" s="3"/>
    </row>
    <row r="29" spans="1:20" ht="12" customHeight="1">
      <c r="B29" s="3"/>
      <c r="C29" s="3"/>
      <c r="D29" s="3"/>
      <c r="E29" s="42"/>
      <c r="F29" s="154"/>
      <c r="G29" s="14"/>
      <c r="H29" s="6"/>
      <c r="I29" s="6"/>
      <c r="J29" s="6"/>
      <c r="K29" s="6"/>
      <c r="L29" s="3"/>
      <c r="M29" s="3"/>
      <c r="N29" s="3"/>
      <c r="O29" s="3"/>
      <c r="P29" s="3"/>
      <c r="Q29" s="3"/>
      <c r="R29" s="3"/>
      <c r="S29" s="3"/>
      <c r="T29" s="3"/>
    </row>
    <row r="30" spans="1:20" ht="12" customHeight="1">
      <c r="B30" s="3"/>
      <c r="C30" s="3"/>
      <c r="D30" s="3"/>
      <c r="E30" s="42"/>
      <c r="F30" s="134"/>
      <c r="G30" s="3"/>
      <c r="H30" s="3"/>
      <c r="I30" s="3"/>
      <c r="J30" s="3"/>
      <c r="K30" s="3"/>
      <c r="L30" s="3"/>
      <c r="M30" s="3"/>
      <c r="N30" s="3"/>
      <c r="O30" s="3"/>
      <c r="P30" s="3"/>
      <c r="Q30" s="3"/>
      <c r="R30" s="3"/>
      <c r="S30" s="3"/>
      <c r="T30" s="3"/>
    </row>
    <row r="31" spans="1:20" ht="12" customHeight="1">
      <c r="E31" s="31"/>
      <c r="F31" s="130"/>
      <c r="G31" s="3"/>
      <c r="H31" s="3"/>
      <c r="I31" s="3"/>
      <c r="J31" s="3"/>
      <c r="K31" s="3"/>
      <c r="L31" s="3"/>
      <c r="M31" s="3"/>
    </row>
    <row r="32" spans="1:20" ht="12" customHeight="1">
      <c r="C32" s="13"/>
      <c r="E32" s="3"/>
      <c r="F32" s="130"/>
      <c r="G32" s="3"/>
      <c r="H32" s="3"/>
      <c r="I32" s="3"/>
      <c r="J32" s="3"/>
      <c r="K32" s="3"/>
      <c r="L32" s="3"/>
      <c r="M32" s="3"/>
    </row>
    <row r="33" spans="2:13" ht="12" customHeight="1">
      <c r="E33" s="3"/>
      <c r="F33" s="213"/>
    </row>
    <row r="34" spans="2:13" ht="12" customHeight="1">
      <c r="B34" s="15"/>
      <c r="E34" s="3"/>
      <c r="F34" s="65"/>
      <c r="G34" s="8"/>
      <c r="K34" s="10"/>
    </row>
    <row r="35" spans="2:13" ht="12" customHeight="1">
      <c r="B35" s="8"/>
      <c r="E35" s="29"/>
      <c r="F35" s="212"/>
      <c r="G35" s="11"/>
      <c r="K35" s="8"/>
      <c r="M35" s="8"/>
    </row>
    <row r="36" spans="2:13" ht="12" customHeight="1">
      <c r="E36" s="29"/>
      <c r="M36" s="8"/>
    </row>
    <row r="37" spans="2:13" ht="12" customHeight="1">
      <c r="E37" s="29"/>
      <c r="F37" s="6"/>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Dashboard</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Future Cashflows (10 Yrs)</vt:lpstr>
      <vt:lpstr>Terminal Value</vt:lpstr>
      <vt:lpstr>Road to Fair Value of Share</vt:lpstr>
      <vt:lpstr>Cash &amp; Marketable Securities</vt:lpstr>
      <vt:lpstr>Future Value (Equity Options)</vt:lpstr>
      <vt:lpstr>Fair Value of Share</vt:lpstr>
      <vt:lpstr>Dashboard!Print_Area</vt:lpstr>
      <vt:lpstr>'Fair Value of Share'!Print_Area</vt:lpstr>
      <vt:lpstr>'Future Cashflows (10 Yrs)'!Print_Area</vt:lpstr>
      <vt:lpstr>'Future Value (Equity Options)'!Print_Area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2023-02-17T07:18:52Z</dcterms:modified>
</cp:coreProperties>
</file>