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240" yWindow="585" windowWidth="14805" windowHeight="7530"/>
  </bookViews>
  <sheets>
    <sheet name="Cover" sheetId="28" r:id="rId1"/>
    <sheet name="About" sheetId="29" r:id="rId2"/>
    <sheet name="Index" sheetId="4" r:id="rId3"/>
    <sheet name="Risk Free Rate" sheetId="24" r:id="rId4"/>
    <sheet name="Equity Risk Premium" sheetId="26" r:id="rId5"/>
    <sheet name="Beta" sheetId="53" r:id="rId6"/>
    <sheet name="Cost of Equity" sheetId="23" r:id="rId7"/>
    <sheet name=" Cash Flows and Fair Value" sheetId="36" r:id="rId8"/>
    <sheet name="Industry Numbers" sheetId="54" r:id="rId9"/>
    <sheet name="Future Cashflows (10 Yrs)" sheetId="37" r:id="rId10"/>
    <sheet name="Fair Value of Share" sheetId="48" r:id="rId11"/>
    <sheet name="Relative Valuation - Banks" sheetId="55" r:id="rId12"/>
    <sheet name="Yes Bank - Pricing" sheetId="56" r:id="rId13"/>
  </sheets>
  <definedNames>
    <definedName name="_xlnm.Print_Area" localSheetId="5">Beta!$G$2:$M$10,Beta!$B$3:$C$13</definedName>
  </definedNames>
  <calcPr calcId="162913" iterate="1"/>
</workbook>
</file>

<file path=xl/calcChain.xml><?xml version="1.0" encoding="utf-8"?>
<calcChain xmlns="http://schemas.openxmlformats.org/spreadsheetml/2006/main">
  <c r="B15" i="4" l="1"/>
  <c r="B14" i="4"/>
  <c r="C6" i="56" l="1"/>
  <c r="C4" i="56"/>
  <c r="C7" i="56" s="1"/>
  <c r="C3" i="56"/>
  <c r="I24" i="55"/>
  <c r="I31" i="55"/>
  <c r="I18" i="55"/>
  <c r="I17" i="55"/>
  <c r="I34" i="55"/>
  <c r="I20" i="55"/>
  <c r="I29" i="55"/>
  <c r="I23" i="55"/>
  <c r="I14" i="55"/>
  <c r="I36" i="55"/>
  <c r="I16" i="55"/>
  <c r="I30" i="55"/>
  <c r="I8" i="55"/>
  <c r="I6" i="55"/>
  <c r="I37" i="55"/>
  <c r="I5" i="55"/>
  <c r="I12" i="55"/>
  <c r="I26" i="55"/>
  <c r="I13" i="55"/>
  <c r="I38" i="55"/>
  <c r="I4" i="55"/>
  <c r="I33" i="55"/>
  <c r="I22" i="55"/>
  <c r="I10" i="55"/>
  <c r="I15" i="55"/>
  <c r="I32" i="55"/>
  <c r="I28" i="55"/>
  <c r="I9" i="55"/>
  <c r="I7" i="55"/>
  <c r="I19" i="55"/>
  <c r="I27" i="55"/>
  <c r="I35" i="55"/>
  <c r="I21" i="55"/>
  <c r="I11" i="55"/>
  <c r="I25" i="55"/>
  <c r="C10" i="56" l="1"/>
  <c r="C22" i="48"/>
  <c r="C17" i="48"/>
  <c r="D23" i="37"/>
  <c r="E18" i="37"/>
  <c r="D18" i="37" s="1"/>
  <c r="C18" i="37"/>
  <c r="F5" i="37"/>
  <c r="F4" i="37"/>
  <c r="D19" i="54"/>
  <c r="D11" i="37"/>
  <c r="D10" i="37"/>
  <c r="D9" i="37"/>
  <c r="D8" i="37"/>
  <c r="D7" i="37"/>
  <c r="D6" i="37"/>
  <c r="D5" i="37"/>
  <c r="E20" i="54"/>
  <c r="I17" i="53"/>
  <c r="C5" i="37" l="1"/>
  <c r="C6" i="37" s="1"/>
  <c r="H7" i="54"/>
  <c r="E19" i="54"/>
  <c r="E14" i="37"/>
  <c r="E10" i="37" s="1"/>
  <c r="E12" i="37" s="1"/>
  <c r="C6" i="53"/>
  <c r="C5" i="23" s="1"/>
  <c r="L16" i="53"/>
  <c r="K16" i="53"/>
  <c r="L15" i="53"/>
  <c r="K15" i="53"/>
  <c r="L14" i="53"/>
  <c r="K14" i="53"/>
  <c r="L13" i="53"/>
  <c r="K13" i="53"/>
  <c r="L12" i="53"/>
  <c r="K12" i="53"/>
  <c r="L11" i="53"/>
  <c r="K11" i="53"/>
  <c r="L10" i="53"/>
  <c r="K10" i="53"/>
  <c r="C4" i="53"/>
  <c r="C3" i="53"/>
  <c r="L9" i="53"/>
  <c r="K9" i="53"/>
  <c r="L8" i="53"/>
  <c r="K8" i="53"/>
  <c r="L7" i="53"/>
  <c r="K7" i="53"/>
  <c r="L6" i="53"/>
  <c r="K6" i="53"/>
  <c r="L5" i="53"/>
  <c r="K5" i="53"/>
  <c r="L4" i="53"/>
  <c r="K4" i="53"/>
  <c r="E15" i="37" l="1"/>
  <c r="D26" i="37"/>
  <c r="D27" i="37" s="1"/>
  <c r="E7" i="37"/>
  <c r="E9" i="37" s="1"/>
  <c r="C7" i="37"/>
  <c r="E13" i="37"/>
  <c r="E11" i="37"/>
  <c r="D21" i="37" l="1"/>
  <c r="D22" i="37" s="1"/>
  <c r="E8" i="37"/>
  <c r="E6" i="37" s="1"/>
  <c r="E5" i="37" s="1"/>
  <c r="G5" i="37" s="1"/>
  <c r="F19" i="37" s="1"/>
  <c r="D19" i="37"/>
  <c r="D20" i="37" s="1"/>
  <c r="D25" i="37"/>
  <c r="D24" i="37" s="1"/>
  <c r="F7" i="37"/>
  <c r="C8" i="37"/>
  <c r="C19" i="37" l="1"/>
  <c r="F6" i="37"/>
  <c r="G6" i="37" s="1"/>
  <c r="F20" i="37" s="1"/>
  <c r="F8" i="37"/>
  <c r="G8" i="37" s="1"/>
  <c r="F22" i="37" s="1"/>
  <c r="C9" i="37"/>
  <c r="F9" i="37" s="1"/>
  <c r="E19" i="37" l="1"/>
  <c r="G19" i="37" s="1"/>
  <c r="C8" i="48" s="1"/>
  <c r="G7" i="37"/>
  <c r="F21" i="37" s="1"/>
  <c r="C20" i="37"/>
  <c r="E20" i="37" s="1"/>
  <c r="G20" i="37" s="1"/>
  <c r="D8" i="48" s="1"/>
  <c r="G9" i="37"/>
  <c r="F23" i="37" s="1"/>
  <c r="C10" i="37"/>
  <c r="C11" i="37" s="1"/>
  <c r="C21" i="37" l="1"/>
  <c r="E21" i="37" s="1"/>
  <c r="G21" i="37" s="1"/>
  <c r="E8" i="48" s="1"/>
  <c r="F10" i="37"/>
  <c r="G10" i="37" s="1"/>
  <c r="F24" i="37" s="1"/>
  <c r="C22" i="37" l="1"/>
  <c r="C23" i="37" s="1"/>
  <c r="F11" i="37"/>
  <c r="G11" i="37" s="1"/>
  <c r="F25" i="37" s="1"/>
  <c r="E22" i="37" l="1"/>
  <c r="G22" i="37" s="1"/>
  <c r="F8" i="48" s="1"/>
  <c r="E23" i="37"/>
  <c r="G23" i="37" s="1"/>
  <c r="G8" i="48" s="1"/>
  <c r="C24" i="37"/>
  <c r="C25" i="37" l="1"/>
  <c r="E24" i="37"/>
  <c r="G24" i="37" s="1"/>
  <c r="H8" i="48" s="1"/>
  <c r="E25" i="37" l="1"/>
  <c r="G25" i="37" s="1"/>
  <c r="I8" i="48" s="1"/>
  <c r="J4" i="26" l="1"/>
  <c r="J5" i="26"/>
  <c r="J6" i="26"/>
  <c r="J7" i="26"/>
  <c r="J8" i="26"/>
  <c r="I14" i="26"/>
  <c r="J13" i="26"/>
  <c r="J12" i="26"/>
  <c r="J11" i="26"/>
  <c r="E21" i="26"/>
  <c r="M4" i="26"/>
  <c r="C11" i="26"/>
  <c r="J9" i="26"/>
  <c r="J10" i="26"/>
  <c r="C7" i="26"/>
  <c r="C6" i="26"/>
  <c r="C3" i="26"/>
  <c r="B6" i="4"/>
  <c r="B7" i="4" s="1"/>
  <c r="B8" i="4" s="1"/>
  <c r="B9" i="4" s="1"/>
  <c r="B10" i="4" s="1"/>
  <c r="B11" i="4" s="1"/>
  <c r="B12" i="4" s="1"/>
  <c r="B13" i="4" s="1"/>
  <c r="M6" i="26" l="1"/>
  <c r="M7" i="26" s="1"/>
  <c r="J14" i="26"/>
  <c r="C4" i="26" s="1"/>
  <c r="C7" i="24"/>
  <c r="C3" i="24" s="1"/>
  <c r="D13" i="37" l="1"/>
  <c r="H5" i="54"/>
  <c r="D15" i="37"/>
  <c r="D12" i="37"/>
  <c r="C12" i="37" s="1"/>
  <c r="D14" i="37"/>
  <c r="F27" i="26"/>
  <c r="C3" i="23"/>
  <c r="M5" i="26"/>
  <c r="M9" i="26" s="1"/>
  <c r="C13" i="26" s="1"/>
  <c r="F21" i="26"/>
  <c r="F12" i="37" l="1"/>
  <c r="G12" i="37" s="1"/>
  <c r="C13" i="37"/>
  <c r="G21" i="26"/>
  <c r="H21" i="26" s="1"/>
  <c r="F13" i="37" l="1"/>
  <c r="G13" i="37" s="1"/>
  <c r="F27" i="37" s="1"/>
  <c r="C14" i="37"/>
  <c r="F26" i="37"/>
  <c r="C26" i="37"/>
  <c r="I21" i="26"/>
  <c r="J21" i="26" s="1"/>
  <c r="K21" i="26" s="1"/>
  <c r="C27" i="37" l="1"/>
  <c r="E26" i="37"/>
  <c r="G26" i="37" s="1"/>
  <c r="J8" i="48" s="1"/>
  <c r="C15" i="37"/>
  <c r="F15" i="37" s="1"/>
  <c r="F14" i="37"/>
  <c r="G14" i="37" s="1"/>
  <c r="F28" i="37" s="1"/>
  <c r="F24" i="26"/>
  <c r="F23" i="26"/>
  <c r="G15" i="37" l="1"/>
  <c r="F29" i="37" s="1"/>
  <c r="C28" i="37"/>
  <c r="E27" i="37"/>
  <c r="G27" i="37" s="1"/>
  <c r="K8" i="48" s="1"/>
  <c r="F26" i="26"/>
  <c r="F28" i="26" s="1"/>
  <c r="H6" i="54" s="1"/>
  <c r="H9" i="54" s="1"/>
  <c r="L9" i="48" s="1"/>
  <c r="C14" i="48" s="1"/>
  <c r="C29" i="37" l="1"/>
  <c r="E29" i="37" s="1"/>
  <c r="G29" i="37" s="1"/>
  <c r="C15" i="48" s="1"/>
  <c r="E28" i="37"/>
  <c r="G28" i="37" s="1"/>
  <c r="L8" i="48" s="1"/>
  <c r="C4" i="23"/>
  <c r="C7" i="23" l="1"/>
  <c r="C9" i="48" s="1"/>
  <c r="G9" i="48" l="1"/>
  <c r="C10" i="48"/>
  <c r="E9" i="48" l="1"/>
  <c r="I9" i="48"/>
  <c r="K9" i="48" s="1"/>
  <c r="J9" i="48" s="1"/>
  <c r="H9" i="48" l="1"/>
  <c r="H10" i="48" s="1"/>
  <c r="F9" i="48"/>
  <c r="F10" i="48" s="1"/>
  <c r="D9" i="48"/>
  <c r="D10" i="48" s="1"/>
  <c r="E10" i="48"/>
  <c r="G10" i="48"/>
  <c r="I10" i="48"/>
  <c r="J10" i="48"/>
  <c r="K10" i="48"/>
  <c r="L10" i="48"/>
  <c r="C13" i="48" l="1"/>
  <c r="C16" i="48" l="1"/>
  <c r="C18" i="48" l="1"/>
  <c r="C20" i="48" s="1"/>
</calcChain>
</file>

<file path=xl/sharedStrings.xml><?xml version="1.0" encoding="utf-8"?>
<sst xmlns="http://schemas.openxmlformats.org/spreadsheetml/2006/main" count="325" uniqueCount="237">
  <si>
    <t xml:space="preserve">#                </t>
  </si>
  <si>
    <t>Worksheet</t>
  </si>
  <si>
    <t>Beta</t>
  </si>
  <si>
    <t>Cost of Capital</t>
  </si>
  <si>
    <t>Cost of Equity</t>
  </si>
  <si>
    <t>Risk Free Rate</t>
  </si>
  <si>
    <t>Equity Risk Premium</t>
  </si>
  <si>
    <t>India 10-Year Government Bond Yield</t>
  </si>
  <si>
    <t>India Credit Rating (Fitch - 06/10/2022)</t>
  </si>
  <si>
    <t>India's Default Spread</t>
  </si>
  <si>
    <t>Cyprus</t>
  </si>
  <si>
    <t>Mexico</t>
  </si>
  <si>
    <t>Panama</t>
  </si>
  <si>
    <t>Romania</t>
  </si>
  <si>
    <t>Uruguay</t>
  </si>
  <si>
    <t>Croatia</t>
  </si>
  <si>
    <t>Kazakhstan</t>
  </si>
  <si>
    <t>Montserrat</t>
  </si>
  <si>
    <t>Trinidad and Tobago</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</si>
  <si>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</si>
  <si>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</si>
  <si>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</si>
  <si>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</si>
  <si>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</si>
  <si>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</si>
  <si>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</si>
  <si>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</si>
  <si>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</si>
  <si>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</si>
  <si>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</si>
  <si>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</si>
  <si>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</si>
  <si>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</si>
  <si>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</si>
  <si>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</si>
  <si>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</si>
  <si>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</si>
  <si>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</si>
  <si>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</si>
  <si>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</si>
  <si>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</si>
  <si>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Avg Default Spread (%)</t>
  </si>
  <si>
    <t>Countries credit rating same as India</t>
  </si>
  <si>
    <t>(Risk Free Rate = 10 Year Gov Bond - Default Spread)</t>
  </si>
  <si>
    <t>Year</t>
  </si>
  <si>
    <t>Dividends from Nifty50 in 2021</t>
  </si>
  <si>
    <t>Dividend Cf</t>
  </si>
  <si>
    <t>Avg Div Yield</t>
  </si>
  <si>
    <t>Adj Avg Div Yield (Last 10 Years)</t>
  </si>
  <si>
    <t>Dividend Yield (as on March 31, 2022)</t>
  </si>
  <si>
    <t>Weights</t>
  </si>
  <si>
    <t>Adj Avg Dividend Cash Flows in 2021</t>
  </si>
  <si>
    <t>Source:</t>
  </si>
  <si>
    <t>Nifty 50 Dividend Yield(DIV) on Trendlyne.com</t>
  </si>
  <si>
    <t>Nifty50 Dividend Points Index Ticker: NIFTYDIVID</t>
  </si>
  <si>
    <t>FY13</t>
  </si>
  <si>
    <t>FY14</t>
  </si>
  <si>
    <t>FY15</t>
  </si>
  <si>
    <t>FY16</t>
  </si>
  <si>
    <t>FY17</t>
  </si>
  <si>
    <t>FY18</t>
  </si>
  <si>
    <t>FY19</t>
  </si>
  <si>
    <t>FY20</t>
  </si>
  <si>
    <t>FY21</t>
  </si>
  <si>
    <t>FY22</t>
  </si>
  <si>
    <t>FY23</t>
  </si>
  <si>
    <t>FY24</t>
  </si>
  <si>
    <t>FY25</t>
  </si>
  <si>
    <t>FY26</t>
  </si>
  <si>
    <t>FY27</t>
  </si>
  <si>
    <t>EPS of Nifty50 (31st Mar 2012)</t>
  </si>
  <si>
    <t>EPS of Nifty50 (31st Mar 2022)</t>
  </si>
  <si>
    <t>Avg EPS growth Nifty50 (Last 10 Years)</t>
  </si>
  <si>
    <t>Exp Growth %</t>
  </si>
  <si>
    <t>Expected Growth % in Nifty50 (Next 5 Years)</t>
  </si>
  <si>
    <t>Nifty 50 Earnings Per share (EPS)</t>
  </si>
  <si>
    <t>India 10-Year Bond Yield</t>
  </si>
  <si>
    <t>Wght Div Cf</t>
  </si>
  <si>
    <t>Investment Outflow</t>
  </si>
  <si>
    <t>NPV @ 10%</t>
  </si>
  <si>
    <t>NPV @ 9%</t>
  </si>
  <si>
    <t>Exp Return on Stocks</t>
  </si>
  <si>
    <t>-</t>
  </si>
  <si>
    <t>Ticker</t>
  </si>
  <si>
    <t>Std Error</t>
  </si>
  <si>
    <t>Beta Range</t>
  </si>
  <si>
    <t>Low Beta</t>
  </si>
  <si>
    <t>High Beta</t>
  </si>
  <si>
    <t>Regression Beta using Python (skLearn.LinearModel)</t>
  </si>
  <si>
    <t>Yahoo Finance (yahoofinancials module)</t>
  </si>
  <si>
    <t>Bottom-Up Beta</t>
  </si>
  <si>
    <t>India Corporate Tax Rate</t>
  </si>
  <si>
    <t>Risk Free Rate - Rf</t>
  </si>
  <si>
    <t>(Cost of Equity = Risk Free Rate + Beta * Equity Risk Premium)</t>
  </si>
  <si>
    <t>Number of Shares Outstanding</t>
  </si>
  <si>
    <t>Valuation Index</t>
  </si>
  <si>
    <t>Reinvestment</t>
  </si>
  <si>
    <t>Future Cash Flows (10 Yrs)</t>
  </si>
  <si>
    <t>Terminal Value</t>
  </si>
  <si>
    <t>Risk Free Rate - India</t>
  </si>
  <si>
    <t>Mature Company's Beta</t>
  </si>
  <si>
    <t>Present Value of TV</t>
  </si>
  <si>
    <t>Value of Equity</t>
  </si>
  <si>
    <t>Fair Value of the Share</t>
  </si>
  <si>
    <t>Present Value of Cash Flows</t>
  </si>
  <si>
    <t>Discounting Future Cash Flows to Present Value</t>
  </si>
  <si>
    <t>Value of Equity Options</t>
  </si>
  <si>
    <t>Fair value of share</t>
  </si>
  <si>
    <t>Value of Common Stock</t>
  </si>
  <si>
    <t>Fair Value of Share</t>
  </si>
  <si>
    <t>Growth Rate in Perpetuity</t>
  </si>
  <si>
    <t>TV</t>
  </si>
  <si>
    <t>Axis Bank</t>
  </si>
  <si>
    <t>Financial Services</t>
  </si>
  <si>
    <t>Private Banking</t>
  </si>
  <si>
    <t>Industry - Private Banking</t>
  </si>
  <si>
    <t>Banking Co.</t>
  </si>
  <si>
    <t>HDFC Bank</t>
  </si>
  <si>
    <t>ICICI Bank</t>
  </si>
  <si>
    <t>Kotak Mahindra Bank</t>
  </si>
  <si>
    <t>IndusInd Bank</t>
  </si>
  <si>
    <t>Bandhan Bank</t>
  </si>
  <si>
    <t>IDBI Bank</t>
  </si>
  <si>
    <t>AU Small Finance</t>
  </si>
  <si>
    <t>Yes Bank</t>
  </si>
  <si>
    <t>Federal Bank</t>
  </si>
  <si>
    <t>IDFC First Bank</t>
  </si>
  <si>
    <t>City Union Bank</t>
  </si>
  <si>
    <t>RBL Bank</t>
  </si>
  <si>
    <t>Karur Vysya Bank</t>
  </si>
  <si>
    <t>Beta (5Y, Monthly)</t>
  </si>
  <si>
    <t>HDFCBANK</t>
  </si>
  <si>
    <t>ICICIBANK</t>
  </si>
  <si>
    <t>KOTAKBANK</t>
  </si>
  <si>
    <t>INDUSINDBK</t>
  </si>
  <si>
    <t>BANDHANBNK</t>
  </si>
  <si>
    <t>IDBI</t>
  </si>
  <si>
    <t>AUBANK</t>
  </si>
  <si>
    <t>YESBANK</t>
  </si>
  <si>
    <t>FEDERALBNK</t>
  </si>
  <si>
    <t>IDFCFIRSTB</t>
  </si>
  <si>
    <t>CUB</t>
  </si>
  <si>
    <t>RBLBANK</t>
  </si>
  <si>
    <t>KARURVYSYA</t>
  </si>
  <si>
    <t>Bottom Up Beta</t>
  </si>
  <si>
    <t>Beta (Axis Bank)</t>
  </si>
  <si>
    <t>Tier 1 Capital</t>
  </si>
  <si>
    <t>Book Equity</t>
  </si>
  <si>
    <t>Expected ROE</t>
  </si>
  <si>
    <t>Net Income</t>
  </si>
  <si>
    <t>FCFE</t>
  </si>
  <si>
    <t>RWA Growth (%)</t>
  </si>
  <si>
    <t>Industry Numbers</t>
  </si>
  <si>
    <t>ROE</t>
  </si>
  <si>
    <t>Mature Company Cost of Equity Estimation</t>
  </si>
  <si>
    <t>Mature Beta</t>
  </si>
  <si>
    <t>Free Cash Flows to Equity</t>
  </si>
  <si>
    <t>LTM</t>
  </si>
  <si>
    <t>Tier 1 Ratio (%)</t>
  </si>
  <si>
    <t>Chg. In Capital</t>
  </si>
  <si>
    <t>RWA</t>
  </si>
  <si>
    <t>Cash Flows and Fair Value</t>
  </si>
  <si>
    <t>Cash Flows &amp; Fair Value</t>
  </si>
  <si>
    <t>Present Vaue of FCFE</t>
  </si>
  <si>
    <t>Yes Bank Company Analysis</t>
  </si>
  <si>
    <t>Sector of Yes Bank</t>
  </si>
  <si>
    <t>Industry of Yes Bank</t>
  </si>
  <si>
    <t>Nifty50 (as on 31st July 2022)</t>
  </si>
  <si>
    <t>AXISBANK</t>
  </si>
  <si>
    <t>(in millions)</t>
  </si>
  <si>
    <t>Future Cash Flows (10 Yrs) (in millions)</t>
  </si>
  <si>
    <t>Probability of Wipeout</t>
  </si>
  <si>
    <t>Adj. Fair Value per share</t>
  </si>
  <si>
    <t>Relative Valuation</t>
  </si>
  <si>
    <t>CSB Bank</t>
  </si>
  <si>
    <t>Ujjivan Small</t>
  </si>
  <si>
    <t>J &amp; K Bank</t>
  </si>
  <si>
    <t>DCB Bank</t>
  </si>
  <si>
    <t>Fino Payments</t>
  </si>
  <si>
    <t>Karnataka Bank</t>
  </si>
  <si>
    <t>South Ind.Bank</t>
  </si>
  <si>
    <t>Suryoday Small</t>
  </si>
  <si>
    <t>Dhanlaxmi Bank</t>
  </si>
  <si>
    <t>SBI</t>
  </si>
  <si>
    <t>Bank of Baroda</t>
  </si>
  <si>
    <t>Canara Bank</t>
  </si>
  <si>
    <t>PNB</t>
  </si>
  <si>
    <t>Union Bank (I)</t>
  </si>
  <si>
    <t>Indian Bank</t>
  </si>
  <si>
    <t>Bank of India</t>
  </si>
  <si>
    <t>Central Bank</t>
  </si>
  <si>
    <t>UCO Bank</t>
  </si>
  <si>
    <t>Bank of Maha</t>
  </si>
  <si>
    <t>Pun. &amp; Sind Bank</t>
  </si>
  <si>
    <t>J&amp;KBANK</t>
  </si>
  <si>
    <t>DCBBANK</t>
  </si>
  <si>
    <t>IOB</t>
  </si>
  <si>
    <t>UCOBANK</t>
  </si>
  <si>
    <t>CSBBANK</t>
  </si>
  <si>
    <t>UJJIVANSFB</t>
  </si>
  <si>
    <t>FINOPB</t>
  </si>
  <si>
    <t>KTKBANK</t>
  </si>
  <si>
    <t>SOUTHBANK</t>
  </si>
  <si>
    <t>SURYODAY</t>
  </si>
  <si>
    <t>DHANBANK</t>
  </si>
  <si>
    <t>SBIN</t>
  </si>
  <si>
    <t>BANKBARODA</t>
  </si>
  <si>
    <t>CANBK</t>
  </si>
  <si>
    <t>Indian Overseas Bank</t>
  </si>
  <si>
    <t>UNIONBANK</t>
  </si>
  <si>
    <t>INDIANB</t>
  </si>
  <si>
    <t>BANKINDIA</t>
  </si>
  <si>
    <t>CENTRALBK</t>
  </si>
  <si>
    <t>MAHABANK</t>
  </si>
  <si>
    <t>PSB</t>
  </si>
  <si>
    <t>Banking Companies</t>
  </si>
  <si>
    <t>Tier 1 Capital %</t>
  </si>
  <si>
    <t>Price to Book</t>
  </si>
  <si>
    <t>Standard Dev.</t>
  </si>
  <si>
    <t>Regression Statistics</t>
  </si>
  <si>
    <t>Multiple R</t>
  </si>
  <si>
    <t>R Square</t>
  </si>
  <si>
    <t>Adjusted R Square</t>
  </si>
  <si>
    <t>Standard Error</t>
  </si>
  <si>
    <t>Observations</t>
  </si>
  <si>
    <t>Undervalued/Overvalued</t>
  </si>
  <si>
    <t>Yes Bank Pricing</t>
  </si>
  <si>
    <t>Actual P/B</t>
  </si>
  <si>
    <t>Predicted P/B</t>
  </si>
  <si>
    <t>Current Market Price</t>
  </si>
  <si>
    <t>Predicted Price</t>
  </si>
  <si>
    <t>Conclusion</t>
  </si>
  <si>
    <t>Overvalued</t>
  </si>
  <si>
    <t>By How Much?</t>
  </si>
  <si>
    <t>Yes Bank - Pricing</t>
  </si>
  <si>
    <t>Price to Book = -4.29 + 0.159*Tier 1% + 0.1814*ROE + 0.0435*Stdev</t>
  </si>
  <si>
    <t>Relative Valuation - Private Banks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</si>
</sst>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00\ &quot;€&quot;_-;\-* #,##0.00\ &quot;€&quot;_-;_-* &quot;-&quot;??\ &quot;€&quot;_-;_-@_-"/>
    <numFmt numFmtId="168" formatCode="_-* #,##0.00\ _€_-;\-* #,##0.00\ _€_-;_-* &quot;-&quot;??\ _€_-;_-@_-"/>
    <numFmt numFmtId="169" formatCode="_-* #,##0\ _D_M_-;\-* #,##0\ _D_M_-;_-* &quot;-&quot;\ _D_M_-;_-@_-"/>
    <numFmt numFmtId="170" formatCode="_-* #,##0.00\ &quot;Kc&quot;_-;\-* #,##0.00\ &quot;Kc&quot;_-;_-* &quot;-&quot;??\ &quot;Kc&quot;_-;_-@_-"/>
    <numFmt numFmtId="171" formatCode="\(0\'\)"/>
    <numFmt numFmtId="172" formatCode="0.00_)"/>
    <numFmt numFmtId="173" formatCode="#,##0;\(#,##0\);&quot;-&quot;"/>
    <numFmt numFmtId="174" formatCode="_-* #,##0_-;\-* #,##0_-;_-* &quot;-&quot;_-;_-@_-"/>
    <numFmt numFmtId="175" formatCode="#,##0_);\(#,##0\);&quot; - &quot;_);@_)"/>
    <numFmt numFmtId="176" formatCode="\ #,##0.0_);\(#,##0.0\);&quot; - &quot;_);@_)"/>
    <numFmt numFmtId="177" formatCode="_(* #,##0.00_);_(* \(#,##0.00\);_(* &quot;-&quot;?_);@_)"/>
    <numFmt numFmtId="178" formatCode="0.0"/>
    <numFmt numFmtId="179" formatCode="_ [$₹-4009]\ * #,##0.00_ ;_ [$₹-4009]\ * \-#,##0.00_ ;_ [$₹-4009]\ * &quot;-&quot;??_ ;_ @_ "/>
    <numFmt numFmtId="180" formatCode="[$₹-4009]\ #,##0.00;[$₹-4009]\ \-#,##0.00"/>
    <numFmt numFmtId="181" formatCode="_(* #,##0.000_);_(* \(#,##0.000\);_(* &quot;-&quot;?_);@_)"/>
    <numFmt numFmtId="182" formatCode="_ [$₹-4009]\ * #,##0.00_ ;_ [$₹-4009]\ * \-#,##0.00_ ;_ [$₹-4009]\ * &quot;-&quot;?_ ;_ @_ "/>
  </numFmts>
  <fonts count="76">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b/>
      <sz val="8"/>
      <color theme="0"/>
      <name val="Arial"/>
      <family val="2"/>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i/>
      <sz val="9"/>
      <color theme="0"/>
      <name val="Arial"/>
      <family val="2"/>
    </font>
    <font>
      <b/>
      <sz val="32"/>
      <name val="Arial"/>
      <family val="2"/>
    </font>
    <font>
      <b/>
      <sz val="9"/>
      <name val="Calibri"/>
      <family val="2"/>
      <scheme val="minor"/>
    </font>
    <font>
      <sz val="10"/>
      <name val="Arial"/>
      <family val="2"/>
    </font>
    <font>
      <sz val="10"/>
      <name val="Arial"/>
      <family val="2"/>
      <charset val="204"/>
    </font>
    <font>
      <b/>
      <sz val="40"/>
      <color theme="1" tint="4.9989318521683403E-2"/>
      <name val="Arial"/>
      <family val="2"/>
      <charset val="204"/>
    </font>
    <font>
      <sz val="10"/>
      <color rgb="FF002060"/>
      <name val="Arial"/>
      <family val="2"/>
      <charset val="204"/>
    </font>
    <font>
      <i/>
      <sz val="11"/>
      <color theme="1"/>
      <name val="Calibri"/>
      <family val="2"/>
      <scheme val="minor"/>
    </font>
    <font>
      <b/>
      <i/>
      <sz val="11"/>
      <color theme="0"/>
      <name val="Calibri"/>
      <family val="2"/>
      <scheme val="minor"/>
    </font>
  </fonts>
  <fills count="48">
    <fill>
      <patternFill patternType="none"/>
    </fill>
    <fill>
      <patternFill patternType="gray125"/>
    </fill>
    <fill>
      <patternFill patternType="solid">
        <fgColor theme="0"/>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1"/>
        <bgColor indexed="64"/>
      </patternFill>
    </fill>
    <fill>
      <patternFill patternType="solid">
        <fgColor rgb="FFF8F8F8"/>
        <bgColor indexed="64"/>
      </patternFill>
    </fill>
    <fill>
      <patternFill patternType="solid">
        <fgColor theme="2"/>
        <bgColor indexed="64"/>
      </patternFill>
    </fill>
  </fills>
  <borders count="22">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
      <left/>
      <right/>
      <top style="thin">
        <color auto="1"/>
      </top>
      <bottom style="thin">
        <color auto="1"/>
      </bottom>
      <diagonal/>
    </border>
    <border>
      <left/>
      <right/>
      <top style="medium">
        <color indexed="64"/>
      </top>
      <bottom/>
      <diagonal/>
    </border>
  </borders>
  <cellStyleXfs count="169">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3" borderId="3"/>
    <xf numFmtId="0" fontId="12" fillId="0" borderId="0"/>
    <xf numFmtId="0" fontId="9" fillId="0" borderId="0"/>
    <xf numFmtId="0" fontId="9" fillId="0" borderId="0"/>
    <xf numFmtId="0" fontId="12" fillId="0" borderId="0"/>
    <xf numFmtId="0" fontId="12" fillId="0" borderId="0"/>
    <xf numFmtId="0" fontId="13" fillId="0" borderId="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7"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21" borderId="0" applyNumberFormat="0" applyBorder="0" applyAlignment="0" applyProtection="0"/>
    <xf numFmtId="0" fontId="9" fillId="0" borderId="0"/>
    <xf numFmtId="0" fontId="16" fillId="5" borderId="0" applyNumberFormat="0" applyBorder="0" applyAlignment="0" applyProtection="0"/>
    <xf numFmtId="0" fontId="17" fillId="22" borderId="4" applyNumberFormat="0" applyAlignment="0" applyProtection="0"/>
    <xf numFmtId="0" fontId="18" fillId="23" borderId="5" applyNumberFormat="0" applyAlignment="0" applyProtection="0"/>
    <xf numFmtId="49" fontId="10" fillId="0" borderId="0">
      <alignment horizontal="left" vertical="top" wrapText="1"/>
    </xf>
    <xf numFmtId="167" fontId="9" fillId="0" borderId="0" applyFont="0" applyFill="0" applyBorder="0" applyAlignment="0" applyProtection="0"/>
    <xf numFmtId="0" fontId="19" fillId="0" borderId="0" applyNumberFormat="0" applyFill="0" applyBorder="0" applyAlignment="0" applyProtection="0"/>
    <xf numFmtId="0" fontId="20" fillId="6" borderId="0" applyNumberFormat="0" applyBorder="0" applyAlignment="0" applyProtection="0"/>
    <xf numFmtId="38" fontId="10" fillId="24"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9" borderId="4" applyNumberFormat="0" applyAlignment="0" applyProtection="0"/>
    <xf numFmtId="10" fontId="10" fillId="3" borderId="9" applyNumberFormat="0" applyBorder="0" applyAlignment="0" applyProtection="0"/>
    <xf numFmtId="0" fontId="25" fillId="0" borderId="10" applyNumberFormat="0" applyFill="0" applyAlignment="0" applyProtection="0"/>
    <xf numFmtId="170" fontId="26" fillId="0" borderId="0" applyFont="0" applyFill="0" applyBorder="0" applyAlignment="0" applyProtection="0"/>
    <xf numFmtId="169"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1" fontId="9" fillId="0" borderId="0" applyFont="0" applyFill="0" applyBorder="0" applyAlignment="0" applyProtection="0"/>
    <xf numFmtId="0" fontId="28" fillId="25" borderId="0" applyNumberFormat="0" applyBorder="0" applyAlignment="0" applyProtection="0"/>
    <xf numFmtId="172" fontId="29" fillId="0" borderId="0"/>
    <xf numFmtId="0" fontId="26" fillId="0" borderId="0"/>
    <xf numFmtId="0" fontId="14" fillId="26"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2"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7" borderId="0" applyNumberFormat="0" applyFont="0" applyBorder="0" applyAlignment="0" applyProtection="0"/>
    <xf numFmtId="3" fontId="42" fillId="28" borderId="0" applyFont="0" applyFill="0" applyBorder="0" applyAlignment="0" applyProtection="0"/>
    <xf numFmtId="4" fontId="33" fillId="29" borderId="12" applyNumberFormat="0" applyProtection="0">
      <alignment vertical="center"/>
    </xf>
    <xf numFmtId="4" fontId="34" fillId="29" borderId="12" applyNumberFormat="0" applyProtection="0">
      <alignment vertical="center"/>
    </xf>
    <xf numFmtId="4" fontId="33" fillId="29" borderId="12" applyNumberFormat="0" applyProtection="0">
      <alignment horizontal="left" vertical="center" indent="1"/>
    </xf>
    <xf numFmtId="4" fontId="33" fillId="29" borderId="12" applyNumberFormat="0" applyProtection="0">
      <alignment horizontal="left" vertical="center" indent="1"/>
    </xf>
    <xf numFmtId="0" fontId="9" fillId="30" borderId="12" applyNumberFormat="0" applyProtection="0">
      <alignment horizontal="left" vertical="center" indent="1"/>
    </xf>
    <xf numFmtId="4" fontId="33" fillId="31" borderId="12" applyNumberFormat="0" applyProtection="0">
      <alignment horizontal="right" vertical="center"/>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5" fillId="40" borderId="12" applyNumberFormat="0" applyProtection="0">
      <alignment horizontal="left" vertical="center" indent="1"/>
    </xf>
    <xf numFmtId="4" fontId="33" fillId="41" borderId="14" applyNumberFormat="0" applyProtection="0">
      <alignment horizontal="left" vertical="center" indent="1"/>
    </xf>
    <xf numFmtId="4" fontId="36" fillId="42" borderId="0" applyNumberFormat="0" applyProtection="0">
      <alignment horizontal="left" vertical="center" indent="1"/>
    </xf>
    <xf numFmtId="0" fontId="9" fillId="30" borderId="12" applyNumberFormat="0" applyProtection="0">
      <alignment horizontal="left" vertical="center" indent="1"/>
    </xf>
    <xf numFmtId="4" fontId="33" fillId="41" borderId="12" applyNumberFormat="0" applyProtection="0">
      <alignment horizontal="left" vertical="center" indent="1"/>
    </xf>
    <xf numFmtId="4" fontId="33" fillId="43" borderId="12" applyNumberFormat="0" applyProtection="0">
      <alignment horizontal="left" vertical="center" indent="1"/>
    </xf>
    <xf numFmtId="0" fontId="9" fillId="43" borderId="12" applyNumberFormat="0" applyProtection="0">
      <alignment horizontal="left" vertical="center" indent="1"/>
    </xf>
    <xf numFmtId="0" fontId="9" fillId="43"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24" borderId="12" applyNumberFormat="0" applyProtection="0">
      <alignment horizontal="left" vertical="center" indent="1"/>
    </xf>
    <xf numFmtId="0" fontId="9" fillId="24" borderId="12" applyNumberFormat="0" applyProtection="0">
      <alignment horizontal="left" vertical="center" indent="1"/>
    </xf>
    <xf numFmtId="0" fontId="9" fillId="30" borderId="12" applyNumberFormat="0" applyProtection="0">
      <alignment horizontal="left" vertical="center" indent="1"/>
    </xf>
    <xf numFmtId="0" fontId="9" fillId="30" borderId="12" applyNumberFormat="0" applyProtection="0">
      <alignment horizontal="left" vertical="center" indent="1"/>
    </xf>
    <xf numFmtId="4" fontId="33" fillId="3" borderId="12" applyNumberFormat="0" applyProtection="0">
      <alignment vertical="center"/>
    </xf>
    <xf numFmtId="4" fontId="34" fillId="3" borderId="12" applyNumberFormat="0" applyProtection="0">
      <alignment vertical="center"/>
    </xf>
    <xf numFmtId="4" fontId="33" fillId="3" borderId="12" applyNumberFormat="0" applyProtection="0">
      <alignment horizontal="left" vertical="center" indent="1"/>
    </xf>
    <xf numFmtId="4" fontId="33" fillId="3" borderId="12" applyNumberFormat="0" applyProtection="0">
      <alignment horizontal="left" vertical="center" indent="1"/>
    </xf>
    <xf numFmtId="4" fontId="33" fillId="41" borderId="12" applyNumberFormat="0" applyProtection="0">
      <alignment horizontal="right" vertical="center"/>
    </xf>
    <xf numFmtId="4" fontId="34" fillId="41" borderId="12" applyNumberFormat="0" applyProtection="0">
      <alignment horizontal="right" vertical="center"/>
    </xf>
    <xf numFmtId="0" fontId="9" fillId="30" borderId="12" applyNumberFormat="0" applyProtection="0">
      <alignment horizontal="left" vertical="center" indent="1"/>
    </xf>
    <xf numFmtId="0" fontId="9" fillId="30" borderId="12" applyNumberFormat="0" applyProtection="0">
      <alignment horizontal="left" vertical="center" indent="1"/>
    </xf>
    <xf numFmtId="0" fontId="37" fillId="0" borderId="0"/>
    <xf numFmtId="4" fontId="11" fillId="41"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3" fontId="47" fillId="0" borderId="0"/>
    <xf numFmtId="173" fontId="9" fillId="0" borderId="0"/>
    <xf numFmtId="173" fontId="49" fillId="0" borderId="0"/>
    <xf numFmtId="0" fontId="50" fillId="0" borderId="0">
      <alignment horizontal="left"/>
    </xf>
    <xf numFmtId="174" fontId="48" fillId="0" borderId="16" applyFill="0" applyBorder="0" applyProtection="0">
      <alignment horizontal="right" vertical="top"/>
    </xf>
    <xf numFmtId="173" fontId="51" fillId="0" borderId="16">
      <alignment horizontal="left"/>
    </xf>
    <xf numFmtId="0" fontId="50" fillId="0" borderId="16">
      <alignment horizontal="right" wrapText="1"/>
    </xf>
    <xf numFmtId="0" fontId="48" fillId="0" borderId="0" applyFill="0" applyBorder="0">
      <alignment horizontal="left" vertical="top" wrapText="1"/>
    </xf>
    <xf numFmtId="175" fontId="48" fillId="0" borderId="0" applyFill="0" applyBorder="0">
      <alignment horizontal="right" vertical="top"/>
    </xf>
    <xf numFmtId="176" fontId="48" fillId="0" borderId="0" applyFill="0" applyBorder="0">
      <alignment horizontal="right" vertical="top"/>
    </xf>
    <xf numFmtId="49" fontId="48" fillId="0" borderId="0" applyNumberFormat="0" applyFill="0" applyBorder="0" applyProtection="0">
      <alignment horizontal="center" vertical="top"/>
    </xf>
    <xf numFmtId="173" fontId="52" fillId="0" borderId="0">
      <alignment horizontal="left" vertical="top"/>
    </xf>
    <xf numFmtId="0" fontId="53" fillId="0" borderId="0"/>
    <xf numFmtId="0" fontId="5" fillId="0" borderId="0"/>
    <xf numFmtId="0" fontId="54" fillId="0" borderId="0"/>
    <xf numFmtId="0" fontId="5" fillId="0" borderId="0"/>
    <xf numFmtId="168"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1" fillId="0" borderId="0" applyNumberFormat="0" applyFill="0" applyBorder="0" applyAlignment="0" applyProtection="0"/>
    <xf numFmtId="44" fontId="9" fillId="0" borderId="0" applyFont="0" applyFill="0" applyBorder="0" applyAlignment="0" applyProtection="0"/>
    <xf numFmtId="0" fontId="70" fillId="0" borderId="0">
      <alignment vertical="top"/>
    </xf>
    <xf numFmtId="43" fontId="71" fillId="0" borderId="0">
      <alignment vertical="top"/>
    </xf>
  </cellStyleXfs>
  <cellXfs count="294">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5" fontId="1" fillId="2" borderId="0" xfId="0" applyNumberFormat="1" applyFont="1" applyFill="1" applyBorder="1"/>
    <xf numFmtId="164" fontId="7" fillId="2" borderId="0" xfId="0" applyNumberFormat="1" applyFont="1" applyFill="1" applyBorder="1"/>
    <xf numFmtId="164" fontId="1" fillId="2" borderId="0" xfId="0" applyNumberFormat="1" applyFont="1" applyFill="1" applyBorder="1" applyAlignment="1">
      <alignment horizontal="right"/>
    </xf>
    <xf numFmtId="177" fontId="1" fillId="2" borderId="0" xfId="0" applyNumberFormat="1" applyFont="1" applyFill="1"/>
    <xf numFmtId="0" fontId="60" fillId="2" borderId="0" xfId="0" applyFont="1" applyFill="1"/>
    <xf numFmtId="2" fontId="1" fillId="2" borderId="0" xfId="0" applyNumberFormat="1" applyFont="1" applyFill="1"/>
    <xf numFmtId="177"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3" fillId="2" borderId="0" xfId="0" applyNumberFormat="1" applyFont="1" applyFill="1"/>
    <xf numFmtId="165" fontId="1" fillId="46" borderId="0" xfId="0" applyNumberFormat="1" applyFont="1" applyFill="1" applyBorder="1"/>
    <xf numFmtId="164" fontId="1" fillId="46" borderId="0" xfId="0" applyNumberFormat="1" applyFont="1" applyFill="1" applyBorder="1"/>
    <xf numFmtId="10" fontId="6" fillId="2"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1" fillId="46" borderId="0" xfId="0" applyNumberFormat="1" applyFont="1" applyFill="1"/>
    <xf numFmtId="164" fontId="60" fillId="2" borderId="0" xfId="0" applyNumberFormat="1" applyFont="1" applyFill="1" applyBorder="1"/>
    <xf numFmtId="164" fontId="60" fillId="2" borderId="0" xfId="0" applyNumberFormat="1" applyFont="1" applyFill="1" applyBorder="1" applyAlignment="1">
      <alignment horizontal="right"/>
    </xf>
    <xf numFmtId="164" fontId="40" fillId="2" borderId="0" xfId="0" applyNumberFormat="1" applyFont="1" applyFill="1" applyBorder="1"/>
    <xf numFmtId="164" fontId="60" fillId="2" borderId="0" xfId="0" applyNumberFormat="1" applyFont="1" applyFill="1" applyBorder="1" applyAlignment="1">
      <alignment horizontal="left" vertical="center"/>
    </xf>
    <xf numFmtId="0" fontId="68" fillId="2" borderId="0" xfId="0" applyFont="1" applyFill="1"/>
    <xf numFmtId="0" fontId="62" fillId="2" borderId="0" xfId="0" applyFont="1" applyFill="1"/>
    <xf numFmtId="0" fontId="40" fillId="2" borderId="0" xfId="0" applyFont="1" applyFill="1"/>
    <xf numFmtId="0" fontId="10" fillId="2" borderId="0" xfId="0" applyFont="1" applyFill="1" applyAlignment="1">
      <alignment horizontal="left"/>
    </xf>
    <xf numFmtId="0" fontId="60" fillId="2" borderId="0" xfId="165" applyFont="1" applyFill="1"/>
    <xf numFmtId="0" fontId="59" fillId="45" borderId="0" xfId="0" applyFont="1" applyFill="1" applyAlignment="1">
      <alignment horizontal="left"/>
    </xf>
    <xf numFmtId="0" fontId="8" fillId="45" borderId="0" xfId="0" applyFont="1" applyFill="1"/>
    <xf numFmtId="165" fontId="2" fillId="46" borderId="0" xfId="0" applyNumberFormat="1" applyFont="1" applyFill="1" applyBorder="1"/>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4"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4" fontId="2" fillId="46" borderId="2" xfId="0" applyNumberFormat="1" applyFont="1" applyFill="1" applyBorder="1"/>
    <xf numFmtId="165" fontId="2" fillId="46" borderId="0" xfId="0" applyNumberFormat="1" applyFont="1" applyFill="1" applyBorder="1" applyAlignment="1">
      <alignment horizontal="right"/>
    </xf>
    <xf numFmtId="164" fontId="2" fillId="46" borderId="0" xfId="0" applyNumberFormat="1" applyFont="1" applyFill="1"/>
    <xf numFmtId="164" fontId="64" fillId="46" borderId="0" xfId="0" applyNumberFormat="1" applyFont="1" applyFill="1"/>
    <xf numFmtId="164" fontId="65" fillId="2" borderId="0" xfId="0" applyNumberFormat="1" applyFont="1" applyFill="1" applyBorder="1"/>
    <xf numFmtId="10" fontId="1" fillId="46" borderId="0" xfId="2" applyNumberFormat="1" applyFont="1" applyFill="1" applyBorder="1"/>
    <xf numFmtId="10" fontId="8" fillId="45" borderId="0" xfId="2" applyNumberFormat="1" applyFont="1" applyFill="1" applyBorder="1"/>
    <xf numFmtId="166" fontId="1" fillId="46" borderId="0" xfId="2" applyNumberFormat="1" applyFont="1" applyFill="1" applyBorder="1"/>
    <xf numFmtId="164" fontId="1" fillId="46" borderId="0" xfId="0" applyNumberFormat="1" applyFont="1" applyFill="1" applyBorder="1" applyAlignment="1">
      <alignment horizontal="right"/>
    </xf>
    <xf numFmtId="10" fontId="8" fillId="2" borderId="0" xfId="2" applyNumberFormat="1" applyFont="1" applyFill="1" applyBorder="1"/>
    <xf numFmtId="0" fontId="70" fillId="2" borderId="0" xfId="167" applyFill="1">
      <alignment vertical="top"/>
    </xf>
    <xf numFmtId="0" fontId="72" fillId="2" borderId="0" xfId="167" applyFont="1" applyFill="1">
      <alignment vertical="top"/>
    </xf>
    <xf numFmtId="0" fontId="73" fillId="2" borderId="0" xfId="167" applyFont="1" applyFill="1">
      <alignment vertical="top"/>
    </xf>
    <xf numFmtId="0" fontId="70" fillId="0" borderId="0" xfId="167">
      <alignment vertical="top"/>
    </xf>
    <xf numFmtId="0" fontId="69"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0" fontId="1" fillId="46" borderId="0" xfId="2" applyNumberFormat="1" applyFont="1" applyFill="1" applyBorder="1" applyAlignment="1">
      <alignment horizontal="right" vertical="center"/>
    </xf>
    <xf numFmtId="0" fontId="8" fillId="45" borderId="0" xfId="0" applyNumberFormat="1" applyFont="1" applyFill="1" applyAlignment="1">
      <alignment horizontal="right" vertical="center"/>
    </xf>
    <xf numFmtId="164" fontId="8" fillId="45" borderId="0" xfId="0" applyNumberFormat="1" applyFont="1" applyFill="1" applyBorder="1" applyAlignment="1">
      <alignment horizontal="right" vertical="center"/>
    </xf>
    <xf numFmtId="180" fontId="1" fillId="46" borderId="0" xfId="0" applyNumberFormat="1" applyFont="1" applyFill="1" applyBorder="1" applyAlignment="1">
      <alignment horizontal="right" vertical="center"/>
    </xf>
    <xf numFmtId="164" fontId="8" fillId="45" borderId="0" xfId="0" applyNumberFormat="1" applyFont="1" applyFill="1" applyBorder="1" applyAlignment="1">
      <alignment horizontal="right"/>
    </xf>
    <xf numFmtId="10" fontId="64" fillId="46" borderId="0" xfId="2" applyNumberFormat="1" applyFont="1" applyFill="1" applyBorder="1" applyAlignment="1">
      <alignment horizontal="right"/>
    </xf>
    <xf numFmtId="10" fontId="40" fillId="2" borderId="0" xfId="2" applyNumberFormat="1" applyFont="1" applyFill="1" applyBorder="1"/>
    <xf numFmtId="10" fontId="2" fillId="2" borderId="0" xfId="2" applyNumberFormat="1" applyFont="1" applyFill="1" applyBorder="1"/>
    <xf numFmtId="165" fontId="2" fillId="2" borderId="18" xfId="0" applyNumberFormat="1" applyFont="1" applyFill="1" applyBorder="1" applyAlignment="1">
      <alignment horizontal="right"/>
    </xf>
    <xf numFmtId="164" fontId="2" fillId="46" borderId="0" xfId="0" applyNumberFormat="1" applyFont="1" applyFill="1" applyBorder="1" applyAlignment="1">
      <alignment horizontal="right"/>
    </xf>
    <xf numFmtId="164" fontId="2" fillId="2" borderId="18" xfId="0" applyNumberFormat="1" applyFont="1" applyFill="1" applyBorder="1"/>
    <xf numFmtId="0" fontId="64" fillId="2" borderId="0" xfId="2" applyNumberFormat="1" applyFont="1" applyFill="1" applyBorder="1"/>
    <xf numFmtId="164" fontId="66" fillId="2" borderId="0" xfId="165" applyNumberFormat="1" applyFont="1" applyFill="1" applyBorder="1"/>
    <xf numFmtId="180"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0" fontId="1" fillId="46" borderId="0" xfId="2" applyNumberFormat="1" applyFont="1" applyFill="1" applyBorder="1" applyAlignment="1">
      <alignment horizontal="right"/>
    </xf>
    <xf numFmtId="10" fontId="1" fillId="46" borderId="0" xfId="2" applyNumberFormat="1" applyFont="1" applyFill="1" applyBorder="1" applyAlignment="1">
      <alignment horizontal="right"/>
    </xf>
    <xf numFmtId="0" fontId="8" fillId="45" borderId="0" xfId="0" applyNumberFormat="1" applyFont="1" applyFill="1" applyAlignment="1">
      <alignment horizontal="right"/>
    </xf>
    <xf numFmtId="10" fontId="1" fillId="2" borderId="18" xfId="2" applyNumberFormat="1" applyFont="1" applyFill="1" applyBorder="1" applyAlignment="1">
      <alignment horizontal="right"/>
    </xf>
    <xf numFmtId="164" fontId="64" fillId="2" borderId="0" xfId="165" applyNumberFormat="1" applyFont="1" applyFill="1" applyBorder="1"/>
    <xf numFmtId="180" fontId="2" fillId="46" borderId="0" xfId="0" applyNumberFormat="1" applyFont="1" applyFill="1" applyBorder="1"/>
    <xf numFmtId="10" fontId="40" fillId="46" borderId="0" xfId="2" applyNumberFormat="1" applyFont="1" applyFill="1" applyBorder="1"/>
    <xf numFmtId="10" fontId="2" fillId="46" borderId="0" xfId="2" applyNumberFormat="1" applyFont="1" applyFill="1" applyBorder="1"/>
    <xf numFmtId="180" fontId="2" fillId="46" borderId="0" xfId="0" applyNumberFormat="1" applyFont="1" applyFill="1" applyBorder="1" applyAlignment="1">
      <alignment horizontal="right"/>
    </xf>
    <xf numFmtId="10" fontId="2" fillId="46" borderId="0" xfId="2" applyNumberFormat="1" applyFont="1" applyFill="1" applyBorder="1" applyAlignment="1">
      <alignment horizontal="right"/>
    </xf>
    <xf numFmtId="180" fontId="8" fillId="45" borderId="0" xfId="0" applyNumberFormat="1" applyFont="1" applyFill="1" applyBorder="1"/>
    <xf numFmtId="180" fontId="1" fillId="46" borderId="0" xfId="0" applyNumberFormat="1" applyFont="1" applyFill="1" applyAlignment="1">
      <alignment horizontal="right"/>
    </xf>
    <xf numFmtId="164" fontId="1" fillId="46" borderId="0" xfId="0" applyNumberFormat="1" applyFont="1" applyFill="1" applyAlignment="1">
      <alignment horizontal="right"/>
    </xf>
    <xf numFmtId="177" fontId="8" fillId="45" borderId="0" xfId="0" applyNumberFormat="1" applyFont="1" applyFill="1" applyBorder="1" applyAlignment="1">
      <alignment horizontal="right"/>
    </xf>
    <xf numFmtId="165" fontId="8" fillId="45" borderId="0" xfId="0" applyNumberFormat="1" applyFont="1" applyFill="1" applyBorder="1" applyAlignment="1">
      <alignment horizontal="right"/>
    </xf>
    <xf numFmtId="177"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78" fontId="1" fillId="2" borderId="0" xfId="2" applyNumberFormat="1" applyFont="1" applyFill="1"/>
    <xf numFmtId="181" fontId="1" fillId="2" borderId="0" xfId="0" applyNumberFormat="1" applyFont="1" applyFill="1"/>
    <xf numFmtId="164" fontId="8" fillId="2" borderId="0" xfId="0" applyNumberFormat="1" applyFont="1" applyFill="1" applyBorder="1" applyAlignment="1">
      <alignment horizontal="right"/>
    </xf>
    <xf numFmtId="177" fontId="2" fillId="46" borderId="0" xfId="0" applyNumberFormat="1" applyFont="1" applyFill="1" applyBorder="1" applyAlignment="1">
      <alignment horizontal="right"/>
    </xf>
    <xf numFmtId="0" fontId="1" fillId="46" borderId="0" xfId="0" applyNumberFormat="1" applyFont="1" applyFill="1"/>
    <xf numFmtId="0" fontId="1" fillId="46" borderId="0" xfId="0" applyNumberFormat="1" applyFont="1" applyFill="1" applyBorder="1" applyAlignment="1">
      <alignment horizontal="right"/>
    </xf>
    <xf numFmtId="0" fontId="1" fillId="46" borderId="0" xfId="2" applyNumberFormat="1" applyFont="1" applyFill="1"/>
    <xf numFmtId="10" fontId="1" fillId="46" borderId="0" xfId="2" applyNumberFormat="1" applyFont="1" applyFill="1"/>
    <xf numFmtId="164" fontId="2" fillId="46" borderId="0" xfId="0" applyNumberFormat="1" applyFont="1" applyFill="1" applyBorder="1"/>
    <xf numFmtId="10" fontId="1" fillId="46" borderId="0" xfId="0" applyNumberFormat="1" applyFont="1" applyFill="1"/>
    <xf numFmtId="164" fontId="2" fillId="46" borderId="18" xfId="0" applyNumberFormat="1" applyFont="1" applyFill="1" applyBorder="1"/>
    <xf numFmtId="10" fontId="1" fillId="46" borderId="18" xfId="0" applyNumberFormat="1" applyFont="1" applyFill="1" applyBorder="1"/>
    <xf numFmtId="0" fontId="64" fillId="46" borderId="0" xfId="2" applyNumberFormat="1" applyFont="1" applyFill="1" applyBorder="1"/>
    <xf numFmtId="164" fontId="66" fillId="46" borderId="0" xfId="165" applyNumberFormat="1" applyFont="1" applyFill="1" applyBorder="1"/>
    <xf numFmtId="0" fontId="1" fillId="46" borderId="0" xfId="2" applyNumberFormat="1" applyFont="1" applyFill="1" applyBorder="1"/>
    <xf numFmtId="164" fontId="8" fillId="2" borderId="0" xfId="0" applyNumberFormat="1" applyFont="1" applyFill="1" applyBorder="1" applyAlignment="1">
      <alignment horizontal="right" vertical="center"/>
    </xf>
    <xf numFmtId="180" fontId="1" fillId="2" borderId="0" xfId="0" applyNumberFormat="1" applyFont="1" applyFill="1" applyBorder="1" applyAlignment="1">
      <alignment horizontal="right" vertical="center"/>
    </xf>
    <xf numFmtId="10" fontId="64"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0" fontId="1" fillId="2" borderId="0" xfId="0" applyNumberFormat="1" applyFont="1" applyFill="1" applyBorder="1" applyAlignment="1">
      <alignment horizontal="right"/>
    </xf>
    <xf numFmtId="178" fontId="1" fillId="2" borderId="0" xfId="2" applyNumberFormat="1" applyFont="1" applyFill="1" applyBorder="1"/>
    <xf numFmtId="181" fontId="1" fillId="2" borderId="0" xfId="0" applyNumberFormat="1" applyFont="1" applyFill="1" applyBorder="1"/>
    <xf numFmtId="10" fontId="1" fillId="2" borderId="0" xfId="0" applyNumberFormat="1" applyFont="1" applyFill="1" applyBorder="1"/>
    <xf numFmtId="177" fontId="8" fillId="2" borderId="0" xfId="0" applyNumberFormat="1" applyFont="1" applyFill="1" applyBorder="1" applyAlignment="1">
      <alignment horizontal="right"/>
    </xf>
    <xf numFmtId="165" fontId="6" fillId="2" borderId="0" xfId="0" applyNumberFormat="1" applyFont="1" applyFill="1" applyBorder="1" applyAlignment="1">
      <alignment horizontal="left"/>
    </xf>
    <xf numFmtId="165" fontId="6" fillId="2" borderId="0" xfId="0" applyNumberFormat="1" applyFont="1" applyFill="1" applyBorder="1" applyAlignment="1">
      <alignment horizontal="right"/>
    </xf>
    <xf numFmtId="0" fontId="40" fillId="46" borderId="0" xfId="0" applyNumberFormat="1" applyFont="1" applyFill="1" applyBorder="1" applyAlignment="1">
      <alignment horizontal="right"/>
    </xf>
    <xf numFmtId="164" fontId="40" fillId="46" borderId="0" xfId="0" applyNumberFormat="1" applyFont="1" applyFill="1" applyBorder="1" applyAlignment="1">
      <alignment horizontal="right"/>
    </xf>
    <xf numFmtId="164" fontId="64" fillId="2" borderId="0" xfId="0" applyNumberFormat="1" applyFont="1" applyFill="1" applyBorder="1" applyAlignment="1">
      <alignment horizontal="left"/>
    </xf>
    <xf numFmtId="2" fontId="64" fillId="46" borderId="0" xfId="2" applyNumberFormat="1" applyFont="1" applyFill="1" applyBorder="1" applyAlignment="1">
      <alignment horizontal="right"/>
    </xf>
    <xf numFmtId="2" fontId="64" fillId="46" borderId="0" xfId="0" applyNumberFormat="1" applyFont="1" applyFill="1"/>
    <xf numFmtId="180" fontId="64" fillId="2" borderId="0" xfId="0" applyNumberFormat="1" applyFont="1" applyFill="1" applyBorder="1" applyAlignment="1">
      <alignment horizontal="left" vertical="center"/>
    </xf>
    <xf numFmtId="10" fontId="2" fillId="46" borderId="0" xfId="2" applyNumberFormat="1" applyFont="1" applyFill="1"/>
    <xf numFmtId="177" fontId="8" fillId="45" borderId="0" xfId="0" applyNumberFormat="1" applyFont="1" applyFill="1" applyBorder="1"/>
    <xf numFmtId="177" fontId="2" fillId="46" borderId="0" xfId="0" applyNumberFormat="1" applyFont="1" applyFill="1" applyBorder="1"/>
    <xf numFmtId="164" fontId="65" fillId="46" borderId="0" xfId="0" applyNumberFormat="1" applyFont="1" applyFill="1" applyBorder="1"/>
    <xf numFmtId="180" fontId="66" fillId="2" borderId="0" xfId="165" applyNumberFormat="1" applyFont="1" applyFill="1" applyBorder="1" applyAlignment="1">
      <alignment horizontal="left" vertical="center"/>
    </xf>
    <xf numFmtId="164" fontId="8" fillId="2" borderId="0" xfId="0" applyNumberFormat="1" applyFont="1" applyFill="1" applyBorder="1" applyAlignment="1"/>
    <xf numFmtId="164" fontId="64" fillId="2" borderId="0" xfId="0" applyNumberFormat="1" applyFont="1" applyFill="1" applyBorder="1" applyAlignment="1"/>
    <xf numFmtId="0" fontId="62"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4" fillId="2" borderId="0" xfId="0" applyFont="1" applyFill="1" applyBorder="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8" fontId="64" fillId="2" borderId="0" xfId="0" applyNumberFormat="1" applyFont="1" applyFill="1" applyBorder="1"/>
    <xf numFmtId="179" fontId="2" fillId="46" borderId="0" xfId="0" applyNumberFormat="1" applyFont="1" applyFill="1" applyBorder="1"/>
    <xf numFmtId="179" fontId="2" fillId="46" borderId="19" xfId="0" applyNumberFormat="1" applyFont="1" applyFill="1" applyBorder="1"/>
    <xf numFmtId="179" fontId="2" fillId="46" borderId="18" xfId="0" applyNumberFormat="1" applyFont="1" applyFill="1" applyBorder="1"/>
    <xf numFmtId="0" fontId="64" fillId="2" borderId="0" xfId="0" applyFont="1" applyFill="1" applyBorder="1" applyAlignment="1">
      <alignment horizontal="right"/>
    </xf>
    <xf numFmtId="179" fontId="2" fillId="2" borderId="0" xfId="0" applyNumberFormat="1" applyFont="1" applyFill="1" applyBorder="1"/>
    <xf numFmtId="10" fontId="64" fillId="2" borderId="0" xfId="2" applyNumberFormat="1" applyFont="1" applyFill="1" applyBorder="1"/>
    <xf numFmtId="10" fontId="64" fillId="46" borderId="0" xfId="2" applyNumberFormat="1" applyFont="1" applyFill="1" applyBorder="1"/>
    <xf numFmtId="10" fontId="65" fillId="2" borderId="0" xfId="0" applyNumberFormat="1" applyFont="1" applyFill="1" applyBorder="1"/>
    <xf numFmtId="0" fontId="65" fillId="2" borderId="0" xfId="0" applyFont="1" applyFill="1" applyBorder="1" applyAlignment="1"/>
    <xf numFmtId="0" fontId="8" fillId="2" borderId="0" xfId="0" applyFont="1" applyFill="1" applyBorder="1" applyAlignment="1"/>
    <xf numFmtId="179" fontId="8" fillId="45" borderId="0" xfId="0" applyNumberFormat="1" applyFont="1" applyFill="1" applyBorder="1" applyAlignment="1">
      <alignment horizontal="left" vertical="center"/>
    </xf>
    <xf numFmtId="0" fontId="8" fillId="45" borderId="0" xfId="0" applyFont="1" applyFill="1" applyBorder="1" applyAlignment="1">
      <alignment horizontal="right"/>
    </xf>
    <xf numFmtId="2" fontId="64" fillId="2" borderId="0" xfId="0" applyNumberFormat="1" applyFont="1" applyFill="1" applyBorder="1"/>
    <xf numFmtId="164" fontId="40" fillId="2" borderId="0" xfId="0" applyNumberFormat="1" applyFont="1" applyFill="1" applyBorder="1" applyAlignment="1">
      <alignment horizontal="center"/>
    </xf>
    <xf numFmtId="2" fontId="64" fillId="2" borderId="0" xfId="2" applyNumberFormat="1" applyFont="1" applyFill="1" applyBorder="1" applyAlignment="1">
      <alignment horizontal="right"/>
    </xf>
    <xf numFmtId="177" fontId="64" fillId="2" borderId="0" xfId="0" applyNumberFormat="1" applyFont="1" applyFill="1" applyBorder="1"/>
    <xf numFmtId="177" fontId="64" fillId="2" borderId="0" xfId="0" applyNumberFormat="1" applyFont="1" applyFill="1" applyBorder="1" applyAlignment="1">
      <alignment horizontal="right"/>
    </xf>
    <xf numFmtId="10" fontId="64" fillId="2" borderId="0" xfId="2" applyNumberFormat="1" applyFont="1" applyFill="1"/>
    <xf numFmtId="2" fontId="64" fillId="2" borderId="0" xfId="0" applyNumberFormat="1" applyFont="1" applyFill="1"/>
    <xf numFmtId="2" fontId="64" fillId="2" borderId="0" xfId="2" applyNumberFormat="1" applyFont="1" applyFill="1" applyBorder="1" applyAlignment="1"/>
    <xf numFmtId="177" fontId="64" fillId="2" borderId="0" xfId="0" applyNumberFormat="1" applyFont="1" applyFill="1"/>
    <xf numFmtId="180" fontId="1" fillId="2" borderId="0" xfId="0" applyNumberFormat="1" applyFont="1" applyFill="1" applyBorder="1"/>
    <xf numFmtId="179" fontId="8" fillId="2" borderId="0" xfId="0" applyNumberFormat="1" applyFont="1" applyFill="1" applyBorder="1"/>
    <xf numFmtId="177" fontId="2" fillId="2" borderId="0" xfId="0" applyNumberFormat="1" applyFont="1" applyFill="1" applyBorder="1"/>
    <xf numFmtId="179" fontId="40" fillId="46" borderId="0" xfId="0" applyNumberFormat="1" applyFont="1" applyFill="1" applyBorder="1"/>
    <xf numFmtId="10" fontId="6" fillId="2" borderId="0" xfId="0" applyNumberFormat="1" applyFont="1" applyFill="1" applyBorder="1"/>
    <xf numFmtId="0" fontId="40" fillId="46" borderId="0" xfId="2" applyNumberFormat="1" applyFont="1" applyFill="1" applyBorder="1" applyAlignment="1">
      <alignment horizontal="right"/>
    </xf>
    <xf numFmtId="2" fontId="1" fillId="2" borderId="0" xfId="0" applyNumberFormat="1" applyFont="1" applyFill="1" applyBorder="1"/>
    <xf numFmtId="0" fontId="2" fillId="2" borderId="0" xfId="0" applyNumberFormat="1" applyFont="1" applyFill="1" applyBorder="1" applyAlignment="1">
      <alignment horizontal="right" vertical="center"/>
    </xf>
    <xf numFmtId="164" fontId="2" fillId="47" borderId="0" xfId="0" applyNumberFormat="1" applyFont="1" applyFill="1"/>
    <xf numFmtId="9" fontId="60" fillId="2" borderId="0" xfId="2" applyFont="1" applyFill="1" applyBorder="1"/>
    <xf numFmtId="179" fontId="2" fillId="46" borderId="0" xfId="0" applyNumberFormat="1" applyFont="1" applyFill="1"/>
    <xf numFmtId="0" fontId="2" fillId="47" borderId="0" xfId="0" applyNumberFormat="1" applyFont="1" applyFill="1"/>
    <xf numFmtId="0" fontId="40" fillId="47" borderId="0" xfId="2" applyNumberFormat="1" applyFont="1" applyFill="1" applyBorder="1" applyAlignment="1">
      <alignment horizontal="right"/>
    </xf>
    <xf numFmtId="0" fontId="40" fillId="47" borderId="0" xfId="0" applyNumberFormat="1" applyFont="1" applyFill="1" applyBorder="1" applyAlignment="1">
      <alignment horizontal="right"/>
    </xf>
    <xf numFmtId="0" fontId="40" fillId="47" borderId="0" xfId="2" applyNumberFormat="1" applyFont="1" applyFill="1" applyBorder="1"/>
    <xf numFmtId="0" fontId="40" fillId="47" borderId="0" xfId="0" applyNumberFormat="1" applyFont="1" applyFill="1" applyBorder="1"/>
    <xf numFmtId="164" fontId="1" fillId="2" borderId="0" xfId="0" applyNumberFormat="1" applyFont="1" applyFill="1" applyAlignment="1">
      <alignment horizontal="right"/>
    </xf>
    <xf numFmtId="164" fontId="60" fillId="46" borderId="0" xfId="0" applyNumberFormat="1" applyFont="1" applyFill="1" applyBorder="1"/>
    <xf numFmtId="164" fontId="40" fillId="46" borderId="17" xfId="0" applyNumberFormat="1" applyFont="1" applyFill="1" applyBorder="1"/>
    <xf numFmtId="179" fontId="2" fillId="46" borderId="19" xfId="0" applyNumberFormat="1" applyFont="1" applyFill="1" applyBorder="1" applyAlignment="1">
      <alignment horizontal="left" vertical="center"/>
    </xf>
    <xf numFmtId="179" fontId="8" fillId="2" borderId="0" xfId="0" applyNumberFormat="1" applyFont="1" applyFill="1" applyBorder="1" applyAlignment="1">
      <alignment horizontal="left" vertical="center"/>
    </xf>
    <xf numFmtId="179" fontId="2" fillId="2" borderId="0" xfId="0" applyNumberFormat="1" applyFont="1" applyFill="1" applyBorder="1" applyAlignment="1">
      <alignment horizontal="left" vertical="center"/>
    </xf>
    <xf numFmtId="164" fontId="60" fillId="2" borderId="0" xfId="0" applyNumberFormat="1" applyFont="1" applyFill="1" applyBorder="1" applyAlignment="1"/>
    <xf numFmtId="166" fontId="60" fillId="2" borderId="0" xfId="2" applyNumberFormat="1" applyFont="1" applyFill="1" applyBorder="1" applyAlignment="1"/>
    <xf numFmtId="164" fontId="64" fillId="2" borderId="0" xfId="0" applyNumberFormat="1" applyFont="1" applyFill="1"/>
    <xf numFmtId="166" fontId="64" fillId="2" borderId="0" xfId="2" applyNumberFormat="1" applyFont="1" applyFill="1"/>
    <xf numFmtId="164" fontId="66" fillId="2" borderId="0" xfId="0" applyNumberFormat="1" applyFont="1" applyFill="1" applyBorder="1" applyAlignment="1"/>
    <xf numFmtId="166" fontId="66" fillId="2" borderId="0" xfId="2" applyNumberFormat="1" applyFont="1" applyFill="1" applyBorder="1" applyAlignment="1"/>
    <xf numFmtId="164" fontId="8" fillId="45" borderId="0" xfId="0" applyNumberFormat="1" applyFont="1" applyFill="1"/>
    <xf numFmtId="0" fontId="60" fillId="2" borderId="0" xfId="2" applyNumberFormat="1" applyFont="1" applyFill="1" applyBorder="1"/>
    <xf numFmtId="179" fontId="60" fillId="2" borderId="0" xfId="0" applyNumberFormat="1" applyFont="1" applyFill="1" applyBorder="1"/>
    <xf numFmtId="10" fontId="60" fillId="2" borderId="0" xfId="2" applyNumberFormat="1" applyFont="1" applyFill="1" applyBorder="1"/>
    <xf numFmtId="0" fontId="1" fillId="2" borderId="0" xfId="2" applyNumberFormat="1" applyFont="1" applyFill="1"/>
    <xf numFmtId="182" fontId="2" fillId="46" borderId="0" xfId="0" applyNumberFormat="1" applyFont="1" applyFill="1"/>
    <xf numFmtId="10" fontId="64" fillId="46" borderId="0" xfId="2" applyNumberFormat="1" applyFont="1" applyFill="1"/>
    <xf numFmtId="0" fontId="2" fillId="47" borderId="0" xfId="0" applyNumberFormat="1" applyFont="1" applyFill="1" applyAlignment="1">
      <alignment horizontal="right"/>
    </xf>
    <xf numFmtId="9" fontId="8" fillId="2" borderId="0" xfId="2" applyFont="1" applyFill="1" applyBorder="1" applyAlignment="1">
      <alignment horizontal="right"/>
    </xf>
    <xf numFmtId="164" fontId="8" fillId="2" borderId="0" xfId="0" applyNumberFormat="1" applyFont="1" applyFill="1"/>
    <xf numFmtId="164" fontId="2" fillId="2" borderId="0" xfId="0" applyNumberFormat="1" applyFont="1" applyFill="1"/>
    <xf numFmtId="0" fontId="2" fillId="2" borderId="0" xfId="0" applyNumberFormat="1" applyFont="1" applyFill="1" applyBorder="1" applyAlignment="1">
      <alignment horizontal="right"/>
    </xf>
    <xf numFmtId="9" fontId="67" fillId="2" borderId="0" xfId="0" applyNumberFormat="1" applyFont="1" applyFill="1" applyBorder="1"/>
    <xf numFmtId="9" fontId="67" fillId="2" borderId="0" xfId="0" applyNumberFormat="1" applyFont="1" applyFill="1" applyBorder="1" applyAlignment="1">
      <alignment horizontal="right"/>
    </xf>
    <xf numFmtId="9" fontId="67" fillId="2" borderId="0" xfId="2" applyFont="1" applyFill="1" applyBorder="1"/>
    <xf numFmtId="10" fontId="67" fillId="2" borderId="0" xfId="0" applyNumberFormat="1" applyFont="1" applyFill="1" applyBorder="1"/>
    <xf numFmtId="180" fontId="40" fillId="2" borderId="0" xfId="0" applyNumberFormat="1" applyFont="1" applyFill="1" applyBorder="1" applyAlignment="1">
      <alignment horizontal="right"/>
    </xf>
    <xf numFmtId="180" fontId="40" fillId="46" borderId="0" xfId="0" applyNumberFormat="1" applyFont="1" applyFill="1" applyBorder="1" applyAlignment="1">
      <alignment horizontal="right"/>
    </xf>
    <xf numFmtId="2" fontId="64" fillId="46" borderId="0" xfId="2" applyNumberFormat="1" applyFont="1" applyFill="1" applyBorder="1" applyAlignment="1"/>
    <xf numFmtId="0" fontId="1" fillId="46" borderId="0" xfId="0" applyNumberFormat="1" applyFont="1" applyFill="1" applyBorder="1" applyAlignment="1">
      <alignment horizontal="right" vertical="center"/>
    </xf>
    <xf numFmtId="9" fontId="64" fillId="2" borderId="0" xfId="2" applyFont="1" applyFill="1" applyBorder="1"/>
    <xf numFmtId="2" fontId="64" fillId="2" borderId="20" xfId="2" applyNumberFormat="1" applyFont="1" applyFill="1" applyBorder="1" applyAlignment="1">
      <alignment horizontal="right"/>
    </xf>
    <xf numFmtId="2" fontId="40" fillId="2" borderId="0" xfId="0" applyNumberFormat="1" applyFont="1" applyFill="1" applyBorder="1" applyAlignment="1">
      <alignment horizontal="right"/>
    </xf>
    <xf numFmtId="181" fontId="7" fillId="2" borderId="0" xfId="0" applyNumberFormat="1" applyFont="1" applyFill="1" applyBorder="1"/>
    <xf numFmtId="164" fontId="40" fillId="2" borderId="0" xfId="0" applyNumberFormat="1" applyFont="1" applyFill="1" applyBorder="1" applyAlignment="1">
      <alignment horizontal="right"/>
    </xf>
    <xf numFmtId="164" fontId="60" fillId="46" borderId="0" xfId="0" applyNumberFormat="1" applyFont="1" applyFill="1" applyBorder="1" applyAlignment="1">
      <alignment horizontal="right"/>
    </xf>
    <xf numFmtId="0" fontId="40" fillId="2" borderId="0" xfId="2" applyNumberFormat="1" applyFont="1" applyFill="1" applyBorder="1"/>
    <xf numFmtId="0" fontId="40" fillId="2" borderId="0" xfId="0" applyNumberFormat="1" applyFont="1" applyFill="1" applyBorder="1"/>
    <xf numFmtId="179" fontId="40" fillId="2" borderId="0" xfId="0" applyNumberFormat="1" applyFont="1" applyFill="1" applyBorder="1"/>
    <xf numFmtId="182" fontId="2" fillId="2" borderId="0" xfId="0" applyNumberFormat="1" applyFont="1" applyFill="1" applyBorder="1"/>
    <xf numFmtId="10" fontId="64" fillId="46" borderId="0" xfId="2" applyNumberFormat="1" applyFont="1" applyFill="1" applyBorder="1" applyAlignment="1"/>
    <xf numFmtId="10" fontId="64" fillId="2" borderId="20" xfId="2" applyNumberFormat="1" applyFont="1" applyFill="1" applyBorder="1" applyAlignment="1">
      <alignment horizontal="right"/>
    </xf>
    <xf numFmtId="10" fontId="64" fillId="46" borderId="0" xfId="2" applyNumberFormat="1" applyFont="1" applyFill="1" applyAlignment="1">
      <alignment horizontal="right"/>
    </xf>
    <xf numFmtId="10" fontId="2" fillId="2" borderId="20" xfId="2" applyNumberFormat="1" applyFont="1" applyFill="1" applyBorder="1"/>
    <xf numFmtId="182" fontId="2" fillId="46" borderId="0" xfId="2" applyNumberFormat="1" applyFont="1" applyFill="1"/>
    <xf numFmtId="10" fontId="64" fillId="2" borderId="0" xfId="2" applyNumberFormat="1" applyFont="1" applyFill="1" applyBorder="1" applyAlignment="1">
      <alignment vertical="center"/>
    </xf>
    <xf numFmtId="182" fontId="2" fillId="2" borderId="0" xfId="2" applyNumberFormat="1" applyFont="1" applyFill="1" applyBorder="1"/>
    <xf numFmtId="164" fontId="8" fillId="45" borderId="0" xfId="0" applyNumberFormat="1" applyFont="1" applyFill="1" applyAlignment="1">
      <alignment horizontal="right"/>
    </xf>
    <xf numFmtId="164" fontId="8" fillId="45" borderId="0" xfId="0" applyNumberFormat="1" applyFont="1" applyFill="1" applyAlignment="1">
      <alignment horizontal="right" vertical="center"/>
    </xf>
    <xf numFmtId="0" fontId="2" fillId="46" borderId="0" xfId="0" applyNumberFormat="1" applyFont="1" applyFill="1"/>
    <xf numFmtId="0" fontId="40" fillId="46" borderId="0" xfId="2" applyNumberFormat="1" applyFont="1" applyFill="1" applyBorder="1"/>
    <xf numFmtId="0" fontId="40" fillId="46" borderId="0" xfId="0" applyNumberFormat="1" applyFont="1" applyFill="1" applyBorder="1"/>
    <xf numFmtId="0" fontId="2" fillId="46" borderId="0" xfId="0" applyNumberFormat="1" applyFont="1" applyFill="1" applyAlignment="1">
      <alignment horizontal="right"/>
    </xf>
    <xf numFmtId="179" fontId="40" fillId="47" borderId="0" xfId="0" applyNumberFormat="1" applyFont="1" applyFill="1" applyBorder="1"/>
    <xf numFmtId="0" fontId="1" fillId="47" borderId="0" xfId="0" applyFont="1" applyFill="1" applyBorder="1"/>
    <xf numFmtId="10" fontId="64" fillId="47" borderId="0" xfId="2" applyNumberFormat="1" applyFont="1" applyFill="1" applyBorder="1"/>
    <xf numFmtId="182" fontId="2" fillId="47" borderId="0" xfId="0" applyNumberFormat="1" applyFont="1" applyFill="1"/>
    <xf numFmtId="10" fontId="2" fillId="47" borderId="0" xfId="2" applyNumberFormat="1" applyFont="1" applyFill="1"/>
    <xf numFmtId="179" fontId="2" fillId="47" borderId="0" xfId="0" applyNumberFormat="1" applyFont="1" applyFill="1"/>
    <xf numFmtId="182" fontId="2" fillId="47" borderId="0" xfId="2" applyNumberFormat="1" applyFont="1" applyFill="1"/>
    <xf numFmtId="179" fontId="2" fillId="47" borderId="0" xfId="0" applyNumberFormat="1" applyFont="1" applyFill="1" applyBorder="1"/>
    <xf numFmtId="9" fontId="8" fillId="45" borderId="0" xfId="2" applyFont="1" applyFill="1"/>
    <xf numFmtId="2" fontId="2" fillId="46" borderId="0" xfId="0" applyNumberFormat="1" applyFont="1" applyFill="1"/>
    <xf numFmtId="164" fontId="6" fillId="2" borderId="0" xfId="0" applyNumberFormat="1" applyFont="1" applyFill="1" applyAlignment="1">
      <alignment horizontal="right"/>
    </xf>
    <xf numFmtId="0" fontId="60" fillId="2" borderId="0" xfId="2" applyNumberFormat="1" applyFont="1" applyFill="1" applyBorder="1" applyAlignment="1"/>
    <xf numFmtId="164" fontId="40" fillId="46" borderId="19" xfId="0" applyNumberFormat="1" applyFont="1" applyFill="1" applyBorder="1" applyAlignment="1">
      <alignment horizontal="left" vertical="center"/>
    </xf>
    <xf numFmtId="179" fontId="40" fillId="46" borderId="19" xfId="0" applyNumberFormat="1" applyFont="1" applyFill="1" applyBorder="1" applyAlignment="1">
      <alignment horizontal="left" vertical="center"/>
    </xf>
    <xf numFmtId="9" fontId="2" fillId="46" borderId="0" xfId="2" applyNumberFormat="1" applyFont="1" applyFill="1"/>
    <xf numFmtId="0" fontId="40" fillId="2" borderId="0" xfId="2" applyNumberFormat="1" applyFont="1" applyFill="1" applyBorder="1" applyAlignment="1">
      <alignment horizontal="right"/>
    </xf>
    <xf numFmtId="0" fontId="40" fillId="2" borderId="0" xfId="0" applyNumberFormat="1" applyFont="1" applyFill="1" applyBorder="1" applyAlignment="1">
      <alignment horizontal="right"/>
    </xf>
    <xf numFmtId="164" fontId="6" fillId="2" borderId="0" xfId="0" applyNumberFormat="1" applyFont="1" applyFill="1" applyBorder="1" applyAlignment="1">
      <alignment horizontal="right"/>
    </xf>
    <xf numFmtId="2" fontId="2" fillId="2" borderId="0" xfId="0" applyNumberFormat="1" applyFont="1" applyFill="1" applyBorder="1"/>
    <xf numFmtId="164" fontId="40" fillId="2" borderId="0" xfId="0" applyNumberFormat="1" applyFont="1" applyFill="1" applyBorder="1" applyAlignment="1">
      <alignment horizontal="left" vertical="center"/>
    </xf>
    <xf numFmtId="179" fontId="40" fillId="2" borderId="0" xfId="0" applyNumberFormat="1" applyFont="1" applyFill="1" applyBorder="1" applyAlignment="1">
      <alignment horizontal="left" vertical="center"/>
    </xf>
    <xf numFmtId="9" fontId="2" fillId="2" borderId="0" xfId="2" applyNumberFormat="1" applyFont="1" applyFill="1" applyBorder="1"/>
    <xf numFmtId="0" fontId="1" fillId="2" borderId="0" xfId="0" applyNumberFormat="1" applyFont="1" applyFill="1" applyBorder="1" applyAlignment="1">
      <alignment horizontal="right" vertical="center"/>
    </xf>
    <xf numFmtId="2" fontId="1" fillId="46" borderId="0" xfId="0" applyNumberFormat="1" applyFont="1" applyFill="1" applyBorder="1" applyAlignment="1">
      <alignment horizontal="right" vertical="center"/>
    </xf>
    <xf numFmtId="0" fontId="0" fillId="2" borderId="0" xfId="0" applyFill="1"/>
    <xf numFmtId="0" fontId="0" fillId="2" borderId="0" xfId="0" applyFill="1" applyBorder="1" applyAlignment="1"/>
    <xf numFmtId="2" fontId="0" fillId="2" borderId="0" xfId="0" applyNumberFormat="1" applyFill="1" applyBorder="1" applyAlignment="1"/>
    <xf numFmtId="2" fontId="1" fillId="46" borderId="0" xfId="0" applyNumberFormat="1" applyFont="1" applyFill="1" applyBorder="1" applyAlignment="1"/>
    <xf numFmtId="0" fontId="0" fillId="2" borderId="0" xfId="0" applyFill="1" applyBorder="1"/>
    <xf numFmtId="0" fontId="74" fillId="2" borderId="0" xfId="0" applyFont="1" applyFill="1" applyBorder="1" applyAlignment="1">
      <alignment horizontal="center"/>
    </xf>
    <xf numFmtId="177" fontId="40" fillId="46" borderId="0" xfId="0" applyNumberFormat="1" applyFont="1" applyFill="1" applyAlignment="1">
      <alignment horizontal="right"/>
    </xf>
    <xf numFmtId="2" fontId="40" fillId="46" borderId="0" xfId="2" applyNumberFormat="1" applyFont="1" applyFill="1" applyBorder="1" applyAlignment="1">
      <alignment horizontal="right"/>
    </xf>
    <xf numFmtId="164" fontId="40" fillId="46" borderId="0" xfId="0" applyNumberFormat="1" applyFont="1" applyFill="1" applyBorder="1" applyAlignment="1"/>
    <xf numFmtId="164" fontId="66" fillId="46" borderId="0" xfId="0" applyNumberFormat="1" applyFont="1" applyFill="1"/>
    <xf numFmtId="164" fontId="66" fillId="46" borderId="0" xfId="0" applyNumberFormat="1" applyFont="1" applyFill="1" applyBorder="1"/>
    <xf numFmtId="10" fontId="65" fillId="46" borderId="0" xfId="2" applyNumberFormat="1" applyFont="1" applyFill="1" applyBorder="1" applyAlignment="1">
      <alignment horizontal="right"/>
    </xf>
    <xf numFmtId="10" fontId="65" fillId="46" borderId="0" xfId="2" applyNumberFormat="1" applyFont="1" applyFill="1" applyBorder="1"/>
    <xf numFmtId="10" fontId="40" fillId="46" borderId="0" xfId="2" applyNumberFormat="1" applyFont="1" applyFill="1" applyBorder="1" applyAlignment="1"/>
    <xf numFmtId="0" fontId="74" fillId="2" borderId="0" xfId="0" applyFont="1" applyFill="1" applyBorder="1" applyAlignment="1">
      <alignment horizontal="centerContinuous"/>
    </xf>
    <xf numFmtId="164" fontId="8" fillId="45" borderId="0" xfId="0" applyNumberFormat="1" applyFont="1" applyFill="1" applyBorder="1" applyAlignment="1">
      <alignment horizontal="center"/>
    </xf>
    <xf numFmtId="0" fontId="8" fillId="45" borderId="0" xfId="0" applyFont="1" applyFill="1" applyBorder="1" applyAlignment="1">
      <alignment horizontal="center"/>
    </xf>
    <xf numFmtId="164" fontId="8" fillId="45" borderId="0" xfId="0" applyNumberFormat="1" applyFont="1" applyFill="1" applyAlignment="1">
      <alignment horizontal="center"/>
    </xf>
    <xf numFmtId="0" fontId="75" fillId="45" borderId="21" xfId="0" applyFont="1" applyFill="1" applyBorder="1" applyAlignment="1">
      <alignment horizontal="center"/>
    </xf>
    <xf numFmtId="0" fontId="74" fillId="46" borderId="0" xfId="0" applyFont="1" applyFill="1" applyBorder="1" applyAlignment="1"/>
    <xf numFmtId="10" fontId="74" fillId="46" borderId="0" xfId="2" applyNumberFormat="1" applyFont="1" applyFill="1" applyBorder="1" applyAlignment="1"/>
    <xf numFmtId="2" fontId="74" fillId="46" borderId="0" xfId="0" applyNumberFormat="1" applyFont="1" applyFill="1" applyBorder="1" applyAlignment="1"/>
    <xf numFmtId="164" fontId="65" fillId="2" borderId="0" xfId="0" applyNumberFormat="1" applyFont="1" applyFill="1"/>
    <xf numFmtId="0" fontId="74" fillId="2" borderId="0" xfId="0" applyFont="1" applyFill="1" applyBorder="1" applyAlignment="1">
      <alignment horizontal="right"/>
    </xf>
    <xf numFmtId="164" fontId="40" fillId="46" borderId="20" xfId="0" applyNumberFormat="1" applyFont="1" applyFill="1" applyBorder="1"/>
    <xf numFmtId="179" fontId="8" fillId="45" borderId="20" xfId="0" applyNumberFormat="1" applyFont="1" applyFill="1" applyBorder="1" applyAlignment="1">
      <alignment horizontal="left" vertical="center"/>
    </xf>
  </cellXfs>
  <cellStyles count="169">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F8F8F8"/>
      <color rgb="FFAF235D"/>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57149</xdr:colOff>
      <xdr:row>2</xdr:row>
      <xdr:rowOff>120000</xdr:rowOff>
    </xdr:from>
    <xdr:to>
      <xdr:col>14</xdr:col>
      <xdr:colOff>152398</xdr:colOff>
      <xdr:row>21</xdr:row>
      <xdr:rowOff>74</xdr:rowOff>
    </xdr:to>
    <xdr:pic>
      <xdr:nvPicPr>
        <xdr:cNvPr id="2" name="Picture 1" descr="File:Yes Bank SVG Logo.svg - Wikimedia Commons"/>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499" y="920100"/>
          <a:ext cx="8172449" cy="3051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28576</xdr:colOff>
      <xdr:row>5</xdr:row>
      <xdr:rowOff>0</xdr:rowOff>
    </xdr:from>
    <xdr:to>
      <xdr:col>7</xdr:col>
      <xdr:colOff>209550</xdr:colOff>
      <xdr:row>10</xdr:row>
      <xdr:rowOff>47625</xdr:rowOff>
    </xdr:to>
    <xdr:sp macro="" textlink="">
      <xdr:nvSpPr>
        <xdr:cNvPr id="2" name="TextBox 1"/>
        <xdr:cNvSpPr txBox="1"/>
      </xdr:nvSpPr>
      <xdr:spPr>
        <a:xfrm>
          <a:off x="161926" y="809625"/>
          <a:ext cx="6143624"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Yes Bank:</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Yes Bank Limited is a private sector bank. The Bank is engaged in providing banking services, including corporate and institutional banking, financial markets, investment banking, corporate finance, branch banking, business and transaction banking, and wealth management.</a:t>
          </a:r>
        </a:p>
      </xdr:txBody>
    </xdr:sp>
    <xdr:clientData/>
  </xdr:twoCellAnchor>
  <xdr:twoCellAnchor>
    <xdr:from>
      <xdr:col>1</xdr:col>
      <xdr:colOff>28574</xdr:colOff>
      <xdr:row>11</xdr:row>
      <xdr:rowOff>19050</xdr:rowOff>
    </xdr:from>
    <xdr:to>
      <xdr:col>7</xdr:col>
      <xdr:colOff>209550</xdr:colOff>
      <xdr:row>29</xdr:row>
      <xdr:rowOff>28575</xdr:rowOff>
    </xdr:to>
    <xdr:sp macro="" textlink="">
      <xdr:nvSpPr>
        <xdr:cNvPr id="6" name="TextBox 5"/>
        <xdr:cNvSpPr txBox="1"/>
      </xdr:nvSpPr>
      <xdr:spPr>
        <a:xfrm>
          <a:off x="161924" y="1743075"/>
          <a:ext cx="6143626" cy="2752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Loan Book:</a:t>
          </a:r>
          <a:r>
            <a:rPr lang="en-US" sz="900" b="0">
              <a:latin typeface="Arial" panose="020B0604020202020204" pitchFamily="34" charset="0"/>
              <a:cs typeface="Arial" panose="020B0604020202020204" pitchFamily="34" charset="0"/>
            </a:rPr>
            <a:t> Presently, 52% of loan book consists of corporate loans, followed by retail loans (28%), Small &amp; micro enterprises (12%), medium enterprises (9%).</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The bank has witnessed increasing share of retail business in the loan book in last 2 years.Secured business loan (22%), auto loan (17%), cv loan (15%), personal loan (11%), construction equipment loan (8%), home loans (8%), micro-finance (4%), others (15%).</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High Corporate NPA:</a:t>
          </a:r>
          <a:r>
            <a:rPr lang="en-US" sz="900" b="1"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The primary reason for bank's high GNPA ratio is the NPAs of its corporate advances.</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The bank has some high value NPA accounts viz. Anil Ambani Group, Subhash Chandra's Essel Group, DHFL, Il&amp;FS, Jet Airways, Cox &amp; Kings, Go travels, McLeod Russel, Omkar Realtors, Radius Developers and CG Power.</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Total value of these loans taken by these groups which turned bad is ~35,000 crores.</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These Corporate defaults were the primary reason for the crisis in the bank.</a:t>
          </a:r>
        </a:p>
        <a:p>
          <a:endParaRPr lang="en-US" sz="900" b="1">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Reconstruction Scheme 2020:</a:t>
          </a:r>
          <a:r>
            <a:rPr lang="en-US" sz="900" b="1"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On 14th March 2020, to protect the YES Bank from collapsing, many private and public institutions invested equity into the bank in March 2020. They were allotted equity shares of FV ₹2 each for ₹10 per share.</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75% of equity shares allotted to each investor should be locked in for a period of 3 years. Also, shareholding of SBI in the bank shall not go below 26% for a period of 3 years starting March 2020 as per the reconstruction Scheme.</a:t>
          </a:r>
        </a:p>
        <a:p>
          <a:endParaRPr lang="en-US" sz="900" b="1">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Total Impact on Equity:</a:t>
          </a:r>
          <a:r>
            <a:rPr lang="en-US" sz="900" b="1"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As a result of reconstruction scheme and the FPO, the company's equity capital increased from ~500 crores to ~5,000 crores.</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Almost all 4,500 crores of equity were allotted at a price of ₹10 and ₹12 per share.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9525</xdr:colOff>
      <xdr:row>9</xdr:row>
      <xdr:rowOff>142875</xdr:rowOff>
    </xdr:from>
    <xdr:to>
      <xdr:col>7</xdr:col>
      <xdr:colOff>981075</xdr:colOff>
      <xdr:row>17</xdr:row>
      <xdr:rowOff>85725</xdr:rowOff>
    </xdr:to>
    <xdr:sp macro="" textlink="">
      <xdr:nvSpPr>
        <xdr:cNvPr id="3" name="TextBox 2"/>
        <xdr:cNvSpPr txBox="1"/>
      </xdr:nvSpPr>
      <xdr:spPr>
        <a:xfrm>
          <a:off x="5448300" y="1552575"/>
          <a:ext cx="2714625" cy="1162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According to India Ratings &amp; Research (Ind-Ra), credit growth is expected to hit 10% in 2022-23 which will be a double-digit growth in eight years. According to the RBI, bank credit stood at Rs. 116.8 lakh crore (US$ 1.56 trillion) on 31st December 2021.</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trendlyne.com/equity/EPS/NIFTY50/1887/nifty-50-earnings-per-share/" TargetMode="External"/><Relationship Id="rId2" Type="http://schemas.openxmlformats.org/officeDocument/2006/relationships/hyperlink" Target="https://trendlyne.com/equity/DIV/NIFTY50/1887/nifty-50-dividend-yield/" TargetMode="External"/><Relationship Id="rId1" Type="http://schemas.openxmlformats.org/officeDocument/2006/relationships/hyperlink" Target="https://www.google.co.in/search?ie=UTF-8&amp;oe=UTF-8&amp;sourceid=navclient&amp;gfns=1&amp;q=Nifty50+Dividend+Points&amp;gws_rd=ssl" TargetMode="External"/><Relationship Id="rId5" Type="http://schemas.openxmlformats.org/officeDocument/2006/relationships/printerSettings" Target="../printerSettings/printerSettings5.bin"/><Relationship Id="rId4" Type="http://schemas.openxmlformats.org/officeDocument/2006/relationships/hyperlink" Target="https://in.investing.com/rates-bonds/india-10-year-bond-yield-historical-data"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tradingeconomics.com/india/corporate-tax-rate"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A1:O15"/>
  <sheetViews>
    <sheetView tabSelected="1" workbookViewId="0"/>
  </sheetViews>
  <sheetFormatPr defaultColWidth="9.140625" defaultRowHeight="12.75"/>
  <cols>
    <col min="1" max="1" width="2" style="56" customWidth="1"/>
    <col min="2" max="8" width="9.140625" style="56"/>
    <col min="9" max="9" width="11.42578125" style="56" customWidth="1"/>
    <col min="10" max="16384" width="9.140625" style="56"/>
  </cols>
  <sheetData>
    <row r="1" spans="1:15" ht="50.25">
      <c r="A1"/>
      <c r="B1" s="57" t="s">
        <v>164</v>
      </c>
    </row>
    <row r="3" spans="1:15" ht="13.5" customHeight="1">
      <c r="F3" s="57"/>
      <c r="H3" s="57"/>
    </row>
    <row r="6" spans="1:15" ht="15">
      <c r="D6"/>
    </row>
    <row r="9" spans="1:15">
      <c r="C9" s="58"/>
    </row>
    <row r="10" spans="1:15">
      <c r="C10" s="58"/>
    </row>
    <row r="12" spans="1:15" ht="15">
      <c r="J12"/>
    </row>
    <row r="13" spans="1:15">
      <c r="O13" s="59"/>
    </row>
    <row r="15" spans="1:15" ht="15">
      <c r="J15"/>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5.85546875" style="2" bestFit="1" customWidth="1"/>
    <col min="4" max="4" width="11.7109375" style="2" customWidth="1"/>
    <col min="5" max="5" width="17.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6" t="s">
        <v>124</v>
      </c>
      <c r="E1" s="3"/>
      <c r="F1" s="62"/>
      <c r="G1" s="3"/>
      <c r="H1" s="3"/>
      <c r="I1" s="3"/>
      <c r="J1" s="3"/>
      <c r="K1" s="3"/>
      <c r="L1" s="3"/>
      <c r="M1" s="3"/>
      <c r="N1" s="3"/>
    </row>
    <row r="2" spans="2:14">
      <c r="E2" s="3"/>
      <c r="F2" s="62"/>
      <c r="G2" s="3"/>
      <c r="H2" s="3"/>
      <c r="I2" s="3"/>
      <c r="J2" s="3"/>
      <c r="K2" s="3"/>
      <c r="L2" s="3"/>
      <c r="M2" s="3"/>
      <c r="N2" s="3"/>
    </row>
    <row r="3" spans="2:14">
      <c r="B3" s="3" t="s">
        <v>165</v>
      </c>
      <c r="C3" s="80" t="s">
        <v>113</v>
      </c>
      <c r="D3" s="21"/>
      <c r="E3" s="45"/>
      <c r="F3" s="119"/>
      <c r="G3" s="115"/>
      <c r="H3" s="102"/>
      <c r="I3" s="102"/>
      <c r="J3" s="102"/>
      <c r="K3" s="3"/>
      <c r="L3" s="120"/>
      <c r="M3" s="102"/>
      <c r="N3" s="3"/>
    </row>
    <row r="4" spans="2:14">
      <c r="B4" s="2" t="s">
        <v>166</v>
      </c>
      <c r="C4" s="217" t="s">
        <v>114</v>
      </c>
      <c r="D4" s="5"/>
      <c r="E4" s="3"/>
      <c r="F4" s="66"/>
      <c r="G4" s="116"/>
      <c r="H4" s="117"/>
      <c r="I4" s="45"/>
      <c r="J4" s="64"/>
      <c r="K4" s="3"/>
      <c r="L4" s="65"/>
      <c r="M4" s="82"/>
      <c r="N4" s="3"/>
    </row>
    <row r="5" spans="2:14">
      <c r="D5" s="5"/>
      <c r="E5" s="3"/>
      <c r="F5" s="66"/>
      <c r="G5" s="116"/>
      <c r="H5" s="117"/>
      <c r="I5" s="45"/>
      <c r="J5" s="64"/>
      <c r="K5" s="3"/>
      <c r="L5" s="65"/>
      <c r="M5" s="82"/>
      <c r="N5" s="3"/>
    </row>
    <row r="6" spans="2:14">
      <c r="C6" s="73"/>
      <c r="D6" s="23"/>
      <c r="E6" s="3"/>
      <c r="F6" s="66"/>
      <c r="G6" s="116"/>
      <c r="H6" s="117"/>
      <c r="I6" s="45"/>
      <c r="J6" s="64"/>
      <c r="K6" s="3"/>
      <c r="L6" s="65"/>
      <c r="M6" s="82"/>
      <c r="N6" s="3"/>
    </row>
    <row r="7" spans="2:14">
      <c r="C7" s="74"/>
      <c r="D7" s="5"/>
      <c r="E7" s="3"/>
      <c r="F7" s="66"/>
      <c r="G7" s="116"/>
      <c r="H7" s="117"/>
      <c r="I7" s="45"/>
      <c r="J7" s="64"/>
      <c r="K7" s="3"/>
      <c r="L7" s="65"/>
      <c r="M7" s="82"/>
      <c r="N7" s="3"/>
    </row>
    <row r="8" spans="2:14">
      <c r="C8" s="44"/>
      <c r="D8" s="5"/>
      <c r="E8" s="3"/>
      <c r="F8" s="66"/>
      <c r="G8" s="116"/>
      <c r="H8" s="117"/>
      <c r="I8" s="45"/>
      <c r="J8" s="64"/>
      <c r="K8" s="3"/>
      <c r="L8" s="65"/>
      <c r="M8" s="82"/>
      <c r="N8" s="3"/>
    </row>
    <row r="9" spans="2:14">
      <c r="B9" s="3"/>
      <c r="C9" s="80"/>
      <c r="D9" s="5"/>
      <c r="E9" s="3"/>
      <c r="F9" s="66"/>
      <c r="G9" s="116"/>
      <c r="H9" s="117"/>
      <c r="I9" s="45"/>
      <c r="J9" s="64"/>
      <c r="K9" s="3"/>
      <c r="L9" s="65"/>
      <c r="M9" s="82"/>
      <c r="N9" s="3"/>
    </row>
    <row r="10" spans="2:14">
      <c r="B10" s="3"/>
      <c r="C10" s="80"/>
      <c r="D10" s="5"/>
      <c r="E10" s="3"/>
      <c r="F10" s="66"/>
      <c r="G10" s="116"/>
      <c r="H10" s="117"/>
      <c r="I10" s="45"/>
      <c r="J10" s="64"/>
      <c r="K10" s="3"/>
      <c r="L10" s="63"/>
      <c r="M10" s="3"/>
      <c r="N10" s="3"/>
    </row>
    <row r="11" spans="2:14">
      <c r="B11" s="3"/>
      <c r="C11" s="81"/>
      <c r="D11" s="5"/>
      <c r="E11" s="3"/>
      <c r="F11" s="66"/>
      <c r="G11" s="116"/>
      <c r="H11" s="117"/>
      <c r="I11" s="45"/>
      <c r="J11" s="64"/>
      <c r="K11" s="3"/>
      <c r="L11" s="78"/>
      <c r="M11" s="87"/>
      <c r="N11" s="3"/>
    </row>
    <row r="12" spans="2:14">
      <c r="B12" s="3"/>
      <c r="C12" s="3"/>
      <c r="D12" s="5"/>
      <c r="E12" s="3"/>
      <c r="F12" s="66"/>
      <c r="G12" s="116"/>
      <c r="H12" s="117"/>
      <c r="I12" s="45"/>
      <c r="J12" s="64"/>
      <c r="K12" s="3"/>
      <c r="L12" s="61"/>
      <c r="M12" s="87"/>
      <c r="N12" s="3"/>
    </row>
    <row r="13" spans="2:14">
      <c r="B13" s="3"/>
      <c r="C13" s="55"/>
      <c r="D13" s="5"/>
      <c r="E13" s="3"/>
      <c r="F13" s="66"/>
      <c r="G13" s="116"/>
      <c r="H13" s="117"/>
      <c r="I13" s="45"/>
      <c r="J13" s="64"/>
      <c r="K13" s="3"/>
      <c r="L13" s="3"/>
      <c r="M13" s="3"/>
      <c r="N13" s="3"/>
    </row>
    <row r="14" spans="2:14">
      <c r="B14" s="22"/>
      <c r="C14" s="22"/>
      <c r="D14" s="23"/>
      <c r="E14" s="3"/>
      <c r="F14" s="65"/>
      <c r="G14" s="7"/>
      <c r="H14" s="3"/>
      <c r="I14" s="45"/>
      <c r="J14" s="22"/>
      <c r="K14" s="3"/>
      <c r="L14" s="3"/>
      <c r="M14" s="3"/>
      <c r="N14" s="3"/>
    </row>
    <row r="15" spans="2:14">
      <c r="B15" s="3"/>
      <c r="C15" s="125"/>
      <c r="D15" s="5"/>
      <c r="E15" s="45"/>
      <c r="F15" s="61"/>
      <c r="G15" s="3"/>
      <c r="H15" s="3"/>
      <c r="I15" s="3"/>
      <c r="J15" s="3"/>
      <c r="K15" s="3"/>
      <c r="L15" s="3"/>
      <c r="M15" s="3"/>
      <c r="N15" s="3"/>
    </row>
    <row r="16" spans="2:14">
      <c r="B16" s="3"/>
      <c r="C16" s="3"/>
      <c r="D16" s="5"/>
      <c r="E16" s="45"/>
      <c r="F16" s="78"/>
      <c r="G16" s="79"/>
      <c r="H16" s="43"/>
      <c r="I16" s="3"/>
      <c r="J16" s="3"/>
      <c r="K16" s="3"/>
      <c r="L16" s="3"/>
      <c r="M16" s="3"/>
      <c r="N16" s="3"/>
    </row>
    <row r="17" spans="2:14">
      <c r="B17" s="3"/>
      <c r="C17" s="74"/>
      <c r="D17" s="5"/>
      <c r="E17" s="45"/>
      <c r="F17" s="61"/>
      <c r="G17" s="79"/>
      <c r="H17" s="3"/>
      <c r="I17" s="3"/>
      <c r="J17" s="3"/>
      <c r="K17" s="3"/>
      <c r="L17" s="3"/>
      <c r="M17" s="3"/>
      <c r="N17" s="3"/>
    </row>
    <row r="18" spans="2:14">
      <c r="B18" s="3"/>
      <c r="C18" s="3"/>
      <c r="D18" s="23"/>
      <c r="E18" s="45"/>
      <c r="F18" s="61"/>
      <c r="G18" s="3"/>
      <c r="H18" s="3"/>
      <c r="I18" s="3"/>
      <c r="J18" s="3"/>
      <c r="K18" s="3"/>
      <c r="L18" s="3"/>
      <c r="M18" s="3"/>
      <c r="N18" s="3"/>
    </row>
    <row r="19" spans="2:14">
      <c r="B19" s="22"/>
      <c r="C19" s="22"/>
      <c r="D19" s="5"/>
      <c r="E19" s="45"/>
      <c r="F19" s="61"/>
      <c r="G19" s="3"/>
      <c r="H19" s="3"/>
      <c r="I19" s="3"/>
      <c r="J19" s="3"/>
      <c r="K19" s="3"/>
      <c r="L19" s="3"/>
      <c r="M19" s="3"/>
      <c r="N19" s="3"/>
    </row>
    <row r="20" spans="2:14">
      <c r="B20" s="3"/>
      <c r="C20" s="3"/>
      <c r="D20" s="5"/>
      <c r="E20" s="118"/>
      <c r="F20" s="120"/>
      <c r="G20" s="120"/>
      <c r="H20" s="120"/>
      <c r="I20" s="120"/>
      <c r="J20" s="120"/>
      <c r="K20" s="120"/>
      <c r="L20" s="3"/>
      <c r="M20" s="3"/>
      <c r="N20" s="3"/>
    </row>
    <row r="21" spans="2:14">
      <c r="B21" s="3"/>
      <c r="C21" s="3"/>
      <c r="D21" s="5"/>
      <c r="E21" s="98"/>
      <c r="F21" s="121"/>
      <c r="G21" s="7"/>
      <c r="H21" s="7"/>
      <c r="I21" s="7"/>
      <c r="J21" s="7"/>
      <c r="K21" s="7"/>
      <c r="L21" s="3"/>
      <c r="M21" s="3"/>
      <c r="N21" s="3"/>
    </row>
    <row r="22" spans="2:14">
      <c r="B22" s="3"/>
      <c r="C22" s="3"/>
      <c r="D22" s="5"/>
      <c r="E22" s="45"/>
      <c r="F22" s="62"/>
      <c r="G22" s="62"/>
      <c r="H22" s="62"/>
      <c r="I22" s="99"/>
      <c r="J22" s="61"/>
      <c r="K22" s="62"/>
      <c r="L22" s="3"/>
      <c r="M22" s="3"/>
      <c r="N22" s="3"/>
    </row>
    <row r="23" spans="2:14">
      <c r="B23" s="22"/>
      <c r="C23" s="22"/>
      <c r="D23" s="23"/>
      <c r="E23" s="45"/>
      <c r="F23" s="3"/>
      <c r="G23" s="3"/>
      <c r="H23" s="3"/>
      <c r="I23" s="3"/>
      <c r="J23" s="3"/>
      <c r="K23" s="3"/>
      <c r="L23" s="122"/>
      <c r="M23" s="3"/>
      <c r="N23" s="3"/>
    </row>
    <row r="24" spans="2:14">
      <c r="B24" s="3"/>
      <c r="C24" s="3"/>
      <c r="D24" s="5"/>
      <c r="E24" s="45"/>
      <c r="F24" s="3"/>
      <c r="G24" s="3"/>
      <c r="H24" s="3"/>
      <c r="I24" s="3"/>
      <c r="J24" s="3"/>
      <c r="K24" s="3"/>
      <c r="L24" s="3"/>
      <c r="M24" s="3"/>
      <c r="N24" s="3"/>
    </row>
    <row r="25" spans="2:14">
      <c r="B25" s="3"/>
      <c r="C25" s="3"/>
      <c r="D25" s="5"/>
      <c r="E25" s="5"/>
      <c r="F25" s="62"/>
      <c r="G25" s="3"/>
      <c r="H25" s="78"/>
      <c r="I25" s="79"/>
      <c r="J25" s="3"/>
      <c r="K25" s="3"/>
      <c r="L25" s="3"/>
      <c r="M25" s="3"/>
      <c r="N25" s="3"/>
    </row>
    <row r="26" spans="2:14">
      <c r="B26" s="3"/>
      <c r="C26" s="3"/>
      <c r="D26" s="5"/>
      <c r="E26" s="23"/>
      <c r="F26" s="44"/>
      <c r="G26" s="3"/>
      <c r="H26" s="61"/>
      <c r="I26" s="79"/>
      <c r="J26" s="3"/>
      <c r="K26" s="3"/>
      <c r="L26" s="123"/>
      <c r="M26" s="3"/>
      <c r="N26" s="3"/>
    </row>
    <row r="27" spans="2:14">
      <c r="B27" s="3"/>
      <c r="C27" s="3"/>
      <c r="D27" s="23"/>
      <c r="E27" s="22"/>
      <c r="F27" s="124"/>
      <c r="G27" s="3"/>
      <c r="H27" s="3"/>
      <c r="I27" s="3"/>
      <c r="J27" s="3"/>
      <c r="K27" s="3"/>
      <c r="L27" s="3"/>
      <c r="M27" s="3"/>
      <c r="N27" s="3"/>
    </row>
    <row r="28" spans="2:14">
      <c r="B28" s="3"/>
      <c r="C28" s="3"/>
      <c r="D28" s="7"/>
      <c r="E28" s="22"/>
      <c r="F28" s="124"/>
      <c r="G28" s="3"/>
      <c r="H28" s="3"/>
      <c r="I28" s="3"/>
      <c r="J28" s="3"/>
      <c r="K28" s="3"/>
      <c r="L28" s="3"/>
      <c r="M28" s="3"/>
      <c r="N28" s="3"/>
    </row>
    <row r="29" spans="2:14">
      <c r="B29" s="3"/>
      <c r="C29" s="3"/>
      <c r="D29" s="3"/>
      <c r="E29" s="3"/>
      <c r="F29" s="62"/>
      <c r="G29" s="3"/>
      <c r="H29" s="3"/>
      <c r="I29" s="3"/>
      <c r="J29" s="3"/>
      <c r="K29" s="3"/>
      <c r="L29" s="3"/>
      <c r="M29" s="3"/>
      <c r="N29" s="3"/>
    </row>
    <row r="30" spans="2:14">
      <c r="B30" s="3"/>
      <c r="C30" s="3"/>
      <c r="D30" s="3"/>
      <c r="E30" s="3"/>
      <c r="F30" s="62"/>
    </row>
    <row r="31" spans="2:14">
      <c r="D31" s="3"/>
      <c r="E31" s="3"/>
      <c r="F31" s="62"/>
    </row>
    <row r="32" spans="2:14">
      <c r="D32" s="3"/>
      <c r="E32" s="3"/>
      <c r="F32" s="62"/>
    </row>
    <row r="33" spans="4:6">
      <c r="D33" s="3"/>
      <c r="E33" s="3"/>
      <c r="F33" s="62"/>
    </row>
    <row r="34" spans="4:6">
      <c r="D34" s="3"/>
      <c r="E34" s="3"/>
      <c r="F34" s="62"/>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28"/>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10" style="1" customWidth="1"/>
    <col min="3" max="3" width="26" style="1" customWidth="1"/>
    <col min="4" max="16384" width="9.140625" style="1"/>
  </cols>
  <sheetData>
    <row r="1" spans="2:3" ht="15.75">
      <c r="B1" s="34" t="s">
        <v>95</v>
      </c>
      <c r="C1" s="9"/>
    </row>
    <row r="2" spans="2:3">
      <c r="B2" s="35"/>
      <c r="C2" s="9"/>
    </row>
    <row r="3" spans="2:3">
      <c r="B3" s="9"/>
      <c r="C3" s="9"/>
    </row>
    <row r="4" spans="2:3">
      <c r="B4" s="60" t="s">
        <v>0</v>
      </c>
      <c r="C4" s="60" t="s">
        <v>1</v>
      </c>
    </row>
    <row r="5" spans="2:3">
      <c r="B5" s="38">
        <v>1</v>
      </c>
      <c r="C5" s="39" t="s">
        <v>3</v>
      </c>
    </row>
    <row r="6" spans="2:3">
      <c r="B6" s="36">
        <f>B5+1</f>
        <v>2</v>
      </c>
      <c r="C6" s="37" t="s">
        <v>5</v>
      </c>
    </row>
    <row r="7" spans="2:3">
      <c r="B7" s="36">
        <f t="shared" ref="B7:B15" si="0">B6+1</f>
        <v>3</v>
      </c>
      <c r="C7" s="37" t="s">
        <v>6</v>
      </c>
    </row>
    <row r="8" spans="2:3">
      <c r="B8" s="36">
        <f t="shared" si="0"/>
        <v>4</v>
      </c>
      <c r="C8" s="37" t="s">
        <v>2</v>
      </c>
    </row>
    <row r="9" spans="2:3">
      <c r="B9" s="36">
        <f t="shared" si="0"/>
        <v>5</v>
      </c>
      <c r="C9" s="37" t="s">
        <v>4</v>
      </c>
    </row>
    <row r="10" spans="2:3">
      <c r="B10" s="36">
        <f t="shared" si="0"/>
        <v>6</v>
      </c>
      <c r="C10" s="39" t="s">
        <v>162</v>
      </c>
    </row>
    <row r="11" spans="2:3">
      <c r="B11" s="36">
        <f t="shared" si="0"/>
        <v>7</v>
      </c>
      <c r="C11" s="37" t="s">
        <v>152</v>
      </c>
    </row>
    <row r="12" spans="2:3">
      <c r="B12" s="36">
        <f t="shared" si="0"/>
        <v>8</v>
      </c>
      <c r="C12" s="37" t="s">
        <v>97</v>
      </c>
    </row>
    <row r="13" spans="2:3">
      <c r="B13" s="36">
        <f t="shared" si="0"/>
        <v>9</v>
      </c>
      <c r="C13" s="37" t="s">
        <v>109</v>
      </c>
    </row>
    <row r="14" spans="2:3">
      <c r="B14" s="36">
        <f t="shared" si="0"/>
        <v>10</v>
      </c>
      <c r="C14" s="39" t="s">
        <v>173</v>
      </c>
    </row>
    <row r="15" spans="2:3">
      <c r="B15" s="36">
        <f t="shared" si="0"/>
        <v>11</v>
      </c>
      <c r="C15" s="37" t="s">
        <v>234</v>
      </c>
    </row>
    <row r="16" spans="2:3">
      <c r="B16" s="36"/>
      <c r="C16" s="37"/>
    </row>
    <row r="17" spans="2:3">
      <c r="B17" s="36"/>
      <c r="C17" s="37"/>
    </row>
    <row r="18" spans="2:3">
      <c r="B18" s="36"/>
      <c r="C18" s="37"/>
    </row>
    <row r="19" spans="2:3">
      <c r="B19" s="36"/>
      <c r="C19" s="37"/>
    </row>
    <row r="20" spans="2:3">
      <c r="B20" s="36"/>
      <c r="C20" s="37"/>
    </row>
    <row r="21" spans="2:3">
      <c r="B21" s="36"/>
      <c r="C21" s="37"/>
    </row>
    <row r="22" spans="2:3">
      <c r="B22" s="36"/>
      <c r="C22" s="37"/>
    </row>
    <row r="23" spans="2:3">
      <c r="B23" s="36"/>
      <c r="C23" s="37"/>
    </row>
    <row r="24" spans="2:3">
      <c r="B24" s="36"/>
      <c r="C24" s="37"/>
    </row>
    <row r="27" spans="2:3">
      <c r="B27" s="36"/>
      <c r="C27" s="37"/>
    </row>
    <row r="28" spans="2:3">
      <c r="B28" s="9"/>
      <c r="C28" s="9"/>
    </row>
  </sheetData>
  <hyperlinks>
    <hyperlink ref="C7" location="'Equity Risk Premium'!A1" display="Equity Risk Premium"/>
    <hyperlink ref="C8" location="Beta!A1" display="Beta"/>
    <hyperlink ref="C9" location="'Cost of Equity'!A1" display="Cost of Equity"/>
    <hyperlink ref="C6" location="'Risk Free Rate'!A1" display="Risk Free Rate"/>
    <hyperlink ref="C11" location="'Industry Numbers'!A1" display="Industry Numbers"/>
    <hyperlink ref="C12" location="'Future Cashflows (10 Yrs)'!A1" display="Future Cash Flows (10 Yrs)"/>
    <hyperlink ref="C13" location="'Fair Value of Share'!A1" display="Fair Value of Share"/>
    <hyperlink ref="C15" location="'Yes Bank - Pricing'!A1" display="Yes Bank - Pricing"/>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4.85546875" style="2" customWidth="1"/>
    <col min="3" max="3" width="9.140625" style="2"/>
    <col min="4" max="4" width="6.140625" style="2" customWidth="1"/>
    <col min="5" max="5" width="11.5703125" style="2" bestFit="1" customWidth="1"/>
    <col min="6" max="6" width="18.85546875" style="2" customWidth="1"/>
    <col min="7" max="7" width="2.7109375" style="2" customWidth="1"/>
    <col min="8" max="8" width="30.42578125" style="2" customWidth="1"/>
    <col min="9" max="16384" width="9.140625" style="2"/>
  </cols>
  <sheetData>
    <row r="1" spans="2:13" ht="15.75">
      <c r="B1" s="16" t="s">
        <v>99</v>
      </c>
    </row>
    <row r="3" spans="2:13">
      <c r="B3" s="18" t="s">
        <v>5</v>
      </c>
      <c r="C3" s="52">
        <f>C5-C7</f>
        <v>5.3600000000000002E-2</v>
      </c>
      <c r="D3" s="21"/>
      <c r="E3" s="47" t="s">
        <v>40</v>
      </c>
      <c r="F3" s="48" t="s">
        <v>41</v>
      </c>
      <c r="I3" s="3"/>
      <c r="J3" s="3"/>
      <c r="K3" s="3"/>
    </row>
    <row r="4" spans="2:13">
      <c r="B4" s="3"/>
      <c r="C4" s="3"/>
      <c r="D4" s="5"/>
      <c r="E4" s="47" t="s">
        <v>25</v>
      </c>
      <c r="F4" s="12">
        <v>0</v>
      </c>
      <c r="I4" s="3"/>
      <c r="J4" s="3"/>
      <c r="K4" s="3"/>
    </row>
    <row r="5" spans="2:13">
      <c r="B5" s="18" t="s">
        <v>7</v>
      </c>
      <c r="C5" s="53">
        <v>7.2300000000000003E-2</v>
      </c>
      <c r="D5" s="5"/>
      <c r="E5" s="47" t="s">
        <v>26</v>
      </c>
      <c r="F5" s="12">
        <v>3.3999999999999998E-3</v>
      </c>
      <c r="I5" s="3"/>
      <c r="J5" s="3"/>
      <c r="K5" s="3"/>
      <c r="M5" s="3"/>
    </row>
    <row r="6" spans="2:13">
      <c r="B6" s="18" t="s">
        <v>8</v>
      </c>
      <c r="C6" s="54" t="s">
        <v>38</v>
      </c>
      <c r="D6" s="23"/>
      <c r="E6" s="47" t="s">
        <v>19</v>
      </c>
      <c r="F6" s="12">
        <v>4.1999999999999997E-3</v>
      </c>
      <c r="I6" s="3"/>
      <c r="J6" s="3"/>
      <c r="K6" s="3"/>
    </row>
    <row r="7" spans="2:13">
      <c r="B7" s="18" t="s">
        <v>9</v>
      </c>
      <c r="C7" s="51">
        <f>VLOOKUP(C6,$E$3:$F$24,2,0)</f>
        <v>1.8700000000000001E-2</v>
      </c>
      <c r="D7" s="5"/>
      <c r="E7" s="47" t="s">
        <v>30</v>
      </c>
      <c r="F7" s="12">
        <v>5.1000000000000004E-3</v>
      </c>
      <c r="I7" s="3"/>
      <c r="J7" s="3"/>
      <c r="K7" s="3"/>
    </row>
    <row r="8" spans="2:13">
      <c r="B8" s="3"/>
      <c r="C8" s="3"/>
      <c r="D8" s="5"/>
      <c r="E8" s="47" t="s">
        <v>35</v>
      </c>
      <c r="F8" s="44">
        <v>6.0000000000000001E-3</v>
      </c>
      <c r="I8" s="3"/>
      <c r="J8" s="3"/>
      <c r="K8" s="3"/>
    </row>
    <row r="9" spans="2:13">
      <c r="B9" s="50" t="s">
        <v>43</v>
      </c>
      <c r="C9" s="22"/>
      <c r="D9" s="5"/>
      <c r="E9" s="47" t="s">
        <v>32</v>
      </c>
      <c r="F9" s="12">
        <v>7.1999999999999998E-3</v>
      </c>
      <c r="I9" s="3"/>
      <c r="J9" s="3"/>
      <c r="K9" s="3"/>
    </row>
    <row r="10" spans="2:13">
      <c r="B10" s="3"/>
      <c r="C10" s="3"/>
      <c r="D10" s="5"/>
      <c r="E10" s="47" t="s">
        <v>33</v>
      </c>
      <c r="F10" s="12">
        <v>1.0200000000000001E-2</v>
      </c>
      <c r="I10" s="3"/>
      <c r="J10" s="3"/>
      <c r="K10" s="3"/>
    </row>
    <row r="11" spans="2:13">
      <c r="B11" s="46" t="s">
        <v>42</v>
      </c>
      <c r="C11" s="3"/>
      <c r="D11" s="5"/>
      <c r="E11" s="47" t="s">
        <v>34</v>
      </c>
      <c r="F11" s="12">
        <v>1.3599999999999999E-2</v>
      </c>
      <c r="I11" s="3"/>
      <c r="J11" s="3"/>
      <c r="K11" s="3"/>
    </row>
    <row r="12" spans="2:13">
      <c r="B12" s="49" t="s">
        <v>10</v>
      </c>
      <c r="C12" s="3"/>
      <c r="D12" s="5"/>
      <c r="E12" s="47" t="s">
        <v>21</v>
      </c>
      <c r="F12" s="12">
        <v>1.6199999999999999E-2</v>
      </c>
      <c r="I12" s="3"/>
      <c r="J12" s="3"/>
      <c r="K12" s="3"/>
    </row>
    <row r="13" spans="2:13">
      <c r="B13" s="49" t="s">
        <v>11</v>
      </c>
      <c r="C13" s="22"/>
      <c r="D13" s="5"/>
      <c r="E13" s="47" t="s">
        <v>38</v>
      </c>
      <c r="F13" s="12">
        <v>1.8700000000000001E-2</v>
      </c>
    </row>
    <row r="14" spans="2:13">
      <c r="B14" s="49" t="s">
        <v>12</v>
      </c>
      <c r="C14" s="3"/>
      <c r="D14" s="23"/>
      <c r="E14" s="47" t="s">
        <v>37</v>
      </c>
      <c r="F14" s="12">
        <v>2.1299999999999999E-2</v>
      </c>
    </row>
    <row r="15" spans="2:13">
      <c r="B15" s="49" t="s">
        <v>13</v>
      </c>
      <c r="C15" s="3"/>
      <c r="D15" s="5"/>
      <c r="E15" s="47" t="s">
        <v>27</v>
      </c>
      <c r="F15" s="12">
        <v>2.5600000000000001E-2</v>
      </c>
    </row>
    <row r="16" spans="2:13">
      <c r="B16" s="49" t="s">
        <v>14</v>
      </c>
      <c r="C16" s="3"/>
      <c r="D16" s="5"/>
      <c r="E16" s="47" t="s">
        <v>24</v>
      </c>
      <c r="F16" s="12">
        <v>3.0599999999999999E-2</v>
      </c>
    </row>
    <row r="17" spans="2:9">
      <c r="B17" s="49" t="s">
        <v>15</v>
      </c>
      <c r="C17" s="3"/>
      <c r="D17" s="5"/>
      <c r="E17" s="47" t="s">
        <v>20</v>
      </c>
      <c r="F17" s="12">
        <v>3.8300000000000001E-2</v>
      </c>
    </row>
    <row r="18" spans="2:9">
      <c r="B18" s="49" t="s">
        <v>16</v>
      </c>
      <c r="C18" s="22"/>
      <c r="D18" s="23"/>
      <c r="E18" s="47" t="s">
        <v>28</v>
      </c>
      <c r="F18" s="12">
        <v>4.6800000000000001E-2</v>
      </c>
    </row>
    <row r="19" spans="2:9">
      <c r="B19" s="49" t="s">
        <v>17</v>
      </c>
      <c r="C19" s="3"/>
      <c r="D19" s="5"/>
      <c r="E19" s="47" t="s">
        <v>22</v>
      </c>
      <c r="F19" s="12">
        <v>5.5300000000000002E-2</v>
      </c>
    </row>
    <row r="20" spans="2:9">
      <c r="B20" s="49" t="s">
        <v>18</v>
      </c>
      <c r="C20" s="3"/>
      <c r="D20" s="5"/>
      <c r="E20" s="47" t="s">
        <v>29</v>
      </c>
      <c r="F20" s="12">
        <v>6.3799999999999996E-2</v>
      </c>
    </row>
    <row r="21" spans="2:9">
      <c r="D21" s="5"/>
      <c r="E21" s="47" t="s">
        <v>36</v>
      </c>
      <c r="F21" s="12">
        <v>7.6600000000000001E-2</v>
      </c>
    </row>
    <row r="22" spans="2:9">
      <c r="B22" s="3"/>
      <c r="C22" s="3"/>
      <c r="D22" s="5"/>
      <c r="E22" s="47" t="s">
        <v>31</v>
      </c>
      <c r="F22" s="12">
        <v>8.5099999999999995E-2</v>
      </c>
    </row>
    <row r="23" spans="2:9">
      <c r="B23" s="22"/>
      <c r="C23" s="22"/>
      <c r="D23" s="23"/>
      <c r="E23" s="47" t="s">
        <v>23</v>
      </c>
      <c r="F23" s="12">
        <v>0.1021</v>
      </c>
      <c r="I23" s="4"/>
    </row>
    <row r="24" spans="2:9">
      <c r="B24" s="3"/>
      <c r="C24" s="3"/>
      <c r="D24" s="5"/>
      <c r="E24" s="47" t="s">
        <v>39</v>
      </c>
      <c r="F24" s="12">
        <v>0.17499999999999999</v>
      </c>
    </row>
    <row r="25" spans="2:9">
      <c r="B25" s="3"/>
      <c r="C25" s="3"/>
      <c r="D25" s="5"/>
      <c r="E25" s="5"/>
    </row>
    <row r="26" spans="2:9">
      <c r="B26" s="3"/>
      <c r="C26" s="3"/>
      <c r="D26" s="5"/>
      <c r="E26" s="5"/>
    </row>
    <row r="27" spans="2:9">
      <c r="B27" s="3"/>
      <c r="C27" s="3"/>
      <c r="D27" s="23"/>
      <c r="E27" s="23"/>
      <c r="F27" s="23"/>
    </row>
    <row r="28" spans="2:9">
      <c r="B28" s="3"/>
      <c r="C28" s="3"/>
      <c r="D28" s="3"/>
      <c r="E28" s="3"/>
      <c r="F28" s="3"/>
    </row>
    <row r="29" spans="2:9">
      <c r="B29" s="3"/>
      <c r="C29" s="3"/>
      <c r="D29" s="3"/>
      <c r="E29" s="3"/>
      <c r="F29" s="3"/>
    </row>
    <row r="30" spans="2:9">
      <c r="B30" s="3"/>
      <c r="C30" s="3"/>
      <c r="D30" s="3"/>
      <c r="E30" s="3"/>
      <c r="F30" s="3"/>
    </row>
    <row r="31" spans="2:9">
      <c r="D31" s="3"/>
      <c r="E31" s="3"/>
      <c r="F31" s="3"/>
    </row>
    <row r="32" spans="2:9">
      <c r="D32" s="3"/>
      <c r="E32" s="3"/>
      <c r="F32" s="3"/>
    </row>
    <row r="33" spans="4:6">
      <c r="D33" s="3"/>
      <c r="E33" s="3"/>
      <c r="F33" s="3"/>
    </row>
    <row r="34" spans="4:6">
      <c r="D34" s="3"/>
      <c r="E34" s="3"/>
      <c r="F34" s="3"/>
    </row>
  </sheetData>
  <sortState ref="E4:F24">
    <sortCondition ref="F6"/>
  </sortState>
  <conditionalFormatting sqref="F4:F24">
    <cfRule type="colorScale" priority="1">
      <colorScale>
        <cfvo type="min"/>
        <cfvo type="percentile" val="50"/>
        <cfvo type="max"/>
        <color rgb="FF63BE7B"/>
        <color rgb="FFFFEB84"/>
        <color rgb="FFF8696B"/>
      </colorScale>
    </cfRule>
  </conditionalFormatting>
  <pageMargins left="0.7" right="0.7" top="0.75" bottom="0.75" header="0.3" footer="0.3"/>
  <pageSetup paperSize="11"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6.42578125" style="2" customWidth="1"/>
    <col min="3" max="3" width="10" style="2" bestFit="1" customWidth="1"/>
    <col min="4" max="4" width="2.85546875" style="2" customWidth="1"/>
    <col min="5" max="5" width="18.5703125" style="2" customWidth="1"/>
    <col min="6" max="6" width="10" style="13"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3" ht="15.75">
      <c r="B1" s="16" t="s">
        <v>6</v>
      </c>
    </row>
    <row r="3" spans="2:13">
      <c r="B3" s="18" t="s">
        <v>45</v>
      </c>
      <c r="C3" s="88">
        <f>G13</f>
        <v>189.17</v>
      </c>
      <c r="D3" s="21"/>
      <c r="E3" s="45"/>
      <c r="F3" s="68" t="s">
        <v>44</v>
      </c>
      <c r="G3" s="69" t="s">
        <v>46</v>
      </c>
      <c r="H3" s="71" t="s">
        <v>47</v>
      </c>
      <c r="I3" s="71" t="s">
        <v>50</v>
      </c>
      <c r="J3" s="71" t="s">
        <v>77</v>
      </c>
      <c r="K3" s="3"/>
      <c r="L3" s="85" t="s">
        <v>44</v>
      </c>
      <c r="M3" s="71" t="s">
        <v>73</v>
      </c>
    </row>
    <row r="4" spans="2:13">
      <c r="B4" s="28" t="s">
        <v>51</v>
      </c>
      <c r="C4" s="93">
        <f>J14/I14</f>
        <v>138.95218181818183</v>
      </c>
      <c r="D4" s="5"/>
      <c r="F4" s="67" t="s">
        <v>55</v>
      </c>
      <c r="G4" s="70">
        <v>77.72</v>
      </c>
      <c r="H4" s="72">
        <v>1.47E-2</v>
      </c>
      <c r="I4" s="47">
        <v>1</v>
      </c>
      <c r="J4" s="76">
        <f t="shared" ref="J4:J13" si="0">G4*I4</f>
        <v>77.72</v>
      </c>
      <c r="K4" s="3"/>
      <c r="L4" s="83" t="s">
        <v>65</v>
      </c>
      <c r="M4" s="84">
        <f>C11</f>
        <v>0.172634108417556</v>
      </c>
    </row>
    <row r="5" spans="2:13">
      <c r="D5" s="5"/>
      <c r="F5" s="67" t="s">
        <v>56</v>
      </c>
      <c r="G5" s="70">
        <v>97.24</v>
      </c>
      <c r="H5" s="72">
        <v>1.37E-2</v>
      </c>
      <c r="I5" s="47">
        <v>2</v>
      </c>
      <c r="J5" s="76">
        <f t="shared" si="0"/>
        <v>194.48</v>
      </c>
      <c r="K5" s="3"/>
      <c r="L5" s="83" t="s">
        <v>66</v>
      </c>
      <c r="M5" s="84">
        <f>(M4+M6)/2</f>
        <v>0.146583081313167</v>
      </c>
    </row>
    <row r="6" spans="2:13">
      <c r="B6" s="28" t="s">
        <v>49</v>
      </c>
      <c r="C6" s="89">
        <f>H13</f>
        <v>1.11E-2</v>
      </c>
      <c r="D6" s="23"/>
      <c r="F6" s="67" t="s">
        <v>57</v>
      </c>
      <c r="G6" s="70">
        <v>122.26</v>
      </c>
      <c r="H6" s="72">
        <v>1.2800000000000001E-2</v>
      </c>
      <c r="I6" s="47">
        <v>3</v>
      </c>
      <c r="J6" s="76">
        <f t="shared" si="0"/>
        <v>366.78000000000003</v>
      </c>
      <c r="K6" s="3"/>
      <c r="L6" s="83" t="s">
        <v>67</v>
      </c>
      <c r="M6" s="84">
        <f>(M4+M8)/2</f>
        <v>0.12053205420877799</v>
      </c>
    </row>
    <row r="7" spans="2:13">
      <c r="B7" s="28" t="s">
        <v>48</v>
      </c>
      <c r="C7" s="90">
        <f>AVERAGE(H4:H13)</f>
        <v>1.315E-2</v>
      </c>
      <c r="D7" s="5"/>
      <c r="F7" s="67" t="s">
        <v>58</v>
      </c>
      <c r="G7" s="70">
        <v>121.01</v>
      </c>
      <c r="H7" s="72">
        <v>1.49E-2</v>
      </c>
      <c r="I7" s="47">
        <v>4</v>
      </c>
      <c r="J7" s="76">
        <f t="shared" si="0"/>
        <v>484.04</v>
      </c>
      <c r="K7" s="3"/>
      <c r="L7" s="83" t="s">
        <v>68</v>
      </c>
      <c r="M7" s="84">
        <f>(M6+M8)/2</f>
        <v>9.4481027104388993E-2</v>
      </c>
    </row>
    <row r="8" spans="2:13">
      <c r="C8" s="44"/>
      <c r="D8" s="5"/>
      <c r="F8" s="67" t="s">
        <v>59</v>
      </c>
      <c r="G8" s="70">
        <v>112.54</v>
      </c>
      <c r="H8" s="72">
        <v>1.23E-2</v>
      </c>
      <c r="I8" s="47">
        <v>5</v>
      </c>
      <c r="J8" s="76">
        <f t="shared" si="0"/>
        <v>562.70000000000005</v>
      </c>
      <c r="K8" s="3"/>
      <c r="L8" s="83" t="s">
        <v>69</v>
      </c>
      <c r="M8" s="84">
        <v>6.8430000000000005E-2</v>
      </c>
    </row>
    <row r="9" spans="2:13">
      <c r="B9" s="18" t="s">
        <v>70</v>
      </c>
      <c r="C9" s="91">
        <v>282.98</v>
      </c>
      <c r="D9" s="5"/>
      <c r="F9" s="67" t="s">
        <v>60</v>
      </c>
      <c r="G9" s="70">
        <v>137.75</v>
      </c>
      <c r="H9" s="72">
        <v>1.2500000000000001E-2</v>
      </c>
      <c r="I9" s="47">
        <v>6</v>
      </c>
      <c r="J9" s="76">
        <f t="shared" si="0"/>
        <v>826.5</v>
      </c>
      <c r="K9" s="3"/>
      <c r="L9" s="65"/>
      <c r="M9" s="86">
        <f>AVERAGE(M4:M8)</f>
        <v>0.12053205420877799</v>
      </c>
    </row>
    <row r="10" spans="2:13">
      <c r="B10" s="18" t="s">
        <v>71</v>
      </c>
      <c r="C10" s="91">
        <v>771.5</v>
      </c>
      <c r="D10" s="5"/>
      <c r="F10" s="67" t="s">
        <v>61</v>
      </c>
      <c r="G10" s="70">
        <v>142.54</v>
      </c>
      <c r="H10" s="72">
        <v>1.1299999999999999E-2</v>
      </c>
      <c r="I10" s="47">
        <v>7</v>
      </c>
      <c r="J10" s="76">
        <f t="shared" si="0"/>
        <v>997.78</v>
      </c>
      <c r="K10" s="3"/>
      <c r="L10" s="63"/>
    </row>
    <row r="11" spans="2:13">
      <c r="B11" s="18" t="s">
        <v>72</v>
      </c>
      <c r="C11" s="92">
        <f>((C10-C9)/C9)/10</f>
        <v>0.172634108417556</v>
      </c>
      <c r="D11" s="5"/>
      <c r="F11" s="67" t="s">
        <v>62</v>
      </c>
      <c r="G11" s="70">
        <v>149.1</v>
      </c>
      <c r="H11" s="72">
        <v>1.83E-2</v>
      </c>
      <c r="I11" s="47">
        <v>8</v>
      </c>
      <c r="J11" s="76">
        <f t="shared" si="0"/>
        <v>1192.8</v>
      </c>
      <c r="K11" s="3"/>
      <c r="L11" s="78" t="s">
        <v>52</v>
      </c>
      <c r="M11" s="87" t="s">
        <v>75</v>
      </c>
    </row>
    <row r="12" spans="2:13">
      <c r="B12" s="3"/>
      <c r="C12" s="3"/>
      <c r="D12" s="5"/>
      <c r="F12" s="67" t="s">
        <v>63</v>
      </c>
      <c r="G12" s="70">
        <v>116.43</v>
      </c>
      <c r="H12" s="72">
        <v>9.9000000000000008E-3</v>
      </c>
      <c r="I12" s="47">
        <v>9</v>
      </c>
      <c r="J12" s="76">
        <f t="shared" si="0"/>
        <v>1047.8700000000001</v>
      </c>
      <c r="K12" s="3"/>
      <c r="L12" s="61"/>
      <c r="M12" s="87" t="s">
        <v>76</v>
      </c>
    </row>
    <row r="13" spans="2:13">
      <c r="B13" s="18" t="s">
        <v>74</v>
      </c>
      <c r="C13" s="52">
        <f>M9</f>
        <v>0.12053205420877799</v>
      </c>
      <c r="D13" s="5"/>
      <c r="F13" s="67" t="s">
        <v>64</v>
      </c>
      <c r="G13" s="70">
        <v>189.17</v>
      </c>
      <c r="H13" s="72">
        <v>1.11E-2</v>
      </c>
      <c r="I13" s="47">
        <v>10</v>
      </c>
      <c r="J13" s="76">
        <f t="shared" si="0"/>
        <v>1891.6999999999998</v>
      </c>
    </row>
    <row r="14" spans="2:13">
      <c r="B14" s="22"/>
      <c r="C14" s="22"/>
      <c r="D14" s="23"/>
      <c r="F14" s="65"/>
      <c r="G14" s="7"/>
      <c r="I14" s="75">
        <f>SUM(I4:I13)</f>
        <v>55</v>
      </c>
      <c r="J14" s="77">
        <f>SUM(J4:J13)</f>
        <v>7642.37</v>
      </c>
    </row>
    <row r="15" spans="2:13">
      <c r="B15" s="18" t="s">
        <v>167</v>
      </c>
      <c r="C15" s="96">
        <v>17158.25</v>
      </c>
      <c r="D15" s="5"/>
      <c r="E15" s="45"/>
      <c r="F15" s="61"/>
      <c r="G15" s="3"/>
      <c r="H15" s="3"/>
    </row>
    <row r="16" spans="2:13">
      <c r="B16" s="3"/>
      <c r="C16" s="3"/>
      <c r="D16" s="5"/>
      <c r="E16" s="45"/>
      <c r="F16" s="78" t="s">
        <v>52</v>
      </c>
      <c r="G16" s="79" t="s">
        <v>54</v>
      </c>
      <c r="H16" s="43"/>
    </row>
    <row r="17" spans="2:12">
      <c r="B17" s="3"/>
      <c r="C17" s="74"/>
      <c r="D17" s="5"/>
      <c r="E17" s="45"/>
      <c r="F17" s="61"/>
      <c r="G17" s="79" t="s">
        <v>53</v>
      </c>
    </row>
    <row r="18" spans="2:12">
      <c r="B18" s="3"/>
      <c r="C18" s="3"/>
      <c r="D18" s="23"/>
      <c r="E18" s="45"/>
      <c r="F18" s="61"/>
      <c r="G18" s="3"/>
      <c r="H18" s="3"/>
    </row>
    <row r="19" spans="2:12">
      <c r="B19" s="22"/>
      <c r="C19" s="22"/>
      <c r="D19" s="5"/>
      <c r="E19" s="45"/>
      <c r="F19" s="61"/>
      <c r="G19" s="3"/>
      <c r="H19" s="3"/>
    </row>
    <row r="20" spans="2:12">
      <c r="B20" s="3"/>
      <c r="C20" s="3"/>
      <c r="D20" s="5"/>
      <c r="E20" s="97" t="s">
        <v>78</v>
      </c>
      <c r="F20" s="85" t="s">
        <v>64</v>
      </c>
      <c r="G20" s="85" t="s">
        <v>65</v>
      </c>
      <c r="H20" s="85" t="s">
        <v>66</v>
      </c>
      <c r="I20" s="85" t="s">
        <v>67</v>
      </c>
      <c r="J20" s="85" t="s">
        <v>68</v>
      </c>
      <c r="K20" s="85" t="s">
        <v>69</v>
      </c>
    </row>
    <row r="21" spans="2:12">
      <c r="B21" s="3"/>
      <c r="C21" s="3"/>
      <c r="D21" s="5"/>
      <c r="E21" s="103">
        <f>-C15</f>
        <v>-17158.25</v>
      </c>
      <c r="F21" s="94">
        <f>$C$4</f>
        <v>138.95218181818183</v>
      </c>
      <c r="G21" s="95">
        <f>F21*(1+$C$13)</f>
        <v>155.7003737295189</v>
      </c>
      <c r="H21" s="95">
        <f>G21*(1+$C$13)</f>
        <v>174.46725961621226</v>
      </c>
      <c r="I21" s="95">
        <f>H21*(1+$C$13)</f>
        <v>195.49615680993051</v>
      </c>
      <c r="J21" s="95">
        <f>I21*(1+$C$13)</f>
        <v>219.05971018015282</v>
      </c>
      <c r="K21" s="95">
        <f>J21*(1+$C$13)</f>
        <v>245.46342704254619</v>
      </c>
    </row>
    <row r="22" spans="2:12">
      <c r="B22" s="3"/>
      <c r="C22" s="3"/>
      <c r="D22" s="5"/>
      <c r="E22" s="47"/>
      <c r="F22" s="104"/>
      <c r="G22" s="104"/>
      <c r="H22" s="104"/>
      <c r="I22" s="105"/>
      <c r="J22" s="106"/>
      <c r="K22" s="104"/>
    </row>
    <row r="23" spans="2:12">
      <c r="B23" s="22"/>
      <c r="C23" s="22"/>
      <c r="D23" s="23"/>
      <c r="E23" s="47" t="s">
        <v>79</v>
      </c>
      <c r="F23" s="28">
        <f>NPV(10%,$G$21:$K$21)+($K$21*(1+$M$8))/(10%-$M$8)*((1+10%)^5)+$E$21</f>
        <v>-3044.6628706754473</v>
      </c>
      <c r="G23" s="28"/>
      <c r="H23" s="28"/>
      <c r="I23" s="28"/>
      <c r="J23" s="28"/>
      <c r="K23" s="28"/>
      <c r="L23" s="100"/>
    </row>
    <row r="24" spans="2:12">
      <c r="B24" s="3"/>
      <c r="C24" s="3"/>
      <c r="D24" s="5"/>
      <c r="E24" s="47" t="s">
        <v>80</v>
      </c>
      <c r="F24" s="28">
        <f>NPV(9%,$G$21:$K$21)+($K$21*(1+$M$8))/(9%-$M$8)*((1+9%)^5)+$E$21</f>
        <v>2304.5973412469721</v>
      </c>
      <c r="G24" s="28"/>
      <c r="H24" s="28"/>
      <c r="I24" s="28"/>
      <c r="J24" s="28"/>
      <c r="K24" s="28"/>
    </row>
    <row r="25" spans="2:12">
      <c r="B25" s="3"/>
      <c r="C25" s="3"/>
      <c r="D25" s="5"/>
      <c r="E25" s="17"/>
      <c r="F25" s="104"/>
      <c r="G25" s="28"/>
      <c r="H25" s="112"/>
      <c r="I25" s="113"/>
      <c r="J25" s="28"/>
      <c r="K25" s="28"/>
    </row>
    <row r="26" spans="2:12">
      <c r="B26" s="3"/>
      <c r="C26" s="3"/>
      <c r="D26" s="5"/>
      <c r="E26" s="40" t="s">
        <v>81</v>
      </c>
      <c r="F26" s="107">
        <f>9%+($F$24/($F$24-$F$23)*(10%-9%))</f>
        <v>9.4308254319186963E-2</v>
      </c>
      <c r="G26" s="28"/>
      <c r="H26" s="114"/>
      <c r="I26" s="113"/>
      <c r="J26" s="28"/>
      <c r="K26" s="28"/>
      <c r="L26" s="101"/>
    </row>
    <row r="27" spans="2:12">
      <c r="B27" s="3"/>
      <c r="C27" s="3"/>
      <c r="D27" s="7" t="s">
        <v>82</v>
      </c>
      <c r="E27" s="108" t="s">
        <v>5</v>
      </c>
      <c r="F27" s="109">
        <f>'Risk Free Rate'!C3</f>
        <v>5.3600000000000002E-2</v>
      </c>
      <c r="G27" s="28"/>
      <c r="H27" s="28"/>
      <c r="I27" s="28"/>
      <c r="J27" s="28"/>
      <c r="K27" s="28"/>
    </row>
    <row r="28" spans="2:12">
      <c r="B28" s="3"/>
      <c r="C28" s="3"/>
      <c r="E28" s="110" t="s">
        <v>6</v>
      </c>
      <c r="F28" s="111">
        <f>F26-F27</f>
        <v>4.0708254319186961E-2</v>
      </c>
      <c r="G28" s="28"/>
      <c r="H28" s="28"/>
      <c r="I28" s="28"/>
      <c r="J28" s="28"/>
      <c r="K28" s="28"/>
    </row>
    <row r="29" spans="2:12">
      <c r="B29" s="3"/>
      <c r="C29" s="3"/>
      <c r="D29" s="3"/>
    </row>
    <row r="30" spans="2:12">
      <c r="B30" s="3"/>
      <c r="C30" s="3"/>
      <c r="D30" s="3"/>
      <c r="E30" s="3"/>
      <c r="F30" s="62"/>
    </row>
    <row r="31" spans="2:12">
      <c r="D31" s="3"/>
      <c r="E31" s="3"/>
      <c r="F31" s="62"/>
    </row>
    <row r="32" spans="2:12">
      <c r="D32" s="3"/>
      <c r="E32" s="3"/>
      <c r="F32" s="62"/>
    </row>
    <row r="33" spans="4:6">
      <c r="D33" s="3"/>
      <c r="E33" s="3"/>
      <c r="F33" s="62"/>
    </row>
    <row r="34" spans="4:6">
      <c r="D34" s="3"/>
      <c r="E34" s="3"/>
      <c r="F34" s="62"/>
    </row>
  </sheetData>
  <hyperlinks>
    <hyperlink ref="G16" r:id="rId1"/>
    <hyperlink ref="G17" r:id="rId2"/>
    <hyperlink ref="M11" r:id="rId3"/>
    <hyperlink ref="M12" r:id="rId4"/>
  </hyperlinks>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Q33"/>
  <sheetViews>
    <sheetView zoomScaleNormal="100" workbookViewId="0"/>
  </sheetViews>
  <sheetFormatPr defaultRowHeight="12"/>
  <cols>
    <col min="1" max="1" width="2" style="2" customWidth="1"/>
    <col min="2" max="2" width="27" style="2" customWidth="1"/>
    <col min="3" max="3" width="16.140625" style="2" customWidth="1"/>
    <col min="4" max="4" width="9.140625" style="2" customWidth="1"/>
    <col min="5" max="5" width="3.28515625" style="2" customWidth="1"/>
    <col min="6" max="6" width="3" style="13" customWidth="1"/>
    <col min="7" max="7" width="25.7109375" style="2" customWidth="1"/>
    <col min="8" max="8" width="14.42578125" style="2" customWidth="1"/>
    <col min="9" max="9" width="15.5703125" style="13" bestFit="1" customWidth="1"/>
    <col min="10" max="10" width="10.85546875" style="2" customWidth="1"/>
    <col min="11" max="14" width="9.42578125" style="2" customWidth="1"/>
    <col min="15" max="15" width="7.85546875" style="2" customWidth="1"/>
    <col min="16" max="16" width="6.28515625" style="2" customWidth="1"/>
    <col min="17" max="16384" width="9.140625" style="2"/>
  </cols>
  <sheetData>
    <row r="1" spans="2:17" ht="15.75">
      <c r="B1" s="16" t="s">
        <v>90</v>
      </c>
      <c r="E1" s="3"/>
      <c r="F1" s="62"/>
      <c r="G1" s="3"/>
      <c r="H1" s="3"/>
      <c r="I1" s="62"/>
      <c r="J1" s="3"/>
      <c r="K1" s="3"/>
      <c r="L1" s="3"/>
      <c r="M1" s="3"/>
      <c r="N1" s="3"/>
      <c r="O1" s="3"/>
      <c r="P1" s="3"/>
      <c r="Q1" s="3"/>
    </row>
    <row r="2" spans="2:17">
      <c r="E2" s="3"/>
      <c r="F2" s="62"/>
      <c r="G2" s="283" t="s">
        <v>115</v>
      </c>
      <c r="H2" s="283"/>
      <c r="I2" s="283"/>
      <c r="J2" s="283"/>
      <c r="K2" s="283" t="s">
        <v>85</v>
      </c>
      <c r="L2" s="283"/>
      <c r="M2" s="165"/>
      <c r="N2" s="165"/>
      <c r="O2" s="3"/>
      <c r="P2" s="3"/>
      <c r="Q2" s="3"/>
    </row>
    <row r="3" spans="2:17">
      <c r="B3" s="18" t="s">
        <v>165</v>
      </c>
      <c r="C3" s="91" t="str">
        <f>About!C3</f>
        <v>Financial Services</v>
      </c>
      <c r="D3" s="21"/>
      <c r="F3" s="119"/>
      <c r="G3" s="47" t="s">
        <v>116</v>
      </c>
      <c r="H3" s="47" t="s">
        <v>83</v>
      </c>
      <c r="I3" s="128" t="s">
        <v>130</v>
      </c>
      <c r="J3" s="129" t="s">
        <v>84</v>
      </c>
      <c r="K3" s="129" t="s">
        <v>86</v>
      </c>
      <c r="L3" s="76" t="s">
        <v>87</v>
      </c>
      <c r="M3" s="64"/>
      <c r="N3" s="64"/>
      <c r="O3" s="120"/>
      <c r="P3" s="102"/>
      <c r="Q3" s="3"/>
    </row>
    <row r="4" spans="2:17">
      <c r="B4" s="28" t="s">
        <v>166</v>
      </c>
      <c r="C4" s="218" t="str">
        <f>About!C4</f>
        <v>Private Banking</v>
      </c>
      <c r="D4" s="5"/>
      <c r="E4" s="3"/>
      <c r="F4" s="66"/>
      <c r="G4" s="70" t="s">
        <v>117</v>
      </c>
      <c r="H4" s="70" t="s">
        <v>131</v>
      </c>
      <c r="I4" s="219">
        <v>1.0669</v>
      </c>
      <c r="J4" s="132">
        <v>9.8000000000000004E-2</v>
      </c>
      <c r="K4" s="132">
        <f t="shared" ref="K4:K8" si="0">I4-(2*J4)</f>
        <v>0.87090000000000001</v>
      </c>
      <c r="L4" s="132">
        <f t="shared" ref="L4:L8" si="1">I4+(2*J4)</f>
        <v>1.2628999999999999</v>
      </c>
      <c r="M4" s="164"/>
      <c r="N4" s="126"/>
      <c r="P4" s="82"/>
      <c r="Q4" s="3"/>
    </row>
    <row r="5" spans="2:17">
      <c r="D5" s="5"/>
      <c r="E5" s="3"/>
      <c r="F5" s="66"/>
      <c r="G5" s="70" t="s">
        <v>118</v>
      </c>
      <c r="H5" s="220" t="s">
        <v>132</v>
      </c>
      <c r="I5" s="131">
        <v>1.3136000000000001</v>
      </c>
      <c r="J5" s="132">
        <v>0.14599999999999999</v>
      </c>
      <c r="K5" s="132">
        <f t="shared" si="0"/>
        <v>1.0216000000000001</v>
      </c>
      <c r="L5" s="132">
        <f t="shared" si="1"/>
        <v>1.6056000000000001</v>
      </c>
      <c r="M5" s="164"/>
      <c r="N5" s="164"/>
      <c r="O5" s="127"/>
      <c r="P5" s="82"/>
      <c r="Q5" s="3"/>
    </row>
    <row r="6" spans="2:17">
      <c r="B6" s="108" t="s">
        <v>144</v>
      </c>
      <c r="C6" s="135">
        <f>I17</f>
        <v>1.4331076923076924</v>
      </c>
      <c r="D6" s="221"/>
      <c r="E6" s="3"/>
      <c r="F6" s="66"/>
      <c r="G6" s="70" t="s">
        <v>119</v>
      </c>
      <c r="H6" s="220" t="s">
        <v>133</v>
      </c>
      <c r="I6" s="131">
        <v>0.93989999999999996</v>
      </c>
      <c r="J6" s="132">
        <v>0.15</v>
      </c>
      <c r="K6" s="132">
        <f t="shared" si="0"/>
        <v>0.63989999999999991</v>
      </c>
      <c r="L6" s="132">
        <f t="shared" si="1"/>
        <v>1.2399</v>
      </c>
      <c r="M6" s="164"/>
      <c r="N6" s="168"/>
      <c r="O6" s="126"/>
      <c r="P6" s="82"/>
      <c r="Q6" s="3"/>
    </row>
    <row r="7" spans="2:17">
      <c r="B7" s="3"/>
      <c r="C7" s="223"/>
      <c r="D7" s="221"/>
      <c r="E7" s="3"/>
      <c r="F7" s="66"/>
      <c r="G7" s="70" t="s">
        <v>120</v>
      </c>
      <c r="H7" s="220" t="s">
        <v>134</v>
      </c>
      <c r="I7" s="131">
        <v>2.2919999999999998</v>
      </c>
      <c r="J7" s="132">
        <v>0.214</v>
      </c>
      <c r="K7" s="132">
        <f>I7-(2*J7)</f>
        <v>1.8639999999999999</v>
      </c>
      <c r="L7" s="132">
        <f t="shared" si="1"/>
        <v>2.7199999999999998</v>
      </c>
      <c r="M7" s="164"/>
      <c r="N7" s="164"/>
      <c r="O7" s="65"/>
      <c r="P7" s="82"/>
      <c r="Q7" s="3"/>
    </row>
    <row r="8" spans="2:17">
      <c r="B8" s="130" t="s">
        <v>52</v>
      </c>
      <c r="D8" s="221"/>
      <c r="E8" s="3"/>
      <c r="F8" s="66"/>
      <c r="G8" s="70" t="s">
        <v>121</v>
      </c>
      <c r="H8" s="220" t="s">
        <v>135</v>
      </c>
      <c r="I8" s="131">
        <v>1.0359</v>
      </c>
      <c r="J8" s="132">
        <v>0.24199999999999999</v>
      </c>
      <c r="K8" s="132">
        <f t="shared" si="0"/>
        <v>0.55190000000000006</v>
      </c>
      <c r="L8" s="132">
        <f t="shared" si="1"/>
        <v>1.5199</v>
      </c>
      <c r="M8" s="164"/>
      <c r="N8" s="164"/>
      <c r="P8" s="82"/>
      <c r="Q8" s="3"/>
    </row>
    <row r="9" spans="2:17">
      <c r="B9" s="130" t="s">
        <v>88</v>
      </c>
      <c r="D9" s="5"/>
      <c r="E9" s="3"/>
      <c r="F9" s="66"/>
      <c r="G9" s="70" t="s">
        <v>122</v>
      </c>
      <c r="H9" s="220" t="s">
        <v>136</v>
      </c>
      <c r="I9" s="131">
        <v>1.5431999999999999</v>
      </c>
      <c r="J9" s="132">
        <v>0.42899999999999999</v>
      </c>
      <c r="K9" s="132">
        <f>I9-(2*J9)</f>
        <v>0.68519999999999992</v>
      </c>
      <c r="L9" s="132">
        <f>I9+(2*J9)</f>
        <v>2.4011999999999998</v>
      </c>
      <c r="M9" s="164"/>
      <c r="N9" s="164"/>
      <c r="O9" s="65"/>
      <c r="P9" s="82"/>
      <c r="Q9" s="3"/>
    </row>
    <row r="10" spans="2:17">
      <c r="B10" s="133" t="s">
        <v>89</v>
      </c>
      <c r="D10" s="5"/>
      <c r="E10" s="3"/>
      <c r="F10" s="66"/>
      <c r="G10" s="70" t="s">
        <v>123</v>
      </c>
      <c r="H10" s="70" t="s">
        <v>137</v>
      </c>
      <c r="I10" s="131">
        <v>1.4699</v>
      </c>
      <c r="J10" s="131">
        <v>0.308</v>
      </c>
      <c r="K10" s="132">
        <f t="shared" ref="K10:K16" si="2">I10-(2*J10)</f>
        <v>0.85389999999999999</v>
      </c>
      <c r="L10" s="132">
        <f t="shared" ref="L10:L16" si="3">I10+(2*J10)</f>
        <v>2.0859000000000001</v>
      </c>
      <c r="M10" s="3"/>
      <c r="N10" s="164"/>
      <c r="O10" s="126"/>
      <c r="P10" s="3"/>
      <c r="Q10" s="3"/>
    </row>
    <row r="11" spans="2:17">
      <c r="B11" s="79" t="s">
        <v>91</v>
      </c>
      <c r="D11" s="5"/>
      <c r="E11" s="3"/>
      <c r="F11" s="66"/>
      <c r="G11" s="70" t="s">
        <v>112</v>
      </c>
      <c r="H11" s="220" t="s">
        <v>168</v>
      </c>
      <c r="I11" s="131">
        <v>1.32</v>
      </c>
      <c r="J11" s="131">
        <v>0.31</v>
      </c>
      <c r="K11" s="132">
        <f t="shared" si="2"/>
        <v>0.70000000000000007</v>
      </c>
      <c r="L11" s="132">
        <f t="shared" si="3"/>
        <v>1.94</v>
      </c>
      <c r="M11" s="164"/>
      <c r="N11" s="164"/>
      <c r="O11" s="78"/>
      <c r="P11" s="87"/>
      <c r="Q11" s="3"/>
    </row>
    <row r="12" spans="2:17">
      <c r="C12" s="223"/>
      <c r="D12" s="5"/>
      <c r="E12" s="3"/>
      <c r="F12" s="66"/>
      <c r="G12" s="95" t="s">
        <v>125</v>
      </c>
      <c r="H12" s="95" t="s">
        <v>139</v>
      </c>
      <c r="I12" s="131">
        <v>1.5001</v>
      </c>
      <c r="J12" s="131">
        <v>0.20699999999999999</v>
      </c>
      <c r="K12" s="132">
        <f t="shared" si="2"/>
        <v>1.0861000000000001</v>
      </c>
      <c r="L12" s="132">
        <f t="shared" si="3"/>
        <v>1.9140999999999999</v>
      </c>
      <c r="M12" s="3"/>
      <c r="O12" s="61"/>
      <c r="P12" s="87"/>
      <c r="Q12" s="3"/>
    </row>
    <row r="13" spans="2:17">
      <c r="C13" s="3"/>
      <c r="D13" s="5"/>
      <c r="E13" s="3"/>
      <c r="F13" s="66"/>
      <c r="G13" s="70" t="s">
        <v>126</v>
      </c>
      <c r="H13" s="70" t="s">
        <v>140</v>
      </c>
      <c r="I13" s="131">
        <v>1.3968</v>
      </c>
      <c r="J13" s="131">
        <v>0.24299999999999999</v>
      </c>
      <c r="K13" s="132">
        <f t="shared" si="2"/>
        <v>0.91080000000000005</v>
      </c>
      <c r="L13" s="132">
        <f t="shared" si="3"/>
        <v>1.8828</v>
      </c>
      <c r="M13" s="3"/>
      <c r="N13" s="3"/>
      <c r="O13" s="3"/>
      <c r="P13" s="3"/>
      <c r="Q13" s="3"/>
    </row>
    <row r="14" spans="2:17">
      <c r="B14" s="43"/>
      <c r="D14" s="23"/>
      <c r="E14" s="45"/>
      <c r="F14" s="61"/>
      <c r="G14" s="95" t="s">
        <v>127</v>
      </c>
      <c r="H14" s="95" t="s">
        <v>141</v>
      </c>
      <c r="I14" s="131">
        <v>1.0834999999999999</v>
      </c>
      <c r="J14" s="131">
        <v>0.185</v>
      </c>
      <c r="K14" s="132">
        <f t="shared" si="2"/>
        <v>0.71349999999999991</v>
      </c>
      <c r="L14" s="132">
        <f t="shared" si="3"/>
        <v>1.4535</v>
      </c>
      <c r="M14" s="3"/>
      <c r="Q14" s="3"/>
    </row>
    <row r="15" spans="2:17">
      <c r="C15" s="133"/>
      <c r="D15" s="5"/>
      <c r="E15" s="45"/>
      <c r="F15" s="78"/>
      <c r="G15" s="226" t="s">
        <v>128</v>
      </c>
      <c r="H15" s="226" t="s">
        <v>142</v>
      </c>
      <c r="I15" s="131">
        <v>1.7401</v>
      </c>
      <c r="J15" s="131">
        <v>0.27300000000000002</v>
      </c>
      <c r="K15" s="132">
        <f t="shared" si="2"/>
        <v>1.1940999999999999</v>
      </c>
      <c r="L15" s="132">
        <f t="shared" si="3"/>
        <v>2.2861000000000002</v>
      </c>
      <c r="M15" s="224"/>
      <c r="N15" s="224"/>
      <c r="O15" s="3"/>
      <c r="P15" s="3"/>
      <c r="Q15" s="3"/>
    </row>
    <row r="16" spans="2:17">
      <c r="C16" s="133"/>
      <c r="D16" s="5"/>
      <c r="E16" s="45"/>
      <c r="F16" s="61"/>
      <c r="G16" s="54" t="s">
        <v>129</v>
      </c>
      <c r="H16" s="54" t="s">
        <v>143</v>
      </c>
      <c r="I16" s="131">
        <v>1.9285000000000001</v>
      </c>
      <c r="J16" s="131">
        <v>0.26200000000000001</v>
      </c>
      <c r="K16" s="132">
        <f t="shared" si="2"/>
        <v>1.4045000000000001</v>
      </c>
      <c r="L16" s="132">
        <f t="shared" si="3"/>
        <v>2.4525000000000001</v>
      </c>
      <c r="M16" s="3"/>
      <c r="N16" s="123"/>
      <c r="O16" s="120"/>
      <c r="P16" s="102"/>
      <c r="Q16" s="3"/>
    </row>
    <row r="17" spans="2:17">
      <c r="C17" s="43"/>
      <c r="D17" s="5"/>
      <c r="E17" s="45"/>
      <c r="F17" s="61"/>
      <c r="I17" s="222">
        <f>AVERAGE(I4:I16)</f>
        <v>1.4331076923076924</v>
      </c>
      <c r="M17" s="168"/>
      <c r="N17" s="3"/>
      <c r="O17" s="126"/>
      <c r="P17" s="82"/>
      <c r="Q17" s="3"/>
    </row>
    <row r="18" spans="2:17">
      <c r="C18" s="79"/>
      <c r="D18" s="5"/>
      <c r="E18" s="45"/>
      <c r="F18" s="61"/>
      <c r="N18" s="3"/>
      <c r="O18" s="126"/>
      <c r="P18" s="82"/>
      <c r="Q18" s="3"/>
    </row>
    <row r="19" spans="2:17">
      <c r="C19" s="3"/>
      <c r="D19" s="23"/>
      <c r="E19" s="118"/>
      <c r="F19" s="120"/>
      <c r="N19" s="164"/>
      <c r="O19" s="126"/>
      <c r="P19" s="82"/>
      <c r="Q19" s="3"/>
    </row>
    <row r="20" spans="2:17">
      <c r="C20" s="3"/>
      <c r="D20" s="5"/>
      <c r="E20" s="98"/>
      <c r="F20" s="121"/>
      <c r="G20" s="3"/>
      <c r="H20" s="3"/>
      <c r="I20" s="62"/>
      <c r="J20" s="3"/>
      <c r="K20" s="3"/>
      <c r="L20" s="3"/>
      <c r="M20" s="3"/>
      <c r="N20" s="167"/>
      <c r="O20" s="126"/>
      <c r="P20" s="82"/>
      <c r="Q20" s="3"/>
    </row>
    <row r="21" spans="2:17">
      <c r="C21" s="3"/>
      <c r="D21" s="5"/>
      <c r="E21" s="45"/>
      <c r="F21" s="62"/>
      <c r="N21" s="167"/>
      <c r="O21" s="65"/>
      <c r="P21" s="82"/>
      <c r="Q21" s="3"/>
    </row>
    <row r="22" spans="2:17">
      <c r="D22" s="5"/>
      <c r="E22" s="45"/>
      <c r="F22" s="3"/>
      <c r="N22" s="101"/>
      <c r="O22" s="65"/>
      <c r="P22" s="82"/>
      <c r="Q22" s="3"/>
    </row>
    <row r="23" spans="2:17">
      <c r="D23" s="23"/>
      <c r="E23" s="45"/>
      <c r="F23" s="3"/>
      <c r="O23" s="63"/>
      <c r="P23" s="3"/>
      <c r="Q23" s="3"/>
    </row>
    <row r="24" spans="2:17">
      <c r="E24" s="5"/>
      <c r="F24" s="62"/>
      <c r="O24" s="78"/>
      <c r="P24" s="87"/>
      <c r="Q24" s="3"/>
    </row>
    <row r="25" spans="2:17">
      <c r="E25" s="23"/>
      <c r="F25" s="44"/>
      <c r="O25" s="61"/>
      <c r="P25" s="87"/>
      <c r="Q25" s="3"/>
    </row>
    <row r="26" spans="2:17">
      <c r="E26" s="22"/>
      <c r="F26" s="124"/>
      <c r="O26" s="3"/>
      <c r="P26" s="3"/>
      <c r="Q26" s="3"/>
    </row>
    <row r="27" spans="2:17">
      <c r="C27" s="3"/>
      <c r="D27" s="7"/>
      <c r="E27" s="22"/>
      <c r="F27" s="124"/>
      <c r="O27" s="3"/>
      <c r="P27" s="3"/>
      <c r="Q27" s="3"/>
    </row>
    <row r="28" spans="2:17">
      <c r="C28" s="3"/>
      <c r="D28" s="3"/>
      <c r="E28" s="3"/>
      <c r="F28" s="62"/>
      <c r="N28" s="3"/>
      <c r="O28" s="3"/>
      <c r="P28" s="3"/>
      <c r="Q28" s="3"/>
    </row>
    <row r="29" spans="2:17">
      <c r="B29" s="3"/>
      <c r="C29" s="3"/>
      <c r="D29" s="3"/>
      <c r="E29" s="3"/>
      <c r="F29" s="62"/>
    </row>
    <row r="30" spans="2:17">
      <c r="D30" s="3"/>
      <c r="E30" s="3"/>
      <c r="F30" s="62"/>
    </row>
    <row r="31" spans="2:17">
      <c r="D31" s="3"/>
      <c r="E31" s="3"/>
      <c r="F31" s="62"/>
    </row>
    <row r="32" spans="2:17">
      <c r="D32" s="3"/>
      <c r="E32" s="3"/>
      <c r="F32" s="62"/>
    </row>
    <row r="33" spans="4:6">
      <c r="D33" s="3"/>
      <c r="E33" s="3"/>
      <c r="F33" s="62"/>
    </row>
  </sheetData>
  <mergeCells count="2">
    <mergeCell ref="G2:J2"/>
    <mergeCell ref="K2:L2"/>
  </mergeCells>
  <hyperlinks>
    <hyperlink ref="B11" r:id="rId1"/>
  </hyperlinks>
  <pageMargins left="0.7" right="0.7" top="0.75" bottom="0.75" header="0.3" footer="0.3"/>
  <pageSetup paperSize="9" orientation="landscape"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7.28515625" style="2" customWidth="1"/>
    <col min="3" max="3" width="9.140625" style="2"/>
    <col min="4" max="4" width="10.28515625" style="2" customWidth="1"/>
    <col min="5" max="5" width="11.5703125" style="2" customWidth="1"/>
    <col min="6" max="6" width="11.5703125" style="2" bestFit="1" customWidth="1"/>
    <col min="7" max="16384" width="9.140625" style="2"/>
  </cols>
  <sheetData>
    <row r="1" spans="2:13" ht="15.75">
      <c r="B1" s="16" t="s">
        <v>4</v>
      </c>
    </row>
    <row r="3" spans="2:13">
      <c r="B3" s="108" t="s">
        <v>92</v>
      </c>
      <c r="C3" s="90">
        <f>'Risk Free Rate'!C3</f>
        <v>5.3600000000000002E-2</v>
      </c>
      <c r="D3" s="17"/>
      <c r="E3" s="17"/>
      <c r="F3" s="5"/>
      <c r="J3" s="8"/>
      <c r="K3" s="8"/>
      <c r="L3" s="8"/>
      <c r="M3" s="8"/>
    </row>
    <row r="4" spans="2:13">
      <c r="B4" s="108" t="s">
        <v>6</v>
      </c>
      <c r="C4" s="90">
        <f>'Equity Risk Premium'!F28</f>
        <v>4.0708254319186961E-2</v>
      </c>
      <c r="D4" s="40"/>
      <c r="E4" s="17"/>
      <c r="F4" s="23"/>
      <c r="G4" s="3"/>
    </row>
    <row r="5" spans="2:13">
      <c r="B5" s="108" t="s">
        <v>145</v>
      </c>
      <c r="C5" s="136">
        <f>Beta!C6</f>
        <v>1.4331076923076924</v>
      </c>
      <c r="D5" s="17"/>
      <c r="E5" s="40"/>
      <c r="F5" s="5"/>
    </row>
    <row r="6" spans="2:13">
      <c r="B6" s="18"/>
      <c r="C6" s="18"/>
      <c r="D6" s="17"/>
      <c r="E6" s="17"/>
      <c r="F6" s="5"/>
    </row>
    <row r="7" spans="2:13">
      <c r="B7" s="108" t="s">
        <v>4</v>
      </c>
      <c r="C7" s="52">
        <f>C3+C5*C4</f>
        <v>0.11193931240524468</v>
      </c>
      <c r="D7" s="17"/>
      <c r="E7" s="17"/>
      <c r="F7" s="5"/>
    </row>
    <row r="8" spans="2:13">
      <c r="B8" s="18"/>
      <c r="C8" s="18"/>
      <c r="D8" s="17"/>
      <c r="E8" s="17"/>
      <c r="F8" s="5"/>
    </row>
    <row r="9" spans="2:13">
      <c r="B9" s="137" t="s">
        <v>93</v>
      </c>
      <c r="C9" s="18"/>
      <c r="D9" s="17"/>
      <c r="E9" s="40"/>
      <c r="F9" s="5"/>
    </row>
    <row r="10" spans="2:13">
      <c r="F10" s="5"/>
    </row>
    <row r="11" spans="2:13">
      <c r="F11" s="5"/>
    </row>
    <row r="12" spans="2:13">
      <c r="F12" s="23"/>
    </row>
    <row r="13" spans="2:13" ht="15.75">
      <c r="B13" s="16"/>
      <c r="C13" s="3"/>
      <c r="D13" s="5"/>
      <c r="E13" s="5"/>
      <c r="F13" s="5"/>
    </row>
    <row r="14" spans="2:13">
      <c r="B14" s="3"/>
      <c r="C14" s="3"/>
      <c r="D14" s="5"/>
      <c r="E14" s="5"/>
      <c r="F14" s="5"/>
    </row>
    <row r="15" spans="2:13">
      <c r="B15" s="22"/>
      <c r="C15" s="81"/>
      <c r="D15" s="5"/>
      <c r="E15" s="5"/>
      <c r="F15" s="5"/>
    </row>
    <row r="16" spans="2:13">
      <c r="B16" s="22"/>
      <c r="C16" s="175"/>
      <c r="D16" s="5"/>
      <c r="E16" s="5"/>
      <c r="F16" s="23"/>
    </row>
    <row r="17" spans="2:12">
      <c r="B17" s="22"/>
      <c r="C17" s="74"/>
      <c r="D17" s="23"/>
      <c r="E17" s="23"/>
      <c r="F17" s="5"/>
    </row>
    <row r="18" spans="2:12">
      <c r="B18" s="211"/>
      <c r="C18" s="74"/>
      <c r="D18" s="5"/>
      <c r="E18" s="5"/>
      <c r="F18" s="5"/>
    </row>
    <row r="19" spans="2:12">
      <c r="C19" s="3"/>
      <c r="D19" s="5"/>
      <c r="E19" s="5"/>
      <c r="F19" s="5"/>
    </row>
    <row r="20" spans="2:12">
      <c r="B20" s="22"/>
      <c r="C20" s="55"/>
      <c r="D20" s="5"/>
      <c r="E20" s="5"/>
      <c r="F20" s="5"/>
    </row>
    <row r="21" spans="2:12">
      <c r="B21" s="22"/>
      <c r="C21" s="22"/>
      <c r="D21" s="23"/>
      <c r="E21" s="23"/>
      <c r="F21" s="23"/>
    </row>
    <row r="22" spans="2:12">
      <c r="B22" s="50"/>
      <c r="C22" s="3"/>
      <c r="D22" s="3"/>
      <c r="E22" s="3"/>
      <c r="F22" s="5"/>
      <c r="G22" s="139"/>
      <c r="H22" s="139"/>
      <c r="I22" s="139"/>
      <c r="J22" s="139"/>
      <c r="K22" s="139"/>
      <c r="L22" s="139"/>
    </row>
    <row r="23" spans="2:12">
      <c r="F23" s="5"/>
      <c r="G23" s="3"/>
      <c r="H23" s="63"/>
      <c r="I23" s="63"/>
      <c r="J23" s="63"/>
      <c r="K23" s="63"/>
      <c r="L23" s="63"/>
    </row>
    <row r="24" spans="2:12">
      <c r="B24" s="130"/>
      <c r="F24" s="5"/>
      <c r="G24" s="50"/>
      <c r="H24" s="43"/>
      <c r="I24" s="43"/>
      <c r="J24" s="43"/>
      <c r="K24" s="43"/>
      <c r="L24" s="43"/>
    </row>
    <row r="25" spans="2:12">
      <c r="B25" s="130"/>
      <c r="F25" s="23"/>
      <c r="G25" s="50"/>
      <c r="H25" s="43"/>
      <c r="I25" s="43"/>
      <c r="J25" s="43"/>
      <c r="K25" s="43"/>
      <c r="L25" s="43"/>
    </row>
    <row r="26" spans="2:12">
      <c r="B26" s="138"/>
      <c r="F26" s="3"/>
      <c r="G26" s="50"/>
      <c r="H26" s="43"/>
      <c r="I26" s="43"/>
      <c r="J26" s="43"/>
      <c r="K26" s="43"/>
      <c r="L26" s="43"/>
    </row>
    <row r="27" spans="2:12">
      <c r="B27" s="133"/>
      <c r="C27" s="3"/>
      <c r="D27" s="3"/>
      <c r="E27" s="3"/>
      <c r="F27" s="3"/>
      <c r="G27" s="50"/>
      <c r="H27" s="43"/>
      <c r="I27" s="43"/>
      <c r="J27" s="43"/>
      <c r="K27" s="43"/>
      <c r="L27" s="43"/>
    </row>
    <row r="28" spans="2:12">
      <c r="B28" s="43"/>
      <c r="C28" s="3"/>
      <c r="D28" s="3"/>
      <c r="E28" s="3"/>
      <c r="F28" s="3"/>
      <c r="G28" s="140"/>
      <c r="H28" s="140"/>
      <c r="I28" s="140"/>
      <c r="J28" s="140"/>
      <c r="K28" s="140"/>
      <c r="L28" s="22"/>
    </row>
    <row r="29" spans="2:12">
      <c r="B29" s="79"/>
      <c r="C29" s="3"/>
      <c r="D29" s="3"/>
      <c r="E29" s="3"/>
      <c r="F29" s="3"/>
    </row>
    <row r="30" spans="2:12">
      <c r="B30" s="3"/>
      <c r="C30" s="3"/>
      <c r="D30" s="3"/>
      <c r="E30" s="3"/>
      <c r="F30" s="3"/>
    </row>
    <row r="31" spans="2:12">
      <c r="B31" s="3"/>
      <c r="C31" s="3"/>
      <c r="D31" s="3"/>
      <c r="E31" s="3"/>
      <c r="F31" s="3"/>
    </row>
    <row r="32" spans="2:12">
      <c r="B32" s="3"/>
      <c r="C32" s="3"/>
      <c r="D32" s="3"/>
      <c r="E32" s="3"/>
      <c r="F32" s="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3" t="s">
        <v>161</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38"/>
  <sheetViews>
    <sheetView workbookViewId="0"/>
  </sheetViews>
  <sheetFormatPr defaultRowHeight="12"/>
  <cols>
    <col min="1" max="1" width="2" style="143" customWidth="1"/>
    <col min="2" max="2" width="27.28515625" style="143" customWidth="1"/>
    <col min="3" max="3" width="14.140625" style="143" customWidth="1"/>
    <col min="4" max="5" width="12.7109375" style="143" bestFit="1" customWidth="1"/>
    <col min="6" max="6" width="6.42578125" style="143" customWidth="1"/>
    <col min="7" max="7" width="26.140625" style="143" customWidth="1"/>
    <col min="8" max="8" width="14.85546875" style="143" customWidth="1" collapsed="1"/>
    <col min="9" max="9" width="14.85546875" style="143" customWidth="1"/>
    <col min="10" max="14" width="13.7109375" style="143" bestFit="1" customWidth="1"/>
    <col min="15" max="15" width="8.7109375" style="143" customWidth="1"/>
    <col min="16" max="16" width="6.7109375" style="143" customWidth="1"/>
    <col min="17" max="17" width="8.28515625" style="143" customWidth="1"/>
    <col min="18" max="29" width="9.140625" style="143" customWidth="1"/>
    <col min="30" max="30" width="9.28515625" style="143" customWidth="1"/>
    <col min="31" max="31" width="9.42578125" style="143" customWidth="1"/>
    <col min="32" max="32" width="10" style="143" customWidth="1"/>
    <col min="33" max="33" width="11.42578125" style="143" customWidth="1"/>
    <col min="34" max="34" width="9.42578125" style="143" bestFit="1" customWidth="1" collapsed="1"/>
    <col min="35" max="16384" width="9.140625" style="143"/>
  </cols>
  <sheetData>
    <row r="1" spans="1:33" s="142" customFormat="1" ht="15" customHeight="1">
      <c r="B1" s="16" t="s">
        <v>152</v>
      </c>
      <c r="C1" s="16"/>
      <c r="D1" s="141"/>
      <c r="E1" s="141"/>
      <c r="F1" s="141"/>
      <c r="G1" s="141"/>
      <c r="H1" s="141"/>
      <c r="I1" s="141"/>
      <c r="J1" s="141"/>
      <c r="K1" s="141"/>
      <c r="L1" s="141"/>
      <c r="M1" s="141"/>
      <c r="N1" s="141"/>
      <c r="O1" s="141"/>
    </row>
    <row r="2" spans="1:33" ht="12" customHeight="1">
      <c r="D2" s="155"/>
    </row>
    <row r="3" spans="1:33" ht="12" customHeight="1">
      <c r="A3" s="144"/>
      <c r="B3" s="139"/>
      <c r="C3" s="139"/>
      <c r="D3" s="139"/>
      <c r="E3" s="139"/>
      <c r="F3" s="139"/>
      <c r="G3" s="139"/>
      <c r="H3" s="139"/>
      <c r="I3" s="139"/>
      <c r="J3" s="139"/>
      <c r="K3" s="139"/>
      <c r="L3" s="139"/>
      <c r="M3" s="139"/>
      <c r="N3" s="139"/>
      <c r="O3" s="165"/>
    </row>
    <row r="4" spans="1:33" ht="12" customHeight="1">
      <c r="A4" s="148"/>
      <c r="B4" s="283" t="s">
        <v>115</v>
      </c>
      <c r="C4" s="283"/>
      <c r="D4" s="283"/>
      <c r="E4" s="283"/>
      <c r="F4" s="139"/>
      <c r="G4" s="284" t="s">
        <v>154</v>
      </c>
      <c r="H4" s="284"/>
      <c r="I4" s="161"/>
      <c r="J4" s="161"/>
      <c r="K4" s="161"/>
      <c r="L4" s="161"/>
      <c r="O4" s="64"/>
      <c r="P4" s="146"/>
      <c r="R4" s="146"/>
      <c r="S4" s="146"/>
      <c r="T4" s="146"/>
      <c r="U4" s="146"/>
      <c r="V4" s="146"/>
      <c r="W4" s="146"/>
      <c r="AB4" s="146"/>
    </row>
    <row r="5" spans="1:33" ht="12" customHeight="1">
      <c r="A5" s="148"/>
      <c r="B5" s="47" t="s">
        <v>116</v>
      </c>
      <c r="C5" s="47" t="s">
        <v>83</v>
      </c>
      <c r="D5" s="128" t="s">
        <v>146</v>
      </c>
      <c r="E5" s="129" t="s">
        <v>153</v>
      </c>
      <c r="F5" s="225"/>
      <c r="G5" s="108" t="s">
        <v>92</v>
      </c>
      <c r="H5" s="90">
        <f>'Risk Free Rate'!C3</f>
        <v>5.3600000000000002E-2</v>
      </c>
      <c r="L5" s="156"/>
      <c r="O5" s="169"/>
      <c r="P5" s="147"/>
      <c r="Q5" s="147"/>
      <c r="R5" s="147"/>
      <c r="S5" s="147"/>
      <c r="T5" s="147"/>
      <c r="U5" s="147"/>
      <c r="V5" s="147"/>
      <c r="W5" s="147"/>
      <c r="X5" s="147"/>
      <c r="Y5" s="147"/>
      <c r="Z5" s="147"/>
      <c r="AA5" s="147"/>
      <c r="AB5" s="147"/>
      <c r="AC5" s="147"/>
      <c r="AD5" s="147"/>
      <c r="AE5" s="147"/>
      <c r="AF5" s="147"/>
      <c r="AG5" s="147"/>
    </row>
    <row r="6" spans="1:33" ht="12" customHeight="1">
      <c r="A6" s="148"/>
      <c r="B6" s="70" t="s">
        <v>117</v>
      </c>
      <c r="C6" s="70" t="s">
        <v>131</v>
      </c>
      <c r="D6" s="231">
        <v>0.1787</v>
      </c>
      <c r="E6" s="233">
        <v>0.16600000000000001</v>
      </c>
      <c r="F6" s="170"/>
      <c r="G6" s="108" t="s">
        <v>6</v>
      </c>
      <c r="H6" s="90">
        <f>'Equity Risk Premium'!F28</f>
        <v>4.0708254319186961E-2</v>
      </c>
      <c r="L6" s="156"/>
      <c r="O6" s="169"/>
      <c r="P6" s="147"/>
      <c r="Q6" s="147"/>
      <c r="R6" s="147"/>
      <c r="S6" s="147"/>
      <c r="T6" s="147"/>
      <c r="U6" s="147"/>
      <c r="V6" s="147"/>
      <c r="W6" s="147"/>
      <c r="X6" s="147"/>
      <c r="Y6" s="147"/>
      <c r="Z6" s="147"/>
      <c r="AA6" s="147"/>
      <c r="AB6" s="147"/>
      <c r="AC6" s="147"/>
      <c r="AD6" s="147"/>
      <c r="AE6" s="147"/>
      <c r="AF6" s="147"/>
      <c r="AG6" s="147"/>
    </row>
    <row r="7" spans="1:33" ht="12" customHeight="1">
      <c r="B7" s="70" t="s">
        <v>118</v>
      </c>
      <c r="C7" s="220" t="s">
        <v>132</v>
      </c>
      <c r="D7" s="72">
        <v>0.1472</v>
      </c>
      <c r="E7" s="207">
        <v>0.159</v>
      </c>
      <c r="F7" s="170"/>
      <c r="G7" s="108" t="s">
        <v>155</v>
      </c>
      <c r="H7" s="136">
        <f>Beta!I4</f>
        <v>1.0669</v>
      </c>
      <c r="I7" s="149" t="s">
        <v>100</v>
      </c>
      <c r="L7" s="156"/>
      <c r="O7" s="169"/>
      <c r="P7" s="147"/>
      <c r="Q7" s="147"/>
      <c r="R7" s="147"/>
      <c r="S7" s="147"/>
      <c r="T7" s="147"/>
      <c r="U7" s="147"/>
      <c r="V7" s="147"/>
      <c r="W7" s="147"/>
      <c r="X7" s="147"/>
      <c r="Y7" s="147"/>
      <c r="Z7" s="147"/>
      <c r="AA7" s="147"/>
      <c r="AB7" s="147"/>
      <c r="AC7" s="147"/>
      <c r="AD7" s="147"/>
      <c r="AE7" s="147"/>
      <c r="AF7" s="147"/>
      <c r="AG7" s="147"/>
    </row>
    <row r="8" spans="1:33" ht="12" customHeight="1">
      <c r="A8" s="148"/>
      <c r="B8" s="70" t="s">
        <v>112</v>
      </c>
      <c r="C8" s="220" t="s">
        <v>168</v>
      </c>
      <c r="D8" s="72">
        <v>0.16339999999999999</v>
      </c>
      <c r="E8" s="207">
        <v>0.127</v>
      </c>
      <c r="F8" s="170"/>
      <c r="G8" s="18"/>
      <c r="H8" s="18"/>
      <c r="O8" s="169"/>
      <c r="P8" s="147"/>
      <c r="Q8" s="147"/>
      <c r="R8" s="147"/>
      <c r="S8" s="147"/>
      <c r="T8" s="147"/>
      <c r="U8" s="147"/>
      <c r="V8" s="147"/>
      <c r="W8" s="147"/>
      <c r="X8" s="147"/>
      <c r="Y8" s="147"/>
      <c r="Z8" s="147"/>
      <c r="AA8" s="147"/>
      <c r="AB8" s="147"/>
      <c r="AC8" s="147"/>
      <c r="AD8" s="147"/>
      <c r="AE8" s="147"/>
      <c r="AF8" s="147"/>
      <c r="AG8" s="147"/>
    </row>
    <row r="9" spans="1:33" ht="12" customHeight="1">
      <c r="A9" s="148"/>
      <c r="B9" s="70" t="s">
        <v>119</v>
      </c>
      <c r="C9" s="220" t="s">
        <v>133</v>
      </c>
      <c r="D9" s="72">
        <v>0.223</v>
      </c>
      <c r="E9" s="207">
        <v>0.14199999999999999</v>
      </c>
      <c r="F9" s="170"/>
      <c r="G9" s="108" t="s">
        <v>4</v>
      </c>
      <c r="H9" s="52">
        <f>H5+H7*H6</f>
        <v>9.7031636533140564E-2</v>
      </c>
      <c r="L9" s="174"/>
      <c r="O9" s="169"/>
      <c r="P9" s="147"/>
      <c r="Q9" s="147"/>
      <c r="R9" s="147"/>
      <c r="S9" s="147"/>
      <c r="T9" s="147"/>
      <c r="U9" s="147"/>
      <c r="V9" s="147"/>
      <c r="W9" s="147"/>
      <c r="X9" s="147"/>
      <c r="Y9" s="147"/>
      <c r="Z9" s="147"/>
      <c r="AA9" s="147"/>
      <c r="AB9" s="147"/>
      <c r="AC9" s="147"/>
      <c r="AD9" s="147"/>
      <c r="AE9" s="147"/>
      <c r="AF9" s="147"/>
      <c r="AG9" s="147"/>
    </row>
    <row r="10" spans="1:33">
      <c r="A10" s="145"/>
      <c r="B10" s="70" t="s">
        <v>120</v>
      </c>
      <c r="C10" s="220" t="s">
        <v>134</v>
      </c>
      <c r="D10" s="72">
        <v>0.16370000000000001</v>
      </c>
      <c r="E10" s="207">
        <v>0.106</v>
      </c>
      <c r="F10" s="170"/>
      <c r="L10" s="147"/>
      <c r="O10" s="169"/>
      <c r="P10" s="147"/>
      <c r="Q10" s="147"/>
      <c r="R10" s="147"/>
      <c r="S10" s="147"/>
      <c r="T10" s="147"/>
      <c r="U10" s="147"/>
      <c r="V10" s="147"/>
      <c r="W10" s="147"/>
      <c r="X10" s="147"/>
      <c r="Y10" s="147"/>
      <c r="Z10" s="147"/>
      <c r="AA10" s="147"/>
      <c r="AB10" s="147"/>
      <c r="AC10" s="147"/>
      <c r="AD10" s="147"/>
      <c r="AE10" s="147"/>
      <c r="AF10" s="147"/>
      <c r="AG10" s="147"/>
    </row>
    <row r="11" spans="1:33">
      <c r="A11" s="148"/>
      <c r="B11" s="70" t="s">
        <v>121</v>
      </c>
      <c r="C11" s="220" t="s">
        <v>135</v>
      </c>
      <c r="D11" s="72">
        <v>0.18890000000000001</v>
      </c>
      <c r="E11" s="207">
        <v>7.4000000000000003E-3</v>
      </c>
      <c r="F11" s="170"/>
      <c r="G11" s="22"/>
      <c r="H11" s="81"/>
      <c r="K11" s="150"/>
      <c r="L11" s="147"/>
      <c r="O11" s="169"/>
      <c r="P11" s="147"/>
      <c r="Q11" s="147"/>
      <c r="R11" s="147"/>
      <c r="S11" s="147"/>
      <c r="T11" s="147"/>
      <c r="U11" s="147"/>
      <c r="V11" s="147"/>
      <c r="W11" s="147"/>
      <c r="X11" s="147"/>
      <c r="Y11" s="147"/>
      <c r="Z11" s="147"/>
      <c r="AA11" s="147"/>
      <c r="AB11" s="147"/>
      <c r="AC11" s="147"/>
      <c r="AD11" s="147"/>
      <c r="AE11" s="147"/>
      <c r="AF11" s="147"/>
      <c r="AG11" s="147"/>
    </row>
    <row r="12" spans="1:33">
      <c r="B12" s="70" t="s">
        <v>122</v>
      </c>
      <c r="C12" s="220" t="s">
        <v>136</v>
      </c>
      <c r="D12" s="72">
        <v>0.13059999999999999</v>
      </c>
      <c r="E12" s="207">
        <v>6.3200000000000006E-2</v>
      </c>
      <c r="F12" s="170"/>
      <c r="G12" s="22"/>
      <c r="H12" s="175"/>
      <c r="K12" s="157"/>
      <c r="L12" s="147"/>
      <c r="O12" s="169"/>
      <c r="P12" s="147"/>
      <c r="Q12" s="147"/>
      <c r="R12" s="147"/>
      <c r="S12" s="147"/>
      <c r="T12" s="147"/>
      <c r="U12" s="147"/>
      <c r="V12" s="147"/>
      <c r="W12" s="147"/>
      <c r="X12" s="147"/>
      <c r="Y12" s="147"/>
      <c r="Z12" s="147"/>
      <c r="AA12" s="147"/>
      <c r="AB12" s="147"/>
      <c r="AC12" s="147"/>
      <c r="AD12" s="147"/>
      <c r="AE12" s="147"/>
      <c r="AF12" s="147"/>
      <c r="AG12" s="147"/>
    </row>
    <row r="13" spans="1:33">
      <c r="A13" s="148"/>
      <c r="B13" s="70" t="s">
        <v>123</v>
      </c>
      <c r="C13" s="70" t="s">
        <v>137</v>
      </c>
      <c r="D13" s="72">
        <v>0.215</v>
      </c>
      <c r="E13" s="207">
        <v>0.183</v>
      </c>
      <c r="F13" s="170"/>
      <c r="G13" s="22"/>
      <c r="H13" s="74"/>
      <c r="I13" s="149"/>
      <c r="K13" s="157"/>
      <c r="L13" s="147"/>
      <c r="O13" s="168"/>
      <c r="P13" s="147"/>
      <c r="Q13" s="147"/>
      <c r="R13" s="147"/>
      <c r="S13" s="147"/>
      <c r="T13" s="147"/>
      <c r="U13" s="147"/>
      <c r="V13" s="147"/>
      <c r="W13" s="147"/>
      <c r="X13" s="147"/>
      <c r="Y13" s="147"/>
      <c r="Z13" s="147"/>
      <c r="AA13" s="147"/>
      <c r="AB13" s="147"/>
      <c r="AC13" s="147"/>
      <c r="AD13" s="147"/>
      <c r="AE13" s="147"/>
      <c r="AF13" s="147"/>
      <c r="AG13" s="147"/>
    </row>
    <row r="14" spans="1:33">
      <c r="B14" s="95" t="s">
        <v>125</v>
      </c>
      <c r="C14" s="95" t="s">
        <v>139</v>
      </c>
      <c r="D14" s="72">
        <v>0.14430000000000001</v>
      </c>
      <c r="E14" s="207">
        <v>0.11</v>
      </c>
      <c r="F14" s="170"/>
      <c r="G14" s="22"/>
      <c r="H14" s="74"/>
      <c r="I14" s="149"/>
      <c r="K14" s="157"/>
      <c r="L14" s="147"/>
      <c r="P14" s="147"/>
      <c r="Q14" s="147"/>
      <c r="R14" s="147"/>
      <c r="S14" s="147"/>
      <c r="T14" s="147"/>
      <c r="U14" s="147"/>
      <c r="V14" s="147"/>
      <c r="W14" s="147"/>
      <c r="X14" s="147"/>
      <c r="Y14" s="147"/>
      <c r="Z14" s="147"/>
      <c r="AA14" s="147"/>
      <c r="AB14" s="147"/>
      <c r="AC14" s="147"/>
      <c r="AD14" s="147"/>
      <c r="AE14" s="147"/>
      <c r="AF14" s="147"/>
      <c r="AG14" s="147"/>
    </row>
    <row r="15" spans="1:33">
      <c r="B15" s="70" t="s">
        <v>126</v>
      </c>
      <c r="C15" s="70" t="s">
        <v>140</v>
      </c>
      <c r="D15" s="72">
        <v>0.14879999999999999</v>
      </c>
      <c r="E15" s="207">
        <v>7.0000000000000001E-3</v>
      </c>
      <c r="F15" s="170"/>
      <c r="G15" s="3"/>
      <c r="H15" s="3"/>
      <c r="K15" s="157"/>
      <c r="L15" s="147"/>
      <c r="P15" s="147"/>
      <c r="Q15" s="147"/>
      <c r="R15" s="147"/>
      <c r="S15" s="147"/>
      <c r="T15" s="147"/>
      <c r="U15" s="147"/>
      <c r="V15" s="147"/>
      <c r="W15" s="147"/>
      <c r="X15" s="147"/>
      <c r="Y15" s="147"/>
      <c r="Z15" s="147"/>
      <c r="AA15" s="147"/>
      <c r="AB15" s="147"/>
      <c r="AC15" s="147"/>
      <c r="AD15" s="147"/>
      <c r="AE15" s="147"/>
      <c r="AF15" s="147"/>
      <c r="AG15" s="147"/>
    </row>
    <row r="16" spans="1:33">
      <c r="B16" s="95" t="s">
        <v>127</v>
      </c>
      <c r="C16" s="95" t="s">
        <v>141</v>
      </c>
      <c r="D16" s="72">
        <v>0.1845</v>
      </c>
      <c r="E16" s="207">
        <v>0.13</v>
      </c>
      <c r="F16" s="170"/>
      <c r="G16" s="22"/>
      <c r="H16" s="55"/>
      <c r="K16" s="157"/>
      <c r="L16" s="147"/>
      <c r="P16" s="147"/>
      <c r="Q16" s="147"/>
      <c r="R16" s="147"/>
      <c r="S16" s="147"/>
      <c r="T16" s="147"/>
      <c r="U16" s="147"/>
      <c r="V16" s="147"/>
      <c r="W16" s="147"/>
      <c r="X16" s="147"/>
      <c r="Y16" s="147"/>
      <c r="Z16" s="147"/>
      <c r="AA16" s="147"/>
      <c r="AB16" s="147"/>
      <c r="AC16" s="147"/>
      <c r="AD16" s="147"/>
      <c r="AE16" s="147"/>
      <c r="AF16" s="147"/>
      <c r="AG16" s="147"/>
    </row>
    <row r="17" spans="1:35">
      <c r="B17" s="226" t="s">
        <v>128</v>
      </c>
      <c r="C17" s="226" t="s">
        <v>142</v>
      </c>
      <c r="D17" s="72">
        <v>0.16639999999999999</v>
      </c>
      <c r="E17" s="207">
        <v>-1.3100000000000001E-2</v>
      </c>
      <c r="F17" s="170"/>
      <c r="K17" s="157"/>
      <c r="L17" s="147"/>
      <c r="O17" s="64"/>
      <c r="P17" s="147"/>
      <c r="Q17" s="147"/>
      <c r="R17" s="147"/>
      <c r="S17" s="147"/>
      <c r="T17" s="147"/>
      <c r="U17" s="147"/>
      <c r="V17" s="147"/>
      <c r="W17" s="147"/>
      <c r="X17" s="147"/>
      <c r="Y17" s="147"/>
      <c r="Z17" s="147"/>
      <c r="AA17" s="147"/>
      <c r="AB17" s="147"/>
      <c r="AC17" s="147"/>
      <c r="AD17" s="147"/>
      <c r="AE17" s="147"/>
      <c r="AF17" s="147"/>
      <c r="AG17" s="147"/>
    </row>
    <row r="18" spans="1:35">
      <c r="A18" s="148"/>
      <c r="B18" s="54" t="s">
        <v>129</v>
      </c>
      <c r="C18" s="54" t="s">
        <v>143</v>
      </c>
      <c r="D18" s="72">
        <v>0.1676</v>
      </c>
      <c r="E18" s="207">
        <v>9.2399999999999996E-2</v>
      </c>
      <c r="F18" s="170"/>
      <c r="G18" s="145"/>
      <c r="H18" s="19"/>
      <c r="K18" s="157"/>
      <c r="L18" s="147"/>
      <c r="O18" s="170"/>
      <c r="P18" s="147"/>
      <c r="Q18" s="147"/>
      <c r="R18" s="147"/>
      <c r="S18" s="147"/>
      <c r="T18" s="147"/>
      <c r="U18" s="147"/>
      <c r="V18" s="147"/>
      <c r="W18" s="147"/>
      <c r="X18" s="147"/>
      <c r="Y18" s="147"/>
      <c r="Z18" s="147"/>
      <c r="AA18" s="147"/>
      <c r="AB18" s="147"/>
      <c r="AC18" s="147"/>
      <c r="AD18" s="147"/>
      <c r="AE18" s="147"/>
      <c r="AF18" s="147"/>
      <c r="AG18" s="147"/>
    </row>
    <row r="19" spans="1:35">
      <c r="B19" s="2"/>
      <c r="C19" s="2"/>
      <c r="D19" s="232">
        <f>MEDIAN(D6:D18)</f>
        <v>0.16639999999999999</v>
      </c>
      <c r="E19" s="232">
        <f>AVERAGE(E6:E18)</f>
        <v>9.8453846153846156E-2</v>
      </c>
      <c r="F19" s="2"/>
      <c r="G19" s="145"/>
      <c r="H19" s="177"/>
      <c r="K19" s="157"/>
      <c r="L19" s="147"/>
      <c r="O19" s="170"/>
      <c r="P19" s="147"/>
      <c r="Q19" s="147"/>
      <c r="R19" s="147"/>
      <c r="S19" s="147"/>
      <c r="T19" s="147"/>
      <c r="U19" s="147"/>
      <c r="V19" s="147"/>
      <c r="W19" s="147"/>
      <c r="X19" s="147"/>
      <c r="Y19" s="147"/>
      <c r="Z19" s="147"/>
      <c r="AA19" s="147"/>
      <c r="AB19" s="147"/>
      <c r="AC19" s="147"/>
      <c r="AD19" s="147"/>
      <c r="AE19" s="147"/>
      <c r="AF19" s="147"/>
      <c r="AG19" s="147"/>
    </row>
    <row r="20" spans="1:35">
      <c r="A20" s="148"/>
      <c r="B20" s="180"/>
      <c r="C20" s="180"/>
      <c r="D20" s="44"/>
      <c r="E20" s="234">
        <f>AVERAGE(E6:E10)</f>
        <v>0.13999999999999999</v>
      </c>
      <c r="F20" s="173"/>
      <c r="G20" s="145"/>
      <c r="H20" s="74"/>
      <c r="K20" s="159"/>
      <c r="L20" s="147"/>
      <c r="O20" s="170"/>
      <c r="P20" s="147"/>
      <c r="Q20" s="147"/>
      <c r="R20" s="147"/>
      <c r="S20" s="147"/>
      <c r="T20" s="147"/>
      <c r="U20" s="147"/>
      <c r="V20" s="147"/>
      <c r="W20" s="147"/>
      <c r="X20" s="147"/>
      <c r="Y20" s="147"/>
      <c r="Z20" s="147"/>
      <c r="AA20" s="147"/>
      <c r="AB20" s="147"/>
      <c r="AC20" s="147"/>
      <c r="AD20" s="147"/>
      <c r="AE20" s="147"/>
      <c r="AF20" s="147"/>
      <c r="AG20" s="147"/>
    </row>
    <row r="21" spans="1:35">
      <c r="B21" s="180"/>
      <c r="C21" s="180"/>
      <c r="D21" s="173"/>
      <c r="E21" s="179"/>
      <c r="F21" s="173"/>
      <c r="G21" s="173"/>
      <c r="H21" s="116"/>
      <c r="I21" s="117"/>
      <c r="J21" s="117"/>
      <c r="K21" s="171"/>
      <c r="L21" s="172"/>
      <c r="M21" s="172"/>
      <c r="N21" s="172"/>
      <c r="O21" s="172"/>
      <c r="P21" s="147"/>
      <c r="Q21" s="147"/>
      <c r="R21" s="147"/>
      <c r="S21" s="147"/>
      <c r="T21" s="147"/>
      <c r="U21" s="147"/>
      <c r="V21" s="147"/>
      <c r="W21" s="147"/>
      <c r="X21" s="147"/>
      <c r="Y21" s="147"/>
      <c r="Z21" s="147"/>
      <c r="AA21" s="147"/>
      <c r="AB21" s="147"/>
      <c r="AC21" s="147"/>
      <c r="AD21" s="147"/>
      <c r="AE21" s="147"/>
      <c r="AF21" s="147"/>
      <c r="AG21" s="147"/>
    </row>
    <row r="22" spans="1:35">
      <c r="F22" s="173"/>
      <c r="G22" s="173"/>
      <c r="H22" s="116"/>
      <c r="I22" s="117"/>
      <c r="J22" s="117"/>
      <c r="K22" s="166"/>
      <c r="L22" s="167"/>
      <c r="M22" s="167"/>
      <c r="N22" s="167"/>
      <c r="O22" s="167"/>
      <c r="P22" s="147"/>
      <c r="Q22" s="147"/>
      <c r="R22" s="147"/>
      <c r="S22" s="147"/>
      <c r="T22" s="147"/>
      <c r="U22" s="147"/>
      <c r="V22" s="147"/>
      <c r="W22" s="147"/>
      <c r="X22" s="147"/>
      <c r="Y22" s="147"/>
      <c r="Z22" s="147"/>
      <c r="AA22" s="147"/>
      <c r="AB22" s="147"/>
      <c r="AC22" s="147"/>
      <c r="AD22" s="147"/>
      <c r="AE22" s="147"/>
      <c r="AF22" s="147"/>
      <c r="AG22" s="147"/>
      <c r="AH22" s="147"/>
    </row>
    <row r="23" spans="1:35">
      <c r="B23" s="180"/>
      <c r="C23" s="180"/>
      <c r="D23" s="173"/>
      <c r="E23" s="179"/>
      <c r="F23" s="173"/>
      <c r="G23" s="173"/>
      <c r="H23" s="116"/>
      <c r="I23" s="117"/>
      <c r="J23" s="117"/>
      <c r="K23" s="116"/>
      <c r="L23" s="147"/>
      <c r="M23" s="147"/>
      <c r="N23" s="147"/>
      <c r="O23" s="147"/>
      <c r="P23" s="147"/>
      <c r="Q23" s="147"/>
      <c r="R23" s="147"/>
      <c r="S23" s="147"/>
      <c r="T23" s="147"/>
      <c r="U23" s="147"/>
      <c r="V23" s="147"/>
      <c r="W23" s="147"/>
      <c r="X23" s="147"/>
      <c r="Y23" s="147"/>
      <c r="Z23" s="147"/>
      <c r="AA23" s="147"/>
      <c r="AB23" s="147"/>
      <c r="AC23" s="147"/>
      <c r="AD23" s="147"/>
      <c r="AE23" s="147"/>
      <c r="AF23" s="147"/>
      <c r="AG23" s="147"/>
      <c r="AH23" s="147"/>
      <c r="AI23" s="147"/>
    </row>
    <row r="24" spans="1:35">
      <c r="B24" s="180"/>
      <c r="C24" s="180"/>
      <c r="D24" s="173"/>
      <c r="E24" s="179"/>
      <c r="F24" s="173"/>
      <c r="G24" s="173"/>
      <c r="H24" s="116"/>
      <c r="I24" s="117"/>
      <c r="J24" s="117"/>
      <c r="K24" s="116"/>
      <c r="L24" s="147"/>
      <c r="M24" s="147"/>
      <c r="N24" s="147"/>
      <c r="O24" s="213"/>
      <c r="P24" s="78"/>
      <c r="Q24" s="147"/>
      <c r="R24" s="147"/>
      <c r="S24" s="147"/>
      <c r="T24" s="147"/>
      <c r="U24" s="147"/>
      <c r="V24" s="147"/>
      <c r="W24" s="147"/>
      <c r="X24" s="147"/>
      <c r="Y24" s="147"/>
      <c r="Z24" s="147"/>
      <c r="AA24" s="147"/>
      <c r="AB24" s="147"/>
      <c r="AC24" s="147"/>
      <c r="AD24" s="147"/>
      <c r="AE24" s="147"/>
      <c r="AF24" s="147"/>
      <c r="AG24" s="147"/>
      <c r="AH24" s="147"/>
      <c r="AI24" s="147"/>
    </row>
    <row r="25" spans="1:35">
      <c r="B25" s="180"/>
      <c r="C25" s="180"/>
      <c r="D25" s="173"/>
      <c r="E25" s="179"/>
      <c r="F25" s="173"/>
      <c r="G25" s="173"/>
      <c r="H25" s="116"/>
      <c r="I25" s="117"/>
      <c r="J25" s="117"/>
      <c r="K25" s="116"/>
      <c r="L25" s="147"/>
      <c r="M25" s="147"/>
      <c r="N25" s="147"/>
      <c r="O25" s="214"/>
      <c r="P25" s="151"/>
      <c r="Q25" s="147"/>
      <c r="R25" s="147"/>
      <c r="S25" s="147"/>
      <c r="T25" s="147"/>
      <c r="U25" s="147"/>
      <c r="V25" s="147"/>
      <c r="W25" s="147"/>
      <c r="X25" s="147"/>
      <c r="Y25" s="147"/>
      <c r="Z25" s="147"/>
      <c r="AA25" s="147"/>
      <c r="AB25" s="147"/>
      <c r="AC25" s="147"/>
      <c r="AD25" s="147"/>
      <c r="AE25" s="147"/>
      <c r="AF25" s="147"/>
      <c r="AG25" s="147"/>
      <c r="AH25" s="147"/>
      <c r="AI25" s="147"/>
    </row>
    <row r="26" spans="1:35">
      <c r="B26" s="180"/>
      <c r="C26" s="180"/>
      <c r="D26" s="173"/>
      <c r="E26" s="179"/>
      <c r="F26" s="173"/>
      <c r="G26" s="173"/>
      <c r="H26" s="116"/>
      <c r="I26" s="117"/>
      <c r="J26" s="117"/>
      <c r="K26" s="116"/>
      <c r="L26" s="147"/>
      <c r="M26" s="147"/>
      <c r="N26" s="147"/>
      <c r="O26" s="215"/>
      <c r="P26" s="151"/>
      <c r="Q26" s="147"/>
      <c r="R26" s="147"/>
      <c r="S26" s="147"/>
      <c r="T26" s="147"/>
      <c r="U26" s="147"/>
      <c r="V26" s="147"/>
      <c r="W26" s="147"/>
      <c r="X26" s="147"/>
      <c r="Y26" s="147"/>
      <c r="Z26" s="147"/>
      <c r="AA26" s="147"/>
      <c r="AB26" s="147"/>
      <c r="AC26" s="147"/>
      <c r="AD26" s="147"/>
      <c r="AE26" s="147"/>
      <c r="AF26" s="147"/>
      <c r="AG26" s="147"/>
      <c r="AH26" s="147"/>
      <c r="AI26" s="147"/>
    </row>
    <row r="27" spans="1:35">
      <c r="B27" s="180"/>
      <c r="C27" s="180"/>
      <c r="D27" s="173"/>
      <c r="E27" s="179"/>
      <c r="F27" s="173"/>
      <c r="G27" s="173"/>
      <c r="H27" s="116"/>
      <c r="I27" s="117"/>
      <c r="J27" s="117"/>
      <c r="K27" s="116"/>
      <c r="L27" s="147"/>
      <c r="M27" s="147"/>
      <c r="N27" s="147"/>
      <c r="O27" s="215"/>
      <c r="P27" s="147"/>
      <c r="Q27" s="147"/>
      <c r="R27" s="147"/>
      <c r="S27" s="147"/>
      <c r="T27" s="147"/>
      <c r="U27" s="147"/>
      <c r="V27" s="147"/>
      <c r="W27" s="147"/>
      <c r="X27" s="147"/>
      <c r="Y27" s="147"/>
      <c r="Z27" s="147"/>
      <c r="AA27" s="147"/>
      <c r="AB27" s="147"/>
      <c r="AC27" s="147"/>
      <c r="AD27" s="147"/>
      <c r="AE27" s="147"/>
      <c r="AF27" s="147"/>
      <c r="AG27" s="147"/>
      <c r="AH27" s="147"/>
      <c r="AI27" s="147"/>
    </row>
    <row r="28" spans="1:35">
      <c r="B28" s="180"/>
      <c r="C28" s="180"/>
      <c r="D28" s="173"/>
      <c r="E28" s="179"/>
      <c r="F28" s="173"/>
      <c r="G28" s="173"/>
      <c r="H28" s="116"/>
      <c r="I28" s="117"/>
      <c r="J28" s="117"/>
      <c r="K28" s="160"/>
      <c r="L28" s="147"/>
      <c r="M28" s="147"/>
      <c r="N28" s="147"/>
      <c r="O28" s="216"/>
      <c r="P28" s="147"/>
      <c r="Q28" s="147"/>
      <c r="R28" s="147"/>
      <c r="S28" s="147"/>
      <c r="T28" s="147"/>
      <c r="U28" s="147"/>
      <c r="V28" s="147"/>
      <c r="W28" s="147"/>
      <c r="X28" s="147"/>
      <c r="Y28" s="147"/>
      <c r="Z28" s="147"/>
      <c r="AA28" s="147"/>
      <c r="AB28" s="147"/>
      <c r="AC28" s="147"/>
      <c r="AD28" s="147"/>
      <c r="AE28" s="147"/>
      <c r="AF28" s="147"/>
      <c r="AG28" s="147"/>
      <c r="AH28" s="147"/>
      <c r="AI28" s="147"/>
    </row>
    <row r="29" spans="1:35">
      <c r="F29" s="173"/>
      <c r="L29" s="147"/>
      <c r="M29" s="147"/>
      <c r="N29" s="147"/>
      <c r="O29" s="216"/>
      <c r="P29" s="147"/>
      <c r="Q29" s="147"/>
      <c r="R29" s="147"/>
      <c r="S29" s="147"/>
      <c r="T29" s="147"/>
      <c r="U29" s="147"/>
      <c r="V29" s="147"/>
      <c r="W29" s="147"/>
      <c r="X29" s="147"/>
      <c r="Y29" s="147"/>
      <c r="Z29" s="147"/>
      <c r="AA29" s="147"/>
      <c r="AB29" s="147"/>
      <c r="AC29" s="147"/>
      <c r="AD29" s="147"/>
      <c r="AE29" s="147"/>
      <c r="AF29" s="147"/>
      <c r="AG29" s="147"/>
      <c r="AH29" s="147"/>
      <c r="AI29" s="147"/>
    </row>
    <row r="30" spans="1:35" ht="14.25" customHeight="1">
      <c r="K30" s="124"/>
      <c r="L30" s="147"/>
      <c r="M30" s="147"/>
      <c r="Q30" s="147"/>
      <c r="R30" s="147"/>
      <c r="S30" s="147"/>
      <c r="T30" s="147"/>
      <c r="U30" s="147"/>
      <c r="V30" s="147"/>
      <c r="W30" s="147"/>
      <c r="X30" s="147"/>
      <c r="Y30" s="147"/>
      <c r="Z30" s="147"/>
      <c r="AA30" s="147"/>
      <c r="AB30" s="147"/>
      <c r="AC30" s="147"/>
      <c r="AD30" s="147"/>
      <c r="AE30" s="147"/>
      <c r="AF30" s="147"/>
      <c r="AG30" s="147"/>
      <c r="AH30" s="147"/>
      <c r="AI30" s="147"/>
    </row>
    <row r="31" spans="1:35">
      <c r="H31" s="147"/>
      <c r="I31" s="147"/>
      <c r="J31" s="147"/>
      <c r="K31" s="147"/>
      <c r="L31" s="147"/>
      <c r="M31" s="147"/>
      <c r="Q31" s="147"/>
      <c r="R31" s="147"/>
      <c r="S31" s="147"/>
      <c r="T31" s="147"/>
      <c r="U31" s="147"/>
      <c r="V31" s="147"/>
      <c r="W31" s="147"/>
      <c r="X31" s="147"/>
      <c r="Y31" s="147"/>
      <c r="Z31" s="147"/>
      <c r="AA31" s="147"/>
      <c r="AB31" s="147"/>
      <c r="AC31" s="147"/>
      <c r="AD31" s="147"/>
      <c r="AE31" s="147"/>
      <c r="AF31" s="147"/>
      <c r="AG31" s="147"/>
      <c r="AH31" s="147"/>
      <c r="AI31" s="147"/>
    </row>
    <row r="32" spans="1:35">
      <c r="H32" s="147"/>
      <c r="I32" s="147"/>
      <c r="J32" s="147"/>
      <c r="K32" s="147"/>
      <c r="L32" s="147"/>
      <c r="M32" s="147"/>
      <c r="N32" s="147"/>
      <c r="O32" s="147"/>
      <c r="P32" s="147"/>
      <c r="Q32" s="147"/>
      <c r="R32" s="147"/>
      <c r="S32" s="147"/>
      <c r="T32" s="147"/>
      <c r="U32" s="147"/>
      <c r="V32" s="147"/>
      <c r="W32" s="147"/>
      <c r="X32" s="147"/>
      <c r="Y32" s="147"/>
      <c r="Z32" s="147"/>
      <c r="AA32" s="147"/>
      <c r="AB32" s="147"/>
      <c r="AC32" s="147"/>
      <c r="AD32" s="147"/>
      <c r="AE32" s="147"/>
      <c r="AF32" s="147"/>
      <c r="AG32" s="147"/>
      <c r="AH32" s="147"/>
      <c r="AI32" s="147"/>
    </row>
    <row r="33" spans="8:35">
      <c r="H33" s="147"/>
      <c r="I33" s="147"/>
      <c r="J33" s="147"/>
      <c r="K33" s="147"/>
      <c r="L33" s="147"/>
      <c r="M33" s="147"/>
      <c r="N33" s="147"/>
      <c r="O33" s="147"/>
      <c r="P33" s="147"/>
      <c r="Q33" s="147"/>
      <c r="R33" s="147"/>
      <c r="S33" s="147"/>
      <c r="T33" s="147"/>
      <c r="U33" s="147"/>
      <c r="V33" s="147"/>
      <c r="W33" s="147"/>
      <c r="X33" s="147"/>
      <c r="Y33" s="147"/>
      <c r="Z33" s="147"/>
      <c r="AA33" s="147"/>
      <c r="AB33" s="147"/>
      <c r="AC33" s="147"/>
      <c r="AD33" s="147"/>
      <c r="AE33" s="147"/>
      <c r="AF33" s="147"/>
      <c r="AG33" s="147"/>
      <c r="AH33" s="147"/>
      <c r="AI33" s="147"/>
    </row>
    <row r="34" spans="8:35">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row>
    <row r="35" spans="8:35">
      <c r="H35" s="147"/>
      <c r="I35" s="147"/>
      <c r="J35" s="147"/>
      <c r="K35" s="147"/>
      <c r="L35" s="147"/>
      <c r="M35" s="147"/>
      <c r="N35" s="147"/>
      <c r="O35" s="147"/>
      <c r="P35" s="147"/>
      <c r="Q35" s="147"/>
      <c r="R35" s="147"/>
      <c r="S35" s="147"/>
      <c r="T35" s="147"/>
      <c r="U35" s="147"/>
      <c r="V35" s="147"/>
      <c r="W35" s="147"/>
      <c r="X35" s="147"/>
      <c r="Y35" s="147"/>
      <c r="Z35" s="147"/>
      <c r="AA35" s="147"/>
      <c r="AB35" s="147"/>
      <c r="AC35" s="147"/>
      <c r="AD35" s="147"/>
      <c r="AE35" s="147"/>
      <c r="AF35" s="147"/>
      <c r="AG35" s="147"/>
      <c r="AH35" s="147"/>
      <c r="AI35" s="147"/>
    </row>
    <row r="36" spans="8:35">
      <c r="H36" s="147"/>
      <c r="I36" s="147"/>
      <c r="J36" s="147"/>
      <c r="K36" s="147"/>
      <c r="L36" s="147"/>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row>
    <row r="37" spans="8:35">
      <c r="H37" s="147"/>
      <c r="I37" s="147"/>
      <c r="J37" s="147"/>
      <c r="K37" s="147"/>
      <c r="L37" s="147"/>
      <c r="M37" s="147"/>
      <c r="N37" s="147"/>
      <c r="O37" s="147"/>
      <c r="P37" s="147"/>
      <c r="Q37" s="147"/>
      <c r="R37" s="147"/>
      <c r="S37" s="147"/>
      <c r="T37" s="147"/>
      <c r="U37" s="147"/>
      <c r="V37" s="147"/>
      <c r="W37" s="147"/>
      <c r="X37" s="147"/>
      <c r="Y37" s="147"/>
      <c r="Z37" s="147"/>
      <c r="AA37" s="147"/>
      <c r="AB37" s="147"/>
      <c r="AC37" s="147"/>
      <c r="AD37" s="147"/>
      <c r="AE37" s="147"/>
      <c r="AF37" s="147"/>
      <c r="AG37" s="147"/>
      <c r="AH37" s="147"/>
      <c r="AI37" s="147"/>
    </row>
    <row r="38" spans="8:35">
      <c r="H38" s="147"/>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row>
  </sheetData>
  <mergeCells count="2">
    <mergeCell ref="B4:E4"/>
    <mergeCell ref="G4:H4"/>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38"/>
  <sheetViews>
    <sheetView zoomScaleNormal="100" workbookViewId="0"/>
  </sheetViews>
  <sheetFormatPr defaultRowHeight="12"/>
  <cols>
    <col min="1" max="1" width="2" style="143" customWidth="1"/>
    <col min="2" max="2" width="7.7109375" style="143" customWidth="1"/>
    <col min="3" max="3" width="17.28515625" style="143" customWidth="1"/>
    <col min="4" max="4" width="15.85546875" style="143" customWidth="1"/>
    <col min="5" max="5" width="15.140625" style="143" customWidth="1"/>
    <col min="6" max="7" width="15.42578125" style="143" customWidth="1"/>
    <col min="8" max="8" width="12" style="143" customWidth="1" collapsed="1"/>
    <col min="9" max="9" width="13.7109375" style="143" bestFit="1" customWidth="1"/>
    <col min="10" max="10" width="15.7109375" style="143" bestFit="1" customWidth="1"/>
    <col min="11" max="11" width="13.7109375" style="143" bestFit="1" customWidth="1"/>
    <col min="12" max="12" width="10.85546875" style="143" customWidth="1"/>
    <col min="13" max="14" width="13.7109375" style="143" bestFit="1" customWidth="1"/>
    <col min="15" max="15" width="8.7109375" style="143" customWidth="1"/>
    <col min="16" max="16" width="6.7109375" style="143" customWidth="1"/>
    <col min="17" max="17" width="8.28515625" style="143" customWidth="1"/>
    <col min="18" max="29" width="9.140625" style="143" customWidth="1"/>
    <col min="30" max="30" width="9.28515625" style="143" customWidth="1"/>
    <col min="31" max="31" width="9.42578125" style="143" customWidth="1"/>
    <col min="32" max="32" width="10" style="143" customWidth="1"/>
    <col min="33" max="33" width="11.42578125" style="143" customWidth="1"/>
    <col min="34" max="34" width="9.42578125" style="143" bestFit="1" customWidth="1" collapsed="1"/>
    <col min="35" max="16384" width="9.140625" style="143"/>
  </cols>
  <sheetData>
    <row r="1" spans="1:33" s="142" customFormat="1" ht="15" customHeight="1">
      <c r="B1" s="16" t="s">
        <v>170</v>
      </c>
      <c r="C1" s="16"/>
      <c r="D1" s="141"/>
      <c r="E1" s="141"/>
      <c r="F1" s="141"/>
      <c r="G1" s="141"/>
      <c r="H1" s="141"/>
      <c r="I1" s="141"/>
      <c r="J1" s="141"/>
      <c r="K1" s="141"/>
      <c r="L1" s="141"/>
      <c r="M1" s="141"/>
      <c r="N1" s="141"/>
      <c r="O1" s="141"/>
    </row>
    <row r="2" spans="1:33" ht="12" customHeight="1">
      <c r="D2" s="155"/>
    </row>
    <row r="3" spans="1:33" ht="12" customHeight="1">
      <c r="A3" s="144"/>
      <c r="B3" s="201"/>
      <c r="C3" s="238" t="s">
        <v>160</v>
      </c>
      <c r="D3" s="163" t="s">
        <v>151</v>
      </c>
      <c r="E3" s="238" t="s">
        <v>158</v>
      </c>
      <c r="F3" s="238" t="s">
        <v>146</v>
      </c>
      <c r="G3" s="239" t="s">
        <v>159</v>
      </c>
      <c r="H3" s="139"/>
      <c r="I3" s="139"/>
      <c r="J3" s="139"/>
      <c r="K3" s="139"/>
      <c r="L3" s="139"/>
      <c r="M3" s="139"/>
      <c r="N3" s="139"/>
      <c r="O3" s="165"/>
    </row>
    <row r="4" spans="1:33" ht="12" customHeight="1">
      <c r="A4" s="148"/>
      <c r="B4" s="208" t="s">
        <v>157</v>
      </c>
      <c r="C4" s="244">
        <v>2317659.08</v>
      </c>
      <c r="D4" s="245"/>
      <c r="E4" s="246">
        <v>0.11600000000000001</v>
      </c>
      <c r="F4" s="244">
        <f>C4*E4</f>
        <v>268848.45328000002</v>
      </c>
      <c r="G4" s="247"/>
      <c r="H4" s="227"/>
      <c r="I4" s="228"/>
      <c r="J4" s="63"/>
      <c r="K4" s="63"/>
      <c r="L4" s="63"/>
      <c r="M4" s="63"/>
      <c r="N4" s="212"/>
      <c r="O4" s="64"/>
      <c r="P4" s="146"/>
      <c r="R4" s="146"/>
      <c r="S4" s="146"/>
      <c r="T4" s="146"/>
      <c r="U4" s="146"/>
      <c r="V4" s="146"/>
      <c r="W4" s="146"/>
      <c r="AB4" s="146"/>
    </row>
    <row r="5" spans="1:33" ht="12" customHeight="1">
      <c r="A5" s="148"/>
      <c r="B5" s="240">
        <v>1</v>
      </c>
      <c r="C5" s="176">
        <f t="shared" ref="C5:C15" si="0">C4*(1+D5)</f>
        <v>2441885.6066880003</v>
      </c>
      <c r="D5" s="158">
        <f>'Risk Free Rate'!$C$3</f>
        <v>5.3600000000000002E-2</v>
      </c>
      <c r="E5" s="158">
        <f>AVERAGE(E4,E6)</f>
        <v>0.1199375</v>
      </c>
      <c r="F5" s="176">
        <f>C5*E5</f>
        <v>292873.65495214204</v>
      </c>
      <c r="G5" s="206">
        <f t="shared" ref="G5:G15" si="1">F5-F4</f>
        <v>24025.201672142022</v>
      </c>
      <c r="H5" s="73"/>
      <c r="I5" s="229"/>
      <c r="J5" s="229"/>
      <c r="K5" s="229"/>
      <c r="L5" s="229"/>
      <c r="M5" s="229"/>
      <c r="N5" s="229"/>
      <c r="O5" s="169"/>
      <c r="P5" s="147"/>
      <c r="Q5" s="147"/>
      <c r="R5" s="147"/>
      <c r="S5" s="147"/>
      <c r="T5" s="147"/>
      <c r="U5" s="147"/>
      <c r="V5" s="147"/>
      <c r="W5" s="147"/>
      <c r="X5" s="147"/>
      <c r="Y5" s="147"/>
      <c r="Z5" s="147"/>
      <c r="AA5" s="147"/>
      <c r="AB5" s="147"/>
      <c r="AC5" s="147"/>
      <c r="AD5" s="147"/>
      <c r="AE5" s="147"/>
      <c r="AF5" s="147"/>
      <c r="AG5" s="147"/>
    </row>
    <row r="6" spans="1:33" ht="12" customHeight="1">
      <c r="A6" s="148"/>
      <c r="B6" s="240">
        <v>2</v>
      </c>
      <c r="C6" s="176">
        <f t="shared" si="0"/>
        <v>2572770.6752064773</v>
      </c>
      <c r="D6" s="158">
        <f>'Risk Free Rate'!$C$3</f>
        <v>5.3600000000000002E-2</v>
      </c>
      <c r="E6" s="158">
        <f>AVERAGE(E4,E8)</f>
        <v>0.12387499999999999</v>
      </c>
      <c r="F6" s="176">
        <f t="shared" ref="F6:F15" si="2">C6*E6</f>
        <v>318701.96739120234</v>
      </c>
      <c r="G6" s="206">
        <f t="shared" si="1"/>
        <v>25828.312439060304</v>
      </c>
      <c r="H6" s="73"/>
      <c r="I6" s="157"/>
      <c r="J6" s="157"/>
      <c r="K6" s="157"/>
      <c r="L6" s="157"/>
      <c r="M6" s="157"/>
      <c r="N6" s="157"/>
      <c r="O6" s="169"/>
      <c r="P6" s="147"/>
      <c r="Q6" s="147"/>
      <c r="R6" s="147"/>
      <c r="S6" s="147"/>
      <c r="T6" s="147"/>
      <c r="U6" s="147"/>
      <c r="V6" s="147"/>
      <c r="W6" s="147"/>
      <c r="X6" s="147"/>
      <c r="Y6" s="147"/>
      <c r="Z6" s="147"/>
      <c r="AA6" s="147"/>
      <c r="AB6" s="147"/>
      <c r="AC6" s="147"/>
      <c r="AD6" s="147"/>
      <c r="AE6" s="147"/>
      <c r="AF6" s="147"/>
      <c r="AG6" s="147"/>
    </row>
    <row r="7" spans="1:33" ht="12" customHeight="1">
      <c r="B7" s="178">
        <v>3</v>
      </c>
      <c r="C7" s="176">
        <f t="shared" si="0"/>
        <v>2710671.1833975445</v>
      </c>
      <c r="D7" s="158">
        <f>'Risk Free Rate'!$C$3</f>
        <v>5.3600000000000002E-2</v>
      </c>
      <c r="E7" s="158">
        <f>AVERAGE(E4,E10)</f>
        <v>0.12859999999999999</v>
      </c>
      <c r="F7" s="176">
        <f t="shared" si="2"/>
        <v>348592.31418492418</v>
      </c>
      <c r="G7" s="206">
        <f t="shared" si="1"/>
        <v>29890.346793721837</v>
      </c>
      <c r="H7" s="73"/>
      <c r="I7" s="157"/>
      <c r="J7" s="157"/>
      <c r="K7" s="157"/>
      <c r="L7" s="157"/>
      <c r="M7" s="157"/>
      <c r="N7" s="157"/>
      <c r="O7" s="169"/>
      <c r="P7" s="147"/>
      <c r="Q7" s="147"/>
      <c r="R7" s="147"/>
      <c r="S7" s="147"/>
      <c r="T7" s="147"/>
      <c r="U7" s="147"/>
      <c r="V7" s="147"/>
      <c r="W7" s="147"/>
      <c r="X7" s="147"/>
      <c r="Y7" s="147"/>
      <c r="Z7" s="147"/>
      <c r="AA7" s="147"/>
      <c r="AB7" s="147"/>
      <c r="AC7" s="147"/>
      <c r="AD7" s="147"/>
      <c r="AE7" s="147"/>
      <c r="AF7" s="147"/>
      <c r="AG7" s="147"/>
    </row>
    <row r="8" spans="1:33" ht="12" customHeight="1">
      <c r="A8" s="148"/>
      <c r="B8" s="128">
        <v>4</v>
      </c>
      <c r="C8" s="176">
        <f t="shared" si="0"/>
        <v>2855963.1588276532</v>
      </c>
      <c r="D8" s="158">
        <f>'Risk Free Rate'!$C$3</f>
        <v>5.3600000000000002E-2</v>
      </c>
      <c r="E8" s="158">
        <f>AVERAGE(E7,E9)</f>
        <v>0.13174999999999998</v>
      </c>
      <c r="F8" s="176">
        <f t="shared" si="2"/>
        <v>376273.14617554325</v>
      </c>
      <c r="G8" s="206">
        <f t="shared" si="1"/>
        <v>27680.831990619074</v>
      </c>
      <c r="H8" s="73"/>
      <c r="I8" s="229"/>
      <c r="J8" s="229"/>
      <c r="K8" s="229"/>
      <c r="L8" s="229"/>
      <c r="M8" s="229"/>
      <c r="N8" s="229"/>
      <c r="O8" s="169"/>
      <c r="P8" s="147"/>
      <c r="Q8" s="147"/>
      <c r="R8" s="147"/>
      <c r="S8" s="147"/>
      <c r="T8" s="147"/>
      <c r="U8" s="147"/>
      <c r="V8" s="147"/>
      <c r="W8" s="147"/>
      <c r="X8" s="147"/>
      <c r="Y8" s="147"/>
      <c r="Z8" s="147"/>
      <c r="AA8" s="147"/>
      <c r="AB8" s="147"/>
      <c r="AC8" s="147"/>
      <c r="AD8" s="147"/>
      <c r="AE8" s="147"/>
      <c r="AF8" s="147"/>
      <c r="AG8" s="147"/>
    </row>
    <row r="9" spans="1:33" ht="12" customHeight="1">
      <c r="A9" s="148"/>
      <c r="B9" s="241">
        <v>5</v>
      </c>
      <c r="C9" s="176">
        <f t="shared" si="0"/>
        <v>3009042.7841408155</v>
      </c>
      <c r="D9" s="158">
        <f>'Risk Free Rate'!$C$3</f>
        <v>5.3600000000000002E-2</v>
      </c>
      <c r="E9" s="158">
        <f>AVERAGE(E7,E10)</f>
        <v>0.13489999999999999</v>
      </c>
      <c r="F9" s="176">
        <f t="shared" si="2"/>
        <v>405919.87158059597</v>
      </c>
      <c r="G9" s="206">
        <f t="shared" si="1"/>
        <v>29646.725405052712</v>
      </c>
      <c r="H9" s="73"/>
      <c r="I9" s="230"/>
      <c r="J9" s="230"/>
      <c r="K9" s="230"/>
      <c r="L9" s="230"/>
      <c r="M9" s="230"/>
      <c r="N9" s="230"/>
      <c r="O9" s="169"/>
      <c r="P9" s="147"/>
      <c r="Q9" s="147"/>
      <c r="R9" s="147"/>
      <c r="S9" s="147"/>
      <c r="T9" s="147"/>
      <c r="U9" s="147"/>
      <c r="V9" s="147"/>
      <c r="W9" s="147"/>
      <c r="X9" s="147"/>
      <c r="Y9" s="147"/>
      <c r="Z9" s="147"/>
      <c r="AA9" s="147"/>
      <c r="AB9" s="147"/>
      <c r="AC9" s="147"/>
      <c r="AD9" s="147"/>
      <c r="AE9" s="147"/>
      <c r="AF9" s="147"/>
      <c r="AG9" s="147"/>
    </row>
    <row r="10" spans="1:33">
      <c r="A10" s="145"/>
      <c r="B10" s="242">
        <v>6</v>
      </c>
      <c r="C10" s="176">
        <f t="shared" si="0"/>
        <v>3170327.4773707637</v>
      </c>
      <c r="D10" s="158">
        <f>'Risk Free Rate'!$C$3</f>
        <v>5.3600000000000002E-2</v>
      </c>
      <c r="E10" s="158">
        <f>AVERAGE(E4,E14)</f>
        <v>0.14119999999999999</v>
      </c>
      <c r="F10" s="176">
        <f t="shared" si="2"/>
        <v>447650.23980475182</v>
      </c>
      <c r="G10" s="206">
        <f t="shared" si="1"/>
        <v>41730.368224155856</v>
      </c>
      <c r="H10" s="73"/>
      <c r="I10" s="229"/>
      <c r="J10" s="229"/>
      <c r="K10" s="229"/>
      <c r="L10" s="229"/>
      <c r="M10" s="229"/>
      <c r="N10" s="229"/>
      <c r="O10" s="169"/>
      <c r="P10" s="147"/>
      <c r="Q10" s="147"/>
      <c r="R10" s="147"/>
      <c r="S10" s="147"/>
      <c r="T10" s="147"/>
      <c r="U10" s="147"/>
      <c r="V10" s="147"/>
      <c r="W10" s="147"/>
      <c r="X10" s="147"/>
      <c r="Y10" s="147"/>
      <c r="Z10" s="147"/>
      <c r="AA10" s="147"/>
      <c r="AB10" s="147"/>
      <c r="AC10" s="147"/>
      <c r="AD10" s="147"/>
      <c r="AE10" s="147"/>
      <c r="AF10" s="147"/>
      <c r="AG10" s="147"/>
    </row>
    <row r="11" spans="1:33">
      <c r="A11" s="148"/>
      <c r="B11" s="240">
        <v>7</v>
      </c>
      <c r="C11" s="176">
        <f t="shared" si="0"/>
        <v>3340257.0301578371</v>
      </c>
      <c r="D11" s="158">
        <f>'Risk Free Rate'!$C$3</f>
        <v>5.3600000000000002E-2</v>
      </c>
      <c r="E11" s="158">
        <f>AVERAGE(E10,E12)</f>
        <v>0.14749999999999999</v>
      </c>
      <c r="F11" s="176">
        <f t="shared" si="2"/>
        <v>492687.91194828093</v>
      </c>
      <c r="G11" s="206">
        <f t="shared" si="1"/>
        <v>45037.672143529111</v>
      </c>
      <c r="H11" s="73"/>
      <c r="O11" s="169"/>
      <c r="P11" s="147"/>
      <c r="Q11" s="147"/>
      <c r="R11" s="147"/>
      <c r="S11" s="147"/>
      <c r="T11" s="147"/>
      <c r="U11" s="147"/>
      <c r="V11" s="147"/>
      <c r="W11" s="147"/>
      <c r="X11" s="147"/>
      <c r="Y11" s="147"/>
      <c r="Z11" s="147"/>
      <c r="AA11" s="147"/>
      <c r="AB11" s="147"/>
      <c r="AC11" s="147"/>
      <c r="AD11" s="147"/>
      <c r="AE11" s="147"/>
      <c r="AF11" s="147"/>
      <c r="AG11" s="147"/>
    </row>
    <row r="12" spans="1:33">
      <c r="B12" s="240">
        <v>8</v>
      </c>
      <c r="C12" s="176">
        <f t="shared" si="0"/>
        <v>3519294.8069742974</v>
      </c>
      <c r="D12" s="158">
        <f>'Risk Free Rate'!$C$3</f>
        <v>5.3600000000000002E-2</v>
      </c>
      <c r="E12" s="158">
        <f>AVERAGE(E10,E14)</f>
        <v>0.15379999999999999</v>
      </c>
      <c r="F12" s="176">
        <f t="shared" si="2"/>
        <v>541267.54131264694</v>
      </c>
      <c r="G12" s="206">
        <f t="shared" si="1"/>
        <v>48579.629364366003</v>
      </c>
      <c r="H12" s="73"/>
      <c r="I12" s="74"/>
      <c r="J12" s="74"/>
      <c r="K12" s="74"/>
      <c r="L12" s="74"/>
      <c r="M12" s="74"/>
      <c r="N12" s="74"/>
      <c r="O12" s="169"/>
      <c r="P12" s="147"/>
      <c r="Q12" s="147"/>
      <c r="R12" s="147"/>
      <c r="S12" s="147"/>
      <c r="T12" s="147"/>
      <c r="U12" s="147"/>
      <c r="V12" s="147"/>
      <c r="W12" s="147"/>
      <c r="X12" s="147"/>
      <c r="Y12" s="147"/>
      <c r="Z12" s="147"/>
      <c r="AA12" s="147"/>
      <c r="AB12" s="147"/>
      <c r="AC12" s="147"/>
      <c r="AD12" s="147"/>
      <c r="AE12" s="147"/>
      <c r="AF12" s="147"/>
      <c r="AG12" s="147"/>
    </row>
    <row r="13" spans="1:33">
      <c r="A13" s="148"/>
      <c r="B13" s="240">
        <v>9</v>
      </c>
      <c r="C13" s="176">
        <f t="shared" si="0"/>
        <v>3707929.0086281202</v>
      </c>
      <c r="D13" s="158">
        <f>'Risk Free Rate'!$C$3</f>
        <v>5.3600000000000002E-2</v>
      </c>
      <c r="E13" s="158">
        <f>AVERAGE(E12,E14)</f>
        <v>0.16009999999999999</v>
      </c>
      <c r="F13" s="176">
        <f t="shared" si="2"/>
        <v>593639.43428136199</v>
      </c>
      <c r="G13" s="206">
        <f t="shared" si="1"/>
        <v>52371.892968715052</v>
      </c>
      <c r="H13" s="73"/>
      <c r="I13" s="156"/>
      <c r="J13" s="156"/>
      <c r="K13" s="156"/>
      <c r="L13" s="156"/>
      <c r="M13" s="156"/>
      <c r="N13" s="156"/>
      <c r="O13" s="168"/>
      <c r="P13" s="147"/>
      <c r="Q13" s="147"/>
      <c r="R13" s="147"/>
      <c r="S13" s="147"/>
      <c r="T13" s="147"/>
      <c r="U13" s="147"/>
      <c r="V13" s="147"/>
      <c r="W13" s="147"/>
      <c r="X13" s="147"/>
      <c r="Y13" s="147"/>
      <c r="Z13" s="147"/>
      <c r="AA13" s="147"/>
      <c r="AB13" s="147"/>
      <c r="AC13" s="147"/>
      <c r="AD13" s="147"/>
      <c r="AE13" s="147"/>
      <c r="AF13" s="147"/>
      <c r="AG13" s="147"/>
    </row>
    <row r="14" spans="1:33">
      <c r="A14" s="148"/>
      <c r="B14" s="240">
        <v>10</v>
      </c>
      <c r="C14" s="176">
        <f t="shared" si="0"/>
        <v>3906674.0034905877</v>
      </c>
      <c r="D14" s="158">
        <f>'Risk Free Rate'!$C$3</f>
        <v>5.3600000000000002E-2</v>
      </c>
      <c r="E14" s="158">
        <f>'Industry Numbers'!$D$19</f>
        <v>0.16639999999999999</v>
      </c>
      <c r="F14" s="176">
        <f t="shared" si="2"/>
        <v>650070.55418083374</v>
      </c>
      <c r="G14" s="206">
        <f t="shared" si="1"/>
        <v>56431.119899471756</v>
      </c>
      <c r="H14" s="73"/>
      <c r="I14" s="237"/>
      <c r="J14" s="237"/>
      <c r="K14" s="237"/>
      <c r="L14" s="237"/>
      <c r="M14" s="237"/>
      <c r="N14" s="237"/>
      <c r="P14" s="147"/>
      <c r="Q14" s="147"/>
      <c r="R14" s="147"/>
      <c r="S14" s="147"/>
      <c r="T14" s="147"/>
      <c r="U14" s="147"/>
      <c r="V14" s="147"/>
      <c r="W14" s="147"/>
      <c r="X14" s="147"/>
      <c r="Y14" s="147"/>
      <c r="Z14" s="147"/>
      <c r="AA14" s="147"/>
      <c r="AB14" s="147"/>
      <c r="AC14" s="147"/>
      <c r="AD14" s="147"/>
      <c r="AE14" s="147"/>
      <c r="AF14" s="147"/>
      <c r="AG14" s="147"/>
    </row>
    <row r="15" spans="1:33">
      <c r="B15" s="243" t="s">
        <v>111</v>
      </c>
      <c r="C15" s="176">
        <f t="shared" si="0"/>
        <v>4116071.7300776835</v>
      </c>
      <c r="D15" s="158">
        <f>'Risk Free Rate'!$C$3</f>
        <v>5.3600000000000002E-2</v>
      </c>
      <c r="E15" s="158">
        <f>'Industry Numbers'!$D$19</f>
        <v>0.16639999999999999</v>
      </c>
      <c r="F15" s="176">
        <f t="shared" si="2"/>
        <v>684914.33588492649</v>
      </c>
      <c r="G15" s="206">
        <f t="shared" si="1"/>
        <v>34843.781704092748</v>
      </c>
      <c r="H15" s="73"/>
      <c r="I15" s="156"/>
      <c r="J15" s="156"/>
      <c r="K15" s="156"/>
      <c r="L15" s="156"/>
      <c r="M15" s="156"/>
      <c r="N15" s="156"/>
      <c r="P15" s="147"/>
      <c r="Q15" s="147"/>
      <c r="R15" s="147"/>
      <c r="S15" s="147"/>
      <c r="T15" s="147"/>
      <c r="U15" s="147"/>
      <c r="V15" s="147"/>
      <c r="W15" s="147"/>
      <c r="X15" s="147"/>
      <c r="Y15" s="147"/>
      <c r="Z15" s="147"/>
      <c r="AA15" s="147"/>
      <c r="AB15" s="147"/>
      <c r="AC15" s="147"/>
      <c r="AD15" s="147"/>
      <c r="AE15" s="147"/>
      <c r="AF15" s="147"/>
      <c r="AG15" s="147"/>
    </row>
    <row r="16" spans="1:33">
      <c r="H16" s="236"/>
      <c r="I16" s="236"/>
      <c r="J16" s="236"/>
      <c r="K16" s="236"/>
      <c r="L16" s="236"/>
      <c r="M16" s="236"/>
      <c r="N16" s="236"/>
      <c r="P16" s="147"/>
      <c r="Q16" s="147"/>
      <c r="R16" s="147"/>
      <c r="S16" s="147"/>
      <c r="T16" s="147"/>
      <c r="U16" s="147"/>
      <c r="V16" s="147"/>
      <c r="W16" s="147"/>
      <c r="X16" s="147"/>
      <c r="Y16" s="147"/>
      <c r="Z16" s="147"/>
      <c r="AA16" s="147"/>
      <c r="AB16" s="147"/>
      <c r="AC16" s="147"/>
      <c r="AD16" s="147"/>
      <c r="AE16" s="147"/>
      <c r="AF16" s="147"/>
      <c r="AG16" s="147"/>
    </row>
    <row r="17" spans="1:35">
      <c r="B17" s="201"/>
      <c r="C17" s="238" t="s">
        <v>147</v>
      </c>
      <c r="D17" s="238" t="s">
        <v>148</v>
      </c>
      <c r="E17" s="238" t="s">
        <v>149</v>
      </c>
      <c r="F17" s="238" t="s">
        <v>96</v>
      </c>
      <c r="G17" s="71" t="s">
        <v>150</v>
      </c>
      <c r="H17" s="237"/>
      <c r="I17" s="237"/>
      <c r="J17" s="237"/>
      <c r="K17" s="237"/>
      <c r="L17" s="237"/>
      <c r="M17" s="237"/>
      <c r="N17" s="142"/>
      <c r="O17" s="64"/>
      <c r="P17" s="147"/>
      <c r="Q17" s="147"/>
      <c r="R17" s="147"/>
      <c r="S17" s="147"/>
      <c r="T17" s="147"/>
      <c r="U17" s="147"/>
      <c r="V17" s="147"/>
      <c r="W17" s="147"/>
      <c r="X17" s="147"/>
      <c r="Y17" s="147"/>
      <c r="Z17" s="147"/>
      <c r="AA17" s="147"/>
      <c r="AB17" s="147"/>
      <c r="AC17" s="147"/>
      <c r="AD17" s="147"/>
      <c r="AE17" s="147"/>
      <c r="AF17" s="147"/>
      <c r="AG17" s="147"/>
    </row>
    <row r="18" spans="1:35">
      <c r="A18" s="148"/>
      <c r="B18" s="208" t="s">
        <v>157</v>
      </c>
      <c r="C18" s="244">
        <f>(286879780+50109906)/1000</f>
        <v>336989.68599999999</v>
      </c>
      <c r="D18" s="248">
        <f>E18/C18</f>
        <v>3.1575251237807911E-2</v>
      </c>
      <c r="E18" s="249">
        <f>10640534/1000</f>
        <v>10640.534</v>
      </c>
      <c r="F18" s="250"/>
      <c r="G18" s="251"/>
      <c r="O18" s="170"/>
      <c r="P18" s="147"/>
      <c r="Q18" s="147"/>
      <c r="R18" s="147"/>
      <c r="S18" s="147"/>
      <c r="T18" s="147"/>
      <c r="U18" s="147"/>
      <c r="V18" s="147"/>
      <c r="W18" s="147"/>
      <c r="X18" s="147"/>
      <c r="Y18" s="147"/>
      <c r="Z18" s="147"/>
      <c r="AA18" s="147"/>
      <c r="AB18" s="147"/>
      <c r="AC18" s="147"/>
      <c r="AD18" s="147"/>
      <c r="AE18" s="147"/>
      <c r="AF18" s="147"/>
      <c r="AG18" s="147"/>
    </row>
    <row r="19" spans="1:35">
      <c r="B19" s="240">
        <v>1</v>
      </c>
      <c r="C19" s="176">
        <f t="shared" ref="C19:C29" si="3">C18+G5</f>
        <v>361014.88767214201</v>
      </c>
      <c r="D19" s="134">
        <f>AVERAGE(D18,D21)</f>
        <v>3.9753344833081919E-2</v>
      </c>
      <c r="E19" s="183">
        <f>C19*D19</f>
        <v>14351.549319506996</v>
      </c>
      <c r="F19" s="235">
        <f t="shared" ref="F19:F29" si="4">G5</f>
        <v>24025.201672142022</v>
      </c>
      <c r="G19" s="152">
        <f>E19-F19</f>
        <v>-9673.6523526350265</v>
      </c>
      <c r="O19" s="170"/>
      <c r="P19" s="147"/>
      <c r="Q19" s="147"/>
      <c r="R19" s="147"/>
      <c r="S19" s="147"/>
      <c r="T19" s="147"/>
      <c r="U19" s="147"/>
      <c r="V19" s="147"/>
      <c r="W19" s="147"/>
      <c r="X19" s="147"/>
      <c r="Y19" s="147"/>
      <c r="Z19" s="147"/>
      <c r="AA19" s="147"/>
      <c r="AB19" s="147"/>
      <c r="AC19" s="147"/>
      <c r="AD19" s="147"/>
      <c r="AE19" s="147"/>
      <c r="AF19" s="147"/>
      <c r="AG19" s="147"/>
    </row>
    <row r="20" spans="1:35">
      <c r="A20" s="3"/>
      <c r="B20" s="240">
        <v>2</v>
      </c>
      <c r="C20" s="176">
        <f t="shared" si="3"/>
        <v>386843.20011120231</v>
      </c>
      <c r="D20" s="134">
        <f>AVERAGE(D19,D21)</f>
        <v>4.384239163071893E-2</v>
      </c>
      <c r="E20" s="183">
        <f t="shared" ref="E20:E29" si="5">C20*D20</f>
        <v>16960.131078955903</v>
      </c>
      <c r="F20" s="235">
        <f t="shared" si="4"/>
        <v>25828.312439060304</v>
      </c>
      <c r="G20" s="152">
        <f t="shared" ref="G20:G29" si="6">E20-F20</f>
        <v>-8868.1813601044014</v>
      </c>
      <c r="O20" s="170"/>
      <c r="P20" s="147"/>
      <c r="Q20" s="147"/>
      <c r="R20" s="147"/>
      <c r="S20" s="147"/>
      <c r="T20" s="147"/>
      <c r="U20" s="147"/>
      <c r="V20" s="147"/>
      <c r="W20" s="147"/>
      <c r="X20" s="147"/>
      <c r="Y20" s="147"/>
      <c r="Z20" s="147"/>
      <c r="AA20" s="147"/>
      <c r="AB20" s="147"/>
      <c r="AC20" s="147"/>
      <c r="AD20" s="147"/>
      <c r="AE20" s="147"/>
      <c r="AF20" s="147"/>
      <c r="AG20" s="147"/>
    </row>
    <row r="21" spans="1:35">
      <c r="A21" s="3"/>
      <c r="B21" s="178">
        <v>3</v>
      </c>
      <c r="C21" s="176">
        <f t="shared" si="3"/>
        <v>416733.54690492415</v>
      </c>
      <c r="D21" s="134">
        <f>AVERAGE(D18,D23)</f>
        <v>4.7931438428355934E-2</v>
      </c>
      <c r="E21" s="183">
        <f t="shared" si="5"/>
        <v>19974.63834450375</v>
      </c>
      <c r="F21" s="235">
        <f t="shared" si="4"/>
        <v>29890.346793721837</v>
      </c>
      <c r="G21" s="152">
        <f t="shared" si="6"/>
        <v>-9915.7084492180875</v>
      </c>
      <c r="O21" s="172"/>
      <c r="P21" s="147"/>
      <c r="Q21" s="147"/>
      <c r="R21" s="147"/>
      <c r="S21" s="147"/>
      <c r="T21" s="147"/>
      <c r="U21" s="147"/>
      <c r="V21" s="147"/>
      <c r="W21" s="147"/>
      <c r="X21" s="147"/>
      <c r="Y21" s="147"/>
      <c r="Z21" s="147"/>
      <c r="AA21" s="147"/>
      <c r="AB21" s="147"/>
      <c r="AC21" s="147"/>
      <c r="AD21" s="147"/>
      <c r="AE21" s="147"/>
      <c r="AF21" s="147"/>
      <c r="AG21" s="147"/>
    </row>
    <row r="22" spans="1:35">
      <c r="A22" s="24"/>
      <c r="B22" s="128">
        <v>4</v>
      </c>
      <c r="C22" s="176">
        <f t="shared" si="3"/>
        <v>444414.37889554322</v>
      </c>
      <c r="D22" s="134">
        <f>AVERAGE(D21,D23)</f>
        <v>5.6109532023629949E-2</v>
      </c>
      <c r="E22" s="183">
        <f t="shared" si="5"/>
        <v>24935.882824401095</v>
      </c>
      <c r="F22" s="235">
        <f t="shared" si="4"/>
        <v>27680.831990619074</v>
      </c>
      <c r="G22" s="152">
        <f t="shared" si="6"/>
        <v>-2744.9491662179789</v>
      </c>
      <c r="O22" s="167"/>
      <c r="P22" s="147"/>
      <c r="Q22" s="147"/>
      <c r="R22" s="147"/>
      <c r="S22" s="147"/>
      <c r="T22" s="147"/>
      <c r="U22" s="147"/>
      <c r="V22" s="147"/>
      <c r="W22" s="147"/>
      <c r="X22" s="147"/>
      <c r="Y22" s="147"/>
      <c r="Z22" s="147"/>
      <c r="AA22" s="147"/>
      <c r="AB22" s="147"/>
      <c r="AC22" s="147"/>
      <c r="AD22" s="147"/>
      <c r="AE22" s="147"/>
      <c r="AF22" s="147"/>
      <c r="AG22" s="147"/>
      <c r="AH22" s="147"/>
    </row>
    <row r="23" spans="1:35">
      <c r="A23" s="7"/>
      <c r="B23" s="241">
        <v>5</v>
      </c>
      <c r="C23" s="176">
        <f t="shared" si="3"/>
        <v>474061.10430059594</v>
      </c>
      <c r="D23" s="134">
        <f>AVERAGE(D28,D18)</f>
        <v>6.4287625618903957E-2</v>
      </c>
      <c r="E23" s="183">
        <f t="shared" si="5"/>
        <v>30476.262793760892</v>
      </c>
      <c r="F23" s="235">
        <f t="shared" si="4"/>
        <v>29646.725405052712</v>
      </c>
      <c r="G23" s="152">
        <f t="shared" si="6"/>
        <v>829.53738870818052</v>
      </c>
      <c r="O23" s="147"/>
      <c r="P23" s="147"/>
      <c r="Q23" s="147"/>
      <c r="R23" s="147"/>
      <c r="S23" s="147"/>
      <c r="T23" s="147"/>
      <c r="U23" s="147"/>
      <c r="V23" s="147"/>
      <c r="W23" s="147"/>
      <c r="X23" s="147"/>
      <c r="Y23" s="147"/>
      <c r="Z23" s="147"/>
      <c r="AA23" s="147"/>
      <c r="AB23" s="147"/>
      <c r="AC23" s="147"/>
      <c r="AD23" s="147"/>
      <c r="AE23" s="147"/>
      <c r="AF23" s="147"/>
      <c r="AG23" s="147"/>
      <c r="AH23" s="147"/>
      <c r="AI23" s="147"/>
    </row>
    <row r="24" spans="1:35">
      <c r="A24" s="189"/>
      <c r="B24" s="242">
        <v>6</v>
      </c>
      <c r="C24" s="176">
        <f t="shared" si="3"/>
        <v>515791.47252475179</v>
      </c>
      <c r="D24" s="134">
        <f>AVERAGE(D23,D25)</f>
        <v>6.8376672416540968E-2</v>
      </c>
      <c r="E24" s="183">
        <f t="shared" si="5"/>
        <v>35268.104552070246</v>
      </c>
      <c r="F24" s="235">
        <f t="shared" si="4"/>
        <v>41730.368224155856</v>
      </c>
      <c r="G24" s="152">
        <f t="shared" si="6"/>
        <v>-6462.2636720856099</v>
      </c>
      <c r="O24" s="213"/>
      <c r="P24" s="78"/>
      <c r="Q24" s="147"/>
      <c r="R24" s="147"/>
      <c r="S24" s="147"/>
      <c r="T24" s="147"/>
      <c r="U24" s="147"/>
      <c r="V24" s="147"/>
      <c r="W24" s="147"/>
      <c r="X24" s="147"/>
      <c r="Y24" s="147"/>
      <c r="Z24" s="147"/>
      <c r="AA24" s="147"/>
      <c r="AB24" s="147"/>
      <c r="AC24" s="147"/>
      <c r="AD24" s="147"/>
      <c r="AE24" s="147"/>
      <c r="AF24" s="147"/>
      <c r="AG24" s="147"/>
      <c r="AH24" s="147"/>
      <c r="AI24" s="147"/>
    </row>
    <row r="25" spans="1:35">
      <c r="A25" s="27"/>
      <c r="B25" s="240">
        <v>7</v>
      </c>
      <c r="C25" s="176">
        <f t="shared" si="3"/>
        <v>560829.14466828085</v>
      </c>
      <c r="D25" s="134">
        <f>AVERAGE(D23,D26)</f>
        <v>7.2465719214177965E-2</v>
      </c>
      <c r="E25" s="183">
        <f t="shared" si="5"/>
        <v>40640.887324659234</v>
      </c>
      <c r="F25" s="235">
        <f t="shared" si="4"/>
        <v>45037.672143529111</v>
      </c>
      <c r="G25" s="152">
        <f t="shared" si="6"/>
        <v>-4396.7848188698772</v>
      </c>
      <c r="O25" s="214"/>
      <c r="P25" s="151"/>
      <c r="Q25" s="147"/>
      <c r="R25" s="147"/>
      <c r="S25" s="147"/>
      <c r="T25" s="147"/>
      <c r="U25" s="147"/>
      <c r="V25" s="147"/>
      <c r="W25" s="147"/>
      <c r="X25" s="147"/>
      <c r="Y25" s="147"/>
      <c r="Z25" s="147"/>
      <c r="AA25" s="147"/>
      <c r="AB25" s="147"/>
      <c r="AC25" s="147"/>
      <c r="AD25" s="147"/>
      <c r="AE25" s="147"/>
      <c r="AF25" s="147"/>
      <c r="AG25" s="147"/>
      <c r="AH25" s="147"/>
      <c r="AI25" s="147"/>
    </row>
    <row r="26" spans="1:35">
      <c r="A26" s="2"/>
      <c r="B26" s="240">
        <v>8</v>
      </c>
      <c r="C26" s="176">
        <f t="shared" si="3"/>
        <v>609408.77403264679</v>
      </c>
      <c r="D26" s="134">
        <f>AVERAGE(D23,D28)</f>
        <v>8.0643812809451987E-2</v>
      </c>
      <c r="E26" s="183">
        <f t="shared" si="5"/>
        <v>49145.047097526396</v>
      </c>
      <c r="F26" s="235">
        <f t="shared" si="4"/>
        <v>48579.629364366003</v>
      </c>
      <c r="G26" s="152">
        <f t="shared" si="6"/>
        <v>565.41773316039325</v>
      </c>
      <c r="O26" s="215"/>
      <c r="P26" s="151"/>
      <c r="Q26" s="147"/>
      <c r="R26" s="147"/>
      <c r="S26" s="147"/>
      <c r="T26" s="147"/>
      <c r="U26" s="147"/>
      <c r="V26" s="147"/>
      <c r="W26" s="147"/>
      <c r="X26" s="147"/>
      <c r="Y26" s="147"/>
      <c r="Z26" s="147"/>
      <c r="AA26" s="147"/>
      <c r="AB26" s="147"/>
      <c r="AC26" s="147"/>
      <c r="AD26" s="147"/>
      <c r="AE26" s="147"/>
      <c r="AF26" s="147"/>
      <c r="AG26" s="147"/>
      <c r="AH26" s="147"/>
      <c r="AI26" s="147"/>
    </row>
    <row r="27" spans="1:35">
      <c r="A27" s="2"/>
      <c r="B27" s="240">
        <v>9</v>
      </c>
      <c r="C27" s="176">
        <f t="shared" si="3"/>
        <v>661780.66700136184</v>
      </c>
      <c r="D27" s="134">
        <f>AVERAGE(D26,D28)</f>
        <v>8.8821906404725995E-2</v>
      </c>
      <c r="E27" s="183">
        <f t="shared" si="5"/>
        <v>58780.620464852102</v>
      </c>
      <c r="F27" s="235">
        <f t="shared" si="4"/>
        <v>52371.892968715052</v>
      </c>
      <c r="G27" s="152">
        <f t="shared" si="6"/>
        <v>6408.7274961370495</v>
      </c>
      <c r="O27" s="215"/>
      <c r="P27" s="147"/>
      <c r="Q27" s="147"/>
      <c r="R27" s="147"/>
      <c r="S27" s="147"/>
      <c r="T27" s="147"/>
      <c r="U27" s="147"/>
      <c r="V27" s="147"/>
      <c r="W27" s="147"/>
      <c r="X27" s="147"/>
      <c r="Y27" s="147"/>
      <c r="Z27" s="147"/>
      <c r="AA27" s="147"/>
      <c r="AB27" s="147"/>
      <c r="AC27" s="147"/>
      <c r="AD27" s="147"/>
      <c r="AE27" s="147"/>
      <c r="AF27" s="147"/>
      <c r="AG27" s="147"/>
      <c r="AH27" s="147"/>
      <c r="AI27" s="147"/>
    </row>
    <row r="28" spans="1:35">
      <c r="B28" s="240">
        <v>10</v>
      </c>
      <c r="C28" s="176">
        <f t="shared" si="3"/>
        <v>718211.7869008336</v>
      </c>
      <c r="D28" s="134">
        <v>9.7000000000000003E-2</v>
      </c>
      <c r="E28" s="183">
        <f t="shared" si="5"/>
        <v>69666.54332938086</v>
      </c>
      <c r="F28" s="235">
        <f t="shared" si="4"/>
        <v>56431.119899471756</v>
      </c>
      <c r="G28" s="152">
        <f t="shared" si="6"/>
        <v>13235.423429909104</v>
      </c>
      <c r="O28" s="216"/>
      <c r="P28" s="147"/>
      <c r="Q28" s="147"/>
      <c r="R28" s="147"/>
      <c r="S28" s="147"/>
      <c r="T28" s="147"/>
      <c r="U28" s="147"/>
      <c r="V28" s="147"/>
      <c r="W28" s="147"/>
      <c r="X28" s="147"/>
      <c r="Y28" s="147"/>
      <c r="Z28" s="147"/>
      <c r="AA28" s="147"/>
      <c r="AB28" s="147"/>
      <c r="AC28" s="147"/>
      <c r="AD28" s="147"/>
      <c r="AE28" s="147"/>
      <c r="AF28" s="147"/>
      <c r="AG28" s="147"/>
      <c r="AH28" s="147"/>
      <c r="AI28" s="147"/>
    </row>
    <row r="29" spans="1:35">
      <c r="B29" s="243" t="s">
        <v>111</v>
      </c>
      <c r="C29" s="176">
        <f t="shared" si="3"/>
        <v>753055.56860492635</v>
      </c>
      <c r="D29" s="134">
        <v>9.7000000000000003E-2</v>
      </c>
      <c r="E29" s="183">
        <f t="shared" si="5"/>
        <v>73046.390154677851</v>
      </c>
      <c r="F29" s="235">
        <f t="shared" si="4"/>
        <v>34843.781704092748</v>
      </c>
      <c r="G29" s="152">
        <f t="shared" si="6"/>
        <v>38202.608450585103</v>
      </c>
      <c r="O29" s="216"/>
      <c r="P29" s="147"/>
      <c r="Q29" s="147"/>
      <c r="R29" s="147"/>
      <c r="S29" s="147"/>
      <c r="T29" s="147"/>
      <c r="U29" s="147"/>
      <c r="V29" s="147"/>
      <c r="W29" s="147"/>
      <c r="X29" s="147"/>
      <c r="Y29" s="147"/>
      <c r="Z29" s="147"/>
      <c r="AA29" s="147"/>
      <c r="AB29" s="147"/>
      <c r="AC29" s="147"/>
      <c r="AD29" s="147"/>
      <c r="AE29" s="147"/>
      <c r="AF29" s="147"/>
      <c r="AG29" s="147"/>
      <c r="AH29" s="147"/>
      <c r="AI29" s="147"/>
    </row>
    <row r="30" spans="1:35" ht="12" customHeight="1">
      <c r="Q30" s="147"/>
      <c r="R30" s="147"/>
      <c r="S30" s="147"/>
      <c r="T30" s="147"/>
      <c r="U30" s="147"/>
      <c r="V30" s="147"/>
      <c r="W30" s="147"/>
      <c r="X30" s="147"/>
      <c r="Y30" s="147"/>
      <c r="Z30" s="147"/>
      <c r="AA30" s="147"/>
      <c r="AB30" s="147"/>
      <c r="AC30" s="147"/>
      <c r="AD30" s="147"/>
      <c r="AE30" s="147"/>
      <c r="AF30" s="147"/>
      <c r="AG30" s="147"/>
      <c r="AH30" s="147"/>
      <c r="AI30" s="147"/>
    </row>
    <row r="31" spans="1:35">
      <c r="H31" s="147"/>
      <c r="I31" s="147"/>
      <c r="J31" s="147"/>
      <c r="K31" s="147"/>
      <c r="L31" s="147"/>
      <c r="M31" s="147"/>
      <c r="Q31" s="147"/>
      <c r="R31" s="147"/>
      <c r="S31" s="147"/>
      <c r="T31" s="147"/>
      <c r="U31" s="147"/>
      <c r="V31" s="147"/>
      <c r="W31" s="147"/>
      <c r="X31" s="147"/>
      <c r="Y31" s="147"/>
      <c r="Z31" s="147"/>
      <c r="AA31" s="147"/>
      <c r="AB31" s="147"/>
      <c r="AC31" s="147"/>
      <c r="AD31" s="147"/>
      <c r="AE31" s="147"/>
      <c r="AF31" s="147"/>
      <c r="AG31" s="147"/>
      <c r="AH31" s="147"/>
      <c r="AI31" s="147"/>
    </row>
    <row r="32" spans="1:35">
      <c r="H32" s="147"/>
      <c r="I32" s="147"/>
      <c r="J32" s="147"/>
      <c r="K32" s="147"/>
      <c r="L32" s="147"/>
      <c r="M32" s="147"/>
      <c r="N32" s="147"/>
      <c r="O32" s="147"/>
      <c r="P32" s="147"/>
      <c r="Q32" s="147"/>
      <c r="R32" s="147"/>
      <c r="S32" s="147"/>
      <c r="T32" s="147"/>
      <c r="U32" s="147"/>
      <c r="V32" s="147"/>
      <c r="W32" s="147"/>
      <c r="X32" s="147"/>
      <c r="Y32" s="147"/>
      <c r="Z32" s="147"/>
      <c r="AA32" s="147"/>
      <c r="AB32" s="147"/>
      <c r="AC32" s="147"/>
      <c r="AD32" s="147"/>
      <c r="AE32" s="147"/>
      <c r="AF32" s="147"/>
      <c r="AG32" s="147"/>
      <c r="AH32" s="147"/>
      <c r="AI32" s="147"/>
    </row>
    <row r="33" spans="8:35">
      <c r="H33" s="147"/>
      <c r="I33" s="147"/>
      <c r="J33" s="147"/>
      <c r="K33" s="147"/>
      <c r="L33" s="147"/>
      <c r="M33" s="147"/>
      <c r="N33" s="147"/>
      <c r="O33" s="147"/>
      <c r="P33" s="147"/>
      <c r="Q33" s="147"/>
      <c r="R33" s="147"/>
      <c r="S33" s="147"/>
      <c r="T33" s="147"/>
      <c r="U33" s="147"/>
      <c r="V33" s="147"/>
      <c r="W33" s="147"/>
      <c r="X33" s="147"/>
      <c r="Y33" s="147"/>
      <c r="Z33" s="147"/>
      <c r="AA33" s="147"/>
      <c r="AB33" s="147"/>
      <c r="AC33" s="147"/>
      <c r="AD33" s="147"/>
      <c r="AE33" s="147"/>
      <c r="AF33" s="147"/>
      <c r="AG33" s="147"/>
      <c r="AH33" s="147"/>
      <c r="AI33" s="147"/>
    </row>
    <row r="34" spans="8:35">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row>
    <row r="35" spans="8:35">
      <c r="H35" s="147"/>
      <c r="I35" s="147"/>
      <c r="J35" s="147"/>
      <c r="K35" s="147"/>
      <c r="L35" s="147"/>
      <c r="M35" s="147"/>
      <c r="N35" s="147"/>
      <c r="O35" s="147"/>
      <c r="P35" s="147"/>
      <c r="Q35" s="147"/>
      <c r="R35" s="147"/>
      <c r="S35" s="147"/>
      <c r="T35" s="147"/>
      <c r="U35" s="147"/>
      <c r="V35" s="147"/>
      <c r="W35" s="147"/>
      <c r="X35" s="147"/>
      <c r="Y35" s="147"/>
      <c r="Z35" s="147"/>
      <c r="AA35" s="147"/>
      <c r="AB35" s="147"/>
      <c r="AC35" s="147"/>
      <c r="AD35" s="147"/>
      <c r="AE35" s="147"/>
      <c r="AF35" s="147"/>
      <c r="AG35" s="147"/>
      <c r="AH35" s="147"/>
      <c r="AI35" s="147"/>
    </row>
    <row r="36" spans="8:35">
      <c r="H36" s="147"/>
      <c r="I36" s="147"/>
      <c r="J36" s="147"/>
      <c r="K36" s="147"/>
      <c r="L36" s="147"/>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row>
    <row r="37" spans="8:35">
      <c r="H37" s="147"/>
      <c r="I37" s="147"/>
      <c r="J37" s="147"/>
      <c r="K37" s="147"/>
      <c r="L37" s="147"/>
      <c r="M37" s="147"/>
      <c r="N37" s="147"/>
      <c r="O37" s="147"/>
      <c r="P37" s="147"/>
      <c r="Q37" s="147"/>
      <c r="R37" s="147"/>
      <c r="S37" s="147"/>
      <c r="T37" s="147"/>
      <c r="U37" s="147"/>
      <c r="V37" s="147"/>
      <c r="W37" s="147"/>
      <c r="X37" s="147"/>
      <c r="Y37" s="147"/>
      <c r="Z37" s="147"/>
      <c r="AA37" s="147"/>
      <c r="AB37" s="147"/>
      <c r="AC37" s="147"/>
      <c r="AD37" s="147"/>
      <c r="AE37" s="147"/>
      <c r="AF37" s="147"/>
      <c r="AG37" s="147"/>
      <c r="AH37" s="147"/>
      <c r="AI37" s="147"/>
    </row>
    <row r="38" spans="8:35">
      <c r="H38" s="147"/>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3" width="13.5703125" style="2" customWidth="1"/>
    <col min="4" max="4" width="12.5703125" style="2" customWidth="1"/>
    <col min="5" max="5" width="12.42578125" style="2" customWidth="1"/>
    <col min="6" max="6" width="12.28515625" style="2" customWidth="1"/>
    <col min="7" max="7" width="11.85546875" style="2" customWidth="1"/>
    <col min="8" max="8" width="12.28515625" style="2" customWidth="1"/>
    <col min="9" max="9" width="12.42578125" style="2" customWidth="1"/>
    <col min="10" max="10" width="11.85546875" style="2" customWidth="1"/>
    <col min="11" max="11" width="12.140625" style="2" customWidth="1"/>
    <col min="12" max="12" width="13.7109375" style="2" customWidth="1"/>
    <col min="13" max="13" width="9.140625" style="2"/>
    <col min="14" max="14" width="18.42578125" style="2" customWidth="1"/>
    <col min="15" max="16384" width="9.140625" style="2"/>
  </cols>
  <sheetData>
    <row r="1" spans="1:20" ht="16.5" customHeight="1">
      <c r="B1" s="16" t="s">
        <v>103</v>
      </c>
    </row>
    <row r="3" spans="1:20" ht="12" customHeight="1">
      <c r="E3" s="41"/>
      <c r="F3" s="30"/>
      <c r="G3" s="182"/>
      <c r="H3" s="29"/>
      <c r="I3" s="3"/>
      <c r="J3" s="3"/>
      <c r="K3" s="3"/>
      <c r="L3" s="3"/>
      <c r="M3" s="3"/>
      <c r="N3" s="3"/>
      <c r="O3" s="3"/>
      <c r="P3" s="3"/>
      <c r="Q3" s="3"/>
      <c r="R3" s="3"/>
      <c r="S3" s="3"/>
      <c r="T3" s="3"/>
    </row>
    <row r="4" spans="1:20" ht="12" customHeight="1">
      <c r="B4" s="28" t="s">
        <v>110</v>
      </c>
      <c r="C4" s="252">
        <v>0.04</v>
      </c>
      <c r="M4" s="3"/>
      <c r="N4" s="3"/>
      <c r="O4" s="3"/>
      <c r="P4" s="3"/>
      <c r="Q4" s="3"/>
      <c r="R4" s="3"/>
      <c r="S4" s="3"/>
      <c r="T4" s="3"/>
    </row>
    <row r="5" spans="1:20" ht="12" customHeight="1">
      <c r="M5" s="3"/>
      <c r="N5" s="3"/>
      <c r="O5" s="3"/>
      <c r="P5" s="3"/>
      <c r="Q5" s="3"/>
      <c r="R5" s="3"/>
      <c r="S5" s="3"/>
      <c r="T5" s="3"/>
    </row>
    <row r="6" spans="1:20" ht="12" customHeight="1">
      <c r="B6" s="285" t="s">
        <v>105</v>
      </c>
      <c r="C6" s="285"/>
      <c r="D6" s="285"/>
      <c r="E6" s="285"/>
      <c r="F6" s="285"/>
      <c r="G6" s="285"/>
      <c r="H6" s="285"/>
      <c r="I6" s="285"/>
      <c r="J6" s="285"/>
      <c r="K6" s="285"/>
      <c r="L6" s="285"/>
      <c r="M6" s="3"/>
      <c r="N6" s="3"/>
      <c r="O6" s="3"/>
      <c r="P6" s="3"/>
      <c r="Q6" s="3"/>
      <c r="R6" s="3"/>
      <c r="S6" s="3"/>
      <c r="T6" s="3"/>
    </row>
    <row r="7" spans="1:20" ht="12" customHeight="1">
      <c r="B7" s="181"/>
      <c r="C7" s="184">
        <v>1</v>
      </c>
      <c r="D7" s="184">
        <v>2</v>
      </c>
      <c r="E7" s="185">
        <v>3</v>
      </c>
      <c r="F7" s="186">
        <v>4</v>
      </c>
      <c r="G7" s="187">
        <v>5</v>
      </c>
      <c r="H7" s="188">
        <v>6</v>
      </c>
      <c r="I7" s="184">
        <v>7</v>
      </c>
      <c r="J7" s="184">
        <v>8</v>
      </c>
      <c r="K7" s="184">
        <v>9</v>
      </c>
      <c r="L7" s="184">
        <v>10</v>
      </c>
      <c r="M7" s="20"/>
      <c r="N7" s="3"/>
      <c r="O7" s="3"/>
      <c r="P7" s="3"/>
      <c r="Q7" s="3"/>
      <c r="R7" s="3"/>
      <c r="S7" s="3"/>
      <c r="T7" s="3"/>
    </row>
    <row r="8" spans="1:20" ht="12" customHeight="1">
      <c r="B8" s="48" t="s">
        <v>156</v>
      </c>
      <c r="C8" s="183">
        <f>'Future Cashflows (10 Yrs)'!G19</f>
        <v>-9673.6523526350265</v>
      </c>
      <c r="D8" s="183">
        <f>'Future Cashflows (10 Yrs)'!G20</f>
        <v>-8868.1813601044014</v>
      </c>
      <c r="E8" s="183">
        <f>'Future Cashflows (10 Yrs)'!G21</f>
        <v>-9915.7084492180875</v>
      </c>
      <c r="F8" s="183">
        <f>'Future Cashflows (10 Yrs)'!G22</f>
        <v>-2744.9491662179789</v>
      </c>
      <c r="G8" s="183">
        <f>'Future Cashflows (10 Yrs)'!G23</f>
        <v>829.53738870818052</v>
      </c>
      <c r="H8" s="183">
        <f>'Future Cashflows (10 Yrs)'!G24</f>
        <v>-6462.2636720856099</v>
      </c>
      <c r="I8" s="183">
        <f>'Future Cashflows (10 Yrs)'!G25</f>
        <v>-4396.7848188698772</v>
      </c>
      <c r="J8" s="183">
        <f>'Future Cashflows (10 Yrs)'!G26</f>
        <v>565.41773316039325</v>
      </c>
      <c r="K8" s="183">
        <f>'Future Cashflows (10 Yrs)'!G27</f>
        <v>6408.7274961370495</v>
      </c>
      <c r="L8" s="183">
        <f>'Future Cashflows (10 Yrs)'!G28</f>
        <v>13235.423429909104</v>
      </c>
      <c r="M8" s="3"/>
      <c r="N8" s="3"/>
      <c r="O8" s="3"/>
      <c r="P8" s="3"/>
      <c r="Q8" s="3"/>
      <c r="R8" s="3"/>
      <c r="S8" s="3"/>
      <c r="T8" s="3"/>
    </row>
    <row r="9" spans="1:20" ht="12" customHeight="1">
      <c r="B9" s="48" t="s">
        <v>4</v>
      </c>
      <c r="C9" s="134">
        <f>'Cost of Equity'!C7</f>
        <v>0.11193931240524468</v>
      </c>
      <c r="D9" s="134">
        <f>AVERAGE(C9,E9)</f>
        <v>0.11007585292123168</v>
      </c>
      <c r="E9" s="134">
        <f>AVERAGE(C9,G9)</f>
        <v>0.10821239343721865</v>
      </c>
      <c r="F9" s="134">
        <f>AVERAGE(E9,G9)</f>
        <v>0.10634893395320563</v>
      </c>
      <c r="G9" s="134">
        <f>AVERAGE(C9,L9)</f>
        <v>0.10448547446919262</v>
      </c>
      <c r="H9" s="134">
        <f>AVERAGE(G9,I9)</f>
        <v>0.10262201498517962</v>
      </c>
      <c r="I9" s="134">
        <f>AVERAGE(G9,L9)</f>
        <v>0.10075855550116659</v>
      </c>
      <c r="J9" s="134">
        <f>AVERAGE(I9,K9)</f>
        <v>9.9826825759160076E-2</v>
      </c>
      <c r="K9" s="134">
        <f>AVERAGE(I9,L9)</f>
        <v>9.8895096017153572E-2</v>
      </c>
      <c r="L9" s="134">
        <f>'Industry Numbers'!H9</f>
        <v>9.7031636533140564E-2</v>
      </c>
      <c r="M9" s="3"/>
      <c r="N9" s="3"/>
      <c r="O9" s="3"/>
      <c r="P9" s="3"/>
      <c r="Q9" s="3"/>
      <c r="R9" s="3"/>
      <c r="S9" s="3"/>
      <c r="T9" s="3"/>
    </row>
    <row r="10" spans="1:20" ht="12" customHeight="1">
      <c r="A10" s="3"/>
      <c r="B10" s="110" t="s">
        <v>104</v>
      </c>
      <c r="C10" s="154">
        <f>C8/(1+C9)^C7</f>
        <v>-8699.8024484896323</v>
      </c>
      <c r="D10" s="154">
        <f t="shared" ref="D10:K10" si="0">D8/(1+D9)^D7</f>
        <v>-7196.6313228371991</v>
      </c>
      <c r="E10" s="154">
        <f t="shared" si="0"/>
        <v>-7285.4224671435777</v>
      </c>
      <c r="F10" s="154">
        <f t="shared" si="0"/>
        <v>-1832.1702175668329</v>
      </c>
      <c r="G10" s="154">
        <f t="shared" si="0"/>
        <v>504.70304145128415</v>
      </c>
      <c r="H10" s="154">
        <f t="shared" si="0"/>
        <v>-3596.0416887357164</v>
      </c>
      <c r="I10" s="154">
        <f t="shared" si="0"/>
        <v>-2245.3845189681278</v>
      </c>
      <c r="J10" s="154">
        <f t="shared" si="0"/>
        <v>264.10398770847593</v>
      </c>
      <c r="K10" s="154">
        <f t="shared" si="0"/>
        <v>2742.620310703408</v>
      </c>
      <c r="L10" s="154">
        <f>L8/(1+L9)^L7</f>
        <v>5242.5951230118608</v>
      </c>
      <c r="M10" s="3"/>
      <c r="N10" s="3"/>
      <c r="O10" s="3"/>
      <c r="P10" s="3"/>
      <c r="Q10" s="3"/>
      <c r="R10" s="3"/>
      <c r="S10" s="3"/>
      <c r="T10" s="3"/>
    </row>
    <row r="11" spans="1:20" ht="12" customHeight="1">
      <c r="A11" s="3"/>
      <c r="E11" s="32"/>
      <c r="F11" s="32"/>
      <c r="G11" s="32"/>
      <c r="H11" s="32"/>
      <c r="L11" s="205"/>
      <c r="N11" s="3"/>
      <c r="O11" s="3"/>
      <c r="P11" s="3"/>
      <c r="Q11" s="3"/>
      <c r="R11" s="3"/>
      <c r="S11" s="3"/>
      <c r="T11" s="3"/>
    </row>
    <row r="12" spans="1:20" ht="12" customHeight="1">
      <c r="C12" s="254" t="s">
        <v>169</v>
      </c>
      <c r="G12" s="29"/>
      <c r="H12" s="29"/>
      <c r="I12" s="29"/>
      <c r="J12" s="29"/>
      <c r="K12" s="29"/>
      <c r="L12" s="3"/>
      <c r="M12" s="3"/>
      <c r="N12" s="3"/>
      <c r="O12" s="3"/>
      <c r="P12" s="3"/>
      <c r="Q12" s="3"/>
      <c r="R12" s="3"/>
      <c r="S12" s="3"/>
      <c r="T12" s="3"/>
    </row>
    <row r="13" spans="1:20" ht="12" customHeight="1">
      <c r="A13" s="3"/>
      <c r="B13" s="190" t="s">
        <v>163</v>
      </c>
      <c r="C13" s="176">
        <f>SUM(C10:L10)</f>
        <v>-22101.430200866052</v>
      </c>
      <c r="D13" s="29"/>
      <c r="E13" s="29"/>
      <c r="F13" s="29"/>
      <c r="G13" s="29"/>
      <c r="H13" s="29"/>
      <c r="I13" s="29"/>
      <c r="J13" s="29"/>
      <c r="K13" s="29"/>
      <c r="L13" s="3"/>
      <c r="M13" s="3"/>
      <c r="N13" s="3"/>
      <c r="O13" s="3"/>
      <c r="P13" s="3"/>
      <c r="Q13" s="3"/>
      <c r="R13" s="3"/>
      <c r="S13" s="3"/>
      <c r="T13" s="3"/>
    </row>
    <row r="14" spans="1:20" s="25" customFormat="1" ht="12" customHeight="1">
      <c r="A14" s="3"/>
      <c r="B14" s="190" t="s">
        <v>98</v>
      </c>
      <c r="C14" s="176">
        <f>'Future Cashflows (10 Yrs)'!G29/('Fair Value of Share'!L9-'Fair Value of Share'!C4)</f>
        <v>669849.41644425574</v>
      </c>
      <c r="D14" s="42"/>
      <c r="E14" s="102"/>
      <c r="F14" s="209"/>
      <c r="G14" s="42"/>
      <c r="H14" s="42"/>
      <c r="I14" s="42"/>
      <c r="J14" s="42"/>
      <c r="K14" s="42"/>
      <c r="L14" s="24"/>
      <c r="M14" s="24"/>
      <c r="N14" s="24"/>
      <c r="O14" s="24"/>
      <c r="P14" s="24"/>
      <c r="Q14" s="24"/>
      <c r="R14" s="24"/>
      <c r="S14" s="24"/>
      <c r="T14" s="24"/>
    </row>
    <row r="15" spans="1:20" ht="12" customHeight="1">
      <c r="A15" s="24"/>
      <c r="B15" s="190" t="s">
        <v>101</v>
      </c>
      <c r="C15" s="176">
        <f>C14/(1+L9)^'Fair Value of Share'!$L$7</f>
        <v>265329.57577067206</v>
      </c>
      <c r="E15" s="196"/>
      <c r="F15" s="195"/>
      <c r="I15" s="29"/>
      <c r="J15" s="29"/>
      <c r="K15" s="29"/>
      <c r="L15" s="3"/>
      <c r="N15" s="3"/>
      <c r="O15" s="3"/>
      <c r="P15" s="3"/>
      <c r="Q15" s="3"/>
      <c r="R15" s="3"/>
      <c r="S15" s="3"/>
      <c r="T15" s="3"/>
    </row>
    <row r="16" spans="1:20" ht="12" customHeight="1">
      <c r="A16" s="7"/>
      <c r="B16" s="191" t="s">
        <v>102</v>
      </c>
      <c r="C16" s="153">
        <f>C15+C13</f>
        <v>243228.14556980602</v>
      </c>
      <c r="E16" s="255"/>
      <c r="F16" s="202"/>
      <c r="I16" s="29"/>
      <c r="J16" s="29"/>
      <c r="K16" s="29"/>
      <c r="L16" s="3"/>
      <c r="M16" s="3"/>
      <c r="N16" s="3"/>
      <c r="O16" s="3"/>
      <c r="P16" s="3"/>
      <c r="Q16" s="3"/>
      <c r="R16" s="3"/>
      <c r="S16" s="3"/>
      <c r="T16" s="3"/>
    </row>
    <row r="17" spans="1:20" ht="12" customHeight="1">
      <c r="A17" s="189" t="s">
        <v>82</v>
      </c>
      <c r="B17" s="28" t="s">
        <v>106</v>
      </c>
      <c r="C17" s="183">
        <f>(6.449413*(110.58123+5.663277))+(7.395335*2.165)</f>
        <v>765.71973489939103</v>
      </c>
      <c r="E17" s="196"/>
      <c r="F17" s="203"/>
      <c r="I17" s="29"/>
      <c r="J17" s="29"/>
      <c r="K17" s="29"/>
      <c r="L17" s="3"/>
      <c r="M17" s="3"/>
      <c r="N17" s="3"/>
      <c r="O17" s="3"/>
      <c r="P17" s="3"/>
      <c r="Q17" s="3"/>
      <c r="R17" s="3"/>
      <c r="S17" s="3"/>
      <c r="T17" s="3"/>
    </row>
    <row r="18" spans="1:20" ht="12" customHeight="1">
      <c r="A18" s="27"/>
      <c r="B18" s="191" t="s">
        <v>108</v>
      </c>
      <c r="C18" s="192">
        <f>C16-C17</f>
        <v>242462.42583490664</v>
      </c>
      <c r="D18" s="29"/>
      <c r="E18" s="196"/>
      <c r="F18" s="204"/>
      <c r="I18" s="29"/>
      <c r="J18" s="29"/>
      <c r="K18" s="29"/>
      <c r="L18" s="3"/>
      <c r="M18" s="3"/>
      <c r="N18" s="3"/>
      <c r="O18" s="3"/>
      <c r="P18" s="3"/>
      <c r="Q18" s="3"/>
      <c r="R18" s="3"/>
      <c r="S18" s="3"/>
      <c r="T18" s="3"/>
    </row>
    <row r="19" spans="1:20" ht="12" customHeight="1">
      <c r="B19" s="28" t="s">
        <v>94</v>
      </c>
      <c r="C19" s="253">
        <v>25054.915063</v>
      </c>
      <c r="D19" s="29"/>
      <c r="E19" s="196"/>
      <c r="F19" s="203"/>
      <c r="I19" s="29"/>
      <c r="J19" s="29"/>
      <c r="K19" s="29"/>
      <c r="L19" s="3"/>
      <c r="M19" s="3"/>
      <c r="N19" s="3"/>
      <c r="O19" s="3"/>
      <c r="P19" s="3"/>
      <c r="Q19" s="3"/>
      <c r="R19" s="3"/>
      <c r="S19" s="3"/>
      <c r="T19" s="3"/>
    </row>
    <row r="20" spans="1:20" ht="12" customHeight="1">
      <c r="B20" s="256" t="s">
        <v>107</v>
      </c>
      <c r="C20" s="257">
        <f>C18/C19</f>
        <v>9.6772399836615097</v>
      </c>
      <c r="D20" s="29"/>
      <c r="E20" s="196"/>
      <c r="F20" s="29"/>
      <c r="I20" s="29"/>
      <c r="J20" s="29"/>
      <c r="K20" s="29"/>
      <c r="L20" s="3"/>
      <c r="M20" s="3"/>
      <c r="N20" s="3"/>
      <c r="O20" s="3"/>
      <c r="P20" s="3"/>
      <c r="Q20" s="3"/>
      <c r="R20" s="3"/>
      <c r="S20" s="3"/>
      <c r="T20" s="3"/>
    </row>
    <row r="21" spans="1:20" ht="12" customHeight="1">
      <c r="B21" s="28" t="s">
        <v>171</v>
      </c>
      <c r="C21" s="258">
        <v>0.1</v>
      </c>
      <c r="D21" s="31"/>
      <c r="E21" s="196"/>
      <c r="F21" s="29"/>
      <c r="I21" s="29"/>
      <c r="J21" s="29"/>
      <c r="K21" s="29"/>
      <c r="L21" s="3"/>
      <c r="M21" s="3"/>
      <c r="N21" s="3"/>
      <c r="O21" s="3"/>
      <c r="P21" s="3"/>
      <c r="Q21" s="3"/>
      <c r="R21" s="3"/>
      <c r="S21" s="3"/>
      <c r="T21" s="3"/>
    </row>
    <row r="22" spans="1:20" ht="12" customHeight="1">
      <c r="B22" s="292" t="s">
        <v>172</v>
      </c>
      <c r="C22" s="293">
        <f>C20*(1-C21)</f>
        <v>8.7095159852953596</v>
      </c>
      <c r="D22" s="29"/>
      <c r="E22" s="196"/>
      <c r="F22" s="32"/>
      <c r="I22" s="29"/>
      <c r="J22" s="29"/>
      <c r="K22" s="29"/>
      <c r="L22" s="3"/>
      <c r="M22" s="3"/>
      <c r="O22" s="3"/>
      <c r="P22" s="3"/>
      <c r="Q22" s="3"/>
      <c r="R22" s="3"/>
      <c r="S22" s="3"/>
      <c r="T22" s="3"/>
    </row>
    <row r="23" spans="1:20" s="27" customFormat="1" ht="12" customHeight="1">
      <c r="A23" s="2"/>
      <c r="B23" s="3"/>
      <c r="C23" s="3"/>
      <c r="D23" s="29"/>
      <c r="E23" s="196"/>
      <c r="F23" s="29"/>
      <c r="I23" s="32"/>
      <c r="J23" s="32"/>
      <c r="K23" s="32"/>
      <c r="L23" s="26"/>
      <c r="M23" s="26"/>
      <c r="N23" s="26"/>
      <c r="O23" s="26"/>
      <c r="P23" s="26"/>
      <c r="Q23" s="26"/>
      <c r="R23" s="26"/>
      <c r="S23" s="26"/>
      <c r="T23" s="26"/>
    </row>
    <row r="24" spans="1:20" ht="12" customHeight="1">
      <c r="B24" s="3"/>
      <c r="C24" s="3"/>
      <c r="D24" s="31"/>
      <c r="E24" s="24"/>
      <c r="F24" s="24"/>
      <c r="G24" s="3"/>
      <c r="H24" s="3"/>
      <c r="I24" s="3"/>
      <c r="J24" s="3"/>
      <c r="K24" s="3"/>
      <c r="L24" s="3"/>
      <c r="M24" s="3"/>
      <c r="N24" s="3"/>
      <c r="O24" s="3"/>
      <c r="P24" s="3"/>
      <c r="Q24" s="3"/>
      <c r="R24" s="3"/>
      <c r="S24" s="3"/>
      <c r="T24" s="3"/>
    </row>
    <row r="25" spans="1:20" ht="12" customHeight="1">
      <c r="D25" s="29"/>
      <c r="E25" s="3"/>
      <c r="G25" s="6"/>
      <c r="H25" s="14"/>
      <c r="I25" s="14"/>
      <c r="J25" s="14"/>
      <c r="K25" s="14"/>
      <c r="L25" s="3"/>
      <c r="M25" s="3"/>
      <c r="N25" s="3"/>
      <c r="O25" s="3"/>
      <c r="P25" s="3"/>
      <c r="Q25" s="3"/>
      <c r="R25" s="3"/>
      <c r="S25" s="3"/>
      <c r="T25" s="3"/>
    </row>
    <row r="26" spans="1:20" ht="12" customHeight="1">
      <c r="C26" s="13"/>
      <c r="D26" s="32"/>
      <c r="E26" s="210"/>
      <c r="F26" s="210"/>
      <c r="G26" s="14"/>
      <c r="H26" s="5"/>
      <c r="I26" s="5"/>
      <c r="J26" s="5"/>
      <c r="K26" s="5"/>
      <c r="L26" s="3"/>
      <c r="M26" s="3"/>
      <c r="N26" s="3"/>
      <c r="O26" s="3"/>
      <c r="P26" s="3"/>
      <c r="Q26" s="3"/>
      <c r="R26" s="3"/>
      <c r="S26" s="3"/>
      <c r="T26" s="3"/>
    </row>
    <row r="27" spans="1:20" ht="12" customHeight="1">
      <c r="D27" s="3"/>
      <c r="E27" s="197"/>
      <c r="F27" s="198"/>
      <c r="G27" s="14"/>
      <c r="H27" s="5"/>
      <c r="I27" s="5"/>
      <c r="J27" s="5"/>
      <c r="K27" s="5"/>
      <c r="L27" s="3"/>
      <c r="M27" s="3"/>
      <c r="N27" s="3"/>
      <c r="O27" s="3"/>
      <c r="P27" s="3"/>
      <c r="Q27" s="3"/>
      <c r="R27" s="3"/>
      <c r="S27" s="3"/>
      <c r="T27" s="3"/>
    </row>
    <row r="28" spans="1:20" ht="12" customHeight="1">
      <c r="B28" s="15"/>
      <c r="D28" s="3"/>
      <c r="E28" s="199"/>
      <c r="F28" s="200"/>
      <c r="G28" s="14"/>
      <c r="H28" s="5"/>
      <c r="I28" s="5"/>
      <c r="J28" s="5"/>
      <c r="K28" s="5"/>
      <c r="L28" s="3"/>
      <c r="M28" s="3"/>
      <c r="N28" s="3"/>
      <c r="O28" s="3"/>
      <c r="P28" s="3"/>
      <c r="Q28" s="3"/>
      <c r="R28" s="3"/>
      <c r="S28" s="3"/>
      <c r="T28" s="3"/>
    </row>
    <row r="29" spans="1:20" ht="12" customHeight="1">
      <c r="B29" s="8"/>
      <c r="D29" s="3"/>
      <c r="E29" s="43"/>
      <c r="F29" s="164"/>
      <c r="G29" s="14"/>
      <c r="H29" s="5"/>
      <c r="I29" s="5"/>
      <c r="J29" s="5"/>
      <c r="K29" s="5"/>
      <c r="L29" s="3"/>
      <c r="M29" s="3"/>
      <c r="N29" s="3"/>
      <c r="O29" s="3"/>
      <c r="P29" s="3"/>
      <c r="Q29" s="3"/>
      <c r="R29" s="3"/>
      <c r="S29" s="3"/>
      <c r="T29" s="3"/>
    </row>
    <row r="30" spans="1:20" ht="12" customHeight="1">
      <c r="D30" s="3"/>
      <c r="E30" s="43"/>
      <c r="F30" s="157"/>
      <c r="G30" s="3"/>
      <c r="H30" s="3"/>
      <c r="I30" s="3"/>
      <c r="J30" s="3"/>
      <c r="K30" s="3"/>
      <c r="L30" s="3"/>
      <c r="M30" s="3"/>
      <c r="N30" s="3"/>
      <c r="O30" s="3"/>
      <c r="P30" s="3"/>
      <c r="Q30" s="3"/>
      <c r="R30" s="3"/>
      <c r="S30" s="3"/>
      <c r="T30" s="3"/>
    </row>
    <row r="31" spans="1:20" ht="12" customHeight="1">
      <c r="E31" s="31"/>
      <c r="F31" s="156"/>
      <c r="G31" s="3"/>
      <c r="H31" s="3"/>
      <c r="I31" s="3"/>
      <c r="J31" s="3"/>
      <c r="K31" s="3"/>
      <c r="L31" s="3"/>
      <c r="M31" s="3"/>
    </row>
    <row r="32" spans="1:20" ht="12" customHeight="1">
      <c r="E32" s="3"/>
      <c r="F32" s="156"/>
      <c r="G32" s="3"/>
      <c r="H32" s="3"/>
      <c r="I32" s="3"/>
      <c r="J32" s="3"/>
      <c r="K32" s="3"/>
      <c r="L32" s="3"/>
      <c r="M32" s="3"/>
    </row>
    <row r="33" spans="5:13" ht="12" customHeight="1">
      <c r="E33" s="3"/>
      <c r="F33" s="194"/>
    </row>
    <row r="34" spans="5:13" ht="12" customHeight="1">
      <c r="E34" s="3"/>
      <c r="F34" s="74"/>
      <c r="G34" s="8"/>
      <c r="K34" s="10"/>
    </row>
    <row r="35" spans="5:13" ht="12" customHeight="1">
      <c r="E35" s="29"/>
      <c r="F35" s="193"/>
      <c r="G35" s="11"/>
      <c r="K35" s="8"/>
      <c r="M35" s="8"/>
    </row>
    <row r="36" spans="5:13" ht="12" customHeight="1">
      <c r="E36" s="29"/>
      <c r="M36" s="8"/>
    </row>
    <row r="37" spans="5:13" ht="12" customHeight="1">
      <c r="E37" s="29"/>
      <c r="F37" s="5"/>
      <c r="G37" s="15"/>
      <c r="K37" s="4"/>
    </row>
    <row r="40" spans="5:13" ht="12" customHeight="1">
      <c r="G40" s="12"/>
    </row>
    <row r="41" spans="5:13" ht="12" customHeight="1">
      <c r="G41" s="8"/>
    </row>
    <row r="42" spans="5:13" ht="12" customHeight="1">
      <c r="G42" s="12"/>
    </row>
    <row r="44" spans="5:13" ht="12" customHeight="1">
      <c r="G44" s="15"/>
    </row>
  </sheetData>
  <mergeCells count="1">
    <mergeCell ref="B6:L6"/>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102"/>
  <sheetViews>
    <sheetView workbookViewId="0"/>
  </sheetViews>
  <sheetFormatPr defaultRowHeight="12" customHeight="1"/>
  <cols>
    <col min="1" max="1" width="2" style="2" customWidth="1"/>
    <col min="2" max="2" width="20.5703125" style="2" customWidth="1"/>
    <col min="3" max="3" width="14.7109375" style="2" customWidth="1"/>
    <col min="4" max="4" width="13.5703125" style="2" customWidth="1"/>
    <col min="5" max="5" width="16" style="2" customWidth="1"/>
    <col min="6" max="6" width="10.5703125" style="2" customWidth="1"/>
    <col min="7" max="8" width="13.85546875" style="2" customWidth="1"/>
    <col min="9" max="9" width="21.7109375" style="2" customWidth="1"/>
    <col min="10" max="10" width="3.7109375" style="2" customWidth="1"/>
    <col min="11" max="11" width="17.85546875" style="2" customWidth="1"/>
    <col min="12" max="12" width="9.7109375" style="2" customWidth="1"/>
    <col min="13" max="13" width="14.5703125" style="2" bestFit="1" customWidth="1"/>
    <col min="14" max="15" width="14.42578125" style="2" customWidth="1"/>
    <col min="16" max="16" width="13.7109375" style="2" customWidth="1"/>
    <col min="17" max="17" width="13" style="2" customWidth="1"/>
    <col min="18" max="18" width="12.28515625" style="2" customWidth="1"/>
    <col min="19" max="19" width="12.7109375" style="2" bestFit="1" customWidth="1"/>
    <col min="20" max="16384" width="9.140625" style="2"/>
  </cols>
  <sheetData>
    <row r="1" spans="1:20" ht="16.5" customHeight="1">
      <c r="B1" s="16" t="s">
        <v>236</v>
      </c>
    </row>
    <row r="2" spans="1:20" ht="12" customHeight="1" thickBot="1"/>
    <row r="3" spans="1:20" ht="12" customHeight="1">
      <c r="B3" s="97" t="s">
        <v>215</v>
      </c>
      <c r="C3" s="97" t="s">
        <v>83</v>
      </c>
      <c r="D3" s="97" t="s">
        <v>217</v>
      </c>
      <c r="E3" s="71" t="s">
        <v>216</v>
      </c>
      <c r="F3" s="71" t="s">
        <v>153</v>
      </c>
      <c r="G3" s="71" t="s">
        <v>218</v>
      </c>
      <c r="H3" s="97" t="s">
        <v>228</v>
      </c>
      <c r="I3" s="97" t="s">
        <v>225</v>
      </c>
      <c r="J3" s="7"/>
      <c r="K3" s="286" t="s">
        <v>219</v>
      </c>
      <c r="L3" s="286"/>
      <c r="M3" s="3"/>
      <c r="N3" s="3"/>
      <c r="O3" s="3"/>
      <c r="P3" s="3"/>
      <c r="Q3" s="3"/>
      <c r="R3" s="3"/>
      <c r="S3" s="3"/>
      <c r="T3" s="3"/>
    </row>
    <row r="4" spans="1:20" ht="12" customHeight="1">
      <c r="B4" s="95" t="s">
        <v>181</v>
      </c>
      <c r="C4" s="220" t="s">
        <v>203</v>
      </c>
      <c r="D4" s="267">
        <v>0.61</v>
      </c>
      <c r="E4" s="72">
        <v>0.47599999999999998</v>
      </c>
      <c r="F4" s="207">
        <v>-5.8299999999999998E-2</v>
      </c>
      <c r="G4" s="207">
        <v>0.47220000000000001</v>
      </c>
      <c r="H4" s="271">
        <v>4.2795066623692666</v>
      </c>
      <c r="I4" s="281">
        <f t="shared" ref="I4:I38" si="0">(D4-H4)/D4</f>
        <v>-6.015584692408634</v>
      </c>
      <c r="J4" s="3"/>
      <c r="K4" s="287" t="s">
        <v>220</v>
      </c>
      <c r="L4" s="288">
        <v>0.86455517534601345</v>
      </c>
      <c r="M4" s="3"/>
      <c r="N4" s="3"/>
      <c r="O4" s="3"/>
      <c r="P4" s="3"/>
      <c r="Q4" s="3"/>
      <c r="R4" s="3"/>
      <c r="S4" s="3"/>
      <c r="T4" s="3"/>
    </row>
    <row r="5" spans="1:20" ht="12" customHeight="1">
      <c r="B5" s="70" t="s">
        <v>176</v>
      </c>
      <c r="C5" s="220" t="s">
        <v>194</v>
      </c>
      <c r="D5" s="267">
        <v>0.41</v>
      </c>
      <c r="E5" s="72">
        <v>0.1171</v>
      </c>
      <c r="F5" s="207">
        <v>9.9599999999999994E-2</v>
      </c>
      <c r="G5" s="207">
        <v>0.54610000000000003</v>
      </c>
      <c r="H5" s="271">
        <v>1.7572585632381881</v>
      </c>
      <c r="I5" s="281">
        <f t="shared" si="0"/>
        <v>-3.2859964957028982</v>
      </c>
      <c r="J5" s="3"/>
      <c r="K5" s="287" t="s">
        <v>221</v>
      </c>
      <c r="L5" s="288">
        <v>0.74745565121757607</v>
      </c>
      <c r="M5" s="3"/>
      <c r="N5" s="3"/>
      <c r="O5" s="3"/>
      <c r="P5" s="3"/>
      <c r="Q5" s="3"/>
      <c r="R5" s="3"/>
      <c r="S5" s="3"/>
      <c r="T5" s="3"/>
    </row>
    <row r="6" spans="1:20" ht="12" customHeight="1">
      <c r="B6" s="70" t="s">
        <v>174</v>
      </c>
      <c r="C6" s="70" t="s">
        <v>198</v>
      </c>
      <c r="D6" s="267">
        <v>1.59</v>
      </c>
      <c r="E6" s="72">
        <v>0.24349999999999999</v>
      </c>
      <c r="F6" s="207">
        <v>0.21</v>
      </c>
      <c r="G6" s="207">
        <v>0.43340000000000001</v>
      </c>
      <c r="H6" s="271">
        <v>5.2790212264646517</v>
      </c>
      <c r="I6" s="281">
        <f t="shared" si="0"/>
        <v>-2.3201391361412904</v>
      </c>
      <c r="K6" s="287" t="s">
        <v>222</v>
      </c>
      <c r="L6" s="288">
        <v>0.72301587552895441</v>
      </c>
      <c r="M6" s="139"/>
      <c r="N6" s="3"/>
      <c r="O6" s="3"/>
      <c r="P6" s="3"/>
      <c r="Q6" s="3"/>
      <c r="R6" s="3"/>
      <c r="S6" s="3"/>
      <c r="T6" s="3"/>
    </row>
    <row r="7" spans="1:20" ht="12" customHeight="1">
      <c r="B7" s="226" t="s">
        <v>188</v>
      </c>
      <c r="C7" s="70" t="s">
        <v>210</v>
      </c>
      <c r="D7" s="267">
        <v>0.49</v>
      </c>
      <c r="E7" s="72">
        <v>0.1203</v>
      </c>
      <c r="F7" s="207">
        <v>9.8100000000000007E-2</v>
      </c>
      <c r="G7" s="207">
        <v>0.47289999999999999</v>
      </c>
      <c r="H7" s="271">
        <v>1.4623982618465214</v>
      </c>
      <c r="I7" s="281">
        <f t="shared" si="0"/>
        <v>-1.9844862486663704</v>
      </c>
      <c r="K7" s="287" t="s">
        <v>223</v>
      </c>
      <c r="L7" s="289">
        <v>1.3822860068667298</v>
      </c>
      <c r="M7" s="63"/>
      <c r="N7" s="20"/>
      <c r="O7" s="3"/>
      <c r="P7" s="3"/>
      <c r="Q7" s="3"/>
      <c r="R7" s="3"/>
      <c r="S7" s="3"/>
      <c r="T7" s="3"/>
    </row>
    <row r="8" spans="1:20" ht="12" customHeight="1">
      <c r="B8" s="54" t="s">
        <v>129</v>
      </c>
      <c r="C8" s="54" t="s">
        <v>143</v>
      </c>
      <c r="D8" s="267">
        <v>0.62</v>
      </c>
      <c r="E8" s="72">
        <v>0.1676</v>
      </c>
      <c r="F8" s="207">
        <v>9.2399999999999996E-2</v>
      </c>
      <c r="G8" s="207">
        <v>0.34379999999999999</v>
      </c>
      <c r="H8" s="271">
        <v>1.5494077595395017</v>
      </c>
      <c r="I8" s="281">
        <f t="shared" si="0"/>
        <v>-1.4990447734508092</v>
      </c>
      <c r="K8" s="287" t="s">
        <v>224</v>
      </c>
      <c r="L8" s="287">
        <v>35</v>
      </c>
      <c r="M8" s="268"/>
      <c r="N8" s="268"/>
      <c r="O8" s="268"/>
      <c r="P8" s="268"/>
      <c r="Q8" s="268"/>
      <c r="R8" s="268"/>
      <c r="S8" s="268"/>
      <c r="T8" s="3"/>
    </row>
    <row r="9" spans="1:20" ht="12" customHeight="1">
      <c r="B9" s="95" t="s">
        <v>187</v>
      </c>
      <c r="C9" s="54" t="s">
        <v>209</v>
      </c>
      <c r="D9" s="267">
        <v>0.37</v>
      </c>
      <c r="E9" s="72">
        <v>0.1032</v>
      </c>
      <c r="F9" s="207">
        <v>7.7799999999999994E-2</v>
      </c>
      <c r="G9" s="207">
        <v>0.46760000000000002</v>
      </c>
      <c r="H9" s="271">
        <v>0.79925690099562541</v>
      </c>
      <c r="I9" s="281">
        <f t="shared" si="0"/>
        <v>-1.1601537864746634</v>
      </c>
      <c r="K9" s="268"/>
      <c r="L9" s="268"/>
      <c r="M9" s="268"/>
      <c r="N9" s="268"/>
      <c r="O9" s="268"/>
      <c r="P9" s="268"/>
      <c r="Q9" s="268"/>
      <c r="R9" s="268"/>
      <c r="S9" s="268"/>
      <c r="T9" s="3"/>
    </row>
    <row r="10" spans="1:20" ht="12" customHeight="1">
      <c r="A10" s="3"/>
      <c r="B10" s="226" t="s">
        <v>184</v>
      </c>
      <c r="C10" s="95" t="s">
        <v>206</v>
      </c>
      <c r="D10" s="267">
        <v>0.65</v>
      </c>
      <c r="E10" s="72">
        <v>0.13469999999999999</v>
      </c>
      <c r="F10" s="207">
        <v>0.09</v>
      </c>
      <c r="G10" s="207">
        <v>0.43559999999999999</v>
      </c>
      <c r="H10" s="271">
        <v>1.3821794394153322</v>
      </c>
      <c r="I10" s="281">
        <f t="shared" si="0"/>
        <v>-1.1264299067928187</v>
      </c>
      <c r="K10" s="290" t="s">
        <v>235</v>
      </c>
      <c r="M10" s="268"/>
      <c r="N10" s="268"/>
      <c r="O10" s="268"/>
      <c r="P10" s="268"/>
      <c r="Q10" s="268"/>
      <c r="R10" s="268"/>
      <c r="S10" s="268"/>
      <c r="T10" s="3"/>
    </row>
    <row r="11" spans="1:20" ht="12" customHeight="1">
      <c r="A11" s="3"/>
      <c r="B11" s="95" t="s">
        <v>193</v>
      </c>
      <c r="C11" s="220" t="s">
        <v>214</v>
      </c>
      <c r="D11" s="267">
        <v>0.72</v>
      </c>
      <c r="E11" s="72">
        <v>0.14799999999999999</v>
      </c>
      <c r="F11" s="207">
        <v>9.2899999999999996E-2</v>
      </c>
      <c r="G11" s="207">
        <v>0.39019999999999999</v>
      </c>
      <c r="H11" s="271">
        <v>1.4487066023428203</v>
      </c>
      <c r="I11" s="281">
        <f t="shared" si="0"/>
        <v>-1.0120925032539172</v>
      </c>
      <c r="M11" s="268"/>
      <c r="N11" s="268"/>
      <c r="O11" s="268"/>
      <c r="P11" s="268"/>
      <c r="Q11" s="268"/>
      <c r="R11" s="268"/>
      <c r="S11" s="268"/>
      <c r="T11" s="3"/>
    </row>
    <row r="12" spans="1:20" ht="12" customHeight="1">
      <c r="B12" s="95" t="s">
        <v>177</v>
      </c>
      <c r="C12" s="220" t="s">
        <v>195</v>
      </c>
      <c r="D12" s="267">
        <v>0.68</v>
      </c>
      <c r="E12" s="72">
        <v>0.15540000000000001</v>
      </c>
      <c r="F12" s="207">
        <v>7.3700000000000002E-2</v>
      </c>
      <c r="G12" s="207">
        <v>0.3856</v>
      </c>
      <c r="H12" s="271">
        <v>1.1981704632583312</v>
      </c>
      <c r="I12" s="281">
        <f t="shared" si="0"/>
        <v>-0.76201538714460459</v>
      </c>
      <c r="M12" s="268"/>
      <c r="N12" s="268"/>
      <c r="O12" s="268"/>
      <c r="P12" s="268"/>
      <c r="Q12" s="268"/>
      <c r="R12" s="268"/>
      <c r="S12" s="268"/>
      <c r="T12" s="3"/>
    </row>
    <row r="13" spans="1:20" ht="12" customHeight="1">
      <c r="A13" s="3"/>
      <c r="B13" s="54" t="s">
        <v>179</v>
      </c>
      <c r="C13" s="220" t="s">
        <v>201</v>
      </c>
      <c r="D13" s="267">
        <v>0.33</v>
      </c>
      <c r="E13" s="72">
        <v>0.10730000000000001</v>
      </c>
      <c r="F13" s="207">
        <v>7.6600000000000001E-2</v>
      </c>
      <c r="G13" s="207">
        <v>0.39169999999999999</v>
      </c>
      <c r="H13" s="271">
        <v>0.51239976069167081</v>
      </c>
      <c r="I13" s="281">
        <f t="shared" si="0"/>
        <v>-0.55272654755051753</v>
      </c>
      <c r="M13" s="268"/>
      <c r="N13" s="268"/>
      <c r="O13" s="268"/>
      <c r="P13" s="268"/>
      <c r="Q13" s="268"/>
      <c r="R13" s="268"/>
      <c r="S13" s="268"/>
      <c r="T13" s="3"/>
    </row>
    <row r="14" spans="1:20" s="25" customFormat="1" ht="12" customHeight="1">
      <c r="A14" s="3"/>
      <c r="B14" s="95" t="s">
        <v>125</v>
      </c>
      <c r="C14" s="95" t="s">
        <v>139</v>
      </c>
      <c r="D14" s="267">
        <v>1.17</v>
      </c>
      <c r="E14" s="72">
        <v>0.14430000000000001</v>
      </c>
      <c r="F14" s="207">
        <v>0.11</v>
      </c>
      <c r="G14" s="207">
        <v>0.38379999999999997</v>
      </c>
      <c r="H14" s="271">
        <v>1.6721290216305404</v>
      </c>
      <c r="I14" s="281">
        <f t="shared" si="0"/>
        <v>-0.42917010395772698</v>
      </c>
      <c r="M14" s="268"/>
      <c r="N14" s="268"/>
      <c r="O14" s="268"/>
      <c r="P14" s="268"/>
      <c r="Q14" s="268"/>
      <c r="R14" s="268"/>
      <c r="S14" s="268"/>
      <c r="T14" s="24"/>
    </row>
    <row r="15" spans="1:20" ht="12" customHeight="1">
      <c r="A15" s="24"/>
      <c r="B15" s="54" t="s">
        <v>185</v>
      </c>
      <c r="C15" s="70" t="s">
        <v>207</v>
      </c>
      <c r="D15" s="267">
        <v>0.57999999999999996</v>
      </c>
      <c r="E15" s="72">
        <v>8.9599999999999999E-2</v>
      </c>
      <c r="F15" s="207">
        <v>9.2299999999999993E-2</v>
      </c>
      <c r="G15" s="207">
        <v>0.45240000000000002</v>
      </c>
      <c r="H15" s="271">
        <v>0.77979829617667495</v>
      </c>
      <c r="I15" s="281">
        <f t="shared" si="0"/>
        <v>-0.34447982099426727</v>
      </c>
      <c r="M15" s="268"/>
      <c r="N15" s="268"/>
      <c r="O15" s="268"/>
      <c r="P15" s="268"/>
      <c r="Q15" s="268"/>
      <c r="R15" s="268"/>
      <c r="S15" s="268"/>
      <c r="T15" s="3"/>
    </row>
    <row r="16" spans="1:20" ht="12" customHeight="1">
      <c r="A16" s="7"/>
      <c r="B16" s="95" t="s">
        <v>127</v>
      </c>
      <c r="C16" s="95" t="s">
        <v>141</v>
      </c>
      <c r="D16" s="267">
        <v>1.81</v>
      </c>
      <c r="E16" s="72">
        <v>0.1845</v>
      </c>
      <c r="F16" s="207">
        <v>0.13</v>
      </c>
      <c r="G16" s="207">
        <v>0.31040000000000001</v>
      </c>
      <c r="H16" s="271">
        <v>2.3546968957259118</v>
      </c>
      <c r="I16" s="281">
        <f t="shared" si="0"/>
        <v>-0.30093751145077996</v>
      </c>
      <c r="K16" s="268"/>
      <c r="L16" s="268"/>
      <c r="M16" s="268"/>
      <c r="N16" s="268"/>
      <c r="O16" s="268"/>
      <c r="P16" s="268"/>
      <c r="Q16" s="268"/>
      <c r="R16" s="268"/>
      <c r="S16" s="268"/>
      <c r="T16" s="3"/>
    </row>
    <row r="17" spans="1:20" ht="12" customHeight="1">
      <c r="A17" s="189"/>
      <c r="B17" s="70" t="s">
        <v>120</v>
      </c>
      <c r="C17" s="220" t="s">
        <v>134</v>
      </c>
      <c r="D17" s="267">
        <v>1.7</v>
      </c>
      <c r="E17" s="72">
        <v>0.16370000000000001</v>
      </c>
      <c r="F17" s="207">
        <v>0.106</v>
      </c>
      <c r="G17" s="207">
        <v>0.4103</v>
      </c>
      <c r="H17" s="271">
        <v>2.0234161830634316</v>
      </c>
      <c r="I17" s="281">
        <f t="shared" si="0"/>
        <v>-0.19024481356672451</v>
      </c>
      <c r="K17" s="272"/>
      <c r="L17" s="272"/>
      <c r="M17" s="272"/>
      <c r="N17" s="272"/>
      <c r="O17" s="272"/>
      <c r="P17" s="272"/>
      <c r="Q17" s="268"/>
      <c r="R17" s="268"/>
      <c r="S17" s="268"/>
      <c r="T17" s="3"/>
    </row>
    <row r="18" spans="1:20" ht="12" customHeight="1">
      <c r="A18" s="27"/>
      <c r="B18" s="70" t="s">
        <v>112</v>
      </c>
      <c r="C18" s="220" t="s">
        <v>168</v>
      </c>
      <c r="D18" s="267">
        <v>1.88</v>
      </c>
      <c r="E18" s="72">
        <v>0.16339999999999999</v>
      </c>
      <c r="F18" s="207">
        <v>0.127</v>
      </c>
      <c r="G18" s="207">
        <v>0.3639</v>
      </c>
      <c r="H18" s="271">
        <v>2.1975658901898023</v>
      </c>
      <c r="I18" s="281">
        <f t="shared" si="0"/>
        <v>-0.16891802669670342</v>
      </c>
      <c r="K18" s="273"/>
      <c r="L18" s="291"/>
      <c r="M18" s="291"/>
      <c r="N18" s="291"/>
      <c r="O18" s="291"/>
      <c r="P18" s="291"/>
      <c r="Q18" s="268"/>
      <c r="R18" s="268"/>
      <c r="S18" s="268"/>
      <c r="T18" s="3"/>
    </row>
    <row r="19" spans="1:20" ht="12" customHeight="1">
      <c r="B19" s="54" t="s">
        <v>189</v>
      </c>
      <c r="C19" s="70" t="s">
        <v>211</v>
      </c>
      <c r="D19" s="267">
        <v>0.35</v>
      </c>
      <c r="E19" s="72">
        <v>9.9199999999999997E-2</v>
      </c>
      <c r="F19" s="207">
        <v>6.2E-2</v>
      </c>
      <c r="G19" s="207">
        <v>0.45669999999999999</v>
      </c>
      <c r="H19" s="271">
        <v>0.40167672401487198</v>
      </c>
      <c r="I19" s="281">
        <f t="shared" si="0"/>
        <v>-0.14764778289963429</v>
      </c>
      <c r="K19" s="269"/>
      <c r="L19" s="269"/>
      <c r="M19" s="270"/>
      <c r="N19" s="270"/>
      <c r="O19" s="270"/>
      <c r="P19" s="270"/>
      <c r="Q19" s="268"/>
      <c r="R19" s="268"/>
      <c r="S19" s="268"/>
      <c r="T19" s="3"/>
    </row>
    <row r="20" spans="1:20" ht="12" customHeight="1">
      <c r="B20" s="70" t="s">
        <v>122</v>
      </c>
      <c r="C20" s="220" t="s">
        <v>136</v>
      </c>
      <c r="D20" s="267">
        <v>0.89</v>
      </c>
      <c r="E20" s="72">
        <v>0.13059999999999999</v>
      </c>
      <c r="F20" s="207">
        <v>6.3200000000000006E-2</v>
      </c>
      <c r="G20" s="207">
        <v>0.4662</v>
      </c>
      <c r="H20" s="271">
        <v>0.96411750859853762</v>
      </c>
      <c r="I20" s="281">
        <f t="shared" si="0"/>
        <v>-8.3278099548918655E-2</v>
      </c>
      <c r="K20" s="269"/>
      <c r="L20" s="269"/>
      <c r="M20" s="270"/>
      <c r="N20" s="270"/>
      <c r="O20" s="270"/>
      <c r="P20" s="270"/>
      <c r="Q20" s="268"/>
      <c r="R20" s="268"/>
      <c r="S20" s="268"/>
      <c r="T20" s="3"/>
    </row>
    <row r="21" spans="1:20" ht="12" customHeight="1">
      <c r="B21" s="70" t="s">
        <v>192</v>
      </c>
      <c r="C21" s="220" t="s">
        <v>213</v>
      </c>
      <c r="D21" s="267">
        <v>0.81</v>
      </c>
      <c r="E21" s="72">
        <v>0.1061</v>
      </c>
      <c r="F21" s="207">
        <v>8.7400000000000005E-2</v>
      </c>
      <c r="G21" s="207">
        <v>0.39250000000000002</v>
      </c>
      <c r="H21" s="271">
        <v>0.69265869102398714</v>
      </c>
      <c r="I21" s="281">
        <f t="shared" si="0"/>
        <v>0.14486581355063322</v>
      </c>
      <c r="K21" s="269"/>
      <c r="L21" s="269"/>
      <c r="M21" s="270"/>
      <c r="N21" s="270"/>
      <c r="O21" s="270"/>
      <c r="P21" s="270"/>
      <c r="Q21" s="268"/>
      <c r="R21" s="268"/>
      <c r="S21" s="268"/>
      <c r="T21" s="3"/>
    </row>
    <row r="22" spans="1:20" ht="12" customHeight="1">
      <c r="B22" s="95" t="s">
        <v>183</v>
      </c>
      <c r="C22" s="70" t="s">
        <v>205</v>
      </c>
      <c r="D22" s="267">
        <v>1.54</v>
      </c>
      <c r="E22" s="72">
        <v>0.1168</v>
      </c>
      <c r="F22" s="207">
        <v>0.122</v>
      </c>
      <c r="G22" s="207">
        <v>0.34670000000000001</v>
      </c>
      <c r="H22" s="271">
        <v>1.2909856481748996</v>
      </c>
      <c r="I22" s="281">
        <f t="shared" si="0"/>
        <v>0.16169763105526003</v>
      </c>
      <c r="K22" s="268"/>
      <c r="L22" s="268"/>
      <c r="M22" s="268"/>
      <c r="N22" s="268"/>
      <c r="O22" s="268"/>
      <c r="P22" s="268"/>
      <c r="Q22" s="268"/>
      <c r="R22" s="268"/>
      <c r="S22" s="268"/>
      <c r="T22" s="3"/>
    </row>
    <row r="23" spans="1:20" s="27" customFormat="1" ht="12" customHeight="1">
      <c r="A23" s="2"/>
      <c r="B23" s="70" t="s">
        <v>124</v>
      </c>
      <c r="C23" s="70" t="s">
        <v>138</v>
      </c>
      <c r="D23" s="267">
        <v>1.1100000000000001</v>
      </c>
      <c r="E23" s="72">
        <v>0.11600000000000001</v>
      </c>
      <c r="F23" s="207">
        <v>3.1600000000000003E-2</v>
      </c>
      <c r="G23" s="207">
        <v>0.64090000000000003</v>
      </c>
      <c r="H23" s="271">
        <v>0.91911234260621644</v>
      </c>
      <c r="I23" s="281">
        <f t="shared" si="0"/>
        <v>0.1719708625169222</v>
      </c>
      <c r="K23" s="273"/>
      <c r="L23" s="291"/>
      <c r="M23" s="291"/>
      <c r="N23" s="291"/>
      <c r="O23" s="291"/>
      <c r="P23" s="291"/>
      <c r="Q23" s="291"/>
      <c r="R23" s="291"/>
      <c r="S23" s="291"/>
      <c r="T23" s="26"/>
    </row>
    <row r="24" spans="1:20" ht="12" customHeight="1">
      <c r="B24" s="70" t="s">
        <v>119</v>
      </c>
      <c r="C24" s="220" t="s">
        <v>133</v>
      </c>
      <c r="D24" s="267">
        <v>3.7</v>
      </c>
      <c r="E24" s="72">
        <v>0.223</v>
      </c>
      <c r="F24" s="207">
        <v>0.14199999999999999</v>
      </c>
      <c r="G24" s="207">
        <v>0.28029999999999999</v>
      </c>
      <c r="H24" s="271">
        <v>3.0535778598232217</v>
      </c>
      <c r="I24" s="281">
        <f t="shared" si="0"/>
        <v>0.17470868653426444</v>
      </c>
      <c r="K24" s="269"/>
      <c r="L24" s="270"/>
      <c r="M24" s="270"/>
      <c r="N24" s="270"/>
      <c r="O24" s="270"/>
      <c r="P24" s="270"/>
      <c r="Q24" s="270"/>
      <c r="R24" s="270"/>
      <c r="S24" s="270"/>
      <c r="T24" s="3"/>
    </row>
    <row r="25" spans="1:20" ht="12" customHeight="1">
      <c r="B25" s="70" t="s">
        <v>117</v>
      </c>
      <c r="C25" s="70" t="s">
        <v>131</v>
      </c>
      <c r="D25" s="267">
        <v>3.22</v>
      </c>
      <c r="E25" s="231">
        <v>0.1787</v>
      </c>
      <c r="F25" s="233">
        <v>0.16600000000000001</v>
      </c>
      <c r="G25" s="233">
        <v>0.2364</v>
      </c>
      <c r="H25" s="271">
        <v>2.5933043097331718</v>
      </c>
      <c r="I25" s="281">
        <f t="shared" si="0"/>
        <v>0.19462599076609574</v>
      </c>
      <c r="K25" s="269"/>
      <c r="L25" s="270"/>
      <c r="M25" s="270"/>
      <c r="N25" s="270"/>
      <c r="O25" s="270"/>
      <c r="P25" s="270"/>
      <c r="Q25" s="270"/>
      <c r="R25" s="270"/>
      <c r="S25" s="270"/>
      <c r="T25" s="3"/>
    </row>
    <row r="26" spans="1:20" ht="12" customHeight="1">
      <c r="B26" s="226" t="s">
        <v>178</v>
      </c>
      <c r="C26" s="220" t="s">
        <v>200</v>
      </c>
      <c r="D26" s="267">
        <v>15</v>
      </c>
      <c r="E26" s="72">
        <v>0.5625</v>
      </c>
      <c r="F26" s="207">
        <v>0.28399999999999997</v>
      </c>
      <c r="G26" s="207">
        <v>0.50790000000000002</v>
      </c>
      <c r="H26" s="271">
        <v>12.018115698036807</v>
      </c>
      <c r="I26" s="281">
        <f t="shared" si="0"/>
        <v>0.19879228679754621</v>
      </c>
      <c r="K26" s="269"/>
      <c r="L26" s="270"/>
      <c r="M26" s="270"/>
      <c r="N26" s="270"/>
      <c r="O26" s="270"/>
      <c r="P26" s="270"/>
      <c r="Q26" s="270"/>
      <c r="R26" s="270"/>
      <c r="S26" s="270"/>
      <c r="T26" s="3"/>
    </row>
    <row r="27" spans="1:20" ht="12" customHeight="1">
      <c r="B27" s="70" t="s">
        <v>190</v>
      </c>
      <c r="C27" s="220" t="s">
        <v>212</v>
      </c>
      <c r="D27" s="267">
        <v>0.56000000000000005</v>
      </c>
      <c r="E27" s="72">
        <v>0.12820000000000001</v>
      </c>
      <c r="F27" s="207">
        <v>4.3299999999999998E-2</v>
      </c>
      <c r="G27" s="207">
        <v>0.43540000000000001</v>
      </c>
      <c r="H27" s="271">
        <v>0.43102774326608628</v>
      </c>
      <c r="I27" s="281">
        <f t="shared" si="0"/>
        <v>0.23030760131056027</v>
      </c>
      <c r="K27" s="269"/>
      <c r="L27" s="270"/>
      <c r="M27" s="270"/>
      <c r="N27" s="270"/>
      <c r="O27" s="270"/>
      <c r="P27" s="270"/>
      <c r="Q27" s="270"/>
      <c r="R27" s="270"/>
      <c r="S27" s="270"/>
      <c r="T27" s="3"/>
    </row>
    <row r="28" spans="1:20" ht="12" customHeight="1">
      <c r="B28" s="70" t="s">
        <v>208</v>
      </c>
      <c r="C28" s="226" t="s">
        <v>196</v>
      </c>
      <c r="D28" s="267">
        <v>1.42</v>
      </c>
      <c r="E28" s="72">
        <v>0.12839999999999999</v>
      </c>
      <c r="F28" s="207">
        <v>8.5500000000000007E-2</v>
      </c>
      <c r="G28" s="207">
        <v>0.40329999999999999</v>
      </c>
      <c r="H28" s="271">
        <v>1.0598250950796804</v>
      </c>
      <c r="I28" s="281">
        <f t="shared" si="0"/>
        <v>0.2536442992396617</v>
      </c>
      <c r="J28" s="268"/>
      <c r="K28" s="268"/>
      <c r="L28" s="268"/>
      <c r="M28" s="268"/>
      <c r="N28" s="268"/>
      <c r="O28" s="268"/>
      <c r="P28" s="268"/>
      <c r="Q28" s="268"/>
      <c r="R28" s="268"/>
      <c r="S28" s="3"/>
      <c r="T28" s="3"/>
    </row>
    <row r="29" spans="1:20" ht="12" customHeight="1">
      <c r="B29" s="70" t="s">
        <v>123</v>
      </c>
      <c r="C29" s="70" t="s">
        <v>137</v>
      </c>
      <c r="D29" s="267">
        <v>6.04</v>
      </c>
      <c r="E29" s="72">
        <v>0.215</v>
      </c>
      <c r="F29" s="207">
        <v>0.183</v>
      </c>
      <c r="G29" s="207">
        <v>0.42820000000000003</v>
      </c>
      <c r="H29" s="271">
        <v>4.3135209353218116</v>
      </c>
      <c r="I29" s="281">
        <f t="shared" si="0"/>
        <v>0.28584090474804447</v>
      </c>
      <c r="J29" s="268"/>
      <c r="K29" s="268"/>
      <c r="L29" s="268"/>
      <c r="M29" s="268"/>
      <c r="N29" s="268"/>
      <c r="O29" s="268"/>
      <c r="P29" s="268"/>
      <c r="Q29" s="268"/>
      <c r="R29" s="268"/>
      <c r="S29" s="3"/>
      <c r="T29" s="3"/>
    </row>
    <row r="30" spans="1:20" ht="12" customHeight="1">
      <c r="B30" s="226" t="s">
        <v>128</v>
      </c>
      <c r="C30" s="226" t="s">
        <v>142</v>
      </c>
      <c r="D30" s="267">
        <v>0.44</v>
      </c>
      <c r="E30" s="72">
        <v>0.16639999999999999</v>
      </c>
      <c r="F30" s="207">
        <v>-1.3100000000000001E-2</v>
      </c>
      <c r="G30" s="207">
        <v>0.50249999999999995</v>
      </c>
      <c r="H30" s="271">
        <v>0.30767447057603947</v>
      </c>
      <c r="I30" s="281">
        <f t="shared" si="0"/>
        <v>0.3007398395999103</v>
      </c>
      <c r="J30" s="268"/>
      <c r="K30" s="268"/>
      <c r="L30" s="268"/>
      <c r="M30" s="268"/>
      <c r="N30" s="268"/>
      <c r="O30" s="268"/>
      <c r="P30" s="268"/>
      <c r="Q30" s="268"/>
      <c r="R30" s="268"/>
      <c r="S30" s="3"/>
      <c r="T30" s="3"/>
    </row>
    <row r="31" spans="1:20" ht="12" customHeight="1">
      <c r="B31" s="70" t="s">
        <v>118</v>
      </c>
      <c r="C31" s="220" t="s">
        <v>132</v>
      </c>
      <c r="D31" s="267">
        <v>3.61</v>
      </c>
      <c r="E31" s="72">
        <v>0.1472</v>
      </c>
      <c r="F31" s="207">
        <v>0.159</v>
      </c>
      <c r="G31" s="207">
        <v>0.3377</v>
      </c>
      <c r="H31" s="271">
        <v>2.4062586280417357</v>
      </c>
      <c r="I31" s="281">
        <f t="shared" si="0"/>
        <v>0.33344636342334188</v>
      </c>
      <c r="J31" s="272"/>
      <c r="K31" s="272"/>
      <c r="L31" s="272"/>
      <c r="M31" s="268"/>
      <c r="N31" s="268"/>
      <c r="O31" s="268"/>
      <c r="P31" s="268"/>
      <c r="Q31" s="268"/>
      <c r="R31" s="268"/>
    </row>
    <row r="32" spans="1:20" ht="12" customHeight="1">
      <c r="B32" s="95" t="s">
        <v>186</v>
      </c>
      <c r="C32" s="95" t="s">
        <v>186</v>
      </c>
      <c r="D32" s="267">
        <v>0.35</v>
      </c>
      <c r="E32" s="72">
        <v>0.1173</v>
      </c>
      <c r="F32" s="207">
        <v>4.0500000000000001E-2</v>
      </c>
      <c r="G32" s="207">
        <v>0.43109999999999998</v>
      </c>
      <c r="H32" s="271">
        <v>0.18819991708646278</v>
      </c>
      <c r="I32" s="281">
        <f t="shared" si="0"/>
        <v>0.46228595118153487</v>
      </c>
      <c r="J32" s="272"/>
      <c r="K32" s="272"/>
      <c r="L32" s="272"/>
      <c r="M32" s="268"/>
      <c r="N32" s="268"/>
      <c r="O32" s="268"/>
      <c r="P32" s="268"/>
      <c r="Q32" s="268"/>
      <c r="R32" s="268"/>
    </row>
    <row r="33" spans="2:18" ht="12" customHeight="1">
      <c r="B33" s="70" t="s">
        <v>182</v>
      </c>
      <c r="C33" s="70" t="s">
        <v>204</v>
      </c>
      <c r="D33" s="267">
        <v>0.35</v>
      </c>
      <c r="E33" s="72">
        <v>0.11310000000000001</v>
      </c>
      <c r="F33" s="207">
        <v>4.1500000000000002E-2</v>
      </c>
      <c r="G33" s="207">
        <v>0.44130000000000003</v>
      </c>
      <c r="H33" s="271">
        <v>0.18393228136686557</v>
      </c>
      <c r="I33" s="281">
        <f t="shared" si="0"/>
        <v>0.47447919609466976</v>
      </c>
      <c r="J33" s="273"/>
      <c r="K33" s="273"/>
      <c r="L33" s="273"/>
      <c r="M33" s="268"/>
      <c r="N33" s="268"/>
      <c r="O33" s="268"/>
      <c r="P33" s="268"/>
      <c r="Q33" s="268"/>
      <c r="R33" s="268"/>
    </row>
    <row r="34" spans="2:18" ht="12" customHeight="1">
      <c r="B34" s="70" t="s">
        <v>121</v>
      </c>
      <c r="C34" s="220" t="s">
        <v>135</v>
      </c>
      <c r="D34" s="267">
        <v>2.56</v>
      </c>
      <c r="E34" s="72">
        <v>0.18890000000000001</v>
      </c>
      <c r="F34" s="207">
        <v>7.4000000000000003E-3</v>
      </c>
      <c r="G34" s="207">
        <v>0.5494</v>
      </c>
      <c r="H34" s="271">
        <v>1.241347383816269</v>
      </c>
      <c r="I34" s="281">
        <f t="shared" si="0"/>
        <v>0.51509867819676991</v>
      </c>
      <c r="J34" s="269"/>
      <c r="K34" s="269"/>
      <c r="L34" s="269"/>
      <c r="M34" s="268"/>
      <c r="N34" s="268"/>
      <c r="O34" s="268"/>
      <c r="P34" s="268"/>
      <c r="Q34" s="268"/>
      <c r="R34" s="268"/>
    </row>
    <row r="35" spans="2:18" ht="12" customHeight="1">
      <c r="B35" s="95" t="s">
        <v>191</v>
      </c>
      <c r="C35" s="220" t="s">
        <v>197</v>
      </c>
      <c r="D35" s="267">
        <v>0.56999999999999995</v>
      </c>
      <c r="E35" s="72">
        <v>0.1132</v>
      </c>
      <c r="F35" s="207">
        <v>4.2599999999999999E-2</v>
      </c>
      <c r="G35" s="207">
        <v>0.41770000000000002</v>
      </c>
      <c r="H35" s="271">
        <v>0.10277087822946962</v>
      </c>
      <c r="I35" s="281">
        <f t="shared" si="0"/>
        <v>0.81970021363250944</v>
      </c>
      <c r="J35" s="269"/>
      <c r="K35" s="269"/>
      <c r="L35" s="269"/>
      <c r="M35" s="268"/>
      <c r="N35" s="268"/>
      <c r="O35" s="268"/>
      <c r="P35" s="268"/>
      <c r="Q35" s="268"/>
      <c r="R35" s="268"/>
    </row>
    <row r="36" spans="2:18" ht="12" customHeight="1">
      <c r="B36" s="70" t="s">
        <v>126</v>
      </c>
      <c r="C36" s="70" t="s">
        <v>140</v>
      </c>
      <c r="D36" s="267">
        <v>1.1100000000000001</v>
      </c>
      <c r="E36" s="72">
        <v>0.14879999999999999</v>
      </c>
      <c r="F36" s="207">
        <v>7.0000000000000001E-3</v>
      </c>
      <c r="G36" s="207">
        <v>0.40310000000000001</v>
      </c>
      <c r="H36" s="271">
        <v>-4.0250827962329039E-2</v>
      </c>
      <c r="I36" s="281">
        <f t="shared" si="0"/>
        <v>1.0362620071732693</v>
      </c>
      <c r="J36" s="269"/>
      <c r="K36" s="269"/>
      <c r="L36" s="269"/>
      <c r="M36" s="268"/>
      <c r="N36" s="268"/>
      <c r="O36" s="268"/>
      <c r="P36" s="268"/>
      <c r="Q36" s="268"/>
      <c r="R36" s="268"/>
    </row>
    <row r="37" spans="2:18" ht="12" customHeight="1">
      <c r="B37" s="95" t="s">
        <v>175</v>
      </c>
      <c r="C37" s="70" t="s">
        <v>199</v>
      </c>
      <c r="D37" s="267">
        <v>1.05</v>
      </c>
      <c r="E37" s="72">
        <v>0.17699999999999999</v>
      </c>
      <c r="F37" s="207">
        <v>-0.13100000000000001</v>
      </c>
      <c r="G37" s="207">
        <v>0.48330000000000001</v>
      </c>
      <c r="H37" s="271">
        <v>-1.7454562550336394</v>
      </c>
      <c r="I37" s="281">
        <f t="shared" si="0"/>
        <v>2.6623392905082279</v>
      </c>
      <c r="J37" s="269"/>
      <c r="K37" s="269"/>
      <c r="L37" s="269"/>
      <c r="M37" s="268"/>
      <c r="N37" s="268"/>
      <c r="O37" s="268"/>
      <c r="P37" s="268"/>
      <c r="Q37" s="268"/>
      <c r="R37" s="268"/>
    </row>
    <row r="38" spans="2:18" ht="12" customHeight="1">
      <c r="B38" s="70" t="s">
        <v>180</v>
      </c>
      <c r="C38" s="220" t="s">
        <v>202</v>
      </c>
      <c r="D38" s="267">
        <v>0.28000000000000003</v>
      </c>
      <c r="E38" s="72">
        <v>0.12790000000000001</v>
      </c>
      <c r="F38" s="207">
        <v>7.7000000000000002E-3</v>
      </c>
      <c r="G38" s="207">
        <v>0.36899999999999999</v>
      </c>
      <c r="H38" s="271">
        <v>-0.50831095874841647</v>
      </c>
      <c r="I38" s="281">
        <f t="shared" si="0"/>
        <v>2.8153962812443445</v>
      </c>
      <c r="J38" s="269"/>
      <c r="K38" s="269"/>
      <c r="L38" s="269"/>
      <c r="M38" s="268"/>
      <c r="N38" s="268"/>
      <c r="O38" s="268"/>
      <c r="P38" s="268"/>
      <c r="Q38" s="268"/>
      <c r="R38" s="268"/>
    </row>
    <row r="39" spans="2:18" ht="12" customHeight="1">
      <c r="J39" s="269"/>
      <c r="K39" s="269"/>
      <c r="L39" s="269"/>
      <c r="M39" s="268"/>
      <c r="N39" s="268"/>
      <c r="O39" s="268"/>
      <c r="P39" s="268"/>
      <c r="Q39" s="268"/>
      <c r="R39" s="268"/>
    </row>
    <row r="40" spans="2:18" ht="12" customHeight="1">
      <c r="B40" s="7"/>
      <c r="C40" s="266"/>
      <c r="G40" s="12"/>
      <c r="J40" s="269"/>
      <c r="K40" s="269"/>
      <c r="L40" s="269"/>
      <c r="M40" s="268"/>
      <c r="N40" s="268"/>
      <c r="O40" s="268"/>
      <c r="P40" s="268"/>
      <c r="Q40" s="268"/>
      <c r="R40" s="268"/>
    </row>
    <row r="41" spans="2:18" ht="12" customHeight="1">
      <c r="C41" s="266"/>
      <c r="G41" s="8"/>
      <c r="J41" s="269"/>
      <c r="K41" s="269"/>
      <c r="L41" s="269"/>
      <c r="M41" s="268"/>
      <c r="N41" s="268"/>
      <c r="O41" s="268"/>
      <c r="P41" s="268"/>
      <c r="Q41" s="268"/>
      <c r="R41" s="268"/>
    </row>
    <row r="42" spans="2:18" ht="12" customHeight="1">
      <c r="B42" s="272"/>
      <c r="C42" s="272"/>
      <c r="D42" s="272"/>
      <c r="E42" s="272"/>
      <c r="F42" s="272"/>
      <c r="G42" s="272"/>
      <c r="H42" s="272"/>
      <c r="I42" s="272"/>
      <c r="J42" s="272"/>
      <c r="K42" s="269"/>
      <c r="L42" s="269"/>
      <c r="M42" s="268"/>
      <c r="N42" s="268"/>
      <c r="O42" s="268"/>
      <c r="P42" s="268"/>
      <c r="Q42" s="268"/>
      <c r="R42" s="268"/>
    </row>
    <row r="43" spans="2:18" ht="12" customHeight="1">
      <c r="B43" s="272"/>
      <c r="C43" s="272"/>
      <c r="D43" s="272"/>
      <c r="E43" s="272"/>
      <c r="F43" s="272"/>
      <c r="G43" s="272"/>
      <c r="H43" s="272"/>
      <c r="I43" s="272"/>
      <c r="J43" s="272"/>
      <c r="K43" s="269"/>
      <c r="L43" s="269"/>
      <c r="M43" s="268"/>
      <c r="N43" s="268"/>
      <c r="O43" s="268"/>
      <c r="P43" s="268"/>
      <c r="Q43" s="268"/>
      <c r="R43" s="268"/>
    </row>
    <row r="44" spans="2:18" ht="12" customHeight="1">
      <c r="B44" s="282"/>
      <c r="C44" s="282"/>
      <c r="D44" s="272"/>
      <c r="E44" s="272"/>
      <c r="F44" s="272"/>
      <c r="G44" s="272"/>
      <c r="H44" s="272"/>
      <c r="I44" s="272"/>
      <c r="J44" s="272"/>
      <c r="K44" s="269"/>
      <c r="L44" s="269"/>
      <c r="M44" s="268"/>
      <c r="N44" s="268"/>
      <c r="O44" s="268"/>
      <c r="P44" s="268"/>
      <c r="Q44" s="268"/>
      <c r="R44" s="268"/>
    </row>
    <row r="45" spans="2:18" ht="12" customHeight="1">
      <c r="B45" s="269"/>
      <c r="C45" s="269"/>
      <c r="D45" s="272"/>
      <c r="E45" s="272"/>
      <c r="F45" s="272"/>
      <c r="G45" s="272"/>
      <c r="H45" s="272"/>
      <c r="I45" s="272"/>
      <c r="J45" s="272"/>
      <c r="K45" s="269"/>
      <c r="L45" s="269"/>
      <c r="M45" s="268"/>
      <c r="N45" s="268"/>
      <c r="O45" s="268"/>
      <c r="P45" s="268"/>
      <c r="Q45" s="268"/>
      <c r="R45" s="268"/>
    </row>
    <row r="46" spans="2:18" ht="12" customHeight="1">
      <c r="B46" s="269"/>
      <c r="C46" s="269"/>
      <c r="D46" s="272"/>
      <c r="E46" s="272"/>
      <c r="F46" s="272"/>
      <c r="G46" s="272"/>
      <c r="H46" s="272"/>
      <c r="I46" s="272"/>
      <c r="J46" s="272"/>
      <c r="K46" s="269"/>
      <c r="L46" s="269"/>
      <c r="M46" s="268"/>
      <c r="N46" s="268"/>
      <c r="O46" s="268"/>
      <c r="P46" s="268"/>
      <c r="Q46" s="268"/>
      <c r="R46" s="268"/>
    </row>
    <row r="47" spans="2:18" ht="12" customHeight="1">
      <c r="B47" s="269"/>
      <c r="C47" s="269"/>
      <c r="D47" s="272"/>
      <c r="E47" s="272"/>
      <c r="F47" s="272"/>
      <c r="G47" s="272"/>
      <c r="H47" s="272"/>
      <c r="I47" s="272"/>
      <c r="J47" s="272"/>
      <c r="K47" s="269"/>
      <c r="L47" s="269"/>
      <c r="M47" s="268"/>
      <c r="N47" s="268"/>
      <c r="O47" s="268"/>
      <c r="P47" s="268"/>
      <c r="Q47" s="268"/>
      <c r="R47" s="268"/>
    </row>
    <row r="48" spans="2:18" ht="12" customHeight="1">
      <c r="B48" s="269"/>
      <c r="C48" s="269"/>
      <c r="D48" s="272"/>
      <c r="E48" s="272"/>
      <c r="F48" s="272"/>
      <c r="G48" s="272"/>
      <c r="H48" s="272"/>
      <c r="I48" s="272"/>
      <c r="J48" s="272"/>
      <c r="K48" s="269"/>
      <c r="L48" s="269"/>
      <c r="M48" s="268"/>
      <c r="N48" s="268"/>
      <c r="O48" s="268"/>
      <c r="P48" s="268"/>
      <c r="Q48" s="268"/>
      <c r="R48" s="268"/>
    </row>
    <row r="49" spans="2:18" ht="12" customHeight="1">
      <c r="B49" s="269"/>
      <c r="C49" s="269"/>
      <c r="D49" s="272"/>
      <c r="E49" s="272"/>
      <c r="F49" s="272"/>
      <c r="G49" s="272"/>
      <c r="H49" s="272"/>
      <c r="I49" s="272"/>
      <c r="J49" s="272"/>
      <c r="K49" s="269"/>
      <c r="L49" s="269"/>
      <c r="M49" s="268"/>
      <c r="N49" s="268"/>
      <c r="O49" s="268"/>
      <c r="P49" s="268"/>
      <c r="Q49" s="268"/>
      <c r="R49" s="268"/>
    </row>
    <row r="50" spans="2:18" ht="12" customHeight="1">
      <c r="B50" s="272"/>
      <c r="C50" s="272"/>
      <c r="D50" s="272"/>
      <c r="E50" s="272"/>
      <c r="F50" s="272"/>
      <c r="G50" s="272"/>
      <c r="H50" s="272"/>
      <c r="I50" s="272"/>
      <c r="J50" s="272"/>
      <c r="K50" s="269"/>
      <c r="L50" s="269"/>
      <c r="M50" s="268"/>
      <c r="N50" s="268"/>
      <c r="O50" s="268"/>
      <c r="P50" s="268"/>
      <c r="Q50" s="268"/>
      <c r="R50" s="268"/>
    </row>
    <row r="51" spans="2:18" ht="12" customHeight="1">
      <c r="B51" s="272"/>
      <c r="C51" s="272"/>
      <c r="D51" s="272"/>
      <c r="E51" s="272"/>
      <c r="F51" s="272"/>
      <c r="G51" s="272"/>
      <c r="H51" s="272"/>
      <c r="I51" s="272"/>
      <c r="J51" s="272"/>
      <c r="K51" s="269"/>
      <c r="L51" s="269"/>
      <c r="M51" s="268"/>
      <c r="N51" s="268"/>
      <c r="O51" s="268"/>
      <c r="P51" s="268"/>
      <c r="Q51" s="268"/>
      <c r="R51" s="268"/>
    </row>
    <row r="52" spans="2:18" ht="12" customHeight="1">
      <c r="B52" s="273"/>
      <c r="C52" s="273"/>
      <c r="D52" s="273"/>
      <c r="E52" s="273"/>
      <c r="F52" s="273"/>
      <c r="G52" s="273"/>
      <c r="H52" s="272"/>
      <c r="I52" s="272"/>
      <c r="J52" s="272"/>
      <c r="K52" s="269"/>
      <c r="L52" s="269"/>
      <c r="M52" s="268"/>
      <c r="N52" s="268"/>
      <c r="O52" s="268"/>
      <c r="P52" s="268"/>
      <c r="Q52" s="268"/>
      <c r="R52" s="268"/>
    </row>
    <row r="53" spans="2:18" ht="12" customHeight="1">
      <c r="B53" s="269"/>
      <c r="C53" s="269"/>
      <c r="D53" s="269"/>
      <c r="E53" s="269"/>
      <c r="F53" s="269"/>
      <c r="G53" s="269"/>
      <c r="H53" s="272"/>
      <c r="I53" s="272"/>
      <c r="J53" s="272"/>
      <c r="K53" s="269"/>
      <c r="L53" s="269"/>
      <c r="M53" s="268"/>
      <c r="N53" s="268"/>
      <c r="O53" s="268"/>
      <c r="P53" s="268"/>
      <c r="Q53" s="268"/>
      <c r="R53" s="268"/>
    </row>
    <row r="54" spans="2:18" ht="12" customHeight="1">
      <c r="B54" s="269"/>
      <c r="C54" s="269"/>
      <c r="D54" s="269"/>
      <c r="E54" s="269"/>
      <c r="F54" s="269"/>
      <c r="G54" s="269"/>
      <c r="H54" s="272"/>
      <c r="I54" s="272"/>
      <c r="J54" s="272"/>
      <c r="K54" s="269"/>
      <c r="L54" s="269"/>
      <c r="M54" s="268"/>
      <c r="N54" s="268"/>
      <c r="O54" s="268"/>
      <c r="P54" s="268"/>
      <c r="Q54" s="268"/>
      <c r="R54" s="268"/>
    </row>
    <row r="55" spans="2:18" ht="12" customHeight="1">
      <c r="B55" s="269"/>
      <c r="C55" s="269"/>
      <c r="D55" s="269"/>
      <c r="E55" s="269"/>
      <c r="F55" s="269"/>
      <c r="G55" s="269"/>
      <c r="H55" s="272"/>
      <c r="I55" s="272"/>
      <c r="J55" s="272"/>
      <c r="K55" s="269"/>
      <c r="L55" s="269"/>
      <c r="M55" s="268"/>
      <c r="N55" s="268"/>
      <c r="O55" s="268"/>
      <c r="P55" s="268"/>
      <c r="Q55" s="268"/>
      <c r="R55" s="268"/>
    </row>
    <row r="56" spans="2:18" ht="12" customHeight="1">
      <c r="B56" s="272"/>
      <c r="C56" s="272"/>
      <c r="D56" s="272"/>
      <c r="E56" s="272"/>
      <c r="F56" s="272"/>
      <c r="G56" s="272"/>
      <c r="H56" s="272"/>
      <c r="I56" s="272"/>
      <c r="J56" s="272"/>
      <c r="K56" s="269"/>
      <c r="L56" s="269"/>
      <c r="M56" s="268"/>
      <c r="N56" s="268"/>
      <c r="O56" s="268"/>
      <c r="P56" s="268"/>
      <c r="Q56" s="268"/>
      <c r="R56" s="268"/>
    </row>
    <row r="57" spans="2:18" ht="12" customHeight="1">
      <c r="B57" s="273"/>
      <c r="C57" s="273"/>
      <c r="D57" s="273"/>
      <c r="E57" s="273"/>
      <c r="F57" s="273"/>
      <c r="G57" s="273"/>
      <c r="H57" s="273"/>
      <c r="I57" s="273"/>
      <c r="J57" s="273"/>
      <c r="K57" s="269"/>
      <c r="L57" s="269"/>
      <c r="M57" s="268"/>
      <c r="N57" s="268"/>
      <c r="O57" s="268"/>
      <c r="P57" s="268"/>
      <c r="Q57" s="268"/>
      <c r="R57" s="268"/>
    </row>
    <row r="58" spans="2:18" ht="12" customHeight="1">
      <c r="B58" s="269"/>
      <c r="C58" s="269"/>
      <c r="D58" s="269"/>
      <c r="E58" s="269"/>
      <c r="F58" s="269"/>
      <c r="G58" s="269"/>
      <c r="H58" s="269"/>
      <c r="I58" s="269"/>
      <c r="J58" s="269"/>
      <c r="K58" s="269"/>
      <c r="L58" s="269"/>
      <c r="M58" s="268"/>
      <c r="N58" s="268"/>
      <c r="O58" s="268"/>
      <c r="P58" s="268"/>
      <c r="Q58" s="268"/>
      <c r="R58" s="268"/>
    </row>
    <row r="59" spans="2:18" ht="12" customHeight="1">
      <c r="B59" s="269"/>
      <c r="C59" s="269"/>
      <c r="D59" s="269"/>
      <c r="E59" s="269"/>
      <c r="F59" s="269"/>
      <c r="G59" s="269"/>
      <c r="H59" s="269"/>
      <c r="I59" s="269"/>
      <c r="J59" s="269"/>
      <c r="K59" s="269"/>
      <c r="L59" s="269"/>
      <c r="M59" s="268"/>
      <c r="N59" s="268"/>
      <c r="O59" s="268"/>
      <c r="P59" s="268"/>
      <c r="Q59" s="268"/>
      <c r="R59" s="268"/>
    </row>
    <row r="60" spans="2:18" ht="12" customHeight="1">
      <c r="B60" s="269"/>
      <c r="C60" s="269"/>
      <c r="D60" s="269"/>
      <c r="E60" s="269"/>
      <c r="F60" s="269"/>
      <c r="G60" s="269"/>
      <c r="H60" s="269"/>
      <c r="I60" s="269"/>
      <c r="J60" s="269"/>
      <c r="K60" s="269"/>
      <c r="L60" s="269"/>
      <c r="M60" s="268"/>
      <c r="N60" s="268"/>
      <c r="O60" s="268"/>
      <c r="P60" s="268"/>
      <c r="Q60" s="268"/>
      <c r="R60" s="268"/>
    </row>
    <row r="61" spans="2:18" ht="12" customHeight="1">
      <c r="B61" s="269"/>
      <c r="C61" s="269"/>
      <c r="D61" s="269"/>
      <c r="E61" s="269"/>
      <c r="F61" s="269"/>
      <c r="G61" s="269"/>
      <c r="H61" s="269"/>
      <c r="I61" s="269"/>
      <c r="J61" s="269"/>
      <c r="K61" s="269"/>
      <c r="L61" s="269"/>
      <c r="M61" s="268"/>
      <c r="N61" s="268"/>
      <c r="O61" s="268"/>
      <c r="P61" s="268"/>
      <c r="Q61" s="268"/>
      <c r="R61" s="268"/>
    </row>
    <row r="62" spans="2:18" ht="12" customHeight="1">
      <c r="B62" s="272"/>
      <c r="C62" s="272"/>
      <c r="D62" s="272"/>
      <c r="E62" s="272"/>
      <c r="F62" s="272"/>
      <c r="G62" s="272"/>
      <c r="H62" s="272"/>
      <c r="I62" s="272"/>
      <c r="J62" s="272"/>
      <c r="K62" s="269"/>
      <c r="L62" s="269"/>
      <c r="M62" s="268"/>
      <c r="N62" s="268"/>
      <c r="O62" s="268"/>
      <c r="P62" s="268"/>
      <c r="Q62" s="268"/>
      <c r="R62" s="268"/>
    </row>
    <row r="63" spans="2:18" ht="12" customHeight="1">
      <c r="B63" s="272"/>
      <c r="C63" s="272"/>
      <c r="D63" s="272"/>
      <c r="E63" s="272"/>
      <c r="F63" s="272"/>
      <c r="G63" s="272"/>
      <c r="H63" s="272"/>
      <c r="I63" s="272"/>
      <c r="J63" s="272"/>
      <c r="K63" s="269"/>
      <c r="L63" s="269"/>
      <c r="M63" s="268"/>
      <c r="N63" s="268"/>
      <c r="O63" s="268"/>
      <c r="P63" s="268"/>
      <c r="Q63" s="268"/>
      <c r="R63" s="268"/>
    </row>
    <row r="64" spans="2:18" ht="12" customHeight="1">
      <c r="B64" s="272"/>
      <c r="C64" s="272"/>
      <c r="D64" s="272"/>
      <c r="E64" s="272"/>
      <c r="F64" s="272"/>
      <c r="G64" s="272"/>
      <c r="H64" s="272"/>
      <c r="I64" s="272"/>
      <c r="J64" s="272"/>
      <c r="K64" s="269"/>
      <c r="L64" s="269"/>
      <c r="M64" s="268"/>
      <c r="N64" s="268"/>
      <c r="O64" s="268"/>
      <c r="P64" s="268"/>
      <c r="Q64" s="268"/>
      <c r="R64" s="268"/>
    </row>
    <row r="65" spans="2:18" ht="12" customHeight="1">
      <c r="B65" s="272"/>
      <c r="C65" s="272"/>
      <c r="D65" s="272"/>
      <c r="E65" s="272"/>
      <c r="F65" s="272"/>
      <c r="G65" s="272"/>
      <c r="H65" s="272"/>
      <c r="I65" s="272"/>
      <c r="J65" s="272"/>
      <c r="K65" s="269"/>
      <c r="L65" s="269"/>
      <c r="M65" s="268"/>
      <c r="N65" s="268"/>
      <c r="O65" s="268"/>
      <c r="P65" s="268"/>
      <c r="Q65" s="268"/>
      <c r="R65" s="268"/>
    </row>
    <row r="66" spans="2:18" ht="12" customHeight="1">
      <c r="B66" s="272"/>
      <c r="C66" s="272"/>
      <c r="D66" s="272"/>
      <c r="E66" s="272"/>
      <c r="F66" s="272"/>
      <c r="G66" s="272"/>
      <c r="H66" s="272"/>
      <c r="I66" s="272"/>
      <c r="J66" s="272"/>
      <c r="K66" s="269"/>
      <c r="L66" s="269"/>
      <c r="M66" s="268"/>
      <c r="N66" s="268"/>
      <c r="O66" s="268"/>
      <c r="P66" s="268"/>
      <c r="Q66" s="268"/>
      <c r="R66" s="268"/>
    </row>
    <row r="67" spans="2:18" ht="12" customHeight="1">
      <c r="B67" s="273"/>
      <c r="C67" s="273"/>
      <c r="D67" s="273"/>
      <c r="E67" s="272"/>
      <c r="F67" s="272"/>
      <c r="G67" s="272"/>
      <c r="H67" s="272"/>
      <c r="I67" s="272"/>
      <c r="J67" s="272"/>
      <c r="K67" s="269"/>
      <c r="L67" s="269"/>
      <c r="M67" s="268"/>
      <c r="N67" s="268"/>
      <c r="O67" s="268"/>
      <c r="P67" s="268"/>
      <c r="Q67" s="268"/>
      <c r="R67" s="268"/>
    </row>
    <row r="68" spans="2:18" ht="12" customHeight="1">
      <c r="B68" s="269"/>
      <c r="C68" s="269"/>
      <c r="D68" s="269"/>
      <c r="E68" s="272"/>
      <c r="F68" s="272"/>
      <c r="G68" s="272"/>
      <c r="H68" s="272"/>
      <c r="I68" s="272"/>
      <c r="J68" s="272"/>
      <c r="K68" s="269"/>
      <c r="L68" s="269"/>
      <c r="M68" s="268"/>
      <c r="N68" s="268"/>
      <c r="O68" s="268"/>
      <c r="P68" s="268"/>
      <c r="Q68" s="268"/>
      <c r="R68" s="268"/>
    </row>
    <row r="69" spans="2:18" ht="12" customHeight="1">
      <c r="B69" s="269"/>
      <c r="C69" s="269"/>
      <c r="D69" s="269"/>
      <c r="E69" s="272"/>
      <c r="F69" s="272"/>
      <c r="G69" s="272"/>
      <c r="H69" s="272"/>
      <c r="I69" s="272"/>
      <c r="J69" s="272"/>
    </row>
    <row r="70" spans="2:18" ht="12" customHeight="1">
      <c r="B70" s="269"/>
      <c r="C70" s="269"/>
      <c r="D70" s="269"/>
      <c r="E70" s="272"/>
      <c r="F70" s="272"/>
      <c r="G70" s="272"/>
      <c r="H70" s="272"/>
      <c r="I70" s="272"/>
      <c r="J70" s="272"/>
    </row>
    <row r="71" spans="2:18" ht="12" customHeight="1">
      <c r="B71" s="269"/>
      <c r="C71" s="269"/>
      <c r="D71" s="269"/>
      <c r="E71" s="272"/>
      <c r="F71" s="272"/>
      <c r="G71" s="272"/>
      <c r="H71" s="272"/>
      <c r="I71" s="272"/>
      <c r="J71" s="272"/>
    </row>
    <row r="72" spans="2:18" ht="12" customHeight="1">
      <c r="B72" s="269"/>
      <c r="C72" s="269"/>
      <c r="D72" s="269"/>
      <c r="E72" s="272"/>
      <c r="F72" s="272"/>
      <c r="G72" s="272"/>
      <c r="H72" s="272"/>
      <c r="I72" s="272"/>
      <c r="J72" s="272"/>
    </row>
    <row r="73" spans="2:18" ht="12" customHeight="1">
      <c r="B73" s="269"/>
      <c r="C73" s="269"/>
      <c r="D73" s="269"/>
      <c r="E73" s="272"/>
      <c r="F73" s="272"/>
      <c r="G73" s="272"/>
      <c r="H73" s="272"/>
      <c r="I73" s="272"/>
      <c r="J73" s="272"/>
    </row>
    <row r="74" spans="2:18" ht="12" customHeight="1">
      <c r="B74" s="269"/>
      <c r="C74" s="269"/>
      <c r="D74" s="269"/>
      <c r="E74" s="272"/>
      <c r="F74" s="272"/>
      <c r="G74" s="272"/>
      <c r="H74" s="272"/>
      <c r="I74" s="272"/>
      <c r="J74" s="272"/>
    </row>
    <row r="75" spans="2:18" ht="12" customHeight="1">
      <c r="B75" s="269"/>
      <c r="C75" s="269"/>
      <c r="D75" s="269"/>
      <c r="E75" s="272"/>
      <c r="F75" s="272"/>
      <c r="G75" s="272"/>
      <c r="H75" s="272"/>
      <c r="I75" s="272"/>
      <c r="J75" s="272"/>
    </row>
    <row r="76" spans="2:18" ht="12" customHeight="1">
      <c r="B76" s="269"/>
      <c r="C76" s="269"/>
      <c r="D76" s="269"/>
      <c r="E76" s="272"/>
      <c r="F76" s="272"/>
      <c r="G76" s="272"/>
      <c r="H76" s="272"/>
      <c r="I76" s="272"/>
      <c r="J76" s="272"/>
    </row>
    <row r="77" spans="2:18" ht="12" customHeight="1">
      <c r="B77" s="269"/>
      <c r="C77" s="269"/>
      <c r="D77" s="269"/>
      <c r="E77" s="272"/>
      <c r="F77" s="272"/>
      <c r="G77" s="272"/>
      <c r="H77" s="272"/>
      <c r="I77" s="272"/>
      <c r="J77" s="272"/>
    </row>
    <row r="78" spans="2:18" ht="12" customHeight="1">
      <c r="B78" s="269"/>
      <c r="C78" s="269"/>
      <c r="D78" s="269"/>
      <c r="E78" s="272"/>
      <c r="F78" s="272"/>
      <c r="G78" s="272"/>
      <c r="H78" s="272"/>
      <c r="I78" s="272"/>
      <c r="J78" s="272"/>
    </row>
    <row r="79" spans="2:18" ht="12" customHeight="1">
      <c r="B79" s="269"/>
      <c r="C79" s="269"/>
      <c r="D79" s="269"/>
      <c r="E79" s="272"/>
      <c r="F79" s="272"/>
      <c r="G79" s="272"/>
      <c r="H79" s="272"/>
      <c r="I79" s="272"/>
      <c r="J79" s="272"/>
    </row>
    <row r="80" spans="2:18" ht="12" customHeight="1">
      <c r="B80" s="269"/>
      <c r="C80" s="269"/>
      <c r="D80" s="269"/>
      <c r="E80" s="272"/>
      <c r="F80" s="272"/>
      <c r="G80" s="272"/>
      <c r="H80" s="272"/>
      <c r="I80" s="272"/>
      <c r="J80" s="272"/>
    </row>
    <row r="81" spans="2:10" ht="12" customHeight="1">
      <c r="B81" s="269"/>
      <c r="C81" s="269"/>
      <c r="D81" s="269"/>
      <c r="E81" s="272"/>
      <c r="F81" s="272"/>
      <c r="G81" s="272"/>
      <c r="H81" s="272"/>
      <c r="I81" s="272"/>
      <c r="J81" s="272"/>
    </row>
    <row r="82" spans="2:10" ht="12" customHeight="1">
      <c r="B82" s="269"/>
      <c r="C82" s="269"/>
      <c r="D82" s="269"/>
      <c r="E82" s="272"/>
      <c r="F82" s="272"/>
      <c r="G82" s="272"/>
      <c r="H82" s="272"/>
      <c r="I82" s="272"/>
      <c r="J82" s="272"/>
    </row>
    <row r="83" spans="2:10" ht="12" customHeight="1">
      <c r="B83" s="269"/>
      <c r="C83" s="269"/>
      <c r="D83" s="269"/>
      <c r="E83" s="272"/>
      <c r="F83" s="272"/>
      <c r="G83" s="272"/>
      <c r="H83" s="272"/>
      <c r="I83" s="272"/>
      <c r="J83" s="272"/>
    </row>
    <row r="84" spans="2:10" ht="12" customHeight="1">
      <c r="B84" s="269"/>
      <c r="C84" s="269"/>
      <c r="D84" s="269"/>
      <c r="E84" s="272"/>
      <c r="F84" s="272"/>
      <c r="G84" s="272"/>
      <c r="H84" s="272"/>
      <c r="I84" s="272"/>
      <c r="J84" s="272"/>
    </row>
    <row r="85" spans="2:10" ht="12" customHeight="1">
      <c r="B85" s="269"/>
      <c r="C85" s="269"/>
      <c r="D85" s="269"/>
      <c r="E85" s="272"/>
      <c r="F85" s="272"/>
      <c r="G85" s="272"/>
      <c r="H85" s="272"/>
      <c r="I85" s="272"/>
      <c r="J85" s="272"/>
    </row>
    <row r="86" spans="2:10" ht="12" customHeight="1">
      <c r="B86" s="269"/>
      <c r="C86" s="269"/>
      <c r="D86" s="269"/>
      <c r="E86" s="272"/>
      <c r="F86" s="272"/>
      <c r="G86" s="272"/>
      <c r="H86" s="272"/>
      <c r="I86" s="272"/>
      <c r="J86" s="272"/>
    </row>
    <row r="87" spans="2:10" ht="12" customHeight="1">
      <c r="B87" s="269"/>
      <c r="C87" s="269"/>
      <c r="D87" s="269"/>
      <c r="E87" s="272"/>
      <c r="F87" s="272"/>
      <c r="G87" s="272"/>
      <c r="H87" s="272"/>
      <c r="I87" s="272"/>
      <c r="J87" s="272"/>
    </row>
    <row r="88" spans="2:10" ht="12" customHeight="1">
      <c r="B88" s="269"/>
      <c r="C88" s="269"/>
      <c r="D88" s="269"/>
      <c r="E88" s="272"/>
      <c r="F88" s="272"/>
      <c r="G88" s="272"/>
      <c r="H88" s="272"/>
      <c r="I88" s="272"/>
      <c r="J88" s="272"/>
    </row>
    <row r="89" spans="2:10" ht="12" customHeight="1">
      <c r="B89" s="269"/>
      <c r="C89" s="269"/>
      <c r="D89" s="269"/>
      <c r="E89" s="272"/>
      <c r="F89" s="272"/>
      <c r="G89" s="272"/>
      <c r="H89" s="272"/>
      <c r="I89" s="272"/>
      <c r="J89" s="272"/>
    </row>
    <row r="90" spans="2:10" ht="12" customHeight="1">
      <c r="B90" s="269"/>
      <c r="C90" s="269"/>
      <c r="D90" s="269"/>
      <c r="E90" s="272"/>
      <c r="F90" s="272"/>
      <c r="G90" s="272"/>
      <c r="H90" s="272"/>
      <c r="I90" s="272"/>
      <c r="J90" s="272"/>
    </row>
    <row r="91" spans="2:10" ht="12" customHeight="1">
      <c r="B91" s="269"/>
      <c r="C91" s="269"/>
      <c r="D91" s="269"/>
      <c r="E91" s="272"/>
      <c r="F91" s="272"/>
      <c r="G91" s="272"/>
      <c r="H91" s="272"/>
      <c r="I91" s="272"/>
      <c r="J91" s="272"/>
    </row>
    <row r="92" spans="2:10" ht="12" customHeight="1">
      <c r="B92" s="269"/>
      <c r="C92" s="269"/>
      <c r="D92" s="269"/>
      <c r="E92" s="272"/>
      <c r="F92" s="272"/>
      <c r="G92" s="272"/>
      <c r="H92" s="272"/>
      <c r="I92" s="272"/>
      <c r="J92" s="272"/>
    </row>
    <row r="93" spans="2:10" ht="12" customHeight="1">
      <c r="B93" s="269"/>
      <c r="C93" s="269"/>
      <c r="D93" s="269"/>
      <c r="E93" s="272"/>
      <c r="F93" s="272"/>
      <c r="G93" s="272"/>
      <c r="H93" s="272"/>
      <c r="I93" s="272"/>
      <c r="J93" s="272"/>
    </row>
    <row r="94" spans="2:10" ht="12" customHeight="1">
      <c r="B94" s="269"/>
      <c r="C94" s="269"/>
      <c r="D94" s="269"/>
      <c r="E94" s="272"/>
      <c r="F94" s="272"/>
      <c r="G94" s="272"/>
      <c r="H94" s="272"/>
      <c r="I94" s="272"/>
      <c r="J94" s="272"/>
    </row>
    <row r="95" spans="2:10" ht="12" customHeight="1">
      <c r="B95" s="269"/>
      <c r="C95" s="269"/>
      <c r="D95" s="269"/>
      <c r="E95" s="272"/>
      <c r="F95" s="272"/>
      <c r="G95" s="272"/>
      <c r="H95" s="272"/>
      <c r="I95" s="272"/>
      <c r="J95" s="272"/>
    </row>
    <row r="96" spans="2:10" ht="12" customHeight="1">
      <c r="B96" s="269"/>
      <c r="C96" s="269"/>
      <c r="D96" s="269"/>
      <c r="E96" s="272"/>
      <c r="F96" s="272"/>
      <c r="G96" s="272"/>
      <c r="H96" s="272"/>
      <c r="I96" s="272"/>
      <c r="J96" s="272"/>
    </row>
    <row r="97" spans="2:10" ht="12" customHeight="1">
      <c r="B97" s="269"/>
      <c r="C97" s="269"/>
      <c r="D97" s="269"/>
      <c r="E97" s="272"/>
      <c r="F97" s="272"/>
      <c r="G97" s="272"/>
      <c r="H97" s="272"/>
      <c r="I97" s="272"/>
      <c r="J97" s="272"/>
    </row>
    <row r="98" spans="2:10" ht="12" customHeight="1">
      <c r="B98" s="269"/>
      <c r="C98" s="269"/>
      <c r="D98" s="269"/>
      <c r="E98" s="272"/>
      <c r="F98" s="272"/>
      <c r="G98" s="272"/>
      <c r="H98" s="272"/>
      <c r="I98" s="272"/>
      <c r="J98" s="272"/>
    </row>
    <row r="99" spans="2:10" ht="12" customHeight="1">
      <c r="B99" s="269"/>
      <c r="C99" s="269"/>
      <c r="D99" s="269"/>
      <c r="E99" s="272"/>
      <c r="F99" s="272"/>
      <c r="G99" s="272"/>
      <c r="H99" s="272"/>
      <c r="I99" s="272"/>
      <c r="J99" s="272"/>
    </row>
    <row r="100" spans="2:10" ht="12" customHeight="1">
      <c r="B100" s="269"/>
      <c r="C100" s="269"/>
      <c r="D100" s="269"/>
      <c r="E100" s="272"/>
      <c r="F100" s="272"/>
      <c r="G100" s="272"/>
      <c r="H100" s="272"/>
      <c r="I100" s="272"/>
      <c r="J100" s="272"/>
    </row>
    <row r="101" spans="2:10" ht="12" customHeight="1">
      <c r="B101" s="269"/>
      <c r="C101" s="269"/>
      <c r="D101" s="269"/>
      <c r="E101" s="272"/>
      <c r="F101" s="272"/>
      <c r="G101" s="272"/>
      <c r="H101" s="272"/>
      <c r="I101" s="272"/>
      <c r="J101" s="272"/>
    </row>
    <row r="102" spans="2:10" ht="12" customHeight="1">
      <c r="B102" s="269"/>
      <c r="C102" s="269"/>
      <c r="D102" s="269"/>
      <c r="E102" s="272"/>
      <c r="F102" s="272"/>
      <c r="G102" s="272"/>
      <c r="H102" s="272"/>
      <c r="I102" s="272"/>
      <c r="J102" s="272"/>
    </row>
  </sheetData>
  <sortState ref="B4:I38">
    <sortCondition ref="I3"/>
  </sortState>
  <mergeCells count="1">
    <mergeCell ref="K3:L3"/>
  </mergeCells>
  <conditionalFormatting sqref="I4:I38">
    <cfRule type="colorScale" priority="1">
      <colorScale>
        <cfvo type="min"/>
        <cfvo type="percentile" val="50"/>
        <cfvo type="max"/>
        <color rgb="FF63BE7B"/>
        <color rgb="FFFCFCFF"/>
        <color rgb="FFF8696B"/>
      </colorScale>
    </cfRule>
    <cfRule type="colorScale" priority="2">
      <colorScale>
        <cfvo type="min"/>
        <cfvo type="max"/>
        <color rgb="FF63BE7B"/>
        <color rgb="FFFCFCFF"/>
      </colorScale>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3" width="13.5703125" style="2" customWidth="1"/>
    <col min="4" max="4" width="12.5703125" style="2" customWidth="1"/>
    <col min="5" max="5" width="12.42578125" style="2" customWidth="1"/>
    <col min="6" max="6" width="12.28515625" style="2" customWidth="1"/>
    <col min="7" max="7" width="11.85546875" style="2" customWidth="1"/>
    <col min="8" max="8" width="12.28515625" style="2" customWidth="1"/>
    <col min="9" max="9" width="12.42578125" style="2" customWidth="1"/>
    <col min="10" max="10" width="11.85546875" style="2" customWidth="1"/>
    <col min="11" max="11" width="12.140625" style="2" customWidth="1"/>
    <col min="12" max="12" width="13.7109375" style="2" customWidth="1"/>
    <col min="13" max="13" width="9.140625" style="2"/>
    <col min="14" max="14" width="18.42578125" style="2" customWidth="1"/>
    <col min="15" max="16384" width="9.140625" style="2"/>
  </cols>
  <sheetData>
    <row r="1" spans="1:20" ht="16.5" customHeight="1">
      <c r="B1" s="16" t="s">
        <v>226</v>
      </c>
    </row>
    <row r="3" spans="1:20" ht="12" customHeight="1">
      <c r="B3" s="277" t="s">
        <v>227</v>
      </c>
      <c r="C3" s="274">
        <f>'Relative Valuation - Banks'!D23</f>
        <v>1.1100000000000001</v>
      </c>
      <c r="E3" s="41"/>
      <c r="F3" s="30"/>
      <c r="G3" s="182"/>
      <c r="H3" s="29"/>
      <c r="I3" s="3"/>
      <c r="J3" s="3"/>
      <c r="K3" s="3"/>
      <c r="L3" s="3"/>
      <c r="M3" s="3"/>
      <c r="N3" s="3"/>
      <c r="O3" s="3"/>
      <c r="P3" s="3"/>
      <c r="Q3" s="3"/>
      <c r="R3" s="3"/>
      <c r="S3" s="3"/>
      <c r="T3" s="3"/>
    </row>
    <row r="4" spans="1:20" ht="12" customHeight="1">
      <c r="B4" s="278" t="s">
        <v>228</v>
      </c>
      <c r="C4" s="275">
        <f>'Relative Valuation - Banks'!H23</f>
        <v>0.91911234260621644</v>
      </c>
      <c r="D4" s="3"/>
      <c r="E4" s="3"/>
      <c r="F4" s="3"/>
      <c r="G4" s="3"/>
      <c r="H4" s="3"/>
      <c r="I4" s="3"/>
      <c r="J4" s="3"/>
      <c r="K4" s="3"/>
      <c r="L4" s="3"/>
      <c r="M4" s="3"/>
      <c r="N4" s="3"/>
      <c r="O4" s="3"/>
      <c r="P4" s="3"/>
      <c r="Q4" s="3"/>
      <c r="R4" s="3"/>
      <c r="S4" s="3"/>
      <c r="T4" s="3"/>
    </row>
    <row r="5" spans="1:20" ht="12" customHeight="1">
      <c r="B5" s="3"/>
      <c r="C5" s="3"/>
      <c r="D5" s="3"/>
      <c r="E5" s="3"/>
      <c r="F5" s="3"/>
      <c r="G5" s="3"/>
      <c r="H5" s="3"/>
      <c r="I5" s="3"/>
      <c r="J5" s="3"/>
      <c r="K5" s="3"/>
      <c r="L5" s="3"/>
      <c r="M5" s="3"/>
      <c r="N5" s="3"/>
      <c r="O5" s="3"/>
      <c r="P5" s="3"/>
      <c r="Q5" s="3"/>
      <c r="R5" s="3"/>
      <c r="S5" s="3"/>
      <c r="T5" s="3"/>
    </row>
    <row r="6" spans="1:20" ht="12" customHeight="1">
      <c r="B6" s="276" t="s">
        <v>229</v>
      </c>
      <c r="C6" s="162">
        <f>13.5*C3</f>
        <v>14.985000000000001</v>
      </c>
      <c r="D6" s="139"/>
      <c r="E6" s="139"/>
      <c r="F6" s="139"/>
      <c r="G6" s="139"/>
      <c r="H6" s="139"/>
      <c r="I6" s="139"/>
      <c r="J6" s="139"/>
      <c r="K6" s="139"/>
      <c r="L6" s="139"/>
      <c r="M6" s="3"/>
      <c r="N6" s="3"/>
      <c r="O6" s="3"/>
      <c r="P6" s="3"/>
      <c r="Q6" s="3"/>
      <c r="R6" s="3"/>
      <c r="S6" s="3"/>
      <c r="T6" s="3"/>
    </row>
    <row r="7" spans="1:20" ht="12" customHeight="1">
      <c r="B7" s="108" t="s">
        <v>230</v>
      </c>
      <c r="C7" s="162">
        <f>13.5*C4</f>
        <v>12.408016625183922</v>
      </c>
      <c r="D7" s="63"/>
      <c r="E7" s="259"/>
      <c r="F7" s="260"/>
      <c r="G7" s="227"/>
      <c r="H7" s="228"/>
      <c r="I7" s="63"/>
      <c r="J7" s="63"/>
      <c r="K7" s="63"/>
      <c r="L7" s="63"/>
      <c r="M7" s="20"/>
      <c r="N7" s="3"/>
      <c r="O7" s="3"/>
      <c r="P7" s="3"/>
      <c r="Q7" s="3"/>
      <c r="R7" s="3"/>
      <c r="S7" s="3"/>
      <c r="T7" s="3"/>
    </row>
    <row r="8" spans="1:20" ht="12" customHeight="1">
      <c r="B8" s="22"/>
      <c r="C8" s="156"/>
      <c r="D8" s="156"/>
      <c r="E8" s="156"/>
      <c r="F8" s="156"/>
      <c r="G8" s="156"/>
      <c r="H8" s="156"/>
      <c r="I8" s="156"/>
      <c r="J8" s="156"/>
      <c r="K8" s="156"/>
      <c r="L8" s="156"/>
      <c r="M8" s="3"/>
      <c r="N8" s="3"/>
      <c r="O8" s="3"/>
      <c r="P8" s="3"/>
      <c r="Q8" s="3"/>
      <c r="R8" s="3"/>
      <c r="S8" s="3"/>
      <c r="T8" s="3"/>
    </row>
    <row r="9" spans="1:20" ht="12" customHeight="1">
      <c r="B9" s="137" t="s">
        <v>231</v>
      </c>
      <c r="C9" s="279" t="s">
        <v>232</v>
      </c>
      <c r="D9" s="74"/>
      <c r="E9" s="74"/>
      <c r="F9" s="74"/>
      <c r="G9" s="74"/>
      <c r="H9" s="74"/>
      <c r="I9" s="74"/>
      <c r="J9" s="74"/>
      <c r="K9" s="74"/>
      <c r="L9" s="74"/>
      <c r="M9" s="3"/>
      <c r="N9" s="3"/>
      <c r="O9" s="3"/>
      <c r="P9" s="3"/>
      <c r="Q9" s="3"/>
      <c r="R9" s="3"/>
      <c r="S9" s="3"/>
      <c r="T9" s="3"/>
    </row>
    <row r="10" spans="1:20" ht="12" customHeight="1">
      <c r="A10" s="3"/>
      <c r="B10" s="137" t="s">
        <v>233</v>
      </c>
      <c r="C10" s="280">
        <f>(C6-C7)/C7</f>
        <v>0.2076869698567059</v>
      </c>
      <c r="D10" s="156"/>
      <c r="E10" s="156"/>
      <c r="F10" s="156"/>
      <c r="G10" s="156"/>
      <c r="H10" s="156"/>
      <c r="I10" s="156"/>
      <c r="J10" s="156"/>
      <c r="K10" s="156"/>
      <c r="L10" s="156"/>
      <c r="M10" s="3"/>
      <c r="N10" s="3"/>
      <c r="O10" s="3"/>
      <c r="P10" s="3"/>
      <c r="Q10" s="3"/>
      <c r="R10" s="3"/>
      <c r="S10" s="3"/>
      <c r="T10" s="3"/>
    </row>
    <row r="11" spans="1:20" ht="12" customHeight="1">
      <c r="A11" s="3"/>
      <c r="B11" s="3"/>
      <c r="C11" s="3"/>
      <c r="D11" s="3"/>
      <c r="E11" s="32"/>
      <c r="F11" s="32"/>
      <c r="G11" s="32"/>
      <c r="H11" s="32"/>
      <c r="I11" s="3"/>
      <c r="J11" s="3"/>
      <c r="K11" s="3"/>
      <c r="L11" s="61"/>
      <c r="N11" s="3"/>
      <c r="O11" s="3"/>
      <c r="P11" s="3"/>
      <c r="Q11" s="3"/>
      <c r="R11" s="3"/>
      <c r="S11" s="3"/>
      <c r="T11" s="3"/>
    </row>
    <row r="12" spans="1:20" ht="12" customHeight="1">
      <c r="B12" s="3"/>
      <c r="C12" s="261"/>
      <c r="D12" s="3"/>
      <c r="E12" s="3"/>
      <c r="F12" s="3"/>
      <c r="G12" s="29"/>
      <c r="H12" s="29"/>
      <c r="I12" s="29"/>
      <c r="J12" s="29"/>
      <c r="K12" s="29"/>
      <c r="L12" s="3"/>
      <c r="M12" s="3"/>
      <c r="N12" s="3"/>
      <c r="O12" s="3"/>
      <c r="P12" s="3"/>
      <c r="Q12" s="3"/>
      <c r="R12" s="3"/>
      <c r="S12" s="3"/>
      <c r="T12" s="3"/>
    </row>
    <row r="13" spans="1:20" ht="12" customHeight="1">
      <c r="A13" s="3"/>
      <c r="B13" s="29"/>
      <c r="C13" s="229"/>
      <c r="D13" s="29"/>
      <c r="E13" s="29"/>
      <c r="F13" s="29"/>
      <c r="G13" s="29"/>
      <c r="H13" s="29"/>
      <c r="I13" s="29"/>
      <c r="J13" s="29"/>
      <c r="K13" s="29"/>
      <c r="L13" s="3"/>
      <c r="M13" s="3"/>
      <c r="N13" s="3"/>
      <c r="O13" s="3"/>
      <c r="P13" s="3"/>
      <c r="Q13" s="3"/>
      <c r="R13" s="3"/>
      <c r="S13" s="3"/>
      <c r="T13" s="3"/>
    </row>
    <row r="14" spans="1:20" s="25" customFormat="1" ht="12" customHeight="1">
      <c r="A14" s="3"/>
      <c r="B14" s="29"/>
      <c r="C14" s="229"/>
      <c r="D14" s="42"/>
      <c r="E14" s="102"/>
      <c r="F14" s="209"/>
      <c r="G14" s="42"/>
      <c r="H14" s="42"/>
      <c r="I14" s="42"/>
      <c r="J14" s="42"/>
      <c r="K14" s="42"/>
      <c r="L14" s="24"/>
      <c r="M14" s="24"/>
      <c r="N14" s="24"/>
      <c r="O14" s="24"/>
      <c r="P14" s="24"/>
      <c r="Q14" s="24"/>
      <c r="R14" s="24"/>
      <c r="S14" s="24"/>
      <c r="T14" s="24"/>
    </row>
    <row r="15" spans="1:20" ht="12" customHeight="1">
      <c r="A15" s="24"/>
      <c r="B15" s="29"/>
      <c r="C15" s="229"/>
      <c r="D15" s="3"/>
      <c r="E15" s="196"/>
      <c r="F15" s="195"/>
      <c r="G15" s="3"/>
      <c r="H15" s="3"/>
      <c r="I15" s="29"/>
      <c r="J15" s="29"/>
      <c r="K15" s="29"/>
      <c r="L15" s="3"/>
      <c r="N15" s="3"/>
      <c r="O15" s="3"/>
      <c r="P15" s="3"/>
      <c r="Q15" s="3"/>
      <c r="R15" s="3"/>
      <c r="S15" s="3"/>
      <c r="T15" s="3"/>
    </row>
    <row r="16" spans="1:20" ht="12" customHeight="1">
      <c r="A16" s="7"/>
      <c r="B16" s="31"/>
      <c r="C16" s="156"/>
      <c r="D16" s="3"/>
      <c r="E16" s="255"/>
      <c r="F16" s="202"/>
      <c r="G16" s="3"/>
      <c r="H16" s="3"/>
      <c r="I16" s="29"/>
      <c r="J16" s="29"/>
      <c r="K16" s="29"/>
      <c r="L16" s="3"/>
      <c r="M16" s="3"/>
      <c r="N16" s="3"/>
      <c r="O16" s="3"/>
      <c r="P16" s="3"/>
      <c r="Q16" s="3"/>
      <c r="R16" s="3"/>
      <c r="S16" s="3"/>
      <c r="T16" s="3"/>
    </row>
    <row r="17" spans="1:20" ht="12" customHeight="1">
      <c r="A17" s="189"/>
      <c r="B17" s="3"/>
      <c r="C17" s="156"/>
      <c r="D17" s="3"/>
      <c r="E17" s="196"/>
      <c r="F17" s="203"/>
      <c r="G17" s="3"/>
      <c r="H17" s="3"/>
      <c r="I17" s="29"/>
      <c r="J17" s="29"/>
      <c r="K17" s="29"/>
      <c r="L17" s="3"/>
      <c r="M17" s="3"/>
      <c r="N17" s="3"/>
      <c r="O17" s="3"/>
      <c r="P17" s="3"/>
      <c r="Q17" s="3"/>
      <c r="R17" s="3"/>
      <c r="S17" s="3"/>
      <c r="T17" s="3"/>
    </row>
    <row r="18" spans="1:20" ht="12" customHeight="1">
      <c r="A18" s="27"/>
      <c r="B18" s="31"/>
      <c r="C18" s="194"/>
      <c r="D18" s="29"/>
      <c r="E18" s="196"/>
      <c r="F18" s="204"/>
      <c r="G18" s="3"/>
      <c r="H18" s="3"/>
      <c r="I18" s="29"/>
      <c r="J18" s="29"/>
      <c r="K18" s="29"/>
      <c r="L18" s="3"/>
      <c r="M18" s="3"/>
      <c r="N18" s="3"/>
      <c r="O18" s="3"/>
      <c r="P18" s="3"/>
      <c r="Q18" s="3"/>
      <c r="R18" s="3"/>
      <c r="S18" s="3"/>
      <c r="T18" s="3"/>
    </row>
    <row r="19" spans="1:20" ht="12" customHeight="1">
      <c r="B19" s="3"/>
      <c r="C19" s="262"/>
      <c r="D19" s="29"/>
      <c r="E19" s="196"/>
      <c r="F19" s="203"/>
      <c r="G19" s="3"/>
      <c r="H19" s="3"/>
      <c r="I19" s="29"/>
      <c r="J19" s="29"/>
      <c r="K19" s="29"/>
      <c r="L19" s="3"/>
      <c r="M19" s="3"/>
      <c r="N19" s="3"/>
      <c r="O19" s="3"/>
      <c r="P19" s="3"/>
      <c r="Q19" s="3"/>
      <c r="R19" s="3"/>
      <c r="S19" s="3"/>
      <c r="T19" s="3"/>
    </row>
    <row r="20" spans="1:20" ht="12" customHeight="1">
      <c r="B20" s="263"/>
      <c r="C20" s="264"/>
      <c r="D20" s="29"/>
      <c r="E20" s="196"/>
      <c r="F20" s="29"/>
      <c r="G20" s="3"/>
      <c r="H20" s="3"/>
      <c r="I20" s="29"/>
      <c r="J20" s="29"/>
      <c r="K20" s="29"/>
      <c r="L20" s="3"/>
      <c r="M20" s="3"/>
      <c r="N20" s="3"/>
      <c r="O20" s="3"/>
      <c r="P20" s="3"/>
      <c r="Q20" s="3"/>
      <c r="R20" s="3"/>
      <c r="S20" s="3"/>
      <c r="T20" s="3"/>
    </row>
    <row r="21" spans="1:20" ht="12" customHeight="1">
      <c r="B21" s="3"/>
      <c r="C21" s="265"/>
      <c r="D21" s="31"/>
      <c r="E21" s="196"/>
      <c r="F21" s="29"/>
      <c r="G21" s="3"/>
      <c r="H21" s="3"/>
      <c r="I21" s="29"/>
      <c r="J21" s="29"/>
      <c r="K21" s="29"/>
      <c r="L21" s="3"/>
      <c r="M21" s="3"/>
      <c r="N21" s="3"/>
      <c r="O21" s="3"/>
      <c r="P21" s="3"/>
      <c r="Q21" s="3"/>
      <c r="R21" s="3"/>
      <c r="S21" s="3"/>
      <c r="T21" s="3"/>
    </row>
    <row r="22" spans="1:20" ht="12" customHeight="1">
      <c r="B22" s="31"/>
      <c r="C22" s="193"/>
      <c r="D22" s="29"/>
      <c r="E22" s="196"/>
      <c r="F22" s="32"/>
      <c r="G22" s="3"/>
      <c r="H22" s="3"/>
      <c r="I22" s="29"/>
      <c r="J22" s="29"/>
      <c r="K22" s="29"/>
      <c r="L22" s="3"/>
      <c r="M22" s="3"/>
      <c r="O22" s="3"/>
      <c r="P22" s="3"/>
      <c r="Q22" s="3"/>
      <c r="R22" s="3"/>
      <c r="S22" s="3"/>
      <c r="T22" s="3"/>
    </row>
    <row r="23" spans="1:20" s="27" customFormat="1" ht="12" customHeight="1">
      <c r="A23" s="2"/>
      <c r="B23" s="3"/>
      <c r="C23" s="3"/>
      <c r="D23" s="29"/>
      <c r="E23" s="196"/>
      <c r="F23" s="29"/>
      <c r="I23" s="32"/>
      <c r="J23" s="32"/>
      <c r="K23" s="32"/>
      <c r="L23" s="26"/>
      <c r="M23" s="26"/>
      <c r="N23" s="26"/>
      <c r="O23" s="26"/>
      <c r="P23" s="26"/>
      <c r="Q23" s="26"/>
      <c r="R23" s="26"/>
      <c r="S23" s="26"/>
      <c r="T23" s="26"/>
    </row>
    <row r="24" spans="1:20" ht="12" customHeight="1">
      <c r="B24" s="3"/>
      <c r="C24" s="3"/>
      <c r="D24" s="31"/>
      <c r="E24" s="24"/>
      <c r="F24" s="24"/>
      <c r="G24" s="3"/>
      <c r="H24" s="3"/>
      <c r="I24" s="3"/>
      <c r="J24" s="3"/>
      <c r="K24" s="3"/>
      <c r="L24" s="3"/>
      <c r="M24" s="3"/>
      <c r="N24" s="3"/>
      <c r="O24" s="3"/>
      <c r="P24" s="3"/>
      <c r="Q24" s="3"/>
      <c r="R24" s="3"/>
      <c r="S24" s="3"/>
      <c r="T24" s="3"/>
    </row>
    <row r="25" spans="1:20" ht="12" customHeight="1">
      <c r="D25" s="29"/>
      <c r="E25" s="3"/>
      <c r="G25" s="6"/>
      <c r="H25" s="14"/>
      <c r="I25" s="14"/>
      <c r="J25" s="14"/>
      <c r="K25" s="14"/>
      <c r="L25" s="3"/>
      <c r="M25" s="3"/>
      <c r="N25" s="3"/>
      <c r="O25" s="3"/>
      <c r="P25" s="3"/>
      <c r="Q25" s="3"/>
      <c r="R25" s="3"/>
      <c r="S25" s="3"/>
      <c r="T25" s="3"/>
    </row>
    <row r="26" spans="1:20" ht="12" customHeight="1">
      <c r="C26" s="13"/>
      <c r="D26" s="32"/>
      <c r="E26" s="210"/>
      <c r="F26" s="210"/>
      <c r="G26" s="14"/>
      <c r="H26" s="5"/>
      <c r="I26" s="5"/>
      <c r="J26" s="5"/>
      <c r="K26" s="5"/>
      <c r="L26" s="3"/>
      <c r="M26" s="3"/>
      <c r="N26" s="3"/>
      <c r="O26" s="3"/>
      <c r="P26" s="3"/>
      <c r="Q26" s="3"/>
      <c r="R26" s="3"/>
      <c r="S26" s="3"/>
      <c r="T26" s="3"/>
    </row>
    <row r="27" spans="1:20" ht="12" customHeight="1">
      <c r="D27" s="3"/>
      <c r="E27" s="197"/>
      <c r="F27" s="198"/>
      <c r="G27" s="14"/>
      <c r="H27" s="5"/>
      <c r="I27" s="5"/>
      <c r="J27" s="5"/>
      <c r="K27" s="5"/>
      <c r="L27" s="3"/>
      <c r="M27" s="3"/>
      <c r="N27" s="3"/>
      <c r="O27" s="3"/>
      <c r="P27" s="3"/>
      <c r="Q27" s="3"/>
      <c r="R27" s="3"/>
      <c r="S27" s="3"/>
      <c r="T27" s="3"/>
    </row>
    <row r="28" spans="1:20" ht="12" customHeight="1">
      <c r="B28" s="15"/>
      <c r="D28" s="3"/>
      <c r="E28" s="199"/>
      <c r="F28" s="200"/>
      <c r="G28" s="14"/>
      <c r="H28" s="5"/>
      <c r="I28" s="5"/>
      <c r="J28" s="5"/>
      <c r="K28" s="5"/>
      <c r="L28" s="3"/>
      <c r="M28" s="3"/>
      <c r="N28" s="3"/>
      <c r="O28" s="3"/>
      <c r="P28" s="3"/>
      <c r="Q28" s="3"/>
      <c r="R28" s="3"/>
      <c r="S28" s="3"/>
      <c r="T28" s="3"/>
    </row>
    <row r="29" spans="1:20" ht="12" customHeight="1">
      <c r="B29" s="8"/>
      <c r="D29" s="3"/>
      <c r="E29" s="43"/>
      <c r="F29" s="164"/>
      <c r="G29" s="14"/>
      <c r="H29" s="5"/>
      <c r="I29" s="5"/>
      <c r="J29" s="5"/>
      <c r="K29" s="5"/>
      <c r="L29" s="3"/>
      <c r="M29" s="3"/>
      <c r="N29" s="3"/>
      <c r="O29" s="3"/>
      <c r="P29" s="3"/>
      <c r="Q29" s="3"/>
      <c r="R29" s="3"/>
      <c r="S29" s="3"/>
      <c r="T29" s="3"/>
    </row>
    <row r="30" spans="1:20" ht="12" customHeight="1">
      <c r="D30" s="3"/>
      <c r="E30" s="43"/>
      <c r="F30" s="157"/>
      <c r="G30" s="3"/>
      <c r="H30" s="3"/>
      <c r="I30" s="3"/>
      <c r="J30" s="3"/>
      <c r="K30" s="3"/>
      <c r="L30" s="3"/>
      <c r="M30" s="3"/>
      <c r="N30" s="3"/>
      <c r="O30" s="3"/>
      <c r="P30" s="3"/>
      <c r="Q30" s="3"/>
      <c r="R30" s="3"/>
      <c r="S30" s="3"/>
      <c r="T30" s="3"/>
    </row>
    <row r="31" spans="1:20" ht="12" customHeight="1">
      <c r="E31" s="31"/>
      <c r="F31" s="156"/>
      <c r="G31" s="3"/>
      <c r="H31" s="3"/>
      <c r="I31" s="3"/>
      <c r="J31" s="3"/>
      <c r="K31" s="3"/>
      <c r="L31" s="3"/>
      <c r="M31" s="3"/>
    </row>
    <row r="32" spans="1:20" ht="12" customHeight="1">
      <c r="E32" s="3"/>
      <c r="F32" s="156"/>
      <c r="G32" s="3"/>
      <c r="H32" s="3"/>
      <c r="I32" s="3"/>
      <c r="J32" s="3"/>
      <c r="K32" s="3"/>
      <c r="L32" s="3"/>
      <c r="M32" s="3"/>
    </row>
    <row r="33" spans="5:13" ht="12" customHeight="1">
      <c r="E33" s="3"/>
      <c r="F33" s="194"/>
    </row>
    <row r="34" spans="5:13" ht="12" customHeight="1">
      <c r="E34" s="3"/>
      <c r="F34" s="74"/>
      <c r="G34" s="8"/>
      <c r="K34" s="10"/>
    </row>
    <row r="35" spans="5:13" ht="12" customHeight="1">
      <c r="E35" s="29"/>
      <c r="F35" s="193"/>
      <c r="G35" s="11"/>
      <c r="K35" s="8"/>
      <c r="M35" s="8"/>
    </row>
    <row r="36" spans="5:13" ht="12" customHeight="1">
      <c r="E36" s="29"/>
      <c r="M36" s="8"/>
    </row>
    <row r="37" spans="5:13" ht="12" customHeight="1">
      <c r="E37" s="29"/>
      <c r="F37" s="5"/>
      <c r="G37" s="15"/>
      <c r="K37" s="4"/>
    </row>
    <row r="40" spans="5:13" ht="12" customHeight="1">
      <c r="G40" s="12"/>
    </row>
    <row r="41" spans="5:13" ht="12" customHeight="1">
      <c r="G41" s="8"/>
    </row>
    <row r="42" spans="5:13" ht="12" customHeight="1">
      <c r="G42" s="12"/>
    </row>
    <row r="44" spans="5:13" ht="12" customHeight="1">
      <c r="G44" s="15"/>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Cover</vt:lpstr>
      <vt:lpstr>About</vt:lpstr>
      <vt:lpstr>Index</vt:lpstr>
      <vt:lpstr>Risk Free Rate</vt:lpstr>
      <vt:lpstr>Equity Risk Premium</vt:lpstr>
      <vt:lpstr>Beta</vt:lpstr>
      <vt:lpstr>Cost of Equity</vt:lpstr>
      <vt:lpstr> Cash Flows and Fair Value</vt:lpstr>
      <vt:lpstr>Industry Numbers</vt:lpstr>
      <vt:lpstr>Future Cashflows (10 Yrs)</vt:lpstr>
      <vt:lpstr>Fair Value of Share</vt:lpstr>
      <vt:lpstr>Relative Valuation - Banks</vt:lpstr>
      <vt:lpstr>Yes Bank - Pricing</vt:lpstr>
      <vt:lpstr>Beta!Print_Area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2022-08-14T07:38:42Z</dcterms:modified>
</cp:coreProperties>
</file>