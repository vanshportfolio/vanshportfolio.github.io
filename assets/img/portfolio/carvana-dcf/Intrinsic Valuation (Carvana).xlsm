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50" r:id="rId3"/>
    <sheet name="Index" sheetId="4" r:id="rId4"/>
    <sheet name="Risk Free Rate" sheetId="24" r:id="rId5"/>
    <sheet name="Carvana ERP" sheetId="54" r:id="rId6"/>
    <sheet name="Beta" sheetId="30" r:id="rId7"/>
    <sheet name="Cost of Equity &amp; Debt" sheetId="23" r:id="rId8"/>
    <sheet name="WACC" sheetId="31" r:id="rId9"/>
    <sheet name="Cash Flows" sheetId="17" r:id="rId10"/>
    <sheet name="Numbers" sheetId="49" r:id="rId11"/>
    <sheet name="EBIT &amp; Advertising Expense" sheetId="55" r:id="rId12"/>
    <sheet name="EBIT &amp; Operating Leases" sheetId="56" r:id="rId13"/>
    <sheet name="Net CapEx" sheetId="32" r:id="rId14"/>
    <sheet name="Working Capital Changes" sheetId="34" r:id="rId15"/>
    <sheet name="FCFF &amp; FCFE" sheetId="35" r:id="rId16"/>
    <sheet name="Growth Rate &amp; TV" sheetId="36" r:id="rId17"/>
    <sheet name="Expected Growth Rate" sheetId="39" r:id="rId18"/>
    <sheet name="Future Cashflows (10 Yrs)" sheetId="37" r:id="rId19"/>
    <sheet name="Terminal Value" sheetId="40" r:id="rId20"/>
    <sheet name="Road to Fair Value of Share" sheetId="42" r:id="rId21"/>
    <sheet name="Cash &amp; Marketable Securities" sheetId="43" r:id="rId22"/>
    <sheet name="Future Value (Equity Options)" sheetId="57" r:id="rId23"/>
    <sheet name="Future Value (Restricted Stock)" sheetId="62" r:id="rId24"/>
    <sheet name="Probability of Default" sheetId="65" r:id="rId25"/>
    <sheet name="Fair Value of Share" sheetId="48" r:id="rId26"/>
    <sheet name="Option Pricing" sheetId="64" r:id="rId27"/>
    <sheet name="Equity as an Option" sheetId="63" r:id="rId28"/>
  </sheets>
  <definedNames>
    <definedName name="_xlnm.Print_Area" localSheetId="27">'Equity as an Option'!$B$3:$C$27</definedName>
    <definedName name="_xlnm.Print_Area" localSheetId="25">'Fair Value of Share'!$A$11:$H$27</definedName>
    <definedName name="_xlnm.Print_Area" localSheetId="18">'Future Cashflows (10 Yrs)'!$B$3:$H$28</definedName>
    <definedName name="_xlnm.Print_Area" localSheetId="22">'Future Value (Equity Options)'!$B$3:$M$29</definedName>
    <definedName name="_xlnm.Print_Area" localSheetId="23">'Future Value (Restricted Stock)'!$B$3:$M$29</definedName>
  </definedNames>
  <calcPr calcId="162913" iterate="1"/>
</workbook>
</file>

<file path=xl/calcChain.xml><?xml version="1.0" encoding="utf-8"?>
<calcChain xmlns="http://schemas.openxmlformats.org/spreadsheetml/2006/main">
  <c r="H47" i="37" l="1"/>
  <c r="H46" i="37"/>
  <c r="H45" i="37"/>
  <c r="H39" i="37"/>
  <c r="H40" i="37"/>
  <c r="H41" i="37"/>
  <c r="H38" i="37"/>
  <c r="B5" i="37"/>
  <c r="C19" i="65" l="1"/>
  <c r="C20" i="65" s="1"/>
  <c r="C26" i="48" s="1"/>
  <c r="C8" i="65"/>
  <c r="K4" i="63"/>
  <c r="C4" i="65"/>
  <c r="B14" i="65"/>
  <c r="C7" i="63" l="1"/>
  <c r="J24" i="63" l="1"/>
  <c r="J25" i="63"/>
  <c r="L15" i="63" l="1"/>
  <c r="L16" i="63" s="1"/>
  <c r="M12" i="63" s="1"/>
  <c r="K14" i="63"/>
  <c r="K13" i="63"/>
  <c r="K12" i="63"/>
  <c r="L9" i="63"/>
  <c r="M8" i="63" s="1"/>
  <c r="K8" i="63"/>
  <c r="K7" i="63"/>
  <c r="K6" i="63"/>
  <c r="K5" i="63"/>
  <c r="F7" i="31"/>
  <c r="G5" i="62"/>
  <c r="F5" i="62"/>
  <c r="E5" i="62"/>
  <c r="D5" i="62"/>
  <c r="C5" i="62"/>
  <c r="C24" i="48"/>
  <c r="C9" i="63" s="1"/>
  <c r="B22" i="62"/>
  <c r="B23" i="62" s="1"/>
  <c r="B24" i="62" s="1"/>
  <c r="B25" i="62" s="1"/>
  <c r="B26" i="62" s="1"/>
  <c r="B27" i="62" s="1"/>
  <c r="B28" i="62" s="1"/>
  <c r="B29" i="62" s="1"/>
  <c r="B21" i="62"/>
  <c r="L19" i="63" l="1"/>
  <c r="L20" i="63"/>
  <c r="M13" i="63"/>
  <c r="M14" i="63"/>
  <c r="M15" i="63"/>
  <c r="M7" i="63"/>
  <c r="M6" i="63"/>
  <c r="M4" i="63"/>
  <c r="M5" i="63"/>
  <c r="N16" i="63" l="1"/>
  <c r="N20" i="63" s="1"/>
  <c r="L21" i="63"/>
  <c r="M9" i="63"/>
  <c r="K16" i="63"/>
  <c r="K20" i="63" s="1"/>
  <c r="M16" i="63"/>
  <c r="N9" i="63"/>
  <c r="N19" i="63" s="1"/>
  <c r="K9" i="63"/>
  <c r="K19" i="63" s="1"/>
  <c r="C6" i="57"/>
  <c r="C6" i="62" s="1"/>
  <c r="D6" i="57"/>
  <c r="D6" i="62" s="1"/>
  <c r="D7" i="62" s="1"/>
  <c r="E6" i="57"/>
  <c r="E6" i="62" s="1"/>
  <c r="E7" i="62" s="1"/>
  <c r="G5" i="57"/>
  <c r="F5" i="57"/>
  <c r="E5" i="57"/>
  <c r="D5" i="57"/>
  <c r="C22" i="48"/>
  <c r="C5" i="57" s="1"/>
  <c r="C13" i="62" l="1"/>
  <c r="C7" i="62"/>
  <c r="M19" i="63"/>
  <c r="C5" i="63"/>
  <c r="M20" i="63"/>
  <c r="G18" i="40"/>
  <c r="C4" i="43"/>
  <c r="G27" i="39"/>
  <c r="H27" i="39"/>
  <c r="C4" i="37"/>
  <c r="C5" i="37" s="1"/>
  <c r="C6" i="37" l="1"/>
  <c r="N21" i="63"/>
  <c r="M21" i="63"/>
  <c r="K21" i="63"/>
  <c r="C6" i="63" s="1"/>
  <c r="I27" i="39"/>
  <c r="J13" i="35"/>
  <c r="J14" i="35"/>
  <c r="J15" i="35" s="1"/>
  <c r="F19" i="34"/>
  <c r="G6" i="57" s="1"/>
  <c r="G6" i="62" s="1"/>
  <c r="G7" i="62" s="1"/>
  <c r="G19" i="34"/>
  <c r="F6" i="57" s="1"/>
  <c r="F6" i="62" s="1"/>
  <c r="F7" i="62" s="1"/>
  <c r="G8" i="62" s="1"/>
  <c r="C12" i="62" s="1"/>
  <c r="H12" i="34"/>
  <c r="H11" i="34"/>
  <c r="H8" i="34"/>
  <c r="H7" i="34"/>
  <c r="H4" i="34"/>
  <c r="H6" i="34"/>
  <c r="H9" i="34" s="1"/>
  <c r="H5" i="34"/>
  <c r="F11" i="34"/>
  <c r="G11" i="34"/>
  <c r="F8" i="34"/>
  <c r="G8" i="34"/>
  <c r="G9" i="34" s="1"/>
  <c r="F4" i="34"/>
  <c r="G4" i="34"/>
  <c r="F6" i="34"/>
  <c r="F5" i="34"/>
  <c r="G6" i="34"/>
  <c r="G5" i="34"/>
  <c r="C3" i="32"/>
  <c r="C5" i="32" s="1"/>
  <c r="F11" i="56"/>
  <c r="F10" i="56"/>
  <c r="I8" i="55"/>
  <c r="H8" i="55"/>
  <c r="L5" i="55"/>
  <c r="L7" i="55" s="1"/>
  <c r="K5" i="55"/>
  <c r="J5" i="55"/>
  <c r="G5" i="55"/>
  <c r="H12" i="62" l="1"/>
  <c r="F12" i="62"/>
  <c r="G12" i="62" s="1"/>
  <c r="C14" i="62"/>
  <c r="C7" i="37"/>
  <c r="C27" i="63"/>
  <c r="C6" i="49"/>
  <c r="C5" i="49"/>
  <c r="C4" i="49"/>
  <c r="J9" i="31"/>
  <c r="J10" i="31"/>
  <c r="J11" i="31"/>
  <c r="J12" i="31"/>
  <c r="J8" i="31"/>
  <c r="K13" i="31"/>
  <c r="F17" i="31"/>
  <c r="J17" i="23"/>
  <c r="K17" i="23"/>
  <c r="L17" i="23"/>
  <c r="H15" i="23"/>
  <c r="H17" i="23" s="1"/>
  <c r="L18" i="23" s="1"/>
  <c r="I15" i="23"/>
  <c r="I17" i="23" s="1"/>
  <c r="E12" i="62" l="1"/>
  <c r="D12" i="62" s="1"/>
  <c r="E4" i="37"/>
  <c r="D4" i="37" s="1"/>
  <c r="C7" i="49"/>
  <c r="C8" i="37"/>
  <c r="K12" i="62"/>
  <c r="L12" i="62" s="1"/>
  <c r="L11" i="31"/>
  <c r="F5" i="31"/>
  <c r="F8" i="31" s="1"/>
  <c r="C8" i="39" s="1"/>
  <c r="L10" i="31"/>
  <c r="L8" i="31"/>
  <c r="L9" i="31"/>
  <c r="L12" i="31"/>
  <c r="H27" i="30"/>
  <c r="G27" i="30"/>
  <c r="E5" i="54"/>
  <c r="D4" i="54"/>
  <c r="D5" i="54" s="1"/>
  <c r="C6" i="24"/>
  <c r="C7" i="24" s="1"/>
  <c r="C8" i="56" l="1"/>
  <c r="C9" i="37"/>
  <c r="J12" i="62"/>
  <c r="G6" i="40"/>
  <c r="C7" i="30"/>
  <c r="D8" i="37"/>
  <c r="E8" i="37" s="1"/>
  <c r="J13" i="31"/>
  <c r="M13" i="31"/>
  <c r="L13" i="31"/>
  <c r="G13" i="62" l="1"/>
  <c r="G13" i="57"/>
  <c r="I12" i="62"/>
  <c r="D11" i="37"/>
  <c r="C10" i="37"/>
  <c r="D6" i="37"/>
  <c r="D6" i="49"/>
  <c r="D5" i="49"/>
  <c r="D13" i="37" l="1"/>
  <c r="D12" i="37" s="1"/>
  <c r="C11" i="37"/>
  <c r="D7" i="37"/>
  <c r="E7" i="37" s="1"/>
  <c r="E6" i="37"/>
  <c r="D5" i="37"/>
  <c r="E5" i="37" s="1"/>
  <c r="D10" i="37"/>
  <c r="D9" i="37" s="1"/>
  <c r="E9" i="37" s="1"/>
  <c r="C29" i="57"/>
  <c r="F27" i="31"/>
  <c r="C6" i="43"/>
  <c r="H13" i="62" l="1"/>
  <c r="H14" i="62" s="1"/>
  <c r="E24" i="62" s="1"/>
  <c r="H13" i="57"/>
  <c r="C23" i="37"/>
  <c r="E10" i="37"/>
  <c r="C12" i="37"/>
  <c r="E11" i="37"/>
  <c r="D13" i="62"/>
  <c r="D14" i="62" s="1"/>
  <c r="E20" i="62" s="1"/>
  <c r="D13" i="57"/>
  <c r="C19" i="37"/>
  <c r="E13" i="62"/>
  <c r="E13" i="57"/>
  <c r="C20" i="37"/>
  <c r="F13" i="62"/>
  <c r="F13" i="57"/>
  <c r="C21" i="37"/>
  <c r="C22" i="37"/>
  <c r="J6" i="35"/>
  <c r="L8" i="55"/>
  <c r="C7" i="55"/>
  <c r="I13" i="62" l="1"/>
  <c r="I14" i="62" s="1"/>
  <c r="E25" i="62" s="1"/>
  <c r="I13" i="57"/>
  <c r="C24" i="37"/>
  <c r="J13" i="62"/>
  <c r="J14" i="62" s="1"/>
  <c r="E26" i="62" s="1"/>
  <c r="J13" i="57"/>
  <c r="C25" i="37"/>
  <c r="C13" i="37"/>
  <c r="E12" i="37"/>
  <c r="C5" i="54"/>
  <c r="K13" i="62" l="1"/>
  <c r="K14" i="62" s="1"/>
  <c r="E27" i="62" s="1"/>
  <c r="K13" i="57"/>
  <c r="C26" i="37"/>
  <c r="C14" i="37"/>
  <c r="E13" i="37"/>
  <c r="E6" i="54"/>
  <c r="G5" i="40" s="1"/>
  <c r="G7" i="57"/>
  <c r="F7" i="57"/>
  <c r="E7" i="57"/>
  <c r="D7" i="57"/>
  <c r="B21" i="57"/>
  <c r="B22" i="57"/>
  <c r="B23" i="57" s="1"/>
  <c r="B24" i="57" s="1"/>
  <c r="B25" i="57" s="1"/>
  <c r="B26" i="57" s="1"/>
  <c r="B27" i="57" s="1"/>
  <c r="B28" i="57" s="1"/>
  <c r="B29" i="57" s="1"/>
  <c r="E14" i="37" l="1"/>
  <c r="L13" i="62"/>
  <c r="L14" i="62" s="1"/>
  <c r="E28" i="62" s="1"/>
  <c r="L13" i="57"/>
  <c r="C27" i="37"/>
  <c r="C6" i="23"/>
  <c r="C8" i="34"/>
  <c r="C5" i="34"/>
  <c r="I9" i="34"/>
  <c r="J9" i="34"/>
  <c r="G13" i="34"/>
  <c r="F13" i="34"/>
  <c r="F9" i="34"/>
  <c r="C8" i="32"/>
  <c r="C6" i="32"/>
  <c r="E6" i="56"/>
  <c r="E7" i="56" s="1"/>
  <c r="E8" i="56" s="1"/>
  <c r="E9" i="56" s="1"/>
  <c r="J8" i="55"/>
  <c r="K8" i="55"/>
  <c r="J7" i="55"/>
  <c r="K6" i="55"/>
  <c r="J6" i="55"/>
  <c r="I6" i="55"/>
  <c r="I7" i="55" s="1"/>
  <c r="H6" i="55"/>
  <c r="M13" i="62" l="1"/>
  <c r="M14" i="62" s="1"/>
  <c r="E29" i="62" s="1"/>
  <c r="M13" i="57"/>
  <c r="D29" i="57"/>
  <c r="C28" i="37"/>
  <c r="F15" i="34"/>
  <c r="F20" i="34" s="1"/>
  <c r="M8" i="55"/>
  <c r="C6" i="55" s="1"/>
  <c r="C7" i="32" s="1"/>
  <c r="G15" i="34"/>
  <c r="G17" i="34" s="1"/>
  <c r="G20" i="34" l="1"/>
  <c r="K7" i="55"/>
  <c r="C10" i="55"/>
  <c r="H7" i="55"/>
  <c r="G7" i="55"/>
  <c r="M7" i="55" l="1"/>
  <c r="C5" i="55" s="1"/>
  <c r="C4" i="30"/>
  <c r="J13" i="34" l="1"/>
  <c r="C13" i="57" l="1"/>
  <c r="C7" i="57"/>
  <c r="C4" i="55"/>
  <c r="C9" i="55" l="1"/>
  <c r="C11" i="55" s="1"/>
  <c r="C4" i="56" s="1"/>
  <c r="C12" i="56" s="1"/>
  <c r="G8" i="57"/>
  <c r="C12" i="57" s="1"/>
  <c r="H12" i="57" l="1"/>
  <c r="F12" i="57" s="1"/>
  <c r="E12" i="57" s="1"/>
  <c r="D12" i="57" s="1"/>
  <c r="C14" i="57"/>
  <c r="B20" i="37"/>
  <c r="B21" i="37" s="1"/>
  <c r="B22" i="37" s="1"/>
  <c r="B23" i="37" s="1"/>
  <c r="B24" i="37" s="1"/>
  <c r="B25" i="37" s="1"/>
  <c r="B26" i="37" s="1"/>
  <c r="B27" i="37" s="1"/>
  <c r="B28" i="37" s="1"/>
  <c r="B6" i="37"/>
  <c r="B7" i="37" s="1"/>
  <c r="B8" i="37" s="1"/>
  <c r="B9" i="37" s="1"/>
  <c r="B10" i="37" s="1"/>
  <c r="B11" i="37" s="1"/>
  <c r="B12" i="37" s="1"/>
  <c r="B13" i="37" s="1"/>
  <c r="B14" i="37" s="1"/>
  <c r="K12" i="57" l="1"/>
  <c r="L12" i="57" s="1"/>
  <c r="G12" i="57"/>
  <c r="C8" i="40"/>
  <c r="J12" i="57" l="1"/>
  <c r="I12" i="57" s="1"/>
  <c r="F11" i="35"/>
  <c r="H13" i="34"/>
  <c r="H15" i="34" s="1"/>
  <c r="H17" i="34" s="1"/>
  <c r="I13" i="34"/>
  <c r="B5" i="35"/>
  <c r="B4" i="35"/>
  <c r="J15" i="34" l="1"/>
  <c r="J20" i="34" s="1"/>
  <c r="H20" i="34"/>
  <c r="I15" i="34"/>
  <c r="F10" i="35"/>
  <c r="J8" i="35"/>
  <c r="I5" i="35"/>
  <c r="J21" i="34" l="1"/>
  <c r="I17" i="34"/>
  <c r="I20" i="34"/>
  <c r="J17" i="34"/>
  <c r="C3" i="34" l="1"/>
  <c r="C9" i="34" s="1"/>
  <c r="C11" i="31"/>
  <c r="B11" i="31"/>
  <c r="B9" i="31"/>
  <c r="B8" i="31"/>
  <c r="B6" i="31"/>
  <c r="B5" i="31"/>
  <c r="C6" i="31"/>
  <c r="C6" i="34" l="1"/>
  <c r="C11" i="34" s="1"/>
  <c r="C3" i="30"/>
  <c r="G11" i="35" l="1"/>
  <c r="B6" i="4"/>
  <c r="B7" i="4" s="1"/>
  <c r="B8" i="4" s="1"/>
  <c r="B9" i="4" s="1"/>
  <c r="B10" i="4" s="1"/>
  <c r="B11" i="4" s="1"/>
  <c r="B12" i="4" s="1"/>
  <c r="B13" i="4" s="1"/>
  <c r="B14" i="4" s="1"/>
  <c r="B15" i="4" s="1"/>
  <c r="B16" i="4" s="1"/>
  <c r="B17" i="4" s="1"/>
  <c r="B18" i="4" s="1"/>
  <c r="B19" i="4" s="1"/>
  <c r="B20" i="4" s="1"/>
  <c r="B21" i="4" s="1"/>
  <c r="B22" i="4" s="1"/>
  <c r="B23" i="4" s="1"/>
  <c r="B24" i="4" s="1"/>
  <c r="B25" i="4" s="1"/>
  <c r="B26" i="4" s="1"/>
  <c r="B27" i="4" s="1"/>
  <c r="B28" i="4" s="1"/>
  <c r="B29" i="4" s="1"/>
  <c r="C3" i="24" l="1"/>
  <c r="G12" i="40"/>
  <c r="G4" i="40"/>
  <c r="C5" i="23"/>
  <c r="G14" i="65" l="1"/>
  <c r="H14" i="65"/>
  <c r="D14" i="65"/>
  <c r="C14" i="65"/>
  <c r="E14" i="65"/>
  <c r="C6" i="65"/>
  <c r="F14" i="65"/>
  <c r="C15" i="23"/>
  <c r="C19" i="23" l="1"/>
  <c r="G10" i="40"/>
  <c r="G15" i="40" s="1"/>
  <c r="B16" i="65"/>
  <c r="F16" i="31"/>
  <c r="C8" i="31" l="1"/>
  <c r="C5" i="56" s="1"/>
  <c r="F18" i="31"/>
  <c r="F21" i="31" s="1"/>
  <c r="C20" i="48" s="1"/>
  <c r="G18" i="37"/>
  <c r="D18" i="37" s="1"/>
  <c r="D19" i="37" s="1"/>
  <c r="D20" i="37" s="1"/>
  <c r="D21" i="37" s="1"/>
  <c r="D22" i="37" s="1"/>
  <c r="D23" i="37" s="1"/>
  <c r="D24" i="37" s="1"/>
  <c r="D25" i="37" s="1"/>
  <c r="D26" i="37" s="1"/>
  <c r="D27" i="37" s="1"/>
  <c r="D28" i="37" s="1"/>
  <c r="F11" i="31"/>
  <c r="C9" i="30" s="1"/>
  <c r="G5" i="56" l="1"/>
  <c r="G10" i="56"/>
  <c r="G11" i="56"/>
  <c r="G9" i="56"/>
  <c r="G6" i="56"/>
  <c r="G7" i="56"/>
  <c r="G8" i="56"/>
  <c r="C9" i="31"/>
  <c r="G8" i="40"/>
  <c r="G19" i="40" s="1"/>
  <c r="G12" i="56" l="1"/>
  <c r="L7" i="48"/>
  <c r="C7" i="23"/>
  <c r="C9" i="23" s="1"/>
  <c r="C5" i="31" s="1"/>
  <c r="C13" i="31" s="1"/>
  <c r="C7" i="56" l="1"/>
  <c r="C10" i="56"/>
  <c r="C13" i="56" s="1"/>
  <c r="C14" i="56" s="1"/>
  <c r="C9" i="43"/>
  <c r="C7" i="48"/>
  <c r="H7" i="48" l="1"/>
  <c r="F7" i="48" s="1"/>
  <c r="D7" i="48"/>
  <c r="E7" i="48" l="1"/>
  <c r="G7" i="48"/>
  <c r="J7" i="48"/>
  <c r="K7" i="48" s="1"/>
  <c r="I7" i="48" l="1"/>
  <c r="G5" i="35" l="1"/>
  <c r="G8" i="35" s="1"/>
  <c r="C17" i="56"/>
  <c r="C9" i="32"/>
  <c r="C10" i="32" s="1"/>
  <c r="G10" i="35" l="1"/>
  <c r="G12" i="35" s="1"/>
  <c r="G14" i="35" s="1"/>
  <c r="J5" i="35"/>
  <c r="J7" i="35" s="1"/>
  <c r="J9" i="35" s="1"/>
  <c r="G4" i="37"/>
  <c r="C4" i="39"/>
  <c r="C7" i="39"/>
  <c r="C9" i="39" s="1"/>
  <c r="C8" i="43" s="1"/>
  <c r="C19" i="57" l="1"/>
  <c r="F4" i="37"/>
  <c r="H4" i="37"/>
  <c r="H18" i="37" s="1"/>
  <c r="C3" i="39"/>
  <c r="C4" i="35"/>
  <c r="F18" i="37" s="1"/>
  <c r="J11" i="35"/>
  <c r="J17" i="35" s="1"/>
  <c r="C10" i="43"/>
  <c r="G19" i="57"/>
  <c r="C19" i="62" s="1"/>
  <c r="G19" i="62" s="1"/>
  <c r="C24" i="57"/>
  <c r="C22" i="57" l="1"/>
  <c r="D22" i="57" s="1"/>
  <c r="D24" i="57"/>
  <c r="D19" i="62"/>
  <c r="D19" i="57"/>
  <c r="C5" i="39"/>
  <c r="C11" i="39" s="1"/>
  <c r="C12" i="43"/>
  <c r="C16" i="48" s="1"/>
  <c r="C5" i="35"/>
  <c r="C23" i="57"/>
  <c r="D23" i="57" s="1"/>
  <c r="C20" i="57"/>
  <c r="D20" i="57" s="1"/>
  <c r="C27" i="57"/>
  <c r="C28" i="57" l="1"/>
  <c r="D28" i="57" s="1"/>
  <c r="D27" i="57"/>
  <c r="C21" i="57"/>
  <c r="D21" i="57" s="1"/>
  <c r="C25" i="57"/>
  <c r="C26" i="57" l="1"/>
  <c r="D26" i="57" s="1"/>
  <c r="D25" i="57"/>
  <c r="E24" i="37"/>
  <c r="E25" i="37"/>
  <c r="E26" i="37"/>
  <c r="E27" i="37"/>
  <c r="E28" i="37"/>
  <c r="H14" i="57"/>
  <c r="E24" i="57" s="1"/>
  <c r="I14" i="57"/>
  <c r="E25" i="57" s="1"/>
  <c r="K14" i="57"/>
  <c r="E27" i="57" s="1"/>
  <c r="L14" i="57"/>
  <c r="E28" i="57" s="1"/>
  <c r="M14" i="57"/>
  <c r="E29" i="57" s="1"/>
  <c r="J14" i="57"/>
  <c r="E26" i="57" s="1"/>
  <c r="F26" i="57" l="1"/>
  <c r="F27" i="57"/>
  <c r="F24" i="57"/>
  <c r="G24" i="57" s="1"/>
  <c r="C24" i="62" s="1"/>
  <c r="D24" i="62" s="1"/>
  <c r="F24" i="62" s="1"/>
  <c r="G24" i="62" s="1"/>
  <c r="F9" i="37" s="1"/>
  <c r="G9" i="37" s="1"/>
  <c r="H9" i="37" s="1"/>
  <c r="F28" i="57"/>
  <c r="F29" i="57"/>
  <c r="G29" i="57" s="1"/>
  <c r="C29" i="62" s="1"/>
  <c r="D29" i="62" s="1"/>
  <c r="F29" i="62" s="1"/>
  <c r="G29" i="62" s="1"/>
  <c r="F14" i="37" s="1"/>
  <c r="F25" i="57"/>
  <c r="C7" i="40" l="1"/>
  <c r="C9" i="40" s="1"/>
  <c r="G14" i="37"/>
  <c r="H14" i="37" s="1"/>
  <c r="G28" i="57"/>
  <c r="C28" i="62" s="1"/>
  <c r="D28" i="62" s="1"/>
  <c r="F28" i="62" s="1"/>
  <c r="G28" i="62" s="1"/>
  <c r="F13" i="37" s="1"/>
  <c r="G13" i="37" s="1"/>
  <c r="H13" i="37" s="1"/>
  <c r="F27" i="37" s="1"/>
  <c r="K6" i="48" s="1"/>
  <c r="K8" i="48" s="1"/>
  <c r="G25" i="57"/>
  <c r="C25" i="62" s="1"/>
  <c r="D25" i="62" s="1"/>
  <c r="F25" i="62" s="1"/>
  <c r="G25" i="62" s="1"/>
  <c r="F10" i="37" s="1"/>
  <c r="G10" i="37" s="1"/>
  <c r="H10" i="37" s="1"/>
  <c r="F24" i="37" s="1"/>
  <c r="H6" i="48" s="1"/>
  <c r="H8" i="48" s="1"/>
  <c r="G27" i="57"/>
  <c r="C27" i="62" s="1"/>
  <c r="D27" i="62" s="1"/>
  <c r="F27" i="62" s="1"/>
  <c r="G27" i="62" s="1"/>
  <c r="F12" i="37" s="1"/>
  <c r="G12" i="37" s="1"/>
  <c r="H12" i="37" s="1"/>
  <c r="F26" i="37" s="1"/>
  <c r="J6" i="48" s="1"/>
  <c r="J8" i="48" s="1"/>
  <c r="G26" i="57"/>
  <c r="C26" i="62" s="1"/>
  <c r="D26" i="62" s="1"/>
  <c r="F26" i="62" s="1"/>
  <c r="G26" i="62" s="1"/>
  <c r="F11" i="37" s="1"/>
  <c r="G11" i="37" s="1"/>
  <c r="H11" i="37" s="1"/>
  <c r="F25" i="37" s="1"/>
  <c r="I6" i="48" s="1"/>
  <c r="I8" i="48" s="1"/>
  <c r="F28" i="37"/>
  <c r="L6" i="48" s="1"/>
  <c r="L8" i="48" s="1"/>
  <c r="E19" i="37" l="1"/>
  <c r="G19" i="37" s="1"/>
  <c r="E20" i="37"/>
  <c r="E21" i="37"/>
  <c r="G14" i="57"/>
  <c r="E23" i="57" s="1"/>
  <c r="D14" i="57"/>
  <c r="E20" i="57" s="1"/>
  <c r="F20" i="57" s="1"/>
  <c r="G20" i="57" s="1"/>
  <c r="C20" i="62" s="1"/>
  <c r="D20" i="62" s="1"/>
  <c r="F20" i="62" s="1"/>
  <c r="G20" i="62" s="1"/>
  <c r="F5" i="37" s="1"/>
  <c r="G5" i="37" s="1"/>
  <c r="E14" i="57"/>
  <c r="E21" i="57" s="1"/>
  <c r="F14" i="57"/>
  <c r="E22" i="57" s="1"/>
  <c r="H5" i="37" l="1"/>
  <c r="I5" i="37"/>
  <c r="F21" i="57"/>
  <c r="G20" i="37"/>
  <c r="G21" i="37" s="1"/>
  <c r="H19" i="37"/>
  <c r="F22" i="57"/>
  <c r="G22" i="57" s="1"/>
  <c r="C22" i="62" s="1"/>
  <c r="D22" i="62" s="1"/>
  <c r="E23" i="37"/>
  <c r="F23" i="37" s="1"/>
  <c r="G6" i="48" s="1"/>
  <c r="G8" i="48" s="1"/>
  <c r="F23" i="57"/>
  <c r="G23" i="57" s="1"/>
  <c r="C23" i="62" s="1"/>
  <c r="D23" i="62" s="1"/>
  <c r="E22" i="37"/>
  <c r="G21" i="57" l="1"/>
  <c r="C21" i="62" s="1"/>
  <c r="D21" i="62" s="1"/>
  <c r="F19" i="37"/>
  <c r="C6" i="48" s="1"/>
  <c r="C8" i="48" s="1"/>
  <c r="G22" i="37"/>
  <c r="G23" i="37" l="1"/>
  <c r="H23" i="37" s="1"/>
  <c r="G24" i="37" l="1"/>
  <c r="H24" i="37" s="1"/>
  <c r="G25" i="37" l="1"/>
  <c r="H25" i="37"/>
  <c r="G26" i="37"/>
  <c r="G27" i="37" l="1"/>
  <c r="H26" i="37"/>
  <c r="H27" i="37" l="1"/>
  <c r="G28" i="37"/>
  <c r="H28" i="37" s="1"/>
  <c r="C4" i="40" s="1"/>
  <c r="C5" i="40" s="1"/>
  <c r="C11" i="40" s="1"/>
  <c r="C13" i="40" s="1"/>
  <c r="C13" i="48" s="1"/>
  <c r="C14" i="48" l="1"/>
  <c r="E14" i="62" l="1"/>
  <c r="E21" i="62" s="1"/>
  <c r="F14" i="62"/>
  <c r="E22" i="62" s="1"/>
  <c r="F22" i="62" s="1"/>
  <c r="G22" i="62" s="1"/>
  <c r="F7" i="37" s="1"/>
  <c r="G7" i="37" s="1"/>
  <c r="H7" i="37" s="1"/>
  <c r="G14" i="62"/>
  <c r="E23" i="62" s="1"/>
  <c r="F21" i="37" l="1"/>
  <c r="E6" i="48" s="1"/>
  <c r="E8" i="48" s="1"/>
  <c r="H21" i="37"/>
  <c r="F23" i="62"/>
  <c r="G23" i="62" s="1"/>
  <c r="F8" i="37" s="1"/>
  <c r="G8" i="37" s="1"/>
  <c r="F21" i="62"/>
  <c r="G21" i="62" s="1"/>
  <c r="F6" i="37" s="1"/>
  <c r="G6" i="37" s="1"/>
  <c r="I6" i="37" l="1"/>
  <c r="I7" i="37" s="1"/>
  <c r="H8" i="37" s="1"/>
  <c r="H6" i="37"/>
  <c r="I8" i="37" l="1"/>
  <c r="F20" i="37"/>
  <c r="D6" i="48" s="1"/>
  <c r="D8" i="48" s="1"/>
  <c r="H20" i="37"/>
  <c r="F22" i="37"/>
  <c r="F6" i="48" s="1"/>
  <c r="F8" i="48" s="1"/>
  <c r="H22" i="37"/>
  <c r="C12" i="48" l="1"/>
  <c r="C15" i="48" s="1"/>
  <c r="C19" i="48" s="1"/>
  <c r="C21" i="48" l="1"/>
  <c r="C23" i="48" s="1"/>
  <c r="C25" i="48" s="1"/>
  <c r="C27" i="48" s="1"/>
  <c r="C3" i="63"/>
  <c r="C18" i="63" l="1"/>
  <c r="J27" i="63"/>
  <c r="J26" i="63"/>
  <c r="C4" i="63" l="1"/>
  <c r="C19" i="63" s="1"/>
  <c r="C20" i="63" l="1"/>
  <c r="C21" i="63" s="1"/>
  <c r="C23" i="63" s="1"/>
  <c r="C22" i="63" l="1"/>
  <c r="C24" i="63" s="1"/>
  <c r="C25" i="63"/>
  <c r="C26" i="63" l="1"/>
  <c r="C8" i="63"/>
  <c r="C10" i="63" s="1"/>
</calcChain>
</file>

<file path=xl/sharedStrings.xml><?xml version="1.0" encoding="utf-8"?>
<sst xmlns="http://schemas.openxmlformats.org/spreadsheetml/2006/main" count="567" uniqueCount="371">
  <si>
    <t xml:space="preserve">#                </t>
  </si>
  <si>
    <t>Worksheet</t>
  </si>
  <si>
    <t>D&amp;A</t>
  </si>
  <si>
    <t>EBIT</t>
  </si>
  <si>
    <t>Total Equity</t>
  </si>
  <si>
    <t>Revenues</t>
  </si>
  <si>
    <t>WACC</t>
  </si>
  <si>
    <t>Beta</t>
  </si>
  <si>
    <t>Cost of Capital</t>
  </si>
  <si>
    <t>Cost of Equity</t>
  </si>
  <si>
    <t>Cost of Debt</t>
  </si>
  <si>
    <t>Risk Free Rate</t>
  </si>
  <si>
    <t>Equity Risk Premium</t>
  </si>
  <si>
    <t>India's Default Spread</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</si>
  <si>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</si>
  <si>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</si>
  <si>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</si>
  <si>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</si>
  <si>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</si>
  <si>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</si>
  <si>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</si>
  <si>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</si>
  <si>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</si>
  <si>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</si>
  <si>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</si>
  <si>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</si>
  <si>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</si>
  <si>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</si>
  <si>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</si>
  <si>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</si>
  <si>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</si>
  <si>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</si>
  <si>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</si>
  <si>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</si>
  <si>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</si>
  <si>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</si>
  <si>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</si>
  <si>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(Risk Free Rate = 10 Year Gov Bond - Default Spread)</t>
  </si>
  <si>
    <t>Year</t>
  </si>
  <si>
    <t>Source:</t>
  </si>
  <si>
    <t>-</t>
  </si>
  <si>
    <t>Ticker</t>
  </si>
  <si>
    <t>Regression Beta using Python (skLearn.LinearModel)</t>
  </si>
  <si>
    <t>D/E Ratio</t>
  </si>
  <si>
    <t>Yahoo Finance (yahoofinancials module)</t>
  </si>
  <si>
    <t>EV/Sales</t>
  </si>
  <si>
    <t>Annual Report 2022</t>
  </si>
  <si>
    <t>Bottom-Up Beta</t>
  </si>
  <si>
    <t>India Corporate Tax Rate</t>
  </si>
  <si>
    <t>Levered Bottom-Up Beta</t>
  </si>
  <si>
    <t>Risk Free Rate - Rf</t>
  </si>
  <si>
    <t>(Cost of Equity = Risk Free Rate + Beta * Equity Risk Premium)</t>
  </si>
  <si>
    <t>Lambda (λ)</t>
  </si>
  <si>
    <t>US Risk Free Rate - Rf</t>
  </si>
  <si>
    <t>Cost of Equity &amp; Debt</t>
  </si>
  <si>
    <t>Pre-Tax Cost of Debt</t>
  </si>
  <si>
    <t>Market Value of Debt</t>
  </si>
  <si>
    <t>Book Value of Debt</t>
  </si>
  <si>
    <t>Interest Expense</t>
  </si>
  <si>
    <t>Est. Market Value of Debt</t>
  </si>
  <si>
    <t>Average Maturity of Debt (Yrs)</t>
  </si>
  <si>
    <t>Market Value of Equity</t>
  </si>
  <si>
    <t>Number of Shares Outstanding</t>
  </si>
  <si>
    <t>Market Capitalization</t>
  </si>
  <si>
    <t>Cash Flows</t>
  </si>
  <si>
    <t>Valuation Index</t>
  </si>
  <si>
    <t>+</t>
  </si>
  <si>
    <t>Adjusted EBIT</t>
  </si>
  <si>
    <t>Net CapEx</t>
  </si>
  <si>
    <t>Capital Expenditures (CapEx)</t>
  </si>
  <si>
    <t>Adjusted Net Capital Expenditures</t>
  </si>
  <si>
    <t>Working Capital Changes</t>
  </si>
  <si>
    <t>Account Payables</t>
  </si>
  <si>
    <t>Non Cash Working Capital</t>
  </si>
  <si>
    <t>Cash Flows - FCFF</t>
  </si>
  <si>
    <t>EBIT * (1 - Tax Rate)</t>
  </si>
  <si>
    <t>Free Cash Flow to Firm (FCFF)</t>
  </si>
  <si>
    <t>Reinvestment</t>
  </si>
  <si>
    <t>Cash Flows - FCFE</t>
  </si>
  <si>
    <t>Finance Cost</t>
  </si>
  <si>
    <t>Adjusted EBT</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</si>
  <si>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</si>
  <si>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</si>
  <si>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</si>
  <si>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</si>
  <si>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</si>
  <si>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</si>
  <si>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</si>
  <si>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</si>
  <si>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</si>
  <si>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</si>
  <si>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</si>
  <si>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</si>
  <si>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Other Current Assets</t>
  </si>
  <si>
    <t>Non Cash Current Assets</t>
  </si>
  <si>
    <t>Non Debt Current Liabilities</t>
  </si>
  <si>
    <t>Change in Non Cash Working Capital</t>
  </si>
  <si>
    <t>Average WC as % of revenues</t>
  </si>
  <si>
    <t>Non Cash Working Capital (2022)</t>
  </si>
  <si>
    <t>Non Cash Working Capital (2021)</t>
  </si>
  <si>
    <t>Revenues (2021)</t>
  </si>
  <si>
    <t>Adj Change in Non Cash WC</t>
  </si>
  <si>
    <t>Expected Growth Rate</t>
  </si>
  <si>
    <t>Future Cash Flows (10 Yrs)</t>
  </si>
  <si>
    <t>Terminal Value</t>
  </si>
  <si>
    <t>Growth &amp; TV</t>
  </si>
  <si>
    <t>Reinvestment Rate</t>
  </si>
  <si>
    <t>Return on Invested Capital (ROIC)</t>
  </si>
  <si>
    <t>LTM</t>
  </si>
  <si>
    <t>Op. Margin</t>
  </si>
  <si>
    <t>Change in Sales</t>
  </si>
  <si>
    <t>Sales to Capital</t>
  </si>
  <si>
    <t>FCFF</t>
  </si>
  <si>
    <t>Invested Capital</t>
  </si>
  <si>
    <t>ROIC</t>
  </si>
  <si>
    <t>Growth Rate &amp; TV</t>
  </si>
  <si>
    <t>Growth Rate in perpetuity</t>
  </si>
  <si>
    <t>ROIC in perpetuity</t>
  </si>
  <si>
    <t>EBIT (11th Year)</t>
  </si>
  <si>
    <t>Marginal Tax Rate (%)</t>
  </si>
  <si>
    <t>Mature Company Cost of Capital Estimation</t>
  </si>
  <si>
    <t>FCFF (11th Year)</t>
  </si>
  <si>
    <t>% of Debt</t>
  </si>
  <si>
    <t>% of Equity</t>
  </si>
  <si>
    <t>Mature WACC</t>
  </si>
  <si>
    <t>Cash &amp; Marketable Securities</t>
  </si>
  <si>
    <t>Cash and cash equivalents</t>
  </si>
  <si>
    <t>Return on Capital</t>
  </si>
  <si>
    <t>Adjusted Cash &amp; Marketable Securities</t>
  </si>
  <si>
    <t>Sales to Cap</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</si>
  <si>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</si>
  <si>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</si>
  <si>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</si>
  <si>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</si>
  <si>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</si>
  <si>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</si>
  <si>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</si>
  <si>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</si>
  <si>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</si>
  <si>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</si>
  <si>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</si>
  <si>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</si>
  <si>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</si>
  <si>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</si>
  <si>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</si>
  <si>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</si>
  <si>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Value of Common Stock</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</si>
  <si>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</si>
  <si>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</si>
  <si>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</si>
  <si>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</si>
  <si>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</si>
  <si>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</si>
  <si>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</si>
  <si>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</si>
  <si>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</si>
  <si>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</si>
  <si>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</si>
  <si>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Advertising Expense (Current)</t>
  </si>
  <si>
    <t>Amortization: Ad Expense</t>
  </si>
  <si>
    <t>EBIT (1 - Tax)</t>
  </si>
  <si>
    <t>Advertising Expense (Current Year)</t>
  </si>
  <si>
    <t>N/A</t>
  </si>
  <si>
    <t>Amortization Asset: Ad Expense</t>
  </si>
  <si>
    <t>EBIT * (1 - Tax)</t>
  </si>
  <si>
    <t>EBIT*(1-Tax)</t>
  </si>
  <si>
    <t>OPM %</t>
  </si>
  <si>
    <t>Mature Risk Premium</t>
  </si>
  <si>
    <t>Total Cash &amp; Cash Equivalents</t>
  </si>
  <si>
    <t>ERP</t>
  </si>
  <si>
    <t>Companies</t>
  </si>
  <si>
    <t>Unlevered Beta</t>
  </si>
  <si>
    <t>Numbers</t>
  </si>
  <si>
    <t>EBIT &amp; Advertising Expenses</t>
  </si>
  <si>
    <t>Amortization</t>
  </si>
  <si>
    <t>EBIT &amp; Operating Lease</t>
  </si>
  <si>
    <t>PV at Cost of Debt</t>
  </si>
  <si>
    <t>Operating Lease</t>
  </si>
  <si>
    <t>Value of Lease Debt</t>
  </si>
  <si>
    <t>Debt Outstanding</t>
  </si>
  <si>
    <t>Operating Lease (Current)</t>
  </si>
  <si>
    <t>Depreciation on OL</t>
  </si>
  <si>
    <t>Depreciation: Operating Lease</t>
  </si>
  <si>
    <t>Operating Lease (Current Year)</t>
  </si>
  <si>
    <t>Median WC as % of Revenues</t>
  </si>
  <si>
    <t>Adj OPM</t>
  </si>
  <si>
    <t>Adj OpEx</t>
  </si>
  <si>
    <t>Exp. Options</t>
  </si>
  <si>
    <t>OpEx</t>
  </si>
  <si>
    <t>OPM</t>
  </si>
  <si>
    <t>Adjusting Operating Margin with Expected Value of Options</t>
  </si>
  <si>
    <t>Options Value</t>
  </si>
  <si>
    <t>Options as a % Revenues</t>
  </si>
  <si>
    <t>Forecasting Future Option Value (Treating as OpEx)</t>
  </si>
  <si>
    <t>Estimating average option value as a % of revenues</t>
  </si>
  <si>
    <t>Future Value of Equity Options</t>
  </si>
  <si>
    <t xml:space="preserve"> Revenues %</t>
  </si>
  <si>
    <t>CRP</t>
  </si>
  <si>
    <t>Interest</t>
  </si>
  <si>
    <t>ICR (%)</t>
  </si>
  <si>
    <t>Average ICR (%)</t>
  </si>
  <si>
    <t>(in millions)</t>
  </si>
  <si>
    <t>Revenues (TTM)</t>
  </si>
  <si>
    <t>Market Share</t>
  </si>
  <si>
    <t>Gross Industry</t>
  </si>
  <si>
    <t>Carvana Company Analysis</t>
  </si>
  <si>
    <t>Carvana</t>
  </si>
  <si>
    <t>Sector of Carvana</t>
  </si>
  <si>
    <t>Industry of Carvana</t>
  </si>
  <si>
    <t>Consumer Cyclical</t>
  </si>
  <si>
    <t>Automobile Ecommerce</t>
  </si>
  <si>
    <t>Carvana Narrative</t>
  </si>
  <si>
    <t>USA 10-Year Government Bond Yield</t>
  </si>
  <si>
    <t>USA Credit Rating</t>
  </si>
  <si>
    <t>USA</t>
  </si>
  <si>
    <t>Carvana ERP</t>
  </si>
  <si>
    <t>Industry: Automobile Ecommerce</t>
  </si>
  <si>
    <t>Uxin Limited</t>
  </si>
  <si>
    <t>UXIN</t>
  </si>
  <si>
    <t>Shift Technologies</t>
  </si>
  <si>
    <t>SFT</t>
  </si>
  <si>
    <t>CarGurus</t>
  </si>
  <si>
    <t>CARG</t>
  </si>
  <si>
    <t>Vroom, Inc.</t>
  </si>
  <si>
    <t>VRM</t>
  </si>
  <si>
    <t>ACVA</t>
  </si>
  <si>
    <t>ACV Auctions Inc.</t>
  </si>
  <si>
    <t>AN</t>
  </si>
  <si>
    <t>AutoNation, Inc.</t>
  </si>
  <si>
    <t>CARS</t>
  </si>
  <si>
    <t>Cars.com Inc.</t>
  </si>
  <si>
    <t>CRMT</t>
  </si>
  <si>
    <t>America's Car-Mart, Inc.</t>
  </si>
  <si>
    <t>CZOO</t>
  </si>
  <si>
    <t>Cazoo Group Ltd</t>
  </si>
  <si>
    <t>DRVN</t>
  </si>
  <si>
    <t>Driven Brands Holdings Inc.</t>
  </si>
  <si>
    <t>GPI</t>
  </si>
  <si>
    <t>Group 1 Automotive, Inc.</t>
  </si>
  <si>
    <t>JZXN</t>
  </si>
  <si>
    <t>Jiuzi Holdings, Inc.</t>
  </si>
  <si>
    <t>KFS</t>
  </si>
  <si>
    <t>Kingsway Financial Services Inc.</t>
  </si>
  <si>
    <t>KMX</t>
  </si>
  <si>
    <t>CarMax, Inc.</t>
  </si>
  <si>
    <t>KXIN</t>
  </si>
  <si>
    <t>Kaixin Auto Holdings</t>
  </si>
  <si>
    <t>LAD</t>
  </si>
  <si>
    <t>Lithia Motors, Inc.</t>
  </si>
  <si>
    <t>LAZY</t>
  </si>
  <si>
    <t>Lazydays Holdings, Inc.</t>
  </si>
  <si>
    <t>LOTZ</t>
  </si>
  <si>
    <t>CarLotz, Inc.</t>
  </si>
  <si>
    <t>PAG</t>
  </si>
  <si>
    <t>Penske Automotive Group, Inc.</t>
  </si>
  <si>
    <t>RENN</t>
  </si>
  <si>
    <t>Renren Inc.</t>
  </si>
  <si>
    <t>RUSHA</t>
  </si>
  <si>
    <t>Rush Enterprises, Inc.</t>
  </si>
  <si>
    <t>SAH</t>
  </si>
  <si>
    <t>Sonic Automotive, Inc.</t>
  </si>
  <si>
    <t>Beta (Carvana)</t>
  </si>
  <si>
    <t>Carvana's Synthetic Rating</t>
  </si>
  <si>
    <t>Carvana Risk Premium</t>
  </si>
  <si>
    <t>"Synthetic" Carvana Risk Premium</t>
  </si>
  <si>
    <t>D</t>
  </si>
  <si>
    <t>(Cost of Debt = Rf + Company Risk Premium)</t>
  </si>
  <si>
    <t>Debt to Equity (Carvana)</t>
  </si>
  <si>
    <t>$</t>
  </si>
  <si>
    <t>%</t>
  </si>
  <si>
    <t>Total principal amount</t>
  </si>
  <si>
    <t>Interest %</t>
  </si>
  <si>
    <t>Maturity</t>
  </si>
  <si>
    <t>Years</t>
  </si>
  <si>
    <t>2025 Senior Unsecured Notes</t>
  </si>
  <si>
    <t>2027 Senior Unsecured Notes</t>
  </si>
  <si>
    <t>2028 Senior Unsecured Notes</t>
  </si>
  <si>
    <t>2029 Senior Unsecured Notes</t>
  </si>
  <si>
    <t>2030 Senior Unsecured Notes</t>
  </si>
  <si>
    <t>Total Long Term Debt</t>
  </si>
  <si>
    <t>Stock Price (as on 10/02/2022)</t>
  </si>
  <si>
    <t>Cost of Revenue</t>
  </si>
  <si>
    <t>Selling, general and admin exp</t>
  </si>
  <si>
    <t>Effective Tax Rate (%)</t>
  </si>
  <si>
    <t>Finance Recievables</t>
  </si>
  <si>
    <t>Vehicle inventory</t>
  </si>
  <si>
    <t>Beneficial interests in securitizations</t>
  </si>
  <si>
    <t>Revenues (2020)</t>
  </si>
  <si>
    <t>Losses Carry Forward</t>
  </si>
  <si>
    <t>Growth Used Cars %</t>
  </si>
  <si>
    <t>USA Default Spread</t>
  </si>
  <si>
    <t>Interest Coverage Ratio will be above 2</t>
  </si>
  <si>
    <t>Restricted Cash</t>
  </si>
  <si>
    <t>Discount for Getting Bad Returns on Projects</t>
  </si>
  <si>
    <t>Based on Debt Equity Ratio (Industry Median)</t>
  </si>
  <si>
    <t>Median Company's Beta</t>
  </si>
  <si>
    <t>Median Option as a % of revenues</t>
  </si>
  <si>
    <t>Future Value of Restricted Stock</t>
  </si>
  <si>
    <t>Estimating average restricted stock as a % of revenues</t>
  </si>
  <si>
    <t>Restricted Stocks Unit</t>
  </si>
  <si>
    <t>RSU as a % Revenues</t>
  </si>
  <si>
    <t>Average option as a % of revenues</t>
  </si>
  <si>
    <t>Exp. RSU</t>
  </si>
  <si>
    <t>Carvana's ERP</t>
  </si>
  <si>
    <t>Senior Unsecured Notes</t>
  </si>
  <si>
    <t>Asset Based Financing</t>
  </si>
  <si>
    <t>Floor Plan Facility</t>
  </si>
  <si>
    <t>Equity as an Option</t>
  </si>
  <si>
    <t>Short Term Debt</t>
  </si>
  <si>
    <t>Financing of Beneficial Int.</t>
  </si>
  <si>
    <t>Notes Payable</t>
  </si>
  <si>
    <t>Real Estate Financing</t>
  </si>
  <si>
    <t>Total Debt</t>
  </si>
  <si>
    <t>Long Term debt</t>
  </si>
  <si>
    <t>Date</t>
  </si>
  <si>
    <t>Value of firm (S)</t>
  </si>
  <si>
    <t>Value of Debt (K)</t>
  </si>
  <si>
    <t>Maturity of Debt (t)</t>
  </si>
  <si>
    <t>Risk Free Rate - r</t>
  </si>
  <si>
    <t>Weight (Equity)</t>
  </si>
  <si>
    <t>Weight (Debt)</t>
  </si>
  <si>
    <t>Covariance</t>
  </si>
  <si>
    <t>Bond Returns</t>
  </si>
  <si>
    <t>Stock Returns</t>
  </si>
  <si>
    <t>Carvana Co.</t>
  </si>
  <si>
    <t>St.Dev in Bond Prices</t>
  </si>
  <si>
    <t>St.Dev in Stock Prices</t>
  </si>
  <si>
    <t>(r+σ2/2)t</t>
  </si>
  <si>
    <t>σ√t</t>
  </si>
  <si>
    <t>e-rt</t>
  </si>
  <si>
    <t>Annualized Volatility Firm Value (σ)</t>
  </si>
  <si>
    <t>Number of Shares outstanding</t>
  </si>
  <si>
    <t>Fair Value per share</t>
  </si>
  <si>
    <t>Probability of Bankruptcy = 25.58%</t>
  </si>
  <si>
    <t>Ln(S/K)</t>
  </si>
  <si>
    <t>D1</t>
  </si>
  <si>
    <t>D2</t>
  </si>
  <si>
    <t>N(D1)</t>
  </si>
  <si>
    <t>N(D2)</t>
  </si>
  <si>
    <t>N(-D1)</t>
  </si>
  <si>
    <t>N(-D2)</t>
  </si>
  <si>
    <t>Option Pricing</t>
  </si>
  <si>
    <t>TV</t>
  </si>
  <si>
    <t>Probability of Default</t>
  </si>
  <si>
    <t>Bond's Trading Price</t>
  </si>
  <si>
    <t>Carvana Credit Rating (Moody's)</t>
  </si>
  <si>
    <t>Coupon Rate (%)</t>
  </si>
  <si>
    <t>Face Value of Bond</t>
  </si>
  <si>
    <t>Maturity of Bond</t>
  </si>
  <si>
    <t>Years of Maturity</t>
  </si>
  <si>
    <t>absolute years</t>
  </si>
  <si>
    <t>Calculating Probability of Bankruptcy %</t>
  </si>
  <si>
    <t>Probability of Distress (Annual)</t>
  </si>
  <si>
    <t>Cumulative Prob. of surviving (10 yrs)</t>
  </si>
  <si>
    <t>Cumulative Prob. of distress (10 yrs)</t>
  </si>
  <si>
    <t>Probaility of Bankruptcy</t>
  </si>
  <si>
    <t>Adj. Fair Value of Share</t>
  </si>
  <si>
    <t>Vehicle Type</t>
  </si>
  <si>
    <t>Car</t>
  </si>
  <si>
    <t>SUV</t>
  </si>
  <si>
    <t>Pickup Truck</t>
  </si>
  <si>
    <t>Minivan</t>
  </si>
  <si>
    <t>Carmax</t>
  </si>
  <si>
    <t>Vroom</t>
  </si>
  <si>
    <t>Average</t>
  </si>
  <si>
    <t>How Much Car Buying Sites Pay for Different Vehicles?</t>
  </si>
  <si>
    <t>Vehicle Year</t>
  </si>
  <si>
    <t>2001-2009</t>
  </si>
  <si>
    <t>2010-2015</t>
  </si>
  <si>
    <t>2016-2022</t>
  </si>
  <si>
    <t>How Much Car Buying Sites Pay for Vehicles of Different 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</si>
</sst>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2">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_ [$₹-4009]\ * #,##0.0_ ;_ [$₹-4009]\ * \-#,##0.0_ ;_ [$₹-4009]\ * &quot;-&quot;?_ ;_ @_ "/>
    <numFmt numFmtId="186" formatCode="[$₹-4009]\ #,##0;[$₹-4009]\ \-#,##0"/>
    <numFmt numFmtId="187" formatCode="0.000"/>
    <numFmt numFmtId="188" formatCode="_(&quot;$&quot;* #,##0_);_(&quot;$&quot;* \(#,##0\);_(&quot;$&quot;* &quot;-&quot;??_);_(@_)"/>
    <numFmt numFmtId="189" formatCode="&quot;$&quot;#,##0.00"/>
    <numFmt numFmtId="190" formatCode="m/d/yyyy;@"/>
    <numFmt numFmtId="191" formatCode="0.000%"/>
    <numFmt numFmtId="197" formatCode="&quot;$&quot;#,##0"/>
  </numFmts>
  <fonts count="78">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
      <i/>
      <sz val="9"/>
      <color theme="0"/>
      <name val="Arial"/>
      <family val="2"/>
    </font>
    <font>
      <i/>
      <sz val="11"/>
      <color theme="1"/>
      <name val="Calibri"/>
      <family val="2"/>
      <scheme val="minor"/>
    </font>
    <font>
      <b/>
      <i/>
      <sz val="9"/>
      <name val="Arial"/>
      <family val="2"/>
    </font>
  </fonts>
  <fills count="48">
    <fill>
      <patternFill patternType="none"/>
    </fill>
    <fill>
      <patternFill patternType="gray125"/>
    </fill>
    <fill>
      <patternFill patternType="solid">
        <fgColor theme="0"/>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s>
  <borders count="22">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
      <left/>
      <right/>
      <top style="thin">
        <color auto="1"/>
      </top>
      <bottom style="thin">
        <color indexed="64"/>
      </bottom>
      <diagonal/>
    </border>
  </borders>
  <cellStyleXfs count="170">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3" borderId="3"/>
    <xf numFmtId="0" fontId="12" fillId="0" borderId="0"/>
    <xf numFmtId="0" fontId="9" fillId="0" borderId="0"/>
    <xf numFmtId="0" fontId="9" fillId="0" borderId="0"/>
    <xf numFmtId="0" fontId="12" fillId="0" borderId="0"/>
    <xf numFmtId="0" fontId="12" fillId="0" borderId="0"/>
    <xf numFmtId="0" fontId="13" fillId="0" borderId="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7"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5" fillId="14" borderId="0" applyNumberFormat="0" applyBorder="0" applyAlignment="0" applyProtection="0"/>
    <xf numFmtId="0" fontId="15" fillId="11" borderId="0" applyNumberFormat="0" applyBorder="0" applyAlignment="0" applyProtection="0"/>
    <xf numFmtId="0" fontId="15" fillId="12"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21" borderId="0" applyNumberFormat="0" applyBorder="0" applyAlignment="0" applyProtection="0"/>
    <xf numFmtId="0" fontId="9" fillId="0" borderId="0"/>
    <xf numFmtId="0" fontId="16" fillId="5" borderId="0" applyNumberFormat="0" applyBorder="0" applyAlignment="0" applyProtection="0"/>
    <xf numFmtId="0" fontId="17" fillId="22" borderId="4" applyNumberFormat="0" applyAlignment="0" applyProtection="0"/>
    <xf numFmtId="0" fontId="18" fillId="23"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6" borderId="0" applyNumberFormat="0" applyBorder="0" applyAlignment="0" applyProtection="0"/>
    <xf numFmtId="38" fontId="10" fillId="24"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9" borderId="4" applyNumberFormat="0" applyAlignment="0" applyProtection="0"/>
    <xf numFmtId="10" fontId="10" fillId="3"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5" borderId="0" applyNumberFormat="0" applyBorder="0" applyAlignment="0" applyProtection="0"/>
    <xf numFmtId="173" fontId="29" fillId="0" borderId="0"/>
    <xf numFmtId="0" fontId="26" fillId="0" borderId="0"/>
    <xf numFmtId="0" fontId="14" fillId="26"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2"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7" borderId="0" applyNumberFormat="0" applyFont="0" applyBorder="0" applyAlignment="0" applyProtection="0"/>
    <xf numFmtId="3" fontId="42" fillId="28" borderId="0" applyFont="0" applyFill="0" applyBorder="0" applyAlignment="0" applyProtection="0"/>
    <xf numFmtId="4" fontId="33" fillId="29" borderId="12" applyNumberFormat="0" applyProtection="0">
      <alignment vertical="center"/>
    </xf>
    <xf numFmtId="4" fontId="34" fillId="29" borderId="12" applyNumberFormat="0" applyProtection="0">
      <alignment vertical="center"/>
    </xf>
    <xf numFmtId="4" fontId="33" fillId="29" borderId="12" applyNumberFormat="0" applyProtection="0">
      <alignment horizontal="left" vertical="center" indent="1"/>
    </xf>
    <xf numFmtId="4" fontId="33" fillId="29" borderId="12" applyNumberFormat="0" applyProtection="0">
      <alignment horizontal="left" vertical="center" indent="1"/>
    </xf>
    <xf numFmtId="0" fontId="9" fillId="30" borderId="12" applyNumberFormat="0" applyProtection="0">
      <alignment horizontal="left" vertical="center" indent="1"/>
    </xf>
    <xf numFmtId="4" fontId="33" fillId="31" borderId="12" applyNumberFormat="0" applyProtection="0">
      <alignment horizontal="right" vertical="center"/>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5" fillId="40" borderId="12" applyNumberFormat="0" applyProtection="0">
      <alignment horizontal="left" vertical="center" indent="1"/>
    </xf>
    <xf numFmtId="4" fontId="33" fillId="41" borderId="14" applyNumberFormat="0" applyProtection="0">
      <alignment horizontal="left" vertical="center" indent="1"/>
    </xf>
    <xf numFmtId="4" fontId="36" fillId="42" borderId="0" applyNumberFormat="0" applyProtection="0">
      <alignment horizontal="left" vertical="center" indent="1"/>
    </xf>
    <xf numFmtId="0" fontId="9" fillId="30" borderId="12" applyNumberFormat="0" applyProtection="0">
      <alignment horizontal="left" vertical="center" indent="1"/>
    </xf>
    <xf numFmtId="4" fontId="33" fillId="41" borderId="12" applyNumberFormat="0" applyProtection="0">
      <alignment horizontal="left" vertical="center" indent="1"/>
    </xf>
    <xf numFmtId="4" fontId="33" fillId="43" borderId="12" applyNumberFormat="0" applyProtection="0">
      <alignment horizontal="left" vertical="center" indent="1"/>
    </xf>
    <xf numFmtId="0" fontId="9" fillId="43" borderId="12" applyNumberFormat="0" applyProtection="0">
      <alignment horizontal="left" vertical="center" indent="1"/>
    </xf>
    <xf numFmtId="0" fontId="9" fillId="43"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24" borderId="12" applyNumberFormat="0" applyProtection="0">
      <alignment horizontal="left" vertical="center" indent="1"/>
    </xf>
    <xf numFmtId="0" fontId="9" fillId="24" borderId="12" applyNumberFormat="0" applyProtection="0">
      <alignment horizontal="left" vertical="center" indent="1"/>
    </xf>
    <xf numFmtId="0" fontId="9" fillId="30" borderId="12" applyNumberFormat="0" applyProtection="0">
      <alignment horizontal="left" vertical="center" indent="1"/>
    </xf>
    <xf numFmtId="0" fontId="9" fillId="30" borderId="12" applyNumberFormat="0" applyProtection="0">
      <alignment horizontal="left" vertical="center" indent="1"/>
    </xf>
    <xf numFmtId="4" fontId="33" fillId="3" borderId="12" applyNumberFormat="0" applyProtection="0">
      <alignment vertical="center"/>
    </xf>
    <xf numFmtId="4" fontId="34" fillId="3" borderId="12" applyNumberFormat="0" applyProtection="0">
      <alignment vertical="center"/>
    </xf>
    <xf numFmtId="4" fontId="33" fillId="3" borderId="12" applyNumberFormat="0" applyProtection="0">
      <alignment horizontal="left" vertical="center" indent="1"/>
    </xf>
    <xf numFmtId="4" fontId="33" fillId="3" borderId="12" applyNumberFormat="0" applyProtection="0">
      <alignment horizontal="left" vertical="center" indent="1"/>
    </xf>
    <xf numFmtId="4" fontId="33" fillId="41" borderId="12" applyNumberFormat="0" applyProtection="0">
      <alignment horizontal="right" vertical="center"/>
    </xf>
    <xf numFmtId="4" fontId="34" fillId="41" borderId="12" applyNumberFormat="0" applyProtection="0">
      <alignment horizontal="right" vertical="center"/>
    </xf>
    <xf numFmtId="0" fontId="9" fillId="30" borderId="12" applyNumberFormat="0" applyProtection="0">
      <alignment horizontal="left" vertical="center" indent="1"/>
    </xf>
    <xf numFmtId="0" fontId="9" fillId="30" borderId="12" applyNumberFormat="0" applyProtection="0">
      <alignment horizontal="left" vertical="center" indent="1"/>
    </xf>
    <xf numFmtId="0" fontId="37" fillId="0" borderId="0"/>
    <xf numFmtId="4" fontId="11" fillId="41"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xf numFmtId="44" fontId="5" fillId="0" borderId="0" applyFont="0" applyFill="0" applyBorder="0" applyAlignment="0" applyProtection="0"/>
  </cellStyleXfs>
  <cellXfs count="501">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6" borderId="0" xfId="0" applyNumberFormat="1" applyFont="1" applyFill="1" applyBorder="1"/>
    <xf numFmtId="164" fontId="1" fillId="46" borderId="0" xfId="0" applyNumberFormat="1" applyFont="1" applyFill="1" applyBorder="1"/>
    <xf numFmtId="10" fontId="6" fillId="2" borderId="0" xfId="2" applyNumberFormat="1" applyFont="1" applyFill="1" applyBorder="1"/>
    <xf numFmtId="10" fontId="6" fillId="46"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6"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5" borderId="0" xfId="0" applyFont="1" applyFill="1" applyAlignment="1">
      <alignment horizontal="left"/>
    </xf>
    <xf numFmtId="0" fontId="8" fillId="45" borderId="0" xfId="0" applyFont="1" applyFill="1"/>
    <xf numFmtId="165" fontId="2" fillId="46"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5" fontId="2" fillId="46" borderId="0" xfId="0" applyNumberFormat="1" applyFont="1" applyFill="1" applyBorder="1" applyAlignment="1">
      <alignment horizontal="right"/>
    </xf>
    <xf numFmtId="164" fontId="2" fillId="46" borderId="0" xfId="0" applyNumberFormat="1" applyFont="1" applyFill="1"/>
    <xf numFmtId="164" fontId="65" fillId="2" borderId="0" xfId="0" applyNumberFormat="1" applyFont="1" applyFill="1" applyBorder="1"/>
    <xf numFmtId="10" fontId="1" fillId="46" borderId="0" xfId="2" applyNumberFormat="1" applyFont="1" applyFill="1" applyBorder="1"/>
    <xf numFmtId="10" fontId="8" fillId="45" borderId="0" xfId="2" applyNumberFormat="1" applyFont="1" applyFill="1" applyBorder="1"/>
    <xf numFmtId="166" fontId="1" fillId="46" borderId="0" xfId="2" applyNumberFormat="1" applyFont="1" applyFill="1" applyBorder="1"/>
    <xf numFmtId="164" fontId="1" fillId="46"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182" fontId="1" fillId="46" borderId="0" xfId="0" applyNumberFormat="1" applyFont="1" applyFill="1" applyBorder="1" applyAlignment="1">
      <alignment horizontal="right" vertical="center"/>
    </xf>
    <xf numFmtId="10" fontId="64" fillId="46"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4" fontId="2" fillId="46" borderId="0" xfId="0" applyNumberFormat="1" applyFont="1" applyFill="1" applyBorder="1" applyAlignment="1">
      <alignment horizontal="right"/>
    </xf>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164" fontId="64" fillId="2" borderId="0" xfId="165" applyNumberFormat="1" applyFont="1" applyFill="1" applyBorder="1"/>
    <xf numFmtId="10" fontId="40" fillId="46" borderId="0" xfId="2" applyNumberFormat="1" applyFont="1" applyFill="1" applyBorder="1"/>
    <xf numFmtId="10" fontId="2" fillId="46" borderId="0" xfId="2" applyNumberFormat="1" applyFont="1" applyFill="1" applyBorder="1"/>
    <xf numFmtId="182" fontId="2" fillId="46" borderId="0" xfId="0" applyNumberFormat="1" applyFont="1" applyFill="1" applyBorder="1" applyAlignment="1">
      <alignment horizontal="right"/>
    </xf>
    <xf numFmtId="10" fontId="2" fillId="46" borderId="0" xfId="2" applyNumberFormat="1" applyFont="1" applyFill="1" applyBorder="1" applyAlignment="1">
      <alignment horizontal="right"/>
    </xf>
    <xf numFmtId="164" fontId="1" fillId="46" borderId="0" xfId="0" applyNumberFormat="1" applyFont="1" applyFill="1" applyAlignment="1">
      <alignment horizontal="right"/>
    </xf>
    <xf numFmtId="165" fontId="8" fillId="45"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83" fontId="1" fillId="2" borderId="0" xfId="0" applyNumberFormat="1" applyFont="1" applyFill="1"/>
    <xf numFmtId="164" fontId="8" fillId="2" borderId="0" xfId="0" applyNumberFormat="1" applyFont="1" applyFill="1" applyBorder="1" applyAlignment="1">
      <alignment horizontal="right"/>
    </xf>
    <xf numFmtId="0" fontId="1" fillId="46" borderId="0" xfId="0" applyNumberFormat="1" applyFont="1" applyFill="1" applyBorder="1" applyAlignment="1">
      <alignment horizontal="right"/>
    </xf>
    <xf numFmtId="164" fontId="2" fillId="46" borderId="0" xfId="0" applyNumberFormat="1" applyFont="1" applyFill="1" applyBorder="1"/>
    <xf numFmtId="164" fontId="2" fillId="46" borderId="18" xfId="0"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1" fillId="46" borderId="0" xfId="0" applyNumberFormat="1" applyFont="1" applyFill="1" applyBorder="1"/>
    <xf numFmtId="164" fontId="64" fillId="2" borderId="0" xfId="0" applyNumberFormat="1" applyFont="1" applyFill="1" applyBorder="1" applyAlignment="1">
      <alignment horizontal="left"/>
    </xf>
    <xf numFmtId="2" fontId="64" fillId="46" borderId="0" xfId="2" applyNumberFormat="1" applyFont="1" applyFill="1" applyBorder="1" applyAlignment="1">
      <alignment horizontal="right"/>
    </xf>
    <xf numFmtId="2" fontId="64" fillId="2" borderId="18" xfId="2" applyNumberFormat="1" applyFont="1" applyFill="1" applyBorder="1" applyAlignment="1">
      <alignment horizontal="right"/>
    </xf>
    <xf numFmtId="182" fontId="64" fillId="2" borderId="0" xfId="0" applyNumberFormat="1" applyFont="1" applyFill="1" applyBorder="1" applyAlignment="1">
      <alignment horizontal="left" vertical="center"/>
    </xf>
    <xf numFmtId="10" fontId="2" fillId="46" borderId="0" xfId="2" applyNumberFormat="1" applyFont="1" applyFill="1"/>
    <xf numFmtId="178" fontId="8" fillId="45" borderId="0" xfId="0" applyNumberFormat="1" applyFont="1" applyFill="1" applyBorder="1"/>
    <xf numFmtId="2" fontId="40" fillId="46" borderId="0" xfId="0" applyNumberFormat="1" applyFont="1" applyFill="1" applyBorder="1" applyAlignment="1">
      <alignment horizontal="right"/>
    </xf>
    <xf numFmtId="178" fontId="2" fillId="46" borderId="0" xfId="0" applyNumberFormat="1" applyFont="1" applyFill="1" applyBorder="1"/>
    <xf numFmtId="164" fontId="63" fillId="46" borderId="0" xfId="0" applyNumberFormat="1" applyFont="1" applyFill="1"/>
    <xf numFmtId="164" fontId="65" fillId="46" borderId="0" xfId="0" applyNumberFormat="1" applyFont="1" applyFill="1" applyBorder="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5" borderId="0" xfId="2" applyNumberFormat="1" applyFont="1" applyFill="1" applyBorder="1"/>
    <xf numFmtId="180" fontId="2" fillId="46" borderId="0" xfId="2" applyNumberFormat="1" applyFont="1" applyFill="1" applyBorder="1"/>
    <xf numFmtId="164" fontId="64" fillId="46" borderId="0" xfId="0" applyNumberFormat="1" applyFont="1" applyFill="1" applyAlignment="1">
      <alignment horizontal="right"/>
    </xf>
    <xf numFmtId="0" fontId="2" fillId="46" borderId="0" xfId="2" applyNumberFormat="1" applyFont="1" applyFill="1" applyBorder="1"/>
    <xf numFmtId="10" fontId="8" fillId="45"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6" borderId="0" xfId="0" applyFont="1" applyFill="1" applyBorder="1"/>
    <xf numFmtId="0" fontId="64" fillId="46" borderId="0" xfId="0" applyFont="1" applyFill="1" applyBorder="1" applyAlignment="1">
      <alignment horizontal="right"/>
    </xf>
    <xf numFmtId="0" fontId="40" fillId="46" borderId="0" xfId="0" applyFont="1" applyFill="1" applyBorder="1" applyAlignment="1">
      <alignment horizontal="left"/>
    </xf>
    <xf numFmtId="0" fontId="2" fillId="46" borderId="0" xfId="0" applyFont="1" applyFill="1" applyBorder="1"/>
    <xf numFmtId="180" fontId="2" fillId="46" borderId="0" xfId="0" applyNumberFormat="1" applyFont="1" applyFill="1" applyBorder="1"/>
    <xf numFmtId="0" fontId="2" fillId="46" borderId="19" xfId="0" applyFont="1" applyFill="1" applyBorder="1"/>
    <xf numFmtId="0" fontId="2" fillId="46" borderId="18" xfId="0" applyFont="1" applyFill="1" applyBorder="1"/>
    <xf numFmtId="180" fontId="2" fillId="46" borderId="18" xfId="0" applyNumberFormat="1" applyFont="1" applyFill="1" applyBorder="1"/>
    <xf numFmtId="0" fontId="74" fillId="46" borderId="0" xfId="0"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6" borderId="0" xfId="0" applyFont="1" applyFill="1" applyBorder="1" applyAlignment="1">
      <alignment horizontal="left" vertical="center"/>
    </xf>
    <xf numFmtId="180" fontId="64" fillId="2" borderId="0" xfId="0" applyNumberFormat="1" applyFont="1" applyFill="1" applyBorder="1"/>
    <xf numFmtId="0" fontId="2" fillId="46" borderId="0" xfId="0" applyFont="1" applyFill="1" applyBorder="1" applyAlignment="1">
      <alignment horizontal="right"/>
    </xf>
    <xf numFmtId="10" fontId="64" fillId="2" borderId="0" xfId="2" applyNumberFormat="1" applyFont="1" applyFill="1" applyBorder="1"/>
    <xf numFmtId="10" fontId="64" fillId="46" borderId="0" xfId="2" applyNumberFormat="1" applyFont="1" applyFill="1" applyBorder="1"/>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80" fontId="1" fillId="2" borderId="0" xfId="0" applyNumberFormat="1" applyFont="1" applyFill="1" applyBorder="1"/>
    <xf numFmtId="10" fontId="2" fillId="46" borderId="0" xfId="2" applyNumberFormat="1" applyFont="1" applyFill="1" applyBorder="1" applyAlignment="1">
      <alignment horizontal="right" vertical="center"/>
    </xf>
    <xf numFmtId="0" fontId="2" fillId="46" borderId="0" xfId="0" applyFont="1" applyFill="1" applyBorder="1" applyAlignment="1">
      <alignment vertical="center"/>
    </xf>
    <xf numFmtId="180" fontId="64" fillId="46" borderId="0" xfId="0" applyNumberFormat="1" applyFont="1" applyFill="1" applyBorder="1" applyAlignment="1">
      <alignment horizontal="right" vertical="center"/>
    </xf>
    <xf numFmtId="0" fontId="1" fillId="46" borderId="0" xfId="0" applyFont="1" applyFill="1" applyBorder="1" applyAlignment="1">
      <alignment horizontal="right"/>
    </xf>
    <xf numFmtId="179" fontId="1" fillId="46" borderId="0" xfId="0" applyNumberFormat="1" applyFont="1" applyFill="1" applyBorder="1" applyAlignment="1">
      <alignment horizontal="right"/>
    </xf>
    <xf numFmtId="0" fontId="2" fillId="46" borderId="18" xfId="0" applyFont="1" applyFill="1" applyBorder="1" applyAlignment="1">
      <alignment horizontal="right"/>
    </xf>
    <xf numFmtId="0" fontId="8" fillId="45" borderId="0" xfId="0" applyFont="1" applyFill="1" applyBorder="1" applyAlignment="1">
      <alignment horizontal="right"/>
    </xf>
    <xf numFmtId="0" fontId="8" fillId="45" borderId="0" xfId="0" applyFont="1" applyFill="1" applyBorder="1"/>
    <xf numFmtId="2" fontId="1" fillId="46" borderId="0" xfId="0" applyNumberFormat="1" applyFont="1" applyFill="1" applyBorder="1"/>
    <xf numFmtId="10" fontId="64" fillId="2" borderId="18" xfId="0" applyNumberFormat="1" applyFont="1" applyFill="1" applyBorder="1"/>
    <xf numFmtId="10" fontId="40" fillId="46" borderId="0" xfId="2" applyNumberFormat="1" applyFont="1" applyFill="1" applyBorder="1" applyAlignment="1">
      <alignment horizontal="right"/>
    </xf>
    <xf numFmtId="181" fontId="2" fillId="2" borderId="0" xfId="0" applyNumberFormat="1" applyFont="1" applyFill="1" applyBorder="1"/>
    <xf numFmtId="2" fontId="64" fillId="2" borderId="0" xfId="0" applyNumberFormat="1" applyFont="1" applyFill="1" applyBorder="1"/>
    <xf numFmtId="10" fontId="40" fillId="46"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2" fontId="64" fillId="2" borderId="0" xfId="2" applyNumberFormat="1" applyFont="1" applyFill="1" applyBorder="1" applyAlignment="1"/>
    <xf numFmtId="182" fontId="1" fillId="2" borderId="0" xfId="0" applyNumberFormat="1" applyFont="1" applyFill="1" applyBorder="1"/>
    <xf numFmtId="0" fontId="2" fillId="46" borderId="0" xfId="0" applyNumberFormat="1" applyFont="1" applyFill="1" applyBorder="1" applyAlignment="1">
      <alignment horizontal="right" vertical="center"/>
    </xf>
    <xf numFmtId="0" fontId="64" fillId="46" borderId="0" xfId="0" applyFont="1" applyFill="1" applyBorder="1"/>
    <xf numFmtId="10" fontId="40" fillId="2" borderId="0" xfId="2" applyNumberFormat="1" applyFont="1" applyFill="1" applyBorder="1" applyAlignment="1"/>
    <xf numFmtId="0" fontId="2" fillId="47" borderId="0" xfId="0" applyNumberFormat="1" applyFont="1" applyFill="1" applyBorder="1" applyAlignment="1">
      <alignment horizontal="right"/>
    </xf>
    <xf numFmtId="180" fontId="1" fillId="46" borderId="0" xfId="0" applyNumberFormat="1" applyFont="1" applyFill="1" applyBorder="1"/>
    <xf numFmtId="2" fontId="2" fillId="47" borderId="0" xfId="0" applyNumberFormat="1" applyFont="1" applyFill="1" applyBorder="1"/>
    <xf numFmtId="10" fontId="65" fillId="47" borderId="0" xfId="2" applyNumberFormat="1" applyFont="1" applyFill="1" applyBorder="1" applyAlignment="1">
      <alignment horizontal="right"/>
    </xf>
    <xf numFmtId="10" fontId="67" fillId="45" borderId="0" xfId="0" applyNumberFormat="1" applyFont="1" applyFill="1" applyBorder="1"/>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5" borderId="0" xfId="0" applyFont="1" applyFill="1" applyBorder="1"/>
    <xf numFmtId="0" fontId="64" fillId="2" borderId="0" xfId="0" applyNumberFormat="1" applyFont="1" applyFill="1" applyBorder="1"/>
    <xf numFmtId="10" fontId="65" fillId="47" borderId="0" xfId="0" applyNumberFormat="1" applyFont="1" applyFill="1" applyBorder="1"/>
    <xf numFmtId="10" fontId="2" fillId="46" borderId="18" xfId="2" applyNumberFormat="1" applyFont="1" applyFill="1" applyBorder="1"/>
    <xf numFmtId="178" fontId="2" fillId="2" borderId="0" xfId="0" applyNumberFormat="1" applyFont="1" applyFill="1" applyBorder="1"/>
    <xf numFmtId="164" fontId="64" fillId="46" borderId="0" xfId="0" applyNumberFormat="1" applyFont="1" applyFill="1" applyBorder="1"/>
    <xf numFmtId="0" fontId="6" fillId="46" borderId="0" xfId="0" applyFont="1" applyFill="1" applyBorder="1"/>
    <xf numFmtId="180" fontId="8" fillId="46" borderId="0" xfId="0" applyNumberFormat="1" applyFont="1" applyFill="1" applyBorder="1"/>
    <xf numFmtId="10" fontId="6" fillId="46"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6" borderId="0" xfId="0" applyNumberFormat="1" applyFont="1" applyFill="1" applyBorder="1"/>
    <xf numFmtId="180" fontId="40" fillId="46" borderId="0" xfId="0" applyNumberFormat="1" applyFont="1" applyFill="1" applyBorder="1"/>
    <xf numFmtId="180" fontId="8" fillId="45" borderId="0" xfId="2" applyNumberFormat="1" applyFont="1" applyFill="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6" borderId="0" xfId="2" applyNumberFormat="1" applyFont="1" applyFill="1" applyBorder="1" applyAlignment="1">
      <alignment horizontal="right"/>
    </xf>
    <xf numFmtId="10" fontId="66" fillId="46" borderId="0" xfId="2" applyNumberFormat="1" applyFont="1" applyFill="1" applyBorder="1" applyAlignment="1">
      <alignment horizontal="right" vertical="center"/>
    </xf>
    <xf numFmtId="10" fontId="2" fillId="46"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84" fontId="1" fillId="2" borderId="0" xfId="0" applyNumberFormat="1" applyFont="1" applyFill="1" applyBorder="1"/>
    <xf numFmtId="2" fontId="1" fillId="2" borderId="0" xfId="0" applyNumberFormat="1" applyFont="1" applyFill="1" applyBorder="1" applyAlignment="1">
      <alignment horizontal="right"/>
    </xf>
    <xf numFmtId="164" fontId="2" fillId="47" borderId="0" xfId="0" applyNumberFormat="1" applyFont="1" applyFill="1"/>
    <xf numFmtId="9" fontId="60" fillId="2" borderId="0" xfId="2" applyFont="1" applyFill="1" applyBorder="1"/>
    <xf numFmtId="0" fontId="2" fillId="47" borderId="0" xfId="0" applyNumberFormat="1" applyFont="1" applyFill="1"/>
    <xf numFmtId="0" fontId="40" fillId="47" borderId="0" xfId="2" applyNumberFormat="1" applyFont="1" applyFill="1" applyBorder="1" applyAlignment="1">
      <alignment horizontal="right"/>
    </xf>
    <xf numFmtId="0" fontId="40" fillId="47" borderId="0" xfId="0" applyNumberFormat="1" applyFont="1" applyFill="1" applyBorder="1" applyAlignment="1">
      <alignment horizontal="right"/>
    </xf>
    <xf numFmtId="0" fontId="40" fillId="47" borderId="0" xfId="2" applyNumberFormat="1" applyFont="1" applyFill="1" applyBorder="1"/>
    <xf numFmtId="0" fontId="40" fillId="47" borderId="0" xfId="0" applyNumberFormat="1" applyFont="1" applyFill="1" applyBorder="1"/>
    <xf numFmtId="164" fontId="1" fillId="2" borderId="0" xfId="0" applyNumberFormat="1" applyFont="1" applyFill="1" applyBorder="1" applyAlignment="1">
      <alignment horizontal="left"/>
    </xf>
    <xf numFmtId="2" fontId="64" fillId="46" borderId="0" xfId="0" applyNumberFormat="1" applyFont="1" applyFill="1" applyBorder="1"/>
    <xf numFmtId="0" fontId="40" fillId="46" borderId="0" xfId="0" applyFont="1" applyFill="1" applyBorder="1" applyAlignment="1"/>
    <xf numFmtId="0" fontId="40" fillId="46" borderId="2" xfId="0" applyFont="1" applyFill="1" applyBorder="1" applyAlignment="1"/>
    <xf numFmtId="0" fontId="2" fillId="47" borderId="0" xfId="0" applyFont="1" applyFill="1" applyBorder="1"/>
    <xf numFmtId="0" fontId="2" fillId="47" borderId="0" xfId="0" applyFont="1" applyFill="1" applyBorder="1" applyAlignment="1">
      <alignment horizontal="right"/>
    </xf>
    <xf numFmtId="0" fontId="2" fillId="47" borderId="0" xfId="0" applyFont="1" applyFill="1" applyBorder="1" applyAlignment="1"/>
    <xf numFmtId="164" fontId="1" fillId="2" borderId="0" xfId="0" applyNumberFormat="1" applyFont="1" applyFill="1" applyAlignment="1">
      <alignment horizontal="right"/>
    </xf>
    <xf numFmtId="164" fontId="60" fillId="46" borderId="0" xfId="0" applyNumberFormat="1" applyFont="1" applyFill="1" applyBorder="1"/>
    <xf numFmtId="164" fontId="40" fillId="46" borderId="17" xfId="0" applyNumberFormat="1" applyFont="1" applyFill="1" applyBorder="1"/>
    <xf numFmtId="49" fontId="60" fillId="46" borderId="0" xfId="0" quotePrefix="1" applyNumberFormat="1" applyFont="1" applyFill="1" applyBorder="1"/>
    <xf numFmtId="49" fontId="60" fillId="46" borderId="0" xfId="0" applyNumberFormat="1" applyFont="1" applyFill="1" applyBorder="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0" fontId="1" fillId="2" borderId="0" xfId="0" applyNumberFormat="1" applyFont="1" applyFill="1"/>
    <xf numFmtId="166" fontId="60" fillId="2" borderId="0" xfId="2" applyNumberFormat="1" applyFont="1" applyFill="1" applyBorder="1" applyAlignment="1"/>
    <xf numFmtId="164" fontId="64" fillId="2" borderId="0" xfId="0" applyNumberFormat="1" applyFont="1" applyFill="1"/>
    <xf numFmtId="166" fontId="64" fillId="2" borderId="0" xfId="2"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180" fontId="60" fillId="2" borderId="0" xfId="0" applyNumberFormat="1" applyFont="1" applyFill="1" applyBorder="1"/>
    <xf numFmtId="0" fontId="1" fillId="2" borderId="0" xfId="2" applyNumberFormat="1" applyFont="1" applyFill="1"/>
    <xf numFmtId="164" fontId="8" fillId="2" borderId="0" xfId="0" applyNumberFormat="1" applyFont="1" applyFill="1"/>
    <xf numFmtId="2" fontId="64" fillId="46" borderId="0" xfId="2" applyNumberFormat="1" applyFont="1" applyFill="1" applyBorder="1" applyAlignment="1"/>
    <xf numFmtId="165" fontId="2" fillId="47" borderId="0" xfId="0" applyNumberFormat="1" applyFont="1" applyFill="1" applyBorder="1" applyAlignment="1">
      <alignment horizontal="right"/>
    </xf>
    <xf numFmtId="2" fontId="64" fillId="2" borderId="20" xfId="2" applyNumberFormat="1" applyFont="1" applyFill="1" applyBorder="1" applyAlignment="1">
      <alignment horizontal="right"/>
    </xf>
    <xf numFmtId="183" fontId="7" fillId="2" borderId="0" xfId="0" applyNumberFormat="1" applyFont="1" applyFill="1"/>
    <xf numFmtId="2" fontId="64" fillId="46" borderId="0" xfId="0" applyNumberFormat="1" applyFont="1" applyFill="1" applyAlignment="1">
      <alignment horizontal="right"/>
    </xf>
    <xf numFmtId="0" fontId="2" fillId="46" borderId="20" xfId="0" applyFont="1" applyFill="1" applyBorder="1"/>
    <xf numFmtId="0" fontId="8" fillId="2" borderId="0" xfId="0" applyFont="1" applyFill="1" applyBorder="1" applyAlignment="1">
      <alignment vertical="center"/>
    </xf>
    <xf numFmtId="0" fontId="2" fillId="46" borderId="20" xfId="0" applyFont="1" applyFill="1" applyBorder="1" applyAlignment="1">
      <alignment horizontal="left" vertical="center"/>
    </xf>
    <xf numFmtId="10" fontId="40" fillId="46" borderId="20" xfId="2" applyNumberFormat="1" applyFont="1" applyFill="1" applyBorder="1" applyAlignment="1">
      <alignment horizontal="right" vertical="center"/>
    </xf>
    <xf numFmtId="10" fontId="2" fillId="46" borderId="20" xfId="2" applyNumberFormat="1" applyFont="1" applyFill="1" applyBorder="1"/>
    <xf numFmtId="2" fontId="64" fillId="2" borderId="0" xfId="0" applyNumberFormat="1" applyFont="1" applyFill="1" applyBorder="1" applyAlignment="1">
      <alignment horizontal="right"/>
    </xf>
    <xf numFmtId="2" fontId="2" fillId="2" borderId="0" xfId="0" applyNumberFormat="1" applyFont="1" applyFill="1" applyBorder="1" applyAlignment="1">
      <alignment horizontal="right"/>
    </xf>
    <xf numFmtId="43" fontId="64" fillId="2" borderId="0" xfId="0" applyNumberFormat="1" applyFont="1" applyFill="1" applyBorder="1"/>
    <xf numFmtId="182" fontId="40" fillId="2" borderId="0" xfId="0" applyNumberFormat="1" applyFont="1" applyFill="1" applyBorder="1" applyAlignment="1">
      <alignment horizontal="right"/>
    </xf>
    <xf numFmtId="2" fontId="2" fillId="2" borderId="0" xfId="0" applyNumberFormat="1" applyFont="1" applyFill="1" applyBorder="1"/>
    <xf numFmtId="10" fontId="64" fillId="46" borderId="0" xfId="0" applyNumberFormat="1" applyFont="1" applyFill="1" applyBorder="1" applyAlignment="1">
      <alignment horizontal="right" vertical="center"/>
    </xf>
    <xf numFmtId="10" fontId="64" fillId="2" borderId="18" xfId="2" applyNumberFormat="1" applyFont="1" applyFill="1" applyBorder="1" applyAlignment="1">
      <alignment horizontal="right"/>
    </xf>
    <xf numFmtId="179" fontId="2" fillId="46" borderId="0" xfId="2" applyNumberFormat="1" applyFont="1" applyFill="1" applyBorder="1"/>
    <xf numFmtId="164" fontId="8" fillId="45" borderId="0" xfId="0" applyNumberFormat="1" applyFont="1" applyFill="1" applyAlignment="1">
      <alignment horizontal="right"/>
    </xf>
    <xf numFmtId="164" fontId="2" fillId="47" borderId="0" xfId="0" applyNumberFormat="1" applyFont="1" applyFill="1" applyAlignment="1">
      <alignment horizontal="right"/>
    </xf>
    <xf numFmtId="10" fontId="2" fillId="2" borderId="20" xfId="2" applyNumberFormat="1" applyFont="1" applyFill="1" applyBorder="1"/>
    <xf numFmtId="185" fontId="1" fillId="2" borderId="0" xfId="0" applyNumberFormat="1" applyFont="1" applyFill="1" applyBorder="1" applyAlignment="1">
      <alignment horizontal="right"/>
    </xf>
    <xf numFmtId="10" fontId="2" fillId="2" borderId="20" xfId="2" applyNumberFormat="1" applyFont="1" applyFill="1" applyBorder="1" applyAlignment="1">
      <alignment horizontal="right"/>
    </xf>
    <xf numFmtId="0" fontId="40" fillId="46" borderId="0" xfId="0" applyNumberFormat="1" applyFont="1" applyFill="1" applyBorder="1" applyAlignment="1">
      <alignment horizontal="right"/>
    </xf>
    <xf numFmtId="0" fontId="1" fillId="46" borderId="0" xfId="0" applyNumberFormat="1" applyFont="1" applyFill="1" applyBorder="1" applyAlignment="1">
      <alignment horizontal="right" vertical="center"/>
    </xf>
    <xf numFmtId="9" fontId="6" fillId="2" borderId="0" xfId="2" applyFont="1" applyFill="1" applyBorder="1"/>
    <xf numFmtId="164" fontId="1" fillId="2" borderId="0" xfId="0" applyNumberFormat="1" applyFont="1" applyFill="1" applyAlignment="1">
      <alignment wrapText="1"/>
    </xf>
    <xf numFmtId="182" fontId="40" fillId="46" borderId="0" xfId="0" applyNumberFormat="1" applyFont="1" applyFill="1" applyBorder="1" applyAlignment="1">
      <alignment horizontal="right"/>
    </xf>
    <xf numFmtId="4" fontId="1" fillId="2" borderId="0" xfId="0" applyNumberFormat="1" applyFont="1" applyFill="1" applyBorder="1"/>
    <xf numFmtId="0" fontId="40" fillId="2" borderId="0" xfId="0" applyFont="1" applyFill="1" applyBorder="1" applyAlignment="1"/>
    <xf numFmtId="10" fontId="2" fillId="2" borderId="0" xfId="2" applyNumberFormat="1" applyFont="1" applyFill="1"/>
    <xf numFmtId="0" fontId="64" fillId="2" borderId="0" xfId="0" applyFont="1" applyFill="1" applyBorder="1" applyAlignment="1">
      <alignment horizontal="right" vertical="center"/>
    </xf>
    <xf numFmtId="2" fontId="64" fillId="46" borderId="0" xfId="2" applyNumberFormat="1" applyFont="1" applyFill="1" applyBorder="1" applyAlignment="1">
      <alignment horizontal="right" wrapText="1"/>
    </xf>
    <xf numFmtId="2" fontId="66" fillId="46" borderId="0" xfId="2" applyNumberFormat="1" applyFont="1" applyFill="1" applyBorder="1" applyAlignment="1">
      <alignment horizontal="right" wrapText="1"/>
    </xf>
    <xf numFmtId="10" fontId="66" fillId="46" borderId="0" xfId="2" applyNumberFormat="1" applyFont="1" applyFill="1" applyBorder="1" applyAlignment="1">
      <alignment horizontal="right" wrapText="1"/>
    </xf>
    <xf numFmtId="10" fontId="64" fillId="46" borderId="0" xfId="2" applyNumberFormat="1" applyFont="1" applyFill="1" applyBorder="1" applyAlignment="1">
      <alignment horizontal="right" wrapText="1"/>
    </xf>
    <xf numFmtId="2" fontId="6" fillId="2" borderId="0" xfId="2" applyNumberFormat="1" applyFont="1" applyFill="1" applyBorder="1" applyAlignment="1">
      <alignment horizontal="left"/>
    </xf>
    <xf numFmtId="2" fontId="1" fillId="2" borderId="0" xfId="2" applyNumberFormat="1" applyFont="1" applyFill="1"/>
    <xf numFmtId="10" fontId="64" fillId="2" borderId="0" xfId="2" applyNumberFormat="1" applyFont="1" applyFill="1" applyBorder="1" applyAlignment="1">
      <alignment horizontal="right" vertical="center"/>
    </xf>
    <xf numFmtId="180" fontId="60" fillId="46" borderId="0" xfId="2" applyNumberFormat="1" applyFont="1" applyFill="1" applyBorder="1" applyAlignment="1">
      <alignment horizontal="right"/>
    </xf>
    <xf numFmtId="10" fontId="66" fillId="46" borderId="0" xfId="2" applyNumberFormat="1" applyFont="1" applyFill="1" applyBorder="1" applyAlignment="1">
      <alignment horizontal="right"/>
    </xf>
    <xf numFmtId="0" fontId="60" fillId="46" borderId="0" xfId="2" applyNumberFormat="1" applyFont="1" applyFill="1" applyBorder="1" applyAlignment="1">
      <alignment horizontal="right"/>
    </xf>
    <xf numFmtId="0" fontId="2" fillId="46" borderId="0" xfId="0" applyNumberFormat="1" applyFont="1" applyFill="1" applyBorder="1" applyAlignment="1">
      <alignment horizontal="right"/>
    </xf>
    <xf numFmtId="10" fontId="40" fillId="47" borderId="0" xfId="2" applyNumberFormat="1" applyFont="1" applyFill="1" applyBorder="1" applyAlignment="1">
      <alignment horizontal="right"/>
    </xf>
    <xf numFmtId="0" fontId="40" fillId="47" borderId="0" xfId="0" applyFont="1" applyFill="1" applyBorder="1" applyAlignment="1">
      <alignment horizontal="right"/>
    </xf>
    <xf numFmtId="0" fontId="60" fillId="47" borderId="0" xfId="0" applyFont="1" applyFill="1" applyBorder="1"/>
    <xf numFmtId="0" fontId="40" fillId="47" borderId="0" xfId="0" applyFont="1" applyFill="1" applyBorder="1"/>
    <xf numFmtId="0" fontId="40" fillId="47" borderId="0" xfId="0" applyFont="1" applyFill="1" applyBorder="1" applyAlignment="1"/>
    <xf numFmtId="180" fontId="64" fillId="2" borderId="0" xfId="0" applyNumberFormat="1" applyFont="1" applyFill="1" applyBorder="1" applyAlignment="1">
      <alignment horizontal="right"/>
    </xf>
    <xf numFmtId="10" fontId="6" fillId="2" borderId="0" xfId="2" applyNumberFormat="1" applyFont="1" applyFill="1" applyBorder="1" applyAlignment="1">
      <alignment horizontal="right"/>
    </xf>
    <xf numFmtId="164" fontId="7" fillId="2" borderId="0" xfId="0" applyNumberFormat="1" applyFont="1" applyFill="1" applyAlignment="1">
      <alignment horizontal="right"/>
    </xf>
    <xf numFmtId="2" fontId="75" fillId="2" borderId="0" xfId="2" applyNumberFormat="1" applyFont="1" applyFill="1" applyBorder="1" applyAlignment="1">
      <alignment horizontal="right"/>
    </xf>
    <xf numFmtId="178" fontId="7" fillId="2" borderId="0" xfId="2" applyNumberFormat="1" applyFont="1" applyFill="1" applyBorder="1" applyAlignment="1">
      <alignment horizontal="right"/>
    </xf>
    <xf numFmtId="2" fontId="75" fillId="2" borderId="0" xfId="2" applyNumberFormat="1" applyFont="1" applyFill="1" applyBorder="1" applyAlignment="1"/>
    <xf numFmtId="178" fontId="7" fillId="2" borderId="0" xfId="0" applyNumberFormat="1" applyFont="1" applyFill="1"/>
    <xf numFmtId="178" fontId="75" fillId="2" borderId="0" xfId="2" applyNumberFormat="1" applyFont="1" applyFill="1" applyBorder="1" applyAlignment="1">
      <alignment horizontal="right"/>
    </xf>
    <xf numFmtId="2" fontId="64" fillId="47" borderId="0" xfId="2" applyNumberFormat="1" applyFont="1" applyFill="1" applyBorder="1" applyAlignment="1">
      <alignment horizontal="right"/>
    </xf>
    <xf numFmtId="2" fontId="64" fillId="46" borderId="0" xfId="0" applyNumberFormat="1" applyFont="1" applyFill="1" applyBorder="1" applyAlignment="1">
      <alignment horizontal="right"/>
    </xf>
    <xf numFmtId="2" fontId="1" fillId="46" borderId="0" xfId="0" applyNumberFormat="1" applyFont="1" applyFill="1" applyBorder="1" applyAlignment="1">
      <alignment horizontal="right" vertical="center"/>
    </xf>
    <xf numFmtId="2" fontId="1" fillId="46" borderId="0" xfId="0" applyNumberFormat="1" applyFont="1" applyFill="1" applyBorder="1" applyAlignment="1">
      <alignment horizontal="right"/>
    </xf>
    <xf numFmtId="2" fontId="1" fillId="46" borderId="0" xfId="2" applyNumberFormat="1" applyFont="1" applyFill="1" applyBorder="1" applyAlignment="1">
      <alignment horizontal="right"/>
    </xf>
    <xf numFmtId="2" fontId="64" fillId="2" borderId="0" xfId="0" applyNumberFormat="1" applyFont="1" applyFill="1" applyAlignment="1">
      <alignment horizontal="right"/>
    </xf>
    <xf numFmtId="2" fontId="1" fillId="2" borderId="0" xfId="0" applyNumberFormat="1" applyFont="1" applyFill="1" applyBorder="1" applyAlignment="1">
      <alignment horizontal="right" vertical="center"/>
    </xf>
    <xf numFmtId="2" fontId="1" fillId="2" borderId="0" xfId="2" applyNumberFormat="1" applyFont="1" applyFill="1" applyBorder="1" applyAlignment="1">
      <alignment horizontal="right"/>
    </xf>
    <xf numFmtId="0" fontId="2" fillId="46" borderId="0" xfId="0" applyNumberFormat="1" applyFont="1" applyFill="1"/>
    <xf numFmtId="164" fontId="65" fillId="46" borderId="0" xfId="0" applyNumberFormat="1" applyFont="1" applyFill="1"/>
    <xf numFmtId="164" fontId="64" fillId="2" borderId="0" xfId="0" applyNumberFormat="1" applyFont="1" applyFill="1" applyAlignment="1">
      <alignment horizontal="right"/>
    </xf>
    <xf numFmtId="164" fontId="2" fillId="2" borderId="20" xfId="0" applyNumberFormat="1" applyFont="1" applyFill="1" applyBorder="1"/>
    <xf numFmtId="164" fontId="40" fillId="2" borderId="0" xfId="0" applyNumberFormat="1" applyFont="1" applyFill="1" applyBorder="1" applyAlignment="1"/>
    <xf numFmtId="164" fontId="60" fillId="2" borderId="0" xfId="0" applyNumberFormat="1" applyFont="1" applyFill="1" applyAlignment="1">
      <alignment horizontal="right"/>
    </xf>
    <xf numFmtId="10" fontId="64" fillId="46" borderId="0" xfId="0" applyNumberFormat="1" applyFont="1" applyFill="1" applyBorder="1" applyAlignment="1">
      <alignment horizontal="right"/>
    </xf>
    <xf numFmtId="3" fontId="64" fillId="2" borderId="0" xfId="0" applyNumberFormat="1" applyFont="1" applyFill="1" applyBorder="1"/>
    <xf numFmtId="3" fontId="64" fillId="2" borderId="0" xfId="0" applyNumberFormat="1" applyFont="1" applyFill="1" applyBorder="1" applyAlignment="1">
      <alignment horizontal="right"/>
    </xf>
    <xf numFmtId="3" fontId="1" fillId="2" borderId="0" xfId="0" applyNumberFormat="1" applyFont="1" applyFill="1" applyBorder="1"/>
    <xf numFmtId="3" fontId="1" fillId="2" borderId="0" xfId="0" applyNumberFormat="1" applyFont="1" applyFill="1" applyBorder="1" applyAlignment="1">
      <alignment horizontal="right"/>
    </xf>
    <xf numFmtId="0" fontId="40" fillId="2" borderId="0" xfId="0" applyNumberFormat="1" applyFont="1" applyFill="1" applyBorder="1" applyAlignment="1">
      <alignment horizontal="right"/>
    </xf>
    <xf numFmtId="0" fontId="64" fillId="2" borderId="0" xfId="2" applyNumberFormat="1" applyFont="1" applyFill="1" applyBorder="1" applyAlignment="1">
      <alignment horizontal="right"/>
    </xf>
    <xf numFmtId="2" fontId="66" fillId="2" borderId="0" xfId="2" applyNumberFormat="1" applyFont="1" applyFill="1" applyBorder="1" applyAlignment="1">
      <alignment horizontal="right"/>
    </xf>
    <xf numFmtId="2" fontId="60" fillId="2" borderId="0" xfId="2" applyNumberFormat="1" applyFont="1" applyFill="1" applyBorder="1" applyAlignment="1"/>
    <xf numFmtId="164" fontId="1" fillId="2" borderId="0" xfId="0" applyNumberFormat="1" applyFont="1" applyFill="1" applyAlignment="1">
      <alignment horizontal="left"/>
    </xf>
    <xf numFmtId="10" fontId="65" fillId="46" borderId="0" xfId="2" applyNumberFormat="1" applyFont="1" applyFill="1" applyBorder="1"/>
    <xf numFmtId="164" fontId="8" fillId="2" borderId="0" xfId="0" applyNumberFormat="1" applyFont="1" applyFill="1" applyBorder="1" applyAlignment="1">
      <alignment horizontal="center"/>
    </xf>
    <xf numFmtId="164" fontId="2" fillId="2" borderId="0" xfId="0" applyNumberFormat="1" applyFont="1" applyFill="1"/>
    <xf numFmtId="182" fontId="64" fillId="2" borderId="0" xfId="0" applyNumberFormat="1" applyFont="1" applyFill="1" applyBorder="1" applyAlignment="1">
      <alignment horizontal="right"/>
    </xf>
    <xf numFmtId="186" fontId="2" fillId="2" borderId="0" xfId="0" applyNumberFormat="1" applyFont="1" applyFill="1" applyBorder="1"/>
    <xf numFmtId="0" fontId="1" fillId="2" borderId="0" xfId="0" applyNumberFormat="1" applyFont="1" applyFill="1" applyBorder="1" applyAlignment="1">
      <alignment horizontal="right" vertical="center"/>
    </xf>
    <xf numFmtId="0" fontId="64" fillId="2" borderId="0" xfId="0" applyNumberFormat="1" applyFont="1" applyFill="1" applyBorder="1" applyAlignment="1">
      <alignment horizontal="right"/>
    </xf>
    <xf numFmtId="0" fontId="8" fillId="2" borderId="0" xfId="2" applyNumberFormat="1" applyFont="1" applyFill="1" applyBorder="1" applyAlignment="1">
      <alignment horizontal="right"/>
    </xf>
    <xf numFmtId="182" fontId="64" fillId="2" borderId="0" xfId="0" applyNumberFormat="1" applyFont="1" applyFill="1" applyBorder="1" applyAlignment="1">
      <alignment horizontal="right" vertical="center"/>
    </xf>
    <xf numFmtId="186" fontId="64" fillId="2" borderId="0" xfId="0" applyNumberFormat="1" applyFont="1" applyFill="1" applyBorder="1" applyAlignment="1">
      <alignment horizontal="right" vertical="center"/>
    </xf>
    <xf numFmtId="178" fontId="65" fillId="2" borderId="0" xfId="2" applyNumberFormat="1" applyFont="1" applyFill="1" applyBorder="1" applyAlignment="1">
      <alignment horizontal="right"/>
    </xf>
    <xf numFmtId="186" fontId="64" fillId="2" borderId="0" xfId="0" quotePrefix="1" applyNumberFormat="1" applyFont="1" applyFill="1" applyBorder="1" applyAlignment="1">
      <alignment horizontal="right" vertical="center"/>
    </xf>
    <xf numFmtId="2" fontId="65" fillId="2" borderId="0" xfId="2" applyNumberFormat="1" applyFont="1" applyFill="1" applyBorder="1" applyAlignment="1">
      <alignment horizontal="right"/>
    </xf>
    <xf numFmtId="164" fontId="64" fillId="2" borderId="0" xfId="0" applyNumberFormat="1" applyFont="1" applyFill="1" applyBorder="1" applyAlignment="1">
      <alignment horizontal="right"/>
    </xf>
    <xf numFmtId="178" fontId="8" fillId="2" borderId="0" xfId="0" applyNumberFormat="1" applyFont="1" applyFill="1" applyBorder="1"/>
    <xf numFmtId="183" fontId="8" fillId="2" borderId="0" xfId="0" applyNumberFormat="1" applyFont="1" applyFill="1" applyBorder="1" applyAlignment="1">
      <alignment horizontal="right"/>
    </xf>
    <xf numFmtId="183" fontId="8" fillId="2" borderId="0" xfId="0" applyNumberFormat="1" applyFont="1" applyFill="1" applyBorder="1"/>
    <xf numFmtId="165" fontId="64" fillId="2" borderId="0" xfId="0" applyNumberFormat="1" applyFont="1" applyFill="1" applyBorder="1"/>
    <xf numFmtId="178" fontId="65" fillId="2" borderId="0" xfId="0" applyNumberFormat="1" applyFont="1" applyFill="1" applyBorder="1"/>
    <xf numFmtId="9" fontId="64" fillId="2" borderId="0" xfId="2" applyFont="1" applyFill="1" applyBorder="1"/>
    <xf numFmtId="187" fontId="64" fillId="47" borderId="0" xfId="0" applyNumberFormat="1" applyFont="1" applyFill="1" applyAlignment="1">
      <alignment horizontal="right"/>
    </xf>
    <xf numFmtId="187" fontId="64" fillId="47" borderId="0" xfId="2" applyNumberFormat="1" applyFont="1" applyFill="1" applyBorder="1" applyAlignment="1">
      <alignment horizontal="right"/>
    </xf>
    <xf numFmtId="164" fontId="8" fillId="45" borderId="0" xfId="0" applyNumberFormat="1" applyFont="1" applyFill="1"/>
    <xf numFmtId="9" fontId="64" fillId="2" borderId="21" xfId="2" applyNumberFormat="1" applyFont="1" applyFill="1" applyBorder="1" applyAlignment="1">
      <alignment horizontal="right"/>
    </xf>
    <xf numFmtId="10" fontId="65" fillId="2" borderId="21" xfId="2" applyNumberFormat="1" applyFont="1" applyFill="1" applyBorder="1"/>
    <xf numFmtId="10" fontId="64" fillId="46" borderId="0" xfId="2" applyNumberFormat="1" applyFont="1" applyFill="1" applyAlignment="1">
      <alignment horizontal="right"/>
    </xf>
    <xf numFmtId="166" fontId="65" fillId="46" borderId="0" xfId="2" applyNumberFormat="1" applyFont="1" applyFill="1"/>
    <xf numFmtId="164" fontId="65" fillId="2" borderId="0" xfId="0" applyNumberFormat="1" applyFont="1" applyFill="1"/>
    <xf numFmtId="188" fontId="2" fillId="46" borderId="0" xfId="169" applyNumberFormat="1" applyFont="1" applyFill="1" applyAlignment="1">
      <alignment horizontal="right"/>
    </xf>
    <xf numFmtId="188" fontId="2" fillId="2" borderId="21" xfId="169" applyNumberFormat="1" applyFont="1" applyFill="1" applyBorder="1" applyAlignment="1">
      <alignment horizontal="right"/>
    </xf>
    <xf numFmtId="44" fontId="2" fillId="46" borderId="0" xfId="169" applyFont="1" applyFill="1" applyBorder="1"/>
    <xf numFmtId="44" fontId="2" fillId="46" borderId="18" xfId="169" applyFont="1" applyFill="1" applyBorder="1"/>
    <xf numFmtId="44" fontId="8" fillId="45" borderId="0" xfId="169" applyFont="1" applyFill="1" applyBorder="1" applyAlignment="1">
      <alignment horizontal="right"/>
    </xf>
    <xf numFmtId="44" fontId="2" fillId="46" borderId="0" xfId="169" applyFont="1" applyFill="1"/>
    <xf numFmtId="44" fontId="64" fillId="46" borderId="0" xfId="169" applyFont="1" applyFill="1"/>
    <xf numFmtId="44" fontId="64" fillId="46" borderId="0" xfId="169" applyFont="1" applyFill="1" applyBorder="1"/>
    <xf numFmtId="14" fontId="1" fillId="46" borderId="0" xfId="0" applyNumberFormat="1" applyFont="1" applyFill="1"/>
    <xf numFmtId="2" fontId="1" fillId="46" borderId="0" xfId="0" applyNumberFormat="1" applyFont="1" applyFill="1"/>
    <xf numFmtId="178" fontId="65" fillId="2" borderId="21" xfId="0" applyNumberFormat="1" applyFont="1" applyFill="1" applyBorder="1"/>
    <xf numFmtId="16" fontId="2" fillId="2" borderId="0" xfId="0" applyNumberFormat="1" applyFont="1" applyFill="1" applyBorder="1"/>
    <xf numFmtId="16" fontId="64" fillId="2" borderId="0" xfId="0" applyNumberFormat="1" applyFont="1" applyFill="1" applyBorder="1"/>
    <xf numFmtId="16" fontId="1" fillId="2" borderId="0" xfId="0" applyNumberFormat="1" applyFont="1" applyFill="1" applyBorder="1"/>
    <xf numFmtId="44" fontId="40" fillId="46" borderId="0" xfId="169" applyFont="1" applyFill="1" applyBorder="1" applyAlignment="1">
      <alignment horizontal="right"/>
    </xf>
    <xf numFmtId="44" fontId="2" fillId="46" borderId="20" xfId="169" applyFont="1" applyFill="1" applyBorder="1"/>
    <xf numFmtId="44" fontId="1" fillId="46" borderId="0" xfId="169" applyFont="1" applyFill="1" applyBorder="1"/>
    <xf numFmtId="44" fontId="1" fillId="2" borderId="0" xfId="169" applyFont="1" applyFill="1" applyBorder="1"/>
    <xf numFmtId="44" fontId="8" fillId="45" borderId="0" xfId="169" applyFont="1" applyFill="1" applyBorder="1"/>
    <xf numFmtId="189" fontId="1" fillId="46" borderId="0" xfId="169" applyNumberFormat="1" applyFont="1" applyFill="1" applyBorder="1"/>
    <xf numFmtId="189" fontId="1" fillId="2" borderId="0" xfId="169" applyNumberFormat="1" applyFont="1" applyFill="1" applyBorder="1"/>
    <xf numFmtId="189" fontId="64" fillId="2" borderId="20" xfId="169" applyNumberFormat="1" applyFont="1" applyFill="1" applyBorder="1"/>
    <xf numFmtId="189" fontId="64" fillId="46" borderId="0" xfId="169" applyNumberFormat="1" applyFont="1" applyFill="1" applyBorder="1"/>
    <xf numFmtId="189" fontId="2" fillId="46" borderId="18" xfId="169" applyNumberFormat="1" applyFont="1" applyFill="1" applyBorder="1"/>
    <xf numFmtId="44" fontId="2" fillId="46" borderId="0" xfId="169" applyFont="1" applyFill="1" applyBorder="1" applyAlignment="1">
      <alignment horizontal="right" vertical="center"/>
    </xf>
    <xf numFmtId="44" fontId="2" fillId="46" borderId="19" xfId="169" applyFont="1" applyFill="1" applyBorder="1"/>
    <xf numFmtId="44" fontId="2" fillId="46" borderId="18" xfId="169" applyFont="1" applyFill="1" applyBorder="1" applyAlignment="1">
      <alignment horizontal="right" vertical="center"/>
    </xf>
    <xf numFmtId="189" fontId="1" fillId="46" borderId="0" xfId="169" applyNumberFormat="1" applyFont="1" applyFill="1" applyBorder="1" applyAlignment="1">
      <alignment horizontal="right"/>
    </xf>
    <xf numFmtId="189" fontId="2" fillId="46" borderId="0" xfId="169" applyNumberFormat="1" applyFont="1" applyFill="1" applyBorder="1"/>
    <xf numFmtId="44" fontId="40" fillId="46" borderId="18" xfId="169" applyFont="1" applyFill="1" applyBorder="1"/>
    <xf numFmtId="44" fontId="8" fillId="45" borderId="0" xfId="169" applyFont="1" applyFill="1" applyBorder="1" applyAlignment="1">
      <alignment horizontal="left" vertical="center"/>
    </xf>
    <xf numFmtId="44" fontId="8" fillId="45" borderId="0" xfId="169" applyFont="1" applyFill="1" applyBorder="1" applyAlignment="1">
      <alignment vertical="center"/>
    </xf>
    <xf numFmtId="44" fontId="64" fillId="46" borderId="0" xfId="169" applyFont="1" applyFill="1" applyBorder="1" applyAlignment="1">
      <alignment horizontal="right" vertical="center"/>
    </xf>
    <xf numFmtId="10" fontId="65" fillId="46" borderId="0" xfId="2" applyNumberFormat="1" applyFont="1" applyFill="1" applyBorder="1" applyAlignment="1">
      <alignment horizontal="right"/>
    </xf>
    <xf numFmtId="10" fontId="66" fillId="2" borderId="0" xfId="2" applyNumberFormat="1" applyFont="1" applyFill="1" applyBorder="1" applyAlignment="1">
      <alignment horizontal="right" wrapText="1"/>
    </xf>
    <xf numFmtId="2" fontId="66" fillId="2" borderId="0" xfId="2" applyNumberFormat="1" applyFont="1" applyFill="1" applyBorder="1" applyAlignment="1">
      <alignment horizontal="right" wrapText="1"/>
    </xf>
    <xf numFmtId="10" fontId="64" fillId="2" borderId="0" xfId="2" applyNumberFormat="1" applyFont="1" applyFill="1" applyBorder="1" applyAlignment="1">
      <alignment horizontal="right" wrapText="1"/>
    </xf>
    <xf numFmtId="2" fontId="64" fillId="2" borderId="0" xfId="2" applyNumberFormat="1" applyFont="1" applyFill="1" applyBorder="1" applyAlignment="1">
      <alignment horizontal="right" wrapText="1"/>
    </xf>
    <xf numFmtId="10" fontId="64" fillId="2" borderId="0" xfId="2" applyNumberFormat="1" applyFont="1" applyFill="1" applyBorder="1" applyAlignment="1"/>
    <xf numFmtId="189" fontId="2" fillId="47" borderId="0" xfId="169" applyNumberFormat="1" applyFont="1" applyFill="1" applyBorder="1"/>
    <xf numFmtId="189" fontId="1" fillId="47" borderId="0" xfId="169" applyNumberFormat="1" applyFont="1" applyFill="1" applyBorder="1"/>
    <xf numFmtId="189" fontId="2" fillId="47" borderId="0" xfId="169" applyNumberFormat="1" applyFont="1" applyFill="1" applyBorder="1" applyAlignment="1">
      <alignment horizontal="right" vertical="center"/>
    </xf>
    <xf numFmtId="189" fontId="1" fillId="46" borderId="0" xfId="169" applyNumberFormat="1" applyFont="1" applyFill="1" applyBorder="1" applyAlignment="1">
      <alignment horizontal="right" vertical="center"/>
    </xf>
    <xf numFmtId="10" fontId="65" fillId="47" borderId="0" xfId="2" applyNumberFormat="1" applyFont="1" applyFill="1" applyBorder="1"/>
    <xf numFmtId="44" fontId="67" fillId="45" borderId="0" xfId="169" applyFont="1" applyFill="1" applyBorder="1"/>
    <xf numFmtId="189" fontId="1" fillId="2" borderId="0" xfId="2" applyNumberFormat="1" applyFont="1" applyFill="1" applyBorder="1"/>
    <xf numFmtId="189" fontId="6" fillId="2" borderId="0" xfId="2" applyNumberFormat="1" applyFont="1" applyFill="1" applyBorder="1"/>
    <xf numFmtId="3" fontId="1" fillId="2" borderId="0" xfId="0" applyNumberFormat="1" applyFont="1" applyFill="1" applyBorder="1" applyAlignment="1">
      <alignment horizontal="right" vertical="center"/>
    </xf>
    <xf numFmtId="188" fontId="40" fillId="46" borderId="0" xfId="169" applyNumberFormat="1" applyFont="1" applyFill="1" applyBorder="1" applyAlignment="1">
      <alignment horizontal="right"/>
    </xf>
    <xf numFmtId="188" fontId="2" fillId="46" borderId="18" xfId="169" applyNumberFormat="1" applyFont="1" applyFill="1" applyBorder="1"/>
    <xf numFmtId="44" fontId="40" fillId="46" borderId="0" xfId="169" applyFont="1" applyFill="1" applyBorder="1"/>
    <xf numFmtId="44" fontId="40" fillId="46" borderId="17" xfId="169" applyFont="1" applyFill="1" applyBorder="1"/>
    <xf numFmtId="44" fontId="40" fillId="46" borderId="0" xfId="169" applyFont="1" applyFill="1"/>
    <xf numFmtId="44" fontId="2" fillId="46" borderId="19" xfId="169" applyFont="1" applyFill="1" applyBorder="1" applyAlignment="1">
      <alignment horizontal="left" vertical="center"/>
    </xf>
    <xf numFmtId="44" fontId="60" fillId="46" borderId="0" xfId="169" applyFont="1" applyFill="1" applyBorder="1" applyAlignment="1">
      <alignment horizontal="right"/>
    </xf>
    <xf numFmtId="10" fontId="2" fillId="2" borderId="21" xfId="2" applyNumberFormat="1" applyFont="1" applyFill="1" applyBorder="1"/>
    <xf numFmtId="0" fontId="40" fillId="2" borderId="0" xfId="2" applyNumberFormat="1" applyFont="1" applyFill="1" applyBorder="1"/>
    <xf numFmtId="44" fontId="40" fillId="2" borderId="0" xfId="169" applyFont="1" applyFill="1" applyBorder="1"/>
    <xf numFmtId="49" fontId="60" fillId="2" borderId="0" xfId="0" quotePrefix="1" applyNumberFormat="1" applyFont="1" applyFill="1" applyBorder="1"/>
    <xf numFmtId="49" fontId="60" fillId="2" borderId="0" xfId="0" applyNumberFormat="1" applyFont="1" applyFill="1" applyBorder="1"/>
    <xf numFmtId="44" fontId="8" fillId="2" borderId="0" xfId="169" applyFont="1" applyFill="1" applyBorder="1" applyAlignment="1">
      <alignment horizontal="left" vertical="center"/>
    </xf>
    <xf numFmtId="44" fontId="2" fillId="2" borderId="0" xfId="169" applyFont="1" applyFill="1" applyBorder="1"/>
    <xf numFmtId="164" fontId="40" fillId="46" borderId="0" xfId="0" applyNumberFormat="1" applyFont="1" applyFill="1" applyBorder="1" applyAlignment="1"/>
    <xf numFmtId="44" fontId="8" fillId="45" borderId="0" xfId="169" applyFont="1" applyFill="1"/>
    <xf numFmtId="2" fontId="8" fillId="45" borderId="0" xfId="169" applyNumberFormat="1" applyFont="1" applyFill="1" applyBorder="1"/>
    <xf numFmtId="164" fontId="2" fillId="46" borderId="0" xfId="0" applyNumberFormat="1" applyFont="1" applyFill="1" applyBorder="1" applyAlignment="1">
      <alignment wrapText="1"/>
    </xf>
    <xf numFmtId="14" fontId="1" fillId="47" borderId="0" xfId="0" applyNumberFormat="1" applyFont="1" applyFill="1" applyAlignment="1">
      <alignment horizontal="right"/>
    </xf>
    <xf numFmtId="10" fontId="1" fillId="46" borderId="0" xfId="2" applyNumberFormat="1" applyFont="1" applyFill="1" applyBorder="1" applyAlignment="1">
      <alignment horizontal="right"/>
    </xf>
    <xf numFmtId="10" fontId="1" fillId="46" borderId="0" xfId="2" applyNumberFormat="1" applyFont="1" applyFill="1" applyAlignment="1">
      <alignment horizontal="right"/>
    </xf>
    <xf numFmtId="10" fontId="1" fillId="46" borderId="0" xfId="2" applyNumberFormat="1" applyFont="1" applyFill="1"/>
    <xf numFmtId="164" fontId="40" fillId="47" borderId="0" xfId="0" applyNumberFormat="1" applyFont="1" applyFill="1" applyBorder="1" applyAlignment="1">
      <alignment horizontal="right"/>
    </xf>
    <xf numFmtId="10" fontId="67" fillId="45" borderId="0" xfId="2" applyNumberFormat="1" applyFont="1" applyFill="1" applyBorder="1"/>
    <xf numFmtId="14" fontId="66" fillId="46" borderId="0" xfId="2" applyNumberFormat="1" applyFont="1" applyFill="1" applyBorder="1" applyAlignment="1">
      <alignment horizontal="right"/>
    </xf>
    <xf numFmtId="14" fontId="66" fillId="46" borderId="0" xfId="0" applyNumberFormat="1" applyFont="1" applyFill="1" applyBorder="1" applyAlignment="1">
      <alignment horizontal="right"/>
    </xf>
    <xf numFmtId="187" fontId="67" fillId="45" borderId="0" xfId="2" applyNumberFormat="1" applyFont="1" applyFill="1" applyBorder="1"/>
    <xf numFmtId="165" fontId="1" fillId="2" borderId="0" xfId="0" applyNumberFormat="1" applyFont="1" applyFill="1"/>
    <xf numFmtId="190" fontId="66" fillId="46" borderId="0" xfId="2" applyNumberFormat="1" applyFont="1" applyFill="1" applyBorder="1" applyAlignment="1">
      <alignment horizontal="right"/>
    </xf>
    <xf numFmtId="190" fontId="66" fillId="46" borderId="0" xfId="0" applyNumberFormat="1" applyFont="1" applyFill="1" applyBorder="1" applyAlignment="1">
      <alignment horizontal="right"/>
    </xf>
    <xf numFmtId="190" fontId="66" fillId="46" borderId="0" xfId="0" applyNumberFormat="1" applyFont="1" applyFill="1" applyBorder="1" applyAlignment="1">
      <alignment horizontal="right" vertical="center"/>
    </xf>
    <xf numFmtId="190" fontId="66" fillId="46" borderId="0" xfId="133" applyNumberFormat="1" applyFont="1" applyFill="1" applyBorder="1" applyAlignment="1">
      <alignment horizontal="right" vertical="center"/>
    </xf>
    <xf numFmtId="10" fontId="1" fillId="2" borderId="0" xfId="2" applyNumberFormat="1" applyFont="1" applyFill="1" applyAlignment="1">
      <alignment vertical="center"/>
    </xf>
    <xf numFmtId="10" fontId="1" fillId="2" borderId="0" xfId="2" applyNumberFormat="1" applyFont="1" applyFill="1" applyAlignment="1">
      <alignment horizontal="left" vertical="center"/>
    </xf>
    <xf numFmtId="10" fontId="60" fillId="46" borderId="0" xfId="2" applyNumberFormat="1" applyFont="1" applyFill="1" applyBorder="1" applyAlignment="1">
      <alignment horizontal="right"/>
    </xf>
    <xf numFmtId="10" fontId="60" fillId="46" borderId="0" xfId="2" applyNumberFormat="1" applyFont="1" applyFill="1" applyBorder="1" applyAlignment="1">
      <alignment horizontal="right" vertical="center"/>
    </xf>
    <xf numFmtId="14" fontId="64" fillId="2" borderId="0" xfId="0" applyNumberFormat="1" applyFont="1" applyFill="1" applyAlignment="1">
      <alignment horizontal="right"/>
    </xf>
    <xf numFmtId="14" fontId="66" fillId="2" borderId="0" xfId="2" applyNumberFormat="1" applyFont="1" applyFill="1" applyBorder="1" applyAlignment="1">
      <alignment horizontal="right"/>
    </xf>
    <xf numFmtId="164" fontId="40" fillId="2" borderId="0" xfId="0" applyNumberFormat="1" applyFont="1" applyFill="1" applyBorder="1" applyAlignment="1">
      <alignment horizontal="right"/>
    </xf>
    <xf numFmtId="190" fontId="66" fillId="2" borderId="0" xfId="2" applyNumberFormat="1" applyFont="1" applyFill="1" applyBorder="1" applyAlignment="1">
      <alignment horizontal="right"/>
    </xf>
    <xf numFmtId="190" fontId="66" fillId="2" borderId="0" xfId="0" applyNumberFormat="1" applyFont="1" applyFill="1" applyBorder="1" applyAlignment="1">
      <alignment horizontal="right"/>
    </xf>
    <xf numFmtId="190" fontId="66" fillId="2" borderId="0" xfId="0" applyNumberFormat="1" applyFont="1" applyFill="1" applyBorder="1" applyAlignment="1">
      <alignment horizontal="right" vertical="center"/>
    </xf>
    <xf numFmtId="190" fontId="66" fillId="2" borderId="0" xfId="133" applyNumberFormat="1" applyFont="1" applyFill="1" applyBorder="1" applyAlignment="1">
      <alignment horizontal="right" vertical="center"/>
    </xf>
    <xf numFmtId="14" fontId="66" fillId="2" borderId="0" xfId="0" applyNumberFormat="1" applyFont="1" applyFill="1" applyBorder="1" applyAlignment="1">
      <alignment horizontal="right"/>
    </xf>
    <xf numFmtId="0" fontId="0" fillId="2" borderId="0" xfId="0" applyFill="1" applyBorder="1" applyAlignment="1"/>
    <xf numFmtId="0" fontId="76" fillId="2" borderId="0" xfId="0" applyFont="1" applyFill="1" applyBorder="1" applyAlignment="1">
      <alignment horizontal="center"/>
    </xf>
    <xf numFmtId="10" fontId="8" fillId="45" borderId="0" xfId="2" applyNumberFormat="1" applyFont="1" applyFill="1" applyBorder="1" applyAlignment="1"/>
    <xf numFmtId="164" fontId="40" fillId="46" borderId="0" xfId="0" applyNumberFormat="1" applyFont="1" applyFill="1" applyBorder="1"/>
    <xf numFmtId="164" fontId="40" fillId="46" borderId="0" xfId="0" applyNumberFormat="1" applyFont="1" applyFill="1" applyBorder="1" applyAlignment="1">
      <alignment horizontal="left" vertical="center"/>
    </xf>
    <xf numFmtId="187" fontId="8" fillId="45" borderId="0" xfId="169" applyNumberFormat="1" applyFont="1" applyFill="1" applyBorder="1"/>
    <xf numFmtId="187" fontId="8" fillId="45" borderId="0" xfId="2" applyNumberFormat="1" applyFont="1" applyFill="1" applyBorder="1"/>
    <xf numFmtId="2" fontId="8" fillId="45" borderId="0" xfId="0" applyNumberFormat="1" applyFont="1" applyFill="1" applyBorder="1"/>
    <xf numFmtId="164" fontId="8" fillId="45" borderId="0" xfId="0" applyNumberFormat="1" applyFont="1" applyFill="1" applyBorder="1"/>
    <xf numFmtId="164" fontId="2" fillId="46" borderId="19" xfId="0" applyNumberFormat="1" applyFont="1" applyFill="1" applyBorder="1"/>
    <xf numFmtId="189" fontId="40" fillId="46" borderId="19" xfId="2" applyNumberFormat="1" applyFont="1" applyFill="1" applyBorder="1"/>
    <xf numFmtId="10" fontId="77" fillId="2" borderId="0" xfId="2" applyNumberFormat="1" applyFont="1" applyFill="1" applyBorder="1"/>
    <xf numFmtId="164" fontId="66" fillId="2" borderId="0" xfId="0" applyNumberFormat="1" applyFont="1" applyFill="1" applyBorder="1" applyAlignment="1">
      <alignment horizontal="left"/>
    </xf>
    <xf numFmtId="0" fontId="2" fillId="2" borderId="0" xfId="0" applyNumberFormat="1" applyFont="1" applyFill="1"/>
    <xf numFmtId="44" fontId="2" fillId="2" borderId="0" xfId="169" applyFont="1" applyFill="1"/>
    <xf numFmtId="167" fontId="1" fillId="2" borderId="0" xfId="0" applyNumberFormat="1" applyFont="1" applyFill="1" applyBorder="1"/>
    <xf numFmtId="44" fontId="2" fillId="2" borderId="0" xfId="169" applyFont="1" applyFill="1" applyBorder="1" applyAlignment="1">
      <alignment horizontal="left" vertical="center"/>
    </xf>
    <xf numFmtId="164" fontId="8" fillId="2" borderId="0" xfId="0" applyNumberFormat="1" applyFont="1" applyFill="1" applyBorder="1"/>
    <xf numFmtId="189" fontId="2" fillId="46" borderId="0" xfId="169" applyNumberFormat="1" applyFont="1" applyFill="1"/>
    <xf numFmtId="164" fontId="2" fillId="46" borderId="0" xfId="0" applyNumberFormat="1" applyFont="1" applyFill="1" applyAlignment="1">
      <alignment horizontal="right"/>
    </xf>
    <xf numFmtId="10" fontId="2" fillId="46" borderId="0" xfId="2" applyNumberFormat="1" applyFont="1" applyFill="1" applyAlignment="1">
      <alignment horizontal="right"/>
    </xf>
    <xf numFmtId="191" fontId="2" fillId="46" borderId="0" xfId="2" applyNumberFormat="1" applyFont="1" applyFill="1" applyAlignment="1">
      <alignment horizontal="right"/>
    </xf>
    <xf numFmtId="44" fontId="2" fillId="46" borderId="0" xfId="169" applyFont="1" applyFill="1" applyAlignment="1">
      <alignment horizontal="right"/>
    </xf>
    <xf numFmtId="14" fontId="2" fillId="46" borderId="0" xfId="2" applyNumberFormat="1" applyFont="1" applyFill="1" applyAlignment="1">
      <alignment horizontal="right"/>
    </xf>
    <xf numFmtId="1" fontId="2" fillId="46" borderId="0" xfId="2" applyNumberFormat="1" applyFont="1" applyFill="1" applyAlignment="1">
      <alignment horizontal="right"/>
    </xf>
    <xf numFmtId="164" fontId="6" fillId="2" borderId="0" xfId="0" applyNumberFormat="1" applyFont="1" applyFill="1"/>
    <xf numFmtId="164" fontId="2" fillId="46" borderId="21" xfId="0" applyNumberFormat="1" applyFont="1" applyFill="1" applyBorder="1"/>
    <xf numFmtId="10" fontId="2" fillId="46" borderId="21" xfId="2" applyNumberFormat="1" applyFont="1" applyFill="1" applyBorder="1" applyAlignment="1">
      <alignment horizontal="right"/>
    </xf>
    <xf numFmtId="10" fontId="67" fillId="45" borderId="0" xfId="169" applyNumberFormat="1" applyFont="1" applyFill="1" applyBorder="1"/>
    <xf numFmtId="10" fontId="8" fillId="45" borderId="0" xfId="2" applyNumberFormat="1" applyFont="1" applyFill="1" applyBorder="1" applyAlignment="1">
      <alignment horizontal="right" vertical="center"/>
    </xf>
    <xf numFmtId="49" fontId="66" fillId="46" borderId="0" xfId="0" applyNumberFormat="1" applyFont="1" applyFill="1" applyBorder="1"/>
    <xf numFmtId="10" fontId="77" fillId="46" borderId="0" xfId="169" applyNumberFormat="1" applyFont="1" applyFill="1" applyBorder="1"/>
    <xf numFmtId="10" fontId="77" fillId="46" borderId="0" xfId="2" applyNumberFormat="1" applyFont="1" applyFill="1" applyBorder="1"/>
    <xf numFmtId="164" fontId="8" fillId="45" borderId="0" xfId="0" applyNumberFormat="1" applyFont="1" applyFill="1" applyBorder="1" applyAlignment="1">
      <alignment horizontal="center"/>
    </xf>
    <xf numFmtId="164" fontId="64" fillId="2" borderId="0" xfId="0" applyNumberFormat="1" applyFont="1" applyFill="1" applyAlignment="1">
      <alignment horizontal="right"/>
    </xf>
    <xf numFmtId="164" fontId="8" fillId="45" borderId="0" xfId="0" applyNumberFormat="1" applyFont="1" applyFill="1" applyAlignment="1">
      <alignment horizontal="center" vertical="center"/>
    </xf>
    <xf numFmtId="0" fontId="8" fillId="45" borderId="0" xfId="0" applyFont="1" applyFill="1" applyBorder="1" applyAlignment="1">
      <alignment horizontal="center" vertical="center"/>
    </xf>
    <xf numFmtId="164" fontId="8" fillId="2" borderId="0" xfId="0" applyNumberFormat="1" applyFont="1" applyFill="1" applyBorder="1" applyAlignment="1">
      <alignment horizontal="center"/>
    </xf>
    <xf numFmtId="0" fontId="8" fillId="45" borderId="0" xfId="0" applyFont="1" applyFill="1" applyBorder="1" applyAlignment="1">
      <alignment horizontal="center"/>
    </xf>
    <xf numFmtId="164" fontId="8" fillId="45" borderId="0" xfId="0" applyNumberFormat="1" applyFont="1" applyFill="1" applyAlignment="1">
      <alignment horizontal="center"/>
    </xf>
    <xf numFmtId="164" fontId="8" fillId="45" borderId="0" xfId="165" applyNumberFormat="1" applyFont="1" applyFill="1" applyAlignment="1">
      <alignment horizontal="center"/>
    </xf>
    <xf numFmtId="197" fontId="1" fillId="46" borderId="0" xfId="0" applyNumberFormat="1" applyFont="1" applyFill="1" applyBorder="1"/>
    <xf numFmtId="189" fontId="40" fillId="2" borderId="0" xfId="169" applyNumberFormat="1" applyFont="1" applyFill="1" applyBorder="1" applyAlignment="1">
      <alignment horizontal="right"/>
    </xf>
    <xf numFmtId="189" fontId="40" fillId="2" borderId="0" xfId="169" applyNumberFormat="1" applyFont="1" applyFill="1" applyBorder="1"/>
    <xf numFmtId="165" fontId="40" fillId="2" borderId="0" xfId="0" applyNumberFormat="1" applyFont="1" applyFill="1" applyBorder="1"/>
    <xf numFmtId="189" fontId="2" fillId="2" borderId="0" xfId="169" applyNumberFormat="1" applyFont="1" applyFill="1" applyBorder="1"/>
    <xf numFmtId="10" fontId="40" fillId="2" borderId="0" xfId="2" applyNumberFormat="1" applyFont="1" applyFill="1" applyBorder="1" applyAlignment="1">
      <alignment vertical="center"/>
    </xf>
    <xf numFmtId="44" fontId="2" fillId="2" borderId="0" xfId="169" applyNumberFormat="1" applyFont="1" applyFill="1" applyBorder="1" applyAlignment="1">
      <alignment horizontal="right" vertical="center"/>
    </xf>
  </cellXfs>
  <cellStyles count="170">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xfId="169" builtinId="4"/>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FFCC66"/>
      <color rgb="FF6600CC"/>
      <color rgb="FFFF33CC"/>
      <color rgb="FFCC0099"/>
      <color rgb="FFEC2E79"/>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Used</a:t>
            </a:r>
            <a:r>
              <a:rPr lang="en-US" baseline="0"/>
              <a:t> Cars Market Size 2022</a:t>
            </a:r>
            <a:endParaRPr lang="en-US"/>
          </a:p>
        </c:rich>
      </c:tx>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v>Used Cars Industry</c:v>
          </c:tx>
          <c:spPr>
            <a:solidFill>
              <a:schemeClr val="accent1"/>
            </a:solidFill>
            <a:ln>
              <a:noFill/>
            </a:ln>
            <a:effectLst/>
          </c:spPr>
          <c:invertIfNegative val="0"/>
          <c:cat>
            <c:numRef>
              <c:f>'Future Cashflows (10 Yrs)'!$B$4:$B$14</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'Future Cashflows (10 Yrs)'!$C$4:$C$14</c:f>
              <c:numCache>
                <c:formatCode>"$"#,##0.00</c:formatCode>
                <c:ptCount val="11"/>
                <c:pt idx="0">
                  <c:v>138100</c:v>
                </c:pt>
                <c:pt idx="1">
                  <c:v>143624</c:v>
                </c:pt>
                <c:pt idx="2">
                  <c:v>149368.95999999999</c:v>
                </c:pt>
                <c:pt idx="3">
                  <c:v>155343.71839999998</c:v>
                </c:pt>
                <c:pt idx="4">
                  <c:v>161557.46713599999</c:v>
                </c:pt>
                <c:pt idx="5">
                  <c:v>168019.76582144</c:v>
                </c:pt>
                <c:pt idx="6">
                  <c:v>174740.55645429759</c:v>
                </c:pt>
                <c:pt idx="7">
                  <c:v>181730.1787124695</c:v>
                </c:pt>
                <c:pt idx="8">
                  <c:v>188999.38586096829</c:v>
                </c:pt>
                <c:pt idx="9">
                  <c:v>196559.36129540703</c:v>
                </c:pt>
                <c:pt idx="10">
                  <c:v>204421.73574722331</c:v>
                </c:pt>
              </c:numCache>
            </c:numRef>
          </c:val>
          <c:extLst>
            <c:ext xmlns:c16="http://schemas.microsoft.com/office/drawing/2014/chart" uri="{C3380CC4-5D6E-409C-BE32-E72D297353CC}">
              <c16:uniqueId val="{00000000-D940-4417-A67A-3E7756D64273}"/>
            </c:ext>
          </c:extLst>
        </c:ser>
        <c:dLbls>
          <c:showLegendKey val="0"/>
          <c:showVal val="0"/>
          <c:showCatName val="0"/>
          <c:showSerName val="0"/>
          <c:showPercent val="0"/>
          <c:showBubbleSize val="0"/>
        </c:dLbls>
        <c:gapWidth val="80"/>
        <c:overlap val="25"/>
        <c:axId val="1789244720"/>
        <c:axId val="1789245136"/>
      </c:barChart>
      <c:lineChart>
        <c:grouping val="stacked"/>
        <c:varyColors val="0"/>
        <c:ser>
          <c:idx val="1"/>
          <c:order val="1"/>
          <c:tx>
            <c:v>Carvana Revenues</c:v>
          </c:tx>
          <c:spPr>
            <a:ln w="28575" cap="rnd">
              <a:solidFill>
                <a:schemeClr val="accent6"/>
              </a:solidFill>
              <a:round/>
            </a:ln>
            <a:effectLst/>
          </c:spPr>
          <c:marker>
            <c:symbol val="circle"/>
            <c:size val="6"/>
            <c:spPr>
              <a:solidFill>
                <a:schemeClr val="accent6"/>
              </a:solidFill>
              <a:ln>
                <a:solidFill>
                  <a:schemeClr val="accent6"/>
                </a:solidFill>
              </a:ln>
              <a:effectLst/>
            </c:spPr>
          </c:marker>
          <c:val>
            <c:numRef>
              <c:f>'Future Cashflows (10 Yrs)'!$E$4:$E$14</c:f>
              <c:numCache>
                <c:formatCode>"$"#,##0.00</c:formatCode>
                <c:ptCount val="11"/>
                <c:pt idx="0">
                  <c:v>14197</c:v>
                </c:pt>
                <c:pt idx="1">
                  <c:v>17407.52</c:v>
                </c:pt>
                <c:pt idx="2">
                  <c:v>20852.166400000002</c:v>
                </c:pt>
                <c:pt idx="3">
                  <c:v>24544.532480000002</c:v>
                </c:pt>
                <c:pt idx="4">
                  <c:v>28498.924380159999</c:v>
                </c:pt>
                <c:pt idx="5">
                  <c:v>31184.638867865597</c:v>
                </c:pt>
                <c:pt idx="6">
                  <c:v>34039.612235579385</c:v>
                </c:pt>
                <c:pt idx="7">
                  <c:v>38744.979376040836</c:v>
                </c:pt>
                <c:pt idx="8">
                  <c:v>42033.545529622374</c:v>
                </c:pt>
                <c:pt idx="9">
                  <c:v>45523.20500848876</c:v>
                </c:pt>
                <c:pt idx="10">
                  <c:v>51105.433936805828</c:v>
                </c:pt>
              </c:numCache>
            </c:numRef>
          </c:val>
          <c:smooth val="0"/>
          <c:extLst>
            <c:ext xmlns:c16="http://schemas.microsoft.com/office/drawing/2014/chart" uri="{C3380CC4-5D6E-409C-BE32-E72D297353CC}">
              <c16:uniqueId val="{00000002-D940-4417-A67A-3E7756D64273}"/>
            </c:ext>
          </c:extLst>
        </c:ser>
        <c:dLbls>
          <c:showLegendKey val="0"/>
          <c:showVal val="0"/>
          <c:showCatName val="0"/>
          <c:showSerName val="0"/>
          <c:showPercent val="0"/>
          <c:showBubbleSize val="0"/>
        </c:dLbls>
        <c:marker val="1"/>
        <c:smooth val="0"/>
        <c:axId val="1904538672"/>
        <c:axId val="1904535344"/>
      </c:lineChart>
      <c:catAx>
        <c:axId val="178924472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789245136"/>
        <c:crosses val="autoZero"/>
        <c:auto val="1"/>
        <c:lblAlgn val="ctr"/>
        <c:lblOffset val="100"/>
        <c:noMultiLvlLbl val="0"/>
      </c:catAx>
      <c:valAx>
        <c:axId val="1789245136"/>
        <c:scaling>
          <c:orientation val="minMax"/>
        </c:scaling>
        <c:delete val="0"/>
        <c:axPos val="l"/>
        <c:majorGridlines>
          <c:spPr>
            <a:ln w="9525" cap="flat" cmpd="sng" algn="ctr">
              <a:solidFill>
                <a:schemeClr val="tx1">
                  <a:lumMod val="5000"/>
                  <a:lumOff val="95000"/>
                </a:schemeClr>
              </a:solidFill>
              <a:round/>
            </a:ln>
            <a:effectLst/>
          </c:spPr>
        </c:majorGridlines>
        <c:numFmt formatCode="&quot;$&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789244720"/>
        <c:crosses val="autoZero"/>
        <c:crossBetween val="between"/>
      </c:valAx>
      <c:valAx>
        <c:axId val="1904535344"/>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904538672"/>
        <c:crosses val="max"/>
        <c:crossBetween val="between"/>
      </c:valAx>
      <c:catAx>
        <c:axId val="1904538672"/>
        <c:scaling>
          <c:orientation val="minMax"/>
        </c:scaling>
        <c:delete val="1"/>
        <c:axPos val="b"/>
        <c:majorTickMark val="out"/>
        <c:minorTickMark val="none"/>
        <c:tickLblPos val="nextTo"/>
        <c:crossAx val="1904535344"/>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304800</xdr:colOff>
      <xdr:row>1</xdr:row>
      <xdr:rowOff>21167</xdr:rowOff>
    </xdr:from>
    <xdr:to>
      <xdr:col>12</xdr:col>
      <xdr:colOff>9525</xdr:colOff>
      <xdr:row>22</xdr:row>
      <xdr:rowOff>114300</xdr:rowOff>
    </xdr:to>
    <xdr:pic>
      <xdr:nvPicPr>
        <xdr:cNvPr id="2" name="Picture 1" descr="Carvana Logo Vector - (.SVG + .PNG) - SearchLogoVector.Com"/>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659342"/>
          <a:ext cx="6562725" cy="36459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4</xdr:row>
      <xdr:rowOff>95251</xdr:rowOff>
    </xdr:from>
    <xdr:to>
      <xdr:col>10</xdr:col>
      <xdr:colOff>276225</xdr:colOff>
      <xdr:row>10</xdr:row>
      <xdr:rowOff>76201</xdr:rowOff>
    </xdr:to>
    <xdr:sp macro="" textlink="">
      <xdr:nvSpPr>
        <xdr:cNvPr id="2" name="TextBox 1"/>
        <xdr:cNvSpPr txBox="1"/>
      </xdr:nvSpPr>
      <xdr:spPr>
        <a:xfrm>
          <a:off x="161926" y="752476"/>
          <a:ext cx="8172449" cy="89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Carvana:</a:t>
          </a:r>
        </a:p>
        <a:p>
          <a:endParaRPr lang="en-US" sz="800" b="1">
            <a:latin typeface="Arial" panose="020B0604020202020204" pitchFamily="34" charset="0"/>
            <a:cs typeface="Arial" panose="020B0604020202020204" pitchFamily="34" charset="0"/>
          </a:endParaRPr>
        </a:p>
        <a:p>
          <a:r>
            <a:rPr lang="en-US" sz="900" b="0">
              <a:latin typeface="Arial" panose="020B0604020202020204" pitchFamily="34" charset="0"/>
              <a:cs typeface="Arial" panose="020B0604020202020204" pitchFamily="34" charset="0"/>
            </a:rPr>
            <a:t>Carvana Co., together with its subsidiaries, operates an e-commerce platform for buying and selling used cars in the United States. The company's platform allows customers to research and identify a vehicle; inspect it using company's 360-degree vehicle imaging technology; obtain financing and warranty coverage; purchase the vehicle; and schedule delivery or pick-up from their desktop or mobile devices. Carvana Co. was founded in 2012 and is headquartered in Tempe, Arizona.</a:t>
          </a:r>
        </a:p>
      </xdr:txBody>
    </xdr:sp>
    <xdr:clientData/>
  </xdr:twoCellAnchor>
  <xdr:twoCellAnchor>
    <xdr:from>
      <xdr:col>1</xdr:col>
      <xdr:colOff>28573</xdr:colOff>
      <xdr:row>11</xdr:row>
      <xdr:rowOff>28574</xdr:rowOff>
    </xdr:from>
    <xdr:to>
      <xdr:col>10</xdr:col>
      <xdr:colOff>276225</xdr:colOff>
      <xdr:row>30</xdr:row>
      <xdr:rowOff>28575</xdr:rowOff>
    </xdr:to>
    <xdr:sp macro="" textlink="">
      <xdr:nvSpPr>
        <xdr:cNvPr id="6" name="TextBox 5"/>
        <xdr:cNvSpPr txBox="1"/>
      </xdr:nvSpPr>
      <xdr:spPr>
        <a:xfrm>
          <a:off x="161923" y="1752599"/>
          <a:ext cx="8172452" cy="2895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Business</a:t>
          </a:r>
          <a:r>
            <a:rPr lang="en-US" sz="900" b="1" baseline="0">
              <a:latin typeface="Arial" panose="020B0604020202020204" pitchFamily="34" charset="0"/>
              <a:cs typeface="Arial" panose="020B0604020202020204" pitchFamily="34" charset="0"/>
            </a:rPr>
            <a:t> -</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The business combines a comprehensive online sales experience with a vertically integrated supply chain that allows them to sell high-quality vehicles to the customers transparently and efficiently at a low price. Using the</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website, customers can complete all phases of a used vehicle purchase transaction.</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Purchase a used vehicle</a:t>
          </a:r>
          <a:r>
            <a:rPr lang="en-US" sz="900" b="1" baseline="0">
              <a:latin typeface="Arial" panose="020B0604020202020204" pitchFamily="34" charset="0"/>
              <a:cs typeface="Arial" panose="020B0604020202020204" pitchFamily="34" charset="0"/>
            </a:rPr>
            <a:t> - </a:t>
          </a:r>
          <a:r>
            <a:rPr lang="en-US" sz="900" b="0" baseline="0">
              <a:latin typeface="Arial" panose="020B0604020202020204" pitchFamily="34" charset="0"/>
              <a:cs typeface="Arial" panose="020B0604020202020204" pitchFamily="34" charset="0"/>
            </a:rPr>
            <a:t>Listed</a:t>
          </a:r>
          <a:r>
            <a:rPr lang="en-US" sz="900" b="1"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approximately 78,900 total units on the website, where customers can select and purchase a vehicle, including arranging financing and signing contracts, directly from their desktop or mobile device. Selling used vehicles to retail customers is the primary driver of Carvana.</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Finance the purchase -</a:t>
          </a:r>
          <a:r>
            <a:rPr lang="en-US" sz="900" b="0">
              <a:latin typeface="Arial" panose="020B0604020202020204" pitchFamily="34" charset="0"/>
              <a:cs typeface="Arial" panose="020B0604020202020204" pitchFamily="34" charset="0"/>
            </a:rPr>
            <a:t> Customers can pay for their Carvana vehicle using cash, financing from other parties such as banks or credit unions, or financing with us using our proprietary loan origination platform. Customers who choose to apply for our in-house financing fill out a short prequalification form, select from a range of financing terms they provide and, if approved, apply the financing to their purchase in our online checkout process.</a:t>
          </a:r>
          <a:br>
            <a:rPr lang="en-US" sz="900" b="0">
              <a:latin typeface="Arial" panose="020B0604020202020204" pitchFamily="34" charset="0"/>
              <a:cs typeface="Arial" panose="020B0604020202020204" pitchFamily="34" charset="0"/>
            </a:rPr>
          </a:br>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Protect their purchase</a:t>
          </a:r>
          <a:r>
            <a:rPr lang="en-US" sz="900" b="1" baseline="0">
              <a:latin typeface="Arial" panose="020B0604020202020204" pitchFamily="34" charset="0"/>
              <a:cs typeface="Arial" panose="020B0604020202020204" pitchFamily="34" charset="0"/>
            </a:rPr>
            <a:t> -</a:t>
          </a:r>
          <a:r>
            <a:rPr lang="en-US" sz="900" b="0" baseline="0">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Customers have the option to protect their vehicle with a VSC as part of the online checkout process. VSCs provide customers with insurance against certain mechanical repairs after the expiration of their vehicle’s original manufacturer warranty. Carvana earn a fee for selling VSCs on behalf of DriveTime, who is the obligor under these VSCs.</a:t>
          </a:r>
          <a:br>
            <a:rPr lang="en-US" sz="900" b="0">
              <a:latin typeface="Arial" panose="020B0604020202020204" pitchFamily="34" charset="0"/>
              <a:cs typeface="Arial" panose="020B0604020202020204" pitchFamily="34" charset="0"/>
            </a:rPr>
          </a:br>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Sell their car - </a:t>
          </a:r>
          <a:r>
            <a:rPr lang="en-US" sz="900" b="0">
              <a:latin typeface="Arial" panose="020B0604020202020204" pitchFamily="34" charset="0"/>
              <a:cs typeface="Arial" panose="020B0604020202020204" pitchFamily="34" charset="0"/>
            </a:rPr>
            <a:t>Allow customers to trade-in a vehicle and apply the trade-in value to their purchase, or to sell us a vehicle independent of a purchase. Using our digital appraisal tool, customers can receive a firm offer for their vehicle nearly instantaneously from our site simply by answering a few questions about the vehicle condition and features. When customers accept the offer, they can schedule a time to have the vehicle picked up at their home and receive payment, eliminating the need to visit a dealership or negotiate a private sale. Carvana take their vehicles into inventory and sell them either at auction as a wholesale sale or through our website as a retail sale. Vehicles sold at auction typically do not meet the quality or condition standards required to be included in retail inventory displayed for sale on our website.</a:t>
          </a:r>
        </a:p>
        <a:p>
          <a:endParaRPr lang="en-US" sz="900" b="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17</xdr:col>
      <xdr:colOff>9525</xdr:colOff>
      <xdr:row>33</xdr:row>
      <xdr:rowOff>28576</xdr:rowOff>
    </xdr:to>
    <xdr:sp macro="" textlink="">
      <xdr:nvSpPr>
        <xdr:cNvPr id="9" name="TextBox 8"/>
        <xdr:cNvSpPr txBox="1"/>
      </xdr:nvSpPr>
      <xdr:spPr>
        <a:xfrm>
          <a:off x="133350" y="352425"/>
          <a:ext cx="12106275" cy="475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Potential in Used Cars</a:t>
          </a:r>
          <a:r>
            <a:rPr lang="en-US" sz="900" b="1" baseline="0">
              <a:latin typeface="Arial" panose="020B0604020202020204" pitchFamily="34" charset="0"/>
              <a:cs typeface="Arial" panose="020B0604020202020204" pitchFamily="34" charset="0"/>
            </a:rPr>
            <a:t> Industry: </a:t>
          </a:r>
          <a:r>
            <a:rPr lang="en-US" sz="900" b="0" baseline="0">
              <a:latin typeface="Arial" panose="020B0604020202020204" pitchFamily="34" charset="0"/>
              <a:cs typeface="Arial" panose="020B0604020202020204" pitchFamily="34" charset="0"/>
            </a:rPr>
            <a:t>The used car market has been gaining steam since 2017 when the volume of used light vehicles sold hiked by just under 11 percent year-over-year to 42.7 million sales. By 2021, around 43.1 million used light vehicles were sold in the U.S, representing just under 74 percent of the total light vehicle sales in the country. While sales increased, the average used vehicle selling price also inflated (up 21 percent year-over-year in 2021) with vans, sport-utility vehicles, and crossover utility vehicles recording the steepest price increase. The semiconductor shortage, forcing halts in new vehicle production, is partly responsible for this boom in the used car market. Most used vehicle retail inventory in June 2022 was priced above 35,000 U.S. dollars, making the used car market increasingly inaccessible to consumers.</a:t>
          </a:r>
        </a:p>
        <a:p>
          <a:endParaRPr lang="en-US" sz="900" b="1">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Pricing and Market Share</a:t>
          </a:r>
          <a:r>
            <a:rPr lang="en-US" sz="900" b="1">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A</a:t>
          </a:r>
          <a:r>
            <a:rPr lang="en-US" sz="900" b="0" baseline="0">
              <a:latin typeface="Arial" panose="020B0604020202020204" pitchFamily="34" charset="0"/>
              <a:cs typeface="Arial" panose="020B0604020202020204" pitchFamily="34" charset="0"/>
            </a:rPr>
            <a:t>n Average Selling Price for a Used Vehicle is </a:t>
          </a:r>
          <a:r>
            <a:rPr lang="en-US" sz="900" b="0">
              <a:latin typeface="Arial" panose="020B0604020202020204" pitchFamily="34" charset="0"/>
              <a:cs typeface="Arial" panose="020B0604020202020204" pitchFamily="34" charset="0"/>
            </a:rPr>
            <a:t>$25.1k (Increase by 8.5% from previous year).</a:t>
          </a:r>
          <a:r>
            <a:rPr lang="en-US" sz="900" b="0" baseline="0">
              <a:latin typeface="Arial" panose="020B0604020202020204" pitchFamily="34" charset="0"/>
              <a:cs typeface="Arial" panose="020B0604020202020204" pitchFamily="34" charset="0"/>
            </a:rPr>
            <a:t> For Wholesale Vehicles, an average selling price is $12.4k (Increase by 7.5% from previous year). Carvana has 10.28% Market Share in of the total $138.1B Used Car Industry in 2021. I believe that they can pull off 25% Market Share in the next 10 years. Carvana sold 117,564 used vehicles and 55,299 wholesale vehicles from Mar 31, 2022 to Jun 30, 2022. The increase in revenue was primarily driven by the acquisition of ADESA, resulting in 111,883 wholesale marketplace units sold and $108 million in wholesale revenue.</a:t>
          </a:r>
          <a:endParaRPr lang="en-US" sz="900" b="0">
            <a:latin typeface="Arial" panose="020B0604020202020204" pitchFamily="34" charset="0"/>
            <a:cs typeface="Arial" panose="020B0604020202020204" pitchFamily="34" charset="0"/>
          </a:endParaRP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Key Risks and Concerns (Seasonality) - </a:t>
          </a:r>
          <a:r>
            <a:rPr lang="en-US" sz="900" b="0">
              <a:latin typeface="Arial" panose="020B0604020202020204" pitchFamily="34" charset="0"/>
              <a:cs typeface="Arial" panose="020B0604020202020204" pitchFamily="34" charset="0"/>
            </a:rPr>
            <a:t>Used vehicle sales generally exhibit seasonality with sales peaking late in the first calendar quarter and diminishing through the rest of the year, with the lowest relative level of vehicle sales expected to occur in the fourth calendar quarter. Due to Carvana's rapid growth, our overall sales patterns to date have not reflected the general seasonality of the used vehicle industry, but Carvana expect this to change once the business and markets mature. Used vehicle prices also exhibit seasonality, with used vehicles depreciating at a faster rate in the last two quarters of each year and a slower rate in the first two quarters of each year, all other factors being equal.</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Government Regulations (Environment) - </a:t>
          </a:r>
          <a:r>
            <a:rPr lang="en-US" sz="900" b="0">
              <a:latin typeface="Arial" panose="020B0604020202020204" pitchFamily="34" charset="0"/>
              <a:cs typeface="Arial" panose="020B0604020202020204" pitchFamily="34" charset="0"/>
            </a:rPr>
            <a:t>Used</a:t>
          </a:r>
          <a:r>
            <a:rPr lang="en-US" sz="900" b="0" baseline="0">
              <a:latin typeface="Arial" panose="020B0604020202020204" pitchFamily="34" charset="0"/>
              <a:cs typeface="Arial" panose="020B0604020202020204" pitchFamily="34" charset="0"/>
            </a:rPr>
            <a:t> Vehicles usually are less environment friendly and, therefore, there are more restrictions by the US government related to environment regarding material storage, air quality, operation of gasoline storage tanks, gasoline dispensing equipment, oil tanks, and paint booths among other things.</a:t>
          </a:r>
          <a:endParaRPr lang="en-US" sz="900" b="0">
            <a:latin typeface="Arial" panose="020B0604020202020204" pitchFamily="34" charset="0"/>
            <a:cs typeface="Arial" panose="020B0604020202020204" pitchFamily="34" charset="0"/>
          </a:endParaRP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a:t>
          </a:r>
          <a:r>
            <a:rPr lang="en-US" sz="900" b="0" baseline="0">
              <a:solidFill>
                <a:schemeClr val="dk1"/>
              </a:solidFill>
              <a:effectLst/>
              <a:latin typeface="Arial" panose="020B0604020202020204" pitchFamily="34" charset="0"/>
              <a:ea typeface="+mn-ea"/>
              <a:cs typeface="Arial" panose="020B0604020202020204" pitchFamily="34" charset="0"/>
            </a:rPr>
            <a:t>Although, Carvana has mentioned competitive advantages like "Purpose-Built Vertically Integrated E-commerce Platform", "Differentiated Shopping Experience", "Proprietary Financing Technology", "Efficient Logistics Network", "Scaled Used Vehicle Infrastructure" and "Powerful Network Effects". But, I don't think any of them are strong and sustainable competitive advantages for Carvana. They need something else to establish themselves differently from other players in the industry.</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Growth Strategies (Mobile Sales Platform) - </a:t>
          </a:r>
          <a:r>
            <a:rPr lang="en-US" sz="900" b="0" baseline="0">
              <a:solidFill>
                <a:schemeClr val="dk1"/>
              </a:solidFill>
              <a:effectLst/>
              <a:latin typeface="Arial" panose="020B0604020202020204" pitchFamily="34" charset="0"/>
              <a:ea typeface="+mn-ea"/>
              <a:cs typeface="Arial" panose="020B0604020202020204" pitchFamily="34" charset="0"/>
            </a:rPr>
            <a:t>Carvana is investing in a mobile platform to enhance customers’ ability to search for, research, finance, sell, and purchase vehicles entirely on mobile devices, including smartphones and tablets. According to J.D. Power 2017 New Autoshopper Study, 56% of auto research occurred on a mobile device. According to Statista, goods and services purchased via mobile devices by U.S. consumers totaled $338 billion in 2020, which accounted for 31% of total e-commerce. Growth in mobile-only sales depends on our ability to deliver an innovative, appealing mobile experience, as well as customers’ tastes for buying exclusively on mobile devices.</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Cost of Sales are associated with acquiring the vehicle and preparing it for sale (87% of the revenues). As selling used cars is not going to be a high margin business, Carvana needs to find a way to make more sales, while at the same time, keep the cost of aquiring vehicles to a minimum. I expect them to make 9.78% Operating Margins (the 90th percentile of industry). Based on the debt they have on their balance sheet, 4-5% Operating Margins are not going to pull out Carvana from Bankruptcy. It's wishful thinking on my part, to give Carvana 9.78%.</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The U.S. used car marketplace is highly fragmented. There are approximately 43,000 used car dealerships in the United States according to Borrell Associates' 2017 Outlook, including approximately 27,000 independent dealerships. The largest dealer brand commands approximately 2.2% of the U.S. market, according to Automotive News. The leading U.S. automotive retailing and services company is AutoNation with revenues of $8.64B. Best-selling used car model from MY2016 to MY2020 is Ford F-150.</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Carvana makes $2.03 for every $1 of Invested Capital in 2021. However, the 50th percentile of gross industry makes $1.58 for every $1 of Invested Capital in 2021. I projected Carvana to reinvest roughly $1.8B on average for the next 10 years to achieve a Sales CAGR of 13.67% in next 10 years. Carvana has reinvested $2.6B in 2021.</a:t>
          </a:r>
        </a:p>
        <a:p>
          <a:endParaRPr lang="en-US" sz="900" b="0" baseline="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647699</xdr:colOff>
      <xdr:row>32</xdr:row>
      <xdr:rowOff>114300</xdr:rowOff>
    </xdr:from>
    <xdr:to>
      <xdr:col>5</xdr:col>
      <xdr:colOff>266699</xdr:colOff>
      <xdr:row>37</xdr:row>
      <xdr:rowOff>0</xdr:rowOff>
    </xdr:to>
    <xdr:sp macro="" textlink="">
      <xdr:nvSpPr>
        <xdr:cNvPr id="2" name="TextBox 1"/>
        <xdr:cNvSpPr txBox="1"/>
      </xdr:nvSpPr>
      <xdr:spPr>
        <a:xfrm>
          <a:off x="3714749" y="5038725"/>
          <a:ext cx="10763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3.83%</a:t>
          </a:r>
          <a:endParaRPr lang="en-US" sz="1100" b="1"/>
        </a:p>
      </xdr:txBody>
    </xdr:sp>
    <xdr:clientData/>
  </xdr:twoCellAnchor>
  <xdr:twoCellAnchor>
    <xdr:from>
      <xdr:col>5</xdr:col>
      <xdr:colOff>371474</xdr:colOff>
      <xdr:row>32</xdr:row>
      <xdr:rowOff>114300</xdr:rowOff>
    </xdr:from>
    <xdr:to>
      <xdr:col>6</xdr:col>
      <xdr:colOff>104775</xdr:colOff>
      <xdr:row>37</xdr:row>
      <xdr:rowOff>0</xdr:rowOff>
    </xdr:to>
    <xdr:sp macro="" textlink="">
      <xdr:nvSpPr>
        <xdr:cNvPr id="3" name="TextBox 2"/>
        <xdr:cNvSpPr txBox="1"/>
      </xdr:nvSpPr>
      <xdr:spPr>
        <a:xfrm>
          <a:off x="4895849" y="5038725"/>
          <a:ext cx="99060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Carvana </a:t>
          </a:r>
          <a:r>
            <a:rPr lang="en-US" sz="1100" baseline="0"/>
            <a:t>ERP</a:t>
          </a:r>
          <a:r>
            <a:rPr lang="en-US" sz="1100"/>
            <a:t>:</a:t>
          </a:r>
        </a:p>
        <a:p>
          <a:r>
            <a:rPr lang="en-US" sz="2400" b="1"/>
            <a:t>5.30%</a:t>
          </a:r>
          <a:endParaRPr lang="en-US" sz="1100" b="1"/>
        </a:p>
      </xdr:txBody>
    </xdr:sp>
    <xdr:clientData/>
  </xdr:twoCellAnchor>
  <xdr:twoCellAnchor>
    <xdr:from>
      <xdr:col>7</xdr:col>
      <xdr:colOff>9525</xdr:colOff>
      <xdr:row>32</xdr:row>
      <xdr:rowOff>114300</xdr:rowOff>
    </xdr:from>
    <xdr:to>
      <xdr:col>7</xdr:col>
      <xdr:colOff>781051</xdr:colOff>
      <xdr:row>37</xdr:row>
      <xdr:rowOff>0</xdr:rowOff>
    </xdr:to>
    <xdr:sp macro="" textlink="">
      <xdr:nvSpPr>
        <xdr:cNvPr id="4" name="TextBox 3"/>
        <xdr:cNvSpPr txBox="1"/>
      </xdr:nvSpPr>
      <xdr:spPr>
        <a:xfrm>
          <a:off x="5972175" y="5038725"/>
          <a:ext cx="771526"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Beta:</a:t>
          </a:r>
        </a:p>
        <a:p>
          <a:r>
            <a:rPr lang="en-US" sz="2400" b="1"/>
            <a:t>7.62</a:t>
          </a:r>
          <a:endParaRPr lang="en-US" sz="1100" b="1"/>
        </a:p>
      </xdr:txBody>
    </xdr:sp>
    <xdr:clientData/>
  </xdr:twoCellAnchor>
  <xdr:twoCellAnchor>
    <xdr:from>
      <xdr:col>7</xdr:col>
      <xdr:colOff>876299</xdr:colOff>
      <xdr:row>32</xdr:row>
      <xdr:rowOff>114300</xdr:rowOff>
    </xdr:from>
    <xdr:to>
      <xdr:col>7</xdr:col>
      <xdr:colOff>1952624</xdr:colOff>
      <xdr:row>37</xdr:row>
      <xdr:rowOff>0</xdr:rowOff>
    </xdr:to>
    <xdr:sp macro="" textlink="">
      <xdr:nvSpPr>
        <xdr:cNvPr id="5" name="TextBox 4"/>
        <xdr:cNvSpPr txBox="1"/>
      </xdr:nvSpPr>
      <xdr:spPr>
        <a:xfrm>
          <a:off x="6838949" y="5038725"/>
          <a:ext cx="10763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Risk Free Rate:</a:t>
          </a:r>
        </a:p>
        <a:p>
          <a:r>
            <a:rPr lang="en-US" sz="2400" b="1"/>
            <a:t>3.83%</a:t>
          </a:r>
          <a:endParaRPr lang="en-US" sz="1100" b="1"/>
        </a:p>
      </xdr:txBody>
    </xdr:sp>
    <xdr:clientData/>
  </xdr:twoCellAnchor>
  <xdr:twoCellAnchor>
    <xdr:from>
      <xdr:col>8</xdr:col>
      <xdr:colOff>28575</xdr:colOff>
      <xdr:row>32</xdr:row>
      <xdr:rowOff>114300</xdr:rowOff>
    </xdr:from>
    <xdr:to>
      <xdr:col>9</xdr:col>
      <xdr:colOff>585108</xdr:colOff>
      <xdr:row>37</xdr:row>
      <xdr:rowOff>0</xdr:rowOff>
    </xdr:to>
    <xdr:sp macro="" textlink="">
      <xdr:nvSpPr>
        <xdr:cNvPr id="7" name="TextBox 6"/>
        <xdr:cNvSpPr txBox="1"/>
      </xdr:nvSpPr>
      <xdr:spPr>
        <a:xfrm>
          <a:off x="7600950" y="4951639"/>
          <a:ext cx="1168854" cy="634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Carvana's Risk:</a:t>
          </a:r>
        </a:p>
        <a:p>
          <a:r>
            <a:rPr lang="en-US" sz="2400" b="1"/>
            <a:t>14.00%</a:t>
          </a:r>
          <a:endParaRPr lang="en-US" sz="1100" b="1"/>
        </a:p>
      </xdr:txBody>
    </xdr:sp>
    <xdr:clientData/>
  </xdr:twoCellAnchor>
  <xdr:twoCellAnchor>
    <xdr:from>
      <xdr:col>4</xdr:col>
      <xdr:colOff>706210</xdr:colOff>
      <xdr:row>38</xdr:row>
      <xdr:rowOff>38100</xdr:rowOff>
    </xdr:from>
    <xdr:to>
      <xdr:col>5</xdr:col>
      <xdr:colOff>1108982</xdr:colOff>
      <xdr:row>42</xdr:row>
      <xdr:rowOff>76200</xdr:rowOff>
    </xdr:to>
    <xdr:sp macro="" textlink="">
      <xdr:nvSpPr>
        <xdr:cNvPr id="8" name="TextBox 7"/>
        <xdr:cNvSpPr txBox="1"/>
      </xdr:nvSpPr>
      <xdr:spPr>
        <a:xfrm>
          <a:off x="4039960" y="5773511"/>
          <a:ext cx="1171576" cy="6368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Equity:</a:t>
          </a:r>
        </a:p>
        <a:p>
          <a:r>
            <a:rPr lang="en-US" sz="2400" b="1"/>
            <a:t>44.23%</a:t>
          </a:r>
          <a:endParaRPr lang="en-US" sz="1100" b="1"/>
        </a:p>
      </xdr:txBody>
    </xdr:sp>
    <xdr:clientData/>
  </xdr:twoCellAnchor>
  <xdr:twoCellAnchor>
    <xdr:from>
      <xdr:col>7</xdr:col>
      <xdr:colOff>1638298</xdr:colOff>
      <xdr:row>38</xdr:row>
      <xdr:rowOff>38100</xdr:rowOff>
    </xdr:from>
    <xdr:to>
      <xdr:col>9</xdr:col>
      <xdr:colOff>123824</xdr:colOff>
      <xdr:row>42</xdr:row>
      <xdr:rowOff>76200</xdr:rowOff>
    </xdr:to>
    <xdr:sp macro="" textlink="">
      <xdr:nvSpPr>
        <xdr:cNvPr id="9" name="TextBox 8"/>
        <xdr:cNvSpPr txBox="1"/>
      </xdr:nvSpPr>
      <xdr:spPr>
        <a:xfrm>
          <a:off x="7172323" y="5876925"/>
          <a:ext cx="1123951"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 of Debt:</a:t>
          </a:r>
        </a:p>
        <a:p>
          <a:r>
            <a:rPr lang="en-US" sz="2400" b="1"/>
            <a:t>17.83%</a:t>
          </a:r>
          <a:endParaRPr lang="en-US" sz="1100" b="1"/>
        </a:p>
      </xdr:txBody>
    </xdr:sp>
    <xdr:clientData/>
  </xdr:twoCellAnchor>
  <xdr:twoCellAnchor>
    <xdr:from>
      <xdr:col>7</xdr:col>
      <xdr:colOff>47623</xdr:colOff>
      <xdr:row>38</xdr:row>
      <xdr:rowOff>38100</xdr:rowOff>
    </xdr:from>
    <xdr:to>
      <xdr:col>7</xdr:col>
      <xdr:colOff>1197428</xdr:colOff>
      <xdr:row>42</xdr:row>
      <xdr:rowOff>76200</xdr:rowOff>
    </xdr:to>
    <xdr:sp macro="" textlink="">
      <xdr:nvSpPr>
        <xdr:cNvPr id="10" name="TextBox 9"/>
        <xdr:cNvSpPr txBox="1"/>
      </xdr:nvSpPr>
      <xdr:spPr>
        <a:xfrm>
          <a:off x="5592534" y="5773511"/>
          <a:ext cx="1149805" cy="636814"/>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WACC:</a:t>
          </a:r>
        </a:p>
        <a:p>
          <a:r>
            <a:rPr lang="en-US" sz="2400" b="1">
              <a:solidFill>
                <a:schemeClr val="bg1"/>
              </a:solidFill>
            </a:rPr>
            <a:t>29.61%</a:t>
          </a:r>
          <a:endParaRPr lang="en-US" sz="1100" b="1">
            <a:solidFill>
              <a:schemeClr val="bg1"/>
            </a:solidFill>
          </a:endParaRPr>
        </a:p>
      </xdr:txBody>
    </xdr:sp>
    <xdr:clientData/>
  </xdr:twoCellAnchor>
  <xdr:twoCellAnchor>
    <xdr:from>
      <xdr:col>4</xdr:col>
      <xdr:colOff>517071</xdr:colOff>
      <xdr:row>37</xdr:row>
      <xdr:rowOff>0</xdr:rowOff>
    </xdr:from>
    <xdr:to>
      <xdr:col>4</xdr:col>
      <xdr:colOff>706210</xdr:colOff>
      <xdr:row>40</xdr:row>
      <xdr:rowOff>57150</xdr:rowOff>
    </xdr:to>
    <xdr:cxnSp macro="">
      <xdr:nvCxnSpPr>
        <xdr:cNvPr id="12" name="Straight Connector 11"/>
        <xdr:cNvCxnSpPr>
          <a:stCxn id="2" idx="2"/>
          <a:endCxn id="8" idx="1"/>
        </xdr:cNvCxnSpPr>
      </xdr:nvCxnSpPr>
      <xdr:spPr>
        <a:xfrm>
          <a:off x="3850821" y="5585732"/>
          <a:ext cx="189139" cy="506186"/>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523194</xdr:colOff>
      <xdr:row>37</xdr:row>
      <xdr:rowOff>0</xdr:rowOff>
    </xdr:from>
    <xdr:to>
      <xdr:col>5</xdr:col>
      <xdr:colOff>867455</xdr:colOff>
      <xdr:row>38</xdr:row>
      <xdr:rowOff>38100</xdr:rowOff>
    </xdr:to>
    <xdr:cxnSp macro="">
      <xdr:nvCxnSpPr>
        <xdr:cNvPr id="14" name="Straight Connector 13"/>
        <xdr:cNvCxnSpPr>
          <a:stCxn id="3" idx="2"/>
          <a:endCxn id="8" idx="0"/>
        </xdr:cNvCxnSpPr>
      </xdr:nvCxnSpPr>
      <xdr:spPr>
        <a:xfrm flipH="1">
          <a:off x="4625748" y="5585732"/>
          <a:ext cx="344261" cy="187779"/>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1108982</xdr:colOff>
      <xdr:row>37</xdr:row>
      <xdr:rowOff>0</xdr:rowOff>
    </xdr:from>
    <xdr:to>
      <xdr:col>7</xdr:col>
      <xdr:colOff>395288</xdr:colOff>
      <xdr:row>40</xdr:row>
      <xdr:rowOff>57150</xdr:rowOff>
    </xdr:to>
    <xdr:cxnSp macro="">
      <xdr:nvCxnSpPr>
        <xdr:cNvPr id="16" name="Straight Connector 15"/>
        <xdr:cNvCxnSpPr>
          <a:stCxn id="4" idx="2"/>
          <a:endCxn id="8" idx="3"/>
        </xdr:cNvCxnSpPr>
      </xdr:nvCxnSpPr>
      <xdr:spPr>
        <a:xfrm flipH="1">
          <a:off x="5211536" y="5585732"/>
          <a:ext cx="728663" cy="506186"/>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1414462</xdr:colOff>
      <xdr:row>37</xdr:row>
      <xdr:rowOff>0</xdr:rowOff>
    </xdr:from>
    <xdr:to>
      <xdr:col>7</xdr:col>
      <xdr:colOff>1638298</xdr:colOff>
      <xdr:row>40</xdr:row>
      <xdr:rowOff>57150</xdr:rowOff>
    </xdr:to>
    <xdr:cxnSp macro="">
      <xdr:nvCxnSpPr>
        <xdr:cNvPr id="18" name="Straight Connector 17"/>
        <xdr:cNvCxnSpPr>
          <a:stCxn id="5" idx="2"/>
          <a:endCxn id="9" idx="1"/>
        </xdr:cNvCxnSpPr>
      </xdr:nvCxnSpPr>
      <xdr:spPr>
        <a:xfrm>
          <a:off x="6948487" y="5686425"/>
          <a:ext cx="223836" cy="51435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173490</xdr:colOff>
      <xdr:row>37</xdr:row>
      <xdr:rowOff>0</xdr:rowOff>
    </xdr:from>
    <xdr:to>
      <xdr:col>9</xdr:col>
      <xdr:colOff>681</xdr:colOff>
      <xdr:row>38</xdr:row>
      <xdr:rowOff>38100</xdr:rowOff>
    </xdr:to>
    <xdr:cxnSp macro="">
      <xdr:nvCxnSpPr>
        <xdr:cNvPr id="22" name="Straight Connector 21"/>
        <xdr:cNvCxnSpPr>
          <a:stCxn id="7" idx="2"/>
          <a:endCxn id="9" idx="0"/>
        </xdr:cNvCxnSpPr>
      </xdr:nvCxnSpPr>
      <xdr:spPr>
        <a:xfrm flipH="1">
          <a:off x="7745865" y="5585732"/>
          <a:ext cx="439512" cy="187779"/>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1108982</xdr:colOff>
      <xdr:row>40</xdr:row>
      <xdr:rowOff>57150</xdr:rowOff>
    </xdr:from>
    <xdr:to>
      <xdr:col>7</xdr:col>
      <xdr:colOff>47623</xdr:colOff>
      <xdr:row>40</xdr:row>
      <xdr:rowOff>57150</xdr:rowOff>
    </xdr:to>
    <xdr:cxnSp macro="">
      <xdr:nvCxnSpPr>
        <xdr:cNvPr id="24" name="Straight Connector 23"/>
        <xdr:cNvCxnSpPr>
          <a:stCxn id="8" idx="3"/>
          <a:endCxn id="10" idx="1"/>
        </xdr:cNvCxnSpPr>
      </xdr:nvCxnSpPr>
      <xdr:spPr>
        <a:xfrm>
          <a:off x="5211536" y="6091918"/>
          <a:ext cx="380998"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1197428</xdr:colOff>
      <xdr:row>40</xdr:row>
      <xdr:rowOff>57150</xdr:rowOff>
    </xdr:from>
    <xdr:to>
      <xdr:col>7</xdr:col>
      <xdr:colOff>1638298</xdr:colOff>
      <xdr:row>40</xdr:row>
      <xdr:rowOff>57150</xdr:rowOff>
    </xdr:to>
    <xdr:cxnSp macro="">
      <xdr:nvCxnSpPr>
        <xdr:cNvPr id="26" name="Straight Connector 25"/>
        <xdr:cNvCxnSpPr>
          <a:stCxn id="10" idx="3"/>
          <a:endCxn id="9" idx="1"/>
        </xdr:cNvCxnSpPr>
      </xdr:nvCxnSpPr>
      <xdr:spPr>
        <a:xfrm>
          <a:off x="6742339" y="6091918"/>
          <a:ext cx="440870"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95249</xdr:colOff>
      <xdr:row>2</xdr:row>
      <xdr:rowOff>1</xdr:rowOff>
    </xdr:from>
    <xdr:to>
      <xdr:col>6</xdr:col>
      <xdr:colOff>561975</xdr:colOff>
      <xdr:row>5</xdr:row>
      <xdr:rowOff>19050</xdr:rowOff>
    </xdr:to>
    <xdr:sp macro="" textlink="">
      <xdr:nvSpPr>
        <xdr:cNvPr id="2" name="TextBox 1"/>
        <xdr:cNvSpPr txBox="1"/>
      </xdr:nvSpPr>
      <xdr:spPr>
        <a:xfrm>
          <a:off x="4019549" y="352426"/>
          <a:ext cx="1447801" cy="4762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 All the revenues comes from USA.</a:t>
          </a:r>
          <a:endParaRPr lang="en-US" sz="1100" b="0" i="0" u="none" strike="noStrike" baseline="0">
            <a:solidFill>
              <a:schemeClr val="dk1"/>
            </a:solidFill>
            <a:effectLst/>
            <a:latin typeface="+mn-lt"/>
            <a:ea typeface="+mn-ea"/>
            <a:cs typeface="+mn-cs"/>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133350</xdr:colOff>
      <xdr:row>34</xdr:row>
      <xdr:rowOff>133350</xdr:rowOff>
    </xdr:from>
    <xdr:to>
      <xdr:col>19</xdr:col>
      <xdr:colOff>95250</xdr:colOff>
      <xdr:row>54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11</xdr:row>
      <xdr:rowOff>123825</xdr:rowOff>
    </xdr:from>
    <xdr:to>
      <xdr:col>3</xdr:col>
      <xdr:colOff>19050</xdr:colOff>
      <xdr:row>16</xdr:row>
      <xdr:rowOff>9525</xdr:rowOff>
    </xdr:to>
    <xdr:sp macro="" textlink="">
      <xdr:nvSpPr>
        <xdr:cNvPr id="2" name="TextBox 1"/>
        <xdr:cNvSpPr txBox="1"/>
      </xdr:nvSpPr>
      <xdr:spPr>
        <a:xfrm>
          <a:off x="133350" y="1857375"/>
          <a:ext cx="2905125"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1"/>
            <a:t>Note:</a:t>
          </a:r>
          <a:r>
            <a:rPr lang="en-US" sz="1100" b="1" i="1" baseline="0"/>
            <a:t> </a:t>
          </a:r>
          <a:r>
            <a:rPr lang="en-US" sz="1100" i="1" baseline="0"/>
            <a:t>5 Year US Government Bond Yield as Riskfree rate to match the duration of roughly 6 years of debt.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8.bin"/><Relationship Id="rId1" Type="http://schemas.openxmlformats.org/officeDocument/2006/relationships/hyperlink" Target="https://www.boerse-frankfurt.de/bond/usu1468gad61-carvana-co-5-875-20-28"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56" customWidth="1"/>
    <col min="2" max="8" width="9.140625" style="56"/>
    <col min="9" max="9" width="11.42578125" style="56" customWidth="1"/>
    <col min="10" max="16384" width="9.140625" style="56"/>
  </cols>
  <sheetData>
    <row r="1" spans="2:15" ht="50.25">
      <c r="B1" s="57" t="s">
        <v>205</v>
      </c>
    </row>
    <row r="3" spans="2:15" ht="13.5" customHeight="1">
      <c r="F3" s="57"/>
      <c r="H3" s="57"/>
    </row>
    <row r="5" spans="2:15" ht="15">
      <c r="E5"/>
    </row>
    <row r="9" spans="2:15" ht="15">
      <c r="C9" s="58"/>
      <c r="F9"/>
    </row>
    <row r="10" spans="2:15" ht="15">
      <c r="C10" s="58"/>
      <c r="F10"/>
    </row>
    <row r="12" spans="2:15" ht="15">
      <c r="J12"/>
    </row>
    <row r="13" spans="2:15">
      <c r="O13" s="59"/>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20.5703125" style="2" customWidth="1"/>
    <col min="4" max="4" width="2.8554687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206</v>
      </c>
      <c r="E1" s="3"/>
      <c r="F1" s="62"/>
      <c r="G1" s="3"/>
      <c r="H1" s="3"/>
      <c r="I1" s="3"/>
      <c r="J1" s="3"/>
      <c r="K1" s="3"/>
      <c r="L1" s="3"/>
      <c r="M1" s="3"/>
      <c r="N1" s="3"/>
    </row>
    <row r="2" spans="2:14">
      <c r="E2" s="3"/>
      <c r="F2" s="62"/>
      <c r="G2" s="3"/>
      <c r="H2" s="3"/>
      <c r="I2" s="3"/>
      <c r="J2" s="3"/>
      <c r="K2" s="3"/>
      <c r="L2" s="3"/>
      <c r="M2" s="3"/>
      <c r="N2" s="3"/>
    </row>
    <row r="3" spans="2:14">
      <c r="B3" s="3" t="s">
        <v>207</v>
      </c>
      <c r="C3" s="74" t="s">
        <v>209</v>
      </c>
      <c r="D3" s="23"/>
      <c r="E3" s="47"/>
      <c r="F3" s="95"/>
      <c r="G3" s="91"/>
      <c r="H3" s="87"/>
      <c r="I3" s="87"/>
      <c r="J3" s="87"/>
      <c r="K3" s="3"/>
      <c r="L3" s="96"/>
      <c r="M3" s="87"/>
      <c r="N3" s="3"/>
    </row>
    <row r="4" spans="2:14">
      <c r="B4" s="2" t="s">
        <v>208</v>
      </c>
      <c r="C4" s="266" t="s">
        <v>210</v>
      </c>
      <c r="D4" s="6"/>
      <c r="E4" s="3"/>
      <c r="F4" s="66"/>
      <c r="G4" s="92"/>
      <c r="H4" s="93"/>
      <c r="I4" s="47"/>
      <c r="J4" s="64"/>
      <c r="K4" s="3"/>
      <c r="L4" s="65"/>
      <c r="M4" s="76"/>
      <c r="N4" s="3"/>
    </row>
    <row r="5" spans="2:14">
      <c r="D5" s="6"/>
      <c r="E5" s="3"/>
      <c r="F5" s="66"/>
      <c r="G5" s="92"/>
      <c r="H5" s="93"/>
      <c r="I5" s="47"/>
      <c r="J5" s="64"/>
      <c r="K5" s="3"/>
      <c r="L5" s="65"/>
      <c r="M5" s="76"/>
      <c r="N5" s="3"/>
    </row>
    <row r="6" spans="2:14">
      <c r="C6" s="69"/>
      <c r="D6" s="25"/>
      <c r="E6" s="3"/>
      <c r="F6" s="66"/>
      <c r="G6" s="92"/>
      <c r="H6" s="93"/>
      <c r="I6" s="47"/>
      <c r="J6" s="64"/>
      <c r="K6" s="3"/>
      <c r="L6" s="65"/>
      <c r="M6" s="76"/>
      <c r="N6" s="3"/>
    </row>
    <row r="7" spans="2:14">
      <c r="C7" s="70"/>
      <c r="D7" s="6"/>
      <c r="E7" s="3"/>
      <c r="F7" s="66"/>
      <c r="G7" s="92"/>
      <c r="H7" s="93"/>
      <c r="I7" s="47"/>
      <c r="J7" s="64"/>
      <c r="K7" s="3"/>
      <c r="L7" s="65"/>
      <c r="M7" s="76"/>
      <c r="N7" s="3"/>
    </row>
    <row r="8" spans="2:14">
      <c r="C8" s="46"/>
      <c r="D8" s="6"/>
      <c r="E8" s="3"/>
      <c r="F8" s="66"/>
      <c r="G8" s="92"/>
      <c r="H8" s="93"/>
      <c r="I8" s="47"/>
      <c r="J8" s="64"/>
      <c r="K8" s="3"/>
      <c r="L8" s="65"/>
      <c r="M8" s="76"/>
      <c r="N8" s="3"/>
    </row>
    <row r="9" spans="2:14">
      <c r="B9" s="3"/>
      <c r="C9" s="74"/>
      <c r="D9" s="6"/>
      <c r="E9" s="3"/>
      <c r="F9" s="66"/>
      <c r="G9" s="92"/>
      <c r="H9" s="93"/>
      <c r="I9" s="47"/>
      <c r="J9" s="64"/>
      <c r="K9" s="3"/>
      <c r="L9" s="65"/>
      <c r="M9" s="76"/>
      <c r="N9" s="3"/>
    </row>
    <row r="10" spans="2:14">
      <c r="B10" s="3"/>
      <c r="C10" s="74"/>
      <c r="D10" s="6"/>
      <c r="E10" s="3"/>
      <c r="F10" s="66"/>
      <c r="G10" s="92"/>
      <c r="H10" s="93"/>
      <c r="I10" s="47"/>
      <c r="J10" s="64"/>
      <c r="K10" s="3"/>
      <c r="L10" s="63"/>
      <c r="M10" s="3"/>
      <c r="N10" s="3"/>
    </row>
    <row r="11" spans="2:14">
      <c r="B11" s="3"/>
      <c r="C11" s="75"/>
      <c r="D11" s="6"/>
      <c r="E11" s="3"/>
      <c r="F11" s="66"/>
      <c r="G11" s="92"/>
      <c r="H11" s="93"/>
      <c r="I11" s="47"/>
      <c r="J11" s="64"/>
      <c r="K11" s="3"/>
      <c r="L11" s="72"/>
      <c r="M11" s="77"/>
      <c r="N11" s="3"/>
    </row>
    <row r="12" spans="2:14">
      <c r="B12" s="3"/>
      <c r="C12" s="3"/>
      <c r="D12" s="6"/>
      <c r="E12" s="3"/>
      <c r="F12" s="66"/>
      <c r="G12" s="92"/>
      <c r="H12" s="93"/>
      <c r="I12" s="47"/>
      <c r="J12" s="64"/>
      <c r="K12" s="3"/>
      <c r="L12" s="61"/>
      <c r="M12" s="77"/>
      <c r="N12" s="3"/>
    </row>
    <row r="13" spans="2:14">
      <c r="B13" s="3"/>
      <c r="C13" s="55"/>
      <c r="D13" s="6"/>
      <c r="E13" s="3"/>
      <c r="F13" s="66"/>
      <c r="G13" s="92"/>
      <c r="H13" s="93"/>
      <c r="I13" s="47"/>
      <c r="J13" s="64"/>
      <c r="K13" s="3"/>
      <c r="L13" s="3"/>
      <c r="M13" s="3"/>
      <c r="N13" s="3"/>
    </row>
    <row r="14" spans="2:14">
      <c r="B14" s="24"/>
      <c r="C14" s="24"/>
      <c r="D14" s="25"/>
      <c r="E14" s="3"/>
      <c r="F14" s="65"/>
      <c r="G14" s="8"/>
      <c r="H14" s="3"/>
      <c r="I14" s="47"/>
      <c r="J14" s="24"/>
      <c r="K14" s="3"/>
      <c r="L14" s="3"/>
      <c r="M14" s="3"/>
      <c r="N14" s="3"/>
    </row>
    <row r="15" spans="2:14">
      <c r="B15" s="3"/>
      <c r="C15" s="101"/>
      <c r="D15" s="6"/>
      <c r="E15" s="47"/>
      <c r="F15" s="61"/>
      <c r="G15" s="3"/>
      <c r="H15" s="3"/>
      <c r="I15" s="3"/>
      <c r="J15" s="3"/>
      <c r="K15" s="3"/>
      <c r="L15" s="3"/>
      <c r="M15" s="3"/>
      <c r="N15" s="3"/>
    </row>
    <row r="16" spans="2:14">
      <c r="B16" s="3"/>
      <c r="C16" s="3"/>
      <c r="D16" s="6"/>
      <c r="E16" s="47"/>
      <c r="F16" s="72"/>
      <c r="G16" s="73"/>
      <c r="H16" s="45"/>
      <c r="I16" s="3"/>
      <c r="J16" s="3"/>
      <c r="K16" s="3"/>
      <c r="L16" s="3"/>
      <c r="M16" s="3"/>
      <c r="N16" s="3"/>
    </row>
    <row r="17" spans="2:14">
      <c r="B17" s="3"/>
      <c r="C17" s="70"/>
      <c r="D17" s="6"/>
      <c r="E17" s="47"/>
      <c r="F17" s="61"/>
      <c r="G17" s="73"/>
      <c r="H17" s="3"/>
      <c r="I17" s="3"/>
      <c r="J17" s="3"/>
      <c r="K17" s="3"/>
      <c r="L17" s="3"/>
      <c r="M17" s="3"/>
      <c r="N17" s="3"/>
    </row>
    <row r="18" spans="2:14">
      <c r="B18" s="3"/>
      <c r="C18" s="3"/>
      <c r="D18" s="25"/>
      <c r="E18" s="47"/>
      <c r="F18" s="61"/>
      <c r="G18" s="3"/>
      <c r="H18" s="3"/>
      <c r="I18" s="3"/>
      <c r="J18" s="3"/>
      <c r="K18" s="3"/>
      <c r="L18" s="3"/>
      <c r="M18" s="3"/>
      <c r="N18" s="3"/>
    </row>
    <row r="19" spans="2:14">
      <c r="B19" s="24"/>
      <c r="C19" s="24"/>
      <c r="D19" s="6"/>
      <c r="E19" s="47"/>
      <c r="F19" s="61"/>
      <c r="G19" s="3"/>
      <c r="H19" s="3"/>
      <c r="I19" s="3"/>
      <c r="J19" s="3"/>
      <c r="K19" s="3"/>
      <c r="L19" s="3"/>
      <c r="M19" s="3"/>
      <c r="N19" s="3"/>
    </row>
    <row r="20" spans="2:14">
      <c r="B20" s="3"/>
      <c r="C20" s="3"/>
      <c r="D20" s="6"/>
      <c r="E20" s="94"/>
      <c r="F20" s="96"/>
      <c r="G20" s="96"/>
      <c r="H20" s="96"/>
      <c r="I20" s="96"/>
      <c r="J20" s="96"/>
      <c r="K20" s="96"/>
      <c r="L20" s="3"/>
      <c r="M20" s="3"/>
      <c r="N20" s="3"/>
    </row>
    <row r="21" spans="2:14">
      <c r="B21" s="3"/>
      <c r="C21" s="3"/>
      <c r="D21" s="6"/>
      <c r="E21" s="84"/>
      <c r="F21" s="97"/>
      <c r="G21" s="8"/>
      <c r="H21" s="8"/>
      <c r="I21" s="8"/>
      <c r="J21" s="8"/>
      <c r="K21" s="8"/>
      <c r="L21" s="3"/>
      <c r="M21" s="3"/>
      <c r="N21" s="3"/>
    </row>
    <row r="22" spans="2:14">
      <c r="B22" s="3"/>
      <c r="C22" s="3"/>
      <c r="D22" s="6"/>
      <c r="E22" s="47"/>
      <c r="F22" s="62"/>
      <c r="G22" s="62"/>
      <c r="H22" s="62"/>
      <c r="I22" s="85"/>
      <c r="J22" s="61"/>
      <c r="K22" s="62"/>
      <c r="L22" s="3"/>
      <c r="M22" s="3"/>
      <c r="N22" s="3"/>
    </row>
    <row r="23" spans="2:14">
      <c r="B23" s="24"/>
      <c r="C23" s="24"/>
      <c r="D23" s="25"/>
      <c r="E23" s="47"/>
      <c r="F23" s="3"/>
      <c r="G23" s="3"/>
      <c r="H23" s="3"/>
      <c r="I23" s="3"/>
      <c r="J23" s="3"/>
      <c r="K23" s="3"/>
      <c r="L23" s="98"/>
      <c r="M23" s="3"/>
      <c r="N23" s="3"/>
    </row>
    <row r="24" spans="2:14">
      <c r="B24" s="3"/>
      <c r="C24" s="3"/>
      <c r="D24" s="6"/>
      <c r="E24" s="47"/>
      <c r="F24" s="3"/>
      <c r="G24" s="3"/>
      <c r="H24" s="3"/>
      <c r="I24" s="3"/>
      <c r="J24" s="3"/>
      <c r="K24" s="3"/>
      <c r="L24" s="3"/>
      <c r="M24" s="3"/>
      <c r="N24" s="3"/>
    </row>
    <row r="25" spans="2:14">
      <c r="B25" s="3"/>
      <c r="C25" s="3"/>
      <c r="D25" s="6"/>
      <c r="E25" s="6"/>
      <c r="F25" s="62"/>
      <c r="G25" s="3"/>
      <c r="H25" s="72"/>
      <c r="I25" s="73"/>
      <c r="J25" s="3"/>
      <c r="K25" s="3"/>
      <c r="L25" s="3"/>
      <c r="M25" s="3"/>
      <c r="N25" s="3"/>
    </row>
    <row r="26" spans="2:14">
      <c r="B26" s="3"/>
      <c r="C26" s="3"/>
      <c r="D26" s="6"/>
      <c r="E26" s="25"/>
      <c r="F26" s="46"/>
      <c r="G26" s="3"/>
      <c r="H26" s="61"/>
      <c r="I26" s="73"/>
      <c r="J26" s="3"/>
      <c r="K26" s="3"/>
      <c r="L26" s="99"/>
      <c r="M26" s="3"/>
      <c r="N26" s="3"/>
    </row>
    <row r="27" spans="2:14">
      <c r="B27" s="3"/>
      <c r="C27" s="3"/>
      <c r="D27" s="25"/>
      <c r="E27" s="24"/>
      <c r="F27" s="100"/>
      <c r="G27" s="3"/>
      <c r="H27" s="3"/>
      <c r="I27" s="3"/>
      <c r="J27" s="3"/>
      <c r="K27" s="3"/>
      <c r="L27" s="3"/>
      <c r="M27" s="3"/>
      <c r="N27" s="3"/>
    </row>
    <row r="28" spans="2:14">
      <c r="B28" s="3"/>
      <c r="C28" s="3"/>
      <c r="D28" s="8"/>
      <c r="E28" s="24"/>
      <c r="F28" s="100"/>
      <c r="G28" s="3"/>
      <c r="H28" s="3"/>
      <c r="I28" s="3"/>
      <c r="J28" s="3"/>
      <c r="K28" s="3"/>
      <c r="L28" s="3"/>
      <c r="M28" s="3"/>
      <c r="N28" s="3"/>
    </row>
    <row r="29" spans="2:14">
      <c r="B29" s="3"/>
      <c r="C29" s="3"/>
      <c r="D29" s="3"/>
      <c r="E29" s="3"/>
      <c r="F29" s="62"/>
      <c r="G29" s="3"/>
      <c r="H29" s="3"/>
      <c r="I29" s="3"/>
      <c r="J29" s="3"/>
      <c r="K29" s="3"/>
      <c r="L29" s="3"/>
      <c r="M29" s="3"/>
      <c r="N29" s="3"/>
    </row>
    <row r="30" spans="2:14">
      <c r="B30" s="3"/>
      <c r="C30" s="3"/>
      <c r="D30" s="3"/>
      <c r="E30" s="3"/>
      <c r="F30" s="62"/>
    </row>
    <row r="31" spans="2:14">
      <c r="D31" s="3"/>
      <c r="E31" s="3"/>
      <c r="F31" s="62"/>
    </row>
    <row r="32" spans="2:14">
      <c r="D32" s="3"/>
      <c r="E32" s="3"/>
      <c r="F32" s="62"/>
    </row>
    <row r="33" spans="4:6">
      <c r="D33" s="3"/>
      <c r="E33" s="3"/>
      <c r="F33" s="62"/>
    </row>
    <row r="34" spans="4:6">
      <c r="D34" s="3"/>
      <c r="E34" s="3"/>
      <c r="F34" s="62"/>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4"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7" t="s">
        <v>211</v>
      </c>
      <c r="E1" s="3"/>
      <c r="F1" s="62"/>
      <c r="G1" s="3"/>
      <c r="H1" s="3"/>
      <c r="I1" s="3"/>
      <c r="J1" s="3"/>
      <c r="K1" s="3"/>
      <c r="L1" s="3"/>
      <c r="M1" s="3"/>
      <c r="N1" s="3"/>
    </row>
    <row r="2" spans="2:14">
      <c r="E2" s="3"/>
      <c r="F2" s="62"/>
      <c r="G2" s="3"/>
      <c r="H2" s="3"/>
      <c r="I2" s="3"/>
      <c r="J2" s="3"/>
      <c r="K2" s="3"/>
      <c r="L2" s="3"/>
      <c r="M2" s="3"/>
      <c r="N2" s="3"/>
    </row>
    <row r="3" spans="2:14">
      <c r="B3" s="3"/>
      <c r="C3" s="74"/>
      <c r="D3" s="23"/>
      <c r="E3" s="47"/>
      <c r="F3" s="95"/>
      <c r="G3" s="91"/>
      <c r="H3" s="87"/>
      <c r="I3" s="87"/>
      <c r="J3" s="87"/>
      <c r="K3" s="3"/>
      <c r="L3" s="96"/>
      <c r="M3" s="87"/>
      <c r="N3" s="3"/>
    </row>
    <row r="4" spans="2:14">
      <c r="C4" s="102"/>
      <c r="D4" s="6"/>
      <c r="E4" s="3"/>
      <c r="F4" s="66"/>
      <c r="G4" s="92"/>
      <c r="H4" s="93"/>
      <c r="I4" s="47"/>
      <c r="J4" s="64"/>
      <c r="K4" s="3"/>
      <c r="L4" s="65"/>
      <c r="M4" s="76"/>
      <c r="N4" s="3"/>
    </row>
    <row r="5" spans="2:14">
      <c r="D5" s="6"/>
      <c r="E5" s="3"/>
      <c r="F5" s="66"/>
      <c r="G5" s="92"/>
      <c r="H5" s="93"/>
      <c r="I5" s="47"/>
      <c r="J5" s="64"/>
      <c r="K5" s="3"/>
      <c r="L5" s="65"/>
      <c r="M5" s="76"/>
      <c r="N5" s="3"/>
    </row>
    <row r="6" spans="2:14">
      <c r="C6" s="69"/>
      <c r="D6" s="25"/>
      <c r="E6" s="3"/>
      <c r="F6" s="66"/>
      <c r="G6" s="92"/>
      <c r="H6" s="93"/>
      <c r="I6" s="47"/>
      <c r="J6" s="64"/>
      <c r="K6" s="3"/>
      <c r="L6" s="65"/>
      <c r="M6" s="76"/>
      <c r="N6" s="3"/>
    </row>
    <row r="7" spans="2:14">
      <c r="C7" s="70"/>
      <c r="D7" s="6"/>
      <c r="E7" s="3"/>
      <c r="F7" s="66"/>
      <c r="G7" s="92"/>
      <c r="H7" s="93"/>
      <c r="I7" s="47"/>
      <c r="J7" s="64"/>
      <c r="K7" s="3"/>
      <c r="L7" s="65"/>
      <c r="M7" s="76"/>
      <c r="N7" s="3"/>
    </row>
    <row r="8" spans="2:14">
      <c r="C8" s="46"/>
      <c r="D8" s="6"/>
      <c r="E8" s="3"/>
      <c r="F8" s="66"/>
      <c r="G8" s="92"/>
      <c r="H8" s="93"/>
      <c r="I8" s="47"/>
      <c r="J8" s="64"/>
      <c r="K8" s="3"/>
      <c r="L8" s="65"/>
      <c r="M8" s="76"/>
      <c r="N8" s="3"/>
    </row>
    <row r="9" spans="2:14">
      <c r="B9" s="3"/>
      <c r="C9" s="74"/>
      <c r="D9" s="6"/>
      <c r="E9" s="3"/>
      <c r="F9" s="66"/>
      <c r="G9" s="92"/>
      <c r="H9" s="93"/>
      <c r="I9" s="47"/>
      <c r="J9" s="64"/>
      <c r="K9" s="3"/>
      <c r="L9" s="65"/>
      <c r="M9" s="76"/>
      <c r="N9" s="3"/>
    </row>
    <row r="10" spans="2:14">
      <c r="B10" s="3"/>
      <c r="C10" s="74"/>
      <c r="D10" s="6"/>
      <c r="E10" s="3"/>
      <c r="F10" s="66"/>
      <c r="G10" s="92"/>
      <c r="H10" s="93"/>
      <c r="I10" s="47"/>
      <c r="J10" s="64"/>
      <c r="K10" s="3"/>
      <c r="L10" s="63"/>
      <c r="M10" s="3"/>
      <c r="N10" s="3"/>
    </row>
    <row r="11" spans="2:14">
      <c r="B11" s="3"/>
      <c r="C11" s="75"/>
      <c r="D11" s="6"/>
      <c r="E11" s="3"/>
      <c r="F11" s="66"/>
      <c r="G11" s="92"/>
      <c r="H11" s="93"/>
      <c r="I11" s="47"/>
      <c r="J11" s="64"/>
      <c r="K11" s="3"/>
      <c r="L11" s="72"/>
      <c r="M11" s="77"/>
      <c r="N11" s="3"/>
    </row>
    <row r="12" spans="2:14">
      <c r="B12" s="3"/>
      <c r="C12" s="3"/>
      <c r="D12" s="6"/>
      <c r="E12" s="3"/>
      <c r="F12" s="66"/>
      <c r="G12" s="92"/>
      <c r="H12" s="93"/>
      <c r="I12" s="47"/>
      <c r="J12" s="64"/>
      <c r="K12" s="3"/>
      <c r="L12" s="61"/>
      <c r="M12" s="77"/>
      <c r="N12" s="3"/>
    </row>
    <row r="13" spans="2:14">
      <c r="B13" s="3"/>
      <c r="C13" s="55"/>
      <c r="D13" s="6"/>
      <c r="E13" s="3"/>
      <c r="F13" s="66"/>
      <c r="G13" s="92"/>
      <c r="H13" s="93"/>
      <c r="I13" s="47"/>
      <c r="J13" s="64"/>
      <c r="K13" s="3"/>
      <c r="L13" s="3"/>
      <c r="M13" s="3"/>
      <c r="N13" s="3"/>
    </row>
    <row r="14" spans="2:14">
      <c r="B14" s="24"/>
      <c r="C14" s="24"/>
      <c r="D14" s="25"/>
      <c r="E14" s="3"/>
      <c r="F14" s="65"/>
      <c r="G14" s="8"/>
      <c r="H14" s="3"/>
      <c r="I14" s="47"/>
      <c r="J14" s="24"/>
      <c r="K14" s="3"/>
      <c r="L14" s="3"/>
      <c r="M14" s="3"/>
      <c r="N14" s="3"/>
    </row>
    <row r="15" spans="2:14">
      <c r="B15" s="3"/>
      <c r="C15" s="101"/>
      <c r="D15" s="6"/>
      <c r="E15" s="47"/>
      <c r="F15" s="61"/>
      <c r="G15" s="3"/>
      <c r="H15" s="3"/>
      <c r="I15" s="3"/>
      <c r="J15" s="3"/>
      <c r="K15" s="3"/>
      <c r="L15" s="3"/>
      <c r="M15" s="3"/>
      <c r="N15" s="3"/>
    </row>
    <row r="16" spans="2:14">
      <c r="B16" s="3"/>
      <c r="C16" s="3"/>
      <c r="D16" s="6"/>
      <c r="E16" s="47"/>
      <c r="F16" s="72"/>
      <c r="G16" s="73"/>
      <c r="H16" s="45"/>
      <c r="I16" s="3"/>
      <c r="J16" s="3"/>
      <c r="K16" s="3"/>
      <c r="L16" s="3"/>
      <c r="M16" s="3"/>
      <c r="N16" s="3"/>
    </row>
    <row r="17" spans="2:14">
      <c r="B17" s="3"/>
      <c r="C17" s="70"/>
      <c r="D17" s="6"/>
      <c r="E17" s="47"/>
      <c r="F17" s="61"/>
      <c r="G17" s="73"/>
      <c r="H17" s="3"/>
      <c r="I17" s="3"/>
      <c r="J17" s="3"/>
      <c r="K17" s="3"/>
      <c r="L17" s="3"/>
      <c r="M17" s="3"/>
      <c r="N17" s="3"/>
    </row>
    <row r="18" spans="2:14">
      <c r="B18" s="3"/>
      <c r="C18" s="3"/>
      <c r="D18" s="25"/>
      <c r="E18" s="47"/>
      <c r="F18" s="61"/>
      <c r="G18" s="3"/>
      <c r="H18" s="3"/>
      <c r="I18" s="3"/>
      <c r="J18" s="3"/>
      <c r="K18" s="3"/>
      <c r="L18" s="3"/>
      <c r="M18" s="3"/>
      <c r="N18" s="3"/>
    </row>
    <row r="19" spans="2:14">
      <c r="B19" s="24"/>
      <c r="C19" s="24"/>
      <c r="D19" s="6"/>
      <c r="E19" s="47"/>
      <c r="F19" s="61"/>
      <c r="G19" s="3"/>
      <c r="H19" s="3"/>
      <c r="I19" s="3"/>
      <c r="J19" s="3"/>
      <c r="K19" s="3"/>
      <c r="L19" s="3"/>
      <c r="M19" s="3"/>
      <c r="N19" s="3"/>
    </row>
    <row r="20" spans="2:14">
      <c r="B20" s="3"/>
      <c r="C20" s="3"/>
      <c r="D20" s="6"/>
      <c r="E20" s="94"/>
      <c r="F20" s="96"/>
      <c r="G20" s="96"/>
      <c r="H20" s="96"/>
      <c r="I20" s="96"/>
      <c r="J20" s="96"/>
      <c r="K20" s="96"/>
      <c r="L20" s="3"/>
      <c r="M20" s="3"/>
      <c r="N20" s="3"/>
    </row>
    <row r="21" spans="2:14">
      <c r="B21" s="3"/>
      <c r="C21" s="3"/>
      <c r="D21" s="6"/>
      <c r="E21" s="84"/>
      <c r="F21" s="97"/>
      <c r="G21" s="8"/>
      <c r="H21" s="8"/>
      <c r="I21" s="8"/>
      <c r="J21" s="8"/>
      <c r="K21" s="8"/>
      <c r="L21" s="3"/>
      <c r="M21" s="3"/>
      <c r="N21" s="3"/>
    </row>
    <row r="22" spans="2:14">
      <c r="B22" s="3"/>
      <c r="C22" s="3"/>
      <c r="D22" s="6"/>
      <c r="E22" s="47"/>
      <c r="F22" s="62"/>
      <c r="G22" s="62"/>
      <c r="H22" s="62"/>
      <c r="I22" s="85"/>
      <c r="J22" s="61"/>
      <c r="K22" s="62"/>
      <c r="L22" s="3"/>
      <c r="M22" s="3"/>
      <c r="N22" s="3"/>
    </row>
    <row r="23" spans="2:14">
      <c r="B23" s="24"/>
      <c r="C23" s="24"/>
      <c r="D23" s="25"/>
      <c r="E23" s="47"/>
      <c r="F23" s="3"/>
      <c r="G23" s="3"/>
      <c r="H23" s="3"/>
      <c r="I23" s="3"/>
      <c r="J23" s="3"/>
      <c r="K23" s="3"/>
      <c r="L23" s="98"/>
      <c r="M23" s="3"/>
      <c r="N23" s="3"/>
    </row>
    <row r="24" spans="2:14">
      <c r="B24" s="3"/>
      <c r="C24" s="3"/>
      <c r="D24" s="6"/>
      <c r="E24" s="47"/>
      <c r="F24" s="3"/>
      <c r="G24" s="3"/>
      <c r="H24" s="3"/>
      <c r="I24" s="3"/>
      <c r="J24" s="3"/>
      <c r="K24" s="3"/>
      <c r="L24" s="3"/>
      <c r="M24" s="3"/>
      <c r="N24" s="3"/>
    </row>
    <row r="25" spans="2:14">
      <c r="B25" s="3"/>
      <c r="C25" s="3"/>
      <c r="D25" s="6"/>
      <c r="E25" s="6"/>
      <c r="F25" s="62"/>
      <c r="G25" s="3"/>
      <c r="H25" s="72"/>
      <c r="I25" s="73"/>
      <c r="J25" s="3"/>
      <c r="K25" s="3"/>
      <c r="L25" s="3"/>
      <c r="M25" s="3"/>
      <c r="N25" s="3"/>
    </row>
    <row r="26" spans="2:14">
      <c r="B26" s="3"/>
      <c r="C26" s="3"/>
      <c r="D26" s="6"/>
      <c r="E26" s="25"/>
      <c r="F26" s="46"/>
      <c r="G26" s="3"/>
      <c r="H26" s="61"/>
      <c r="I26" s="73"/>
      <c r="J26" s="3"/>
      <c r="K26" s="3"/>
      <c r="L26" s="99"/>
      <c r="M26" s="3"/>
      <c r="N26" s="3"/>
    </row>
    <row r="27" spans="2:14">
      <c r="B27" s="3"/>
      <c r="C27" s="3"/>
      <c r="D27" s="25"/>
      <c r="E27" s="24"/>
      <c r="F27" s="100"/>
      <c r="G27" s="3"/>
      <c r="H27" s="3"/>
      <c r="I27" s="3"/>
      <c r="J27" s="3"/>
      <c r="K27" s="3"/>
      <c r="L27" s="3"/>
      <c r="M27" s="3"/>
      <c r="N27" s="3"/>
    </row>
    <row r="28" spans="2:14">
      <c r="B28" s="3"/>
      <c r="C28" s="3"/>
      <c r="D28" s="8"/>
      <c r="E28" s="24"/>
      <c r="F28" s="100"/>
      <c r="G28" s="3"/>
      <c r="H28" s="3"/>
      <c r="I28" s="3"/>
      <c r="J28" s="3"/>
      <c r="K28" s="3"/>
      <c r="L28" s="3"/>
      <c r="M28" s="3"/>
      <c r="N28" s="3"/>
    </row>
    <row r="29" spans="2:14">
      <c r="B29" s="3"/>
      <c r="C29" s="3"/>
      <c r="D29" s="3"/>
      <c r="E29" s="3"/>
      <c r="F29" s="62"/>
      <c r="G29" s="3"/>
      <c r="H29" s="3"/>
      <c r="I29" s="3"/>
      <c r="J29" s="3"/>
      <c r="K29" s="3"/>
      <c r="L29" s="3"/>
      <c r="M29" s="3"/>
      <c r="N29" s="3"/>
    </row>
    <row r="30" spans="2:14">
      <c r="B30" s="3"/>
      <c r="C30" s="3"/>
      <c r="D30" s="3"/>
      <c r="E30" s="3"/>
      <c r="F30" s="62"/>
    </row>
    <row r="31" spans="2:14">
      <c r="D31" s="3"/>
      <c r="E31" s="3"/>
      <c r="F31" s="62"/>
    </row>
    <row r="32" spans="2:14">
      <c r="D32" s="3"/>
      <c r="E32" s="3"/>
      <c r="F32" s="62"/>
    </row>
    <row r="33" spans="4:6">
      <c r="D33" s="3"/>
      <c r="E33" s="3"/>
      <c r="F33" s="62"/>
    </row>
    <row r="34" spans="4:6">
      <c r="D34" s="3"/>
      <c r="E34" s="3"/>
      <c r="F34" s="62"/>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8.28515625" style="1" customWidth="1"/>
    <col min="3" max="3" width="29.7109375" style="1" customWidth="1"/>
    <col min="4" max="4" width="9.140625" style="1" customWidth="1"/>
    <col min="5" max="16384" width="9.140625" style="1"/>
  </cols>
  <sheetData>
    <row r="1" spans="2:3" ht="15.75">
      <c r="B1" s="36" t="s">
        <v>65</v>
      </c>
      <c r="C1" s="10"/>
    </row>
    <row r="2" spans="2:3">
      <c r="B2" s="37"/>
      <c r="C2" s="10"/>
    </row>
    <row r="3" spans="2:3">
      <c r="B3" s="10"/>
      <c r="C3" s="10"/>
    </row>
    <row r="4" spans="2:3">
      <c r="B4" s="60" t="s">
        <v>0</v>
      </c>
      <c r="C4" s="60" t="s">
        <v>1</v>
      </c>
    </row>
    <row r="5" spans="2:3">
      <c r="B5" s="40">
        <v>1</v>
      </c>
      <c r="C5" s="41" t="s">
        <v>8</v>
      </c>
    </row>
    <row r="6" spans="2:3">
      <c r="B6" s="38">
        <f>B5+1</f>
        <v>2</v>
      </c>
      <c r="C6" s="39" t="s">
        <v>11</v>
      </c>
    </row>
    <row r="7" spans="2:3">
      <c r="B7" s="38">
        <f t="shared" ref="B7:B29" si="0">B6+1</f>
        <v>3</v>
      </c>
      <c r="C7" s="39" t="s">
        <v>303</v>
      </c>
    </row>
    <row r="8" spans="2:3">
      <c r="B8" s="38">
        <f t="shared" si="0"/>
        <v>4</v>
      </c>
      <c r="C8" s="39" t="s">
        <v>7</v>
      </c>
    </row>
    <row r="9" spans="2:3">
      <c r="B9" s="38">
        <f t="shared" si="0"/>
        <v>5</v>
      </c>
      <c r="C9" s="39" t="s">
        <v>54</v>
      </c>
    </row>
    <row r="10" spans="2:3">
      <c r="B10" s="38">
        <f t="shared" si="0"/>
        <v>6</v>
      </c>
      <c r="C10" s="39" t="s">
        <v>6</v>
      </c>
    </row>
    <row r="11" spans="2:3">
      <c r="B11" s="38">
        <f t="shared" si="0"/>
        <v>7</v>
      </c>
      <c r="C11" s="41" t="s">
        <v>64</v>
      </c>
    </row>
    <row r="12" spans="2:3">
      <c r="B12" s="38">
        <f t="shared" si="0"/>
        <v>8</v>
      </c>
      <c r="C12" s="39" t="s">
        <v>172</v>
      </c>
    </row>
    <row r="13" spans="2:3">
      <c r="B13" s="38">
        <f t="shared" si="0"/>
        <v>9</v>
      </c>
      <c r="C13" s="39" t="s">
        <v>150</v>
      </c>
    </row>
    <row r="14" spans="2:3">
      <c r="B14" s="38">
        <f t="shared" si="0"/>
        <v>10</v>
      </c>
      <c r="C14" s="39" t="s">
        <v>175</v>
      </c>
    </row>
    <row r="15" spans="2:3">
      <c r="B15" s="38">
        <f t="shared" si="0"/>
        <v>11</v>
      </c>
      <c r="C15" s="39" t="s">
        <v>149</v>
      </c>
    </row>
    <row r="16" spans="2:3">
      <c r="B16" s="38">
        <f t="shared" si="0"/>
        <v>12</v>
      </c>
      <c r="C16" s="39" t="s">
        <v>71</v>
      </c>
    </row>
    <row r="17" spans="2:3">
      <c r="B17" s="38">
        <f t="shared" si="0"/>
        <v>13</v>
      </c>
      <c r="C17" s="39" t="s">
        <v>88</v>
      </c>
    </row>
    <row r="18" spans="2:3">
      <c r="B18" s="38">
        <f t="shared" si="0"/>
        <v>14</v>
      </c>
      <c r="C18" s="41" t="s">
        <v>105</v>
      </c>
    </row>
    <row r="19" spans="2:3">
      <c r="B19" s="38">
        <f t="shared" si="0"/>
        <v>15</v>
      </c>
      <c r="C19" s="39" t="s">
        <v>102</v>
      </c>
    </row>
    <row r="20" spans="2:3">
      <c r="B20" s="38">
        <f t="shared" si="0"/>
        <v>16</v>
      </c>
      <c r="C20" s="39" t="s">
        <v>103</v>
      </c>
    </row>
    <row r="21" spans="2:3">
      <c r="B21" s="38">
        <f t="shared" si="0"/>
        <v>17</v>
      </c>
      <c r="C21" s="39" t="s">
        <v>104</v>
      </c>
    </row>
    <row r="22" spans="2:3">
      <c r="B22" s="38">
        <f t="shared" si="0"/>
        <v>18</v>
      </c>
      <c r="C22" s="41" t="s">
        <v>148</v>
      </c>
    </row>
    <row r="23" spans="2:3">
      <c r="B23" s="38">
        <f t="shared" si="0"/>
        <v>19</v>
      </c>
      <c r="C23" s="39" t="s">
        <v>132</v>
      </c>
    </row>
    <row r="24" spans="2:3">
      <c r="B24" s="38">
        <f t="shared" si="0"/>
        <v>20</v>
      </c>
      <c r="C24" s="39" t="s">
        <v>195</v>
      </c>
    </row>
    <row r="25" spans="2:3">
      <c r="B25" s="38">
        <f t="shared" si="0"/>
        <v>21</v>
      </c>
      <c r="C25" s="39" t="s">
        <v>297</v>
      </c>
    </row>
    <row r="26" spans="2:3">
      <c r="B26" s="38">
        <f t="shared" si="0"/>
        <v>22</v>
      </c>
      <c r="C26" s="39" t="s">
        <v>343</v>
      </c>
    </row>
    <row r="27" spans="2:3">
      <c r="B27" s="38">
        <f t="shared" si="0"/>
        <v>23</v>
      </c>
      <c r="C27" s="39" t="s">
        <v>147</v>
      </c>
    </row>
    <row r="28" spans="2:3">
      <c r="B28" s="38">
        <f t="shared" si="0"/>
        <v>24</v>
      </c>
      <c r="C28" s="41" t="s">
        <v>341</v>
      </c>
    </row>
    <row r="29" spans="2:3">
      <c r="B29" s="38">
        <f t="shared" si="0"/>
        <v>25</v>
      </c>
      <c r="C29" s="39" t="s">
        <v>307</v>
      </c>
    </row>
  </sheetData>
  <hyperlinks>
    <hyperlink ref="C19" location="'Expected Growth Rate'!A1" display="Expected Growth Rate"/>
    <hyperlink ref="C20" location="'Future Cashflows (10 Yrs)'!A1" display="Future Cash Flows (10 Yrs)"/>
    <hyperlink ref="C21" location="'Terminal Value'!A1" display="Terminal Value"/>
    <hyperlink ref="C23" location="'Cash &amp; Marketable Securities'!A1" display="Cash and Marketable Securities"/>
    <hyperlink ref="C8" location="Beta!A1" display="Beta"/>
    <hyperlink ref="C10" location="WACC!A1" display="WACC"/>
    <hyperlink ref="C9" location="'Cost of Equity &amp; Debt'!A1" display="Cost of Equity &amp; Debt"/>
    <hyperlink ref="C6" location="'Risk Free Rate'!A1" display="Risk Free Rate"/>
    <hyperlink ref="C27" location="'Fair Value of Share'!A1" display="Fair Value of Share"/>
    <hyperlink ref="C12" location="Numbers!A1" display="Numbers"/>
    <hyperlink ref="C15" location="'Net CapEx'!A1" display="Reinvestment (Net CapEx)"/>
    <hyperlink ref="C16" location="'Working Capital Changes'!A1" display="Working Capital Changes"/>
    <hyperlink ref="C17" location="'FCFF &amp; FCFE'!A1" display="FCFE &amp; FCFF"/>
    <hyperlink ref="C13" location="'EBIT &amp; Advertising Expense'!A1" display="EBIT &amp; Advertising Expense"/>
    <hyperlink ref="C14" location="'EBIT &amp; Operating Leases'!A1" display="EBIT &amp; Operating Lease"/>
    <hyperlink ref="C7" location="'Carvana ERP'!A1" display="Carvana's ERP"/>
    <hyperlink ref="C24" location="'Future Value (Equity Options)'!A1" display="Future Value of Equity Options"/>
    <hyperlink ref="C25" location="'Future Value (Restricted Stock)'!A1" display="Future Value of Restricted Stock"/>
    <hyperlink ref="C29" location="'Equity as an Option'!A1" display="Equity as an Option"/>
    <hyperlink ref="C26" location="'Probability of Default'!A1" display="Probability of Default"/>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3.8554687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7" t="s">
        <v>11</v>
      </c>
    </row>
    <row r="3" spans="2:13">
      <c r="B3" s="19" t="s">
        <v>11</v>
      </c>
      <c r="C3" s="52">
        <f>C5-C7</f>
        <v>3.8289999999999998E-2</v>
      </c>
      <c r="D3" s="23"/>
      <c r="E3" s="48" t="s">
        <v>35</v>
      </c>
      <c r="F3" s="49" t="s">
        <v>36</v>
      </c>
      <c r="I3" s="3"/>
      <c r="J3" s="3"/>
      <c r="K3" s="3"/>
    </row>
    <row r="4" spans="2:13">
      <c r="B4" s="19"/>
      <c r="C4" s="19"/>
      <c r="D4" s="6"/>
      <c r="E4" s="48" t="s">
        <v>20</v>
      </c>
      <c r="F4" s="13">
        <v>0</v>
      </c>
      <c r="I4" s="3"/>
      <c r="J4" s="3"/>
      <c r="K4" s="3"/>
    </row>
    <row r="5" spans="2:13">
      <c r="B5" s="19" t="s">
        <v>212</v>
      </c>
      <c r="C5" s="53">
        <v>3.8289999999999998E-2</v>
      </c>
      <c r="D5" s="6"/>
      <c r="E5" s="48" t="s">
        <v>21</v>
      </c>
      <c r="F5" s="13">
        <v>3.3999999999999998E-3</v>
      </c>
      <c r="I5" s="3"/>
      <c r="J5" s="3"/>
      <c r="K5" s="3"/>
      <c r="M5" s="3"/>
    </row>
    <row r="6" spans="2:13">
      <c r="B6" s="19" t="s">
        <v>213</v>
      </c>
      <c r="C6" s="54" t="str">
        <f>E4</f>
        <v>Aaa</v>
      </c>
      <c r="D6" s="25"/>
      <c r="E6" s="48" t="s">
        <v>14</v>
      </c>
      <c r="F6" s="13">
        <v>4.1999999999999997E-3</v>
      </c>
      <c r="I6" s="3"/>
      <c r="J6" s="3"/>
      <c r="K6" s="3"/>
    </row>
    <row r="7" spans="2:13">
      <c r="B7" s="19" t="s">
        <v>13</v>
      </c>
      <c r="C7" s="51">
        <f>VLOOKUP(C6,$E$3:$F$24,2,0)</f>
        <v>0</v>
      </c>
      <c r="D7" s="6"/>
      <c r="E7" s="48" t="s">
        <v>25</v>
      </c>
      <c r="F7" s="13">
        <v>5.1000000000000004E-3</v>
      </c>
      <c r="I7" s="3"/>
      <c r="J7" s="3"/>
      <c r="K7" s="3"/>
    </row>
    <row r="8" spans="2:13">
      <c r="B8" s="19"/>
      <c r="C8" s="19"/>
      <c r="D8" s="6"/>
      <c r="E8" s="48" t="s">
        <v>30</v>
      </c>
      <c r="F8" s="46">
        <v>6.0000000000000001E-3</v>
      </c>
      <c r="I8" s="3"/>
      <c r="J8" s="3"/>
      <c r="K8" s="3"/>
    </row>
    <row r="9" spans="2:13">
      <c r="B9" s="113" t="s">
        <v>37</v>
      </c>
      <c r="C9" s="89"/>
      <c r="D9" s="6"/>
      <c r="E9" s="48" t="s">
        <v>27</v>
      </c>
      <c r="F9" s="13">
        <v>7.1999999999999998E-3</v>
      </c>
      <c r="I9" s="3"/>
      <c r="J9" s="3"/>
      <c r="K9" s="3"/>
    </row>
    <row r="10" spans="2:13">
      <c r="D10" s="6"/>
      <c r="E10" s="48" t="s">
        <v>28</v>
      </c>
      <c r="F10" s="13">
        <v>1.0200000000000001E-2</v>
      </c>
      <c r="I10" s="3"/>
      <c r="J10" s="3"/>
      <c r="K10" s="3"/>
    </row>
    <row r="11" spans="2:13">
      <c r="B11" s="3"/>
      <c r="C11" s="3"/>
      <c r="D11" s="6"/>
      <c r="E11" s="48" t="s">
        <v>29</v>
      </c>
      <c r="F11" s="13">
        <v>1.3599999999999999E-2</v>
      </c>
      <c r="I11" s="3"/>
      <c r="J11" s="3"/>
      <c r="K11" s="3"/>
    </row>
    <row r="12" spans="2:13">
      <c r="B12" s="24"/>
      <c r="C12" s="3"/>
      <c r="D12" s="6"/>
      <c r="E12" s="48" t="s">
        <v>16</v>
      </c>
      <c r="F12" s="13">
        <v>1.6199999999999999E-2</v>
      </c>
      <c r="I12" s="3"/>
      <c r="J12" s="3"/>
      <c r="K12" s="3"/>
    </row>
    <row r="13" spans="2:13">
      <c r="B13" s="45"/>
      <c r="C13" s="3"/>
      <c r="D13" s="6"/>
      <c r="E13" s="48" t="s">
        <v>33</v>
      </c>
      <c r="F13" s="13">
        <v>1.8700000000000001E-2</v>
      </c>
    </row>
    <row r="14" spans="2:13">
      <c r="B14" s="45"/>
      <c r="C14" s="24"/>
      <c r="D14" s="25"/>
      <c r="E14" s="48" t="s">
        <v>32</v>
      </c>
      <c r="F14" s="13">
        <v>2.1299999999999999E-2</v>
      </c>
    </row>
    <row r="15" spans="2:13">
      <c r="B15" s="45"/>
      <c r="C15" s="3"/>
      <c r="D15" s="6"/>
      <c r="E15" s="48" t="s">
        <v>22</v>
      </c>
      <c r="F15" s="13">
        <v>2.5600000000000001E-2</v>
      </c>
    </row>
    <row r="16" spans="2:13">
      <c r="B16" s="45"/>
      <c r="C16" s="3"/>
      <c r="D16" s="6"/>
      <c r="E16" s="48" t="s">
        <v>19</v>
      </c>
      <c r="F16" s="13">
        <v>3.0599999999999999E-2</v>
      </c>
    </row>
    <row r="17" spans="2:9">
      <c r="B17" s="45"/>
      <c r="C17" s="3"/>
      <c r="D17" s="6"/>
      <c r="E17" s="48" t="s">
        <v>15</v>
      </c>
      <c r="F17" s="13">
        <v>3.8300000000000001E-2</v>
      </c>
    </row>
    <row r="18" spans="2:9">
      <c r="B18" s="45"/>
      <c r="C18" s="3"/>
      <c r="D18" s="25"/>
      <c r="E18" s="48" t="s">
        <v>23</v>
      </c>
      <c r="F18" s="13">
        <v>4.6800000000000001E-2</v>
      </c>
    </row>
    <row r="19" spans="2:9">
      <c r="B19" s="45"/>
      <c r="C19" s="24"/>
      <c r="D19" s="6"/>
      <c r="E19" s="48" t="s">
        <v>17</v>
      </c>
      <c r="F19" s="13">
        <v>5.5300000000000002E-2</v>
      </c>
    </row>
    <row r="20" spans="2:9">
      <c r="B20" s="45"/>
      <c r="C20" s="3"/>
      <c r="D20" s="6"/>
      <c r="E20" s="48" t="s">
        <v>24</v>
      </c>
      <c r="F20" s="13">
        <v>6.3799999999999996E-2</v>
      </c>
    </row>
    <row r="21" spans="2:9">
      <c r="B21" s="45"/>
      <c r="C21" s="3"/>
      <c r="D21" s="6"/>
      <c r="E21" s="48" t="s">
        <v>31</v>
      </c>
      <c r="F21" s="13">
        <v>7.6600000000000001E-2</v>
      </c>
    </row>
    <row r="22" spans="2:9">
      <c r="B22" s="3"/>
      <c r="C22" s="3"/>
      <c r="D22" s="6"/>
      <c r="E22" s="48" t="s">
        <v>26</v>
      </c>
      <c r="F22" s="13">
        <v>8.5099999999999995E-2</v>
      </c>
    </row>
    <row r="23" spans="2:9">
      <c r="B23" s="24"/>
      <c r="C23" s="24"/>
      <c r="D23" s="25"/>
      <c r="E23" s="48" t="s">
        <v>18</v>
      </c>
      <c r="F23" s="13">
        <v>0.1021</v>
      </c>
      <c r="I23" s="4"/>
    </row>
    <row r="24" spans="2:9">
      <c r="B24" s="3"/>
      <c r="C24" s="3"/>
      <c r="D24" s="6"/>
      <c r="E24" s="48" t="s">
        <v>34</v>
      </c>
      <c r="F24" s="13">
        <v>0.17499999999999999</v>
      </c>
    </row>
    <row r="25" spans="2:9">
      <c r="B25" s="3"/>
      <c r="C25" s="3"/>
      <c r="D25" s="6"/>
      <c r="E25" s="6"/>
    </row>
    <row r="26" spans="2:9">
      <c r="B26" s="3"/>
      <c r="C26" s="3"/>
      <c r="D26" s="6"/>
      <c r="E26" s="6"/>
    </row>
    <row r="27" spans="2:9">
      <c r="B27" s="3"/>
      <c r="C27" s="3"/>
      <c r="D27" s="25"/>
      <c r="E27" s="25"/>
      <c r="F27" s="25"/>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W194"/>
  <sheetViews>
    <sheetView zoomScaleNormal="100" workbookViewId="0"/>
  </sheetViews>
  <sheetFormatPr defaultRowHeight="12"/>
  <cols>
    <col min="1" max="1" width="2" style="2" customWidth="1"/>
    <col min="2" max="2" width="21.28515625" style="2" customWidth="1"/>
    <col min="3" max="3" width="12.28515625" style="2" customWidth="1"/>
    <col min="4" max="4" width="11.42578125" style="2" customWidth="1"/>
    <col min="5" max="5" width="11.85546875" style="2" customWidth="1"/>
    <col min="6" max="6" width="14.7109375" style="14" customWidth="1"/>
    <col min="7" max="7" width="14.28515625" style="2" customWidth="1"/>
    <col min="8" max="8" width="11.42578125" style="2" customWidth="1"/>
    <col min="9" max="9" width="9.140625" style="2" customWidth="1"/>
    <col min="10" max="10" width="5.140625" style="2" customWidth="1"/>
    <col min="11" max="11" width="14.140625" style="2" customWidth="1"/>
    <col min="12" max="12" width="9.42578125" style="2" customWidth="1"/>
    <col min="13" max="13" width="9.28515625" style="2" customWidth="1"/>
    <col min="14" max="14" width="4.42578125" style="2" customWidth="1"/>
    <col min="15" max="15" width="14" style="2" customWidth="1"/>
    <col min="16" max="18" width="9.140625" style="2"/>
    <col min="19" max="19" width="21.5703125" style="2" customWidth="1"/>
    <col min="20" max="16384" width="9.140625" style="2"/>
  </cols>
  <sheetData>
    <row r="1" spans="2:23" ht="15.75">
      <c r="B1" s="17" t="s">
        <v>215</v>
      </c>
    </row>
    <row r="3" spans="2:23">
      <c r="B3" s="272"/>
      <c r="C3" s="272" t="s">
        <v>196</v>
      </c>
      <c r="D3" s="272" t="s">
        <v>169</v>
      </c>
      <c r="E3" s="272" t="s">
        <v>197</v>
      </c>
      <c r="F3" s="336"/>
      <c r="G3" s="336"/>
      <c r="H3" s="336"/>
      <c r="I3" s="87"/>
      <c r="J3" s="87"/>
      <c r="K3" s="3"/>
      <c r="L3" s="96"/>
      <c r="M3" s="87"/>
      <c r="N3" s="87"/>
      <c r="O3" s="3"/>
      <c r="S3" s="335"/>
      <c r="T3" s="335"/>
      <c r="U3" s="335"/>
      <c r="V3" s="335"/>
    </row>
    <row r="4" spans="2:23">
      <c r="B4" s="200" t="s">
        <v>214</v>
      </c>
      <c r="C4" s="68">
        <v>1</v>
      </c>
      <c r="D4" s="108">
        <f>5.3%</f>
        <v>5.2999999999999999E-2</v>
      </c>
      <c r="E4" s="81">
        <v>0</v>
      </c>
      <c r="F4" s="337"/>
      <c r="G4" s="337"/>
      <c r="H4" s="337"/>
      <c r="I4" s="302"/>
      <c r="J4" s="64"/>
      <c r="K4" s="3"/>
      <c r="L4" s="65"/>
      <c r="M4" s="76"/>
      <c r="N4" s="76"/>
      <c r="O4" s="3"/>
      <c r="T4" s="13"/>
      <c r="U4" s="13"/>
      <c r="V4" s="13"/>
      <c r="W4" s="13"/>
    </row>
    <row r="5" spans="2:23">
      <c r="C5" s="275">
        <f>SUM(C4:C4)</f>
        <v>1</v>
      </c>
      <c r="D5" s="275">
        <f>D4*C4</f>
        <v>5.2999999999999999E-2</v>
      </c>
      <c r="E5" s="275">
        <f>E4*C4</f>
        <v>0</v>
      </c>
      <c r="F5" s="337"/>
      <c r="G5" s="337"/>
      <c r="H5" s="337"/>
      <c r="I5" s="302"/>
      <c r="J5" s="64"/>
      <c r="K5" s="3"/>
      <c r="L5" s="65"/>
      <c r="M5" s="76"/>
      <c r="N5" s="76"/>
      <c r="O5" s="3"/>
      <c r="T5" s="13"/>
      <c r="U5" s="13"/>
      <c r="V5" s="13"/>
      <c r="W5" s="13"/>
    </row>
    <row r="6" spans="2:23">
      <c r="D6" s="75"/>
      <c r="E6" s="52">
        <f>D5+E5</f>
        <v>5.2999999999999999E-2</v>
      </c>
      <c r="F6" s="337"/>
      <c r="G6" s="337"/>
      <c r="H6" s="337"/>
      <c r="I6" s="302"/>
      <c r="J6" s="64"/>
      <c r="K6" s="3"/>
      <c r="L6" s="65"/>
      <c r="M6" s="76"/>
      <c r="N6" s="76"/>
      <c r="O6" s="3"/>
      <c r="T6" s="13"/>
      <c r="U6" s="13"/>
      <c r="V6" s="13"/>
      <c r="W6" s="13"/>
    </row>
    <row r="7" spans="2:23">
      <c r="F7" s="337"/>
      <c r="G7" s="337"/>
      <c r="H7" s="337"/>
      <c r="I7" s="302"/>
      <c r="J7" s="64"/>
      <c r="K7" s="3"/>
      <c r="L7" s="65"/>
      <c r="M7" s="76"/>
      <c r="N7" s="76"/>
      <c r="O7" s="3"/>
      <c r="T7" s="13"/>
      <c r="U7" s="13"/>
      <c r="V7" s="13"/>
      <c r="W7" s="13"/>
    </row>
    <row r="8" spans="2:23">
      <c r="F8" s="337"/>
      <c r="G8" s="337"/>
      <c r="H8" s="337"/>
      <c r="I8" s="302"/>
      <c r="J8" s="64"/>
      <c r="K8" s="3"/>
      <c r="L8" s="65"/>
      <c r="M8" s="76"/>
      <c r="N8" s="76"/>
      <c r="O8" s="3"/>
      <c r="T8" s="13"/>
      <c r="U8" s="13"/>
      <c r="V8" s="13"/>
      <c r="W8" s="13"/>
    </row>
    <row r="9" spans="2:23">
      <c r="F9" s="337"/>
      <c r="G9" s="337"/>
      <c r="H9" s="337"/>
      <c r="I9" s="302"/>
      <c r="J9" s="64"/>
      <c r="K9" s="3"/>
      <c r="L9" s="65"/>
      <c r="M9" s="76"/>
      <c r="N9" s="76"/>
      <c r="O9" s="3"/>
      <c r="T9" s="13"/>
      <c r="U9" s="13"/>
      <c r="V9" s="13"/>
      <c r="W9" s="13"/>
    </row>
    <row r="10" spans="2:23">
      <c r="F10" s="337"/>
      <c r="G10" s="337"/>
      <c r="H10" s="337"/>
      <c r="I10" s="47"/>
      <c r="J10" s="64"/>
      <c r="K10" s="3"/>
      <c r="L10" s="63"/>
      <c r="M10" s="3"/>
      <c r="N10" s="3"/>
      <c r="O10" s="3"/>
      <c r="T10" s="13"/>
      <c r="U10" s="13"/>
      <c r="V10" s="13"/>
      <c r="W10" s="13"/>
    </row>
    <row r="11" spans="2:23">
      <c r="F11" s="66"/>
      <c r="G11" s="92"/>
      <c r="H11" s="93"/>
      <c r="I11" s="47"/>
      <c r="J11" s="64"/>
      <c r="K11" s="3"/>
      <c r="L11" s="72"/>
      <c r="M11" s="77"/>
      <c r="N11" s="77"/>
      <c r="O11" s="3"/>
      <c r="T11" s="13"/>
      <c r="U11" s="13"/>
      <c r="V11" s="13"/>
      <c r="W11" s="13"/>
    </row>
    <row r="12" spans="2:23">
      <c r="G12" s="64"/>
      <c r="H12" s="64"/>
      <c r="I12" s="64"/>
      <c r="J12" s="3"/>
      <c r="K12" s="64"/>
      <c r="L12" s="64"/>
      <c r="M12" s="64"/>
      <c r="N12" s="64"/>
      <c r="O12" s="64"/>
      <c r="P12" s="64"/>
      <c r="Q12" s="64"/>
      <c r="R12" s="3"/>
      <c r="S12" s="3"/>
      <c r="T12" s="46"/>
      <c r="U12" s="46"/>
      <c r="V12" s="46"/>
      <c r="W12" s="46"/>
    </row>
    <row r="13" spans="2:23">
      <c r="G13" s="65"/>
      <c r="H13" s="76"/>
      <c r="I13" s="76"/>
      <c r="J13" s="3"/>
      <c r="K13" s="65"/>
      <c r="L13" s="76"/>
      <c r="M13" s="76"/>
      <c r="N13" s="76"/>
      <c r="O13" s="65"/>
      <c r="P13" s="76"/>
      <c r="Q13" s="76"/>
      <c r="R13" s="3"/>
      <c r="S13" s="3"/>
      <c r="T13" s="46"/>
      <c r="U13" s="46"/>
      <c r="V13" s="46"/>
      <c r="W13" s="46"/>
    </row>
    <row r="14" spans="2:23">
      <c r="G14" s="65"/>
      <c r="H14" s="46"/>
      <c r="I14" s="76"/>
      <c r="J14" s="3"/>
      <c r="K14" s="65"/>
      <c r="L14" s="46"/>
      <c r="M14" s="76"/>
      <c r="N14" s="46"/>
      <c r="O14" s="65"/>
      <c r="P14" s="46"/>
      <c r="Q14" s="76"/>
      <c r="R14" s="3"/>
      <c r="S14" s="3"/>
      <c r="T14" s="46"/>
      <c r="U14" s="46"/>
      <c r="V14" s="46"/>
      <c r="W14" s="46"/>
    </row>
    <row r="15" spans="2:23">
      <c r="G15" s="65"/>
      <c r="H15" s="46"/>
      <c r="I15" s="76"/>
      <c r="J15" s="3"/>
      <c r="K15" s="65"/>
      <c r="L15" s="46"/>
      <c r="M15" s="76"/>
      <c r="N15" s="46"/>
      <c r="O15" s="65"/>
      <c r="P15" s="46"/>
      <c r="Q15" s="76"/>
      <c r="R15" s="3"/>
      <c r="S15" s="3"/>
      <c r="T15" s="46"/>
      <c r="U15" s="46"/>
      <c r="V15" s="46"/>
      <c r="W15" s="46"/>
    </row>
    <row r="16" spans="2:23">
      <c r="E16" s="70"/>
      <c r="G16" s="65"/>
      <c r="H16" s="46"/>
      <c r="I16" s="76"/>
      <c r="J16" s="3"/>
      <c r="K16" s="65"/>
      <c r="L16" s="46"/>
      <c r="M16" s="76"/>
      <c r="N16" s="46"/>
      <c r="O16" s="65"/>
      <c r="P16" s="46"/>
      <c r="Q16" s="76"/>
      <c r="R16" s="3"/>
      <c r="S16" s="3"/>
      <c r="T16" s="46"/>
      <c r="U16" s="46"/>
      <c r="V16" s="46"/>
      <c r="W16" s="46"/>
    </row>
    <row r="17" spans="2:23">
      <c r="E17" s="70"/>
      <c r="G17" s="85"/>
      <c r="H17" s="46"/>
      <c r="I17" s="76"/>
      <c r="J17" s="3"/>
      <c r="K17" s="85"/>
      <c r="L17" s="46"/>
      <c r="M17" s="76"/>
      <c r="N17" s="46"/>
      <c r="O17" s="85"/>
      <c r="P17" s="46"/>
      <c r="Q17" s="76"/>
      <c r="R17" s="3"/>
      <c r="S17" s="3"/>
      <c r="T17" s="46"/>
      <c r="U17" s="46"/>
      <c r="V17" s="46"/>
      <c r="W17" s="46"/>
    </row>
    <row r="18" spans="2:23">
      <c r="B18" s="64"/>
      <c r="C18" s="64"/>
      <c r="D18" s="25"/>
      <c r="E18" s="47"/>
      <c r="G18" s="65"/>
      <c r="H18" s="76"/>
      <c r="I18" s="76"/>
      <c r="J18" s="3"/>
      <c r="K18" s="65"/>
      <c r="L18" s="76"/>
      <c r="M18" s="76"/>
      <c r="N18" s="76"/>
      <c r="O18" s="65"/>
      <c r="P18" s="76"/>
      <c r="Q18" s="76"/>
      <c r="R18" s="3"/>
      <c r="S18" s="3"/>
      <c r="T18" s="46"/>
      <c r="U18" s="46"/>
      <c r="V18" s="46"/>
      <c r="W18" s="46"/>
    </row>
    <row r="19" spans="2:23">
      <c r="B19" s="64"/>
      <c r="C19" s="75"/>
      <c r="D19" s="6"/>
      <c r="E19" s="47"/>
      <c r="G19" s="65"/>
      <c r="H19" s="46"/>
      <c r="I19" s="76"/>
      <c r="J19" s="3"/>
      <c r="K19" s="65"/>
      <c r="L19" s="46"/>
      <c r="M19" s="76"/>
      <c r="N19" s="46"/>
      <c r="O19" s="65"/>
      <c r="P19" s="46"/>
      <c r="Q19" s="76"/>
      <c r="R19" s="3"/>
      <c r="S19" s="3"/>
      <c r="T19" s="46"/>
      <c r="U19" s="46"/>
      <c r="V19" s="46"/>
      <c r="W19" s="46"/>
    </row>
    <row r="20" spans="2:23">
      <c r="B20" s="64"/>
      <c r="C20" s="75"/>
      <c r="D20" s="6"/>
      <c r="E20" s="6"/>
      <c r="G20" s="274"/>
      <c r="H20" s="46"/>
      <c r="I20" s="76"/>
      <c r="J20" s="3"/>
      <c r="K20" s="274"/>
      <c r="L20" s="46"/>
      <c r="M20" s="76"/>
      <c r="N20" s="46"/>
      <c r="O20" s="274"/>
      <c r="P20" s="46"/>
      <c r="Q20" s="76"/>
      <c r="R20" s="3"/>
      <c r="S20" s="3"/>
      <c r="T20" s="46"/>
      <c r="U20" s="46"/>
      <c r="V20" s="46"/>
      <c r="W20" s="46"/>
    </row>
    <row r="21" spans="2:23">
      <c r="B21" s="3"/>
      <c r="C21" s="75"/>
      <c r="D21" s="6"/>
      <c r="E21" s="25"/>
      <c r="G21" s="85"/>
      <c r="H21" s="46"/>
      <c r="I21" s="46"/>
      <c r="J21" s="3"/>
      <c r="K21" s="65"/>
      <c r="L21" s="76"/>
      <c r="M21" s="76"/>
      <c r="N21" s="76"/>
      <c r="O21" s="274"/>
      <c r="P21" s="46"/>
      <c r="Q21" s="76"/>
      <c r="R21" s="3"/>
      <c r="S21" s="3"/>
      <c r="T21" s="46"/>
      <c r="U21" s="46"/>
      <c r="V21" s="46"/>
      <c r="W21" s="46"/>
    </row>
    <row r="22" spans="2:23">
      <c r="B22" s="3"/>
      <c r="C22" s="3"/>
      <c r="D22" s="8"/>
      <c r="E22" s="24"/>
      <c r="G22" s="62"/>
      <c r="H22" s="3"/>
      <c r="I22" s="3"/>
      <c r="J22" s="3"/>
      <c r="K22" s="65"/>
      <c r="L22" s="46"/>
      <c r="M22" s="76"/>
      <c r="N22" s="46"/>
      <c r="O22" s="65"/>
      <c r="P22" s="76"/>
      <c r="Q22" s="76"/>
      <c r="R22" s="3"/>
      <c r="S22" s="3"/>
      <c r="T22" s="46"/>
      <c r="U22" s="46"/>
      <c r="V22" s="46"/>
      <c r="W22" s="46"/>
    </row>
    <row r="23" spans="2:23">
      <c r="B23" s="3"/>
      <c r="C23" s="3"/>
      <c r="D23" s="3"/>
      <c r="E23" s="24"/>
      <c r="G23" s="64"/>
      <c r="H23" s="64"/>
      <c r="I23" s="64"/>
      <c r="J23" s="3"/>
      <c r="K23" s="65"/>
      <c r="L23" s="46"/>
      <c r="M23" s="76"/>
      <c r="N23" s="46"/>
      <c r="O23" s="65"/>
      <c r="P23" s="46"/>
      <c r="Q23" s="76"/>
      <c r="R23" s="3"/>
      <c r="S23" s="3"/>
      <c r="T23" s="46"/>
      <c r="U23" s="46"/>
      <c r="V23" s="46"/>
      <c r="W23" s="46"/>
    </row>
    <row r="24" spans="2:23">
      <c r="B24" s="3"/>
      <c r="C24" s="3"/>
      <c r="D24" s="3"/>
      <c r="G24" s="65"/>
      <c r="H24" s="76"/>
      <c r="I24" s="76"/>
      <c r="J24" s="3"/>
      <c r="K24" s="65"/>
      <c r="L24" s="46"/>
      <c r="M24" s="76"/>
      <c r="N24" s="46"/>
      <c r="O24" s="65"/>
      <c r="P24" s="46"/>
      <c r="Q24" s="76"/>
      <c r="R24" s="3"/>
      <c r="S24" s="3"/>
      <c r="T24" s="46"/>
      <c r="U24" s="46"/>
      <c r="V24" s="46"/>
      <c r="W24" s="46"/>
    </row>
    <row r="25" spans="2:23">
      <c r="B25" s="3"/>
      <c r="C25" s="3"/>
      <c r="D25" s="3"/>
      <c r="E25" s="3"/>
      <c r="G25" s="65"/>
      <c r="H25" s="76"/>
      <c r="I25" s="76"/>
      <c r="J25" s="3"/>
      <c r="K25" s="85"/>
      <c r="L25" s="46"/>
      <c r="M25" s="76"/>
      <c r="N25" s="46"/>
      <c r="O25" s="65"/>
      <c r="P25" s="46"/>
      <c r="Q25" s="76"/>
      <c r="R25" s="3"/>
      <c r="S25" s="3"/>
      <c r="T25" s="46"/>
      <c r="U25" s="46"/>
      <c r="V25" s="46"/>
      <c r="W25" s="46"/>
    </row>
    <row r="26" spans="2:23">
      <c r="D26" s="3"/>
      <c r="E26" s="3"/>
      <c r="G26" s="65"/>
      <c r="H26" s="46"/>
      <c r="I26" s="76"/>
      <c r="J26" s="3"/>
      <c r="K26" s="65"/>
      <c r="L26" s="76"/>
      <c r="M26" s="76"/>
      <c r="N26" s="76"/>
      <c r="O26" s="85"/>
      <c r="P26" s="46"/>
      <c r="Q26" s="76"/>
      <c r="R26" s="3"/>
      <c r="S26" s="3"/>
      <c r="T26" s="46"/>
      <c r="U26" s="46"/>
      <c r="V26" s="46"/>
      <c r="W26" s="46"/>
    </row>
    <row r="27" spans="2:23">
      <c r="D27" s="3"/>
      <c r="E27" s="3"/>
      <c r="G27" s="65"/>
      <c r="H27" s="46"/>
      <c r="I27" s="76"/>
      <c r="J27" s="3"/>
      <c r="K27" s="65"/>
      <c r="L27" s="46"/>
      <c r="M27" s="76"/>
      <c r="N27" s="46"/>
      <c r="O27" s="65"/>
      <c r="P27" s="76"/>
      <c r="Q27" s="76"/>
      <c r="R27" s="3"/>
      <c r="S27" s="3"/>
      <c r="T27" s="46"/>
      <c r="U27" s="46"/>
      <c r="V27" s="46"/>
      <c r="W27" s="46"/>
    </row>
    <row r="28" spans="2:23">
      <c r="D28" s="3"/>
      <c r="E28" s="3"/>
      <c r="G28" s="85"/>
      <c r="H28" s="46"/>
      <c r="I28" s="76"/>
      <c r="J28" s="3"/>
      <c r="K28" s="274"/>
      <c r="L28" s="46"/>
      <c r="M28" s="76"/>
      <c r="N28" s="46"/>
      <c r="O28" s="3"/>
      <c r="P28" s="46"/>
      <c r="Q28" s="46"/>
      <c r="R28" s="3"/>
      <c r="S28" s="3"/>
      <c r="T28" s="46"/>
      <c r="U28" s="46"/>
      <c r="V28" s="46"/>
      <c r="W28" s="46"/>
    </row>
    <row r="29" spans="2:23">
      <c r="D29" s="3"/>
      <c r="E29" s="3"/>
      <c r="G29" s="65"/>
      <c r="H29" s="76"/>
      <c r="I29" s="76"/>
      <c r="J29" s="3"/>
      <c r="K29" s="65"/>
      <c r="L29" s="46"/>
      <c r="M29" s="76"/>
      <c r="N29" s="46"/>
      <c r="O29" s="274"/>
      <c r="P29" s="46"/>
      <c r="Q29" s="3"/>
      <c r="R29" s="3"/>
      <c r="S29" s="3"/>
      <c r="T29" s="46"/>
      <c r="U29" s="46"/>
      <c r="V29" s="46"/>
      <c r="W29" s="46"/>
    </row>
    <row r="30" spans="2:23">
      <c r="G30" s="65"/>
      <c r="H30" s="46"/>
      <c r="I30" s="76"/>
      <c r="J30" s="3"/>
      <c r="K30" s="274"/>
      <c r="L30" s="46"/>
      <c r="M30" s="76"/>
      <c r="N30" s="46"/>
      <c r="O30" s="274"/>
      <c r="P30" s="46"/>
      <c r="Q30" s="3"/>
      <c r="R30" s="3"/>
      <c r="S30" s="3"/>
      <c r="T30" s="46"/>
      <c r="U30" s="46"/>
      <c r="V30" s="46"/>
      <c r="W30" s="46"/>
    </row>
    <row r="31" spans="2:23">
      <c r="G31" s="274"/>
      <c r="H31" s="46"/>
      <c r="I31" s="76"/>
      <c r="J31" s="3"/>
      <c r="K31" s="65"/>
      <c r="L31" s="76"/>
      <c r="M31" s="76"/>
      <c r="N31" s="76"/>
      <c r="O31" s="3"/>
      <c r="P31" s="3"/>
      <c r="Q31" s="3"/>
      <c r="R31" s="3"/>
      <c r="S31" s="3"/>
      <c r="T31" s="46"/>
      <c r="U31" s="46"/>
      <c r="V31" s="46"/>
      <c r="W31" s="46"/>
    </row>
    <row r="32" spans="2:23">
      <c r="G32" s="65"/>
      <c r="H32" s="46"/>
      <c r="I32" s="76"/>
      <c r="J32" s="3"/>
      <c r="K32" s="65"/>
      <c r="L32" s="46"/>
      <c r="M32" s="76"/>
      <c r="N32" s="46"/>
      <c r="O32" s="3"/>
      <c r="P32" s="3"/>
      <c r="Q32" s="3"/>
      <c r="R32" s="3"/>
      <c r="S32" s="3"/>
      <c r="T32" s="46"/>
      <c r="U32" s="46"/>
      <c r="V32" s="46"/>
      <c r="W32" s="46"/>
    </row>
    <row r="33" spans="7:23">
      <c r="G33" s="65"/>
      <c r="H33" s="76"/>
      <c r="I33" s="76"/>
      <c r="J33" s="3"/>
      <c r="K33" s="8"/>
      <c r="L33" s="46"/>
      <c r="M33" s="76"/>
      <c r="N33" s="46"/>
      <c r="O33" s="3"/>
      <c r="P33" s="3"/>
      <c r="Q33" s="3"/>
      <c r="R33" s="3"/>
      <c r="S33" s="3"/>
      <c r="T33" s="46"/>
      <c r="U33" s="46"/>
      <c r="V33" s="46"/>
      <c r="W33" s="46"/>
    </row>
    <row r="34" spans="7:23">
      <c r="G34" s="65"/>
      <c r="H34" s="46"/>
      <c r="I34" s="76"/>
      <c r="J34" s="3"/>
      <c r="K34" s="8"/>
      <c r="L34" s="46"/>
      <c r="M34" s="76"/>
      <c r="N34" s="46"/>
      <c r="O34" s="3"/>
      <c r="P34" s="3"/>
      <c r="Q34" s="3"/>
      <c r="R34" s="3"/>
      <c r="S34" s="3"/>
      <c r="T34" s="46"/>
      <c r="U34" s="46"/>
      <c r="V34" s="46"/>
      <c r="W34" s="46"/>
    </row>
    <row r="35" spans="7:23">
      <c r="G35" s="85"/>
      <c r="H35" s="46"/>
      <c r="I35" s="76"/>
      <c r="J35" s="3"/>
      <c r="K35" s="85"/>
      <c r="L35" s="46"/>
      <c r="M35" s="76"/>
      <c r="N35" s="46"/>
      <c r="O35" s="3"/>
      <c r="P35" s="3"/>
      <c r="Q35" s="3"/>
      <c r="R35" s="3"/>
      <c r="S35" s="3"/>
      <c r="T35" s="46"/>
      <c r="U35" s="46"/>
      <c r="V35" s="46"/>
      <c r="W35" s="46"/>
    </row>
    <row r="36" spans="7:23">
      <c r="G36" s="65"/>
      <c r="H36" s="76"/>
      <c r="I36" s="76"/>
      <c r="J36" s="3"/>
      <c r="K36" s="65"/>
      <c r="L36" s="76"/>
      <c r="M36" s="76"/>
      <c r="N36" s="76"/>
      <c r="O36" s="3"/>
      <c r="P36" s="3"/>
      <c r="Q36" s="3"/>
      <c r="R36" s="3"/>
      <c r="S36" s="3"/>
      <c r="T36" s="46"/>
      <c r="U36" s="46"/>
      <c r="V36" s="46"/>
      <c r="W36" s="46"/>
    </row>
    <row r="37" spans="7:23">
      <c r="G37" s="65"/>
      <c r="H37" s="46"/>
      <c r="I37" s="3"/>
      <c r="J37" s="3"/>
      <c r="K37" s="65"/>
      <c r="L37" s="46"/>
      <c r="M37" s="76"/>
      <c r="N37" s="46"/>
      <c r="O37" s="3"/>
      <c r="P37" s="3"/>
      <c r="Q37" s="3"/>
      <c r="R37" s="3"/>
      <c r="S37" s="3"/>
      <c r="T37" s="46"/>
      <c r="U37" s="46"/>
      <c r="V37" s="46"/>
      <c r="W37" s="46"/>
    </row>
    <row r="38" spans="7:23">
      <c r="G38" s="274"/>
      <c r="H38" s="46"/>
      <c r="I38" s="3"/>
      <c r="J38" s="3"/>
      <c r="K38" s="274"/>
      <c r="L38" s="46"/>
      <c r="M38" s="76"/>
      <c r="N38" s="46"/>
      <c r="O38" s="3"/>
      <c r="P38" s="3"/>
      <c r="Q38" s="3"/>
      <c r="R38" s="3"/>
      <c r="S38" s="3"/>
      <c r="T38" s="46"/>
      <c r="U38" s="46"/>
      <c r="V38" s="46"/>
      <c r="W38" s="46"/>
    </row>
    <row r="39" spans="7:23">
      <c r="G39" s="62"/>
      <c r="H39" s="3"/>
      <c r="I39" s="3"/>
      <c r="J39" s="3"/>
      <c r="K39" s="3"/>
      <c r="L39" s="46"/>
      <c r="M39" s="46"/>
      <c r="N39" s="46"/>
      <c r="O39" s="3"/>
      <c r="P39" s="3"/>
      <c r="Q39" s="3"/>
      <c r="R39" s="3"/>
      <c r="S39" s="3"/>
      <c r="T39" s="46"/>
      <c r="U39" s="46"/>
      <c r="V39" s="46"/>
      <c r="W39" s="46"/>
    </row>
    <row r="40" spans="7:23">
      <c r="G40" s="3"/>
      <c r="H40" s="3"/>
      <c r="I40" s="3"/>
      <c r="J40" s="3"/>
      <c r="K40" s="3"/>
      <c r="L40" s="3"/>
      <c r="M40" s="3"/>
      <c r="N40" s="3"/>
      <c r="O40" s="3"/>
      <c r="P40" s="3"/>
      <c r="Q40" s="3"/>
      <c r="R40" s="3"/>
      <c r="S40" s="3"/>
      <c r="T40" s="46"/>
      <c r="U40" s="46"/>
      <c r="V40" s="46"/>
      <c r="W40" s="46"/>
    </row>
    <row r="41" spans="7:23">
      <c r="G41" s="3"/>
      <c r="H41" s="3"/>
      <c r="I41" s="3"/>
      <c r="J41" s="3"/>
      <c r="K41" s="3"/>
      <c r="L41" s="3"/>
      <c r="M41" s="3"/>
      <c r="N41" s="3"/>
      <c r="O41" s="3"/>
      <c r="P41" s="3"/>
      <c r="Q41" s="3"/>
      <c r="R41" s="3"/>
      <c r="S41" s="3"/>
      <c r="T41" s="46"/>
      <c r="U41" s="46"/>
      <c r="V41" s="46"/>
      <c r="W41" s="46"/>
    </row>
    <row r="42" spans="7:23">
      <c r="G42" s="3"/>
      <c r="H42" s="3"/>
      <c r="I42" s="3"/>
      <c r="J42" s="3"/>
      <c r="K42" s="3"/>
      <c r="L42" s="3"/>
      <c r="M42" s="3"/>
      <c r="N42" s="3"/>
      <c r="O42" s="3"/>
      <c r="P42" s="3"/>
      <c r="Q42" s="3"/>
      <c r="R42" s="3"/>
      <c r="S42" s="3"/>
      <c r="T42" s="46"/>
      <c r="U42" s="46"/>
      <c r="V42" s="46"/>
      <c r="W42" s="46"/>
    </row>
    <row r="43" spans="7:23">
      <c r="G43" s="3"/>
      <c r="H43" s="3"/>
      <c r="I43" s="3"/>
      <c r="J43" s="3"/>
      <c r="K43" s="3"/>
      <c r="L43" s="3"/>
      <c r="M43" s="3"/>
      <c r="N43" s="3"/>
      <c r="O43" s="3"/>
      <c r="P43" s="3"/>
      <c r="Q43" s="3"/>
      <c r="R43" s="3"/>
      <c r="S43" s="3"/>
      <c r="T43" s="46"/>
      <c r="U43" s="46"/>
      <c r="V43" s="46"/>
      <c r="W43" s="46"/>
    </row>
    <row r="44" spans="7:23">
      <c r="G44" s="3"/>
      <c r="H44" s="3"/>
      <c r="I44" s="3"/>
      <c r="J44" s="3"/>
      <c r="K44" s="3"/>
      <c r="L44" s="3"/>
      <c r="M44" s="3"/>
      <c r="N44" s="3"/>
      <c r="O44" s="3"/>
      <c r="P44" s="3"/>
      <c r="Q44" s="3"/>
      <c r="R44" s="3"/>
      <c r="S44" s="3"/>
      <c r="T44" s="46"/>
      <c r="U44" s="46"/>
      <c r="V44" s="46"/>
      <c r="W44" s="46"/>
    </row>
    <row r="45" spans="7:23">
      <c r="G45" s="3"/>
      <c r="H45" s="3"/>
      <c r="I45" s="3"/>
      <c r="J45" s="3"/>
      <c r="K45" s="3"/>
      <c r="L45" s="3"/>
      <c r="M45" s="3"/>
      <c r="N45" s="3"/>
      <c r="O45" s="3"/>
      <c r="P45" s="3"/>
      <c r="Q45" s="3"/>
      <c r="R45" s="3"/>
      <c r="S45" s="3"/>
      <c r="T45" s="46"/>
      <c r="U45" s="46"/>
      <c r="V45" s="46"/>
      <c r="W45" s="46"/>
    </row>
    <row r="46" spans="7:23">
      <c r="G46" s="3"/>
      <c r="H46" s="3"/>
      <c r="I46" s="3"/>
      <c r="J46" s="3"/>
      <c r="K46" s="3"/>
      <c r="L46" s="3"/>
      <c r="M46" s="3"/>
      <c r="N46" s="3"/>
      <c r="O46" s="3"/>
      <c r="P46" s="3"/>
      <c r="Q46" s="3"/>
      <c r="R46" s="3"/>
      <c r="S46" s="3"/>
      <c r="T46" s="46"/>
      <c r="U46" s="46"/>
      <c r="V46" s="46"/>
      <c r="W46" s="46"/>
    </row>
    <row r="47" spans="7:23">
      <c r="G47" s="3"/>
      <c r="H47" s="3"/>
      <c r="I47" s="3"/>
      <c r="J47" s="3"/>
      <c r="K47" s="3"/>
      <c r="L47" s="3"/>
      <c r="M47" s="3"/>
      <c r="N47" s="3"/>
      <c r="O47" s="3"/>
      <c r="P47" s="3"/>
      <c r="Q47" s="3"/>
      <c r="R47" s="3"/>
      <c r="S47" s="3"/>
      <c r="T47" s="46"/>
      <c r="U47" s="46"/>
      <c r="V47" s="46"/>
      <c r="W47" s="46"/>
    </row>
    <row r="48" spans="7:23">
      <c r="G48" s="3"/>
      <c r="H48" s="3"/>
      <c r="I48" s="3"/>
      <c r="J48" s="3"/>
      <c r="K48" s="3"/>
      <c r="L48" s="3"/>
      <c r="M48" s="3"/>
      <c r="N48" s="3"/>
      <c r="O48" s="3"/>
      <c r="P48" s="3"/>
      <c r="Q48" s="3"/>
      <c r="R48" s="3"/>
      <c r="S48" s="3"/>
      <c r="T48" s="46"/>
      <c r="U48" s="46"/>
      <c r="V48" s="46"/>
      <c r="W48" s="46"/>
    </row>
    <row r="49" spans="7:23">
      <c r="G49" s="3"/>
      <c r="H49" s="3"/>
      <c r="I49" s="3"/>
      <c r="J49" s="3"/>
      <c r="K49" s="3"/>
      <c r="L49" s="3"/>
      <c r="M49" s="3"/>
      <c r="N49" s="3"/>
      <c r="O49" s="3"/>
      <c r="P49" s="3"/>
      <c r="Q49" s="3"/>
      <c r="R49" s="3"/>
      <c r="S49" s="3"/>
      <c r="T49" s="46"/>
      <c r="U49" s="46"/>
      <c r="V49" s="46"/>
      <c r="W49" s="46"/>
    </row>
    <row r="50" spans="7:23">
      <c r="G50" s="3"/>
      <c r="H50" s="3"/>
      <c r="I50" s="3"/>
      <c r="J50" s="3"/>
      <c r="K50" s="3"/>
      <c r="L50" s="3"/>
      <c r="M50" s="3"/>
      <c r="N50" s="3"/>
      <c r="O50" s="3"/>
      <c r="P50" s="3"/>
      <c r="Q50" s="3"/>
      <c r="R50" s="3"/>
      <c r="S50" s="3"/>
      <c r="T50" s="46"/>
      <c r="U50" s="46"/>
      <c r="V50" s="46"/>
      <c r="W50" s="46"/>
    </row>
    <row r="51" spans="7:23">
      <c r="G51" s="3"/>
      <c r="H51" s="3"/>
      <c r="I51" s="3"/>
      <c r="J51" s="3"/>
      <c r="K51" s="3"/>
      <c r="L51" s="3"/>
      <c r="M51" s="3"/>
      <c r="N51" s="3"/>
      <c r="O51" s="3"/>
      <c r="P51" s="3"/>
      <c r="Q51" s="3"/>
      <c r="R51" s="3"/>
      <c r="S51" s="3"/>
      <c r="T51" s="46"/>
      <c r="U51" s="46"/>
      <c r="V51" s="46"/>
      <c r="W51" s="46"/>
    </row>
    <row r="52" spans="7:23">
      <c r="G52" s="3"/>
      <c r="H52" s="3"/>
      <c r="I52" s="3"/>
      <c r="J52" s="3"/>
      <c r="K52" s="3"/>
      <c r="L52" s="3"/>
      <c r="M52" s="3"/>
      <c r="N52" s="3"/>
      <c r="O52" s="3"/>
      <c r="P52" s="3"/>
      <c r="Q52" s="3"/>
      <c r="R52" s="3"/>
      <c r="S52" s="3"/>
      <c r="T52" s="46"/>
      <c r="U52" s="46"/>
      <c r="V52" s="46"/>
      <c r="W52" s="46"/>
    </row>
    <row r="53" spans="7:23">
      <c r="G53" s="3"/>
      <c r="H53" s="3"/>
      <c r="I53" s="3"/>
      <c r="J53" s="3"/>
      <c r="K53" s="3"/>
      <c r="L53" s="3"/>
      <c r="M53" s="3"/>
      <c r="N53" s="3"/>
      <c r="O53" s="3"/>
      <c r="P53" s="3"/>
      <c r="Q53" s="3"/>
      <c r="R53" s="3"/>
      <c r="S53" s="3"/>
      <c r="T53" s="46"/>
      <c r="U53" s="46"/>
      <c r="V53" s="46"/>
      <c r="W53" s="46"/>
    </row>
    <row r="54" spans="7:23">
      <c r="G54" s="3"/>
      <c r="H54" s="3"/>
      <c r="I54" s="3"/>
      <c r="J54" s="3"/>
      <c r="K54" s="3"/>
      <c r="L54" s="3"/>
      <c r="M54" s="3"/>
      <c r="N54" s="3"/>
      <c r="O54" s="3"/>
      <c r="P54" s="3"/>
      <c r="Q54" s="3"/>
      <c r="R54" s="3"/>
      <c r="S54" s="3"/>
      <c r="T54" s="46"/>
      <c r="U54" s="46"/>
      <c r="V54" s="46"/>
      <c r="W54" s="46"/>
    </row>
    <row r="55" spans="7:23">
      <c r="G55" s="3"/>
      <c r="H55" s="3"/>
      <c r="I55" s="3"/>
      <c r="J55" s="3"/>
      <c r="K55" s="3"/>
      <c r="L55" s="3"/>
      <c r="M55" s="3"/>
      <c r="N55" s="3"/>
      <c r="O55" s="3"/>
      <c r="P55" s="3"/>
      <c r="Q55" s="3"/>
      <c r="R55" s="3"/>
      <c r="S55" s="3"/>
      <c r="T55" s="46"/>
      <c r="U55" s="46"/>
      <c r="V55" s="46"/>
      <c r="W55" s="46"/>
    </row>
    <row r="56" spans="7:23">
      <c r="G56" s="3"/>
      <c r="H56" s="3"/>
      <c r="I56" s="3"/>
      <c r="J56" s="3"/>
      <c r="K56" s="3"/>
      <c r="L56" s="3"/>
      <c r="M56" s="3"/>
      <c r="N56" s="3"/>
      <c r="O56" s="3"/>
      <c r="P56" s="3"/>
      <c r="Q56" s="3"/>
      <c r="R56" s="3"/>
      <c r="S56" s="3"/>
      <c r="T56" s="46"/>
      <c r="U56" s="46"/>
      <c r="V56" s="46"/>
      <c r="W56" s="46"/>
    </row>
    <row r="57" spans="7:23">
      <c r="G57" s="3"/>
      <c r="H57" s="3"/>
      <c r="I57" s="3"/>
      <c r="J57" s="3"/>
      <c r="K57" s="3"/>
      <c r="L57" s="3"/>
      <c r="M57" s="3"/>
      <c r="N57" s="3"/>
      <c r="O57" s="3"/>
      <c r="P57" s="3"/>
      <c r="Q57" s="3"/>
      <c r="R57" s="3"/>
      <c r="S57" s="3"/>
      <c r="T57" s="46"/>
      <c r="U57" s="46"/>
      <c r="V57" s="46"/>
      <c r="W57" s="46"/>
    </row>
    <row r="58" spans="7:23">
      <c r="G58" s="3"/>
      <c r="H58" s="3"/>
      <c r="I58" s="3"/>
      <c r="J58" s="3"/>
      <c r="K58" s="3"/>
      <c r="L58" s="3"/>
      <c r="M58" s="3"/>
      <c r="N58" s="3"/>
      <c r="O58" s="3"/>
      <c r="P58" s="3"/>
      <c r="Q58" s="3"/>
      <c r="R58" s="3"/>
      <c r="S58" s="3"/>
      <c r="T58" s="46"/>
      <c r="U58" s="46"/>
      <c r="V58" s="46"/>
      <c r="W58" s="46"/>
    </row>
    <row r="59" spans="7:23">
      <c r="G59" s="3"/>
      <c r="H59" s="3"/>
      <c r="I59" s="3"/>
      <c r="J59" s="3"/>
      <c r="K59" s="3"/>
      <c r="L59" s="3"/>
      <c r="M59" s="3"/>
      <c r="N59" s="3"/>
      <c r="O59" s="3"/>
      <c r="P59" s="3"/>
      <c r="Q59" s="3"/>
      <c r="R59" s="3"/>
      <c r="S59" s="3"/>
      <c r="T59" s="46"/>
      <c r="U59" s="46"/>
      <c r="V59" s="46"/>
      <c r="W59" s="46"/>
    </row>
    <row r="60" spans="7:23">
      <c r="G60" s="3"/>
      <c r="H60" s="3"/>
      <c r="I60" s="3"/>
      <c r="J60" s="3"/>
      <c r="K60" s="3"/>
      <c r="L60" s="3"/>
      <c r="M60" s="3"/>
      <c r="N60" s="3"/>
      <c r="O60" s="3"/>
      <c r="P60" s="3"/>
      <c r="Q60" s="3"/>
      <c r="R60" s="3"/>
      <c r="S60" s="3"/>
      <c r="T60" s="46"/>
      <c r="U60" s="46"/>
      <c r="V60" s="46"/>
      <c r="W60" s="46"/>
    </row>
    <row r="61" spans="7:23">
      <c r="G61" s="3"/>
      <c r="H61" s="3"/>
      <c r="I61" s="3"/>
      <c r="J61" s="3"/>
      <c r="K61" s="3"/>
      <c r="L61" s="3"/>
      <c r="M61" s="3"/>
      <c r="N61" s="3"/>
      <c r="O61" s="3"/>
      <c r="P61" s="3"/>
      <c r="Q61" s="3"/>
      <c r="R61" s="3"/>
      <c r="S61" s="3"/>
      <c r="T61" s="46"/>
      <c r="U61" s="46"/>
      <c r="V61" s="46"/>
      <c r="W61" s="46"/>
    </row>
    <row r="62" spans="7:23">
      <c r="G62" s="3"/>
      <c r="H62" s="3"/>
      <c r="I62" s="3"/>
      <c r="J62" s="3"/>
      <c r="K62" s="3"/>
      <c r="L62" s="3"/>
      <c r="M62" s="3"/>
      <c r="N62" s="3"/>
      <c r="O62" s="3"/>
      <c r="P62" s="3"/>
      <c r="Q62" s="3"/>
      <c r="R62" s="3"/>
      <c r="S62" s="3"/>
      <c r="T62" s="46"/>
      <c r="U62" s="46"/>
      <c r="V62" s="46"/>
      <c r="W62" s="46"/>
    </row>
    <row r="63" spans="7:23">
      <c r="G63" s="3"/>
      <c r="H63" s="3"/>
      <c r="I63" s="3"/>
      <c r="J63" s="3"/>
      <c r="K63" s="3"/>
      <c r="L63" s="3"/>
      <c r="M63" s="3"/>
      <c r="N63" s="3"/>
      <c r="O63" s="3"/>
      <c r="P63" s="3"/>
      <c r="Q63" s="3"/>
      <c r="R63" s="3"/>
      <c r="S63" s="3"/>
      <c r="T63" s="46"/>
      <c r="U63" s="46"/>
      <c r="V63" s="46"/>
      <c r="W63" s="46"/>
    </row>
    <row r="64" spans="7:23">
      <c r="G64" s="3"/>
      <c r="H64" s="3"/>
      <c r="I64" s="3"/>
      <c r="J64" s="3"/>
      <c r="K64" s="3"/>
      <c r="L64" s="3"/>
      <c r="M64" s="3"/>
      <c r="N64" s="3"/>
      <c r="O64" s="3"/>
      <c r="P64" s="3"/>
      <c r="Q64" s="3"/>
      <c r="R64" s="3"/>
      <c r="S64" s="3"/>
      <c r="T64" s="46"/>
      <c r="U64" s="46"/>
      <c r="V64" s="46"/>
      <c r="W64" s="46"/>
    </row>
    <row r="65" spans="7:23">
      <c r="G65" s="3"/>
      <c r="H65" s="3"/>
      <c r="I65" s="3"/>
      <c r="J65" s="3"/>
      <c r="K65" s="3"/>
      <c r="L65" s="3"/>
      <c r="M65" s="3"/>
      <c r="N65" s="3"/>
      <c r="O65" s="3"/>
      <c r="P65" s="3"/>
      <c r="Q65" s="3"/>
      <c r="R65" s="3"/>
      <c r="S65" s="3"/>
      <c r="T65" s="46"/>
      <c r="U65" s="46"/>
      <c r="V65" s="46"/>
      <c r="W65" s="46"/>
    </row>
    <row r="66" spans="7:23">
      <c r="G66" s="3"/>
      <c r="H66" s="3"/>
      <c r="I66" s="3"/>
      <c r="J66" s="3"/>
      <c r="K66" s="3"/>
      <c r="L66" s="3"/>
      <c r="M66" s="3"/>
      <c r="N66" s="3"/>
      <c r="O66" s="3"/>
      <c r="P66" s="3"/>
      <c r="Q66" s="3"/>
      <c r="R66" s="3"/>
      <c r="S66" s="3"/>
      <c r="T66" s="46"/>
      <c r="U66" s="46"/>
      <c r="V66" s="46"/>
      <c r="W66" s="46"/>
    </row>
    <row r="67" spans="7:23">
      <c r="G67" s="3"/>
      <c r="H67" s="3"/>
      <c r="I67" s="3"/>
      <c r="J67" s="3"/>
      <c r="K67" s="3"/>
      <c r="L67" s="3"/>
      <c r="M67" s="3"/>
      <c r="N67" s="3"/>
      <c r="O67" s="3"/>
      <c r="P67" s="3"/>
      <c r="Q67" s="3"/>
      <c r="R67" s="3"/>
      <c r="S67" s="3"/>
      <c r="T67" s="46"/>
      <c r="U67" s="46"/>
      <c r="V67" s="46"/>
      <c r="W67" s="46"/>
    </row>
    <row r="68" spans="7:23">
      <c r="G68" s="3"/>
      <c r="H68" s="3"/>
      <c r="I68" s="3"/>
      <c r="J68" s="3"/>
      <c r="K68" s="3"/>
      <c r="L68" s="3"/>
      <c r="M68" s="3"/>
      <c r="N68" s="3"/>
      <c r="O68" s="3"/>
      <c r="P68" s="3"/>
      <c r="Q68" s="3"/>
      <c r="R68" s="3"/>
      <c r="S68" s="3"/>
      <c r="T68" s="46"/>
      <c r="U68" s="46"/>
      <c r="V68" s="46"/>
      <c r="W68" s="46"/>
    </row>
    <row r="69" spans="7:23">
      <c r="G69" s="3"/>
      <c r="H69" s="3"/>
      <c r="I69" s="3"/>
      <c r="J69" s="3"/>
      <c r="K69" s="3"/>
      <c r="L69" s="3"/>
      <c r="M69" s="3"/>
      <c r="N69" s="3"/>
      <c r="O69" s="3"/>
      <c r="P69" s="3"/>
      <c r="Q69" s="3"/>
      <c r="R69" s="3"/>
      <c r="S69" s="3"/>
      <c r="T69" s="46"/>
      <c r="U69" s="46"/>
      <c r="V69" s="46"/>
      <c r="W69" s="46"/>
    </row>
    <row r="70" spans="7:23">
      <c r="G70" s="3"/>
      <c r="H70" s="3"/>
      <c r="I70" s="3"/>
      <c r="J70" s="3"/>
      <c r="K70" s="3"/>
      <c r="L70" s="3"/>
      <c r="M70" s="3"/>
      <c r="N70" s="3"/>
      <c r="O70" s="3"/>
      <c r="P70" s="3"/>
      <c r="Q70" s="3"/>
      <c r="R70" s="3"/>
      <c r="S70" s="3"/>
      <c r="T70" s="46"/>
      <c r="U70" s="46"/>
      <c r="V70" s="46"/>
      <c r="W70" s="46"/>
    </row>
    <row r="71" spans="7:23">
      <c r="G71" s="3"/>
      <c r="H71" s="3"/>
      <c r="I71" s="3"/>
      <c r="J71" s="3"/>
      <c r="K71" s="3"/>
      <c r="L71" s="3"/>
      <c r="M71" s="3"/>
      <c r="N71" s="3"/>
      <c r="O71" s="3"/>
      <c r="P71" s="3"/>
      <c r="Q71" s="3"/>
      <c r="R71" s="3"/>
      <c r="S71" s="3"/>
      <c r="T71" s="46"/>
      <c r="U71" s="46"/>
      <c r="V71" s="46"/>
      <c r="W71" s="46"/>
    </row>
    <row r="72" spans="7:23">
      <c r="G72" s="3"/>
      <c r="H72" s="3"/>
      <c r="I72" s="3"/>
      <c r="J72" s="3"/>
      <c r="K72" s="3"/>
      <c r="L72" s="3"/>
      <c r="M72" s="3"/>
      <c r="N72" s="3"/>
      <c r="O72" s="3"/>
      <c r="P72" s="3"/>
      <c r="Q72" s="3"/>
      <c r="R72" s="3"/>
      <c r="S72" s="3"/>
      <c r="T72" s="46"/>
      <c r="U72" s="46"/>
      <c r="V72" s="46"/>
      <c r="W72" s="46"/>
    </row>
    <row r="73" spans="7:23">
      <c r="G73" s="3"/>
      <c r="H73" s="3"/>
      <c r="I73" s="3"/>
      <c r="J73" s="3"/>
      <c r="K73" s="3"/>
      <c r="L73" s="3"/>
      <c r="M73" s="3"/>
      <c r="N73" s="3"/>
      <c r="O73" s="3"/>
      <c r="P73" s="3"/>
      <c r="Q73" s="3"/>
      <c r="R73" s="3"/>
      <c r="S73" s="3"/>
      <c r="T73" s="46"/>
      <c r="U73" s="46"/>
      <c r="V73" s="46"/>
      <c r="W73" s="46"/>
    </row>
    <row r="74" spans="7:23">
      <c r="G74" s="3"/>
      <c r="H74" s="3"/>
      <c r="I74" s="3"/>
      <c r="J74" s="3"/>
      <c r="K74" s="3"/>
      <c r="L74" s="3"/>
      <c r="M74" s="3"/>
      <c r="N74" s="3"/>
      <c r="O74" s="3"/>
      <c r="P74" s="3"/>
      <c r="Q74" s="3"/>
      <c r="R74" s="3"/>
      <c r="S74" s="3"/>
      <c r="T74" s="46"/>
      <c r="U74" s="46"/>
      <c r="V74" s="46"/>
      <c r="W74" s="46"/>
    </row>
    <row r="75" spans="7:23">
      <c r="G75" s="3"/>
      <c r="H75" s="3"/>
      <c r="I75" s="3"/>
      <c r="J75" s="3"/>
      <c r="K75" s="3"/>
      <c r="L75" s="3"/>
      <c r="M75" s="3"/>
      <c r="N75" s="3"/>
      <c r="O75" s="3"/>
      <c r="P75" s="3"/>
      <c r="Q75" s="3"/>
      <c r="R75" s="3"/>
      <c r="S75" s="3"/>
      <c r="T75" s="46"/>
      <c r="U75" s="46"/>
      <c r="V75" s="46"/>
      <c r="W75" s="46"/>
    </row>
    <row r="76" spans="7:23">
      <c r="G76" s="3"/>
      <c r="H76" s="3"/>
      <c r="I76" s="3"/>
      <c r="J76" s="3"/>
      <c r="K76" s="3"/>
      <c r="L76" s="3"/>
      <c r="M76" s="3"/>
      <c r="N76" s="3"/>
      <c r="O76" s="3"/>
      <c r="P76" s="3"/>
      <c r="Q76" s="3"/>
      <c r="R76" s="3"/>
      <c r="S76" s="3"/>
      <c r="T76" s="46"/>
      <c r="U76" s="46"/>
      <c r="V76" s="46"/>
      <c r="W76" s="46"/>
    </row>
    <row r="77" spans="7:23">
      <c r="G77" s="3"/>
      <c r="H77" s="3"/>
      <c r="I77" s="3"/>
      <c r="J77" s="3"/>
      <c r="K77" s="3"/>
      <c r="L77" s="3"/>
      <c r="M77" s="3"/>
      <c r="N77" s="3"/>
      <c r="O77" s="3"/>
      <c r="P77" s="3"/>
      <c r="Q77" s="3"/>
      <c r="R77" s="3"/>
      <c r="S77" s="3"/>
      <c r="T77" s="46"/>
      <c r="U77" s="46"/>
      <c r="V77" s="46"/>
      <c r="W77" s="46"/>
    </row>
    <row r="78" spans="7:23">
      <c r="G78" s="3"/>
      <c r="H78" s="3"/>
      <c r="I78" s="3"/>
      <c r="J78" s="3"/>
      <c r="K78" s="3"/>
      <c r="L78" s="3"/>
      <c r="M78" s="3"/>
      <c r="N78" s="3"/>
      <c r="O78" s="3"/>
      <c r="P78" s="3"/>
      <c r="Q78" s="3"/>
      <c r="R78" s="3"/>
      <c r="S78" s="3"/>
      <c r="T78" s="46"/>
      <c r="U78" s="46"/>
      <c r="V78" s="46"/>
      <c r="W78" s="46"/>
    </row>
    <row r="79" spans="7:23">
      <c r="G79" s="3"/>
      <c r="H79" s="3"/>
      <c r="I79" s="3"/>
      <c r="J79" s="3"/>
      <c r="K79" s="3"/>
      <c r="L79" s="3"/>
      <c r="M79" s="3"/>
      <c r="N79" s="3"/>
      <c r="O79" s="3"/>
      <c r="P79" s="3"/>
      <c r="Q79" s="3"/>
      <c r="R79" s="3"/>
      <c r="S79" s="3"/>
      <c r="T79" s="46"/>
      <c r="U79" s="46"/>
      <c r="V79" s="46"/>
      <c r="W79" s="46"/>
    </row>
    <row r="80" spans="7:23">
      <c r="G80" s="3"/>
      <c r="H80" s="3"/>
      <c r="I80" s="3"/>
      <c r="J80" s="3"/>
      <c r="K80" s="3"/>
      <c r="L80" s="3"/>
      <c r="M80" s="3"/>
      <c r="N80" s="3"/>
      <c r="O80" s="3"/>
      <c r="P80" s="3"/>
      <c r="Q80" s="3"/>
      <c r="R80" s="3"/>
      <c r="S80" s="3"/>
      <c r="T80" s="46"/>
      <c r="U80" s="46"/>
      <c r="V80" s="46"/>
      <c r="W80" s="46"/>
    </row>
    <row r="81" spans="7:23">
      <c r="G81" s="3"/>
      <c r="H81" s="3"/>
      <c r="I81" s="3"/>
      <c r="J81" s="3"/>
      <c r="K81" s="3"/>
      <c r="L81" s="3"/>
      <c r="M81" s="3"/>
      <c r="N81" s="3"/>
      <c r="O81" s="3"/>
      <c r="P81" s="3"/>
      <c r="Q81" s="3"/>
      <c r="R81" s="3"/>
      <c r="S81" s="3"/>
      <c r="T81" s="46"/>
      <c r="U81" s="46"/>
      <c r="V81" s="46"/>
      <c r="W81" s="46"/>
    </row>
    <row r="82" spans="7:23">
      <c r="G82" s="3"/>
      <c r="H82" s="3"/>
      <c r="I82" s="3"/>
      <c r="J82" s="3"/>
      <c r="K82" s="3"/>
      <c r="L82" s="3"/>
      <c r="M82" s="3"/>
      <c r="N82" s="3"/>
      <c r="O82" s="3"/>
      <c r="P82" s="3"/>
      <c r="Q82" s="3"/>
      <c r="R82" s="3"/>
      <c r="S82" s="3"/>
      <c r="T82" s="46"/>
      <c r="U82" s="46"/>
      <c r="V82" s="46"/>
      <c r="W82" s="46"/>
    </row>
    <row r="83" spans="7:23">
      <c r="G83" s="3"/>
      <c r="H83" s="3"/>
      <c r="I83" s="3"/>
      <c r="J83" s="3"/>
      <c r="K83" s="3"/>
      <c r="L83" s="3"/>
      <c r="M83" s="3"/>
      <c r="N83" s="3"/>
      <c r="O83" s="3"/>
      <c r="P83" s="3"/>
      <c r="Q83" s="3"/>
      <c r="R83" s="3"/>
      <c r="S83" s="3"/>
      <c r="T83" s="46"/>
      <c r="U83" s="46"/>
      <c r="V83" s="46"/>
      <c r="W83" s="46"/>
    </row>
    <row r="84" spans="7:23">
      <c r="G84" s="3"/>
      <c r="H84" s="3"/>
      <c r="I84" s="3"/>
      <c r="J84" s="3"/>
      <c r="K84" s="3"/>
      <c r="L84" s="3"/>
      <c r="M84" s="3"/>
      <c r="N84" s="3"/>
      <c r="O84" s="3"/>
      <c r="P84" s="3"/>
      <c r="Q84" s="3"/>
      <c r="R84" s="3"/>
      <c r="S84" s="3"/>
      <c r="T84" s="46"/>
      <c r="U84" s="46"/>
      <c r="V84" s="46"/>
      <c r="W84" s="46"/>
    </row>
    <row r="85" spans="7:23">
      <c r="G85" s="3"/>
      <c r="H85" s="3"/>
      <c r="I85" s="3"/>
      <c r="J85" s="3"/>
      <c r="K85" s="3"/>
      <c r="L85" s="3"/>
      <c r="M85" s="3"/>
      <c r="N85" s="3"/>
      <c r="O85" s="3"/>
      <c r="P85" s="3"/>
      <c r="Q85" s="3"/>
      <c r="R85" s="3"/>
      <c r="S85" s="3"/>
      <c r="T85" s="46"/>
      <c r="U85" s="46"/>
      <c r="V85" s="46"/>
      <c r="W85" s="46"/>
    </row>
    <row r="86" spans="7:23">
      <c r="G86" s="3"/>
      <c r="H86" s="3"/>
      <c r="I86" s="3"/>
      <c r="J86" s="3"/>
      <c r="K86" s="3"/>
      <c r="L86" s="3"/>
      <c r="M86" s="3"/>
      <c r="N86" s="3"/>
      <c r="O86" s="3"/>
      <c r="P86" s="3"/>
      <c r="Q86" s="3"/>
      <c r="R86" s="3"/>
      <c r="S86" s="3"/>
      <c r="T86" s="46"/>
      <c r="U86" s="46"/>
      <c r="V86" s="46"/>
      <c r="W86" s="46"/>
    </row>
    <row r="87" spans="7:23">
      <c r="G87" s="3"/>
      <c r="H87" s="3"/>
      <c r="I87" s="3"/>
      <c r="J87" s="3"/>
      <c r="K87" s="3"/>
      <c r="L87" s="3"/>
      <c r="M87" s="3"/>
      <c r="N87" s="3"/>
      <c r="O87" s="3"/>
      <c r="P87" s="3"/>
      <c r="Q87" s="3"/>
      <c r="R87" s="3"/>
      <c r="S87" s="3"/>
      <c r="T87" s="46"/>
      <c r="U87" s="46"/>
      <c r="V87" s="46"/>
      <c r="W87" s="46"/>
    </row>
    <row r="88" spans="7:23">
      <c r="G88" s="3"/>
      <c r="H88" s="3"/>
      <c r="I88" s="3"/>
      <c r="J88" s="3"/>
      <c r="K88" s="3"/>
      <c r="L88" s="3"/>
      <c r="M88" s="3"/>
      <c r="N88" s="3"/>
      <c r="O88" s="3"/>
      <c r="P88" s="3"/>
      <c r="Q88" s="3"/>
      <c r="R88" s="3"/>
      <c r="S88" s="3"/>
      <c r="T88" s="46"/>
      <c r="U88" s="46"/>
      <c r="V88" s="46"/>
      <c r="W88" s="46"/>
    </row>
    <row r="89" spans="7:23">
      <c r="G89" s="3"/>
      <c r="H89" s="3"/>
      <c r="I89" s="3"/>
      <c r="J89" s="3"/>
      <c r="K89" s="3"/>
      <c r="L89" s="3"/>
      <c r="M89" s="3"/>
      <c r="N89" s="3"/>
      <c r="O89" s="3"/>
      <c r="P89" s="3"/>
      <c r="Q89" s="3"/>
      <c r="R89" s="3"/>
      <c r="S89" s="3"/>
      <c r="T89" s="46"/>
      <c r="U89" s="46"/>
      <c r="V89" s="46"/>
      <c r="W89" s="46"/>
    </row>
    <row r="90" spans="7:23">
      <c r="G90" s="3"/>
      <c r="H90" s="3"/>
      <c r="I90" s="3"/>
      <c r="J90" s="3"/>
      <c r="K90" s="3"/>
      <c r="L90" s="3"/>
      <c r="M90" s="3"/>
      <c r="N90" s="3"/>
      <c r="O90" s="3"/>
      <c r="P90" s="3"/>
      <c r="Q90" s="3"/>
      <c r="R90" s="3"/>
      <c r="S90" s="3"/>
      <c r="T90" s="46"/>
      <c r="U90" s="46"/>
      <c r="V90" s="46"/>
      <c r="W90" s="46"/>
    </row>
    <row r="91" spans="7:23">
      <c r="G91" s="3"/>
      <c r="H91" s="3"/>
      <c r="I91" s="3"/>
      <c r="J91" s="3"/>
      <c r="K91" s="3"/>
      <c r="L91" s="3"/>
      <c r="M91" s="3"/>
      <c r="N91" s="3"/>
      <c r="O91" s="3"/>
      <c r="P91" s="3"/>
      <c r="Q91" s="3"/>
      <c r="R91" s="3"/>
      <c r="S91" s="3"/>
      <c r="T91" s="46"/>
      <c r="U91" s="46"/>
      <c r="V91" s="46"/>
      <c r="W91" s="46"/>
    </row>
    <row r="92" spans="7:23">
      <c r="G92" s="3"/>
      <c r="H92" s="3"/>
      <c r="I92" s="3"/>
      <c r="J92" s="3"/>
      <c r="K92" s="3"/>
      <c r="L92" s="3"/>
      <c r="M92" s="3"/>
      <c r="N92" s="3"/>
      <c r="O92" s="3"/>
      <c r="P92" s="3"/>
      <c r="Q92" s="3"/>
      <c r="R92" s="3"/>
      <c r="S92" s="3"/>
      <c r="T92" s="46"/>
      <c r="U92" s="46"/>
      <c r="V92" s="46"/>
      <c r="W92" s="46"/>
    </row>
    <row r="93" spans="7:23">
      <c r="G93" s="3"/>
      <c r="H93" s="3"/>
      <c r="I93" s="3"/>
      <c r="J93" s="3"/>
      <c r="K93" s="3"/>
      <c r="L93" s="3"/>
      <c r="M93" s="3"/>
      <c r="N93" s="3"/>
      <c r="O93" s="3"/>
      <c r="P93" s="3"/>
      <c r="Q93" s="3"/>
      <c r="R93" s="3"/>
      <c r="S93" s="3"/>
      <c r="T93" s="46"/>
      <c r="U93" s="46"/>
      <c r="V93" s="46"/>
      <c r="W93" s="46"/>
    </row>
    <row r="94" spans="7:23">
      <c r="G94" s="3"/>
      <c r="H94" s="3"/>
      <c r="I94" s="3"/>
      <c r="J94" s="3"/>
      <c r="K94" s="3"/>
      <c r="L94" s="3"/>
      <c r="M94" s="3"/>
      <c r="N94" s="3"/>
      <c r="O94" s="3"/>
      <c r="P94" s="3"/>
      <c r="Q94" s="3"/>
      <c r="R94" s="3"/>
      <c r="S94" s="3"/>
      <c r="T94" s="46"/>
      <c r="U94" s="46"/>
      <c r="V94" s="46"/>
      <c r="W94" s="46"/>
    </row>
    <row r="95" spans="7:23">
      <c r="G95" s="3"/>
      <c r="H95" s="3"/>
      <c r="I95" s="3"/>
      <c r="J95" s="3"/>
      <c r="K95" s="3"/>
      <c r="L95" s="3"/>
      <c r="M95" s="3"/>
      <c r="N95" s="3"/>
      <c r="O95" s="3"/>
      <c r="P95" s="3"/>
      <c r="Q95" s="3"/>
      <c r="R95" s="3"/>
      <c r="S95" s="3"/>
      <c r="T95" s="46"/>
      <c r="U95" s="46"/>
      <c r="V95" s="46"/>
      <c r="W95" s="46"/>
    </row>
    <row r="96" spans="7:23">
      <c r="G96" s="3"/>
      <c r="H96" s="3"/>
      <c r="I96" s="3"/>
      <c r="J96" s="3"/>
      <c r="K96" s="3"/>
      <c r="L96" s="3"/>
      <c r="M96" s="3"/>
      <c r="N96" s="3"/>
      <c r="O96" s="3"/>
      <c r="P96" s="3"/>
      <c r="Q96" s="3"/>
      <c r="R96" s="3"/>
      <c r="S96" s="3"/>
      <c r="T96" s="46"/>
      <c r="U96" s="46"/>
      <c r="V96" s="46"/>
      <c r="W96" s="46"/>
    </row>
    <row r="97" spans="7:23">
      <c r="G97" s="3"/>
      <c r="H97" s="3"/>
      <c r="I97" s="3"/>
      <c r="J97" s="3"/>
      <c r="K97" s="3"/>
      <c r="L97" s="3"/>
      <c r="M97" s="3"/>
      <c r="N97" s="3"/>
      <c r="O97" s="3"/>
      <c r="P97" s="3"/>
      <c r="Q97" s="3"/>
      <c r="R97" s="3"/>
      <c r="S97" s="3"/>
      <c r="T97" s="46"/>
      <c r="U97" s="46"/>
      <c r="V97" s="46"/>
      <c r="W97" s="46"/>
    </row>
    <row r="98" spans="7:23">
      <c r="G98" s="3"/>
      <c r="H98" s="3"/>
      <c r="I98" s="3"/>
      <c r="J98" s="3"/>
      <c r="K98" s="3"/>
      <c r="L98" s="3"/>
      <c r="M98" s="3"/>
      <c r="N98" s="3"/>
      <c r="O98" s="3"/>
      <c r="P98" s="3"/>
      <c r="Q98" s="3"/>
      <c r="R98" s="3"/>
      <c r="S98" s="3"/>
      <c r="T98" s="46"/>
      <c r="U98" s="46"/>
      <c r="V98" s="46"/>
      <c r="W98" s="46"/>
    </row>
    <row r="99" spans="7:23">
      <c r="G99" s="3"/>
      <c r="H99" s="3"/>
      <c r="I99" s="3"/>
      <c r="J99" s="3"/>
      <c r="K99" s="3"/>
      <c r="L99" s="3"/>
      <c r="M99" s="3"/>
      <c r="N99" s="3"/>
      <c r="O99" s="3"/>
      <c r="P99" s="3"/>
      <c r="Q99" s="3"/>
      <c r="R99" s="3"/>
      <c r="S99" s="3"/>
      <c r="T99" s="46"/>
      <c r="U99" s="46"/>
      <c r="V99" s="46"/>
      <c r="W99" s="46"/>
    </row>
    <row r="100" spans="7:23">
      <c r="G100" s="3"/>
      <c r="H100" s="3"/>
      <c r="I100" s="3"/>
      <c r="J100" s="3"/>
      <c r="K100" s="3"/>
      <c r="L100" s="3"/>
      <c r="M100" s="3"/>
      <c r="N100" s="3"/>
      <c r="O100" s="3"/>
      <c r="P100" s="3"/>
      <c r="Q100" s="3"/>
      <c r="R100" s="3"/>
      <c r="S100" s="3"/>
      <c r="T100" s="46"/>
      <c r="U100" s="46"/>
      <c r="V100" s="46"/>
      <c r="W100" s="46"/>
    </row>
    <row r="101" spans="7:23">
      <c r="G101" s="3"/>
      <c r="H101" s="3"/>
      <c r="I101" s="3"/>
      <c r="J101" s="3"/>
      <c r="K101" s="3"/>
      <c r="L101" s="3"/>
      <c r="M101" s="3"/>
      <c r="N101" s="3"/>
      <c r="O101" s="3"/>
      <c r="P101" s="3"/>
      <c r="Q101" s="3"/>
      <c r="R101" s="3"/>
      <c r="S101" s="3"/>
      <c r="T101" s="46"/>
      <c r="U101" s="46"/>
      <c r="V101" s="46"/>
      <c r="W101" s="46"/>
    </row>
    <row r="102" spans="7:23">
      <c r="G102" s="3"/>
      <c r="H102" s="3"/>
      <c r="I102" s="3"/>
      <c r="J102" s="3"/>
      <c r="K102" s="3"/>
      <c r="L102" s="3"/>
      <c r="M102" s="3"/>
      <c r="N102" s="3"/>
      <c r="O102" s="3"/>
      <c r="P102" s="3"/>
      <c r="Q102" s="3"/>
      <c r="R102" s="3"/>
      <c r="S102" s="3"/>
      <c r="T102" s="46"/>
      <c r="U102" s="46"/>
      <c r="V102" s="46"/>
      <c r="W102" s="46"/>
    </row>
    <row r="103" spans="7:23">
      <c r="G103" s="3"/>
      <c r="H103" s="3"/>
      <c r="I103" s="3"/>
      <c r="J103" s="3"/>
      <c r="K103" s="3"/>
      <c r="L103" s="3"/>
      <c r="M103" s="3"/>
      <c r="N103" s="3"/>
      <c r="O103" s="3"/>
      <c r="P103" s="3"/>
      <c r="Q103" s="3"/>
      <c r="R103" s="3"/>
      <c r="S103" s="3"/>
      <c r="T103" s="46"/>
      <c r="U103" s="46"/>
      <c r="V103" s="46"/>
      <c r="W103" s="46"/>
    </row>
    <row r="104" spans="7:23">
      <c r="G104" s="3"/>
      <c r="H104" s="3"/>
      <c r="I104" s="3"/>
      <c r="J104" s="3"/>
      <c r="K104" s="3"/>
      <c r="L104" s="3"/>
      <c r="M104" s="3"/>
      <c r="N104" s="3"/>
      <c r="O104" s="3"/>
      <c r="P104" s="3"/>
      <c r="Q104" s="3"/>
      <c r="R104" s="3"/>
      <c r="S104" s="3"/>
      <c r="T104" s="46"/>
      <c r="U104" s="46"/>
      <c r="V104" s="46"/>
      <c r="W104" s="46"/>
    </row>
    <row r="105" spans="7:23">
      <c r="G105" s="3"/>
      <c r="H105" s="3"/>
      <c r="I105" s="3"/>
      <c r="J105" s="3"/>
      <c r="K105" s="3"/>
      <c r="L105" s="3"/>
      <c r="M105" s="3"/>
      <c r="N105" s="3"/>
      <c r="O105" s="3"/>
      <c r="P105" s="3"/>
      <c r="Q105" s="3"/>
      <c r="R105" s="3"/>
      <c r="S105" s="3"/>
      <c r="T105" s="46"/>
      <c r="U105" s="46"/>
      <c r="V105" s="46"/>
      <c r="W105" s="46"/>
    </row>
    <row r="106" spans="7:23">
      <c r="G106" s="3"/>
      <c r="H106" s="3"/>
      <c r="I106" s="3"/>
      <c r="J106" s="3"/>
      <c r="K106" s="3"/>
      <c r="L106" s="3"/>
      <c r="M106" s="3"/>
      <c r="N106" s="3"/>
      <c r="O106" s="3"/>
      <c r="P106" s="3"/>
      <c r="Q106" s="3"/>
      <c r="R106" s="3"/>
      <c r="S106" s="3"/>
      <c r="T106" s="46"/>
      <c r="U106" s="46"/>
      <c r="V106" s="46"/>
      <c r="W106" s="46"/>
    </row>
    <row r="107" spans="7:23">
      <c r="G107" s="3"/>
      <c r="H107" s="3"/>
      <c r="I107" s="3"/>
      <c r="J107" s="3"/>
      <c r="K107" s="3"/>
      <c r="L107" s="3"/>
      <c r="M107" s="3"/>
      <c r="N107" s="3"/>
      <c r="O107" s="3"/>
      <c r="P107" s="3"/>
      <c r="Q107" s="3"/>
      <c r="R107" s="3"/>
      <c r="S107" s="3"/>
      <c r="T107" s="46"/>
      <c r="U107" s="46"/>
      <c r="V107" s="46"/>
      <c r="W107" s="46"/>
    </row>
    <row r="108" spans="7:23">
      <c r="G108" s="3"/>
      <c r="H108" s="3"/>
      <c r="I108" s="3"/>
      <c r="J108" s="3"/>
      <c r="K108" s="3"/>
      <c r="L108" s="3"/>
      <c r="M108" s="3"/>
      <c r="N108" s="3"/>
      <c r="O108" s="3"/>
      <c r="P108" s="3"/>
      <c r="Q108" s="3"/>
      <c r="R108" s="3"/>
      <c r="S108" s="3"/>
      <c r="T108" s="46"/>
      <c r="U108" s="46"/>
      <c r="V108" s="46"/>
      <c r="W108" s="46"/>
    </row>
    <row r="109" spans="7:23">
      <c r="G109" s="3"/>
      <c r="H109" s="3"/>
      <c r="I109" s="3"/>
      <c r="J109" s="3"/>
      <c r="K109" s="3"/>
      <c r="L109" s="3"/>
      <c r="M109" s="3"/>
      <c r="N109" s="3"/>
      <c r="O109" s="3"/>
      <c r="P109" s="3"/>
      <c r="Q109" s="3"/>
      <c r="R109" s="3"/>
      <c r="S109" s="3"/>
      <c r="T109" s="46"/>
      <c r="U109" s="46"/>
      <c r="V109" s="46"/>
      <c r="W109" s="46"/>
    </row>
    <row r="110" spans="7:23">
      <c r="G110" s="3"/>
      <c r="H110" s="3"/>
      <c r="I110" s="3"/>
      <c r="J110" s="3"/>
      <c r="K110" s="3"/>
      <c r="L110" s="3"/>
      <c r="M110" s="3"/>
      <c r="N110" s="3"/>
      <c r="O110" s="3"/>
      <c r="P110" s="3"/>
      <c r="Q110" s="3"/>
      <c r="R110" s="3"/>
      <c r="S110" s="3"/>
      <c r="T110" s="46"/>
      <c r="U110" s="46"/>
      <c r="V110" s="46"/>
      <c r="W110" s="46"/>
    </row>
    <row r="111" spans="7:23">
      <c r="G111" s="3"/>
      <c r="H111" s="3"/>
      <c r="I111" s="3"/>
      <c r="J111" s="3"/>
      <c r="K111" s="3"/>
      <c r="L111" s="3"/>
      <c r="M111" s="3"/>
      <c r="N111" s="3"/>
      <c r="O111" s="3"/>
      <c r="P111" s="3"/>
      <c r="Q111" s="3"/>
      <c r="R111" s="3"/>
      <c r="S111" s="3"/>
      <c r="T111" s="46"/>
      <c r="U111" s="46"/>
      <c r="V111" s="46"/>
      <c r="W111" s="46"/>
    </row>
    <row r="112" spans="7:23">
      <c r="G112" s="3"/>
      <c r="H112" s="3"/>
      <c r="I112" s="3"/>
      <c r="J112" s="3"/>
      <c r="K112" s="3"/>
      <c r="L112" s="3"/>
      <c r="M112" s="3"/>
      <c r="N112" s="3"/>
      <c r="O112" s="3"/>
      <c r="P112" s="3"/>
      <c r="Q112" s="3"/>
      <c r="R112" s="3"/>
      <c r="S112" s="3"/>
      <c r="T112" s="46"/>
      <c r="U112" s="46"/>
      <c r="V112" s="46"/>
      <c r="W112" s="46"/>
    </row>
    <row r="113" spans="7:23">
      <c r="G113" s="3"/>
      <c r="H113" s="3"/>
      <c r="I113" s="3"/>
      <c r="J113" s="3"/>
      <c r="K113" s="3"/>
      <c r="L113" s="3"/>
      <c r="M113" s="3"/>
      <c r="N113" s="3"/>
      <c r="O113" s="3"/>
      <c r="P113" s="3"/>
      <c r="Q113" s="3"/>
      <c r="R113" s="3"/>
      <c r="S113" s="3"/>
      <c r="T113" s="46"/>
      <c r="U113" s="46"/>
      <c r="V113" s="46"/>
      <c r="W113" s="46"/>
    </row>
    <row r="114" spans="7:23">
      <c r="G114" s="3"/>
      <c r="H114" s="3"/>
      <c r="I114" s="3"/>
      <c r="J114" s="3"/>
      <c r="K114" s="3"/>
      <c r="L114" s="3"/>
      <c r="M114" s="3"/>
      <c r="N114" s="3"/>
      <c r="O114" s="3"/>
      <c r="P114" s="3"/>
      <c r="Q114" s="3"/>
      <c r="R114" s="3"/>
      <c r="S114" s="3"/>
      <c r="T114" s="46"/>
      <c r="U114" s="46"/>
      <c r="V114" s="46"/>
      <c r="W114" s="46"/>
    </row>
    <row r="115" spans="7:23">
      <c r="G115" s="3"/>
      <c r="H115" s="3"/>
      <c r="I115" s="3"/>
      <c r="J115" s="3"/>
      <c r="K115" s="3"/>
      <c r="L115" s="3"/>
      <c r="M115" s="3"/>
      <c r="N115" s="3"/>
      <c r="O115" s="3"/>
      <c r="P115" s="3"/>
      <c r="Q115" s="3"/>
      <c r="R115" s="3"/>
      <c r="S115" s="3"/>
      <c r="T115" s="46"/>
      <c r="U115" s="46"/>
      <c r="V115" s="46"/>
      <c r="W115" s="46"/>
    </row>
    <row r="116" spans="7:23">
      <c r="G116" s="3"/>
      <c r="H116" s="3"/>
      <c r="I116" s="3"/>
      <c r="J116" s="3"/>
      <c r="K116" s="3"/>
      <c r="L116" s="3"/>
      <c r="M116" s="3"/>
      <c r="N116" s="3"/>
      <c r="O116" s="3"/>
      <c r="P116" s="3"/>
      <c r="Q116" s="3"/>
      <c r="R116" s="3"/>
      <c r="S116" s="3"/>
      <c r="T116" s="46"/>
      <c r="U116" s="46"/>
      <c r="V116" s="46"/>
      <c r="W116" s="46"/>
    </row>
    <row r="117" spans="7:23">
      <c r="G117" s="3"/>
      <c r="H117" s="3"/>
      <c r="I117" s="3"/>
      <c r="J117" s="3"/>
      <c r="K117" s="3"/>
      <c r="L117" s="3"/>
      <c r="M117" s="3"/>
      <c r="N117" s="3"/>
      <c r="O117" s="3"/>
      <c r="P117" s="3"/>
      <c r="Q117" s="3"/>
      <c r="R117" s="3"/>
      <c r="S117" s="3"/>
      <c r="T117" s="46"/>
      <c r="U117" s="46"/>
      <c r="V117" s="46"/>
      <c r="W117" s="46"/>
    </row>
    <row r="118" spans="7:23">
      <c r="G118" s="3"/>
      <c r="H118" s="3"/>
      <c r="I118" s="3"/>
      <c r="J118" s="3"/>
      <c r="K118" s="3"/>
      <c r="L118" s="3"/>
      <c r="M118" s="3"/>
      <c r="N118" s="3"/>
      <c r="O118" s="3"/>
      <c r="P118" s="3"/>
      <c r="Q118" s="3"/>
      <c r="R118" s="3"/>
      <c r="S118" s="3"/>
      <c r="T118" s="46"/>
      <c r="U118" s="46"/>
      <c r="V118" s="46"/>
      <c r="W118" s="46"/>
    </row>
    <row r="119" spans="7:23">
      <c r="G119" s="3"/>
      <c r="H119" s="3"/>
      <c r="I119" s="3"/>
      <c r="J119" s="3"/>
      <c r="K119" s="3"/>
      <c r="L119" s="3"/>
      <c r="M119" s="3"/>
      <c r="N119" s="3"/>
      <c r="O119" s="3"/>
      <c r="P119" s="3"/>
      <c r="Q119" s="3"/>
      <c r="R119" s="3"/>
      <c r="S119" s="3"/>
      <c r="T119" s="46"/>
      <c r="U119" s="46"/>
      <c r="V119" s="46"/>
      <c r="W119" s="46"/>
    </row>
    <row r="120" spans="7:23">
      <c r="G120" s="3"/>
      <c r="H120" s="3"/>
      <c r="I120" s="3"/>
      <c r="J120" s="3"/>
      <c r="K120" s="3"/>
      <c r="L120" s="3"/>
      <c r="M120" s="3"/>
      <c r="N120" s="3"/>
      <c r="O120" s="3"/>
      <c r="P120" s="3"/>
      <c r="Q120" s="3"/>
      <c r="R120" s="3"/>
      <c r="S120" s="3"/>
      <c r="T120" s="46"/>
      <c r="U120" s="46"/>
      <c r="V120" s="46"/>
      <c r="W120" s="46"/>
    </row>
    <row r="121" spans="7:23">
      <c r="G121" s="3"/>
      <c r="H121" s="3"/>
      <c r="I121" s="3"/>
      <c r="J121" s="3"/>
      <c r="K121" s="3"/>
      <c r="L121" s="3"/>
      <c r="M121" s="3"/>
      <c r="N121" s="3"/>
      <c r="O121" s="3"/>
      <c r="P121" s="3"/>
      <c r="Q121" s="3"/>
      <c r="R121" s="3"/>
      <c r="S121" s="3"/>
      <c r="T121" s="46"/>
      <c r="U121" s="46"/>
      <c r="V121" s="46"/>
      <c r="W121" s="46"/>
    </row>
    <row r="122" spans="7:23">
      <c r="G122" s="3"/>
      <c r="H122" s="3"/>
      <c r="I122" s="3"/>
      <c r="J122" s="3"/>
      <c r="K122" s="3"/>
      <c r="L122" s="3"/>
      <c r="M122" s="3"/>
      <c r="N122" s="3"/>
      <c r="O122" s="3"/>
      <c r="P122" s="3"/>
      <c r="Q122" s="3"/>
      <c r="R122" s="3"/>
      <c r="S122" s="3"/>
      <c r="T122" s="46"/>
      <c r="U122" s="46"/>
      <c r="V122" s="46"/>
      <c r="W122" s="46"/>
    </row>
    <row r="123" spans="7:23">
      <c r="G123" s="3"/>
      <c r="H123" s="3"/>
      <c r="I123" s="3"/>
      <c r="J123" s="3"/>
      <c r="K123" s="3"/>
      <c r="L123" s="3"/>
      <c r="M123" s="3"/>
      <c r="N123" s="3"/>
      <c r="O123" s="3"/>
      <c r="P123" s="3"/>
      <c r="Q123" s="3"/>
      <c r="R123" s="3"/>
      <c r="S123" s="3"/>
      <c r="T123" s="46"/>
      <c r="U123" s="46"/>
      <c r="V123" s="46"/>
      <c r="W123" s="46"/>
    </row>
    <row r="124" spans="7:23">
      <c r="G124" s="3"/>
      <c r="H124" s="3"/>
      <c r="I124" s="3"/>
      <c r="J124" s="3"/>
      <c r="K124" s="3"/>
      <c r="L124" s="3"/>
      <c r="M124" s="3"/>
      <c r="N124" s="3"/>
      <c r="O124" s="3"/>
      <c r="P124" s="3"/>
      <c r="Q124" s="3"/>
      <c r="R124" s="3"/>
      <c r="S124" s="3"/>
      <c r="T124" s="46"/>
      <c r="U124" s="46"/>
      <c r="V124" s="46"/>
      <c r="W124" s="46"/>
    </row>
    <row r="125" spans="7:23">
      <c r="G125" s="3"/>
      <c r="H125" s="3"/>
      <c r="I125" s="3"/>
      <c r="J125" s="3"/>
      <c r="K125" s="3"/>
      <c r="L125" s="3"/>
      <c r="M125" s="3"/>
      <c r="N125" s="3"/>
      <c r="O125" s="3"/>
      <c r="P125" s="3"/>
      <c r="Q125" s="3"/>
      <c r="R125" s="3"/>
      <c r="S125" s="3"/>
      <c r="T125" s="46"/>
      <c r="U125" s="46"/>
      <c r="V125" s="46"/>
      <c r="W125" s="46"/>
    </row>
    <row r="126" spans="7:23">
      <c r="G126" s="3"/>
      <c r="H126" s="3"/>
      <c r="I126" s="3"/>
      <c r="J126" s="3"/>
      <c r="K126" s="3"/>
      <c r="L126" s="3"/>
      <c r="M126" s="3"/>
      <c r="N126" s="3"/>
      <c r="O126" s="3"/>
      <c r="P126" s="3"/>
      <c r="Q126" s="3"/>
      <c r="R126" s="3"/>
      <c r="S126" s="3"/>
      <c r="T126" s="46"/>
      <c r="U126" s="46"/>
      <c r="V126" s="46"/>
      <c r="W126" s="46"/>
    </row>
    <row r="127" spans="7:23">
      <c r="G127" s="3"/>
      <c r="H127" s="3"/>
      <c r="I127" s="3"/>
      <c r="J127" s="3"/>
      <c r="K127" s="3"/>
      <c r="L127" s="3"/>
      <c r="M127" s="3"/>
      <c r="N127" s="3"/>
      <c r="O127" s="3"/>
      <c r="P127" s="3"/>
      <c r="Q127" s="3"/>
      <c r="R127" s="3"/>
      <c r="S127" s="3"/>
      <c r="T127" s="46"/>
      <c r="U127" s="46"/>
      <c r="V127" s="46"/>
      <c r="W127" s="46"/>
    </row>
    <row r="128" spans="7:23">
      <c r="G128" s="3"/>
      <c r="H128" s="3"/>
      <c r="I128" s="3"/>
      <c r="J128" s="3"/>
      <c r="K128" s="3"/>
      <c r="L128" s="3"/>
      <c r="M128" s="3"/>
      <c r="N128" s="3"/>
      <c r="O128" s="3"/>
      <c r="P128" s="3"/>
      <c r="Q128" s="3"/>
      <c r="R128" s="3"/>
      <c r="S128" s="3"/>
      <c r="T128" s="46"/>
      <c r="U128" s="46"/>
      <c r="V128" s="46"/>
      <c r="W128" s="46"/>
    </row>
    <row r="129" spans="7:23">
      <c r="G129" s="3"/>
      <c r="H129" s="3"/>
      <c r="I129" s="3"/>
      <c r="J129" s="3"/>
      <c r="K129" s="3"/>
      <c r="L129" s="3"/>
      <c r="M129" s="3"/>
      <c r="N129" s="3"/>
      <c r="O129" s="3"/>
      <c r="P129" s="3"/>
      <c r="Q129" s="3"/>
      <c r="R129" s="3"/>
      <c r="S129" s="3"/>
      <c r="T129" s="46"/>
      <c r="U129" s="46"/>
      <c r="V129" s="46"/>
      <c r="W129" s="46"/>
    </row>
    <row r="130" spans="7:23">
      <c r="G130" s="3"/>
      <c r="H130" s="3"/>
      <c r="I130" s="3"/>
      <c r="J130" s="3"/>
      <c r="K130" s="3"/>
      <c r="L130" s="3"/>
      <c r="M130" s="3"/>
      <c r="N130" s="3"/>
      <c r="O130" s="3"/>
      <c r="P130" s="3"/>
      <c r="Q130" s="3"/>
      <c r="R130" s="3"/>
      <c r="S130" s="3"/>
      <c r="T130" s="46"/>
      <c r="U130" s="46"/>
      <c r="V130" s="46"/>
      <c r="W130" s="46"/>
    </row>
    <row r="131" spans="7:23">
      <c r="G131" s="3"/>
      <c r="H131" s="3"/>
      <c r="I131" s="3"/>
      <c r="J131" s="3"/>
      <c r="K131" s="3"/>
      <c r="L131" s="3"/>
      <c r="M131" s="3"/>
      <c r="N131" s="3"/>
      <c r="O131" s="3"/>
      <c r="P131" s="3"/>
      <c r="Q131" s="3"/>
      <c r="R131" s="3"/>
      <c r="S131" s="3"/>
      <c r="T131" s="46"/>
      <c r="U131" s="46"/>
      <c r="V131" s="46"/>
      <c r="W131" s="46"/>
    </row>
    <row r="132" spans="7:23">
      <c r="G132" s="3"/>
      <c r="H132" s="3"/>
      <c r="I132" s="3"/>
      <c r="J132" s="3"/>
      <c r="K132" s="3"/>
      <c r="L132" s="3"/>
      <c r="M132" s="3"/>
      <c r="N132" s="3"/>
      <c r="O132" s="3"/>
      <c r="P132" s="3"/>
      <c r="Q132" s="3"/>
      <c r="R132" s="3"/>
      <c r="S132" s="3"/>
      <c r="T132" s="46"/>
      <c r="U132" s="46"/>
      <c r="V132" s="46"/>
      <c r="W132" s="46"/>
    </row>
    <row r="133" spans="7:23">
      <c r="G133" s="3"/>
      <c r="H133" s="3"/>
      <c r="I133" s="3"/>
      <c r="J133" s="3"/>
      <c r="K133" s="3"/>
      <c r="L133" s="3"/>
      <c r="M133" s="3"/>
      <c r="N133" s="3"/>
      <c r="O133" s="3"/>
      <c r="P133" s="3"/>
      <c r="Q133" s="3"/>
      <c r="R133" s="3"/>
      <c r="S133" s="3"/>
      <c r="T133" s="46"/>
      <c r="U133" s="46"/>
      <c r="V133" s="46"/>
      <c r="W133" s="46"/>
    </row>
    <row r="134" spans="7:23">
      <c r="G134" s="3"/>
      <c r="H134" s="3"/>
      <c r="I134" s="3"/>
      <c r="J134" s="3"/>
      <c r="K134" s="3"/>
      <c r="L134" s="3"/>
      <c r="M134" s="3"/>
      <c r="N134" s="3"/>
      <c r="O134" s="3"/>
      <c r="P134" s="3"/>
      <c r="Q134" s="3"/>
      <c r="R134" s="3"/>
      <c r="S134" s="3"/>
      <c r="T134" s="46"/>
      <c r="U134" s="46"/>
      <c r="V134" s="46"/>
      <c r="W134" s="46"/>
    </row>
    <row r="135" spans="7:23">
      <c r="G135" s="3"/>
      <c r="H135" s="3"/>
      <c r="I135" s="3"/>
      <c r="J135" s="3"/>
      <c r="K135" s="3"/>
      <c r="L135" s="3"/>
      <c r="M135" s="3"/>
      <c r="N135" s="3"/>
      <c r="O135" s="3"/>
      <c r="P135" s="3"/>
      <c r="Q135" s="3"/>
      <c r="R135" s="3"/>
      <c r="S135" s="3"/>
      <c r="T135" s="46"/>
      <c r="U135" s="46"/>
      <c r="V135" s="46"/>
      <c r="W135" s="46"/>
    </row>
    <row r="136" spans="7:23">
      <c r="G136" s="3"/>
      <c r="H136" s="3"/>
      <c r="I136" s="3"/>
      <c r="J136" s="3"/>
      <c r="K136" s="3"/>
      <c r="L136" s="3"/>
      <c r="M136" s="3"/>
      <c r="N136" s="3"/>
      <c r="O136" s="3"/>
      <c r="P136" s="3"/>
      <c r="Q136" s="3"/>
      <c r="R136" s="3"/>
      <c r="S136" s="3"/>
      <c r="T136" s="46"/>
      <c r="U136" s="46"/>
      <c r="V136" s="46"/>
      <c r="W136" s="46"/>
    </row>
    <row r="137" spans="7:23">
      <c r="G137" s="3"/>
      <c r="H137" s="3"/>
      <c r="I137" s="3"/>
      <c r="J137" s="3"/>
      <c r="K137" s="3"/>
      <c r="L137" s="3"/>
      <c r="M137" s="3"/>
      <c r="N137" s="3"/>
      <c r="O137" s="3"/>
      <c r="P137" s="3"/>
      <c r="Q137" s="3"/>
      <c r="R137" s="3"/>
      <c r="S137" s="3"/>
      <c r="T137" s="46"/>
      <c r="U137" s="46"/>
      <c r="V137" s="46"/>
      <c r="W137" s="46"/>
    </row>
    <row r="138" spans="7:23">
      <c r="G138" s="3"/>
      <c r="H138" s="3"/>
      <c r="I138" s="3"/>
      <c r="J138" s="3"/>
      <c r="K138" s="3"/>
      <c r="L138" s="3"/>
      <c r="M138" s="3"/>
      <c r="N138" s="3"/>
      <c r="O138" s="3"/>
      <c r="P138" s="3"/>
      <c r="Q138" s="3"/>
      <c r="R138" s="3"/>
      <c r="S138" s="3"/>
      <c r="T138" s="46"/>
      <c r="U138" s="46"/>
      <c r="V138" s="46"/>
      <c r="W138" s="46"/>
    </row>
    <row r="139" spans="7:23">
      <c r="G139" s="3"/>
      <c r="H139" s="3"/>
      <c r="I139" s="3"/>
      <c r="J139" s="3"/>
      <c r="K139" s="3"/>
      <c r="L139" s="3"/>
      <c r="M139" s="3"/>
      <c r="N139" s="3"/>
      <c r="O139" s="3"/>
      <c r="P139" s="3"/>
      <c r="Q139" s="3"/>
      <c r="R139" s="3"/>
      <c r="S139" s="3"/>
      <c r="T139" s="46"/>
      <c r="U139" s="46"/>
      <c r="V139" s="46"/>
      <c r="W139" s="46"/>
    </row>
    <row r="140" spans="7:23">
      <c r="G140" s="3"/>
      <c r="H140" s="3"/>
      <c r="I140" s="3"/>
      <c r="J140" s="3"/>
      <c r="K140" s="3"/>
      <c r="L140" s="3"/>
      <c r="M140" s="3"/>
      <c r="N140" s="3"/>
      <c r="O140" s="3"/>
      <c r="P140" s="3"/>
      <c r="Q140" s="3"/>
      <c r="R140" s="3"/>
      <c r="S140" s="3"/>
      <c r="T140" s="46"/>
      <c r="U140" s="46"/>
      <c r="V140" s="46"/>
      <c r="W140" s="46"/>
    </row>
    <row r="141" spans="7:23">
      <c r="G141" s="3"/>
      <c r="H141" s="3"/>
      <c r="I141" s="3"/>
      <c r="J141" s="3"/>
      <c r="K141" s="3"/>
      <c r="L141" s="3"/>
      <c r="M141" s="3"/>
      <c r="N141" s="3"/>
      <c r="O141" s="3"/>
      <c r="P141" s="3"/>
      <c r="Q141" s="3"/>
      <c r="R141" s="3"/>
      <c r="S141" s="3"/>
      <c r="T141" s="46"/>
      <c r="U141" s="46"/>
      <c r="V141" s="46"/>
      <c r="W141" s="46"/>
    </row>
    <row r="142" spans="7:23">
      <c r="G142" s="3"/>
      <c r="H142" s="3"/>
      <c r="I142" s="3"/>
      <c r="J142" s="3"/>
      <c r="K142" s="3"/>
      <c r="L142" s="3"/>
      <c r="M142" s="3"/>
      <c r="N142" s="3"/>
      <c r="O142" s="3"/>
      <c r="P142" s="3"/>
      <c r="Q142" s="3"/>
      <c r="R142" s="3"/>
      <c r="S142" s="3"/>
      <c r="T142" s="46"/>
      <c r="U142" s="46"/>
      <c r="V142" s="46"/>
      <c r="W142" s="46"/>
    </row>
    <row r="143" spans="7:23">
      <c r="G143" s="3"/>
      <c r="H143" s="3"/>
      <c r="I143" s="3"/>
      <c r="J143" s="3"/>
      <c r="K143" s="3"/>
      <c r="L143" s="3"/>
      <c r="M143" s="3"/>
      <c r="N143" s="3"/>
      <c r="O143" s="3"/>
      <c r="P143" s="3"/>
      <c r="Q143" s="3"/>
      <c r="R143" s="3"/>
      <c r="S143" s="3"/>
      <c r="T143" s="46"/>
      <c r="U143" s="46"/>
      <c r="V143" s="46"/>
      <c r="W143" s="46"/>
    </row>
    <row r="144" spans="7:23">
      <c r="G144" s="3"/>
      <c r="H144" s="3"/>
      <c r="I144" s="3"/>
      <c r="J144" s="3"/>
      <c r="K144" s="3"/>
      <c r="L144" s="3"/>
      <c r="M144" s="3"/>
      <c r="N144" s="3"/>
      <c r="O144" s="3"/>
      <c r="P144" s="3"/>
      <c r="Q144" s="3"/>
      <c r="R144" s="3"/>
      <c r="S144" s="3"/>
      <c r="T144" s="46"/>
      <c r="U144" s="46"/>
      <c r="V144" s="46"/>
      <c r="W144" s="46"/>
    </row>
    <row r="145" spans="7:23">
      <c r="G145" s="3"/>
      <c r="H145" s="3"/>
      <c r="I145" s="3"/>
      <c r="J145" s="3"/>
      <c r="K145" s="3"/>
      <c r="L145" s="3"/>
      <c r="M145" s="3"/>
      <c r="N145" s="3"/>
      <c r="O145" s="3"/>
      <c r="P145" s="3"/>
      <c r="Q145" s="3"/>
      <c r="R145" s="3"/>
      <c r="S145" s="3"/>
      <c r="T145" s="46"/>
      <c r="U145" s="46"/>
      <c r="V145" s="46"/>
      <c r="W145" s="46"/>
    </row>
    <row r="146" spans="7:23">
      <c r="G146" s="3"/>
      <c r="H146" s="3"/>
      <c r="I146" s="3"/>
      <c r="J146" s="3"/>
      <c r="K146" s="3"/>
      <c r="L146" s="3"/>
      <c r="M146" s="3"/>
      <c r="N146" s="3"/>
      <c r="O146" s="3"/>
      <c r="P146" s="3"/>
      <c r="Q146" s="3"/>
      <c r="R146" s="3"/>
      <c r="S146" s="3"/>
      <c r="T146" s="46"/>
      <c r="U146" s="46"/>
      <c r="V146" s="46"/>
      <c r="W146" s="46"/>
    </row>
    <row r="147" spans="7:23">
      <c r="G147" s="3"/>
      <c r="H147" s="3"/>
      <c r="I147" s="3"/>
      <c r="J147" s="3"/>
      <c r="K147" s="3"/>
      <c r="L147" s="3"/>
      <c r="M147" s="3"/>
      <c r="N147" s="3"/>
      <c r="O147" s="3"/>
      <c r="P147" s="3"/>
      <c r="Q147" s="3"/>
      <c r="R147" s="3"/>
      <c r="S147" s="3"/>
      <c r="T147" s="46"/>
      <c r="U147" s="46"/>
      <c r="V147" s="46"/>
      <c r="W147" s="46"/>
    </row>
    <row r="148" spans="7:23">
      <c r="G148" s="3"/>
      <c r="H148" s="3"/>
      <c r="I148" s="3"/>
      <c r="J148" s="3"/>
      <c r="K148" s="3"/>
      <c r="L148" s="3"/>
      <c r="M148" s="3"/>
      <c r="N148" s="3"/>
      <c r="O148" s="3"/>
      <c r="P148" s="3"/>
      <c r="Q148" s="3"/>
      <c r="R148" s="3"/>
      <c r="S148" s="3"/>
      <c r="T148" s="46"/>
      <c r="U148" s="46"/>
      <c r="V148" s="46"/>
      <c r="W148" s="46"/>
    </row>
    <row r="149" spans="7:23">
      <c r="G149" s="3"/>
      <c r="H149" s="3"/>
      <c r="I149" s="3"/>
      <c r="J149" s="3"/>
      <c r="K149" s="3"/>
      <c r="L149" s="3"/>
      <c r="M149" s="3"/>
      <c r="N149" s="3"/>
      <c r="O149" s="3"/>
      <c r="P149" s="3"/>
      <c r="Q149" s="3"/>
      <c r="R149" s="3"/>
      <c r="S149" s="3"/>
      <c r="T149" s="46"/>
      <c r="U149" s="46"/>
      <c r="V149" s="46"/>
      <c r="W149" s="46"/>
    </row>
    <row r="150" spans="7:23">
      <c r="G150" s="3"/>
      <c r="H150" s="3"/>
      <c r="I150" s="3"/>
      <c r="J150" s="3"/>
      <c r="K150" s="3"/>
      <c r="L150" s="3"/>
      <c r="M150" s="3"/>
      <c r="N150" s="3"/>
      <c r="O150" s="3"/>
      <c r="P150" s="3"/>
      <c r="Q150" s="3"/>
      <c r="R150" s="3"/>
      <c r="S150" s="3"/>
      <c r="T150" s="46"/>
      <c r="U150" s="46"/>
      <c r="V150" s="46"/>
      <c r="W150" s="46"/>
    </row>
    <row r="151" spans="7:23">
      <c r="G151" s="3"/>
      <c r="H151" s="3"/>
      <c r="I151" s="3"/>
      <c r="J151" s="3"/>
      <c r="K151" s="3"/>
      <c r="L151" s="3"/>
      <c r="M151" s="3"/>
      <c r="N151" s="3"/>
      <c r="O151" s="3"/>
      <c r="P151" s="3"/>
      <c r="Q151" s="3"/>
      <c r="R151" s="3"/>
      <c r="S151" s="3"/>
      <c r="T151" s="46"/>
      <c r="U151" s="46"/>
      <c r="V151" s="46"/>
      <c r="W151" s="46"/>
    </row>
    <row r="152" spans="7:23">
      <c r="G152" s="3"/>
      <c r="H152" s="3"/>
      <c r="I152" s="3"/>
      <c r="J152" s="3"/>
      <c r="K152" s="3"/>
      <c r="L152" s="3"/>
      <c r="M152" s="3"/>
      <c r="N152" s="3"/>
      <c r="O152" s="3"/>
      <c r="P152" s="3"/>
      <c r="Q152" s="3"/>
      <c r="R152" s="3"/>
      <c r="S152" s="3"/>
      <c r="T152" s="46"/>
      <c r="U152" s="46"/>
      <c r="V152" s="46"/>
      <c r="W152" s="46"/>
    </row>
    <row r="153" spans="7:23">
      <c r="G153" s="3"/>
      <c r="H153" s="3"/>
      <c r="I153" s="3"/>
      <c r="J153" s="3"/>
      <c r="K153" s="3"/>
      <c r="L153" s="3"/>
      <c r="M153" s="3"/>
      <c r="N153" s="3"/>
      <c r="O153" s="3"/>
      <c r="P153" s="3"/>
      <c r="Q153" s="3"/>
      <c r="R153" s="3"/>
      <c r="S153" s="3"/>
      <c r="T153" s="46"/>
      <c r="U153" s="46"/>
      <c r="V153" s="46"/>
      <c r="W153" s="46"/>
    </row>
    <row r="154" spans="7:23">
      <c r="G154" s="3"/>
      <c r="H154" s="3"/>
      <c r="I154" s="3"/>
      <c r="J154" s="3"/>
      <c r="K154" s="3"/>
      <c r="L154" s="3"/>
      <c r="M154" s="3"/>
      <c r="N154" s="3"/>
      <c r="O154" s="3"/>
      <c r="P154" s="3"/>
      <c r="Q154" s="3"/>
      <c r="R154" s="3"/>
      <c r="S154" s="3"/>
      <c r="T154" s="46"/>
      <c r="U154" s="46"/>
      <c r="V154" s="46"/>
      <c r="W154" s="46"/>
    </row>
    <row r="155" spans="7:23">
      <c r="G155" s="3"/>
      <c r="H155" s="3"/>
      <c r="I155" s="3"/>
      <c r="J155" s="3"/>
      <c r="K155" s="3"/>
      <c r="L155" s="3"/>
      <c r="M155" s="3"/>
      <c r="N155" s="3"/>
      <c r="O155" s="3"/>
      <c r="P155" s="3"/>
      <c r="Q155" s="3"/>
      <c r="R155" s="3"/>
      <c r="S155" s="3"/>
      <c r="T155" s="46"/>
      <c r="U155" s="46"/>
      <c r="V155" s="46"/>
      <c r="W155" s="46"/>
    </row>
    <row r="156" spans="7:23">
      <c r="G156" s="3"/>
      <c r="H156" s="3"/>
      <c r="I156" s="3"/>
      <c r="J156" s="3"/>
      <c r="K156" s="3"/>
      <c r="L156" s="3"/>
      <c r="M156" s="3"/>
      <c r="N156" s="3"/>
      <c r="O156" s="3"/>
      <c r="P156" s="3"/>
      <c r="Q156" s="3"/>
      <c r="R156" s="3"/>
      <c r="S156" s="3"/>
      <c r="T156" s="46"/>
      <c r="U156" s="46"/>
      <c r="V156" s="46"/>
      <c r="W156" s="46"/>
    </row>
    <row r="157" spans="7:23">
      <c r="G157" s="3"/>
      <c r="H157" s="3"/>
      <c r="I157" s="3"/>
      <c r="J157" s="3"/>
      <c r="K157" s="3"/>
      <c r="L157" s="3"/>
      <c r="M157" s="3"/>
      <c r="N157" s="3"/>
      <c r="O157" s="3"/>
      <c r="P157" s="3"/>
      <c r="Q157" s="3"/>
      <c r="R157" s="3"/>
      <c r="S157" s="3"/>
      <c r="T157" s="46"/>
      <c r="U157" s="46"/>
      <c r="V157" s="46"/>
      <c r="W157" s="46"/>
    </row>
    <row r="158" spans="7:23">
      <c r="G158" s="3"/>
      <c r="H158" s="3"/>
      <c r="I158" s="3"/>
      <c r="J158" s="3"/>
      <c r="K158" s="3"/>
      <c r="L158" s="3"/>
      <c r="M158" s="3"/>
      <c r="N158" s="3"/>
      <c r="O158" s="3"/>
      <c r="P158" s="3"/>
      <c r="Q158" s="3"/>
      <c r="R158" s="3"/>
      <c r="S158" s="3"/>
      <c r="T158" s="46"/>
      <c r="U158" s="46"/>
      <c r="V158" s="46"/>
      <c r="W158" s="46"/>
    </row>
    <row r="159" spans="7:23">
      <c r="G159" s="3"/>
      <c r="H159" s="3"/>
      <c r="I159" s="3"/>
      <c r="J159" s="3"/>
      <c r="K159" s="3"/>
      <c r="L159" s="3"/>
      <c r="M159" s="3"/>
      <c r="N159" s="3"/>
      <c r="O159" s="3"/>
      <c r="P159" s="3"/>
      <c r="Q159" s="3"/>
      <c r="R159" s="3"/>
      <c r="S159" s="3"/>
      <c r="T159" s="46"/>
      <c r="U159" s="46"/>
      <c r="V159" s="46"/>
      <c r="W159" s="46"/>
    </row>
    <row r="160" spans="7:23">
      <c r="G160" s="3"/>
      <c r="H160" s="3"/>
      <c r="I160" s="3"/>
      <c r="J160" s="3"/>
      <c r="K160" s="3"/>
      <c r="L160" s="3"/>
      <c r="M160" s="3"/>
      <c r="N160" s="3"/>
      <c r="O160" s="3"/>
      <c r="P160" s="3"/>
      <c r="Q160" s="3"/>
      <c r="R160" s="3"/>
      <c r="S160" s="3"/>
      <c r="T160" s="46"/>
      <c r="U160" s="46"/>
      <c r="V160" s="46"/>
      <c r="W160" s="46"/>
    </row>
    <row r="161" spans="7:23">
      <c r="G161" s="3"/>
      <c r="H161" s="3"/>
      <c r="I161" s="3"/>
      <c r="J161" s="3"/>
      <c r="K161" s="3"/>
      <c r="L161" s="3"/>
      <c r="M161" s="3"/>
      <c r="N161" s="3"/>
      <c r="O161" s="3"/>
      <c r="P161" s="3"/>
      <c r="Q161" s="3"/>
      <c r="R161" s="3"/>
      <c r="S161" s="3"/>
      <c r="T161" s="46"/>
      <c r="U161" s="46"/>
      <c r="V161" s="46"/>
      <c r="W161" s="46"/>
    </row>
    <row r="162" spans="7:23">
      <c r="G162" s="3"/>
      <c r="H162" s="3"/>
      <c r="I162" s="3"/>
      <c r="J162" s="3"/>
      <c r="K162" s="3"/>
      <c r="L162" s="3"/>
      <c r="M162" s="3"/>
      <c r="N162" s="3"/>
      <c r="O162" s="3"/>
      <c r="P162" s="3"/>
      <c r="Q162" s="3"/>
      <c r="R162" s="3"/>
      <c r="S162" s="3"/>
      <c r="T162" s="46"/>
      <c r="U162" s="46"/>
      <c r="V162" s="46"/>
      <c r="W162" s="46"/>
    </row>
    <row r="163" spans="7:23">
      <c r="G163" s="3"/>
      <c r="H163" s="3"/>
      <c r="I163" s="3"/>
      <c r="J163" s="3"/>
      <c r="K163" s="3"/>
      <c r="L163" s="3"/>
      <c r="M163" s="3"/>
      <c r="N163" s="3"/>
      <c r="O163" s="3"/>
      <c r="P163" s="3"/>
      <c r="Q163" s="3"/>
      <c r="R163" s="3"/>
      <c r="S163" s="3"/>
      <c r="T163" s="46"/>
      <c r="U163" s="46"/>
      <c r="V163" s="46"/>
      <c r="W163" s="46"/>
    </row>
    <row r="164" spans="7:23">
      <c r="G164" s="3"/>
      <c r="H164" s="3"/>
      <c r="I164" s="3"/>
      <c r="J164" s="3"/>
      <c r="K164" s="3"/>
      <c r="L164" s="3"/>
      <c r="M164" s="3"/>
      <c r="N164" s="3"/>
      <c r="O164" s="3"/>
      <c r="P164" s="3"/>
      <c r="Q164" s="3"/>
      <c r="R164" s="3"/>
      <c r="S164" s="3"/>
      <c r="T164" s="46"/>
      <c r="U164" s="46"/>
      <c r="V164" s="46"/>
      <c r="W164" s="46"/>
    </row>
    <row r="165" spans="7:23">
      <c r="G165" s="3"/>
      <c r="H165" s="3"/>
      <c r="I165" s="3"/>
      <c r="J165" s="3"/>
      <c r="K165" s="3"/>
      <c r="L165" s="3"/>
      <c r="M165" s="3"/>
      <c r="N165" s="3"/>
      <c r="O165" s="3"/>
      <c r="P165" s="3"/>
      <c r="Q165" s="3"/>
      <c r="R165" s="3"/>
      <c r="S165" s="3"/>
      <c r="T165" s="46"/>
      <c r="U165" s="46"/>
      <c r="V165" s="46"/>
      <c r="W165" s="46"/>
    </row>
    <row r="166" spans="7:23">
      <c r="G166" s="3"/>
      <c r="H166" s="3"/>
      <c r="I166" s="3"/>
      <c r="J166" s="3"/>
      <c r="K166" s="3"/>
      <c r="L166" s="3"/>
      <c r="M166" s="3"/>
      <c r="N166" s="3"/>
      <c r="O166" s="3"/>
      <c r="P166" s="3"/>
      <c r="Q166" s="3"/>
      <c r="R166" s="3"/>
      <c r="S166" s="3"/>
      <c r="T166" s="46"/>
      <c r="U166" s="46"/>
      <c r="V166" s="46"/>
      <c r="W166" s="46"/>
    </row>
    <row r="167" spans="7:23">
      <c r="G167" s="3"/>
      <c r="H167" s="3"/>
      <c r="I167" s="3"/>
      <c r="J167" s="3"/>
      <c r="K167" s="3"/>
      <c r="L167" s="3"/>
      <c r="M167" s="3"/>
      <c r="N167" s="3"/>
      <c r="O167" s="3"/>
      <c r="P167" s="3"/>
      <c r="Q167" s="3"/>
      <c r="R167" s="3"/>
      <c r="S167" s="3"/>
      <c r="T167" s="46"/>
      <c r="U167" s="46"/>
      <c r="V167" s="46"/>
      <c r="W167" s="46"/>
    </row>
    <row r="168" spans="7:23">
      <c r="G168" s="3"/>
      <c r="H168" s="3"/>
      <c r="I168" s="3"/>
      <c r="J168" s="3"/>
      <c r="K168" s="3"/>
      <c r="L168" s="3"/>
      <c r="M168" s="3"/>
      <c r="N168" s="3"/>
      <c r="O168" s="3"/>
      <c r="P168" s="3"/>
      <c r="Q168" s="3"/>
      <c r="R168" s="3"/>
      <c r="S168" s="3"/>
      <c r="T168" s="46"/>
      <c r="U168" s="46"/>
      <c r="V168" s="46"/>
      <c r="W168" s="46"/>
    </row>
    <row r="169" spans="7:23">
      <c r="G169" s="3"/>
      <c r="H169" s="3"/>
      <c r="I169" s="3"/>
      <c r="J169" s="3"/>
      <c r="K169" s="3"/>
      <c r="L169" s="3"/>
      <c r="M169" s="3"/>
      <c r="N169" s="3"/>
      <c r="O169" s="3"/>
      <c r="P169" s="3"/>
      <c r="Q169" s="3"/>
      <c r="R169" s="3"/>
      <c r="S169" s="3"/>
      <c r="T169" s="46"/>
      <c r="U169" s="46"/>
      <c r="V169" s="46"/>
      <c r="W169" s="46"/>
    </row>
    <row r="170" spans="7:23">
      <c r="G170" s="3"/>
      <c r="H170" s="3"/>
      <c r="I170" s="3"/>
      <c r="J170" s="3"/>
      <c r="K170" s="3"/>
      <c r="L170" s="3"/>
      <c r="M170" s="3"/>
      <c r="N170" s="3"/>
      <c r="O170" s="3"/>
      <c r="P170" s="3"/>
      <c r="Q170" s="3"/>
      <c r="R170" s="3"/>
      <c r="S170" s="3"/>
      <c r="T170" s="46"/>
      <c r="U170" s="46"/>
      <c r="V170" s="46"/>
      <c r="W170" s="46"/>
    </row>
    <row r="171" spans="7:23">
      <c r="G171" s="3"/>
      <c r="H171" s="3"/>
      <c r="I171" s="3"/>
      <c r="J171" s="3"/>
      <c r="K171" s="3"/>
      <c r="L171" s="3"/>
      <c r="M171" s="3"/>
      <c r="N171" s="3"/>
      <c r="O171" s="3"/>
      <c r="P171" s="3"/>
      <c r="Q171" s="3"/>
      <c r="R171" s="3"/>
      <c r="S171" s="3"/>
      <c r="T171" s="46"/>
      <c r="U171" s="46"/>
      <c r="V171" s="46"/>
      <c r="W171" s="46"/>
    </row>
    <row r="172" spans="7:23">
      <c r="G172" s="3"/>
      <c r="H172" s="3"/>
      <c r="I172" s="3"/>
      <c r="J172" s="3"/>
      <c r="K172" s="3"/>
      <c r="L172" s="3"/>
      <c r="M172" s="3"/>
      <c r="N172" s="3"/>
      <c r="O172" s="3"/>
      <c r="P172" s="3"/>
      <c r="Q172" s="3"/>
      <c r="R172" s="3"/>
      <c r="S172" s="3"/>
      <c r="T172" s="46"/>
      <c r="U172" s="46"/>
      <c r="V172" s="46"/>
      <c r="W172" s="46"/>
    </row>
    <row r="173" spans="7:23">
      <c r="G173" s="3"/>
      <c r="H173" s="3"/>
      <c r="I173" s="3"/>
      <c r="J173" s="3"/>
      <c r="K173" s="3"/>
      <c r="L173" s="3"/>
      <c r="M173" s="3"/>
      <c r="N173" s="3"/>
      <c r="O173" s="3"/>
      <c r="P173" s="3"/>
      <c r="Q173" s="3"/>
      <c r="R173" s="3"/>
      <c r="S173" s="3"/>
      <c r="T173" s="46"/>
      <c r="U173" s="46"/>
      <c r="V173" s="46"/>
      <c r="W173" s="46"/>
    </row>
    <row r="174" spans="7:23">
      <c r="G174" s="3"/>
      <c r="H174" s="3"/>
      <c r="I174" s="3"/>
      <c r="J174" s="3"/>
      <c r="K174" s="3"/>
      <c r="L174" s="3"/>
      <c r="M174" s="3"/>
      <c r="N174" s="3"/>
      <c r="O174" s="3"/>
      <c r="P174" s="3"/>
      <c r="Q174" s="3"/>
      <c r="R174" s="3"/>
      <c r="S174" s="3"/>
      <c r="T174" s="46"/>
      <c r="U174" s="46"/>
      <c r="V174" s="46"/>
      <c r="W174" s="46"/>
    </row>
    <row r="175" spans="7:23">
      <c r="G175" s="3"/>
      <c r="H175" s="3"/>
      <c r="I175" s="3"/>
      <c r="J175" s="3"/>
      <c r="K175" s="3"/>
      <c r="L175" s="3"/>
      <c r="M175" s="3"/>
      <c r="N175" s="3"/>
      <c r="O175" s="3"/>
      <c r="P175" s="3"/>
      <c r="Q175" s="3"/>
      <c r="R175" s="3"/>
      <c r="S175" s="3"/>
      <c r="T175" s="46"/>
      <c r="U175" s="46"/>
      <c r="V175" s="46"/>
      <c r="W175" s="46"/>
    </row>
    <row r="176" spans="7:23">
      <c r="G176" s="3"/>
      <c r="H176" s="3"/>
      <c r="I176" s="3"/>
      <c r="J176" s="3"/>
      <c r="K176" s="3"/>
      <c r="L176" s="3"/>
      <c r="M176" s="3"/>
      <c r="N176" s="3"/>
      <c r="O176" s="3"/>
      <c r="P176" s="3"/>
      <c r="Q176" s="3"/>
      <c r="R176" s="3"/>
      <c r="S176" s="3"/>
      <c r="T176" s="46"/>
      <c r="U176" s="46"/>
      <c r="V176" s="46"/>
      <c r="W176" s="46"/>
    </row>
    <row r="177" spans="7:23">
      <c r="G177" s="3"/>
      <c r="H177" s="3"/>
      <c r="I177" s="3"/>
      <c r="J177" s="3"/>
      <c r="K177" s="3"/>
      <c r="L177" s="3"/>
      <c r="M177" s="3"/>
      <c r="N177" s="3"/>
      <c r="O177" s="3"/>
      <c r="P177" s="3"/>
      <c r="Q177" s="3"/>
      <c r="R177" s="3"/>
      <c r="S177" s="3"/>
      <c r="T177" s="46"/>
      <c r="U177" s="46"/>
      <c r="V177" s="46"/>
      <c r="W177" s="46"/>
    </row>
    <row r="178" spans="7:23">
      <c r="G178" s="3"/>
      <c r="H178" s="3"/>
      <c r="I178" s="3"/>
      <c r="J178" s="3"/>
      <c r="K178" s="3"/>
      <c r="L178" s="3"/>
      <c r="M178" s="3"/>
      <c r="N178" s="3"/>
      <c r="O178" s="3"/>
      <c r="P178" s="3"/>
      <c r="Q178" s="3"/>
      <c r="R178" s="3"/>
      <c r="S178" s="3"/>
      <c r="T178" s="46"/>
      <c r="U178" s="46"/>
      <c r="V178" s="46"/>
      <c r="W178" s="46"/>
    </row>
    <row r="179" spans="7:23">
      <c r="G179" s="3"/>
      <c r="H179" s="3"/>
      <c r="I179" s="3"/>
      <c r="J179" s="3"/>
      <c r="K179" s="3"/>
      <c r="L179" s="3"/>
      <c r="M179" s="3"/>
      <c r="N179" s="3"/>
      <c r="O179" s="3"/>
      <c r="P179" s="3"/>
      <c r="Q179" s="3"/>
      <c r="R179" s="3"/>
      <c r="S179" s="3"/>
      <c r="T179" s="46"/>
      <c r="U179" s="46"/>
      <c r="V179" s="46"/>
      <c r="W179" s="46"/>
    </row>
    <row r="180" spans="7:23">
      <c r="G180" s="3"/>
      <c r="H180" s="3"/>
      <c r="I180" s="3"/>
      <c r="J180" s="3"/>
      <c r="K180" s="3"/>
      <c r="L180" s="3"/>
      <c r="M180" s="3"/>
      <c r="N180" s="3"/>
      <c r="O180" s="3"/>
      <c r="P180" s="3"/>
      <c r="Q180" s="3"/>
      <c r="R180" s="3"/>
      <c r="S180" s="3"/>
      <c r="T180" s="46"/>
      <c r="U180" s="46"/>
      <c r="V180" s="46"/>
      <c r="W180" s="46"/>
    </row>
    <row r="181" spans="7:23">
      <c r="G181" s="3"/>
      <c r="H181" s="3"/>
      <c r="I181" s="3"/>
      <c r="J181" s="3"/>
      <c r="K181" s="3"/>
      <c r="L181" s="3"/>
      <c r="M181" s="3"/>
      <c r="N181" s="3"/>
      <c r="O181" s="3"/>
      <c r="P181" s="3"/>
      <c r="Q181" s="3"/>
      <c r="R181" s="3"/>
      <c r="S181" s="3"/>
      <c r="T181" s="46"/>
      <c r="U181" s="46"/>
      <c r="V181" s="46"/>
      <c r="W181" s="46"/>
    </row>
    <row r="182" spans="7:23">
      <c r="G182" s="3"/>
      <c r="H182" s="3"/>
      <c r="I182" s="3"/>
      <c r="J182" s="3"/>
      <c r="K182" s="3"/>
      <c r="L182" s="3"/>
      <c r="M182" s="3"/>
      <c r="N182" s="3"/>
      <c r="O182" s="3"/>
      <c r="P182" s="3"/>
      <c r="Q182" s="3"/>
      <c r="R182" s="3"/>
      <c r="S182" s="3"/>
      <c r="T182" s="46"/>
      <c r="U182" s="46"/>
      <c r="V182" s="46"/>
      <c r="W182" s="46"/>
    </row>
    <row r="183" spans="7:23">
      <c r="G183" s="3"/>
      <c r="H183" s="3"/>
      <c r="I183" s="3"/>
      <c r="J183" s="3"/>
      <c r="K183" s="3"/>
      <c r="L183" s="3"/>
      <c r="M183" s="3"/>
      <c r="N183" s="3"/>
      <c r="O183" s="3"/>
      <c r="P183" s="3"/>
      <c r="Q183" s="3"/>
      <c r="R183" s="3"/>
      <c r="S183" s="3"/>
      <c r="T183" s="46"/>
      <c r="U183" s="46"/>
      <c r="V183" s="46"/>
      <c r="W183" s="46"/>
    </row>
    <row r="184" spans="7:23">
      <c r="G184" s="3"/>
      <c r="H184" s="3"/>
      <c r="I184" s="3"/>
      <c r="J184" s="3"/>
      <c r="K184" s="3"/>
      <c r="L184" s="3"/>
      <c r="M184" s="3"/>
      <c r="N184" s="3"/>
      <c r="O184" s="3"/>
      <c r="P184" s="3"/>
      <c r="Q184" s="3"/>
      <c r="R184" s="3"/>
      <c r="S184" s="3"/>
      <c r="T184" s="46"/>
      <c r="U184" s="46"/>
      <c r="V184" s="46"/>
      <c r="W184" s="46"/>
    </row>
    <row r="185" spans="7:23">
      <c r="G185" s="3"/>
      <c r="H185" s="3"/>
      <c r="I185" s="3"/>
      <c r="J185" s="3"/>
      <c r="K185" s="3"/>
      <c r="L185" s="3"/>
      <c r="M185" s="3"/>
      <c r="N185" s="3"/>
      <c r="O185" s="3"/>
      <c r="P185" s="3"/>
      <c r="Q185" s="3"/>
      <c r="R185" s="3"/>
      <c r="S185" s="3"/>
      <c r="T185" s="46"/>
      <c r="U185" s="46"/>
      <c r="V185" s="46"/>
      <c r="W185" s="46"/>
    </row>
    <row r="186" spans="7:23">
      <c r="G186" s="3"/>
      <c r="H186" s="3"/>
      <c r="I186" s="3"/>
      <c r="J186" s="3"/>
      <c r="K186" s="3"/>
      <c r="L186" s="3"/>
      <c r="M186" s="3"/>
      <c r="N186" s="3"/>
      <c r="O186" s="3"/>
      <c r="P186" s="3"/>
      <c r="Q186" s="3"/>
      <c r="R186" s="3"/>
      <c r="S186" s="3"/>
      <c r="T186" s="46"/>
      <c r="U186" s="46"/>
      <c r="V186" s="46"/>
      <c r="W186" s="46"/>
    </row>
    <row r="187" spans="7:23">
      <c r="G187" s="3"/>
      <c r="H187" s="3"/>
      <c r="I187" s="3"/>
      <c r="J187" s="3"/>
      <c r="K187" s="3"/>
      <c r="L187" s="3"/>
      <c r="M187" s="3"/>
      <c r="N187" s="3"/>
      <c r="O187" s="3"/>
      <c r="P187" s="3"/>
      <c r="Q187" s="3"/>
      <c r="R187" s="3"/>
      <c r="S187" s="3"/>
      <c r="T187" s="46"/>
      <c r="U187" s="46"/>
      <c r="V187" s="46"/>
      <c r="W187" s="46"/>
    </row>
    <row r="188" spans="7:23">
      <c r="G188" s="3"/>
      <c r="H188" s="3"/>
      <c r="I188" s="3"/>
      <c r="J188" s="3"/>
      <c r="K188" s="3"/>
      <c r="L188" s="3"/>
      <c r="M188" s="3"/>
      <c r="N188" s="3"/>
      <c r="O188" s="3"/>
      <c r="P188" s="3"/>
      <c r="Q188" s="3"/>
      <c r="R188" s="3"/>
      <c r="S188" s="3"/>
      <c r="T188" s="46"/>
      <c r="U188" s="46"/>
      <c r="V188" s="46"/>
      <c r="W188" s="46"/>
    </row>
    <row r="189" spans="7:23">
      <c r="G189" s="3"/>
      <c r="H189" s="3"/>
      <c r="I189" s="3"/>
      <c r="J189" s="3"/>
      <c r="K189" s="3"/>
      <c r="L189" s="3"/>
      <c r="M189" s="3"/>
      <c r="N189" s="3"/>
      <c r="O189" s="3"/>
      <c r="P189" s="3"/>
      <c r="Q189" s="3"/>
      <c r="R189" s="3"/>
      <c r="S189" s="3"/>
      <c r="T189" s="46"/>
      <c r="U189" s="46"/>
      <c r="V189" s="46"/>
      <c r="W189" s="46"/>
    </row>
    <row r="190" spans="7:23">
      <c r="G190" s="3"/>
      <c r="H190" s="3"/>
      <c r="I190" s="3"/>
      <c r="J190" s="3"/>
      <c r="K190" s="3"/>
      <c r="L190" s="3"/>
      <c r="M190" s="3"/>
      <c r="N190" s="3"/>
      <c r="O190" s="3"/>
      <c r="P190" s="3"/>
      <c r="Q190" s="3"/>
      <c r="R190" s="3"/>
      <c r="S190" s="3"/>
      <c r="T190" s="46"/>
      <c r="U190" s="46"/>
      <c r="V190" s="46"/>
      <c r="W190" s="46"/>
    </row>
    <row r="191" spans="7:23">
      <c r="G191" s="3"/>
      <c r="H191" s="3"/>
      <c r="I191" s="3"/>
      <c r="J191" s="3"/>
      <c r="K191" s="3"/>
      <c r="L191" s="3"/>
      <c r="M191" s="3"/>
      <c r="N191" s="3"/>
      <c r="O191" s="3"/>
      <c r="P191" s="3"/>
      <c r="Q191" s="3"/>
      <c r="R191" s="3"/>
      <c r="S191" s="3"/>
      <c r="T191" s="46"/>
      <c r="U191" s="46"/>
      <c r="V191" s="46"/>
      <c r="W191" s="46"/>
    </row>
    <row r="192" spans="7:23">
      <c r="G192" s="3"/>
      <c r="H192" s="3"/>
      <c r="I192" s="3"/>
      <c r="J192" s="3"/>
      <c r="K192" s="3"/>
      <c r="L192" s="3"/>
      <c r="M192" s="3"/>
      <c r="N192" s="3"/>
      <c r="O192" s="3"/>
      <c r="P192" s="3"/>
      <c r="Q192" s="3"/>
      <c r="R192" s="3"/>
      <c r="S192" s="3"/>
      <c r="T192" s="46"/>
      <c r="U192" s="46"/>
      <c r="V192" s="46"/>
      <c r="W192" s="46"/>
    </row>
    <row r="193" spans="7:23">
      <c r="G193" s="3"/>
      <c r="H193" s="3"/>
      <c r="I193" s="3"/>
      <c r="J193" s="3"/>
      <c r="K193" s="3"/>
      <c r="L193" s="3"/>
      <c r="M193" s="3"/>
      <c r="N193" s="3"/>
      <c r="O193" s="3"/>
      <c r="P193" s="3"/>
      <c r="Q193" s="3"/>
      <c r="R193" s="3"/>
      <c r="S193" s="3"/>
      <c r="T193" s="46"/>
      <c r="U193" s="46"/>
      <c r="V193" s="46"/>
      <c r="W193" s="46"/>
    </row>
    <row r="194" spans="7:23">
      <c r="G194" s="3"/>
      <c r="H194" s="3"/>
      <c r="I194" s="3"/>
      <c r="J194" s="3"/>
      <c r="K194" s="3"/>
      <c r="L194" s="3"/>
      <c r="M194" s="3"/>
      <c r="N194" s="3"/>
      <c r="O194" s="3"/>
      <c r="P194" s="3"/>
      <c r="Q194" s="3"/>
      <c r="R194" s="3"/>
      <c r="S194" s="3"/>
      <c r="T194" s="3"/>
      <c r="U194" s="3"/>
      <c r="V194" s="3"/>
      <c r="W194" s="3"/>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P117"/>
  <sheetViews>
    <sheetView zoomScaleNormal="100" workbookViewId="0"/>
  </sheetViews>
  <sheetFormatPr defaultRowHeight="12"/>
  <cols>
    <col min="1" max="1" width="2" style="2" customWidth="1"/>
    <col min="2" max="2" width="24.28515625" style="2" customWidth="1"/>
    <col min="3" max="3" width="20.7109375" style="2" bestFit="1" customWidth="1"/>
    <col min="4" max="4" width="9.42578125" style="2" customWidth="1"/>
    <col min="5" max="5" width="29.42578125" style="2" customWidth="1"/>
    <col min="6" max="6" width="11" style="2" customWidth="1"/>
    <col min="7" max="7" width="8.140625" style="14" customWidth="1"/>
    <col min="8" max="8" width="10.85546875" style="2" customWidth="1"/>
    <col min="9" max="9" width="9.140625" style="2" customWidth="1"/>
    <col min="10" max="10" width="4" style="2" customWidth="1"/>
    <col min="11" max="11" width="10.140625" style="2" customWidth="1"/>
    <col min="12" max="12" width="12.140625" style="2" customWidth="1"/>
    <col min="13" max="13" width="27.5703125" style="2" bestFit="1" customWidth="1"/>
    <col min="14" max="14" width="10.7109375" style="2" customWidth="1"/>
    <col min="15" max="15" width="9.7109375" style="2" customWidth="1"/>
    <col min="16" max="16384" width="9.140625" style="2"/>
  </cols>
  <sheetData>
    <row r="1" spans="2:16" ht="15.75">
      <c r="B1" s="17" t="s">
        <v>47</v>
      </c>
      <c r="E1" s="3"/>
      <c r="F1" s="3"/>
      <c r="G1" s="62"/>
      <c r="H1" s="3"/>
      <c r="I1" s="3"/>
      <c r="J1" s="3"/>
      <c r="K1" s="3"/>
      <c r="L1" s="3"/>
      <c r="M1" s="3"/>
      <c r="N1" s="3"/>
      <c r="O1" s="3"/>
      <c r="P1" s="3"/>
    </row>
    <row r="2" spans="2:16">
      <c r="M2" s="115"/>
      <c r="N2" s="115"/>
      <c r="O2" s="115"/>
      <c r="P2" s="115"/>
    </row>
    <row r="3" spans="2:16">
      <c r="B3" s="19" t="s">
        <v>207</v>
      </c>
      <c r="C3" s="80" t="str">
        <f>About!C3</f>
        <v>Consumer Cyclical</v>
      </c>
      <c r="D3" s="23"/>
      <c r="E3" s="486" t="s">
        <v>216</v>
      </c>
      <c r="F3" s="486"/>
      <c r="G3" s="486"/>
      <c r="H3" s="486"/>
      <c r="I3" s="115"/>
      <c r="J3" s="177"/>
      <c r="K3" s="115">
        <v>1</v>
      </c>
      <c r="L3" s="115"/>
      <c r="M3" s="115"/>
      <c r="N3" s="115"/>
      <c r="O3" s="115"/>
    </row>
    <row r="4" spans="2:16">
      <c r="B4" s="30" t="s">
        <v>208</v>
      </c>
      <c r="C4" s="280" t="str">
        <f>About!C4</f>
        <v>Automobile Ecommerce</v>
      </c>
      <c r="D4" s="6"/>
      <c r="E4" s="48" t="s">
        <v>170</v>
      </c>
      <c r="F4" s="48" t="s">
        <v>41</v>
      </c>
      <c r="G4" s="276" t="s">
        <v>7</v>
      </c>
      <c r="H4" s="71" t="s">
        <v>43</v>
      </c>
      <c r="I4" s="64"/>
      <c r="J4" s="47"/>
      <c r="K4" s="47"/>
      <c r="L4" s="328"/>
      <c r="M4" s="64"/>
      <c r="N4" s="64"/>
    </row>
    <row r="5" spans="2:16">
      <c r="B5" s="30"/>
      <c r="C5" s="30"/>
      <c r="D5" s="6"/>
      <c r="E5" s="67" t="s">
        <v>217</v>
      </c>
      <c r="F5" s="67" t="s">
        <v>218</v>
      </c>
      <c r="G5" s="105">
        <v>-0.2</v>
      </c>
      <c r="H5" s="353" t="s">
        <v>162</v>
      </c>
      <c r="I5" s="314"/>
      <c r="J5" s="92"/>
      <c r="K5" s="92"/>
      <c r="L5" s="178"/>
      <c r="M5" s="263"/>
      <c r="N5" s="339"/>
      <c r="O5" s="9"/>
    </row>
    <row r="6" spans="2:16">
      <c r="B6" s="30" t="s">
        <v>119</v>
      </c>
      <c r="C6" s="108">
        <v>0.25169999999999998</v>
      </c>
      <c r="D6" s="25"/>
      <c r="E6" s="67" t="s">
        <v>219</v>
      </c>
      <c r="F6" s="277" t="s">
        <v>220</v>
      </c>
      <c r="G6" s="105">
        <v>1.6</v>
      </c>
      <c r="H6" s="354" t="s">
        <v>162</v>
      </c>
      <c r="I6" s="178"/>
      <c r="J6" s="92"/>
      <c r="K6" s="338"/>
      <c r="L6" s="178"/>
      <c r="M6" s="263"/>
      <c r="N6" s="339"/>
      <c r="O6" s="9"/>
    </row>
    <row r="7" spans="2:16">
      <c r="B7" s="19" t="s">
        <v>171</v>
      </c>
      <c r="C7" s="110">
        <f>G27/(1+(H27*(1-C6)))</f>
        <v>0.65603434378379977</v>
      </c>
      <c r="D7" s="6"/>
      <c r="E7" s="67" t="s">
        <v>221</v>
      </c>
      <c r="F7" s="277" t="s">
        <v>222</v>
      </c>
      <c r="G7" s="105">
        <v>1.62</v>
      </c>
      <c r="H7" s="257">
        <v>9.4200000000000006E-2</v>
      </c>
      <c r="I7" s="314"/>
      <c r="J7" s="92"/>
      <c r="K7" s="338"/>
      <c r="L7" s="178"/>
      <c r="M7" s="178"/>
      <c r="N7" s="329"/>
      <c r="O7" s="9"/>
    </row>
    <row r="8" spans="2:16">
      <c r="B8" s="30"/>
      <c r="C8" s="30"/>
      <c r="D8" s="6"/>
      <c r="E8" s="67" t="s">
        <v>223</v>
      </c>
      <c r="F8" s="277" t="s">
        <v>224</v>
      </c>
      <c r="G8" s="105">
        <v>1.6</v>
      </c>
      <c r="H8" s="257">
        <v>2.9049999999999998</v>
      </c>
      <c r="I8" s="314"/>
      <c r="J8" s="92"/>
      <c r="K8" s="338"/>
      <c r="L8" s="178"/>
      <c r="M8" s="263"/>
      <c r="N8" s="339"/>
      <c r="O8" s="9"/>
    </row>
    <row r="9" spans="2:16">
      <c r="B9" s="89" t="s">
        <v>49</v>
      </c>
      <c r="C9" s="109">
        <f>C7*(1+(WACC!F11*(1-C6)))</f>
        <v>7.6235024714621726</v>
      </c>
      <c r="D9" s="20"/>
      <c r="E9" s="67" t="s">
        <v>226</v>
      </c>
      <c r="F9" s="277" t="s">
        <v>225</v>
      </c>
      <c r="G9" s="309" t="s">
        <v>162</v>
      </c>
      <c r="H9" s="257">
        <v>0.14730000000000001</v>
      </c>
      <c r="I9" s="314"/>
      <c r="J9" s="92"/>
      <c r="K9" s="338"/>
      <c r="L9" s="178"/>
      <c r="M9" s="263"/>
      <c r="N9" s="339"/>
      <c r="O9" s="9"/>
    </row>
    <row r="10" spans="2:16">
      <c r="D10" s="20"/>
      <c r="E10" s="67" t="s">
        <v>228</v>
      </c>
      <c r="F10" s="67" t="s">
        <v>227</v>
      </c>
      <c r="G10" s="105">
        <v>1.0900000000000001</v>
      </c>
      <c r="H10" s="310">
        <v>2.2909999999999999</v>
      </c>
      <c r="I10" s="314"/>
      <c r="J10" s="92"/>
      <c r="K10" s="338"/>
      <c r="L10" s="178"/>
      <c r="M10" s="263"/>
      <c r="N10" s="339"/>
      <c r="O10" s="9"/>
    </row>
    <row r="11" spans="2:16">
      <c r="B11" s="104" t="s">
        <v>39</v>
      </c>
      <c r="C11" s="3"/>
      <c r="D11" s="20"/>
      <c r="E11" s="67" t="s">
        <v>230</v>
      </c>
      <c r="F11" s="67" t="s">
        <v>229</v>
      </c>
      <c r="G11" s="105">
        <v>1.96</v>
      </c>
      <c r="H11" s="311">
        <v>1.2966</v>
      </c>
      <c r="I11" s="314"/>
      <c r="J11" s="92"/>
      <c r="K11" s="338"/>
      <c r="L11" s="178"/>
      <c r="M11" s="315"/>
      <c r="N11" s="338"/>
      <c r="O11" s="9"/>
    </row>
    <row r="12" spans="2:16">
      <c r="B12" s="104" t="s">
        <v>42</v>
      </c>
      <c r="C12" s="107"/>
      <c r="D12" s="278"/>
      <c r="E12" s="67" t="s">
        <v>232</v>
      </c>
      <c r="F12" s="67" t="s">
        <v>231</v>
      </c>
      <c r="G12" s="105">
        <v>1.31</v>
      </c>
      <c r="H12" s="311">
        <v>1.1969000000000001</v>
      </c>
      <c r="I12" s="314"/>
      <c r="J12" s="92"/>
      <c r="K12" s="338"/>
      <c r="L12" s="178"/>
      <c r="M12" s="315"/>
      <c r="N12" s="338"/>
      <c r="O12" s="9"/>
    </row>
    <row r="13" spans="2:16">
      <c r="B13" s="107" t="s">
        <v>44</v>
      </c>
      <c r="C13" s="45"/>
      <c r="D13" s="6"/>
      <c r="E13" s="67" t="s">
        <v>234</v>
      </c>
      <c r="F13" s="277" t="s">
        <v>233</v>
      </c>
      <c r="G13" s="309" t="s">
        <v>162</v>
      </c>
      <c r="H13" s="312">
        <v>1.4616999999999998</v>
      </c>
      <c r="I13" s="314"/>
      <c r="J13" s="92"/>
      <c r="K13" s="338"/>
      <c r="L13" s="178"/>
      <c r="M13" s="222"/>
      <c r="N13" s="85"/>
      <c r="O13" s="9"/>
    </row>
    <row r="14" spans="2:16">
      <c r="B14" s="107" t="s">
        <v>46</v>
      </c>
      <c r="C14" s="73"/>
      <c r="D14" s="6"/>
      <c r="E14" s="67" t="s">
        <v>236</v>
      </c>
      <c r="F14" s="277" t="s">
        <v>235</v>
      </c>
      <c r="G14" s="309" t="s">
        <v>162</v>
      </c>
      <c r="H14" s="311">
        <v>2.2252999999999998</v>
      </c>
      <c r="I14" s="314"/>
      <c r="J14" s="92"/>
      <c r="K14" s="338"/>
      <c r="L14" s="178"/>
      <c r="M14" s="315"/>
      <c r="N14" s="338"/>
      <c r="O14" s="9"/>
    </row>
    <row r="15" spans="2:16">
      <c r="B15" s="73" t="s">
        <v>48</v>
      </c>
      <c r="C15" s="3"/>
      <c r="D15" s="6"/>
      <c r="E15" s="67" t="s">
        <v>238</v>
      </c>
      <c r="F15" s="67" t="s">
        <v>237</v>
      </c>
      <c r="G15" s="105">
        <v>1.42</v>
      </c>
      <c r="H15" s="312">
        <v>1.4994999999999998</v>
      </c>
      <c r="I15" s="314"/>
      <c r="J15" s="92"/>
      <c r="K15" s="338"/>
      <c r="L15" s="178"/>
      <c r="M15" s="222"/>
      <c r="N15" s="85"/>
      <c r="O15" s="9"/>
    </row>
    <row r="16" spans="2:16">
      <c r="D16" s="6"/>
      <c r="E16" s="67" t="s">
        <v>240</v>
      </c>
      <c r="F16" s="277" t="s">
        <v>239</v>
      </c>
      <c r="G16" s="309" t="s">
        <v>162</v>
      </c>
      <c r="H16" s="313">
        <v>0.30099999999999999</v>
      </c>
      <c r="I16" s="314"/>
      <c r="J16" s="92"/>
      <c r="K16" s="338"/>
      <c r="L16" s="178"/>
      <c r="M16" s="316"/>
      <c r="N16" s="65"/>
      <c r="O16" s="9"/>
      <c r="P16" s="256"/>
    </row>
    <row r="17" spans="2:16">
      <c r="D17" s="25"/>
      <c r="E17" s="67" t="s">
        <v>242</v>
      </c>
      <c r="F17" s="67" t="s">
        <v>241</v>
      </c>
      <c r="G17" s="105">
        <v>-0.2</v>
      </c>
      <c r="H17" s="310">
        <v>18.980599999999999</v>
      </c>
      <c r="I17" s="314"/>
      <c r="J17" s="92"/>
      <c r="K17" s="338"/>
      <c r="L17" s="178"/>
      <c r="M17" s="263"/>
      <c r="N17" s="339"/>
      <c r="O17" s="9"/>
      <c r="P17" s="86"/>
    </row>
    <row r="18" spans="2:16">
      <c r="D18" s="6"/>
      <c r="E18" s="54" t="s">
        <v>244</v>
      </c>
      <c r="F18" s="277" t="s">
        <v>243</v>
      </c>
      <c r="G18" s="105">
        <v>1.41</v>
      </c>
      <c r="H18" s="105">
        <v>3.5610000000000004</v>
      </c>
      <c r="I18" s="314"/>
      <c r="J18" s="8"/>
      <c r="K18" s="338"/>
      <c r="L18" s="178"/>
      <c r="M18" s="263"/>
      <c r="N18" s="339"/>
      <c r="O18" s="9"/>
      <c r="P18" s="3"/>
    </row>
    <row r="19" spans="2:16">
      <c r="D19" s="6"/>
      <c r="E19" s="82" t="s">
        <v>246</v>
      </c>
      <c r="F19" s="88" t="s">
        <v>245</v>
      </c>
      <c r="G19" s="309" t="s">
        <v>162</v>
      </c>
      <c r="H19" s="105">
        <v>0.28399999999999997</v>
      </c>
      <c r="I19" s="314"/>
      <c r="J19" s="8"/>
      <c r="K19" s="338"/>
      <c r="L19" s="178"/>
      <c r="M19" s="263"/>
      <c r="N19" s="339"/>
      <c r="O19" s="9"/>
      <c r="P19" s="3"/>
    </row>
    <row r="20" spans="2:16">
      <c r="D20" s="6"/>
      <c r="E20" s="82" t="s">
        <v>248</v>
      </c>
      <c r="F20" s="82" t="s">
        <v>247</v>
      </c>
      <c r="G20" s="105">
        <v>1.36</v>
      </c>
      <c r="H20" s="310">
        <v>1.4062999999999999</v>
      </c>
      <c r="I20" s="314"/>
      <c r="J20" s="8"/>
      <c r="K20" s="338"/>
      <c r="L20" s="178"/>
      <c r="M20" s="263"/>
      <c r="N20" s="339"/>
      <c r="O20" s="9"/>
    </row>
    <row r="21" spans="2:16">
      <c r="C21" s="3"/>
      <c r="D21" s="6"/>
      <c r="E21" s="67" t="s">
        <v>250</v>
      </c>
      <c r="F21" s="82" t="s">
        <v>249</v>
      </c>
      <c r="G21" s="105">
        <v>1.83</v>
      </c>
      <c r="H21" s="105">
        <v>1.5278999999999998</v>
      </c>
      <c r="I21" s="314"/>
      <c r="J21" s="92"/>
      <c r="K21" s="338"/>
      <c r="L21" s="178"/>
      <c r="M21" s="263"/>
      <c r="N21" s="339"/>
      <c r="O21" s="9"/>
    </row>
    <row r="22" spans="2:16">
      <c r="B22" s="3"/>
      <c r="C22" s="3"/>
      <c r="D22" s="25"/>
      <c r="E22" s="82" t="s">
        <v>252</v>
      </c>
      <c r="F22" s="82" t="s">
        <v>251</v>
      </c>
      <c r="G22" s="105">
        <v>0.66</v>
      </c>
      <c r="H22" s="257">
        <v>0.49099999999999999</v>
      </c>
      <c r="I22" s="314"/>
      <c r="J22" s="8"/>
      <c r="K22" s="338"/>
      <c r="L22" s="178"/>
      <c r="M22" s="263"/>
      <c r="N22" s="339"/>
      <c r="O22" s="9"/>
    </row>
    <row r="23" spans="2:16">
      <c r="D23" s="6"/>
      <c r="E23" s="82" t="s">
        <v>254</v>
      </c>
      <c r="F23" s="82" t="s">
        <v>253</v>
      </c>
      <c r="G23" s="105">
        <v>1.21</v>
      </c>
      <c r="H23" s="105">
        <v>1.5125</v>
      </c>
      <c r="I23" s="314"/>
      <c r="J23" s="8"/>
      <c r="K23" s="338"/>
      <c r="L23" s="178"/>
      <c r="M23" s="263"/>
      <c r="N23" s="339"/>
      <c r="O23" s="9"/>
    </row>
    <row r="24" spans="2:16">
      <c r="D24" s="6"/>
      <c r="E24" s="82" t="s">
        <v>256</v>
      </c>
      <c r="F24" s="82" t="s">
        <v>255</v>
      </c>
      <c r="G24" s="105">
        <v>1.1399999999999999</v>
      </c>
      <c r="H24" s="257">
        <v>1.72E-2</v>
      </c>
      <c r="I24" s="314"/>
      <c r="J24" s="8"/>
      <c r="K24" s="338"/>
      <c r="L24" s="178"/>
      <c r="M24" s="263"/>
      <c r="N24" s="339"/>
      <c r="O24" s="9"/>
    </row>
    <row r="25" spans="2:16">
      <c r="D25" s="6"/>
      <c r="E25" s="82" t="s">
        <v>258</v>
      </c>
      <c r="F25" s="82" t="s">
        <v>257</v>
      </c>
      <c r="G25" s="105">
        <v>1.07</v>
      </c>
      <c r="H25" s="257">
        <v>0.90189999999999992</v>
      </c>
      <c r="I25" s="314"/>
      <c r="J25" s="3"/>
      <c r="K25" s="338"/>
      <c r="L25" s="178"/>
      <c r="M25" s="178"/>
      <c r="N25" s="178"/>
      <c r="O25" s="9"/>
    </row>
    <row r="26" spans="2:16">
      <c r="D26" s="25"/>
      <c r="E26" s="82" t="s">
        <v>260</v>
      </c>
      <c r="F26" s="82" t="s">
        <v>259</v>
      </c>
      <c r="G26" s="105">
        <v>1.93</v>
      </c>
      <c r="H26" s="257">
        <v>2.8001999999999998</v>
      </c>
      <c r="I26" s="314"/>
      <c r="J26" s="8"/>
      <c r="K26" s="338"/>
      <c r="L26" s="330"/>
      <c r="M26" s="179"/>
      <c r="N26" s="3"/>
      <c r="O26" s="9"/>
    </row>
    <row r="27" spans="2:16">
      <c r="D27" s="8"/>
      <c r="G27" s="255">
        <f>MEDIAN(G5:G26)</f>
        <v>1.36</v>
      </c>
      <c r="H27" s="255">
        <f>MEDIAN(H5:H26)</f>
        <v>1.4339999999999997</v>
      </c>
      <c r="I27" s="263"/>
      <c r="J27" s="334"/>
      <c r="K27" s="334"/>
      <c r="L27" s="334"/>
      <c r="M27" s="334"/>
      <c r="N27" s="334"/>
      <c r="O27" s="9"/>
    </row>
    <row r="28" spans="2:16">
      <c r="D28" s="3"/>
      <c r="E28" s="303"/>
      <c r="F28" s="303"/>
      <c r="G28" s="330"/>
      <c r="H28" s="305"/>
      <c r="J28" s="315"/>
      <c r="K28" s="47"/>
      <c r="L28" s="47"/>
      <c r="M28" s="328"/>
      <c r="N28" s="64"/>
      <c r="O28" s="64"/>
      <c r="P28" s="9"/>
    </row>
    <row r="29" spans="2:16">
      <c r="D29" s="3"/>
      <c r="E29" s="87"/>
      <c r="F29" s="340"/>
      <c r="G29" s="348"/>
      <c r="H29" s="348"/>
      <c r="I29" s="349"/>
      <c r="J29" s="315"/>
      <c r="K29" s="92"/>
      <c r="L29" s="92"/>
      <c r="M29" s="178"/>
      <c r="N29" s="263"/>
      <c r="O29" s="263"/>
      <c r="P29" s="9"/>
    </row>
    <row r="30" spans="2:16">
      <c r="D30" s="3"/>
      <c r="E30" s="342"/>
      <c r="F30" s="343"/>
      <c r="G30" s="350"/>
      <c r="H30" s="154"/>
      <c r="I30" s="179"/>
      <c r="J30" s="222"/>
      <c r="K30" s="92"/>
      <c r="L30" s="338"/>
      <c r="M30" s="178"/>
      <c r="N30" s="263"/>
      <c r="O30" s="263"/>
      <c r="P30" s="9"/>
    </row>
    <row r="31" spans="2:16">
      <c r="D31" s="3"/>
      <c r="E31" s="344"/>
      <c r="F31" s="345"/>
      <c r="G31" s="350"/>
      <c r="H31" s="93"/>
      <c r="I31" s="179"/>
      <c r="J31" s="315"/>
      <c r="K31" s="92"/>
      <c r="L31" s="338"/>
      <c r="M31" s="178"/>
      <c r="N31" s="263"/>
      <c r="O31" s="263"/>
      <c r="P31" s="9"/>
    </row>
    <row r="32" spans="2:16">
      <c r="D32" s="3"/>
      <c r="E32" s="342"/>
      <c r="F32" s="351"/>
      <c r="G32" s="350"/>
      <c r="H32" s="154"/>
      <c r="I32" s="179"/>
      <c r="J32" s="178"/>
      <c r="K32" s="92"/>
      <c r="L32" s="338"/>
      <c r="M32" s="178"/>
      <c r="N32" s="178"/>
      <c r="O32" s="178"/>
      <c r="P32" s="9"/>
    </row>
    <row r="33" spans="4:16">
      <c r="D33" s="3"/>
      <c r="E33" s="350"/>
      <c r="F33" s="62"/>
      <c r="G33" s="45"/>
      <c r="H33" s="352"/>
      <c r="I33" s="347"/>
      <c r="K33" s="92"/>
      <c r="L33" s="338"/>
      <c r="M33" s="178"/>
      <c r="N33" s="263"/>
      <c r="O33" s="263"/>
      <c r="P33" s="9"/>
    </row>
    <row r="34" spans="4:16">
      <c r="D34" s="87"/>
      <c r="E34" s="303"/>
      <c r="F34" s="303"/>
      <c r="G34" s="304"/>
      <c r="H34" s="307"/>
      <c r="K34" s="92"/>
      <c r="L34" s="92"/>
      <c r="M34" s="178"/>
      <c r="N34" s="263"/>
      <c r="O34" s="263"/>
      <c r="P34" s="9"/>
    </row>
    <row r="35" spans="4:16">
      <c r="D35" s="341"/>
      <c r="E35" s="303"/>
      <c r="F35" s="303"/>
      <c r="G35" s="304"/>
      <c r="H35" s="307"/>
      <c r="K35" s="92"/>
      <c r="L35" s="92"/>
      <c r="M35" s="178"/>
      <c r="N35" s="315"/>
      <c r="O35" s="315"/>
      <c r="P35" s="9"/>
    </row>
    <row r="36" spans="4:16" ht="12" customHeight="1">
      <c r="D36" s="341"/>
      <c r="E36" s="303"/>
      <c r="F36" s="303"/>
      <c r="G36" s="306"/>
      <c r="H36" s="307"/>
      <c r="K36" s="92"/>
      <c r="L36" s="92"/>
      <c r="M36" s="178"/>
      <c r="N36" s="315"/>
      <c r="O36" s="315"/>
      <c r="P36" s="9"/>
    </row>
    <row r="37" spans="4:16">
      <c r="D37" s="346"/>
      <c r="E37" s="303"/>
      <c r="F37" s="303"/>
      <c r="G37" s="304"/>
      <c r="H37" s="307"/>
      <c r="K37" s="92"/>
      <c r="L37" s="338"/>
      <c r="M37" s="178"/>
      <c r="N37" s="222"/>
      <c r="O37" s="222"/>
      <c r="P37" s="9"/>
    </row>
    <row r="38" spans="4:16">
      <c r="D38" s="3"/>
      <c r="E38" s="303"/>
      <c r="F38" s="303"/>
      <c r="G38" s="304"/>
      <c r="H38" s="307"/>
      <c r="K38" s="92"/>
      <c r="L38" s="338"/>
      <c r="M38" s="178"/>
      <c r="N38" s="315"/>
      <c r="O38" s="315"/>
      <c r="P38" s="9"/>
    </row>
    <row r="39" spans="4:16" ht="12" customHeight="1">
      <c r="E39" s="303"/>
      <c r="F39" s="303"/>
      <c r="G39" s="304"/>
      <c r="H39" s="307"/>
      <c r="K39" s="92"/>
      <c r="L39" s="92"/>
      <c r="M39" s="178"/>
      <c r="N39" s="222"/>
      <c r="O39" s="222"/>
      <c r="P39" s="9"/>
    </row>
    <row r="40" spans="4:16">
      <c r="E40" s="303"/>
      <c r="F40" s="303"/>
      <c r="G40" s="304"/>
      <c r="H40" s="307"/>
      <c r="K40" s="92"/>
      <c r="L40" s="338"/>
      <c r="M40" s="178"/>
      <c r="N40" s="316"/>
      <c r="O40" s="316"/>
      <c r="P40" s="9"/>
    </row>
    <row r="41" spans="4:16">
      <c r="E41" s="303"/>
      <c r="F41" s="303"/>
      <c r="G41" s="304"/>
      <c r="H41" s="307"/>
      <c r="K41" s="92"/>
      <c r="L41" s="92"/>
      <c r="M41" s="178"/>
      <c r="N41" s="263"/>
      <c r="O41" s="263"/>
      <c r="P41" s="9"/>
    </row>
    <row r="42" spans="4:16">
      <c r="E42" s="303"/>
      <c r="F42" s="303"/>
      <c r="G42" s="306"/>
      <c r="H42" s="307"/>
      <c r="K42" s="8"/>
      <c r="L42" s="338"/>
      <c r="M42" s="178"/>
      <c r="N42" s="263"/>
      <c r="O42" s="263"/>
      <c r="P42" s="9"/>
    </row>
    <row r="43" spans="4:16">
      <c r="E43" s="303"/>
      <c r="F43" s="303"/>
      <c r="G43" s="304"/>
      <c r="H43" s="307"/>
      <c r="K43" s="8"/>
      <c r="L43" s="85"/>
      <c r="M43" s="178"/>
      <c r="N43" s="263"/>
      <c r="O43" s="263"/>
      <c r="P43" s="9"/>
    </row>
    <row r="44" spans="4:16">
      <c r="E44" s="303"/>
      <c r="F44" s="303"/>
      <c r="G44" s="304"/>
      <c r="H44" s="307"/>
      <c r="K44" s="8"/>
      <c r="L44" s="8"/>
      <c r="M44" s="178"/>
      <c r="N44" s="263"/>
      <c r="O44" s="263"/>
      <c r="P44" s="9"/>
    </row>
    <row r="45" spans="4:16">
      <c r="E45" s="303"/>
      <c r="F45" s="303"/>
      <c r="G45" s="304"/>
      <c r="H45" s="307"/>
      <c r="K45" s="92"/>
      <c r="L45" s="8"/>
      <c r="M45" s="178"/>
      <c r="N45" s="263"/>
      <c r="O45" s="263"/>
      <c r="P45" s="9"/>
    </row>
    <row r="46" spans="4:16">
      <c r="E46" s="303"/>
      <c r="F46" s="303"/>
      <c r="G46" s="304"/>
      <c r="H46" s="307"/>
      <c r="K46" s="8"/>
      <c r="L46" s="8"/>
      <c r="M46" s="178"/>
      <c r="N46" s="263"/>
      <c r="O46" s="263"/>
      <c r="P46" s="9"/>
    </row>
    <row r="47" spans="4:16">
      <c r="E47" s="303"/>
      <c r="F47" s="303"/>
      <c r="G47" s="304"/>
      <c r="H47" s="307"/>
      <c r="K47" s="8"/>
      <c r="L47" s="8"/>
      <c r="M47" s="178"/>
      <c r="N47" s="178"/>
      <c r="O47" s="178"/>
      <c r="P47" s="9"/>
    </row>
    <row r="48" spans="4:16">
      <c r="E48" s="303"/>
      <c r="F48" s="303"/>
      <c r="G48" s="306"/>
      <c r="H48" s="307"/>
      <c r="K48" s="8"/>
      <c r="L48" s="8"/>
      <c r="M48" s="178"/>
      <c r="N48" s="263"/>
      <c r="O48" s="263"/>
      <c r="P48" s="9"/>
    </row>
    <row r="49" spans="5:15">
      <c r="E49" s="303"/>
      <c r="F49" s="303"/>
      <c r="G49" s="304"/>
      <c r="H49" s="307"/>
      <c r="K49" s="3"/>
      <c r="L49" s="3"/>
      <c r="M49" s="178"/>
      <c r="N49" s="178"/>
      <c r="O49" s="178"/>
    </row>
    <row r="50" spans="5:15">
      <c r="E50" s="303"/>
      <c r="F50" s="303"/>
      <c r="G50" s="304"/>
      <c r="H50" s="307"/>
      <c r="K50" s="92"/>
      <c r="L50" s="3"/>
      <c r="M50" s="330"/>
      <c r="N50" s="3"/>
      <c r="O50" s="3"/>
    </row>
    <row r="51" spans="5:15">
      <c r="E51" s="303"/>
      <c r="F51" s="303"/>
      <c r="G51" s="304"/>
      <c r="H51" s="308"/>
      <c r="K51" s="92"/>
      <c r="L51" s="3"/>
      <c r="M51" s="3"/>
      <c r="N51" s="3"/>
      <c r="O51" s="3"/>
    </row>
    <row r="52" spans="5:15">
      <c r="E52" s="303"/>
      <c r="F52" s="303"/>
      <c r="G52" s="304"/>
      <c r="H52" s="307"/>
      <c r="K52" s="92"/>
    </row>
    <row r="53" spans="5:15">
      <c r="E53" s="303"/>
      <c r="F53" s="303"/>
      <c r="G53" s="304"/>
      <c r="H53" s="307"/>
      <c r="K53" s="92"/>
    </row>
    <row r="54" spans="5:15">
      <c r="K54" s="92"/>
    </row>
    <row r="55" spans="5:15">
      <c r="K55" s="92"/>
    </row>
    <row r="56" spans="5:15">
      <c r="K56" s="92"/>
    </row>
    <row r="57" spans="5:15" ht="12" customHeight="1">
      <c r="K57" s="92"/>
      <c r="M57" s="279"/>
    </row>
    <row r="58" spans="5:15">
      <c r="K58" s="92"/>
    </row>
    <row r="59" spans="5:15">
      <c r="L59" s="178"/>
      <c r="M59" s="92"/>
    </row>
    <row r="63" spans="5:15" ht="12" customHeight="1">
      <c r="O63" s="279"/>
    </row>
    <row r="75" spans="15:15">
      <c r="O75" s="279"/>
    </row>
    <row r="87" spans="15:15">
      <c r="O87" s="279"/>
    </row>
    <row r="90" spans="15:15">
      <c r="O90" s="279"/>
    </row>
    <row r="117" spans="15:15">
      <c r="O117" s="279"/>
    </row>
  </sheetData>
  <mergeCells count="1">
    <mergeCell ref="E3:H3"/>
  </mergeCells>
  <hyperlinks>
    <hyperlink ref="B1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7" width="9.140625" style="2"/>
    <col min="8" max="12" width="9.7109375" style="2" bestFit="1" customWidth="1"/>
    <col min="13" max="16384" width="9.140625" style="2"/>
  </cols>
  <sheetData>
    <row r="1" spans="2:13" ht="15.75">
      <c r="B1" s="17" t="s">
        <v>54</v>
      </c>
    </row>
    <row r="3" spans="2:13" ht="15.75">
      <c r="B3" s="112" t="s">
        <v>9</v>
      </c>
      <c r="C3" s="30"/>
      <c r="D3" s="30"/>
      <c r="E3" s="18"/>
      <c r="F3" s="6"/>
      <c r="J3" s="9"/>
      <c r="K3" s="9"/>
      <c r="L3" s="9"/>
      <c r="M3" s="9"/>
    </row>
    <row r="4" spans="2:13">
      <c r="B4" s="30"/>
      <c r="C4" s="30"/>
      <c r="D4" s="30"/>
      <c r="E4" s="18"/>
      <c r="F4" s="25"/>
      <c r="G4" s="3"/>
    </row>
    <row r="5" spans="2:13">
      <c r="B5" s="89" t="s">
        <v>50</v>
      </c>
      <c r="C5" s="79">
        <f>'Risk Free Rate'!C3</f>
        <v>3.8289999999999998E-2</v>
      </c>
      <c r="D5" s="18"/>
      <c r="E5" s="18"/>
      <c r="F5" s="6"/>
    </row>
    <row r="6" spans="2:13">
      <c r="B6" s="89" t="s">
        <v>12</v>
      </c>
      <c r="C6" s="79">
        <f>'Carvana ERP'!E6</f>
        <v>5.2999999999999999E-2</v>
      </c>
      <c r="D6" s="42"/>
      <c r="E6" s="18"/>
      <c r="F6" s="6"/>
    </row>
    <row r="7" spans="2:13">
      <c r="B7" s="89" t="s">
        <v>261</v>
      </c>
      <c r="C7" s="111">
        <f>Beta!C9</f>
        <v>7.6235024714621726</v>
      </c>
      <c r="D7" s="18"/>
      <c r="E7" s="42"/>
      <c r="F7" s="6"/>
    </row>
    <row r="8" spans="2:13">
      <c r="B8" s="19"/>
      <c r="C8" s="19"/>
      <c r="D8" s="18"/>
      <c r="E8" s="18"/>
      <c r="F8" s="6"/>
    </row>
    <row r="9" spans="2:13">
      <c r="B9" s="89" t="s">
        <v>9</v>
      </c>
      <c r="C9" s="52">
        <f>C5+C7*C6</f>
        <v>0.44233563098749512</v>
      </c>
      <c r="D9" s="18"/>
      <c r="E9" s="18"/>
      <c r="F9" s="6"/>
    </row>
    <row r="10" spans="2:13">
      <c r="B10" s="19"/>
      <c r="C10" s="19"/>
      <c r="D10" s="18"/>
      <c r="E10" s="18"/>
      <c r="F10" s="6"/>
    </row>
    <row r="11" spans="2:13">
      <c r="B11" s="113" t="s">
        <v>51</v>
      </c>
      <c r="C11" s="19"/>
      <c r="D11" s="18"/>
      <c r="E11" s="42"/>
      <c r="F11" s="6"/>
    </row>
    <row r="12" spans="2:13">
      <c r="F12" s="25"/>
    </row>
    <row r="13" spans="2:13" ht="15.75">
      <c r="B13" s="112" t="s">
        <v>55</v>
      </c>
      <c r="C13" s="19"/>
      <c r="D13" s="18"/>
      <c r="E13" s="18"/>
      <c r="F13" s="6"/>
      <c r="G13" s="488" t="s">
        <v>264</v>
      </c>
      <c r="H13" s="488"/>
      <c r="I13" s="488"/>
      <c r="J13" s="488"/>
      <c r="K13" s="488"/>
      <c r="L13" s="488"/>
    </row>
    <row r="14" spans="2:13">
      <c r="B14" s="19"/>
      <c r="C14" s="19"/>
      <c r="D14" s="18"/>
      <c r="E14" s="18"/>
      <c r="F14" s="6"/>
      <c r="G14" s="30"/>
      <c r="H14" s="317">
        <v>2017</v>
      </c>
      <c r="I14" s="317">
        <v>2018</v>
      </c>
      <c r="J14" s="317">
        <v>2019</v>
      </c>
      <c r="K14" s="317">
        <v>2020</v>
      </c>
      <c r="L14" s="317">
        <v>2021</v>
      </c>
    </row>
    <row r="15" spans="2:13">
      <c r="B15" s="89" t="s">
        <v>53</v>
      </c>
      <c r="C15" s="81">
        <f>'Risk Free Rate'!C3</f>
        <v>3.8289999999999998E-2</v>
      </c>
      <c r="D15" s="18"/>
      <c r="E15" s="18"/>
      <c r="F15" s="6"/>
      <c r="G15" s="318" t="s">
        <v>198</v>
      </c>
      <c r="H15" s="367">
        <f>7659/1000</f>
        <v>7.6589999999999998</v>
      </c>
      <c r="I15" s="367">
        <f>25018/1000</f>
        <v>25.018000000000001</v>
      </c>
      <c r="J15" s="367">
        <v>81</v>
      </c>
      <c r="K15" s="368">
        <v>131</v>
      </c>
      <c r="L15" s="368">
        <v>176</v>
      </c>
    </row>
    <row r="16" spans="2:13">
      <c r="B16" s="49" t="s">
        <v>262</v>
      </c>
      <c r="C16" s="81" t="s">
        <v>265</v>
      </c>
      <c r="D16" s="18"/>
      <c r="E16" s="18"/>
      <c r="F16" s="25"/>
      <c r="G16" s="318" t="s">
        <v>3</v>
      </c>
      <c r="H16" s="367">
        <v>-164.316</v>
      </c>
      <c r="I16" s="367">
        <v>-254.745</v>
      </c>
      <c r="J16" s="367">
        <v>-365</v>
      </c>
      <c r="K16" s="368">
        <v>-462</v>
      </c>
      <c r="L16" s="368">
        <v>-286</v>
      </c>
    </row>
    <row r="17" spans="2:12">
      <c r="B17" s="89" t="s">
        <v>263</v>
      </c>
      <c r="C17" s="79">
        <v>0.14000000000000001</v>
      </c>
      <c r="D17" s="42"/>
      <c r="E17" s="42"/>
      <c r="F17" s="6"/>
      <c r="G17" s="318" t="s">
        <v>199</v>
      </c>
      <c r="H17" s="367">
        <f>H16/H15</f>
        <v>-21.453975714845281</v>
      </c>
      <c r="I17" s="367">
        <f>I16/I15</f>
        <v>-10.182468622591735</v>
      </c>
      <c r="J17" s="367">
        <f>J16/J15</f>
        <v>-4.5061728395061724</v>
      </c>
      <c r="K17" s="367">
        <f>K16/K15</f>
        <v>-3.5267175572519083</v>
      </c>
      <c r="L17" s="367">
        <f>L16/L15</f>
        <v>-1.625</v>
      </c>
    </row>
    <row r="18" spans="2:12">
      <c r="B18" s="30"/>
      <c r="C18" s="30"/>
      <c r="D18" s="18"/>
      <c r="E18" s="18"/>
      <c r="F18" s="6"/>
      <c r="G18" s="487" t="s">
        <v>200</v>
      </c>
      <c r="H18" s="487"/>
      <c r="I18" s="487"/>
      <c r="J18" s="487"/>
      <c r="K18" s="487"/>
      <c r="L18" s="320">
        <f>MEDIAN(H17:L17)</f>
        <v>-4.5061728395061724</v>
      </c>
    </row>
    <row r="19" spans="2:12">
      <c r="B19" s="89" t="s">
        <v>10</v>
      </c>
      <c r="C19" s="52">
        <f>C15+C17</f>
        <v>0.17829</v>
      </c>
      <c r="D19" s="18"/>
      <c r="E19" s="18"/>
      <c r="F19" s="6"/>
    </row>
    <row r="20" spans="2:12">
      <c r="B20" s="30"/>
      <c r="C20" s="30"/>
      <c r="D20" s="18"/>
      <c r="E20" s="18"/>
      <c r="F20" s="6"/>
    </row>
    <row r="21" spans="2:12">
      <c r="B21" s="113" t="s">
        <v>266</v>
      </c>
      <c r="C21" s="19"/>
      <c r="D21" s="42"/>
      <c r="E21" s="42"/>
      <c r="F21" s="25"/>
      <c r="G21" s="115"/>
      <c r="H21" s="115"/>
    </row>
    <row r="22" spans="2:12">
      <c r="F22" s="6"/>
      <c r="G22" s="3"/>
      <c r="H22" s="63"/>
    </row>
    <row r="23" spans="2:12">
      <c r="B23" s="104"/>
      <c r="E23" s="3"/>
      <c r="F23" s="6"/>
      <c r="G23" s="50"/>
      <c r="H23" s="45"/>
    </row>
    <row r="24" spans="2:12">
      <c r="B24" s="104"/>
      <c r="F24" s="6"/>
      <c r="G24" s="50"/>
      <c r="H24" s="45"/>
      <c r="I24" s="45"/>
      <c r="J24" s="45"/>
      <c r="K24" s="45"/>
      <c r="L24" s="45"/>
    </row>
    <row r="25" spans="2:12">
      <c r="B25" s="107"/>
      <c r="D25" s="3"/>
      <c r="F25" s="25"/>
      <c r="G25" s="50"/>
      <c r="H25" s="45"/>
      <c r="I25" s="45"/>
      <c r="J25" s="45"/>
      <c r="K25" s="45"/>
      <c r="L25" s="45"/>
    </row>
    <row r="26" spans="2:12">
      <c r="F26" s="3"/>
      <c r="G26" s="116"/>
      <c r="H26" s="116"/>
      <c r="I26" s="116"/>
      <c r="J26" s="116"/>
      <c r="K26" s="116"/>
      <c r="L26" s="24"/>
    </row>
    <row r="27" spans="2:12">
      <c r="F27" s="3"/>
    </row>
    <row r="28" spans="2:12">
      <c r="B28" s="3"/>
      <c r="C28" s="3"/>
      <c r="D28" s="3"/>
      <c r="E28" s="3"/>
      <c r="F28" s="3"/>
    </row>
    <row r="29" spans="2:12">
      <c r="B29" s="3"/>
      <c r="C29" s="3"/>
      <c r="D29" s="3"/>
      <c r="E29" s="3"/>
      <c r="F29" s="3"/>
    </row>
    <row r="30" spans="2:12">
      <c r="B30" s="3"/>
      <c r="C30" s="3"/>
      <c r="D30" s="3"/>
      <c r="E30" s="3"/>
      <c r="F30" s="3"/>
    </row>
    <row r="31" spans="2:12">
      <c r="D31" s="3"/>
      <c r="E31" s="3"/>
      <c r="F31" s="3"/>
    </row>
    <row r="32" spans="2:12">
      <c r="D32" s="3"/>
      <c r="E32" s="3"/>
      <c r="F32" s="3"/>
    </row>
  </sheetData>
  <mergeCells count="2">
    <mergeCell ref="G18:K18"/>
    <mergeCell ref="G13:L13"/>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2.5703125" style="2" customWidth="1"/>
    <col min="4" max="4" width="3.7109375" style="2" customWidth="1"/>
    <col min="5" max="5" width="30.28515625" style="2" customWidth="1"/>
    <col min="6" max="6" width="12.5703125" style="2" customWidth="1"/>
    <col min="7" max="7" width="7" style="2" customWidth="1"/>
    <col min="8" max="8" width="27.28515625" style="2" customWidth="1"/>
    <col min="9" max="9" width="9.42578125" style="2" customWidth="1"/>
    <col min="10" max="10" width="8.7109375" style="2" customWidth="1"/>
    <col min="11" max="11" width="8.28515625" style="2" customWidth="1"/>
    <col min="12" max="16384" width="9.140625" style="2"/>
  </cols>
  <sheetData>
    <row r="1" spans="2:13" ht="15.75">
      <c r="B1" s="17" t="s">
        <v>6</v>
      </c>
    </row>
    <row r="3" spans="2:13" ht="15.75">
      <c r="B3" s="112" t="s">
        <v>8</v>
      </c>
      <c r="C3" s="120"/>
      <c r="E3" s="112" t="s">
        <v>57</v>
      </c>
      <c r="F3" s="120" t="s">
        <v>201</v>
      </c>
      <c r="J3" s="9"/>
      <c r="K3" s="9"/>
    </row>
    <row r="4" spans="2:13" ht="8.25" customHeight="1">
      <c r="B4" s="30"/>
      <c r="C4" s="30"/>
      <c r="E4" s="30"/>
      <c r="F4" s="30"/>
      <c r="G4" s="3"/>
    </row>
    <row r="5" spans="2:13">
      <c r="B5" s="49" t="str">
        <f>'Cost of Equity &amp; Debt'!B9</f>
        <v>Cost of Equity</v>
      </c>
      <c r="C5" s="108">
        <f>'Cost of Equity &amp; Debt'!C9</f>
        <v>0.44233563098749512</v>
      </c>
      <c r="D5" s="6"/>
      <c r="E5" s="89" t="s">
        <v>304</v>
      </c>
      <c r="F5" s="363">
        <f>K13</f>
        <v>5725</v>
      </c>
    </row>
    <row r="6" spans="2:13">
      <c r="B6" s="49" t="str">
        <f>E23</f>
        <v>Market Value of Equity</v>
      </c>
      <c r="C6" s="366">
        <f>F27</f>
        <v>3605.28</v>
      </c>
      <c r="D6" s="25"/>
      <c r="E6" s="89" t="s">
        <v>306</v>
      </c>
      <c r="F6" s="363">
        <v>1118</v>
      </c>
    </row>
    <row r="7" spans="2:13">
      <c r="B7" s="49"/>
      <c r="C7" s="49"/>
      <c r="D7" s="6"/>
      <c r="E7" s="89" t="s">
        <v>305</v>
      </c>
      <c r="F7" s="363">
        <f>314+486+7</f>
        <v>807</v>
      </c>
      <c r="H7" s="355" t="s">
        <v>279</v>
      </c>
      <c r="I7" s="271" t="s">
        <v>272</v>
      </c>
      <c r="J7" s="271" t="s">
        <v>273</v>
      </c>
      <c r="K7" s="271" t="s">
        <v>268</v>
      </c>
      <c r="L7" s="271" t="s">
        <v>269</v>
      </c>
      <c r="M7" s="271" t="s">
        <v>271</v>
      </c>
    </row>
    <row r="8" spans="2:13">
      <c r="B8" s="49" t="str">
        <f>'Cost of Equity &amp; Debt'!B19</f>
        <v>Cost of Debt</v>
      </c>
      <c r="C8" s="108">
        <f>'Cost of Equity &amp; Debt'!C19</f>
        <v>0.17829</v>
      </c>
      <c r="D8" s="6"/>
      <c r="E8" s="90" t="s">
        <v>57</v>
      </c>
      <c r="F8" s="364">
        <f>SUM(F5:F7)</f>
        <v>7650</v>
      </c>
      <c r="H8" s="30" t="s">
        <v>274</v>
      </c>
      <c r="I8" s="369">
        <v>45931</v>
      </c>
      <c r="J8" s="370">
        <f ca="1">YEARFRAC(TODAY(),I8)</f>
        <v>2.9916666666666667</v>
      </c>
      <c r="K8" s="361">
        <v>500</v>
      </c>
      <c r="L8" s="358">
        <f>K8/$K$13</f>
        <v>8.7336244541484712E-2</v>
      </c>
      <c r="M8" s="359">
        <v>5.6250000000000001E-2</v>
      </c>
    </row>
    <row r="9" spans="2:13">
      <c r="B9" s="49" t="str">
        <f>E14</f>
        <v>Market Value of Debt</v>
      </c>
      <c r="C9" s="366">
        <f>F21</f>
        <v>3239.7484579825655</v>
      </c>
      <c r="D9" s="6"/>
      <c r="E9" s="89" t="s">
        <v>4</v>
      </c>
      <c r="F9" s="363">
        <v>539</v>
      </c>
      <c r="H9" s="30" t="s">
        <v>275</v>
      </c>
      <c r="I9" s="369">
        <v>46492</v>
      </c>
      <c r="J9" s="370">
        <f ca="1">YEARFRAC(TODAY(),I9)</f>
        <v>4.5305555555555559</v>
      </c>
      <c r="K9" s="361">
        <v>600</v>
      </c>
      <c r="L9" s="358">
        <f>K9/$K$13</f>
        <v>0.10480349344978165</v>
      </c>
      <c r="M9" s="359">
        <v>5.5E-2</v>
      </c>
    </row>
    <row r="10" spans="2:13">
      <c r="B10" s="49"/>
      <c r="C10" s="49"/>
      <c r="D10" s="6"/>
      <c r="E10" s="30"/>
      <c r="F10" s="30"/>
      <c r="H10" s="30" t="s">
        <v>276</v>
      </c>
      <c r="I10" s="369">
        <v>47027</v>
      </c>
      <c r="J10" s="370">
        <f ca="1">YEARFRAC(TODAY(),I10)</f>
        <v>5.9916666666666663</v>
      </c>
      <c r="K10" s="361">
        <v>600</v>
      </c>
      <c r="L10" s="358">
        <f>K10/$K$13</f>
        <v>0.10480349344978165</v>
      </c>
      <c r="M10" s="359">
        <v>5.8749999999999997E-2</v>
      </c>
    </row>
    <row r="11" spans="2:13">
      <c r="B11" s="49" t="str">
        <f>Beta!B6</f>
        <v>Marginal Tax Rate (%)</v>
      </c>
      <c r="C11" s="108">
        <f>Beta!C6</f>
        <v>0.25169999999999998</v>
      </c>
      <c r="D11" s="6"/>
      <c r="E11" s="89" t="s">
        <v>267</v>
      </c>
      <c r="F11" s="118">
        <f>F8/F9</f>
        <v>14.192949907235622</v>
      </c>
      <c r="H11" s="30" t="s">
        <v>277</v>
      </c>
      <c r="I11" s="369">
        <v>47362</v>
      </c>
      <c r="J11" s="370">
        <f ca="1">YEARFRAC(TODAY(),I11)</f>
        <v>6.9083333333333332</v>
      </c>
      <c r="K11" s="361">
        <v>750</v>
      </c>
      <c r="L11" s="358">
        <f>K11/$K$13</f>
        <v>0.13100436681222707</v>
      </c>
      <c r="M11" s="359">
        <v>4.8750000000000002E-2</v>
      </c>
    </row>
    <row r="12" spans="2:13">
      <c r="B12" s="30"/>
      <c r="C12" s="30"/>
      <c r="D12" s="6"/>
      <c r="F12" s="117"/>
      <c r="H12" s="30" t="s">
        <v>278</v>
      </c>
      <c r="I12" s="369">
        <v>47604</v>
      </c>
      <c r="J12" s="370">
        <f ca="1">YEARFRAC(TODAY(),I12)</f>
        <v>7.5750000000000002</v>
      </c>
      <c r="K12" s="361">
        <v>3275</v>
      </c>
      <c r="L12" s="358">
        <f>K12/$K$13</f>
        <v>0.57205240174672489</v>
      </c>
      <c r="M12" s="359">
        <v>0.10249999999999999</v>
      </c>
    </row>
    <row r="13" spans="2:13">
      <c r="B13" s="49" t="s">
        <v>6</v>
      </c>
      <c r="C13" s="122">
        <f>(C5*(C6/(C6+C9)))+(C8*(1-C11)*(C9/(C6+C9)))</f>
        <v>0.29612337413640416</v>
      </c>
      <c r="H13" s="360" t="s">
        <v>270</v>
      </c>
      <c r="J13" s="371">
        <f ca="1">(J8*L8)+(J9*L9)+(J10*L10)+(J11*L11)+(J12*L12)</f>
        <v>6.6023653566229985</v>
      </c>
      <c r="K13" s="362">
        <f>SUM(K8:K12)</f>
        <v>5725</v>
      </c>
      <c r="L13" s="356">
        <f>SUM(L8:L12)</f>
        <v>1</v>
      </c>
      <c r="M13" s="357">
        <f>(L8*M8)+(L9*M9)+(L10*M10)+(L11*M11)+L12*M12</f>
        <v>8.1855895196506545E-2</v>
      </c>
    </row>
    <row r="14" spans="2:13" ht="12.75" customHeight="1">
      <c r="D14" s="6"/>
      <c r="E14" s="112" t="s">
        <v>56</v>
      </c>
      <c r="F14" s="120" t="s">
        <v>201</v>
      </c>
      <c r="J14" s="237"/>
    </row>
    <row r="15" spans="2:13">
      <c r="B15" s="104"/>
      <c r="D15" s="6"/>
      <c r="E15" s="30"/>
      <c r="F15" s="120"/>
      <c r="J15" s="237"/>
    </row>
    <row r="16" spans="2:13" ht="15" customHeight="1">
      <c r="B16" s="104"/>
      <c r="D16" s="6"/>
      <c r="E16" s="89" t="s">
        <v>57</v>
      </c>
      <c r="F16" s="363">
        <f>F8</f>
        <v>7650</v>
      </c>
    </row>
    <row r="17" spans="2:10">
      <c r="D17" s="6"/>
      <c r="E17" s="89" t="s">
        <v>58</v>
      </c>
      <c r="F17" s="363">
        <f>'Cost of Equity &amp; Debt'!L15</f>
        <v>176</v>
      </c>
    </row>
    <row r="18" spans="2:10">
      <c r="D18" s="25"/>
      <c r="E18" s="89" t="s">
        <v>10</v>
      </c>
      <c r="F18" s="79">
        <f>'Cost of Equity &amp; Debt'!C19</f>
        <v>0.17829</v>
      </c>
    </row>
    <row r="19" spans="2:10">
      <c r="D19" s="6"/>
      <c r="E19" s="49" t="s">
        <v>60</v>
      </c>
      <c r="F19" s="121">
        <v>6.61</v>
      </c>
    </row>
    <row r="20" spans="2:10">
      <c r="D20" s="6"/>
      <c r="E20" s="30"/>
      <c r="F20" s="19"/>
    </row>
    <row r="21" spans="2:10">
      <c r="D21" s="6"/>
      <c r="E21" s="89" t="s">
        <v>59</v>
      </c>
      <c r="F21" s="365">
        <f>F17*((1-(1+F18)^(-F19))/F18)+F16/(1+F18)^F19</f>
        <v>3239.7484579825655</v>
      </c>
    </row>
    <row r="22" spans="2:10">
      <c r="D22" s="25"/>
    </row>
    <row r="23" spans="2:10" ht="15.75">
      <c r="D23" s="3"/>
      <c r="E23" s="112" t="s">
        <v>61</v>
      </c>
      <c r="F23" s="120" t="s">
        <v>201</v>
      </c>
      <c r="G23" s="115"/>
      <c r="J23" s="115"/>
    </row>
    <row r="24" spans="2:10">
      <c r="E24" s="30"/>
      <c r="F24" s="30"/>
      <c r="G24" s="3"/>
      <c r="J24" s="63"/>
    </row>
    <row r="25" spans="2:10">
      <c r="E25" s="49" t="s">
        <v>280</v>
      </c>
      <c r="F25" s="363">
        <v>20.3</v>
      </c>
      <c r="G25" s="50"/>
      <c r="H25" s="45"/>
      <c r="I25" s="45"/>
      <c r="J25" s="45"/>
    </row>
    <row r="26" spans="2:10" ht="12" customHeight="1">
      <c r="B26" s="114"/>
      <c r="E26" s="49" t="s">
        <v>62</v>
      </c>
      <c r="F26" s="270">
        <v>177.6</v>
      </c>
      <c r="G26" s="50"/>
      <c r="H26" s="45"/>
      <c r="I26" s="45"/>
      <c r="J26" s="45"/>
    </row>
    <row r="27" spans="2:10">
      <c r="E27" s="49" t="s">
        <v>63</v>
      </c>
      <c r="F27" s="365">
        <f>F25*F26</f>
        <v>3605.28</v>
      </c>
      <c r="G27" s="50"/>
      <c r="H27" s="45"/>
      <c r="I27" s="45"/>
      <c r="J27" s="45"/>
    </row>
    <row r="28" spans="2:10">
      <c r="D28" s="3"/>
      <c r="G28" s="50"/>
      <c r="H28" s="45"/>
      <c r="I28" s="45"/>
      <c r="J28" s="45"/>
    </row>
    <row r="29" spans="2:10">
      <c r="D29" s="3"/>
      <c r="G29" s="116"/>
      <c r="H29" s="116"/>
      <c r="I29" s="116"/>
      <c r="J29" s="24"/>
    </row>
    <row r="30" spans="2:10">
      <c r="B30" s="73"/>
      <c r="C30" s="3"/>
      <c r="D30" s="3"/>
      <c r="E30" s="3"/>
      <c r="F30" s="3"/>
    </row>
    <row r="31" spans="2:10">
      <c r="B31" s="3"/>
      <c r="C31" s="3"/>
      <c r="D31" s="3"/>
      <c r="E31" s="3"/>
      <c r="F31" s="3"/>
    </row>
    <row r="32" spans="2:10">
      <c r="B32" s="3"/>
      <c r="C32" s="3"/>
      <c r="D32" s="3"/>
      <c r="E32" s="3"/>
      <c r="F32" s="3"/>
    </row>
    <row r="33" spans="2:4">
      <c r="B33" s="3"/>
      <c r="C33" s="3"/>
      <c r="D33" s="3"/>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5" t="s">
        <v>64</v>
      </c>
    </row>
    <row r="3" spans="2:2">
      <c r="B3" s="131" t="s">
        <v>87</v>
      </c>
    </row>
    <row r="4" spans="2:2">
      <c r="B4" s="131" t="s">
        <v>86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25" customWidth="1"/>
    <col min="2" max="2" width="29.140625" style="125" customWidth="1"/>
    <col min="3" max="3" width="15.5703125" style="125" customWidth="1"/>
    <col min="4" max="4" width="8.85546875" style="125" customWidth="1"/>
    <col min="5" max="6" width="9.28515625" style="125" customWidth="1"/>
    <col min="7" max="7" width="10.140625" style="125" bestFit="1" customWidth="1" collapsed="1"/>
    <col min="8" max="11" width="9" style="125" customWidth="1"/>
    <col min="12" max="12" width="9.28515625" style="125" customWidth="1"/>
    <col min="13"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172</v>
      </c>
      <c r="C1" s="123"/>
      <c r="D1" s="123"/>
      <c r="E1" s="123"/>
      <c r="F1" s="123"/>
      <c r="G1" s="123"/>
      <c r="H1" s="123"/>
      <c r="I1" s="123"/>
      <c r="J1" s="123"/>
      <c r="K1" s="123"/>
      <c r="L1" s="123"/>
    </row>
    <row r="2" spans="1:32" ht="12" customHeight="1"/>
    <row r="3" spans="1:32" s="127" customFormat="1" ht="12" customHeight="1">
      <c r="A3" s="125"/>
      <c r="B3" s="138"/>
      <c r="C3" s="139" t="s">
        <v>201</v>
      </c>
      <c r="D3" s="126"/>
      <c r="E3" s="126"/>
      <c r="F3" s="259"/>
      <c r="G3" s="259"/>
      <c r="H3" s="259"/>
      <c r="I3" s="259"/>
      <c r="J3" s="259"/>
      <c r="K3" s="259"/>
      <c r="L3" s="259"/>
      <c r="M3" s="259"/>
      <c r="N3" s="126"/>
      <c r="O3" s="126"/>
      <c r="P3" s="126"/>
      <c r="Q3" s="126"/>
      <c r="R3" s="126"/>
      <c r="S3" s="126"/>
      <c r="T3" s="126"/>
      <c r="U3" s="126"/>
      <c r="V3" s="126"/>
      <c r="W3" s="126"/>
      <c r="X3" s="126"/>
      <c r="Y3" s="126"/>
      <c r="Z3" s="126"/>
      <c r="AA3" s="126"/>
    </row>
    <row r="4" spans="1:32" ht="12" customHeight="1">
      <c r="A4" s="127"/>
      <c r="B4" s="140" t="s">
        <v>202</v>
      </c>
      <c r="C4" s="375">
        <f>3884+3497+3480+3336</f>
        <v>14197</v>
      </c>
      <c r="D4" s="162"/>
      <c r="F4" s="128"/>
      <c r="G4" s="134"/>
      <c r="H4" s="134"/>
      <c r="I4" s="134"/>
      <c r="J4" s="160"/>
    </row>
    <row r="5" spans="1:32" ht="12" customHeight="1">
      <c r="A5" s="132" t="s">
        <v>40</v>
      </c>
      <c r="B5" s="141" t="s">
        <v>281</v>
      </c>
      <c r="C5" s="363">
        <f>-(3488+3199+2957+2784)</f>
        <v>-12428</v>
      </c>
      <c r="D5" s="20">
        <f>C5/$C$4</f>
        <v>-0.87539621046700011</v>
      </c>
      <c r="F5" s="130"/>
      <c r="H5" s="281"/>
      <c r="I5" s="220"/>
      <c r="J5" s="282"/>
    </row>
    <row r="6" spans="1:32" ht="12" customHeight="1">
      <c r="A6" s="132" t="s">
        <v>40</v>
      </c>
      <c r="B6" s="141" t="s">
        <v>282</v>
      </c>
      <c r="C6" s="363">
        <f>-(721+727+546+470)</f>
        <v>-2464</v>
      </c>
      <c r="D6" s="20">
        <f>C6/$C$4</f>
        <v>-0.17355779390011974</v>
      </c>
      <c r="F6" s="130"/>
      <c r="G6" s="62"/>
      <c r="H6" s="62"/>
      <c r="I6" s="62"/>
      <c r="J6" s="282"/>
      <c r="L6" s="129"/>
      <c r="M6" s="129"/>
      <c r="O6" s="129"/>
      <c r="P6" s="129"/>
      <c r="Q6" s="129"/>
      <c r="R6" s="129"/>
      <c r="S6" s="129"/>
      <c r="T6" s="129"/>
      <c r="Y6" s="129"/>
    </row>
    <row r="7" spans="1:32" ht="12" customHeight="1">
      <c r="B7" s="258" t="s">
        <v>3</v>
      </c>
      <c r="C7" s="376">
        <f>SUM(C4:C6)</f>
        <v>-695</v>
      </c>
      <c r="D7" s="20"/>
      <c r="F7" s="130"/>
      <c r="G7" s="220"/>
      <c r="H7" s="220"/>
      <c r="I7" s="220"/>
      <c r="J7" s="267"/>
      <c r="L7" s="130"/>
      <c r="M7" s="175"/>
      <c r="N7" s="130"/>
      <c r="O7" s="130"/>
      <c r="P7" s="130"/>
      <c r="Q7" s="130"/>
      <c r="R7" s="130"/>
      <c r="S7" s="130"/>
      <c r="T7" s="130"/>
      <c r="U7" s="130"/>
      <c r="V7" s="130"/>
      <c r="W7" s="130"/>
      <c r="X7" s="130"/>
      <c r="Y7" s="130"/>
      <c r="Z7" s="130"/>
      <c r="AA7" s="130"/>
      <c r="AB7" s="130"/>
      <c r="AC7" s="130"/>
      <c r="AD7" s="130"/>
    </row>
    <row r="8" spans="1:32" ht="12" customHeight="1">
      <c r="A8" s="132"/>
      <c r="B8" s="128"/>
      <c r="C8" s="70"/>
      <c r="D8" s="20"/>
      <c r="F8" s="130"/>
      <c r="H8" s="175"/>
      <c r="I8" s="175"/>
      <c r="J8" s="267"/>
      <c r="L8" s="130"/>
      <c r="M8" s="130"/>
      <c r="N8" s="130"/>
      <c r="O8" s="130"/>
      <c r="P8" s="130"/>
      <c r="Q8" s="130"/>
      <c r="R8" s="130"/>
      <c r="S8" s="130"/>
      <c r="T8" s="130"/>
      <c r="U8" s="130"/>
      <c r="V8" s="130"/>
      <c r="W8" s="130"/>
      <c r="X8" s="130"/>
      <c r="Y8" s="130"/>
      <c r="Z8" s="130"/>
      <c r="AA8" s="130"/>
      <c r="AB8" s="130"/>
      <c r="AC8" s="130"/>
      <c r="AD8" s="130"/>
    </row>
    <row r="9" spans="1:32" ht="12" customHeight="1">
      <c r="A9" s="132"/>
      <c r="B9" s="128"/>
      <c r="C9" s="149"/>
      <c r="D9" s="20"/>
      <c r="H9" s="130"/>
      <c r="I9" s="130"/>
      <c r="J9" s="130"/>
      <c r="K9" s="130"/>
      <c r="M9" s="130"/>
      <c r="N9" s="130"/>
      <c r="O9" s="130"/>
      <c r="P9" s="130"/>
      <c r="Q9" s="130"/>
      <c r="R9" s="130"/>
      <c r="S9" s="130"/>
      <c r="T9" s="130"/>
      <c r="U9" s="130"/>
      <c r="V9" s="130"/>
      <c r="W9" s="130"/>
      <c r="X9" s="130"/>
      <c r="Y9" s="130"/>
      <c r="Z9" s="130"/>
      <c r="AA9" s="130"/>
      <c r="AB9" s="130"/>
      <c r="AC9" s="130"/>
      <c r="AD9" s="130"/>
      <c r="AE9" s="130"/>
      <c r="AF9" s="130"/>
    </row>
    <row r="10" spans="1:32">
      <c r="A10" s="132"/>
      <c r="B10" s="128"/>
      <c r="C10" s="149"/>
      <c r="D10" s="20"/>
      <c r="H10" s="130"/>
      <c r="I10" s="130"/>
      <c r="J10" s="130"/>
      <c r="K10" s="130"/>
      <c r="M10" s="130"/>
      <c r="N10" s="154"/>
      <c r="O10" s="130"/>
      <c r="P10" s="130"/>
      <c r="Q10" s="130"/>
      <c r="R10" s="130"/>
      <c r="S10" s="130"/>
      <c r="T10" s="130"/>
      <c r="U10" s="130"/>
      <c r="V10" s="130"/>
      <c r="W10" s="130"/>
      <c r="X10" s="130"/>
      <c r="Y10" s="130"/>
      <c r="Z10" s="130"/>
      <c r="AA10" s="130"/>
      <c r="AB10" s="130"/>
      <c r="AC10" s="130"/>
      <c r="AD10" s="130"/>
      <c r="AE10" s="130"/>
      <c r="AF10" s="130"/>
    </row>
    <row r="11" spans="1:32">
      <c r="A11" s="132"/>
      <c r="B11" s="128"/>
      <c r="C11" s="149"/>
      <c r="D11" s="46"/>
      <c r="H11" s="130"/>
      <c r="I11" s="130"/>
      <c r="J11" s="130"/>
      <c r="K11" s="130"/>
      <c r="M11" s="130"/>
      <c r="N11" s="130"/>
      <c r="O11" s="130"/>
      <c r="P11" s="130"/>
      <c r="Q11" s="130"/>
      <c r="R11" s="130"/>
      <c r="S11" s="130"/>
      <c r="T11" s="130"/>
      <c r="U11" s="130"/>
      <c r="V11" s="130"/>
      <c r="W11" s="130"/>
      <c r="X11" s="130"/>
      <c r="Y11" s="130"/>
      <c r="Z11" s="130"/>
      <c r="AA11" s="130"/>
      <c r="AB11" s="130"/>
      <c r="AC11" s="130"/>
      <c r="AD11" s="130"/>
      <c r="AE11" s="130"/>
      <c r="AF11" s="130"/>
    </row>
    <row r="12" spans="1:32">
      <c r="A12" s="128"/>
      <c r="B12" s="128"/>
      <c r="C12" s="372"/>
      <c r="H12" s="130"/>
      <c r="I12" s="130"/>
      <c r="J12" s="130"/>
      <c r="K12" s="130"/>
      <c r="M12" s="130"/>
      <c r="N12" s="130"/>
      <c r="O12" s="130"/>
      <c r="P12" s="130"/>
      <c r="Q12" s="130"/>
      <c r="R12" s="130"/>
      <c r="S12" s="130"/>
      <c r="T12" s="130"/>
      <c r="U12" s="130"/>
      <c r="V12" s="130"/>
      <c r="W12" s="130"/>
      <c r="X12" s="130"/>
      <c r="Y12" s="130"/>
      <c r="Z12" s="130"/>
      <c r="AA12" s="130"/>
      <c r="AB12" s="130"/>
      <c r="AC12" s="130"/>
      <c r="AD12" s="130"/>
      <c r="AE12" s="130"/>
      <c r="AF12" s="130"/>
    </row>
    <row r="13" spans="1:32">
      <c r="A13" s="132"/>
      <c r="B13" s="128"/>
      <c r="C13" s="149"/>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row>
    <row r="14" spans="1:32">
      <c r="B14" s="128"/>
      <c r="C14" s="70"/>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row>
    <row r="15" spans="1:32">
      <c r="B15" s="128"/>
      <c r="C15" s="194"/>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row>
    <row r="16" spans="1:32">
      <c r="D16" s="130"/>
      <c r="E16" s="130"/>
      <c r="F16" s="130"/>
      <c r="G16" s="130"/>
      <c r="H16" s="373"/>
      <c r="I16" s="130"/>
      <c r="K16" s="374"/>
      <c r="O16" s="130"/>
      <c r="P16" s="130"/>
      <c r="Q16" s="130"/>
      <c r="R16" s="130"/>
      <c r="S16" s="130"/>
      <c r="T16" s="130"/>
      <c r="U16" s="130"/>
      <c r="V16" s="130"/>
      <c r="W16" s="130"/>
      <c r="X16" s="130"/>
      <c r="Y16" s="130"/>
      <c r="Z16" s="130"/>
      <c r="AA16" s="130"/>
      <c r="AB16" s="130"/>
      <c r="AC16" s="130"/>
      <c r="AD16" s="130"/>
      <c r="AE16" s="130"/>
      <c r="AF16" s="130"/>
    </row>
    <row r="17" spans="4:32">
      <c r="D17" s="135"/>
      <c r="E17" s="135"/>
      <c r="F17" s="135"/>
      <c r="G17" s="135"/>
      <c r="H17" s="135"/>
      <c r="I17" s="136"/>
      <c r="O17" s="130"/>
      <c r="P17" s="130"/>
      <c r="Q17" s="130"/>
      <c r="R17" s="130"/>
      <c r="S17" s="130"/>
      <c r="T17" s="130"/>
      <c r="U17" s="130"/>
      <c r="V17" s="130"/>
      <c r="W17" s="130"/>
      <c r="X17" s="130"/>
      <c r="Y17" s="130"/>
      <c r="Z17" s="130"/>
      <c r="AA17" s="130"/>
      <c r="AB17" s="130"/>
      <c r="AC17" s="130"/>
      <c r="AD17" s="130"/>
      <c r="AE17" s="130"/>
      <c r="AF17" s="130"/>
    </row>
    <row r="18" spans="4:32">
      <c r="D18" s="72"/>
      <c r="E18" s="72"/>
      <c r="F18" s="72"/>
      <c r="G18" s="72"/>
      <c r="H18" s="72"/>
      <c r="I18" s="72"/>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row>
    <row r="19" spans="4:32">
      <c r="D19" s="72"/>
      <c r="E19" s="72"/>
      <c r="F19" s="72"/>
      <c r="G19" s="72"/>
      <c r="H19" s="72"/>
      <c r="I19" s="72"/>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4:32">
      <c r="D20" s="137"/>
      <c r="E20" s="137"/>
      <c r="F20" s="137"/>
      <c r="G20" s="137"/>
      <c r="H20" s="137"/>
      <c r="I20" s="135"/>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row>
    <row r="21" spans="4:32">
      <c r="G21" s="130"/>
      <c r="H21" s="135"/>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row>
    <row r="22" spans="4:32">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row>
    <row r="23" spans="4:32">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row>
    <row r="24" spans="4:32">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row>
    <row r="25" spans="4:32">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row>
    <row r="26" spans="4:32">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row>
    <row r="27" spans="4:32">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row>
    <row r="28" spans="4:32">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row>
    <row r="29" spans="4:32">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4:32">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4:32">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4:32">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7:32" ht="14.25" customHeight="1">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7:32">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7:32">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7: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7: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7: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row r="39" spans="7:32">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row>
    <row r="40" spans="7:32">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row>
    <row r="41" spans="7:32">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25" customWidth="1"/>
    <col min="2" max="2" width="29.140625" style="125" customWidth="1"/>
    <col min="3" max="3" width="14.7109375" style="125" customWidth="1"/>
    <col min="4" max="4" width="9.7109375" style="125" customWidth="1"/>
    <col min="5" max="5" width="9.28515625" style="125" customWidth="1"/>
    <col min="6" max="6" width="22.42578125" style="125" customWidth="1"/>
    <col min="7" max="7" width="10.140625" style="125" bestFit="1" customWidth="1" collapsed="1"/>
    <col min="8" max="11" width="9" style="125" customWidth="1"/>
    <col min="12" max="12" width="9.28515625" style="125" customWidth="1"/>
    <col min="13"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173</v>
      </c>
      <c r="C1" s="123"/>
      <c r="D1" s="123"/>
      <c r="E1" s="123"/>
      <c r="F1" s="123"/>
      <c r="G1" s="123"/>
      <c r="H1" s="123"/>
      <c r="I1" s="123"/>
      <c r="J1" s="123"/>
      <c r="K1" s="123"/>
      <c r="L1" s="123"/>
    </row>
    <row r="2" spans="1:32" ht="12" customHeight="1"/>
    <row r="3" spans="1:32" s="127" customFormat="1" ht="12" customHeight="1">
      <c r="A3" s="125"/>
      <c r="C3" s="284" t="s">
        <v>201</v>
      </c>
      <c r="D3" s="126"/>
      <c r="E3" s="126"/>
      <c r="F3" s="489" t="s">
        <v>156</v>
      </c>
      <c r="G3" s="489"/>
      <c r="H3" s="489"/>
      <c r="I3" s="489"/>
      <c r="J3" s="489"/>
      <c r="K3" s="489"/>
      <c r="L3" s="489"/>
      <c r="M3" s="489"/>
      <c r="N3" s="126"/>
      <c r="O3" s="126"/>
      <c r="P3" s="126"/>
      <c r="Q3" s="126"/>
      <c r="R3" s="126"/>
      <c r="S3" s="126"/>
      <c r="T3" s="126"/>
      <c r="U3" s="126"/>
      <c r="V3" s="126"/>
      <c r="W3" s="126"/>
      <c r="X3" s="126"/>
      <c r="Y3" s="126"/>
      <c r="Z3" s="126"/>
      <c r="AA3" s="126"/>
    </row>
    <row r="4" spans="1:32" ht="12" customHeight="1">
      <c r="A4" s="127"/>
      <c r="B4" s="141" t="s">
        <v>3</v>
      </c>
      <c r="C4" s="363">
        <f>Numbers!C7</f>
        <v>-695</v>
      </c>
      <c r="F4" s="234" t="s">
        <v>38</v>
      </c>
      <c r="G4" s="235" t="s">
        <v>151</v>
      </c>
      <c r="H4" s="235">
        <v>2020</v>
      </c>
      <c r="I4" s="235">
        <v>2019</v>
      </c>
      <c r="J4" s="235">
        <v>2018</v>
      </c>
      <c r="K4" s="235">
        <v>2017</v>
      </c>
      <c r="L4" s="235">
        <v>2016</v>
      </c>
      <c r="M4" s="236"/>
    </row>
    <row r="5" spans="1:32" ht="12" customHeight="1">
      <c r="A5" s="127"/>
      <c r="B5" s="141" t="s">
        <v>157</v>
      </c>
      <c r="C5" s="363">
        <f>M7</f>
        <v>937.8309999999999</v>
      </c>
      <c r="F5" s="185" t="s">
        <v>153</v>
      </c>
      <c r="G5" s="380">
        <f>131+155+126+119</f>
        <v>531</v>
      </c>
      <c r="H5" s="380">
        <v>286</v>
      </c>
      <c r="I5" s="380">
        <v>204</v>
      </c>
      <c r="J5" s="380">
        <f>111229/1000</f>
        <v>111.229</v>
      </c>
      <c r="K5" s="380">
        <f>55697/1000</f>
        <v>55.697000000000003</v>
      </c>
      <c r="L5" s="380">
        <f>26988/1000</f>
        <v>26.988</v>
      </c>
      <c r="M5" s="232"/>
    </row>
    <row r="6" spans="1:32" ht="12" customHeight="1">
      <c r="B6" s="141" t="s">
        <v>174</v>
      </c>
      <c r="C6" s="363">
        <f>M8</f>
        <v>136.78280000000001</v>
      </c>
      <c r="F6" s="185" t="s">
        <v>154</v>
      </c>
      <c r="G6" s="103">
        <v>1</v>
      </c>
      <c r="H6" s="103">
        <f>4/5</f>
        <v>0.8</v>
      </c>
      <c r="I6" s="103">
        <f>3/5</f>
        <v>0.6</v>
      </c>
      <c r="J6" s="103">
        <f>2/5</f>
        <v>0.4</v>
      </c>
      <c r="K6" s="103">
        <f>1/5</f>
        <v>0.2</v>
      </c>
      <c r="L6" s="103">
        <v>0</v>
      </c>
      <c r="M6" s="233"/>
      <c r="O6" s="129"/>
      <c r="P6" s="129"/>
      <c r="Q6" s="129"/>
      <c r="R6" s="129"/>
      <c r="S6" s="129"/>
      <c r="T6" s="129"/>
      <c r="Y6" s="129"/>
    </row>
    <row r="7" spans="1:32" ht="12" customHeight="1">
      <c r="A7" s="132"/>
      <c r="B7" s="141" t="s">
        <v>158</v>
      </c>
      <c r="C7" s="363">
        <f>G5</f>
        <v>531</v>
      </c>
      <c r="F7" s="185" t="s">
        <v>155</v>
      </c>
      <c r="G7" s="380">
        <f t="shared" ref="G7:L7" si="0">G5*G6</f>
        <v>531</v>
      </c>
      <c r="H7" s="380">
        <f t="shared" si="0"/>
        <v>228.8</v>
      </c>
      <c r="I7" s="380">
        <f t="shared" si="0"/>
        <v>122.39999999999999</v>
      </c>
      <c r="J7" s="380">
        <f t="shared" si="0"/>
        <v>44.491600000000005</v>
      </c>
      <c r="K7" s="380">
        <f t="shared" si="0"/>
        <v>11.139400000000002</v>
      </c>
      <c r="L7" s="380">
        <f t="shared" si="0"/>
        <v>0</v>
      </c>
      <c r="M7" s="384">
        <f>SUM(G7:L7)</f>
        <v>937.8309999999999</v>
      </c>
      <c r="O7" s="130"/>
      <c r="P7" s="130"/>
      <c r="Q7" s="130"/>
      <c r="R7" s="130"/>
      <c r="S7" s="130"/>
      <c r="T7" s="130"/>
      <c r="U7" s="130"/>
      <c r="V7" s="130"/>
      <c r="W7" s="130"/>
      <c r="X7" s="130"/>
      <c r="Y7" s="130"/>
      <c r="Z7" s="130"/>
      <c r="AA7" s="130"/>
      <c r="AB7" s="130"/>
      <c r="AC7" s="130"/>
      <c r="AD7" s="130"/>
    </row>
    <row r="8" spans="1:32" ht="12" customHeight="1">
      <c r="A8" s="132"/>
      <c r="B8" s="128"/>
      <c r="C8" s="149"/>
      <c r="D8" s="133"/>
      <c r="F8" s="185" t="s">
        <v>152</v>
      </c>
      <c r="G8" s="380">
        <v>0</v>
      </c>
      <c r="H8" s="383">
        <f>H5/5</f>
        <v>57.2</v>
      </c>
      <c r="I8" s="383">
        <f>I5/5</f>
        <v>40.799999999999997</v>
      </c>
      <c r="J8" s="383">
        <f>J5/5</f>
        <v>22.245799999999999</v>
      </c>
      <c r="K8" s="383">
        <f>K5/5</f>
        <v>11.1394</v>
      </c>
      <c r="L8" s="383">
        <f>L5/5</f>
        <v>5.3975999999999997</v>
      </c>
      <c r="M8" s="384">
        <f>SUM(G8:L8)</f>
        <v>136.78280000000001</v>
      </c>
      <c r="O8" s="130"/>
      <c r="P8" s="130"/>
      <c r="Q8" s="130"/>
      <c r="R8" s="130"/>
      <c r="S8" s="130"/>
      <c r="T8" s="130"/>
      <c r="U8" s="130"/>
      <c r="V8" s="130"/>
      <c r="W8" s="130"/>
      <c r="X8" s="130"/>
      <c r="Y8" s="130"/>
      <c r="Z8" s="130"/>
      <c r="AA8" s="130"/>
      <c r="AB8" s="130"/>
      <c r="AC8" s="130"/>
      <c r="AD8" s="130"/>
    </row>
    <row r="9" spans="1:32" ht="12" customHeight="1">
      <c r="A9" s="132"/>
      <c r="B9" s="141" t="s">
        <v>150</v>
      </c>
      <c r="C9" s="363">
        <f>C4+C7</f>
        <v>-164</v>
      </c>
      <c r="H9" s="130"/>
      <c r="I9" s="130"/>
      <c r="J9" s="130"/>
      <c r="K9" s="130"/>
      <c r="M9" s="130"/>
      <c r="N9" s="130"/>
      <c r="O9" s="130"/>
      <c r="P9" s="130"/>
      <c r="Q9" s="130"/>
      <c r="R9" s="130"/>
      <c r="S9" s="130"/>
      <c r="T9" s="130"/>
      <c r="U9" s="130"/>
      <c r="V9" s="130"/>
      <c r="W9" s="130"/>
      <c r="X9" s="130"/>
      <c r="Y9" s="130"/>
      <c r="Z9" s="130"/>
      <c r="AA9" s="130"/>
      <c r="AB9" s="130"/>
      <c r="AC9" s="130"/>
      <c r="AD9" s="130"/>
      <c r="AE9" s="130"/>
      <c r="AF9" s="130"/>
    </row>
    <row r="10" spans="1:32">
      <c r="A10" s="132" t="s">
        <v>40</v>
      </c>
      <c r="B10" s="141" t="s">
        <v>159</v>
      </c>
      <c r="C10" s="363">
        <f>C6</f>
        <v>136.78280000000001</v>
      </c>
      <c r="H10" s="130"/>
      <c r="I10" s="130"/>
      <c r="J10" s="130"/>
      <c r="K10" s="130"/>
      <c r="M10" s="130"/>
      <c r="N10" s="154"/>
      <c r="O10" s="130"/>
      <c r="P10" s="130"/>
      <c r="Q10" s="130"/>
      <c r="R10" s="130"/>
      <c r="S10" s="130"/>
      <c r="T10" s="130"/>
      <c r="U10" s="130"/>
      <c r="V10" s="130"/>
      <c r="W10" s="130"/>
      <c r="X10" s="130"/>
      <c r="Y10" s="130"/>
      <c r="Z10" s="130"/>
      <c r="AA10" s="130"/>
      <c r="AB10" s="130"/>
      <c r="AC10" s="130"/>
      <c r="AD10" s="130"/>
      <c r="AE10" s="130"/>
      <c r="AF10" s="130"/>
    </row>
    <row r="11" spans="1:32">
      <c r="A11" s="128"/>
      <c r="B11" s="144" t="s">
        <v>67</v>
      </c>
      <c r="C11" s="364">
        <f>C9-C10</f>
        <v>-300.78280000000001</v>
      </c>
      <c r="H11" s="130"/>
      <c r="I11" s="130"/>
      <c r="J11" s="130"/>
      <c r="K11" s="130"/>
      <c r="M11" s="130"/>
      <c r="N11" s="130"/>
      <c r="O11" s="130"/>
      <c r="P11" s="130"/>
      <c r="Q11" s="130"/>
      <c r="R11" s="130"/>
      <c r="S11" s="130"/>
      <c r="T11" s="130"/>
      <c r="U11" s="130"/>
      <c r="V11" s="130"/>
      <c r="W11" s="130"/>
      <c r="X11" s="130"/>
      <c r="Y11" s="130"/>
      <c r="Z11" s="130"/>
      <c r="AA11" s="130"/>
      <c r="AB11" s="130"/>
      <c r="AC11" s="130"/>
      <c r="AD11" s="130"/>
      <c r="AE11" s="130"/>
      <c r="AF11" s="130"/>
    </row>
    <row r="12" spans="1:32">
      <c r="A12" s="132"/>
      <c r="B12" s="128"/>
      <c r="C12" s="149"/>
      <c r="H12" s="130"/>
      <c r="I12" s="130"/>
      <c r="J12" s="130"/>
      <c r="K12" s="130"/>
      <c r="M12" s="130"/>
      <c r="N12" s="130"/>
      <c r="O12" s="130"/>
      <c r="P12" s="130"/>
      <c r="Q12" s="130"/>
      <c r="R12" s="130"/>
      <c r="S12" s="130"/>
      <c r="T12" s="130"/>
      <c r="U12" s="130"/>
      <c r="V12" s="130"/>
      <c r="W12" s="130"/>
      <c r="X12" s="130"/>
      <c r="Y12" s="130"/>
      <c r="Z12" s="130"/>
      <c r="AA12" s="130"/>
      <c r="AB12" s="130"/>
      <c r="AC12" s="130"/>
      <c r="AD12" s="130"/>
      <c r="AE12" s="130"/>
      <c r="AF12" s="130"/>
    </row>
    <row r="13" spans="1:32">
      <c r="B13" s="128"/>
      <c r="C13" s="283"/>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row>
    <row r="14" spans="1:32">
      <c r="B14" s="128"/>
      <c r="C14" s="194"/>
      <c r="G14" s="130"/>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row>
    <row r="15" spans="1:32">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row>
    <row r="16" spans="1:32">
      <c r="D16" s="130"/>
      <c r="E16" s="130"/>
      <c r="F16" s="130"/>
      <c r="G16" s="130"/>
      <c r="H16" s="130"/>
      <c r="I16" s="130"/>
      <c r="O16" s="130"/>
      <c r="P16" s="130"/>
      <c r="Q16" s="130"/>
      <c r="R16" s="130"/>
      <c r="S16" s="130"/>
      <c r="T16" s="130"/>
      <c r="U16" s="130"/>
      <c r="V16" s="130"/>
      <c r="W16" s="130"/>
      <c r="X16" s="130"/>
      <c r="Y16" s="130"/>
      <c r="Z16" s="130"/>
      <c r="AA16" s="130"/>
      <c r="AB16" s="130"/>
      <c r="AC16" s="130"/>
      <c r="AD16" s="130"/>
      <c r="AE16" s="130"/>
      <c r="AF16" s="130"/>
    </row>
    <row r="17" spans="4:32">
      <c r="D17" s="135"/>
      <c r="E17" s="135"/>
      <c r="F17" s="135"/>
      <c r="G17" s="135"/>
      <c r="H17" s="135"/>
      <c r="I17" s="136"/>
      <c r="O17" s="130"/>
      <c r="P17" s="130"/>
      <c r="Q17" s="130"/>
      <c r="R17" s="130"/>
      <c r="S17" s="130"/>
      <c r="T17" s="130"/>
      <c r="U17" s="130"/>
      <c r="V17" s="130"/>
      <c r="W17" s="130"/>
      <c r="X17" s="130"/>
      <c r="Y17" s="130"/>
      <c r="Z17" s="130"/>
      <c r="AA17" s="130"/>
      <c r="AB17" s="130"/>
      <c r="AC17" s="130"/>
      <c r="AD17" s="130"/>
      <c r="AE17" s="130"/>
      <c r="AF17" s="130"/>
    </row>
    <row r="18" spans="4:32">
      <c r="D18" s="72"/>
      <c r="E18" s="72"/>
      <c r="F18" s="72"/>
      <c r="G18" s="72"/>
      <c r="H18" s="72"/>
      <c r="I18" s="72"/>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row>
    <row r="19" spans="4:32">
      <c r="D19" s="72"/>
      <c r="E19" s="72"/>
      <c r="F19" s="72"/>
      <c r="G19" s="72"/>
      <c r="H19" s="72"/>
      <c r="I19" s="72"/>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4:32">
      <c r="D20" s="137"/>
      <c r="E20" s="137"/>
      <c r="F20" s="137"/>
      <c r="G20" s="137"/>
      <c r="H20" s="137"/>
      <c r="I20" s="135"/>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row>
    <row r="21" spans="4:32">
      <c r="G21" s="130"/>
      <c r="H21" s="135"/>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row>
    <row r="22" spans="4:32">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row>
    <row r="23" spans="4:32">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row>
    <row r="24" spans="4:32">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row>
    <row r="25" spans="4:32">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row>
    <row r="26" spans="4:32">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row>
    <row r="27" spans="4:32">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row>
    <row r="28" spans="4:32">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row>
    <row r="29" spans="4:32">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4:32">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4:32">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4:32">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7:32" ht="14.25" customHeight="1">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7:32">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7:32">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7: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7: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7: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row r="39" spans="7:32">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row>
    <row r="40" spans="7:32">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row>
    <row r="41" spans="7:32">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row>
  </sheetData>
  <mergeCells count="1">
    <mergeCell ref="F3:M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1"/>
  <sheetViews>
    <sheetView workbookViewId="0"/>
  </sheetViews>
  <sheetFormatPr defaultRowHeight="12"/>
  <cols>
    <col min="1" max="1" width="2" style="125" customWidth="1"/>
    <col min="2" max="2" width="29.140625" style="125" customWidth="1"/>
    <col min="3" max="3" width="13.42578125" style="125" customWidth="1"/>
    <col min="4" max="4" width="9.7109375" style="125" customWidth="1"/>
    <col min="5" max="5" width="6.85546875" style="125" customWidth="1"/>
    <col min="6" max="6" width="16.140625" style="125" customWidth="1" collapsed="1"/>
    <col min="7" max="7" width="17.42578125" style="125" customWidth="1"/>
    <col min="8" max="10" width="9" style="125" customWidth="1"/>
    <col min="11" max="11" width="9.28515625" style="125" customWidth="1"/>
    <col min="12" max="25" width="9.140625" style="125" customWidth="1"/>
    <col min="26" max="26" width="9.28515625" style="125" customWidth="1"/>
    <col min="27" max="27" width="9.42578125" style="125" customWidth="1"/>
    <col min="28" max="28" width="10" style="125" customWidth="1"/>
    <col min="29" max="29" width="11.42578125" style="125" customWidth="1"/>
    <col min="30" max="30" width="9.42578125" style="125" bestFit="1" customWidth="1" collapsed="1"/>
    <col min="31" max="16384" width="9.140625" style="125"/>
  </cols>
  <sheetData>
    <row r="1" spans="1:31" s="124" customFormat="1" ht="15" customHeight="1">
      <c r="B1" s="17" t="s">
        <v>175</v>
      </c>
      <c r="C1" s="123"/>
      <c r="D1" s="123"/>
      <c r="E1" s="123"/>
      <c r="F1" s="123"/>
      <c r="G1" s="123"/>
      <c r="H1" s="123"/>
      <c r="I1" s="123"/>
      <c r="J1" s="123"/>
      <c r="K1" s="123"/>
    </row>
    <row r="2" spans="1:31" ht="12" customHeight="1"/>
    <row r="3" spans="1:31" s="127" customFormat="1" ht="12" customHeight="1">
      <c r="A3" s="125"/>
      <c r="C3" s="284" t="s">
        <v>201</v>
      </c>
      <c r="D3" s="126"/>
      <c r="E3" s="259"/>
      <c r="F3" s="259"/>
      <c r="G3" s="259"/>
      <c r="H3" s="259"/>
      <c r="I3" s="259"/>
      <c r="J3" s="259"/>
      <c r="K3" s="259"/>
      <c r="L3" s="259"/>
      <c r="M3" s="126"/>
      <c r="N3" s="126"/>
      <c r="O3" s="126"/>
      <c r="P3" s="126"/>
      <c r="Q3" s="126"/>
      <c r="R3" s="126"/>
      <c r="S3" s="126"/>
      <c r="T3" s="126"/>
      <c r="U3" s="126"/>
      <c r="V3" s="126"/>
      <c r="W3" s="126"/>
      <c r="X3" s="126"/>
      <c r="Y3" s="126"/>
      <c r="Z3" s="126"/>
    </row>
    <row r="4" spans="1:31" ht="12" customHeight="1">
      <c r="A4" s="127"/>
      <c r="B4" s="141" t="s">
        <v>67</v>
      </c>
      <c r="C4" s="363">
        <f>'EBIT &amp; Advertising Expense'!C11</f>
        <v>-300.78280000000001</v>
      </c>
      <c r="E4" s="169" t="s">
        <v>38</v>
      </c>
      <c r="F4" s="169" t="s">
        <v>177</v>
      </c>
      <c r="G4" s="169" t="s">
        <v>176</v>
      </c>
      <c r="H4" s="134"/>
      <c r="I4" s="134"/>
      <c r="J4" s="134"/>
      <c r="K4" s="134"/>
      <c r="L4" s="160"/>
    </row>
    <row r="5" spans="1:31" ht="12" customHeight="1">
      <c r="A5" s="127"/>
      <c r="B5" s="141" t="s">
        <v>10</v>
      </c>
      <c r="C5" s="79">
        <f>WACC!C8</f>
        <v>0.17829</v>
      </c>
      <c r="E5" s="185">
        <v>1</v>
      </c>
      <c r="F5" s="380">
        <v>117</v>
      </c>
      <c r="G5" s="380">
        <f t="shared" ref="G5:G11" si="0">F5/(1+$C$5)^E5</f>
        <v>99.296438058542464</v>
      </c>
      <c r="H5" s="220"/>
      <c r="I5" s="281"/>
      <c r="J5" s="220"/>
      <c r="K5" s="281"/>
      <c r="L5" s="282"/>
    </row>
    <row r="6" spans="1:31" ht="12" customHeight="1">
      <c r="C6" s="378"/>
      <c r="E6" s="185">
        <f>E5+1</f>
        <v>2</v>
      </c>
      <c r="F6" s="380">
        <v>113</v>
      </c>
      <c r="G6" s="380">
        <f t="shared" si="0"/>
        <v>81.390564325800085</v>
      </c>
      <c r="H6" s="62"/>
      <c r="I6" s="62"/>
      <c r="J6" s="62"/>
      <c r="K6" s="62"/>
      <c r="L6" s="282"/>
      <c r="N6" s="129"/>
      <c r="O6" s="129"/>
      <c r="P6" s="129"/>
      <c r="Q6" s="129"/>
      <c r="R6" s="129"/>
      <c r="S6" s="129"/>
      <c r="X6" s="129"/>
    </row>
    <row r="7" spans="1:31" ht="12" customHeight="1">
      <c r="B7" s="141" t="s">
        <v>178</v>
      </c>
      <c r="C7" s="363">
        <f>G12</f>
        <v>180.68700238434255</v>
      </c>
      <c r="E7" s="185">
        <f>E6+1</f>
        <v>3</v>
      </c>
      <c r="F7" s="380">
        <v>104</v>
      </c>
      <c r="G7" s="380">
        <f t="shared" si="0"/>
        <v>63.573593936099307</v>
      </c>
      <c r="H7" s="220"/>
      <c r="I7" s="220"/>
      <c r="J7" s="220"/>
      <c r="K7" s="220"/>
      <c r="L7" s="267"/>
      <c r="N7" s="130"/>
      <c r="O7" s="130"/>
      <c r="P7" s="130"/>
      <c r="Q7" s="130"/>
      <c r="R7" s="130"/>
      <c r="S7" s="130"/>
      <c r="T7" s="130"/>
      <c r="U7" s="130"/>
      <c r="V7" s="130"/>
      <c r="W7" s="130"/>
      <c r="X7" s="130"/>
      <c r="Y7" s="130"/>
      <c r="Z7" s="130"/>
      <c r="AA7" s="130"/>
      <c r="AB7" s="130"/>
      <c r="AC7" s="130"/>
    </row>
    <row r="8" spans="1:31" ht="12" customHeight="1">
      <c r="B8" s="141" t="s">
        <v>179</v>
      </c>
      <c r="C8" s="363">
        <f>WACC!F8</f>
        <v>7650</v>
      </c>
      <c r="D8" s="133"/>
      <c r="E8" s="185">
        <f>E7+1</f>
        <v>4</v>
      </c>
      <c r="F8" s="380">
        <v>95</v>
      </c>
      <c r="G8" s="380">
        <f t="shared" si="0"/>
        <v>49.285008718056169</v>
      </c>
      <c r="H8" s="175"/>
      <c r="I8" s="175"/>
      <c r="J8" s="175"/>
      <c r="K8" s="175"/>
      <c r="L8" s="267"/>
      <c r="N8" s="130"/>
      <c r="O8" s="130"/>
      <c r="P8" s="130"/>
      <c r="Q8" s="130"/>
      <c r="R8" s="130"/>
      <c r="S8" s="130"/>
      <c r="T8" s="130"/>
      <c r="U8" s="130"/>
      <c r="V8" s="130"/>
      <c r="W8" s="130"/>
      <c r="X8" s="130"/>
      <c r="Y8" s="130"/>
      <c r="Z8" s="130"/>
      <c r="AA8" s="130"/>
      <c r="AB8" s="130"/>
      <c r="AC8" s="130"/>
    </row>
    <row r="9" spans="1:31" ht="12" customHeight="1">
      <c r="B9" s="141" t="s">
        <v>180</v>
      </c>
      <c r="C9" s="363">
        <v>0</v>
      </c>
      <c r="E9" s="185">
        <f>E8+1</f>
        <v>5</v>
      </c>
      <c r="F9" s="380">
        <v>79</v>
      </c>
      <c r="G9" s="380">
        <f t="shared" si="0"/>
        <v>34.782927522769945</v>
      </c>
      <c r="H9" s="130"/>
      <c r="I9" s="130"/>
      <c r="J9" s="130"/>
      <c r="L9" s="130"/>
      <c r="M9" s="130"/>
      <c r="N9" s="130"/>
      <c r="O9" s="130"/>
      <c r="P9" s="130"/>
      <c r="Q9" s="130"/>
      <c r="R9" s="130"/>
      <c r="S9" s="130"/>
      <c r="T9" s="130"/>
      <c r="U9" s="130"/>
      <c r="V9" s="130"/>
      <c r="W9" s="130"/>
      <c r="X9" s="130"/>
      <c r="Y9" s="130"/>
      <c r="Z9" s="130"/>
      <c r="AA9" s="130"/>
      <c r="AB9" s="130"/>
      <c r="AC9" s="130"/>
      <c r="AD9" s="130"/>
      <c r="AE9" s="130"/>
    </row>
    <row r="10" spans="1:31">
      <c r="B10" s="141" t="s">
        <v>181</v>
      </c>
      <c r="C10" s="363">
        <f>G12/E11</f>
        <v>25.812428912048937</v>
      </c>
      <c r="E10" s="185">
        <v>6</v>
      </c>
      <c r="F10" s="380">
        <f>276/2</f>
        <v>138</v>
      </c>
      <c r="G10" s="380">
        <f t="shared" si="0"/>
        <v>51.56629574162185</v>
      </c>
      <c r="H10" s="130"/>
      <c r="I10" s="130"/>
      <c r="J10" s="130"/>
      <c r="L10" s="130"/>
      <c r="M10" s="154"/>
      <c r="N10" s="130"/>
      <c r="O10" s="130"/>
      <c r="P10" s="130"/>
      <c r="Q10" s="130"/>
      <c r="R10" s="130"/>
      <c r="S10" s="130"/>
      <c r="T10" s="130"/>
      <c r="U10" s="130"/>
      <c r="V10" s="130"/>
      <c r="W10" s="130"/>
      <c r="X10" s="130"/>
      <c r="Y10" s="130"/>
      <c r="Z10" s="130"/>
      <c r="AA10" s="130"/>
      <c r="AB10" s="130"/>
      <c r="AC10" s="130"/>
      <c r="AD10" s="130"/>
      <c r="AE10" s="130"/>
    </row>
    <row r="11" spans="1:31">
      <c r="E11" s="185">
        <v>7</v>
      </c>
      <c r="F11" s="380">
        <f>276/2</f>
        <v>138</v>
      </c>
      <c r="G11" s="380">
        <f t="shared" si="0"/>
        <v>43.763670863388342</v>
      </c>
      <c r="H11" s="130"/>
      <c r="I11" s="130"/>
      <c r="J11" s="130"/>
      <c r="L11" s="130"/>
      <c r="M11" s="130"/>
      <c r="N11" s="130"/>
      <c r="O11" s="130"/>
      <c r="P11" s="130"/>
      <c r="Q11" s="130"/>
      <c r="R11" s="130"/>
      <c r="S11" s="130"/>
      <c r="T11" s="130"/>
      <c r="U11" s="130"/>
      <c r="V11" s="130"/>
      <c r="W11" s="130"/>
      <c r="X11" s="130"/>
      <c r="Y11" s="130"/>
      <c r="Z11" s="130"/>
      <c r="AA11" s="130"/>
      <c r="AB11" s="130"/>
      <c r="AC11" s="130"/>
      <c r="AD11" s="130"/>
      <c r="AE11" s="130"/>
    </row>
    <row r="12" spans="1:31">
      <c r="A12" s="132"/>
      <c r="B12" s="141" t="s">
        <v>175</v>
      </c>
      <c r="C12" s="363">
        <f>C4+C9</f>
        <v>-300.78280000000001</v>
      </c>
      <c r="E12" s="130"/>
      <c r="F12" s="381"/>
      <c r="G12" s="382">
        <f>SUM(G5:G6)</f>
        <v>180.68700238434255</v>
      </c>
      <c r="H12" s="130"/>
      <c r="I12" s="130"/>
      <c r="J12" s="130"/>
      <c r="L12" s="130"/>
      <c r="M12" s="130"/>
      <c r="N12" s="130"/>
      <c r="O12" s="130"/>
      <c r="P12" s="130"/>
      <c r="Q12" s="130"/>
      <c r="R12" s="130"/>
      <c r="S12" s="130"/>
      <c r="T12" s="130"/>
      <c r="U12" s="130"/>
      <c r="V12" s="130"/>
      <c r="W12" s="130"/>
      <c r="X12" s="130"/>
      <c r="Y12" s="130"/>
      <c r="Z12" s="130"/>
      <c r="AA12" s="130"/>
      <c r="AB12" s="130"/>
      <c r="AC12" s="130"/>
      <c r="AD12" s="130"/>
      <c r="AE12" s="130"/>
    </row>
    <row r="13" spans="1:31">
      <c r="A13" s="132" t="s">
        <v>40</v>
      </c>
      <c r="B13" s="141" t="s">
        <v>182</v>
      </c>
      <c r="C13" s="363">
        <f>C10</f>
        <v>25.812428912048937</v>
      </c>
      <c r="F13" s="130"/>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row>
    <row r="14" spans="1:31">
      <c r="A14" s="128"/>
      <c r="B14" s="144" t="s">
        <v>67</v>
      </c>
      <c r="C14" s="364">
        <f>C12-C13</f>
        <v>-326.59522891204892</v>
      </c>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row>
    <row r="15" spans="1:31">
      <c r="A15" s="132"/>
      <c r="B15" s="128"/>
      <c r="C15" s="149"/>
      <c r="F15" s="130"/>
      <c r="G15" s="130"/>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row>
    <row r="16" spans="1:31">
      <c r="B16" s="141" t="s">
        <v>283</v>
      </c>
      <c r="C16" s="108">
        <v>3.0000000000000001E-3</v>
      </c>
      <c r="D16" s="130"/>
      <c r="E16" s="130"/>
      <c r="F16" s="130"/>
      <c r="G16" s="130"/>
      <c r="H16" s="130"/>
      <c r="N16" s="130"/>
      <c r="O16" s="130"/>
      <c r="P16" s="130"/>
      <c r="Q16" s="130"/>
      <c r="R16" s="130"/>
      <c r="S16" s="130"/>
      <c r="T16" s="130"/>
      <c r="U16" s="130"/>
      <c r="V16" s="130"/>
      <c r="W16" s="130"/>
      <c r="X16" s="130"/>
      <c r="Y16" s="130"/>
      <c r="Z16" s="130"/>
      <c r="AA16" s="130"/>
      <c r="AB16" s="130"/>
      <c r="AC16" s="130"/>
      <c r="AD16" s="130"/>
      <c r="AE16" s="130"/>
    </row>
    <row r="17" spans="2:31">
      <c r="B17" s="141" t="s">
        <v>160</v>
      </c>
      <c r="C17" s="379">
        <f>C14*(1-C16)</f>
        <v>-325.61544322531279</v>
      </c>
      <c r="D17" s="135"/>
      <c r="E17" s="135"/>
      <c r="F17" s="135"/>
      <c r="G17" s="135"/>
      <c r="H17" s="136"/>
      <c r="N17" s="130"/>
      <c r="O17" s="130"/>
      <c r="P17" s="130"/>
      <c r="Q17" s="130"/>
      <c r="R17" s="130"/>
      <c r="S17" s="130"/>
      <c r="T17" s="130"/>
      <c r="U17" s="130"/>
      <c r="V17" s="130"/>
      <c r="W17" s="130"/>
      <c r="X17" s="130"/>
      <c r="Y17" s="130"/>
      <c r="Z17" s="130"/>
      <c r="AA17" s="130"/>
      <c r="AB17" s="130"/>
      <c r="AC17" s="130"/>
      <c r="AD17" s="130"/>
      <c r="AE17" s="130"/>
    </row>
    <row r="18" spans="2:31">
      <c r="D18" s="72"/>
      <c r="E18" s="72"/>
      <c r="F18" s="72"/>
      <c r="G18" s="72"/>
      <c r="H18" s="72"/>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row>
    <row r="19" spans="2:31">
      <c r="D19" s="72"/>
      <c r="E19" s="72"/>
      <c r="F19" s="72"/>
      <c r="G19" s="72"/>
      <c r="H19" s="72"/>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row>
    <row r="20" spans="2:31">
      <c r="D20" s="137"/>
      <c r="E20" s="137"/>
      <c r="F20" s="137"/>
      <c r="G20" s="137"/>
      <c r="H20" s="135"/>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row>
    <row r="21" spans="2:31">
      <c r="F21" s="130"/>
      <c r="G21" s="135"/>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row>
    <row r="22" spans="2:31">
      <c r="F22" s="130"/>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row>
    <row r="23" spans="2:31">
      <c r="F23" s="130"/>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row>
    <row r="24" spans="2:31">
      <c r="F24" s="130"/>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row>
    <row r="25" spans="2:31">
      <c r="F25" s="130"/>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row>
    <row r="26" spans="2:31">
      <c r="F26" s="130"/>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row>
    <row r="27" spans="2:31">
      <c r="F27" s="130"/>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row>
    <row r="28" spans="2:31">
      <c r="F28" s="130"/>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row>
    <row r="29" spans="2:31">
      <c r="F29" s="130"/>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row>
    <row r="30" spans="2:31">
      <c r="F30" s="130"/>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row>
    <row r="31" spans="2:31">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row>
    <row r="32" spans="2:31">
      <c r="F32" s="130"/>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row>
    <row r="33" spans="6:31" ht="14.25" customHeight="1">
      <c r="F33" s="130"/>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row>
    <row r="34" spans="6:31">
      <c r="F34" s="130"/>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row>
    <row r="35" spans="6:31">
      <c r="F35" s="130"/>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row>
    <row r="36" spans="6:31">
      <c r="F36" s="130"/>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row>
    <row r="37" spans="6:31">
      <c r="F37" s="130"/>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row>
    <row r="38" spans="6:31">
      <c r="F38" s="130"/>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row>
    <row r="39" spans="6:31">
      <c r="F39" s="130"/>
      <c r="G39" s="130"/>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row>
    <row r="40" spans="6:31">
      <c r="F40" s="130"/>
      <c r="G40" s="130"/>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row>
    <row r="41" spans="6:31">
      <c r="F41" s="130"/>
      <c r="G41" s="130"/>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25" customWidth="1"/>
    <col min="2" max="2" width="40" style="125" customWidth="1"/>
    <col min="3" max="3" width="12.85546875" style="125" customWidth="1"/>
    <col min="4" max="4" width="4" style="125" customWidth="1"/>
    <col min="5" max="5" width="9.28515625" style="125" customWidth="1"/>
    <col min="6" max="6" width="9.85546875" style="125" customWidth="1"/>
    <col min="7" max="7" width="10.140625" style="125" bestFit="1" customWidth="1" collapsed="1"/>
    <col min="8" max="11" width="9" style="125" customWidth="1"/>
    <col min="12" max="12" width="9.28515625" style="125" customWidth="1"/>
    <col min="13"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68</v>
      </c>
      <c r="C1" s="123"/>
      <c r="D1" s="123"/>
      <c r="E1" s="123"/>
      <c r="F1" s="123"/>
      <c r="G1" s="123"/>
      <c r="H1" s="123"/>
      <c r="I1" s="123"/>
      <c r="J1" s="123"/>
      <c r="K1" s="123"/>
      <c r="L1" s="123"/>
    </row>
    <row r="2" spans="1:32" ht="12.75" customHeight="1">
      <c r="C2" s="148" t="s">
        <v>201</v>
      </c>
    </row>
    <row r="3" spans="1:32">
      <c r="A3" s="127"/>
      <c r="B3" s="141" t="s">
        <v>69</v>
      </c>
      <c r="C3" s="385">
        <f>557</f>
        <v>557</v>
      </c>
    </row>
    <row r="4" spans="1:32">
      <c r="A4" s="132" t="s">
        <v>40</v>
      </c>
      <c r="B4" s="140" t="s">
        <v>2</v>
      </c>
      <c r="C4" s="375">
        <v>-105</v>
      </c>
      <c r="L4" s="129"/>
      <c r="N4" s="129"/>
      <c r="O4" s="129"/>
      <c r="Q4" s="129"/>
      <c r="R4" s="129"/>
      <c r="S4" s="129"/>
      <c r="T4" s="129"/>
      <c r="U4" s="129"/>
      <c r="V4" s="129"/>
      <c r="AA4" s="129"/>
    </row>
    <row r="5" spans="1:32">
      <c r="A5" s="132"/>
      <c r="B5" s="143" t="s">
        <v>68</v>
      </c>
      <c r="C5" s="386">
        <f>C3+C4</f>
        <v>452</v>
      </c>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row>
    <row r="6" spans="1:32">
      <c r="A6" s="132" t="s">
        <v>66</v>
      </c>
      <c r="B6" s="141" t="s">
        <v>161</v>
      </c>
      <c r="C6" s="385">
        <f>'EBIT &amp; Advertising Expense'!C7</f>
        <v>531</v>
      </c>
      <c r="D6" s="133"/>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row>
    <row r="7" spans="1:32">
      <c r="A7" s="134" t="s">
        <v>40</v>
      </c>
      <c r="B7" s="141" t="s">
        <v>163</v>
      </c>
      <c r="C7" s="385">
        <f>-'EBIT &amp; Advertising Expense'!C6</f>
        <v>-136.78280000000001</v>
      </c>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row>
    <row r="8" spans="1:32">
      <c r="A8" s="132" t="s">
        <v>66</v>
      </c>
      <c r="B8" s="141" t="s">
        <v>183</v>
      </c>
      <c r="C8" s="385">
        <f>'EBIT &amp; Operating Leases'!C9</f>
        <v>0</v>
      </c>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row>
    <row r="9" spans="1:32">
      <c r="A9" s="134" t="s">
        <v>40</v>
      </c>
      <c r="B9" s="141" t="s">
        <v>181</v>
      </c>
      <c r="C9" s="385">
        <f>-'EBIT &amp; Operating Leases'!C10</f>
        <v>-25.812428912048937</v>
      </c>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row>
    <row r="10" spans="1:32">
      <c r="A10" s="132"/>
      <c r="B10" s="144" t="s">
        <v>70</v>
      </c>
      <c r="C10" s="387">
        <f>SUM(C5:C9)</f>
        <v>820.40477108795108</v>
      </c>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row>
    <row r="11" spans="1:32">
      <c r="B11" s="128"/>
      <c r="C11" s="149"/>
      <c r="G11" s="130"/>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row>
    <row r="12" spans="1:32">
      <c r="G12" s="130"/>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row>
    <row r="13" spans="1:32">
      <c r="G13" s="130"/>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row>
    <row r="14" spans="1:32" ht="15">
      <c r="B14" s="147"/>
      <c r="D14" s="130"/>
      <c r="E14" s="130"/>
      <c r="F14" s="130"/>
      <c r="G14" s="130"/>
      <c r="H14" s="130"/>
      <c r="I14" s="130"/>
      <c r="O14" s="130"/>
      <c r="P14" s="130"/>
      <c r="Q14" s="130"/>
      <c r="R14" s="130"/>
      <c r="S14" s="130"/>
      <c r="T14" s="130"/>
      <c r="U14" s="130"/>
      <c r="V14" s="130"/>
      <c r="W14" s="130"/>
      <c r="X14" s="130"/>
      <c r="Y14" s="130"/>
      <c r="Z14" s="130"/>
      <c r="AA14" s="130"/>
      <c r="AB14" s="130"/>
      <c r="AC14" s="130"/>
      <c r="AD14" s="130"/>
      <c r="AE14" s="130"/>
      <c r="AF14" s="130"/>
    </row>
    <row r="15" spans="1:32">
      <c r="B15" s="126"/>
      <c r="C15" s="148"/>
      <c r="D15" s="135"/>
      <c r="E15" s="135"/>
      <c r="F15" s="135"/>
      <c r="G15" s="135"/>
      <c r="H15" s="135"/>
      <c r="I15" s="136"/>
      <c r="O15" s="130"/>
      <c r="P15" s="130"/>
      <c r="Q15" s="130"/>
      <c r="R15" s="130"/>
      <c r="S15" s="130"/>
      <c r="T15" s="130"/>
      <c r="U15" s="130"/>
      <c r="V15" s="130"/>
      <c r="W15" s="130"/>
      <c r="X15" s="130"/>
      <c r="Y15" s="130"/>
      <c r="Z15" s="130"/>
      <c r="AA15" s="130"/>
      <c r="AB15" s="130"/>
      <c r="AC15" s="130"/>
      <c r="AD15" s="130"/>
      <c r="AE15" s="130"/>
      <c r="AF15" s="130"/>
    </row>
    <row r="16" spans="1:32">
      <c r="B16" s="128"/>
      <c r="C16" s="149"/>
      <c r="D16" s="72"/>
      <c r="E16" s="72"/>
      <c r="F16" s="72"/>
      <c r="G16" s="72"/>
      <c r="H16" s="72"/>
      <c r="I16" s="72"/>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row>
    <row r="17" spans="2:32">
      <c r="B17" s="128"/>
      <c r="C17" s="149"/>
      <c r="D17" s="137"/>
      <c r="E17" s="137"/>
      <c r="F17" s="137"/>
      <c r="G17" s="137"/>
      <c r="H17" s="137"/>
      <c r="I17" s="135"/>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row>
    <row r="18" spans="2:32">
      <c r="B18" s="128"/>
      <c r="C18" s="150"/>
      <c r="G18" s="130"/>
      <c r="H18" s="135"/>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row>
    <row r="19" spans="2:32">
      <c r="B19" s="128"/>
      <c r="C19" s="128"/>
      <c r="G19" s="130"/>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2:32">
      <c r="B20" s="128"/>
      <c r="C20" s="149"/>
      <c r="G20" s="130"/>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row>
    <row r="21" spans="2:32">
      <c r="B21" s="128"/>
      <c r="C21" s="149"/>
      <c r="G21" s="130"/>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row>
    <row r="22" spans="2:32">
      <c r="B22" s="128"/>
      <c r="C22" s="128"/>
      <c r="G22" s="130"/>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row>
    <row r="23" spans="2:32">
      <c r="B23" s="128"/>
      <c r="C23" s="149"/>
      <c r="G23" s="130"/>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row>
    <row r="24" spans="2:32">
      <c r="G24" s="130"/>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row>
    <row r="25" spans="2:32">
      <c r="G25" s="130"/>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row>
    <row r="26" spans="2:32">
      <c r="G26" s="130"/>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row>
    <row r="27" spans="2:32">
      <c r="G27" s="130"/>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row>
    <row r="28" spans="2:32">
      <c r="G28" s="130"/>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row>
    <row r="29" spans="2:32">
      <c r="G29" s="130"/>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2:32" ht="14.25" customHeight="1">
      <c r="G30" s="130"/>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2:32">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2:32">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7:32">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7:32">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7:32">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7: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7: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7: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25" customWidth="1"/>
    <col min="2" max="2" width="30.5703125" style="125" customWidth="1"/>
    <col min="3" max="3" width="13" style="125" customWidth="1"/>
    <col min="4" max="4" width="4.85546875" style="125" customWidth="1"/>
    <col min="5" max="5" width="31.140625" style="125" bestFit="1" customWidth="1"/>
    <col min="6" max="6" width="12.5703125" style="125" customWidth="1" collapsed="1"/>
    <col min="7" max="7" width="13.5703125" style="125" customWidth="1"/>
    <col min="8" max="8" width="14.140625" style="125" customWidth="1"/>
    <col min="9" max="9" width="13.42578125" style="125" customWidth="1"/>
    <col min="10" max="10" width="13.7109375" style="125" customWidth="1"/>
    <col min="11" max="11" width="14.28515625" style="125" customWidth="1"/>
    <col min="12" max="25" width="9.140625" style="125" customWidth="1"/>
    <col min="26" max="26" width="9.28515625" style="125" customWidth="1"/>
    <col min="27" max="27" width="9.42578125" style="125" customWidth="1"/>
    <col min="28" max="28" width="10" style="125" customWidth="1"/>
    <col min="29" max="29" width="11.42578125" style="125" customWidth="1"/>
    <col min="30" max="30" width="9.42578125" style="125" bestFit="1" customWidth="1" collapsed="1"/>
    <col min="31" max="16384" width="9.140625" style="125"/>
  </cols>
  <sheetData>
    <row r="1" spans="1:28" s="124" customFormat="1" ht="15" customHeight="1">
      <c r="B1" s="17" t="s">
        <v>71</v>
      </c>
      <c r="C1" s="123"/>
      <c r="D1" s="123"/>
      <c r="E1" s="123"/>
      <c r="F1" s="123"/>
      <c r="G1" s="123"/>
      <c r="H1" s="123"/>
      <c r="I1" s="123"/>
      <c r="J1" s="123"/>
      <c r="K1" s="123"/>
    </row>
    <row r="2" spans="1:28" ht="12.75" customHeight="1">
      <c r="C2" s="148"/>
    </row>
    <row r="3" spans="1:28">
      <c r="A3" s="127"/>
      <c r="B3" s="140" t="s">
        <v>97</v>
      </c>
      <c r="C3" s="173">
        <f>J21</f>
        <v>0.2521989847715736</v>
      </c>
      <c r="E3" s="169" t="s">
        <v>206</v>
      </c>
      <c r="F3" s="170">
        <v>2017</v>
      </c>
      <c r="G3" s="170">
        <v>2018</v>
      </c>
      <c r="H3" s="170">
        <v>2019</v>
      </c>
      <c r="I3" s="170">
        <v>2020</v>
      </c>
      <c r="J3" s="170">
        <v>2021</v>
      </c>
    </row>
    <row r="4" spans="1:28">
      <c r="A4" s="132"/>
      <c r="B4" s="138"/>
      <c r="C4" s="138"/>
      <c r="E4" s="166" t="s">
        <v>285</v>
      </c>
      <c r="F4" s="380">
        <f>227446/1000</f>
        <v>227.446</v>
      </c>
      <c r="G4" s="380">
        <f>412243/1000</f>
        <v>412.24299999999999</v>
      </c>
      <c r="H4" s="380">
        <f>762696/1000</f>
        <v>762.69600000000003</v>
      </c>
      <c r="I4" s="380">
        <v>1036</v>
      </c>
      <c r="J4" s="380">
        <v>3149</v>
      </c>
      <c r="K4" s="129"/>
      <c r="M4" s="129"/>
      <c r="N4" s="129"/>
      <c r="O4" s="129"/>
      <c r="P4" s="129"/>
      <c r="Q4" s="129"/>
      <c r="R4" s="129"/>
      <c r="W4" s="129"/>
    </row>
    <row r="5" spans="1:28">
      <c r="A5" s="132"/>
      <c r="B5" s="141" t="s">
        <v>100</v>
      </c>
      <c r="C5" s="363">
        <f>J19</f>
        <v>12814</v>
      </c>
      <c r="E5" s="166" t="s">
        <v>90</v>
      </c>
      <c r="F5" s="380">
        <f>14105/1000</f>
        <v>14.105</v>
      </c>
      <c r="G5" s="380">
        <f>33120/1000</f>
        <v>33.119999999999997</v>
      </c>
      <c r="H5" s="380">
        <f>39864/1000</f>
        <v>39.863999999999997</v>
      </c>
      <c r="I5" s="380">
        <v>79</v>
      </c>
      <c r="J5" s="380">
        <v>206</v>
      </c>
      <c r="K5" s="130"/>
      <c r="L5" s="130"/>
      <c r="M5" s="130"/>
      <c r="N5" s="130"/>
      <c r="O5" s="130"/>
      <c r="P5" s="130"/>
      <c r="Q5" s="130"/>
      <c r="R5" s="130"/>
      <c r="S5" s="130"/>
      <c r="T5" s="130"/>
      <c r="U5" s="130"/>
      <c r="V5" s="130"/>
      <c r="W5" s="130"/>
      <c r="X5" s="130"/>
      <c r="Y5" s="130"/>
      <c r="Z5" s="130"/>
      <c r="AA5" s="130"/>
      <c r="AB5" s="130"/>
    </row>
    <row r="6" spans="1:28">
      <c r="A6" s="132"/>
      <c r="B6" s="144" t="s">
        <v>98</v>
      </c>
      <c r="C6" s="387">
        <f>C5*C3</f>
        <v>3231.6777908629442</v>
      </c>
      <c r="D6" s="133"/>
      <c r="E6" s="166" t="s">
        <v>284</v>
      </c>
      <c r="F6" s="380">
        <f>45564/1000</f>
        <v>45.564</v>
      </c>
      <c r="G6" s="380">
        <f>105200/1000</f>
        <v>105.2</v>
      </c>
      <c r="H6" s="380">
        <f>286969/1000</f>
        <v>286.96899999999999</v>
      </c>
      <c r="I6" s="380">
        <v>275</v>
      </c>
      <c r="J6" s="380">
        <v>356</v>
      </c>
      <c r="K6" s="130"/>
      <c r="L6" s="130"/>
      <c r="M6" s="130"/>
      <c r="N6" s="130"/>
      <c r="O6" s="130"/>
      <c r="P6" s="130"/>
      <c r="Q6" s="130"/>
      <c r="R6" s="130"/>
      <c r="S6" s="130"/>
      <c r="T6" s="130"/>
      <c r="U6" s="130"/>
      <c r="V6" s="130"/>
      <c r="W6" s="130"/>
      <c r="X6" s="130"/>
      <c r="Y6" s="130"/>
      <c r="Z6" s="130"/>
      <c r="AA6" s="130"/>
      <c r="AB6" s="130"/>
    </row>
    <row r="7" spans="1:28">
      <c r="B7" s="138"/>
      <c r="C7" s="377"/>
      <c r="E7" s="166" t="s">
        <v>286</v>
      </c>
      <c r="F7" s="380">
        <v>0</v>
      </c>
      <c r="G7" s="380">
        <v>0</v>
      </c>
      <c r="H7" s="380">
        <f>98780/1000</f>
        <v>98.78</v>
      </c>
      <c r="I7" s="380">
        <v>131</v>
      </c>
      <c r="J7" s="380">
        <v>382</v>
      </c>
      <c r="K7" s="130"/>
      <c r="L7" s="130"/>
      <c r="M7" s="130"/>
      <c r="N7" s="130"/>
      <c r="O7" s="130"/>
      <c r="P7" s="130"/>
      <c r="Q7" s="130"/>
      <c r="R7" s="130"/>
      <c r="S7" s="130"/>
      <c r="T7" s="130"/>
      <c r="U7" s="130"/>
      <c r="V7" s="130"/>
      <c r="W7" s="130"/>
      <c r="X7" s="130"/>
      <c r="Y7" s="130"/>
      <c r="Z7" s="130"/>
      <c r="AA7" s="130"/>
      <c r="AB7" s="130"/>
    </row>
    <row r="8" spans="1:28">
      <c r="A8" s="132"/>
      <c r="B8" s="141" t="s">
        <v>287</v>
      </c>
      <c r="C8" s="363">
        <f>I19</f>
        <v>5587</v>
      </c>
      <c r="E8" s="166" t="s">
        <v>93</v>
      </c>
      <c r="F8" s="380">
        <f>15480/1000</f>
        <v>15.48</v>
      </c>
      <c r="G8" s="380">
        <f>23582/1000</f>
        <v>23.582000000000001</v>
      </c>
      <c r="H8" s="380">
        <f>52654/1000</f>
        <v>52.654000000000003</v>
      </c>
      <c r="I8" s="380">
        <v>73</v>
      </c>
      <c r="J8" s="380">
        <v>163</v>
      </c>
      <c r="K8" s="130"/>
      <c r="L8" s="130"/>
      <c r="M8" s="130"/>
      <c r="N8" s="130"/>
      <c r="O8" s="130"/>
      <c r="P8" s="130"/>
      <c r="Q8" s="130"/>
      <c r="R8" s="130"/>
      <c r="S8" s="130"/>
      <c r="T8" s="130"/>
      <c r="U8" s="130"/>
      <c r="V8" s="130"/>
      <c r="W8" s="130"/>
      <c r="X8" s="130"/>
      <c r="Y8" s="130"/>
      <c r="Z8" s="130"/>
      <c r="AA8" s="130"/>
      <c r="AB8" s="130"/>
    </row>
    <row r="9" spans="1:28">
      <c r="A9" s="132"/>
      <c r="B9" s="144" t="s">
        <v>99</v>
      </c>
      <c r="C9" s="364">
        <f>C8*C3</f>
        <v>1409.0357279187817</v>
      </c>
      <c r="E9" s="168" t="s">
        <v>94</v>
      </c>
      <c r="F9" s="384">
        <f>SUM(F4:F8)</f>
        <v>302.59500000000003</v>
      </c>
      <c r="G9" s="384">
        <f>SUM(G4:G8)</f>
        <v>574.14499999999998</v>
      </c>
      <c r="H9" s="384">
        <f>SUM(H4:H8)</f>
        <v>1240.963</v>
      </c>
      <c r="I9" s="384">
        <f>SUM(I4:I8)</f>
        <v>1594</v>
      </c>
      <c r="J9" s="384">
        <f>SUM(J4:J8)</f>
        <v>4256</v>
      </c>
      <c r="K9" s="130"/>
      <c r="L9" s="130"/>
      <c r="M9" s="130"/>
      <c r="N9" s="130"/>
      <c r="O9" s="130"/>
      <c r="P9" s="130"/>
      <c r="Q9" s="130"/>
      <c r="R9" s="130"/>
      <c r="S9" s="130"/>
      <c r="T9" s="130"/>
      <c r="U9" s="130"/>
      <c r="V9" s="130"/>
      <c r="W9" s="130"/>
      <c r="X9" s="130"/>
      <c r="Y9" s="130"/>
      <c r="Z9" s="130"/>
      <c r="AA9" s="130"/>
      <c r="AB9" s="130"/>
    </row>
    <row r="10" spans="1:28">
      <c r="A10" s="128"/>
      <c r="B10" s="138"/>
      <c r="C10" s="377"/>
      <c r="K10" s="130"/>
      <c r="L10" s="130"/>
      <c r="M10" s="130"/>
      <c r="N10" s="130"/>
      <c r="O10" s="130"/>
      <c r="P10" s="130"/>
      <c r="Q10" s="130"/>
      <c r="R10" s="130"/>
      <c r="S10" s="130"/>
      <c r="T10" s="130"/>
      <c r="U10" s="130"/>
      <c r="V10" s="130"/>
      <c r="W10" s="130"/>
      <c r="X10" s="130"/>
      <c r="Y10" s="130"/>
      <c r="Z10" s="130"/>
      <c r="AA10" s="130"/>
      <c r="AB10" s="130"/>
    </row>
    <row r="11" spans="1:28">
      <c r="A11" s="132"/>
      <c r="B11" s="141" t="s">
        <v>101</v>
      </c>
      <c r="C11" s="379">
        <f>C6-C9</f>
        <v>1822.6420629441625</v>
      </c>
      <c r="E11" s="167" t="s">
        <v>72</v>
      </c>
      <c r="F11" s="380">
        <f>50306/1000</f>
        <v>50.305999999999997</v>
      </c>
      <c r="G11" s="380">
        <f>117524/1000</f>
        <v>117.524</v>
      </c>
      <c r="H11" s="380">
        <f>234443/1000</f>
        <v>234.44300000000001</v>
      </c>
      <c r="I11" s="380">
        <v>342</v>
      </c>
      <c r="J11" s="380">
        <v>656</v>
      </c>
      <c r="K11" s="130"/>
      <c r="L11" s="130"/>
      <c r="M11" s="130"/>
      <c r="N11" s="130"/>
      <c r="O11" s="130"/>
      <c r="P11" s="130"/>
      <c r="Q11" s="130"/>
      <c r="R11" s="130"/>
      <c r="S11" s="130"/>
      <c r="T11" s="130"/>
      <c r="U11" s="130"/>
      <c r="V11" s="130"/>
      <c r="W11" s="130"/>
      <c r="X11" s="130"/>
      <c r="Y11" s="130"/>
      <c r="Z11" s="130"/>
      <c r="AA11" s="130"/>
      <c r="AB11" s="130"/>
    </row>
    <row r="12" spans="1:28">
      <c r="B12" s="128"/>
      <c r="C12" s="174"/>
      <c r="E12" s="166" t="s">
        <v>92</v>
      </c>
      <c r="F12" s="380">
        <v>0</v>
      </c>
      <c r="G12" s="380">
        <v>0</v>
      </c>
      <c r="H12" s="380">
        <f>12856/1000</f>
        <v>12.856</v>
      </c>
      <c r="I12" s="380">
        <v>20</v>
      </c>
      <c r="J12" s="388">
        <v>29</v>
      </c>
      <c r="K12" s="130"/>
      <c r="L12" s="130"/>
      <c r="M12" s="130"/>
      <c r="N12" s="130"/>
      <c r="O12" s="130"/>
      <c r="P12" s="130"/>
      <c r="Q12" s="130"/>
      <c r="R12" s="130"/>
      <c r="S12" s="130"/>
      <c r="T12" s="130"/>
      <c r="U12" s="130"/>
      <c r="V12" s="130"/>
      <c r="W12" s="130"/>
      <c r="X12" s="130"/>
      <c r="Y12" s="130"/>
      <c r="Z12" s="130"/>
      <c r="AA12" s="130"/>
      <c r="AB12" s="130"/>
    </row>
    <row r="13" spans="1:28">
      <c r="A13" s="132"/>
      <c r="E13" s="168" t="s">
        <v>95</v>
      </c>
      <c r="F13" s="384">
        <f>SUM(F11:F12)</f>
        <v>50.305999999999997</v>
      </c>
      <c r="G13" s="384">
        <f>SUM(G11:G12)</f>
        <v>117.524</v>
      </c>
      <c r="H13" s="384">
        <f>SUM(H11:H12)</f>
        <v>247.29900000000001</v>
      </c>
      <c r="I13" s="384">
        <f>SUM(I11:I12)</f>
        <v>362</v>
      </c>
      <c r="J13" s="384">
        <f>SUM(J11:J12)</f>
        <v>685</v>
      </c>
      <c r="K13" s="130"/>
      <c r="L13" s="130"/>
      <c r="M13" s="130"/>
      <c r="N13" s="130"/>
      <c r="O13" s="130"/>
      <c r="P13" s="130"/>
      <c r="Q13" s="130"/>
      <c r="R13" s="130"/>
      <c r="S13" s="130"/>
      <c r="T13" s="130"/>
      <c r="U13" s="130"/>
      <c r="V13" s="130"/>
      <c r="W13" s="130"/>
      <c r="X13" s="130"/>
      <c r="Y13" s="130"/>
      <c r="Z13" s="130"/>
      <c r="AA13" s="130"/>
      <c r="AB13" s="130"/>
    </row>
    <row r="14" spans="1:28">
      <c r="K14" s="130"/>
      <c r="L14" s="130"/>
      <c r="M14" s="130"/>
      <c r="N14" s="130"/>
      <c r="O14" s="130"/>
      <c r="P14" s="130"/>
      <c r="Q14" s="130"/>
      <c r="R14" s="130"/>
      <c r="S14" s="130"/>
      <c r="T14" s="130"/>
      <c r="U14" s="130"/>
      <c r="V14" s="130"/>
      <c r="W14" s="130"/>
      <c r="X14" s="130"/>
      <c r="Y14" s="130"/>
      <c r="Z14" s="130"/>
      <c r="AA14" s="130"/>
      <c r="AB14" s="130"/>
    </row>
    <row r="15" spans="1:28">
      <c r="B15" s="159"/>
      <c r="C15" s="159"/>
      <c r="D15" s="159"/>
      <c r="E15" s="168" t="s">
        <v>73</v>
      </c>
      <c r="F15" s="384">
        <f>F9-F13</f>
        <v>252.28900000000004</v>
      </c>
      <c r="G15" s="384">
        <f>G9-G13</f>
        <v>456.62099999999998</v>
      </c>
      <c r="H15" s="384">
        <f>H9-H13</f>
        <v>993.66399999999999</v>
      </c>
      <c r="I15" s="384">
        <f>I9-I13</f>
        <v>1232</v>
      </c>
      <c r="J15" s="384">
        <f>J9-J13</f>
        <v>3571</v>
      </c>
      <c r="K15" s="130"/>
      <c r="L15" s="130"/>
      <c r="M15" s="130"/>
      <c r="N15" s="130"/>
      <c r="O15" s="130"/>
      <c r="P15" s="130"/>
      <c r="Q15" s="130"/>
      <c r="R15" s="130"/>
      <c r="S15" s="130"/>
      <c r="T15" s="130"/>
      <c r="U15" s="130"/>
      <c r="V15" s="130"/>
      <c r="W15" s="130"/>
      <c r="X15" s="130"/>
      <c r="Y15" s="130"/>
      <c r="Z15" s="130"/>
      <c r="AA15" s="130"/>
      <c r="AB15" s="130"/>
    </row>
    <row r="16" spans="1:28">
      <c r="B16" s="47"/>
      <c r="C16" s="134"/>
      <c r="D16" s="134"/>
      <c r="E16" s="138"/>
      <c r="F16" s="380"/>
      <c r="G16" s="380"/>
      <c r="H16" s="380"/>
      <c r="I16" s="380"/>
      <c r="J16" s="380"/>
      <c r="K16" s="130"/>
      <c r="L16" s="130"/>
      <c r="M16" s="130"/>
      <c r="N16" s="130"/>
      <c r="O16" s="130"/>
      <c r="P16" s="130"/>
      <c r="Q16" s="130"/>
      <c r="R16" s="130"/>
      <c r="S16" s="130"/>
      <c r="T16" s="130"/>
      <c r="U16" s="130"/>
      <c r="V16" s="130"/>
      <c r="W16" s="130"/>
      <c r="X16" s="130"/>
      <c r="Y16" s="130"/>
      <c r="Z16" s="130"/>
      <c r="AA16" s="130"/>
      <c r="AB16" s="130"/>
    </row>
    <row r="17" spans="2:31">
      <c r="B17" s="92"/>
      <c r="C17" s="152"/>
      <c r="D17" s="154"/>
      <c r="E17" s="153" t="s">
        <v>96</v>
      </c>
      <c r="F17" s="389"/>
      <c r="G17" s="389">
        <f>G15-F15</f>
        <v>204.33199999999994</v>
      </c>
      <c r="H17" s="389">
        <f>H15-G15</f>
        <v>537.04300000000001</v>
      </c>
      <c r="I17" s="389">
        <f>I15-H15</f>
        <v>238.33600000000001</v>
      </c>
      <c r="J17" s="389">
        <f>J15-I15</f>
        <v>2339</v>
      </c>
      <c r="K17" s="130"/>
      <c r="L17" s="130"/>
      <c r="M17" s="130"/>
      <c r="N17" s="130"/>
      <c r="O17" s="130"/>
      <c r="P17" s="130"/>
      <c r="Q17" s="130"/>
      <c r="R17" s="130"/>
      <c r="S17" s="130"/>
      <c r="T17" s="130"/>
      <c r="U17" s="130"/>
      <c r="V17" s="130"/>
      <c r="W17" s="130"/>
      <c r="X17" s="130"/>
      <c r="Y17" s="130"/>
      <c r="Z17" s="130"/>
      <c r="AA17" s="130"/>
      <c r="AB17" s="130"/>
    </row>
    <row r="18" spans="2:31">
      <c r="B18" s="92"/>
      <c r="C18" s="152"/>
      <c r="D18" s="154"/>
      <c r="E18" s="138"/>
      <c r="F18" s="138"/>
      <c r="G18" s="138"/>
      <c r="H18" s="138"/>
      <c r="I18" s="138"/>
      <c r="J18" s="138"/>
      <c r="K18" s="130"/>
      <c r="L18" s="130"/>
      <c r="M18" s="130"/>
      <c r="N18" s="130"/>
      <c r="O18" s="130"/>
      <c r="P18" s="130"/>
      <c r="Q18" s="130"/>
      <c r="R18" s="130"/>
      <c r="S18" s="130"/>
      <c r="T18" s="130"/>
      <c r="U18" s="130"/>
      <c r="V18" s="130"/>
      <c r="W18" s="130"/>
      <c r="X18" s="130"/>
      <c r="Y18" s="130"/>
      <c r="Z18" s="130"/>
      <c r="AA18" s="130"/>
      <c r="AB18" s="130"/>
    </row>
    <row r="19" spans="2:31">
      <c r="B19" s="92"/>
      <c r="C19" s="152"/>
      <c r="D19" s="154"/>
      <c r="E19" s="166" t="s">
        <v>5</v>
      </c>
      <c r="F19" s="380">
        <f>858870/1000</f>
        <v>858.87</v>
      </c>
      <c r="G19" s="380">
        <f>1955467/1000</f>
        <v>1955.4670000000001</v>
      </c>
      <c r="H19" s="380">
        <v>3940</v>
      </c>
      <c r="I19" s="380">
        <v>5587</v>
      </c>
      <c r="J19" s="380">
        <v>12814</v>
      </c>
      <c r="K19" s="130"/>
      <c r="L19" s="130"/>
      <c r="M19" s="130"/>
      <c r="N19" s="130"/>
      <c r="O19" s="130"/>
      <c r="P19" s="130"/>
      <c r="Q19" s="130"/>
      <c r="R19" s="130"/>
      <c r="S19" s="130"/>
      <c r="T19" s="130"/>
      <c r="U19" s="130"/>
      <c r="V19" s="130"/>
      <c r="W19" s="130"/>
      <c r="X19" s="130"/>
      <c r="Y19" s="130"/>
      <c r="Z19" s="130"/>
      <c r="AA19" s="130"/>
      <c r="AB19" s="130"/>
    </row>
    <row r="20" spans="2:31">
      <c r="B20" s="92"/>
      <c r="C20" s="152"/>
      <c r="D20" s="154"/>
      <c r="E20" s="139" t="s">
        <v>91</v>
      </c>
      <c r="F20" s="155">
        <f>F15/F19</f>
        <v>0.29374526994772204</v>
      </c>
      <c r="G20" s="155">
        <f>G15/G19</f>
        <v>0.23350994928577162</v>
      </c>
      <c r="H20" s="155">
        <f>H15/H19</f>
        <v>0.2521989847715736</v>
      </c>
      <c r="I20" s="155">
        <f>I15/I19</f>
        <v>0.22051190263110793</v>
      </c>
      <c r="J20" s="155">
        <f>J15/J19</f>
        <v>0.27867956922116432</v>
      </c>
      <c r="K20" s="130"/>
      <c r="L20" s="130"/>
      <c r="M20" s="130"/>
      <c r="N20" s="130"/>
      <c r="O20" s="130"/>
      <c r="P20" s="130"/>
      <c r="Q20" s="130"/>
      <c r="R20" s="130"/>
      <c r="S20" s="130"/>
      <c r="T20" s="130"/>
      <c r="U20" s="130"/>
      <c r="V20" s="130"/>
      <c r="W20" s="130"/>
      <c r="X20" s="130"/>
      <c r="Y20" s="130"/>
      <c r="Z20" s="130"/>
      <c r="AA20" s="130"/>
      <c r="AB20" s="130"/>
    </row>
    <row r="21" spans="2:31">
      <c r="B21" s="92"/>
      <c r="C21" s="152"/>
      <c r="D21" s="154"/>
      <c r="I21" s="148" t="s">
        <v>184</v>
      </c>
      <c r="J21" s="172">
        <f>MEDIAN(F20:J20)</f>
        <v>0.2521989847715736</v>
      </c>
      <c r="L21" s="130"/>
      <c r="M21" s="130"/>
      <c r="N21" s="130"/>
      <c r="O21" s="130"/>
      <c r="P21" s="130"/>
      <c r="Q21" s="130"/>
      <c r="R21" s="130"/>
      <c r="S21" s="130"/>
      <c r="T21" s="130"/>
      <c r="U21" s="130"/>
      <c r="V21" s="130"/>
      <c r="W21" s="130"/>
      <c r="X21" s="130"/>
      <c r="Y21" s="130"/>
      <c r="Z21" s="130"/>
      <c r="AA21" s="130"/>
      <c r="AB21" s="130"/>
      <c r="AC21" s="130"/>
    </row>
    <row r="22" spans="2:31">
      <c r="B22" s="92"/>
      <c r="C22" s="152"/>
      <c r="D22" s="154"/>
      <c r="J22" s="130"/>
      <c r="K22" s="130"/>
      <c r="L22" s="130"/>
      <c r="M22" s="130"/>
      <c r="N22" s="130"/>
      <c r="O22" s="130"/>
      <c r="P22" s="130"/>
      <c r="Q22" s="130"/>
      <c r="R22" s="130"/>
      <c r="S22" s="130"/>
      <c r="T22" s="130"/>
      <c r="U22" s="130"/>
      <c r="V22" s="130"/>
      <c r="W22" s="130"/>
      <c r="X22" s="130"/>
      <c r="Y22" s="130"/>
      <c r="Z22" s="130"/>
      <c r="AA22" s="130"/>
      <c r="AB22" s="130"/>
      <c r="AC22" s="130"/>
    </row>
    <row r="23" spans="2:31">
      <c r="B23" s="92"/>
      <c r="C23" s="152"/>
      <c r="D23" s="154"/>
      <c r="J23" s="130"/>
      <c r="K23" s="130"/>
      <c r="L23" s="130"/>
      <c r="M23" s="130"/>
      <c r="N23" s="130"/>
      <c r="O23" s="130"/>
      <c r="P23" s="130"/>
      <c r="Q23" s="130"/>
      <c r="R23" s="130"/>
      <c r="S23" s="130"/>
      <c r="T23" s="130"/>
      <c r="U23" s="130"/>
      <c r="V23" s="130"/>
      <c r="W23" s="130"/>
      <c r="X23" s="130"/>
      <c r="Y23" s="130"/>
      <c r="Z23" s="130"/>
      <c r="AA23" s="130"/>
      <c r="AB23" s="130"/>
      <c r="AC23" s="130"/>
      <c r="AD23" s="130"/>
      <c r="AE23" s="130"/>
    </row>
    <row r="24" spans="2:31">
      <c r="B24" s="92"/>
      <c r="C24" s="152"/>
      <c r="D24" s="154"/>
      <c r="J24" s="130"/>
      <c r="K24" s="130"/>
      <c r="L24" s="130"/>
      <c r="M24" s="130"/>
      <c r="N24" s="130"/>
      <c r="O24" s="130"/>
      <c r="P24" s="130"/>
      <c r="Q24" s="130"/>
      <c r="R24" s="130"/>
      <c r="S24" s="130"/>
      <c r="T24" s="130"/>
      <c r="U24" s="130"/>
      <c r="V24" s="130"/>
      <c r="W24" s="130"/>
      <c r="X24" s="130"/>
      <c r="Y24" s="130"/>
      <c r="Z24" s="130"/>
      <c r="AA24" s="130"/>
      <c r="AB24" s="130"/>
      <c r="AC24" s="130"/>
      <c r="AD24" s="130"/>
      <c r="AE24" s="130"/>
    </row>
    <row r="25" spans="2:31">
      <c r="B25" s="158"/>
      <c r="C25" s="158"/>
      <c r="D25" s="157"/>
      <c r="J25" s="130"/>
      <c r="K25" s="130"/>
      <c r="L25" s="130"/>
      <c r="M25" s="130"/>
      <c r="N25" s="130"/>
      <c r="O25" s="130"/>
      <c r="P25" s="130"/>
      <c r="Q25" s="130"/>
      <c r="R25" s="130"/>
      <c r="S25" s="130"/>
      <c r="T25" s="130"/>
      <c r="U25" s="130"/>
      <c r="V25" s="130"/>
      <c r="W25" s="130"/>
      <c r="X25" s="130"/>
      <c r="Y25" s="130"/>
      <c r="Z25" s="130"/>
      <c r="AA25" s="130"/>
      <c r="AB25" s="130"/>
      <c r="AC25" s="130"/>
      <c r="AD25" s="130"/>
      <c r="AE25" s="130"/>
    </row>
    <row r="26" spans="2:31">
      <c r="J26" s="130"/>
      <c r="K26" s="130"/>
      <c r="L26" s="130"/>
      <c r="M26" s="130"/>
      <c r="N26" s="130"/>
      <c r="O26" s="130"/>
      <c r="P26" s="130"/>
      <c r="Q26" s="130"/>
      <c r="R26" s="130"/>
      <c r="S26" s="130"/>
      <c r="T26" s="130"/>
      <c r="U26" s="130"/>
      <c r="V26" s="130"/>
      <c r="W26" s="130"/>
      <c r="X26" s="130"/>
      <c r="Y26" s="130"/>
      <c r="Z26" s="130"/>
      <c r="AA26" s="130"/>
      <c r="AB26" s="130"/>
      <c r="AC26" s="130"/>
      <c r="AD26" s="130"/>
      <c r="AE26" s="130"/>
    </row>
    <row r="27" spans="2:31">
      <c r="J27" s="130"/>
      <c r="K27" s="130"/>
      <c r="L27" s="130"/>
      <c r="M27" s="130"/>
      <c r="N27" s="130"/>
      <c r="O27" s="130"/>
      <c r="P27" s="130"/>
      <c r="Q27" s="130"/>
      <c r="R27" s="130"/>
      <c r="S27" s="130"/>
      <c r="T27" s="130"/>
      <c r="U27" s="130"/>
      <c r="V27" s="130"/>
      <c r="W27" s="130"/>
      <c r="X27" s="130"/>
      <c r="Y27" s="130"/>
      <c r="Z27" s="130"/>
      <c r="AA27" s="130"/>
      <c r="AB27" s="130"/>
      <c r="AC27" s="130"/>
      <c r="AD27" s="130"/>
      <c r="AE27" s="130"/>
    </row>
    <row r="28" spans="2:31">
      <c r="J28" s="130"/>
      <c r="K28" s="130"/>
      <c r="L28" s="130"/>
      <c r="M28" s="130"/>
      <c r="N28" s="130"/>
      <c r="O28" s="130"/>
      <c r="P28" s="130"/>
      <c r="Q28" s="130"/>
      <c r="R28" s="130"/>
      <c r="S28" s="130"/>
      <c r="T28" s="130"/>
      <c r="U28" s="130"/>
      <c r="V28" s="130"/>
      <c r="W28" s="130"/>
      <c r="X28" s="130"/>
      <c r="Y28" s="130"/>
      <c r="Z28" s="130"/>
      <c r="AA28" s="130"/>
      <c r="AB28" s="130"/>
      <c r="AC28" s="130"/>
      <c r="AD28" s="130"/>
      <c r="AE28" s="130"/>
    </row>
    <row r="29" spans="2:31">
      <c r="J29" s="130"/>
      <c r="K29" s="130"/>
      <c r="L29" s="130"/>
      <c r="M29" s="130"/>
      <c r="N29" s="130"/>
      <c r="O29" s="130"/>
      <c r="P29" s="130"/>
      <c r="Q29" s="130"/>
      <c r="R29" s="130"/>
      <c r="S29" s="130"/>
      <c r="T29" s="130"/>
      <c r="U29" s="130"/>
      <c r="V29" s="130"/>
      <c r="W29" s="130"/>
      <c r="X29" s="130"/>
      <c r="Y29" s="130"/>
      <c r="Z29" s="130"/>
      <c r="AA29" s="130"/>
      <c r="AB29" s="130"/>
      <c r="AC29" s="130"/>
      <c r="AD29" s="130"/>
      <c r="AE29" s="130"/>
    </row>
    <row r="30" spans="2:31" ht="14.25" customHeight="1">
      <c r="J30" s="130"/>
      <c r="K30" s="130"/>
      <c r="L30" s="130"/>
      <c r="M30" s="130"/>
      <c r="N30" s="130"/>
      <c r="O30" s="130"/>
      <c r="P30" s="130"/>
      <c r="Q30" s="130"/>
      <c r="R30" s="130"/>
      <c r="S30" s="130"/>
      <c r="T30" s="130"/>
      <c r="U30" s="130"/>
      <c r="V30" s="130"/>
      <c r="W30" s="130"/>
      <c r="X30" s="130"/>
      <c r="Y30" s="130"/>
      <c r="Z30" s="130"/>
      <c r="AA30" s="130"/>
      <c r="AB30" s="130"/>
      <c r="AC30" s="130"/>
      <c r="AD30" s="130"/>
      <c r="AE30" s="130"/>
    </row>
    <row r="31" spans="2:31">
      <c r="F31" s="130"/>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row>
    <row r="32" spans="2:31">
      <c r="K32" s="130"/>
      <c r="L32" s="130"/>
      <c r="M32" s="130"/>
      <c r="N32" s="130"/>
      <c r="O32" s="130"/>
      <c r="P32" s="130"/>
      <c r="Q32" s="130"/>
      <c r="R32" s="130"/>
      <c r="S32" s="130"/>
      <c r="T32" s="130"/>
      <c r="U32" s="130"/>
      <c r="V32" s="130"/>
      <c r="W32" s="130"/>
      <c r="X32" s="130"/>
      <c r="Y32" s="130"/>
      <c r="Z32" s="130"/>
      <c r="AA32" s="130"/>
      <c r="AB32" s="130"/>
      <c r="AC32" s="130"/>
      <c r="AD32" s="130"/>
      <c r="AE32" s="130"/>
    </row>
    <row r="33" spans="11:31">
      <c r="K33" s="130"/>
      <c r="L33" s="130"/>
      <c r="M33" s="130"/>
      <c r="N33" s="130"/>
      <c r="O33" s="130"/>
      <c r="P33" s="130"/>
      <c r="Q33" s="130"/>
      <c r="R33" s="130"/>
      <c r="S33" s="130"/>
      <c r="T33" s="130"/>
      <c r="U33" s="130"/>
      <c r="V33" s="130"/>
      <c r="W33" s="130"/>
      <c r="X33" s="130"/>
      <c r="Y33" s="130"/>
      <c r="Z33" s="130"/>
      <c r="AA33" s="130"/>
      <c r="AB33" s="130"/>
      <c r="AC33" s="130"/>
      <c r="AD33" s="130"/>
      <c r="AE33" s="130"/>
    </row>
    <row r="34" spans="11:31">
      <c r="L34" s="130"/>
      <c r="M34" s="130"/>
      <c r="N34" s="130"/>
      <c r="O34" s="130"/>
      <c r="P34" s="130"/>
      <c r="Q34" s="130"/>
      <c r="R34" s="130"/>
      <c r="S34" s="130"/>
      <c r="T34" s="130"/>
      <c r="U34" s="130"/>
      <c r="V34" s="130"/>
      <c r="W34" s="130"/>
      <c r="X34" s="130"/>
      <c r="Y34" s="130"/>
      <c r="Z34" s="130"/>
      <c r="AA34" s="130"/>
      <c r="AB34" s="130"/>
      <c r="AC34" s="130"/>
      <c r="AD34" s="130"/>
      <c r="AE34" s="130"/>
    </row>
    <row r="35" spans="11:31">
      <c r="L35" s="130"/>
      <c r="M35" s="130"/>
      <c r="N35" s="130"/>
      <c r="O35" s="130"/>
      <c r="P35" s="130"/>
      <c r="Q35" s="130"/>
      <c r="R35" s="130"/>
      <c r="S35" s="130"/>
      <c r="T35" s="130"/>
      <c r="U35" s="130"/>
      <c r="V35" s="130"/>
      <c r="W35" s="130"/>
      <c r="X35" s="130"/>
      <c r="Y35" s="130"/>
      <c r="Z35" s="130"/>
      <c r="AA35" s="130"/>
      <c r="AB35" s="130"/>
      <c r="AC35" s="130"/>
      <c r="AD35" s="130"/>
      <c r="AE35" s="130"/>
    </row>
    <row r="36" spans="11:31">
      <c r="L36" s="130"/>
      <c r="M36" s="130"/>
      <c r="N36" s="130"/>
      <c r="O36" s="130"/>
      <c r="P36" s="130"/>
      <c r="Q36" s="130"/>
      <c r="R36" s="130"/>
      <c r="S36" s="130"/>
      <c r="T36" s="130"/>
      <c r="U36" s="130"/>
      <c r="V36" s="130"/>
      <c r="W36" s="130"/>
      <c r="X36" s="130"/>
      <c r="Y36" s="130"/>
      <c r="Z36" s="130"/>
      <c r="AA36" s="130"/>
      <c r="AB36" s="130"/>
      <c r="AC36" s="130"/>
      <c r="AD36" s="130"/>
      <c r="AE36" s="130"/>
    </row>
    <row r="37" spans="11:31">
      <c r="L37" s="130"/>
      <c r="M37" s="130"/>
      <c r="N37" s="130"/>
      <c r="O37" s="130"/>
      <c r="P37" s="130"/>
      <c r="Q37" s="130"/>
      <c r="R37" s="130"/>
      <c r="S37" s="130"/>
      <c r="T37" s="130"/>
      <c r="U37" s="130"/>
      <c r="V37" s="130"/>
      <c r="W37" s="130"/>
      <c r="X37" s="130"/>
      <c r="Y37" s="130"/>
      <c r="Z37" s="130"/>
      <c r="AA37" s="130"/>
      <c r="AB37" s="130"/>
      <c r="AC37" s="130"/>
      <c r="AD37" s="130"/>
      <c r="AE37" s="130"/>
    </row>
    <row r="38" spans="11:31">
      <c r="L38" s="130"/>
      <c r="M38" s="130"/>
      <c r="N38" s="130"/>
      <c r="O38" s="130"/>
      <c r="P38" s="130"/>
      <c r="Q38" s="130"/>
      <c r="R38" s="130"/>
      <c r="S38" s="130"/>
      <c r="T38" s="130"/>
      <c r="U38" s="130"/>
      <c r="V38" s="130"/>
      <c r="W38" s="130"/>
      <c r="X38" s="130"/>
      <c r="Y38" s="130"/>
      <c r="Z38" s="130"/>
      <c r="AA38" s="130"/>
      <c r="AB38" s="130"/>
      <c r="AC38" s="130"/>
      <c r="AD38" s="130"/>
      <c r="AE38" s="130"/>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8"/>
  <sheetViews>
    <sheetView workbookViewId="0"/>
  </sheetViews>
  <sheetFormatPr defaultRowHeight="12"/>
  <cols>
    <col min="1" max="1" width="2" style="125" customWidth="1"/>
    <col min="2" max="2" width="29.28515625" style="125" customWidth="1"/>
    <col min="3" max="3" width="11.7109375" style="125" customWidth="1"/>
    <col min="4" max="4" width="4.85546875" style="125" customWidth="1"/>
    <col min="5" max="5" width="10.140625" style="125" customWidth="1"/>
    <col min="6" max="6" width="32.42578125" style="125" customWidth="1"/>
    <col min="7" max="7" width="11.85546875" style="125" customWidth="1" collapsed="1"/>
    <col min="8" max="8" width="5.42578125" style="125" customWidth="1"/>
    <col min="9" max="9" width="31.5703125" style="125" customWidth="1"/>
    <col min="10" max="10" width="11.5703125" style="125" bestFit="1" customWidth="1"/>
    <col min="11" max="11" width="9.85546875" style="125" customWidth="1"/>
    <col min="12" max="25" width="9.140625" style="125" customWidth="1"/>
    <col min="26" max="26" width="9.28515625" style="125" customWidth="1"/>
    <col min="27" max="27" width="9.42578125" style="125" customWidth="1"/>
    <col min="28" max="28" width="10" style="125" customWidth="1"/>
    <col min="29" max="29" width="11.42578125" style="125" customWidth="1"/>
    <col min="30" max="30" width="9.42578125" style="125" bestFit="1" customWidth="1" collapsed="1"/>
    <col min="31" max="16384" width="9.140625" style="125"/>
  </cols>
  <sheetData>
    <row r="1" spans="1:31" s="124" customFormat="1" ht="15" customHeight="1">
      <c r="B1" s="17" t="s">
        <v>89</v>
      </c>
      <c r="C1" s="123"/>
      <c r="D1" s="123"/>
      <c r="E1" s="123"/>
      <c r="F1" s="123"/>
      <c r="G1" s="123"/>
      <c r="H1" s="123"/>
      <c r="I1" s="123"/>
      <c r="J1" s="123"/>
      <c r="K1" s="123"/>
    </row>
    <row r="2" spans="1:31" ht="12.75" customHeight="1">
      <c r="C2" s="148"/>
    </row>
    <row r="3" spans="1:31" ht="15.75">
      <c r="A3" s="127"/>
      <c r="F3" s="112" t="s">
        <v>74</v>
      </c>
      <c r="G3" s="138"/>
      <c r="I3" s="112" t="s">
        <v>78</v>
      </c>
      <c r="J3" s="138"/>
      <c r="K3" s="135"/>
    </row>
    <row r="4" spans="1:31" ht="14.25" customHeight="1">
      <c r="A4" s="132"/>
      <c r="B4" s="151" t="str">
        <f>F14</f>
        <v>Free Cash Flow to Firm (FCFF)</v>
      </c>
      <c r="C4" s="391">
        <f>G14</f>
        <v>-2968.6622772574265</v>
      </c>
      <c r="F4" s="146"/>
      <c r="G4" s="165" t="s">
        <v>201</v>
      </c>
      <c r="I4" s="146"/>
      <c r="J4" s="393" t="s">
        <v>201</v>
      </c>
      <c r="K4" s="72"/>
      <c r="N4" s="129"/>
      <c r="P4" s="129"/>
      <c r="Q4" s="129"/>
      <c r="R4" s="129"/>
      <c r="S4" s="129"/>
      <c r="T4" s="129"/>
      <c r="U4" s="129"/>
      <c r="Z4" s="129"/>
    </row>
    <row r="5" spans="1:31">
      <c r="A5" s="132"/>
      <c r="B5" s="164" t="str">
        <f>I17</f>
        <v>Free Cash Flow to Equity (FCFE)</v>
      </c>
      <c r="C5" s="392">
        <f>J17</f>
        <v>445.86572274257378</v>
      </c>
      <c r="F5" s="141" t="s">
        <v>67</v>
      </c>
      <c r="G5" s="385">
        <f>'EBIT &amp; Operating Leases'!C14</f>
        <v>-326.59522891204892</v>
      </c>
      <c r="I5" s="141" t="str">
        <f>F5</f>
        <v>Adjusted EBIT</v>
      </c>
      <c r="J5" s="363">
        <f>G5</f>
        <v>-326.59522891204892</v>
      </c>
      <c r="K5" s="137"/>
      <c r="N5" s="130"/>
      <c r="O5" s="130"/>
      <c r="P5" s="130"/>
      <c r="Q5" s="130"/>
      <c r="R5" s="130"/>
      <c r="S5" s="130"/>
      <c r="T5" s="130"/>
      <c r="U5" s="130"/>
      <c r="V5" s="130"/>
      <c r="W5" s="130"/>
      <c r="X5" s="130"/>
      <c r="Y5" s="130"/>
      <c r="Z5" s="130"/>
      <c r="AA5" s="130"/>
      <c r="AB5" s="130"/>
      <c r="AC5" s="130"/>
      <c r="AD5" s="130"/>
      <c r="AE5" s="130"/>
    </row>
    <row r="6" spans="1:31">
      <c r="A6" s="132"/>
      <c r="F6" s="141" t="s">
        <v>283</v>
      </c>
      <c r="G6" s="394">
        <v>3.0000000000000001E-3</v>
      </c>
      <c r="I6" s="140" t="s">
        <v>79</v>
      </c>
      <c r="J6" s="363">
        <f>'Cost of Equity &amp; Debt'!L15</f>
        <v>176</v>
      </c>
      <c r="N6" s="130"/>
      <c r="O6" s="130"/>
      <c r="P6" s="130"/>
      <c r="Q6" s="130"/>
      <c r="R6" s="130"/>
      <c r="S6" s="130"/>
      <c r="T6" s="130"/>
      <c r="U6" s="130"/>
      <c r="V6" s="130"/>
      <c r="W6" s="130"/>
      <c r="X6" s="130"/>
      <c r="Y6" s="130"/>
      <c r="Z6" s="130"/>
      <c r="AA6" s="130"/>
      <c r="AB6" s="130"/>
      <c r="AC6" s="130"/>
      <c r="AD6" s="130"/>
      <c r="AE6" s="130"/>
    </row>
    <row r="7" spans="1:31">
      <c r="F7" s="140"/>
      <c r="G7" s="375"/>
      <c r="I7" s="143" t="s">
        <v>80</v>
      </c>
      <c r="J7" s="386">
        <f>J5-J6</f>
        <v>-502.59522891204892</v>
      </c>
      <c r="N7" s="130"/>
      <c r="O7" s="130"/>
      <c r="P7" s="130"/>
      <c r="Q7" s="130"/>
      <c r="R7" s="130"/>
      <c r="S7" s="130"/>
      <c r="T7" s="130"/>
      <c r="U7" s="130"/>
      <c r="V7" s="130"/>
      <c r="W7" s="130"/>
      <c r="X7" s="130"/>
      <c r="Y7" s="130"/>
      <c r="Z7" s="130"/>
      <c r="AA7" s="130"/>
      <c r="AB7" s="130"/>
      <c r="AC7" s="130"/>
      <c r="AD7" s="130"/>
      <c r="AE7" s="130"/>
    </row>
    <row r="8" spans="1:31">
      <c r="A8" s="132"/>
      <c r="F8" s="141" t="s">
        <v>75</v>
      </c>
      <c r="G8" s="363">
        <f>G5*(1-G6)</f>
        <v>-325.61544322531279</v>
      </c>
      <c r="H8" s="133"/>
      <c r="I8" s="151" t="s">
        <v>283</v>
      </c>
      <c r="J8" s="163">
        <f>'FCFF &amp; FCFE'!G6</f>
        <v>3.0000000000000001E-3</v>
      </c>
      <c r="N8" s="130"/>
      <c r="O8" s="130"/>
      <c r="P8" s="130"/>
      <c r="Q8" s="130"/>
      <c r="R8" s="130"/>
      <c r="S8" s="130"/>
      <c r="T8" s="130"/>
      <c r="U8" s="130"/>
      <c r="V8" s="130"/>
      <c r="W8" s="130"/>
      <c r="X8" s="130"/>
      <c r="Y8" s="130"/>
      <c r="Z8" s="130"/>
      <c r="AA8" s="130"/>
      <c r="AB8" s="130"/>
      <c r="AC8" s="130"/>
      <c r="AD8" s="130"/>
      <c r="AE8" s="130"/>
    </row>
    <row r="9" spans="1:31">
      <c r="A9" s="132"/>
      <c r="F9" s="151"/>
      <c r="G9" s="385"/>
      <c r="I9" s="144" t="s">
        <v>81</v>
      </c>
      <c r="J9" s="364">
        <f>J7*(1-J8)</f>
        <v>-501.08744322531277</v>
      </c>
      <c r="N9" s="130"/>
      <c r="O9" s="130"/>
      <c r="P9" s="130"/>
      <c r="Q9" s="130"/>
      <c r="R9" s="130"/>
      <c r="S9" s="130"/>
      <c r="T9" s="130"/>
      <c r="U9" s="130"/>
      <c r="V9" s="130"/>
      <c r="W9" s="130"/>
      <c r="X9" s="130"/>
      <c r="Y9" s="130"/>
      <c r="Z9" s="130"/>
      <c r="AA9" s="130"/>
      <c r="AB9" s="130"/>
      <c r="AC9" s="130"/>
      <c r="AD9" s="130"/>
      <c r="AE9" s="130"/>
    </row>
    <row r="10" spans="1:31">
      <c r="A10" s="128"/>
      <c r="F10" s="141" t="str">
        <f>'Net CapEx'!B10</f>
        <v>Adjusted Net Capital Expenditures</v>
      </c>
      <c r="G10" s="363">
        <f>'Net CapEx'!C10</f>
        <v>820.40477108795108</v>
      </c>
      <c r="I10" s="138"/>
      <c r="J10" s="377"/>
      <c r="N10" s="130"/>
      <c r="O10" s="130"/>
      <c r="P10" s="130"/>
      <c r="Q10" s="130"/>
      <c r="R10" s="130"/>
      <c r="S10" s="130"/>
      <c r="T10" s="130"/>
      <c r="U10" s="130"/>
      <c r="V10" s="130"/>
      <c r="W10" s="130"/>
      <c r="X10" s="130"/>
      <c r="Y10" s="130"/>
      <c r="Z10" s="130"/>
      <c r="AA10" s="130"/>
      <c r="AB10" s="130"/>
      <c r="AC10" s="130"/>
      <c r="AD10" s="130"/>
      <c r="AE10" s="130"/>
    </row>
    <row r="11" spans="1:31">
      <c r="A11" s="132"/>
      <c r="F11" s="141" t="str">
        <f>'Working Capital Changes'!B11</f>
        <v>Adj Change in Non Cash WC</v>
      </c>
      <c r="G11" s="363">
        <f>'Working Capital Changes'!C11</f>
        <v>1822.6420629441625</v>
      </c>
      <c r="I11" s="141" t="s">
        <v>77</v>
      </c>
      <c r="J11" s="363">
        <f>G12</f>
        <v>2643.0468340321136</v>
      </c>
      <c r="N11" s="130"/>
      <c r="O11" s="130"/>
      <c r="P11" s="130"/>
      <c r="Q11" s="130"/>
      <c r="R11" s="130"/>
      <c r="S11" s="130"/>
      <c r="T11" s="130"/>
      <c r="U11" s="130"/>
      <c r="V11" s="130"/>
      <c r="W11" s="130"/>
      <c r="X11" s="130"/>
      <c r="Y11" s="130"/>
      <c r="Z11" s="130"/>
      <c r="AA11" s="130"/>
      <c r="AB11" s="130"/>
      <c r="AC11" s="130"/>
      <c r="AD11" s="130"/>
      <c r="AE11" s="130"/>
    </row>
    <row r="12" spans="1:31">
      <c r="F12" s="144" t="s">
        <v>77</v>
      </c>
      <c r="G12" s="390">
        <f>G10+G11</f>
        <v>2643.0468340321136</v>
      </c>
      <c r="I12" s="141"/>
      <c r="J12" s="363"/>
      <c r="N12" s="130"/>
      <c r="O12" s="130"/>
      <c r="P12" s="130"/>
      <c r="Q12" s="130"/>
      <c r="R12" s="130"/>
      <c r="S12" s="130"/>
      <c r="T12" s="130"/>
      <c r="U12" s="130"/>
      <c r="V12" s="130"/>
      <c r="W12" s="130"/>
      <c r="X12" s="130"/>
      <c r="Y12" s="130"/>
      <c r="Z12" s="130"/>
      <c r="AA12" s="130"/>
      <c r="AB12" s="130"/>
      <c r="AC12" s="130"/>
      <c r="AD12" s="130"/>
      <c r="AE12" s="130"/>
    </row>
    <row r="13" spans="1:31">
      <c r="A13" s="132"/>
      <c r="B13" s="128"/>
      <c r="C13" s="161"/>
      <c r="F13" s="138"/>
      <c r="G13" s="138"/>
      <c r="I13" s="141" t="s">
        <v>82</v>
      </c>
      <c r="J13" s="363">
        <f>12587+73</f>
        <v>12660</v>
      </c>
      <c r="N13" s="130"/>
      <c r="O13" s="130"/>
      <c r="P13" s="130"/>
      <c r="Q13" s="130"/>
      <c r="R13" s="130"/>
      <c r="S13" s="130"/>
      <c r="T13" s="130"/>
      <c r="U13" s="130"/>
      <c r="V13" s="130"/>
      <c r="W13" s="130"/>
      <c r="X13" s="130"/>
      <c r="Y13" s="130"/>
      <c r="Z13" s="130"/>
      <c r="AA13" s="130"/>
      <c r="AB13" s="130"/>
      <c r="AC13" s="130"/>
      <c r="AD13" s="130"/>
      <c r="AE13" s="130"/>
    </row>
    <row r="14" spans="1:31">
      <c r="D14" s="130"/>
      <c r="E14" s="130"/>
      <c r="F14" s="141" t="s">
        <v>76</v>
      </c>
      <c r="G14" s="379">
        <f>G8-G12</f>
        <v>-2968.6622772574265</v>
      </c>
      <c r="H14" s="130"/>
      <c r="I14" s="141" t="s">
        <v>83</v>
      </c>
      <c r="J14" s="363">
        <f>14600+1650</f>
        <v>16250</v>
      </c>
      <c r="N14" s="130"/>
      <c r="O14" s="130"/>
      <c r="P14" s="130"/>
      <c r="Q14" s="130"/>
      <c r="R14" s="130"/>
      <c r="S14" s="130"/>
      <c r="T14" s="130"/>
      <c r="U14" s="130"/>
      <c r="V14" s="130"/>
      <c r="W14" s="130"/>
      <c r="X14" s="130"/>
      <c r="Y14" s="130"/>
      <c r="Z14" s="130"/>
      <c r="AA14" s="130"/>
      <c r="AB14" s="130"/>
      <c r="AC14" s="130"/>
      <c r="AD14" s="130"/>
      <c r="AE14" s="130"/>
    </row>
    <row r="15" spans="1:31">
      <c r="E15" s="135"/>
      <c r="F15" s="135"/>
      <c r="I15" s="144" t="s">
        <v>85</v>
      </c>
      <c r="J15" s="364">
        <f>J14-J13</f>
        <v>3590</v>
      </c>
      <c r="N15" s="130"/>
      <c r="O15" s="130"/>
      <c r="P15" s="130"/>
      <c r="Q15" s="130"/>
      <c r="R15" s="130"/>
      <c r="S15" s="130"/>
      <c r="T15" s="130"/>
      <c r="U15" s="130"/>
      <c r="V15" s="130"/>
      <c r="W15" s="130"/>
      <c r="X15" s="130"/>
      <c r="Y15" s="130"/>
      <c r="Z15" s="130"/>
      <c r="AA15" s="130"/>
      <c r="AB15" s="130"/>
      <c r="AC15" s="130"/>
      <c r="AD15" s="130"/>
      <c r="AE15" s="130"/>
    </row>
    <row r="16" spans="1:31">
      <c r="E16" s="72"/>
      <c r="F16" s="72"/>
      <c r="I16" s="138"/>
      <c r="J16" s="377"/>
      <c r="N16" s="130"/>
      <c r="O16" s="130"/>
      <c r="P16" s="130"/>
      <c r="Q16" s="130"/>
      <c r="R16" s="130"/>
      <c r="S16" s="130"/>
      <c r="T16" s="130"/>
      <c r="U16" s="130"/>
      <c r="V16" s="130"/>
      <c r="W16" s="130"/>
      <c r="X16" s="130"/>
      <c r="Y16" s="130"/>
      <c r="Z16" s="130"/>
      <c r="AA16" s="130"/>
      <c r="AB16" s="130"/>
      <c r="AC16" s="130"/>
      <c r="AD16" s="130"/>
      <c r="AE16" s="130"/>
    </row>
    <row r="17" spans="1:31">
      <c r="E17" s="137"/>
      <c r="F17" s="137"/>
      <c r="I17" s="141" t="s">
        <v>84</v>
      </c>
      <c r="J17" s="379">
        <f>J9-J11+J15</f>
        <v>445.86572274257378</v>
      </c>
      <c r="K17" s="130"/>
      <c r="N17" s="130"/>
      <c r="O17" s="130"/>
      <c r="P17" s="130"/>
      <c r="Q17" s="130"/>
      <c r="R17" s="130"/>
      <c r="S17" s="130"/>
      <c r="T17" s="130"/>
      <c r="U17" s="130"/>
      <c r="V17" s="130"/>
      <c r="W17" s="130"/>
      <c r="X17" s="130"/>
      <c r="Y17" s="130"/>
      <c r="Z17" s="130"/>
      <c r="AA17" s="130"/>
      <c r="AB17" s="130"/>
      <c r="AC17" s="130"/>
      <c r="AD17" s="130"/>
      <c r="AE17" s="130"/>
    </row>
    <row r="18" spans="1:31">
      <c r="A18" s="132"/>
      <c r="G18" s="159"/>
      <c r="H18" s="160"/>
      <c r="I18" s="160"/>
      <c r="J18" s="130"/>
      <c r="K18" s="130"/>
      <c r="L18" s="130"/>
      <c r="M18" s="130"/>
      <c r="N18" s="130"/>
      <c r="O18" s="130"/>
      <c r="P18" s="130"/>
      <c r="Q18" s="130"/>
      <c r="R18" s="130"/>
      <c r="S18" s="130"/>
      <c r="T18" s="130"/>
      <c r="U18" s="130"/>
      <c r="V18" s="130"/>
      <c r="W18" s="130"/>
      <c r="X18" s="130"/>
      <c r="Y18" s="130"/>
      <c r="Z18" s="130"/>
      <c r="AA18" s="130"/>
      <c r="AB18" s="130"/>
      <c r="AC18" s="130"/>
      <c r="AD18" s="130"/>
      <c r="AE18" s="130"/>
    </row>
    <row r="19" spans="1:31">
      <c r="G19" s="47"/>
      <c r="H19" s="47"/>
      <c r="I19" s="134"/>
      <c r="J19" s="130"/>
      <c r="K19" s="130"/>
      <c r="L19" s="130"/>
      <c r="M19" s="130"/>
      <c r="N19" s="130"/>
      <c r="O19" s="130"/>
      <c r="P19" s="130"/>
      <c r="Q19" s="130"/>
      <c r="R19" s="130"/>
      <c r="S19" s="130"/>
      <c r="T19" s="130"/>
      <c r="U19" s="130"/>
      <c r="V19" s="130"/>
      <c r="W19" s="130"/>
      <c r="X19" s="130"/>
      <c r="Y19" s="130"/>
      <c r="Z19" s="130"/>
      <c r="AA19" s="130"/>
      <c r="AB19" s="130"/>
      <c r="AC19" s="130"/>
      <c r="AD19" s="130"/>
      <c r="AE19" s="130"/>
    </row>
    <row r="20" spans="1:31">
      <c r="A20" s="132"/>
      <c r="G20" s="92"/>
      <c r="H20" s="92"/>
      <c r="I20" s="154"/>
      <c r="J20" s="130"/>
      <c r="K20" s="130"/>
      <c r="L20" s="130"/>
      <c r="M20" s="130"/>
      <c r="N20" s="130"/>
      <c r="O20" s="130"/>
      <c r="P20" s="130"/>
      <c r="Q20" s="130"/>
      <c r="R20" s="130"/>
      <c r="S20" s="130"/>
      <c r="T20" s="130"/>
      <c r="U20" s="130"/>
      <c r="V20" s="130"/>
      <c r="W20" s="130"/>
      <c r="X20" s="130"/>
      <c r="Y20" s="130"/>
      <c r="Z20" s="130"/>
      <c r="AA20" s="130"/>
      <c r="AB20" s="130"/>
      <c r="AC20" s="130"/>
      <c r="AD20" s="130"/>
      <c r="AE20" s="130"/>
    </row>
    <row r="21" spans="1:31">
      <c r="G21" s="92"/>
      <c r="H21" s="92"/>
      <c r="I21" s="154"/>
      <c r="J21" s="130"/>
      <c r="K21" s="130"/>
      <c r="L21" s="130"/>
      <c r="M21" s="130"/>
      <c r="N21" s="130"/>
      <c r="O21" s="130"/>
      <c r="P21" s="130"/>
      <c r="Q21" s="130"/>
      <c r="R21" s="130"/>
      <c r="S21" s="130"/>
      <c r="T21" s="130"/>
      <c r="U21" s="130"/>
      <c r="V21" s="130"/>
      <c r="W21" s="130"/>
      <c r="X21" s="130"/>
      <c r="Y21" s="130"/>
      <c r="Z21" s="130"/>
      <c r="AA21" s="130"/>
      <c r="AB21" s="130"/>
      <c r="AC21" s="130"/>
      <c r="AD21" s="130"/>
      <c r="AE21" s="130"/>
    </row>
    <row r="22" spans="1:31">
      <c r="E22" s="156"/>
      <c r="G22" s="92"/>
      <c r="H22" s="92"/>
      <c r="I22" s="154"/>
      <c r="J22" s="130"/>
      <c r="K22" s="130"/>
      <c r="L22" s="130"/>
      <c r="M22" s="130"/>
      <c r="N22" s="130"/>
      <c r="O22" s="130"/>
      <c r="P22" s="130"/>
      <c r="Q22" s="130"/>
      <c r="R22" s="130"/>
      <c r="S22" s="130"/>
      <c r="T22" s="130"/>
      <c r="U22" s="130"/>
      <c r="V22" s="130"/>
      <c r="W22" s="130"/>
      <c r="X22" s="130"/>
      <c r="Y22" s="130"/>
      <c r="Z22" s="130"/>
      <c r="AA22" s="130"/>
      <c r="AB22" s="130"/>
      <c r="AC22" s="130"/>
      <c r="AD22" s="130"/>
      <c r="AE22" s="130"/>
    </row>
    <row r="23" spans="1:31">
      <c r="F23" s="162"/>
      <c r="G23" s="92"/>
      <c r="H23" s="92"/>
      <c r="I23" s="154"/>
      <c r="J23" s="130"/>
      <c r="K23" s="130"/>
      <c r="L23" s="130"/>
      <c r="M23" s="130"/>
      <c r="N23" s="130"/>
      <c r="O23" s="130"/>
      <c r="P23" s="130"/>
      <c r="Q23" s="130"/>
      <c r="R23" s="130"/>
      <c r="S23" s="130"/>
      <c r="T23" s="130"/>
      <c r="U23" s="130"/>
      <c r="V23" s="130"/>
      <c r="W23" s="130"/>
      <c r="X23" s="130"/>
      <c r="Y23" s="130"/>
      <c r="Z23" s="130"/>
      <c r="AA23" s="130"/>
      <c r="AB23" s="130"/>
      <c r="AC23" s="130"/>
      <c r="AD23" s="130"/>
      <c r="AE23" s="130"/>
    </row>
    <row r="24" spans="1:31">
      <c r="G24" s="92"/>
      <c r="H24" s="92"/>
      <c r="I24" s="154"/>
      <c r="J24" s="130"/>
      <c r="K24" s="130"/>
      <c r="L24" s="130"/>
      <c r="M24" s="130"/>
      <c r="N24" s="130"/>
      <c r="O24" s="130"/>
      <c r="P24" s="130"/>
      <c r="Q24" s="130"/>
      <c r="R24" s="130"/>
      <c r="S24" s="130"/>
      <c r="T24" s="130"/>
      <c r="U24" s="130"/>
      <c r="V24" s="130"/>
      <c r="W24" s="130"/>
      <c r="X24" s="130"/>
      <c r="Y24" s="130"/>
      <c r="Z24" s="130"/>
      <c r="AA24" s="130"/>
      <c r="AB24" s="130"/>
      <c r="AC24" s="130"/>
      <c r="AD24" s="130"/>
      <c r="AE24" s="130"/>
    </row>
    <row r="25" spans="1:31">
      <c r="G25" s="92"/>
      <c r="H25" s="92"/>
      <c r="I25" s="154"/>
      <c r="J25" s="130"/>
      <c r="K25" s="130"/>
      <c r="L25" s="130"/>
      <c r="M25" s="130"/>
      <c r="N25" s="130"/>
      <c r="O25" s="130"/>
      <c r="P25" s="130"/>
      <c r="Q25" s="130"/>
      <c r="R25" s="130"/>
      <c r="S25" s="130"/>
      <c r="T25" s="130"/>
      <c r="U25" s="130"/>
      <c r="V25" s="130"/>
      <c r="W25" s="130"/>
      <c r="X25" s="130"/>
      <c r="Y25" s="130"/>
      <c r="Z25" s="130"/>
      <c r="AA25" s="130"/>
      <c r="AB25" s="130"/>
      <c r="AC25" s="130"/>
      <c r="AD25" s="130"/>
      <c r="AE25" s="130"/>
    </row>
    <row r="26" spans="1:31">
      <c r="G26" s="92"/>
      <c r="H26" s="92"/>
      <c r="I26" s="154"/>
      <c r="J26" s="130"/>
      <c r="K26" s="130"/>
      <c r="L26" s="130"/>
      <c r="M26" s="130"/>
      <c r="N26" s="130"/>
      <c r="O26" s="130"/>
      <c r="P26" s="130"/>
      <c r="Q26" s="130"/>
      <c r="R26" s="130"/>
      <c r="S26" s="130"/>
      <c r="T26" s="130"/>
      <c r="U26" s="130"/>
      <c r="V26" s="130"/>
      <c r="W26" s="130"/>
      <c r="X26" s="130"/>
      <c r="Y26" s="130"/>
      <c r="Z26" s="130"/>
      <c r="AA26" s="130"/>
      <c r="AB26" s="130"/>
      <c r="AC26" s="130"/>
      <c r="AD26" s="130"/>
      <c r="AE26" s="130"/>
    </row>
    <row r="27" spans="1:31">
      <c r="G27" s="92"/>
      <c r="H27" s="92"/>
      <c r="I27" s="154"/>
      <c r="J27" s="130"/>
      <c r="K27" s="130"/>
      <c r="L27" s="130"/>
      <c r="M27" s="130"/>
      <c r="N27" s="130"/>
      <c r="O27" s="130"/>
      <c r="P27" s="130"/>
      <c r="Q27" s="130"/>
      <c r="R27" s="130"/>
      <c r="S27" s="130"/>
      <c r="T27" s="130"/>
      <c r="U27" s="130"/>
      <c r="V27" s="130"/>
      <c r="W27" s="130"/>
      <c r="X27" s="130"/>
      <c r="Y27" s="130"/>
      <c r="Z27" s="130"/>
      <c r="AA27" s="130"/>
      <c r="AB27" s="130"/>
      <c r="AC27" s="130"/>
      <c r="AD27" s="130"/>
      <c r="AE27" s="130"/>
    </row>
    <row r="28" spans="1:31">
      <c r="G28" s="158"/>
      <c r="H28" s="158"/>
      <c r="I28" s="157"/>
      <c r="J28" s="130"/>
      <c r="K28" s="130"/>
      <c r="L28" s="130"/>
      <c r="M28" s="130"/>
      <c r="N28" s="130"/>
      <c r="O28" s="130"/>
      <c r="P28" s="130"/>
      <c r="Q28" s="130"/>
      <c r="R28" s="130"/>
      <c r="S28" s="130"/>
      <c r="T28" s="130"/>
      <c r="U28" s="130"/>
      <c r="V28" s="130"/>
      <c r="W28" s="130"/>
      <c r="X28" s="130"/>
      <c r="Y28" s="130"/>
      <c r="Z28" s="130"/>
      <c r="AA28" s="130"/>
      <c r="AB28" s="130"/>
      <c r="AC28" s="130"/>
      <c r="AD28" s="130"/>
      <c r="AE28" s="130"/>
    </row>
    <row r="29" spans="1:31">
      <c r="J29" s="130"/>
      <c r="K29" s="130"/>
      <c r="L29" s="130"/>
      <c r="M29" s="130"/>
      <c r="N29" s="130"/>
      <c r="O29" s="130"/>
      <c r="P29" s="130"/>
      <c r="Q29" s="130"/>
      <c r="R29" s="130"/>
      <c r="S29" s="130"/>
      <c r="T29" s="130"/>
      <c r="U29" s="130"/>
      <c r="V29" s="130"/>
      <c r="W29" s="130"/>
      <c r="X29" s="130"/>
      <c r="Y29" s="130"/>
      <c r="Z29" s="130"/>
      <c r="AA29" s="130"/>
      <c r="AB29" s="130"/>
      <c r="AC29" s="130"/>
      <c r="AD29" s="130"/>
      <c r="AE29" s="130"/>
    </row>
    <row r="30" spans="1:31" ht="14.25" customHeight="1">
      <c r="J30" s="130"/>
      <c r="K30" s="130"/>
      <c r="L30" s="130"/>
      <c r="M30" s="130"/>
      <c r="N30" s="130"/>
      <c r="O30" s="130"/>
      <c r="P30" s="130"/>
      <c r="Q30" s="130"/>
      <c r="R30" s="130"/>
      <c r="S30" s="130"/>
      <c r="T30" s="130"/>
      <c r="U30" s="130"/>
      <c r="V30" s="130"/>
      <c r="W30" s="130"/>
      <c r="X30" s="130"/>
      <c r="Y30" s="130"/>
      <c r="Z30" s="130"/>
      <c r="AA30" s="130"/>
      <c r="AB30" s="130"/>
      <c r="AC30" s="130"/>
      <c r="AD30" s="130"/>
      <c r="AE30" s="130"/>
    </row>
    <row r="31" spans="1:31">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row>
    <row r="32" spans="1:31">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row>
    <row r="33" spans="7:31">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row>
    <row r="34" spans="7:31">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row>
    <row r="35" spans="7:31">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row>
    <row r="36" spans="7:31">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row>
    <row r="37" spans="7:31">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row>
    <row r="38" spans="7:31">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5" t="s">
        <v>115</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54"/>
  <sheetViews>
    <sheetView workbookViewId="0"/>
  </sheetViews>
  <sheetFormatPr defaultRowHeight="12"/>
  <cols>
    <col min="1" max="1" width="2" style="125" customWidth="1"/>
    <col min="2" max="2" width="29.28515625" style="125" customWidth="1"/>
    <col min="3" max="3" width="10.140625" style="125" bestFit="1" customWidth="1"/>
    <col min="4" max="4" width="9.5703125" style="125" customWidth="1"/>
    <col min="5" max="5" width="29" style="125" customWidth="1"/>
    <col min="6" max="6" width="10.140625" style="125" customWidth="1" collapsed="1"/>
    <col min="7" max="7" width="13" style="125" customWidth="1"/>
    <col min="8" max="8" width="10.5703125" style="125" customWidth="1"/>
    <col min="9" max="9" width="10.28515625" style="125" customWidth="1"/>
    <col min="10" max="10" width="9.28515625" style="125" customWidth="1"/>
    <col min="11" max="11" width="9.7109375" style="125" customWidth="1"/>
    <col min="12" max="12" width="9.85546875" style="125" bestFit="1" customWidth="1"/>
    <col min="13" max="13" width="11.85546875" style="125" customWidth="1"/>
    <col min="14" max="14" width="9.28515625" style="125" customWidth="1"/>
    <col min="15" max="25" width="9.140625" style="125" customWidth="1"/>
    <col min="26" max="26" width="9.28515625" style="125" customWidth="1"/>
    <col min="27" max="27" width="9.42578125" style="125" customWidth="1"/>
    <col min="28" max="28" width="10" style="125" customWidth="1"/>
    <col min="29" max="29" width="11.42578125" style="125" customWidth="1"/>
    <col min="30" max="30" width="9.42578125" style="125" bestFit="1" customWidth="1" collapsed="1"/>
    <col min="31" max="16384" width="9.140625" style="125"/>
  </cols>
  <sheetData>
    <row r="1" spans="1:31" s="124" customFormat="1" ht="15" customHeight="1">
      <c r="B1" s="17" t="s">
        <v>102</v>
      </c>
      <c r="C1" s="123"/>
      <c r="D1" s="123"/>
      <c r="E1" s="123"/>
      <c r="F1" s="123"/>
      <c r="G1" s="123"/>
      <c r="H1" s="123"/>
      <c r="I1" s="123"/>
      <c r="J1" s="123"/>
      <c r="K1" s="123"/>
    </row>
    <row r="2" spans="1:31" ht="12" customHeight="1">
      <c r="C2" s="148"/>
    </row>
    <row r="3" spans="1:31" ht="12" customHeight="1">
      <c r="A3" s="127"/>
      <c r="B3" s="151" t="s">
        <v>77</v>
      </c>
      <c r="C3" s="363">
        <f>'FCFF &amp; FCFE'!G12</f>
        <v>2643.0468340321136</v>
      </c>
      <c r="E3" s="486" t="s">
        <v>216</v>
      </c>
      <c r="F3" s="486"/>
      <c r="G3" s="486"/>
      <c r="H3" s="486"/>
      <c r="I3" s="486"/>
      <c r="K3" s="115"/>
      <c r="L3" s="115"/>
      <c r="M3" s="115"/>
      <c r="N3" s="115"/>
      <c r="O3" s="115"/>
    </row>
    <row r="4" spans="1:31" ht="12" customHeight="1">
      <c r="A4" s="132"/>
      <c r="B4" s="141" t="s">
        <v>164</v>
      </c>
      <c r="C4" s="363">
        <f>'FCFF &amp; FCFE'!G8</f>
        <v>-325.61544322531279</v>
      </c>
      <c r="E4" s="254" t="s">
        <v>170</v>
      </c>
      <c r="F4" s="254" t="s">
        <v>41</v>
      </c>
      <c r="G4" s="227" t="s">
        <v>129</v>
      </c>
      <c r="H4" s="227" t="s">
        <v>166</v>
      </c>
      <c r="I4" s="227" t="s">
        <v>45</v>
      </c>
      <c r="J4" s="115"/>
      <c r="K4" s="47"/>
      <c r="L4" s="47"/>
      <c r="M4" s="328"/>
      <c r="N4" s="328"/>
      <c r="O4" s="328"/>
      <c r="P4" s="129"/>
      <c r="Q4" s="129"/>
      <c r="R4" s="129"/>
      <c r="S4" s="129"/>
      <c r="T4" s="129"/>
      <c r="U4" s="129"/>
      <c r="Z4" s="129"/>
    </row>
    <row r="5" spans="1:31" ht="12" customHeight="1">
      <c r="A5" s="132"/>
      <c r="B5" s="260" t="s">
        <v>106</v>
      </c>
      <c r="C5" s="261">
        <f>C3/C4</f>
        <v>-8.117080712917021</v>
      </c>
      <c r="E5" s="67" t="s">
        <v>217</v>
      </c>
      <c r="F5" s="67" t="s">
        <v>218</v>
      </c>
      <c r="G5" s="253">
        <v>-4.5821108702592799</v>
      </c>
      <c r="H5" s="68">
        <v>-0.16109999999999999</v>
      </c>
      <c r="I5" s="253">
        <v>0.26</v>
      </c>
      <c r="J5" s="47"/>
      <c r="K5" s="408"/>
      <c r="L5" s="408"/>
      <c r="M5" s="182"/>
      <c r="N5" s="93"/>
      <c r="O5" s="182"/>
      <c r="P5" s="130"/>
      <c r="Q5" s="325"/>
      <c r="R5" s="325"/>
      <c r="S5" s="130"/>
      <c r="T5" s="130"/>
      <c r="U5" s="130"/>
      <c r="V5" s="130"/>
      <c r="W5" s="130"/>
      <c r="X5" s="130"/>
      <c r="Y5" s="130"/>
      <c r="Z5" s="130"/>
      <c r="AA5" s="130"/>
      <c r="AB5" s="130"/>
      <c r="AC5" s="130"/>
    </row>
    <row r="6" spans="1:31" ht="12" customHeight="1">
      <c r="A6" s="132"/>
      <c r="E6" s="67" t="s">
        <v>219</v>
      </c>
      <c r="F6" s="277" t="s">
        <v>220</v>
      </c>
      <c r="G6" s="105">
        <v>12.412164823511588</v>
      </c>
      <c r="H6" s="287">
        <v>-0.24809999999999999</v>
      </c>
      <c r="I6" s="286">
        <v>0.33</v>
      </c>
      <c r="J6" s="92"/>
      <c r="K6" s="408"/>
      <c r="L6" s="408"/>
      <c r="M6" s="182"/>
      <c r="N6" s="395"/>
      <c r="O6" s="396"/>
      <c r="P6" s="130"/>
      <c r="Q6" s="325"/>
      <c r="R6" s="325"/>
      <c r="S6" s="130"/>
      <c r="T6" s="130"/>
      <c r="U6" s="130"/>
      <c r="V6" s="130"/>
      <c r="W6" s="130"/>
      <c r="X6" s="130"/>
      <c r="Y6" s="130"/>
      <c r="Z6" s="130"/>
      <c r="AA6" s="130"/>
      <c r="AB6" s="130"/>
      <c r="AC6" s="130"/>
    </row>
    <row r="7" spans="1:31" ht="12" customHeight="1">
      <c r="B7" s="141" t="s">
        <v>164</v>
      </c>
      <c r="C7" s="363">
        <f>'FCFF &amp; FCFE'!G8</f>
        <v>-325.61544322531279</v>
      </c>
      <c r="E7" s="67" t="s">
        <v>221</v>
      </c>
      <c r="F7" s="277" t="s">
        <v>222</v>
      </c>
      <c r="G7" s="253">
        <v>2.9101677305012568</v>
      </c>
      <c r="H7" s="68">
        <v>9.01E-2</v>
      </c>
      <c r="I7" s="253">
        <v>0.94</v>
      </c>
      <c r="J7" s="92"/>
      <c r="K7" s="408"/>
      <c r="L7" s="408"/>
      <c r="M7" s="182"/>
      <c r="N7" s="93"/>
      <c r="O7" s="182"/>
      <c r="P7" s="130"/>
      <c r="Q7" s="325"/>
      <c r="R7" s="325"/>
      <c r="S7" s="130"/>
      <c r="T7" s="130"/>
      <c r="U7" s="130"/>
      <c r="V7" s="130"/>
      <c r="W7" s="130"/>
      <c r="X7" s="130"/>
      <c r="Y7" s="130"/>
      <c r="Z7" s="130"/>
      <c r="AA7" s="130"/>
      <c r="AB7" s="130"/>
      <c r="AC7" s="130"/>
    </row>
    <row r="8" spans="1:31" ht="12" customHeight="1">
      <c r="A8" s="132"/>
      <c r="B8" s="141" t="s">
        <v>113</v>
      </c>
      <c r="C8" s="363">
        <f>WACC!F8+WACC!F9-(1047+150)</f>
        <v>6992</v>
      </c>
      <c r="E8" s="67" t="s">
        <v>223</v>
      </c>
      <c r="F8" s="277" t="s">
        <v>224</v>
      </c>
      <c r="G8" s="105">
        <v>1.5846357302734753</v>
      </c>
      <c r="H8" s="288">
        <v>-0.13139999999999999</v>
      </c>
      <c r="I8" s="285">
        <v>0.33</v>
      </c>
      <c r="J8" s="92"/>
      <c r="K8" s="408"/>
      <c r="L8" s="408"/>
      <c r="M8" s="182"/>
      <c r="N8" s="397"/>
      <c r="O8" s="398"/>
      <c r="P8" s="130"/>
      <c r="Q8" s="325"/>
      <c r="R8" s="325"/>
      <c r="S8" s="130"/>
      <c r="T8" s="130"/>
      <c r="U8" s="130"/>
      <c r="V8" s="130"/>
      <c r="W8" s="130"/>
      <c r="X8" s="130"/>
      <c r="Y8" s="130"/>
      <c r="Z8" s="130"/>
      <c r="AA8" s="130"/>
      <c r="AB8" s="130"/>
      <c r="AC8" s="130"/>
    </row>
    <row r="9" spans="1:31" ht="12" customHeight="1">
      <c r="A9" s="132"/>
      <c r="B9" s="258" t="s">
        <v>107</v>
      </c>
      <c r="C9" s="262">
        <f>C7/C8</f>
        <v>-4.656971442009622E-2</v>
      </c>
      <c r="E9" s="67" t="s">
        <v>226</v>
      </c>
      <c r="F9" s="277" t="s">
        <v>225</v>
      </c>
      <c r="G9" s="105">
        <v>0.73682035655959344</v>
      </c>
      <c r="H9" s="68">
        <v>-0.25009999999999999</v>
      </c>
      <c r="I9" s="253">
        <v>1.94</v>
      </c>
      <c r="J9" s="92"/>
      <c r="K9" s="408"/>
      <c r="L9" s="408"/>
      <c r="M9" s="182"/>
      <c r="N9" s="93"/>
      <c r="O9" s="182"/>
      <c r="P9" s="130"/>
      <c r="Q9" s="325"/>
      <c r="R9" s="325"/>
      <c r="S9" s="130"/>
      <c r="T9" s="130"/>
      <c r="U9" s="130"/>
      <c r="V9" s="130"/>
      <c r="W9" s="130"/>
      <c r="X9" s="130"/>
      <c r="Y9" s="130"/>
      <c r="Z9" s="130"/>
      <c r="AA9" s="130"/>
      <c r="AB9" s="130"/>
      <c r="AC9" s="130"/>
    </row>
    <row r="10" spans="1:31">
      <c r="A10" s="128"/>
      <c r="E10" s="67" t="s">
        <v>228</v>
      </c>
      <c r="F10" s="67" t="s">
        <v>227</v>
      </c>
      <c r="G10" s="105">
        <v>3.7798663443765106</v>
      </c>
      <c r="H10" s="68">
        <v>7.8700000000000006E-2</v>
      </c>
      <c r="I10" s="253">
        <v>0.4</v>
      </c>
      <c r="J10" s="92"/>
      <c r="K10" s="408"/>
      <c r="L10" s="408"/>
      <c r="M10" s="182"/>
      <c r="N10" s="93"/>
      <c r="O10" s="182"/>
      <c r="P10" s="130"/>
      <c r="Q10" s="325"/>
      <c r="R10" s="325"/>
      <c r="S10" s="130"/>
      <c r="T10" s="130"/>
      <c r="U10" s="130"/>
      <c r="V10" s="130"/>
      <c r="W10" s="130"/>
      <c r="X10" s="130"/>
      <c r="Y10" s="130"/>
      <c r="Z10" s="130"/>
      <c r="AA10" s="130"/>
      <c r="AB10" s="130"/>
      <c r="AC10" s="130"/>
    </row>
    <row r="11" spans="1:31">
      <c r="A11" s="132"/>
      <c r="B11" s="141" t="s">
        <v>102</v>
      </c>
      <c r="C11" s="52">
        <f>C5*C9</f>
        <v>0.37801013072541673</v>
      </c>
      <c r="E11" s="67" t="s">
        <v>230</v>
      </c>
      <c r="F11" s="67" t="s">
        <v>229</v>
      </c>
      <c r="G11" s="105">
        <v>-1.4833514882778149</v>
      </c>
      <c r="H11" s="68">
        <v>6.8699999999999997E-2</v>
      </c>
      <c r="I11" s="253">
        <v>2</v>
      </c>
      <c r="J11" s="92"/>
      <c r="K11" s="408"/>
      <c r="L11" s="408"/>
      <c r="M11" s="182"/>
      <c r="N11" s="93"/>
      <c r="O11" s="182"/>
      <c r="P11" s="130"/>
      <c r="Q11" s="325"/>
      <c r="R11" s="325"/>
      <c r="S11" s="130"/>
      <c r="T11" s="130"/>
      <c r="U11" s="130"/>
      <c r="V11" s="130"/>
      <c r="W11" s="130"/>
      <c r="X11" s="130"/>
      <c r="Y11" s="130"/>
      <c r="Z11" s="130"/>
      <c r="AA11" s="130"/>
      <c r="AB11" s="130"/>
      <c r="AC11" s="130"/>
    </row>
    <row r="12" spans="1:31">
      <c r="B12" s="130"/>
      <c r="E12" s="67" t="s">
        <v>232</v>
      </c>
      <c r="F12" s="67" t="s">
        <v>231</v>
      </c>
      <c r="G12" s="105">
        <v>1.2785135849540226</v>
      </c>
      <c r="H12" s="68">
        <v>9.6000000000000002E-2</v>
      </c>
      <c r="I12" s="253">
        <v>0.75</v>
      </c>
      <c r="J12" s="92"/>
      <c r="K12" s="408"/>
      <c r="L12" s="408"/>
      <c r="M12" s="182"/>
      <c r="N12" s="93"/>
      <c r="O12" s="182"/>
      <c r="P12" s="130"/>
      <c r="Q12" s="325"/>
      <c r="R12" s="325"/>
      <c r="S12" s="130"/>
      <c r="T12" s="130"/>
      <c r="U12" s="130"/>
      <c r="V12" s="130"/>
      <c r="W12" s="130"/>
      <c r="X12" s="130"/>
      <c r="Y12" s="130"/>
      <c r="Z12" s="130"/>
      <c r="AA12" s="130"/>
      <c r="AB12" s="130"/>
      <c r="AC12" s="130"/>
    </row>
    <row r="13" spans="1:31">
      <c r="A13" s="132"/>
      <c r="B13" s="128"/>
      <c r="C13" s="161"/>
      <c r="E13" s="67" t="s">
        <v>234</v>
      </c>
      <c r="F13" s="277" t="s">
        <v>233</v>
      </c>
      <c r="G13" s="310">
        <v>1.0922215435162852</v>
      </c>
      <c r="H13" s="68">
        <v>-0.43330000000000002</v>
      </c>
      <c r="I13" s="105">
        <v>0.72</v>
      </c>
      <c r="J13" s="92"/>
      <c r="K13" s="408"/>
      <c r="L13" s="408"/>
      <c r="M13" s="182"/>
      <c r="N13" s="93"/>
      <c r="O13" s="178"/>
      <c r="P13" s="130"/>
      <c r="Q13" s="325"/>
      <c r="R13" s="325"/>
      <c r="S13" s="130"/>
      <c r="T13" s="130"/>
      <c r="U13" s="130"/>
      <c r="V13" s="130"/>
      <c r="W13" s="130"/>
      <c r="X13" s="130"/>
      <c r="Y13" s="130"/>
      <c r="Z13" s="130"/>
      <c r="AA13" s="130"/>
      <c r="AB13" s="130"/>
      <c r="AC13" s="130"/>
    </row>
    <row r="14" spans="1:31">
      <c r="D14" s="130"/>
      <c r="E14" s="67" t="s">
        <v>236</v>
      </c>
      <c r="F14" s="277" t="s">
        <v>235</v>
      </c>
      <c r="G14" s="105">
        <v>0.43213137342118119</v>
      </c>
      <c r="H14" s="68">
        <v>0.1696</v>
      </c>
      <c r="I14" s="105">
        <v>4.63</v>
      </c>
      <c r="J14" s="92"/>
      <c r="K14" s="408"/>
      <c r="L14" s="408"/>
      <c r="M14" s="182"/>
      <c r="N14" s="93"/>
      <c r="O14" s="178"/>
      <c r="P14" s="130"/>
      <c r="Q14" s="325"/>
      <c r="R14" s="325"/>
      <c r="S14" s="130"/>
      <c r="T14" s="130"/>
      <c r="U14" s="130"/>
      <c r="V14" s="130"/>
      <c r="W14" s="130"/>
      <c r="X14" s="130"/>
      <c r="Y14" s="130"/>
      <c r="Z14" s="130"/>
      <c r="AA14" s="130"/>
      <c r="AB14" s="130"/>
      <c r="AC14" s="130"/>
    </row>
    <row r="15" spans="1:31">
      <c r="E15" s="67" t="s">
        <v>238</v>
      </c>
      <c r="F15" s="67" t="s">
        <v>237</v>
      </c>
      <c r="G15" s="310">
        <v>3.3906331823045925</v>
      </c>
      <c r="H15" s="68">
        <v>7.0699999999999999E-2</v>
      </c>
      <c r="I15" s="105">
        <v>0.35</v>
      </c>
      <c r="J15" s="92"/>
      <c r="K15" s="408"/>
      <c r="L15" s="408"/>
      <c r="M15" s="182"/>
      <c r="N15" s="93"/>
      <c r="O15" s="178"/>
      <c r="P15" s="130"/>
      <c r="Q15" s="325"/>
      <c r="R15" s="325"/>
      <c r="S15" s="130"/>
      <c r="T15" s="130"/>
      <c r="U15" s="130"/>
      <c r="V15" s="130"/>
      <c r="W15" s="130"/>
      <c r="X15" s="130"/>
      <c r="Y15" s="130"/>
      <c r="Z15" s="130"/>
      <c r="AA15" s="130"/>
      <c r="AB15" s="130"/>
      <c r="AC15" s="130"/>
    </row>
    <row r="16" spans="1:31">
      <c r="E16" s="67" t="s">
        <v>240</v>
      </c>
      <c r="F16" s="277" t="s">
        <v>239</v>
      </c>
      <c r="G16" s="309" t="s">
        <v>162</v>
      </c>
      <c r="H16" s="68">
        <v>-0.72509999999999997</v>
      </c>
      <c r="I16" s="105">
        <v>0.44</v>
      </c>
      <c r="J16" s="175"/>
      <c r="K16" s="408"/>
      <c r="L16" s="338"/>
      <c r="M16" s="182"/>
      <c r="N16" s="93"/>
      <c r="O16" s="178"/>
      <c r="P16" s="130"/>
      <c r="Q16" s="325"/>
      <c r="R16" s="325"/>
      <c r="S16" s="130"/>
      <c r="T16" s="130"/>
      <c r="U16" s="130"/>
      <c r="V16" s="130"/>
      <c r="W16" s="130"/>
      <c r="X16" s="130"/>
      <c r="Y16" s="130"/>
      <c r="Z16" s="130"/>
      <c r="AA16" s="130"/>
      <c r="AB16" s="130"/>
      <c r="AC16" s="130"/>
      <c r="AD16" s="130"/>
      <c r="AE16" s="130"/>
    </row>
    <row r="17" spans="1:31">
      <c r="E17" s="67" t="s">
        <v>242</v>
      </c>
      <c r="F17" s="67" t="s">
        <v>241</v>
      </c>
      <c r="G17" s="105">
        <v>0.36418563648337404</v>
      </c>
      <c r="H17" s="68">
        <v>3.5999999999999997E-2</v>
      </c>
      <c r="I17" s="253">
        <v>4.2699999999999996</v>
      </c>
      <c r="J17" s="175"/>
      <c r="K17" s="408"/>
      <c r="L17" s="408"/>
      <c r="M17" s="182"/>
      <c r="N17" s="93"/>
      <c r="O17" s="182"/>
      <c r="P17" s="130"/>
      <c r="Q17" s="325"/>
      <c r="R17" s="325"/>
      <c r="S17" s="130"/>
      <c r="T17" s="130"/>
      <c r="U17" s="130"/>
      <c r="V17" s="130"/>
      <c r="W17" s="130"/>
      <c r="X17" s="130"/>
      <c r="Y17" s="130"/>
      <c r="Z17" s="130"/>
      <c r="AA17" s="130"/>
      <c r="AB17" s="130"/>
      <c r="AC17" s="130"/>
      <c r="AD17" s="130"/>
      <c r="AE17" s="130"/>
    </row>
    <row r="18" spans="1:31">
      <c r="A18" s="132"/>
      <c r="E18" s="54" t="s">
        <v>244</v>
      </c>
      <c r="F18" s="277" t="s">
        <v>243</v>
      </c>
      <c r="G18" s="105">
        <v>1.406309054982452</v>
      </c>
      <c r="H18" s="68">
        <v>3.2800000000000003E-2</v>
      </c>
      <c r="I18" s="105">
        <v>0.88</v>
      </c>
      <c r="K18" s="327"/>
      <c r="L18" s="408"/>
      <c r="M18" s="182"/>
      <c r="N18" s="93"/>
      <c r="O18" s="178"/>
      <c r="P18" s="130"/>
      <c r="Q18" s="325"/>
      <c r="R18" s="325"/>
      <c r="S18" s="130"/>
      <c r="T18" s="130"/>
      <c r="U18" s="130"/>
      <c r="V18" s="130"/>
      <c r="W18" s="130"/>
      <c r="X18" s="130"/>
      <c r="Y18" s="130"/>
      <c r="Z18" s="130"/>
      <c r="AA18" s="130"/>
      <c r="AB18" s="130"/>
      <c r="AC18" s="130"/>
      <c r="AD18" s="130"/>
      <c r="AE18" s="130"/>
    </row>
    <row r="19" spans="1:31">
      <c r="E19" s="82" t="s">
        <v>246</v>
      </c>
      <c r="F19" s="88" t="s">
        <v>245</v>
      </c>
      <c r="G19" s="105">
        <v>8.5890234824389253</v>
      </c>
      <c r="H19" s="68">
        <v>-0.1701</v>
      </c>
      <c r="I19" s="310">
        <v>0.62</v>
      </c>
      <c r="J19" s="321"/>
      <c r="K19" s="327"/>
      <c r="L19" s="327"/>
      <c r="M19" s="182"/>
      <c r="N19" s="93"/>
      <c r="O19" s="178"/>
      <c r="P19" s="130"/>
      <c r="Q19" s="325"/>
      <c r="R19" s="325"/>
      <c r="S19" s="130"/>
      <c r="T19" s="130"/>
      <c r="U19" s="130"/>
      <c r="V19" s="130"/>
      <c r="W19" s="130"/>
      <c r="X19" s="130"/>
      <c r="Y19" s="130"/>
      <c r="Z19" s="130"/>
      <c r="AA19" s="130"/>
      <c r="AB19" s="130"/>
      <c r="AC19" s="130"/>
      <c r="AD19" s="130"/>
      <c r="AE19" s="130"/>
    </row>
    <row r="20" spans="1:31">
      <c r="A20" s="132"/>
      <c r="E20" s="82" t="s">
        <v>248</v>
      </c>
      <c r="F20" s="54" t="s">
        <v>247</v>
      </c>
      <c r="G20" s="105">
        <v>2.8641975308641974</v>
      </c>
      <c r="H20" s="68">
        <v>7.7299999999999994E-2</v>
      </c>
      <c r="I20" s="253">
        <v>0.47</v>
      </c>
      <c r="J20" s="222"/>
      <c r="K20" s="327"/>
      <c r="L20" s="327"/>
      <c r="M20" s="182"/>
      <c r="N20" s="93"/>
      <c r="O20" s="182"/>
      <c r="P20" s="130"/>
      <c r="Q20" s="325"/>
      <c r="R20" s="325"/>
      <c r="S20" s="130"/>
      <c r="T20" s="130"/>
      <c r="U20" s="130"/>
      <c r="V20" s="130"/>
      <c r="W20" s="130"/>
      <c r="X20" s="130"/>
      <c r="Y20" s="130"/>
      <c r="Z20" s="130"/>
      <c r="AA20" s="130"/>
      <c r="AB20" s="130"/>
      <c r="AC20" s="130"/>
      <c r="AD20" s="130"/>
      <c r="AE20" s="130"/>
    </row>
    <row r="21" spans="1:31">
      <c r="E21" s="67" t="s">
        <v>250</v>
      </c>
      <c r="F21" s="82" t="s">
        <v>249</v>
      </c>
      <c r="G21" s="105">
        <v>12.727977307041222</v>
      </c>
      <c r="H21" s="68">
        <v>9.8500000000000004E-2</v>
      </c>
      <c r="I21" s="253">
        <v>0.38</v>
      </c>
      <c r="J21" s="222"/>
      <c r="K21" s="408"/>
      <c r="L21" s="327"/>
      <c r="M21" s="182"/>
      <c r="N21" s="93"/>
      <c r="O21" s="182"/>
      <c r="P21" s="130"/>
      <c r="Q21" s="325"/>
      <c r="R21" s="325"/>
      <c r="S21" s="130"/>
      <c r="T21" s="130"/>
      <c r="U21" s="130"/>
      <c r="V21" s="130"/>
      <c r="W21" s="130"/>
      <c r="X21" s="130"/>
      <c r="Y21" s="130"/>
      <c r="Z21" s="130"/>
      <c r="AA21" s="130"/>
      <c r="AB21" s="130"/>
      <c r="AC21" s="130"/>
      <c r="AD21" s="130"/>
      <c r="AE21" s="130"/>
    </row>
    <row r="22" spans="1:31">
      <c r="E22" s="82" t="s">
        <v>252</v>
      </c>
      <c r="F22" s="82" t="s">
        <v>251</v>
      </c>
      <c r="G22" s="105">
        <v>1.2018938532470487</v>
      </c>
      <c r="H22" s="68">
        <v>-0.40200000000000002</v>
      </c>
      <c r="I22" s="253">
        <v>-0.15</v>
      </c>
      <c r="J22" s="175"/>
      <c r="K22" s="327"/>
      <c r="L22" s="327"/>
      <c r="M22" s="182"/>
      <c r="N22" s="93"/>
      <c r="O22" s="182"/>
      <c r="P22" s="130"/>
      <c r="Q22" s="325"/>
      <c r="R22" s="325"/>
      <c r="S22" s="130"/>
      <c r="T22" s="130"/>
      <c r="U22" s="130"/>
      <c r="V22" s="130"/>
      <c r="W22" s="130"/>
      <c r="X22" s="130"/>
      <c r="Y22" s="130"/>
      <c r="Z22" s="130"/>
      <c r="AA22" s="130"/>
      <c r="AB22" s="130"/>
      <c r="AC22" s="130"/>
      <c r="AD22" s="130"/>
      <c r="AE22" s="130"/>
    </row>
    <row r="23" spans="1:31">
      <c r="E23" s="82" t="s">
        <v>254</v>
      </c>
      <c r="F23" s="82" t="s">
        <v>253</v>
      </c>
      <c r="G23" s="105">
        <v>3.2938249348660897</v>
      </c>
      <c r="H23" s="68">
        <v>5.7099999999999998E-2</v>
      </c>
      <c r="I23" s="253">
        <v>0.5</v>
      </c>
      <c r="J23" s="130"/>
      <c r="K23" s="327"/>
      <c r="L23" s="327"/>
      <c r="M23" s="182"/>
      <c r="N23" s="93"/>
      <c r="O23" s="182"/>
      <c r="P23" s="130"/>
      <c r="Q23" s="325"/>
      <c r="R23" s="325"/>
      <c r="S23" s="130"/>
      <c r="T23" s="130"/>
      <c r="U23" s="130"/>
      <c r="V23" s="130"/>
      <c r="W23" s="130"/>
      <c r="X23" s="130"/>
      <c r="Y23" s="130"/>
      <c r="Z23" s="130"/>
      <c r="AA23" s="130"/>
      <c r="AB23" s="130"/>
      <c r="AC23" s="130"/>
      <c r="AD23" s="130"/>
      <c r="AE23" s="130"/>
    </row>
    <row r="24" spans="1:31">
      <c r="E24" s="82" t="s">
        <v>256</v>
      </c>
      <c r="F24" s="82" t="s">
        <v>255</v>
      </c>
      <c r="G24" s="105">
        <v>0.21305762389070373</v>
      </c>
      <c r="H24" s="68">
        <v>-0.60429999999999995</v>
      </c>
      <c r="I24" s="253">
        <v>20.95</v>
      </c>
      <c r="J24" s="130"/>
      <c r="K24" s="327"/>
      <c r="L24" s="327"/>
      <c r="M24" s="182"/>
      <c r="N24" s="93"/>
      <c r="O24" s="182"/>
      <c r="P24" s="130"/>
      <c r="Q24" s="325"/>
      <c r="R24" s="325"/>
      <c r="S24" s="130"/>
      <c r="T24" s="130"/>
      <c r="U24" s="130"/>
      <c r="V24" s="130"/>
      <c r="W24" s="130"/>
      <c r="X24" s="130"/>
      <c r="Y24" s="130"/>
      <c r="Z24" s="130"/>
      <c r="AA24" s="130"/>
      <c r="AB24" s="130"/>
      <c r="AC24" s="130"/>
      <c r="AD24" s="130"/>
      <c r="AE24" s="130"/>
    </row>
    <row r="25" spans="1:31">
      <c r="E25" s="82" t="s">
        <v>258</v>
      </c>
      <c r="F25" s="82" t="s">
        <v>257</v>
      </c>
      <c r="G25" s="231">
        <v>2.4390517043618543</v>
      </c>
      <c r="H25" s="323">
        <v>7.0999999999999994E-2</v>
      </c>
      <c r="I25" s="231">
        <v>0.63</v>
      </c>
      <c r="J25" s="130"/>
      <c r="K25" s="327"/>
      <c r="L25" s="327"/>
      <c r="M25" s="182"/>
      <c r="N25" s="93"/>
      <c r="O25" s="178"/>
      <c r="P25" s="130"/>
      <c r="Q25" s="325"/>
      <c r="R25" s="325"/>
      <c r="S25" s="130"/>
      <c r="T25" s="130"/>
      <c r="U25" s="130"/>
      <c r="V25" s="130"/>
      <c r="W25" s="130"/>
      <c r="X25" s="130"/>
      <c r="Y25" s="130"/>
      <c r="Z25" s="130"/>
      <c r="AA25" s="130"/>
      <c r="AB25" s="130"/>
      <c r="AC25" s="130"/>
      <c r="AD25" s="130"/>
      <c r="AE25" s="130"/>
    </row>
    <row r="26" spans="1:31">
      <c r="E26" s="82" t="s">
        <v>260</v>
      </c>
      <c r="F26" s="82" t="s">
        <v>259</v>
      </c>
      <c r="G26" s="105">
        <v>3.455313484037787</v>
      </c>
      <c r="H26" s="323">
        <v>4.4299999999999999E-2</v>
      </c>
      <c r="I26" s="231">
        <v>0.34</v>
      </c>
      <c r="J26" s="130"/>
      <c r="K26" s="327"/>
      <c r="L26" s="327"/>
      <c r="M26" s="182"/>
      <c r="N26" s="219"/>
      <c r="O26" s="175"/>
      <c r="P26" s="130"/>
      <c r="Q26" s="325"/>
      <c r="R26" s="325"/>
      <c r="S26" s="130"/>
      <c r="T26" s="130"/>
      <c r="U26" s="130"/>
      <c r="V26" s="130"/>
      <c r="W26" s="130"/>
      <c r="X26" s="130"/>
      <c r="Y26" s="130"/>
      <c r="Z26" s="130"/>
      <c r="AA26" s="130"/>
      <c r="AB26" s="130"/>
      <c r="AC26" s="130"/>
      <c r="AD26" s="130"/>
      <c r="AE26" s="130"/>
    </row>
    <row r="27" spans="1:31">
      <c r="E27" s="237"/>
      <c r="F27" s="237"/>
      <c r="G27" s="106">
        <f>_xlfn.PERCENTILE.EXC(G5:G26,0.5)</f>
        <v>1.5846357302734753</v>
      </c>
      <c r="H27" s="269">
        <f>_xlfn.PERCENTILE.EXC(H5:H26,0.9)</f>
        <v>9.7750000000000004E-2</v>
      </c>
      <c r="I27" s="106">
        <f>_xlfn.PERCENTILE.EXC(I5:I26,0.5)</f>
        <v>0.56000000000000005</v>
      </c>
      <c r="J27" s="130"/>
      <c r="K27" s="115"/>
      <c r="L27" s="115"/>
      <c r="M27" s="115"/>
      <c r="N27" s="115"/>
      <c r="O27" s="115"/>
      <c r="P27" s="130"/>
      <c r="Q27" s="325"/>
      <c r="R27" s="325"/>
      <c r="S27" s="130"/>
      <c r="T27" s="130"/>
      <c r="U27" s="130"/>
      <c r="V27" s="130"/>
      <c r="W27" s="130"/>
      <c r="X27" s="130"/>
      <c r="Y27" s="130"/>
      <c r="Z27" s="130"/>
      <c r="AA27" s="130"/>
      <c r="AB27" s="130"/>
      <c r="AC27" s="130"/>
      <c r="AD27" s="130"/>
      <c r="AE27" s="130"/>
    </row>
    <row r="28" spans="1:31">
      <c r="J28" s="130"/>
      <c r="K28" s="47"/>
      <c r="L28" s="47"/>
      <c r="M28" s="328"/>
      <c r="N28" s="328"/>
      <c r="O28" s="328"/>
      <c r="P28" s="130"/>
      <c r="Q28" s="325"/>
      <c r="R28" s="325"/>
      <c r="S28" s="130"/>
      <c r="T28" s="130"/>
      <c r="U28" s="130"/>
      <c r="V28" s="130"/>
      <c r="W28" s="130"/>
      <c r="X28" s="130"/>
      <c r="Y28" s="130"/>
      <c r="Z28" s="130"/>
      <c r="AA28" s="130"/>
      <c r="AB28" s="130"/>
      <c r="AC28" s="130"/>
      <c r="AD28" s="130"/>
      <c r="AE28" s="130"/>
    </row>
    <row r="29" spans="1:31">
      <c r="E29" s="322"/>
      <c r="F29" s="237"/>
      <c r="G29" s="178"/>
      <c r="H29" s="219"/>
      <c r="I29" s="175"/>
      <c r="J29" s="130"/>
      <c r="K29" s="92"/>
      <c r="L29" s="92"/>
      <c r="M29" s="182"/>
      <c r="N29" s="399"/>
      <c r="O29" s="182"/>
      <c r="P29" s="130"/>
      <c r="Q29" s="325"/>
      <c r="R29" s="325"/>
      <c r="S29" s="130"/>
      <c r="T29" s="130"/>
      <c r="U29" s="130"/>
      <c r="V29" s="130"/>
      <c r="W29" s="130"/>
      <c r="X29" s="130"/>
      <c r="Y29" s="130"/>
      <c r="Z29" s="130"/>
      <c r="AA29" s="130"/>
      <c r="AB29" s="130"/>
      <c r="AC29" s="130"/>
      <c r="AD29" s="130"/>
      <c r="AE29" s="130"/>
    </row>
    <row r="30" spans="1:31" ht="12" customHeight="1">
      <c r="E30" s="322"/>
      <c r="F30" s="237"/>
      <c r="G30" s="178"/>
      <c r="H30" s="219"/>
      <c r="I30" s="175"/>
      <c r="J30" s="130"/>
      <c r="K30" s="92"/>
      <c r="L30" s="338"/>
      <c r="M30" s="178"/>
      <c r="N30" s="395"/>
      <c r="O30" s="396"/>
      <c r="P30" s="130"/>
      <c r="Q30" s="325"/>
      <c r="R30" s="325"/>
      <c r="S30" s="130"/>
      <c r="T30" s="130"/>
      <c r="U30" s="130"/>
      <c r="V30" s="130"/>
      <c r="W30" s="130"/>
      <c r="X30" s="130"/>
      <c r="Y30" s="130"/>
      <c r="Z30" s="130"/>
      <c r="AA30" s="130"/>
      <c r="AB30" s="130"/>
      <c r="AC30" s="130"/>
      <c r="AD30" s="130"/>
      <c r="AE30" s="130"/>
    </row>
    <row r="31" spans="1:31">
      <c r="E31" s="322"/>
      <c r="F31" s="237"/>
      <c r="G31" s="178"/>
      <c r="H31" s="219"/>
      <c r="I31" s="175"/>
      <c r="J31" s="130"/>
      <c r="K31" s="92"/>
      <c r="L31" s="338"/>
      <c r="M31" s="182"/>
      <c r="N31" s="399"/>
      <c r="O31" s="182"/>
      <c r="P31" s="130"/>
      <c r="Q31" s="325"/>
      <c r="R31" s="325"/>
      <c r="S31" s="130"/>
      <c r="T31" s="130"/>
      <c r="U31" s="130"/>
      <c r="V31" s="130"/>
      <c r="W31" s="130"/>
      <c r="X31" s="130"/>
      <c r="Y31" s="130"/>
      <c r="Z31" s="130"/>
      <c r="AA31" s="130"/>
      <c r="AB31" s="130"/>
      <c r="AC31" s="130"/>
      <c r="AD31" s="130"/>
      <c r="AE31" s="130"/>
    </row>
    <row r="32" spans="1:31">
      <c r="E32" s="322"/>
      <c r="F32" s="237"/>
      <c r="G32" s="178"/>
      <c r="H32" s="219"/>
      <c r="I32" s="175"/>
      <c r="J32" s="130"/>
      <c r="K32" s="92"/>
      <c r="L32" s="338"/>
      <c r="M32" s="178"/>
      <c r="N32" s="397"/>
      <c r="O32" s="263"/>
      <c r="P32" s="130"/>
      <c r="Q32" s="324"/>
      <c r="R32" s="325"/>
      <c r="S32" s="130"/>
      <c r="T32" s="130"/>
      <c r="U32" s="130"/>
      <c r="V32" s="130"/>
      <c r="W32" s="130"/>
      <c r="X32" s="130"/>
      <c r="Y32" s="130"/>
      <c r="Z32" s="130"/>
      <c r="AA32" s="130"/>
      <c r="AB32" s="130"/>
      <c r="AC32" s="130"/>
      <c r="AD32" s="130"/>
      <c r="AE32" s="130"/>
    </row>
    <row r="33" spans="5:31">
      <c r="E33" s="322"/>
      <c r="F33" s="237"/>
      <c r="G33" s="178"/>
      <c r="H33" s="219"/>
      <c r="I33" s="175"/>
      <c r="J33" s="130"/>
      <c r="K33" s="92"/>
      <c r="L33" s="338"/>
      <c r="M33" s="178"/>
      <c r="N33" s="399"/>
      <c r="O33" s="182"/>
      <c r="P33" s="130"/>
      <c r="Q33" s="324"/>
      <c r="R33" s="325"/>
      <c r="S33" s="130"/>
      <c r="T33" s="130"/>
      <c r="U33" s="130"/>
      <c r="V33" s="130"/>
      <c r="W33" s="130"/>
      <c r="X33" s="130"/>
      <c r="Y33" s="130"/>
      <c r="Z33" s="130"/>
      <c r="AA33" s="130"/>
      <c r="AB33" s="130"/>
      <c r="AC33" s="130"/>
      <c r="AD33" s="130"/>
      <c r="AE33" s="130"/>
    </row>
    <row r="34" spans="5:31">
      <c r="E34" s="322"/>
      <c r="F34" s="237"/>
      <c r="G34" s="178"/>
      <c r="H34" s="219"/>
      <c r="I34" s="175"/>
      <c r="J34" s="130"/>
      <c r="K34" s="92"/>
      <c r="L34" s="92"/>
      <c r="M34" s="178"/>
      <c r="N34" s="399"/>
      <c r="O34" s="182"/>
      <c r="P34" s="130"/>
      <c r="Q34" s="324"/>
      <c r="R34" s="325"/>
      <c r="S34" s="130"/>
      <c r="T34" s="130"/>
      <c r="U34" s="130"/>
      <c r="V34" s="130"/>
      <c r="W34" s="130"/>
      <c r="X34" s="130"/>
      <c r="Y34" s="130"/>
      <c r="Z34" s="130"/>
      <c r="AA34" s="130"/>
      <c r="AB34" s="130"/>
      <c r="AC34" s="130"/>
      <c r="AD34" s="130"/>
      <c r="AE34" s="130"/>
    </row>
    <row r="35" spans="5:31">
      <c r="E35" s="322"/>
      <c r="F35" s="237"/>
      <c r="G35" s="182"/>
      <c r="H35" s="219"/>
      <c r="I35" s="175"/>
      <c r="J35" s="130"/>
      <c r="K35" s="92"/>
      <c r="L35" s="92"/>
      <c r="M35" s="178"/>
      <c r="N35" s="399"/>
      <c r="O35" s="182"/>
      <c r="P35" s="130"/>
      <c r="Q35" s="324"/>
      <c r="R35" s="325"/>
      <c r="S35" s="130"/>
      <c r="T35" s="130"/>
      <c r="U35" s="130"/>
      <c r="V35" s="130"/>
      <c r="W35" s="130"/>
      <c r="X35" s="130"/>
      <c r="Y35" s="130"/>
      <c r="Z35" s="130"/>
      <c r="AA35" s="130"/>
      <c r="AB35" s="130"/>
      <c r="AC35" s="130"/>
      <c r="AD35" s="130"/>
      <c r="AE35" s="130"/>
    </row>
    <row r="36" spans="5:31">
      <c r="E36" s="322"/>
      <c r="F36" s="237"/>
      <c r="G36" s="178"/>
      <c r="H36" s="219"/>
      <c r="I36" s="175"/>
      <c r="J36" s="130"/>
      <c r="K36" s="92"/>
      <c r="L36" s="92"/>
      <c r="M36" s="178"/>
      <c r="N36" s="399"/>
      <c r="O36" s="182"/>
      <c r="P36" s="130"/>
      <c r="Q36" s="324"/>
      <c r="R36" s="325"/>
      <c r="S36" s="130"/>
      <c r="T36" s="130"/>
      <c r="U36" s="130"/>
      <c r="V36" s="130"/>
      <c r="W36" s="130"/>
      <c r="X36" s="130"/>
      <c r="Y36" s="130"/>
      <c r="Z36" s="130"/>
      <c r="AA36" s="130"/>
      <c r="AB36" s="130"/>
      <c r="AC36" s="130"/>
      <c r="AD36" s="130"/>
      <c r="AE36" s="130"/>
    </row>
    <row r="37" spans="5:31">
      <c r="E37" s="322"/>
      <c r="F37" s="237"/>
      <c r="G37" s="182"/>
      <c r="H37" s="219"/>
      <c r="I37" s="175"/>
      <c r="J37" s="130"/>
      <c r="K37" s="92"/>
      <c r="L37" s="338"/>
      <c r="M37" s="263"/>
      <c r="N37" s="93"/>
      <c r="O37" s="178"/>
      <c r="P37" s="130"/>
      <c r="Q37" s="324"/>
      <c r="R37" s="325"/>
      <c r="S37" s="130"/>
      <c r="T37" s="130"/>
      <c r="U37" s="130"/>
      <c r="V37" s="130"/>
      <c r="W37" s="130"/>
      <c r="X37" s="130"/>
      <c r="Y37" s="130"/>
      <c r="Z37" s="130"/>
      <c r="AA37" s="130"/>
      <c r="AB37" s="130"/>
      <c r="AC37" s="130"/>
      <c r="AD37" s="130"/>
      <c r="AE37" s="130"/>
    </row>
    <row r="38" spans="5:31">
      <c r="E38" s="322"/>
      <c r="F38" s="237"/>
      <c r="G38" s="178"/>
      <c r="H38" s="219"/>
      <c r="I38" s="175"/>
      <c r="J38" s="130"/>
      <c r="K38" s="92"/>
      <c r="L38" s="338"/>
      <c r="M38" s="178"/>
      <c r="N38" s="93"/>
      <c r="O38" s="178"/>
      <c r="P38" s="130"/>
      <c r="Q38" s="324"/>
      <c r="R38" s="325"/>
      <c r="S38" s="130"/>
      <c r="T38" s="130"/>
      <c r="U38" s="130"/>
      <c r="V38" s="130"/>
      <c r="W38" s="130"/>
      <c r="X38" s="130"/>
      <c r="Y38" s="130"/>
      <c r="Z38" s="130"/>
      <c r="AA38" s="130"/>
      <c r="AB38" s="130"/>
      <c r="AC38" s="130"/>
      <c r="AD38" s="130"/>
      <c r="AE38" s="130"/>
    </row>
    <row r="39" spans="5:31">
      <c r="E39" s="322"/>
      <c r="F39" s="237"/>
      <c r="G39" s="178"/>
      <c r="H39" s="219"/>
      <c r="I39" s="175"/>
      <c r="K39" s="92"/>
      <c r="L39" s="92"/>
      <c r="M39" s="263"/>
      <c r="N39" s="93"/>
      <c r="O39" s="178"/>
      <c r="Q39" s="326"/>
      <c r="R39" s="327"/>
      <c r="S39" s="130"/>
    </row>
    <row r="40" spans="5:31">
      <c r="E40" s="322"/>
      <c r="F40" s="237"/>
      <c r="G40" s="178"/>
      <c r="H40" s="219"/>
      <c r="I40" s="175"/>
      <c r="K40" s="92"/>
      <c r="L40" s="338"/>
      <c r="M40" s="178"/>
      <c r="N40" s="93"/>
      <c r="O40" s="178"/>
      <c r="Q40" s="326"/>
      <c r="R40" s="327"/>
      <c r="S40" s="130"/>
    </row>
    <row r="41" spans="5:31">
      <c r="E41" s="322"/>
      <c r="F41" s="237"/>
      <c r="G41" s="178"/>
      <c r="H41" s="219"/>
      <c r="I41" s="175"/>
      <c r="K41" s="92"/>
      <c r="L41" s="92"/>
      <c r="M41" s="178"/>
      <c r="N41" s="399"/>
      <c r="O41" s="182"/>
      <c r="Q41" s="326"/>
      <c r="R41" s="327"/>
      <c r="S41" s="130"/>
    </row>
    <row r="42" spans="5:31">
      <c r="E42" s="322"/>
      <c r="F42" s="237"/>
      <c r="G42" s="178"/>
      <c r="H42" s="219"/>
      <c r="I42" s="175"/>
      <c r="K42" s="8"/>
      <c r="L42" s="338"/>
      <c r="M42" s="178"/>
      <c r="N42" s="93"/>
      <c r="O42" s="178"/>
      <c r="Q42" s="326"/>
      <c r="R42" s="327"/>
      <c r="S42" s="130"/>
    </row>
    <row r="43" spans="5:31">
      <c r="E43" s="322"/>
      <c r="F43" s="237"/>
      <c r="G43" s="314"/>
      <c r="H43" s="219"/>
      <c r="I43" s="175"/>
      <c r="K43" s="8"/>
      <c r="L43" s="85"/>
      <c r="M43" s="178"/>
      <c r="N43" s="93"/>
      <c r="O43" s="178"/>
      <c r="Q43" s="326"/>
      <c r="R43" s="327"/>
      <c r="S43" s="130"/>
    </row>
    <row r="44" spans="5:31">
      <c r="E44" s="322"/>
      <c r="F44" s="237"/>
      <c r="G44" s="178"/>
      <c r="H44" s="219"/>
      <c r="I44" s="175"/>
      <c r="K44" s="8"/>
      <c r="L44" s="8"/>
      <c r="M44" s="178"/>
      <c r="N44" s="399"/>
      <c r="O44" s="182"/>
      <c r="Q44" s="326"/>
      <c r="R44" s="327"/>
      <c r="S44" s="130"/>
    </row>
    <row r="45" spans="5:31">
      <c r="E45" s="322"/>
      <c r="F45" s="237"/>
      <c r="G45" s="314"/>
      <c r="H45" s="219"/>
      <c r="I45" s="175"/>
      <c r="K45" s="92"/>
      <c r="L45" s="8"/>
      <c r="M45" s="178"/>
      <c r="N45" s="399"/>
      <c r="O45" s="182"/>
      <c r="Q45" s="326"/>
      <c r="R45" s="327"/>
      <c r="S45" s="130"/>
    </row>
    <row r="46" spans="5:31">
      <c r="E46" s="322"/>
      <c r="F46" s="237"/>
      <c r="G46" s="178"/>
      <c r="H46" s="219"/>
      <c r="I46" s="175"/>
      <c r="K46" s="8"/>
      <c r="L46" s="8"/>
      <c r="M46" s="178"/>
      <c r="N46" s="399"/>
      <c r="O46" s="182"/>
      <c r="Q46" s="326"/>
      <c r="R46" s="327"/>
      <c r="S46" s="130"/>
    </row>
    <row r="47" spans="5:31">
      <c r="E47" s="322"/>
      <c r="F47" s="237"/>
      <c r="G47" s="178"/>
      <c r="H47" s="219"/>
      <c r="I47" s="175"/>
      <c r="K47" s="8"/>
      <c r="L47" s="8"/>
      <c r="M47" s="263"/>
      <c r="N47" s="399"/>
      <c r="O47" s="182"/>
      <c r="Q47" s="326"/>
      <c r="R47" s="132"/>
      <c r="S47" s="130"/>
    </row>
    <row r="48" spans="5:31">
      <c r="E48" s="322"/>
      <c r="F48" s="237"/>
      <c r="G48" s="178"/>
      <c r="H48" s="219"/>
      <c r="I48" s="175"/>
      <c r="K48" s="8"/>
      <c r="L48" s="8"/>
      <c r="M48" s="178"/>
      <c r="N48" s="399"/>
      <c r="O48" s="182"/>
      <c r="Q48" s="326"/>
      <c r="R48" s="327"/>
      <c r="S48" s="130"/>
    </row>
    <row r="49" spans="7:15">
      <c r="I49" s="93"/>
      <c r="K49" s="8"/>
      <c r="L49" s="8"/>
      <c r="M49" s="178"/>
      <c r="N49" s="93"/>
      <c r="O49" s="178"/>
    </row>
    <row r="50" spans="7:15">
      <c r="G50" s="178"/>
    </row>
    <row r="51" spans="7:15">
      <c r="G51" s="178"/>
    </row>
    <row r="52" spans="7:15">
      <c r="G52" s="178"/>
    </row>
    <row r="53" spans="7:15">
      <c r="G53" s="178"/>
    </row>
    <row r="54" spans="7:15">
      <c r="G54" s="178"/>
    </row>
  </sheetData>
  <mergeCells count="1">
    <mergeCell ref="E3:I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47"/>
  <sheetViews>
    <sheetView zoomScaleNormal="100" workbookViewId="0"/>
  </sheetViews>
  <sheetFormatPr defaultRowHeight="12"/>
  <cols>
    <col min="1" max="1" width="2" style="125" customWidth="1"/>
    <col min="2" max="2" width="7" style="125" customWidth="1"/>
    <col min="3" max="3" width="16.7109375" style="125" customWidth="1"/>
    <col min="4" max="4" width="14.85546875" style="125" customWidth="1"/>
    <col min="5" max="5" width="14" style="125" customWidth="1"/>
    <col min="6" max="6" width="12.5703125" style="125" customWidth="1"/>
    <col min="7" max="7" width="15.42578125" style="125" customWidth="1" collapsed="1"/>
    <col min="8" max="8" width="14.28515625" style="125" customWidth="1"/>
    <col min="9" max="9" width="3" style="125" customWidth="1"/>
    <col min="10" max="10" width="20.42578125" style="125" customWidth="1"/>
    <col min="11" max="11" width="11.5703125" style="125" customWidth="1"/>
    <col min="12" max="12" width="12" style="125" customWidth="1"/>
    <col min="13" max="13" width="10.7109375" style="125" customWidth="1"/>
    <col min="14" max="14" width="8.7109375" style="125" customWidth="1"/>
    <col min="15" max="15" width="6.7109375" style="125" customWidth="1"/>
    <col min="16" max="16" width="8.28515625" style="125" customWidth="1"/>
    <col min="17" max="28" width="9.140625" style="125" customWidth="1"/>
    <col min="29" max="29" width="9.28515625" style="125" customWidth="1"/>
    <col min="30" max="30" width="9.42578125" style="125" customWidth="1"/>
    <col min="31" max="31" width="10" style="125" customWidth="1"/>
    <col min="32" max="32" width="11.42578125" style="125" customWidth="1"/>
    <col min="33" max="33" width="9.42578125" style="125" bestFit="1" customWidth="1" collapsed="1"/>
    <col min="34" max="16384" width="9.140625" style="125"/>
  </cols>
  <sheetData>
    <row r="1" spans="1:32" s="124" customFormat="1" ht="15" customHeight="1">
      <c r="B1" s="17" t="s">
        <v>103</v>
      </c>
      <c r="C1" s="123"/>
      <c r="D1" s="123"/>
      <c r="E1" s="123"/>
      <c r="F1" s="123"/>
      <c r="G1" s="123"/>
      <c r="H1" s="123"/>
      <c r="I1" s="123"/>
      <c r="J1" s="123"/>
      <c r="K1" s="123"/>
      <c r="L1" s="123"/>
      <c r="M1" s="123"/>
      <c r="N1" s="123"/>
    </row>
    <row r="2" spans="1:32" ht="12" customHeight="1">
      <c r="C2" s="148"/>
    </row>
    <row r="3" spans="1:32" ht="12" customHeight="1">
      <c r="A3" s="127"/>
      <c r="B3" s="195"/>
      <c r="C3" s="169" t="s">
        <v>204</v>
      </c>
      <c r="D3" s="169" t="s">
        <v>203</v>
      </c>
      <c r="E3" s="169" t="s">
        <v>5</v>
      </c>
      <c r="F3" s="169" t="s">
        <v>109</v>
      </c>
      <c r="G3" s="169" t="s">
        <v>3</v>
      </c>
      <c r="H3" s="169" t="s">
        <v>165</v>
      </c>
      <c r="J3" s="185" t="s">
        <v>119</v>
      </c>
      <c r="K3" s="191">
        <v>0.21</v>
      </c>
      <c r="L3" s="115"/>
      <c r="M3" s="115"/>
      <c r="N3" s="115"/>
      <c r="O3" s="115"/>
    </row>
    <row r="4" spans="1:32" ht="12" customHeight="1">
      <c r="A4" s="132"/>
      <c r="B4" s="187">
        <v>2022</v>
      </c>
      <c r="C4" s="400">
        <f>138.1*1000</f>
        <v>138100</v>
      </c>
      <c r="D4" s="404">
        <f>E4/C4</f>
        <v>0.1028023171614772</v>
      </c>
      <c r="E4" s="400">
        <f>Numbers!C4</f>
        <v>14197</v>
      </c>
      <c r="F4" s="197">
        <f>G4/E4</f>
        <v>-2.3004524118620057E-2</v>
      </c>
      <c r="G4" s="400">
        <f>'FCFF &amp; FCFE'!G5</f>
        <v>-326.59522891204892</v>
      </c>
      <c r="H4" s="400">
        <f>G4*(1-0.3%)</f>
        <v>-325.61544322531279</v>
      </c>
      <c r="I4" s="46"/>
      <c r="J4" s="185" t="s">
        <v>289</v>
      </c>
      <c r="K4" s="191">
        <v>0.04</v>
      </c>
      <c r="L4" s="289"/>
      <c r="M4" s="47"/>
      <c r="N4" s="47"/>
      <c r="O4" s="64"/>
      <c r="P4" s="129"/>
      <c r="Q4" s="129"/>
      <c r="V4" s="129"/>
    </row>
    <row r="5" spans="1:32" ht="12" customHeight="1">
      <c r="A5" s="132"/>
      <c r="B5" s="184">
        <f>B4+1</f>
        <v>2023</v>
      </c>
      <c r="C5" s="389">
        <f>C4*(1+$K$4)</f>
        <v>143624</v>
      </c>
      <c r="D5" s="333">
        <f>AVERAGE(D4,D6)</f>
        <v>0.12120202751629255</v>
      </c>
      <c r="E5" s="403">
        <f>C5*D5</f>
        <v>17407.52</v>
      </c>
      <c r="F5" s="268">
        <f>'Future Value (Restricted Stock)'!G20</f>
        <v>-4.2212002600290788E-2</v>
      </c>
      <c r="G5" s="380">
        <f>E5*F5</f>
        <v>-734.80627950461394</v>
      </c>
      <c r="H5" s="380">
        <f>G5</f>
        <v>-734.80627950461394</v>
      </c>
      <c r="I5" s="407">
        <f>G5+K5</f>
        <v>-1935.716279504614</v>
      </c>
      <c r="J5" s="185" t="s">
        <v>288</v>
      </c>
      <c r="K5" s="405">
        <v>-1200.9100000000001</v>
      </c>
      <c r="L5" s="289"/>
      <c r="M5" s="92"/>
      <c r="N5" s="92"/>
      <c r="O5" s="135"/>
      <c r="P5" s="130"/>
      <c r="Q5" s="130"/>
      <c r="R5" s="130"/>
      <c r="S5" s="130"/>
      <c r="T5" s="130"/>
      <c r="U5" s="130"/>
      <c r="V5" s="130"/>
      <c r="W5" s="130"/>
      <c r="X5" s="130"/>
      <c r="Y5" s="130"/>
      <c r="Z5" s="130"/>
      <c r="AA5" s="130"/>
    </row>
    <row r="6" spans="1:32" ht="12" customHeight="1">
      <c r="A6" s="132"/>
      <c r="B6" s="184">
        <f t="shared" ref="B6:B14" si="0">B5+1</f>
        <v>2024</v>
      </c>
      <c r="C6" s="389">
        <f t="shared" ref="C6:C14" si="1">C5*(1+$K$4)</f>
        <v>149368.95999999999</v>
      </c>
      <c r="D6" s="333">
        <f>AVERAGE(D4,D8)</f>
        <v>0.13960173787110791</v>
      </c>
      <c r="E6" s="403">
        <f t="shared" ref="E6:E14" si="2">C6*D6</f>
        <v>20852.166400000002</v>
      </c>
      <c r="F6" s="268">
        <f>'Future Value (Restricted Stock)'!G21</f>
        <v>-3.3891391909777191E-2</v>
      </c>
      <c r="G6" s="380">
        <f t="shared" ref="G6:G14" si="3">E6*F6</f>
        <v>-706.70894363028788</v>
      </c>
      <c r="H6" s="380">
        <f>G6</f>
        <v>-706.70894363028788</v>
      </c>
      <c r="I6" s="407">
        <f>G6+I5</f>
        <v>-2642.4252231349019</v>
      </c>
      <c r="M6" s="92"/>
      <c r="N6" s="92"/>
      <c r="O6" s="135"/>
      <c r="P6" s="130"/>
      <c r="Q6" s="130"/>
      <c r="R6" s="130"/>
      <c r="S6" s="130"/>
      <c r="T6" s="130"/>
      <c r="U6" s="130"/>
      <c r="V6" s="130"/>
      <c r="W6" s="130"/>
      <c r="X6" s="130"/>
      <c r="Y6" s="130"/>
      <c r="Z6" s="130"/>
      <c r="AA6" s="130"/>
    </row>
    <row r="7" spans="1:32" ht="12" customHeight="1">
      <c r="B7" s="184">
        <f t="shared" si="0"/>
        <v>2025</v>
      </c>
      <c r="C7" s="389">
        <f t="shared" si="1"/>
        <v>155343.71839999998</v>
      </c>
      <c r="D7" s="333">
        <f>AVERAGE(D6,D8)</f>
        <v>0.15800144822592327</v>
      </c>
      <c r="E7" s="403">
        <f t="shared" si="2"/>
        <v>24544.532480000002</v>
      </c>
      <c r="F7" s="268">
        <f>'Future Value (Restricted Stock)'!G22</f>
        <v>-2.4797328286163545E-2</v>
      </c>
      <c r="G7" s="380">
        <f t="shared" si="3"/>
        <v>-608.63882953696395</v>
      </c>
      <c r="H7" s="380">
        <f>G7</f>
        <v>-608.63882953696395</v>
      </c>
      <c r="I7" s="407">
        <f>G7+I6</f>
        <v>-3251.0640526718657</v>
      </c>
      <c r="J7" s="92"/>
      <c r="K7" s="182"/>
      <c r="L7" s="175"/>
      <c r="M7" s="92"/>
      <c r="N7" s="92"/>
      <c r="O7" s="175"/>
      <c r="P7" s="130"/>
      <c r="Q7" s="130"/>
      <c r="R7" s="130"/>
      <c r="S7" s="130"/>
      <c r="T7" s="130"/>
      <c r="U7" s="130"/>
      <c r="V7" s="130"/>
      <c r="W7" s="130"/>
      <c r="X7" s="130"/>
      <c r="Y7" s="130"/>
      <c r="Z7" s="130"/>
      <c r="AA7" s="130"/>
    </row>
    <row r="8" spans="1:32" ht="12" customHeight="1">
      <c r="A8" s="132"/>
      <c r="B8" s="184">
        <f t="shared" si="0"/>
        <v>2026</v>
      </c>
      <c r="C8" s="389">
        <f t="shared" si="1"/>
        <v>161557.46713599999</v>
      </c>
      <c r="D8" s="333">
        <f>AVERAGE(D4,D14)</f>
        <v>0.1764011585807386</v>
      </c>
      <c r="E8" s="403">
        <f t="shared" si="2"/>
        <v>28498.924380159999</v>
      </c>
      <c r="F8" s="268">
        <f>'Future Value (Restricted Stock)'!G23</f>
        <v>-8.1561069051365731E-3</v>
      </c>
      <c r="G8" s="380">
        <f t="shared" si="3"/>
        <v>-232.44027392598801</v>
      </c>
      <c r="H8" s="380">
        <f>G8-((G8+I7)*K3)</f>
        <v>499.09563465956126</v>
      </c>
      <c r="I8" s="407">
        <f>G8+I7</f>
        <v>-3483.5043265978538</v>
      </c>
      <c r="J8" s="92"/>
      <c r="K8" s="178"/>
      <c r="L8" s="175"/>
      <c r="M8" s="92"/>
      <c r="N8" s="92"/>
      <c r="O8" s="175"/>
      <c r="P8" s="130"/>
      <c r="Q8" s="130"/>
      <c r="R8" s="130"/>
      <c r="S8" s="130"/>
      <c r="T8" s="130"/>
      <c r="U8" s="130"/>
      <c r="V8" s="130"/>
      <c r="W8" s="130"/>
      <c r="X8" s="130"/>
      <c r="Y8" s="130"/>
      <c r="Z8" s="130"/>
      <c r="AA8" s="130"/>
    </row>
    <row r="9" spans="1:32" ht="12" customHeight="1">
      <c r="A9" s="132"/>
      <c r="B9" s="184">
        <f t="shared" si="0"/>
        <v>2027</v>
      </c>
      <c r="C9" s="389">
        <f t="shared" si="1"/>
        <v>168019.76582144</v>
      </c>
      <c r="D9" s="333">
        <f>AVERAGE(D8,D10)</f>
        <v>0.18560101375814625</v>
      </c>
      <c r="E9" s="403">
        <f t="shared" si="2"/>
        <v>31184.638867865597</v>
      </c>
      <c r="F9" s="268">
        <f>'Future Value (Restricted Stock)'!G24</f>
        <v>8.4851144758908426E-3</v>
      </c>
      <c r="G9" s="380">
        <f t="shared" si="3"/>
        <v>264.60523068315462</v>
      </c>
      <c r="H9" s="380">
        <f t="shared" ref="H9:H14" si="4">G9*(1-$K$3)</f>
        <v>209.03813223969215</v>
      </c>
      <c r="I9" s="406"/>
      <c r="J9" s="92"/>
      <c r="K9" s="178"/>
      <c r="L9" s="175"/>
      <c r="M9" s="92"/>
      <c r="N9" s="92"/>
      <c r="O9" s="175"/>
      <c r="P9" s="130"/>
      <c r="Q9" s="130"/>
      <c r="R9" s="130"/>
      <c r="S9" s="130"/>
      <c r="T9" s="130"/>
      <c r="U9" s="130"/>
      <c r="V9" s="130"/>
      <c r="W9" s="130"/>
      <c r="X9" s="130"/>
      <c r="Y9" s="130"/>
      <c r="Z9" s="130"/>
      <c r="AA9" s="130"/>
    </row>
    <row r="10" spans="1:32">
      <c r="A10" s="128"/>
      <c r="B10" s="184">
        <f t="shared" si="0"/>
        <v>2028</v>
      </c>
      <c r="C10" s="389">
        <f t="shared" si="1"/>
        <v>174740.55645429759</v>
      </c>
      <c r="D10" s="333">
        <f>AVERAGE(D8,D11)</f>
        <v>0.19480086893555393</v>
      </c>
      <c r="E10" s="403">
        <f t="shared" si="2"/>
        <v>34039.612235579385</v>
      </c>
      <c r="F10" s="268">
        <f>'Future Value (Restricted Stock)'!G25</f>
        <v>2.4352882923818542E-2</v>
      </c>
      <c r="G10" s="380">
        <f t="shared" si="3"/>
        <v>828.96269154524589</v>
      </c>
      <c r="H10" s="380">
        <f t="shared" si="4"/>
        <v>654.88052632074425</v>
      </c>
      <c r="I10" s="46"/>
      <c r="J10" s="92"/>
      <c r="K10" s="178"/>
      <c r="L10" s="175"/>
      <c r="M10" s="92"/>
      <c r="N10" s="92"/>
      <c r="O10" s="175"/>
      <c r="P10" s="130"/>
      <c r="Q10" s="130"/>
      <c r="R10" s="130"/>
      <c r="S10" s="130"/>
      <c r="T10" s="130"/>
      <c r="U10" s="130"/>
      <c r="V10" s="130"/>
      <c r="W10" s="130"/>
      <c r="X10" s="130"/>
      <c r="Y10" s="130"/>
      <c r="Z10" s="130"/>
      <c r="AA10" s="130"/>
    </row>
    <row r="11" spans="1:32">
      <c r="A11" s="132"/>
      <c r="B11" s="184">
        <f t="shared" si="0"/>
        <v>2029</v>
      </c>
      <c r="C11" s="389">
        <f t="shared" si="1"/>
        <v>181730.1787124695</v>
      </c>
      <c r="D11" s="333">
        <f>AVERAGE(D8,D14)</f>
        <v>0.21320057929036929</v>
      </c>
      <c r="E11" s="403">
        <f t="shared" si="2"/>
        <v>38744.979376040836</v>
      </c>
      <c r="F11" s="268">
        <f>'Future Value (Restricted Stock)'!G26</f>
        <v>3.2673493614331917E-2</v>
      </c>
      <c r="G11" s="380">
        <f t="shared" si="3"/>
        <v>1265.933836230492</v>
      </c>
      <c r="H11" s="380">
        <f t="shared" si="4"/>
        <v>1000.0877306220888</v>
      </c>
      <c r="I11" s="46"/>
      <c r="J11" s="92"/>
      <c r="K11" s="178"/>
      <c r="L11" s="175"/>
      <c r="M11" s="92"/>
      <c r="N11" s="92"/>
      <c r="O11" s="175"/>
      <c r="P11" s="130"/>
      <c r="Q11" s="130"/>
      <c r="R11" s="130"/>
      <c r="S11" s="130"/>
      <c r="T11" s="130"/>
      <c r="U11" s="130"/>
      <c r="V11" s="130"/>
      <c r="W11" s="130"/>
      <c r="X11" s="130"/>
      <c r="Y11" s="130"/>
      <c r="Z11" s="130"/>
      <c r="AA11" s="130"/>
    </row>
    <row r="12" spans="1:32">
      <c r="B12" s="184">
        <f t="shared" si="0"/>
        <v>2030</v>
      </c>
      <c r="C12" s="389">
        <f t="shared" si="1"/>
        <v>188999.38586096829</v>
      </c>
      <c r="D12" s="333">
        <f>AVERAGE(D11,D13)</f>
        <v>0.22240043446777696</v>
      </c>
      <c r="E12" s="403">
        <f t="shared" si="2"/>
        <v>42033.545529622374</v>
      </c>
      <c r="F12" s="268">
        <f>'Future Value (Restricted Stock)'!G27</f>
        <v>4.1767557237945563E-2</v>
      </c>
      <c r="G12" s="380">
        <f t="shared" si="3"/>
        <v>1755.6385188222932</v>
      </c>
      <c r="H12" s="380">
        <f t="shared" si="4"/>
        <v>1386.9544298696117</v>
      </c>
      <c r="I12" s="46"/>
      <c r="J12" s="92"/>
      <c r="K12" s="178"/>
      <c r="L12" s="175"/>
      <c r="M12" s="92"/>
      <c r="N12" s="92"/>
      <c r="O12" s="175"/>
      <c r="P12" s="130"/>
      <c r="Q12" s="130"/>
      <c r="R12" s="130"/>
      <c r="S12" s="130"/>
      <c r="T12" s="130"/>
      <c r="U12" s="130"/>
      <c r="V12" s="130"/>
      <c r="W12" s="130"/>
      <c r="X12" s="130"/>
      <c r="Y12" s="130"/>
      <c r="Z12" s="130"/>
      <c r="AA12" s="130"/>
    </row>
    <row r="13" spans="1:32">
      <c r="A13" s="132"/>
      <c r="B13" s="184">
        <f t="shared" si="0"/>
        <v>2031</v>
      </c>
      <c r="C13" s="389">
        <f t="shared" si="1"/>
        <v>196559.36129540703</v>
      </c>
      <c r="D13" s="333">
        <f>AVERAGE(D11,D14)</f>
        <v>0.23160028964518464</v>
      </c>
      <c r="E13" s="403">
        <f t="shared" si="2"/>
        <v>45523.20500848876</v>
      </c>
      <c r="F13" s="268">
        <f>'Future Value (Restricted Stock)'!G28</f>
        <v>5.8408778618972645E-2</v>
      </c>
      <c r="G13" s="380">
        <f t="shared" si="3"/>
        <v>2658.9548033669266</v>
      </c>
      <c r="H13" s="380">
        <f t="shared" si="4"/>
        <v>2100.5742946598721</v>
      </c>
      <c r="I13" s="46"/>
      <c r="J13" s="92"/>
      <c r="K13" s="263"/>
      <c r="L13" s="175"/>
      <c r="M13" s="92"/>
      <c r="N13" s="92"/>
      <c r="O13" s="175"/>
      <c r="P13" s="130"/>
      <c r="Q13" s="130"/>
      <c r="R13" s="130"/>
      <c r="S13" s="130"/>
      <c r="T13" s="130"/>
      <c r="U13" s="130"/>
      <c r="V13" s="130"/>
      <c r="W13" s="130"/>
      <c r="X13" s="130"/>
      <c r="Y13" s="130"/>
      <c r="Z13" s="130"/>
      <c r="AA13" s="130"/>
    </row>
    <row r="14" spans="1:32">
      <c r="B14" s="184">
        <f t="shared" si="0"/>
        <v>2032</v>
      </c>
      <c r="C14" s="389">
        <f t="shared" si="1"/>
        <v>204421.73574722331</v>
      </c>
      <c r="D14" s="333">
        <v>0.25</v>
      </c>
      <c r="E14" s="403">
        <f t="shared" si="2"/>
        <v>51105.433936805828</v>
      </c>
      <c r="F14" s="268">
        <f>'Future Value (Restricted Stock)'!G29</f>
        <v>7.5050000000000061E-2</v>
      </c>
      <c r="G14" s="380">
        <f t="shared" si="3"/>
        <v>3835.4628169572807</v>
      </c>
      <c r="H14" s="380">
        <f t="shared" si="4"/>
        <v>3030.0156253962518</v>
      </c>
      <c r="I14" s="46"/>
      <c r="J14" s="92"/>
      <c r="K14" s="178"/>
      <c r="L14" s="175"/>
      <c r="M14" s="92"/>
      <c r="N14" s="92"/>
      <c r="O14" s="180"/>
      <c r="P14" s="130"/>
      <c r="Q14" s="130"/>
      <c r="R14" s="130"/>
      <c r="S14" s="130"/>
      <c r="T14" s="130"/>
      <c r="U14" s="130"/>
      <c r="V14" s="130"/>
      <c r="W14" s="130"/>
      <c r="X14" s="130"/>
      <c r="Y14" s="130"/>
      <c r="Z14" s="130"/>
      <c r="AA14" s="130"/>
    </row>
    <row r="15" spans="1:32">
      <c r="C15" s="183"/>
      <c r="D15" s="221"/>
      <c r="E15" s="291"/>
      <c r="F15" s="291"/>
      <c r="G15" s="290"/>
      <c r="H15" s="14"/>
      <c r="I15" s="244"/>
      <c r="J15" s="92"/>
      <c r="K15" s="92"/>
      <c r="L15" s="263"/>
      <c r="M15" s="175"/>
      <c r="N15" s="175"/>
      <c r="Q15" s="130"/>
      <c r="R15" s="130"/>
      <c r="S15" s="130"/>
      <c r="T15" s="130"/>
      <c r="U15" s="130"/>
      <c r="V15" s="130"/>
      <c r="W15" s="130"/>
      <c r="X15" s="130"/>
      <c r="Y15" s="130"/>
      <c r="Z15" s="130"/>
      <c r="AA15" s="130"/>
      <c r="AB15" s="130"/>
      <c r="AC15" s="130"/>
      <c r="AD15" s="130"/>
      <c r="AE15" s="130"/>
      <c r="AF15" s="130"/>
    </row>
    <row r="16" spans="1:32">
      <c r="F16" s="92"/>
      <c r="G16" s="186"/>
      <c r="H16" s="115"/>
      <c r="I16" s="181"/>
      <c r="J16" s="92"/>
      <c r="K16" s="92"/>
      <c r="L16" s="178"/>
      <c r="M16" s="175"/>
      <c r="N16" s="175"/>
      <c r="O16" s="194"/>
      <c r="P16" s="130"/>
      <c r="Q16" s="130"/>
      <c r="R16" s="130"/>
      <c r="S16" s="130"/>
      <c r="T16" s="130"/>
      <c r="U16" s="130"/>
      <c r="V16" s="130"/>
      <c r="W16" s="130"/>
      <c r="X16" s="130"/>
      <c r="Y16" s="130"/>
      <c r="Z16" s="130"/>
      <c r="AA16" s="130"/>
      <c r="AB16" s="130"/>
      <c r="AC16" s="130"/>
      <c r="AD16" s="130"/>
      <c r="AE16" s="130"/>
      <c r="AF16" s="130"/>
    </row>
    <row r="17" spans="1:34">
      <c r="B17" s="195"/>
      <c r="C17" s="83" t="s">
        <v>110</v>
      </c>
      <c r="D17" s="83" t="s">
        <v>111</v>
      </c>
      <c r="E17" s="83" t="s">
        <v>77</v>
      </c>
      <c r="F17" s="83" t="s">
        <v>112</v>
      </c>
      <c r="G17" s="83" t="s">
        <v>113</v>
      </c>
      <c r="H17" s="83" t="s">
        <v>114</v>
      </c>
      <c r="I17" s="47"/>
      <c r="J17" s="92"/>
      <c r="K17" s="92"/>
      <c r="L17" s="178"/>
      <c r="M17" s="263"/>
      <c r="N17" s="490"/>
      <c r="O17" s="490"/>
      <c r="P17" s="490"/>
      <c r="Q17" s="130"/>
      <c r="R17" s="130"/>
      <c r="S17" s="130"/>
      <c r="T17" s="130"/>
      <c r="U17" s="130"/>
      <c r="V17" s="130"/>
      <c r="W17" s="130"/>
      <c r="X17" s="130"/>
      <c r="Y17" s="130"/>
      <c r="Z17" s="130"/>
      <c r="AA17" s="130"/>
      <c r="AB17" s="130"/>
      <c r="AC17" s="130"/>
      <c r="AD17" s="130"/>
      <c r="AE17" s="130"/>
      <c r="AF17" s="130"/>
    </row>
    <row r="18" spans="1:34">
      <c r="A18" s="132"/>
      <c r="B18" s="187" t="s">
        <v>108</v>
      </c>
      <c r="C18" s="401"/>
      <c r="D18" s="189">
        <f>E4/G18</f>
        <v>2.0304633867276887</v>
      </c>
      <c r="E18" s="401"/>
      <c r="F18" s="400">
        <f>'FCFF &amp; FCFE'!C4</f>
        <v>-2968.6622772574265</v>
      </c>
      <c r="G18" s="402">
        <f>'Expected Growth Rate'!C8</f>
        <v>6992</v>
      </c>
      <c r="H18" s="190">
        <f>H4/G18</f>
        <v>-4.656971442009622E-2</v>
      </c>
      <c r="I18" s="178"/>
      <c r="J18" s="92"/>
      <c r="K18" s="92"/>
      <c r="L18" s="178"/>
      <c r="M18" s="175"/>
      <c r="N18" s="264"/>
      <c r="O18" s="134"/>
      <c r="P18" s="134"/>
      <c r="Q18" s="130"/>
      <c r="R18" s="130"/>
      <c r="S18" s="130"/>
      <c r="T18" s="130"/>
      <c r="U18" s="130"/>
      <c r="V18" s="130"/>
      <c r="W18" s="130"/>
      <c r="X18" s="130"/>
      <c r="Y18" s="130"/>
      <c r="Z18" s="130"/>
      <c r="AA18" s="130"/>
      <c r="AB18" s="130"/>
      <c r="AC18" s="130"/>
      <c r="AD18" s="130"/>
      <c r="AE18" s="130"/>
      <c r="AF18" s="130"/>
    </row>
    <row r="19" spans="1:34">
      <c r="B19" s="184">
        <v>1</v>
      </c>
      <c r="C19" s="380">
        <f>E5-E4</f>
        <v>3210.5200000000004</v>
      </c>
      <c r="D19" s="171">
        <f>D18</f>
        <v>2.0304633867276887</v>
      </c>
      <c r="E19" s="380">
        <f t="shared" ref="E19:E28" si="5">C19/D19</f>
        <v>1581.1760118334862</v>
      </c>
      <c r="F19" s="380">
        <f t="shared" ref="F19:F28" si="6">H5-E19</f>
        <v>-2315.9822913381004</v>
      </c>
      <c r="G19" s="403">
        <f t="shared" ref="G19:G27" si="7">G18+E19</f>
        <v>8573.176011833486</v>
      </c>
      <c r="H19" s="68">
        <f t="shared" ref="H19:H27" si="8">H5/G19</f>
        <v>-8.5709925760344446E-2</v>
      </c>
      <c r="I19" s="93"/>
      <c r="J19" s="92"/>
      <c r="K19" s="92"/>
      <c r="L19" s="178"/>
      <c r="M19" s="175"/>
      <c r="N19" s="222"/>
      <c r="O19" s="218"/>
      <c r="P19" s="175"/>
      <c r="Q19" s="130"/>
      <c r="R19" s="130"/>
      <c r="S19" s="130"/>
      <c r="T19" s="130"/>
      <c r="U19" s="130"/>
      <c r="V19" s="130"/>
      <c r="W19" s="130"/>
      <c r="X19" s="130"/>
      <c r="Y19" s="130"/>
      <c r="Z19" s="130"/>
      <c r="AA19" s="130"/>
      <c r="AB19" s="130"/>
      <c r="AC19" s="130"/>
      <c r="AD19" s="130"/>
      <c r="AE19" s="130"/>
      <c r="AF19" s="130"/>
    </row>
    <row r="20" spans="1:34">
      <c r="A20" s="132"/>
      <c r="B20" s="184">
        <f t="shared" ref="B20:B28" si="9">B19+1</f>
        <v>2</v>
      </c>
      <c r="C20" s="380">
        <f t="shared" ref="C20:C28" si="10">E6-E5</f>
        <v>3444.6464000000014</v>
      </c>
      <c r="D20" s="171">
        <f t="shared" ref="D20:D27" si="11">D19</f>
        <v>2.0304633867276887</v>
      </c>
      <c r="E20" s="380">
        <f t="shared" si="5"/>
        <v>1696.4828927801657</v>
      </c>
      <c r="F20" s="380">
        <f t="shared" si="6"/>
        <v>-2403.1918364104536</v>
      </c>
      <c r="G20" s="403">
        <f t="shared" si="7"/>
        <v>10269.658904613652</v>
      </c>
      <c r="H20" s="68">
        <f t="shared" si="8"/>
        <v>-6.8815230398041591E-2</v>
      </c>
      <c r="I20" s="93"/>
      <c r="J20" s="92"/>
      <c r="K20" s="92"/>
      <c r="L20" s="178"/>
      <c r="M20" s="175"/>
      <c r="N20" s="222"/>
      <c r="O20" s="218"/>
      <c r="P20" s="179"/>
      <c r="Q20" s="130"/>
      <c r="R20" s="130"/>
      <c r="S20" s="130"/>
      <c r="T20" s="130"/>
      <c r="U20" s="130"/>
      <c r="V20" s="130"/>
      <c r="W20" s="130"/>
      <c r="X20" s="130"/>
      <c r="Y20" s="130"/>
      <c r="Z20" s="130"/>
      <c r="AA20" s="130"/>
      <c r="AB20" s="130"/>
      <c r="AC20" s="130"/>
      <c r="AD20" s="130"/>
      <c r="AE20" s="130"/>
      <c r="AF20" s="130"/>
    </row>
    <row r="21" spans="1:34">
      <c r="B21" s="184">
        <f t="shared" si="9"/>
        <v>3</v>
      </c>
      <c r="C21" s="380">
        <f t="shared" si="10"/>
        <v>3692.3660799999998</v>
      </c>
      <c r="D21" s="171">
        <f t="shared" si="11"/>
        <v>2.0304633867276887</v>
      </c>
      <c r="E21" s="380">
        <f t="shared" si="5"/>
        <v>1818.4844425836445</v>
      </c>
      <c r="F21" s="380">
        <f t="shared" si="6"/>
        <v>-2427.1232721206084</v>
      </c>
      <c r="G21" s="403">
        <f t="shared" si="7"/>
        <v>12088.143347197296</v>
      </c>
      <c r="H21" s="68">
        <f t="shared" si="8"/>
        <v>-5.0350067173721952E-2</v>
      </c>
      <c r="I21" s="93"/>
      <c r="J21" s="92"/>
      <c r="K21" s="92"/>
      <c r="L21" s="178"/>
      <c r="M21" s="175"/>
      <c r="N21" s="175"/>
      <c r="O21" s="148"/>
      <c r="P21" s="265"/>
      <c r="Q21" s="130"/>
      <c r="R21" s="130"/>
      <c r="S21" s="130"/>
      <c r="T21" s="130"/>
      <c r="U21" s="130"/>
      <c r="V21" s="130"/>
      <c r="W21" s="130"/>
      <c r="X21" s="130"/>
      <c r="Y21" s="130"/>
      <c r="Z21" s="130"/>
      <c r="AA21" s="130"/>
      <c r="AB21" s="130"/>
      <c r="AC21" s="130"/>
      <c r="AD21" s="130"/>
      <c r="AE21" s="130"/>
      <c r="AF21" s="130"/>
    </row>
    <row r="22" spans="1:34">
      <c r="B22" s="184">
        <f t="shared" si="9"/>
        <v>4</v>
      </c>
      <c r="C22" s="380">
        <f t="shared" si="10"/>
        <v>3954.391900159997</v>
      </c>
      <c r="D22" s="171">
        <f t="shared" si="11"/>
        <v>2.0304633867276887</v>
      </c>
      <c r="E22" s="380">
        <f t="shared" si="5"/>
        <v>1947.5317437429528</v>
      </c>
      <c r="F22" s="380">
        <f t="shared" si="6"/>
        <v>-1448.4361090833916</v>
      </c>
      <c r="G22" s="403">
        <f t="shared" si="7"/>
        <v>14035.675090940249</v>
      </c>
      <c r="H22" s="68">
        <f t="shared" si="8"/>
        <v>3.5559075814010375E-2</v>
      </c>
      <c r="I22" s="93"/>
      <c r="J22" s="92"/>
      <c r="K22" s="92"/>
      <c r="L22" s="178"/>
      <c r="M22" s="175"/>
      <c r="N22" s="175"/>
      <c r="O22" s="130"/>
      <c r="P22" s="130"/>
      <c r="Q22" s="130"/>
      <c r="R22" s="130"/>
      <c r="S22" s="130"/>
      <c r="T22" s="130"/>
      <c r="U22" s="130"/>
      <c r="V22" s="130"/>
      <c r="W22" s="130"/>
      <c r="X22" s="130"/>
      <c r="Y22" s="130"/>
      <c r="Z22" s="130"/>
      <c r="AA22" s="130"/>
      <c r="AB22" s="130"/>
      <c r="AC22" s="130"/>
      <c r="AD22" s="130"/>
      <c r="AE22" s="130"/>
      <c r="AF22" s="130"/>
      <c r="AG22" s="130"/>
    </row>
    <row r="23" spans="1:34">
      <c r="B23" s="184">
        <f t="shared" si="9"/>
        <v>5</v>
      </c>
      <c r="C23" s="380">
        <f t="shared" si="10"/>
        <v>2685.714487705598</v>
      </c>
      <c r="D23" s="171">
        <f t="shared" si="11"/>
        <v>2.0304633867276887</v>
      </c>
      <c r="E23" s="380">
        <f t="shared" si="5"/>
        <v>1322.7101287622415</v>
      </c>
      <c r="F23" s="380">
        <f t="shared" si="6"/>
        <v>-1113.6719965225493</v>
      </c>
      <c r="G23" s="403">
        <f t="shared" si="7"/>
        <v>15358.38521970249</v>
      </c>
      <c r="H23" s="68">
        <f t="shared" si="8"/>
        <v>1.3610684277636674E-2</v>
      </c>
      <c r="I23" s="93"/>
      <c r="J23" s="92"/>
      <c r="K23" s="92"/>
      <c r="L23" s="178"/>
      <c r="M23" s="175"/>
      <c r="N23" s="175"/>
      <c r="O23" s="130"/>
      <c r="P23" s="130"/>
      <c r="Q23" s="130"/>
      <c r="R23" s="130"/>
      <c r="S23" s="130"/>
      <c r="T23" s="130"/>
      <c r="U23" s="130"/>
      <c r="V23" s="130"/>
      <c r="W23" s="130"/>
      <c r="X23" s="130"/>
      <c r="Y23" s="130"/>
      <c r="Z23" s="130"/>
      <c r="AA23" s="130"/>
      <c r="AB23" s="130"/>
      <c r="AC23" s="130"/>
      <c r="AD23" s="130"/>
      <c r="AE23" s="130"/>
      <c r="AF23" s="130"/>
      <c r="AG23" s="130"/>
      <c r="AH23" s="130"/>
    </row>
    <row r="24" spans="1:34">
      <c r="B24" s="184">
        <f t="shared" si="9"/>
        <v>6</v>
      </c>
      <c r="C24" s="380">
        <f t="shared" si="10"/>
        <v>2854.9733677137883</v>
      </c>
      <c r="D24" s="171">
        <f t="shared" si="11"/>
        <v>2.0304633867276887</v>
      </c>
      <c r="E24" s="380">
        <f t="shared" si="5"/>
        <v>1406.0698589177157</v>
      </c>
      <c r="F24" s="380">
        <f t="shared" si="6"/>
        <v>-751.18933259697144</v>
      </c>
      <c r="G24" s="403">
        <f t="shared" si="7"/>
        <v>16764.455078620205</v>
      </c>
      <c r="H24" s="68">
        <f t="shared" si="8"/>
        <v>3.9063633339082804E-2</v>
      </c>
      <c r="I24" s="93"/>
      <c r="J24" s="92"/>
      <c r="K24" s="92"/>
      <c r="L24" s="178"/>
      <c r="M24" s="175"/>
      <c r="N24" s="175"/>
      <c r="O24" s="130"/>
      <c r="P24" s="130"/>
      <c r="Q24" s="130"/>
      <c r="R24" s="130"/>
      <c r="S24" s="130"/>
      <c r="T24" s="130"/>
      <c r="U24" s="130"/>
      <c r="V24" s="130"/>
      <c r="W24" s="130"/>
      <c r="X24" s="130"/>
      <c r="Y24" s="130"/>
      <c r="Z24" s="130"/>
      <c r="AA24" s="130"/>
      <c r="AB24" s="130"/>
      <c r="AC24" s="130"/>
      <c r="AD24" s="130"/>
      <c r="AE24" s="130"/>
      <c r="AF24" s="130"/>
    </row>
    <row r="25" spans="1:34">
      <c r="B25" s="184">
        <f t="shared" si="9"/>
        <v>7</v>
      </c>
      <c r="C25" s="380">
        <f t="shared" si="10"/>
        <v>4705.3671404614506</v>
      </c>
      <c r="D25" s="171">
        <f t="shared" si="11"/>
        <v>2.0304633867276887</v>
      </c>
      <c r="E25" s="380">
        <f t="shared" si="5"/>
        <v>2317.3858594144162</v>
      </c>
      <c r="F25" s="380">
        <f t="shared" si="6"/>
        <v>-1317.2981287923276</v>
      </c>
      <c r="G25" s="403">
        <f t="shared" si="7"/>
        <v>19081.84093803462</v>
      </c>
      <c r="H25" s="68">
        <f t="shared" si="8"/>
        <v>5.2410442675301705E-2</v>
      </c>
      <c r="I25" s="93"/>
      <c r="J25" s="3"/>
      <c r="K25" s="3"/>
      <c r="L25" s="178"/>
      <c r="M25" s="178"/>
      <c r="N25" s="178"/>
      <c r="O25" s="130"/>
      <c r="P25" s="130"/>
      <c r="Q25" s="130"/>
      <c r="R25" s="130"/>
      <c r="S25" s="130"/>
      <c r="T25" s="130"/>
      <c r="U25" s="130"/>
      <c r="V25" s="130"/>
      <c r="W25" s="130"/>
      <c r="X25" s="130"/>
      <c r="Y25" s="130"/>
      <c r="Z25" s="130"/>
      <c r="AA25" s="130"/>
      <c r="AB25" s="130"/>
      <c r="AC25" s="130"/>
      <c r="AD25" s="130"/>
      <c r="AE25" s="130"/>
      <c r="AF25" s="130"/>
    </row>
    <row r="26" spans="1:34">
      <c r="B26" s="184">
        <f t="shared" si="9"/>
        <v>8</v>
      </c>
      <c r="C26" s="380">
        <f t="shared" si="10"/>
        <v>3288.5661535815379</v>
      </c>
      <c r="D26" s="171">
        <f t="shared" si="11"/>
        <v>2.0304633867276887</v>
      </c>
      <c r="E26" s="380">
        <f t="shared" si="5"/>
        <v>1619.6136187815816</v>
      </c>
      <c r="F26" s="380">
        <f t="shared" si="6"/>
        <v>-232.65918891196998</v>
      </c>
      <c r="G26" s="403">
        <f t="shared" si="7"/>
        <v>20701.454556816203</v>
      </c>
      <c r="H26" s="68">
        <f t="shared" si="8"/>
        <v>6.6997921622514209E-2</v>
      </c>
      <c r="I26" s="93"/>
      <c r="J26" s="92"/>
      <c r="K26" s="130"/>
      <c r="L26" s="130"/>
      <c r="M26" s="135"/>
      <c r="N26" s="130"/>
      <c r="O26" s="130"/>
      <c r="P26" s="130"/>
      <c r="Q26" s="130"/>
      <c r="R26" s="130"/>
      <c r="S26" s="130"/>
      <c r="T26" s="130"/>
      <c r="U26" s="130"/>
      <c r="V26" s="130"/>
      <c r="W26" s="130"/>
      <c r="X26" s="130"/>
      <c r="Y26" s="130"/>
      <c r="Z26" s="130"/>
      <c r="AA26" s="130"/>
      <c r="AB26" s="130"/>
      <c r="AC26" s="130"/>
      <c r="AD26" s="130"/>
      <c r="AE26" s="130"/>
      <c r="AF26" s="130"/>
    </row>
    <row r="27" spans="1:34">
      <c r="B27" s="184">
        <f t="shared" si="9"/>
        <v>9</v>
      </c>
      <c r="C27" s="380">
        <f t="shared" si="10"/>
        <v>3489.6594788663861</v>
      </c>
      <c r="D27" s="171">
        <f t="shared" si="11"/>
        <v>2.0304633867276887</v>
      </c>
      <c r="E27" s="380">
        <f t="shared" si="5"/>
        <v>1718.6517627832482</v>
      </c>
      <c r="F27" s="380">
        <f t="shared" si="6"/>
        <v>381.92253187662391</v>
      </c>
      <c r="G27" s="403">
        <f t="shared" si="7"/>
        <v>22420.10631959945</v>
      </c>
      <c r="H27" s="68">
        <f t="shared" si="8"/>
        <v>9.3691540294952538E-2</v>
      </c>
      <c r="I27" s="93"/>
      <c r="J27" s="92"/>
      <c r="K27" s="130"/>
      <c r="L27" s="130"/>
      <c r="O27" s="130"/>
      <c r="P27" s="130"/>
      <c r="Q27" s="130"/>
      <c r="R27" s="130"/>
      <c r="S27" s="130"/>
      <c r="T27" s="130"/>
      <c r="U27" s="130"/>
      <c r="V27" s="130"/>
      <c r="W27" s="130"/>
      <c r="X27" s="130"/>
      <c r="Y27" s="130"/>
      <c r="Z27" s="130"/>
      <c r="AA27" s="130"/>
      <c r="AB27" s="130"/>
      <c r="AC27" s="130"/>
      <c r="AD27" s="130"/>
      <c r="AE27" s="130"/>
      <c r="AF27" s="130"/>
      <c r="AG27" s="130"/>
      <c r="AH27" s="130"/>
    </row>
    <row r="28" spans="1:34">
      <c r="B28" s="184">
        <f t="shared" si="9"/>
        <v>10</v>
      </c>
      <c r="C28" s="380">
        <f t="shared" si="10"/>
        <v>5582.2289283170685</v>
      </c>
      <c r="D28" s="171">
        <f>D27</f>
        <v>2.0304633867276887</v>
      </c>
      <c r="E28" s="380">
        <f t="shared" si="5"/>
        <v>2749.2389002460341</v>
      </c>
      <c r="F28" s="380">
        <f t="shared" si="6"/>
        <v>280.77672515021777</v>
      </c>
      <c r="G28" s="403">
        <f>G27+E28</f>
        <v>25169.345219845483</v>
      </c>
      <c r="H28" s="68">
        <f>H14/G28</f>
        <v>0.12038515896739142</v>
      </c>
      <c r="I28" s="93"/>
      <c r="J28" s="158"/>
      <c r="K28" s="130"/>
      <c r="L28" s="130"/>
      <c r="O28" s="130"/>
      <c r="P28" s="130"/>
      <c r="Q28" s="130"/>
      <c r="R28" s="130"/>
      <c r="S28" s="130"/>
      <c r="T28" s="130"/>
      <c r="U28" s="130"/>
      <c r="V28" s="130"/>
      <c r="W28" s="130"/>
      <c r="X28" s="130"/>
      <c r="Y28" s="130"/>
      <c r="Z28" s="130"/>
      <c r="AA28" s="130"/>
      <c r="AB28" s="130"/>
      <c r="AC28" s="130"/>
      <c r="AD28" s="130"/>
      <c r="AE28" s="130"/>
      <c r="AF28" s="130"/>
      <c r="AG28" s="130"/>
      <c r="AH28" s="130"/>
    </row>
    <row r="29" spans="1:34">
      <c r="E29" s="183"/>
      <c r="K29" s="130"/>
      <c r="L29" s="130"/>
      <c r="O29" s="130"/>
      <c r="P29" s="130"/>
      <c r="Q29" s="130"/>
      <c r="R29" s="130"/>
      <c r="S29" s="130"/>
      <c r="T29" s="130"/>
      <c r="U29" s="130"/>
      <c r="V29" s="130"/>
      <c r="W29" s="130"/>
      <c r="X29" s="130"/>
      <c r="Y29" s="130"/>
      <c r="Z29" s="130"/>
      <c r="AA29" s="130"/>
      <c r="AB29" s="130"/>
      <c r="AC29" s="130"/>
      <c r="AD29" s="130"/>
      <c r="AE29" s="130"/>
      <c r="AF29" s="130"/>
      <c r="AG29" s="130"/>
      <c r="AH29" s="130"/>
    </row>
    <row r="30" spans="1:34" ht="14.25" customHeight="1">
      <c r="J30" s="100"/>
      <c r="K30" s="130"/>
      <c r="L30" s="130"/>
      <c r="P30" s="130"/>
      <c r="Q30" s="130"/>
      <c r="R30" s="130"/>
      <c r="S30" s="130"/>
      <c r="T30" s="130"/>
      <c r="U30" s="130"/>
      <c r="V30" s="130"/>
      <c r="W30" s="130"/>
      <c r="X30" s="130"/>
      <c r="Y30" s="130"/>
      <c r="Z30" s="130"/>
      <c r="AA30" s="130"/>
      <c r="AB30" s="130"/>
      <c r="AC30" s="130"/>
      <c r="AD30" s="130"/>
      <c r="AE30" s="130"/>
      <c r="AF30" s="130"/>
      <c r="AG30" s="130"/>
      <c r="AH30" s="130"/>
    </row>
    <row r="31" spans="1:34">
      <c r="G31" s="130"/>
      <c r="H31" s="130"/>
      <c r="I31" s="130"/>
      <c r="J31" s="130"/>
      <c r="K31" s="130"/>
      <c r="L31" s="130"/>
      <c r="M31" s="130"/>
      <c r="N31" s="130"/>
      <c r="P31" s="130"/>
      <c r="Q31" s="130"/>
      <c r="R31" s="130"/>
      <c r="S31" s="130"/>
      <c r="T31" s="130"/>
      <c r="U31" s="130"/>
      <c r="V31" s="130"/>
      <c r="W31" s="130"/>
      <c r="X31" s="130"/>
      <c r="Y31" s="130"/>
      <c r="Z31" s="130"/>
      <c r="AA31" s="130"/>
      <c r="AB31" s="130"/>
      <c r="AC31" s="130"/>
      <c r="AD31" s="130"/>
      <c r="AE31" s="130"/>
      <c r="AF31" s="130"/>
      <c r="AG31" s="130"/>
      <c r="AH31" s="130"/>
    </row>
    <row r="32" spans="1:34">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row>
    <row r="33" spans="4:34">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row>
    <row r="34" spans="4:34">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row>
    <row r="35" spans="4:34">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row>
    <row r="36" spans="4:34">
      <c r="D36" s="491" t="s">
        <v>365</v>
      </c>
      <c r="E36" s="491"/>
      <c r="F36" s="491"/>
      <c r="G36" s="491"/>
      <c r="H36" s="491"/>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row>
    <row r="37" spans="4:34">
      <c r="D37" s="297" t="s">
        <v>357</v>
      </c>
      <c r="E37" s="297" t="s">
        <v>362</v>
      </c>
      <c r="F37" s="297" t="s">
        <v>206</v>
      </c>
      <c r="G37" s="297" t="s">
        <v>363</v>
      </c>
      <c r="H37" s="297" t="s">
        <v>364</v>
      </c>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row>
    <row r="38" spans="4:34">
      <c r="D38" s="153" t="s">
        <v>358</v>
      </c>
      <c r="E38" s="494">
        <v>10093</v>
      </c>
      <c r="F38" s="494">
        <v>9453</v>
      </c>
      <c r="G38" s="494">
        <v>9320</v>
      </c>
      <c r="H38" s="494">
        <f>AVERAGE(E38:G38)</f>
        <v>9622</v>
      </c>
      <c r="I38" s="130"/>
      <c r="J38" s="130"/>
      <c r="K38" s="130"/>
      <c r="L38" s="130"/>
      <c r="O38" s="130"/>
      <c r="P38" s="130"/>
      <c r="Q38" s="130"/>
      <c r="R38" s="130"/>
      <c r="S38" s="130"/>
      <c r="T38" s="130"/>
      <c r="U38" s="130"/>
      <c r="V38" s="130"/>
      <c r="W38" s="130"/>
      <c r="X38" s="130"/>
      <c r="Y38" s="130"/>
      <c r="Z38" s="130"/>
      <c r="AA38" s="130"/>
      <c r="AB38" s="130"/>
      <c r="AC38" s="130"/>
      <c r="AD38" s="130"/>
      <c r="AE38" s="130"/>
      <c r="AF38" s="130"/>
      <c r="AG38" s="130"/>
      <c r="AH38" s="130"/>
    </row>
    <row r="39" spans="4:34">
      <c r="D39" s="153" t="s">
        <v>359</v>
      </c>
      <c r="E39" s="494">
        <v>17945</v>
      </c>
      <c r="F39" s="494">
        <v>16359</v>
      </c>
      <c r="G39" s="494">
        <v>16103</v>
      </c>
      <c r="H39" s="494">
        <f t="shared" ref="H39:H41" si="12">AVERAGE(E39:G39)</f>
        <v>16802.333333333332</v>
      </c>
    </row>
    <row r="40" spans="4:34">
      <c r="D40" s="153" t="s">
        <v>360</v>
      </c>
      <c r="E40" s="494">
        <v>22476</v>
      </c>
      <c r="F40" s="494">
        <v>21346</v>
      </c>
      <c r="G40" s="494">
        <v>22369</v>
      </c>
      <c r="H40" s="494">
        <f t="shared" si="12"/>
        <v>22063.666666666668</v>
      </c>
    </row>
    <row r="41" spans="4:34">
      <c r="D41" s="153" t="s">
        <v>361</v>
      </c>
      <c r="E41" s="494">
        <v>10127</v>
      </c>
      <c r="F41" s="494">
        <v>9774</v>
      </c>
      <c r="G41" s="494">
        <v>9557</v>
      </c>
      <c r="H41" s="494">
        <f t="shared" si="12"/>
        <v>9819.3333333333339</v>
      </c>
    </row>
    <row r="43" spans="4:34">
      <c r="D43" s="491" t="s">
        <v>370</v>
      </c>
      <c r="E43" s="491"/>
      <c r="F43" s="491"/>
      <c r="G43" s="491"/>
      <c r="H43" s="491"/>
    </row>
    <row r="44" spans="4:34">
      <c r="D44" s="297" t="s">
        <v>366</v>
      </c>
      <c r="E44" s="297" t="s">
        <v>362</v>
      </c>
      <c r="F44" s="297" t="s">
        <v>206</v>
      </c>
      <c r="G44" s="297" t="s">
        <v>363</v>
      </c>
      <c r="H44" s="297" t="s">
        <v>364</v>
      </c>
    </row>
    <row r="45" spans="4:34">
      <c r="D45" s="153" t="s">
        <v>367</v>
      </c>
      <c r="E45" s="494">
        <v>2728</v>
      </c>
      <c r="F45" s="494">
        <v>1944</v>
      </c>
      <c r="G45" s="494">
        <v>1619</v>
      </c>
      <c r="H45" s="494">
        <f>AVERAGE(E45:G45)</f>
        <v>2097</v>
      </c>
    </row>
    <row r="46" spans="4:34">
      <c r="D46" s="153" t="s">
        <v>368</v>
      </c>
      <c r="E46" s="494">
        <v>8207</v>
      </c>
      <c r="F46" s="494">
        <v>7855</v>
      </c>
      <c r="G46" s="494">
        <v>6841</v>
      </c>
      <c r="H46" s="494">
        <f t="shared" ref="H46:H47" si="13">AVERAGE(E46:G46)</f>
        <v>7634.333333333333</v>
      </c>
    </row>
    <row r="47" spans="4:34">
      <c r="D47" s="153" t="s">
        <v>369</v>
      </c>
      <c r="E47" s="494">
        <v>20878</v>
      </c>
      <c r="F47" s="494">
        <v>19361</v>
      </c>
      <c r="G47" s="494">
        <v>19909</v>
      </c>
      <c r="H47" s="494">
        <f t="shared" si="13"/>
        <v>20049.333333333332</v>
      </c>
    </row>
  </sheetData>
  <mergeCells count="3">
    <mergeCell ref="N17:P17"/>
    <mergeCell ref="D36:H36"/>
    <mergeCell ref="D43:H43"/>
  </mergeCells>
  <pageMargins left="0.7" right="0.7" top="0.75" bottom="0.75" header="0.3" footer="0.3"/>
  <pageSetup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25" customWidth="1"/>
    <col min="2" max="2" width="23.85546875" style="125" customWidth="1"/>
    <col min="3" max="3" width="15.28515625" style="125" customWidth="1"/>
    <col min="4" max="4" width="4.85546875" style="125" customWidth="1"/>
    <col min="5" max="5" width="5.140625" style="125" customWidth="1"/>
    <col min="6" max="6" width="24.28515625" style="125" customWidth="1"/>
    <col min="7" max="7" width="10.140625" style="125" customWidth="1" collapsed="1"/>
    <col min="8" max="9" width="10.42578125" style="125" customWidth="1"/>
    <col min="10" max="10" width="9.140625" style="125" customWidth="1"/>
    <col min="11" max="11" width="9" style="125" customWidth="1"/>
    <col min="12" max="12" width="9.85546875" style="125" customWidth="1"/>
    <col min="13"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104</v>
      </c>
      <c r="C1" s="123"/>
      <c r="D1" s="123"/>
      <c r="E1" s="123"/>
      <c r="F1" s="123"/>
      <c r="G1" s="123"/>
      <c r="H1" s="123"/>
      <c r="I1" s="123"/>
      <c r="J1" s="123"/>
      <c r="K1" s="123"/>
      <c r="L1" s="123"/>
    </row>
    <row r="2" spans="1:32" ht="12" customHeight="1">
      <c r="C2" s="148"/>
    </row>
    <row r="3" spans="1:32" ht="12" customHeight="1">
      <c r="A3" s="127"/>
      <c r="B3" s="151" t="s">
        <v>116</v>
      </c>
      <c r="C3" s="176">
        <v>0.02</v>
      </c>
      <c r="F3" s="491" t="s">
        <v>120</v>
      </c>
      <c r="G3" s="491"/>
      <c r="H3" s="491"/>
      <c r="I3" s="491"/>
      <c r="J3" s="491"/>
      <c r="K3" s="491"/>
      <c r="L3" s="159"/>
      <c r="M3" s="159"/>
      <c r="N3" s="159"/>
      <c r="O3" s="159"/>
      <c r="P3" s="159"/>
      <c r="Q3" s="159"/>
    </row>
    <row r="4" spans="1:32" ht="12" customHeight="1">
      <c r="A4" s="132"/>
      <c r="B4" s="141" t="s">
        <v>117</v>
      </c>
      <c r="C4" s="79">
        <f>'Future Cashflows (10 Yrs)'!H28</f>
        <v>0.12038515896739142</v>
      </c>
      <c r="F4" s="89" t="s">
        <v>50</v>
      </c>
      <c r="G4" s="79">
        <f>'Risk Free Rate'!C3</f>
        <v>3.8289999999999998E-2</v>
      </c>
      <c r="H4" s="138"/>
      <c r="I4" s="138"/>
      <c r="J4" s="138"/>
      <c r="K4" s="142"/>
      <c r="L4" s="210"/>
      <c r="M4" s="210"/>
      <c r="N4" s="210"/>
      <c r="O4" s="210"/>
      <c r="P4" s="210"/>
      <c r="Q4" s="126"/>
      <c r="S4" s="129"/>
      <c r="T4" s="129"/>
      <c r="U4" s="129"/>
      <c r="V4" s="129"/>
      <c r="AA4" s="129"/>
    </row>
    <row r="5" spans="1:32" ht="12" customHeight="1">
      <c r="A5" s="132"/>
      <c r="B5" s="144" t="s">
        <v>106</v>
      </c>
      <c r="C5" s="198">
        <f>C3/C4</f>
        <v>0.16613343514724582</v>
      </c>
      <c r="F5" s="89" t="s">
        <v>12</v>
      </c>
      <c r="G5" s="79">
        <f>'Carvana ERP'!E6</f>
        <v>5.2999999999999999E-2</v>
      </c>
      <c r="H5" s="138"/>
      <c r="I5" s="138"/>
      <c r="J5" s="138"/>
      <c r="K5" s="142"/>
      <c r="L5" s="46"/>
      <c r="M5" s="46"/>
      <c r="N5" s="46"/>
      <c r="O5" s="46"/>
      <c r="P5" s="46"/>
      <c r="Q5" s="46"/>
      <c r="S5" s="130"/>
      <c r="T5" s="130"/>
      <c r="U5" s="130"/>
      <c r="V5" s="130"/>
      <c r="W5" s="130"/>
      <c r="X5" s="130"/>
      <c r="Y5" s="130"/>
      <c r="Z5" s="130"/>
      <c r="AA5" s="130"/>
      <c r="AB5" s="130"/>
      <c r="AC5" s="130"/>
      <c r="AD5" s="130"/>
      <c r="AE5" s="130"/>
      <c r="AF5" s="130"/>
    </row>
    <row r="6" spans="1:32" ht="12" customHeight="1">
      <c r="A6" s="132"/>
      <c r="B6" s="138"/>
      <c r="C6" s="138"/>
      <c r="F6" s="89" t="s">
        <v>130</v>
      </c>
      <c r="G6" s="111">
        <f>Beta!G27</f>
        <v>1.36</v>
      </c>
      <c r="H6" s="201" t="s">
        <v>295</v>
      </c>
      <c r="I6" s="138"/>
      <c r="J6" s="138"/>
      <c r="K6" s="142"/>
      <c r="L6" s="154"/>
      <c r="M6" s="154"/>
      <c r="N6" s="154"/>
      <c r="O6" s="154"/>
      <c r="P6" s="154"/>
      <c r="Q6" s="154"/>
      <c r="S6" s="130"/>
      <c r="T6" s="130"/>
      <c r="U6" s="130"/>
      <c r="V6" s="130"/>
      <c r="W6" s="130"/>
      <c r="X6" s="130"/>
      <c r="Y6" s="130"/>
      <c r="Z6" s="130"/>
      <c r="AA6" s="130"/>
      <c r="AB6" s="130"/>
      <c r="AC6" s="130"/>
      <c r="AD6" s="130"/>
      <c r="AE6" s="130"/>
      <c r="AF6" s="130"/>
    </row>
    <row r="7" spans="1:32" ht="12" customHeight="1">
      <c r="B7" s="141" t="s">
        <v>118</v>
      </c>
      <c r="C7" s="119">
        <f>('Future Cashflows (10 Yrs)'!C14*(1+'Future Cashflows (10 Yrs)'!$K$4))*'Future Cashflows (10 Yrs)'!D14*'Future Cashflows (10 Yrs)'!F14</f>
        <v>3988.8813296355715</v>
      </c>
      <c r="F7" s="19"/>
      <c r="G7" s="19"/>
      <c r="H7" s="138"/>
      <c r="I7" s="138"/>
      <c r="J7" s="138"/>
      <c r="K7" s="138"/>
      <c r="N7" s="130"/>
      <c r="O7" s="130"/>
      <c r="P7" s="148"/>
      <c r="Q7" s="154"/>
      <c r="S7" s="130"/>
      <c r="T7" s="130"/>
      <c r="U7" s="130"/>
      <c r="V7" s="130"/>
      <c r="W7" s="130"/>
      <c r="X7" s="130"/>
      <c r="Y7" s="130"/>
      <c r="Z7" s="130"/>
      <c r="AA7" s="130"/>
      <c r="AB7" s="130"/>
      <c r="AC7" s="130"/>
      <c r="AD7" s="130"/>
      <c r="AE7" s="130"/>
      <c r="AF7" s="130"/>
    </row>
    <row r="8" spans="1:32" ht="12" customHeight="1">
      <c r="A8" s="132"/>
      <c r="B8" s="141" t="s">
        <v>119</v>
      </c>
      <c r="C8" s="79">
        <f>'Future Cashflows (10 Yrs)'!K3</f>
        <v>0.21</v>
      </c>
      <c r="F8" s="89" t="s">
        <v>9</v>
      </c>
      <c r="G8" s="52">
        <f>G4+G6*G5</f>
        <v>0.11037</v>
      </c>
      <c r="H8" s="138"/>
      <c r="I8" s="138"/>
      <c r="J8" s="138"/>
      <c r="K8" s="202"/>
      <c r="O8" s="130"/>
      <c r="P8" s="130"/>
      <c r="Q8" s="130"/>
      <c r="R8" s="130"/>
      <c r="S8" s="130"/>
      <c r="T8" s="130"/>
      <c r="U8" s="130"/>
      <c r="V8" s="130"/>
      <c r="W8" s="130"/>
      <c r="X8" s="130"/>
      <c r="Y8" s="130"/>
      <c r="Z8" s="130"/>
      <c r="AA8" s="130"/>
      <c r="AB8" s="130"/>
      <c r="AC8" s="130"/>
      <c r="AD8" s="130"/>
      <c r="AE8" s="130"/>
      <c r="AF8" s="130"/>
    </row>
    <row r="9" spans="1:32" ht="12" customHeight="1">
      <c r="A9" s="132"/>
      <c r="B9" s="144" t="s">
        <v>75</v>
      </c>
      <c r="C9" s="145">
        <f>C7*(1-C8)</f>
        <v>3151.2162504121015</v>
      </c>
      <c r="F9" s="138"/>
      <c r="G9" s="138"/>
      <c r="H9" s="138"/>
      <c r="I9" s="138"/>
      <c r="J9" s="138"/>
      <c r="K9" s="185"/>
      <c r="O9" s="130"/>
      <c r="P9" s="130"/>
      <c r="Q9" s="130"/>
      <c r="R9" s="130"/>
      <c r="S9" s="130"/>
      <c r="T9" s="130"/>
      <c r="U9" s="130"/>
      <c r="V9" s="130"/>
      <c r="W9" s="130"/>
      <c r="X9" s="130"/>
      <c r="Y9" s="130"/>
      <c r="Z9" s="130"/>
      <c r="AA9" s="130"/>
      <c r="AB9" s="130"/>
      <c r="AC9" s="130"/>
      <c r="AD9" s="130"/>
      <c r="AE9" s="130"/>
      <c r="AF9" s="130"/>
    </row>
    <row r="10" spans="1:32">
      <c r="A10" s="128"/>
      <c r="B10" s="141"/>
      <c r="C10" s="206"/>
      <c r="F10" s="89" t="s">
        <v>53</v>
      </c>
      <c r="G10" s="81">
        <f>'Cost of Equity &amp; Debt'!C15</f>
        <v>3.8289999999999998E-2</v>
      </c>
      <c r="H10" s="138"/>
      <c r="I10" s="138"/>
      <c r="J10" s="153"/>
      <c r="K10" s="185"/>
      <c r="O10" s="130"/>
      <c r="P10" s="130"/>
      <c r="Q10" s="130"/>
      <c r="R10" s="130"/>
      <c r="S10" s="130"/>
      <c r="T10" s="130"/>
      <c r="U10" s="130"/>
      <c r="V10" s="130"/>
      <c r="W10" s="130"/>
      <c r="X10" s="130"/>
      <c r="Y10" s="130"/>
      <c r="Z10" s="130"/>
      <c r="AA10" s="130"/>
      <c r="AB10" s="130"/>
      <c r="AC10" s="130"/>
      <c r="AD10" s="130"/>
      <c r="AE10" s="130"/>
      <c r="AF10" s="130"/>
    </row>
    <row r="11" spans="1:32" ht="12.75" customHeight="1">
      <c r="A11" s="132"/>
      <c r="B11" s="141" t="s">
        <v>121</v>
      </c>
      <c r="C11" s="207">
        <f>C9*(1-C5)</f>
        <v>2627.6938698393155</v>
      </c>
      <c r="F11" s="89" t="s">
        <v>52</v>
      </c>
      <c r="G11" s="111">
        <v>0</v>
      </c>
      <c r="H11" s="138"/>
      <c r="I11" s="138"/>
      <c r="J11" s="155"/>
      <c r="K11" s="185"/>
      <c r="O11" s="130"/>
      <c r="P11" s="130"/>
      <c r="Q11" s="130"/>
      <c r="R11" s="130"/>
      <c r="S11" s="130"/>
      <c r="T11" s="130"/>
      <c r="U11" s="130"/>
      <c r="V11" s="130"/>
      <c r="W11" s="130"/>
      <c r="X11" s="130"/>
      <c r="Y11" s="130"/>
      <c r="Z11" s="130"/>
      <c r="AA11" s="130"/>
      <c r="AB11" s="130"/>
      <c r="AC11" s="130"/>
      <c r="AD11" s="130"/>
      <c r="AE11" s="130"/>
      <c r="AF11" s="130"/>
    </row>
    <row r="12" spans="1:32">
      <c r="B12" s="185"/>
      <c r="C12" s="138"/>
      <c r="F12" s="89" t="s">
        <v>290</v>
      </c>
      <c r="G12" s="79">
        <f>'Risk Free Rate'!C7</f>
        <v>0</v>
      </c>
      <c r="H12" s="201"/>
      <c r="I12" s="138"/>
      <c r="J12" s="155"/>
      <c r="K12" s="185"/>
      <c r="L12" s="159"/>
      <c r="M12" s="159"/>
      <c r="N12" s="159"/>
      <c r="O12" s="159"/>
      <c r="P12" s="159"/>
      <c r="Q12" s="159"/>
      <c r="R12" s="130"/>
      <c r="S12" s="130"/>
      <c r="T12" s="130"/>
      <c r="U12" s="130"/>
      <c r="V12" s="130"/>
      <c r="W12" s="130"/>
      <c r="X12" s="130"/>
      <c r="Y12" s="130"/>
      <c r="Z12" s="130"/>
      <c r="AA12" s="130"/>
      <c r="AB12" s="130"/>
      <c r="AC12" s="130"/>
      <c r="AD12" s="130"/>
      <c r="AE12" s="130"/>
      <c r="AF12" s="130"/>
    </row>
    <row r="13" spans="1:32" ht="12" customHeight="1">
      <c r="A13" s="132"/>
      <c r="B13" s="49" t="s">
        <v>104</v>
      </c>
      <c r="C13" s="208">
        <f>C11/(G19-C3)</f>
        <v>32677.706181912778</v>
      </c>
      <c r="D13" s="2"/>
      <c r="E13" s="6"/>
      <c r="F13" s="49" t="s">
        <v>167</v>
      </c>
      <c r="G13" s="79">
        <v>0.08</v>
      </c>
      <c r="H13" s="201" t="s">
        <v>291</v>
      </c>
      <c r="I13" s="138"/>
      <c r="J13" s="155"/>
      <c r="K13" s="185"/>
      <c r="O13" s="130"/>
      <c r="P13" s="130"/>
      <c r="Q13" s="130"/>
      <c r="R13" s="130"/>
      <c r="S13" s="130"/>
      <c r="T13" s="130"/>
      <c r="U13" s="130"/>
      <c r="V13" s="130"/>
      <c r="W13" s="130"/>
      <c r="X13" s="130"/>
      <c r="Y13" s="130"/>
      <c r="Z13" s="130"/>
      <c r="AA13" s="130"/>
      <c r="AB13" s="130"/>
      <c r="AC13" s="130"/>
      <c r="AD13" s="130"/>
      <c r="AE13" s="130"/>
      <c r="AF13" s="130"/>
    </row>
    <row r="14" spans="1:32">
      <c r="D14" s="2"/>
      <c r="E14" s="6"/>
      <c r="F14" s="30"/>
      <c r="G14" s="19"/>
      <c r="H14" s="138"/>
      <c r="I14" s="138"/>
      <c r="J14" s="155"/>
      <c r="K14" s="185"/>
      <c r="O14" s="130"/>
      <c r="P14" s="130"/>
      <c r="Q14" s="130"/>
      <c r="R14" s="130"/>
      <c r="S14" s="130"/>
      <c r="T14" s="130"/>
      <c r="U14" s="130"/>
      <c r="V14" s="130"/>
      <c r="W14" s="130"/>
      <c r="X14" s="130"/>
      <c r="Y14" s="130"/>
      <c r="Z14" s="130"/>
      <c r="AA14" s="130"/>
      <c r="AB14" s="130"/>
      <c r="AC14" s="130"/>
      <c r="AD14" s="130"/>
      <c r="AE14" s="130"/>
      <c r="AF14" s="130"/>
    </row>
    <row r="15" spans="1:32">
      <c r="D15" s="6"/>
      <c r="E15" s="6"/>
      <c r="F15" s="89" t="s">
        <v>10</v>
      </c>
      <c r="G15" s="52">
        <f>G10+(G11*G12)+G13</f>
        <v>0.11829000000000001</v>
      </c>
      <c r="H15" s="138"/>
      <c r="I15" s="138"/>
      <c r="J15" s="155"/>
      <c r="K15" s="185"/>
      <c r="O15" s="130"/>
      <c r="P15" s="130"/>
      <c r="Q15" s="130"/>
      <c r="R15" s="130"/>
      <c r="S15" s="130"/>
      <c r="T15" s="130"/>
      <c r="U15" s="130"/>
      <c r="V15" s="130"/>
      <c r="W15" s="130"/>
      <c r="X15" s="130"/>
      <c r="Y15" s="130"/>
      <c r="Z15" s="130"/>
      <c r="AA15" s="130"/>
      <c r="AB15" s="130"/>
      <c r="AC15" s="130"/>
      <c r="AD15" s="130"/>
      <c r="AE15" s="130"/>
      <c r="AF15" s="130"/>
    </row>
    <row r="16" spans="1:32">
      <c r="B16" s="24"/>
      <c r="C16" s="70"/>
      <c r="D16" s="25"/>
      <c r="E16" s="6"/>
      <c r="F16" s="138"/>
      <c r="G16" s="138"/>
      <c r="H16" s="138"/>
      <c r="I16" s="138"/>
      <c r="J16" s="155"/>
      <c r="K16" s="185"/>
      <c r="O16" s="130"/>
      <c r="P16" s="130"/>
      <c r="Q16" s="130"/>
      <c r="R16" s="130"/>
      <c r="S16" s="130"/>
      <c r="T16" s="130"/>
      <c r="U16" s="130"/>
      <c r="V16" s="130"/>
      <c r="W16" s="130"/>
      <c r="X16" s="130"/>
      <c r="Y16" s="130"/>
      <c r="Z16" s="130"/>
      <c r="AA16" s="130"/>
      <c r="AB16" s="130"/>
      <c r="AC16" s="130"/>
      <c r="AD16" s="130"/>
      <c r="AE16" s="130"/>
      <c r="AF16" s="130"/>
    </row>
    <row r="17" spans="1:32">
      <c r="B17" s="24"/>
      <c r="C17" s="199"/>
      <c r="D17" s="6"/>
      <c r="E17" s="25"/>
      <c r="F17" s="141" t="s">
        <v>122</v>
      </c>
      <c r="G17" s="21">
        <v>0.58847736625514402</v>
      </c>
      <c r="H17" s="201" t="s">
        <v>294</v>
      </c>
      <c r="I17" s="138"/>
      <c r="J17" s="155"/>
      <c r="K17" s="185"/>
      <c r="L17" s="130"/>
      <c r="O17" s="130"/>
      <c r="P17" s="130"/>
      <c r="Q17" s="130"/>
      <c r="R17" s="130"/>
      <c r="S17" s="130"/>
      <c r="T17" s="130"/>
      <c r="U17" s="130"/>
      <c r="V17" s="130"/>
      <c r="W17" s="130"/>
      <c r="X17" s="130"/>
      <c r="Y17" s="130"/>
      <c r="Z17" s="130"/>
      <c r="AA17" s="130"/>
      <c r="AB17" s="130"/>
      <c r="AC17" s="130"/>
      <c r="AD17" s="130"/>
      <c r="AE17" s="130"/>
      <c r="AF17" s="130"/>
    </row>
    <row r="18" spans="1:32">
      <c r="A18" s="132"/>
      <c r="B18" s="3"/>
      <c r="C18" s="3"/>
      <c r="D18" s="6"/>
      <c r="E18" s="6"/>
      <c r="F18" s="141" t="s">
        <v>123</v>
      </c>
      <c r="G18" s="203">
        <f>1-G17</f>
        <v>0.41152263374485598</v>
      </c>
      <c r="H18" s="138"/>
      <c r="I18" s="138"/>
      <c r="J18" s="155"/>
      <c r="K18" s="185"/>
      <c r="L18" s="130"/>
      <c r="M18" s="130"/>
      <c r="N18" s="130"/>
      <c r="O18" s="130"/>
      <c r="P18" s="130"/>
      <c r="Q18" s="130"/>
      <c r="R18" s="130"/>
      <c r="S18" s="130"/>
      <c r="T18" s="130"/>
      <c r="U18" s="130"/>
      <c r="V18" s="130"/>
      <c r="W18" s="130"/>
      <c r="X18" s="130"/>
      <c r="Y18" s="130"/>
      <c r="Z18" s="130"/>
      <c r="AA18" s="130"/>
      <c r="AB18" s="130"/>
      <c r="AC18" s="130"/>
      <c r="AD18" s="130"/>
      <c r="AE18" s="130"/>
      <c r="AF18" s="130"/>
    </row>
    <row r="19" spans="1:32">
      <c r="B19" s="24"/>
      <c r="C19" s="55"/>
      <c r="D19" s="6"/>
      <c r="E19" s="6"/>
      <c r="F19" s="205" t="s">
        <v>124</v>
      </c>
      <c r="G19" s="204">
        <f>(G8*G18)+(G15*(1-C8)*G17)</f>
        <v>0.10041243333333333</v>
      </c>
      <c r="J19" s="157"/>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1:32">
      <c r="A20" s="132"/>
      <c r="B20" s="3"/>
      <c r="C20" s="3"/>
      <c r="D20" s="6"/>
      <c r="E20" s="6"/>
      <c r="L20" s="130"/>
      <c r="M20" s="130"/>
      <c r="N20" s="130"/>
      <c r="O20" s="130"/>
      <c r="P20" s="130"/>
      <c r="Q20" s="130"/>
      <c r="R20" s="130"/>
      <c r="S20" s="130"/>
      <c r="T20" s="130"/>
      <c r="U20" s="130"/>
      <c r="V20" s="130"/>
      <c r="W20" s="130"/>
      <c r="X20" s="130"/>
      <c r="Y20" s="130"/>
      <c r="Z20" s="130"/>
      <c r="AA20" s="130"/>
      <c r="AB20" s="130"/>
      <c r="AC20" s="130"/>
      <c r="AD20" s="130"/>
      <c r="AE20" s="130"/>
      <c r="AF20" s="130"/>
    </row>
    <row r="21" spans="1:32">
      <c r="B21" s="50"/>
      <c r="C21" s="3"/>
      <c r="D21" s="6"/>
      <c r="E21" s="25"/>
      <c r="L21" s="130"/>
      <c r="M21" s="130"/>
      <c r="N21" s="130"/>
      <c r="O21" s="130"/>
      <c r="P21" s="130"/>
      <c r="Q21" s="130"/>
      <c r="R21" s="130"/>
      <c r="S21" s="130"/>
      <c r="T21" s="130"/>
      <c r="U21" s="130"/>
      <c r="V21" s="130"/>
      <c r="W21" s="130"/>
      <c r="X21" s="130"/>
      <c r="Y21" s="130"/>
      <c r="Z21" s="130"/>
      <c r="AA21" s="130"/>
      <c r="AB21" s="130"/>
      <c r="AC21" s="130"/>
      <c r="AD21" s="130"/>
      <c r="AE21" s="130"/>
      <c r="AF21" s="130"/>
    </row>
    <row r="22" spans="1:32">
      <c r="B22" s="2"/>
      <c r="C22" s="2"/>
      <c r="D22" s="2"/>
      <c r="E22" s="2"/>
      <c r="L22" s="130"/>
      <c r="M22" s="130"/>
      <c r="N22" s="130"/>
      <c r="O22" s="130"/>
      <c r="P22" s="130"/>
      <c r="Q22" s="130"/>
      <c r="R22" s="130"/>
      <c r="S22" s="130"/>
      <c r="T22" s="130"/>
      <c r="U22" s="130"/>
      <c r="V22" s="130"/>
      <c r="W22" s="130"/>
      <c r="X22" s="130"/>
      <c r="Y22" s="130"/>
      <c r="Z22" s="130"/>
      <c r="AA22" s="130"/>
      <c r="AB22" s="130"/>
      <c r="AC22" s="130"/>
      <c r="AD22" s="130"/>
      <c r="AE22" s="130"/>
      <c r="AF22" s="130"/>
    </row>
    <row r="23" spans="1:32" ht="12" customHeight="1">
      <c r="B23" s="17"/>
      <c r="C23" s="3"/>
      <c r="D23" s="6"/>
      <c r="E23" s="6"/>
      <c r="L23" s="130"/>
      <c r="M23" s="130"/>
      <c r="N23" s="130"/>
      <c r="O23" s="130"/>
      <c r="P23" s="130"/>
      <c r="Q23" s="130"/>
      <c r="R23" s="130"/>
      <c r="S23" s="130"/>
      <c r="T23" s="130"/>
      <c r="U23" s="130"/>
      <c r="V23" s="130"/>
      <c r="W23" s="130"/>
      <c r="X23" s="130"/>
      <c r="Y23" s="130"/>
      <c r="Z23" s="130"/>
      <c r="AA23" s="130"/>
      <c r="AB23" s="130"/>
      <c r="AC23" s="130"/>
      <c r="AD23" s="130"/>
      <c r="AE23" s="130"/>
      <c r="AF23" s="130"/>
    </row>
    <row r="24" spans="1:32">
      <c r="B24" s="3"/>
      <c r="C24" s="3"/>
      <c r="D24" s="6"/>
      <c r="E24" s="6"/>
      <c r="L24" s="130"/>
      <c r="M24" s="130"/>
      <c r="N24" s="130"/>
      <c r="O24" s="130"/>
      <c r="P24" s="130"/>
      <c r="Q24" s="130"/>
      <c r="R24" s="130"/>
      <c r="S24" s="130"/>
      <c r="T24" s="130"/>
      <c r="U24" s="130"/>
      <c r="V24" s="130"/>
      <c r="W24" s="130"/>
      <c r="X24" s="130"/>
      <c r="Y24" s="130"/>
      <c r="Z24" s="130"/>
      <c r="AA24" s="130"/>
      <c r="AB24" s="130"/>
      <c r="AC24" s="130"/>
      <c r="AD24" s="130"/>
      <c r="AE24" s="130"/>
      <c r="AF24" s="130"/>
    </row>
    <row r="25" spans="1:32">
      <c r="D25" s="6"/>
      <c r="E25" s="6"/>
      <c r="L25" s="130"/>
      <c r="M25" s="130"/>
      <c r="N25" s="130"/>
      <c r="O25" s="130"/>
      <c r="P25" s="130"/>
      <c r="Q25" s="130"/>
      <c r="R25" s="130"/>
      <c r="S25" s="130"/>
      <c r="T25" s="130"/>
      <c r="U25" s="130"/>
      <c r="V25" s="130"/>
      <c r="W25" s="130"/>
      <c r="X25" s="130"/>
      <c r="Y25" s="130"/>
      <c r="Z25" s="130"/>
      <c r="AA25" s="130"/>
      <c r="AB25" s="130"/>
      <c r="AC25" s="130"/>
      <c r="AD25" s="130"/>
      <c r="AE25" s="130"/>
      <c r="AF25" s="130"/>
    </row>
    <row r="26" spans="1:32">
      <c r="D26" s="6"/>
      <c r="E26" s="6"/>
      <c r="L26" s="130"/>
      <c r="M26" s="130"/>
      <c r="N26" s="130"/>
      <c r="O26" s="130"/>
      <c r="P26" s="130"/>
      <c r="Q26" s="130"/>
      <c r="R26" s="130"/>
      <c r="S26" s="130"/>
      <c r="T26" s="130"/>
      <c r="U26" s="130"/>
      <c r="V26" s="130"/>
      <c r="W26" s="130"/>
      <c r="X26" s="130"/>
      <c r="Y26" s="130"/>
      <c r="Z26" s="130"/>
      <c r="AA26" s="130"/>
      <c r="AB26" s="130"/>
      <c r="AC26" s="130"/>
      <c r="AD26" s="130"/>
      <c r="AE26" s="130"/>
      <c r="AF26" s="130"/>
    </row>
    <row r="27" spans="1:32">
      <c r="D27" s="25"/>
      <c r="E27" s="25"/>
      <c r="L27" s="130"/>
      <c r="M27" s="130"/>
      <c r="N27" s="130"/>
      <c r="O27" s="130"/>
      <c r="P27" s="130"/>
      <c r="Q27" s="130"/>
      <c r="R27" s="130"/>
      <c r="S27" s="130"/>
      <c r="T27" s="130"/>
      <c r="U27" s="130"/>
      <c r="V27" s="130"/>
      <c r="W27" s="130"/>
      <c r="X27" s="130"/>
      <c r="Y27" s="130"/>
      <c r="Z27" s="130"/>
      <c r="AA27" s="130"/>
      <c r="AB27" s="130"/>
      <c r="AC27" s="130"/>
      <c r="AD27" s="130"/>
      <c r="AE27" s="130"/>
      <c r="AF27" s="130"/>
    </row>
    <row r="28" spans="1:32">
      <c r="D28" s="6"/>
      <c r="E28" s="6"/>
      <c r="L28" s="130"/>
      <c r="M28" s="130"/>
      <c r="N28" s="130"/>
      <c r="O28" s="130"/>
      <c r="P28" s="130"/>
      <c r="Q28" s="130"/>
      <c r="R28" s="130"/>
      <c r="S28" s="130"/>
      <c r="T28" s="130"/>
      <c r="U28" s="130"/>
      <c r="V28" s="130"/>
      <c r="W28" s="130"/>
      <c r="X28" s="130"/>
      <c r="Y28" s="130"/>
      <c r="Z28" s="130"/>
      <c r="AA28" s="130"/>
      <c r="AB28" s="130"/>
      <c r="AC28" s="130"/>
      <c r="AD28" s="130"/>
      <c r="AE28" s="130"/>
      <c r="AF28" s="130"/>
    </row>
    <row r="29" spans="1:32">
      <c r="D29" s="6"/>
      <c r="E29" s="6"/>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1:32" ht="14.25" customHeight="1">
      <c r="D30" s="6"/>
      <c r="E30" s="6"/>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1:32">
      <c r="B31" s="24"/>
      <c r="C31" s="24"/>
      <c r="D31" s="25"/>
      <c r="E31" s="25"/>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1:32">
      <c r="B32" s="50"/>
      <c r="C32" s="3"/>
      <c r="D32" s="3"/>
      <c r="E32" s="3"/>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7:32">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7:32">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7:32">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7: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7: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7: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sheetData>
  <mergeCells count="1">
    <mergeCell ref="F3:K3"/>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5" t="s">
        <v>148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25" customWidth="1"/>
    <col min="2" max="2" width="39.42578125" style="125" bestFit="1" customWidth="1"/>
    <col min="3" max="3" width="13" style="125" customWidth="1"/>
    <col min="4" max="4" width="4.28515625" style="125" customWidth="1"/>
    <col min="5" max="5" width="10.7109375" style="125" customWidth="1"/>
    <col min="6" max="6" width="16.85546875" style="125" customWidth="1"/>
    <col min="7" max="7" width="10.140625" style="125" customWidth="1" collapsed="1"/>
    <col min="8" max="9" width="10.42578125" style="125" customWidth="1"/>
    <col min="10" max="10" width="9.140625" style="125" customWidth="1"/>
    <col min="11" max="11" width="9" style="125" customWidth="1"/>
    <col min="12" max="12" width="9.85546875" style="125" customWidth="1"/>
    <col min="13"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125</v>
      </c>
      <c r="C1" s="123"/>
      <c r="D1" s="123"/>
      <c r="E1" s="123"/>
      <c r="F1" s="123"/>
      <c r="G1" s="123"/>
      <c r="H1" s="123"/>
      <c r="I1" s="123"/>
      <c r="J1" s="123"/>
      <c r="K1" s="123"/>
      <c r="L1" s="123"/>
    </row>
    <row r="2" spans="1:32" ht="12" customHeight="1">
      <c r="C2" s="148"/>
    </row>
    <row r="3" spans="1:32" ht="12" customHeight="1">
      <c r="A3" s="127"/>
      <c r="B3" s="138"/>
      <c r="C3" s="216" t="s">
        <v>201</v>
      </c>
      <c r="D3" s="209"/>
      <c r="E3" s="134"/>
      <c r="F3" s="126"/>
      <c r="G3" s="159"/>
      <c r="H3" s="159"/>
      <c r="I3" s="159"/>
      <c r="J3" s="159"/>
      <c r="K3" s="159"/>
      <c r="L3" s="159"/>
      <c r="M3" s="159"/>
      <c r="N3" s="159"/>
      <c r="O3" s="159"/>
      <c r="P3" s="159"/>
      <c r="Q3" s="159"/>
    </row>
    <row r="4" spans="1:32" ht="12" customHeight="1">
      <c r="A4" s="132"/>
      <c r="B4" s="141" t="s">
        <v>126</v>
      </c>
      <c r="C4" s="409">
        <f>1047</f>
        <v>1047</v>
      </c>
      <c r="D4" s="212"/>
      <c r="E4" s="214"/>
      <c r="F4" s="213"/>
      <c r="G4" s="210"/>
      <c r="H4" s="210"/>
      <c r="I4" s="210"/>
      <c r="J4" s="210"/>
      <c r="K4" s="210"/>
      <c r="L4" s="210"/>
      <c r="M4" s="210"/>
      <c r="N4" s="210"/>
      <c r="O4" s="210"/>
      <c r="P4" s="210"/>
      <c r="Q4" s="126"/>
      <c r="S4" s="129"/>
      <c r="T4" s="129"/>
      <c r="U4" s="129"/>
      <c r="V4" s="129"/>
      <c r="AA4" s="129"/>
    </row>
    <row r="5" spans="1:32" ht="12" customHeight="1">
      <c r="A5" s="132"/>
      <c r="B5" s="141" t="s">
        <v>292</v>
      </c>
      <c r="C5" s="409">
        <v>150</v>
      </c>
      <c r="D5" s="212"/>
      <c r="E5" s="212"/>
      <c r="F5" s="212"/>
      <c r="G5" s="46"/>
      <c r="H5" s="46"/>
      <c r="I5" s="46"/>
      <c r="J5" s="154"/>
      <c r="K5" s="46"/>
      <c r="L5" s="46"/>
      <c r="M5" s="46"/>
      <c r="N5" s="46"/>
      <c r="O5" s="46"/>
      <c r="P5" s="46"/>
      <c r="Q5" s="46"/>
      <c r="S5" s="130"/>
      <c r="T5" s="130"/>
      <c r="U5" s="130"/>
      <c r="V5" s="130"/>
      <c r="W5" s="130"/>
      <c r="X5" s="130"/>
      <c r="Y5" s="130"/>
      <c r="Z5" s="130"/>
      <c r="AA5" s="130"/>
      <c r="AB5" s="130"/>
      <c r="AC5" s="130"/>
      <c r="AD5" s="130"/>
      <c r="AE5" s="130"/>
      <c r="AF5" s="130"/>
    </row>
    <row r="6" spans="1:32" ht="12" customHeight="1">
      <c r="A6" s="132"/>
      <c r="B6" s="144" t="s">
        <v>168</v>
      </c>
      <c r="C6" s="410">
        <f>SUM(C4:C5)</f>
        <v>1197</v>
      </c>
      <c r="D6" s="212"/>
      <c r="E6" s="212"/>
      <c r="F6" s="212"/>
      <c r="G6" s="154"/>
      <c r="H6" s="154"/>
      <c r="I6" s="154"/>
      <c r="J6" s="154"/>
      <c r="K6" s="154"/>
      <c r="L6" s="154"/>
      <c r="M6" s="154"/>
      <c r="N6" s="154"/>
      <c r="O6" s="154"/>
      <c r="P6" s="154"/>
      <c r="Q6" s="154"/>
      <c r="S6" s="130"/>
      <c r="T6" s="130"/>
      <c r="U6" s="130"/>
      <c r="V6" s="130"/>
      <c r="W6" s="130"/>
      <c r="X6" s="130"/>
      <c r="Y6" s="130"/>
      <c r="Z6" s="130"/>
      <c r="AA6" s="130"/>
      <c r="AB6" s="130"/>
      <c r="AC6" s="130"/>
      <c r="AD6" s="130"/>
      <c r="AE6" s="130"/>
      <c r="AF6" s="130"/>
    </row>
    <row r="7" spans="1:32" ht="12" customHeight="1">
      <c r="B7" s="141"/>
      <c r="C7" s="215"/>
      <c r="D7" s="212"/>
      <c r="E7" s="212"/>
      <c r="F7" s="212"/>
      <c r="G7" s="154"/>
      <c r="I7" s="128"/>
      <c r="J7" s="149"/>
      <c r="N7" s="130"/>
      <c r="O7" s="130"/>
      <c r="P7" s="148"/>
      <c r="Q7" s="154"/>
      <c r="S7" s="130"/>
      <c r="T7" s="130"/>
      <c r="U7" s="130"/>
      <c r="V7" s="130"/>
      <c r="W7" s="130"/>
      <c r="X7" s="130"/>
      <c r="Y7" s="130"/>
      <c r="Z7" s="130"/>
      <c r="AA7" s="130"/>
      <c r="AB7" s="130"/>
      <c r="AC7" s="130"/>
      <c r="AD7" s="130"/>
      <c r="AE7" s="130"/>
      <c r="AF7" s="130"/>
    </row>
    <row r="8" spans="1:32" ht="12" customHeight="1">
      <c r="A8" s="132"/>
      <c r="B8" s="141" t="s">
        <v>127</v>
      </c>
      <c r="C8" s="173">
        <f>'Expected Growth Rate'!C9</f>
        <v>-4.656971442009622E-2</v>
      </c>
      <c r="D8" s="212"/>
      <c r="E8" s="212"/>
      <c r="F8" s="212"/>
      <c r="G8" s="196"/>
      <c r="H8" s="154"/>
      <c r="J8" s="192"/>
      <c r="K8" s="193"/>
      <c r="O8" s="130"/>
      <c r="P8" s="130"/>
      <c r="Q8" s="130"/>
      <c r="R8" s="130"/>
      <c r="S8" s="130"/>
      <c r="T8" s="130"/>
      <c r="U8" s="130"/>
      <c r="V8" s="130"/>
      <c r="W8" s="130"/>
      <c r="X8" s="130"/>
      <c r="Y8" s="130"/>
      <c r="Z8" s="130"/>
      <c r="AA8" s="130"/>
      <c r="AB8" s="130"/>
      <c r="AC8" s="130"/>
      <c r="AD8" s="130"/>
      <c r="AE8" s="130"/>
      <c r="AF8" s="130"/>
    </row>
    <row r="9" spans="1:32" ht="12" customHeight="1">
      <c r="A9" s="132"/>
      <c r="B9" s="141" t="s">
        <v>8</v>
      </c>
      <c r="C9" s="173">
        <f>WACC!C13</f>
        <v>0.29612337413640416</v>
      </c>
      <c r="D9" s="212"/>
      <c r="E9" s="212"/>
      <c r="F9" s="212"/>
      <c r="G9" s="196"/>
      <c r="H9" s="154"/>
      <c r="J9" s="128"/>
      <c r="K9" s="149"/>
      <c r="O9" s="130"/>
      <c r="P9" s="130"/>
      <c r="Q9" s="130"/>
      <c r="R9" s="130"/>
      <c r="S9" s="130"/>
      <c r="T9" s="130"/>
      <c r="U9" s="130"/>
      <c r="V9" s="130"/>
      <c r="W9" s="130"/>
      <c r="X9" s="130"/>
      <c r="Y9" s="130"/>
      <c r="Z9" s="130"/>
      <c r="AA9" s="130"/>
      <c r="AB9" s="130"/>
      <c r="AC9" s="130"/>
      <c r="AD9" s="130"/>
      <c r="AE9" s="130"/>
      <c r="AF9" s="130"/>
    </row>
    <row r="10" spans="1:32">
      <c r="A10" s="128"/>
      <c r="B10" s="144" t="s">
        <v>293</v>
      </c>
      <c r="C10" s="217">
        <f>C8-C9</f>
        <v>-0.34269308855650038</v>
      </c>
      <c r="D10" s="212"/>
      <c r="E10" s="212"/>
      <c r="F10" s="212"/>
      <c r="G10" s="159"/>
      <c r="H10" s="159"/>
      <c r="I10" s="159"/>
      <c r="J10" s="159"/>
      <c r="K10" s="159"/>
      <c r="O10" s="130"/>
      <c r="P10" s="130"/>
      <c r="Q10" s="130"/>
      <c r="R10" s="130"/>
      <c r="S10" s="130"/>
      <c r="T10" s="130"/>
      <c r="U10" s="130"/>
      <c r="V10" s="130"/>
      <c r="W10" s="130"/>
      <c r="X10" s="130"/>
      <c r="Y10" s="130"/>
      <c r="Z10" s="130"/>
      <c r="AA10" s="130"/>
      <c r="AB10" s="130"/>
      <c r="AC10" s="130"/>
      <c r="AD10" s="130"/>
      <c r="AE10" s="130"/>
      <c r="AF10" s="130"/>
    </row>
    <row r="11" spans="1:32" ht="12.75" customHeight="1">
      <c r="A11" s="132"/>
      <c r="D11" s="212"/>
      <c r="E11" s="212"/>
      <c r="F11" s="212"/>
      <c r="G11" s="70"/>
      <c r="K11" s="149"/>
      <c r="O11" s="130"/>
      <c r="P11" s="130"/>
      <c r="Q11" s="130"/>
      <c r="R11" s="130"/>
      <c r="S11" s="130"/>
      <c r="T11" s="130"/>
      <c r="U11" s="130"/>
      <c r="V11" s="130"/>
      <c r="W11" s="130"/>
      <c r="X11" s="130"/>
      <c r="Y11" s="130"/>
      <c r="Z11" s="130"/>
      <c r="AA11" s="130"/>
      <c r="AB11" s="130"/>
      <c r="AC11" s="130"/>
      <c r="AD11" s="130"/>
      <c r="AE11" s="130"/>
      <c r="AF11" s="130"/>
    </row>
    <row r="12" spans="1:32">
      <c r="B12" s="141" t="s">
        <v>128</v>
      </c>
      <c r="C12" s="379">
        <f>C6*(1+C10)</f>
        <v>786.79637299786907</v>
      </c>
      <c r="D12" s="212"/>
      <c r="E12" s="212"/>
      <c r="F12" s="212"/>
      <c r="G12" s="70"/>
      <c r="K12" s="149"/>
      <c r="L12" s="159"/>
      <c r="M12" s="159"/>
      <c r="N12" s="159"/>
      <c r="O12" s="159"/>
      <c r="P12" s="159"/>
      <c r="Q12" s="159"/>
      <c r="R12" s="130"/>
      <c r="S12" s="130"/>
      <c r="T12" s="130"/>
      <c r="U12" s="130"/>
      <c r="V12" s="130"/>
      <c r="W12" s="130"/>
      <c r="X12" s="130"/>
      <c r="Y12" s="130"/>
      <c r="Z12" s="130"/>
      <c r="AA12" s="130"/>
      <c r="AB12" s="130"/>
      <c r="AC12" s="130"/>
      <c r="AD12" s="130"/>
      <c r="AE12" s="130"/>
      <c r="AF12" s="130"/>
    </row>
    <row r="13" spans="1:32" ht="12" customHeight="1">
      <c r="A13" s="132"/>
      <c r="D13" s="212"/>
      <c r="E13" s="212"/>
      <c r="F13" s="212"/>
      <c r="G13" s="199"/>
      <c r="H13" s="133"/>
      <c r="K13" s="149"/>
      <c r="O13" s="130"/>
      <c r="P13" s="130"/>
      <c r="Q13" s="130"/>
      <c r="R13" s="130"/>
      <c r="S13" s="130"/>
      <c r="T13" s="130"/>
      <c r="U13" s="130"/>
      <c r="V13" s="130"/>
      <c r="W13" s="130"/>
      <c r="X13" s="130"/>
      <c r="Y13" s="130"/>
      <c r="Z13" s="130"/>
      <c r="AA13" s="130"/>
      <c r="AB13" s="130"/>
      <c r="AC13" s="130"/>
      <c r="AD13" s="130"/>
      <c r="AE13" s="130"/>
      <c r="AF13" s="130"/>
    </row>
    <row r="14" spans="1:32">
      <c r="D14" s="212"/>
      <c r="E14" s="212"/>
      <c r="F14" s="212"/>
      <c r="G14" s="3"/>
      <c r="O14" s="130"/>
      <c r="P14" s="130"/>
      <c r="Q14" s="130"/>
      <c r="R14" s="130"/>
      <c r="S14" s="130"/>
      <c r="T14" s="130"/>
      <c r="U14" s="130"/>
      <c r="V14" s="130"/>
      <c r="W14" s="130"/>
      <c r="X14" s="130"/>
      <c r="Y14" s="130"/>
      <c r="Z14" s="130"/>
      <c r="AA14" s="130"/>
      <c r="AB14" s="130"/>
      <c r="AC14" s="130"/>
      <c r="AD14" s="130"/>
      <c r="AE14" s="130"/>
      <c r="AF14" s="130"/>
    </row>
    <row r="15" spans="1:32">
      <c r="D15" s="212"/>
      <c r="E15" s="212"/>
      <c r="F15" s="212"/>
      <c r="G15" s="55"/>
      <c r="K15" s="194"/>
      <c r="O15" s="130"/>
      <c r="P15" s="130"/>
      <c r="Q15" s="130"/>
      <c r="R15" s="130"/>
      <c r="S15" s="130"/>
      <c r="T15" s="130"/>
      <c r="U15" s="130"/>
      <c r="V15" s="130"/>
      <c r="W15" s="130"/>
      <c r="X15" s="130"/>
      <c r="Y15" s="130"/>
      <c r="Z15" s="130"/>
      <c r="AA15" s="130"/>
      <c r="AB15" s="130"/>
      <c r="AC15" s="130"/>
      <c r="AD15" s="130"/>
      <c r="AE15" s="130"/>
      <c r="AF15" s="130"/>
    </row>
    <row r="16" spans="1:32">
      <c r="D16" s="212"/>
      <c r="E16" s="212"/>
      <c r="F16" s="212"/>
      <c r="K16" s="130"/>
      <c r="O16" s="130"/>
      <c r="P16" s="130"/>
      <c r="Q16" s="130"/>
      <c r="R16" s="130"/>
      <c r="S16" s="130"/>
      <c r="T16" s="130"/>
      <c r="U16" s="130"/>
      <c r="V16" s="130"/>
      <c r="W16" s="130"/>
      <c r="X16" s="130"/>
      <c r="Y16" s="130"/>
      <c r="Z16" s="130"/>
      <c r="AA16" s="130"/>
      <c r="AB16" s="130"/>
      <c r="AC16" s="130"/>
      <c r="AD16" s="130"/>
      <c r="AE16" s="130"/>
      <c r="AF16" s="130"/>
    </row>
    <row r="17" spans="1:32">
      <c r="D17" s="212"/>
      <c r="E17" s="212"/>
      <c r="F17" s="212"/>
      <c r="G17" s="75"/>
      <c r="J17" s="134"/>
      <c r="K17" s="130"/>
      <c r="L17" s="130"/>
      <c r="O17" s="130"/>
      <c r="P17" s="130"/>
      <c r="Q17" s="130"/>
      <c r="R17" s="130"/>
      <c r="S17" s="130"/>
      <c r="T17" s="130"/>
      <c r="U17" s="130"/>
      <c r="V17" s="130"/>
      <c r="W17" s="130"/>
      <c r="X17" s="130"/>
      <c r="Y17" s="130"/>
      <c r="Z17" s="130"/>
      <c r="AA17" s="130"/>
      <c r="AB17" s="130"/>
      <c r="AC17" s="130"/>
      <c r="AD17" s="130"/>
      <c r="AE17" s="130"/>
      <c r="AF17" s="130"/>
    </row>
    <row r="18" spans="1:32">
      <c r="A18" s="132"/>
      <c r="B18" s="128"/>
      <c r="C18" s="212"/>
      <c r="D18" s="212"/>
      <c r="E18" s="212"/>
      <c r="F18" s="212"/>
      <c r="G18" s="199"/>
      <c r="J18" s="154"/>
      <c r="K18" s="130"/>
      <c r="L18" s="130"/>
      <c r="M18" s="130"/>
      <c r="N18" s="130"/>
      <c r="O18" s="130"/>
      <c r="P18" s="130"/>
      <c r="Q18" s="130"/>
      <c r="R18" s="130"/>
      <c r="S18" s="130"/>
      <c r="T18" s="130"/>
      <c r="U18" s="130"/>
      <c r="V18" s="130"/>
      <c r="W18" s="130"/>
      <c r="X18" s="130"/>
      <c r="Y18" s="130"/>
      <c r="Z18" s="130"/>
      <c r="AA18" s="130"/>
      <c r="AB18" s="130"/>
      <c r="AC18" s="130"/>
      <c r="AD18" s="130"/>
      <c r="AE18" s="130"/>
      <c r="AF18" s="130"/>
    </row>
    <row r="19" spans="1:32">
      <c r="C19" s="212"/>
      <c r="D19" s="212"/>
      <c r="E19" s="212"/>
      <c r="F19" s="212"/>
      <c r="G19" s="70"/>
      <c r="H19" s="133"/>
      <c r="J19" s="154"/>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1:32">
      <c r="A20" s="132"/>
      <c r="C20" s="212"/>
      <c r="D20" s="212"/>
      <c r="E20" s="212"/>
      <c r="F20" s="212"/>
      <c r="G20" s="70"/>
      <c r="H20" s="133"/>
      <c r="J20" s="154"/>
      <c r="K20" s="130"/>
      <c r="L20" s="130"/>
      <c r="M20" s="130"/>
      <c r="N20" s="130"/>
      <c r="O20" s="130"/>
      <c r="P20" s="130"/>
      <c r="Q20" s="130"/>
      <c r="R20" s="130"/>
      <c r="S20" s="130"/>
      <c r="T20" s="130"/>
      <c r="U20" s="130"/>
      <c r="V20" s="130"/>
      <c r="W20" s="130"/>
      <c r="X20" s="130"/>
      <c r="Y20" s="130"/>
      <c r="Z20" s="130"/>
      <c r="AA20" s="130"/>
      <c r="AB20" s="130"/>
      <c r="AC20" s="130"/>
      <c r="AD20" s="130"/>
      <c r="AE20" s="130"/>
      <c r="AF20" s="130"/>
    </row>
    <row r="21" spans="1:32">
      <c r="C21" s="212"/>
      <c r="D21" s="212"/>
      <c r="E21" s="212"/>
      <c r="F21" s="212"/>
      <c r="G21" s="3"/>
      <c r="J21" s="154"/>
      <c r="K21" s="130"/>
      <c r="L21" s="130"/>
      <c r="M21" s="130"/>
      <c r="N21" s="130"/>
      <c r="O21" s="130"/>
      <c r="P21" s="130"/>
      <c r="Q21" s="130"/>
      <c r="R21" s="130"/>
      <c r="S21" s="130"/>
      <c r="T21" s="130"/>
      <c r="U21" s="130"/>
      <c r="V21" s="130"/>
      <c r="W21" s="130"/>
      <c r="X21" s="130"/>
      <c r="Y21" s="130"/>
      <c r="Z21" s="130"/>
      <c r="AA21" s="130"/>
      <c r="AB21" s="130"/>
      <c r="AC21" s="130"/>
      <c r="AD21" s="130"/>
      <c r="AE21" s="130"/>
      <c r="AF21" s="130"/>
    </row>
    <row r="22" spans="1:32">
      <c r="E22" s="3"/>
      <c r="F22" s="24"/>
      <c r="G22" s="55"/>
      <c r="J22" s="154"/>
      <c r="K22" s="130"/>
      <c r="L22" s="130"/>
      <c r="M22" s="130"/>
      <c r="N22" s="130"/>
      <c r="O22" s="130"/>
      <c r="P22" s="130"/>
      <c r="Q22" s="130"/>
      <c r="R22" s="130"/>
      <c r="S22" s="130"/>
      <c r="T22" s="130"/>
      <c r="U22" s="130"/>
      <c r="V22" s="130"/>
      <c r="W22" s="130"/>
      <c r="X22" s="130"/>
      <c r="Y22" s="130"/>
      <c r="Z22" s="130"/>
      <c r="AA22" s="130"/>
      <c r="AB22" s="130"/>
      <c r="AC22" s="130"/>
      <c r="AD22" s="130"/>
      <c r="AE22" s="130"/>
      <c r="AF22" s="130"/>
    </row>
    <row r="23" spans="1:32" ht="12" customHeight="1">
      <c r="E23" s="6"/>
      <c r="J23" s="154"/>
      <c r="K23" s="130"/>
      <c r="L23" s="130"/>
      <c r="M23" s="130"/>
      <c r="N23" s="130"/>
      <c r="O23" s="130"/>
      <c r="P23" s="130"/>
      <c r="Q23" s="130"/>
      <c r="R23" s="130"/>
      <c r="S23" s="130"/>
      <c r="T23" s="130"/>
      <c r="U23" s="130"/>
      <c r="V23" s="130"/>
      <c r="W23" s="130"/>
      <c r="X23" s="130"/>
      <c r="Y23" s="130"/>
      <c r="Z23" s="130"/>
      <c r="AA23" s="130"/>
      <c r="AB23" s="130"/>
      <c r="AC23" s="130"/>
      <c r="AD23" s="130"/>
      <c r="AE23" s="130"/>
      <c r="AF23" s="130"/>
    </row>
    <row r="24" spans="1:32">
      <c r="E24" s="6"/>
      <c r="F24" s="128"/>
      <c r="G24" s="20"/>
      <c r="J24" s="154"/>
      <c r="K24" s="130"/>
      <c r="L24" s="130"/>
      <c r="M24" s="130"/>
      <c r="N24" s="130"/>
      <c r="O24" s="130"/>
      <c r="P24" s="130"/>
      <c r="Q24" s="130"/>
      <c r="R24" s="130"/>
      <c r="S24" s="130"/>
      <c r="T24" s="130"/>
      <c r="U24" s="130"/>
      <c r="V24" s="130"/>
      <c r="W24" s="130"/>
      <c r="X24" s="130"/>
      <c r="Y24" s="130"/>
      <c r="Z24" s="130"/>
      <c r="AA24" s="130"/>
      <c r="AB24" s="130"/>
      <c r="AC24" s="130"/>
      <c r="AD24" s="130"/>
      <c r="AE24" s="130"/>
      <c r="AF24" s="130"/>
    </row>
    <row r="25" spans="1:32">
      <c r="E25" s="6"/>
      <c r="F25" s="128"/>
      <c r="G25" s="211"/>
      <c r="J25" s="154"/>
      <c r="K25" s="130"/>
      <c r="L25" s="130"/>
      <c r="M25" s="130"/>
      <c r="N25" s="130"/>
      <c r="O25" s="130"/>
      <c r="P25" s="130"/>
      <c r="Q25" s="130"/>
      <c r="R25" s="130"/>
      <c r="S25" s="130"/>
      <c r="T25" s="130"/>
      <c r="U25" s="130"/>
      <c r="V25" s="130"/>
      <c r="W25" s="130"/>
      <c r="X25" s="130"/>
      <c r="Y25" s="130"/>
      <c r="Z25" s="130"/>
      <c r="AA25" s="130"/>
      <c r="AB25" s="130"/>
      <c r="AC25" s="130"/>
      <c r="AD25" s="130"/>
      <c r="AE25" s="130"/>
      <c r="AF25" s="130"/>
    </row>
    <row r="26" spans="1:32">
      <c r="D26" s="6"/>
      <c r="E26" s="6"/>
      <c r="F26" s="128"/>
      <c r="G26" s="70"/>
      <c r="J26" s="157"/>
      <c r="K26" s="130"/>
      <c r="L26" s="130"/>
      <c r="M26" s="130"/>
      <c r="N26" s="130"/>
      <c r="O26" s="130"/>
      <c r="P26" s="130"/>
      <c r="Q26" s="130"/>
      <c r="R26" s="130"/>
      <c r="S26" s="130"/>
      <c r="T26" s="130"/>
      <c r="U26" s="130"/>
      <c r="V26" s="130"/>
      <c r="W26" s="130"/>
      <c r="X26" s="130"/>
      <c r="Y26" s="130"/>
      <c r="Z26" s="130"/>
      <c r="AA26" s="130"/>
      <c r="AB26" s="130"/>
      <c r="AC26" s="130"/>
      <c r="AD26" s="130"/>
      <c r="AE26" s="130"/>
      <c r="AF26" s="130"/>
    </row>
    <row r="27" spans="1:32">
      <c r="D27" s="25"/>
      <c r="E27" s="25"/>
      <c r="L27" s="130"/>
      <c r="M27" s="130"/>
      <c r="N27" s="130"/>
      <c r="O27" s="130"/>
      <c r="P27" s="130"/>
      <c r="Q27" s="130"/>
      <c r="R27" s="130"/>
      <c r="S27" s="130"/>
      <c r="T27" s="130"/>
      <c r="U27" s="130"/>
      <c r="V27" s="130"/>
      <c r="W27" s="130"/>
      <c r="X27" s="130"/>
      <c r="Y27" s="130"/>
      <c r="Z27" s="130"/>
      <c r="AA27" s="130"/>
      <c r="AB27" s="130"/>
      <c r="AC27" s="130"/>
      <c r="AD27" s="130"/>
      <c r="AE27" s="130"/>
      <c r="AF27" s="130"/>
    </row>
    <row r="28" spans="1:32">
      <c r="D28" s="6"/>
      <c r="E28" s="6"/>
      <c r="L28" s="130"/>
      <c r="M28" s="130"/>
      <c r="N28" s="130"/>
      <c r="O28" s="130"/>
      <c r="P28" s="130"/>
      <c r="Q28" s="130"/>
      <c r="R28" s="130"/>
      <c r="S28" s="130"/>
      <c r="T28" s="130"/>
      <c r="U28" s="130"/>
      <c r="V28" s="130"/>
      <c r="W28" s="130"/>
      <c r="X28" s="130"/>
      <c r="Y28" s="130"/>
      <c r="Z28" s="130"/>
      <c r="AA28" s="130"/>
      <c r="AB28" s="130"/>
      <c r="AC28" s="130"/>
      <c r="AD28" s="130"/>
      <c r="AE28" s="130"/>
      <c r="AF28" s="130"/>
    </row>
    <row r="29" spans="1:32">
      <c r="D29" s="6"/>
      <c r="E29" s="6"/>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1:32" ht="14.25" customHeight="1">
      <c r="D30" s="6"/>
      <c r="E30" s="6"/>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1:32">
      <c r="D31" s="25"/>
      <c r="E31" s="25"/>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1:32">
      <c r="D32" s="3"/>
      <c r="E32" s="3"/>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4:32">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4:32">
      <c r="D34" s="24"/>
      <c r="E34" s="24"/>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4:32">
      <c r="D35" s="50"/>
      <c r="E35" s="3"/>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4: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4: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4: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25" customWidth="1"/>
    <col min="2" max="2" width="22" style="125" customWidth="1"/>
    <col min="3" max="3" width="14.28515625" style="125" customWidth="1"/>
    <col min="4" max="4" width="15" style="125" customWidth="1"/>
    <col min="5" max="5" width="13.5703125" style="125" customWidth="1"/>
    <col min="6" max="6" width="15.42578125" style="125" customWidth="1"/>
    <col min="7" max="7" width="13.42578125" style="125" customWidth="1" collapsed="1"/>
    <col min="8" max="13" width="13.7109375" style="125" bestFit="1" customWidth="1"/>
    <col min="14"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195</v>
      </c>
      <c r="C1" s="123"/>
      <c r="D1" s="123"/>
      <c r="E1" s="123"/>
      <c r="F1" s="123"/>
      <c r="G1" s="123"/>
      <c r="H1" s="123"/>
      <c r="I1" s="123"/>
      <c r="J1" s="123"/>
      <c r="K1" s="123"/>
      <c r="L1" s="123"/>
    </row>
    <row r="2" spans="1:32" ht="12" customHeight="1">
      <c r="C2" s="148"/>
    </row>
    <row r="3" spans="1:32" ht="12" customHeight="1">
      <c r="A3" s="127"/>
      <c r="B3" s="491" t="s">
        <v>194</v>
      </c>
      <c r="C3" s="491"/>
      <c r="D3" s="491"/>
      <c r="E3" s="491"/>
      <c r="F3" s="491"/>
      <c r="G3" s="491"/>
      <c r="H3" s="159"/>
      <c r="I3" s="160"/>
      <c r="J3" s="159"/>
      <c r="K3" s="159"/>
      <c r="L3" s="159"/>
      <c r="M3" s="159"/>
      <c r="N3" s="159"/>
      <c r="O3" s="159"/>
      <c r="P3" s="159"/>
      <c r="Q3" s="159"/>
    </row>
    <row r="4" spans="1:32" ht="12" customHeight="1">
      <c r="A4" s="132"/>
      <c r="B4" s="234" t="s">
        <v>38</v>
      </c>
      <c r="C4" s="235" t="s">
        <v>151</v>
      </c>
      <c r="D4" s="234">
        <v>2020</v>
      </c>
      <c r="E4" s="235">
        <v>2019</v>
      </c>
      <c r="F4" s="235">
        <v>2018</v>
      </c>
      <c r="G4" s="235">
        <v>2017</v>
      </c>
      <c r="H4" s="134"/>
      <c r="I4" s="282"/>
      <c r="J4" s="210"/>
      <c r="K4" s="210"/>
      <c r="L4" s="210"/>
      <c r="M4" s="210"/>
      <c r="N4" s="210"/>
      <c r="O4" s="210"/>
      <c r="P4" s="210"/>
      <c r="Q4" s="126"/>
      <c r="S4" s="129"/>
      <c r="T4" s="129"/>
      <c r="U4" s="129"/>
      <c r="V4" s="129"/>
      <c r="AA4" s="129"/>
    </row>
    <row r="5" spans="1:32" ht="12" customHeight="1">
      <c r="A5" s="132"/>
      <c r="B5" s="185" t="s">
        <v>191</v>
      </c>
      <c r="C5" s="377">
        <f>'Fair Value of Share'!C22</f>
        <v>226.47862103698</v>
      </c>
      <c r="D5" s="377">
        <f>221.45250346*1.072</f>
        <v>237.39708370912001</v>
      </c>
      <c r="E5" s="377">
        <f>88.34056044*1.147</f>
        <v>101.32662282468</v>
      </c>
      <c r="F5" s="377">
        <f>24.81266962*0.931</f>
        <v>23.100595416220003</v>
      </c>
      <c r="G5" s="377">
        <f>28.41600183*0.755</f>
        <v>21.454081381649999</v>
      </c>
      <c r="H5" s="162"/>
      <c r="I5" s="282"/>
      <c r="J5" s="154"/>
      <c r="K5" s="46"/>
      <c r="L5" s="46"/>
      <c r="M5" s="46"/>
      <c r="N5" s="46"/>
      <c r="O5" s="46"/>
      <c r="P5" s="46"/>
      <c r="Q5" s="46"/>
      <c r="S5" s="130"/>
      <c r="T5" s="130"/>
      <c r="U5" s="130"/>
      <c r="V5" s="130"/>
      <c r="W5" s="130"/>
      <c r="X5" s="130"/>
      <c r="Y5" s="130"/>
      <c r="Z5" s="130"/>
      <c r="AA5" s="130"/>
      <c r="AB5" s="130"/>
      <c r="AC5" s="130"/>
      <c r="AD5" s="130"/>
      <c r="AE5" s="130"/>
      <c r="AF5" s="130"/>
    </row>
    <row r="6" spans="1:32" ht="12" customHeight="1">
      <c r="A6" s="132"/>
      <c r="B6" s="185" t="s">
        <v>5</v>
      </c>
      <c r="C6" s="377">
        <f>'Working Capital Changes'!J19</f>
        <v>12814</v>
      </c>
      <c r="D6" s="377">
        <f>'Working Capital Changes'!I19</f>
        <v>5587</v>
      </c>
      <c r="E6" s="377">
        <f>'Working Capital Changes'!H19</f>
        <v>3940</v>
      </c>
      <c r="F6" s="377">
        <f>'Working Capital Changes'!G19</f>
        <v>1955.4670000000001</v>
      </c>
      <c r="G6" s="377">
        <f>'Working Capital Changes'!F19</f>
        <v>858.87</v>
      </c>
      <c r="H6" s="162"/>
      <c r="J6" s="154"/>
      <c r="K6" s="154"/>
      <c r="L6" s="154"/>
      <c r="M6" s="154"/>
      <c r="N6" s="154"/>
      <c r="O6" s="154"/>
      <c r="P6" s="154"/>
      <c r="Q6" s="154"/>
      <c r="S6" s="130"/>
      <c r="T6" s="130"/>
      <c r="U6" s="130"/>
      <c r="V6" s="130"/>
      <c r="W6" s="130"/>
      <c r="X6" s="130"/>
      <c r="Y6" s="130"/>
      <c r="Z6" s="130"/>
      <c r="AA6" s="130"/>
      <c r="AB6" s="130"/>
      <c r="AC6" s="130"/>
      <c r="AD6" s="130"/>
      <c r="AE6" s="130"/>
      <c r="AF6" s="130"/>
    </row>
    <row r="7" spans="1:32" ht="12" customHeight="1">
      <c r="B7" s="185" t="s">
        <v>192</v>
      </c>
      <c r="C7" s="155">
        <f>C5/C6</f>
        <v>1.76743109908678E-2</v>
      </c>
      <c r="D7" s="155">
        <f>D5/D6</f>
        <v>4.2490976142674067E-2</v>
      </c>
      <c r="E7" s="155">
        <f>E5/E6</f>
        <v>2.5717416960578679E-2</v>
      </c>
      <c r="F7" s="155">
        <f>F5/F6</f>
        <v>1.1813339430540122E-2</v>
      </c>
      <c r="G7" s="155">
        <f>G5/G6</f>
        <v>2.4979428064375284E-2</v>
      </c>
      <c r="H7" s="154"/>
      <c r="I7" s="149"/>
      <c r="J7" s="149"/>
      <c r="N7" s="130"/>
      <c r="O7" s="130"/>
      <c r="P7" s="148"/>
      <c r="Q7" s="154"/>
      <c r="S7" s="130"/>
      <c r="T7" s="130"/>
      <c r="U7" s="130"/>
      <c r="V7" s="130"/>
      <c r="W7" s="130"/>
      <c r="X7" s="130"/>
      <c r="Y7" s="130"/>
      <c r="Z7" s="130"/>
      <c r="AA7" s="130"/>
      <c r="AB7" s="130"/>
      <c r="AC7" s="130"/>
      <c r="AD7" s="130"/>
      <c r="AE7" s="130"/>
      <c r="AF7" s="130"/>
    </row>
    <row r="8" spans="1:32" ht="12" customHeight="1">
      <c r="A8" s="132"/>
      <c r="B8" s="130"/>
      <c r="C8" s="162"/>
      <c r="D8" s="152"/>
      <c r="E8" s="152"/>
      <c r="F8" s="301" t="s">
        <v>296</v>
      </c>
      <c r="G8" s="273">
        <f>MEDIAN(C7:G7)</f>
        <v>2.4979428064375284E-2</v>
      </c>
      <c r="H8" s="70"/>
      <c r="J8" s="192"/>
      <c r="K8" s="193"/>
      <c r="O8" s="130"/>
      <c r="P8" s="130"/>
      <c r="Q8" s="130"/>
      <c r="R8" s="130"/>
      <c r="S8" s="130"/>
      <c r="T8" s="130"/>
      <c r="U8" s="130"/>
      <c r="V8" s="130"/>
      <c r="W8" s="130"/>
      <c r="X8" s="130"/>
      <c r="Y8" s="130"/>
      <c r="Z8" s="130"/>
      <c r="AA8" s="130"/>
      <c r="AB8" s="130"/>
      <c r="AC8" s="130"/>
      <c r="AD8" s="130"/>
      <c r="AE8" s="130"/>
      <c r="AF8" s="130"/>
    </row>
    <row r="9" spans="1:32" ht="12" customHeight="1">
      <c r="A9" s="132"/>
      <c r="J9" s="128"/>
      <c r="K9" s="149"/>
      <c r="O9" s="130"/>
      <c r="P9" s="130"/>
      <c r="Q9" s="130"/>
      <c r="R9" s="130"/>
      <c r="S9" s="130"/>
      <c r="T9" s="130"/>
      <c r="U9" s="130"/>
      <c r="V9" s="130"/>
      <c r="W9" s="130"/>
      <c r="X9" s="130"/>
      <c r="Y9" s="130"/>
      <c r="Z9" s="130"/>
      <c r="AA9" s="130"/>
      <c r="AB9" s="130"/>
      <c r="AC9" s="130"/>
      <c r="AD9" s="130"/>
      <c r="AE9" s="130"/>
      <c r="AF9" s="130"/>
    </row>
    <row r="10" spans="1:32">
      <c r="A10" s="128"/>
      <c r="B10" s="491" t="s">
        <v>193</v>
      </c>
      <c r="C10" s="491"/>
      <c r="D10" s="491"/>
      <c r="E10" s="491"/>
      <c r="F10" s="491"/>
      <c r="G10" s="491"/>
      <c r="H10" s="491"/>
      <c r="I10" s="491"/>
      <c r="J10" s="491"/>
      <c r="K10" s="491"/>
      <c r="L10" s="491"/>
      <c r="M10" s="491"/>
      <c r="O10" s="130"/>
      <c r="P10" s="130"/>
      <c r="Q10" s="130"/>
      <c r="R10" s="130"/>
      <c r="S10" s="130"/>
      <c r="T10" s="130"/>
      <c r="U10" s="130"/>
      <c r="V10" s="130"/>
      <c r="W10" s="130"/>
      <c r="X10" s="130"/>
      <c r="Y10" s="130"/>
      <c r="Z10" s="130"/>
      <c r="AA10" s="130"/>
      <c r="AB10" s="130"/>
      <c r="AC10" s="130"/>
      <c r="AD10" s="130"/>
      <c r="AE10" s="130"/>
      <c r="AF10" s="130"/>
    </row>
    <row r="11" spans="1:32" ht="12.75" customHeight="1">
      <c r="A11" s="132"/>
      <c r="B11" s="234" t="s">
        <v>38</v>
      </c>
      <c r="C11" s="235" t="s">
        <v>151</v>
      </c>
      <c r="D11" s="234">
        <v>1</v>
      </c>
      <c r="E11" s="235">
        <v>2</v>
      </c>
      <c r="F11" s="235">
        <v>3</v>
      </c>
      <c r="G11" s="235">
        <v>4</v>
      </c>
      <c r="H11" s="235">
        <v>5</v>
      </c>
      <c r="I11" s="300">
        <v>6</v>
      </c>
      <c r="J11" s="300">
        <v>7</v>
      </c>
      <c r="K11" s="299">
        <v>8</v>
      </c>
      <c r="L11" s="299">
        <v>9</v>
      </c>
      <c r="M11" s="299">
        <v>10</v>
      </c>
      <c r="N11" s="162"/>
      <c r="O11" s="130"/>
      <c r="P11" s="130"/>
      <c r="Q11" s="130"/>
      <c r="R11" s="130"/>
      <c r="S11" s="130"/>
      <c r="T11" s="130"/>
      <c r="U11" s="130"/>
      <c r="V11" s="130"/>
      <c r="W11" s="130"/>
      <c r="X11" s="130"/>
      <c r="Y11" s="130"/>
      <c r="Z11" s="130"/>
      <c r="AA11" s="130"/>
      <c r="AB11" s="130"/>
      <c r="AC11" s="130"/>
      <c r="AD11" s="130"/>
      <c r="AE11" s="130"/>
      <c r="AF11" s="130"/>
    </row>
    <row r="12" spans="1:32">
      <c r="B12" s="185" t="s">
        <v>192</v>
      </c>
      <c r="C12" s="155">
        <f>G8</f>
        <v>2.4979428064375284E-2</v>
      </c>
      <c r="D12" s="155">
        <f>AVERAGE(C12,E12)</f>
        <v>2.4524463810351831E-2</v>
      </c>
      <c r="E12" s="155">
        <f>AVERAGE(C12,F12)</f>
        <v>2.4069499556328373E-2</v>
      </c>
      <c r="F12" s="155">
        <f>AVERAGE(C12,H12)</f>
        <v>2.3159571048281466E-2</v>
      </c>
      <c r="G12" s="155">
        <f>AVERAGE(F12,H12)</f>
        <v>2.2249642540234555E-2</v>
      </c>
      <c r="H12" s="155">
        <f>AVERAGE(C12,M12)</f>
        <v>2.1339714032187644E-2</v>
      </c>
      <c r="I12" s="155">
        <f>AVERAGE(H12,J12)</f>
        <v>2.0884749778164187E-2</v>
      </c>
      <c r="J12" s="155">
        <f>AVERAGE(H12,K12)</f>
        <v>2.0429785524140733E-2</v>
      </c>
      <c r="K12" s="155">
        <f>AVERAGE(H12,M12)</f>
        <v>1.9519857016093822E-2</v>
      </c>
      <c r="L12" s="155">
        <f>AVERAGE(K12,M12)</f>
        <v>1.8609928508046911E-2</v>
      </c>
      <c r="M12" s="155">
        <v>1.77E-2</v>
      </c>
      <c r="N12" s="162"/>
      <c r="O12" s="159"/>
      <c r="P12" s="159"/>
      <c r="Q12" s="159"/>
      <c r="R12" s="130"/>
      <c r="S12" s="130"/>
      <c r="T12" s="130"/>
      <c r="U12" s="130"/>
      <c r="V12" s="130"/>
      <c r="W12" s="130"/>
      <c r="X12" s="130"/>
      <c r="Y12" s="130"/>
      <c r="Z12" s="130"/>
      <c r="AA12" s="130"/>
      <c r="AB12" s="130"/>
      <c r="AC12" s="130"/>
      <c r="AD12" s="130"/>
      <c r="AE12" s="130"/>
      <c r="AF12" s="130"/>
    </row>
    <row r="13" spans="1:32" ht="12" customHeight="1">
      <c r="A13" s="132"/>
      <c r="B13" s="185" t="s">
        <v>5</v>
      </c>
      <c r="C13" s="377">
        <f>C6</f>
        <v>12814</v>
      </c>
      <c r="D13" s="377">
        <f>'Future Cashflows (10 Yrs)'!E5</f>
        <v>17407.52</v>
      </c>
      <c r="E13" s="377">
        <f>'Future Cashflows (10 Yrs)'!E6</f>
        <v>20852.166400000002</v>
      </c>
      <c r="F13" s="377">
        <f>'Future Cashflows (10 Yrs)'!E7</f>
        <v>24544.532480000002</v>
      </c>
      <c r="G13" s="377">
        <f>'Future Cashflows (10 Yrs)'!E8</f>
        <v>28498.924380159999</v>
      </c>
      <c r="H13" s="377">
        <f>'Future Cashflows (10 Yrs)'!E9</f>
        <v>31184.638867865597</v>
      </c>
      <c r="I13" s="377">
        <f>'Future Cashflows (10 Yrs)'!E10</f>
        <v>34039.612235579385</v>
      </c>
      <c r="J13" s="377">
        <f>'Future Cashflows (10 Yrs)'!E11</f>
        <v>38744.979376040836</v>
      </c>
      <c r="K13" s="377">
        <f>'Future Cashflows (10 Yrs)'!E12</f>
        <v>42033.545529622374</v>
      </c>
      <c r="L13" s="377">
        <f>'Future Cashflows (10 Yrs)'!E13</f>
        <v>45523.20500848876</v>
      </c>
      <c r="M13" s="377">
        <f>'Future Cashflows (10 Yrs)'!E14</f>
        <v>51105.433936805828</v>
      </c>
      <c r="O13" s="130"/>
      <c r="P13" s="130"/>
      <c r="Q13" s="130"/>
      <c r="R13" s="130"/>
      <c r="S13" s="130"/>
      <c r="T13" s="130"/>
      <c r="U13" s="130"/>
      <c r="V13" s="130"/>
      <c r="W13" s="130"/>
      <c r="X13" s="130"/>
      <c r="Y13" s="130"/>
      <c r="Z13" s="130"/>
      <c r="AA13" s="130"/>
      <c r="AB13" s="130"/>
      <c r="AC13" s="130"/>
      <c r="AD13" s="130"/>
      <c r="AE13" s="130"/>
      <c r="AF13" s="130"/>
    </row>
    <row r="14" spans="1:32">
      <c r="B14" s="185" t="s">
        <v>191</v>
      </c>
      <c r="C14" s="377">
        <f>C13*C12</f>
        <v>320.08639121690487</v>
      </c>
      <c r="D14" s="377">
        <f t="shared" ref="D14:M14" si="0">D13*D12</f>
        <v>426.91009426797569</v>
      </c>
      <c r="E14" s="377">
        <f t="shared" si="0"/>
        <v>501.90120991328547</v>
      </c>
      <c r="F14" s="377">
        <f t="shared" si="0"/>
        <v>568.44084381741209</v>
      </c>
      <c r="G14" s="377">
        <f t="shared" si="0"/>
        <v>634.09088023973561</v>
      </c>
      <c r="H14" s="377">
        <f t="shared" si="0"/>
        <v>665.47127563729566</v>
      </c>
      <c r="I14" s="377">
        <f t="shared" si="0"/>
        <v>710.90878408581148</v>
      </c>
      <c r="J14" s="377">
        <f t="shared" si="0"/>
        <v>791.55161878977037</v>
      </c>
      <c r="K14" s="377">
        <f>K13*K12</f>
        <v>820.48879861769842</v>
      </c>
      <c r="L14" s="377">
        <f t="shared" si="0"/>
        <v>847.18359066513892</v>
      </c>
      <c r="M14" s="377">
        <f t="shared" si="0"/>
        <v>904.56618068146315</v>
      </c>
      <c r="O14" s="130"/>
      <c r="P14" s="130"/>
      <c r="Q14" s="130"/>
      <c r="R14" s="130"/>
      <c r="S14" s="130"/>
      <c r="T14" s="130"/>
      <c r="U14" s="130"/>
      <c r="V14" s="130"/>
      <c r="W14" s="130"/>
      <c r="X14" s="130"/>
      <c r="Y14" s="130"/>
      <c r="Z14" s="130"/>
      <c r="AA14" s="130"/>
      <c r="AB14" s="130"/>
      <c r="AC14" s="130"/>
      <c r="AD14" s="130"/>
      <c r="AE14" s="130"/>
      <c r="AF14" s="130"/>
    </row>
    <row r="15" spans="1:32">
      <c r="D15" s="212"/>
      <c r="F15" s="212"/>
      <c r="G15" s="55"/>
      <c r="K15" s="194"/>
      <c r="O15" s="130"/>
      <c r="P15" s="130"/>
      <c r="Q15" s="130"/>
      <c r="R15" s="130"/>
      <c r="S15" s="130"/>
      <c r="T15" s="130"/>
      <c r="U15" s="130"/>
      <c r="V15" s="130"/>
      <c r="W15" s="130"/>
      <c r="X15" s="130"/>
      <c r="Y15" s="130"/>
      <c r="Z15" s="130"/>
      <c r="AA15" s="130"/>
      <c r="AB15" s="130"/>
      <c r="AC15" s="130"/>
      <c r="AD15" s="130"/>
      <c r="AE15" s="130"/>
      <c r="AF15" s="130"/>
    </row>
    <row r="16" spans="1:32">
      <c r="D16" s="212"/>
      <c r="F16" s="212"/>
      <c r="K16" s="130"/>
      <c r="O16" s="130"/>
      <c r="P16" s="130"/>
      <c r="Q16" s="130"/>
      <c r="R16" s="130"/>
      <c r="S16" s="130"/>
      <c r="T16" s="130"/>
      <c r="U16" s="130"/>
      <c r="V16" s="130"/>
      <c r="W16" s="130"/>
      <c r="X16" s="130"/>
      <c r="Y16" s="130"/>
      <c r="Z16" s="130"/>
      <c r="AA16" s="130"/>
      <c r="AB16" s="130"/>
      <c r="AC16" s="130"/>
      <c r="AD16" s="130"/>
      <c r="AE16" s="130"/>
      <c r="AF16" s="130"/>
    </row>
    <row r="17" spans="1:32">
      <c r="B17" s="491" t="s">
        <v>190</v>
      </c>
      <c r="C17" s="491"/>
      <c r="D17" s="491"/>
      <c r="E17" s="491"/>
      <c r="F17" s="491"/>
      <c r="G17" s="491"/>
      <c r="J17" s="134"/>
      <c r="K17" s="130"/>
      <c r="L17" s="130"/>
      <c r="O17" s="130"/>
      <c r="P17" s="130"/>
      <c r="Q17" s="130"/>
      <c r="R17" s="130"/>
      <c r="S17" s="130"/>
      <c r="T17" s="130"/>
      <c r="U17" s="130"/>
      <c r="V17" s="130"/>
      <c r="W17" s="130"/>
      <c r="X17" s="130"/>
      <c r="Y17" s="130"/>
      <c r="Z17" s="130"/>
      <c r="AA17" s="130"/>
      <c r="AB17" s="130"/>
      <c r="AC17" s="130"/>
      <c r="AD17" s="130"/>
      <c r="AE17" s="130"/>
      <c r="AF17" s="130"/>
    </row>
    <row r="18" spans="1:32">
      <c r="A18" s="132"/>
      <c r="B18" s="298"/>
      <c r="C18" s="297" t="s">
        <v>189</v>
      </c>
      <c r="D18" s="226" t="s">
        <v>188</v>
      </c>
      <c r="E18" s="297" t="s">
        <v>187</v>
      </c>
      <c r="F18" s="226" t="s">
        <v>186</v>
      </c>
      <c r="G18" s="296" t="s">
        <v>185</v>
      </c>
      <c r="J18" s="154"/>
      <c r="K18" s="130"/>
      <c r="L18" s="130"/>
      <c r="M18" s="130"/>
      <c r="N18" s="130"/>
      <c r="O18" s="130"/>
      <c r="P18" s="130"/>
      <c r="Q18" s="130"/>
      <c r="R18" s="130"/>
      <c r="S18" s="130"/>
      <c r="T18" s="130"/>
      <c r="U18" s="130"/>
      <c r="V18" s="130"/>
      <c r="W18" s="130"/>
      <c r="X18" s="130"/>
      <c r="Y18" s="130"/>
      <c r="Z18" s="130"/>
      <c r="AA18" s="130"/>
      <c r="AB18" s="130"/>
      <c r="AC18" s="130"/>
      <c r="AD18" s="130"/>
      <c r="AE18" s="130"/>
      <c r="AF18" s="130"/>
    </row>
    <row r="19" spans="1:32">
      <c r="B19" s="295" t="s">
        <v>108</v>
      </c>
      <c r="C19" s="293">
        <f>'Future Cashflows (10 Yrs)'!G4/'Future Cashflows (10 Yrs)'!E4</f>
        <v>-2.3004524118620057E-2</v>
      </c>
      <c r="D19" s="415">
        <f>'Future Cashflows (10 Yrs)'!E4*(1-'Future Cashflows (10 Yrs)'!F4)</f>
        <v>14523.595228912049</v>
      </c>
      <c r="E19" s="377"/>
      <c r="F19" s="415"/>
      <c r="G19" s="155">
        <f>C19</f>
        <v>-2.3004524118620057E-2</v>
      </c>
      <c r="J19" s="154"/>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1:32">
      <c r="A20" s="132"/>
      <c r="B20" s="184">
        <v>1</v>
      </c>
      <c r="C20" s="293">
        <f>AVERAGE(C19,C22)</f>
        <v>-7.9102086037925491E-3</v>
      </c>
      <c r="D20" s="415">
        <f>'Future Cashflows (10 Yrs)'!E5*(1-C20)</f>
        <v>17545.21711447469</v>
      </c>
      <c r="E20" s="377">
        <f>D14</f>
        <v>426.91009426797569</v>
      </c>
      <c r="F20" s="415">
        <f>D20+E20</f>
        <v>17972.127208742666</v>
      </c>
      <c r="G20" s="155">
        <f>1-(F20/'Future Cashflows (10 Yrs)'!E5)</f>
        <v>-3.2434672414144217E-2</v>
      </c>
      <c r="J20" s="154"/>
      <c r="K20" s="130"/>
      <c r="L20" s="130"/>
      <c r="M20" s="130"/>
      <c r="N20" s="130"/>
      <c r="O20" s="130"/>
      <c r="P20" s="130"/>
      <c r="Q20" s="130"/>
      <c r="R20" s="130"/>
      <c r="S20" s="130"/>
      <c r="T20" s="130"/>
      <c r="U20" s="130"/>
      <c r="V20" s="130"/>
      <c r="W20" s="130"/>
      <c r="X20" s="130"/>
      <c r="Y20" s="130"/>
      <c r="Z20" s="130"/>
      <c r="AA20" s="130"/>
      <c r="AB20" s="130"/>
      <c r="AC20" s="130"/>
      <c r="AD20" s="130"/>
      <c r="AE20" s="130"/>
      <c r="AF20" s="130"/>
    </row>
    <row r="21" spans="1:32">
      <c r="B21" s="184">
        <f t="shared" ref="B21:B29" si="1">B20+1</f>
        <v>2</v>
      </c>
      <c r="C21" s="293">
        <f>AVERAGE(C20,C22)</f>
        <v>-3.6305084637879535E-4</v>
      </c>
      <c r="D21" s="415">
        <f>'Future Cashflows (10 Yrs)'!E6*(1-C21)</f>
        <v>20859.736796660352</v>
      </c>
      <c r="E21" s="377">
        <f>E14</f>
        <v>501.90120991328547</v>
      </c>
      <c r="F21" s="415">
        <f t="shared" ref="F21:F29" si="2">D21+E21</f>
        <v>21361.638006573638</v>
      </c>
      <c r="G21" s="155">
        <f>1-(F21/'Future Cashflows (10 Yrs)'!E6)</f>
        <v>-2.4432550402707198E-2</v>
      </c>
      <c r="J21" s="154"/>
      <c r="K21" s="130"/>
      <c r="L21" s="130"/>
      <c r="M21" s="130"/>
      <c r="N21" s="130"/>
      <c r="O21" s="130"/>
      <c r="P21" s="130"/>
      <c r="Q21" s="130"/>
      <c r="R21" s="130"/>
      <c r="S21" s="130"/>
      <c r="T21" s="130"/>
      <c r="U21" s="130"/>
      <c r="V21" s="130"/>
      <c r="W21" s="130"/>
      <c r="X21" s="130"/>
      <c r="Y21" s="130"/>
      <c r="Z21" s="130"/>
      <c r="AA21" s="130"/>
      <c r="AB21" s="130"/>
      <c r="AC21" s="130"/>
      <c r="AD21" s="130"/>
      <c r="AE21" s="130"/>
      <c r="AF21" s="130"/>
    </row>
    <row r="22" spans="1:32">
      <c r="B22" s="184">
        <f t="shared" si="1"/>
        <v>3</v>
      </c>
      <c r="C22" s="293">
        <f>AVERAGE(C19,C24)</f>
        <v>7.1841069110349584E-3</v>
      </c>
      <c r="D22" s="415">
        <f>'Future Cashflows (10 Yrs)'!E7*(1-C22)</f>
        <v>24368.20193458231</v>
      </c>
      <c r="E22" s="377">
        <f>F14</f>
        <v>568.44084381741209</v>
      </c>
      <c r="F22" s="415">
        <f t="shared" si="2"/>
        <v>24936.642778399721</v>
      </c>
      <c r="G22" s="155">
        <f>1-(F22/'Future Cashflows (10 Yrs)'!E7)</f>
        <v>-1.5975464137246487E-2</v>
      </c>
      <c r="J22" s="154"/>
      <c r="K22" s="130"/>
      <c r="L22" s="130"/>
      <c r="M22" s="130"/>
      <c r="N22" s="130"/>
      <c r="O22" s="130"/>
      <c r="P22" s="130"/>
      <c r="Q22" s="130"/>
      <c r="R22" s="130"/>
      <c r="S22" s="130"/>
      <c r="T22" s="130"/>
      <c r="U22" s="130"/>
      <c r="V22" s="130"/>
      <c r="W22" s="130"/>
      <c r="X22" s="130"/>
      <c r="Y22" s="130"/>
      <c r="Z22" s="130"/>
      <c r="AA22" s="130"/>
      <c r="AB22" s="130"/>
      <c r="AC22" s="130"/>
      <c r="AD22" s="130"/>
      <c r="AE22" s="130"/>
      <c r="AF22" s="130"/>
    </row>
    <row r="23" spans="1:32" ht="12" customHeight="1">
      <c r="B23" s="184">
        <f t="shared" si="1"/>
        <v>4</v>
      </c>
      <c r="C23" s="293">
        <f>AVERAGE(C22,C24)</f>
        <v>2.2278422425862466E-2</v>
      </c>
      <c r="D23" s="415">
        <f>'Future Cashflows (10 Yrs)'!E8*(1-C23)</f>
        <v>27864.013304136086</v>
      </c>
      <c r="E23" s="377">
        <f>G14</f>
        <v>634.09088023973561</v>
      </c>
      <c r="F23" s="415">
        <f t="shared" si="2"/>
        <v>28498.104184375821</v>
      </c>
      <c r="G23" s="155">
        <f>1-(F23/'Future Cashflows (10 Yrs)'!E8)</f>
        <v>2.8779885627883139E-5</v>
      </c>
      <c r="J23" s="154"/>
      <c r="K23" s="130"/>
      <c r="L23" s="130"/>
      <c r="M23" s="130"/>
      <c r="N23" s="130"/>
      <c r="O23" s="130"/>
      <c r="P23" s="130"/>
      <c r="Q23" s="130"/>
      <c r="R23" s="130"/>
      <c r="S23" s="130"/>
      <c r="T23" s="130"/>
      <c r="U23" s="130"/>
      <c r="V23" s="130"/>
      <c r="W23" s="130"/>
      <c r="X23" s="130"/>
      <c r="Y23" s="130"/>
      <c r="Z23" s="130"/>
      <c r="AA23" s="130"/>
      <c r="AB23" s="130"/>
      <c r="AC23" s="130"/>
      <c r="AD23" s="130"/>
      <c r="AE23" s="130"/>
      <c r="AF23" s="130"/>
    </row>
    <row r="24" spans="1:32">
      <c r="B24" s="184">
        <f t="shared" si="1"/>
        <v>5</v>
      </c>
      <c r="C24" s="293">
        <f>AVERAGE(C19,C29)</f>
        <v>3.7372737940689973E-2</v>
      </c>
      <c r="D24" s="415">
        <f>'Future Cashflows (10 Yrs)'!E9*(1-C24)</f>
        <v>30019.1835316818</v>
      </c>
      <c r="E24" s="377">
        <f>H14</f>
        <v>665.47127563729566</v>
      </c>
      <c r="F24" s="415">
        <f t="shared" si="2"/>
        <v>30684.654807319097</v>
      </c>
      <c r="G24" s="155">
        <f>1-(F24/'Future Cashflows (10 Yrs)'!E9)</f>
        <v>1.6033023908502364E-2</v>
      </c>
      <c r="J24" s="154"/>
      <c r="K24" s="130"/>
      <c r="L24" s="130"/>
      <c r="M24" s="130"/>
      <c r="N24" s="130"/>
      <c r="O24" s="130"/>
      <c r="P24" s="130"/>
      <c r="Q24" s="130"/>
      <c r="R24" s="130"/>
      <c r="S24" s="130"/>
      <c r="T24" s="130"/>
      <c r="U24" s="130"/>
      <c r="V24" s="130"/>
      <c r="W24" s="130"/>
      <c r="X24" s="130"/>
      <c r="Y24" s="130"/>
      <c r="Z24" s="130"/>
      <c r="AA24" s="130"/>
      <c r="AB24" s="130"/>
      <c r="AC24" s="130"/>
      <c r="AD24" s="130"/>
      <c r="AE24" s="130"/>
      <c r="AF24" s="130"/>
    </row>
    <row r="25" spans="1:32">
      <c r="B25" s="184">
        <f t="shared" si="1"/>
        <v>6</v>
      </c>
      <c r="C25" s="293">
        <f>AVERAGE(C24,C27)</f>
        <v>5.2467053455517478E-2</v>
      </c>
      <c r="D25" s="415">
        <f>'Future Cashflows (10 Yrs)'!E10*(1-C25)</f>
        <v>32253.654080810153</v>
      </c>
      <c r="E25" s="377">
        <f>I14</f>
        <v>710.90878408581148</v>
      </c>
      <c r="F25" s="415">
        <f t="shared" si="2"/>
        <v>32964.562864895961</v>
      </c>
      <c r="G25" s="155">
        <f>1-(F25/'Future Cashflows (10 Yrs)'!E10)</f>
        <v>3.1582303677353485E-2</v>
      </c>
      <c r="J25" s="154"/>
      <c r="K25" s="130"/>
      <c r="L25" s="130"/>
      <c r="M25" s="130"/>
      <c r="N25" s="130"/>
      <c r="O25" s="130"/>
      <c r="P25" s="130"/>
      <c r="Q25" s="130"/>
      <c r="R25" s="130"/>
      <c r="S25" s="130"/>
      <c r="T25" s="130"/>
      <c r="U25" s="130"/>
      <c r="V25" s="130"/>
      <c r="W25" s="130"/>
      <c r="X25" s="130"/>
      <c r="Y25" s="130"/>
      <c r="Z25" s="130"/>
      <c r="AA25" s="130"/>
      <c r="AB25" s="130"/>
      <c r="AC25" s="130"/>
      <c r="AD25" s="130"/>
      <c r="AE25" s="130"/>
      <c r="AF25" s="130"/>
    </row>
    <row r="26" spans="1:32">
      <c r="B26" s="184">
        <f t="shared" si="1"/>
        <v>7</v>
      </c>
      <c r="C26" s="293">
        <f>AVERAGE(C25,C27)</f>
        <v>6.0014211212931226E-2</v>
      </c>
      <c r="D26" s="415">
        <f>'Future Cashflows (10 Yrs)'!E11*(1-C26)</f>
        <v>36419.730000326454</v>
      </c>
      <c r="E26" s="377">
        <f>J14</f>
        <v>791.55161878977037</v>
      </c>
      <c r="F26" s="415">
        <f t="shared" si="2"/>
        <v>37211.281619116227</v>
      </c>
      <c r="G26" s="155">
        <f>1-(F26/'Future Cashflows (10 Yrs)'!E11)</f>
        <v>3.9584425688790503E-2</v>
      </c>
      <c r="J26" s="157"/>
      <c r="K26" s="130"/>
      <c r="L26" s="130"/>
      <c r="M26" s="130"/>
      <c r="N26" s="130"/>
      <c r="O26" s="130"/>
      <c r="P26" s="130"/>
      <c r="Q26" s="130"/>
      <c r="R26" s="130"/>
      <c r="S26" s="130"/>
      <c r="T26" s="130"/>
      <c r="U26" s="130"/>
      <c r="V26" s="130"/>
      <c r="W26" s="130"/>
      <c r="X26" s="130"/>
      <c r="Y26" s="130"/>
      <c r="Z26" s="130"/>
      <c r="AA26" s="130"/>
      <c r="AB26" s="130"/>
      <c r="AC26" s="130"/>
      <c r="AD26" s="130"/>
      <c r="AE26" s="130"/>
      <c r="AF26" s="130"/>
    </row>
    <row r="27" spans="1:32">
      <c r="B27" s="184">
        <f t="shared" si="1"/>
        <v>8</v>
      </c>
      <c r="C27" s="293">
        <f>AVERAGE(C24,C29)</f>
        <v>6.7561368970344982E-2</v>
      </c>
      <c r="D27" s="415">
        <f>'Future Cashflows (10 Yrs)'!E12*(1-C27)</f>
        <v>39193.701650963761</v>
      </c>
      <c r="E27" s="377">
        <f>K14</f>
        <v>820.48879861769842</v>
      </c>
      <c r="F27" s="415">
        <f t="shared" si="2"/>
        <v>40014.19044958146</v>
      </c>
      <c r="G27" s="155">
        <f>1-(F27/'Future Cashflows (10 Yrs)'!E12)</f>
        <v>4.8041511954251215E-2</v>
      </c>
      <c r="L27" s="130"/>
      <c r="M27" s="130"/>
      <c r="N27" s="130"/>
      <c r="O27" s="130"/>
      <c r="P27" s="130"/>
      <c r="Q27" s="130"/>
      <c r="R27" s="130"/>
      <c r="S27" s="130"/>
      <c r="T27" s="130"/>
      <c r="U27" s="130"/>
      <c r="V27" s="130"/>
      <c r="W27" s="130"/>
      <c r="X27" s="130"/>
      <c r="Y27" s="130"/>
      <c r="Z27" s="130"/>
      <c r="AA27" s="130"/>
      <c r="AB27" s="130"/>
      <c r="AC27" s="130"/>
      <c r="AD27" s="130"/>
      <c r="AE27" s="130"/>
      <c r="AF27" s="130"/>
    </row>
    <row r="28" spans="1:32">
      <c r="B28" s="184">
        <f t="shared" si="1"/>
        <v>9</v>
      </c>
      <c r="C28" s="293">
        <f>AVERAGE(C27,C29)</f>
        <v>8.2655684485172493E-2</v>
      </c>
      <c r="D28" s="415">
        <f>'Future Cashflows (10 Yrs)'!E13*(1-C28)</f>
        <v>41760.453338553292</v>
      </c>
      <c r="E28" s="377">
        <f>L14</f>
        <v>847.18359066513892</v>
      </c>
      <c r="F28" s="415">
        <f t="shared" si="2"/>
        <v>42607.636929218432</v>
      </c>
      <c r="G28" s="155">
        <f>1-(F28/'Future Cashflows (10 Yrs)'!E13)</f>
        <v>6.4045755977125474E-2</v>
      </c>
      <c r="L28" s="130"/>
      <c r="M28" s="130"/>
      <c r="N28" s="130"/>
      <c r="O28" s="130"/>
      <c r="P28" s="130"/>
      <c r="Q28" s="130"/>
      <c r="R28" s="130"/>
      <c r="S28" s="130"/>
      <c r="T28" s="130"/>
      <c r="U28" s="130"/>
      <c r="V28" s="130"/>
      <c r="W28" s="130"/>
      <c r="X28" s="130"/>
      <c r="Y28" s="130"/>
      <c r="Z28" s="130"/>
      <c r="AA28" s="130"/>
      <c r="AB28" s="130"/>
      <c r="AC28" s="130"/>
      <c r="AD28" s="130"/>
      <c r="AE28" s="130"/>
      <c r="AF28" s="130"/>
    </row>
    <row r="29" spans="1:32">
      <c r="B29" s="184">
        <f t="shared" si="1"/>
        <v>10</v>
      </c>
      <c r="C29" s="293">
        <f>'Expected Growth Rate'!H27</f>
        <v>9.7750000000000004E-2</v>
      </c>
      <c r="D29" s="415">
        <f>'Future Cashflows (10 Yrs)'!E14*(1-C29)</f>
        <v>46109.877769483057</v>
      </c>
      <c r="E29" s="377">
        <f>M14</f>
        <v>904.56618068146315</v>
      </c>
      <c r="F29" s="415">
        <f t="shared" si="2"/>
        <v>47014.443950164517</v>
      </c>
      <c r="G29" s="155">
        <f>1-(F29/'Future Cashflows (10 Yrs)'!E14)</f>
        <v>8.0050000000000066E-2</v>
      </c>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1:32" ht="14.25" customHeight="1">
      <c r="D30" s="6"/>
      <c r="E30" s="6"/>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1:32">
      <c r="D31" s="25"/>
      <c r="E31" s="25"/>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1:32">
      <c r="D32" s="3"/>
      <c r="E32" s="3"/>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4:32">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4:32">
      <c r="D34" s="24"/>
      <c r="E34" s="24"/>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4:32">
      <c r="D35" s="50"/>
      <c r="E35" s="3"/>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4: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4: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4: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sheetData>
  <mergeCells count="3">
    <mergeCell ref="B10:M10"/>
    <mergeCell ref="B17:G17"/>
    <mergeCell ref="B3:G3"/>
  </mergeCells>
  <pageMargins left="0.7" right="0.7" top="0.75" bottom="0.75" header="0.3" footer="0.3"/>
  <pageSetup paperSize="8"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25" customWidth="1"/>
    <col min="2" max="2" width="22" style="125" customWidth="1"/>
    <col min="3" max="3" width="13" style="125" customWidth="1"/>
    <col min="4" max="4" width="13.140625" style="125" customWidth="1"/>
    <col min="5" max="5" width="13.5703125" style="125" customWidth="1"/>
    <col min="6" max="6" width="12" style="125" customWidth="1"/>
    <col min="7" max="7" width="13.42578125" style="125" customWidth="1" collapsed="1"/>
    <col min="8" max="10" width="12.140625" style="125" bestFit="1" customWidth="1"/>
    <col min="11" max="13" width="13.7109375" style="125" bestFit="1" customWidth="1"/>
    <col min="14" max="26" width="9.140625" style="125" customWidth="1"/>
    <col min="27" max="27" width="9.28515625" style="125" customWidth="1"/>
    <col min="28" max="28" width="9.42578125" style="125" customWidth="1"/>
    <col min="29" max="29" width="10" style="125" customWidth="1"/>
    <col min="30" max="30" width="11.42578125" style="125" customWidth="1"/>
    <col min="31" max="31" width="9.42578125" style="125" bestFit="1" customWidth="1" collapsed="1"/>
    <col min="32" max="16384" width="9.140625" style="125"/>
  </cols>
  <sheetData>
    <row r="1" spans="1:32" s="124" customFormat="1" ht="15" customHeight="1">
      <c r="B1" s="17" t="s">
        <v>297</v>
      </c>
      <c r="C1" s="123"/>
      <c r="D1" s="123"/>
      <c r="E1" s="123"/>
      <c r="F1" s="123"/>
      <c r="G1" s="123"/>
      <c r="H1" s="123"/>
      <c r="I1" s="123"/>
      <c r="J1" s="123"/>
      <c r="K1" s="123"/>
      <c r="L1" s="123"/>
    </row>
    <row r="2" spans="1:32" ht="12" customHeight="1">
      <c r="C2" s="148"/>
    </row>
    <row r="3" spans="1:32" ht="12" customHeight="1">
      <c r="A3" s="127"/>
      <c r="B3" s="491" t="s">
        <v>298</v>
      </c>
      <c r="C3" s="491"/>
      <c r="D3" s="491"/>
      <c r="E3" s="491"/>
      <c r="F3" s="491"/>
      <c r="G3" s="491"/>
      <c r="H3" s="159"/>
      <c r="I3" s="160"/>
      <c r="J3" s="159"/>
      <c r="K3" s="159"/>
      <c r="L3" s="159"/>
      <c r="M3" s="159"/>
      <c r="N3" s="159"/>
      <c r="O3" s="159"/>
      <c r="P3" s="159"/>
      <c r="Q3" s="159"/>
    </row>
    <row r="4" spans="1:32" ht="12" customHeight="1">
      <c r="A4" s="132"/>
      <c r="B4" s="234" t="s">
        <v>38</v>
      </c>
      <c r="C4" s="235" t="s">
        <v>151</v>
      </c>
      <c r="D4" s="234">
        <v>2020</v>
      </c>
      <c r="E4" s="235">
        <v>2019</v>
      </c>
      <c r="F4" s="235">
        <v>2018</v>
      </c>
      <c r="G4" s="235">
        <v>2017</v>
      </c>
      <c r="H4" s="134"/>
      <c r="I4" s="282"/>
      <c r="J4" s="210"/>
      <c r="K4" s="210"/>
      <c r="L4" s="210"/>
      <c r="M4" s="210"/>
      <c r="N4" s="210"/>
      <c r="O4" s="210"/>
      <c r="P4" s="210"/>
      <c r="Q4" s="126"/>
      <c r="S4" s="129"/>
      <c r="T4" s="129"/>
      <c r="U4" s="129"/>
      <c r="V4" s="129"/>
      <c r="AA4" s="129"/>
    </row>
    <row r="5" spans="1:32" ht="12" customHeight="1">
      <c r="A5" s="132"/>
      <c r="B5" s="185" t="s">
        <v>299</v>
      </c>
      <c r="C5" s="188">
        <f>162.32*0.553</f>
        <v>89.762960000000007</v>
      </c>
      <c r="D5" s="188">
        <f>76.43*0.738</f>
        <v>56.405340000000002</v>
      </c>
      <c r="E5" s="188">
        <f>48.04*0.928</f>
        <v>44.581119999999999</v>
      </c>
      <c r="F5" s="188">
        <f>34.25*0.764</f>
        <v>26.167000000000002</v>
      </c>
      <c r="G5" s="188">
        <f>17.63*0.42</f>
        <v>7.4045999999999994</v>
      </c>
      <c r="H5" s="162"/>
      <c r="I5" s="282"/>
      <c r="J5" s="154"/>
      <c r="K5" s="46"/>
      <c r="L5" s="46"/>
      <c r="M5" s="46"/>
      <c r="N5" s="46"/>
      <c r="O5" s="46"/>
      <c r="P5" s="46"/>
      <c r="Q5" s="46"/>
      <c r="S5" s="130"/>
      <c r="T5" s="130"/>
      <c r="U5" s="130"/>
      <c r="V5" s="130"/>
      <c r="W5" s="130"/>
      <c r="X5" s="130"/>
      <c r="Y5" s="130"/>
      <c r="Z5" s="130"/>
      <c r="AA5" s="130"/>
      <c r="AB5" s="130"/>
      <c r="AC5" s="130"/>
      <c r="AD5" s="130"/>
      <c r="AE5" s="130"/>
      <c r="AF5" s="130"/>
    </row>
    <row r="6" spans="1:32" ht="12" customHeight="1">
      <c r="A6" s="132"/>
      <c r="B6" s="185" t="s">
        <v>5</v>
      </c>
      <c r="C6" s="188">
        <f>'Future Value (Equity Options)'!C6</f>
        <v>12814</v>
      </c>
      <c r="D6" s="188">
        <f>'Future Value (Equity Options)'!D6</f>
        <v>5587</v>
      </c>
      <c r="E6" s="188">
        <f>'Future Value (Equity Options)'!E6</f>
        <v>3940</v>
      </c>
      <c r="F6" s="188">
        <f>'Future Value (Equity Options)'!F6</f>
        <v>1955.4670000000001</v>
      </c>
      <c r="G6" s="188">
        <f>'Future Value (Equity Options)'!G6</f>
        <v>858.87</v>
      </c>
      <c r="H6" s="162"/>
      <c r="J6" s="154"/>
      <c r="K6" s="154"/>
      <c r="L6" s="154"/>
      <c r="M6" s="154"/>
      <c r="N6" s="154"/>
      <c r="O6" s="154"/>
      <c r="P6" s="154"/>
      <c r="Q6" s="154"/>
      <c r="S6" s="130"/>
      <c r="T6" s="130"/>
      <c r="U6" s="130"/>
      <c r="V6" s="130"/>
      <c r="W6" s="130"/>
      <c r="X6" s="130"/>
      <c r="Y6" s="130"/>
      <c r="Z6" s="130"/>
      <c r="AA6" s="130"/>
      <c r="AB6" s="130"/>
      <c r="AC6" s="130"/>
      <c r="AD6" s="130"/>
      <c r="AE6" s="130"/>
      <c r="AF6" s="130"/>
    </row>
    <row r="7" spans="1:32" ht="12" customHeight="1">
      <c r="B7" s="185" t="s">
        <v>300</v>
      </c>
      <c r="C7" s="155">
        <f>C5/C6</f>
        <v>7.0050694552832842E-3</v>
      </c>
      <c r="D7" s="155">
        <f>D5/D6</f>
        <v>1.0095818865222839E-2</v>
      </c>
      <c r="E7" s="155">
        <f>E5/E6</f>
        <v>1.1315005076142132E-2</v>
      </c>
      <c r="F7" s="155">
        <f>F5/F6</f>
        <v>1.3381458239898704E-2</v>
      </c>
      <c r="G7" s="155">
        <f>G5/G6</f>
        <v>8.6213280240315764E-3</v>
      </c>
      <c r="H7" s="154"/>
      <c r="I7" s="149"/>
      <c r="J7" s="149"/>
      <c r="N7" s="130"/>
      <c r="O7" s="130"/>
      <c r="P7" s="148"/>
      <c r="Q7" s="154"/>
      <c r="S7" s="130"/>
      <c r="T7" s="130"/>
      <c r="U7" s="130"/>
      <c r="V7" s="130"/>
      <c r="W7" s="130"/>
      <c r="X7" s="130"/>
      <c r="Y7" s="130"/>
      <c r="Z7" s="130"/>
      <c r="AA7" s="130"/>
      <c r="AB7" s="130"/>
      <c r="AC7" s="130"/>
      <c r="AD7" s="130"/>
      <c r="AE7" s="130"/>
      <c r="AF7" s="130"/>
    </row>
    <row r="8" spans="1:32" ht="12" customHeight="1">
      <c r="A8" s="132"/>
      <c r="B8" s="130"/>
      <c r="C8" s="162"/>
      <c r="D8" s="152"/>
      <c r="E8" s="152"/>
      <c r="F8" s="301" t="s">
        <v>301</v>
      </c>
      <c r="G8" s="416">
        <f>MEDIAN(C7:H7)</f>
        <v>1.0095818865222839E-2</v>
      </c>
      <c r="J8" s="192"/>
      <c r="K8" s="193"/>
      <c r="O8" s="130"/>
      <c r="P8" s="130"/>
      <c r="Q8" s="130"/>
      <c r="R8" s="130"/>
      <c r="S8" s="130"/>
      <c r="T8" s="130"/>
      <c r="U8" s="130"/>
      <c r="V8" s="130"/>
      <c r="W8" s="130"/>
      <c r="X8" s="130"/>
      <c r="Y8" s="130"/>
      <c r="Z8" s="130"/>
      <c r="AA8" s="130"/>
      <c r="AB8" s="130"/>
      <c r="AC8" s="130"/>
      <c r="AD8" s="130"/>
      <c r="AE8" s="130"/>
      <c r="AF8" s="130"/>
    </row>
    <row r="9" spans="1:32" ht="12" customHeight="1">
      <c r="A9" s="132"/>
      <c r="J9" s="128"/>
      <c r="K9" s="149"/>
      <c r="O9" s="130"/>
      <c r="P9" s="130"/>
      <c r="Q9" s="130"/>
      <c r="R9" s="130"/>
      <c r="S9" s="130"/>
      <c r="T9" s="130"/>
      <c r="U9" s="130"/>
      <c r="V9" s="130"/>
      <c r="W9" s="130"/>
      <c r="X9" s="130"/>
      <c r="Y9" s="130"/>
      <c r="Z9" s="130"/>
      <c r="AA9" s="130"/>
      <c r="AB9" s="130"/>
      <c r="AC9" s="130"/>
      <c r="AD9" s="130"/>
      <c r="AE9" s="130"/>
      <c r="AF9" s="130"/>
    </row>
    <row r="10" spans="1:32">
      <c r="A10" s="128"/>
      <c r="B10" s="491" t="s">
        <v>193</v>
      </c>
      <c r="C10" s="491"/>
      <c r="D10" s="491"/>
      <c r="E10" s="491"/>
      <c r="F10" s="491"/>
      <c r="G10" s="491"/>
      <c r="H10" s="491"/>
      <c r="I10" s="491"/>
      <c r="J10" s="491"/>
      <c r="K10" s="491"/>
      <c r="L10" s="491"/>
      <c r="M10" s="491"/>
      <c r="O10" s="130"/>
      <c r="P10" s="130"/>
      <c r="Q10" s="130"/>
      <c r="R10" s="130"/>
      <c r="S10" s="130"/>
      <c r="T10" s="130"/>
      <c r="U10" s="130"/>
      <c r="V10" s="130"/>
      <c r="W10" s="130"/>
      <c r="X10" s="130"/>
      <c r="Y10" s="130"/>
      <c r="Z10" s="130"/>
      <c r="AA10" s="130"/>
      <c r="AB10" s="130"/>
      <c r="AC10" s="130"/>
      <c r="AD10" s="130"/>
      <c r="AE10" s="130"/>
      <c r="AF10" s="130"/>
    </row>
    <row r="11" spans="1:32" ht="12.75" customHeight="1">
      <c r="A11" s="132"/>
      <c r="B11" s="234" t="s">
        <v>38</v>
      </c>
      <c r="C11" s="235" t="s">
        <v>151</v>
      </c>
      <c r="D11" s="234">
        <v>1</v>
      </c>
      <c r="E11" s="235">
        <v>2</v>
      </c>
      <c r="F11" s="235">
        <v>3</v>
      </c>
      <c r="G11" s="235">
        <v>4</v>
      </c>
      <c r="H11" s="235">
        <v>5</v>
      </c>
      <c r="I11" s="300">
        <v>6</v>
      </c>
      <c r="J11" s="300">
        <v>7</v>
      </c>
      <c r="K11" s="299">
        <v>8</v>
      </c>
      <c r="L11" s="299">
        <v>9</v>
      </c>
      <c r="M11" s="299">
        <v>10</v>
      </c>
      <c r="N11" s="162"/>
      <c r="O11" s="130"/>
      <c r="P11" s="130"/>
      <c r="Q11" s="130"/>
      <c r="R11" s="130"/>
      <c r="S11" s="130"/>
      <c r="T11" s="130"/>
      <c r="U11" s="130"/>
      <c r="V11" s="130"/>
      <c r="W11" s="130"/>
      <c r="X11" s="130"/>
      <c r="Y11" s="130"/>
      <c r="Z11" s="130"/>
      <c r="AA11" s="130"/>
      <c r="AB11" s="130"/>
      <c r="AC11" s="130"/>
      <c r="AD11" s="130"/>
      <c r="AE11" s="130"/>
      <c r="AF11" s="130"/>
    </row>
    <row r="12" spans="1:32">
      <c r="B12" s="185" t="s">
        <v>192</v>
      </c>
      <c r="C12" s="155">
        <f>G8</f>
        <v>1.0095818865222839E-2</v>
      </c>
      <c r="D12" s="155">
        <f>AVERAGE(C12,E12)</f>
        <v>9.7773301861464115E-3</v>
      </c>
      <c r="E12" s="155">
        <f>AVERAGE(C12,F12)</f>
        <v>9.458841507069984E-3</v>
      </c>
      <c r="F12" s="155">
        <f>AVERAGE(C12,H12)</f>
        <v>8.8218641489171291E-3</v>
      </c>
      <c r="G12" s="155">
        <f>AVERAGE(F12,H12)</f>
        <v>8.1848867907642741E-3</v>
      </c>
      <c r="H12" s="155">
        <f>AVERAGE(C12,M12)</f>
        <v>7.5479094326114191E-3</v>
      </c>
      <c r="I12" s="155">
        <f>AVERAGE(H12,J12)</f>
        <v>7.2294207535349916E-3</v>
      </c>
      <c r="J12" s="155">
        <f>AVERAGE(H12,K12)</f>
        <v>6.9109320744585642E-3</v>
      </c>
      <c r="K12" s="155">
        <f>AVERAGE(H12,M12)</f>
        <v>6.2739547163057092E-3</v>
      </c>
      <c r="L12" s="155">
        <f>AVERAGE(K12,M12)</f>
        <v>5.6369773581528542E-3</v>
      </c>
      <c r="M12" s="155">
        <v>5.0000000000000001E-3</v>
      </c>
      <c r="N12" s="162"/>
      <c r="O12" s="159"/>
      <c r="P12" s="159"/>
      <c r="Q12" s="159"/>
      <c r="R12" s="130"/>
      <c r="S12" s="130"/>
      <c r="T12" s="130"/>
      <c r="U12" s="130"/>
      <c r="V12" s="130"/>
      <c r="W12" s="130"/>
      <c r="X12" s="130"/>
      <c r="Y12" s="130"/>
      <c r="Z12" s="130"/>
      <c r="AA12" s="130"/>
      <c r="AB12" s="130"/>
      <c r="AC12" s="130"/>
      <c r="AD12" s="130"/>
      <c r="AE12" s="130"/>
      <c r="AF12" s="130"/>
    </row>
    <row r="13" spans="1:32" ht="12" customHeight="1">
      <c r="A13" s="132"/>
      <c r="B13" s="185" t="s">
        <v>5</v>
      </c>
      <c r="C13" s="188">
        <f>C6</f>
        <v>12814</v>
      </c>
      <c r="D13" s="188">
        <f>'Future Cashflows (10 Yrs)'!E5</f>
        <v>17407.52</v>
      </c>
      <c r="E13" s="188">
        <f>'Future Cashflows (10 Yrs)'!E6</f>
        <v>20852.166400000002</v>
      </c>
      <c r="F13" s="188">
        <f>'Future Cashflows (10 Yrs)'!E7</f>
        <v>24544.532480000002</v>
      </c>
      <c r="G13" s="188">
        <f>'Future Cashflows (10 Yrs)'!E8</f>
        <v>28498.924380159999</v>
      </c>
      <c r="H13" s="188">
        <f>'Future Cashflows (10 Yrs)'!E9</f>
        <v>31184.638867865597</v>
      </c>
      <c r="I13" s="188">
        <f>'Future Cashflows (10 Yrs)'!E10</f>
        <v>34039.612235579385</v>
      </c>
      <c r="J13" s="188">
        <f>'Future Cashflows (10 Yrs)'!E11</f>
        <v>38744.979376040836</v>
      </c>
      <c r="K13" s="188">
        <f>'Future Cashflows (10 Yrs)'!E12</f>
        <v>42033.545529622374</v>
      </c>
      <c r="L13" s="188">
        <f>'Future Cashflows (10 Yrs)'!E13</f>
        <v>45523.20500848876</v>
      </c>
      <c r="M13" s="188">
        <f>'Future Cashflows (10 Yrs)'!E14</f>
        <v>51105.433936805828</v>
      </c>
      <c r="O13" s="130"/>
      <c r="P13" s="130"/>
      <c r="Q13" s="130"/>
      <c r="R13" s="130"/>
      <c r="S13" s="130"/>
      <c r="T13" s="130"/>
      <c r="U13" s="130"/>
      <c r="V13" s="130"/>
      <c r="W13" s="130"/>
      <c r="X13" s="130"/>
      <c r="Y13" s="130"/>
      <c r="Z13" s="130"/>
      <c r="AA13" s="130"/>
      <c r="AB13" s="130"/>
      <c r="AC13" s="130"/>
      <c r="AD13" s="130"/>
      <c r="AE13" s="130"/>
      <c r="AF13" s="130"/>
    </row>
    <row r="14" spans="1:32">
      <c r="B14" s="185" t="s">
        <v>191</v>
      </c>
      <c r="C14" s="188">
        <f>C13*C12</f>
        <v>129.36782293896545</v>
      </c>
      <c r="D14" s="188">
        <f t="shared" ref="D14:M14" si="0">D13*D12</f>
        <v>170.19907076194738</v>
      </c>
      <c r="E14" s="188">
        <f t="shared" si="0"/>
        <v>197.23733705665009</v>
      </c>
      <c r="F14" s="188">
        <f t="shared" si="0"/>
        <v>216.52853113724404</v>
      </c>
      <c r="G14" s="188">
        <f t="shared" si="0"/>
        <v>233.26046971016149</v>
      </c>
      <c r="H14" s="188">
        <f t="shared" si="0"/>
        <v>235.37882986334341</v>
      </c>
      <c r="I14" s="188">
        <f t="shared" si="0"/>
        <v>246.08667913818124</v>
      </c>
      <c r="J14" s="188">
        <f>J13*J12</f>
        <v>267.76392069411617</v>
      </c>
      <c r="K14" s="188">
        <f t="shared" si="0"/>
        <v>263.71656121862503</v>
      </c>
      <c r="L14" s="188">
        <f t="shared" si="0"/>
        <v>256.61327590340176</v>
      </c>
      <c r="M14" s="188">
        <f t="shared" si="0"/>
        <v>255.52716968402913</v>
      </c>
      <c r="O14" s="130"/>
      <c r="P14" s="130"/>
      <c r="Q14" s="130"/>
      <c r="R14" s="130"/>
      <c r="S14" s="130"/>
      <c r="T14" s="130"/>
      <c r="U14" s="130"/>
      <c r="V14" s="130"/>
      <c r="W14" s="130"/>
      <c r="X14" s="130"/>
      <c r="Y14" s="130"/>
      <c r="Z14" s="130"/>
      <c r="AA14" s="130"/>
      <c r="AB14" s="130"/>
      <c r="AC14" s="130"/>
      <c r="AD14" s="130"/>
      <c r="AE14" s="130"/>
      <c r="AF14" s="130"/>
    </row>
    <row r="15" spans="1:32">
      <c r="D15" s="212"/>
      <c r="F15" s="212"/>
      <c r="G15" s="55"/>
      <c r="K15" s="194"/>
      <c r="O15" s="130"/>
      <c r="P15" s="130"/>
      <c r="Q15" s="130"/>
      <c r="R15" s="130"/>
      <c r="S15" s="130"/>
      <c r="T15" s="130"/>
      <c r="U15" s="130"/>
      <c r="V15" s="130"/>
      <c r="W15" s="130"/>
      <c r="X15" s="130"/>
      <c r="Y15" s="130"/>
      <c r="Z15" s="130"/>
      <c r="AA15" s="130"/>
      <c r="AB15" s="130"/>
      <c r="AC15" s="130"/>
      <c r="AD15" s="130"/>
      <c r="AE15" s="130"/>
      <c r="AF15" s="130"/>
    </row>
    <row r="16" spans="1:32">
      <c r="D16" s="212"/>
      <c r="F16" s="212"/>
      <c r="K16" s="130"/>
      <c r="O16" s="130"/>
      <c r="P16" s="130"/>
      <c r="Q16" s="130"/>
      <c r="R16" s="130"/>
      <c r="S16" s="130"/>
      <c r="T16" s="130"/>
      <c r="U16" s="130"/>
      <c r="V16" s="130"/>
      <c r="W16" s="130"/>
      <c r="X16" s="130"/>
      <c r="Y16" s="130"/>
      <c r="Z16" s="130"/>
      <c r="AA16" s="130"/>
      <c r="AB16" s="130"/>
      <c r="AC16" s="130"/>
      <c r="AD16" s="130"/>
      <c r="AE16" s="130"/>
      <c r="AF16" s="130"/>
    </row>
    <row r="17" spans="1:32">
      <c r="B17" s="491" t="s">
        <v>190</v>
      </c>
      <c r="C17" s="491"/>
      <c r="D17" s="491"/>
      <c r="E17" s="491"/>
      <c r="F17" s="491"/>
      <c r="G17" s="491"/>
      <c r="J17" s="134"/>
      <c r="K17" s="130"/>
      <c r="L17" s="130"/>
      <c r="O17" s="130"/>
      <c r="P17" s="130"/>
      <c r="Q17" s="130"/>
      <c r="R17" s="130"/>
      <c r="S17" s="130"/>
      <c r="T17" s="130"/>
      <c r="U17" s="130"/>
      <c r="V17" s="130"/>
      <c r="W17" s="130"/>
      <c r="X17" s="130"/>
      <c r="Y17" s="130"/>
      <c r="Z17" s="130"/>
      <c r="AA17" s="130"/>
      <c r="AB17" s="130"/>
      <c r="AC17" s="130"/>
      <c r="AD17" s="130"/>
      <c r="AE17" s="130"/>
      <c r="AF17" s="130"/>
    </row>
    <row r="18" spans="1:32">
      <c r="A18" s="132"/>
      <c r="B18" s="298"/>
      <c r="C18" s="297" t="s">
        <v>189</v>
      </c>
      <c r="D18" s="226" t="s">
        <v>188</v>
      </c>
      <c r="E18" s="297" t="s">
        <v>302</v>
      </c>
      <c r="F18" s="226" t="s">
        <v>186</v>
      </c>
      <c r="G18" s="296" t="s">
        <v>185</v>
      </c>
      <c r="J18" s="154"/>
      <c r="K18" s="130"/>
      <c r="L18" s="130"/>
      <c r="M18" s="130"/>
      <c r="N18" s="130"/>
      <c r="O18" s="130"/>
      <c r="P18" s="130"/>
      <c r="Q18" s="130"/>
      <c r="R18" s="130"/>
      <c r="S18" s="130"/>
      <c r="T18" s="130"/>
      <c r="U18" s="130"/>
      <c r="V18" s="130"/>
      <c r="W18" s="130"/>
      <c r="X18" s="130"/>
      <c r="Y18" s="130"/>
      <c r="Z18" s="130"/>
      <c r="AA18" s="130"/>
      <c r="AB18" s="130"/>
      <c r="AC18" s="130"/>
      <c r="AD18" s="130"/>
      <c r="AE18" s="130"/>
      <c r="AF18" s="130"/>
    </row>
    <row r="19" spans="1:32">
      <c r="B19" s="295" t="s">
        <v>108</v>
      </c>
      <c r="C19" s="293">
        <f>'Future Value (Equity Options)'!G19</f>
        <v>-2.3004524118620057E-2</v>
      </c>
      <c r="D19" s="292">
        <f>'Future Cashflows (10 Yrs)'!E4*(1-'Future Cashflows (10 Yrs)'!F4)</f>
        <v>14523.595228912049</v>
      </c>
      <c r="E19" s="138"/>
      <c r="F19" s="294"/>
      <c r="G19" s="155">
        <f>C19</f>
        <v>-2.3004524118620057E-2</v>
      </c>
      <c r="J19" s="154"/>
      <c r="K19" s="130"/>
      <c r="L19" s="130"/>
      <c r="M19" s="130"/>
      <c r="N19" s="130"/>
      <c r="O19" s="130"/>
      <c r="P19" s="130"/>
      <c r="Q19" s="130"/>
      <c r="R19" s="130"/>
      <c r="S19" s="130"/>
      <c r="T19" s="130"/>
      <c r="U19" s="130"/>
      <c r="V19" s="130"/>
      <c r="W19" s="130"/>
      <c r="X19" s="130"/>
      <c r="Y19" s="130"/>
      <c r="Z19" s="130"/>
      <c r="AA19" s="130"/>
      <c r="AB19" s="130"/>
      <c r="AC19" s="130"/>
      <c r="AD19" s="130"/>
      <c r="AE19" s="130"/>
      <c r="AF19" s="130"/>
    </row>
    <row r="20" spans="1:32">
      <c r="A20" s="132"/>
      <c r="B20" s="184">
        <v>1</v>
      </c>
      <c r="C20" s="293">
        <f>'Future Value (Equity Options)'!G20</f>
        <v>-3.2434672414144217E-2</v>
      </c>
      <c r="D20" s="292">
        <f>'Future Cashflows (10 Yrs)'!E5*(1-C20)</f>
        <v>17972.127208742666</v>
      </c>
      <c r="E20" s="188">
        <f>D14</f>
        <v>170.19907076194738</v>
      </c>
      <c r="F20" s="292">
        <f>D20+E20</f>
        <v>18142.326279504614</v>
      </c>
      <c r="G20" s="155">
        <f>1-(F20/'Future Cashflows (10 Yrs)'!E5)</f>
        <v>-4.2212002600290788E-2</v>
      </c>
      <c r="J20" s="154"/>
      <c r="K20" s="130"/>
      <c r="L20" s="130"/>
      <c r="M20" s="130"/>
      <c r="N20" s="130"/>
      <c r="O20" s="130"/>
      <c r="P20" s="130"/>
      <c r="Q20" s="130"/>
      <c r="R20" s="130"/>
      <c r="S20" s="130"/>
      <c r="T20" s="130"/>
      <c r="U20" s="130"/>
      <c r="V20" s="130"/>
      <c r="W20" s="130"/>
      <c r="X20" s="130"/>
      <c r="Y20" s="130"/>
      <c r="Z20" s="130"/>
      <c r="AA20" s="130"/>
      <c r="AB20" s="130"/>
      <c r="AC20" s="130"/>
      <c r="AD20" s="130"/>
      <c r="AE20" s="130"/>
      <c r="AF20" s="130"/>
    </row>
    <row r="21" spans="1:32">
      <c r="B21" s="184">
        <f t="shared" ref="B21:B29" si="1">B20+1</f>
        <v>2</v>
      </c>
      <c r="C21" s="293">
        <f>'Future Value (Equity Options)'!G21</f>
        <v>-2.4432550402707198E-2</v>
      </c>
      <c r="D21" s="292">
        <f>'Future Cashflows (10 Yrs)'!E6*(1-C21)</f>
        <v>21361.638006573641</v>
      </c>
      <c r="E21" s="188">
        <f>E14</f>
        <v>197.23733705665009</v>
      </c>
      <c r="F21" s="292">
        <f t="shared" ref="F21:F27" si="2">D21+E21</f>
        <v>21558.87534363029</v>
      </c>
      <c r="G21" s="155">
        <f>1-(F21/'Future Cashflows (10 Yrs)'!E6)</f>
        <v>-3.3891391909777191E-2</v>
      </c>
      <c r="J21" s="154"/>
      <c r="K21" s="130"/>
      <c r="L21" s="130"/>
      <c r="M21" s="130"/>
      <c r="N21" s="130"/>
      <c r="O21" s="130"/>
      <c r="P21" s="130"/>
      <c r="Q21" s="130"/>
      <c r="R21" s="130"/>
      <c r="S21" s="130"/>
      <c r="T21" s="130"/>
      <c r="U21" s="130"/>
      <c r="V21" s="130"/>
      <c r="W21" s="130"/>
      <c r="X21" s="130"/>
      <c r="Y21" s="130"/>
      <c r="Z21" s="130"/>
      <c r="AA21" s="130"/>
      <c r="AB21" s="130"/>
      <c r="AC21" s="130"/>
      <c r="AD21" s="130"/>
      <c r="AE21" s="130"/>
      <c r="AF21" s="130"/>
    </row>
    <row r="22" spans="1:32">
      <c r="B22" s="184">
        <f t="shared" si="1"/>
        <v>3</v>
      </c>
      <c r="C22" s="293">
        <f>'Future Value (Equity Options)'!G22</f>
        <v>-1.5975464137246487E-2</v>
      </c>
      <c r="D22" s="292">
        <f>'Future Cashflows (10 Yrs)'!E7*(1-C22)</f>
        <v>24936.642778399724</v>
      </c>
      <c r="E22" s="188">
        <f>F14</f>
        <v>216.52853113724404</v>
      </c>
      <c r="F22" s="292">
        <f t="shared" si="2"/>
        <v>25153.171309536967</v>
      </c>
      <c r="G22" s="155">
        <f>1-(F22/'Future Cashflows (10 Yrs)'!E7)</f>
        <v>-2.4797328286163545E-2</v>
      </c>
      <c r="J22" s="154"/>
      <c r="K22" s="130"/>
      <c r="L22" s="130"/>
      <c r="M22" s="130"/>
      <c r="N22" s="130"/>
      <c r="O22" s="130"/>
      <c r="P22" s="130"/>
      <c r="Q22" s="130"/>
      <c r="R22" s="130"/>
      <c r="S22" s="130"/>
      <c r="T22" s="130"/>
      <c r="U22" s="130"/>
      <c r="V22" s="130"/>
      <c r="W22" s="130"/>
      <c r="X22" s="130"/>
      <c r="Y22" s="130"/>
      <c r="Z22" s="130"/>
      <c r="AA22" s="130"/>
      <c r="AB22" s="130"/>
      <c r="AC22" s="130"/>
      <c r="AD22" s="130"/>
      <c r="AE22" s="130"/>
      <c r="AF22" s="130"/>
    </row>
    <row r="23" spans="1:32" ht="12" customHeight="1">
      <c r="B23" s="184">
        <f t="shared" si="1"/>
        <v>4</v>
      </c>
      <c r="C23" s="293">
        <f>'Future Value (Equity Options)'!G23</f>
        <v>2.8779885627883139E-5</v>
      </c>
      <c r="D23" s="292">
        <f>'Future Cashflows (10 Yrs)'!E8*(1-C23)</f>
        <v>28498.104184375821</v>
      </c>
      <c r="E23" s="188">
        <f>G14</f>
        <v>233.26046971016149</v>
      </c>
      <c r="F23" s="292">
        <f t="shared" si="2"/>
        <v>28731.364654085985</v>
      </c>
      <c r="G23" s="155">
        <f>1-(F23/'Future Cashflows (10 Yrs)'!E8)</f>
        <v>-8.1561069051365731E-3</v>
      </c>
      <c r="J23" s="154"/>
      <c r="K23" s="130"/>
      <c r="L23" s="130"/>
      <c r="M23" s="130"/>
      <c r="N23" s="130"/>
      <c r="O23" s="130"/>
      <c r="P23" s="130"/>
      <c r="Q23" s="130"/>
      <c r="R23" s="130"/>
      <c r="S23" s="130"/>
      <c r="T23" s="130"/>
      <c r="U23" s="130"/>
      <c r="V23" s="130"/>
      <c r="W23" s="130"/>
      <c r="X23" s="130"/>
      <c r="Y23" s="130"/>
      <c r="Z23" s="130"/>
      <c r="AA23" s="130"/>
      <c r="AB23" s="130"/>
      <c r="AC23" s="130"/>
      <c r="AD23" s="130"/>
      <c r="AE23" s="130"/>
      <c r="AF23" s="130"/>
    </row>
    <row r="24" spans="1:32">
      <c r="B24" s="184">
        <f t="shared" si="1"/>
        <v>5</v>
      </c>
      <c r="C24" s="293">
        <f>'Future Value (Equity Options)'!G24</f>
        <v>1.6033023908502364E-2</v>
      </c>
      <c r="D24" s="292">
        <f>'Future Cashflows (10 Yrs)'!E9*(1-C24)</f>
        <v>30684.654807319097</v>
      </c>
      <c r="E24" s="188">
        <f>H14</f>
        <v>235.37882986334341</v>
      </c>
      <c r="F24" s="292">
        <f t="shared" si="2"/>
        <v>30920.033637182441</v>
      </c>
      <c r="G24" s="155">
        <f>1-(F24/'Future Cashflows (10 Yrs)'!E9)</f>
        <v>8.4851144758908426E-3</v>
      </c>
      <c r="J24" s="154"/>
      <c r="K24" s="130"/>
      <c r="L24" s="130"/>
      <c r="M24" s="130"/>
      <c r="N24" s="130"/>
      <c r="O24" s="130"/>
      <c r="P24" s="130"/>
      <c r="Q24" s="130"/>
      <c r="R24" s="130"/>
      <c r="S24" s="130"/>
      <c r="T24" s="130"/>
      <c r="U24" s="130"/>
      <c r="V24" s="130"/>
      <c r="W24" s="130"/>
      <c r="X24" s="130"/>
      <c r="Y24" s="130"/>
      <c r="Z24" s="130"/>
      <c r="AA24" s="130"/>
      <c r="AB24" s="130"/>
      <c r="AC24" s="130"/>
      <c r="AD24" s="130"/>
      <c r="AE24" s="130"/>
      <c r="AF24" s="130"/>
    </row>
    <row r="25" spans="1:32">
      <c r="B25" s="184">
        <f t="shared" si="1"/>
        <v>6</v>
      </c>
      <c r="C25" s="293">
        <f>'Future Value (Equity Options)'!G25</f>
        <v>3.1582303677353485E-2</v>
      </c>
      <c r="D25" s="292">
        <f>'Future Cashflows (10 Yrs)'!E10*(1-C25)</f>
        <v>32964.562864895961</v>
      </c>
      <c r="E25" s="188">
        <f>I14</f>
        <v>246.08667913818124</v>
      </c>
      <c r="F25" s="292">
        <f>D25+E25</f>
        <v>33210.649544034139</v>
      </c>
      <c r="G25" s="155">
        <f>1-(F25/'Future Cashflows (10 Yrs)'!E10)</f>
        <v>2.4352882923818542E-2</v>
      </c>
      <c r="J25" s="154"/>
      <c r="K25" s="130"/>
      <c r="L25" s="130"/>
      <c r="M25" s="130"/>
      <c r="N25" s="130"/>
      <c r="O25" s="130"/>
      <c r="P25" s="130"/>
      <c r="Q25" s="130"/>
      <c r="R25" s="130"/>
      <c r="S25" s="130"/>
      <c r="T25" s="130"/>
      <c r="U25" s="130"/>
      <c r="V25" s="130"/>
      <c r="W25" s="130"/>
      <c r="X25" s="130"/>
      <c r="Y25" s="130"/>
      <c r="Z25" s="130"/>
      <c r="AA25" s="130"/>
      <c r="AB25" s="130"/>
      <c r="AC25" s="130"/>
      <c r="AD25" s="130"/>
      <c r="AE25" s="130"/>
      <c r="AF25" s="130"/>
    </row>
    <row r="26" spans="1:32">
      <c r="B26" s="184">
        <f t="shared" si="1"/>
        <v>7</v>
      </c>
      <c r="C26" s="293">
        <f>'Future Value (Equity Options)'!G26</f>
        <v>3.9584425688790503E-2</v>
      </c>
      <c r="D26" s="292">
        <f>'Future Cashflows (10 Yrs)'!E11*(1-C26)</f>
        <v>37211.281619116227</v>
      </c>
      <c r="E26" s="188">
        <f>J14</f>
        <v>267.76392069411617</v>
      </c>
      <c r="F26" s="292">
        <f t="shared" si="2"/>
        <v>37479.045539810344</v>
      </c>
      <c r="G26" s="155">
        <f>1-(F26/'Future Cashflows (10 Yrs)'!E11)</f>
        <v>3.2673493614331917E-2</v>
      </c>
      <c r="J26" s="157"/>
      <c r="K26" s="130"/>
      <c r="L26" s="130"/>
      <c r="M26" s="130"/>
      <c r="N26" s="130"/>
      <c r="O26" s="130"/>
      <c r="P26" s="130"/>
      <c r="Q26" s="130"/>
      <c r="R26" s="130"/>
      <c r="S26" s="130"/>
      <c r="T26" s="130"/>
      <c r="U26" s="130"/>
      <c r="V26" s="130"/>
      <c r="W26" s="130"/>
      <c r="X26" s="130"/>
      <c r="Y26" s="130"/>
      <c r="Z26" s="130"/>
      <c r="AA26" s="130"/>
      <c r="AB26" s="130"/>
      <c r="AC26" s="130"/>
      <c r="AD26" s="130"/>
      <c r="AE26" s="130"/>
      <c r="AF26" s="130"/>
    </row>
    <row r="27" spans="1:32">
      <c r="B27" s="184">
        <f t="shared" si="1"/>
        <v>8</v>
      </c>
      <c r="C27" s="293">
        <f>'Future Value (Equity Options)'!G27</f>
        <v>4.8041511954251215E-2</v>
      </c>
      <c r="D27" s="292">
        <f>'Future Cashflows (10 Yrs)'!E12*(1-C27)</f>
        <v>40014.19044958146</v>
      </c>
      <c r="E27" s="188">
        <f>K14</f>
        <v>263.71656121862503</v>
      </c>
      <c r="F27" s="292">
        <f t="shared" si="2"/>
        <v>40277.907010800081</v>
      </c>
      <c r="G27" s="155">
        <f>1-(F27/'Future Cashflows (10 Yrs)'!E12)</f>
        <v>4.1767557237945563E-2</v>
      </c>
      <c r="L27" s="130"/>
      <c r="M27" s="130"/>
      <c r="N27" s="130"/>
      <c r="O27" s="130"/>
      <c r="P27" s="130"/>
      <c r="Q27" s="130"/>
      <c r="R27" s="130"/>
      <c r="S27" s="130"/>
      <c r="T27" s="130"/>
      <c r="U27" s="130"/>
      <c r="V27" s="130"/>
      <c r="W27" s="130"/>
      <c r="X27" s="130"/>
      <c r="Y27" s="130"/>
      <c r="Z27" s="130"/>
      <c r="AA27" s="130"/>
      <c r="AB27" s="130"/>
      <c r="AC27" s="130"/>
      <c r="AD27" s="130"/>
      <c r="AE27" s="130"/>
      <c r="AF27" s="130"/>
    </row>
    <row r="28" spans="1:32">
      <c r="B28" s="184">
        <f t="shared" si="1"/>
        <v>9</v>
      </c>
      <c r="C28" s="293">
        <f>'Future Value (Equity Options)'!G28</f>
        <v>6.4045755977125474E-2</v>
      </c>
      <c r="D28" s="292">
        <f>'Future Cashflows (10 Yrs)'!E13*(1-C28)</f>
        <v>42607.636929218432</v>
      </c>
      <c r="E28" s="188">
        <f>L14</f>
        <v>256.61327590340176</v>
      </c>
      <c r="F28" s="292">
        <f>D28+E28</f>
        <v>42864.250205121833</v>
      </c>
      <c r="G28" s="155">
        <f>1-(F28/'Future Cashflows (10 Yrs)'!E13)</f>
        <v>5.8408778618972645E-2</v>
      </c>
      <c r="L28" s="130"/>
      <c r="M28" s="130"/>
      <c r="N28" s="130"/>
      <c r="O28" s="130"/>
      <c r="P28" s="130"/>
      <c r="Q28" s="130"/>
      <c r="R28" s="130"/>
      <c r="S28" s="130"/>
      <c r="T28" s="130"/>
      <c r="U28" s="130"/>
      <c r="V28" s="130"/>
      <c r="W28" s="130"/>
      <c r="X28" s="130"/>
      <c r="Y28" s="130"/>
      <c r="Z28" s="130"/>
      <c r="AA28" s="130"/>
      <c r="AB28" s="130"/>
      <c r="AC28" s="130"/>
      <c r="AD28" s="130"/>
      <c r="AE28" s="130"/>
      <c r="AF28" s="130"/>
    </row>
    <row r="29" spans="1:32">
      <c r="B29" s="184">
        <f t="shared" si="1"/>
        <v>10</v>
      </c>
      <c r="C29" s="293">
        <f>'Future Value (Equity Options)'!G29</f>
        <v>8.0050000000000066E-2</v>
      </c>
      <c r="D29" s="292">
        <f>'Future Cashflows (10 Yrs)'!E14*(1-C29)</f>
        <v>47014.443950164517</v>
      </c>
      <c r="E29" s="188">
        <f>M14</f>
        <v>255.52716968402913</v>
      </c>
      <c r="F29" s="292">
        <f>D29+E29</f>
        <v>47269.971119848546</v>
      </c>
      <c r="G29" s="155">
        <f>1-(F29/'Future Cashflows (10 Yrs)'!E14)</f>
        <v>7.5050000000000061E-2</v>
      </c>
      <c r="K29" s="130"/>
      <c r="L29" s="130"/>
      <c r="M29" s="130"/>
      <c r="N29" s="130"/>
      <c r="O29" s="130"/>
      <c r="P29" s="130"/>
      <c r="Q29" s="130"/>
      <c r="R29" s="130"/>
      <c r="S29" s="130"/>
      <c r="T29" s="130"/>
      <c r="U29" s="130"/>
      <c r="V29" s="130"/>
      <c r="W29" s="130"/>
      <c r="X29" s="130"/>
      <c r="Y29" s="130"/>
      <c r="Z29" s="130"/>
      <c r="AA29" s="130"/>
      <c r="AB29" s="130"/>
      <c r="AC29" s="130"/>
      <c r="AD29" s="130"/>
      <c r="AE29" s="130"/>
      <c r="AF29" s="130"/>
    </row>
    <row r="30" spans="1:32" ht="14.25" customHeight="1">
      <c r="D30" s="6"/>
      <c r="E30" s="6"/>
      <c r="K30" s="130"/>
      <c r="L30" s="130"/>
      <c r="M30" s="130"/>
      <c r="N30" s="130"/>
      <c r="O30" s="130"/>
      <c r="P30" s="130"/>
      <c r="Q30" s="130"/>
      <c r="R30" s="130"/>
      <c r="S30" s="130"/>
      <c r="T30" s="130"/>
      <c r="U30" s="130"/>
      <c r="V30" s="130"/>
      <c r="W30" s="130"/>
      <c r="X30" s="130"/>
      <c r="Y30" s="130"/>
      <c r="Z30" s="130"/>
      <c r="AA30" s="130"/>
      <c r="AB30" s="130"/>
      <c r="AC30" s="130"/>
      <c r="AD30" s="130"/>
      <c r="AE30" s="130"/>
      <c r="AF30" s="130"/>
    </row>
    <row r="31" spans="1:32">
      <c r="D31" s="25"/>
      <c r="E31" s="25"/>
      <c r="G31" s="130"/>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row>
    <row r="32" spans="1:32">
      <c r="D32" s="3"/>
      <c r="E32" s="3"/>
      <c r="G32" s="130"/>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row>
    <row r="33" spans="4:32">
      <c r="G33" s="130"/>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row>
    <row r="34" spans="4:32">
      <c r="D34" s="24"/>
      <c r="E34" s="24"/>
      <c r="G34" s="130"/>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row>
    <row r="35" spans="4:32">
      <c r="D35" s="50"/>
      <c r="E35" s="3"/>
      <c r="G35" s="130"/>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row>
    <row r="36" spans="4:32">
      <c r="G36" s="130"/>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row>
    <row r="37" spans="4:32">
      <c r="G37" s="130"/>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row>
    <row r="38" spans="4:32">
      <c r="G38" s="130"/>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row>
  </sheetData>
  <mergeCells count="3">
    <mergeCell ref="B10:M10"/>
    <mergeCell ref="B17:G17"/>
    <mergeCell ref="B3:G3"/>
  </mergeCells>
  <pageMargins left="0.7" right="0.7" top="0.75" bottom="0.75" header="0.3" footer="0.3"/>
  <pageSetup paperSize="8"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32" style="2" customWidth="1"/>
    <col min="3" max="3" width="11.42578125" style="2" customWidth="1"/>
    <col min="4" max="4" width="10" style="2" customWidth="1"/>
    <col min="5" max="5" width="10.140625" style="2" customWidth="1"/>
    <col min="6" max="7" width="10.28515625" style="2" customWidth="1"/>
    <col min="8" max="8" width="10.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7" t="s">
        <v>343</v>
      </c>
    </row>
    <row r="3" spans="1:20" ht="12" customHeight="1">
      <c r="B3" s="49" t="s">
        <v>345</v>
      </c>
      <c r="C3" s="472" t="s">
        <v>24</v>
      </c>
      <c r="E3" s="43"/>
      <c r="F3" s="32"/>
      <c r="G3" s="224"/>
      <c r="H3" s="31"/>
      <c r="I3" s="3"/>
      <c r="J3" s="3"/>
      <c r="K3" s="3"/>
      <c r="L3" s="3"/>
      <c r="M3" s="3"/>
      <c r="N3" s="3"/>
      <c r="O3" s="3"/>
      <c r="P3" s="3"/>
      <c r="Q3" s="3"/>
      <c r="R3" s="3"/>
      <c r="S3" s="3"/>
      <c r="T3" s="3"/>
    </row>
    <row r="4" spans="1:20" ht="12" customHeight="1">
      <c r="B4" s="49" t="s">
        <v>346</v>
      </c>
      <c r="C4" s="474">
        <f>5.875%</f>
        <v>5.8749999999999997E-2</v>
      </c>
      <c r="I4" s="115"/>
      <c r="J4" s="115"/>
      <c r="K4" s="115"/>
      <c r="L4" s="115"/>
      <c r="M4" s="3"/>
      <c r="N4" s="3"/>
      <c r="O4" s="3"/>
      <c r="P4" s="3"/>
      <c r="Q4" s="3"/>
      <c r="R4" s="3"/>
      <c r="S4" s="3"/>
      <c r="T4" s="3"/>
    </row>
    <row r="5" spans="1:20" ht="12" customHeight="1">
      <c r="B5" s="49" t="s">
        <v>347</v>
      </c>
      <c r="C5" s="475">
        <v>2000</v>
      </c>
      <c r="I5" s="63"/>
      <c r="J5" s="63"/>
      <c r="K5" s="63"/>
      <c r="L5" s="63"/>
      <c r="M5" s="3"/>
      <c r="N5" s="3"/>
      <c r="O5" s="3"/>
      <c r="P5" s="3"/>
      <c r="Q5" s="3"/>
      <c r="R5" s="3"/>
      <c r="S5" s="3"/>
      <c r="T5" s="3"/>
    </row>
    <row r="6" spans="1:20" ht="12" customHeight="1">
      <c r="B6" s="49" t="s">
        <v>11</v>
      </c>
      <c r="C6" s="473">
        <f>'Risk Free Rate'!C3</f>
        <v>3.8289999999999998E-2</v>
      </c>
      <c r="I6" s="422"/>
      <c r="J6" s="422"/>
      <c r="K6" s="422"/>
      <c r="L6" s="422"/>
      <c r="M6" s="3"/>
      <c r="N6" s="3"/>
      <c r="O6" s="3"/>
      <c r="P6" s="3"/>
      <c r="Q6" s="3"/>
      <c r="R6" s="3"/>
      <c r="S6" s="3"/>
      <c r="T6" s="3"/>
    </row>
    <row r="7" spans="1:20" ht="12" customHeight="1">
      <c r="A7" s="3"/>
      <c r="B7" s="49" t="s">
        <v>348</v>
      </c>
      <c r="C7" s="476">
        <v>46762</v>
      </c>
      <c r="I7" s="70"/>
      <c r="J7" s="70"/>
      <c r="K7" s="70"/>
      <c r="L7" s="70"/>
      <c r="M7" s="22"/>
      <c r="N7" s="3"/>
      <c r="O7" s="3"/>
      <c r="P7" s="3"/>
      <c r="Q7" s="3"/>
      <c r="R7" s="3"/>
      <c r="S7" s="3"/>
      <c r="T7" s="3"/>
    </row>
    <row r="8" spans="1:20" ht="12" customHeight="1">
      <c r="A8" s="3"/>
      <c r="B8" s="49" t="s">
        <v>349</v>
      </c>
      <c r="C8" s="477">
        <f ca="1">YEARFRAC(TODAY(),C7)</f>
        <v>5.2666666666666666</v>
      </c>
      <c r="D8" s="478" t="s">
        <v>350</v>
      </c>
      <c r="I8" s="422"/>
      <c r="J8" s="422"/>
      <c r="K8" s="422"/>
      <c r="L8" s="422"/>
      <c r="M8" s="3"/>
      <c r="N8" s="3"/>
      <c r="O8" s="3"/>
      <c r="P8" s="3"/>
      <c r="Q8" s="3"/>
      <c r="R8" s="3"/>
      <c r="S8" s="3"/>
      <c r="T8" s="3"/>
    </row>
    <row r="9" spans="1:20" ht="12" customHeight="1">
      <c r="A9" s="3"/>
      <c r="B9" s="479" t="s">
        <v>352</v>
      </c>
      <c r="C9" s="480">
        <v>0.19200289732287101</v>
      </c>
      <c r="D9" s="3"/>
      <c r="E9" s="3"/>
      <c r="F9" s="3"/>
      <c r="G9" s="3"/>
      <c r="H9" s="3"/>
      <c r="I9" s="3"/>
      <c r="J9" s="3"/>
      <c r="K9" s="3"/>
      <c r="L9" s="3"/>
      <c r="M9" s="3"/>
      <c r="N9" s="3"/>
      <c r="O9" s="3"/>
      <c r="P9" s="3"/>
      <c r="Q9" s="3"/>
      <c r="R9" s="3"/>
      <c r="S9" s="3"/>
      <c r="T9" s="3"/>
    </row>
    <row r="10" spans="1:20" ht="12" customHeight="1">
      <c r="A10" s="3"/>
      <c r="I10" s="3"/>
      <c r="J10" s="3"/>
      <c r="K10" s="3"/>
      <c r="L10" s="3"/>
      <c r="M10" s="3"/>
      <c r="N10" s="3"/>
      <c r="O10" s="3"/>
      <c r="P10" s="3"/>
      <c r="Q10" s="3"/>
      <c r="R10" s="3"/>
      <c r="S10" s="3"/>
      <c r="T10" s="3"/>
    </row>
    <row r="11" spans="1:20" ht="12" customHeight="1">
      <c r="A11" s="3"/>
      <c r="L11" s="251"/>
      <c r="N11" s="3"/>
      <c r="O11" s="3"/>
      <c r="P11" s="3"/>
      <c r="Q11" s="3"/>
      <c r="R11" s="3"/>
      <c r="S11" s="3"/>
      <c r="T11" s="3"/>
    </row>
    <row r="12" spans="1:20" ht="12" customHeight="1">
      <c r="A12" s="3"/>
      <c r="B12" s="486" t="s">
        <v>351</v>
      </c>
      <c r="C12" s="486"/>
      <c r="D12" s="486"/>
      <c r="E12" s="486"/>
      <c r="F12" s="486"/>
      <c r="G12" s="486"/>
      <c r="H12" s="486"/>
      <c r="J12" s="31"/>
      <c r="K12" s="31"/>
      <c r="L12" s="3"/>
      <c r="M12" s="3"/>
      <c r="N12" s="3"/>
      <c r="O12" s="3"/>
      <c r="P12" s="3"/>
      <c r="Q12" s="3"/>
      <c r="R12" s="3"/>
      <c r="S12" s="3"/>
      <c r="T12" s="3"/>
    </row>
    <row r="13" spans="1:20" ht="12" customHeight="1">
      <c r="A13" s="3"/>
      <c r="B13" s="272" t="s">
        <v>344</v>
      </c>
      <c r="C13" s="225">
        <v>1</v>
      </c>
      <c r="D13" s="225">
        <v>2</v>
      </c>
      <c r="E13" s="226">
        <v>3</v>
      </c>
      <c r="F13" s="225">
        <v>4</v>
      </c>
      <c r="G13" s="225">
        <v>5</v>
      </c>
      <c r="H13" s="226" t="s">
        <v>342</v>
      </c>
      <c r="J13" s="31"/>
      <c r="K13" s="31"/>
      <c r="L13" s="3"/>
      <c r="M13" s="3"/>
      <c r="N13" s="3"/>
      <c r="O13" s="3"/>
      <c r="P13" s="3"/>
      <c r="Q13" s="3"/>
      <c r="R13" s="3"/>
      <c r="S13" s="3"/>
      <c r="T13" s="3"/>
    </row>
    <row r="14" spans="1:20" s="27" customFormat="1" ht="12" customHeight="1">
      <c r="A14" s="26"/>
      <c r="B14" s="471">
        <f>865.4</f>
        <v>865.4</v>
      </c>
      <c r="C14" s="366">
        <f>(($C$5*$C$4)*(1-$C$9)^C13)/((1+'Risk Free Rate'!$C$3)^C13)</f>
        <v>91.438480159264429</v>
      </c>
      <c r="D14" s="366">
        <f>(($C$5*$C$4)*(1-$C$9)^D13)/((1+'Risk Free Rate'!$C$3)^D13)</f>
        <v>71.157409819882503</v>
      </c>
      <c r="E14" s="366">
        <f>(($C$5*$C$4)*(1-$C$9)^E13)/((1+'Risk Free Rate'!$C$3)^E13)</f>
        <v>55.374684306382754</v>
      </c>
      <c r="F14" s="366">
        <f>(($C$5*$C$4)*(1-$C$9)^F13)/((1+'Risk Free Rate'!$C$3)^F13)</f>
        <v>43.092569976806054</v>
      </c>
      <c r="G14" s="366">
        <f>(($C$5*$C$4)*(1-$C$9)^G13)/((1+'Risk Free Rate'!$C$3)^G13)</f>
        <v>33.534630679454416</v>
      </c>
      <c r="H14" s="366">
        <f>(C5*(1-$C$9)^G13)/((1+'Risk Free Rate'!$C$3)^G13)</f>
        <v>570.80222433113897</v>
      </c>
      <c r="L14" s="26"/>
      <c r="M14" s="26"/>
      <c r="N14" s="26"/>
      <c r="O14" s="26"/>
      <c r="P14" s="26"/>
      <c r="Q14" s="26"/>
      <c r="R14" s="26"/>
      <c r="S14" s="26"/>
      <c r="T14" s="26"/>
    </row>
    <row r="15" spans="1:20" ht="12" customHeight="1">
      <c r="A15" s="3"/>
      <c r="B15" s="363"/>
      <c r="C15" s="363"/>
      <c r="D15" s="363"/>
      <c r="E15" s="363"/>
      <c r="F15" s="363"/>
      <c r="G15" s="363"/>
      <c r="H15" s="363"/>
      <c r="L15" s="3"/>
    </row>
    <row r="16" spans="1:20" ht="12" customHeight="1">
      <c r="A16" s="230"/>
      <c r="B16" s="389">
        <f>SUM(C14:H14)</f>
        <v>865.39999927292911</v>
      </c>
      <c r="C16" s="363"/>
      <c r="D16" s="363"/>
      <c r="E16" s="363"/>
      <c r="F16" s="363"/>
      <c r="G16" s="363"/>
      <c r="H16" s="363"/>
      <c r="L16" s="3"/>
      <c r="M16" s="3"/>
    </row>
    <row r="17" spans="1:20" ht="12" customHeight="1">
      <c r="A17" s="230"/>
      <c r="B17" s="420"/>
      <c r="C17" s="418"/>
      <c r="L17" s="3"/>
      <c r="M17" s="3"/>
    </row>
    <row r="18" spans="1:20" ht="12" customHeight="1">
      <c r="A18" s="230"/>
      <c r="B18" s="3"/>
      <c r="C18" s="422"/>
      <c r="D18" s="31"/>
      <c r="L18" s="3"/>
      <c r="M18" s="3"/>
    </row>
    <row r="19" spans="1:20" ht="12" customHeight="1">
      <c r="A19" s="230"/>
      <c r="B19" s="456" t="s">
        <v>353</v>
      </c>
      <c r="C19" s="485">
        <f>(1-C9)^10</f>
        <v>0.118603644608794</v>
      </c>
      <c r="D19" s="31"/>
      <c r="E19" s="245"/>
      <c r="F19" s="250"/>
      <c r="L19" s="3"/>
      <c r="M19" s="3"/>
      <c r="Q19" s="31"/>
      <c r="R19" s="3"/>
      <c r="S19" s="3"/>
      <c r="T19" s="3"/>
    </row>
    <row r="20" spans="1:20" ht="12" customHeight="1">
      <c r="A20" s="230"/>
      <c r="B20" s="456" t="s">
        <v>354</v>
      </c>
      <c r="C20" s="481">
        <f>1-C19</f>
        <v>0.88139635539120598</v>
      </c>
      <c r="D20" s="31"/>
      <c r="E20" s="245"/>
      <c r="F20" s="31"/>
      <c r="K20" s="31"/>
      <c r="L20" s="3"/>
      <c r="M20" s="3"/>
      <c r="N20" s="3"/>
      <c r="P20" s="3"/>
      <c r="Q20" s="3"/>
      <c r="R20" s="3"/>
      <c r="S20" s="3"/>
      <c r="T20" s="3"/>
    </row>
    <row r="21" spans="1:20" ht="12" customHeight="1">
      <c r="A21" s="230"/>
      <c r="B21" s="33"/>
      <c r="C21" s="422"/>
      <c r="D21" s="33"/>
      <c r="E21" s="331"/>
      <c r="F21" s="31"/>
      <c r="I21" s="31"/>
      <c r="J21" s="31"/>
      <c r="K21" s="31"/>
      <c r="L21" s="3"/>
      <c r="M21" s="3"/>
      <c r="N21" s="3"/>
      <c r="O21" s="3"/>
      <c r="P21" s="3"/>
      <c r="Q21" s="3"/>
      <c r="R21" s="3"/>
      <c r="S21" s="3"/>
      <c r="T21" s="3"/>
    </row>
    <row r="22" spans="1:20" ht="12" customHeight="1">
      <c r="A22" s="230"/>
      <c r="B22" s="3"/>
      <c r="C22" s="422"/>
      <c r="D22" s="31"/>
      <c r="E22" s="331"/>
      <c r="F22" s="34"/>
      <c r="I22" s="31"/>
      <c r="J22" s="31"/>
      <c r="K22" s="31"/>
      <c r="L22" s="3"/>
      <c r="M22" s="3"/>
      <c r="O22" s="3"/>
      <c r="P22" s="3"/>
      <c r="Q22" s="3"/>
      <c r="R22" s="3"/>
      <c r="S22" s="3"/>
      <c r="T22" s="3"/>
    </row>
    <row r="23" spans="1:20" s="29" customFormat="1" ht="12" customHeight="1">
      <c r="A23" s="28"/>
      <c r="B23" s="33"/>
      <c r="C23" s="469"/>
      <c r="D23" s="31"/>
      <c r="E23" s="245"/>
      <c r="F23" s="31"/>
      <c r="I23" s="34"/>
      <c r="J23" s="34"/>
      <c r="K23" s="34"/>
      <c r="L23" s="28"/>
      <c r="M23" s="28"/>
      <c r="N23" s="28"/>
      <c r="O23" s="28"/>
      <c r="P23" s="28"/>
      <c r="Q23" s="28"/>
      <c r="R23" s="28"/>
      <c r="S23" s="28"/>
      <c r="T23" s="28"/>
    </row>
    <row r="24" spans="1:20" ht="12" customHeight="1">
      <c r="A24" s="3"/>
      <c r="B24" s="3"/>
      <c r="C24" s="422"/>
      <c r="D24" s="33"/>
      <c r="E24" s="26"/>
      <c r="F24" s="26"/>
      <c r="G24" s="3"/>
      <c r="H24" s="3"/>
      <c r="I24" s="3"/>
      <c r="J24" s="3"/>
      <c r="K24" s="3"/>
      <c r="L24" s="3"/>
      <c r="M24" s="3"/>
      <c r="N24" s="3"/>
      <c r="O24" s="3"/>
      <c r="P24" s="3"/>
      <c r="Q24" s="3"/>
      <c r="R24" s="3"/>
      <c r="S24" s="3"/>
      <c r="T24" s="3"/>
    </row>
    <row r="25" spans="1:20" ht="12" customHeight="1">
      <c r="A25" s="3"/>
      <c r="B25" s="470"/>
      <c r="C25" s="421"/>
      <c r="D25" s="465"/>
      <c r="F25" s="31"/>
      <c r="G25" s="7"/>
      <c r="I25" s="31"/>
      <c r="J25" s="31"/>
      <c r="K25" s="15"/>
      <c r="L25" s="3"/>
      <c r="M25" s="3"/>
      <c r="N25" s="3"/>
      <c r="O25" s="3"/>
      <c r="P25" s="3"/>
      <c r="Q25" s="3"/>
      <c r="R25" s="3"/>
      <c r="S25" s="3"/>
      <c r="T25" s="3"/>
    </row>
    <row r="26" spans="1:20" ht="12" customHeight="1">
      <c r="A26" s="3"/>
      <c r="B26" s="420"/>
      <c r="C26" s="464"/>
      <c r="D26" s="34"/>
      <c r="E26" s="252"/>
      <c r="F26" s="252"/>
      <c r="G26" s="15"/>
      <c r="I26" s="31"/>
      <c r="J26" s="31"/>
      <c r="K26" s="6"/>
      <c r="L26" s="3"/>
      <c r="M26" s="3"/>
      <c r="N26" s="3"/>
      <c r="O26" s="3"/>
      <c r="P26" s="3"/>
      <c r="Q26" s="3"/>
      <c r="R26" s="3"/>
      <c r="S26" s="3"/>
      <c r="T26" s="3"/>
    </row>
    <row r="27" spans="1:20" ht="12" customHeight="1">
      <c r="A27" s="3"/>
      <c r="B27" s="3"/>
      <c r="C27" s="421"/>
      <c r="D27" s="3"/>
      <c r="E27" s="246"/>
      <c r="F27" s="247"/>
      <c r="G27" s="15"/>
      <c r="I27" s="31"/>
      <c r="J27" s="31"/>
      <c r="K27" s="6"/>
      <c r="L27" s="3"/>
      <c r="M27" s="3"/>
      <c r="N27" s="3"/>
      <c r="O27" s="3"/>
      <c r="P27" s="3"/>
      <c r="Q27" s="3"/>
      <c r="R27" s="3"/>
      <c r="S27" s="3"/>
      <c r="T27" s="3"/>
    </row>
    <row r="28" spans="1:20" ht="12" customHeight="1">
      <c r="A28" s="3"/>
      <c r="B28" s="3"/>
      <c r="C28" s="468"/>
      <c r="D28" s="3"/>
      <c r="E28" s="248"/>
      <c r="F28" s="249"/>
      <c r="G28" s="15"/>
      <c r="H28" s="6"/>
      <c r="I28" s="6"/>
      <c r="J28" s="6"/>
      <c r="K28" s="6"/>
      <c r="L28" s="3"/>
      <c r="M28" s="3"/>
      <c r="N28" s="3"/>
      <c r="O28" s="3"/>
      <c r="P28" s="3"/>
      <c r="Q28" s="3"/>
      <c r="R28" s="3"/>
      <c r="S28" s="3"/>
      <c r="T28" s="3"/>
    </row>
    <row r="29" spans="1:20" ht="12" customHeight="1">
      <c r="B29" s="3"/>
      <c r="C29" s="3"/>
      <c r="D29" s="3"/>
      <c r="E29" s="45"/>
      <c r="F29" s="175"/>
      <c r="G29" s="15"/>
      <c r="H29" s="6"/>
      <c r="I29" s="6"/>
      <c r="J29" s="6"/>
      <c r="K29" s="6"/>
      <c r="L29" s="3"/>
      <c r="M29" s="3"/>
      <c r="N29" s="3"/>
      <c r="O29" s="3"/>
      <c r="P29" s="3"/>
      <c r="Q29" s="3"/>
      <c r="R29" s="3"/>
      <c r="S29" s="3"/>
      <c r="T29" s="3"/>
    </row>
    <row r="30" spans="1:20" ht="12" customHeight="1">
      <c r="B30" s="3"/>
      <c r="C30" s="3"/>
      <c r="D30" s="3"/>
      <c r="E30" s="45"/>
      <c r="F30" s="154"/>
      <c r="G30" s="3"/>
      <c r="H30" s="3"/>
      <c r="I30" s="3"/>
      <c r="J30" s="3"/>
      <c r="K30" s="3"/>
      <c r="L30" s="3"/>
      <c r="M30" s="3"/>
      <c r="N30" s="3"/>
      <c r="O30" s="3"/>
      <c r="P30" s="3"/>
      <c r="Q30" s="3"/>
      <c r="R30" s="3"/>
      <c r="S30" s="3"/>
      <c r="T30" s="3"/>
    </row>
    <row r="31" spans="1:20" ht="12" customHeight="1">
      <c r="E31" s="33"/>
      <c r="F31" s="149"/>
      <c r="G31" s="3"/>
      <c r="H31" s="3"/>
      <c r="I31" s="3"/>
      <c r="J31" s="3"/>
      <c r="K31" s="3"/>
      <c r="L31" s="3"/>
      <c r="M31" s="3"/>
    </row>
    <row r="32" spans="1:20" ht="12" customHeight="1">
      <c r="C32" s="14"/>
      <c r="E32" s="3"/>
      <c r="F32" s="149"/>
      <c r="G32" s="3"/>
      <c r="H32" s="3"/>
      <c r="I32" s="3"/>
      <c r="J32" s="3"/>
      <c r="K32" s="3"/>
      <c r="L32" s="3"/>
      <c r="M32" s="3"/>
    </row>
    <row r="33" spans="2:13" ht="12" customHeight="1">
      <c r="E33" s="3"/>
      <c r="F33" s="243"/>
    </row>
    <row r="34" spans="2:13" ht="12" customHeight="1">
      <c r="B34" s="16"/>
      <c r="E34" s="3"/>
      <c r="F34" s="70"/>
      <c r="G34" s="9"/>
      <c r="K34" s="11"/>
    </row>
    <row r="35" spans="2:13" ht="12" customHeight="1">
      <c r="B35" s="9"/>
      <c r="E35" s="31"/>
      <c r="F35" s="242"/>
      <c r="G35" s="12"/>
      <c r="K35" s="9"/>
      <c r="M35" s="9"/>
    </row>
    <row r="36" spans="2:13" ht="12" customHeight="1">
      <c r="E36" s="31"/>
      <c r="M36" s="9"/>
    </row>
    <row r="37" spans="2:13" ht="12" customHeight="1">
      <c r="E37" s="31"/>
      <c r="F37" s="6"/>
      <c r="G37" s="16"/>
      <c r="K37" s="4"/>
    </row>
    <row r="40" spans="2:13" ht="12" customHeight="1">
      <c r="G40" s="13"/>
    </row>
    <row r="41" spans="2:13" ht="12" customHeight="1">
      <c r="G41" s="9"/>
    </row>
    <row r="42" spans="2:13" ht="12" customHeight="1">
      <c r="G42" s="13"/>
    </row>
    <row r="44" spans="2:13" ht="12" customHeight="1">
      <c r="G44" s="16"/>
    </row>
  </sheetData>
  <mergeCells count="1">
    <mergeCell ref="B12:H12"/>
  </mergeCells>
  <pageMargins left="0.7" right="0.7" top="0.75" bottom="0.75" header="0.3" footer="0.3"/>
  <pageSetup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5703125" style="2" customWidth="1"/>
    <col min="5" max="5" width="10.5703125" style="2" bestFit="1" customWidth="1"/>
    <col min="6" max="6" width="11.42578125" style="2" customWidth="1"/>
    <col min="7" max="7" width="11.140625" style="2" bestFit="1" customWidth="1"/>
    <col min="8" max="8" width="10.85546875" style="2" customWidth="1"/>
    <col min="9" max="9" width="12.140625" style="2" customWidth="1"/>
    <col min="10" max="10" width="12" style="2" customWidth="1"/>
    <col min="11" max="11" width="11.140625" style="2" bestFit="1" customWidth="1"/>
    <col min="12" max="12" width="11.42578125" style="2" customWidth="1"/>
    <col min="13" max="13" width="9.140625" style="2"/>
    <col min="14" max="14" width="18.42578125" style="2" customWidth="1"/>
    <col min="15" max="19" width="9.140625" style="2"/>
    <col min="20" max="20" width="10.140625" style="2" bestFit="1" customWidth="1"/>
    <col min="21" max="16384" width="9.140625" style="2"/>
  </cols>
  <sheetData>
    <row r="1" spans="1:20" ht="16.5" customHeight="1">
      <c r="B1" s="17" t="s">
        <v>138</v>
      </c>
    </row>
    <row r="3" spans="1:20" ht="12" customHeight="1">
      <c r="E3" s="43"/>
      <c r="F3" s="32"/>
      <c r="G3" s="224"/>
      <c r="H3" s="31"/>
      <c r="I3" s="3"/>
      <c r="J3" s="3"/>
      <c r="K3" s="3"/>
      <c r="L3" s="3"/>
      <c r="M3" s="3"/>
      <c r="N3" s="3"/>
      <c r="O3" s="3"/>
      <c r="P3" s="3"/>
      <c r="Q3" s="3"/>
      <c r="R3" s="3"/>
      <c r="S3" s="3"/>
      <c r="T3" s="3"/>
    </row>
    <row r="4" spans="1:20" ht="12" customHeight="1">
      <c r="B4" s="492" t="s">
        <v>142</v>
      </c>
      <c r="C4" s="492"/>
      <c r="D4" s="492"/>
      <c r="E4" s="492"/>
      <c r="F4" s="492"/>
      <c r="G4" s="492"/>
      <c r="H4" s="492"/>
      <c r="I4" s="492"/>
      <c r="J4" s="492"/>
      <c r="K4" s="492"/>
      <c r="L4" s="492"/>
      <c r="M4" s="3"/>
      <c r="N4" s="3"/>
      <c r="O4" s="3"/>
      <c r="P4" s="3"/>
      <c r="Q4" s="3"/>
      <c r="R4" s="3"/>
      <c r="S4" s="3"/>
      <c r="T4" s="3"/>
    </row>
    <row r="5" spans="1:20" ht="12" customHeight="1">
      <c r="B5" s="223"/>
      <c r="C5" s="225">
        <v>1</v>
      </c>
      <c r="D5" s="225">
        <v>2</v>
      </c>
      <c r="E5" s="226">
        <v>3</v>
      </c>
      <c r="F5" s="227">
        <v>4</v>
      </c>
      <c r="G5" s="228">
        <v>5</v>
      </c>
      <c r="H5" s="229">
        <v>6</v>
      </c>
      <c r="I5" s="225">
        <v>7</v>
      </c>
      <c r="J5" s="225">
        <v>8</v>
      </c>
      <c r="K5" s="225">
        <v>9</v>
      </c>
      <c r="L5" s="225">
        <v>10</v>
      </c>
      <c r="M5" s="3"/>
      <c r="N5" s="3"/>
      <c r="O5" s="3"/>
      <c r="P5" s="3"/>
      <c r="Q5" s="3"/>
      <c r="R5" s="3"/>
      <c r="S5" s="3"/>
      <c r="T5" s="3"/>
    </row>
    <row r="6" spans="1:20" ht="12" customHeight="1">
      <c r="B6" s="49" t="s">
        <v>140</v>
      </c>
      <c r="C6" s="366">
        <f>'Future Cashflows (10 Yrs)'!F19</f>
        <v>-2315.9822913381004</v>
      </c>
      <c r="D6" s="366">
        <f>'Future Cashflows (10 Yrs)'!F20</f>
        <v>-2403.1918364104536</v>
      </c>
      <c r="E6" s="411">
        <f>'Future Cashflows (10 Yrs)'!F21</f>
        <v>-2427.1232721206084</v>
      </c>
      <c r="F6" s="411">
        <f>'Future Cashflows (10 Yrs)'!F22</f>
        <v>-1448.4361090833916</v>
      </c>
      <c r="G6" s="411">
        <f>'Future Cashflows (10 Yrs)'!F23</f>
        <v>-1113.6719965225493</v>
      </c>
      <c r="H6" s="411">
        <f>'Future Cashflows (10 Yrs)'!F24</f>
        <v>-751.18933259697144</v>
      </c>
      <c r="I6" s="366">
        <f>'Future Cashflows (10 Yrs)'!F25</f>
        <v>-1317.2981287923276</v>
      </c>
      <c r="J6" s="366">
        <f>'Future Cashflows (10 Yrs)'!F26</f>
        <v>-232.65918891196998</v>
      </c>
      <c r="K6" s="366">
        <f>'Future Cashflows (10 Yrs)'!F27</f>
        <v>381.92253187662391</v>
      </c>
      <c r="L6" s="366">
        <f>'Future Cashflows (10 Yrs)'!F28</f>
        <v>280.77672515021777</v>
      </c>
      <c r="M6" s="3"/>
      <c r="N6" s="3"/>
      <c r="O6" s="3"/>
      <c r="P6" s="3"/>
      <c r="Q6" s="3"/>
      <c r="R6" s="3"/>
      <c r="S6" s="3"/>
      <c r="T6" s="3"/>
    </row>
    <row r="7" spans="1:20" ht="12" customHeight="1">
      <c r="B7" s="49" t="s">
        <v>141</v>
      </c>
      <c r="C7" s="108">
        <f>WACC!$C$13</f>
        <v>0.29612337413640416</v>
      </c>
      <c r="D7" s="108">
        <f>C7</f>
        <v>0.29612337413640416</v>
      </c>
      <c r="E7" s="108">
        <f>AVERAGE(F7,C7)</f>
        <v>0.27165950653602033</v>
      </c>
      <c r="F7" s="78">
        <f>AVERAGE(C7,H7)</f>
        <v>0.24719563893563645</v>
      </c>
      <c r="G7" s="78">
        <f>AVERAGE(F7,H7)</f>
        <v>0.2227317713352526</v>
      </c>
      <c r="H7" s="78">
        <f>AVERAGE(C7,L7)</f>
        <v>0.19826790373486874</v>
      </c>
      <c r="I7" s="108">
        <f>AVERAGE(H7,J7)</f>
        <v>0.17380403613448489</v>
      </c>
      <c r="J7" s="108">
        <f>AVERAGE(H7,L7)</f>
        <v>0.14934016853410104</v>
      </c>
      <c r="K7" s="108">
        <f>AVERAGE(J7,L7)</f>
        <v>0.12487630093371718</v>
      </c>
      <c r="L7" s="108">
        <f>'Terminal Value'!$G$19</f>
        <v>0.10041243333333333</v>
      </c>
      <c r="M7" s="22"/>
      <c r="N7" s="3"/>
      <c r="O7" s="3"/>
      <c r="P7" s="3"/>
      <c r="Q7" s="3"/>
      <c r="R7" s="3"/>
      <c r="S7" s="3"/>
      <c r="T7" s="3"/>
    </row>
    <row r="8" spans="1:20" ht="12" customHeight="1">
      <c r="B8" s="90" t="s">
        <v>139</v>
      </c>
      <c r="C8" s="364">
        <f>C6/(1+C7)^C5</f>
        <v>-1786.8532714960252</v>
      </c>
      <c r="D8" s="364">
        <f t="shared" ref="D8:K8" si="0">D6/(1+D7)^D5</f>
        <v>-1430.5259968890612</v>
      </c>
      <c r="E8" s="364">
        <f>E6/(1+E7)^E5</f>
        <v>-1180.2643995555552</v>
      </c>
      <c r="F8" s="364">
        <f t="shared" si="0"/>
        <v>-598.63348913641494</v>
      </c>
      <c r="G8" s="364">
        <f t="shared" si="0"/>
        <v>-407.47532452383297</v>
      </c>
      <c r="H8" s="364">
        <f t="shared" si="0"/>
        <v>-253.76156970699958</v>
      </c>
      <c r="I8" s="364">
        <f t="shared" si="0"/>
        <v>-429.05689484726878</v>
      </c>
      <c r="J8" s="364">
        <f t="shared" si="0"/>
        <v>-76.40671496347305</v>
      </c>
      <c r="K8" s="364">
        <f t="shared" si="0"/>
        <v>132.44402693373584</v>
      </c>
      <c r="L8" s="364">
        <f>L6/(1+L7)^L5</f>
        <v>107.84654011737314</v>
      </c>
      <c r="M8" s="3"/>
      <c r="N8" s="3"/>
      <c r="O8" s="3"/>
      <c r="P8" s="3"/>
      <c r="Q8" s="3"/>
      <c r="R8" s="3"/>
      <c r="S8" s="3"/>
      <c r="T8" s="3"/>
    </row>
    <row r="9" spans="1:20" ht="12" customHeight="1">
      <c r="M9" s="3"/>
      <c r="N9" s="3"/>
      <c r="O9" s="3"/>
      <c r="P9" s="3"/>
      <c r="Q9" s="3"/>
      <c r="R9" s="3"/>
      <c r="S9" s="3"/>
      <c r="T9" s="3"/>
    </row>
    <row r="10" spans="1:20" ht="12" customHeight="1">
      <c r="A10" s="3"/>
      <c r="E10" s="31"/>
      <c r="F10" s="31"/>
      <c r="G10" s="31"/>
      <c r="H10" s="31"/>
      <c r="M10" s="3"/>
      <c r="N10" s="3"/>
      <c r="O10" s="3"/>
      <c r="P10" s="3"/>
      <c r="Q10" s="3"/>
      <c r="R10" s="3"/>
      <c r="S10" s="3"/>
      <c r="T10" s="3"/>
    </row>
    <row r="11" spans="1:20" ht="12" customHeight="1">
      <c r="A11" s="3"/>
      <c r="C11" s="319" t="s">
        <v>201</v>
      </c>
      <c r="E11" s="34"/>
      <c r="F11" s="34"/>
      <c r="G11" s="34"/>
      <c r="H11" s="34"/>
      <c r="L11" s="251"/>
      <c r="N11" s="3"/>
      <c r="O11" s="3"/>
      <c r="P11" s="3"/>
      <c r="Q11" s="3"/>
      <c r="R11" s="3"/>
      <c r="S11" s="3"/>
      <c r="T11" s="3"/>
    </row>
    <row r="12" spans="1:20" ht="12" customHeight="1">
      <c r="A12" s="3"/>
      <c r="B12" s="238" t="s">
        <v>137</v>
      </c>
      <c r="C12" s="411">
        <f>SUM(C8:L8)</f>
        <v>-5922.6870940675217</v>
      </c>
      <c r="E12" s="87"/>
      <c r="F12" s="87"/>
      <c r="G12" s="87"/>
      <c r="H12" s="87"/>
      <c r="I12" s="31"/>
      <c r="J12" s="31"/>
      <c r="K12" s="31"/>
      <c r="L12" s="3"/>
      <c r="M12" s="3"/>
      <c r="N12" s="3"/>
      <c r="O12" s="3"/>
      <c r="P12" s="3"/>
      <c r="Q12" s="3"/>
      <c r="R12" s="3"/>
      <c r="S12" s="3"/>
      <c r="T12" s="3"/>
    </row>
    <row r="13" spans="1:20" ht="12" customHeight="1">
      <c r="A13" s="3"/>
      <c r="B13" s="238" t="s">
        <v>104</v>
      </c>
      <c r="C13" s="411">
        <f>'Terminal Value'!$C$13</f>
        <v>32677.706181912778</v>
      </c>
      <c r="D13" s="31"/>
      <c r="E13" s="25"/>
      <c r="F13" s="496"/>
      <c r="G13" s="186"/>
      <c r="H13" s="498"/>
      <c r="I13" s="31"/>
      <c r="J13" s="31"/>
      <c r="K13" s="31"/>
      <c r="L13" s="3"/>
      <c r="M13" s="3"/>
      <c r="N13" s="3"/>
      <c r="O13" s="3"/>
      <c r="P13" s="3"/>
      <c r="Q13" s="3"/>
      <c r="R13" s="3"/>
      <c r="S13" s="3"/>
      <c r="T13" s="3"/>
    </row>
    <row r="14" spans="1:20" s="27" customFormat="1" ht="12" customHeight="1">
      <c r="A14" s="26"/>
      <c r="B14" s="238" t="s">
        <v>131</v>
      </c>
      <c r="C14" s="411">
        <f>C13/(1+L7)^'Fair Value of Share'!$L$5</f>
        <v>12551.530219628872</v>
      </c>
      <c r="D14" s="44"/>
      <c r="E14" s="25"/>
      <c r="F14" s="496"/>
      <c r="G14" s="186"/>
      <c r="H14" s="498"/>
      <c r="I14" s="115"/>
      <c r="J14" s="115"/>
      <c r="K14" s="115"/>
      <c r="L14" s="26"/>
      <c r="M14" s="26"/>
      <c r="N14" s="26"/>
      <c r="O14" s="26"/>
      <c r="P14" s="26"/>
      <c r="Q14" s="26"/>
      <c r="R14" s="26"/>
      <c r="S14" s="26"/>
      <c r="T14" s="26"/>
    </row>
    <row r="15" spans="1:20" ht="12" customHeight="1">
      <c r="A15" s="3"/>
      <c r="B15" s="239" t="s">
        <v>143</v>
      </c>
      <c r="C15" s="412">
        <f>C14+C12</f>
        <v>6628.8431255613505</v>
      </c>
      <c r="E15" s="497"/>
      <c r="F15" s="496"/>
      <c r="G15" s="186"/>
      <c r="H15" s="495"/>
      <c r="I15" s="466"/>
      <c r="J15" s="466"/>
      <c r="K15" s="212"/>
      <c r="L15" s="3"/>
    </row>
    <row r="16" spans="1:20" ht="12" customHeight="1">
      <c r="A16" s="230" t="s">
        <v>66</v>
      </c>
      <c r="B16" s="240" t="s">
        <v>125</v>
      </c>
      <c r="C16" s="411">
        <f>'Cash &amp; Marketable Securities'!$C$12</f>
        <v>786.79637299786907</v>
      </c>
      <c r="E16" s="497"/>
      <c r="F16" s="496"/>
      <c r="G16" s="186"/>
      <c r="H16" s="498"/>
      <c r="I16" s="467"/>
      <c r="J16" s="467"/>
      <c r="K16" s="467"/>
      <c r="L16" s="3"/>
      <c r="M16" s="3"/>
    </row>
    <row r="17" spans="1:20" ht="12" customHeight="1">
      <c r="A17" s="230" t="s">
        <v>66</v>
      </c>
      <c r="B17" s="241" t="s">
        <v>136</v>
      </c>
      <c r="C17" s="411">
        <v>0</v>
      </c>
      <c r="E17" s="497"/>
      <c r="F17" s="496"/>
      <c r="G17" s="186"/>
      <c r="H17" s="498"/>
      <c r="I17" s="70"/>
      <c r="J17" s="70"/>
      <c r="K17" s="117"/>
      <c r="L17" s="3"/>
      <c r="M17" s="3"/>
    </row>
    <row r="18" spans="1:20" ht="12" customHeight="1">
      <c r="A18" s="230" t="s">
        <v>66</v>
      </c>
      <c r="B18" s="30" t="s">
        <v>144</v>
      </c>
      <c r="C18" s="366">
        <v>0</v>
      </c>
      <c r="D18" s="31"/>
      <c r="E18" s="497"/>
      <c r="F18" s="496"/>
      <c r="G18" s="186"/>
      <c r="H18" s="495"/>
      <c r="I18" s="149"/>
      <c r="J18" s="149"/>
      <c r="K18" s="149"/>
      <c r="L18" s="3"/>
      <c r="M18" s="3"/>
    </row>
    <row r="19" spans="1:20" ht="12" customHeight="1">
      <c r="A19" s="8"/>
      <c r="B19" s="239" t="s">
        <v>134</v>
      </c>
      <c r="C19" s="412">
        <f>SUM(C15:C18)</f>
        <v>7415.6394985592196</v>
      </c>
      <c r="D19" s="31"/>
      <c r="E19" s="25"/>
      <c r="F19" s="498"/>
      <c r="G19" s="499"/>
      <c r="H19" s="498"/>
      <c r="L19" s="3"/>
      <c r="M19" s="3"/>
      <c r="Q19" s="31"/>
      <c r="R19" s="3"/>
      <c r="S19" s="3"/>
      <c r="T19" s="3"/>
    </row>
    <row r="20" spans="1:20" ht="12" customHeight="1">
      <c r="A20" s="8" t="s">
        <v>40</v>
      </c>
      <c r="B20" s="238" t="s">
        <v>133</v>
      </c>
      <c r="C20" s="413">
        <f>WACC!F21+27+181</f>
        <v>3447.7484579825655</v>
      </c>
      <c r="D20" s="31"/>
      <c r="E20" s="25"/>
      <c r="F20" s="498"/>
      <c r="G20" s="499"/>
      <c r="H20" s="498"/>
      <c r="K20" s="31"/>
      <c r="L20" s="3"/>
      <c r="M20" s="3"/>
      <c r="N20" s="3"/>
      <c r="P20" s="3"/>
      <c r="Q20" s="3"/>
      <c r="R20" s="3"/>
      <c r="S20" s="3"/>
      <c r="T20" s="3"/>
    </row>
    <row r="21" spans="1:20" ht="12" customHeight="1">
      <c r="A21" s="8"/>
      <c r="B21" s="239" t="s">
        <v>135</v>
      </c>
      <c r="C21" s="386">
        <f>C19-C20</f>
        <v>3967.8910405766542</v>
      </c>
      <c r="D21" s="33"/>
      <c r="E21" s="25"/>
      <c r="F21" s="498"/>
      <c r="G21" s="499"/>
      <c r="H21" s="498"/>
      <c r="I21" s="31"/>
      <c r="J21" s="31"/>
      <c r="K21" s="31"/>
      <c r="L21" s="3"/>
      <c r="M21" s="3"/>
      <c r="N21" s="3"/>
      <c r="O21" s="3"/>
      <c r="P21" s="3"/>
      <c r="Q21" s="3"/>
      <c r="R21" s="3"/>
      <c r="S21" s="3"/>
      <c r="T21" s="3"/>
    </row>
    <row r="22" spans="1:20" ht="12" customHeight="1">
      <c r="A22" s="237" t="s">
        <v>40</v>
      </c>
      <c r="B22" s="30" t="s">
        <v>145</v>
      </c>
      <c r="C22" s="366">
        <f>212.45649253*1.066</f>
        <v>226.47862103698</v>
      </c>
      <c r="D22" s="31"/>
      <c r="E22" s="25"/>
      <c r="F22" s="498"/>
      <c r="G22" s="499"/>
      <c r="H22" s="498"/>
      <c r="I22" s="31"/>
      <c r="J22" s="31"/>
      <c r="K22" s="31"/>
      <c r="L22" s="3"/>
      <c r="M22" s="3"/>
      <c r="O22" s="3"/>
      <c r="P22" s="3"/>
      <c r="Q22" s="3"/>
      <c r="R22" s="3"/>
      <c r="S22" s="3"/>
      <c r="T22" s="3"/>
    </row>
    <row r="23" spans="1:20" s="29" customFormat="1" ht="12" customHeight="1">
      <c r="B23" s="239" t="s">
        <v>146</v>
      </c>
      <c r="C23" s="414">
        <f>C21-C22</f>
        <v>3741.4124195396744</v>
      </c>
      <c r="D23" s="31"/>
      <c r="E23" s="28"/>
      <c r="F23" s="28"/>
      <c r="G23" s="28"/>
      <c r="H23" s="500"/>
      <c r="I23" s="34"/>
      <c r="J23" s="34"/>
      <c r="K23" s="34"/>
      <c r="L23" s="28"/>
      <c r="M23" s="28"/>
      <c r="N23" s="28"/>
      <c r="O23" s="28"/>
      <c r="P23" s="28"/>
      <c r="Q23" s="28"/>
      <c r="R23" s="28"/>
      <c r="S23" s="28"/>
      <c r="T23" s="28"/>
    </row>
    <row r="24" spans="1:20" ht="12" customHeight="1">
      <c r="B24" s="30" t="s">
        <v>62</v>
      </c>
      <c r="C24" s="366">
        <f>WACC!$F$26+0.553</f>
        <v>178.15299999999999</v>
      </c>
      <c r="D24" s="33"/>
      <c r="I24" s="3"/>
      <c r="J24" s="3"/>
      <c r="K24" s="3"/>
      <c r="L24" s="3"/>
      <c r="M24" s="3"/>
      <c r="N24" s="3"/>
      <c r="O24" s="3"/>
      <c r="P24" s="3"/>
      <c r="Q24" s="3"/>
      <c r="R24" s="3"/>
      <c r="S24" s="3"/>
      <c r="T24" s="3"/>
    </row>
    <row r="25" spans="1:20" ht="12" customHeight="1">
      <c r="B25" s="239" t="s">
        <v>147</v>
      </c>
      <c r="C25" s="414">
        <f>C23/C24</f>
        <v>21.001119372335435</v>
      </c>
      <c r="D25" s="465"/>
      <c r="I25" s="31"/>
      <c r="J25" s="31"/>
      <c r="K25" s="15"/>
      <c r="L25" s="3"/>
      <c r="M25" s="3"/>
      <c r="N25" s="3"/>
      <c r="O25" s="3"/>
      <c r="P25" s="3"/>
      <c r="Q25" s="3"/>
      <c r="R25" s="3"/>
      <c r="S25" s="3"/>
      <c r="T25" s="3"/>
    </row>
    <row r="26" spans="1:20" ht="12" customHeight="1">
      <c r="B26" s="483" t="s">
        <v>355</v>
      </c>
      <c r="C26" s="484">
        <f>'Probability of Default'!C20</f>
        <v>0.88139635539120598</v>
      </c>
      <c r="D26" s="34"/>
      <c r="I26" s="31"/>
      <c r="J26" s="31"/>
      <c r="K26" s="6"/>
      <c r="L26" s="3"/>
      <c r="M26" s="3"/>
      <c r="N26" s="3"/>
      <c r="O26" s="3"/>
      <c r="P26" s="3"/>
      <c r="Q26" s="3"/>
      <c r="R26" s="3"/>
      <c r="S26" s="3"/>
      <c r="T26" s="3"/>
    </row>
    <row r="27" spans="1:20" ht="12" customHeight="1">
      <c r="B27" s="461" t="s">
        <v>356</v>
      </c>
      <c r="C27" s="391">
        <f>C25*(1-C26)</f>
        <v>2.4908092984233314</v>
      </c>
      <c r="D27" s="3"/>
      <c r="I27" s="31"/>
      <c r="J27" s="31"/>
      <c r="K27" s="6"/>
      <c r="L27" s="3"/>
      <c r="M27" s="3"/>
      <c r="N27" s="3"/>
      <c r="O27" s="3"/>
      <c r="P27" s="3"/>
      <c r="Q27" s="3"/>
      <c r="R27" s="3"/>
      <c r="S27" s="3"/>
      <c r="T27" s="3"/>
    </row>
    <row r="28" spans="1:20" ht="12" customHeight="1">
      <c r="B28" s="3"/>
      <c r="C28" s="5"/>
      <c r="D28" s="3"/>
      <c r="E28" s="248"/>
      <c r="F28" s="249"/>
      <c r="G28" s="15"/>
      <c r="H28" s="6"/>
      <c r="I28" s="6"/>
      <c r="J28" s="6"/>
      <c r="K28" s="6"/>
      <c r="L28" s="3"/>
      <c r="M28" s="3"/>
      <c r="N28" s="3"/>
      <c r="O28" s="3"/>
      <c r="P28" s="3"/>
      <c r="Q28" s="3"/>
      <c r="R28" s="3"/>
      <c r="S28" s="3"/>
      <c r="T28" s="3"/>
    </row>
    <row r="29" spans="1:20" ht="12" customHeight="1">
      <c r="B29" s="3"/>
      <c r="C29" s="3"/>
      <c r="D29" s="3"/>
      <c r="E29" s="45"/>
      <c r="F29" s="175"/>
      <c r="G29" s="15"/>
      <c r="H29" s="6"/>
      <c r="I29" s="6"/>
      <c r="J29" s="6"/>
      <c r="K29" s="6"/>
      <c r="L29" s="3"/>
      <c r="M29" s="3"/>
      <c r="N29" s="3"/>
      <c r="O29" s="3"/>
      <c r="P29" s="3"/>
      <c r="Q29" s="3"/>
      <c r="R29" s="3"/>
      <c r="S29" s="3"/>
      <c r="T29" s="3"/>
    </row>
    <row r="30" spans="1:20" ht="12" customHeight="1">
      <c r="B30" s="3"/>
      <c r="C30" s="3"/>
      <c r="D30" s="3"/>
      <c r="E30" s="45"/>
      <c r="F30" s="154"/>
      <c r="G30" s="3"/>
      <c r="H30" s="3"/>
      <c r="I30" s="3"/>
      <c r="J30" s="3"/>
      <c r="K30" s="3"/>
      <c r="L30" s="3"/>
      <c r="M30" s="3"/>
      <c r="N30" s="3"/>
      <c r="O30" s="3"/>
      <c r="P30" s="3"/>
      <c r="Q30" s="3"/>
      <c r="R30" s="3"/>
      <c r="S30" s="3"/>
      <c r="T30" s="3"/>
    </row>
    <row r="31" spans="1:20" ht="12" customHeight="1">
      <c r="E31" s="33"/>
      <c r="F31" s="149"/>
      <c r="G31" s="3"/>
      <c r="H31" s="3"/>
      <c r="I31" s="3"/>
      <c r="J31" s="3"/>
      <c r="K31" s="3"/>
      <c r="L31" s="3"/>
      <c r="M31" s="3"/>
    </row>
    <row r="32" spans="1:20" ht="12" customHeight="1">
      <c r="C32" s="14"/>
      <c r="E32" s="3"/>
      <c r="F32" s="149"/>
      <c r="G32" s="3"/>
      <c r="H32" s="3"/>
      <c r="I32" s="3"/>
      <c r="J32" s="3"/>
      <c r="K32" s="3"/>
      <c r="L32" s="3"/>
      <c r="M32" s="3"/>
    </row>
    <row r="33" spans="2:13" ht="12" customHeight="1">
      <c r="E33" s="3"/>
      <c r="F33" s="243"/>
    </row>
    <row r="34" spans="2:13" ht="12" customHeight="1">
      <c r="B34" s="16"/>
      <c r="E34" s="3"/>
      <c r="F34" s="70"/>
      <c r="G34" s="9"/>
      <c r="K34" s="11"/>
    </row>
    <row r="35" spans="2:13" ht="12" customHeight="1">
      <c r="B35" s="9"/>
      <c r="E35" s="31"/>
      <c r="F35" s="242"/>
      <c r="G35" s="12"/>
      <c r="K35" s="9"/>
      <c r="M35" s="9"/>
    </row>
    <row r="36" spans="2:13" ht="12" customHeight="1">
      <c r="E36" s="31"/>
      <c r="M36" s="9"/>
    </row>
    <row r="37" spans="2:13" ht="12" customHeight="1">
      <c r="E37" s="31"/>
      <c r="F37" s="6"/>
      <c r="G37" s="16"/>
      <c r="K37" s="4"/>
    </row>
    <row r="40" spans="2:13" ht="12" customHeight="1">
      <c r="G40" s="13"/>
    </row>
    <row r="41" spans="2:13" ht="12" customHeight="1">
      <c r="G41" s="9"/>
    </row>
    <row r="42" spans="2:13" ht="12" customHeight="1">
      <c r="G42" s="13"/>
    </row>
    <row r="44" spans="2:13" ht="12" customHeight="1">
      <c r="G44" s="16"/>
    </row>
  </sheetData>
  <mergeCells count="1">
    <mergeCell ref="B4:L4"/>
  </mergeCells>
  <pageMargins left="0.7" right="0.7" top="0.75" bottom="0.75" header="0.3" footer="0.3"/>
  <pageSetup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5" t="s">
        <v>341</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44"/>
  <sheetViews>
    <sheetView workbookViewId="0"/>
  </sheetViews>
  <sheetFormatPr defaultRowHeight="12" customHeight="1"/>
  <cols>
    <col min="1" max="1" width="2" style="2" customWidth="1"/>
    <col min="2" max="2" width="31.28515625" style="2" customWidth="1"/>
    <col min="3" max="3" width="12" style="2" customWidth="1"/>
    <col min="4" max="4" width="5.42578125" style="2" customWidth="1"/>
    <col min="5" max="5" width="11.5703125" style="2" customWidth="1"/>
    <col min="6" max="6" width="12.5703125" style="2" bestFit="1" customWidth="1"/>
    <col min="7" max="7" width="13.28515625" style="2" bestFit="1" customWidth="1"/>
    <col min="8" max="8" width="4.85546875" style="2" customWidth="1"/>
    <col min="9" max="9" width="25.28515625" style="2" customWidth="1"/>
    <col min="10" max="10" width="11.7109375" style="2" bestFit="1" customWidth="1"/>
    <col min="11" max="11" width="11.42578125" style="2" customWidth="1"/>
    <col min="12" max="12" width="11.28515625" style="2" customWidth="1"/>
    <col min="13" max="13" width="9.42578125" style="2" customWidth="1"/>
    <col min="14" max="14" width="9.140625" style="2"/>
    <col min="15" max="15" width="9.85546875" style="2" bestFit="1" customWidth="1"/>
    <col min="16" max="16384" width="9.140625" style="2"/>
  </cols>
  <sheetData>
    <row r="1" spans="1:19" ht="16.5" customHeight="1">
      <c r="B1" s="17" t="s">
        <v>307</v>
      </c>
    </row>
    <row r="3" spans="1:19" ht="12" customHeight="1">
      <c r="B3" s="49" t="s">
        <v>315</v>
      </c>
      <c r="C3" s="424">
        <f>'Fair Value of Share'!C19</f>
        <v>7415.6394985592196</v>
      </c>
      <c r="E3" s="493" t="s">
        <v>324</v>
      </c>
      <c r="F3" s="493"/>
      <c r="G3" s="493"/>
      <c r="I3" s="355" t="s">
        <v>279</v>
      </c>
      <c r="J3" s="271" t="s">
        <v>272</v>
      </c>
      <c r="K3" s="271" t="s">
        <v>273</v>
      </c>
      <c r="L3" s="271" t="s">
        <v>268</v>
      </c>
      <c r="M3" s="271" t="s">
        <v>269</v>
      </c>
      <c r="N3" s="271" t="s">
        <v>271</v>
      </c>
      <c r="R3" s="3"/>
      <c r="S3" s="3"/>
    </row>
    <row r="4" spans="1:19" ht="12" customHeight="1">
      <c r="B4" s="423" t="s">
        <v>330</v>
      </c>
      <c r="C4" s="455">
        <f>SQRT(((J26^2)*(J25^2))+((J27^2)*(J24^2))+(2*J26*J27*J28))</f>
        <v>0.11413265878677578</v>
      </c>
      <c r="D4" s="115"/>
      <c r="E4" s="431" t="s">
        <v>314</v>
      </c>
      <c r="F4" s="431" t="s">
        <v>322</v>
      </c>
      <c r="G4" s="431" t="s">
        <v>323</v>
      </c>
      <c r="H4" s="447"/>
      <c r="I4" s="30" t="s">
        <v>274</v>
      </c>
      <c r="J4" s="369">
        <v>45931</v>
      </c>
      <c r="K4" s="370">
        <f ca="1">YEARFRAC(TODAY(),J4)</f>
        <v>2.9916666666666667</v>
      </c>
      <c r="L4" s="361">
        <v>500</v>
      </c>
      <c r="M4" s="358">
        <f>L4/$L$9</f>
        <v>8.7336244541484712E-2</v>
      </c>
      <c r="N4" s="359">
        <v>5.6250000000000001E-2</v>
      </c>
      <c r="S4" s="3"/>
    </row>
    <row r="5" spans="1:19" ht="12" customHeight="1">
      <c r="B5" s="89" t="s">
        <v>316</v>
      </c>
      <c r="C5" s="379">
        <f>L21</f>
        <v>7650</v>
      </c>
      <c r="D5" s="63"/>
      <c r="E5" s="437">
        <v>44805</v>
      </c>
      <c r="F5" s="428">
        <v>-0.1709109553922406</v>
      </c>
      <c r="G5" s="443">
        <v>0.1317324909155568</v>
      </c>
      <c r="H5" s="448"/>
      <c r="I5" s="30" t="s">
        <v>275</v>
      </c>
      <c r="J5" s="369">
        <v>46492</v>
      </c>
      <c r="K5" s="370">
        <f ca="1">YEARFRAC(TODAY(),J5)</f>
        <v>4.5305555555555559</v>
      </c>
      <c r="L5" s="361">
        <v>600</v>
      </c>
      <c r="M5" s="358">
        <f>L5/$L$9</f>
        <v>0.10480349344978165</v>
      </c>
      <c r="N5" s="359">
        <v>5.5E-2</v>
      </c>
      <c r="P5" s="13"/>
      <c r="Q5" s="436"/>
      <c r="S5" s="3"/>
    </row>
    <row r="6" spans="1:19" ht="12" customHeight="1">
      <c r="B6" s="89" t="s">
        <v>317</v>
      </c>
      <c r="C6" s="425">
        <f ca="1">K21</f>
        <v>6.5965700798838052</v>
      </c>
      <c r="D6" s="149"/>
      <c r="E6" s="437">
        <v>44774</v>
      </c>
      <c r="F6" s="428">
        <v>-3.1772298527221576E-2</v>
      </c>
      <c r="G6" s="443">
        <v>0.29096544362369881</v>
      </c>
      <c r="H6" s="448"/>
      <c r="I6" s="30" t="s">
        <v>276</v>
      </c>
      <c r="J6" s="369">
        <v>47027</v>
      </c>
      <c r="K6" s="370">
        <f ca="1">YEARFRAC(TODAY(),J6)</f>
        <v>5.9916666666666663</v>
      </c>
      <c r="L6" s="361">
        <v>600</v>
      </c>
      <c r="M6" s="358">
        <f>L6/$L$9</f>
        <v>0.10480349344978165</v>
      </c>
      <c r="N6" s="359">
        <v>5.8749999999999997E-2</v>
      </c>
      <c r="P6" s="13"/>
      <c r="Q6" s="436"/>
      <c r="S6" s="3"/>
    </row>
    <row r="7" spans="1:19" ht="12" customHeight="1">
      <c r="B7" s="89" t="s">
        <v>318</v>
      </c>
      <c r="C7" s="52">
        <f>4.0394%</f>
        <v>4.0393999999999999E-2</v>
      </c>
      <c r="D7" s="70"/>
      <c r="E7" s="437">
        <v>44743</v>
      </c>
      <c r="F7" s="429">
        <v>-2.7361982938998899E-2</v>
      </c>
      <c r="G7" s="443">
        <v>-0.23301632085283361</v>
      </c>
      <c r="H7" s="448"/>
      <c r="I7" s="30" t="s">
        <v>277</v>
      </c>
      <c r="J7" s="369">
        <v>47362</v>
      </c>
      <c r="K7" s="370">
        <f ca="1">YEARFRAC(TODAY(),J7)</f>
        <v>6.9083333333333332</v>
      </c>
      <c r="L7" s="361">
        <v>750</v>
      </c>
      <c r="M7" s="358">
        <f>L7/$L$9</f>
        <v>0.13100436681222707</v>
      </c>
      <c r="N7" s="359">
        <v>4.8750000000000002E-2</v>
      </c>
      <c r="P7" s="13"/>
      <c r="Q7" s="436"/>
      <c r="S7" s="3"/>
    </row>
    <row r="8" spans="1:19" ht="12" customHeight="1">
      <c r="B8" s="462" t="s">
        <v>307</v>
      </c>
      <c r="C8" s="463">
        <f ca="1">IFERROR(C3*C23-C5*C27*C24,"na")</f>
        <v>1784.7542860121748</v>
      </c>
      <c r="D8" s="149"/>
      <c r="E8" s="438">
        <v>44713</v>
      </c>
      <c r="F8" s="429">
        <v>-0.10216763005780345</v>
      </c>
      <c r="G8" s="443">
        <v>-0.49206347482595941</v>
      </c>
      <c r="H8" s="449"/>
      <c r="I8" s="30" t="s">
        <v>278</v>
      </c>
      <c r="J8" s="369">
        <v>47604</v>
      </c>
      <c r="K8" s="370">
        <f ca="1">YEARFRAC(TODAY(),J8)</f>
        <v>7.5750000000000002</v>
      </c>
      <c r="L8" s="361">
        <v>3275</v>
      </c>
      <c r="M8" s="358">
        <f>L8/$L$9</f>
        <v>0.57205240174672489</v>
      </c>
      <c r="N8" s="359">
        <v>0.10249999999999999</v>
      </c>
      <c r="P8" s="13"/>
      <c r="Q8" s="436"/>
      <c r="S8" s="3"/>
    </row>
    <row r="9" spans="1:19" ht="12" customHeight="1">
      <c r="B9" s="19" t="s">
        <v>331</v>
      </c>
      <c r="C9" s="200">
        <f>'Fair Value of Share'!C24</f>
        <v>178.15299999999999</v>
      </c>
      <c r="D9" s="3"/>
      <c r="E9" s="438">
        <v>44682</v>
      </c>
      <c r="F9" s="429">
        <v>-0.1311989956057753</v>
      </c>
      <c r="G9" s="444">
        <v>-0.51412525241310214</v>
      </c>
      <c r="H9" s="449"/>
      <c r="I9" s="360" t="s">
        <v>270</v>
      </c>
      <c r="K9" s="371">
        <f ca="1">(K4*M4)+(K5*M5)+(K6*M6)+(K7*M7)+(K8*M8)</f>
        <v>6.6023653566229985</v>
      </c>
      <c r="L9" s="362">
        <f>SUM(L4:L8)</f>
        <v>5725</v>
      </c>
      <c r="M9" s="356">
        <f>SUM(M4:M8)</f>
        <v>1</v>
      </c>
      <c r="N9" s="357">
        <f>(M4*N4)+(M5*N5)+(M6*N6)+(M7*N7)+M8*N8</f>
        <v>8.1855895196506545E-2</v>
      </c>
      <c r="P9" s="13"/>
      <c r="Q9" s="436"/>
      <c r="S9" s="3"/>
    </row>
    <row r="10" spans="1:19" ht="12" customHeight="1">
      <c r="A10" s="3"/>
      <c r="B10" s="461" t="s">
        <v>332</v>
      </c>
      <c r="C10" s="379">
        <f ca="1">C8/C9</f>
        <v>10.018098409862169</v>
      </c>
      <c r="D10" s="3"/>
      <c r="E10" s="439">
        <v>44652</v>
      </c>
      <c r="F10" s="430">
        <v>-9.2204239799407312E-2</v>
      </c>
      <c r="G10" s="443">
        <v>-0.20721738587243221</v>
      </c>
      <c r="H10" s="450"/>
      <c r="I10" s="31"/>
      <c r="J10" s="3"/>
      <c r="K10" s="3"/>
      <c r="L10" s="3"/>
      <c r="M10" s="3"/>
      <c r="N10" s="3"/>
      <c r="P10" s="13"/>
      <c r="Q10" s="436"/>
      <c r="S10" s="3"/>
    </row>
    <row r="11" spans="1:19" ht="12" customHeight="1">
      <c r="A11" s="3"/>
      <c r="B11" s="45" t="s">
        <v>333</v>
      </c>
      <c r="C11" s="93"/>
      <c r="D11" s="3"/>
      <c r="E11" s="438">
        <v>44621</v>
      </c>
      <c r="F11" s="430">
        <v>-4.6511627906976665E-3</v>
      </c>
      <c r="G11" s="443">
        <v>-7.1516700681796497E-2</v>
      </c>
      <c r="H11" s="449"/>
      <c r="I11" s="355" t="s">
        <v>308</v>
      </c>
      <c r="J11" s="271" t="s">
        <v>272</v>
      </c>
      <c r="K11" s="271" t="s">
        <v>273</v>
      </c>
      <c r="L11" s="271" t="s">
        <v>268</v>
      </c>
      <c r="M11" s="271" t="s">
        <v>269</v>
      </c>
      <c r="N11" s="271" t="s">
        <v>271</v>
      </c>
      <c r="P11" s="13"/>
      <c r="Q11" s="436"/>
      <c r="S11" s="3"/>
    </row>
    <row r="12" spans="1:19" ht="12" customHeight="1">
      <c r="A12" s="3"/>
      <c r="B12" s="31"/>
      <c r="C12" s="418"/>
      <c r="D12" s="3"/>
      <c r="E12" s="438">
        <v>44593</v>
      </c>
      <c r="F12" s="430">
        <v>-5.1742685025817588E-2</v>
      </c>
      <c r="G12" s="443">
        <v>-0.3008326405249987</v>
      </c>
      <c r="H12" s="449"/>
      <c r="I12" s="89" t="s">
        <v>306</v>
      </c>
      <c r="J12" s="369">
        <v>45019</v>
      </c>
      <c r="K12" s="370">
        <f ca="1">YEARFRAC(TODAY(),J12)</f>
        <v>0.49722222222222223</v>
      </c>
      <c r="L12" s="363">
        <v>1118</v>
      </c>
      <c r="M12" s="358">
        <f>L12/$L$16</f>
        <v>0.58077922077922073</v>
      </c>
      <c r="N12" s="359">
        <v>3.3099999999999997E-2</v>
      </c>
      <c r="P12" s="442"/>
      <c r="Q12" s="436"/>
      <c r="S12" s="3"/>
    </row>
    <row r="13" spans="1:19" ht="12" customHeight="1">
      <c r="A13" s="3"/>
      <c r="B13" s="31"/>
      <c r="C13" s="418"/>
      <c r="D13" s="31"/>
      <c r="E13" s="438">
        <v>44562</v>
      </c>
      <c r="F13" s="430">
        <v>-6.1957618567103946E-2</v>
      </c>
      <c r="G13" s="443">
        <v>-0.17341850728544289</v>
      </c>
      <c r="H13" s="449"/>
      <c r="I13" s="426" t="s">
        <v>309</v>
      </c>
      <c r="J13" s="369">
        <v>46174</v>
      </c>
      <c r="K13" s="370">
        <f ca="1">YEARFRAC(TODAY(),J13)</f>
        <v>3.6583333333333332</v>
      </c>
      <c r="L13" s="363">
        <v>314</v>
      </c>
      <c r="M13" s="358">
        <f>L13/$L$16</f>
        <v>0.1631168831168831</v>
      </c>
      <c r="N13" s="359">
        <v>6.7000000000000004E-2</v>
      </c>
      <c r="P13" s="13"/>
      <c r="Q13" s="436"/>
      <c r="S13" s="3"/>
    </row>
    <row r="14" spans="1:19" s="27" customFormat="1" ht="12" customHeight="1">
      <c r="A14" s="26"/>
      <c r="B14" s="31"/>
      <c r="C14" s="418"/>
      <c r="D14" s="44"/>
      <c r="E14" s="438">
        <v>44531</v>
      </c>
      <c r="F14" s="430">
        <v>-2.8174683034816106E-3</v>
      </c>
      <c r="G14" s="443">
        <v>-7.5070848333934292E-2</v>
      </c>
      <c r="H14" s="449"/>
      <c r="I14" s="426" t="s">
        <v>310</v>
      </c>
      <c r="J14" s="369">
        <v>46174</v>
      </c>
      <c r="K14" s="370">
        <f ca="1">YEARFRAC(TODAY(),J14)</f>
        <v>3.6583333333333332</v>
      </c>
      <c r="L14" s="363">
        <v>7</v>
      </c>
      <c r="M14" s="358">
        <f>L14/$L$16</f>
        <v>3.6363636363636364E-3</v>
      </c>
      <c r="N14" s="359">
        <v>6.7000000000000004E-2</v>
      </c>
      <c r="P14" s="13"/>
      <c r="Q14" s="436"/>
      <c r="S14" s="26"/>
    </row>
    <row r="15" spans="1:19" ht="12" customHeight="1">
      <c r="A15" s="3"/>
      <c r="B15" s="33"/>
      <c r="C15" s="418"/>
      <c r="D15" s="3"/>
      <c r="E15" s="438">
        <v>44501</v>
      </c>
      <c r="F15" s="430">
        <v>-1.2519872813990406E-2</v>
      </c>
      <c r="G15" s="443">
        <v>5.4386949803877371E-3</v>
      </c>
      <c r="H15" s="449"/>
      <c r="I15" s="89" t="s">
        <v>311</v>
      </c>
      <c r="J15" s="427" t="s">
        <v>162</v>
      </c>
      <c r="K15" s="370">
        <v>22.5</v>
      </c>
      <c r="L15" s="363">
        <f>486</f>
        <v>486</v>
      </c>
      <c r="M15" s="358">
        <f>L15/$L$16</f>
        <v>0.25246753246753245</v>
      </c>
      <c r="N15" s="359">
        <v>5.5E-2</v>
      </c>
      <c r="P15" s="13"/>
      <c r="Q15" s="436"/>
      <c r="S15" s="3"/>
    </row>
    <row r="16" spans="1:19" ht="12" customHeight="1">
      <c r="A16" s="230"/>
      <c r="B16" s="419"/>
      <c r="C16" s="418"/>
      <c r="D16" s="3"/>
      <c r="E16" s="438">
        <v>44470</v>
      </c>
      <c r="F16" s="430">
        <v>-1.8242122719734601E-2</v>
      </c>
      <c r="G16" s="443">
        <v>-8.0838838051064843E-2</v>
      </c>
      <c r="H16" s="449"/>
      <c r="I16" s="360" t="s">
        <v>270</v>
      </c>
      <c r="K16" s="371">
        <f ca="1">(K12*M12)+(K13*M13)+(K14*M14)+(K15*M15)</f>
        <v>6.5793347763347763</v>
      </c>
      <c r="L16" s="362">
        <f>SUM(L12:L15)</f>
        <v>1925</v>
      </c>
      <c r="M16" s="356">
        <f>SUM(M12:M15)</f>
        <v>1</v>
      </c>
      <c r="N16" s="357">
        <f>(M12*N12)+(M13*N13)+(M14*N14)+(M15*N15)</f>
        <v>4.4281974025974023E-2</v>
      </c>
      <c r="P16" s="13"/>
      <c r="Q16" s="436"/>
      <c r="S16" s="3"/>
    </row>
    <row r="17" spans="1:19" ht="12" customHeight="1">
      <c r="A17" s="230"/>
      <c r="B17" s="420"/>
      <c r="C17" s="418"/>
      <c r="D17" s="3"/>
      <c r="E17" s="438">
        <v>44440</v>
      </c>
      <c r="F17" s="430">
        <v>-8.2236842105264836E-3</v>
      </c>
      <c r="G17" s="443">
        <v>-2.8143145125929751E-2</v>
      </c>
      <c r="H17" s="449"/>
      <c r="I17" s="24"/>
      <c r="J17" s="422"/>
      <c r="K17" s="31"/>
      <c r="L17" s="31"/>
      <c r="M17" s="3"/>
      <c r="N17" s="3"/>
      <c r="P17" s="13"/>
      <c r="Q17" s="436"/>
      <c r="S17" s="3"/>
    </row>
    <row r="18" spans="1:19" ht="12" customHeight="1">
      <c r="A18" s="230"/>
      <c r="B18" s="89" t="s">
        <v>334</v>
      </c>
      <c r="C18" s="458">
        <f>IFERROR(LN(C3/C5),"na")</f>
        <v>-3.1114432061849339E-2</v>
      </c>
      <c r="D18" s="31"/>
      <c r="E18" s="438">
        <v>44409</v>
      </c>
      <c r="F18" s="430">
        <v>-8.2517750911532736E-3</v>
      </c>
      <c r="G18" s="444">
        <v>0.1184149140781865</v>
      </c>
      <c r="H18" s="449"/>
      <c r="I18" s="355" t="s">
        <v>312</v>
      </c>
      <c r="J18" s="271"/>
      <c r="K18" s="271" t="s">
        <v>273</v>
      </c>
      <c r="L18" s="271" t="s">
        <v>268</v>
      </c>
      <c r="M18" s="271" t="s">
        <v>269</v>
      </c>
      <c r="N18" s="271" t="s">
        <v>271</v>
      </c>
      <c r="P18" s="13"/>
      <c r="Q18" s="436"/>
      <c r="S18" s="3"/>
    </row>
    <row r="19" spans="1:19" ht="12" customHeight="1">
      <c r="A19" s="230"/>
      <c r="B19" s="456" t="s">
        <v>327</v>
      </c>
      <c r="C19" s="458">
        <f ca="1">(C7+(C4^2)/2)*C6</f>
        <v>0.30942618283043755</v>
      </c>
      <c r="D19" s="31"/>
      <c r="E19" s="440">
        <v>44378</v>
      </c>
      <c r="F19" s="430">
        <v>0</v>
      </c>
      <c r="G19" s="443">
        <v>0.1385567599446911</v>
      </c>
      <c r="H19" s="451"/>
      <c r="I19" s="89" t="s">
        <v>313</v>
      </c>
      <c r="J19" s="369"/>
      <c r="K19" s="370">
        <f ca="1">K9</f>
        <v>6.6023653566229985</v>
      </c>
      <c r="L19" s="363">
        <f>L9</f>
        <v>5725</v>
      </c>
      <c r="M19" s="358">
        <f>L19/$L$21</f>
        <v>0.74836601307189543</v>
      </c>
      <c r="N19" s="359">
        <f>N9</f>
        <v>8.1855895196506545E-2</v>
      </c>
      <c r="P19" s="13"/>
      <c r="Q19" s="436"/>
      <c r="S19" s="3"/>
    </row>
    <row r="20" spans="1:19" ht="12" customHeight="1">
      <c r="A20" s="230"/>
      <c r="B20" s="456" t="s">
        <v>328</v>
      </c>
      <c r="C20" s="458">
        <f ca="1">C4*SQRT(C6)</f>
        <v>0.29313591053847743</v>
      </c>
      <c r="D20" s="31"/>
      <c r="E20" s="438">
        <v>44348</v>
      </c>
      <c r="F20" s="430">
        <v>8.6131810703570181E-3</v>
      </c>
      <c r="G20" s="443">
        <v>-7.0707469456747329E-2</v>
      </c>
      <c r="H20" s="449"/>
      <c r="I20" s="426" t="s">
        <v>308</v>
      </c>
      <c r="J20" s="369"/>
      <c r="K20" s="370">
        <f ca="1">K16</f>
        <v>6.5793347763347763</v>
      </c>
      <c r="L20" s="363">
        <f>L16</f>
        <v>1925</v>
      </c>
      <c r="M20" s="358">
        <f>L20/$L$21</f>
        <v>0.25163398692810457</v>
      </c>
      <c r="N20" s="359">
        <f>N16</f>
        <v>4.4281974025974023E-2</v>
      </c>
      <c r="P20" s="13"/>
      <c r="Q20" s="436"/>
      <c r="S20" s="3"/>
    </row>
    <row r="21" spans="1:19" ht="12" customHeight="1">
      <c r="A21" s="230"/>
      <c r="B21" s="456" t="s">
        <v>335</v>
      </c>
      <c r="C21" s="459">
        <f ca="1">IFERROR((C18+C19)/C20,"na")</f>
        <v>0.94942905581694892</v>
      </c>
      <c r="D21" s="33"/>
      <c r="E21" s="438">
        <v>44317</v>
      </c>
      <c r="F21" s="430">
        <v>7.8025943626255792E-3</v>
      </c>
      <c r="G21" s="444">
        <v>8.711896494234983E-2</v>
      </c>
      <c r="H21" s="449"/>
      <c r="I21" s="3"/>
      <c r="J21" s="3"/>
      <c r="K21" s="371">
        <f ca="1">(K19*M19)+(K20*M20)</f>
        <v>6.5965700798838052</v>
      </c>
      <c r="L21" s="362">
        <f>SUM(L19:L20)</f>
        <v>7650</v>
      </c>
      <c r="M21" s="356">
        <f>SUM(M19:M20)</f>
        <v>1</v>
      </c>
      <c r="N21" s="357">
        <f>(M19*N19)+(M20*N20)</f>
        <v>7.2401019607843134E-2</v>
      </c>
      <c r="P21" s="441"/>
      <c r="Q21" s="436"/>
      <c r="S21" s="3"/>
    </row>
    <row r="22" spans="1:19" ht="12" customHeight="1">
      <c r="A22" s="332"/>
      <c r="B22" s="89" t="s">
        <v>336</v>
      </c>
      <c r="C22" s="459">
        <f ca="1">IFERROR(C21-C20,"na")</f>
        <v>0.65629314527847149</v>
      </c>
      <c r="D22" s="31"/>
      <c r="E22" s="439">
        <v>44287</v>
      </c>
      <c r="F22" s="430">
        <v>3.2289628180039928E-3</v>
      </c>
      <c r="G22" s="443">
        <v>-7.4426829289296781E-2</v>
      </c>
      <c r="H22" s="450"/>
      <c r="I22" s="15"/>
      <c r="J22" s="15"/>
      <c r="K22" s="15"/>
      <c r="L22" s="15"/>
      <c r="M22" s="3"/>
      <c r="N22" s="3"/>
      <c r="P22" s="13"/>
      <c r="Q22" s="436"/>
      <c r="S22" s="3"/>
    </row>
    <row r="23" spans="1:19" s="29" customFormat="1" ht="12" customHeight="1">
      <c r="B23" s="456" t="s">
        <v>337</v>
      </c>
      <c r="C23" s="482">
        <f ca="1">IFERROR(_xlfn.NORM.S.DIST(C21,TRUE),"na")</f>
        <v>0.82879878081354552</v>
      </c>
      <c r="D23" s="31"/>
      <c r="E23" s="438">
        <v>44256</v>
      </c>
      <c r="F23" s="430">
        <v>-2.3691249522353776E-2</v>
      </c>
      <c r="G23" s="443">
        <v>8.5416736284148698E-2</v>
      </c>
      <c r="H23" s="449"/>
      <c r="I23" s="6"/>
      <c r="J23" s="6"/>
      <c r="K23" s="6"/>
      <c r="L23" s="6"/>
      <c r="M23" s="3"/>
      <c r="N23" s="3"/>
      <c r="P23" s="13"/>
      <c r="Q23" s="436"/>
      <c r="S23" s="28"/>
    </row>
    <row r="24" spans="1:19" ht="12" customHeight="1">
      <c r="B24" s="89" t="s">
        <v>338</v>
      </c>
      <c r="C24" s="482">
        <f ca="1">IFERROR(_xlfn.NORM.S.DIST(C22,TRUE),"na")</f>
        <v>0.74418223642191528</v>
      </c>
      <c r="D24" s="33"/>
      <c r="E24" s="438">
        <v>44228</v>
      </c>
      <c r="F24" s="430">
        <v>1.6606778673399915E-2</v>
      </c>
      <c r="G24" s="443">
        <v>9.0381605419068034E-2</v>
      </c>
      <c r="H24" s="449"/>
      <c r="I24" s="42" t="s">
        <v>325</v>
      </c>
      <c r="J24" s="52">
        <f>_xlfn.STDEV.P(F5:F28)</f>
        <v>4.9184077420323387E-2</v>
      </c>
      <c r="K24" s="6"/>
      <c r="L24" s="6"/>
      <c r="M24" s="3"/>
      <c r="N24" s="3"/>
      <c r="P24" s="13"/>
      <c r="Q24" s="436"/>
      <c r="S24" s="3"/>
    </row>
    <row r="25" spans="1:19" ht="12" customHeight="1">
      <c r="B25" s="457" t="s">
        <v>339</v>
      </c>
      <c r="C25" s="482">
        <f ca="1">IFERROR(_xlfn.NORM.S.DIST(-C21,TRUE),"na")</f>
        <v>0.17120121918645445</v>
      </c>
      <c r="D25" s="31"/>
      <c r="E25" s="438">
        <v>44197</v>
      </c>
      <c r="F25" s="430">
        <v>5.1737602499024628E-3</v>
      </c>
      <c r="G25" s="443">
        <v>-4.2644231411321121E-2</v>
      </c>
      <c r="H25" s="449"/>
      <c r="I25" s="42" t="s">
        <v>326</v>
      </c>
      <c r="J25" s="52">
        <f>_xlfn.STDEV.P(G5:G28)</f>
        <v>0.20462402535664098</v>
      </c>
      <c r="K25" s="6"/>
      <c r="L25" s="6"/>
      <c r="M25" s="3"/>
      <c r="N25" s="3"/>
      <c r="P25" s="13"/>
      <c r="Q25" s="436"/>
      <c r="S25" s="3"/>
    </row>
    <row r="26" spans="1:19" ht="12" customHeight="1">
      <c r="B26" s="49" t="s">
        <v>340</v>
      </c>
      <c r="C26" s="482">
        <f ca="1">IFERROR(_xlfn.NORM.S.DIST(-C22,TRUE),"na")</f>
        <v>0.25581776357808472</v>
      </c>
      <c r="D26" s="34"/>
      <c r="E26" s="437">
        <v>44166</v>
      </c>
      <c r="F26" s="430">
        <v>2.2049286640726338E-2</v>
      </c>
      <c r="G26" s="443">
        <v>0.3499325517913825</v>
      </c>
      <c r="H26" s="448"/>
      <c r="I26" s="42" t="s">
        <v>319</v>
      </c>
      <c r="J26" s="432">
        <f>C3/(C3+C5)</f>
        <v>0.49222201946810179</v>
      </c>
      <c r="K26" s="6"/>
      <c r="L26" s="6"/>
      <c r="M26" s="3"/>
      <c r="N26" s="3"/>
      <c r="P26" s="13"/>
      <c r="Q26" s="436"/>
      <c r="S26" s="3"/>
    </row>
    <row r="27" spans="1:19" ht="12" customHeight="1">
      <c r="B27" s="89" t="s">
        <v>329</v>
      </c>
      <c r="C27" s="460">
        <f ca="1">EXP(-C7*C6)</f>
        <v>0.76608522793602785</v>
      </c>
      <c r="D27" s="3"/>
      <c r="E27" s="434">
        <v>44136</v>
      </c>
      <c r="F27" s="430">
        <v>2.4008990600735559E-2</v>
      </c>
      <c r="G27" s="443">
        <v>-0.16905761619212969</v>
      </c>
      <c r="H27" s="452"/>
      <c r="I27" s="42" t="s">
        <v>320</v>
      </c>
      <c r="J27" s="432">
        <f>C5/(C3+C5)</f>
        <v>0.50777798053189815</v>
      </c>
      <c r="K27" s="3"/>
      <c r="L27" s="3"/>
      <c r="M27" s="3"/>
      <c r="N27" s="3"/>
      <c r="P27" s="13"/>
      <c r="Q27" s="436"/>
      <c r="S27" s="3"/>
    </row>
    <row r="28" spans="1:19" ht="12" customHeight="1">
      <c r="D28" s="3"/>
      <c r="E28" s="433">
        <v>44105</v>
      </c>
      <c r="F28" s="430">
        <v>-2.7508914926133833E-3</v>
      </c>
      <c r="G28" s="443">
        <v>3.287641518799167E-2</v>
      </c>
      <c r="H28" s="446"/>
      <c r="I28" s="42" t="s">
        <v>321</v>
      </c>
      <c r="J28" s="435">
        <v>4.5169417106016296E-3</v>
      </c>
      <c r="K28" s="3"/>
      <c r="L28" s="454"/>
      <c r="M28" s="454"/>
      <c r="N28" s="454"/>
      <c r="P28" s="13"/>
      <c r="Q28" s="436"/>
      <c r="S28" s="3"/>
    </row>
    <row r="29" spans="1:19" ht="12" customHeight="1">
      <c r="D29" s="3"/>
      <c r="E29" s="445"/>
      <c r="F29" s="290"/>
      <c r="G29" s="417"/>
      <c r="H29" s="14"/>
      <c r="I29" s="3"/>
      <c r="J29" s="3"/>
      <c r="K29" s="3"/>
      <c r="L29" s="453"/>
      <c r="M29" s="453"/>
      <c r="N29" s="453"/>
      <c r="P29" s="13"/>
      <c r="Q29" s="436"/>
      <c r="S29" s="3"/>
    </row>
    <row r="30" spans="1:19" ht="12" customHeight="1">
      <c r="D30" s="3"/>
      <c r="G30" s="3"/>
      <c r="L30" s="453"/>
      <c r="M30" s="453"/>
      <c r="N30" s="453"/>
      <c r="P30" s="13"/>
      <c r="Q30" s="436"/>
      <c r="S30" s="3"/>
    </row>
    <row r="31" spans="1:19" ht="12" customHeight="1">
      <c r="G31" s="3"/>
      <c r="J31" s="11"/>
    </row>
    <row r="32" spans="1:19" ht="12" customHeight="1">
      <c r="C32" s="14"/>
      <c r="G32" s="3"/>
      <c r="J32" s="9"/>
      <c r="L32" s="9"/>
    </row>
    <row r="33" spans="2:12" ht="12" customHeight="1">
      <c r="L33" s="9"/>
    </row>
    <row r="34" spans="2:12" ht="12" customHeight="1">
      <c r="B34" s="16"/>
      <c r="G34" s="9"/>
      <c r="J34" s="4"/>
    </row>
    <row r="35" spans="2:12" ht="12" customHeight="1">
      <c r="B35" s="9"/>
      <c r="G35" s="12"/>
    </row>
    <row r="37" spans="2:12" ht="12" customHeight="1">
      <c r="G37" s="16"/>
    </row>
    <row r="40" spans="2:12" ht="12" customHeight="1">
      <c r="G40" s="13"/>
    </row>
    <row r="41" spans="2:12" ht="12" customHeight="1">
      <c r="G41" s="9"/>
    </row>
    <row r="42" spans="2:12" ht="12" customHeight="1">
      <c r="G42" s="13"/>
    </row>
    <row r="44" spans="2:12" ht="12" customHeight="1">
      <c r="G44" s="16"/>
    </row>
  </sheetData>
  <sortState ref="P5:Q30">
    <sortCondition descending="1" ref="Q5:Q30"/>
  </sortState>
  <mergeCells count="1">
    <mergeCell ref="E3:G3"/>
  </mergeCells>
  <hyperlinks>
    <hyperlink ref="E3:F3" r:id="rId1" display="Carvana Co. 5.875% 20/28"/>
  </hyperlinks>
  <pageMargins left="0.7" right="0.7" top="0.75" bottom="0.75" header="0.3" footer="0.3"/>
  <pageSetup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5</vt:i4>
      </vt:variant>
    </vt:vector>
  </HeadingPairs>
  <TitlesOfParts>
    <vt:vector size="33" baseType="lpstr">
      <vt:lpstr>Cover</vt:lpstr>
      <vt:lpstr>About</vt:lpstr>
      <vt:lpstr>Narrative</vt:lpstr>
      <vt:lpstr>Index</vt:lpstr>
      <vt:lpstr>Risk Free Rate</vt:lpstr>
      <vt:lpstr>Carvana ERP</vt:lpstr>
      <vt:lpstr>Beta</vt:lpstr>
      <vt:lpstr>Cost of Equity &amp; Debt</vt:lpstr>
      <vt:lpstr>WACC</vt:lpstr>
      <vt:lpstr>Cash Flows</vt:lpstr>
      <vt:lpstr>Numbers</vt:lpstr>
      <vt:lpstr>EBIT &amp; Advertising Expense</vt:lpstr>
      <vt:lpstr>EBIT &amp; Operating Leases</vt:lpstr>
      <vt:lpstr>Net CapEx</vt:lpstr>
      <vt:lpstr>Working Capital Changes</vt:lpstr>
      <vt:lpstr>FCFF &amp; FCFE</vt:lpstr>
      <vt:lpstr>Growth Rate &amp; TV</vt:lpstr>
      <vt:lpstr>Expected Growth Rate</vt:lpstr>
      <vt:lpstr>Future Cashflows (10 Yrs)</vt:lpstr>
      <vt:lpstr>Terminal Value</vt:lpstr>
      <vt:lpstr>Road to Fair Value of Share</vt:lpstr>
      <vt:lpstr>Cash &amp; Marketable Securities</vt:lpstr>
      <vt:lpstr>Future Value (Equity Options)</vt:lpstr>
      <vt:lpstr>Future Value (Restricted Stock)</vt:lpstr>
      <vt:lpstr>Probability of Default</vt:lpstr>
      <vt:lpstr>Fair Value of Share</vt:lpstr>
      <vt:lpstr>Option Pricing</vt:lpstr>
      <vt:lpstr>Equity as an Option</vt:lpstr>
      <vt:lpstr>'Equity as an Option'!Print_Area</vt:lpstr>
      <vt:lpstr>'Fair Value of Share'!Print_Area</vt:lpstr>
      <vt:lpstr>'Future Cashflows (10 Yrs)'!Print_Area</vt:lpstr>
      <vt:lpstr>'Future Value (Equity Options)'!Print_Area</vt:lpstr>
      <vt:lpstr>'Future Value (Restricted Stock)'!Print_Area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2022-10-04T15:16:47Z</dcterms:modified>
</cp:coreProperties>
</file>