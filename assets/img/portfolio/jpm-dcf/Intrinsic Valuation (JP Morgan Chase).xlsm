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Dashboard" sheetId="69" r:id="rId1"/>
    <sheet name="Drivers" sheetId="70" r:id="rId2"/>
    <sheet name="About" sheetId="71" r:id="rId3"/>
    <sheet name="Corporate Governance" sheetId="72" r:id="rId4"/>
    <sheet name="Index" sheetId="4" r:id="rId5"/>
    <sheet name="Risk Free Rate &amp; ERP" sheetId="73" r:id="rId6"/>
    <sheet name="Beta &amp; Cost of Equity" sheetId="74" r:id="rId7"/>
    <sheet name="Free Cash Flow" sheetId="36" r:id="rId8"/>
    <sheet name="Regulatory Capital" sheetId="76" r:id="rId9"/>
    <sheet name="Growth Rate" sheetId="77" r:id="rId10"/>
    <sheet name="Future CashFlows (10Y)" sheetId="75" r:id="rId11"/>
    <sheet name="Terminal Value" sheetId="78" r:id="rId12"/>
    <sheet name="Road to Fair Value" sheetId="79" r:id="rId13"/>
    <sheet name="Fair Value of Share" sheetId="80" r:id="rId14"/>
    <sheet name="Sensitivity Analysis" sheetId="81" r:id="rId15"/>
    <sheet name="Dividend Decision" sheetId="83" r:id="rId16"/>
    <sheet name="Cash Return Explained" sheetId="82" r:id="rId17"/>
  </sheets>
  <externalReferences>
    <externalReference r:id="rId18"/>
  </externalReferences>
  <definedNames>
    <definedName name="_xlnm.Print_Area" localSheetId="16">'Cash Return Explained'!$A$11:$G$27</definedName>
    <definedName name="_xlnm.Print_Area" localSheetId="0">Dashboard!$A$1:$AC$31</definedName>
    <definedName name="_xlnm.Print_Area" localSheetId="13">'Fair Value of Share'!$A$11:$H$27</definedName>
    <definedName name="_xlnm.Print_Area" localSheetId="10">'Future CashFlows (10Y)'!#REF!</definedName>
    <definedName name="_xlnm.Print_Area" localSheetId="9">'Growth Rate'!#REF!</definedName>
    <definedName name="_xlnm.Print_Area" localSheetId="8">'Regulatory Capital'!#REF!</definedName>
    <definedName name="_xlnm.Print_Area" localSheetId="14">'Sensitivity Analysis'!$A$11:$H$27</definedName>
  </definedNames>
  <calcPr calcId="162913" iterate="1"/>
</workbook>
</file>

<file path=xl/calcChain.xml><?xml version="1.0" encoding="utf-8"?>
<calcChain xmlns="http://schemas.openxmlformats.org/spreadsheetml/2006/main">
  <c r="P9" i="81" l="1"/>
  <c r="B3" i="69"/>
  <c r="E3" i="69"/>
  <c r="AB3" i="69" l="1"/>
  <c r="H3" i="69"/>
  <c r="K3" i="69"/>
  <c r="W3" i="69"/>
  <c r="K15" i="70"/>
  <c r="I15" i="70"/>
  <c r="K14" i="70"/>
  <c r="I14" i="70"/>
  <c r="Z3" i="69"/>
  <c r="U3" i="69"/>
  <c r="J8" i="82" l="1"/>
  <c r="G16" i="82"/>
  <c r="G8" i="82"/>
  <c r="C18" i="82" s="1"/>
  <c r="F16" i="82"/>
  <c r="D15" i="82"/>
  <c r="C15" i="82"/>
  <c r="E15" i="82"/>
  <c r="G15" i="82"/>
  <c r="F15" i="82"/>
  <c r="E14" i="82"/>
  <c r="D14" i="82"/>
  <c r="C14" i="82"/>
  <c r="F14" i="82"/>
  <c r="G14" i="82"/>
  <c r="E16" i="82"/>
  <c r="D16" i="82"/>
  <c r="E12" i="82"/>
  <c r="D12" i="82"/>
  <c r="C12" i="82"/>
  <c r="F12" i="82"/>
  <c r="B11" i="82"/>
  <c r="C7" i="82"/>
  <c r="B4" i="82"/>
  <c r="D11" i="82"/>
  <c r="E11" i="82" s="1"/>
  <c r="F11" i="82" s="1"/>
  <c r="F7" i="82"/>
  <c r="E7" i="82"/>
  <c r="G7" i="82"/>
  <c r="D7" i="82"/>
  <c r="D4" i="82"/>
  <c r="E4" i="82" s="1"/>
  <c r="F4" i="82" s="1"/>
  <c r="G4" i="82" s="1"/>
  <c r="B17" i="81"/>
  <c r="C22" i="81"/>
  <c r="C15" i="78"/>
  <c r="C24" i="81"/>
  <c r="C11" i="81"/>
  <c r="P7" i="81"/>
  <c r="M10" i="81" s="1"/>
  <c r="H10" i="81" s="1"/>
  <c r="J10" i="81" s="1"/>
  <c r="C7" i="81"/>
  <c r="P6" i="81"/>
  <c r="M6" i="81" s="1"/>
  <c r="H6" i="81" s="1"/>
  <c r="B4" i="81"/>
  <c r="D4" i="81"/>
  <c r="E4" i="81" s="1"/>
  <c r="F4" i="81" s="1"/>
  <c r="G4" i="81" s="1"/>
  <c r="H4" i="81" s="1"/>
  <c r="I4" i="81" s="1"/>
  <c r="J4" i="81" s="1"/>
  <c r="K4" i="81" s="1"/>
  <c r="L4" i="81" s="1"/>
  <c r="M4" i="81" s="1"/>
  <c r="C16" i="82" l="1"/>
  <c r="G12" i="82"/>
  <c r="F6" i="81"/>
  <c r="J6" i="81"/>
  <c r="L6" i="81" s="1"/>
  <c r="I6" i="81"/>
  <c r="P11" i="81"/>
  <c r="L10" i="81"/>
  <c r="K10" i="81" s="1"/>
  <c r="I10" i="81"/>
  <c r="F10" i="81"/>
  <c r="K6" i="81"/>
  <c r="G6" i="81" l="1"/>
  <c r="E6" i="81"/>
  <c r="D6" i="81" s="1"/>
  <c r="G10" i="81"/>
  <c r="E10" i="81"/>
  <c r="D10" i="81" s="1"/>
  <c r="B14" i="4" l="1"/>
  <c r="B13" i="4"/>
  <c r="B7" i="4"/>
  <c r="B8" i="4" s="1"/>
  <c r="B9" i="4" s="1"/>
  <c r="B10" i="4" s="1"/>
  <c r="B11" i="4" s="1"/>
  <c r="B12" i="4" s="1"/>
  <c r="C18" i="80"/>
  <c r="C16" i="80"/>
  <c r="B11" i="80"/>
  <c r="B4" i="80"/>
  <c r="D4" i="80"/>
  <c r="E4" i="80" s="1"/>
  <c r="F4" i="80" s="1"/>
  <c r="G4" i="80" s="1"/>
  <c r="H4" i="80" s="1"/>
  <c r="I4" i="80" s="1"/>
  <c r="J4" i="80" s="1"/>
  <c r="K4" i="80" s="1"/>
  <c r="L4" i="80" s="1"/>
  <c r="B4" i="75"/>
  <c r="B4" i="78"/>
  <c r="F7" i="78"/>
  <c r="F14" i="77"/>
  <c r="E14" i="77"/>
  <c r="D14" i="77"/>
  <c r="C14" i="77"/>
  <c r="G14" i="77"/>
  <c r="F12" i="77"/>
  <c r="E12" i="77"/>
  <c r="D12" i="77"/>
  <c r="C12" i="77"/>
  <c r="G12" i="77"/>
  <c r="F11" i="77"/>
  <c r="E11" i="77"/>
  <c r="D11" i="77"/>
  <c r="C11" i="77"/>
  <c r="G11" i="77"/>
  <c r="F10" i="77"/>
  <c r="E10" i="77"/>
  <c r="D10" i="77"/>
  <c r="C10" i="77"/>
  <c r="G10" i="77"/>
  <c r="C8" i="77"/>
  <c r="G8" i="77"/>
  <c r="F8" i="77"/>
  <c r="E8" i="77"/>
  <c r="D8" i="77"/>
  <c r="D6" i="77"/>
  <c r="C6" i="77"/>
  <c r="G6" i="77"/>
  <c r="F6" i="77"/>
  <c r="E6" i="77"/>
  <c r="G5" i="77"/>
  <c r="F5" i="77"/>
  <c r="E5" i="77"/>
  <c r="D5" i="77"/>
  <c r="C5" i="77"/>
  <c r="D4" i="77"/>
  <c r="E4" i="77" s="1"/>
  <c r="F4" i="77" s="1"/>
  <c r="G4" i="77" s="1"/>
  <c r="B4" i="77"/>
  <c r="M12" i="75"/>
  <c r="C10" i="78" s="1"/>
  <c r="C14" i="78" s="1"/>
  <c r="C13" i="75"/>
  <c r="C12" i="75" s="1"/>
  <c r="H12" i="75" s="1"/>
  <c r="J12" i="75" s="1"/>
  <c r="C11" i="75"/>
  <c r="M8" i="75"/>
  <c r="C6" i="78" s="1"/>
  <c r="C7" i="75"/>
  <c r="C8" i="75" s="1"/>
  <c r="H8" i="75" s="1"/>
  <c r="C5" i="75"/>
  <c r="E4" i="75"/>
  <c r="F4" i="75" s="1"/>
  <c r="G4" i="75" s="1"/>
  <c r="H4" i="75" s="1"/>
  <c r="I4" i="75" s="1"/>
  <c r="J4" i="75" s="1"/>
  <c r="K4" i="75" s="1"/>
  <c r="L4" i="75" s="1"/>
  <c r="M4" i="75" s="1"/>
  <c r="D4" i="75"/>
  <c r="D5" i="75"/>
  <c r="D6" i="75"/>
  <c r="G29" i="76"/>
  <c r="F29" i="76"/>
  <c r="E29" i="76"/>
  <c r="D29" i="76"/>
  <c r="C29" i="76"/>
  <c r="G28" i="76"/>
  <c r="F28" i="76"/>
  <c r="E28" i="76"/>
  <c r="D28" i="76"/>
  <c r="C28" i="76"/>
  <c r="G27" i="76"/>
  <c r="F27" i="76"/>
  <c r="E27" i="76"/>
  <c r="D27" i="76"/>
  <c r="C27" i="76"/>
  <c r="H29" i="76"/>
  <c r="H28" i="76"/>
  <c r="H27" i="76"/>
  <c r="E23" i="76"/>
  <c r="G23" i="76"/>
  <c r="H8" i="76"/>
  <c r="H14" i="76" s="1"/>
  <c r="G8" i="76"/>
  <c r="G14" i="76" s="1"/>
  <c r="G18" i="76" s="1"/>
  <c r="F8" i="76"/>
  <c r="F14" i="76" s="1"/>
  <c r="F18" i="76" s="1"/>
  <c r="F23" i="76" s="1"/>
  <c r="D8" i="76"/>
  <c r="D14" i="76" s="1"/>
  <c r="D18" i="76" s="1"/>
  <c r="D23" i="76" s="1"/>
  <c r="C8" i="76"/>
  <c r="C14" i="76" s="1"/>
  <c r="C18" i="76" s="1"/>
  <c r="C23" i="76" s="1"/>
  <c r="E8" i="76"/>
  <c r="E14" i="76" s="1"/>
  <c r="E18" i="76" s="1"/>
  <c r="B4" i="76"/>
  <c r="D4" i="76"/>
  <c r="E4" i="76" s="1"/>
  <c r="F4" i="76" s="1"/>
  <c r="G4" i="76" s="1"/>
  <c r="M6" i="75"/>
  <c r="L12" i="75" l="1"/>
  <c r="K12" i="75" s="1"/>
  <c r="I12" i="75"/>
  <c r="F12" i="75"/>
  <c r="F8" i="75"/>
  <c r="J8" i="75"/>
  <c r="H18" i="76"/>
  <c r="H23" i="76" s="1"/>
  <c r="E12" i="75" l="1"/>
  <c r="D12" i="75" s="1"/>
  <c r="G12" i="75"/>
  <c r="E8" i="75"/>
  <c r="D8" i="75" s="1"/>
  <c r="D7" i="75" s="1"/>
  <c r="D9" i="75" s="1"/>
  <c r="G8" i="75"/>
  <c r="L8" i="75"/>
  <c r="K8" i="75" s="1"/>
  <c r="I8" i="75"/>
  <c r="D15" i="75" l="1"/>
  <c r="D11" i="75"/>
  <c r="D13" i="75" s="1"/>
  <c r="D18" i="75" s="1"/>
  <c r="C5" i="80" s="1"/>
  <c r="L7" i="74"/>
  <c r="K7" i="74"/>
  <c r="K6" i="74"/>
  <c r="K5" i="74"/>
  <c r="L11" i="74"/>
  <c r="H26" i="74"/>
  <c r="G26" i="74"/>
  <c r="D26" i="74"/>
  <c r="I26" i="74"/>
  <c r="L17" i="74"/>
  <c r="L20" i="74"/>
  <c r="L19" i="74"/>
  <c r="L18" i="74"/>
  <c r="L14" i="74"/>
  <c r="L12" i="74"/>
  <c r="L13" i="74"/>
  <c r="G7" i="74"/>
  <c r="L26" i="74" s="1"/>
  <c r="G8" i="74"/>
  <c r="G9" i="74"/>
  <c r="L24" i="74" s="1"/>
  <c r="G10" i="74"/>
  <c r="G11" i="74"/>
  <c r="G12" i="74"/>
  <c r="G13" i="74"/>
  <c r="G14" i="74"/>
  <c r="G15" i="74"/>
  <c r="G16" i="74"/>
  <c r="G17" i="74"/>
  <c r="G18" i="74"/>
  <c r="G19" i="74"/>
  <c r="G20" i="74"/>
  <c r="G21" i="74"/>
  <c r="G22" i="74"/>
  <c r="G23" i="74"/>
  <c r="G24" i="74"/>
  <c r="G25" i="74"/>
  <c r="G6" i="74"/>
  <c r="D16" i="75" l="1"/>
  <c r="L25" i="74"/>
  <c r="L23" i="74"/>
  <c r="B3" i="74" l="1"/>
  <c r="W625" i="74"/>
  <c r="W624" i="74"/>
  <c r="W623" i="74"/>
  <c r="W622" i="74"/>
  <c r="W581" i="74"/>
  <c r="W561" i="74"/>
  <c r="W556" i="74"/>
  <c r="W549" i="74"/>
  <c r="W546" i="74"/>
  <c r="W516" i="74"/>
  <c r="W504" i="74"/>
  <c r="W503" i="74"/>
  <c r="W502" i="74"/>
  <c r="W500" i="74"/>
  <c r="W491" i="74"/>
  <c r="W486" i="74"/>
  <c r="W485" i="74"/>
  <c r="W480" i="74"/>
  <c r="W479" i="74"/>
  <c r="W474" i="74"/>
  <c r="W471" i="74"/>
  <c r="W470" i="74"/>
  <c r="W469" i="74"/>
  <c r="W462" i="74"/>
  <c r="W461" i="74"/>
  <c r="W454" i="74"/>
  <c r="W452" i="74"/>
  <c r="W451" i="74"/>
  <c r="W448" i="74"/>
  <c r="W447" i="74"/>
  <c r="W445" i="74"/>
  <c r="W443" i="74"/>
  <c r="W442" i="74"/>
  <c r="W440" i="74"/>
  <c r="W439" i="74"/>
  <c r="W434" i="74"/>
  <c r="W433" i="74"/>
  <c r="W431" i="74"/>
  <c r="W430" i="74"/>
  <c r="W429" i="74"/>
  <c r="W426" i="74"/>
  <c r="W424" i="74"/>
  <c r="W418" i="74"/>
  <c r="W414" i="74"/>
  <c r="W412" i="74"/>
  <c r="W411" i="74"/>
  <c r="W409" i="74"/>
  <c r="W408" i="74"/>
  <c r="W407" i="74"/>
  <c r="W406" i="74"/>
  <c r="W404" i="74"/>
  <c r="W403" i="74"/>
  <c r="W401" i="74"/>
  <c r="W396" i="74"/>
  <c r="W394" i="74"/>
  <c r="W393" i="74"/>
  <c r="W392" i="74"/>
  <c r="W389" i="74"/>
  <c r="W386" i="74"/>
  <c r="W385" i="74"/>
  <c r="W384" i="74"/>
  <c r="W382" i="74"/>
  <c r="W381" i="74"/>
  <c r="W380" i="74"/>
  <c r="W379" i="74"/>
  <c r="W376" i="74"/>
  <c r="W375" i="74"/>
  <c r="W373" i="74"/>
  <c r="W372" i="74"/>
  <c r="W371" i="74"/>
  <c r="W370" i="74"/>
  <c r="W369" i="74"/>
  <c r="W368" i="74"/>
  <c r="W367" i="74"/>
  <c r="W366" i="74"/>
  <c r="W365" i="74"/>
  <c r="W364" i="74"/>
  <c r="W362" i="74"/>
  <c r="W361" i="74"/>
  <c r="W359" i="74"/>
  <c r="W357" i="74"/>
  <c r="W354" i="74"/>
  <c r="W352" i="74"/>
  <c r="W351" i="74"/>
  <c r="W349" i="74"/>
  <c r="W348" i="74"/>
  <c r="W346" i="74"/>
  <c r="W344" i="74"/>
  <c r="W343" i="74"/>
  <c r="W339" i="74"/>
  <c r="W338" i="74"/>
  <c r="W337" i="74"/>
  <c r="W336" i="74"/>
  <c r="W335" i="74"/>
  <c r="W334" i="74"/>
  <c r="W333" i="74"/>
  <c r="W331" i="74"/>
  <c r="W330" i="74"/>
  <c r="W326" i="74"/>
  <c r="W325" i="74"/>
  <c r="W324" i="74"/>
  <c r="W321" i="74"/>
  <c r="W320" i="74"/>
  <c r="W319" i="74"/>
  <c r="W318" i="74"/>
  <c r="W315" i="74"/>
  <c r="W314" i="74"/>
  <c r="W312" i="74"/>
  <c r="W308" i="74"/>
  <c r="W307" i="74"/>
  <c r="W304" i="74"/>
  <c r="W303" i="74"/>
  <c r="W300" i="74"/>
  <c r="W299" i="74"/>
  <c r="W294" i="74"/>
  <c r="W293" i="74"/>
  <c r="W292" i="74"/>
  <c r="W290" i="74"/>
  <c r="W288" i="74"/>
  <c r="W287" i="74"/>
  <c r="W286" i="74"/>
  <c r="W283" i="74"/>
  <c r="W282" i="74"/>
  <c r="W281" i="74"/>
  <c r="W280" i="74"/>
  <c r="W278" i="74"/>
  <c r="W270" i="74"/>
  <c r="W267" i="74"/>
  <c r="W266" i="74"/>
  <c r="W257" i="74"/>
  <c r="W256" i="74"/>
  <c r="W254" i="74"/>
  <c r="W253" i="74"/>
  <c r="W251" i="74"/>
  <c r="W250" i="74"/>
  <c r="W248" i="74"/>
  <c r="W247" i="74"/>
  <c r="W246" i="74"/>
  <c r="W243" i="74"/>
  <c r="W238" i="74"/>
  <c r="W235" i="74"/>
  <c r="W234" i="74"/>
  <c r="W233" i="74"/>
  <c r="W232" i="74"/>
  <c r="W230" i="74"/>
  <c r="W225" i="74"/>
  <c r="W224" i="74"/>
  <c r="W216" i="74"/>
  <c r="W215" i="74"/>
  <c r="W213" i="74"/>
  <c r="W211" i="74"/>
  <c r="W210" i="74"/>
  <c r="W208" i="74"/>
  <c r="W207" i="74"/>
  <c r="W206" i="74"/>
  <c r="W205" i="74"/>
  <c r="D205" i="74"/>
  <c r="J205" i="74" l="1"/>
  <c r="K205" i="74"/>
  <c r="O205" i="74"/>
  <c r="M205" i="74"/>
  <c r="H17" i="73" l="1"/>
  <c r="G17" i="73"/>
  <c r="F17" i="73"/>
  <c r="H14" i="73" l="1"/>
  <c r="G14" i="73"/>
  <c r="F14" i="73"/>
  <c r="D37" i="73"/>
  <c r="D36" i="73"/>
  <c r="D38" i="73"/>
  <c r="C38" i="73"/>
  <c r="H15" i="73"/>
  <c r="G15" i="73"/>
  <c r="F15" i="73"/>
  <c r="H13" i="73"/>
  <c r="G13" i="73"/>
  <c r="F13" i="73"/>
  <c r="G26" i="73"/>
  <c r="F26" i="73"/>
  <c r="E26" i="73"/>
  <c r="D22" i="73"/>
  <c r="D23" i="73"/>
  <c r="D24" i="73"/>
  <c r="D25" i="73"/>
  <c r="D26" i="73"/>
  <c r="C26" i="73"/>
  <c r="C17" i="73"/>
  <c r="D12" i="73"/>
  <c r="C13" i="73"/>
  <c r="F38" i="73" l="1"/>
  <c r="G38" i="73"/>
  <c r="E38" i="73"/>
  <c r="E16" i="73" l="1"/>
  <c r="B6" i="73"/>
  <c r="C11" i="73"/>
  <c r="C4" i="73"/>
  <c r="C5" i="73" s="1"/>
  <c r="C3" i="73"/>
  <c r="C6" i="73" s="1"/>
  <c r="C32" i="73"/>
  <c r="D31" i="73" s="1"/>
  <c r="D16" i="73"/>
  <c r="B6" i="4"/>
  <c r="L5" i="74" l="1"/>
  <c r="F5" i="78"/>
  <c r="E13" i="73"/>
  <c r="E12" i="73"/>
  <c r="E15" i="73"/>
  <c r="E14" i="73"/>
  <c r="D30" i="73"/>
  <c r="E32" i="73" s="1"/>
  <c r="D13" i="73"/>
  <c r="D14" i="73"/>
  <c r="D15" i="73"/>
  <c r="F32" i="73"/>
  <c r="E17" i="73" l="1"/>
  <c r="D17" i="73"/>
  <c r="G32" i="73"/>
  <c r="D32" i="73"/>
  <c r="C8" i="73"/>
  <c r="F6" i="78" l="1"/>
  <c r="F8" i="78" s="1"/>
  <c r="L6" i="74"/>
  <c r="L8" i="74" s="1"/>
  <c r="F18" i="72"/>
  <c r="C6" i="80" l="1"/>
  <c r="Q3" i="69"/>
  <c r="J9" i="82"/>
  <c r="J10" i="82" s="1"/>
  <c r="L6" i="80"/>
  <c r="G6" i="80" s="1"/>
  <c r="I6" i="80" s="1"/>
  <c r="H6" i="80" s="1"/>
  <c r="P8" i="81"/>
  <c r="C7" i="80"/>
  <c r="F19" i="72"/>
  <c r="C17" i="70"/>
  <c r="B28" i="70"/>
  <c r="B27" i="70"/>
  <c r="B26" i="70"/>
  <c r="B25" i="70"/>
  <c r="J13" i="70"/>
  <c r="J12" i="70"/>
  <c r="B22" i="70"/>
  <c r="H3" i="70"/>
  <c r="E13" i="81" l="1"/>
  <c r="L13" i="81"/>
  <c r="K13" i="81"/>
  <c r="M13" i="81"/>
  <c r="I13" i="81"/>
  <c r="F13" i="81"/>
  <c r="H13" i="81"/>
  <c r="J13" i="81"/>
  <c r="D13" i="81"/>
  <c r="G13" i="81"/>
  <c r="E6" i="80"/>
  <c r="F6" i="80" s="1"/>
  <c r="K6" i="80"/>
  <c r="J6" i="80" s="1"/>
  <c r="J14" i="70"/>
  <c r="D6" i="80" l="1"/>
  <c r="J15" i="70" l="1"/>
  <c r="D5" i="81" l="1"/>
  <c r="D7" i="81" s="1"/>
  <c r="D8" i="81" s="1"/>
  <c r="D9" i="81" s="1"/>
  <c r="E5" i="81" l="1"/>
  <c r="F5" i="81" s="1"/>
  <c r="F7" i="81" s="1"/>
  <c r="D11" i="81"/>
  <c r="D12" i="81" s="1"/>
  <c r="D14" i="81" s="1"/>
  <c r="G5" i="81" l="1"/>
  <c r="G7" i="81" s="1"/>
  <c r="G8" i="81" s="1"/>
  <c r="E7" i="81"/>
  <c r="E8" i="81" s="1"/>
  <c r="E9" i="81" s="1"/>
  <c r="E11" i="81" s="1"/>
  <c r="E12" i="81" s="1"/>
  <c r="E14" i="81" s="1"/>
  <c r="H5" i="81" l="1"/>
  <c r="H7" i="81" s="1"/>
  <c r="H8" i="81" s="1"/>
  <c r="F8" i="81"/>
  <c r="F9" i="81" s="1"/>
  <c r="F11" i="81" s="1"/>
  <c r="F12" i="81" s="1"/>
  <c r="F14" i="81" s="1"/>
  <c r="G9" i="81" l="1"/>
  <c r="H9" i="81" s="1"/>
  <c r="I5" i="81"/>
  <c r="J5" i="81" s="1"/>
  <c r="I7" i="81"/>
  <c r="I8" i="81" s="1"/>
  <c r="G11" i="81" l="1"/>
  <c r="G12" i="81" s="1"/>
  <c r="G14" i="81" s="1"/>
  <c r="I9" i="81"/>
  <c r="H11" i="81"/>
  <c r="H12" i="81" s="1"/>
  <c r="H14" i="81" s="1"/>
  <c r="K5" i="81"/>
  <c r="J7" i="81"/>
  <c r="J8" i="81" s="1"/>
  <c r="K7" i="81" l="1"/>
  <c r="K8" i="81" s="1"/>
  <c r="L5" i="81"/>
  <c r="I11" i="81"/>
  <c r="I12" i="81" s="1"/>
  <c r="I14" i="81" s="1"/>
  <c r="J9" i="81"/>
  <c r="J11" i="81" l="1"/>
  <c r="J12" i="81" s="1"/>
  <c r="J14" i="81" s="1"/>
  <c r="K9" i="81"/>
  <c r="L7" i="81"/>
  <c r="L8" i="81" s="1"/>
  <c r="M5" i="81"/>
  <c r="L9" i="81" l="1"/>
  <c r="K11" i="81"/>
  <c r="K12" i="81" s="1"/>
  <c r="K14" i="81" s="1"/>
  <c r="M7" i="81"/>
  <c r="M8" i="81" s="1"/>
  <c r="M9" i="81" l="1"/>
  <c r="L11" i="81"/>
  <c r="L12" i="81" s="1"/>
  <c r="L14" i="81" s="1"/>
  <c r="M11" i="81" l="1"/>
  <c r="M12" i="81" s="1"/>
  <c r="M14" i="81" s="1"/>
  <c r="C18" i="81" s="1"/>
  <c r="C19" i="81"/>
  <c r="C20" i="81" s="1"/>
  <c r="C21" i="81" l="1"/>
  <c r="C23" i="81" s="1"/>
  <c r="C25" i="81" s="1"/>
  <c r="E20" i="81" s="1"/>
  <c r="D5" i="80" l="1"/>
  <c r="E5" i="80"/>
  <c r="F5" i="80"/>
  <c r="G5" i="80"/>
  <c r="H5" i="80"/>
  <c r="I5" i="80"/>
  <c r="J5" i="80"/>
  <c r="K5" i="80"/>
  <c r="L5" i="80"/>
  <c r="D7" i="80"/>
  <c r="E7" i="80"/>
  <c r="F7" i="80"/>
  <c r="G7" i="80"/>
  <c r="H7" i="80"/>
  <c r="I7" i="80"/>
  <c r="J7" i="80"/>
  <c r="K7" i="80"/>
  <c r="L7" i="80"/>
  <c r="C12" i="80"/>
  <c r="C13" i="80"/>
  <c r="C14" i="80"/>
  <c r="C15" i="80"/>
  <c r="C17" i="80"/>
  <c r="C19" i="80"/>
  <c r="E5" i="75"/>
  <c r="F5" i="75"/>
  <c r="G5" i="75"/>
  <c r="H5" i="75"/>
  <c r="I5" i="75"/>
  <c r="J5" i="75"/>
  <c r="K5" i="75"/>
  <c r="L5" i="75"/>
  <c r="M5" i="75"/>
  <c r="E6" i="75"/>
  <c r="F6" i="75"/>
  <c r="G6" i="75"/>
  <c r="H6" i="75"/>
  <c r="I6" i="75"/>
  <c r="J6" i="75"/>
  <c r="K6" i="75"/>
  <c r="L6" i="75"/>
  <c r="E7" i="75"/>
  <c r="F7" i="75"/>
  <c r="G7" i="75"/>
  <c r="H7" i="75"/>
  <c r="I7" i="75"/>
  <c r="J7" i="75"/>
  <c r="K7" i="75"/>
  <c r="L7" i="75"/>
  <c r="M7" i="75"/>
  <c r="E9" i="75"/>
  <c r="F9" i="75"/>
  <c r="G9" i="75"/>
  <c r="H9" i="75"/>
  <c r="I9" i="75"/>
  <c r="J9" i="75"/>
  <c r="K9" i="75"/>
  <c r="L9" i="75"/>
  <c r="M9" i="75"/>
  <c r="E11" i="75"/>
  <c r="F11" i="75"/>
  <c r="G11" i="75"/>
  <c r="H11" i="75"/>
  <c r="I11" i="75"/>
  <c r="J11" i="75"/>
  <c r="K11" i="75"/>
  <c r="L11" i="75"/>
  <c r="M11" i="75"/>
  <c r="E13" i="75"/>
  <c r="F13" i="75"/>
  <c r="G13" i="75"/>
  <c r="H13" i="75"/>
  <c r="I13" i="75"/>
  <c r="J13" i="75"/>
  <c r="K13" i="75"/>
  <c r="L13" i="75"/>
  <c r="M13" i="75"/>
  <c r="E15" i="75"/>
  <c r="F15" i="75"/>
  <c r="G15" i="75"/>
  <c r="H15" i="75"/>
  <c r="I15" i="75"/>
  <c r="J15" i="75"/>
  <c r="K15" i="75"/>
  <c r="L15" i="75"/>
  <c r="M15" i="75"/>
  <c r="E16" i="75"/>
  <c r="F16" i="75"/>
  <c r="G16" i="75"/>
  <c r="H16" i="75"/>
  <c r="I16" i="75"/>
  <c r="J16" i="75"/>
  <c r="K16" i="75"/>
  <c r="L16" i="75"/>
  <c r="M16" i="75"/>
  <c r="E18" i="75"/>
  <c r="F18" i="75"/>
  <c r="G18" i="75"/>
  <c r="H18" i="75"/>
  <c r="I18" i="75"/>
  <c r="J18" i="75"/>
  <c r="K18" i="75"/>
  <c r="L18" i="75"/>
  <c r="M18" i="75"/>
  <c r="C5" i="78"/>
  <c r="C7" i="78"/>
  <c r="C8" i="78"/>
  <c r="C9" i="78"/>
  <c r="C11" i="78"/>
  <c r="C17" i="78"/>
  <c r="C19" i="78"/>
</calcChain>
</file>

<file path=xl/sharedStrings.xml><?xml version="1.0" encoding="utf-8"?>
<sst xmlns="http://schemas.openxmlformats.org/spreadsheetml/2006/main" count="399" uniqueCount="290">
  <si>
    <t xml:space="preserve">#                </t>
  </si>
  <si>
    <t>Worksheet</t>
  </si>
  <si>
    <t>Cost of Capital</t>
  </si>
  <si>
    <t>Cost of Equity</t>
  </si>
  <si>
    <t>Equity Risk Premium</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</si>
  <si>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</si>
  <si>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</si>
  <si>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</si>
  <si>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</si>
  <si>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</si>
  <si>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</si>
  <si>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</si>
  <si>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</si>
  <si>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</si>
  <si>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</si>
  <si>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</si>
  <si>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</si>
  <si>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</si>
  <si>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</si>
  <si>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</si>
  <si>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</si>
  <si>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</si>
  <si>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</si>
  <si>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</si>
  <si>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</si>
  <si>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</si>
  <si>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</si>
  <si>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Ticker</t>
  </si>
  <si>
    <t>Valuation Index</t>
  </si>
  <si>
    <t>Reinvestment</t>
  </si>
  <si>
    <t>Future Cash Flows (10 Yrs)</t>
  </si>
  <si>
    <t>Terminal Value</t>
  </si>
  <si>
    <t>Mature Beta</t>
  </si>
  <si>
    <t>Present Value of TV</t>
  </si>
  <si>
    <t>Value of Equity</t>
  </si>
  <si>
    <t>Fair Value of the Share</t>
  </si>
  <si>
    <t>Present Value of Cash Flows</t>
  </si>
  <si>
    <t>Value of Equity Options</t>
  </si>
  <si>
    <t>Fair Value of Share</t>
  </si>
  <si>
    <t>N/A</t>
  </si>
  <si>
    <t>Companies</t>
  </si>
  <si>
    <t>Risk Free Rate &amp; Equity Risk Premium</t>
  </si>
  <si>
    <t>Levered Beta</t>
  </si>
  <si>
    <t>Risk Free Rate &amp; ERP</t>
  </si>
  <si>
    <t>Spread (%)</t>
  </si>
  <si>
    <t>Industry's ROE %</t>
  </si>
  <si>
    <t>Tier 1 Capital</t>
  </si>
  <si>
    <t>Book Equity</t>
  </si>
  <si>
    <t>Net Income</t>
  </si>
  <si>
    <t>FCFE</t>
  </si>
  <si>
    <t>Growth Rate in Perpetuity</t>
  </si>
  <si>
    <t>Value of Common Stock</t>
  </si>
  <si>
    <t>Beta &amp; Cost of Equity</t>
  </si>
  <si>
    <t>Market Cap</t>
  </si>
  <si>
    <t>Beta</t>
  </si>
  <si>
    <t>CG Score</t>
  </si>
  <si>
    <t>Shareholding Pattern</t>
  </si>
  <si>
    <t>Corporate Governance</t>
  </si>
  <si>
    <t>Football Field Chart</t>
  </si>
  <si>
    <t>Drivers</t>
  </si>
  <si>
    <t>Basic Inputs</t>
  </si>
  <si>
    <t>Currency</t>
  </si>
  <si>
    <t>$</t>
  </si>
  <si>
    <t>Valuation Date</t>
  </si>
  <si>
    <t>Industry Growth - First 5Y</t>
  </si>
  <si>
    <t>About Company</t>
  </si>
  <si>
    <t>Industry Growth - Last 5Y</t>
  </si>
  <si>
    <t>Company Name</t>
  </si>
  <si>
    <t>Exchange</t>
  </si>
  <si>
    <t>NYSE</t>
  </si>
  <si>
    <t>Sector</t>
  </si>
  <si>
    <t>Industry</t>
  </si>
  <si>
    <t>Current Stock Price</t>
  </si>
  <si>
    <t>Shares Out. (in m)</t>
  </si>
  <si>
    <t>Cost of Capital Inputs</t>
  </si>
  <si>
    <t>Country</t>
  </si>
  <si>
    <t>USA</t>
  </si>
  <si>
    <t xml:space="preserve">Football Field </t>
  </si>
  <si>
    <t>Min</t>
  </si>
  <si>
    <t>Difference</t>
  </si>
  <si>
    <t>Max</t>
  </si>
  <si>
    <t>AAA</t>
  </si>
  <si>
    <t>52 Week Range</t>
  </si>
  <si>
    <t>Analyst's Range</t>
  </si>
  <si>
    <t>DCF Valuation</t>
  </si>
  <si>
    <t xml:space="preserve"> </t>
  </si>
  <si>
    <t>JPM</t>
  </si>
  <si>
    <t>JP Morgan Chase &amp; Co.</t>
  </si>
  <si>
    <t>Financial Services</t>
  </si>
  <si>
    <t>Banks - Diversified</t>
  </si>
  <si>
    <t>About</t>
  </si>
  <si>
    <t>Board of Directors</t>
  </si>
  <si>
    <t>as of Dec 2022</t>
  </si>
  <si>
    <t>Name</t>
  </si>
  <si>
    <t>Designation</t>
  </si>
  <si>
    <t>*</t>
  </si>
  <si>
    <t>Management</t>
  </si>
  <si>
    <t>Ownership</t>
  </si>
  <si>
    <t>%</t>
  </si>
  <si>
    <t>Institutional</t>
  </si>
  <si>
    <t>Insider</t>
  </si>
  <si>
    <t>Retail</t>
  </si>
  <si>
    <t>Total</t>
  </si>
  <si>
    <t>Data from wallstreetzen.com</t>
  </si>
  <si>
    <t>Audit</t>
  </si>
  <si>
    <t>Board</t>
  </si>
  <si>
    <t>Shareholder Rights</t>
  </si>
  <si>
    <t>Compensation</t>
  </si>
  <si>
    <t>Linda B. Bammann</t>
  </si>
  <si>
    <t>Stephen B. Burke</t>
  </si>
  <si>
    <t>Todd A. Combs</t>
  </si>
  <si>
    <t>Director</t>
  </si>
  <si>
    <t>James S. Crown</t>
  </si>
  <si>
    <t>Alicia Boler Davis</t>
  </si>
  <si>
    <t xml:space="preserve">Director </t>
  </si>
  <si>
    <t>Jamie Dimon</t>
  </si>
  <si>
    <t>Chairman &amp; CEO</t>
  </si>
  <si>
    <t>Timothy P. Flynn</t>
  </si>
  <si>
    <t>Alex Gorsky</t>
  </si>
  <si>
    <t>Mellody Hobson</t>
  </si>
  <si>
    <t>Michael A. Neal</t>
  </si>
  <si>
    <t>Phebe N. Novakovic</t>
  </si>
  <si>
    <t xml:space="preserve">Virginia M. Rometty </t>
  </si>
  <si>
    <t>Lead Director</t>
  </si>
  <si>
    <t>Ashley Bacon</t>
  </si>
  <si>
    <t>CRO</t>
  </si>
  <si>
    <t>Marc Badrichani</t>
  </si>
  <si>
    <t>Head of GS &amp; Res.</t>
  </si>
  <si>
    <t>Jeremy Barnum</t>
  </si>
  <si>
    <t>CFO</t>
  </si>
  <si>
    <t>Lori Beer</t>
  </si>
  <si>
    <t>Global CIO</t>
  </si>
  <si>
    <t>Mary Callahan Erdoes</t>
  </si>
  <si>
    <t>Asset &amp; WM CEO</t>
  </si>
  <si>
    <t>Stacey Friedman</t>
  </si>
  <si>
    <t>General Counsel</t>
  </si>
  <si>
    <t>Takis Georgakopoulos</t>
  </si>
  <si>
    <t>Global Head of P</t>
  </si>
  <si>
    <t>9 more executives…</t>
  </si>
  <si>
    <t>as of Apr 2022</t>
  </si>
  <si>
    <t>10-Year Gov. Bond Yield</t>
  </si>
  <si>
    <t>Default Spread</t>
  </si>
  <si>
    <t>Regions</t>
  </si>
  <si>
    <t>ERP</t>
  </si>
  <si>
    <t>Spread</t>
  </si>
  <si>
    <t>CRP</t>
  </si>
  <si>
    <t>Tax %</t>
  </si>
  <si>
    <t>Asia</t>
  </si>
  <si>
    <t>Middle East</t>
  </si>
  <si>
    <t>Africa</t>
  </si>
  <si>
    <t>GDP</t>
  </si>
  <si>
    <t>in $</t>
  </si>
  <si>
    <t>Eastern Europe &amp; Russia</t>
  </si>
  <si>
    <t>Latin America &amp; Caribbean</t>
  </si>
  <si>
    <t>Central and South America</t>
  </si>
  <si>
    <t>Caribbean</t>
  </si>
  <si>
    <t>Total Assets</t>
  </si>
  <si>
    <t>Europe/Middle East/Africa</t>
  </si>
  <si>
    <t>Western Europe (excl. UK)</t>
  </si>
  <si>
    <t>Asia Pacific</t>
  </si>
  <si>
    <t>Australia &amp; NZ</t>
  </si>
  <si>
    <t>all figures in mil</t>
  </si>
  <si>
    <t>Bank of America Corporation</t>
  </si>
  <si>
    <t>BAC</t>
  </si>
  <si>
    <t>Banco Bilbao Vizcaya</t>
  </si>
  <si>
    <t>BBVA</t>
  </si>
  <si>
    <t>Barclays PLC</t>
  </si>
  <si>
    <t>BCS</t>
  </si>
  <si>
    <t>Bank of Montreal</t>
  </si>
  <si>
    <t>BMO</t>
  </si>
  <si>
    <t>The Bank of Nova Scotia</t>
  </si>
  <si>
    <t>BNS</t>
  </si>
  <si>
    <t>Citigroup Inc.</t>
  </si>
  <si>
    <t>Canadian Imperial BOC</t>
  </si>
  <si>
    <t>CM</t>
  </si>
  <si>
    <t>Credit Suisse Group AG</t>
  </si>
  <si>
    <t>CS</t>
  </si>
  <si>
    <t>East West Bancorp, Inc.</t>
  </si>
  <si>
    <t>EWBC</t>
  </si>
  <si>
    <t>HSBC Holdings plc</t>
  </si>
  <si>
    <t>HSBC</t>
  </si>
  <si>
    <t>ING Groep N.V.</t>
  </si>
  <si>
    <t>ING</t>
  </si>
  <si>
    <t>Mitsubishi UFJ Financial G</t>
  </si>
  <si>
    <t>MUFG</t>
  </si>
  <si>
    <t>The Bank of N.T. Butterfield</t>
  </si>
  <si>
    <t>NTB</t>
  </si>
  <si>
    <t>NatWest Group plc</t>
  </si>
  <si>
    <t>NWG</t>
  </si>
  <si>
    <t>Royal Bank of Canada</t>
  </si>
  <si>
    <t>RY</t>
  </si>
  <si>
    <t>Banco Santander, S.A.</t>
  </si>
  <si>
    <t>SAN</t>
  </si>
  <si>
    <t>Sumitomo Mitsui Financial G</t>
  </si>
  <si>
    <t>SMFG</t>
  </si>
  <si>
    <t>The Toronto-Dominion Bank</t>
  </si>
  <si>
    <t>TD</t>
  </si>
  <si>
    <t>UBS Group AG</t>
  </si>
  <si>
    <t>UBS</t>
  </si>
  <si>
    <t>Wells Fargo &amp; Company</t>
  </si>
  <si>
    <t>WFC</t>
  </si>
  <si>
    <t>P/B</t>
  </si>
  <si>
    <t>ROE</t>
  </si>
  <si>
    <t>Tier 1 Cap</t>
  </si>
  <si>
    <t>At 90th %ile</t>
  </si>
  <si>
    <t>At 75th %ile</t>
  </si>
  <si>
    <t>At 50th %ile</t>
  </si>
  <si>
    <t>At 25th %ile</t>
  </si>
  <si>
    <t>Industry's Tier 1 Cap %</t>
  </si>
  <si>
    <t>Industry's P/B</t>
  </si>
  <si>
    <t>Book Value</t>
  </si>
  <si>
    <t>Future CashFlows (10Y)</t>
  </si>
  <si>
    <t>First 5 Years</t>
  </si>
  <si>
    <t>Last 5 Years</t>
  </si>
  <si>
    <t>Growth Rate %</t>
  </si>
  <si>
    <t>Reinvestment Rate %</t>
  </si>
  <si>
    <t>Risk Weighted Assets</t>
  </si>
  <si>
    <t>Tier 1 Capital %</t>
  </si>
  <si>
    <t>Tier 1 Cap %</t>
  </si>
  <si>
    <t>Expected ROE %</t>
  </si>
  <si>
    <t>Regulatory Capital</t>
  </si>
  <si>
    <t>Risk-based capital metrics</t>
  </si>
  <si>
    <t>CET 1 Capital Ratio %</t>
  </si>
  <si>
    <t>Tier 1 Capital Ratio %</t>
  </si>
  <si>
    <t>Total Capital Ratio %</t>
  </si>
  <si>
    <t>Stockholder's Equity</t>
  </si>
  <si>
    <t>Preferred Stock</t>
  </si>
  <si>
    <t>Goodwill</t>
  </si>
  <si>
    <t>Other intangible assets</t>
  </si>
  <si>
    <t>Other CET1 Capital Adj.</t>
  </si>
  <si>
    <t>Deferred Tax Liabilities</t>
  </si>
  <si>
    <t>Other Tier 1 Adjustments</t>
  </si>
  <si>
    <t>Allowance for Credit Losses</t>
  </si>
  <si>
    <t>Other</t>
  </si>
  <si>
    <t>Long Term Debt</t>
  </si>
  <si>
    <t>Add Back: Preferred Stock</t>
  </si>
  <si>
    <t>Change in Tier 1 Capital</t>
  </si>
  <si>
    <t>Growth Rate</t>
  </si>
  <si>
    <t>Growth Rate Calculation</t>
  </si>
  <si>
    <t>Return on Equity</t>
  </si>
  <si>
    <t>Return on Equity %</t>
  </si>
  <si>
    <t>Free Cash Flow to Equity</t>
  </si>
  <si>
    <t>Risk Free Rate</t>
  </si>
  <si>
    <t>Growth Rate in perpetuity</t>
  </si>
  <si>
    <t>Reinvestment Rate</t>
  </si>
  <si>
    <t xml:space="preserve">Cost of Equity </t>
  </si>
  <si>
    <t>Risk Weighted Assets (2034E)</t>
  </si>
  <si>
    <t>Expected ROE % (2034E)</t>
  </si>
  <si>
    <t>Tier 1 Cap Ratio (2034E)</t>
  </si>
  <si>
    <t>ROE in perpetuity</t>
  </si>
  <si>
    <t>FCFE (2034E)</t>
  </si>
  <si>
    <t>Free Cash Flow</t>
  </si>
  <si>
    <t>Number of Shares Outstanding</t>
  </si>
  <si>
    <t>Present Vaue of FCFF</t>
  </si>
  <si>
    <t>Free Cash Flows to Equity</t>
  </si>
  <si>
    <t>Discount Rate (Cost of Equity)</t>
  </si>
  <si>
    <t>Road to Fair Value</t>
  </si>
  <si>
    <t>Sensitivity Analysis</t>
  </si>
  <si>
    <t>Value Drivers</t>
  </si>
  <si>
    <t>PV of Free Cash Flows</t>
  </si>
  <si>
    <t>RWA %</t>
  </si>
  <si>
    <t>ROE %</t>
  </si>
  <si>
    <t>Discount Rate - Ke</t>
  </si>
  <si>
    <t>Cash Return</t>
  </si>
  <si>
    <t>Dividends</t>
  </si>
  <si>
    <t>Stock Buybacks</t>
  </si>
  <si>
    <t>Total Cash Return</t>
  </si>
  <si>
    <t>Quality of Current Projects</t>
  </si>
  <si>
    <t>Do I trust the managers?</t>
  </si>
  <si>
    <t>Aggregate</t>
  </si>
  <si>
    <t>Cash Return Ratio</t>
  </si>
  <si>
    <t>Dividend Decision</t>
  </si>
  <si>
    <t>Cash Return Explained</t>
  </si>
  <si>
    <t>Cost of Equity %</t>
  </si>
  <si>
    <t>Price to Book</t>
  </si>
  <si>
    <t>Tier I Cap %</t>
  </si>
  <si>
    <t>RW Assets</t>
  </si>
  <si>
    <t>UK</t>
  </si>
  <si>
    <t>EMEA</t>
  </si>
  <si>
    <t>AsiaP</t>
  </si>
  <si>
    <t>LAC</t>
  </si>
  <si>
    <t>Assets - Geography</t>
  </si>
  <si>
    <t>TTM</t>
  </si>
  <si>
    <t>Risk Based Capital Ratios</t>
  </si>
  <si>
    <t>Regulatory Capital Requirements</t>
  </si>
  <si>
    <t>CET 1</t>
  </si>
  <si>
    <t>Tier 1</t>
  </si>
  <si>
    <t>Total Cap</t>
  </si>
  <si>
    <t>Common Equity</t>
  </si>
  <si>
    <t>Growth RWA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</si>
</sst>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5">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00\ &quot;€&quot;_-;\-* #,##0.00\ &quot;€&quot;_-;_-* &quot;-&quot;??\ &quot;€&quot;_-;_-@_-"/>
    <numFmt numFmtId="168" formatCode="_-* #,##0.00\ _€_-;\-* #,##0.00\ _€_-;_-* &quot;-&quot;??\ _€_-;_-@_-"/>
    <numFmt numFmtId="169" formatCode="_-* #,##0\ _D_M_-;\-* #,##0\ _D_M_-;_-* &quot;-&quot;\ _D_M_-;_-@_-"/>
    <numFmt numFmtId="170" formatCode="_-* #,##0.00\ &quot;Kc&quot;_-;\-* #,##0.00\ &quot;Kc&quot;_-;_-* &quot;-&quot;??\ &quot;Kc&quot;_-;_-@_-"/>
    <numFmt numFmtId="171" formatCode="\(0\'\)"/>
    <numFmt numFmtId="172" formatCode="0.00_)"/>
    <numFmt numFmtId="173" formatCode="#,##0;\(#,##0\);&quot;-&quot;"/>
    <numFmt numFmtId="174" formatCode="_-* #,##0_-;\-* #,##0_-;_-* &quot;-&quot;_-;_-@_-"/>
    <numFmt numFmtId="175" formatCode="#,##0_);\(#,##0\);&quot; - &quot;_);@_)"/>
    <numFmt numFmtId="176" formatCode="\ #,##0.0_);\(#,##0.0\);&quot; - &quot;_);@_)"/>
    <numFmt numFmtId="177" formatCode="_(* #,##0.00_);_(* \(#,##0.00\);_(* &quot;-&quot;?_);@_)"/>
    <numFmt numFmtId="178" formatCode="0.0"/>
    <numFmt numFmtId="179" formatCode="_ [$₹-4009]\ * #,##0.00_ ;_ [$₹-4009]\ * \-#,##0.00_ ;_ [$₹-4009]\ * &quot;-&quot;??_ ;_ @_ "/>
    <numFmt numFmtId="180" formatCode="[$₹-4009]\ #,##0.00;[$₹-4009]\ \-#,##0.00"/>
    <numFmt numFmtId="181" formatCode="[$₹-4009]\ #,##0.00"/>
    <numFmt numFmtId="182" formatCode="&quot;$&quot;#,##0.00"/>
    <numFmt numFmtId="183" formatCode="&quot;$&quot;#,##0"/>
    <numFmt numFmtId="184" formatCode="&quot;$&quot;#,##0.0"/>
    <numFmt numFmtId="185" formatCode="[$-409]mmmm\ d\,\ yyyy;@"/>
    <numFmt numFmtId="186" formatCode="_(&quot;$&quot;* #,##0_);_(&quot;$&quot;* \(#,##0\);_(&quot;$&quot;* &quot;-&quot;??_);_(@_)"/>
    <numFmt numFmtId="187" formatCode="_(&quot;$&quot;* #,##0.0_);_(&quot;$&quot;* \(#,##0.0\);_(&quot;$&quot;* &quot;-&quot;??_);_(@_)"/>
    <numFmt numFmtId="188" formatCode="_(* #,##0.000_);_(* \(#,##0.000\);_(* &quot;-&quot;?_);@_)"/>
    <numFmt numFmtId="189" formatCode="yyyy\A"/>
    <numFmt numFmtId="190" formatCode="yyyy\E"/>
    <numFmt numFmtId="191" formatCode="[$€-2]\ #,##0.00_);\([$€-2]\ #,##0.00\)"/>
    <numFmt numFmtId="192" formatCode="[$€-2]\ #,##0.00"/>
    <numFmt numFmtId="193" formatCode="[$€-1809]#,##0.00"/>
    <numFmt numFmtId="194" formatCode="mmm\-yyyy"/>
    <numFmt numFmtId="195" formatCode="0.0000%"/>
  </numFmts>
  <fonts count="89">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sz val="32"/>
      <name val="Arial"/>
      <family val="2"/>
    </font>
    <font>
      <b/>
      <sz val="9"/>
      <name val="Calibri"/>
      <family val="2"/>
      <scheme val="minor"/>
    </font>
    <font>
      <sz val="10"/>
      <name val="Arial"/>
      <family val="2"/>
    </font>
    <font>
      <sz val="10"/>
      <name val="Arial"/>
      <family val="2"/>
      <charset val="204"/>
    </font>
    <font>
      <sz val="10"/>
      <color rgb="FF002060"/>
      <name val="Arial"/>
      <family val="2"/>
      <charset val="204"/>
    </font>
    <font>
      <b/>
      <sz val="18"/>
      <color theme="1" tint="4.9989318521683403E-2"/>
      <name val="Arial"/>
      <family val="2"/>
      <charset val="204"/>
    </font>
    <font>
      <b/>
      <sz val="11"/>
      <color theme="0"/>
      <name val="Catamaran SemiBold"/>
    </font>
    <font>
      <sz val="10"/>
      <color theme="1" tint="0.14999847407452621"/>
      <name val="Catamaran SemiBold"/>
    </font>
    <font>
      <sz val="10"/>
      <color theme="1" tint="0.14999847407452621"/>
      <name val="Arial"/>
      <family val="2"/>
    </font>
    <font>
      <b/>
      <sz val="11"/>
      <color theme="1" tint="0.14999847407452621"/>
      <name val="Catamaran SemiBold"/>
    </font>
    <font>
      <b/>
      <sz val="14"/>
      <color theme="1" tint="0.14999847407452621"/>
      <name val="Montserrat"/>
    </font>
    <font>
      <sz val="10"/>
      <color theme="1" tint="0.14999847407452621"/>
      <name val="Montserrat"/>
    </font>
    <font>
      <sz val="10"/>
      <color theme="1" tint="0.14999847407452621"/>
      <name val="Catamaran"/>
    </font>
    <font>
      <sz val="10"/>
      <name val="Catamaran"/>
    </font>
    <font>
      <sz val="11"/>
      <color theme="0"/>
      <name val="Catamaran SemiBold"/>
    </font>
    <font>
      <sz val="14"/>
      <name val="Catamaran SemiBold"/>
    </font>
    <font>
      <i/>
      <sz val="9"/>
      <color rgb="FF0432FF"/>
      <name val="Arial"/>
      <family val="2"/>
    </font>
    <font>
      <b/>
      <i/>
      <sz val="9"/>
      <name val="Arial"/>
      <family val="2"/>
    </font>
    <font>
      <b/>
      <sz val="8"/>
      <name val="Arial"/>
      <family val="2"/>
    </font>
    <font>
      <sz val="9"/>
      <color rgb="FF0432FF"/>
      <name val="Arial"/>
      <family val="2"/>
    </font>
    <font>
      <b/>
      <sz val="9"/>
      <color rgb="FF0432FF"/>
      <name val="Arial"/>
      <family val="2"/>
    </font>
    <font>
      <b/>
      <sz val="9"/>
      <color rgb="FFD9E2F3"/>
      <name val="Arial"/>
      <family val="2"/>
    </font>
    <font>
      <b/>
      <sz val="14"/>
      <color theme="2" tint="-0.749992370372631"/>
      <name val="Montserrat"/>
    </font>
    <font>
      <sz val="10"/>
      <color theme="2" tint="-0.749992370372631"/>
      <name val="Arial"/>
      <family val="2"/>
    </font>
  </fonts>
  <fills count="49">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2"/>
        <bgColor indexed="64"/>
      </patternFill>
    </fill>
    <fill>
      <patternFill patternType="solid">
        <fgColor rgb="FFD9E2F3"/>
        <bgColor indexed="64"/>
      </patternFill>
    </fill>
    <fill>
      <patternFill patternType="solid">
        <fgColor theme="4" tint="0.79998168889431442"/>
        <bgColor indexed="64"/>
      </patternFill>
    </fill>
    <fill>
      <patternFill patternType="solid">
        <fgColor theme="2" tint="-0.499984740745262"/>
        <bgColor indexed="64"/>
      </patternFill>
    </fill>
  </fills>
  <borders count="28">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auto="1"/>
      </top>
      <bottom style="thin">
        <color indexed="64"/>
      </bottom>
      <diagonal/>
    </border>
    <border>
      <left/>
      <right style="thin">
        <color indexed="64"/>
      </right>
      <top/>
      <bottom/>
      <diagonal/>
    </border>
    <border>
      <left style="thin">
        <color indexed="64"/>
      </left>
      <right/>
      <top style="thin">
        <color indexed="64"/>
      </top>
      <bottom/>
      <diagonal/>
    </border>
  </borders>
  <cellStyleXfs count="171">
    <xf numFmtId="0" fontId="0" fillId="0" borderId="0"/>
    <xf numFmtId="0" fontId="3" fillId="0" borderId="1" applyFill="0" applyProtection="0">
      <alignment horizontal="right" wrapText="1"/>
    </xf>
    <xf numFmtId="9" fontId="5" fillId="0" borderId="0" applyFont="0" applyFill="0" applyBorder="0" applyAlignment="0" applyProtection="0"/>
    <xf numFmtId="0" fontId="8" fillId="0" borderId="0"/>
    <xf numFmtId="0" fontId="8" fillId="0" borderId="0"/>
    <xf numFmtId="0" fontId="11" fillId="0" borderId="0"/>
    <xf numFmtId="0" fontId="8" fillId="0" borderId="0"/>
    <xf numFmtId="0" fontId="11" fillId="0" borderId="0"/>
    <xf numFmtId="0" fontId="11" fillId="0" borderId="0"/>
    <xf numFmtId="0" fontId="11" fillId="0" borderId="0"/>
    <xf numFmtId="0" fontId="11" fillId="0" borderId="0"/>
    <xf numFmtId="0" fontId="8" fillId="0" borderId="0"/>
    <xf numFmtId="0" fontId="11" fillId="0" borderId="0"/>
    <xf numFmtId="0" fontId="11" fillId="0" borderId="0"/>
    <xf numFmtId="0" fontId="8" fillId="0" borderId="0"/>
    <xf numFmtId="0" fontId="8" fillId="0" borderId="0"/>
    <xf numFmtId="0" fontId="8" fillId="0" borderId="0"/>
    <xf numFmtId="0" fontId="8" fillId="0" borderId="0"/>
    <xf numFmtId="0" fontId="8" fillId="3" borderId="3"/>
    <xf numFmtId="0" fontId="11" fillId="0" borderId="0"/>
    <xf numFmtId="0" fontId="8" fillId="0" borderId="0"/>
    <xf numFmtId="0" fontId="8" fillId="0" borderId="0"/>
    <xf numFmtId="0" fontId="11" fillId="0" borderId="0"/>
    <xf numFmtId="0" fontId="11" fillId="0" borderId="0"/>
    <xf numFmtId="0" fontId="12" fillId="0" borderId="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7"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21" borderId="0" applyNumberFormat="0" applyBorder="0" applyAlignment="0" applyProtection="0"/>
    <xf numFmtId="0" fontId="8" fillId="0" borderId="0"/>
    <xf numFmtId="0" fontId="15" fillId="5" borderId="0" applyNumberFormat="0" applyBorder="0" applyAlignment="0" applyProtection="0"/>
    <xf numFmtId="0" fontId="16" fillId="22" borderId="4" applyNumberFormat="0" applyAlignment="0" applyProtection="0"/>
    <xf numFmtId="0" fontId="17" fillId="23" borderId="5" applyNumberFormat="0" applyAlignment="0" applyProtection="0"/>
    <xf numFmtId="49" fontId="9" fillId="0" borderId="0">
      <alignment horizontal="left" vertical="top" wrapText="1"/>
    </xf>
    <xf numFmtId="167" fontId="8" fillId="0" borderId="0" applyFont="0" applyFill="0" applyBorder="0" applyAlignment="0" applyProtection="0"/>
    <xf numFmtId="0" fontId="18" fillId="0" borderId="0" applyNumberFormat="0" applyFill="0" applyBorder="0" applyAlignment="0" applyProtection="0"/>
    <xf numFmtId="0" fontId="19" fillId="6" borderId="0" applyNumberFormat="0" applyBorder="0" applyAlignment="0" applyProtection="0"/>
    <xf numFmtId="38" fontId="9" fillId="24" borderId="0" applyNumberFormat="0" applyBorder="0" applyAlignment="0" applyProtection="0"/>
    <xf numFmtId="0" fontId="20" fillId="0" borderId="6" applyNumberFormat="0" applyFill="0" applyAlignment="0" applyProtection="0"/>
    <xf numFmtId="0" fontId="21" fillId="0" borderId="7" applyNumberFormat="0" applyFill="0" applyAlignment="0" applyProtection="0"/>
    <xf numFmtId="0" fontId="22" fillId="0" borderId="8" applyNumberFormat="0" applyFill="0" applyAlignment="0" applyProtection="0"/>
    <xf numFmtId="0" fontId="22" fillId="0" borderId="0" applyNumberFormat="0" applyFill="0" applyBorder="0" applyAlignment="0" applyProtection="0"/>
    <xf numFmtId="0" fontId="23" fillId="9" borderId="4" applyNumberFormat="0" applyAlignment="0" applyProtection="0"/>
    <xf numFmtId="10" fontId="9" fillId="3" borderId="9" applyNumberFormat="0" applyBorder="0" applyAlignment="0" applyProtection="0"/>
    <xf numFmtId="0" fontId="24" fillId="0" borderId="10" applyNumberFormat="0" applyFill="0" applyAlignment="0" applyProtection="0"/>
    <xf numFmtId="170" fontId="25" fillId="0" borderId="0" applyFont="0" applyFill="0" applyBorder="0" applyAlignment="0" applyProtection="0"/>
    <xf numFmtId="169" fontId="8" fillId="0" borderId="0" applyFont="0" applyFill="0" applyBorder="0" applyAlignment="0" applyProtection="0"/>
    <xf numFmtId="4" fontId="26" fillId="0" borderId="0" applyFont="0" applyFill="0" applyBorder="0" applyAlignment="0" applyProtection="0"/>
    <xf numFmtId="42" fontId="8" fillId="0" borderId="0" applyFont="0" applyFill="0" applyBorder="0" applyAlignment="0" applyProtection="0"/>
    <xf numFmtId="171" fontId="8" fillId="0" borderId="0" applyFont="0" applyFill="0" applyBorder="0" applyAlignment="0" applyProtection="0"/>
    <xf numFmtId="0" fontId="27" fillId="25" borderId="0" applyNumberFormat="0" applyBorder="0" applyAlignment="0" applyProtection="0"/>
    <xf numFmtId="172" fontId="28" fillId="0" borderId="0"/>
    <xf numFmtId="0" fontId="25" fillId="0" borderId="0"/>
    <xf numFmtId="0" fontId="13" fillId="26" borderId="11" applyNumberFormat="0" applyFont="0" applyAlignment="0" applyProtection="0"/>
    <xf numFmtId="0" fontId="8" fillId="0" borderId="0" applyFont="0" applyFill="0" applyBorder="0" applyAlignment="0" applyProtection="0"/>
    <xf numFmtId="0" fontId="8" fillId="0" borderId="0" applyFont="0" applyFill="0" applyBorder="0" applyAlignment="0" applyProtection="0"/>
    <xf numFmtId="0" fontId="30" fillId="22" borderId="12" applyNumberFormat="0" applyAlignment="0" applyProtection="0"/>
    <xf numFmtId="9" fontId="8" fillId="0" borderId="0" applyFont="0" applyFill="0" applyBorder="0" applyAlignment="0" applyProtection="0"/>
    <xf numFmtId="10" fontId="8" fillId="0" borderId="0" applyFont="0" applyFill="0" applyBorder="0" applyAlignment="0" applyProtection="0"/>
    <xf numFmtId="9" fontId="13" fillId="0" borderId="0" applyFont="0" applyFill="0" applyBorder="0" applyAlignment="0" applyProtection="0"/>
    <xf numFmtId="0" fontId="29" fillId="0" borderId="0" applyNumberFormat="0" applyFont="0" applyFill="0" applyBorder="0" applyAlignment="0" applyProtection="0">
      <alignment horizontal="left"/>
    </xf>
    <xf numFmtId="15" fontId="29" fillId="0" borderId="0" applyFont="0" applyFill="0" applyBorder="0" applyAlignment="0" applyProtection="0"/>
    <xf numFmtId="4" fontId="29" fillId="0" borderId="0" applyFont="0" applyFill="0" applyBorder="0" applyAlignment="0" applyProtection="0"/>
    <xf numFmtId="0" fontId="31" fillId="0" borderId="13">
      <alignment horizontal="center"/>
    </xf>
    <xf numFmtId="3" fontId="29" fillId="0" borderId="0" applyFont="0" applyFill="0" applyBorder="0" applyAlignment="0" applyProtection="0"/>
    <xf numFmtId="0" fontId="29" fillId="27" borderId="0" applyNumberFormat="0" applyFont="0" applyBorder="0" applyAlignment="0" applyProtection="0"/>
    <xf numFmtId="3" fontId="41" fillId="28" borderId="0" applyFont="0" applyFill="0" applyBorder="0" applyAlignment="0" applyProtection="0"/>
    <xf numFmtId="4" fontId="32" fillId="29" borderId="12" applyNumberFormat="0" applyProtection="0">
      <alignment vertical="center"/>
    </xf>
    <xf numFmtId="4" fontId="33" fillId="29" borderId="12" applyNumberFormat="0" applyProtection="0">
      <alignment vertical="center"/>
    </xf>
    <xf numFmtId="4" fontId="32" fillId="29" borderId="12" applyNumberFormat="0" applyProtection="0">
      <alignment horizontal="left" vertical="center" indent="1"/>
    </xf>
    <xf numFmtId="4" fontId="32" fillId="29" borderId="12" applyNumberFormat="0" applyProtection="0">
      <alignment horizontal="left" vertical="center" indent="1"/>
    </xf>
    <xf numFmtId="0" fontId="8" fillId="30" borderId="12" applyNumberFormat="0" applyProtection="0">
      <alignment horizontal="left" vertical="center" indent="1"/>
    </xf>
    <xf numFmtId="4" fontId="32" fillId="31" borderId="12" applyNumberFormat="0" applyProtection="0">
      <alignment horizontal="right" vertical="center"/>
    </xf>
    <xf numFmtId="4" fontId="32" fillId="32" borderId="12" applyNumberFormat="0" applyProtection="0">
      <alignment horizontal="right" vertical="center"/>
    </xf>
    <xf numFmtId="4" fontId="32" fillId="33" borderId="12" applyNumberFormat="0" applyProtection="0">
      <alignment horizontal="right" vertical="center"/>
    </xf>
    <xf numFmtId="4" fontId="32" fillId="34" borderId="12" applyNumberFormat="0" applyProtection="0">
      <alignment horizontal="right" vertical="center"/>
    </xf>
    <xf numFmtId="4" fontId="32" fillId="35" borderId="12" applyNumberFormat="0" applyProtection="0">
      <alignment horizontal="right" vertical="center"/>
    </xf>
    <xf numFmtId="4" fontId="32" fillId="36" borderId="12" applyNumberFormat="0" applyProtection="0">
      <alignment horizontal="right" vertical="center"/>
    </xf>
    <xf numFmtId="4" fontId="32" fillId="37" borderId="12" applyNumberFormat="0" applyProtection="0">
      <alignment horizontal="right" vertical="center"/>
    </xf>
    <xf numFmtId="4" fontId="32" fillId="38" borderId="12" applyNumberFormat="0" applyProtection="0">
      <alignment horizontal="right" vertical="center"/>
    </xf>
    <xf numFmtId="4" fontId="32" fillId="39" borderId="12" applyNumberFormat="0" applyProtection="0">
      <alignment horizontal="right" vertical="center"/>
    </xf>
    <xf numFmtId="4" fontId="34" fillId="40" borderId="12" applyNumberFormat="0" applyProtection="0">
      <alignment horizontal="left" vertical="center" indent="1"/>
    </xf>
    <xf numFmtId="4" fontId="32" fillId="41" borderId="14" applyNumberFormat="0" applyProtection="0">
      <alignment horizontal="left" vertical="center" indent="1"/>
    </xf>
    <xf numFmtId="4" fontId="35" fillId="42" borderId="0" applyNumberFormat="0" applyProtection="0">
      <alignment horizontal="left" vertical="center" indent="1"/>
    </xf>
    <xf numFmtId="0" fontId="8" fillId="30" borderId="12" applyNumberFormat="0" applyProtection="0">
      <alignment horizontal="left" vertical="center" indent="1"/>
    </xf>
    <xf numFmtId="4" fontId="32" fillId="41" borderId="12" applyNumberFormat="0" applyProtection="0">
      <alignment horizontal="left" vertical="center" indent="1"/>
    </xf>
    <xf numFmtId="4" fontId="32" fillId="43" borderId="12" applyNumberFormat="0" applyProtection="0">
      <alignment horizontal="left" vertical="center" indent="1"/>
    </xf>
    <xf numFmtId="0" fontId="8" fillId="43" borderId="12" applyNumberFormat="0" applyProtection="0">
      <alignment horizontal="left" vertical="center" indent="1"/>
    </xf>
    <xf numFmtId="0" fontId="8" fillId="43" borderId="12" applyNumberFormat="0" applyProtection="0">
      <alignment horizontal="left" vertical="center" indent="1"/>
    </xf>
    <xf numFmtId="0" fontId="8" fillId="44" borderId="12" applyNumberFormat="0" applyProtection="0">
      <alignment horizontal="left" vertical="center" indent="1"/>
    </xf>
    <xf numFmtId="0" fontId="8" fillId="44" borderId="12" applyNumberFormat="0" applyProtection="0">
      <alignment horizontal="left" vertical="center" indent="1"/>
    </xf>
    <xf numFmtId="0" fontId="8" fillId="24" borderId="12" applyNumberFormat="0" applyProtection="0">
      <alignment horizontal="left" vertical="center" indent="1"/>
    </xf>
    <xf numFmtId="0" fontId="8" fillId="24" borderId="12" applyNumberFormat="0" applyProtection="0">
      <alignment horizontal="left" vertical="center" indent="1"/>
    </xf>
    <xf numFmtId="0" fontId="8" fillId="30" borderId="12" applyNumberFormat="0" applyProtection="0">
      <alignment horizontal="left" vertical="center" indent="1"/>
    </xf>
    <xf numFmtId="0" fontId="8" fillId="30" borderId="12" applyNumberFormat="0" applyProtection="0">
      <alignment horizontal="left" vertical="center" indent="1"/>
    </xf>
    <xf numFmtId="4" fontId="32" fillId="3" borderId="12" applyNumberFormat="0" applyProtection="0">
      <alignment vertical="center"/>
    </xf>
    <xf numFmtId="4" fontId="33" fillId="3" borderId="12" applyNumberFormat="0" applyProtection="0">
      <alignment vertical="center"/>
    </xf>
    <xf numFmtId="4" fontId="32" fillId="3" borderId="12" applyNumberFormat="0" applyProtection="0">
      <alignment horizontal="left" vertical="center" indent="1"/>
    </xf>
    <xf numFmtId="4" fontId="32" fillId="3" borderId="12" applyNumberFormat="0" applyProtection="0">
      <alignment horizontal="left" vertical="center" indent="1"/>
    </xf>
    <xf numFmtId="4" fontId="32" fillId="41" borderId="12" applyNumberFormat="0" applyProtection="0">
      <alignment horizontal="right" vertical="center"/>
    </xf>
    <xf numFmtId="4" fontId="33" fillId="41" borderId="12" applyNumberFormat="0" applyProtection="0">
      <alignment horizontal="right" vertical="center"/>
    </xf>
    <xf numFmtId="0" fontId="8" fillId="30" borderId="12" applyNumberFormat="0" applyProtection="0">
      <alignment horizontal="left" vertical="center" indent="1"/>
    </xf>
    <xf numFmtId="0" fontId="8" fillId="30" borderId="12" applyNumberFormat="0" applyProtection="0">
      <alignment horizontal="left" vertical="center" indent="1"/>
    </xf>
    <xf numFmtId="0" fontId="36" fillId="0" borderId="0"/>
    <xf numFmtId="4" fontId="10" fillId="41" borderId="12" applyNumberFormat="0" applyProtection="0">
      <alignment horizontal="right" vertical="center"/>
    </xf>
    <xf numFmtId="0" fontId="8" fillId="0" borderId="0"/>
    <xf numFmtId="0" fontId="37" fillId="0" borderId="0" applyNumberFormat="0" applyFill="0" applyBorder="0" applyAlignment="0" applyProtection="0"/>
    <xf numFmtId="0" fontId="38" fillId="0" borderId="15" applyNumberFormat="0" applyFill="0" applyAlignment="0" applyProtection="0"/>
    <xf numFmtId="3" fontId="39" fillId="0" borderId="2" applyNumberFormat="0"/>
    <xf numFmtId="0" fontId="40" fillId="0" borderId="0" applyNumberFormat="0" applyFill="0" applyBorder="0" applyAlignment="0" applyProtection="0"/>
    <xf numFmtId="0" fontId="8" fillId="0" borderId="0" applyNumberFormat="0" applyFill="0" applyBorder="0" applyAlignment="0" applyProtection="0"/>
    <xf numFmtId="0" fontId="5" fillId="0" borderId="0"/>
    <xf numFmtId="0" fontId="42" fillId="0" borderId="0"/>
    <xf numFmtId="0" fontId="8" fillId="0" borderId="0" applyNumberFormat="0" applyFill="0" applyBorder="0" applyAlignment="0" applyProtection="0"/>
    <xf numFmtId="9" fontId="5" fillId="0" borderId="0" applyFont="0" applyFill="0" applyBorder="0" applyAlignment="0" applyProtection="0"/>
    <xf numFmtId="0" fontId="43" fillId="0" borderId="0" applyNumberFormat="0" applyFont="0" applyFill="0" applyBorder="0" applyAlignment="0" applyProtection="0"/>
    <xf numFmtId="0" fontId="44" fillId="0" borderId="0"/>
    <xf numFmtId="0" fontId="45" fillId="0" borderId="0"/>
    <xf numFmtId="173" fontId="46" fillId="0" borderId="0"/>
    <xf numFmtId="173" fontId="8" fillId="0" borderId="0"/>
    <xf numFmtId="173" fontId="48" fillId="0" borderId="0"/>
    <xf numFmtId="0" fontId="49" fillId="0" borderId="0">
      <alignment horizontal="left"/>
    </xf>
    <xf numFmtId="174" fontId="47" fillId="0" borderId="16" applyFill="0" applyBorder="0" applyProtection="0">
      <alignment horizontal="right" vertical="top"/>
    </xf>
    <xf numFmtId="173" fontId="50" fillId="0" borderId="16">
      <alignment horizontal="left"/>
    </xf>
    <xf numFmtId="0" fontId="49" fillId="0" borderId="16">
      <alignment horizontal="right" wrapText="1"/>
    </xf>
    <xf numFmtId="0" fontId="47" fillId="0" borderId="0" applyFill="0" applyBorder="0">
      <alignment horizontal="left" vertical="top" wrapText="1"/>
    </xf>
    <xf numFmtId="175" fontId="47" fillId="0" borderId="0" applyFill="0" applyBorder="0">
      <alignment horizontal="right" vertical="top"/>
    </xf>
    <xf numFmtId="176" fontId="47" fillId="0" borderId="0" applyFill="0" applyBorder="0">
      <alignment horizontal="right" vertical="top"/>
    </xf>
    <xf numFmtId="49" fontId="47" fillId="0" borderId="0" applyNumberFormat="0" applyFill="0" applyBorder="0" applyProtection="0">
      <alignment horizontal="center" vertical="top"/>
    </xf>
    <xf numFmtId="173" fontId="51" fillId="0" borderId="0">
      <alignment horizontal="left" vertical="top"/>
    </xf>
    <xf numFmtId="0" fontId="52" fillId="0" borderId="0"/>
    <xf numFmtId="0" fontId="5" fillId="0" borderId="0"/>
    <xf numFmtId="0" fontId="53" fillId="0" borderId="0"/>
    <xf numFmtId="0" fontId="5" fillId="0" borderId="0"/>
    <xf numFmtId="168" fontId="5" fillId="0" borderId="0" applyFont="0" applyFill="0" applyBorder="0" applyAlignment="0" applyProtection="0"/>
    <xf numFmtId="9" fontId="5" fillId="0" borderId="0" applyFont="0" applyFill="0" applyBorder="0" applyAlignment="0" applyProtection="0"/>
    <xf numFmtId="0" fontId="5" fillId="0" borderId="0"/>
    <xf numFmtId="0" fontId="54" fillId="0" borderId="0"/>
    <xf numFmtId="0" fontId="55" fillId="0" borderId="0"/>
    <xf numFmtId="0" fontId="56" fillId="0" borderId="0"/>
    <xf numFmtId="0" fontId="57" fillId="0" borderId="0"/>
    <xf numFmtId="0" fontId="57" fillId="0" borderId="0"/>
    <xf numFmtId="0" fontId="54" fillId="0" borderId="0"/>
    <xf numFmtId="0" fontId="55" fillId="0" borderId="0"/>
    <xf numFmtId="0" fontId="56" fillId="0" borderId="0"/>
    <xf numFmtId="0" fontId="59" fillId="0" borderId="0" applyNumberFormat="0" applyFill="0" applyBorder="0" applyAlignment="0" applyProtection="0"/>
    <xf numFmtId="44" fontId="8" fillId="0" borderId="0" applyFont="0" applyFill="0" applyBorder="0" applyAlignment="0" applyProtection="0"/>
    <xf numFmtId="0" fontId="67" fillId="0" borderId="0">
      <alignment vertical="top"/>
    </xf>
    <xf numFmtId="43" fontId="68" fillId="0" borderId="0">
      <alignment vertical="top"/>
    </xf>
    <xf numFmtId="44" fontId="5" fillId="0" borderId="0" applyFont="0" applyFill="0" applyBorder="0" applyAlignment="0" applyProtection="0"/>
    <xf numFmtId="0" fontId="8" fillId="0" borderId="0">
      <alignment vertical="top"/>
    </xf>
  </cellStyleXfs>
  <cellXfs count="358">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7" fontId="1" fillId="2" borderId="0" xfId="0" applyNumberFormat="1" applyFont="1" applyFill="1"/>
    <xf numFmtId="0" fontId="58" fillId="2" borderId="0" xfId="0" applyFont="1" applyFill="1"/>
    <xf numFmtId="2" fontId="1" fillId="2" borderId="0" xfId="0" applyNumberFormat="1" applyFont="1" applyFill="1"/>
    <xf numFmtId="177"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7" fillId="2" borderId="0" xfId="2" applyNumberFormat="1" applyFont="1" applyFill="1"/>
    <xf numFmtId="164" fontId="61" fillId="2" borderId="0" xfId="0" applyNumberFormat="1" applyFont="1" applyFill="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58" fillId="2" borderId="0" xfId="0" applyNumberFormat="1" applyFont="1" applyFill="1" applyBorder="1"/>
    <xf numFmtId="164" fontId="58" fillId="2" borderId="0" xfId="0" applyNumberFormat="1" applyFont="1" applyFill="1" applyBorder="1" applyAlignment="1">
      <alignment horizontal="right"/>
    </xf>
    <xf numFmtId="164" fontId="39" fillId="2" borderId="0" xfId="0" applyNumberFormat="1" applyFont="1" applyFill="1" applyBorder="1"/>
    <xf numFmtId="164" fontId="58" fillId="2" borderId="0" xfId="0" applyNumberFormat="1" applyFont="1" applyFill="1" applyBorder="1" applyAlignment="1">
      <alignment horizontal="left" vertical="center"/>
    </xf>
    <xf numFmtId="0" fontId="65" fillId="2" borderId="0" xfId="0" applyFont="1" applyFill="1"/>
    <xf numFmtId="0" fontId="60" fillId="2" borderId="0" xfId="0" applyFont="1" applyFill="1"/>
    <xf numFmtId="0" fontId="39" fillId="2" borderId="0" xfId="0" applyFont="1" applyFill="1"/>
    <xf numFmtId="0" fontId="9" fillId="2" borderId="0" xfId="0" applyFont="1" applyFill="1" applyAlignment="1">
      <alignment horizontal="left"/>
    </xf>
    <xf numFmtId="0" fontId="7" fillId="2" borderId="0" xfId="133" applyNumberFormat="1" applyFont="1" applyFill="1" applyBorder="1" applyAlignment="1">
      <alignment vertical="center"/>
    </xf>
    <xf numFmtId="164" fontId="62"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63" fillId="2" borderId="0" xfId="0" applyNumberFormat="1" applyFont="1" applyFill="1" applyBorder="1"/>
    <xf numFmtId="10" fontId="7" fillId="2" borderId="0" xfId="2" applyNumberFormat="1" applyFont="1" applyFill="1" applyBorder="1"/>
    <xf numFmtId="0" fontId="66" fillId="2" borderId="0" xfId="1" applyFont="1" applyFill="1" applyBorder="1" applyAlignment="1">
      <alignment horizontal="left" wrapText="1"/>
    </xf>
    <xf numFmtId="0" fontId="1" fillId="2" borderId="0" xfId="0" applyNumberFormat="1" applyFont="1" applyFill="1" applyBorder="1"/>
    <xf numFmtId="164" fontId="2" fillId="2" borderId="0" xfId="0" applyNumberFormat="1" applyFont="1" applyFill="1" applyBorder="1" applyAlignment="1">
      <alignment horizontal="right"/>
    </xf>
    <xf numFmtId="10" fontId="2" fillId="2" borderId="0" xfId="2" applyNumberFormat="1" applyFont="1" applyFill="1" applyBorder="1"/>
    <xf numFmtId="10" fontId="1" fillId="2" borderId="0" xfId="2" applyNumberFormat="1" applyFont="1" applyFill="1" applyBorder="1" applyAlignment="1">
      <alignment horizontal="right"/>
    </xf>
    <xf numFmtId="0" fontId="1" fillId="2" borderId="0" xfId="0" applyNumberFormat="1" applyFont="1" applyFill="1" applyBorder="1" applyAlignment="1">
      <alignment horizontal="right"/>
    </xf>
    <xf numFmtId="164" fontId="7" fillId="2" borderId="0" xfId="0" applyNumberFormat="1" applyFont="1" applyFill="1" applyBorder="1" applyAlignment="1">
      <alignment horizontal="right"/>
    </xf>
    <xf numFmtId="180" fontId="1" fillId="2" borderId="0" xfId="0" applyNumberFormat="1" applyFont="1" applyFill="1" applyBorder="1" applyAlignment="1">
      <alignment horizontal="right" vertical="center"/>
    </xf>
    <xf numFmtId="10" fontId="62" fillId="2" borderId="0" xfId="2" applyNumberFormat="1" applyFont="1" applyFill="1" applyBorder="1" applyAlignment="1">
      <alignment horizontal="right"/>
    </xf>
    <xf numFmtId="10" fontId="1" fillId="2" borderId="0" xfId="0" applyNumberFormat="1" applyFont="1" applyFill="1" applyBorder="1"/>
    <xf numFmtId="164" fontId="7" fillId="2" borderId="0" xfId="0" applyNumberFormat="1" applyFont="1" applyFill="1" applyBorder="1" applyAlignment="1"/>
    <xf numFmtId="0" fontId="60"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39"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2" fillId="2" borderId="0" xfId="0" applyFont="1" applyFill="1" applyBorder="1"/>
    <xf numFmtId="0" fontId="1" fillId="2" borderId="0" xfId="0" applyFont="1" applyFill="1" applyBorder="1" applyAlignment="1">
      <alignment horizontal="right"/>
    </xf>
    <xf numFmtId="0" fontId="2" fillId="2" borderId="0" xfId="0" applyFont="1" applyFill="1" applyBorder="1" applyAlignment="1">
      <alignment horizontal="right"/>
    </xf>
    <xf numFmtId="0" fontId="62" fillId="2" borderId="0" xfId="0" applyFont="1" applyFill="1" applyBorder="1" applyAlignment="1">
      <alignment horizontal="right"/>
    </xf>
    <xf numFmtId="179" fontId="2" fillId="2" borderId="0" xfId="0" applyNumberFormat="1" applyFont="1" applyFill="1" applyBorder="1"/>
    <xf numFmtId="10" fontId="62" fillId="2" borderId="0" xfId="2" applyNumberFormat="1" applyFont="1" applyFill="1" applyBorder="1"/>
    <xf numFmtId="0" fontId="7" fillId="2" borderId="0" xfId="0" applyFont="1" applyFill="1" applyBorder="1" applyAlignment="1"/>
    <xf numFmtId="2" fontId="62" fillId="2" borderId="0" xfId="0" applyNumberFormat="1" applyFont="1" applyFill="1" applyBorder="1"/>
    <xf numFmtId="2" fontId="62" fillId="2" borderId="0" xfId="2" applyNumberFormat="1" applyFont="1" applyFill="1" applyBorder="1" applyAlignment="1">
      <alignment horizontal="right"/>
    </xf>
    <xf numFmtId="177" fontId="62" fillId="2" borderId="0" xfId="0" applyNumberFormat="1" applyFont="1" applyFill="1" applyBorder="1"/>
    <xf numFmtId="10" fontId="39" fillId="2" borderId="0" xfId="2" applyNumberFormat="1" applyFont="1" applyFill="1" applyBorder="1" applyAlignment="1"/>
    <xf numFmtId="179" fontId="7" fillId="2" borderId="0" xfId="0" applyNumberFormat="1" applyFont="1" applyFill="1" applyBorder="1"/>
    <xf numFmtId="0" fontId="39" fillId="2" borderId="0" xfId="0" applyFont="1" applyFill="1" applyBorder="1"/>
    <xf numFmtId="164" fontId="1" fillId="2" borderId="0" xfId="0" applyNumberFormat="1" applyFont="1" applyFill="1" applyAlignment="1">
      <alignment horizontal="right"/>
    </xf>
    <xf numFmtId="179" fontId="7" fillId="2" borderId="0" xfId="0" applyNumberFormat="1" applyFont="1" applyFill="1" applyBorder="1" applyAlignment="1">
      <alignment horizontal="left" vertical="center"/>
    </xf>
    <xf numFmtId="179" fontId="2" fillId="2" borderId="0" xfId="0" applyNumberFormat="1" applyFont="1" applyFill="1" applyBorder="1" applyAlignment="1">
      <alignment horizontal="left" vertical="center"/>
    </xf>
    <xf numFmtId="164" fontId="64" fillId="2" borderId="0" xfId="0" applyNumberFormat="1" applyFont="1" applyFill="1" applyBorder="1" applyAlignment="1"/>
    <xf numFmtId="166" fontId="64" fillId="2" borderId="0" xfId="2" applyNumberFormat="1" applyFont="1" applyFill="1" applyBorder="1" applyAlignment="1"/>
    <xf numFmtId="0" fontId="1" fillId="2" borderId="0" xfId="2" applyNumberFormat="1" applyFont="1" applyFill="1"/>
    <xf numFmtId="180" fontId="39" fillId="2" borderId="0" xfId="0" applyNumberFormat="1" applyFont="1" applyFill="1" applyBorder="1" applyAlignment="1">
      <alignment horizontal="right"/>
    </xf>
    <xf numFmtId="164" fontId="62" fillId="2" borderId="0" xfId="0" applyNumberFormat="1" applyFont="1" applyFill="1" applyAlignment="1">
      <alignment horizontal="right"/>
    </xf>
    <xf numFmtId="164" fontId="39" fillId="2" borderId="0" xfId="0" applyNumberFormat="1" applyFont="1" applyFill="1" applyBorder="1" applyAlignment="1"/>
    <xf numFmtId="0" fontId="39" fillId="2" borderId="0" xfId="0" applyNumberFormat="1" applyFont="1" applyFill="1" applyBorder="1" applyAlignment="1">
      <alignment horizontal="right"/>
    </xf>
    <xf numFmtId="0" fontId="1" fillId="2" borderId="0" xfId="0" applyNumberFormat="1" applyFont="1" applyFill="1" applyBorder="1" applyAlignment="1">
      <alignment horizontal="right" vertical="center"/>
    </xf>
    <xf numFmtId="182" fontId="39" fillId="2" borderId="0" xfId="169" applyNumberFormat="1" applyFont="1" applyFill="1" applyBorder="1"/>
    <xf numFmtId="165" fontId="39" fillId="2" borderId="0" xfId="0" applyNumberFormat="1" applyFont="1" applyFill="1" applyBorder="1"/>
    <xf numFmtId="182" fontId="2" fillId="2" borderId="0" xfId="169" applyNumberFormat="1" applyFont="1" applyFill="1" applyBorder="1"/>
    <xf numFmtId="44" fontId="2" fillId="2" borderId="0" xfId="169" applyNumberFormat="1" applyFont="1" applyFill="1" applyBorder="1" applyAlignment="1">
      <alignment horizontal="right" vertical="center"/>
    </xf>
    <xf numFmtId="0" fontId="62" fillId="2" borderId="0" xfId="2" applyNumberFormat="1" applyFont="1" applyFill="1" applyBorder="1" applyAlignment="1">
      <alignment horizontal="right"/>
    </xf>
    <xf numFmtId="177" fontId="39" fillId="2" borderId="0" xfId="0" applyNumberFormat="1" applyFont="1" applyFill="1" applyBorder="1"/>
    <xf numFmtId="178" fontId="62" fillId="2" borderId="0" xfId="2" applyNumberFormat="1" applyFont="1" applyFill="1" applyBorder="1" applyAlignment="1">
      <alignment horizontal="right"/>
    </xf>
    <xf numFmtId="178" fontId="62" fillId="2" borderId="0" xfId="0" applyNumberFormat="1" applyFont="1" applyFill="1" applyBorder="1" applyAlignment="1">
      <alignment horizontal="right"/>
    </xf>
    <xf numFmtId="3" fontId="1" fillId="2" borderId="0" xfId="0" applyNumberFormat="1" applyFont="1" applyFill="1"/>
    <xf numFmtId="1" fontId="62" fillId="2" borderId="0" xfId="0" applyNumberFormat="1" applyFont="1" applyFill="1" applyBorder="1" applyAlignment="1">
      <alignment horizontal="right"/>
    </xf>
    <xf numFmtId="0" fontId="7" fillId="2" borderId="0" xfId="0" applyFont="1" applyFill="1" applyBorder="1" applyAlignment="1">
      <alignment horizontal="right"/>
    </xf>
    <xf numFmtId="165" fontId="7" fillId="2" borderId="0" xfId="0" applyNumberFormat="1" applyFont="1" applyFill="1" applyBorder="1" applyAlignment="1">
      <alignment horizontal="right"/>
    </xf>
    <xf numFmtId="2" fontId="2" fillId="2" borderId="0" xfId="0" applyNumberFormat="1" applyFont="1" applyFill="1" applyBorder="1"/>
    <xf numFmtId="0" fontId="0" fillId="2" borderId="0" xfId="0" applyFill="1"/>
    <xf numFmtId="0" fontId="70" fillId="2" borderId="0" xfId="170" applyFont="1" applyFill="1">
      <alignment vertical="top"/>
    </xf>
    <xf numFmtId="0" fontId="8" fillId="2" borderId="0" xfId="170" applyFill="1">
      <alignment vertical="top"/>
    </xf>
    <xf numFmtId="0" fontId="72" fillId="2" borderId="0" xfId="170" applyFont="1" applyFill="1">
      <alignment vertical="top"/>
    </xf>
    <xf numFmtId="0" fontId="73" fillId="2" borderId="0" xfId="170" applyFont="1" applyFill="1">
      <alignment vertical="top"/>
    </xf>
    <xf numFmtId="0" fontId="74" fillId="2" borderId="0" xfId="170" applyFont="1" applyFill="1" applyAlignment="1">
      <alignment vertical="top"/>
    </xf>
    <xf numFmtId="0" fontId="76" fillId="2" borderId="0" xfId="170" applyFont="1" applyFill="1">
      <alignment vertical="top"/>
    </xf>
    <xf numFmtId="182" fontId="75" fillId="2" borderId="0" xfId="170" applyNumberFormat="1" applyFont="1" applyFill="1" applyAlignment="1">
      <alignment vertical="center"/>
    </xf>
    <xf numFmtId="0" fontId="77" fillId="2" borderId="0" xfId="170" applyFont="1" applyFill="1" applyAlignment="1">
      <alignment horizontal="left" vertical="top"/>
    </xf>
    <xf numFmtId="0" fontId="78" fillId="2" borderId="0" xfId="170" applyFont="1" applyFill="1" applyAlignment="1">
      <alignment horizontal="left" vertical="top"/>
    </xf>
    <xf numFmtId="0" fontId="80" fillId="2" borderId="0" xfId="170" applyFont="1" applyFill="1" applyAlignment="1">
      <alignment vertical="center"/>
    </xf>
    <xf numFmtId="0" fontId="69" fillId="2" borderId="0" xfId="170" applyFont="1" applyFill="1">
      <alignment vertical="top"/>
    </xf>
    <xf numFmtId="0" fontId="8" fillId="0" borderId="0" xfId="170">
      <alignment vertical="top"/>
    </xf>
    <xf numFmtId="0" fontId="79" fillId="2" borderId="0" xfId="170" applyFont="1" applyFill="1" applyAlignment="1">
      <alignment vertical="top"/>
    </xf>
    <xf numFmtId="184" fontId="75" fillId="2" borderId="0" xfId="170" applyNumberFormat="1" applyFont="1" applyFill="1" applyAlignment="1">
      <alignment vertical="center"/>
    </xf>
    <xf numFmtId="164" fontId="2" fillId="46" borderId="0" xfId="0" applyNumberFormat="1" applyFont="1" applyFill="1" applyBorder="1" applyAlignment="1">
      <alignment horizontal="left"/>
    </xf>
    <xf numFmtId="164" fontId="1" fillId="46" borderId="0" xfId="0" applyNumberFormat="1" applyFont="1" applyFill="1"/>
    <xf numFmtId="165" fontId="39" fillId="2" borderId="19" xfId="0" applyNumberFormat="1" applyFont="1" applyFill="1" applyBorder="1" applyAlignment="1">
      <alignment horizontal="right"/>
    </xf>
    <xf numFmtId="164" fontId="39" fillId="2" borderId="20" xfId="0" applyNumberFormat="1" applyFont="1" applyFill="1" applyBorder="1" applyAlignment="1">
      <alignment horizontal="right"/>
    </xf>
    <xf numFmtId="164" fontId="7" fillId="2" borderId="0" xfId="0" applyNumberFormat="1" applyFont="1" applyFill="1" applyBorder="1" applyAlignment="1">
      <alignment horizontal="right" vertical="center"/>
    </xf>
    <xf numFmtId="0" fontId="1" fillId="2" borderId="0" xfId="2" applyNumberFormat="1" applyFont="1" applyFill="1" applyBorder="1"/>
    <xf numFmtId="164" fontId="62" fillId="2" borderId="0" xfId="165" applyNumberFormat="1" applyFont="1" applyFill="1" applyBorder="1"/>
    <xf numFmtId="164" fontId="2" fillId="46" borderId="13" xfId="0" applyNumberFormat="1" applyFont="1" applyFill="1" applyBorder="1" applyAlignment="1">
      <alignment horizontal="right"/>
    </xf>
    <xf numFmtId="164" fontId="1" fillId="46" borderId="13" xfId="0" applyNumberFormat="1" applyFont="1" applyFill="1" applyBorder="1"/>
    <xf numFmtId="165" fontId="2" fillId="2" borderId="21" xfId="0" applyNumberFormat="1" applyFont="1" applyFill="1" applyBorder="1" applyAlignment="1">
      <alignment horizontal="right"/>
    </xf>
    <xf numFmtId="10" fontId="62" fillId="2" borderId="22" xfId="2" applyNumberFormat="1" applyFont="1" applyFill="1" applyBorder="1"/>
    <xf numFmtId="185" fontId="81" fillId="2" borderId="0" xfId="169" applyNumberFormat="1" applyFont="1" applyFill="1" applyBorder="1" applyAlignment="1">
      <alignment horizontal="right"/>
    </xf>
    <xf numFmtId="164" fontId="62" fillId="2" borderId="0" xfId="0" applyNumberFormat="1" applyFont="1" applyFill="1"/>
    <xf numFmtId="10" fontId="81" fillId="2" borderId="0" xfId="2" applyNumberFormat="1" applyFont="1" applyFill="1" applyBorder="1" applyAlignment="1">
      <alignment horizontal="right"/>
    </xf>
    <xf numFmtId="164" fontId="81" fillId="2" borderId="0" xfId="0" applyNumberFormat="1" applyFont="1" applyFill="1" applyAlignment="1">
      <alignment horizontal="right"/>
    </xf>
    <xf numFmtId="165" fontId="81" fillId="2" borderId="0" xfId="0" applyNumberFormat="1" applyFont="1" applyFill="1" applyBorder="1" applyAlignment="1">
      <alignment horizontal="right"/>
    </xf>
    <xf numFmtId="0" fontId="7" fillId="2" borderId="0" xfId="0" applyNumberFormat="1" applyFont="1" applyFill="1" applyBorder="1" applyAlignment="1">
      <alignment horizontal="right"/>
    </xf>
    <xf numFmtId="164" fontId="62" fillId="2" borderId="0" xfId="0" applyNumberFormat="1" applyFont="1" applyFill="1" applyBorder="1" applyAlignment="1">
      <alignment horizontal="right"/>
    </xf>
    <xf numFmtId="180" fontId="81" fillId="2" borderId="0" xfId="0" applyNumberFormat="1" applyFont="1" applyFill="1" applyBorder="1" applyAlignment="1">
      <alignment horizontal="right"/>
    </xf>
    <xf numFmtId="164" fontId="39" fillId="2" borderId="0" xfId="0" applyNumberFormat="1" applyFont="1" applyFill="1" applyBorder="1" applyAlignment="1">
      <alignment vertical="center"/>
    </xf>
    <xf numFmtId="164" fontId="81" fillId="2" borderId="0" xfId="0" applyNumberFormat="1" applyFont="1" applyFill="1"/>
    <xf numFmtId="182" fontId="81" fillId="2" borderId="0" xfId="169" applyNumberFormat="1" applyFont="1" applyFill="1" applyBorder="1" applyAlignment="1">
      <alignment horizontal="right"/>
    </xf>
    <xf numFmtId="164" fontId="64" fillId="2" borderId="0" xfId="165" applyNumberFormat="1" applyFont="1" applyFill="1" applyBorder="1"/>
    <xf numFmtId="2" fontId="81" fillId="2" borderId="0" xfId="169" applyNumberFormat="1" applyFont="1" applyFill="1" applyBorder="1" applyAlignment="1">
      <alignment horizontal="right"/>
    </xf>
    <xf numFmtId="10" fontId="81" fillId="2" borderId="0" xfId="2" applyNumberFormat="1" applyFont="1" applyFill="1" applyAlignment="1">
      <alignment horizontal="right"/>
    </xf>
    <xf numFmtId="186" fontId="81" fillId="2" borderId="0" xfId="169" applyNumberFormat="1" applyFont="1" applyFill="1" applyBorder="1" applyAlignment="1">
      <alignment horizontal="right"/>
    </xf>
    <xf numFmtId="186" fontId="81" fillId="2" borderId="0" xfId="169" applyNumberFormat="1" applyFont="1" applyFill="1" applyBorder="1"/>
    <xf numFmtId="165" fontId="2" fillId="2" borderId="23" xfId="0" applyNumberFormat="1" applyFont="1" applyFill="1" applyBorder="1" applyAlignment="1">
      <alignment horizontal="right"/>
    </xf>
    <xf numFmtId="10" fontId="62" fillId="2" borderId="24" xfId="2" applyNumberFormat="1" applyFont="1" applyFill="1" applyBorder="1"/>
    <xf numFmtId="10" fontId="81" fillId="2" borderId="0" xfId="2" applyNumberFormat="1" applyFont="1" applyFill="1" applyBorder="1"/>
    <xf numFmtId="186" fontId="81" fillId="2" borderId="0" xfId="2" applyNumberFormat="1" applyFont="1" applyFill="1" applyBorder="1" applyAlignment="1">
      <alignment horizontal="right"/>
    </xf>
    <xf numFmtId="187" fontId="81" fillId="2" borderId="0" xfId="169" applyNumberFormat="1" applyFont="1" applyFill="1" applyBorder="1" applyAlignment="1">
      <alignment horizontal="right"/>
    </xf>
    <xf numFmtId="180" fontId="2" fillId="2" borderId="0" xfId="0" applyNumberFormat="1" applyFont="1" applyFill="1" applyBorder="1" applyAlignment="1">
      <alignment horizontal="right"/>
    </xf>
    <xf numFmtId="0" fontId="7" fillId="2" borderId="0" xfId="0" applyNumberFormat="1" applyFont="1" applyFill="1" applyBorder="1" applyAlignment="1">
      <alignment horizontal="right" vertical="center"/>
    </xf>
    <xf numFmtId="0" fontId="1" fillId="2" borderId="0" xfId="2" applyNumberFormat="1" applyFont="1" applyFill="1" applyBorder="1" applyAlignment="1">
      <alignment horizontal="right" vertical="center"/>
    </xf>
    <xf numFmtId="0" fontId="1" fillId="2" borderId="0" xfId="2" applyNumberFormat="1" applyFont="1" applyFill="1" applyBorder="1" applyAlignment="1">
      <alignment horizontal="right"/>
    </xf>
    <xf numFmtId="10" fontId="39" fillId="2" borderId="0" xfId="2" applyNumberFormat="1" applyFont="1" applyFill="1" applyBorder="1"/>
    <xf numFmtId="0" fontId="2" fillId="2" borderId="0" xfId="0" applyNumberFormat="1" applyFont="1" applyFill="1" applyBorder="1"/>
    <xf numFmtId="10" fontId="2" fillId="2" borderId="0" xfId="2" applyNumberFormat="1" applyFont="1" applyFill="1" applyBorder="1" applyAlignment="1">
      <alignment horizontal="right"/>
    </xf>
    <xf numFmtId="0" fontId="62" fillId="2" borderId="0" xfId="2" applyNumberFormat="1" applyFont="1" applyFill="1" applyBorder="1"/>
    <xf numFmtId="177" fontId="7" fillId="2" borderId="0" xfId="0" applyNumberFormat="1" applyFont="1" applyFill="1" applyBorder="1" applyAlignment="1">
      <alignment horizontal="right"/>
    </xf>
    <xf numFmtId="177" fontId="2" fillId="2" borderId="0" xfId="0" applyNumberFormat="1" applyFont="1" applyFill="1" applyBorder="1" applyAlignment="1">
      <alignment horizontal="right"/>
    </xf>
    <xf numFmtId="180" fontId="1" fillId="2" borderId="0" xfId="0" applyNumberFormat="1" applyFont="1" applyFill="1" applyBorder="1" applyAlignment="1">
      <alignment horizontal="right"/>
    </xf>
    <xf numFmtId="178" fontId="1" fillId="2" borderId="0" xfId="2" applyNumberFormat="1" applyFont="1" applyFill="1" applyBorder="1"/>
    <xf numFmtId="188" fontId="1" fillId="2" borderId="0" xfId="0" applyNumberFormat="1" applyFont="1" applyFill="1" applyBorder="1"/>
    <xf numFmtId="164" fontId="39" fillId="46" borderId="0" xfId="0" applyNumberFormat="1" applyFont="1" applyFill="1" applyBorder="1" applyAlignment="1"/>
    <xf numFmtId="164" fontId="6" fillId="46" borderId="13" xfId="0" applyNumberFormat="1" applyFont="1" applyFill="1" applyBorder="1"/>
    <xf numFmtId="164" fontId="39" fillId="2" borderId="2" xfId="0" applyNumberFormat="1" applyFont="1" applyFill="1" applyBorder="1"/>
    <xf numFmtId="180" fontId="62" fillId="2" borderId="0" xfId="0" applyNumberFormat="1" applyFont="1" applyFill="1" applyBorder="1" applyAlignment="1">
      <alignment horizontal="left"/>
    </xf>
    <xf numFmtId="164" fontId="39" fillId="2" borderId="2" xfId="0" applyNumberFormat="1" applyFont="1" applyFill="1" applyBorder="1" applyAlignment="1">
      <alignment horizontal="right"/>
    </xf>
    <xf numFmtId="9" fontId="62" fillId="2" borderId="0" xfId="2" applyNumberFormat="1" applyFont="1" applyFill="1" applyBorder="1"/>
    <xf numFmtId="164" fontId="63" fillId="2" borderId="18" xfId="0" applyNumberFormat="1" applyFont="1" applyFill="1" applyBorder="1"/>
    <xf numFmtId="10" fontId="63" fillId="2" borderId="18" xfId="2" applyNumberFormat="1" applyFont="1" applyFill="1" applyBorder="1"/>
    <xf numFmtId="165" fontId="62" fillId="2" borderId="0" xfId="0" applyNumberFormat="1" applyFont="1" applyFill="1" applyBorder="1" applyAlignment="1">
      <alignment horizontal="left"/>
    </xf>
    <xf numFmtId="164" fontId="82" fillId="2" borderId="18" xfId="0" applyNumberFormat="1" applyFont="1" applyFill="1" applyBorder="1"/>
    <xf numFmtId="0" fontId="83" fillId="46" borderId="0" xfId="0" applyFont="1" applyFill="1" applyAlignment="1">
      <alignment horizontal="left"/>
    </xf>
    <xf numFmtId="0" fontId="39" fillId="46" borderId="0" xfId="0" applyFont="1" applyFill="1"/>
    <xf numFmtId="10" fontId="58" fillId="2" borderId="0" xfId="2" applyNumberFormat="1" applyFont="1" applyFill="1" applyBorder="1"/>
    <xf numFmtId="164" fontId="63" fillId="2" borderId="25" xfId="0" applyNumberFormat="1" applyFont="1" applyFill="1" applyBorder="1"/>
    <xf numFmtId="10" fontId="82" fillId="2" borderId="25" xfId="2" applyNumberFormat="1" applyFont="1" applyFill="1" applyBorder="1"/>
    <xf numFmtId="10" fontId="62" fillId="2" borderId="25" xfId="2" applyNumberFormat="1" applyFont="1" applyFill="1" applyBorder="1" applyAlignment="1">
      <alignment horizontal="left"/>
    </xf>
    <xf numFmtId="10" fontId="39" fillId="2" borderId="25" xfId="2" applyNumberFormat="1" applyFont="1" applyFill="1" applyBorder="1"/>
    <xf numFmtId="164" fontId="39" fillId="46" borderId="0" xfId="0" applyNumberFormat="1" applyFont="1" applyFill="1" applyAlignment="1">
      <alignment horizontal="left"/>
    </xf>
    <xf numFmtId="164" fontId="39" fillId="46" borderId="0" xfId="0" applyNumberFormat="1" applyFont="1" applyFill="1" applyAlignment="1">
      <alignment horizontal="right"/>
    </xf>
    <xf numFmtId="164" fontId="7" fillId="46" borderId="13" xfId="0" applyNumberFormat="1" applyFont="1" applyFill="1" applyBorder="1" applyAlignment="1">
      <alignment horizontal="right"/>
    </xf>
    <xf numFmtId="164" fontId="64" fillId="46" borderId="13" xfId="0" applyNumberFormat="1" applyFont="1" applyFill="1" applyBorder="1" applyAlignment="1">
      <alignment horizontal="right"/>
    </xf>
    <xf numFmtId="164" fontId="39" fillId="46" borderId="13" xfId="0" applyNumberFormat="1" applyFont="1" applyFill="1" applyBorder="1" applyAlignment="1">
      <alignment horizontal="right"/>
    </xf>
    <xf numFmtId="186" fontId="84" fillId="2" borderId="0" xfId="169" applyNumberFormat="1" applyFont="1" applyFill="1" applyBorder="1" applyAlignment="1">
      <alignment horizontal="right"/>
    </xf>
    <xf numFmtId="10" fontId="64" fillId="2" borderId="0" xfId="2" applyNumberFormat="1" applyFont="1" applyFill="1"/>
    <xf numFmtId="10" fontId="64" fillId="2" borderId="0" xfId="2" applyNumberFormat="1" applyFont="1" applyFill="1" applyBorder="1" applyAlignment="1">
      <alignment horizontal="right"/>
    </xf>
    <xf numFmtId="10" fontId="62" fillId="2" borderId="0" xfId="2" applyNumberFormat="1" applyFont="1" applyFill="1"/>
    <xf numFmtId="10" fontId="81" fillId="2" borderId="0" xfId="2" applyNumberFormat="1" applyFont="1" applyFill="1"/>
    <xf numFmtId="186" fontId="2" fillId="2" borderId="25" xfId="169" applyNumberFormat="1" applyFont="1" applyFill="1" applyBorder="1" applyAlignment="1">
      <alignment horizontal="right"/>
    </xf>
    <xf numFmtId="10" fontId="2" fillId="2" borderId="25" xfId="2" applyNumberFormat="1" applyFont="1" applyFill="1" applyBorder="1" applyAlignment="1">
      <alignment horizontal="right"/>
    </xf>
    <xf numFmtId="186" fontId="62" fillId="2" borderId="0" xfId="169" applyNumberFormat="1" applyFont="1" applyFill="1"/>
    <xf numFmtId="9" fontId="62" fillId="2" borderId="0" xfId="2" applyFont="1" applyFill="1"/>
    <xf numFmtId="186" fontId="62" fillId="2" borderId="25" xfId="169" applyNumberFormat="1" applyFont="1" applyFill="1" applyBorder="1"/>
    <xf numFmtId="9" fontId="62" fillId="2" borderId="25" xfId="2" applyFont="1" applyFill="1" applyBorder="1"/>
    <xf numFmtId="10" fontId="62" fillId="2" borderId="25" xfId="2" applyNumberFormat="1" applyFont="1" applyFill="1" applyBorder="1"/>
    <xf numFmtId="164" fontId="7" fillId="2" borderId="0" xfId="0" applyNumberFormat="1" applyFont="1" applyFill="1" applyBorder="1" applyAlignment="1">
      <alignment horizontal="center"/>
    </xf>
    <xf numFmtId="165" fontId="62" fillId="2" borderId="0" xfId="0" applyNumberFormat="1" applyFont="1" applyFill="1"/>
    <xf numFmtId="1" fontId="62" fillId="2" borderId="0" xfId="0" applyNumberFormat="1" applyFont="1" applyFill="1" applyAlignment="1">
      <alignment horizontal="right"/>
    </xf>
    <xf numFmtId="166" fontId="62" fillId="2" borderId="0" xfId="2" applyNumberFormat="1" applyFont="1" applyFill="1" applyAlignment="1">
      <alignment horizontal="right"/>
    </xf>
    <xf numFmtId="2" fontId="62" fillId="2" borderId="0" xfId="0" applyNumberFormat="1" applyFont="1" applyFill="1" applyAlignment="1">
      <alignment horizontal="right"/>
    </xf>
    <xf numFmtId="178" fontId="62" fillId="2" borderId="0" xfId="0" applyNumberFormat="1" applyFont="1" applyFill="1" applyAlignment="1">
      <alignment horizontal="right"/>
    </xf>
    <xf numFmtId="2" fontId="62" fillId="45" borderId="0" xfId="2" applyNumberFormat="1" applyFont="1" applyFill="1" applyBorder="1" applyAlignment="1">
      <alignment horizontal="right"/>
    </xf>
    <xf numFmtId="1" fontId="62" fillId="2" borderId="0" xfId="2" applyNumberFormat="1" applyFont="1" applyFill="1" applyBorder="1" applyAlignment="1">
      <alignment horizontal="right"/>
    </xf>
    <xf numFmtId="1" fontId="62" fillId="2" borderId="0" xfId="0" applyNumberFormat="1" applyFont="1" applyFill="1" applyBorder="1" applyAlignment="1">
      <alignment horizontal="right" vertical="center"/>
    </xf>
    <xf numFmtId="177" fontId="63" fillId="2" borderId="25" xfId="0" applyNumberFormat="1" applyFont="1" applyFill="1" applyBorder="1"/>
    <xf numFmtId="180" fontId="2" fillId="2" borderId="0" xfId="0" applyNumberFormat="1" applyFont="1" applyFill="1" applyBorder="1" applyAlignment="1">
      <alignment horizontal="right" vertical="center"/>
    </xf>
    <xf numFmtId="0" fontId="2" fillId="2" borderId="0" xfId="0" applyNumberFormat="1" applyFont="1" applyFill="1" applyBorder="1" applyAlignment="1">
      <alignment horizontal="right" vertical="center"/>
    </xf>
    <xf numFmtId="2" fontId="63" fillId="2" borderId="0" xfId="2" applyNumberFormat="1" applyFont="1" applyFill="1" applyBorder="1" applyAlignment="1">
      <alignment horizontal="right"/>
    </xf>
    <xf numFmtId="2" fontId="2" fillId="2" borderId="0" xfId="2" applyNumberFormat="1" applyFont="1" applyFill="1" applyBorder="1" applyAlignment="1">
      <alignment horizontal="right"/>
    </xf>
    <xf numFmtId="164" fontId="2" fillId="2" borderId="0" xfId="0" applyNumberFormat="1" applyFont="1" applyFill="1"/>
    <xf numFmtId="10" fontId="63" fillId="2" borderId="25" xfId="2" applyNumberFormat="1" applyFont="1" applyFill="1" applyBorder="1"/>
    <xf numFmtId="2" fontId="63" fillId="2" borderId="25" xfId="2" applyNumberFormat="1" applyFont="1" applyFill="1" applyBorder="1"/>
    <xf numFmtId="177" fontId="63" fillId="2" borderId="0" xfId="0" applyNumberFormat="1" applyFont="1" applyFill="1" applyBorder="1"/>
    <xf numFmtId="165" fontId="62" fillId="2" borderId="0" xfId="2" applyNumberFormat="1" applyFont="1" applyFill="1" applyBorder="1" applyAlignment="1">
      <alignment horizontal="right"/>
    </xf>
    <xf numFmtId="10" fontId="62" fillId="2" borderId="0" xfId="2" applyNumberFormat="1" applyFont="1" applyFill="1" applyAlignment="1">
      <alignment horizontal="right"/>
    </xf>
    <xf numFmtId="10" fontId="62" fillId="2" borderId="0" xfId="2" applyNumberFormat="1" applyFont="1" applyFill="1" applyBorder="1" applyAlignment="1">
      <alignment horizontal="right" vertical="center"/>
    </xf>
    <xf numFmtId="186" fontId="62" fillId="2" borderId="0" xfId="169" applyNumberFormat="1" applyFont="1" applyFill="1" applyAlignment="1">
      <alignment horizontal="right"/>
    </xf>
    <xf numFmtId="186" fontId="62" fillId="2" borderId="0" xfId="169" applyNumberFormat="1" applyFont="1" applyFill="1" applyBorder="1" applyAlignment="1">
      <alignment horizontal="right"/>
    </xf>
    <xf numFmtId="186" fontId="62" fillId="2" borderId="0" xfId="169" applyNumberFormat="1" applyFont="1" applyFill="1" applyBorder="1" applyAlignment="1">
      <alignment horizontal="right" vertical="center"/>
    </xf>
    <xf numFmtId="2" fontId="62" fillId="2" borderId="0" xfId="0" applyNumberFormat="1" applyFont="1" applyFill="1" applyAlignment="1">
      <alignment horizontal="left"/>
    </xf>
    <xf numFmtId="10" fontId="62" fillId="2" borderId="0" xfId="2" applyNumberFormat="1" applyFont="1" applyFill="1" applyBorder="1" applyAlignment="1">
      <alignment horizontal="left" vertical="center"/>
    </xf>
    <xf numFmtId="2" fontId="62" fillId="2" borderId="0" xfId="2" applyNumberFormat="1" applyFont="1" applyFill="1" applyBorder="1" applyAlignment="1">
      <alignment horizontal="left" vertical="center"/>
    </xf>
    <xf numFmtId="178" fontId="62" fillId="47" borderId="13" xfId="0" applyNumberFormat="1" applyFont="1" applyFill="1" applyBorder="1" applyAlignment="1">
      <alignment horizontal="right" vertical="center"/>
    </xf>
    <xf numFmtId="2" fontId="62" fillId="2" borderId="25" xfId="0" applyNumberFormat="1" applyFont="1" applyFill="1" applyBorder="1" applyAlignment="1">
      <alignment horizontal="right"/>
    </xf>
    <xf numFmtId="10" fontId="62" fillId="2" borderId="25" xfId="2" applyNumberFormat="1" applyFont="1" applyFill="1" applyBorder="1" applyAlignment="1">
      <alignment horizontal="right"/>
    </xf>
    <xf numFmtId="164" fontId="39" fillId="47" borderId="0" xfId="0" applyNumberFormat="1" applyFont="1" applyFill="1" applyBorder="1" applyAlignment="1"/>
    <xf numFmtId="164" fontId="64" fillId="47" borderId="13" xfId="0" applyNumberFormat="1" applyFont="1" applyFill="1" applyBorder="1" applyAlignment="1"/>
    <xf numFmtId="164" fontId="39" fillId="47" borderId="13" xfId="0" applyNumberFormat="1" applyFont="1" applyFill="1" applyBorder="1" applyAlignment="1"/>
    <xf numFmtId="2" fontId="62" fillId="2" borderId="25" xfId="2" applyNumberFormat="1" applyFont="1" applyFill="1" applyBorder="1" applyAlignment="1">
      <alignment horizontal="right"/>
    </xf>
    <xf numFmtId="164" fontId="2" fillId="46" borderId="0" xfId="0" applyNumberFormat="1" applyFont="1" applyFill="1"/>
    <xf numFmtId="164" fontId="39" fillId="2" borderId="25" xfId="0" applyNumberFormat="1" applyFont="1" applyFill="1" applyBorder="1"/>
    <xf numFmtId="2" fontId="62" fillId="47" borderId="13" xfId="0" applyNumberFormat="1" applyFont="1" applyFill="1" applyBorder="1" applyAlignment="1">
      <alignment horizontal="left"/>
    </xf>
    <xf numFmtId="178" fontId="62" fillId="47" borderId="13" xfId="0" applyNumberFormat="1" applyFont="1" applyFill="1" applyBorder="1" applyAlignment="1">
      <alignment horizontal="right"/>
    </xf>
    <xf numFmtId="181" fontId="2" fillId="46" borderId="0" xfId="0" applyNumberFormat="1" applyFont="1" applyFill="1" applyBorder="1"/>
    <xf numFmtId="0" fontId="7" fillId="46" borderId="0" xfId="0" applyFont="1" applyFill="1" applyBorder="1" applyAlignment="1">
      <alignment horizontal="right"/>
    </xf>
    <xf numFmtId="0" fontId="62" fillId="46" borderId="13" xfId="0" applyFont="1" applyFill="1" applyBorder="1"/>
    <xf numFmtId="189" fontId="39" fillId="46" borderId="13" xfId="0" applyNumberFormat="1" applyFont="1" applyFill="1" applyBorder="1" applyAlignment="1"/>
    <xf numFmtId="190" fontId="39" fillId="46" borderId="13" xfId="0" applyNumberFormat="1" applyFont="1" applyFill="1" applyBorder="1" applyAlignment="1"/>
    <xf numFmtId="181" fontId="2" fillId="46" borderId="13" xfId="0" applyNumberFormat="1" applyFont="1" applyFill="1" applyBorder="1"/>
    <xf numFmtId="191" fontId="2" fillId="46" borderId="13" xfId="2" applyNumberFormat="1" applyFont="1" applyFill="1" applyBorder="1"/>
    <xf numFmtId="0" fontId="62" fillId="2" borderId="0" xfId="0" applyFont="1" applyFill="1" applyBorder="1" applyAlignment="1">
      <alignment horizontal="center"/>
    </xf>
    <xf numFmtId="0" fontId="58" fillId="2" borderId="0" xfId="0" applyFont="1" applyFill="1" applyBorder="1"/>
    <xf numFmtId="186" fontId="58" fillId="2" borderId="0" xfId="169" applyNumberFormat="1" applyFont="1" applyFill="1" applyBorder="1" applyAlignment="1">
      <alignment horizontal="right"/>
    </xf>
    <xf numFmtId="190" fontId="39" fillId="2" borderId="0" xfId="0" applyNumberFormat="1" applyFont="1" applyFill="1" applyBorder="1" applyAlignment="1">
      <alignment horizontal="right"/>
    </xf>
    <xf numFmtId="181" fontId="62" fillId="2" borderId="0" xfId="0" applyNumberFormat="1" applyFont="1" applyFill="1" applyBorder="1"/>
    <xf numFmtId="10" fontId="64" fillId="2" borderId="0" xfId="2" applyNumberFormat="1" applyFont="1" applyFill="1" applyBorder="1"/>
    <xf numFmtId="0" fontId="64" fillId="2" borderId="0" xfId="0" applyNumberFormat="1" applyFont="1" applyFill="1" applyBorder="1" applyAlignment="1">
      <alignment horizontal="left" indent="1"/>
    </xf>
    <xf numFmtId="181" fontId="2" fillId="2" borderId="0" xfId="0" applyNumberFormat="1" applyFont="1" applyFill="1" applyBorder="1" applyAlignment="1">
      <alignment horizontal="right"/>
    </xf>
    <xf numFmtId="192" fontId="2" fillId="2" borderId="0" xfId="0" applyNumberFormat="1" applyFont="1" applyFill="1" applyBorder="1"/>
    <xf numFmtId="0" fontId="39" fillId="2" borderId="17" xfId="0" applyNumberFormat="1" applyFont="1" applyFill="1" applyBorder="1" applyAlignment="1">
      <alignment horizontal="left"/>
    </xf>
    <xf numFmtId="186" fontId="39" fillId="2" borderId="17" xfId="169" applyNumberFormat="1" applyFont="1" applyFill="1" applyBorder="1"/>
    <xf numFmtId="181" fontId="1" fillId="2" borderId="0" xfId="0" applyNumberFormat="1" applyFont="1" applyFill="1" applyBorder="1"/>
    <xf numFmtId="10" fontId="62" fillId="2" borderId="0" xfId="0" applyNumberFormat="1" applyFont="1" applyFill="1" applyBorder="1"/>
    <xf numFmtId="0" fontId="58" fillId="2" borderId="0" xfId="0" applyNumberFormat="1" applyFont="1" applyFill="1" applyBorder="1" applyAlignment="1">
      <alignment horizontal="left"/>
    </xf>
    <xf numFmtId="186" fontId="58" fillId="2" borderId="0" xfId="169" applyNumberFormat="1" applyFont="1" applyFill="1" applyBorder="1"/>
    <xf numFmtId="191" fontId="2" fillId="2" borderId="0" xfId="2" applyNumberFormat="1" applyFont="1" applyFill="1" applyBorder="1"/>
    <xf numFmtId="10" fontId="64" fillId="2" borderId="0" xfId="2" applyNumberFormat="1" applyFont="1" applyFill="1" applyBorder="1" applyAlignment="1">
      <alignment horizontal="right" vertical="center"/>
    </xf>
    <xf numFmtId="1" fontId="58" fillId="2" borderId="0" xfId="0" applyNumberFormat="1" applyFont="1" applyFill="1" applyBorder="1"/>
    <xf numFmtId="193" fontId="39" fillId="2" borderId="0" xfId="2" applyNumberFormat="1" applyFont="1" applyFill="1" applyBorder="1" applyAlignment="1">
      <alignment horizontal="right" vertical="center"/>
    </xf>
    <xf numFmtId="193" fontId="58" fillId="2" borderId="0" xfId="0" applyNumberFormat="1" applyFont="1" applyFill="1" applyBorder="1"/>
    <xf numFmtId="193" fontId="1" fillId="2" borderId="0" xfId="0" applyNumberFormat="1" applyFont="1" applyFill="1" applyBorder="1"/>
    <xf numFmtId="192" fontId="1" fillId="2" borderId="0" xfId="0" applyNumberFormat="1" applyFont="1" applyFill="1" applyBorder="1"/>
    <xf numFmtId="186" fontId="58" fillId="2" borderId="0" xfId="2" applyNumberFormat="1" applyFont="1" applyFill="1" applyBorder="1"/>
    <xf numFmtId="0" fontId="64" fillId="2" borderId="0" xfId="0" applyNumberFormat="1" applyFont="1" applyFill="1" applyBorder="1" applyAlignment="1">
      <alignment horizontal="left"/>
    </xf>
    <xf numFmtId="0" fontId="39" fillId="2" borderId="17" xfId="0" applyFont="1" applyFill="1" applyBorder="1"/>
    <xf numFmtId="186" fontId="2" fillId="2" borderId="17" xfId="169" applyNumberFormat="1" applyFont="1" applyFill="1" applyBorder="1"/>
    <xf numFmtId="186" fontId="2" fillId="2" borderId="17" xfId="0" applyNumberFormat="1" applyFont="1" applyFill="1" applyBorder="1"/>
    <xf numFmtId="2" fontId="62" fillId="2" borderId="0" xfId="0" applyNumberFormat="1" applyFont="1" applyFill="1"/>
    <xf numFmtId="9" fontId="62" fillId="2" borderId="0" xfId="2" applyFont="1" applyFill="1" applyBorder="1"/>
    <xf numFmtId="186" fontId="1" fillId="2" borderId="0" xfId="0" applyNumberFormat="1" applyFont="1" applyFill="1" applyBorder="1"/>
    <xf numFmtId="0" fontId="2" fillId="2" borderId="25" xfId="0" applyFont="1" applyFill="1" applyBorder="1"/>
    <xf numFmtId="186" fontId="2" fillId="2" borderId="25" xfId="0" applyNumberFormat="1" applyFont="1" applyFill="1" applyBorder="1"/>
    <xf numFmtId="182" fontId="39" fillId="2" borderId="0" xfId="0" applyNumberFormat="1" applyFont="1" applyFill="1" applyBorder="1" applyAlignment="1">
      <alignment horizontal="right"/>
    </xf>
    <xf numFmtId="0" fontId="58" fillId="2" borderId="0" xfId="0" applyFont="1" applyFill="1" applyBorder="1" applyAlignment="1">
      <alignment horizontal="left" indent="1"/>
    </xf>
    <xf numFmtId="181" fontId="2" fillId="2" borderId="0" xfId="0" applyNumberFormat="1" applyFont="1" applyFill="1" applyBorder="1"/>
    <xf numFmtId="194" fontId="39" fillId="46" borderId="13" xfId="0" applyNumberFormat="1" applyFont="1" applyFill="1" applyBorder="1" applyAlignment="1"/>
    <xf numFmtId="0" fontId="64" fillId="2" borderId="0" xfId="0" applyFont="1" applyFill="1" applyBorder="1" applyAlignment="1">
      <alignment horizontal="left" indent="1"/>
    </xf>
    <xf numFmtId="186" fontId="84" fillId="2" borderId="0" xfId="169" applyNumberFormat="1" applyFont="1" applyFill="1" applyBorder="1"/>
    <xf numFmtId="186" fontId="1" fillId="2" borderId="0" xfId="169" applyNumberFormat="1" applyFont="1" applyFill="1" applyBorder="1"/>
    <xf numFmtId="0" fontId="58" fillId="2" borderId="17" xfId="0" applyFont="1" applyFill="1" applyBorder="1" applyAlignment="1">
      <alignment horizontal="left" indent="1"/>
    </xf>
    <xf numFmtId="0" fontId="1" fillId="2" borderId="17" xfId="0" applyFont="1" applyFill="1" applyBorder="1"/>
    <xf numFmtId="186" fontId="1" fillId="2" borderId="17" xfId="0" applyNumberFormat="1" applyFont="1" applyFill="1" applyBorder="1"/>
    <xf numFmtId="0" fontId="58" fillId="2" borderId="25" xfId="0" applyFont="1" applyFill="1" applyBorder="1" applyAlignment="1">
      <alignment horizontal="left" indent="1"/>
    </xf>
    <xf numFmtId="186" fontId="1" fillId="2" borderId="25" xfId="0" applyNumberFormat="1" applyFont="1" applyFill="1" applyBorder="1"/>
    <xf numFmtId="186" fontId="62" fillId="2" borderId="0" xfId="0" applyNumberFormat="1" applyFont="1" applyFill="1" applyBorder="1"/>
    <xf numFmtId="166" fontId="1" fillId="2" borderId="0" xfId="2" applyNumberFormat="1" applyFont="1" applyFill="1" applyBorder="1"/>
    <xf numFmtId="186" fontId="85" fillId="2" borderId="17" xfId="169" applyNumberFormat="1" applyFont="1" applyFill="1" applyBorder="1"/>
    <xf numFmtId="183" fontId="58" fillId="2" borderId="0" xfId="0" applyNumberFormat="1" applyFont="1" applyFill="1" applyBorder="1" applyAlignment="1">
      <alignment horizontal="right"/>
    </xf>
    <xf numFmtId="0" fontId="58" fillId="2" borderId="0" xfId="0" applyFont="1" applyFill="1" applyBorder="1" applyAlignment="1">
      <alignment horizontal="left"/>
    </xf>
    <xf numFmtId="194" fontId="39" fillId="2" borderId="0" xfId="0" applyNumberFormat="1" applyFont="1" applyFill="1" applyBorder="1" applyAlignment="1"/>
    <xf numFmtId="0" fontId="62" fillId="2" borderId="25" xfId="0" applyFont="1" applyFill="1" applyBorder="1"/>
    <xf numFmtId="186" fontId="84" fillId="2" borderId="0" xfId="0" applyNumberFormat="1" applyFont="1" applyFill="1" applyBorder="1"/>
    <xf numFmtId="189" fontId="39" fillId="2" borderId="0" xfId="0" applyNumberFormat="1" applyFont="1" applyFill="1" applyBorder="1" applyAlignment="1"/>
    <xf numFmtId="0" fontId="62" fillId="2" borderId="0" xfId="0" applyFont="1" applyFill="1" applyBorder="1" applyAlignment="1">
      <alignment horizontal="left" indent="1"/>
    </xf>
    <xf numFmtId="186" fontId="1" fillId="2" borderId="17" xfId="169" applyNumberFormat="1" applyFont="1" applyFill="1" applyBorder="1"/>
    <xf numFmtId="0" fontId="6" fillId="2" borderId="0" xfId="0" applyFont="1" applyFill="1" applyBorder="1"/>
    <xf numFmtId="164" fontId="2" fillId="2" borderId="25" xfId="0" applyNumberFormat="1" applyFont="1" applyFill="1" applyBorder="1"/>
    <xf numFmtId="186" fontId="39" fillId="2" borderId="25" xfId="169" applyNumberFormat="1" applyFont="1" applyFill="1" applyBorder="1"/>
    <xf numFmtId="10" fontId="6" fillId="2" borderId="0" xfId="2" applyNumberFormat="1" applyFont="1" applyFill="1" applyBorder="1"/>
    <xf numFmtId="10" fontId="6" fillId="2" borderId="0" xfId="0" applyNumberFormat="1" applyFont="1" applyFill="1" applyBorder="1"/>
    <xf numFmtId="10" fontId="63" fillId="2" borderId="0" xfId="0" applyNumberFormat="1" applyFont="1" applyFill="1" applyBorder="1"/>
    <xf numFmtId="10" fontId="82" fillId="2" borderId="0" xfId="2" applyNumberFormat="1" applyFont="1" applyFill="1" applyBorder="1"/>
    <xf numFmtId="0" fontId="1" fillId="2" borderId="25" xfId="0" applyFont="1" applyFill="1" applyBorder="1"/>
    <xf numFmtId="186" fontId="2" fillId="2" borderId="25" xfId="169" applyNumberFormat="1" applyFont="1" applyFill="1" applyBorder="1"/>
    <xf numFmtId="0" fontId="62" fillId="2" borderId="0" xfId="0" applyFont="1" applyFill="1" applyBorder="1" applyAlignment="1">
      <alignment horizontal="left" vertical="center"/>
    </xf>
    <xf numFmtId="44" fontId="39" fillId="2" borderId="25" xfId="169" applyNumberFormat="1" applyFont="1" applyFill="1" applyBorder="1" applyAlignment="1">
      <alignment horizontal="left" vertical="center"/>
    </xf>
    <xf numFmtId="164" fontId="64" fillId="2" borderId="0" xfId="0" applyNumberFormat="1" applyFont="1" applyFill="1" applyBorder="1" applyAlignment="1">
      <alignment horizontal="left"/>
    </xf>
    <xf numFmtId="186" fontId="2" fillId="2" borderId="17" xfId="169" applyNumberFormat="1" applyFont="1" applyFill="1" applyBorder="1" applyAlignment="1">
      <alignment horizontal="left" vertical="center"/>
    </xf>
    <xf numFmtId="164" fontId="39" fillId="2" borderId="17" xfId="0" applyNumberFormat="1" applyFont="1" applyFill="1" applyBorder="1"/>
    <xf numFmtId="186" fontId="58" fillId="2" borderId="0" xfId="169" applyNumberFormat="1" applyFont="1" applyFill="1"/>
    <xf numFmtId="186" fontId="1" fillId="2" borderId="0" xfId="169" applyNumberFormat="1" applyFont="1" applyFill="1"/>
    <xf numFmtId="9" fontId="64" fillId="2" borderId="0" xfId="2" applyNumberFormat="1" applyFont="1" applyFill="1" applyBorder="1" applyAlignment="1"/>
    <xf numFmtId="164" fontId="1" fillId="2" borderId="0" xfId="0" applyNumberFormat="1" applyFont="1" applyFill="1" applyBorder="1" applyAlignment="1">
      <alignment horizontal="left"/>
    </xf>
    <xf numFmtId="164" fontId="86" fillId="46" borderId="0" xfId="0" applyNumberFormat="1" applyFont="1" applyFill="1" applyBorder="1" applyAlignment="1"/>
    <xf numFmtId="1" fontId="62" fillId="2" borderId="0" xfId="169" applyNumberFormat="1" applyFont="1" applyFill="1"/>
    <xf numFmtId="164" fontId="39" fillId="46" borderId="0" xfId="0" applyNumberFormat="1" applyFont="1" applyFill="1" applyBorder="1" applyAlignment="1">
      <alignment horizontal="left"/>
    </xf>
    <xf numFmtId="164" fontId="62" fillId="2" borderId="0" xfId="0" applyNumberFormat="1" applyFont="1" applyFill="1" applyBorder="1" applyAlignment="1">
      <alignment horizontal="left" indent="1"/>
    </xf>
    <xf numFmtId="164" fontId="1" fillId="2" borderId="17" xfId="0" applyNumberFormat="1" applyFont="1" applyFill="1" applyBorder="1"/>
    <xf numFmtId="44" fontId="39" fillId="2" borderId="0" xfId="169" applyFont="1" applyFill="1" applyBorder="1"/>
    <xf numFmtId="166" fontId="64" fillId="46" borderId="0" xfId="2" applyNumberFormat="1" applyFont="1" applyFill="1" applyBorder="1"/>
    <xf numFmtId="166" fontId="64" fillId="46" borderId="0" xfId="2" applyNumberFormat="1" applyFont="1" applyFill="1" applyBorder="1" applyAlignment="1"/>
    <xf numFmtId="166" fontId="62" fillId="46" borderId="0" xfId="2" applyNumberFormat="1" applyFont="1" applyFill="1" applyBorder="1"/>
    <xf numFmtId="166" fontId="62" fillId="46" borderId="26" xfId="2" applyNumberFormat="1" applyFont="1" applyFill="1" applyBorder="1"/>
    <xf numFmtId="44" fontId="1" fillId="2" borderId="17" xfId="169" applyNumberFormat="1" applyFont="1" applyFill="1" applyBorder="1"/>
    <xf numFmtId="166" fontId="64" fillId="46" borderId="26" xfId="2" applyNumberFormat="1" applyFont="1" applyFill="1" applyBorder="1"/>
    <xf numFmtId="44" fontId="1" fillId="2" borderId="0" xfId="169" applyNumberFormat="1" applyFont="1" applyFill="1"/>
    <xf numFmtId="164" fontId="39" fillId="2" borderId="18" xfId="0" applyNumberFormat="1" applyFont="1" applyFill="1" applyBorder="1"/>
    <xf numFmtId="44" fontId="39" fillId="2" borderId="18" xfId="169" applyNumberFormat="1" applyFont="1" applyFill="1" applyBorder="1" applyAlignment="1">
      <alignment horizontal="left" vertical="center"/>
    </xf>
    <xf numFmtId="0" fontId="58" fillId="2" borderId="17" xfId="0" applyNumberFormat="1" applyFont="1" applyFill="1" applyBorder="1" applyAlignment="1">
      <alignment horizontal="left"/>
    </xf>
    <xf numFmtId="186" fontId="58" fillId="2" borderId="17" xfId="169" applyNumberFormat="1" applyFont="1" applyFill="1" applyBorder="1"/>
    <xf numFmtId="44" fontId="58" fillId="2" borderId="0" xfId="169" applyNumberFormat="1" applyFont="1" applyFill="1" applyBorder="1"/>
    <xf numFmtId="166" fontId="62" fillId="46" borderId="2" xfId="2" applyNumberFormat="1" applyFont="1" applyFill="1" applyBorder="1"/>
    <xf numFmtId="44" fontId="58" fillId="2" borderId="27" xfId="169" applyNumberFormat="1" applyFont="1" applyFill="1" applyBorder="1"/>
    <xf numFmtId="44" fontId="58" fillId="2" borderId="17" xfId="169" applyNumberFormat="1" applyFont="1" applyFill="1" applyBorder="1" applyAlignment="1"/>
    <xf numFmtId="44" fontId="58" fillId="2" borderId="0" xfId="169" applyNumberFormat="1" applyFont="1" applyFill="1" applyBorder="1" applyAlignment="1"/>
    <xf numFmtId="44" fontId="1" fillId="2" borderId="0" xfId="169" applyNumberFormat="1" applyFont="1" applyFill="1" applyBorder="1"/>
    <xf numFmtId="164" fontId="1" fillId="47" borderId="13" xfId="0" applyNumberFormat="1" applyFont="1" applyFill="1" applyBorder="1"/>
    <xf numFmtId="1" fontId="1" fillId="2" borderId="0" xfId="0" applyNumberFormat="1" applyFont="1" applyFill="1" applyBorder="1" applyAlignment="1">
      <alignment horizontal="right"/>
    </xf>
    <xf numFmtId="186" fontId="1" fillId="2" borderId="0" xfId="169" applyNumberFormat="1" applyFont="1" applyFill="1" applyBorder="1" applyAlignment="1">
      <alignment horizontal="right"/>
    </xf>
    <xf numFmtId="1" fontId="58" fillId="2" borderId="0" xfId="0" applyNumberFormat="1" applyFont="1" applyFill="1" applyBorder="1" applyAlignment="1">
      <alignment horizontal="right"/>
    </xf>
    <xf numFmtId="1" fontId="2" fillId="2" borderId="18" xfId="0" applyNumberFormat="1" applyFont="1" applyFill="1" applyBorder="1" applyAlignment="1">
      <alignment horizontal="right"/>
    </xf>
    <xf numFmtId="186" fontId="2" fillId="2" borderId="18" xfId="169" applyNumberFormat="1" applyFont="1" applyFill="1" applyBorder="1"/>
    <xf numFmtId="165" fontId="39" fillId="46" borderId="0" xfId="0" applyNumberFormat="1" applyFont="1" applyFill="1" applyBorder="1" applyAlignment="1"/>
    <xf numFmtId="1" fontId="39" fillId="2" borderId="0" xfId="0" applyNumberFormat="1" applyFont="1" applyFill="1" applyBorder="1" applyAlignment="1">
      <alignment horizontal="right"/>
    </xf>
    <xf numFmtId="44" fontId="39" fillId="2" borderId="0" xfId="169" applyFont="1" applyFill="1" applyBorder="1" applyAlignment="1"/>
    <xf numFmtId="186" fontId="39" fillId="2" borderId="18" xfId="169" applyNumberFormat="1" applyFont="1" applyFill="1" applyBorder="1" applyAlignment="1"/>
    <xf numFmtId="1" fontId="1" fillId="2" borderId="0" xfId="0" applyNumberFormat="1" applyFont="1" applyFill="1" applyBorder="1" applyAlignment="1">
      <alignment horizontal="left"/>
    </xf>
    <xf numFmtId="9" fontId="7" fillId="2" borderId="0" xfId="2" applyFont="1" applyFill="1" applyBorder="1" applyAlignment="1">
      <alignment horizontal="center"/>
    </xf>
    <xf numFmtId="44" fontId="82" fillId="2" borderId="0" xfId="169" applyFont="1" applyFill="1" applyBorder="1" applyAlignment="1">
      <alignment horizontal="center"/>
    </xf>
    <xf numFmtId="164" fontId="63" fillId="2" borderId="18" xfId="0" applyNumberFormat="1" applyFont="1" applyFill="1" applyBorder="1" applyAlignment="1">
      <alignment horizontal="left"/>
    </xf>
    <xf numFmtId="164" fontId="63" fillId="2" borderId="18" xfId="0" applyNumberFormat="1" applyFont="1" applyFill="1" applyBorder="1" applyAlignment="1">
      <alignment horizontal="right"/>
    </xf>
    <xf numFmtId="189" fontId="39" fillId="46" borderId="13" xfId="0" applyNumberFormat="1" applyFont="1" applyFill="1" applyBorder="1" applyAlignment="1">
      <alignment horizontal="right"/>
    </xf>
    <xf numFmtId="9" fontId="7" fillId="2" borderId="0" xfId="2" applyFont="1" applyFill="1" applyBorder="1" applyAlignment="1">
      <alignment horizontal="right"/>
    </xf>
    <xf numFmtId="10" fontId="82" fillId="2" borderId="0" xfId="169" applyNumberFormat="1" applyFont="1" applyFill="1" applyBorder="1" applyAlignment="1">
      <alignment horizontal="right"/>
    </xf>
    <xf numFmtId="10" fontId="82" fillId="2" borderId="0" xfId="2" applyNumberFormat="1" applyFont="1" applyFill="1" applyBorder="1" applyAlignment="1">
      <alignment horizontal="right"/>
    </xf>
    <xf numFmtId="195" fontId="82" fillId="2" borderId="0" xfId="2" applyNumberFormat="1" applyFont="1" applyFill="1" applyBorder="1" applyAlignment="1">
      <alignment horizontal="right"/>
    </xf>
    <xf numFmtId="164" fontId="58" fillId="2" borderId="0" xfId="0" applyNumberFormat="1" applyFont="1" applyFill="1"/>
    <xf numFmtId="1" fontId="39" fillId="46" borderId="0" xfId="0" applyNumberFormat="1" applyFont="1" applyFill="1" applyBorder="1" applyAlignment="1">
      <alignment horizontal="right"/>
    </xf>
    <xf numFmtId="10" fontId="39" fillId="46" borderId="0" xfId="2" applyNumberFormat="1" applyFont="1" applyFill="1"/>
    <xf numFmtId="0" fontId="71" fillId="48" borderId="0" xfId="170" applyFont="1" applyFill="1" applyAlignment="1">
      <alignment horizontal="center" vertical="top"/>
    </xf>
    <xf numFmtId="0" fontId="71" fillId="48" borderId="0" xfId="170" applyFont="1" applyFill="1" applyAlignment="1">
      <alignment horizontal="center" vertical="top"/>
    </xf>
    <xf numFmtId="0" fontId="79" fillId="48" borderId="0" xfId="170" applyFont="1" applyFill="1" applyAlignment="1">
      <alignment horizontal="center" vertical="top"/>
    </xf>
    <xf numFmtId="184" fontId="87" fillId="45" borderId="0" xfId="170" applyNumberFormat="1" applyFont="1" applyFill="1" applyAlignment="1">
      <alignment horizontal="center" vertical="center"/>
    </xf>
    <xf numFmtId="182" fontId="87" fillId="45" borderId="0" xfId="170" applyNumberFormat="1" applyFont="1" applyFill="1" applyAlignment="1">
      <alignment horizontal="center" vertical="center"/>
    </xf>
    <xf numFmtId="0" fontId="88" fillId="2" borderId="0" xfId="170" applyFont="1" applyFill="1">
      <alignment vertical="top"/>
    </xf>
    <xf numFmtId="0" fontId="64" fillId="2" borderId="0" xfId="165" applyFont="1" applyFill="1"/>
  </cellXfs>
  <cellStyles count="171">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 6 2" xfId="170"/>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005CBD"/>
      <color rgb="FFDDEDFF"/>
      <color rgb="FFF8F8F8"/>
      <color rgb="FF0432FF"/>
      <color rgb="FFDDDDDD"/>
      <color rgb="FFFFCC66"/>
      <color rgb="FF6600CC"/>
      <color rgb="FFFF33CC"/>
      <color rgb="FFCC0099"/>
      <color rgb="FFEC2E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6179777986467"/>
          <c:y val="3.0131826741996232E-2"/>
          <c:w val="0.77522935779816515"/>
          <c:h val="0.95480225988700562"/>
        </c:manualLayout>
      </c:layout>
      <c:pieChart>
        <c:varyColors val="1"/>
        <c:ser>
          <c:idx val="0"/>
          <c:order val="0"/>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01-684C-4F15-B7EB-8E56DB9C161A}"/>
              </c:ext>
            </c:extLst>
          </c:dPt>
          <c:dPt>
            <c:idx val="1"/>
            <c:bubble3D val="0"/>
            <c:spPr>
              <a:solidFill>
                <a:schemeClr val="bg2">
                  <a:lumMod val="10000"/>
                </a:schemeClr>
              </a:solidFill>
              <a:ln w="19050">
                <a:solidFill>
                  <a:schemeClr val="lt1"/>
                </a:solidFill>
              </a:ln>
              <a:effectLst/>
            </c:spPr>
            <c:extLst>
              <c:ext xmlns:c16="http://schemas.microsoft.com/office/drawing/2014/chart" uri="{C3380CC4-5D6E-409C-BE32-E72D297353CC}">
                <c16:uniqueId val="{00000003-684C-4F15-B7EB-8E56DB9C161A}"/>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684C-4F15-B7EB-8E56DB9C161A}"/>
              </c:ext>
            </c:extLst>
          </c:dPt>
          <c:dLbls>
            <c:spPr>
              <a:solidFill>
                <a:schemeClr val="bg1"/>
              </a:solidFill>
              <a:ln>
                <a:noFill/>
              </a:ln>
              <a:effectLst/>
            </c:spPr>
            <c:txPr>
              <a:bodyPr rot="0" spcFirstLastPara="1" vertOverflow="overflow" horzOverflow="overflow" vert="horz" wrap="non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layout/>
              </c:ext>
            </c:extLst>
          </c:dLbls>
          <c:cat>
            <c:strRef>
              <c:f>'[1]Corporate Governance'!$E$16:$E$18</c:f>
              <c:strCache>
                <c:ptCount val="3"/>
                <c:pt idx="0">
                  <c:v>Institutional</c:v>
                </c:pt>
                <c:pt idx="1">
                  <c:v>Insider</c:v>
                </c:pt>
                <c:pt idx="2">
                  <c:v>Retail</c:v>
                </c:pt>
              </c:strCache>
            </c:strRef>
          </c:cat>
          <c:val>
            <c:numRef>
              <c:f>'[1]Corporate Governance'!$F$16:$F$18</c:f>
              <c:numCache>
                <c:formatCode>General</c:formatCode>
                <c:ptCount val="3"/>
                <c:pt idx="0">
                  <c:v>0.5877</c:v>
                </c:pt>
                <c:pt idx="1">
                  <c:v>1.34E-2</c:v>
                </c:pt>
                <c:pt idx="2">
                  <c:v>0.39889999999999998</c:v>
                </c:pt>
              </c:numCache>
            </c:numRef>
          </c:val>
          <c:extLst>
            <c:ext xmlns:c16="http://schemas.microsoft.com/office/drawing/2014/chart" uri="{C3380CC4-5D6E-409C-BE32-E72D297353CC}">
              <c16:uniqueId val="{00000006-684C-4F15-B7EB-8E56DB9C161A}"/>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1224306408496495E-2"/>
          <c:y val="0"/>
          <c:w val="0.97006177299328078"/>
          <c:h val="0.86291331885266609"/>
        </c:manualLayout>
      </c:layout>
      <c:barChart>
        <c:barDir val="col"/>
        <c:grouping val="stacked"/>
        <c:varyColors val="0"/>
        <c:ser>
          <c:idx val="0"/>
          <c:order val="0"/>
          <c:tx>
            <c:strRef>
              <c:f>'Corporate Governance'!$E$22</c:f>
              <c:strCache>
                <c:ptCount val="1"/>
                <c:pt idx="0">
                  <c:v>Audit</c:v>
                </c:pt>
              </c:strCache>
            </c:strRef>
          </c:tx>
          <c:spPr>
            <a:solidFill>
              <a:schemeClr val="bg2">
                <a:lumMod val="25000"/>
              </a:schemeClr>
            </a:solidFill>
            <a:ln>
              <a:noFill/>
            </a:ln>
            <a:effectLst/>
          </c:spPr>
          <c:invertIfNegative val="0"/>
          <c:dLbls>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Governance'!$F$22</c:f>
              <c:numCache>
                <c:formatCode>_(* #,##0.0_);_(* \(#,##0.0\);_(* "-"?_);@_)</c:formatCode>
                <c:ptCount val="1"/>
                <c:pt idx="0">
                  <c:v>10</c:v>
                </c:pt>
              </c:numCache>
            </c:numRef>
          </c:val>
          <c:extLst>
            <c:ext xmlns:c16="http://schemas.microsoft.com/office/drawing/2014/chart" uri="{C3380CC4-5D6E-409C-BE32-E72D297353CC}">
              <c16:uniqueId val="{00000000-6EE7-4CC6-8819-1CBDB883FB2C}"/>
            </c:ext>
          </c:extLst>
        </c:ser>
        <c:ser>
          <c:idx val="1"/>
          <c:order val="1"/>
          <c:tx>
            <c:strRef>
              <c:f>'Corporate Governance'!$E$23</c:f>
              <c:strCache>
                <c:ptCount val="1"/>
                <c:pt idx="0">
                  <c:v>Board</c:v>
                </c:pt>
              </c:strCache>
            </c:strRef>
          </c:tx>
          <c:spPr>
            <a:solidFill>
              <a:schemeClr val="accent1"/>
            </a:solidFill>
            <a:ln>
              <a:noFill/>
            </a:ln>
            <a:effectLst/>
          </c:spPr>
          <c:invertIfNegative val="0"/>
          <c:dLbls>
            <c:spPr>
              <a:solidFill>
                <a:schemeClr val="bg2">
                  <a:lumMod val="50000"/>
                </a:schemeClr>
              </a:solid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layout/>
                <c15:showLeaderLines val="1"/>
                <c15:leaderLines>
                  <c:spPr>
                    <a:ln w="9525" cap="flat" cmpd="sng" algn="ctr">
                      <a:solidFill>
                        <a:schemeClr val="tx1">
                          <a:lumMod val="35000"/>
                          <a:lumOff val="65000"/>
                        </a:schemeClr>
                      </a:solidFill>
                      <a:round/>
                    </a:ln>
                    <a:effectLst/>
                  </c:spPr>
                </c15:leaderLines>
              </c:ext>
            </c:extLst>
          </c:dLbls>
          <c:val>
            <c:numRef>
              <c:f>'Corporate Governance'!$F$23</c:f>
              <c:numCache>
                <c:formatCode>_(* #,##0.0_);_(* \(#,##0.0\);_(* "-"?_);@_)</c:formatCode>
                <c:ptCount val="1"/>
                <c:pt idx="0">
                  <c:v>3</c:v>
                </c:pt>
              </c:numCache>
            </c:numRef>
          </c:val>
          <c:extLst>
            <c:ext xmlns:c16="http://schemas.microsoft.com/office/drawing/2014/chart" uri="{C3380CC4-5D6E-409C-BE32-E72D297353CC}">
              <c16:uniqueId val="{00000001-6EE7-4CC6-8819-1CBDB883FB2C}"/>
            </c:ext>
          </c:extLst>
        </c:ser>
        <c:ser>
          <c:idx val="2"/>
          <c:order val="2"/>
          <c:tx>
            <c:strRef>
              <c:f>'Corporate Governance'!$E$24</c:f>
              <c:strCache>
                <c:ptCount val="1"/>
                <c:pt idx="0">
                  <c:v>Shareholder Rights</c:v>
                </c:pt>
              </c:strCache>
            </c:strRef>
          </c:tx>
          <c:spPr>
            <a:solidFill>
              <a:srgbClr val="B9D0FF"/>
            </a:solidFill>
            <a:ln>
              <a:noFill/>
            </a:ln>
            <a:effectLst/>
          </c:spPr>
          <c:invertIfNegative val="0"/>
          <c:dLbls>
            <c:dLbl>
              <c:idx val="0"/>
              <c:spPr>
                <a:solidFill>
                  <a:schemeClr val="bg2">
                    <a:lumMod val="75000"/>
                  </a:schemeClr>
                </a:solid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2-6EE7-4CC6-8819-1CBDB883FB2C}"/>
                </c:ext>
              </c:extLst>
            </c:dLbl>
            <c:spPr>
              <a:solidFill>
                <a:schemeClr val="bg2">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Governance'!$F$24</c:f>
              <c:numCache>
                <c:formatCode>_(* #,##0.0_);_(* \(#,##0.0\);_(* "-"?_);@_)</c:formatCode>
                <c:ptCount val="1"/>
                <c:pt idx="0">
                  <c:v>3</c:v>
                </c:pt>
              </c:numCache>
            </c:numRef>
          </c:val>
          <c:extLst>
            <c:ext xmlns:c16="http://schemas.microsoft.com/office/drawing/2014/chart" uri="{C3380CC4-5D6E-409C-BE32-E72D297353CC}">
              <c16:uniqueId val="{00000003-6EE7-4CC6-8819-1CBDB883FB2C}"/>
            </c:ext>
          </c:extLst>
        </c:ser>
        <c:ser>
          <c:idx val="3"/>
          <c:order val="3"/>
          <c:tx>
            <c:strRef>
              <c:f>'Corporate Governance'!$E$25</c:f>
              <c:strCache>
                <c:ptCount val="1"/>
                <c:pt idx="0">
                  <c:v>Compensation</c:v>
                </c:pt>
              </c:strCache>
            </c:strRef>
          </c:tx>
          <c:spPr>
            <a:solidFill>
              <a:schemeClr val="bg2">
                <a:lumMod val="50000"/>
              </a:schemeClr>
            </a:solidFill>
            <a:ln>
              <a:noFill/>
            </a:ln>
            <a:effectLst/>
          </c:spPr>
          <c:invertIfNegative val="0"/>
          <c:dLbls>
            <c:dLbl>
              <c:idx val="0"/>
              <c:spPr>
                <a:noFill/>
                <a:ln>
                  <a:noFill/>
                </a:ln>
                <a:effectLst/>
              </c:spPr>
              <c:txPr>
                <a:bodyPr rot="0" spcFirstLastPara="1" vertOverflow="ellipsis" vert="horz" wrap="non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4-6EE7-4CC6-8819-1CBDB883FB2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ontserrat" panose="000005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'Corporate Governance'!$F$25</c:f>
              <c:numCache>
                <c:formatCode>_(* #,##0.0_);_(* \(#,##0.0\);_(* "-"?_);@_)</c:formatCode>
                <c:ptCount val="1"/>
                <c:pt idx="0">
                  <c:v>8</c:v>
                </c:pt>
              </c:numCache>
            </c:numRef>
          </c:val>
          <c:extLst>
            <c:ext xmlns:c16="http://schemas.microsoft.com/office/drawing/2014/chart" uri="{C3380CC4-5D6E-409C-BE32-E72D297353CC}">
              <c16:uniqueId val="{00000005-6EE7-4CC6-8819-1CBDB883FB2C}"/>
            </c:ext>
          </c:extLst>
        </c:ser>
        <c:dLbls>
          <c:showLegendKey val="0"/>
          <c:showVal val="0"/>
          <c:showCatName val="0"/>
          <c:showSerName val="0"/>
          <c:showPercent val="0"/>
          <c:showBubbleSize val="0"/>
        </c:dLbls>
        <c:gapWidth val="150"/>
        <c:overlap val="100"/>
        <c:axId val="2135820480"/>
        <c:axId val="2135820896"/>
      </c:barChart>
      <c:catAx>
        <c:axId val="2135820480"/>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35820896"/>
        <c:crosses val="autoZero"/>
        <c:auto val="1"/>
        <c:lblAlgn val="ctr"/>
        <c:lblOffset val="100"/>
        <c:noMultiLvlLbl val="0"/>
      </c:catAx>
      <c:valAx>
        <c:axId val="2135820896"/>
        <c:scaling>
          <c:orientation val="minMax"/>
        </c:scaling>
        <c:delete val="1"/>
        <c:axPos val="l"/>
        <c:numFmt formatCode="_(* #,##0.0_);_(* \(#,##0.0\);_(* &quot;-&quot;?_);@_)" sourceLinked="1"/>
        <c:majorTickMark val="none"/>
        <c:minorTickMark val="none"/>
        <c:tickLblPos val="nextTo"/>
        <c:crossAx val="2135820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333858267716531E-2"/>
          <c:y val="2.8985523784961647E-2"/>
          <c:w val="0.8599994750656168"/>
          <c:h val="0.93478257148383626"/>
        </c:manualLayout>
      </c:layout>
      <c:pieChart>
        <c:varyColors val="1"/>
        <c:ser>
          <c:idx val="0"/>
          <c:order val="0"/>
          <c:tx>
            <c:strRef>
              <c:f>'Risk Free Rate &amp; ERP'!$B$12:$B$16</c:f>
              <c:strCache>
                <c:ptCount val="5"/>
                <c:pt idx="0">
                  <c:v>UK</c:v>
                </c:pt>
                <c:pt idx="1">
                  <c:v>EMEA</c:v>
                </c:pt>
                <c:pt idx="2">
                  <c:v>AsiaP</c:v>
                </c:pt>
                <c:pt idx="3">
                  <c:v>LAC</c:v>
                </c:pt>
                <c:pt idx="4">
                  <c:v>USA</c:v>
                </c:pt>
              </c:strCache>
            </c:strRef>
          </c:tx>
          <c:dPt>
            <c:idx val="0"/>
            <c:bubble3D val="0"/>
            <c:spPr>
              <a:solidFill>
                <a:schemeClr val="bg2">
                  <a:lumMod val="50000"/>
                </a:schemeClr>
              </a:solidFill>
              <a:ln w="19050">
                <a:solidFill>
                  <a:schemeClr val="lt1"/>
                </a:solidFill>
              </a:ln>
              <a:effectLst/>
            </c:spPr>
            <c:extLst>
              <c:ext xmlns:c16="http://schemas.microsoft.com/office/drawing/2014/chart" uri="{C3380CC4-5D6E-409C-BE32-E72D297353CC}">
                <c16:uniqueId val="{0000001E-B40B-4BB5-95FD-49CCC0DD4DF1}"/>
              </c:ext>
            </c:extLst>
          </c:dPt>
          <c:dPt>
            <c:idx val="1"/>
            <c:bubble3D val="0"/>
            <c:spPr>
              <a:solidFill>
                <a:schemeClr val="bg2">
                  <a:lumMod val="25000"/>
                </a:schemeClr>
              </a:solidFill>
              <a:ln w="19050">
                <a:solidFill>
                  <a:schemeClr val="lt1"/>
                </a:solidFill>
              </a:ln>
              <a:effectLst/>
            </c:spPr>
            <c:extLst>
              <c:ext xmlns:c16="http://schemas.microsoft.com/office/drawing/2014/chart" uri="{C3380CC4-5D6E-409C-BE32-E72D297353CC}">
                <c16:uniqueId val="{00000023-B40B-4BB5-95FD-49CCC0DD4DF1}"/>
              </c:ext>
            </c:extLst>
          </c:dPt>
          <c:dPt>
            <c:idx val="2"/>
            <c:bubble3D val="0"/>
            <c:spPr>
              <a:solidFill>
                <a:schemeClr val="bg2"/>
              </a:solidFill>
              <a:ln w="19050">
                <a:solidFill>
                  <a:schemeClr val="lt1"/>
                </a:solidFill>
              </a:ln>
              <a:effectLst/>
            </c:spPr>
            <c:extLst>
              <c:ext xmlns:c16="http://schemas.microsoft.com/office/drawing/2014/chart" uri="{C3380CC4-5D6E-409C-BE32-E72D297353CC}">
                <c16:uniqueId val="{0000002A-B40B-4BB5-95FD-49CCC0DD4DF1}"/>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34-B40B-4BB5-95FD-49CCC0DD4DF1}"/>
              </c:ext>
            </c:extLst>
          </c:dPt>
          <c:dPt>
            <c:idx val="4"/>
            <c:bubble3D val="0"/>
            <c:spPr>
              <a:solidFill>
                <a:schemeClr val="bg2">
                  <a:lumMod val="25000"/>
                </a:schemeClr>
              </a:solidFill>
              <a:ln w="19050">
                <a:solidFill>
                  <a:schemeClr val="lt1"/>
                </a:solidFill>
              </a:ln>
              <a:effectLst/>
            </c:spPr>
            <c:extLst>
              <c:ext xmlns:c16="http://schemas.microsoft.com/office/drawing/2014/chart" uri="{C3380CC4-5D6E-409C-BE32-E72D297353CC}">
                <c16:uniqueId val="{0000001D-B40B-4BB5-95FD-49CCC0DD4DF1}"/>
              </c:ext>
            </c:extLst>
          </c:dPt>
          <c:dLbls>
            <c:spPr>
              <a:solidFill>
                <a:srgbClr val="F8F8F8"/>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layout/>
              </c:ext>
            </c:extLst>
          </c:dLbls>
          <c:cat>
            <c:strRef>
              <c:f>'Risk Free Rate &amp; ERP'!$B$12:$B$16</c:f>
              <c:strCache>
                <c:ptCount val="5"/>
                <c:pt idx="0">
                  <c:v>UK</c:v>
                </c:pt>
                <c:pt idx="1">
                  <c:v>EMEA</c:v>
                </c:pt>
                <c:pt idx="2">
                  <c:v>AsiaP</c:v>
                </c:pt>
                <c:pt idx="3">
                  <c:v>LAC</c:v>
                </c:pt>
                <c:pt idx="4">
                  <c:v>USA</c:v>
                </c:pt>
              </c:strCache>
            </c:strRef>
          </c:cat>
          <c:val>
            <c:numRef>
              <c:f>'Risk Free Rate &amp; ERP'!$C$12:$C$16</c:f>
              <c:numCache>
                <c:formatCode>_("$"* #,##0_);_("$"* \(#,##0\);_("$"* "-"??_);_(@_)</c:formatCode>
                <c:ptCount val="5"/>
                <c:pt idx="0">
                  <c:v>357000</c:v>
                </c:pt>
                <c:pt idx="1">
                  <c:v>201430</c:v>
                </c:pt>
                <c:pt idx="2">
                  <c:v>281479</c:v>
                </c:pt>
                <c:pt idx="3">
                  <c:v>78673</c:v>
                </c:pt>
                <c:pt idx="4">
                  <c:v>2747161</c:v>
                </c:pt>
              </c:numCache>
            </c:numRef>
          </c:val>
          <c:extLst>
            <c:ext xmlns:c16="http://schemas.microsoft.com/office/drawing/2014/chart" uri="{C3380CC4-5D6E-409C-BE32-E72D297353CC}">
              <c16:uniqueId val="{00000015-B40B-4BB5-95FD-49CCC0DD4DF1}"/>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610885959819801"/>
          <c:y val="6.666670166231059E-2"/>
          <c:w val="0.7533360437631349"/>
          <c:h val="0.85999992650914781"/>
        </c:manualLayout>
      </c:layout>
      <c:barChart>
        <c:barDir val="bar"/>
        <c:grouping val="stacked"/>
        <c:varyColors val="0"/>
        <c:ser>
          <c:idx val="0"/>
          <c:order val="0"/>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2">
                        <a:lumMod val="25000"/>
                      </a:schemeClr>
                    </a:solidFill>
                    <a:latin typeface="Montserrat" panose="00000500000000000000" pitchFamily="2" charset="0"/>
                    <a:ea typeface="+mn-ea"/>
                    <a:cs typeface="Catamaran" pitchFamily="2"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Drivers!$H$12:$H$15</c:f>
              <c:strCache>
                <c:ptCount val="4"/>
                <c:pt idx="0">
                  <c:v>52 Week Range</c:v>
                </c:pt>
                <c:pt idx="1">
                  <c:v>Analyst's Range</c:v>
                </c:pt>
                <c:pt idx="2">
                  <c:v>DCF Valuation</c:v>
                </c:pt>
                <c:pt idx="3">
                  <c:v>Price to Book</c:v>
                </c:pt>
              </c:strCache>
            </c:strRef>
          </c:cat>
          <c:val>
            <c:numRef>
              <c:f>Drivers!$I$12:$I$15</c:f>
              <c:numCache>
                <c:formatCode>_("$"* #,##0_);_("$"* \(#,##0\);_("$"* "-"??_);_(@_)</c:formatCode>
                <c:ptCount val="4"/>
                <c:pt idx="0">
                  <c:v>101.28</c:v>
                </c:pt>
                <c:pt idx="1">
                  <c:v>124</c:v>
                </c:pt>
                <c:pt idx="2">
                  <c:v>124.14436266398042</c:v>
                </c:pt>
                <c:pt idx="3">
                  <c:v>81.054368880757934</c:v>
                </c:pt>
              </c:numCache>
            </c:numRef>
          </c:val>
          <c:extLst>
            <c:ext xmlns:c16="http://schemas.microsoft.com/office/drawing/2014/chart" uri="{C3380CC4-5D6E-409C-BE32-E72D297353CC}">
              <c16:uniqueId val="{00000000-775C-4361-9BE2-5746ECDA2E39}"/>
            </c:ext>
          </c:extLst>
        </c:ser>
        <c:ser>
          <c:idx val="1"/>
          <c:order val="1"/>
          <c:spPr>
            <a:solidFill>
              <a:schemeClr val="bg2">
                <a:lumMod val="50000"/>
              </a:schemeClr>
            </a:solidFill>
            <a:ln>
              <a:noFill/>
            </a:ln>
            <a:effectLst/>
          </c:spPr>
          <c:invertIfNegative val="0"/>
          <c:cat>
            <c:strRef>
              <c:f>Drivers!$H$12:$H$15</c:f>
              <c:strCache>
                <c:ptCount val="4"/>
                <c:pt idx="0">
                  <c:v>52 Week Range</c:v>
                </c:pt>
                <c:pt idx="1">
                  <c:v>Analyst's Range</c:v>
                </c:pt>
                <c:pt idx="2">
                  <c:v>DCF Valuation</c:v>
                </c:pt>
                <c:pt idx="3">
                  <c:v>Price to Book</c:v>
                </c:pt>
              </c:strCache>
            </c:strRef>
          </c:cat>
          <c:val>
            <c:numRef>
              <c:f>Drivers!$J$12:$J$15</c:f>
              <c:numCache>
                <c:formatCode>_("$"* #,##0_);_("$"* \(#,##0\);_("$"* "-"??_);_(@_)</c:formatCode>
                <c:ptCount val="4"/>
                <c:pt idx="0">
                  <c:v>43.06</c:v>
                </c:pt>
                <c:pt idx="1">
                  <c:v>55</c:v>
                </c:pt>
                <c:pt idx="2">
                  <c:v>56.740454754894188</c:v>
                </c:pt>
                <c:pt idx="3">
                  <c:v>33.10226301923116</c:v>
                </c:pt>
              </c:numCache>
            </c:numRef>
          </c:val>
          <c:extLst>
            <c:ext xmlns:c16="http://schemas.microsoft.com/office/drawing/2014/chart" uri="{C3380CC4-5D6E-409C-BE32-E72D297353CC}">
              <c16:uniqueId val="{00000001-775C-4361-9BE2-5746ECDA2E39}"/>
            </c:ext>
          </c:extLst>
        </c:ser>
        <c:ser>
          <c:idx val="2"/>
          <c:order val="2"/>
          <c:spPr>
            <a:no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l">
                  <a:defRPr sz="800" b="1" i="0" u="none" strike="noStrike" kern="1200" baseline="0">
                    <a:solidFill>
                      <a:schemeClr val="bg2">
                        <a:lumMod val="25000"/>
                      </a:schemeClr>
                    </a:solidFill>
                    <a:latin typeface="Montserrat" panose="00000500000000000000" pitchFamily="2"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Drivers!$H$12:$H$15</c:f>
              <c:strCache>
                <c:ptCount val="4"/>
                <c:pt idx="0">
                  <c:v>52 Week Range</c:v>
                </c:pt>
                <c:pt idx="1">
                  <c:v>Analyst's Range</c:v>
                </c:pt>
                <c:pt idx="2">
                  <c:v>DCF Valuation</c:v>
                </c:pt>
                <c:pt idx="3">
                  <c:v>Price to Book</c:v>
                </c:pt>
              </c:strCache>
            </c:strRef>
          </c:cat>
          <c:val>
            <c:numRef>
              <c:f>Drivers!$K$12:$K$15</c:f>
              <c:numCache>
                <c:formatCode>_("$"* #,##0_);_("$"* \(#,##0\);_("$"* "-"??_);_(@_)</c:formatCode>
                <c:ptCount val="4"/>
                <c:pt idx="0">
                  <c:v>144.34</c:v>
                </c:pt>
                <c:pt idx="1">
                  <c:v>179</c:v>
                </c:pt>
                <c:pt idx="2">
                  <c:v>180.8848174188746</c:v>
                </c:pt>
                <c:pt idx="3">
                  <c:v>114.15663189998909</c:v>
                </c:pt>
              </c:numCache>
            </c:numRef>
          </c:val>
          <c:extLst>
            <c:ext xmlns:c16="http://schemas.microsoft.com/office/drawing/2014/chart" uri="{C3380CC4-5D6E-409C-BE32-E72D297353CC}">
              <c16:uniqueId val="{00000002-775C-4361-9BE2-5746ECDA2E39}"/>
            </c:ext>
          </c:extLst>
        </c:ser>
        <c:dLbls>
          <c:showLegendKey val="0"/>
          <c:showVal val="0"/>
          <c:showCatName val="0"/>
          <c:showSerName val="0"/>
          <c:showPercent val="0"/>
          <c:showBubbleSize val="0"/>
        </c:dLbls>
        <c:gapWidth val="150"/>
        <c:overlap val="100"/>
        <c:axId val="1409253759"/>
        <c:axId val="1409250847"/>
      </c:barChart>
      <c:catAx>
        <c:axId val="1409253759"/>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1" u="none" strike="noStrike" kern="1200" baseline="0">
                <a:solidFill>
                  <a:schemeClr val="tx1">
                    <a:lumMod val="65000"/>
                    <a:lumOff val="35000"/>
                  </a:schemeClr>
                </a:solidFill>
                <a:latin typeface="Montserrat" panose="00000500000000000000" pitchFamily="2" charset="0"/>
                <a:ea typeface="+mn-ea"/>
                <a:cs typeface="Catamaran" pitchFamily="2" charset="0"/>
              </a:defRPr>
            </a:pPr>
            <a:endParaRPr lang="en-US"/>
          </a:p>
        </c:txPr>
        <c:crossAx val="1409250847"/>
        <c:crosses val="autoZero"/>
        <c:auto val="1"/>
        <c:lblAlgn val="ctr"/>
        <c:lblOffset val="100"/>
        <c:noMultiLvlLbl val="0"/>
      </c:catAx>
      <c:valAx>
        <c:axId val="1409250847"/>
        <c:scaling>
          <c:orientation val="minMax"/>
          <c:max val="200"/>
          <c:min val="70"/>
        </c:scaling>
        <c:delete val="1"/>
        <c:axPos val="t"/>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crossAx val="1409253759"/>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'Regulatory Capital'!$B$27</c:f>
              <c:strCache>
                <c:ptCount val="1"/>
                <c:pt idx="0">
                  <c:v>CET 1 Capital Ratio %</c:v>
                </c:pt>
              </c:strCache>
            </c:strRef>
          </c:tx>
          <c:spPr>
            <a:solidFill>
              <a:schemeClr val="bg2">
                <a:lumMod val="75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25000"/>
                      </a:schemeClr>
                    </a:solidFill>
                    <a:latin typeface="Montserrat SemiBold" panose="000007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'Regulatory Capital'!$C$4:$H$4</c:f>
              <c:strCache>
                <c:ptCount val="6"/>
                <c:pt idx="0">
                  <c:v>2018A</c:v>
                </c:pt>
                <c:pt idx="1">
                  <c:v>2019A</c:v>
                </c:pt>
                <c:pt idx="2">
                  <c:v>2020A</c:v>
                </c:pt>
                <c:pt idx="3">
                  <c:v>2021A</c:v>
                </c:pt>
                <c:pt idx="4">
                  <c:v>2022A</c:v>
                </c:pt>
                <c:pt idx="5">
                  <c:v>TTM</c:v>
                </c:pt>
              </c:strCache>
            </c:strRef>
          </c:cat>
          <c:val>
            <c:numRef>
              <c:f>'Regulatory Capital'!$C$27:$H$27</c:f>
              <c:numCache>
                <c:formatCode>0.00%</c:formatCode>
                <c:ptCount val="6"/>
                <c:pt idx="0">
                  <c:v>0.12000266855733081</c:v>
                </c:pt>
                <c:pt idx="1">
                  <c:v>0.12385832812729861</c:v>
                </c:pt>
                <c:pt idx="2">
                  <c:v>0.13140895637536373</c:v>
                </c:pt>
                <c:pt idx="3">
                  <c:v>0.13053999633900787</c:v>
                </c:pt>
                <c:pt idx="4">
                  <c:v>0.1324033678089043</c:v>
                </c:pt>
                <c:pt idx="5">
                  <c:v>0.13766065015205931</c:v>
                </c:pt>
              </c:numCache>
            </c:numRef>
          </c:val>
          <c:extLst>
            <c:ext xmlns:c16="http://schemas.microsoft.com/office/drawing/2014/chart" uri="{C3380CC4-5D6E-409C-BE32-E72D297353CC}">
              <c16:uniqueId val="{00000000-0113-43D5-8539-7CBB4871886F}"/>
            </c:ext>
          </c:extLst>
        </c:ser>
        <c:ser>
          <c:idx val="1"/>
          <c:order val="1"/>
          <c:tx>
            <c:strRef>
              <c:f>'Regulatory Capital'!$B$28</c:f>
              <c:strCache>
                <c:ptCount val="1"/>
                <c:pt idx="0">
                  <c:v>Tier 1 Capital Ratio %</c:v>
                </c:pt>
              </c:strCache>
            </c:strRef>
          </c:tx>
          <c:spPr>
            <a:solidFill>
              <a:schemeClr val="bg2">
                <a:lumMod val="5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2">
                        <a:lumMod val="25000"/>
                      </a:schemeClr>
                    </a:solidFill>
                    <a:latin typeface="Montserrat SemiBold" panose="000007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'Regulatory Capital'!$C$4:$H$4</c:f>
              <c:strCache>
                <c:ptCount val="6"/>
                <c:pt idx="0">
                  <c:v>2018A</c:v>
                </c:pt>
                <c:pt idx="1">
                  <c:v>2019A</c:v>
                </c:pt>
                <c:pt idx="2">
                  <c:v>2020A</c:v>
                </c:pt>
                <c:pt idx="3">
                  <c:v>2021A</c:v>
                </c:pt>
                <c:pt idx="4">
                  <c:v>2022A</c:v>
                </c:pt>
                <c:pt idx="5">
                  <c:v>TTM</c:v>
                </c:pt>
              </c:strCache>
            </c:strRef>
          </c:cat>
          <c:val>
            <c:numRef>
              <c:f>'Regulatory Capital'!$C$28:$H$28</c:f>
              <c:numCache>
                <c:formatCode>0.00%</c:formatCode>
                <c:ptCount val="6"/>
                <c:pt idx="0">
                  <c:v>0.13675898479707191</c:v>
                </c:pt>
                <c:pt idx="1">
                  <c:v>0.14145813391526577</c:v>
                </c:pt>
                <c:pt idx="2">
                  <c:v>0.15048227967415284</c:v>
                </c:pt>
                <c:pt idx="3">
                  <c:v>0.15019952407102324</c:v>
                </c:pt>
                <c:pt idx="4">
                  <c:v>0.14854874819931566</c:v>
                </c:pt>
                <c:pt idx="5">
                  <c:v>0.15383142203641909</c:v>
                </c:pt>
              </c:numCache>
            </c:numRef>
          </c:val>
          <c:extLst>
            <c:ext xmlns:c16="http://schemas.microsoft.com/office/drawing/2014/chart" uri="{C3380CC4-5D6E-409C-BE32-E72D297353CC}">
              <c16:uniqueId val="{00000001-0113-43D5-8539-7CBB4871886F}"/>
            </c:ext>
          </c:extLst>
        </c:ser>
        <c:ser>
          <c:idx val="2"/>
          <c:order val="2"/>
          <c:tx>
            <c:strRef>
              <c:f>'Regulatory Capital'!$B$29</c:f>
              <c:strCache>
                <c:ptCount val="1"/>
                <c:pt idx="0">
                  <c:v>Total Capital Ratio %</c:v>
                </c:pt>
              </c:strCache>
            </c:strRef>
          </c:tx>
          <c:spPr>
            <a:solidFill>
              <a:schemeClr val="bg2">
                <a:lumMod val="25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2">
                        <a:lumMod val="25000"/>
                      </a:schemeClr>
                    </a:solidFill>
                    <a:latin typeface="Montserrat SemiBold" panose="00000700000000000000"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'Regulatory Capital'!$C$4:$H$4</c:f>
              <c:strCache>
                <c:ptCount val="6"/>
                <c:pt idx="0">
                  <c:v>2018A</c:v>
                </c:pt>
                <c:pt idx="1">
                  <c:v>2019A</c:v>
                </c:pt>
                <c:pt idx="2">
                  <c:v>2020A</c:v>
                </c:pt>
                <c:pt idx="3">
                  <c:v>2021A</c:v>
                </c:pt>
                <c:pt idx="4">
                  <c:v>2022A</c:v>
                </c:pt>
                <c:pt idx="5">
                  <c:v>TTM</c:v>
                </c:pt>
              </c:strCache>
            </c:strRef>
          </c:cat>
          <c:val>
            <c:numRef>
              <c:f>'Regulatory Capital'!$C$29:$H$29</c:f>
              <c:numCache>
                <c:formatCode>0.00%</c:formatCode>
                <c:ptCount val="6"/>
                <c:pt idx="0">
                  <c:v>0.15534600985273225</c:v>
                </c:pt>
                <c:pt idx="1">
                  <c:v>0.16003295799307196</c:v>
                </c:pt>
                <c:pt idx="2">
                  <c:v>0.17296004316263716</c:v>
                </c:pt>
                <c:pt idx="3">
                  <c:v>0.16773445603758619</c:v>
                </c:pt>
                <c:pt idx="4">
                  <c:v>0.16798464867453908</c:v>
                </c:pt>
                <c:pt idx="5">
                  <c:v>0.17358276960074281</c:v>
                </c:pt>
              </c:numCache>
            </c:numRef>
          </c:val>
          <c:extLst>
            <c:ext xmlns:c16="http://schemas.microsoft.com/office/drawing/2014/chart" uri="{C3380CC4-5D6E-409C-BE32-E72D297353CC}">
              <c16:uniqueId val="{00000002-0113-43D5-8539-7CBB4871886F}"/>
            </c:ext>
          </c:extLst>
        </c:ser>
        <c:dLbls>
          <c:showLegendKey val="0"/>
          <c:showVal val="0"/>
          <c:showCatName val="0"/>
          <c:showSerName val="0"/>
          <c:showPercent val="0"/>
          <c:showBubbleSize val="0"/>
        </c:dLbls>
        <c:gapWidth val="219"/>
        <c:overlap val="-27"/>
        <c:axId val="317544335"/>
        <c:axId val="317544751"/>
      </c:barChart>
      <c:catAx>
        <c:axId val="31754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ontserrat" panose="00000500000000000000" pitchFamily="2" charset="0"/>
                <a:ea typeface="+mn-ea"/>
                <a:cs typeface="+mn-cs"/>
              </a:defRPr>
            </a:pPr>
            <a:endParaRPr lang="en-US"/>
          </a:p>
        </c:txPr>
        <c:crossAx val="317544751"/>
        <c:crosses val="autoZero"/>
        <c:auto val="1"/>
        <c:lblAlgn val="ctr"/>
        <c:lblOffset val="100"/>
        <c:noMultiLvlLbl val="0"/>
      </c:catAx>
      <c:valAx>
        <c:axId val="317544751"/>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1" u="none" strike="noStrike" kern="1200" baseline="0">
                <a:solidFill>
                  <a:schemeClr val="tx1">
                    <a:lumMod val="65000"/>
                    <a:lumOff val="35000"/>
                  </a:schemeClr>
                </a:solidFill>
                <a:latin typeface="Montserrat" panose="00000500000000000000" pitchFamily="2" charset="0"/>
                <a:ea typeface="+mn-ea"/>
                <a:cs typeface="Catamaran" pitchFamily="2" charset="0"/>
              </a:defRPr>
            </a:pPr>
            <a:endParaRPr lang="en-US"/>
          </a:p>
        </c:txPr>
        <c:crossAx val="317544335"/>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800" b="0" i="1" u="none" strike="noStrike" kern="1200" baseline="0">
              <a:ln>
                <a:noFill/>
              </a:ln>
              <a:solidFill>
                <a:schemeClr val="tx1">
                  <a:lumMod val="65000"/>
                  <a:lumOff val="35000"/>
                </a:schemeClr>
              </a:solidFill>
              <a:latin typeface="Montserrat SemiBold" panose="00000700000000000000" pitchFamily="2" charset="0"/>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'Regulatory Capital'!$B$25</c:f>
              <c:strCache>
                <c:ptCount val="1"/>
                <c:pt idx="0">
                  <c:v>Risk Weighted Assets</c:v>
                </c:pt>
              </c:strCache>
            </c:strRef>
          </c:tx>
          <c:spPr>
            <a:solidFill>
              <a:schemeClr val="bg2">
                <a:lumMod val="50000"/>
              </a:schemeClr>
            </a:solidFill>
            <a:ln>
              <a:noFill/>
            </a:ln>
            <a:effectLst/>
          </c:spPr>
          <c:invertIfNegative val="0"/>
          <c:cat>
            <c:strRef>
              <c:f>'Regulatory Capital'!$C$4:$H$4</c:f>
              <c:strCache>
                <c:ptCount val="6"/>
                <c:pt idx="0">
                  <c:v>2018A</c:v>
                </c:pt>
                <c:pt idx="1">
                  <c:v>2019A</c:v>
                </c:pt>
                <c:pt idx="2">
                  <c:v>2020A</c:v>
                </c:pt>
                <c:pt idx="3">
                  <c:v>2021A</c:v>
                </c:pt>
                <c:pt idx="4">
                  <c:v>2022A</c:v>
                </c:pt>
                <c:pt idx="5">
                  <c:v>TTM</c:v>
                </c:pt>
              </c:strCache>
            </c:strRef>
          </c:cat>
          <c:val>
            <c:numRef>
              <c:f>'Regulatory Capital'!$C$25:$H$25</c:f>
              <c:numCache>
                <c:formatCode>_("$"* #,##0_);_("$"* \(#,##0\);_("$"* "-"??_);_(@_)</c:formatCode>
                <c:ptCount val="6"/>
                <c:pt idx="0">
                  <c:v>1528916</c:v>
                </c:pt>
                <c:pt idx="1">
                  <c:v>1515869</c:v>
                </c:pt>
                <c:pt idx="2">
                  <c:v>1560609</c:v>
                </c:pt>
                <c:pt idx="3">
                  <c:v>1638900</c:v>
                </c:pt>
                <c:pt idx="4">
                  <c:v>1653538</c:v>
                </c:pt>
                <c:pt idx="5">
                  <c:v>1650014</c:v>
                </c:pt>
              </c:numCache>
            </c:numRef>
          </c:val>
          <c:extLst>
            <c:ext xmlns:c16="http://schemas.microsoft.com/office/drawing/2014/chart" uri="{C3380CC4-5D6E-409C-BE32-E72D297353CC}">
              <c16:uniqueId val="{00000000-5693-4D55-91BE-A66A6AF7A9D6}"/>
            </c:ext>
          </c:extLst>
        </c:ser>
        <c:dLbls>
          <c:showLegendKey val="0"/>
          <c:showVal val="0"/>
          <c:showCatName val="0"/>
          <c:showSerName val="0"/>
          <c:showPercent val="0"/>
          <c:showBubbleSize val="0"/>
        </c:dLbls>
        <c:gapWidth val="46"/>
        <c:overlap val="-27"/>
        <c:axId val="377648447"/>
        <c:axId val="377650527"/>
      </c:barChart>
      <c:catAx>
        <c:axId val="37764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377650527"/>
        <c:crosses val="autoZero"/>
        <c:auto val="1"/>
        <c:lblAlgn val="ctr"/>
        <c:lblOffset val="100"/>
        <c:noMultiLvlLbl val="0"/>
      </c:catAx>
      <c:valAx>
        <c:axId val="37765052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0" i="1" u="none" strike="noStrike" kern="1200" baseline="0">
                <a:solidFill>
                  <a:schemeClr val="tx1">
                    <a:lumMod val="65000"/>
                    <a:lumOff val="35000"/>
                  </a:schemeClr>
                </a:solidFill>
                <a:latin typeface="Montserrat" panose="00000500000000000000" pitchFamily="2" charset="0"/>
                <a:ea typeface="+mn-ea"/>
                <a:cs typeface="+mn-cs"/>
              </a:defRPr>
            </a:pPr>
            <a:endParaRPr lang="en-US"/>
          </a:p>
        </c:txPr>
        <c:crossAx val="377648447"/>
        <c:crosses val="autoZero"/>
        <c:crossBetween val="between"/>
        <c:majorUnit val="7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'Regulatory Capital'!$B$8</c:f>
              <c:strCache>
                <c:ptCount val="1"/>
                <c:pt idx="0">
                  <c:v>Common Equity</c:v>
                </c:pt>
              </c:strCache>
            </c:strRef>
          </c:tx>
          <c:spPr>
            <a:solidFill>
              <a:schemeClr val="bg2">
                <a:lumMod val="25000"/>
              </a:schemeClr>
            </a:solidFill>
            <a:ln>
              <a:noFill/>
            </a:ln>
            <a:effectLst/>
          </c:spPr>
          <c:cat>
            <c:strRef>
              <c:f>'Regulatory Capital'!$C$4:$H$4</c:f>
              <c:strCache>
                <c:ptCount val="6"/>
                <c:pt idx="0">
                  <c:v>2018A</c:v>
                </c:pt>
                <c:pt idx="1">
                  <c:v>2019A</c:v>
                </c:pt>
                <c:pt idx="2">
                  <c:v>2020A</c:v>
                </c:pt>
                <c:pt idx="3">
                  <c:v>2021A</c:v>
                </c:pt>
                <c:pt idx="4">
                  <c:v>2022A</c:v>
                </c:pt>
                <c:pt idx="5">
                  <c:v>TTM</c:v>
                </c:pt>
              </c:strCache>
            </c:strRef>
          </c:cat>
          <c:val>
            <c:numRef>
              <c:f>'Regulatory Capital'!$C$8:$H$8</c:f>
              <c:numCache>
                <c:formatCode>_("$"* #,##0_);_("$"* \(#,##0\);_("$"* "-"??_);_(@_)</c:formatCode>
                <c:ptCount val="6"/>
                <c:pt idx="0">
                  <c:v>230447</c:v>
                </c:pt>
                <c:pt idx="1">
                  <c:v>234337</c:v>
                </c:pt>
                <c:pt idx="2">
                  <c:v>249291</c:v>
                </c:pt>
                <c:pt idx="3">
                  <c:v>259289</c:v>
                </c:pt>
                <c:pt idx="4">
                  <c:v>264928</c:v>
                </c:pt>
                <c:pt idx="5">
                  <c:v>275678</c:v>
                </c:pt>
              </c:numCache>
            </c:numRef>
          </c:val>
          <c:extLst>
            <c:ext xmlns:c16="http://schemas.microsoft.com/office/drawing/2014/chart" uri="{C3380CC4-5D6E-409C-BE32-E72D297353CC}">
              <c16:uniqueId val="{00000000-7807-4972-8CEF-1BC589D6B867}"/>
            </c:ext>
          </c:extLst>
        </c:ser>
        <c:ser>
          <c:idx val="1"/>
          <c:order val="1"/>
          <c:tx>
            <c:strRef>
              <c:f>'Regulatory Capital'!$B$14</c:f>
              <c:strCache>
                <c:ptCount val="1"/>
                <c:pt idx="0">
                  <c:v>CET 1</c:v>
                </c:pt>
              </c:strCache>
            </c:strRef>
          </c:tx>
          <c:spPr>
            <a:solidFill>
              <a:schemeClr val="bg2">
                <a:lumMod val="50000"/>
              </a:schemeClr>
            </a:solidFill>
            <a:ln>
              <a:noFill/>
            </a:ln>
            <a:effectLst/>
          </c:spPr>
          <c:cat>
            <c:strRef>
              <c:f>'Regulatory Capital'!$C$4:$H$4</c:f>
              <c:strCache>
                <c:ptCount val="6"/>
                <c:pt idx="0">
                  <c:v>2018A</c:v>
                </c:pt>
                <c:pt idx="1">
                  <c:v>2019A</c:v>
                </c:pt>
                <c:pt idx="2">
                  <c:v>2020A</c:v>
                </c:pt>
                <c:pt idx="3">
                  <c:v>2021A</c:v>
                </c:pt>
                <c:pt idx="4">
                  <c:v>2022A</c:v>
                </c:pt>
                <c:pt idx="5">
                  <c:v>TTM</c:v>
                </c:pt>
              </c:strCache>
            </c:strRef>
          </c:cat>
          <c:val>
            <c:numRef>
              <c:f>'Regulatory Capital'!$C$14:$H$14</c:f>
              <c:numCache>
                <c:formatCode>_("$"* #,##0_);_("$"* \(#,##0\);_("$"* "-"??_);_(@_)</c:formatCode>
                <c:ptCount val="6"/>
                <c:pt idx="0">
                  <c:v>183474</c:v>
                </c:pt>
                <c:pt idx="1">
                  <c:v>187753</c:v>
                </c:pt>
                <c:pt idx="2">
                  <c:v>205078</c:v>
                </c:pt>
                <c:pt idx="3">
                  <c:v>213942</c:v>
                </c:pt>
                <c:pt idx="4">
                  <c:v>218934</c:v>
                </c:pt>
                <c:pt idx="5">
                  <c:v>227142</c:v>
                </c:pt>
              </c:numCache>
            </c:numRef>
          </c:val>
          <c:extLst>
            <c:ext xmlns:c16="http://schemas.microsoft.com/office/drawing/2014/chart" uri="{C3380CC4-5D6E-409C-BE32-E72D297353CC}">
              <c16:uniqueId val="{00000001-7807-4972-8CEF-1BC589D6B867}"/>
            </c:ext>
          </c:extLst>
        </c:ser>
        <c:ser>
          <c:idx val="2"/>
          <c:order val="2"/>
          <c:tx>
            <c:strRef>
              <c:f>'Regulatory Capital'!$B$18</c:f>
              <c:strCache>
                <c:ptCount val="1"/>
                <c:pt idx="0">
                  <c:v>Tier 1</c:v>
                </c:pt>
              </c:strCache>
            </c:strRef>
          </c:tx>
          <c:spPr>
            <a:solidFill>
              <a:schemeClr val="bg2">
                <a:lumMod val="75000"/>
              </a:schemeClr>
            </a:solidFill>
            <a:ln>
              <a:noFill/>
            </a:ln>
            <a:effectLst/>
          </c:spPr>
          <c:cat>
            <c:strRef>
              <c:f>'Regulatory Capital'!$C$4:$H$4</c:f>
              <c:strCache>
                <c:ptCount val="6"/>
                <c:pt idx="0">
                  <c:v>2018A</c:v>
                </c:pt>
                <c:pt idx="1">
                  <c:v>2019A</c:v>
                </c:pt>
                <c:pt idx="2">
                  <c:v>2020A</c:v>
                </c:pt>
                <c:pt idx="3">
                  <c:v>2021A</c:v>
                </c:pt>
                <c:pt idx="4">
                  <c:v>2022A</c:v>
                </c:pt>
                <c:pt idx="5">
                  <c:v>TTM</c:v>
                </c:pt>
              </c:strCache>
            </c:strRef>
          </c:cat>
          <c:val>
            <c:numRef>
              <c:f>'Regulatory Capital'!$C$18:$H$18</c:f>
              <c:numCache>
                <c:formatCode>_("$"* #,##0_);_("$"* \(#,##0\);_("$"* "-"??_);_(@_)</c:formatCode>
                <c:ptCount val="6"/>
                <c:pt idx="0">
                  <c:v>209093</c:v>
                </c:pt>
                <c:pt idx="1">
                  <c:v>214432</c:v>
                </c:pt>
                <c:pt idx="2">
                  <c:v>234844</c:v>
                </c:pt>
                <c:pt idx="3">
                  <c:v>246162</c:v>
                </c:pt>
                <c:pt idx="4">
                  <c:v>245631</c:v>
                </c:pt>
                <c:pt idx="5">
                  <c:v>253824</c:v>
                </c:pt>
              </c:numCache>
            </c:numRef>
          </c:val>
          <c:extLst>
            <c:ext xmlns:c16="http://schemas.microsoft.com/office/drawing/2014/chart" uri="{C3380CC4-5D6E-409C-BE32-E72D297353CC}">
              <c16:uniqueId val="{00000002-7807-4972-8CEF-1BC589D6B867}"/>
            </c:ext>
          </c:extLst>
        </c:ser>
        <c:ser>
          <c:idx val="3"/>
          <c:order val="3"/>
          <c:tx>
            <c:strRef>
              <c:f>'Regulatory Capital'!$B$23</c:f>
              <c:strCache>
                <c:ptCount val="1"/>
                <c:pt idx="0">
                  <c:v>Total Cap</c:v>
                </c:pt>
              </c:strCache>
            </c:strRef>
          </c:tx>
          <c:spPr>
            <a:solidFill>
              <a:schemeClr val="bg2"/>
            </a:solidFill>
            <a:ln>
              <a:noFill/>
            </a:ln>
            <a:effectLst/>
          </c:spPr>
          <c:cat>
            <c:strRef>
              <c:f>'Regulatory Capital'!$C$4:$H$4</c:f>
              <c:strCache>
                <c:ptCount val="6"/>
                <c:pt idx="0">
                  <c:v>2018A</c:v>
                </c:pt>
                <c:pt idx="1">
                  <c:v>2019A</c:v>
                </c:pt>
                <c:pt idx="2">
                  <c:v>2020A</c:v>
                </c:pt>
                <c:pt idx="3">
                  <c:v>2021A</c:v>
                </c:pt>
                <c:pt idx="4">
                  <c:v>2022A</c:v>
                </c:pt>
                <c:pt idx="5">
                  <c:v>TTM</c:v>
                </c:pt>
              </c:strCache>
            </c:strRef>
          </c:cat>
          <c:val>
            <c:numRef>
              <c:f>'Regulatory Capital'!$C$23:$H$23</c:f>
              <c:numCache>
                <c:formatCode>_("$"* #,##0_);_("$"* \(#,##0\);_("$"* "-"??_);_(@_)</c:formatCode>
                <c:ptCount val="6"/>
                <c:pt idx="0">
                  <c:v>237511</c:v>
                </c:pt>
                <c:pt idx="1">
                  <c:v>242589</c:v>
                </c:pt>
                <c:pt idx="2">
                  <c:v>269923</c:v>
                </c:pt>
                <c:pt idx="3">
                  <c:v>274900</c:v>
                </c:pt>
                <c:pt idx="4">
                  <c:v>277769</c:v>
                </c:pt>
                <c:pt idx="5">
                  <c:v>286414.00000000006</c:v>
                </c:pt>
              </c:numCache>
            </c:numRef>
          </c:val>
          <c:extLst>
            <c:ext xmlns:c16="http://schemas.microsoft.com/office/drawing/2014/chart" uri="{C3380CC4-5D6E-409C-BE32-E72D297353CC}">
              <c16:uniqueId val="{00000003-7807-4972-8CEF-1BC589D6B867}"/>
            </c:ext>
          </c:extLst>
        </c:ser>
        <c:dLbls>
          <c:showLegendKey val="0"/>
          <c:showVal val="0"/>
          <c:showCatName val="0"/>
          <c:showSerName val="0"/>
          <c:showPercent val="0"/>
          <c:showBubbleSize val="0"/>
        </c:dLbls>
        <c:axId val="307678015"/>
        <c:axId val="307663871"/>
      </c:areaChart>
      <c:catAx>
        <c:axId val="3076780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crossAx val="307663871"/>
        <c:crosses val="autoZero"/>
        <c:auto val="1"/>
        <c:lblAlgn val="ctr"/>
        <c:lblOffset val="100"/>
        <c:noMultiLvlLbl val="0"/>
      </c:catAx>
      <c:valAx>
        <c:axId val="307663871"/>
        <c:scaling>
          <c:orientation val="minMax"/>
          <c:max val="1100000"/>
          <c:min val="0"/>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1" u="none" strike="noStrike" kern="1200" baseline="0">
                <a:solidFill>
                  <a:schemeClr val="tx1">
                    <a:lumMod val="65000"/>
                    <a:lumOff val="35000"/>
                  </a:schemeClr>
                </a:solidFill>
                <a:latin typeface="Montserrat" panose="00000500000000000000" pitchFamily="2" charset="0"/>
                <a:ea typeface="+mn-ea"/>
                <a:cs typeface="+mn-cs"/>
              </a:defRPr>
            </a:pPr>
            <a:endParaRPr lang="en-US"/>
          </a:p>
        </c:txPr>
        <c:crossAx val="307678015"/>
        <c:crosses val="autoZero"/>
        <c:crossBetween val="midCat"/>
        <c:majorUnit val="200000"/>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800" b="0" i="1" u="none" strike="noStrike" kern="1200" baseline="0">
              <a:solidFill>
                <a:schemeClr val="tx1">
                  <a:lumMod val="65000"/>
                  <a:lumOff val="35000"/>
                </a:schemeClr>
              </a:solidFill>
              <a:latin typeface="Montserrat SemiBold" panose="00000700000000000000" pitchFamily="2" charset="0"/>
              <a:ea typeface="+mn-ea"/>
              <a:cs typeface="+mn-cs"/>
            </a:defRPr>
          </a:pPr>
          <a:endParaRPr lang="en-US"/>
        </a:p>
      </c:txPr>
    </c:legend>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bg2">
                <a:lumMod val="50000"/>
              </a:schemeClr>
            </a:solidFill>
            <a:ln>
              <a:noFill/>
            </a:ln>
            <a:effectLst/>
          </c:spPr>
          <c:invertIfNegative val="0"/>
          <c:cat>
            <c:numRef>
              <c:f>'Sensitivity Analysis'!$F$20:$J$20</c:f>
              <c:numCache>
                <c:formatCode>0.0%</c:formatCode>
                <c:ptCount val="5"/>
                <c:pt idx="0">
                  <c:v>0.01</c:v>
                </c:pt>
                <c:pt idx="1">
                  <c:v>0.02</c:v>
                </c:pt>
                <c:pt idx="2">
                  <c:v>0.03</c:v>
                </c:pt>
                <c:pt idx="3">
                  <c:v>0.04</c:v>
                </c:pt>
                <c:pt idx="4">
                  <c:v>0.05</c:v>
                </c:pt>
              </c:numCache>
            </c:numRef>
          </c:cat>
          <c:val>
            <c:numRef>
              <c:f>'Sensitivity Analysis'!$F$21:$J$21</c:f>
              <c:numCache>
                <c:formatCode>_("$"* #,##0.00_);_("$"* \(#,##0.00\);_("$"* "-"??_);_(@_)</c:formatCode>
                <c:ptCount val="5"/>
                <c:pt idx="0">
                  <c:v>212.5608291971667</c:v>
                </c:pt>
                <c:pt idx="1">
                  <c:v>180.8848174188746</c:v>
                </c:pt>
                <c:pt idx="2">
                  <c:v>157.20111164293806</c:v>
                </c:pt>
                <c:pt idx="3">
                  <c:v>138.82227120476455</c:v>
                </c:pt>
                <c:pt idx="4">
                  <c:v>124.14436266398042</c:v>
                </c:pt>
              </c:numCache>
            </c:numRef>
          </c:val>
          <c:extLst>
            <c:ext xmlns:c16="http://schemas.microsoft.com/office/drawing/2014/chart" uri="{C3380CC4-5D6E-409C-BE32-E72D297353CC}">
              <c16:uniqueId val="{00000000-BC53-4305-A50C-18F4344E7FCF}"/>
            </c:ext>
          </c:extLst>
        </c:ser>
        <c:dLbls>
          <c:showLegendKey val="0"/>
          <c:showVal val="0"/>
          <c:showCatName val="0"/>
          <c:showSerName val="0"/>
          <c:showPercent val="0"/>
          <c:showBubbleSize val="0"/>
        </c:dLbls>
        <c:gapWidth val="61"/>
        <c:overlap val="-27"/>
        <c:axId val="1306582191"/>
        <c:axId val="1306591343"/>
      </c:barChart>
      <c:catAx>
        <c:axId val="1306582191"/>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ontserrat" panose="00000500000000000000" pitchFamily="2" charset="0"/>
                <a:ea typeface="+mn-ea"/>
                <a:cs typeface="+mn-cs"/>
              </a:defRPr>
            </a:pPr>
            <a:endParaRPr lang="en-US"/>
          </a:p>
        </c:txPr>
        <c:crossAx val="1306591343"/>
        <c:crosses val="autoZero"/>
        <c:auto val="1"/>
        <c:lblAlgn val="ctr"/>
        <c:lblOffset val="100"/>
        <c:noMultiLvlLbl val="0"/>
      </c:catAx>
      <c:valAx>
        <c:axId val="130659134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Montserrat" panose="00000500000000000000" pitchFamily="2" charset="0"/>
                <a:ea typeface="+mn-ea"/>
                <a:cs typeface="+mn-cs"/>
              </a:defRPr>
            </a:pPr>
            <a:endParaRPr lang="en-US"/>
          </a:p>
        </c:txPr>
        <c:crossAx val="1306582191"/>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A87AE887-645D-4AB6-910D-AFE49B59BAE5}" type="doc">
      <dgm:prSet loTypeId="urn:microsoft.com/office/officeart/2005/8/layout/matrix3" loCatId="matrix" qsTypeId="urn:microsoft.com/office/officeart/2005/8/quickstyle/simple1" qsCatId="simple" csTypeId="urn:microsoft.com/office/officeart/2005/8/colors/accent1_2" csCatId="accent1" phldr="1"/>
      <dgm:spPr/>
      <dgm:t>
        <a:bodyPr/>
        <a:lstStyle/>
        <a:p>
          <a:endParaRPr lang="en-US"/>
        </a:p>
      </dgm:t>
    </dgm:pt>
    <dgm:pt modelId="{3B7A71BC-FA89-47E2-BC4D-9FAD0A5D11EE}">
      <dgm:prSet phldrT="[Text]" custT="1"/>
      <dgm:spPr>
        <a:noFill/>
        <a:ln>
          <a:solidFill>
            <a:schemeClr val="bg2">
              <a:lumMod val="50000"/>
            </a:schemeClr>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Surplus + Poor Projects</a:t>
          </a:r>
        </a:p>
      </dgm:t>
    </dgm:pt>
    <dgm:pt modelId="{30CBBC97-DBDF-43FF-99AD-2A0BD071B8FB}" type="parTrans" cxnId="{2127E0DD-B3C7-4112-B4A9-0D33EA379479}">
      <dgm:prSet/>
      <dgm:spPr/>
      <dgm:t>
        <a:bodyPr/>
        <a:lstStyle/>
        <a:p>
          <a:endParaRPr lang="en-US"/>
        </a:p>
      </dgm:t>
    </dgm:pt>
    <dgm:pt modelId="{DAA12A3B-5E75-4CEF-AA0D-7AE536CCF894}" type="sibTrans" cxnId="{2127E0DD-B3C7-4112-B4A9-0D33EA379479}">
      <dgm:prSet/>
      <dgm:spPr/>
      <dgm:t>
        <a:bodyPr/>
        <a:lstStyle/>
        <a:p>
          <a:endParaRPr lang="en-US"/>
        </a:p>
      </dgm:t>
    </dgm:pt>
    <dgm:pt modelId="{6A0527B0-36F2-4B73-A638-CF609A58818B}">
      <dgm:prSet phldrT="[Text]" custT="1"/>
      <dgm:spPr>
        <a:solidFill>
          <a:schemeClr val="bg1"/>
        </a:solidFill>
        <a:ln>
          <a:solidFill>
            <a:schemeClr val="bg2">
              <a:lumMod val="50000"/>
            </a:schemeClr>
          </a:solidFill>
        </a:ln>
      </dgm:spPr>
      <dgm:t>
        <a:bodyPr anchor="t"/>
        <a:lstStyle/>
        <a:p>
          <a:pPr algn="ctr"/>
          <a:endParaRPr lang="en-US" sz="1000" b="0" i="1">
            <a:solidFill>
              <a:sysClr val="windowText" lastClr="000000"/>
            </a:solidFill>
          </a:endParaRPr>
        </a:p>
        <a:p>
          <a:pPr algn="ctr"/>
          <a:r>
            <a:rPr lang="en-US" sz="1000" b="0" i="1">
              <a:solidFill>
                <a:sysClr val="windowText" lastClr="000000"/>
              </a:solidFill>
            </a:rPr>
            <a:t>Cash Surplus + Good Projects</a:t>
          </a:r>
        </a:p>
      </dgm:t>
    </dgm:pt>
    <dgm:pt modelId="{E1EBF0A7-96BA-4B5C-B373-9834D2256AC1}" type="parTrans" cxnId="{80A093ED-CB48-479D-A71F-07F40DCE59C1}">
      <dgm:prSet/>
      <dgm:spPr/>
      <dgm:t>
        <a:bodyPr/>
        <a:lstStyle/>
        <a:p>
          <a:endParaRPr lang="en-US"/>
        </a:p>
      </dgm:t>
    </dgm:pt>
    <dgm:pt modelId="{D853C850-8A9C-4970-A042-85F9B04EBDFA}" type="sibTrans" cxnId="{80A093ED-CB48-479D-A71F-07F40DCE59C1}">
      <dgm:prSet/>
      <dgm:spPr/>
      <dgm:t>
        <a:bodyPr/>
        <a:lstStyle/>
        <a:p>
          <a:endParaRPr lang="en-US"/>
        </a:p>
      </dgm:t>
    </dgm:pt>
    <dgm:pt modelId="{D36CBFB8-D3CE-498D-8D4E-5C125A2163ED}">
      <dgm:prSet phldrT="[Text]" custT="1"/>
      <dgm:spPr>
        <a:noFill/>
        <a:ln>
          <a:solidFill>
            <a:schemeClr val="bg2">
              <a:lumMod val="50000"/>
            </a:schemeClr>
          </a:solidFill>
        </a:ln>
      </dgm:spPr>
      <dgm:t>
        <a:bodyPr anchor="t"/>
        <a:lstStyle/>
        <a:p>
          <a:pPr algn="ctr"/>
          <a:endParaRPr lang="en-US" sz="1000" i="1">
            <a:solidFill>
              <a:sysClr val="windowText" lastClr="000000"/>
            </a:solidFill>
          </a:endParaRPr>
        </a:p>
        <a:p>
          <a:pPr algn="ctr"/>
          <a:r>
            <a:rPr lang="en-US" sz="1000" i="1">
              <a:solidFill>
                <a:sysClr val="windowText" lastClr="000000"/>
              </a:solidFill>
            </a:rPr>
            <a:t>Cash Deficit + Poor Projects</a:t>
          </a:r>
        </a:p>
      </dgm:t>
    </dgm:pt>
    <dgm:pt modelId="{BF1E04AB-6513-4409-B9E3-B96CF47B8A89}" type="parTrans" cxnId="{45D4F201-B93B-4215-8940-5AEF507A9B31}">
      <dgm:prSet/>
      <dgm:spPr/>
      <dgm:t>
        <a:bodyPr/>
        <a:lstStyle/>
        <a:p>
          <a:endParaRPr lang="en-US"/>
        </a:p>
      </dgm:t>
    </dgm:pt>
    <dgm:pt modelId="{81DBC2AF-D8B2-4D07-AF44-478B88333E8C}" type="sibTrans" cxnId="{45D4F201-B93B-4215-8940-5AEF507A9B31}">
      <dgm:prSet/>
      <dgm:spPr/>
      <dgm:t>
        <a:bodyPr/>
        <a:lstStyle/>
        <a:p>
          <a:endParaRPr lang="en-US"/>
        </a:p>
      </dgm:t>
    </dgm:pt>
    <dgm:pt modelId="{A8A7ABEC-1468-4B7C-B3A0-D4CF409B7A3A}">
      <dgm:prSet phldrT="[Text]" custT="1"/>
      <dgm:spPr>
        <a:solidFill>
          <a:schemeClr val="bg2">
            <a:lumMod val="50000"/>
          </a:schemeClr>
        </a:solidFill>
        <a:ln>
          <a:solidFill>
            <a:schemeClr val="bg2">
              <a:lumMod val="50000"/>
            </a:schemeClr>
          </a:solidFill>
        </a:ln>
      </dgm:spPr>
      <dgm:t>
        <a:bodyPr anchor="t"/>
        <a:lstStyle/>
        <a:p>
          <a:pPr algn="ctr"/>
          <a:endParaRPr lang="en-US" sz="1000" b="1" i="1">
            <a:solidFill>
              <a:schemeClr val="bg1"/>
            </a:solidFill>
          </a:endParaRPr>
        </a:p>
        <a:p>
          <a:pPr algn="ctr"/>
          <a:r>
            <a:rPr lang="en-US" sz="1000" b="1" i="1">
              <a:solidFill>
                <a:schemeClr val="bg1"/>
              </a:solidFill>
            </a:rPr>
            <a:t>Cash Deficit + Good Projects</a:t>
          </a:r>
        </a:p>
      </dgm:t>
    </dgm:pt>
    <dgm:pt modelId="{21E16707-C8A9-4939-896E-D201FDF97EE4}" type="parTrans" cxnId="{62942049-EFD1-474C-B456-28C1B8AA0829}">
      <dgm:prSet/>
      <dgm:spPr/>
      <dgm:t>
        <a:bodyPr/>
        <a:lstStyle/>
        <a:p>
          <a:endParaRPr lang="en-US"/>
        </a:p>
      </dgm:t>
    </dgm:pt>
    <dgm:pt modelId="{CF475316-3B7D-4B30-8CD4-D6AD4AFD6709}" type="sibTrans" cxnId="{62942049-EFD1-474C-B456-28C1B8AA0829}">
      <dgm:prSet/>
      <dgm:spPr/>
      <dgm:t>
        <a:bodyPr/>
        <a:lstStyle/>
        <a:p>
          <a:endParaRPr lang="en-US"/>
        </a:p>
      </dgm:t>
    </dgm:pt>
    <dgm:pt modelId="{61BA6A0B-9CC8-4479-B73F-AAD096D83919}" type="pres">
      <dgm:prSet presAssocID="{A87AE887-645D-4AB6-910D-AFE49B59BAE5}" presName="matrix" presStyleCnt="0">
        <dgm:presLayoutVars>
          <dgm:chMax val="1"/>
          <dgm:dir/>
          <dgm:resizeHandles val="exact"/>
        </dgm:presLayoutVars>
      </dgm:prSet>
      <dgm:spPr/>
      <dgm:t>
        <a:bodyPr/>
        <a:lstStyle/>
        <a:p>
          <a:endParaRPr lang="en-US"/>
        </a:p>
      </dgm:t>
    </dgm:pt>
    <dgm:pt modelId="{68121200-9F91-42D1-A953-C31C49AE73E4}" type="pres">
      <dgm:prSet presAssocID="{A87AE887-645D-4AB6-910D-AFE49B59BAE5}" presName="diamond" presStyleLbl="bgShp" presStyleIdx="0" presStyleCnt="1" custLinFactNeighborX="-43750" custLinFactNeighborY="-5556"/>
      <dgm:spPr>
        <a:noFill/>
      </dgm:spPr>
    </dgm:pt>
    <dgm:pt modelId="{612610D0-C9D6-4361-A958-C243B3875A6D}" type="pres">
      <dgm:prSet presAssocID="{A87AE887-645D-4AB6-910D-AFE49B59BAE5}" presName="quad1" presStyleLbl="node1" presStyleIdx="0" presStyleCnt="4">
        <dgm:presLayoutVars>
          <dgm:chMax val="0"/>
          <dgm:chPref val="0"/>
          <dgm:bulletEnabled val="1"/>
        </dgm:presLayoutVars>
      </dgm:prSet>
      <dgm:spPr/>
      <dgm:t>
        <a:bodyPr/>
        <a:lstStyle/>
        <a:p>
          <a:endParaRPr lang="en-US"/>
        </a:p>
      </dgm:t>
    </dgm:pt>
    <dgm:pt modelId="{36A78E69-4D51-412F-B8D8-EE32E2B23F89}" type="pres">
      <dgm:prSet presAssocID="{A87AE887-645D-4AB6-910D-AFE49B59BAE5}" presName="quad2" presStyleLbl="node1" presStyleIdx="1" presStyleCnt="4">
        <dgm:presLayoutVars>
          <dgm:chMax val="0"/>
          <dgm:chPref val="0"/>
          <dgm:bulletEnabled val="1"/>
        </dgm:presLayoutVars>
      </dgm:prSet>
      <dgm:spPr/>
      <dgm:t>
        <a:bodyPr/>
        <a:lstStyle/>
        <a:p>
          <a:endParaRPr lang="en-US"/>
        </a:p>
      </dgm:t>
    </dgm:pt>
    <dgm:pt modelId="{6E5374E9-3063-44D1-A4E6-BD24F914E87F}" type="pres">
      <dgm:prSet presAssocID="{A87AE887-645D-4AB6-910D-AFE49B59BAE5}" presName="quad3" presStyleLbl="node1" presStyleIdx="2" presStyleCnt="4">
        <dgm:presLayoutVars>
          <dgm:chMax val="0"/>
          <dgm:chPref val="0"/>
          <dgm:bulletEnabled val="1"/>
        </dgm:presLayoutVars>
      </dgm:prSet>
      <dgm:spPr/>
      <dgm:t>
        <a:bodyPr/>
        <a:lstStyle/>
        <a:p>
          <a:endParaRPr lang="en-US"/>
        </a:p>
      </dgm:t>
    </dgm:pt>
    <dgm:pt modelId="{4EBBA46B-EC79-44F7-90DE-1561621BC3E5}" type="pres">
      <dgm:prSet presAssocID="{A87AE887-645D-4AB6-910D-AFE49B59BAE5}" presName="quad4" presStyleLbl="node1" presStyleIdx="3" presStyleCnt="4">
        <dgm:presLayoutVars>
          <dgm:chMax val="0"/>
          <dgm:chPref val="0"/>
          <dgm:bulletEnabled val="1"/>
        </dgm:presLayoutVars>
      </dgm:prSet>
      <dgm:spPr/>
      <dgm:t>
        <a:bodyPr/>
        <a:lstStyle/>
        <a:p>
          <a:endParaRPr lang="en-US"/>
        </a:p>
      </dgm:t>
    </dgm:pt>
  </dgm:ptLst>
  <dgm:cxnLst>
    <dgm:cxn modelId="{0C9D54E4-6CC4-43BD-A754-775DA8EA24E2}" type="presOf" srcId="{3B7A71BC-FA89-47E2-BC4D-9FAD0A5D11EE}" destId="{612610D0-C9D6-4361-A958-C243B3875A6D}" srcOrd="0" destOrd="0" presId="urn:microsoft.com/office/officeart/2005/8/layout/matrix3"/>
    <dgm:cxn modelId="{80A093ED-CB48-479D-A71F-07F40DCE59C1}" srcId="{A87AE887-645D-4AB6-910D-AFE49B59BAE5}" destId="{6A0527B0-36F2-4B73-A638-CF609A58818B}" srcOrd="1" destOrd="0" parTransId="{E1EBF0A7-96BA-4B5C-B373-9834D2256AC1}" sibTransId="{D853C850-8A9C-4970-A042-85F9B04EBDFA}"/>
    <dgm:cxn modelId="{62942049-EFD1-474C-B456-28C1B8AA0829}" srcId="{A87AE887-645D-4AB6-910D-AFE49B59BAE5}" destId="{A8A7ABEC-1468-4B7C-B3A0-D4CF409B7A3A}" srcOrd="3" destOrd="0" parTransId="{21E16707-C8A9-4939-896E-D201FDF97EE4}" sibTransId="{CF475316-3B7D-4B30-8CD4-D6AD4AFD6709}"/>
    <dgm:cxn modelId="{009CF931-4BFF-45A5-AC90-3D6E651B3E3C}" type="presOf" srcId="{D36CBFB8-D3CE-498D-8D4E-5C125A2163ED}" destId="{6E5374E9-3063-44D1-A4E6-BD24F914E87F}" srcOrd="0" destOrd="0" presId="urn:microsoft.com/office/officeart/2005/8/layout/matrix3"/>
    <dgm:cxn modelId="{2127E0DD-B3C7-4112-B4A9-0D33EA379479}" srcId="{A87AE887-645D-4AB6-910D-AFE49B59BAE5}" destId="{3B7A71BC-FA89-47E2-BC4D-9FAD0A5D11EE}" srcOrd="0" destOrd="0" parTransId="{30CBBC97-DBDF-43FF-99AD-2A0BD071B8FB}" sibTransId="{DAA12A3B-5E75-4CEF-AA0D-7AE536CCF894}"/>
    <dgm:cxn modelId="{4F649AD8-A863-42EC-9A3D-D39385B15282}" type="presOf" srcId="{A87AE887-645D-4AB6-910D-AFE49B59BAE5}" destId="{61BA6A0B-9CC8-4479-B73F-AAD096D83919}" srcOrd="0" destOrd="0" presId="urn:microsoft.com/office/officeart/2005/8/layout/matrix3"/>
    <dgm:cxn modelId="{45D4F201-B93B-4215-8940-5AEF507A9B31}" srcId="{A87AE887-645D-4AB6-910D-AFE49B59BAE5}" destId="{D36CBFB8-D3CE-498D-8D4E-5C125A2163ED}" srcOrd="2" destOrd="0" parTransId="{BF1E04AB-6513-4409-B9E3-B96CF47B8A89}" sibTransId="{81DBC2AF-D8B2-4D07-AF44-478B88333E8C}"/>
    <dgm:cxn modelId="{F2D73DE8-84EF-4CBE-99DB-63F3EDC245D5}" type="presOf" srcId="{6A0527B0-36F2-4B73-A638-CF609A58818B}" destId="{36A78E69-4D51-412F-B8D8-EE32E2B23F89}" srcOrd="0" destOrd="0" presId="urn:microsoft.com/office/officeart/2005/8/layout/matrix3"/>
    <dgm:cxn modelId="{0791DFD5-670D-4EEF-B786-483852237F32}" type="presOf" srcId="{A8A7ABEC-1468-4B7C-B3A0-D4CF409B7A3A}" destId="{4EBBA46B-EC79-44F7-90DE-1561621BC3E5}" srcOrd="0" destOrd="0" presId="urn:microsoft.com/office/officeart/2005/8/layout/matrix3"/>
    <dgm:cxn modelId="{FD7F2C5C-2D3B-4C24-8EFA-E7F787B94F60}" type="presParOf" srcId="{61BA6A0B-9CC8-4479-B73F-AAD096D83919}" destId="{68121200-9F91-42D1-A953-C31C49AE73E4}" srcOrd="0" destOrd="0" presId="urn:microsoft.com/office/officeart/2005/8/layout/matrix3"/>
    <dgm:cxn modelId="{0CB41018-2871-461E-9CA9-096295B28589}" type="presParOf" srcId="{61BA6A0B-9CC8-4479-B73F-AAD096D83919}" destId="{612610D0-C9D6-4361-A958-C243B3875A6D}" srcOrd="1" destOrd="0" presId="urn:microsoft.com/office/officeart/2005/8/layout/matrix3"/>
    <dgm:cxn modelId="{73CE2809-B945-4363-951A-E5AFB7FA386D}" type="presParOf" srcId="{61BA6A0B-9CC8-4479-B73F-AAD096D83919}" destId="{36A78E69-4D51-412F-B8D8-EE32E2B23F89}" srcOrd="2" destOrd="0" presId="urn:microsoft.com/office/officeart/2005/8/layout/matrix3"/>
    <dgm:cxn modelId="{C9CEFC25-FDBD-4712-80EC-F931854DCA68}" type="presParOf" srcId="{61BA6A0B-9CC8-4479-B73F-AAD096D83919}" destId="{6E5374E9-3063-44D1-A4E6-BD24F914E87F}" srcOrd="3" destOrd="0" presId="urn:microsoft.com/office/officeart/2005/8/layout/matrix3"/>
    <dgm:cxn modelId="{82653115-9937-4E71-BEDE-43091A54CE01}" type="presParOf" srcId="{61BA6A0B-9CC8-4479-B73F-AAD096D83919}" destId="{4EBBA46B-EC79-44F7-90DE-1561621BC3E5}" srcOrd="4" destOrd="0" presId="urn:microsoft.com/office/officeart/2005/8/layout/matrix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68121200-9F91-42D1-A953-C31C49AE73E4}">
      <dsp:nvSpPr>
        <dsp:cNvPr id="0" name=""/>
        <dsp:cNvSpPr/>
      </dsp:nvSpPr>
      <dsp:spPr>
        <a:xfrm>
          <a:off x="0" y="0"/>
          <a:ext cx="3324225" cy="3324225"/>
        </a:xfrm>
        <a:prstGeom prst="diamond">
          <a:avLst/>
        </a:prstGeom>
        <a:noFill/>
        <a:ln>
          <a:noFill/>
        </a:ln>
        <a:effectLst/>
      </dsp:spPr>
      <dsp:style>
        <a:lnRef idx="0">
          <a:scrgbClr r="0" g="0" b="0"/>
        </a:lnRef>
        <a:fillRef idx="1">
          <a:scrgbClr r="0" g="0" b="0"/>
        </a:fillRef>
        <a:effectRef idx="0">
          <a:scrgbClr r="0" g="0" b="0"/>
        </a:effectRef>
        <a:fontRef idx="minor"/>
      </dsp:style>
    </dsp:sp>
    <dsp:sp modelId="{612610D0-C9D6-4361-A958-C243B3875A6D}">
      <dsp:nvSpPr>
        <dsp:cNvPr id="0" name=""/>
        <dsp:cNvSpPr/>
      </dsp:nvSpPr>
      <dsp:spPr>
        <a:xfrm>
          <a:off x="372950" y="315801"/>
          <a:ext cx="1296447" cy="1296447"/>
        </a:xfrm>
        <a:prstGeom prst="roundRect">
          <a:avLst/>
        </a:prstGeom>
        <a:noFill/>
        <a:ln w="25400" cap="flat" cmpd="sng" algn="ctr">
          <a:solidFill>
            <a:schemeClr val="bg2">
              <a:lumMod val="50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Surplus + Poor Projects</a:t>
          </a:r>
        </a:p>
      </dsp:txBody>
      <dsp:txXfrm>
        <a:off x="436237" y="379088"/>
        <a:ext cx="1169873" cy="1169873"/>
      </dsp:txXfrm>
    </dsp:sp>
    <dsp:sp modelId="{36A78E69-4D51-412F-B8D8-EE32E2B23F89}">
      <dsp:nvSpPr>
        <dsp:cNvPr id="0" name=""/>
        <dsp:cNvSpPr/>
      </dsp:nvSpPr>
      <dsp:spPr>
        <a:xfrm>
          <a:off x="1769125" y="315801"/>
          <a:ext cx="1296447" cy="1296447"/>
        </a:xfrm>
        <a:prstGeom prst="roundRect">
          <a:avLst/>
        </a:prstGeom>
        <a:solidFill>
          <a:schemeClr val="bg1"/>
        </a:solidFill>
        <a:ln w="25400" cap="flat" cmpd="sng" algn="ctr">
          <a:solidFill>
            <a:schemeClr val="bg2">
              <a:lumMod val="50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0" i="1" kern="1200">
            <a:solidFill>
              <a:sysClr val="windowText" lastClr="000000"/>
            </a:solidFill>
          </a:endParaRPr>
        </a:p>
        <a:p>
          <a:pPr lvl="0" algn="ctr" defTabSz="444500">
            <a:lnSpc>
              <a:spcPct val="90000"/>
            </a:lnSpc>
            <a:spcBef>
              <a:spcPct val="0"/>
            </a:spcBef>
            <a:spcAft>
              <a:spcPct val="35000"/>
            </a:spcAft>
          </a:pPr>
          <a:r>
            <a:rPr lang="en-US" sz="1000" b="0" i="1" kern="1200">
              <a:solidFill>
                <a:sysClr val="windowText" lastClr="000000"/>
              </a:solidFill>
            </a:rPr>
            <a:t>Cash Surplus + Good Projects</a:t>
          </a:r>
        </a:p>
      </dsp:txBody>
      <dsp:txXfrm>
        <a:off x="1832412" y="379088"/>
        <a:ext cx="1169873" cy="1169873"/>
      </dsp:txXfrm>
    </dsp:sp>
    <dsp:sp modelId="{6E5374E9-3063-44D1-A4E6-BD24F914E87F}">
      <dsp:nvSpPr>
        <dsp:cNvPr id="0" name=""/>
        <dsp:cNvSpPr/>
      </dsp:nvSpPr>
      <dsp:spPr>
        <a:xfrm>
          <a:off x="372950" y="1711975"/>
          <a:ext cx="1296447" cy="1296447"/>
        </a:xfrm>
        <a:prstGeom prst="roundRect">
          <a:avLst/>
        </a:prstGeom>
        <a:noFill/>
        <a:ln w="25400" cap="flat" cmpd="sng" algn="ctr">
          <a:solidFill>
            <a:schemeClr val="bg2">
              <a:lumMod val="50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i="1" kern="1200">
            <a:solidFill>
              <a:sysClr val="windowText" lastClr="000000"/>
            </a:solidFill>
          </a:endParaRPr>
        </a:p>
        <a:p>
          <a:pPr lvl="0" algn="ctr" defTabSz="444500">
            <a:lnSpc>
              <a:spcPct val="90000"/>
            </a:lnSpc>
            <a:spcBef>
              <a:spcPct val="0"/>
            </a:spcBef>
            <a:spcAft>
              <a:spcPct val="35000"/>
            </a:spcAft>
          </a:pPr>
          <a:r>
            <a:rPr lang="en-US" sz="1000" i="1" kern="1200">
              <a:solidFill>
                <a:sysClr val="windowText" lastClr="000000"/>
              </a:solidFill>
            </a:rPr>
            <a:t>Cash Deficit + Poor Projects</a:t>
          </a:r>
        </a:p>
      </dsp:txBody>
      <dsp:txXfrm>
        <a:off x="436237" y="1775262"/>
        <a:ext cx="1169873" cy="1169873"/>
      </dsp:txXfrm>
    </dsp:sp>
    <dsp:sp modelId="{4EBBA46B-EC79-44F7-90DE-1561621BC3E5}">
      <dsp:nvSpPr>
        <dsp:cNvPr id="0" name=""/>
        <dsp:cNvSpPr/>
      </dsp:nvSpPr>
      <dsp:spPr>
        <a:xfrm>
          <a:off x="1769125" y="1711975"/>
          <a:ext cx="1296447" cy="1296447"/>
        </a:xfrm>
        <a:prstGeom prst="roundRect">
          <a:avLst/>
        </a:prstGeom>
        <a:solidFill>
          <a:schemeClr val="bg2">
            <a:lumMod val="50000"/>
          </a:schemeClr>
        </a:solidFill>
        <a:ln w="25400" cap="flat" cmpd="sng" algn="ctr">
          <a:solidFill>
            <a:schemeClr val="bg2">
              <a:lumMod val="50000"/>
            </a:schemeClr>
          </a:solidFill>
          <a:prstDash val="solid"/>
        </a:ln>
        <a:effectLst/>
      </dsp:spPr>
      <dsp:style>
        <a:lnRef idx="2">
          <a:scrgbClr r="0" g="0" b="0"/>
        </a:lnRef>
        <a:fillRef idx="1">
          <a:scrgbClr r="0" g="0" b="0"/>
        </a:fillRef>
        <a:effectRef idx="0">
          <a:scrgbClr r="0" g="0" b="0"/>
        </a:effectRef>
        <a:fontRef idx="minor">
          <a:schemeClr val="lt1"/>
        </a:fontRef>
      </dsp:style>
      <dsp:txBody>
        <a:bodyPr spcFirstLastPara="0" vert="horz" wrap="square" lIns="38100" tIns="38100" rIns="38100" bIns="38100" numCol="1" spcCol="1270" anchor="t" anchorCtr="0">
          <a:noAutofit/>
        </a:bodyPr>
        <a:lstStyle/>
        <a:p>
          <a:pPr lvl="0" algn="ctr" defTabSz="444500">
            <a:lnSpc>
              <a:spcPct val="90000"/>
            </a:lnSpc>
            <a:spcBef>
              <a:spcPct val="0"/>
            </a:spcBef>
            <a:spcAft>
              <a:spcPct val="35000"/>
            </a:spcAft>
          </a:pPr>
          <a:endParaRPr lang="en-US" sz="1000" b="1" i="1" kern="1200">
            <a:solidFill>
              <a:schemeClr val="bg1"/>
            </a:solidFill>
          </a:endParaRPr>
        </a:p>
        <a:p>
          <a:pPr lvl="0" algn="ctr" defTabSz="444500">
            <a:lnSpc>
              <a:spcPct val="90000"/>
            </a:lnSpc>
            <a:spcBef>
              <a:spcPct val="0"/>
            </a:spcBef>
            <a:spcAft>
              <a:spcPct val="35000"/>
            </a:spcAft>
          </a:pPr>
          <a:r>
            <a:rPr lang="en-US" sz="1000" b="1" i="1" kern="1200">
              <a:solidFill>
                <a:schemeClr val="bg1"/>
              </a:solidFill>
            </a:rPr>
            <a:t>Cash Deficit + Good Projects</a:t>
          </a:r>
        </a:p>
      </dsp:txBody>
      <dsp:txXfrm>
        <a:off x="1832412" y="1775262"/>
        <a:ext cx="1169873" cy="1169873"/>
      </dsp:txXfrm>
    </dsp:sp>
  </dsp:spTree>
</dsp:drawing>
</file>

<file path=xl/diagrams/layout1.xml><?xml version="1.0" encoding="utf-8"?>
<dgm:layoutDef xmlns:dgm="http://schemas.openxmlformats.org/drawingml/2006/diagram" xmlns:a="http://schemas.openxmlformats.org/drawingml/2006/main" uniqueId="urn:microsoft.com/office/officeart/2005/8/layout/matrix3">
  <dgm:title val=""/>
  <dgm:desc val=""/>
  <dgm:catLst>
    <dgm:cat type="matrix" pri="1000"/>
    <dgm:cat type="convert" pri="18000"/>
  </dgm:catLst>
  <dgm:sampData>
    <dgm:dataModel>
      <dgm:ptLst>
        <dgm:pt modelId="0" type="doc"/>
        <dgm:pt modelId="1">
          <dgm:prSet phldr="1"/>
        </dgm:pt>
        <dgm:pt modelId="2">
          <dgm:prSet phldr="1"/>
        </dgm:pt>
        <dgm:pt modelId="3">
          <dgm:prSet phldr="1"/>
        </dgm:pt>
        <dgm:pt modelId="4">
          <dgm:prSet phldr="1"/>
        </dgm:pt>
      </dgm:ptLst>
      <dgm:cxnLst>
        <dgm:cxn modelId="5" srcId="0" destId="1" srcOrd="0" destOrd="0"/>
        <dgm:cxn modelId="6" srcId="0" destId="2" srcOrd="1" destOrd="0"/>
        <dgm:cxn modelId="7" srcId="0" destId="3" srcOrd="0" destOrd="0"/>
        <dgm:cxn modelId="8" srcId="0" destId="4" srcOrd="1" destOrd="0"/>
      </dgm:cxnLst>
      <dgm:bg/>
      <dgm:whole/>
    </dgm:dataModel>
  </dgm:sampData>
  <dgm:styleData useDef="1">
    <dgm:dataModel>
      <dgm:ptLst/>
      <dgm:bg/>
      <dgm:whole/>
    </dgm:dataModel>
  </dgm:styleData>
  <dgm:clrData useDef="1">
    <dgm:dataModel>
      <dgm:ptLst/>
      <dgm:bg/>
      <dgm:whole/>
    </dgm:dataModel>
  </dgm:clrData>
  <dgm:layoutNode name="matrix">
    <dgm:varLst>
      <dgm:chMax val="1"/>
      <dgm:dir/>
      <dgm:resizeHandles val="exact"/>
    </dgm:varLst>
    <dgm:alg type="composite">
      <dgm:param type="ar" val="1"/>
    </dgm:alg>
    <dgm:shape xmlns:r="http://schemas.openxmlformats.org/officeDocument/2006/relationships" r:blip="">
      <dgm:adjLst/>
    </dgm:shape>
    <dgm:presOf/>
    <dgm:choose name="Name0">
      <dgm:if name="Name1" func="var" arg="dir" op="equ" val="norm">
        <dgm:constrLst>
          <dgm:constr type="w" for="ch" forName="diamond" refType="w"/>
          <dgm:constr type="h" for="ch" forName="diamond" refType="h"/>
          <dgm:constr type="w" for="ch" forName="quad1" refType="w" fact="0.39"/>
          <dgm:constr type="h" for="ch" forName="quad1" refType="h" fact="0.39"/>
          <dgm:constr type="ctrX" for="ch" forName="quad1" refType="w" fact="0.29"/>
          <dgm:constr type="ctrY" for="ch" forName="quad1" refType="h" fact="0.29"/>
          <dgm:constr type="w" for="ch" forName="quad2" refType="w" fact="0.39"/>
          <dgm:constr type="h" for="ch" forName="quad2" refType="h" fact="0.39"/>
          <dgm:constr type="ctrX" for="ch" forName="quad2" refType="w" fact="0.71"/>
          <dgm:constr type="ctrY" for="ch" forName="quad2" refType="h" fact="0.29"/>
          <dgm:constr type="w" for="ch" forName="quad3" refType="w" fact="0.39"/>
          <dgm:constr type="h" for="ch" forName="quad3" refType="h" fact="0.39"/>
          <dgm:constr type="ctrX" for="ch" forName="quad3" refType="w" fact="0.29"/>
          <dgm:constr type="ctrY" for="ch" forName="quad3" refType="h" fact="0.71"/>
          <dgm:constr type="w" for="ch" forName="quad4" refType="w" fact="0.39"/>
          <dgm:constr type="h" for="ch" forName="quad4" refType="h" fact="0.39"/>
          <dgm:constr type="ctrX" for="ch" forName="quad4" refType="w" fact="0.71"/>
          <dgm:constr type="ctrY" for="ch" forName="quad4" refType="h" fact="0.71"/>
          <dgm:constr type="primFontSz" for="des" ptType="node" op="equ" val="65"/>
        </dgm:constrLst>
      </dgm:if>
      <dgm:else name="Name2">
        <dgm:constrLst>
          <dgm:constr type="w" for="ch" forName="diamond" refType="w"/>
          <dgm:constr type="h" for="ch" forName="diamond" refType="h"/>
          <dgm:constr type="w" for="ch" forName="quad1" refType="w" fact="0.39"/>
          <dgm:constr type="h" for="ch" forName="quad1" refType="h" fact="0.39"/>
          <dgm:constr type="ctrX" for="ch" forName="quad1" refType="w" fact="0.71"/>
          <dgm:constr type="ctrY" for="ch" forName="quad1" refType="h" fact="0.29"/>
          <dgm:constr type="w" for="ch" forName="quad2" refType="w" fact="0.39"/>
          <dgm:constr type="h" for="ch" forName="quad2" refType="h" fact="0.39"/>
          <dgm:constr type="ctrX" for="ch" forName="quad2" refType="w" fact="0.29"/>
          <dgm:constr type="ctrY" for="ch" forName="quad2" refType="h" fact="0.29"/>
          <dgm:constr type="w" for="ch" forName="quad3" refType="w" fact="0.39"/>
          <dgm:constr type="h" for="ch" forName="quad3" refType="h" fact="0.39"/>
          <dgm:constr type="ctrX" for="ch" forName="quad3" refType="w" fact="0.71"/>
          <dgm:constr type="ctrY" for="ch" forName="quad3" refType="h" fact="0.71"/>
          <dgm:constr type="w" for="ch" forName="quad4" refType="w" fact="0.39"/>
          <dgm:constr type="h" for="ch" forName="quad4" refType="h" fact="0.39"/>
          <dgm:constr type="ctrX" for="ch" forName="quad4" refType="w" fact="0.29"/>
          <dgm:constr type="ctrY" for="ch" forName="quad4" refType="h" fact="0.71"/>
          <dgm:constr type="primFontSz" for="des" ptType="node" op="equ" val="65"/>
        </dgm:constrLst>
      </dgm:else>
    </dgm:choose>
    <dgm:ruleLst/>
    <dgm:choose name="Name3">
      <dgm:if name="Name4" axis="ch" ptType="node" func="cnt" op="gte" val="1">
        <dgm:layoutNode name="diamond" styleLbl="bgShp">
          <dgm:alg type="sp"/>
          <dgm:shape xmlns:r="http://schemas.openxmlformats.org/officeDocument/2006/relationships" type="diamond" r:blip="">
            <dgm:adjLst/>
          </dgm:shape>
          <dgm:presOf/>
          <dgm:constrLst>
            <dgm:constr type="w" refType="h" op="equ"/>
          </dgm:constrLst>
          <dgm:ruleLst/>
        </dgm:layoutNode>
        <dgm:layoutNode name="quad1">
          <dgm:varLst>
            <dgm:chMax val="0"/>
            <dgm:chPref val="0"/>
            <dgm:bulletEnabled val="1"/>
          </dgm:varLst>
          <dgm:alg type="tx"/>
          <dgm:shape xmlns:r="http://schemas.openxmlformats.org/officeDocument/2006/relationships" type="roundRect" r:blip="">
            <dgm:adjLst/>
          </dgm:shape>
          <dgm:presOf axis="ch desOrSelf" ptType="node node" st="1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2">
          <dgm:varLst>
            <dgm:chMax val="0"/>
            <dgm:chPref val="0"/>
            <dgm:bulletEnabled val="1"/>
          </dgm:varLst>
          <dgm:alg type="tx"/>
          <dgm:shape xmlns:r="http://schemas.openxmlformats.org/officeDocument/2006/relationships" type="roundRect" r:blip="">
            <dgm:adjLst/>
          </dgm:shape>
          <dgm:presOf axis="ch desOrSelf" ptType="node node" st="2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3">
          <dgm:varLst>
            <dgm:chMax val="0"/>
            <dgm:chPref val="0"/>
            <dgm:bulletEnabled val="1"/>
          </dgm:varLst>
          <dgm:alg type="tx"/>
          <dgm:shape xmlns:r="http://schemas.openxmlformats.org/officeDocument/2006/relationships" type="roundRect" r:blip="">
            <dgm:adjLst/>
          </dgm:shape>
          <dgm:presOf axis="ch desOrSelf" ptType="node node" st="3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layoutNode name="quad4">
          <dgm:varLst>
            <dgm:chMax val="0"/>
            <dgm:chPref val="0"/>
            <dgm:bulletEnabled val="1"/>
          </dgm:varLst>
          <dgm:alg type="tx"/>
          <dgm:shape xmlns:r="http://schemas.openxmlformats.org/officeDocument/2006/relationships" type="roundRect" r:blip="">
            <dgm:adjLst/>
          </dgm:shape>
          <dgm:presOf axis="ch desOrSelf" ptType="node node" st="4 1" cnt="1 0"/>
          <dgm:constrLst>
            <dgm:constr type="w" refType="h" op="equ"/>
            <dgm:constr type="tMarg" refType="primFontSz" fact="0.3"/>
            <dgm:constr type="bMarg" refType="primFontSz" fact="0.3"/>
            <dgm:constr type="lMarg" refType="primFontSz" fact="0.3"/>
            <dgm:constr type="rMarg" refType="primFontSz" fact="0.3"/>
          </dgm:constrLst>
          <dgm:ruleLst>
            <dgm:rule type="primFontSz" val="5" fact="NaN" max="NaN"/>
          </dgm:ruleLst>
        </dgm:layoutNode>
      </dgm:if>
      <dgm:else name="Name5"/>
    </dgm:choose>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4.xml"/><Relationship Id="rId5" Type="http://schemas.microsoft.com/office/2007/relationships/hdphoto" Target="../media/hdphoto1.wdp"/><Relationship Id="rId4" Type="http://schemas.openxmlformats.org/officeDocument/2006/relationships/image" Target="../media/image1.png"/><Relationship Id="rId9"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diagramQuickStyle" Target="../diagrams/quickStyle1.xml"/><Relationship Id="rId7" Type="http://schemas.microsoft.com/office/2007/relationships/hdphoto" Target="../media/hdphoto1.wdp"/><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image" Target="../media/image1.png"/><Relationship Id="rId5" Type="http://schemas.microsoft.com/office/2007/relationships/diagramDrawing" Target="../diagrams/drawing1.xml"/><Relationship Id="rId4" Type="http://schemas.openxmlformats.org/officeDocument/2006/relationships/diagramColors" Target="../diagrams/colors1.xml"/></Relationships>
</file>

<file path=xl/drawings/drawing1.xml><?xml version="1.0" encoding="utf-8"?>
<xdr:wsDr xmlns:xdr="http://schemas.openxmlformats.org/drawingml/2006/spreadsheetDrawing" xmlns:a="http://schemas.openxmlformats.org/drawingml/2006/main">
  <xdr:twoCellAnchor>
    <xdr:from>
      <xdr:col>20</xdr:col>
      <xdr:colOff>57150</xdr:colOff>
      <xdr:row>7</xdr:row>
      <xdr:rowOff>38100</xdr:rowOff>
    </xdr:from>
    <xdr:to>
      <xdr:col>24</xdr:col>
      <xdr:colOff>28575</xdr:colOff>
      <xdr:row>16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57151</xdr:colOff>
      <xdr:row>7</xdr:row>
      <xdr:rowOff>0</xdr:rowOff>
    </xdr:from>
    <xdr:to>
      <xdr:col>26</xdr:col>
      <xdr:colOff>66675</xdr:colOff>
      <xdr:row>16</xdr:row>
      <xdr:rowOff>142876</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819149</xdr:colOff>
      <xdr:row>8</xdr:row>
      <xdr:rowOff>66675</xdr:rowOff>
    </xdr:from>
    <xdr:to>
      <xdr:col>27</xdr:col>
      <xdr:colOff>923924</xdr:colOff>
      <xdr:row>10</xdr:row>
      <xdr:rowOff>9525</xdr:rowOff>
    </xdr:to>
    <xdr:sp macro="" textlink="">
      <xdr:nvSpPr>
        <xdr:cNvPr id="15" name="TextBox 14"/>
        <xdr:cNvSpPr txBox="1"/>
      </xdr:nvSpPr>
      <xdr:spPr>
        <a:xfrm>
          <a:off x="11401424" y="1133475"/>
          <a:ext cx="10763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Compensation</a:t>
          </a:r>
        </a:p>
      </xdr:txBody>
    </xdr:sp>
    <xdr:clientData/>
  </xdr:twoCellAnchor>
  <xdr:twoCellAnchor>
    <xdr:from>
      <xdr:col>25</xdr:col>
      <xdr:colOff>819150</xdr:colOff>
      <xdr:row>10</xdr:row>
      <xdr:rowOff>31750</xdr:rowOff>
    </xdr:from>
    <xdr:to>
      <xdr:col>27</xdr:col>
      <xdr:colOff>876300</xdr:colOff>
      <xdr:row>11</xdr:row>
      <xdr:rowOff>136525</xdr:rowOff>
    </xdr:to>
    <xdr:sp macro="" textlink="">
      <xdr:nvSpPr>
        <xdr:cNvPr id="16" name="TextBox 15"/>
        <xdr:cNvSpPr txBox="1"/>
      </xdr:nvSpPr>
      <xdr:spPr>
        <a:xfrm>
          <a:off x="11401425" y="1422400"/>
          <a:ext cx="102870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Shareholder Rights</a:t>
          </a:r>
        </a:p>
      </xdr:txBody>
    </xdr:sp>
    <xdr:clientData/>
  </xdr:twoCellAnchor>
  <xdr:twoCellAnchor>
    <xdr:from>
      <xdr:col>25</xdr:col>
      <xdr:colOff>819150</xdr:colOff>
      <xdr:row>11</xdr:row>
      <xdr:rowOff>158750</xdr:rowOff>
    </xdr:from>
    <xdr:to>
      <xdr:col>27</xdr:col>
      <xdr:colOff>609601</xdr:colOff>
      <xdr:row>13</xdr:row>
      <xdr:rowOff>73025</xdr:rowOff>
    </xdr:to>
    <xdr:sp macro="" textlink="">
      <xdr:nvSpPr>
        <xdr:cNvPr id="17" name="TextBox 16"/>
        <xdr:cNvSpPr txBox="1"/>
      </xdr:nvSpPr>
      <xdr:spPr>
        <a:xfrm>
          <a:off x="11401425" y="1711325"/>
          <a:ext cx="7620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Board</a:t>
          </a:r>
        </a:p>
      </xdr:txBody>
    </xdr:sp>
    <xdr:clientData/>
  </xdr:twoCellAnchor>
  <xdr:twoCellAnchor>
    <xdr:from>
      <xdr:col>25</xdr:col>
      <xdr:colOff>819150</xdr:colOff>
      <xdr:row>13</xdr:row>
      <xdr:rowOff>95250</xdr:rowOff>
    </xdr:from>
    <xdr:to>
      <xdr:col>27</xdr:col>
      <xdr:colOff>609601</xdr:colOff>
      <xdr:row>15</xdr:row>
      <xdr:rowOff>9525</xdr:rowOff>
    </xdr:to>
    <xdr:sp macro="" textlink="">
      <xdr:nvSpPr>
        <xdr:cNvPr id="18" name="TextBox 17"/>
        <xdr:cNvSpPr txBox="1"/>
      </xdr:nvSpPr>
      <xdr:spPr>
        <a:xfrm>
          <a:off x="11401425" y="2000250"/>
          <a:ext cx="7620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Audit</a:t>
          </a:r>
        </a:p>
      </xdr:txBody>
    </xdr:sp>
    <xdr:clientData/>
  </xdr:twoCellAnchor>
  <xdr:twoCellAnchor>
    <xdr:from>
      <xdr:col>25</xdr:col>
      <xdr:colOff>47625</xdr:colOff>
      <xdr:row>19</xdr:row>
      <xdr:rowOff>66675</xdr:rowOff>
    </xdr:from>
    <xdr:to>
      <xdr:col>28</xdr:col>
      <xdr:colOff>28575</xdr:colOff>
      <xdr:row>30</xdr:row>
      <xdr:rowOff>38099</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66675</xdr:colOff>
      <xdr:row>26</xdr:row>
      <xdr:rowOff>152400</xdr:rowOff>
    </xdr:from>
    <xdr:to>
      <xdr:col>23</xdr:col>
      <xdr:colOff>504826</xdr:colOff>
      <xdr:row>28</xdr:row>
      <xdr:rowOff>95250</xdr:rowOff>
    </xdr:to>
    <xdr:sp macro="" textlink="">
      <xdr:nvSpPr>
        <xdr:cNvPr id="21" name="TextBox 20"/>
        <xdr:cNvSpPr txBox="1"/>
      </xdr:nvSpPr>
      <xdr:spPr>
        <a:xfrm>
          <a:off x="9477375" y="4076700"/>
          <a:ext cx="990601"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ROIC</a:t>
          </a:r>
          <a:r>
            <a:rPr lang="en-US" sz="1100" baseline="0">
              <a:latin typeface="Catamaran" pitchFamily="2" charset="0"/>
              <a:cs typeface="Catamaran" pitchFamily="2" charset="0"/>
            </a:rPr>
            <a:t> %</a:t>
          </a:r>
          <a:endParaRPr lang="en-US" sz="1100">
            <a:latin typeface="Catamaran" pitchFamily="2" charset="0"/>
            <a:cs typeface="Catamaran" pitchFamily="2" charset="0"/>
          </a:endParaRPr>
        </a:p>
      </xdr:txBody>
    </xdr:sp>
    <xdr:clientData/>
  </xdr:twoCellAnchor>
  <xdr:twoCellAnchor>
    <xdr:from>
      <xdr:col>22</xdr:col>
      <xdr:colOff>104775</xdr:colOff>
      <xdr:row>28</xdr:row>
      <xdr:rowOff>38100</xdr:rowOff>
    </xdr:from>
    <xdr:to>
      <xdr:col>25</xdr:col>
      <xdr:colOff>123825</xdr:colOff>
      <xdr:row>29</xdr:row>
      <xdr:rowOff>142875</xdr:rowOff>
    </xdr:to>
    <xdr:sp macro="" textlink="">
      <xdr:nvSpPr>
        <xdr:cNvPr id="22" name="TextBox 21"/>
        <xdr:cNvSpPr txBox="1"/>
      </xdr:nvSpPr>
      <xdr:spPr>
        <a:xfrm>
          <a:off x="9515475" y="4286250"/>
          <a:ext cx="119062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Catamaran" pitchFamily="2" charset="0"/>
              <a:cs typeface="Catamaran" pitchFamily="2" charset="0"/>
            </a:rPr>
            <a:t>EBIT Margin</a:t>
          </a:r>
        </a:p>
      </xdr:txBody>
    </xdr:sp>
    <xdr:clientData/>
  </xdr:twoCellAnchor>
  <xdr:twoCellAnchor>
    <xdr:from>
      <xdr:col>20</xdr:col>
      <xdr:colOff>876299</xdr:colOff>
      <xdr:row>27</xdr:row>
      <xdr:rowOff>57150</xdr:rowOff>
    </xdr:from>
    <xdr:to>
      <xdr:col>22</xdr:col>
      <xdr:colOff>19050</xdr:colOff>
      <xdr:row>28</xdr:row>
      <xdr:rowOff>57150</xdr:rowOff>
    </xdr:to>
    <xdr:sp macro="" textlink="">
      <xdr:nvSpPr>
        <xdr:cNvPr id="23" name="Rounded Rectangle 22"/>
        <xdr:cNvSpPr/>
      </xdr:nvSpPr>
      <xdr:spPr>
        <a:xfrm>
          <a:off x="9267824" y="4143375"/>
          <a:ext cx="161926" cy="161925"/>
        </a:xfrm>
        <a:prstGeom prst="roundRect">
          <a:avLst/>
        </a:prstGeom>
        <a:solidFill>
          <a:srgbClr val="0039A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876299</xdr:colOff>
      <xdr:row>28</xdr:row>
      <xdr:rowOff>114300</xdr:rowOff>
    </xdr:from>
    <xdr:to>
      <xdr:col>22</xdr:col>
      <xdr:colOff>19050</xdr:colOff>
      <xdr:row>29</xdr:row>
      <xdr:rowOff>114300</xdr:rowOff>
    </xdr:to>
    <xdr:sp macro="" textlink="">
      <xdr:nvSpPr>
        <xdr:cNvPr id="24" name="Rounded Rectangle 23"/>
        <xdr:cNvSpPr/>
      </xdr:nvSpPr>
      <xdr:spPr>
        <a:xfrm>
          <a:off x="9267824" y="4362450"/>
          <a:ext cx="161926" cy="161925"/>
        </a:xfrm>
        <a:prstGeom prst="roundRect">
          <a:avLst/>
        </a:prstGeom>
        <a:solidFill>
          <a:srgbClr val="B9D0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13</xdr:col>
      <xdr:colOff>238125</xdr:colOff>
      <xdr:row>0</xdr:row>
      <xdr:rowOff>30659</xdr:rowOff>
    </xdr:from>
    <xdr:to>
      <xdr:col>14</xdr:col>
      <xdr:colOff>581026</xdr:colOff>
      <xdr:row>4</xdr:row>
      <xdr:rowOff>26493</xdr:rowOff>
    </xdr:to>
    <xdr:pic>
      <xdr:nvPicPr>
        <xdr:cNvPr id="30" name="Picture 29" descr="JPMorgan Chase Logo, symbol, meaning, history, PNG, brand"/>
        <xdr:cNvPicPr>
          <a:picLocks noChangeAspect="1" noChangeArrowheads="1"/>
        </xdr:cNvPicPr>
      </xdr:nvPicPr>
      <xdr:blipFill>
        <a:blip xmlns:r="http://schemas.openxmlformats.org/officeDocument/2006/relationships" r:embed="rId4" cstate="print">
          <a:clrChange>
            <a:clrFrom>
              <a:srgbClr val="000000">
                <a:alpha val="0"/>
              </a:srgbClr>
            </a:clrFrom>
            <a:clrTo>
              <a:srgbClr val="000000">
                <a:alpha val="0"/>
              </a:srgbClr>
            </a:clrTo>
          </a:clrChange>
          <a:lum bright="70000" contrast="-70000"/>
          <a:extLst>
            <a:ext uri="{BEBA8EAE-BF5A-486C-A8C5-ECC9F3942E4B}">
              <a14:imgProps xmlns:a14="http://schemas.microsoft.com/office/drawing/2010/main">
                <a14:imgLayer r:embed="rId5">
                  <a14:imgEffect>
                    <a14:artisticPhotocopy/>
                  </a14:imgEffect>
                  <a14:imgEffect>
                    <a14:sharpenSoften amount="50000"/>
                  </a14:imgEffect>
                  <a14:imgEffect>
                    <a14:colorTemperature colorTemp="112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a:off x="5705475" y="30659"/>
          <a:ext cx="1076326" cy="6054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66675</xdr:colOff>
      <xdr:row>19</xdr:row>
      <xdr:rowOff>28575</xdr:rowOff>
    </xdr:from>
    <xdr:to>
      <xdr:col>10</xdr:col>
      <xdr:colOff>66675</xdr:colOff>
      <xdr:row>30</xdr:row>
      <xdr:rowOff>152399</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333375</xdr:colOff>
      <xdr:row>19</xdr:row>
      <xdr:rowOff>133350</xdr:rowOff>
    </xdr:from>
    <xdr:to>
      <xdr:col>5</xdr:col>
      <xdr:colOff>333375</xdr:colOff>
      <xdr:row>30</xdr:row>
      <xdr:rowOff>66675</xdr:rowOff>
    </xdr:to>
    <xdr:cxnSp macro="">
      <xdr:nvCxnSpPr>
        <xdr:cNvPr id="27" name="Straight Connector 26"/>
        <xdr:cNvCxnSpPr/>
      </xdr:nvCxnSpPr>
      <xdr:spPr>
        <a:xfrm>
          <a:off x="2600325" y="2924175"/>
          <a:ext cx="0" cy="1714500"/>
        </a:xfrm>
        <a:prstGeom prst="line">
          <a:avLst/>
        </a:prstGeom>
        <a:ln w="19050">
          <a:solidFill>
            <a:schemeClr val="bg2">
              <a:lumMod val="1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19</xdr:row>
      <xdr:rowOff>28574</xdr:rowOff>
    </xdr:from>
    <xdr:to>
      <xdr:col>25</xdr:col>
      <xdr:colOff>76200</xdr:colOff>
      <xdr:row>31</xdr:row>
      <xdr:rowOff>38099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95251</xdr:colOff>
      <xdr:row>7</xdr:row>
      <xdr:rowOff>38100</xdr:rowOff>
    </xdr:from>
    <xdr:to>
      <xdr:col>9</xdr:col>
      <xdr:colOff>47625</xdr:colOff>
      <xdr:row>16</xdr:row>
      <xdr:rowOff>142875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161925</xdr:colOff>
      <xdr:row>7</xdr:row>
      <xdr:rowOff>133350</xdr:rowOff>
    </xdr:from>
    <xdr:to>
      <xdr:col>5</xdr:col>
      <xdr:colOff>609600</xdr:colOff>
      <xdr:row>10</xdr:row>
      <xdr:rowOff>76200</xdr:rowOff>
    </xdr:to>
    <xdr:cxnSp macro="">
      <xdr:nvCxnSpPr>
        <xdr:cNvPr id="3" name="Straight Arrow Connector 2"/>
        <xdr:cNvCxnSpPr/>
      </xdr:nvCxnSpPr>
      <xdr:spPr>
        <a:xfrm flipV="1">
          <a:off x="990600" y="1009650"/>
          <a:ext cx="1866900" cy="457200"/>
        </a:xfrm>
        <a:prstGeom prst="straightConnector1">
          <a:avLst/>
        </a:prstGeom>
        <a:ln>
          <a:solidFill>
            <a:schemeClr val="bg2">
              <a:lumMod val="2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560817</xdr:colOff>
      <xdr:row>8</xdr:row>
      <xdr:rowOff>47941</xdr:rowOff>
    </xdr:from>
    <xdr:to>
      <xdr:col>5</xdr:col>
      <xdr:colOff>130352</xdr:colOff>
      <xdr:row>9</xdr:row>
      <xdr:rowOff>152716</xdr:rowOff>
    </xdr:to>
    <xdr:sp macro="" textlink="">
      <xdr:nvSpPr>
        <xdr:cNvPr id="4" name="TextBox 3"/>
        <xdr:cNvSpPr txBox="1"/>
      </xdr:nvSpPr>
      <xdr:spPr>
        <a:xfrm rot="20739499">
          <a:off x="1389492" y="1114741"/>
          <a:ext cx="988760" cy="266700"/>
        </a:xfrm>
        <a:prstGeom prst="rect">
          <a:avLst/>
        </a:prstGeom>
        <a:solidFill>
          <a:schemeClr val="lt1"/>
        </a:solidFill>
        <a:ln w="9525" cmpd="sng">
          <a:solidFill>
            <a:schemeClr val="bg2">
              <a:lumMod val="2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chemeClr val="tx1">
                  <a:lumMod val="85000"/>
                  <a:lumOff val="15000"/>
                </a:schemeClr>
              </a:solidFill>
              <a:latin typeface="Montserrat" panose="00000500000000000000" pitchFamily="2" charset="0"/>
            </a:rPr>
            <a:t>CAGR: 1.29%</a:t>
          </a:r>
        </a:p>
      </xdr:txBody>
    </xdr:sp>
    <xdr:clientData/>
  </xdr:twoCellAnchor>
  <xdr:twoCellAnchor>
    <xdr:from>
      <xdr:col>9</xdr:col>
      <xdr:colOff>57150</xdr:colOff>
      <xdr:row>6</xdr:row>
      <xdr:rowOff>104774</xdr:rowOff>
    </xdr:from>
    <xdr:to>
      <xdr:col>20</xdr:col>
      <xdr:colOff>123826</xdr:colOff>
      <xdr:row>16</xdr:row>
      <xdr:rowOff>142874</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19052</xdr:colOff>
      <xdr:row>1</xdr:row>
      <xdr:rowOff>114300</xdr:rowOff>
    </xdr:from>
    <xdr:to>
      <xdr:col>4</xdr:col>
      <xdr:colOff>828675</xdr:colOff>
      <xdr:row>42</xdr:row>
      <xdr:rowOff>47625</xdr:rowOff>
    </xdr:to>
    <xdr:sp macro="" textlink="">
      <xdr:nvSpPr>
        <xdr:cNvPr id="2" name="TextBox 1"/>
        <xdr:cNvSpPr txBox="1"/>
      </xdr:nvSpPr>
      <xdr:spPr>
        <a:xfrm>
          <a:off x="152402" y="314325"/>
          <a:ext cx="3895723" cy="6181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JPMorgan Chase &amp; Co. (JPM) is a financial services company with a diversified business model that operates in four main segments: Consumer &amp; Community Banking, Corporate &amp; Investment Bank, Commercial Banking, and Asset &amp; Wealth Management.</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Consumer &amp; Community Banking segment offers a variety of financial products and services to individuals and businesses, including checking and savings accounts, credit cards, mortgages, and small business loans. This segment generates revenue primarily through net interest income and fees charged for banking services.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Corporate &amp; Investment Bank segment provides services such as investment banking, treasury services, and securities trading to corporations, governments, and institutions. This segment generates revenue primarily through fees charged for services provided.</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Commercial Banking segment serves small and mid-sized businesses, providing products and services such as loans, treasury services, and cash management. This segment generates revenue primarily through net interest income and fees charged for banking services.</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Asset &amp; Wealth Management segment provides investment management and wealth planning services to individuals, families, and institutions. This segment generates revenue primarily through fees charged for managing assets and providing investment advice.</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Overall, JPMorgan Chase's business model is focused on providing a range of financial services to its clients while generating revenue primarily through interest income and fees charged for banking and investment services.</a:t>
          </a:r>
        </a:p>
        <a:p>
          <a:endParaRPr lang="en-US" sz="1100" b="0" i="0">
            <a:solidFill>
              <a:schemeClr val="dk1"/>
            </a:solidFill>
            <a:effectLst/>
            <a:latin typeface="+mn-lt"/>
            <a:ea typeface="+mn-ea"/>
            <a:cs typeface="+mn-cs"/>
          </a:endParaRPr>
        </a:p>
      </xdr:txBody>
    </xdr:sp>
    <xdr:clientData/>
  </xdr:twoCellAnchor>
  <xdr:twoCellAnchor>
    <xdr:from>
      <xdr:col>4</xdr:col>
      <xdr:colOff>952502</xdr:colOff>
      <xdr:row>1</xdr:row>
      <xdr:rowOff>104774</xdr:rowOff>
    </xdr:from>
    <xdr:to>
      <xdr:col>10</xdr:col>
      <xdr:colOff>228600</xdr:colOff>
      <xdr:row>21</xdr:row>
      <xdr:rowOff>133350</xdr:rowOff>
    </xdr:to>
    <xdr:sp macro="" textlink="">
      <xdr:nvSpPr>
        <xdr:cNvPr id="3" name="TextBox 2"/>
        <xdr:cNvSpPr txBox="1"/>
      </xdr:nvSpPr>
      <xdr:spPr>
        <a:xfrm>
          <a:off x="4171952" y="304799"/>
          <a:ext cx="4114798" cy="3076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Strengths:</a:t>
          </a:r>
        </a:p>
        <a:p>
          <a:r>
            <a:rPr lang="en-US" sz="1100" b="0" i="0">
              <a:solidFill>
                <a:schemeClr val="dk1"/>
              </a:solidFill>
              <a:effectLst/>
              <a:latin typeface="+mn-lt"/>
              <a:ea typeface="+mn-ea"/>
              <a:cs typeface="+mn-cs"/>
            </a:rPr>
            <a:t>Strong brand reputation and recognition globally</a:t>
          </a:r>
        </a:p>
        <a:p>
          <a:r>
            <a:rPr lang="en-US" sz="1100" b="0" i="0">
              <a:solidFill>
                <a:schemeClr val="dk1"/>
              </a:solidFill>
              <a:effectLst/>
              <a:latin typeface="+mn-lt"/>
              <a:ea typeface="+mn-ea"/>
              <a:cs typeface="+mn-cs"/>
            </a:rPr>
            <a:t>Diversified business model across multiple segments and geographies</a:t>
          </a:r>
        </a:p>
        <a:p>
          <a:r>
            <a:rPr lang="en-US" sz="1100" b="0" i="0">
              <a:solidFill>
                <a:schemeClr val="dk1"/>
              </a:solidFill>
              <a:effectLst/>
              <a:latin typeface="+mn-lt"/>
              <a:ea typeface="+mn-ea"/>
              <a:cs typeface="+mn-cs"/>
            </a:rPr>
            <a:t>Leading position in investment banking, with a strong advisory and underwriting capabilities</a:t>
          </a:r>
        </a:p>
        <a:p>
          <a:r>
            <a:rPr lang="en-US" sz="1100" b="0" i="0">
              <a:solidFill>
                <a:schemeClr val="dk1"/>
              </a:solidFill>
              <a:effectLst/>
              <a:latin typeface="+mn-lt"/>
              <a:ea typeface="+mn-ea"/>
              <a:cs typeface="+mn-cs"/>
            </a:rPr>
            <a:t>Robust risk management practices and strong regulatory compliance</a:t>
          </a:r>
        </a:p>
        <a:p>
          <a:r>
            <a:rPr lang="en-US" sz="1100" b="0" i="0">
              <a:solidFill>
                <a:schemeClr val="dk1"/>
              </a:solidFill>
              <a:effectLst/>
              <a:latin typeface="+mn-lt"/>
              <a:ea typeface="+mn-ea"/>
              <a:cs typeface="+mn-cs"/>
            </a:rPr>
            <a:t>Large and stable customer base across consumer, commercial, and institutional segments</a:t>
          </a:r>
          <a:endParaRPr lang="en-US" sz="1100" b="1" i="1">
            <a:solidFill>
              <a:schemeClr val="dk1"/>
            </a:solidFill>
            <a:effectLst/>
            <a:latin typeface="+mn-lt"/>
            <a:ea typeface="+mn-ea"/>
            <a:cs typeface="+mn-cs"/>
          </a:endParaRPr>
        </a:p>
        <a:p>
          <a:endParaRPr lang="en-US" sz="300" b="0" i="0">
            <a:solidFill>
              <a:schemeClr val="dk1"/>
            </a:solidFill>
            <a:effectLst/>
            <a:latin typeface="+mn-lt"/>
            <a:ea typeface="+mn-ea"/>
            <a:cs typeface="+mn-cs"/>
          </a:endParaRPr>
        </a:p>
        <a:p>
          <a:r>
            <a:rPr lang="en-US" sz="1100" b="1" i="1">
              <a:solidFill>
                <a:schemeClr val="dk1"/>
              </a:solidFill>
              <a:effectLst/>
              <a:latin typeface="+mn-lt"/>
              <a:ea typeface="+mn-ea"/>
              <a:cs typeface="+mn-cs"/>
            </a:rPr>
            <a:t>Weaknesses:</a:t>
          </a:r>
        </a:p>
        <a:p>
          <a:r>
            <a:rPr lang="en-US" sz="1100" b="0" i="0">
              <a:solidFill>
                <a:schemeClr val="dk1"/>
              </a:solidFill>
              <a:effectLst/>
              <a:latin typeface="+mn-lt"/>
              <a:ea typeface="+mn-ea"/>
              <a:cs typeface="+mn-cs"/>
            </a:rPr>
            <a:t>Heavy reliance on net interest income, which is vulnerable to interest rate fluctuations</a:t>
          </a:r>
        </a:p>
        <a:p>
          <a:r>
            <a:rPr lang="en-US" sz="1100" b="0" i="0">
              <a:solidFill>
                <a:schemeClr val="dk1"/>
              </a:solidFill>
              <a:effectLst/>
              <a:latin typeface="+mn-lt"/>
              <a:ea typeface="+mn-ea"/>
              <a:cs typeface="+mn-cs"/>
            </a:rPr>
            <a:t>Exposure to credit and market risks, especially in the investment banking segment</a:t>
          </a:r>
        </a:p>
        <a:p>
          <a:r>
            <a:rPr lang="en-US" sz="1100" b="0" i="0">
              <a:solidFill>
                <a:schemeClr val="dk1"/>
              </a:solidFill>
              <a:effectLst/>
              <a:latin typeface="+mn-lt"/>
              <a:ea typeface="+mn-ea"/>
              <a:cs typeface="+mn-cs"/>
            </a:rPr>
            <a:t>Limited geographical reach in certain emerging markets</a:t>
          </a:r>
        </a:p>
        <a:p>
          <a:r>
            <a:rPr lang="en-US" sz="1100" b="0" i="0">
              <a:solidFill>
                <a:schemeClr val="dk1"/>
              </a:solidFill>
              <a:effectLst/>
              <a:latin typeface="+mn-lt"/>
              <a:ea typeface="+mn-ea"/>
              <a:cs typeface="+mn-cs"/>
            </a:rPr>
            <a:t>Dependence on technology and IT infrastructure, which poses operational risks</a:t>
          </a:r>
        </a:p>
      </xdr:txBody>
    </xdr:sp>
    <xdr:clientData/>
  </xdr:twoCellAnchor>
  <xdr:twoCellAnchor>
    <xdr:from>
      <xdr:col>10</xdr:col>
      <xdr:colOff>361951</xdr:colOff>
      <xdr:row>1</xdr:row>
      <xdr:rowOff>104774</xdr:rowOff>
    </xdr:from>
    <xdr:to>
      <xdr:col>16</xdr:col>
      <xdr:colOff>247649</xdr:colOff>
      <xdr:row>27</xdr:row>
      <xdr:rowOff>85725</xdr:rowOff>
    </xdr:to>
    <xdr:sp macro="" textlink="">
      <xdr:nvSpPr>
        <xdr:cNvPr id="4" name="TextBox 3"/>
        <xdr:cNvSpPr txBox="1"/>
      </xdr:nvSpPr>
      <xdr:spPr>
        <a:xfrm>
          <a:off x="8420101" y="304799"/>
          <a:ext cx="3971923" cy="39433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solidFill>
                <a:schemeClr val="dk1"/>
              </a:solidFill>
              <a:effectLst/>
              <a:latin typeface="+mn-lt"/>
              <a:ea typeface="+mn-ea"/>
              <a:cs typeface="+mn-cs"/>
            </a:rPr>
            <a:t>Opportunities:</a:t>
          </a:r>
        </a:p>
        <a:p>
          <a:r>
            <a:rPr lang="en-US" sz="1100" b="0" i="0">
              <a:solidFill>
                <a:schemeClr val="dk1"/>
              </a:solidFill>
              <a:effectLst/>
              <a:latin typeface="+mn-lt"/>
              <a:ea typeface="+mn-ea"/>
              <a:cs typeface="+mn-cs"/>
            </a:rPr>
            <a:t>Growing demand for digital banking and fintech solutions, which could expand JPM's customer base and revenue streams</a:t>
          </a:r>
        </a:p>
        <a:p>
          <a:r>
            <a:rPr lang="en-US" sz="1100" b="0" i="0">
              <a:solidFill>
                <a:schemeClr val="dk1"/>
              </a:solidFill>
              <a:effectLst/>
              <a:latin typeface="+mn-lt"/>
              <a:ea typeface="+mn-ea"/>
              <a:cs typeface="+mn-cs"/>
            </a:rPr>
            <a:t>Expansion into new markets and regions, such as Asia-Pacific and Latin America</a:t>
          </a:r>
        </a:p>
        <a:p>
          <a:r>
            <a:rPr lang="en-US" sz="1100" b="0" i="0">
              <a:solidFill>
                <a:schemeClr val="dk1"/>
              </a:solidFill>
              <a:effectLst/>
              <a:latin typeface="+mn-lt"/>
              <a:ea typeface="+mn-ea"/>
              <a:cs typeface="+mn-cs"/>
            </a:rPr>
            <a:t>Expansion of asset and wealth management business through acquisitions and partnerships</a:t>
          </a:r>
        </a:p>
        <a:p>
          <a:r>
            <a:rPr lang="en-US" sz="1100" b="0" i="0">
              <a:solidFill>
                <a:schemeClr val="dk1"/>
              </a:solidFill>
              <a:effectLst/>
              <a:latin typeface="+mn-lt"/>
              <a:ea typeface="+mn-ea"/>
              <a:cs typeface="+mn-cs"/>
            </a:rPr>
            <a:t>Potential to increase market share through strategic acquisitions and partnerships</a:t>
          </a:r>
        </a:p>
        <a:p>
          <a:r>
            <a:rPr lang="en-US" sz="1100" b="0" i="0">
              <a:solidFill>
                <a:schemeClr val="dk1"/>
              </a:solidFill>
              <a:effectLst/>
              <a:latin typeface="+mn-lt"/>
              <a:ea typeface="+mn-ea"/>
              <a:cs typeface="+mn-cs"/>
            </a:rPr>
            <a:t>Development of new financial products and services to meet evolving customer needs</a:t>
          </a:r>
          <a:endParaRPr lang="en-US" sz="1100" b="1" i="1">
            <a:solidFill>
              <a:schemeClr val="dk1"/>
            </a:solidFill>
            <a:effectLst/>
            <a:latin typeface="+mn-lt"/>
            <a:ea typeface="+mn-ea"/>
            <a:cs typeface="+mn-cs"/>
          </a:endParaRPr>
        </a:p>
        <a:p>
          <a:endParaRPr lang="en-US" sz="300" b="0" i="0">
            <a:solidFill>
              <a:schemeClr val="dk1"/>
            </a:solidFill>
            <a:effectLst/>
            <a:latin typeface="+mn-lt"/>
            <a:ea typeface="+mn-ea"/>
            <a:cs typeface="+mn-cs"/>
          </a:endParaRPr>
        </a:p>
        <a:p>
          <a:r>
            <a:rPr lang="en-US" sz="1100" b="1" i="1">
              <a:solidFill>
                <a:schemeClr val="dk1"/>
              </a:solidFill>
              <a:effectLst/>
              <a:latin typeface="+mn-lt"/>
              <a:ea typeface="+mn-ea"/>
              <a:cs typeface="+mn-cs"/>
            </a:rPr>
            <a:t>Threats:</a:t>
          </a:r>
        </a:p>
        <a:p>
          <a:r>
            <a:rPr lang="en-US" sz="1100" b="0" i="0">
              <a:solidFill>
                <a:schemeClr val="dk1"/>
              </a:solidFill>
              <a:effectLst/>
              <a:latin typeface="+mn-lt"/>
              <a:ea typeface="+mn-ea"/>
              <a:cs typeface="+mn-cs"/>
            </a:rPr>
            <a:t>Increased competition from fintech startups and other established financial institutions</a:t>
          </a:r>
        </a:p>
        <a:p>
          <a:r>
            <a:rPr lang="en-US" sz="1100" b="0" i="0">
              <a:solidFill>
                <a:schemeClr val="dk1"/>
              </a:solidFill>
              <a:effectLst/>
              <a:latin typeface="+mn-lt"/>
              <a:ea typeface="+mn-ea"/>
              <a:cs typeface="+mn-cs"/>
            </a:rPr>
            <a:t>Regulatory changes and compliance risks, which could increase costs and limit growth opportunities</a:t>
          </a:r>
        </a:p>
        <a:p>
          <a:r>
            <a:rPr lang="en-US" sz="1100" b="0" i="0">
              <a:solidFill>
                <a:schemeClr val="dk1"/>
              </a:solidFill>
              <a:effectLst/>
              <a:latin typeface="+mn-lt"/>
              <a:ea typeface="+mn-ea"/>
              <a:cs typeface="+mn-cs"/>
            </a:rPr>
            <a:t>Economic and geopolitical uncertainties, such as trade tensions and political instability</a:t>
          </a:r>
        </a:p>
        <a:p>
          <a:r>
            <a:rPr lang="en-US" sz="1100" b="0" i="0">
              <a:solidFill>
                <a:schemeClr val="dk1"/>
              </a:solidFill>
              <a:effectLst/>
              <a:latin typeface="+mn-lt"/>
              <a:ea typeface="+mn-ea"/>
              <a:cs typeface="+mn-cs"/>
            </a:rPr>
            <a:t>Cybersecurity threats and data breaches, which could undermine customer trust and reputation</a:t>
          </a:r>
        </a:p>
        <a:p>
          <a:r>
            <a:rPr lang="en-US" sz="1100" b="0" i="0">
              <a:solidFill>
                <a:schemeClr val="dk1"/>
              </a:solidFill>
              <a:effectLst/>
              <a:latin typeface="+mn-lt"/>
              <a:ea typeface="+mn-ea"/>
              <a:cs typeface="+mn-cs"/>
            </a:rPr>
            <a:t>Changing consumer preferences and expectations, which may require significant investment to adapt and respond.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3</xdr:row>
      <xdr:rowOff>57150</xdr:rowOff>
    </xdr:from>
    <xdr:to>
      <xdr:col>5</xdr:col>
      <xdr:colOff>523875</xdr:colOff>
      <xdr:row>7</xdr:row>
      <xdr:rowOff>85725</xdr:rowOff>
    </xdr:to>
    <xdr:sp macro="" textlink="">
      <xdr:nvSpPr>
        <xdr:cNvPr id="2" name="TextBox 1"/>
        <xdr:cNvSpPr txBox="1"/>
      </xdr:nvSpPr>
      <xdr:spPr>
        <a:xfrm>
          <a:off x="2857500" y="561975"/>
          <a:ext cx="189547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 </a:t>
          </a:r>
          <a:r>
            <a:rPr lang="en-US" sz="1100" i="1"/>
            <a:t>The CEO (Jamie Dimon) of JP</a:t>
          </a:r>
          <a:r>
            <a:rPr lang="en-US" sz="1100" i="1" baseline="0"/>
            <a:t> Morgan Chase is also the Chairman of the Board.</a:t>
          </a:r>
          <a:endParaRPr lang="en-US" sz="1100" i="1"/>
        </a:p>
      </xdr:txBody>
    </xdr:sp>
    <xdr:clientData/>
  </xdr:twoCellAnchor>
  <xdr:twoCellAnchor>
    <xdr:from>
      <xdr:col>4</xdr:col>
      <xdr:colOff>1</xdr:colOff>
      <xdr:row>8</xdr:row>
      <xdr:rowOff>19051</xdr:rowOff>
    </xdr:from>
    <xdr:to>
      <xdr:col>5</xdr:col>
      <xdr:colOff>542924</xdr:colOff>
      <xdr:row>11</xdr:row>
      <xdr:rowOff>57150</xdr:rowOff>
    </xdr:to>
    <xdr:sp macro="" textlink="">
      <xdr:nvSpPr>
        <xdr:cNvPr id="3" name="TextBox 2"/>
        <xdr:cNvSpPr txBox="1"/>
      </xdr:nvSpPr>
      <xdr:spPr>
        <a:xfrm>
          <a:off x="2857501" y="1295401"/>
          <a:ext cx="1914523"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i="1" baseline="0"/>
            <a:t>ISS Governance Quality Score is as of </a:t>
          </a:r>
          <a:r>
            <a:rPr lang="en-US" sz="1100" b="0" i="1">
              <a:solidFill>
                <a:schemeClr val="dk1"/>
              </a:solidFill>
              <a:effectLst/>
              <a:latin typeface="+mn-lt"/>
              <a:ea typeface="+mn-ea"/>
              <a:cs typeface="+mn-cs"/>
            </a:rPr>
            <a:t>April 1, 2023</a:t>
          </a:r>
          <a:r>
            <a:rPr lang="en-US" sz="1100" i="1" baseline="0"/>
            <a:t>.</a:t>
          </a:r>
          <a:endParaRPr lang="en-US" sz="110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409579</xdr:colOff>
      <xdr:row>18</xdr:row>
      <xdr:rowOff>142875</xdr:rowOff>
    </xdr:from>
    <xdr:to>
      <xdr:col>3</xdr:col>
      <xdr:colOff>676279</xdr:colOff>
      <xdr:row>25</xdr:row>
      <xdr:rowOff>85725</xdr:rowOff>
    </xdr:to>
    <xdr:sp macro="" textlink="">
      <xdr:nvSpPr>
        <xdr:cNvPr id="2" name="TextBox 1"/>
        <xdr:cNvSpPr txBox="1"/>
      </xdr:nvSpPr>
      <xdr:spPr>
        <a:xfrm rot="16200000">
          <a:off x="2657479" y="3314700"/>
          <a:ext cx="100965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Perpetuity g %</a:t>
          </a:r>
        </a:p>
      </xdr:txBody>
    </xdr:sp>
    <xdr:clientData/>
  </xdr:twoCellAnchor>
  <xdr:twoCellAnchor>
    <xdr:from>
      <xdr:col>6</xdr:col>
      <xdr:colOff>485775</xdr:colOff>
      <xdr:row>16</xdr:row>
      <xdr:rowOff>104775</xdr:rowOff>
    </xdr:from>
    <xdr:to>
      <xdr:col>7</xdr:col>
      <xdr:colOff>695325</xdr:colOff>
      <xdr:row>18</xdr:row>
      <xdr:rowOff>57150</xdr:rowOff>
    </xdr:to>
    <xdr:sp macro="" textlink="">
      <xdr:nvSpPr>
        <xdr:cNvPr id="3" name="TextBox 2"/>
        <xdr:cNvSpPr txBox="1"/>
      </xdr:nvSpPr>
      <xdr:spPr>
        <a:xfrm>
          <a:off x="5448300" y="2600325"/>
          <a:ext cx="990600"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xdr:txBody>
    </xdr:sp>
    <xdr:clientData/>
  </xdr:twoCellAnchor>
  <xdr:twoCellAnchor>
    <xdr:from>
      <xdr:col>10</xdr:col>
      <xdr:colOff>342899</xdr:colOff>
      <xdr:row>15</xdr:row>
      <xdr:rowOff>95249</xdr:rowOff>
    </xdr:from>
    <xdr:to>
      <xdr:col>15</xdr:col>
      <xdr:colOff>352425</xdr:colOff>
      <xdr:row>28</xdr:row>
      <xdr:rowOff>38100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800099</xdr:colOff>
      <xdr:row>10</xdr:row>
      <xdr:rowOff>133352</xdr:rowOff>
    </xdr:from>
    <xdr:to>
      <xdr:col>10</xdr:col>
      <xdr:colOff>0</xdr:colOff>
      <xdr:row>19</xdr:row>
      <xdr:rowOff>114300</xdr:rowOff>
    </xdr:to>
    <xdr:sp macro="" textlink="">
      <xdr:nvSpPr>
        <xdr:cNvPr id="2" name="TextBox 1"/>
        <xdr:cNvSpPr txBox="1"/>
      </xdr:nvSpPr>
      <xdr:spPr>
        <a:xfrm>
          <a:off x="6276974" y="1714502"/>
          <a:ext cx="2419351" cy="13525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JP Morgan returned $133.6 billion</a:t>
          </a:r>
          <a:r>
            <a:rPr lang="en-US" sz="1100" baseline="0"/>
            <a:t> out of $108 billion of Free Cash Flow to Equity. Cash Return is </a:t>
          </a:r>
          <a:r>
            <a:rPr lang="en-US" sz="1100"/>
            <a:t>about 123.84%.</a:t>
          </a:r>
        </a:p>
        <a:p>
          <a:endParaRPr lang="en-US" sz="1100" baseline="0"/>
        </a:p>
        <a:p>
          <a:r>
            <a:rPr lang="en-US" sz="1100" baseline="0"/>
            <a:t>*In 2022, JP Morgan returned only 46% of their FCFE to their shareholders, which is great!</a:t>
          </a:r>
        </a:p>
      </xdr:txBody>
    </xdr:sp>
    <xdr:clientData/>
  </xdr:twoCellAnchor>
  <xdr:twoCellAnchor>
    <xdr:from>
      <xdr:col>7</xdr:col>
      <xdr:colOff>800099</xdr:colOff>
      <xdr:row>2</xdr:row>
      <xdr:rowOff>3</xdr:rowOff>
    </xdr:from>
    <xdr:to>
      <xdr:col>9</xdr:col>
      <xdr:colOff>723900</xdr:colOff>
      <xdr:row>5</xdr:row>
      <xdr:rowOff>1</xdr:rowOff>
    </xdr:to>
    <xdr:sp macro="" textlink="">
      <xdr:nvSpPr>
        <xdr:cNvPr id="3" name="TextBox 2"/>
        <xdr:cNvSpPr txBox="1"/>
      </xdr:nvSpPr>
      <xdr:spPr>
        <a:xfrm>
          <a:off x="6276974" y="361953"/>
          <a:ext cx="2409826" cy="4571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solidFill>
                <a:schemeClr val="dk1"/>
              </a:solidFill>
              <a:effectLst/>
              <a:latin typeface="+mn-lt"/>
              <a:ea typeface="+mn-ea"/>
              <a:cs typeface="+mn-cs"/>
            </a:rPr>
            <a:t>What</a:t>
          </a:r>
          <a:r>
            <a:rPr lang="en-US" sz="1100" i="1" baseline="0">
              <a:solidFill>
                <a:schemeClr val="dk1"/>
              </a:solidFill>
              <a:effectLst/>
              <a:latin typeface="+mn-lt"/>
              <a:ea typeface="+mn-ea"/>
              <a:cs typeface="+mn-cs"/>
            </a:rPr>
            <a:t> investment opportunities does the firm have?</a:t>
          </a:r>
          <a:endParaRPr lang="en-US">
            <a:effectLst/>
          </a:endParaRPr>
        </a:p>
      </xdr:txBody>
    </xdr:sp>
    <xdr:clientData/>
  </xdr:twoCellAnchor>
  <xdr:twoCellAnchor>
    <xdr:from>
      <xdr:col>10</xdr:col>
      <xdr:colOff>66676</xdr:colOff>
      <xdr:row>2</xdr:row>
      <xdr:rowOff>114300</xdr:rowOff>
    </xdr:from>
    <xdr:to>
      <xdr:col>14</xdr:col>
      <xdr:colOff>438150</xdr:colOff>
      <xdr:row>24</xdr:row>
      <xdr:rowOff>85725</xdr:rowOff>
    </xdr:to>
    <xdr:graphicFrame macro="">
      <xdr:nvGraphicFramePr>
        <xdr:cNvPr id="5" name="Diagram 4"/>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10</xdr:col>
      <xdr:colOff>447674</xdr:colOff>
      <xdr:row>2</xdr:row>
      <xdr:rowOff>0</xdr:rowOff>
    </xdr:from>
    <xdr:to>
      <xdr:col>14</xdr:col>
      <xdr:colOff>57149</xdr:colOff>
      <xdr:row>4</xdr:row>
      <xdr:rowOff>9526</xdr:rowOff>
    </xdr:to>
    <xdr:sp macro="" textlink="">
      <xdr:nvSpPr>
        <xdr:cNvPr id="6" name="TextBox 5"/>
        <xdr:cNvSpPr txBox="1"/>
      </xdr:nvSpPr>
      <xdr:spPr>
        <a:xfrm>
          <a:off x="9143999" y="361950"/>
          <a:ext cx="2676525" cy="3143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i="1"/>
            <a:t>The Dividend Matrix</a:t>
          </a:r>
        </a:p>
      </xdr:txBody>
    </xdr:sp>
    <xdr:clientData/>
  </xdr:twoCellAnchor>
  <xdr:twoCellAnchor editAs="oneCell">
    <xdr:from>
      <xdr:col>12</xdr:col>
      <xdr:colOff>457200</xdr:colOff>
      <xdr:row>17</xdr:row>
      <xdr:rowOff>38100</xdr:rowOff>
    </xdr:from>
    <xdr:to>
      <xdr:col>13</xdr:col>
      <xdr:colOff>762001</xdr:colOff>
      <xdr:row>21</xdr:row>
      <xdr:rowOff>33934</xdr:rowOff>
    </xdr:to>
    <xdr:pic>
      <xdr:nvPicPr>
        <xdr:cNvPr id="8" name="Picture 7" descr="JPMorgan Chase Logo, symbol, meaning, history, PNG, brand"/>
        <xdr:cNvPicPr>
          <a:picLocks noChangeAspect="1" noChangeArrowheads="1"/>
        </xdr:cNvPicPr>
      </xdr:nvPicPr>
      <xdr:blipFill>
        <a:blip xmlns:r="http://schemas.openxmlformats.org/officeDocument/2006/relationships" r:embed="rId6" cstate="print">
          <a:clrChange>
            <a:clrFrom>
              <a:srgbClr val="000000">
                <a:alpha val="0"/>
              </a:srgbClr>
            </a:clrFrom>
            <a:clrTo>
              <a:srgbClr val="000000">
                <a:alpha val="0"/>
              </a:srgbClr>
            </a:clrTo>
          </a:clrChange>
          <a:lum bright="70000" contrast="-70000"/>
          <a:extLst>
            <a:ext uri="{BEBA8EAE-BF5A-486C-A8C5-ECC9F3942E4B}">
              <a14:imgProps xmlns:a14="http://schemas.microsoft.com/office/drawing/2010/main">
                <a14:imgLayer r:embed="rId7">
                  <a14:imgEffect>
                    <a14:artisticPhotocopy/>
                  </a14:imgEffect>
                  <a14:imgEffect>
                    <a14:sharpenSoften amount="50000"/>
                  </a14:imgEffect>
                  <a14:imgEffect>
                    <a14:colorTemperature colorTemp="11200"/>
                  </a14:imgEffect>
                  <a14:imgEffect>
                    <a14:saturation sat="400000"/>
                  </a14:imgEffect>
                </a14:imgLayer>
              </a14:imgProps>
            </a:ext>
            <a:ext uri="{28A0092B-C50C-407E-A947-70E740481C1C}">
              <a14:useLocalDpi xmlns:a14="http://schemas.microsoft.com/office/drawing/2010/main" val="0"/>
            </a:ext>
          </a:extLst>
        </a:blip>
        <a:srcRect/>
        <a:stretch>
          <a:fillRect/>
        </a:stretch>
      </xdr:blipFill>
      <xdr:spPr bwMode="auto">
        <a:xfrm>
          <a:off x="10658475" y="2686050"/>
          <a:ext cx="1076326" cy="6054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ock%20Analysis/3.%20US%20Companies/Boeing/Intrinsic%20Valuation%20(Boe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Drivers"/>
      <sheetName val="About"/>
      <sheetName val="Corporate Governance"/>
      <sheetName val="Index"/>
      <sheetName val="Risk Free Rate &amp; ERP"/>
      <sheetName val="Beta Calculation Data"/>
      <sheetName val="Bottom Up Beta"/>
      <sheetName val="Cost of Equity, Debt &amp; WACC"/>
      <sheetName val="Cash Flows"/>
      <sheetName val="Accounting Adjustments"/>
      <sheetName val="Reinvestment"/>
      <sheetName val="FCFF &amp; FCFE"/>
      <sheetName val="Growth Rate &amp; TV"/>
      <sheetName val="Expected Growth Rate"/>
      <sheetName val="Future CashFlows (10Y)"/>
      <sheetName val="Terminal Value"/>
      <sheetName val="Road to Fair Value of Share"/>
      <sheetName val="Cash &amp; Marketable Securities"/>
      <sheetName val="Future Value (Equity Options)"/>
      <sheetName val="Fair Value of Share"/>
      <sheetName val="What If Analysis"/>
      <sheetName val="Sensitivity Analysis"/>
      <sheetName val="Scenario Analysis"/>
      <sheetName val="Financing Decision"/>
      <sheetName val="Debt Design Explained"/>
      <sheetName val="Optimal Cost of Capital"/>
      <sheetName val="Adjusted Present Value"/>
      <sheetName val="Dividend Decision"/>
      <sheetName val="Cash Return Explained"/>
      <sheetName val="Resources"/>
      <sheetName val="Income Statement"/>
      <sheetName val="Balance Sheet"/>
      <sheetName val="Cash Flow Statement"/>
    </sheetNames>
    <sheetDataSet>
      <sheetData sheetId="0"/>
      <sheetData sheetId="1"/>
      <sheetData sheetId="2"/>
      <sheetData sheetId="3">
        <row r="16">
          <cell r="E16" t="str">
            <v>Institutional</v>
          </cell>
          <cell r="F16">
            <v>0.5877</v>
          </cell>
        </row>
        <row r="17">
          <cell r="E17" t="str">
            <v>Insider</v>
          </cell>
          <cell r="F17">
            <v>1.34E-2</v>
          </cell>
        </row>
        <row r="18">
          <cell r="E18" t="str">
            <v>Retail</v>
          </cell>
          <cell r="F18">
            <v>0.39889999999999998</v>
          </cell>
        </row>
        <row r="22">
          <cell r="E22" t="str">
            <v>Audit</v>
          </cell>
          <cell r="F22">
            <v>4</v>
          </cell>
        </row>
        <row r="23">
          <cell r="E23" t="str">
            <v>Board</v>
          </cell>
          <cell r="F23">
            <v>2</v>
          </cell>
        </row>
        <row r="24">
          <cell r="E24" t="str">
            <v>Shareholder Rights</v>
          </cell>
          <cell r="F24">
            <v>5</v>
          </cell>
        </row>
        <row r="25">
          <cell r="E25" t="str">
            <v>Compensation</v>
          </cell>
          <cell r="F25">
            <v>9</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A1:AG27"/>
  <sheetViews>
    <sheetView tabSelected="1" zoomScaleNormal="100" workbookViewId="0"/>
  </sheetViews>
  <sheetFormatPr defaultColWidth="9.140625" defaultRowHeight="12.75"/>
  <cols>
    <col min="1" max="1" width="2" style="95" customWidth="1"/>
    <col min="2" max="2" width="10.42578125" style="95" customWidth="1"/>
    <col min="3" max="3" width="10.28515625" style="95" customWidth="1"/>
    <col min="4" max="4" width="1.42578125" style="95" customWidth="1"/>
    <col min="5" max="5" width="9.5703125" style="95" customWidth="1"/>
    <col min="6" max="6" width="9.28515625" style="95" customWidth="1"/>
    <col min="7" max="7" width="1.42578125" style="95" customWidth="1"/>
    <col min="8" max="8" width="8.5703125" style="95" customWidth="1"/>
    <col min="9" max="9" width="7.5703125" style="95" customWidth="1"/>
    <col min="10" max="10" width="1.42578125" style="95" customWidth="1"/>
    <col min="11" max="11" width="9.140625" style="95"/>
    <col min="12" max="12" width="9.42578125" style="95" customWidth="1"/>
    <col min="13" max="13" width="1.42578125" style="95" customWidth="1"/>
    <col min="14" max="14" width="11" style="95" customWidth="1"/>
    <col min="15" max="15" width="11.85546875" style="95" customWidth="1"/>
    <col min="16" max="16" width="1.42578125" style="95" customWidth="1"/>
    <col min="17" max="17" width="6.85546875" style="95" customWidth="1"/>
    <col min="18" max="18" width="5.140625" style="95" customWidth="1"/>
    <col min="19" max="19" width="6.28515625" style="95" customWidth="1"/>
    <col min="20" max="20" width="1.42578125" style="95" customWidth="1"/>
    <col min="21" max="21" width="13.85546875" style="95" customWidth="1"/>
    <col min="22" max="22" width="1.42578125" style="95" customWidth="1"/>
    <col min="23" max="23" width="8.28515625" style="95" customWidth="1"/>
    <col min="24" max="24" width="8" style="95" customWidth="1"/>
    <col min="25" max="25" width="1.28515625" style="95" customWidth="1"/>
    <col min="26" max="26" width="13" style="95" customWidth="1"/>
    <col min="27" max="27" width="1.42578125" style="95" customWidth="1"/>
    <col min="28" max="28" width="14" style="95" customWidth="1"/>
    <col min="29" max="29" width="11.7109375" style="95" customWidth="1"/>
    <col min="30" max="16384" width="9.140625" style="95"/>
  </cols>
  <sheetData>
    <row r="1" spans="1:33" ht="5.25" customHeight="1">
      <c r="A1"/>
      <c r="B1" s="93"/>
      <c r="C1" s="94"/>
    </row>
    <row r="2" spans="1:33" ht="16.5" customHeight="1">
      <c r="B2" s="351" t="s">
        <v>53</v>
      </c>
      <c r="C2" s="351"/>
      <c r="E2" s="351" t="s">
        <v>47</v>
      </c>
      <c r="F2" s="351"/>
      <c r="G2" s="96"/>
      <c r="H2" s="351" t="s">
        <v>48</v>
      </c>
      <c r="I2" s="351"/>
      <c r="J2" s="97"/>
      <c r="K2" s="351" t="s">
        <v>276</v>
      </c>
      <c r="L2" s="351"/>
      <c r="M2" s="97"/>
      <c r="N2" s="351"/>
      <c r="O2" s="351"/>
      <c r="P2" s="97"/>
      <c r="Q2" s="351" t="s">
        <v>273</v>
      </c>
      <c r="R2" s="351"/>
      <c r="S2" s="351"/>
      <c r="T2" s="97"/>
      <c r="U2" s="352" t="s">
        <v>54</v>
      </c>
      <c r="V2" s="97"/>
      <c r="W2" s="351" t="s">
        <v>275</v>
      </c>
      <c r="X2" s="351"/>
      <c r="Z2" s="352" t="s">
        <v>55</v>
      </c>
      <c r="AA2" s="98"/>
      <c r="AB2" s="352" t="s">
        <v>261</v>
      </c>
      <c r="AD2" s="98"/>
    </row>
    <row r="3" spans="1:33" ht="13.5" customHeight="1">
      <c r="B3" s="354" t="str">
        <f>CONCATENATE("$",ROUND((Drivers!C16*Drivers!C17)/1000,2)," Bn")</f>
        <v>$413.54 Bn</v>
      </c>
      <c r="C3" s="354"/>
      <c r="E3" s="354" t="str">
        <f>CONCATENATE("$",ROUND('Regulatory Capital'!H8/1000,2)," Bn")</f>
        <v>$275.68 Bn</v>
      </c>
      <c r="F3" s="354"/>
      <c r="G3" s="99"/>
      <c r="H3" s="354" t="str">
        <f>CONCATENATE("$",ROUND('Growth Rate'!G7/1000,2)," Bn")</f>
        <v>$35.89 Bn</v>
      </c>
      <c r="I3" s="354"/>
      <c r="J3" s="97"/>
      <c r="K3" s="354" t="str">
        <f>CONCATENATE("$",ROUND('Regulatory Capital'!H25/1000,2)," Bn")</f>
        <v>$1650.01 Bn</v>
      </c>
      <c r="L3" s="354"/>
      <c r="M3" s="97"/>
      <c r="N3" s="351"/>
      <c r="O3" s="351"/>
      <c r="P3" s="97"/>
      <c r="Q3" s="355" t="str">
        <f>CONCATENATE(ROUND('Beta &amp; Cost of Equity'!L8*100,2),"%")</f>
        <v>9.49%</v>
      </c>
      <c r="R3" s="355"/>
      <c r="S3" s="355"/>
      <c r="T3" s="97"/>
      <c r="U3" s="355" t="str">
        <f>CONCATENATE(ROUND('Beta &amp; Cost of Equity'!D26,2))</f>
        <v>1.12</v>
      </c>
      <c r="V3" s="97"/>
      <c r="W3" s="355" t="str">
        <f>CONCATENATE(ROUND('Regulatory Capital'!H28*100,2),"%")</f>
        <v>15.38%</v>
      </c>
      <c r="X3" s="355"/>
      <c r="Z3" s="355" t="str">
        <f>CONCATENATE(ROUND('Corporate Governance'!F26,2))</f>
        <v>5</v>
      </c>
      <c r="AA3" s="100"/>
      <c r="AB3" s="355" t="str">
        <f>CONCATENATE(ROUND('Future CashFlows (10Y)'!C12*100,2),"%")</f>
        <v>15.24%</v>
      </c>
      <c r="AD3" s="100"/>
    </row>
    <row r="4" spans="1:33" ht="12.75" customHeight="1">
      <c r="B4" s="354"/>
      <c r="C4" s="354"/>
      <c r="E4" s="354"/>
      <c r="F4" s="354"/>
      <c r="G4" s="99"/>
      <c r="H4" s="354"/>
      <c r="I4" s="354"/>
      <c r="J4" s="97"/>
      <c r="K4" s="354"/>
      <c r="L4" s="354"/>
      <c r="M4" s="97"/>
      <c r="N4" s="351"/>
      <c r="O4" s="351"/>
      <c r="P4" s="97"/>
      <c r="Q4" s="355"/>
      <c r="R4" s="355"/>
      <c r="S4" s="355"/>
      <c r="T4" s="97"/>
      <c r="U4" s="355"/>
      <c r="V4" s="97"/>
      <c r="W4" s="355"/>
      <c r="X4" s="355"/>
      <c r="Z4" s="355"/>
      <c r="AA4" s="100"/>
      <c r="AB4" s="355"/>
      <c r="AD4" s="100"/>
    </row>
    <row r="5" spans="1:33" ht="4.5" customHeight="1">
      <c r="B5" s="101"/>
      <c r="C5" s="102"/>
      <c r="U5" s="356"/>
    </row>
    <row r="6" spans="1:33" ht="8.25" customHeight="1">
      <c r="B6" s="353" t="s">
        <v>216</v>
      </c>
      <c r="C6" s="353"/>
      <c r="D6" s="353"/>
      <c r="E6" s="353"/>
      <c r="F6" s="353"/>
      <c r="G6" s="353"/>
      <c r="H6" s="353"/>
      <c r="I6" s="353"/>
      <c r="J6" s="106"/>
      <c r="K6" s="353" t="s">
        <v>284</v>
      </c>
      <c r="L6" s="353"/>
      <c r="M6" s="353"/>
      <c r="N6" s="353"/>
      <c r="O6" s="353"/>
      <c r="P6" s="353"/>
      <c r="Q6" s="353"/>
      <c r="R6" s="353"/>
      <c r="S6" s="353"/>
      <c r="T6" s="106"/>
      <c r="U6" s="353" t="s">
        <v>56</v>
      </c>
      <c r="V6" s="353"/>
      <c r="W6" s="353"/>
      <c r="X6" s="353"/>
      <c r="Z6" s="353" t="s">
        <v>57</v>
      </c>
      <c r="AA6" s="353"/>
      <c r="AB6" s="353"/>
      <c r="AC6" s="103"/>
      <c r="AD6" s="103"/>
      <c r="AE6" s="103"/>
      <c r="AF6" s="103"/>
      <c r="AG6" s="103"/>
    </row>
    <row r="7" spans="1:33" ht="8.25" customHeight="1">
      <c r="B7" s="353"/>
      <c r="C7" s="353"/>
      <c r="D7" s="353"/>
      <c r="E7" s="353"/>
      <c r="F7" s="353"/>
      <c r="G7" s="353"/>
      <c r="H7" s="353"/>
      <c r="I7" s="353"/>
      <c r="J7" s="106"/>
      <c r="K7" s="353"/>
      <c r="L7" s="353"/>
      <c r="M7" s="353"/>
      <c r="N7" s="353"/>
      <c r="O7" s="353"/>
      <c r="P7" s="353"/>
      <c r="Q7" s="353"/>
      <c r="R7" s="353"/>
      <c r="S7" s="353"/>
      <c r="T7" s="106"/>
      <c r="U7" s="353"/>
      <c r="V7" s="353"/>
      <c r="W7" s="353"/>
      <c r="X7" s="353"/>
      <c r="Z7" s="353"/>
      <c r="AA7" s="353"/>
      <c r="AB7" s="353"/>
      <c r="AC7" s="103"/>
      <c r="AD7" s="103"/>
      <c r="AE7" s="103"/>
      <c r="AF7" s="103"/>
      <c r="AG7" s="103"/>
    </row>
    <row r="8" spans="1:33" ht="15" customHeight="1"/>
    <row r="9" spans="1:33" ht="12.75" customHeight="1"/>
    <row r="10" spans="1:33">
      <c r="C10" s="104"/>
    </row>
    <row r="12" spans="1:33" ht="15">
      <c r="H12"/>
    </row>
    <row r="13" spans="1:33">
      <c r="M13" s="105"/>
    </row>
    <row r="15" spans="1:33" ht="15">
      <c r="H15"/>
    </row>
    <row r="18" spans="2:28" ht="8.25" customHeight="1">
      <c r="B18" s="353" t="s">
        <v>58</v>
      </c>
      <c r="C18" s="353"/>
      <c r="D18" s="353"/>
      <c r="E18" s="353"/>
      <c r="F18" s="353"/>
      <c r="G18" s="353"/>
      <c r="H18" s="353"/>
      <c r="I18" s="353"/>
      <c r="K18" s="353" t="s">
        <v>283</v>
      </c>
      <c r="L18" s="353"/>
      <c r="M18" s="353"/>
      <c r="N18" s="353"/>
      <c r="O18" s="353"/>
      <c r="P18" s="353"/>
      <c r="Q18" s="353"/>
      <c r="R18" s="353"/>
      <c r="S18" s="353"/>
      <c r="T18" s="353"/>
      <c r="U18" s="353"/>
      <c r="V18" s="353"/>
      <c r="W18" s="353"/>
      <c r="X18" s="353"/>
      <c r="Y18" s="106"/>
      <c r="Z18" s="353" t="s">
        <v>281</v>
      </c>
      <c r="AA18" s="353"/>
      <c r="AB18" s="353"/>
    </row>
    <row r="19" spans="2:28" ht="8.25" customHeight="1">
      <c r="B19" s="353"/>
      <c r="C19" s="353"/>
      <c r="D19" s="353"/>
      <c r="E19" s="353"/>
      <c r="F19" s="353"/>
      <c r="G19" s="353"/>
      <c r="H19" s="353"/>
      <c r="I19" s="353"/>
      <c r="K19" s="353"/>
      <c r="L19" s="353"/>
      <c r="M19" s="353"/>
      <c r="N19" s="353"/>
      <c r="O19" s="353"/>
      <c r="P19" s="353"/>
      <c r="Q19" s="353"/>
      <c r="R19" s="353"/>
      <c r="S19" s="353"/>
      <c r="T19" s="353"/>
      <c r="U19" s="353"/>
      <c r="V19" s="353"/>
      <c r="W19" s="353"/>
      <c r="X19" s="353"/>
      <c r="Y19" s="106"/>
      <c r="Z19" s="353"/>
      <c r="AA19" s="353"/>
      <c r="AB19" s="353"/>
    </row>
    <row r="20" spans="2:28" ht="12.75" customHeight="1"/>
    <row r="21" spans="2:28" ht="12.75" customHeight="1">
      <c r="V21" s="98"/>
      <c r="Y21" s="98"/>
      <c r="Z21" s="98"/>
      <c r="AA21" s="98"/>
    </row>
    <row r="22" spans="2:28" ht="12.75" customHeight="1">
      <c r="V22" s="107"/>
      <c r="Y22" s="98"/>
      <c r="Z22" s="107"/>
      <c r="AA22" s="107"/>
    </row>
    <row r="23" spans="2:28" ht="12.75" customHeight="1">
      <c r="V23" s="107"/>
      <c r="Y23" s="98"/>
      <c r="Z23" s="107"/>
      <c r="AA23" s="107"/>
    </row>
    <row r="25" spans="2:28" ht="12.75" customHeight="1">
      <c r="V25" s="98"/>
    </row>
    <row r="26" spans="2:28" ht="12.75" customHeight="1">
      <c r="V26" s="107"/>
    </row>
    <row r="27" spans="2:28" ht="12.75" customHeight="1">
      <c r="V27" s="107"/>
    </row>
  </sheetData>
  <mergeCells count="23">
    <mergeCell ref="B18:I19"/>
    <mergeCell ref="K18:X19"/>
    <mergeCell ref="K6:S7"/>
    <mergeCell ref="B6:I7"/>
    <mergeCell ref="Z18:AB19"/>
    <mergeCell ref="W3:X4"/>
    <mergeCell ref="Z3:Z4"/>
    <mergeCell ref="AB3:AB4"/>
    <mergeCell ref="Z6:AB7"/>
    <mergeCell ref="E3:F4"/>
    <mergeCell ref="H3:I4"/>
    <mergeCell ref="K3:L4"/>
    <mergeCell ref="Q3:S4"/>
    <mergeCell ref="U6:X7"/>
    <mergeCell ref="B2:C2"/>
    <mergeCell ref="B3:C4"/>
    <mergeCell ref="W2:X2"/>
    <mergeCell ref="U3:U4"/>
    <mergeCell ref="E2:F2"/>
    <mergeCell ref="H2:I2"/>
    <mergeCell ref="K2:L2"/>
    <mergeCell ref="Q2:S2"/>
    <mergeCell ref="N2:O4"/>
  </mergeCells>
  <pageMargins left="0.7" right="0.7" top="0.75" bottom="0.75" header="0.3" footer="0.3"/>
  <pageSetup paperSize="8"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4"/>
  <sheetViews>
    <sheetView zoomScaleNormal="100" workbookViewId="0"/>
  </sheetViews>
  <sheetFormatPr defaultRowHeight="12"/>
  <cols>
    <col min="1" max="1" width="2" style="2" customWidth="1"/>
    <col min="2" max="2" width="23.28515625" style="2" customWidth="1"/>
    <col min="3" max="3" width="21.140625" style="2" customWidth="1"/>
    <col min="4" max="4" width="5.85546875" style="2" customWidth="1"/>
    <col min="5" max="5" width="13.140625" style="2" customWidth="1"/>
    <col min="6" max="6" width="13.140625" style="12" customWidth="1"/>
    <col min="7" max="7" width="5.85546875" style="2" customWidth="1"/>
    <col min="8" max="8" width="24.140625" style="2" customWidth="1"/>
    <col min="9" max="14" width="11.7109375" style="2" customWidth="1"/>
    <col min="15" max="16384" width="9.140625" style="2"/>
  </cols>
  <sheetData>
    <row r="1" spans="2:14" ht="15.75">
      <c r="B1" s="15" t="s">
        <v>59</v>
      </c>
      <c r="E1" s="3"/>
      <c r="F1" s="39"/>
      <c r="G1" s="3"/>
      <c r="H1" s="3"/>
      <c r="I1" s="3"/>
      <c r="J1" s="3"/>
      <c r="K1" s="3"/>
      <c r="L1" s="3"/>
      <c r="M1" s="3"/>
      <c r="N1" s="3"/>
    </row>
    <row r="2" spans="2:14" ht="12.75" thickBot="1">
      <c r="E2" s="3"/>
      <c r="F2" s="39"/>
      <c r="G2" s="3"/>
      <c r="H2" s="3"/>
      <c r="I2" s="3"/>
      <c r="J2" s="3"/>
      <c r="K2" s="3"/>
      <c r="L2" s="3"/>
      <c r="M2" s="3"/>
      <c r="N2" s="3"/>
    </row>
    <row r="3" spans="2:14">
      <c r="B3" s="108" t="s">
        <v>60</v>
      </c>
      <c r="C3" s="109"/>
      <c r="D3" s="17"/>
      <c r="E3" s="110" t="s">
        <v>26</v>
      </c>
      <c r="F3" s="111" t="s">
        <v>44</v>
      </c>
      <c r="G3" s="112"/>
      <c r="H3" s="108" t="str">
        <f>$C$10&amp;"'s Inputs"</f>
        <v>JP Morgan Chase &amp; Co.'s Inputs</v>
      </c>
      <c r="I3" s="109"/>
      <c r="J3" s="44"/>
      <c r="K3" s="3"/>
      <c r="L3" s="113"/>
      <c r="M3" s="114"/>
      <c r="N3" s="3"/>
    </row>
    <row r="4" spans="2:14" ht="12.75" thickBot="1">
      <c r="B4" s="115"/>
      <c r="C4" s="116"/>
      <c r="D4" s="5"/>
      <c r="E4" s="117" t="s">
        <v>11</v>
      </c>
      <c r="F4" s="118">
        <v>0</v>
      </c>
      <c r="G4" s="45"/>
      <c r="H4" s="115"/>
      <c r="I4" s="116"/>
      <c r="J4" s="40"/>
      <c r="K4" s="3"/>
      <c r="L4" s="3"/>
      <c r="M4" s="3"/>
      <c r="N4" s="3"/>
    </row>
    <row r="5" spans="2:14">
      <c r="B5" s="76" t="s">
        <v>61</v>
      </c>
      <c r="C5" s="119" t="s">
        <v>62</v>
      </c>
      <c r="D5" s="5"/>
      <c r="E5" s="117" t="s">
        <v>12</v>
      </c>
      <c r="F5" s="118">
        <v>3.3999999999999998E-3</v>
      </c>
      <c r="G5" s="45"/>
      <c r="H5" s="46" t="s">
        <v>64</v>
      </c>
      <c r="I5" s="121">
        <v>1.4999999999999999E-2</v>
      </c>
      <c r="J5" s="40"/>
      <c r="K5" s="3"/>
      <c r="L5" s="3"/>
      <c r="M5" s="3"/>
      <c r="N5" s="3"/>
    </row>
    <row r="6" spans="2:14">
      <c r="B6" s="76" t="s">
        <v>63</v>
      </c>
      <c r="C6" s="119">
        <v>45037</v>
      </c>
      <c r="D6" s="19"/>
      <c r="E6" s="117" t="s">
        <v>5</v>
      </c>
      <c r="F6" s="118">
        <v>4.1999999999999997E-3</v>
      </c>
      <c r="G6" s="45"/>
      <c r="H6" s="46" t="s">
        <v>66</v>
      </c>
      <c r="I6" s="121">
        <v>0.01</v>
      </c>
      <c r="J6" s="40"/>
      <c r="K6" s="3"/>
      <c r="L6" s="3"/>
      <c r="M6" s="3"/>
      <c r="N6" s="3"/>
    </row>
    <row r="7" spans="2:14">
      <c r="C7" s="120"/>
      <c r="D7" s="5"/>
      <c r="E7" s="117" t="s">
        <v>16</v>
      </c>
      <c r="F7" s="118">
        <v>5.1000000000000004E-3</v>
      </c>
      <c r="G7" s="45"/>
      <c r="H7" s="46"/>
      <c r="I7" s="35"/>
      <c r="J7" s="40"/>
      <c r="K7" s="3"/>
      <c r="L7" s="3"/>
      <c r="M7" s="3"/>
      <c r="N7" s="3"/>
    </row>
    <row r="8" spans="2:14">
      <c r="B8" s="108" t="s">
        <v>65</v>
      </c>
      <c r="C8" s="109"/>
      <c r="D8" s="5"/>
      <c r="E8" s="117" t="s">
        <v>21</v>
      </c>
      <c r="F8" s="118">
        <v>6.0000000000000001E-3</v>
      </c>
      <c r="G8" s="45"/>
      <c r="H8" s="46" t="s">
        <v>37</v>
      </c>
      <c r="I8" s="133">
        <v>22695</v>
      </c>
      <c r="J8" s="40"/>
      <c r="K8" s="3"/>
      <c r="L8" s="3"/>
      <c r="M8" s="3"/>
      <c r="N8" s="3"/>
    </row>
    <row r="9" spans="2:14" ht="12.75" thickBot="1">
      <c r="B9" s="115"/>
      <c r="C9" s="116"/>
      <c r="D9" s="5"/>
      <c r="E9" s="117" t="s">
        <v>18</v>
      </c>
      <c r="F9" s="118">
        <v>7.1999999999999998E-3</v>
      </c>
      <c r="G9" s="45"/>
      <c r="J9" s="40"/>
      <c r="K9" s="124"/>
      <c r="L9" s="3"/>
      <c r="M9" s="3"/>
      <c r="N9" s="3"/>
    </row>
    <row r="10" spans="2:14">
      <c r="B10" s="76" t="s">
        <v>67</v>
      </c>
      <c r="C10" s="122" t="s">
        <v>87</v>
      </c>
      <c r="D10" s="5"/>
      <c r="E10" s="117" t="s">
        <v>19</v>
      </c>
      <c r="F10" s="118">
        <v>1.0200000000000001E-2</v>
      </c>
      <c r="G10" s="45"/>
      <c r="H10" s="108" t="s">
        <v>77</v>
      </c>
      <c r="I10" s="109"/>
      <c r="J10" s="109"/>
      <c r="K10" s="109"/>
      <c r="L10" s="3"/>
      <c r="M10" s="3"/>
      <c r="N10" s="3"/>
    </row>
    <row r="11" spans="2:14" ht="12.75" thickBot="1">
      <c r="B11" s="76" t="s">
        <v>27</v>
      </c>
      <c r="C11" s="122" t="s">
        <v>86</v>
      </c>
      <c r="D11" s="5"/>
      <c r="E11" s="117" t="s">
        <v>20</v>
      </c>
      <c r="F11" s="118">
        <v>1.3599999999999999E-2</v>
      </c>
      <c r="G11" s="45"/>
      <c r="H11" s="115"/>
      <c r="I11" s="115" t="s">
        <v>78</v>
      </c>
      <c r="J11" s="115" t="s">
        <v>79</v>
      </c>
      <c r="K11" s="115" t="s">
        <v>80</v>
      </c>
      <c r="L11" s="3"/>
      <c r="M11" s="3"/>
      <c r="N11" s="3"/>
    </row>
    <row r="12" spans="2:14">
      <c r="B12" s="76" t="s">
        <v>68</v>
      </c>
      <c r="C12" s="122" t="s">
        <v>69</v>
      </c>
      <c r="D12" s="5"/>
      <c r="E12" s="117" t="s">
        <v>7</v>
      </c>
      <c r="F12" s="118">
        <v>1.6199999999999999E-2</v>
      </c>
      <c r="G12" s="45"/>
      <c r="H12" s="76" t="s">
        <v>82</v>
      </c>
      <c r="I12" s="133">
        <v>101.28</v>
      </c>
      <c r="J12" s="134">
        <f>K12-I12</f>
        <v>43.06</v>
      </c>
      <c r="K12" s="134">
        <v>144.34</v>
      </c>
      <c r="L12" s="3"/>
      <c r="M12" s="3"/>
      <c r="N12" s="3"/>
    </row>
    <row r="13" spans="2:14">
      <c r="B13" s="125" t="s">
        <v>70</v>
      </c>
      <c r="C13" s="126" t="s">
        <v>88</v>
      </c>
      <c r="D13" s="5"/>
      <c r="E13" s="117" t="s">
        <v>24</v>
      </c>
      <c r="F13" s="118">
        <v>1.8700000000000001E-2</v>
      </c>
      <c r="G13" s="45"/>
      <c r="H13" s="76" t="s">
        <v>83</v>
      </c>
      <c r="I13" s="133">
        <v>124</v>
      </c>
      <c r="J13" s="134">
        <f t="shared" ref="J13:J15" si="0">K13-I13</f>
        <v>55</v>
      </c>
      <c r="K13" s="134">
        <v>179</v>
      </c>
      <c r="L13" s="3"/>
      <c r="M13" s="3"/>
      <c r="N13" s="127"/>
    </row>
    <row r="14" spans="2:14">
      <c r="B14" s="76" t="s">
        <v>71</v>
      </c>
      <c r="C14" s="126" t="s">
        <v>89</v>
      </c>
      <c r="D14" s="19"/>
      <c r="E14" s="117" t="s">
        <v>23</v>
      </c>
      <c r="F14" s="118">
        <v>2.1299999999999999E-2</v>
      </c>
      <c r="G14" s="6"/>
      <c r="H14" s="46" t="s">
        <v>84</v>
      </c>
      <c r="I14" s="138">
        <f>'Sensitivity Analysis'!J21</f>
        <v>124.14436266398042</v>
      </c>
      <c r="J14" s="134">
        <f t="shared" si="0"/>
        <v>56.740454754894188</v>
      </c>
      <c r="K14" s="134">
        <f>'Sensitivity Analysis'!G21</f>
        <v>180.8848174188746</v>
      </c>
      <c r="N14" s="3"/>
    </row>
    <row r="15" spans="2:14">
      <c r="C15" s="128"/>
      <c r="D15" s="5"/>
      <c r="E15" s="117" t="s">
        <v>13</v>
      </c>
      <c r="F15" s="118">
        <v>2.5600000000000001E-2</v>
      </c>
      <c r="G15" s="3"/>
      <c r="H15" s="46" t="s">
        <v>274</v>
      </c>
      <c r="I15" s="133">
        <f>('Future CashFlows (10Y)'!$C$11*'Beta &amp; Cost of Equity'!$L$25)/'Fair Value of Share'!$C$18</f>
        <v>81.054368880757934</v>
      </c>
      <c r="J15" s="134">
        <f t="shared" si="0"/>
        <v>33.10226301923116</v>
      </c>
      <c r="K15" s="133">
        <f>('Future CashFlows (10Y)'!$C$11*'Beta &amp; Cost of Equity'!L24)/'Fair Value of Share'!$C$18</f>
        <v>114.15663189998909</v>
      </c>
    </row>
    <row r="16" spans="2:14">
      <c r="B16" s="76" t="s">
        <v>72</v>
      </c>
      <c r="C16" s="129">
        <v>140.66</v>
      </c>
      <c r="D16" s="5"/>
      <c r="E16" s="117" t="s">
        <v>10</v>
      </c>
      <c r="F16" s="118">
        <v>3.0599999999999999E-2</v>
      </c>
      <c r="G16" s="130"/>
    </row>
    <row r="17" spans="1:14">
      <c r="B17" s="76" t="s">
        <v>73</v>
      </c>
      <c r="C17" s="131">
        <f>2.94*1000</f>
        <v>2940</v>
      </c>
      <c r="D17" s="5"/>
      <c r="E17" s="117" t="s">
        <v>6</v>
      </c>
      <c r="F17" s="118">
        <v>3.8300000000000001E-2</v>
      </c>
      <c r="G17" s="130"/>
    </row>
    <row r="18" spans="1:14">
      <c r="B18" s="76"/>
      <c r="C18" s="129"/>
      <c r="D18" s="19"/>
      <c r="E18" s="117" t="s">
        <v>14</v>
      </c>
      <c r="F18" s="118">
        <v>4.6800000000000001E-2</v>
      </c>
      <c r="G18" s="3"/>
    </row>
    <row r="19" spans="1:14">
      <c r="B19" s="108" t="s">
        <v>74</v>
      </c>
      <c r="C19" s="109"/>
      <c r="D19" s="5"/>
      <c r="E19" s="117" t="s">
        <v>8</v>
      </c>
      <c r="F19" s="118">
        <v>5.5300000000000002E-2</v>
      </c>
      <c r="G19" s="3"/>
    </row>
    <row r="20" spans="1:14" ht="12.75" thickBot="1">
      <c r="B20" s="115"/>
      <c r="C20" s="116"/>
      <c r="D20" s="5"/>
      <c r="E20" s="117" t="s">
        <v>15</v>
      </c>
      <c r="F20" s="118">
        <v>6.3799999999999996E-2</v>
      </c>
      <c r="G20" s="124"/>
      <c r="H20" s="46"/>
      <c r="I20" s="139"/>
      <c r="J20" s="139"/>
      <c r="N20" s="3"/>
    </row>
    <row r="21" spans="1:14">
      <c r="B21" s="76" t="s">
        <v>75</v>
      </c>
      <c r="C21" s="132" t="s">
        <v>76</v>
      </c>
      <c r="D21" s="5"/>
      <c r="E21" s="117" t="s">
        <v>22</v>
      </c>
      <c r="F21" s="118">
        <v>7.6600000000000001E-2</v>
      </c>
      <c r="G21" s="6"/>
      <c r="H21" s="46"/>
      <c r="I21" s="123"/>
      <c r="J21" s="3"/>
    </row>
    <row r="22" spans="1:14">
      <c r="B22" s="76" t="str">
        <f>"10Y "&amp;C21&amp;" Gov Bond Yield"</f>
        <v>10Y USA Gov Bond Yield</v>
      </c>
      <c r="C22" s="132">
        <v>3.5720000000000002E-2</v>
      </c>
      <c r="D22" s="5"/>
      <c r="E22" s="117" t="s">
        <v>17</v>
      </c>
      <c r="F22" s="118">
        <v>8.5099999999999995E-2</v>
      </c>
      <c r="G22" s="39"/>
      <c r="J22" s="3"/>
    </row>
    <row r="23" spans="1:14">
      <c r="B23" s="76" t="s">
        <v>26</v>
      </c>
      <c r="C23" s="132" t="s">
        <v>81</v>
      </c>
      <c r="D23" s="19"/>
      <c r="E23" s="117" t="s">
        <v>9</v>
      </c>
      <c r="F23" s="118">
        <v>0.1021</v>
      </c>
      <c r="G23" s="3"/>
    </row>
    <row r="24" spans="1:14" ht="12.75" thickBot="1">
      <c r="B24" s="3"/>
      <c r="C24" s="3"/>
      <c r="D24" s="5"/>
      <c r="E24" s="135" t="s">
        <v>25</v>
      </c>
      <c r="F24" s="136">
        <v>0.17499999999999999</v>
      </c>
      <c r="G24" s="3"/>
    </row>
    <row r="25" spans="1:14">
      <c r="B25" s="125" t="str">
        <f>$C$21&amp;" ERP (as of Mar 23)"</f>
        <v>USA ERP (as of Mar 23)</v>
      </c>
      <c r="C25" s="137">
        <v>4.8800000000000003E-2</v>
      </c>
      <c r="D25" s="5"/>
      <c r="E25" s="5"/>
      <c r="F25" s="39"/>
      <c r="G25" s="3"/>
    </row>
    <row r="26" spans="1:14">
      <c r="A26" s="2" t="s">
        <v>85</v>
      </c>
      <c r="B26" s="125" t="str">
        <f>$C$21&amp;" Spread (as of Mar 23)"</f>
        <v>USA Spread (as of Mar 23)</v>
      </c>
      <c r="C26" s="137">
        <v>0</v>
      </c>
      <c r="D26" s="5"/>
      <c r="E26" s="19"/>
      <c r="F26" s="34"/>
      <c r="G26" s="3"/>
    </row>
    <row r="27" spans="1:14">
      <c r="B27" s="125" t="str">
        <f>$C$21&amp;" CRP (as of Mar 23)"</f>
        <v>USA CRP (as of Mar 23)</v>
      </c>
      <c r="C27" s="137">
        <v>0</v>
      </c>
      <c r="D27" s="19"/>
      <c r="E27" s="18"/>
      <c r="F27" s="47"/>
      <c r="G27" s="3"/>
    </row>
    <row r="28" spans="1:14">
      <c r="B28" s="125" t="str">
        <f>$C$21&amp;" Tax % (as of Mar 23)"</f>
        <v>USA Tax % (as of Mar 23)</v>
      </c>
      <c r="C28" s="137">
        <v>0.21</v>
      </c>
      <c r="D28" s="6"/>
      <c r="E28" s="18"/>
      <c r="F28" s="47"/>
      <c r="G28" s="3"/>
    </row>
    <row r="29" spans="1:14">
      <c r="D29" s="3"/>
      <c r="E29" s="3"/>
      <c r="F29" s="39"/>
      <c r="G29" s="3"/>
    </row>
    <row r="30" spans="1:14">
      <c r="B30" s="125" t="s">
        <v>50</v>
      </c>
      <c r="C30" s="137">
        <v>0.02</v>
      </c>
      <c r="D30" s="3"/>
      <c r="E30" s="3"/>
      <c r="F30" s="39"/>
    </row>
    <row r="31" spans="1:14">
      <c r="D31" s="3"/>
      <c r="E31" s="3"/>
      <c r="F31" s="39"/>
    </row>
    <row r="32" spans="1:14">
      <c r="D32" s="3"/>
      <c r="E32" s="3"/>
      <c r="F32" s="39"/>
    </row>
    <row r="33" spans="4:6">
      <c r="D33" s="3"/>
      <c r="E33" s="3"/>
      <c r="F33" s="39"/>
    </row>
    <row r="34" spans="4:6">
      <c r="D34" s="3"/>
      <c r="E34" s="3"/>
      <c r="F34" s="39"/>
    </row>
  </sheetData>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2"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5" t="s">
        <v>90</v>
      </c>
      <c r="E1" s="3"/>
      <c r="F1" s="39"/>
      <c r="G1" s="3"/>
      <c r="H1" s="3"/>
      <c r="I1" s="3"/>
      <c r="J1" s="3"/>
      <c r="K1" s="3"/>
      <c r="L1" s="3"/>
      <c r="M1" s="3"/>
      <c r="N1" s="3"/>
    </row>
    <row r="2" spans="2:14">
      <c r="E2" s="3"/>
      <c r="F2" s="39"/>
      <c r="G2" s="3"/>
      <c r="H2" s="3"/>
      <c r="I2" s="3"/>
      <c r="J2" s="3"/>
      <c r="K2" s="3"/>
      <c r="L2" s="3"/>
      <c r="M2" s="3"/>
      <c r="N2" s="3"/>
    </row>
    <row r="3" spans="2:14">
      <c r="B3" s="3"/>
      <c r="C3" s="140"/>
      <c r="D3" s="17"/>
      <c r="E3" s="35"/>
      <c r="F3" s="141"/>
      <c r="G3" s="112"/>
      <c r="H3" s="44"/>
      <c r="I3" s="44"/>
      <c r="J3" s="44"/>
      <c r="K3" s="3"/>
      <c r="L3" s="124"/>
      <c r="M3" s="44"/>
      <c r="N3" s="3"/>
    </row>
    <row r="4" spans="2:14">
      <c r="C4" s="75"/>
      <c r="D4" s="5"/>
      <c r="E4" s="3"/>
      <c r="F4" s="142"/>
      <c r="G4" s="45"/>
      <c r="H4" s="46"/>
      <c r="I4" s="35"/>
      <c r="J4" s="40"/>
      <c r="K4" s="3"/>
      <c r="L4" s="143"/>
      <c r="M4" s="42"/>
      <c r="N4" s="3"/>
    </row>
    <row r="5" spans="2:14">
      <c r="C5" s="76"/>
      <c r="D5" s="5"/>
      <c r="E5" s="3"/>
      <c r="F5" s="142"/>
      <c r="G5" s="45"/>
      <c r="H5" s="46"/>
      <c r="I5" s="35"/>
      <c r="J5" s="40"/>
      <c r="K5" s="3"/>
      <c r="L5" s="143"/>
      <c r="M5" s="42"/>
      <c r="N5" s="3"/>
    </row>
    <row r="6" spans="2:14">
      <c r="C6" s="144"/>
      <c r="D6" s="19"/>
      <c r="E6" s="3"/>
      <c r="F6" s="142"/>
      <c r="G6" s="45"/>
      <c r="H6" s="46"/>
      <c r="I6" s="35"/>
      <c r="J6" s="40"/>
      <c r="K6" s="3"/>
      <c r="L6" s="143"/>
      <c r="M6" s="42"/>
      <c r="N6" s="3"/>
    </row>
    <row r="7" spans="2:14">
      <c r="C7" s="41"/>
      <c r="D7" s="5"/>
      <c r="E7" s="3"/>
      <c r="F7" s="142"/>
      <c r="G7" s="45"/>
      <c r="H7" s="46"/>
      <c r="I7" s="35"/>
      <c r="J7" s="40"/>
      <c r="K7" s="3"/>
      <c r="L7" s="143"/>
      <c r="M7" s="42"/>
      <c r="N7" s="3"/>
    </row>
    <row r="8" spans="2:14">
      <c r="C8" s="34"/>
      <c r="D8" s="5"/>
      <c r="E8" s="3"/>
      <c r="F8" s="142"/>
      <c r="G8" s="45"/>
      <c r="H8" s="46"/>
      <c r="I8" s="35"/>
      <c r="J8" s="40"/>
      <c r="K8" s="3"/>
      <c r="L8" s="143"/>
      <c r="M8" s="42"/>
      <c r="N8" s="3"/>
    </row>
    <row r="9" spans="2:14">
      <c r="B9" s="3"/>
      <c r="C9" s="140"/>
      <c r="D9" s="5"/>
      <c r="E9" s="3"/>
      <c r="F9" s="142"/>
      <c r="G9" s="45"/>
      <c r="H9" s="46"/>
      <c r="I9" s="35"/>
      <c r="J9" s="40"/>
      <c r="K9" s="3"/>
      <c r="L9" s="143"/>
      <c r="M9" s="42"/>
      <c r="N9" s="3"/>
    </row>
    <row r="10" spans="2:14">
      <c r="B10" s="3"/>
      <c r="C10" s="140"/>
      <c r="D10" s="5"/>
      <c r="E10" s="3"/>
      <c r="F10" s="142"/>
      <c r="G10" s="45"/>
      <c r="H10" s="46"/>
      <c r="I10" s="35"/>
      <c r="J10" s="40"/>
      <c r="K10" s="3"/>
      <c r="L10" s="145"/>
      <c r="M10" s="3"/>
      <c r="N10" s="3"/>
    </row>
    <row r="11" spans="2:14">
      <c r="B11" s="3"/>
      <c r="C11" s="146"/>
      <c r="D11" s="5"/>
      <c r="E11" s="3"/>
      <c r="F11" s="142"/>
      <c r="G11" s="45"/>
      <c r="H11" s="46"/>
      <c r="I11" s="35"/>
      <c r="J11" s="40"/>
      <c r="K11" s="3"/>
      <c r="L11" s="147"/>
      <c r="M11" s="114"/>
      <c r="N11" s="3"/>
    </row>
    <row r="12" spans="2:14">
      <c r="B12" s="3"/>
      <c r="C12" s="3"/>
      <c r="D12" s="5"/>
      <c r="E12" s="3"/>
      <c r="F12" s="142"/>
      <c r="G12" s="45"/>
      <c r="H12" s="46"/>
      <c r="I12" s="35"/>
      <c r="J12" s="40"/>
      <c r="K12" s="3"/>
      <c r="L12" s="113"/>
      <c r="M12" s="114"/>
      <c r="N12" s="3"/>
    </row>
    <row r="13" spans="2:14">
      <c r="B13" s="3"/>
      <c r="C13" s="37"/>
      <c r="D13" s="5"/>
      <c r="E13" s="3"/>
      <c r="F13" s="142"/>
      <c r="G13" s="45"/>
      <c r="H13" s="46"/>
      <c r="I13" s="35"/>
      <c r="J13" s="40"/>
      <c r="K13" s="3"/>
      <c r="L13" s="3"/>
      <c r="M13" s="3"/>
      <c r="N13" s="3"/>
    </row>
    <row r="14" spans="2:14">
      <c r="B14" s="18"/>
      <c r="C14" s="18"/>
      <c r="D14" s="19"/>
      <c r="E14" s="3"/>
      <c r="F14" s="143"/>
      <c r="G14" s="6"/>
      <c r="H14" s="3"/>
      <c r="I14" s="35"/>
      <c r="J14" s="18"/>
      <c r="K14" s="3"/>
      <c r="L14" s="3"/>
      <c r="M14" s="3"/>
      <c r="N14" s="3"/>
    </row>
    <row r="15" spans="2:14">
      <c r="B15" s="3"/>
      <c r="C15" s="148"/>
      <c r="D15" s="5"/>
      <c r="E15" s="35"/>
      <c r="F15" s="113"/>
      <c r="G15" s="3"/>
      <c r="H15" s="3"/>
      <c r="I15" s="3"/>
      <c r="J15" s="3"/>
      <c r="K15" s="3"/>
      <c r="L15" s="3"/>
      <c r="M15" s="3"/>
      <c r="N15" s="3"/>
    </row>
    <row r="16" spans="2:14">
      <c r="B16" s="3"/>
      <c r="C16" s="3"/>
      <c r="D16" s="5"/>
      <c r="E16" s="35"/>
      <c r="F16" s="147"/>
      <c r="G16" s="130"/>
      <c r="H16" s="33"/>
      <c r="I16" s="3"/>
      <c r="J16" s="3"/>
      <c r="K16" s="3"/>
      <c r="L16" s="3"/>
      <c r="M16" s="3"/>
      <c r="N16" s="3"/>
    </row>
    <row r="17" spans="2:14">
      <c r="B17" s="3"/>
      <c r="C17" s="41"/>
      <c r="D17" s="5"/>
      <c r="E17" s="35"/>
      <c r="F17" s="113"/>
      <c r="G17" s="130"/>
      <c r="H17" s="3"/>
      <c r="I17" s="3"/>
      <c r="J17" s="3"/>
      <c r="K17" s="3"/>
      <c r="L17" s="3"/>
      <c r="M17" s="3"/>
      <c r="N17" s="3"/>
    </row>
    <row r="18" spans="2:14">
      <c r="B18" s="3"/>
      <c r="C18" s="3"/>
      <c r="D18" s="19"/>
      <c r="E18" s="35"/>
      <c r="F18" s="113"/>
      <c r="G18" s="3"/>
      <c r="H18" s="3"/>
      <c r="I18" s="3"/>
      <c r="J18" s="3"/>
      <c r="K18" s="3"/>
      <c r="L18" s="3"/>
      <c r="M18" s="3"/>
      <c r="N18" s="3"/>
    </row>
    <row r="19" spans="2:14">
      <c r="B19" s="18"/>
      <c r="C19" s="18"/>
      <c r="D19" s="5"/>
      <c r="E19" s="35"/>
      <c r="F19" s="113"/>
      <c r="G19" s="3"/>
      <c r="H19" s="3"/>
      <c r="I19" s="3"/>
      <c r="J19" s="3"/>
      <c r="K19" s="3"/>
      <c r="L19" s="3"/>
      <c r="M19" s="3"/>
      <c r="N19" s="3"/>
    </row>
    <row r="20" spans="2:14">
      <c r="B20" s="3"/>
      <c r="C20" s="3"/>
      <c r="D20" s="5"/>
      <c r="E20" s="91"/>
      <c r="F20" s="124"/>
      <c r="G20" s="124"/>
      <c r="H20" s="124"/>
      <c r="I20" s="124"/>
      <c r="J20" s="124"/>
      <c r="K20" s="124"/>
      <c r="L20" s="3"/>
      <c r="M20" s="3"/>
      <c r="N20" s="3"/>
    </row>
    <row r="21" spans="2:14">
      <c r="B21" s="3"/>
      <c r="C21" s="3"/>
      <c r="D21" s="5"/>
      <c r="E21" s="149"/>
      <c r="F21" s="150"/>
      <c r="G21" s="6"/>
      <c r="H21" s="6"/>
      <c r="I21" s="6"/>
      <c r="J21" s="6"/>
      <c r="K21" s="6"/>
      <c r="L21" s="3"/>
      <c r="M21" s="3"/>
      <c r="N21" s="3"/>
    </row>
    <row r="22" spans="2:14">
      <c r="B22" s="3"/>
      <c r="C22" s="3"/>
      <c r="D22" s="5"/>
      <c r="E22" s="35"/>
      <c r="F22" s="39"/>
      <c r="G22" s="39"/>
      <c r="H22" s="39"/>
      <c r="I22" s="43"/>
      <c r="J22" s="113"/>
      <c r="K22" s="39"/>
      <c r="L22" s="3"/>
      <c r="M22" s="3"/>
      <c r="N22" s="3"/>
    </row>
    <row r="23" spans="2:14">
      <c r="B23" s="18"/>
      <c r="C23" s="18"/>
      <c r="D23" s="19"/>
      <c r="E23" s="35"/>
      <c r="F23" s="3"/>
      <c r="G23" s="3"/>
      <c r="H23" s="3"/>
      <c r="I23" s="3"/>
      <c r="J23" s="3"/>
      <c r="K23" s="3"/>
      <c r="L23" s="151"/>
      <c r="M23" s="3"/>
      <c r="N23" s="3"/>
    </row>
    <row r="24" spans="2:14">
      <c r="B24" s="3"/>
      <c r="C24" s="3"/>
      <c r="D24" s="5"/>
      <c r="E24" s="35"/>
      <c r="F24" s="3"/>
      <c r="G24" s="3"/>
      <c r="H24" s="3"/>
      <c r="I24" s="3"/>
      <c r="J24" s="3"/>
      <c r="K24" s="3"/>
      <c r="L24" s="3"/>
      <c r="M24" s="3"/>
      <c r="N24" s="3"/>
    </row>
    <row r="25" spans="2:14">
      <c r="B25" s="3"/>
      <c r="C25" s="3"/>
      <c r="D25" s="5"/>
      <c r="E25" s="5"/>
      <c r="F25" s="39"/>
      <c r="G25" s="3"/>
      <c r="H25" s="147"/>
      <c r="I25" s="130"/>
      <c r="J25" s="3"/>
      <c r="K25" s="3"/>
      <c r="L25" s="3"/>
      <c r="M25" s="3"/>
      <c r="N25" s="3"/>
    </row>
    <row r="26" spans="2:14">
      <c r="B26" s="3"/>
      <c r="C26" s="3"/>
      <c r="D26" s="5"/>
      <c r="E26" s="19"/>
      <c r="F26" s="34"/>
      <c r="G26" s="3"/>
      <c r="H26" s="113"/>
      <c r="I26" s="130"/>
      <c r="J26" s="3"/>
      <c r="K26" s="3"/>
      <c r="L26" s="152"/>
      <c r="M26" s="3"/>
      <c r="N26" s="3"/>
    </row>
    <row r="27" spans="2:14">
      <c r="B27" s="3"/>
      <c r="C27" s="3"/>
      <c r="D27" s="19"/>
      <c r="E27" s="18"/>
      <c r="F27" s="47"/>
      <c r="G27" s="3"/>
      <c r="H27" s="3"/>
      <c r="I27" s="3"/>
      <c r="J27" s="3"/>
      <c r="K27" s="3"/>
      <c r="L27" s="3"/>
      <c r="M27" s="3"/>
      <c r="N27" s="3"/>
    </row>
    <row r="28" spans="2:14">
      <c r="B28" s="3"/>
      <c r="C28" s="3"/>
      <c r="D28" s="6"/>
      <c r="E28" s="18"/>
      <c r="F28" s="47"/>
      <c r="G28" s="3"/>
      <c r="H28" s="3"/>
      <c r="I28" s="3"/>
      <c r="J28" s="3"/>
      <c r="K28" s="3"/>
      <c r="L28" s="3"/>
      <c r="M28" s="3"/>
      <c r="N28" s="3"/>
    </row>
    <row r="29" spans="2:14">
      <c r="B29" s="3"/>
      <c r="C29" s="3"/>
      <c r="D29" s="3"/>
      <c r="E29" s="3"/>
      <c r="F29" s="39"/>
      <c r="G29" s="3"/>
      <c r="H29" s="3"/>
      <c r="I29" s="3"/>
      <c r="J29" s="3"/>
      <c r="K29" s="3"/>
      <c r="L29" s="3"/>
      <c r="M29" s="3"/>
      <c r="N29" s="3"/>
    </row>
    <row r="30" spans="2:14">
      <c r="B30" s="3"/>
      <c r="C30" s="3"/>
      <c r="D30" s="3"/>
      <c r="E30" s="3"/>
      <c r="F30" s="39"/>
    </row>
    <row r="31" spans="2:14">
      <c r="D31" s="3"/>
      <c r="E31" s="3"/>
      <c r="F31" s="39"/>
    </row>
    <row r="32" spans="2:14">
      <c r="D32" s="3"/>
      <c r="E32" s="3"/>
      <c r="F32" s="39"/>
    </row>
    <row r="33" spans="4:6">
      <c r="D33" s="3"/>
      <c r="E33" s="3"/>
      <c r="F33" s="39"/>
    </row>
    <row r="34" spans="4:6">
      <c r="D34" s="3"/>
      <c r="E34" s="3"/>
      <c r="F34" s="39"/>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34"/>
  <sheetViews>
    <sheetView zoomScaleNormal="100" workbookViewId="0"/>
  </sheetViews>
  <sheetFormatPr defaultRowHeight="12"/>
  <cols>
    <col min="1" max="1" width="2" style="2" customWidth="1"/>
    <col min="2" max="2" width="22.28515625" style="2" customWidth="1"/>
    <col min="3" max="3" width="15.28515625" style="2" bestFit="1" customWidth="1"/>
    <col min="4" max="4" width="3.28515625" style="2" customWidth="1"/>
    <col min="5" max="5" width="20.5703125" style="2" customWidth="1"/>
    <col min="6" max="6" width="10" style="12" bestFit="1" customWidth="1"/>
    <col min="7" max="7" width="11.42578125" style="2" customWidth="1"/>
    <col min="8" max="8" width="48.7109375" style="2" customWidth="1"/>
    <col min="9" max="9" width="10" style="2" customWidth="1"/>
    <col min="10" max="10" width="7.85546875" style="2" customWidth="1"/>
    <col min="11" max="11" width="10.28515625" style="2" customWidth="1"/>
    <col min="12" max="16384" width="9.140625" style="2"/>
  </cols>
  <sheetData>
    <row r="1" spans="2:12" ht="15.75">
      <c r="B1" s="15" t="s">
        <v>57</v>
      </c>
      <c r="E1" s="3"/>
      <c r="F1" s="39"/>
      <c r="G1" s="3"/>
      <c r="H1" s="3"/>
      <c r="I1" s="3"/>
      <c r="J1" s="3"/>
      <c r="K1" s="3"/>
      <c r="L1" s="3"/>
    </row>
    <row r="2" spans="2:12">
      <c r="E2" s="3"/>
      <c r="F2" s="39"/>
      <c r="G2" s="3"/>
      <c r="H2" s="3"/>
      <c r="I2" s="3"/>
      <c r="J2" s="3"/>
      <c r="K2" s="3"/>
    </row>
    <row r="3" spans="2:12">
      <c r="B3" s="153" t="s">
        <v>91</v>
      </c>
      <c r="C3" s="153"/>
      <c r="D3" s="17"/>
      <c r="E3" s="35"/>
      <c r="F3" s="141"/>
      <c r="G3" s="112"/>
      <c r="H3" s="3"/>
      <c r="I3" s="124"/>
      <c r="J3" s="44"/>
      <c r="K3" s="3"/>
    </row>
    <row r="4" spans="2:12" ht="12.75" thickBot="1">
      <c r="B4" s="154" t="s">
        <v>139</v>
      </c>
      <c r="C4" s="116"/>
      <c r="G4" s="45"/>
      <c r="H4" s="3"/>
      <c r="I4" s="143"/>
      <c r="J4" s="42"/>
      <c r="K4" s="3"/>
    </row>
    <row r="5" spans="2:12">
      <c r="B5" s="155" t="s">
        <v>93</v>
      </c>
      <c r="C5" s="155" t="s">
        <v>94</v>
      </c>
      <c r="D5" s="5"/>
      <c r="E5" s="3"/>
      <c r="F5" s="142"/>
      <c r="G5" s="45"/>
      <c r="H5" s="3"/>
      <c r="I5" s="143"/>
      <c r="J5" s="42"/>
      <c r="K5" s="3"/>
    </row>
    <row r="6" spans="2:12">
      <c r="B6" s="33" t="s">
        <v>108</v>
      </c>
      <c r="C6" s="156" t="s">
        <v>111</v>
      </c>
      <c r="E6" s="3"/>
      <c r="F6" s="142"/>
      <c r="G6" s="45"/>
      <c r="H6" s="3"/>
      <c r="I6" s="143"/>
      <c r="J6" s="42"/>
      <c r="K6" s="3"/>
    </row>
    <row r="7" spans="2:12">
      <c r="B7" s="120" t="s">
        <v>109</v>
      </c>
      <c r="C7" s="156" t="s">
        <v>123</v>
      </c>
      <c r="D7" s="19"/>
      <c r="E7" s="3"/>
      <c r="F7" s="142"/>
      <c r="G7" s="45"/>
      <c r="H7" s="3"/>
      <c r="I7" s="143"/>
      <c r="J7" s="42"/>
      <c r="K7" s="3"/>
    </row>
    <row r="8" spans="2:12">
      <c r="B8" s="120" t="s">
        <v>110</v>
      </c>
      <c r="C8" s="156" t="s">
        <v>111</v>
      </c>
      <c r="D8" s="5"/>
      <c r="E8" s="3"/>
      <c r="F8" s="142"/>
      <c r="G8" s="45"/>
      <c r="J8" s="143"/>
      <c r="K8" s="42"/>
      <c r="L8" s="3"/>
    </row>
    <row r="9" spans="2:12">
      <c r="B9" s="120" t="s">
        <v>112</v>
      </c>
      <c r="C9" s="156" t="s">
        <v>111</v>
      </c>
      <c r="D9" s="5"/>
      <c r="E9" s="3"/>
      <c r="F9" s="142"/>
      <c r="G9" s="45"/>
      <c r="I9" s="3"/>
      <c r="J9" s="143"/>
      <c r="K9" s="42"/>
      <c r="L9" s="3"/>
    </row>
    <row r="10" spans="2:12">
      <c r="B10" s="120" t="s">
        <v>113</v>
      </c>
      <c r="C10" s="156" t="s">
        <v>114</v>
      </c>
      <c r="D10" s="5"/>
      <c r="E10" s="3"/>
      <c r="F10" s="142"/>
      <c r="G10" s="45"/>
      <c r="I10" s="3"/>
      <c r="J10" s="145"/>
      <c r="K10" s="3"/>
      <c r="L10" s="3"/>
    </row>
    <row r="11" spans="2:12">
      <c r="B11" s="120" t="s">
        <v>115</v>
      </c>
      <c r="C11" s="156" t="s">
        <v>116</v>
      </c>
      <c r="D11" s="2" t="s">
        <v>95</v>
      </c>
      <c r="E11" s="3"/>
      <c r="F11" s="142"/>
      <c r="G11" s="45"/>
      <c r="I11" s="3"/>
      <c r="J11" s="147"/>
      <c r="K11" s="114"/>
      <c r="L11" s="3"/>
    </row>
    <row r="12" spans="2:12">
      <c r="B12" s="33" t="s">
        <v>117</v>
      </c>
      <c r="C12" s="156" t="s">
        <v>111</v>
      </c>
      <c r="D12" s="5"/>
      <c r="E12" s="3"/>
      <c r="F12" s="142"/>
      <c r="G12" s="45"/>
      <c r="I12" s="3"/>
      <c r="J12" s="113"/>
      <c r="K12" s="114"/>
      <c r="L12" s="3"/>
    </row>
    <row r="13" spans="2:12">
      <c r="B13" s="33" t="s">
        <v>118</v>
      </c>
      <c r="C13" s="156" t="s">
        <v>114</v>
      </c>
      <c r="D13" s="5"/>
      <c r="E13" s="153" t="s">
        <v>97</v>
      </c>
      <c r="F13" s="153"/>
      <c r="G13" s="45"/>
      <c r="I13" s="3"/>
      <c r="J13" s="3"/>
      <c r="K13" s="3"/>
      <c r="L13" s="3"/>
    </row>
    <row r="14" spans="2:12" ht="12.75" thickBot="1">
      <c r="B14" s="33" t="s">
        <v>119</v>
      </c>
      <c r="C14" s="156" t="s">
        <v>111</v>
      </c>
      <c r="D14" s="5"/>
      <c r="E14" s="154" t="s">
        <v>92</v>
      </c>
      <c r="F14" s="116"/>
      <c r="G14" s="6"/>
      <c r="I14" s="3"/>
      <c r="J14" s="3"/>
      <c r="K14" s="3"/>
      <c r="L14" s="3"/>
    </row>
    <row r="15" spans="2:12">
      <c r="B15" s="33" t="s">
        <v>120</v>
      </c>
      <c r="C15" s="156" t="s">
        <v>111</v>
      </c>
      <c r="E15" s="155" t="s">
        <v>93</v>
      </c>
      <c r="F15" s="157" t="s">
        <v>98</v>
      </c>
      <c r="G15" s="3"/>
      <c r="I15" s="3"/>
      <c r="J15" s="3"/>
      <c r="K15" s="3"/>
      <c r="L15" s="3"/>
    </row>
    <row r="16" spans="2:12">
      <c r="B16" s="33" t="s">
        <v>121</v>
      </c>
      <c r="C16" s="156" t="s">
        <v>111</v>
      </c>
      <c r="D16" s="5"/>
      <c r="E16" s="36" t="s">
        <v>99</v>
      </c>
      <c r="F16" s="158">
        <v>0.70899999999999996</v>
      </c>
      <c r="G16" s="130"/>
      <c r="I16" s="3"/>
      <c r="J16" s="3"/>
      <c r="K16" s="3"/>
      <c r="L16" s="3"/>
    </row>
    <row r="17" spans="2:12">
      <c r="B17" s="33" t="s">
        <v>122</v>
      </c>
      <c r="C17" s="156" t="s">
        <v>111</v>
      </c>
      <c r="E17" s="36" t="s">
        <v>100</v>
      </c>
      <c r="F17" s="158">
        <v>2.29E-2</v>
      </c>
      <c r="G17" s="130"/>
      <c r="I17" s="3"/>
      <c r="J17" s="3"/>
      <c r="K17" s="3"/>
      <c r="L17" s="3"/>
    </row>
    <row r="18" spans="2:12">
      <c r="B18" s="33"/>
      <c r="C18" s="156"/>
      <c r="E18" s="36" t="s">
        <v>101</v>
      </c>
      <c r="F18" s="158">
        <f>100%-F17-F16</f>
        <v>0.2681</v>
      </c>
      <c r="G18" s="3"/>
      <c r="I18" s="3"/>
      <c r="J18" s="3"/>
      <c r="K18" s="3"/>
      <c r="L18" s="3"/>
    </row>
    <row r="19" spans="2:12">
      <c r="B19" s="153" t="s">
        <v>96</v>
      </c>
      <c r="C19" s="153"/>
      <c r="E19" s="159" t="s">
        <v>102</v>
      </c>
      <c r="F19" s="160">
        <f>SUM(F16:F18)</f>
        <v>1</v>
      </c>
      <c r="G19" s="3"/>
      <c r="I19" s="3"/>
      <c r="J19" s="3"/>
      <c r="K19" s="3"/>
      <c r="L19" s="3"/>
    </row>
    <row r="20" spans="2:12" ht="12.75" thickBot="1">
      <c r="B20" s="154" t="s">
        <v>139</v>
      </c>
      <c r="C20" s="116"/>
      <c r="D20" s="5"/>
      <c r="E20" s="161" t="s">
        <v>103</v>
      </c>
      <c r="F20" s="39"/>
      <c r="G20" s="124"/>
      <c r="I20" s="124"/>
      <c r="J20" s="3"/>
      <c r="K20" s="3"/>
      <c r="L20" s="3"/>
    </row>
    <row r="21" spans="2:12">
      <c r="B21" s="155" t="s">
        <v>93</v>
      </c>
      <c r="C21" s="155" t="s">
        <v>94</v>
      </c>
      <c r="D21" s="5"/>
      <c r="G21" s="6"/>
      <c r="I21" s="6"/>
      <c r="J21" s="3"/>
      <c r="K21" s="3"/>
      <c r="L21" s="3"/>
    </row>
    <row r="22" spans="2:12">
      <c r="B22" s="120" t="s">
        <v>115</v>
      </c>
      <c r="C22" s="156" t="s">
        <v>116</v>
      </c>
      <c r="D22" s="2" t="s">
        <v>95</v>
      </c>
      <c r="E22" s="33" t="s">
        <v>104</v>
      </c>
      <c r="F22" s="33">
        <v>10</v>
      </c>
      <c r="G22" s="39"/>
      <c r="I22" s="39"/>
      <c r="J22" s="3"/>
      <c r="K22" s="3"/>
      <c r="L22" s="3"/>
    </row>
    <row r="23" spans="2:12">
      <c r="B23" s="33" t="s">
        <v>124</v>
      </c>
      <c r="C23" s="156" t="s">
        <v>125</v>
      </c>
      <c r="D23" s="5"/>
      <c r="E23" s="33" t="s">
        <v>105</v>
      </c>
      <c r="F23" s="33">
        <v>3</v>
      </c>
      <c r="G23" s="3"/>
      <c r="I23" s="3"/>
      <c r="J23" s="151"/>
      <c r="K23" s="3"/>
      <c r="L23" s="3"/>
    </row>
    <row r="24" spans="2:12">
      <c r="B24" s="33" t="s">
        <v>126</v>
      </c>
      <c r="C24" s="156" t="s">
        <v>127</v>
      </c>
      <c r="D24" s="5"/>
      <c r="E24" s="33" t="s">
        <v>106</v>
      </c>
      <c r="F24" s="33">
        <v>3</v>
      </c>
      <c r="G24" s="3"/>
      <c r="I24" s="3"/>
      <c r="J24" s="3"/>
      <c r="K24" s="3"/>
      <c r="L24" s="3"/>
    </row>
    <row r="25" spans="2:12">
      <c r="B25" s="33" t="s">
        <v>128</v>
      </c>
      <c r="C25" s="156" t="s">
        <v>129</v>
      </c>
      <c r="D25" s="6"/>
      <c r="E25" s="33" t="s">
        <v>107</v>
      </c>
      <c r="F25" s="33">
        <v>8</v>
      </c>
      <c r="G25" s="3"/>
      <c r="I25" s="3"/>
      <c r="J25" s="3"/>
      <c r="K25" s="3"/>
      <c r="L25" s="3"/>
    </row>
    <row r="26" spans="2:12" ht="12" customHeight="1">
      <c r="B26" s="33" t="s">
        <v>130</v>
      </c>
      <c r="C26" s="156" t="s">
        <v>131</v>
      </c>
      <c r="D26" s="3"/>
      <c r="E26" s="162" t="s">
        <v>57</v>
      </c>
      <c r="F26" s="162">
        <v>5</v>
      </c>
      <c r="G26" s="3"/>
      <c r="I26" s="3"/>
      <c r="J26" s="152"/>
      <c r="K26" s="3"/>
      <c r="L26" s="3"/>
    </row>
    <row r="27" spans="2:12">
      <c r="B27" s="33" t="s">
        <v>132</v>
      </c>
      <c r="C27" s="156" t="s">
        <v>133</v>
      </c>
      <c r="G27" s="3"/>
      <c r="I27" s="3"/>
      <c r="J27" s="3"/>
      <c r="K27" s="3"/>
      <c r="L27" s="3"/>
    </row>
    <row r="28" spans="2:12">
      <c r="B28" s="33" t="s">
        <v>134</v>
      </c>
      <c r="C28" s="156" t="s">
        <v>135</v>
      </c>
      <c r="G28" s="3"/>
      <c r="I28" s="3"/>
      <c r="J28" s="3"/>
      <c r="K28" s="3"/>
      <c r="L28" s="3"/>
    </row>
    <row r="29" spans="2:12">
      <c r="B29" s="33" t="s">
        <v>136</v>
      </c>
      <c r="C29" s="156" t="s">
        <v>137</v>
      </c>
      <c r="G29" s="3"/>
      <c r="I29" s="3"/>
      <c r="J29" s="3"/>
      <c r="K29" s="3"/>
      <c r="L29" s="3"/>
    </row>
    <row r="30" spans="2:12">
      <c r="B30" s="120" t="s">
        <v>138</v>
      </c>
      <c r="C30" s="156"/>
      <c r="D30" s="3"/>
      <c r="E30" s="3"/>
      <c r="F30" s="39"/>
    </row>
    <row r="31" spans="2:12">
      <c r="D31" s="3"/>
      <c r="E31" s="3"/>
      <c r="F31" s="39"/>
    </row>
    <row r="32" spans="2:12">
      <c r="D32" s="3"/>
      <c r="E32" s="3"/>
      <c r="F32" s="39"/>
    </row>
    <row r="33" spans="4:6">
      <c r="D33" s="3"/>
      <c r="E33" s="3"/>
      <c r="F33" s="39"/>
    </row>
    <row r="34" spans="4:6">
      <c r="D34" s="3"/>
      <c r="E34" s="3"/>
      <c r="F34" s="39"/>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14"/>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7.7109375" style="1" customWidth="1"/>
    <col min="3" max="3" width="28.5703125" style="1" customWidth="1"/>
    <col min="4" max="4" width="9.140625" style="1" customWidth="1"/>
    <col min="5" max="16384" width="9.140625" style="1"/>
  </cols>
  <sheetData>
    <row r="1" spans="2:3" ht="15.75">
      <c r="B1" s="29" t="s">
        <v>28</v>
      </c>
      <c r="C1" s="8"/>
    </row>
    <row r="2" spans="2:3">
      <c r="B2" s="30"/>
      <c r="C2" s="8"/>
    </row>
    <row r="3" spans="2:3">
      <c r="B3" s="8"/>
      <c r="C3" s="8"/>
    </row>
    <row r="4" spans="2:3">
      <c r="B4" s="38" t="s">
        <v>0</v>
      </c>
      <c r="C4" s="38" t="s">
        <v>1</v>
      </c>
    </row>
    <row r="5" spans="2:3">
      <c r="B5" s="163">
        <v>1</v>
      </c>
      <c r="C5" s="164" t="s">
        <v>2</v>
      </c>
    </row>
    <row r="6" spans="2:3">
      <c r="B6" s="31">
        <f>B5+1</f>
        <v>2</v>
      </c>
      <c r="C6" s="357" t="s">
        <v>43</v>
      </c>
    </row>
    <row r="7" spans="2:3">
      <c r="B7" s="31">
        <f t="shared" ref="B7:B12" si="0">B6+1</f>
        <v>3</v>
      </c>
      <c r="C7" s="357" t="s">
        <v>52</v>
      </c>
    </row>
    <row r="8" spans="2:3">
      <c r="B8" s="31">
        <f t="shared" si="0"/>
        <v>4</v>
      </c>
      <c r="C8" s="164" t="s">
        <v>251</v>
      </c>
    </row>
    <row r="9" spans="2:3">
      <c r="B9" s="31">
        <f t="shared" si="0"/>
        <v>5</v>
      </c>
      <c r="C9" s="357" t="s">
        <v>220</v>
      </c>
    </row>
    <row r="10" spans="2:3">
      <c r="B10" s="31">
        <f t="shared" si="0"/>
        <v>6</v>
      </c>
      <c r="C10" s="357" t="s">
        <v>237</v>
      </c>
    </row>
    <row r="11" spans="2:3">
      <c r="B11" s="31">
        <f t="shared" si="0"/>
        <v>7</v>
      </c>
      <c r="C11" s="357" t="s">
        <v>30</v>
      </c>
    </row>
    <row r="12" spans="2:3">
      <c r="B12" s="31">
        <f t="shared" si="0"/>
        <v>8</v>
      </c>
      <c r="C12" s="357" t="s">
        <v>31</v>
      </c>
    </row>
    <row r="13" spans="2:3">
      <c r="B13" s="31">
        <f t="shared" ref="B13:B14" si="1">B12+1</f>
        <v>9</v>
      </c>
      <c r="C13" s="164" t="s">
        <v>256</v>
      </c>
    </row>
    <row r="14" spans="2:3">
      <c r="B14" s="31">
        <f t="shared" si="1"/>
        <v>10</v>
      </c>
      <c r="C14" s="357" t="s">
        <v>38</v>
      </c>
    </row>
  </sheetData>
  <hyperlinks>
    <hyperlink ref="C7" location="'Beta &amp; Cost of Equity'!A1" display="Beta &amp; Cost of Equity"/>
    <hyperlink ref="C6" location="'Risk Free Rate &amp; ERP'!A1" display="Risk Free Rate &amp; ERP"/>
    <hyperlink ref="C11" location="'Future CashFlows (10Y)'!A1" display="Future Cash Flows (10 Yrs)"/>
    <hyperlink ref="C12" location="'Terminal Value'!A1" display="Terminal Value"/>
    <hyperlink ref="C14" location="'Fair Value of Share'!A1" display="Fair Value of Share"/>
    <hyperlink ref="C10" location="'Growth Rate'!A1" display="Growth Rate"/>
    <hyperlink ref="C9" location="'Regulatory Capital'!A1" display="Regulatory Capital"/>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8"/>
  <sheetViews>
    <sheetView zoomScaleNormal="100" workbookViewId="0"/>
  </sheetViews>
  <sheetFormatPr defaultRowHeight="12"/>
  <cols>
    <col min="1" max="1" width="2" style="2" customWidth="1"/>
    <col min="2" max="2" width="24" style="2" customWidth="1"/>
    <col min="3" max="3" width="12.42578125" style="2" customWidth="1"/>
    <col min="4" max="4" width="9.28515625" style="2" customWidth="1"/>
    <col min="5" max="5" width="10.5703125" style="2" customWidth="1"/>
    <col min="6" max="6" width="10.42578125" style="2" customWidth="1"/>
    <col min="7" max="7" width="9.140625" style="2" customWidth="1"/>
    <col min="8" max="8" width="10.85546875" style="2" customWidth="1"/>
    <col min="9" max="18" width="10.7109375" style="2" customWidth="1"/>
    <col min="19" max="16384" width="9.140625" style="2"/>
  </cols>
  <sheetData>
    <row r="1" spans="2:8" ht="15.75">
      <c r="B1" s="15" t="s">
        <v>41</v>
      </c>
    </row>
    <row r="3" spans="2:8">
      <c r="B3" s="33" t="s">
        <v>140</v>
      </c>
      <c r="C3" s="165">
        <f>Drivers!C22</f>
        <v>3.5720000000000002E-2</v>
      </c>
      <c r="D3" s="17"/>
    </row>
    <row r="4" spans="2:8">
      <c r="B4" s="33" t="s">
        <v>26</v>
      </c>
      <c r="C4" s="25" t="str">
        <f>Drivers!C23</f>
        <v>AAA</v>
      </c>
      <c r="D4" s="5"/>
    </row>
    <row r="5" spans="2:8">
      <c r="B5" s="33" t="s">
        <v>141</v>
      </c>
      <c r="C5" s="34">
        <f>VLOOKUP(C4,Drivers!$E$3:$F$24,2,0)</f>
        <v>0</v>
      </c>
      <c r="D5" s="5"/>
    </row>
    <row r="6" spans="2:8">
      <c r="B6" s="166" t="str">
        <f>Drivers!C5&amp;" Risk Free Rate"</f>
        <v>$ Risk Free Rate</v>
      </c>
      <c r="C6" s="167">
        <f>C3</f>
        <v>3.5720000000000002E-2</v>
      </c>
      <c r="D6" s="19"/>
    </row>
    <row r="7" spans="2:8">
      <c r="D7" s="5"/>
    </row>
    <row r="8" spans="2:8">
      <c r="B8" s="168" t="s">
        <v>4</v>
      </c>
      <c r="C8" s="169">
        <f>E17</f>
        <v>5.2868641170685314E-2</v>
      </c>
    </row>
    <row r="10" spans="2:8">
      <c r="B10" s="170" t="s">
        <v>142</v>
      </c>
      <c r="C10" s="171" t="s">
        <v>156</v>
      </c>
      <c r="D10" s="171" t="s">
        <v>98</v>
      </c>
      <c r="E10" s="171" t="s">
        <v>143</v>
      </c>
      <c r="F10" s="171" t="s">
        <v>144</v>
      </c>
      <c r="G10" s="171" t="s">
        <v>145</v>
      </c>
      <c r="H10" s="171" t="s">
        <v>146</v>
      </c>
    </row>
    <row r="11" spans="2:8" ht="12.75" thickBot="1">
      <c r="B11" s="172"/>
      <c r="C11" s="173" t="str">
        <f>"in mil "&amp;Drivers!$C$5</f>
        <v>in mil $</v>
      </c>
      <c r="D11" s="174"/>
      <c r="E11" s="174"/>
      <c r="F11" s="174"/>
      <c r="G11" s="174"/>
      <c r="H11" s="174"/>
    </row>
    <row r="12" spans="2:8">
      <c r="B12" s="120" t="s">
        <v>277</v>
      </c>
      <c r="C12" s="175">
        <v>357000</v>
      </c>
      <c r="D12" s="46">
        <f>C12/$C$17</f>
        <v>9.7388169328837287E-2</v>
      </c>
      <c r="E12" s="178">
        <f>$E$16+F12</f>
        <v>5.6100000000000004E-2</v>
      </c>
      <c r="F12" s="121">
        <v>7.3000000000000001E-3</v>
      </c>
      <c r="G12" s="121">
        <v>1.03E-2</v>
      </c>
      <c r="H12" s="179">
        <v>0.25</v>
      </c>
    </row>
    <row r="13" spans="2:8">
      <c r="B13" s="120" t="s">
        <v>278</v>
      </c>
      <c r="C13" s="175">
        <f>558430-C12</f>
        <v>201430</v>
      </c>
      <c r="D13" s="46">
        <f>C13/$C$17</f>
        <v>5.4949296772850688E-2</v>
      </c>
      <c r="E13" s="178">
        <f>$E$16+F13</f>
        <v>7.291985392763059E-2</v>
      </c>
      <c r="F13" s="121">
        <f>E26</f>
        <v>2.4119853927630594E-2</v>
      </c>
      <c r="G13" s="121">
        <f>F26</f>
        <v>3.4024059279187065E-2</v>
      </c>
      <c r="H13" s="179">
        <f>G26</f>
        <v>0.22930724305843167</v>
      </c>
    </row>
    <row r="14" spans="2:8">
      <c r="B14" s="33" t="s">
        <v>279</v>
      </c>
      <c r="C14" s="175">
        <v>281479</v>
      </c>
      <c r="D14" s="46">
        <f>C14/$C$17</f>
        <v>7.6786343177904184E-2</v>
      </c>
      <c r="E14" s="178">
        <f>$E$16+F14</f>
        <v>6.1723311677585338E-2</v>
      </c>
      <c r="F14" s="121">
        <f>E38</f>
        <v>1.2923311677585338E-2</v>
      </c>
      <c r="G14" s="121">
        <f>F38</f>
        <v>1.8229941355402235E-2</v>
      </c>
      <c r="H14" s="121">
        <f>G38</f>
        <v>0.24804922588601591</v>
      </c>
    </row>
    <row r="15" spans="2:8">
      <c r="B15" s="33" t="s">
        <v>280</v>
      </c>
      <c r="C15" s="175">
        <v>78673</v>
      </c>
      <c r="D15" s="46">
        <f>C15/$C$17</f>
        <v>2.1461679119349066E-2</v>
      </c>
      <c r="E15" s="178">
        <f>$E$16+F15</f>
        <v>9.7258681715630818E-2</v>
      </c>
      <c r="F15" s="179">
        <f>E32</f>
        <v>4.8458681715630808E-2</v>
      </c>
      <c r="G15" s="179">
        <f>F32</f>
        <v>6.8357008472391123E-2</v>
      </c>
      <c r="H15" s="179">
        <f>G32</f>
        <v>0.311161298386673</v>
      </c>
    </row>
    <row r="16" spans="2:8">
      <c r="B16" s="120" t="s">
        <v>76</v>
      </c>
      <c r="C16" s="175">
        <v>2747161</v>
      </c>
      <c r="D16" s="46">
        <f>C16/$C$17</f>
        <v>0.74941451160105876</v>
      </c>
      <c r="E16" s="178">
        <f>Drivers!C25</f>
        <v>4.8800000000000003E-2</v>
      </c>
      <c r="F16" s="176">
        <v>0</v>
      </c>
      <c r="G16" s="177">
        <v>0</v>
      </c>
      <c r="H16" s="176">
        <v>0.21</v>
      </c>
    </row>
    <row r="17" spans="2:8">
      <c r="C17" s="180">
        <f>SUM(C12:C16)</f>
        <v>3665743</v>
      </c>
      <c r="D17" s="181">
        <f>SUM(D12:D16)</f>
        <v>1</v>
      </c>
      <c r="E17" s="181">
        <f>(D12*E12)+($D13*E13)+($D14*E14)+($D15*E15)+($D16*E16)</f>
        <v>5.2868641170685314E-2</v>
      </c>
      <c r="F17" s="181">
        <f>(D12*F12)+($D13*F13)+($D14*F14)+($D15*F15)+($D16*F16)</f>
        <v>4.0686411706853144E-3</v>
      </c>
      <c r="G17" s="181">
        <f>(D12*G12)+($D13*G13)+($D14*G14)+($D15*G15)+($D16*G16)</f>
        <v>5.7395629892582067E-3</v>
      </c>
      <c r="H17" s="181">
        <f>(D12*H12)+($D13*H13)+($D14*H14)+($D15*H15)+($D16*H16)</f>
        <v>0.22004919844364551</v>
      </c>
    </row>
    <row r="20" spans="2:8">
      <c r="B20" s="170" t="s">
        <v>157</v>
      </c>
      <c r="C20" s="171" t="s">
        <v>150</v>
      </c>
      <c r="D20" s="171" t="s">
        <v>98</v>
      </c>
      <c r="E20" s="171" t="s">
        <v>144</v>
      </c>
      <c r="F20" s="171" t="s">
        <v>145</v>
      </c>
      <c r="G20" s="171" t="s">
        <v>146</v>
      </c>
    </row>
    <row r="21" spans="2:8" ht="12.75" thickBot="1">
      <c r="B21" s="172"/>
      <c r="C21" s="173" t="s">
        <v>151</v>
      </c>
      <c r="D21" s="174"/>
      <c r="E21" s="174"/>
      <c r="F21" s="174"/>
      <c r="G21" s="174"/>
    </row>
    <row r="22" spans="2:8">
      <c r="B22" s="2" t="s">
        <v>158</v>
      </c>
      <c r="C22" s="182">
        <v>17358568.881525449</v>
      </c>
      <c r="D22" s="183">
        <f>C22/$C$26</f>
        <v>0.64338701105036666</v>
      </c>
      <c r="E22" s="178">
        <v>1.1297044278747607E-2</v>
      </c>
      <c r="F22" s="178">
        <v>1.5935888557740877E-2</v>
      </c>
      <c r="G22" s="178">
        <v>0.24797502635088178</v>
      </c>
    </row>
    <row r="23" spans="2:8">
      <c r="B23" s="2" t="s">
        <v>152</v>
      </c>
      <c r="C23" s="182">
        <v>4433800.5632910877</v>
      </c>
      <c r="D23" s="183">
        <f>C23/$C$26</f>
        <v>0.16433668647911012</v>
      </c>
      <c r="E23" s="178">
        <v>5.5238638383210012E-2</v>
      </c>
      <c r="F23" s="178">
        <v>7.7920982129121116E-2</v>
      </c>
      <c r="G23" s="178">
        <v>0.18347474471087855</v>
      </c>
    </row>
    <row r="24" spans="2:8">
      <c r="B24" s="2" t="s">
        <v>148</v>
      </c>
      <c r="C24" s="182">
        <v>2861479.1872123685</v>
      </c>
      <c r="D24" s="183">
        <f>C24/$C$26</f>
        <v>0.10605935051493774</v>
      </c>
      <c r="E24" s="178">
        <v>1.7766934990427034E-2</v>
      </c>
      <c r="F24" s="178">
        <v>2.5062475549707256E-2</v>
      </c>
      <c r="G24" s="178">
        <v>0.15181337167475101</v>
      </c>
    </row>
    <row r="25" spans="2:8">
      <c r="B25" s="2" t="s">
        <v>149</v>
      </c>
      <c r="C25" s="182">
        <v>2326131.6650345619</v>
      </c>
      <c r="D25" s="183">
        <f>C25/$C$26</f>
        <v>8.6216951955585402E-2</v>
      </c>
      <c r="E25" s="178">
        <v>6.830904895845899E-2</v>
      </c>
      <c r="F25" s="178">
        <v>9.6358424808081405E-2</v>
      </c>
      <c r="G25" s="178">
        <v>0.27268967770769714</v>
      </c>
    </row>
    <row r="26" spans="2:8">
      <c r="C26" s="184">
        <f>SUM(C22:C25)</f>
        <v>26979980.29706347</v>
      </c>
      <c r="D26" s="185">
        <f>SUM(D22:D25)</f>
        <v>1</v>
      </c>
      <c r="E26" s="186">
        <f>(E22*$D22)+(D23*E23)+(D24*E24)+(D25*E25)</f>
        <v>2.4119853927630594E-2</v>
      </c>
      <c r="F26" s="186">
        <f>(F22*$D22)+(D23*F23)+(D24*F24)+(D25*F25)</f>
        <v>3.4024059279187065E-2</v>
      </c>
      <c r="G26" s="186">
        <f>(G22*$D22)+(D23*G23)+(D24*G24)+(D25*G25)</f>
        <v>0.22930724305843167</v>
      </c>
    </row>
    <row r="28" spans="2:8">
      <c r="B28" s="170" t="s">
        <v>153</v>
      </c>
      <c r="C28" s="171" t="s">
        <v>150</v>
      </c>
      <c r="D28" s="171" t="s">
        <v>98</v>
      </c>
      <c r="E28" s="171" t="s">
        <v>144</v>
      </c>
      <c r="F28" s="171" t="s">
        <v>145</v>
      </c>
      <c r="G28" s="171" t="s">
        <v>146</v>
      </c>
    </row>
    <row r="29" spans="2:8" ht="12.75" thickBot="1">
      <c r="B29" s="172"/>
      <c r="C29" s="173" t="s">
        <v>151</v>
      </c>
      <c r="D29" s="174"/>
      <c r="E29" s="174"/>
      <c r="F29" s="174"/>
      <c r="G29" s="174"/>
    </row>
    <row r="30" spans="2:8">
      <c r="B30" s="2" t="s">
        <v>154</v>
      </c>
      <c r="C30" s="182">
        <v>4881187.1920141988</v>
      </c>
      <c r="D30" s="183">
        <f>C30/$C$32</f>
        <v>0.94161290164900913</v>
      </c>
      <c r="E30" s="178">
        <v>4.6544446090017511E-2</v>
      </c>
      <c r="F30" s="178">
        <v>6.5656740610255004E-2</v>
      </c>
      <c r="G30" s="178">
        <v>0.31456268874307608</v>
      </c>
    </row>
    <row r="31" spans="2:8">
      <c r="B31" s="2" t="s">
        <v>155</v>
      </c>
      <c r="C31" s="182">
        <v>302670.40325235901</v>
      </c>
      <c r="D31" s="183">
        <f>C31/$C$32</f>
        <v>5.8387098350990763E-2</v>
      </c>
      <c r="E31" s="178">
        <v>7.9329696251037377E-2</v>
      </c>
      <c r="F31" s="178">
        <v>0.11190442097799</v>
      </c>
      <c r="G31" s="178">
        <v>0.25630683338345972</v>
      </c>
    </row>
    <row r="32" spans="2:8">
      <c r="C32" s="184">
        <f>SUM(C30:C31)</f>
        <v>5183857.5952665582</v>
      </c>
      <c r="D32" s="185">
        <f>SUM(D30:D31)</f>
        <v>0.99999999999999989</v>
      </c>
      <c r="E32" s="186">
        <f>(E30*$D30)+(E31*$D31)</f>
        <v>4.8458681715630808E-2</v>
      </c>
      <c r="F32" s="186">
        <f>(F30*$D30)+(F31*$D31)</f>
        <v>6.8357008472391123E-2</v>
      </c>
      <c r="G32" s="186">
        <f>(G30*$D30)+(G31*$D31)</f>
        <v>0.311161298386673</v>
      </c>
    </row>
    <row r="34" spans="2:7">
      <c r="B34" s="170" t="s">
        <v>159</v>
      </c>
      <c r="C34" s="171" t="s">
        <v>150</v>
      </c>
      <c r="D34" s="171" t="s">
        <v>98</v>
      </c>
      <c r="E34" s="171" t="s">
        <v>144</v>
      </c>
      <c r="F34" s="171" t="s">
        <v>145</v>
      </c>
      <c r="G34" s="171" t="s">
        <v>146</v>
      </c>
    </row>
    <row r="35" spans="2:7" ht="12.75" thickBot="1">
      <c r="B35" s="172"/>
      <c r="C35" s="173" t="s">
        <v>151</v>
      </c>
      <c r="D35" s="174"/>
      <c r="E35" s="174"/>
      <c r="F35" s="174"/>
      <c r="G35" s="174"/>
    </row>
    <row r="36" spans="2:7">
      <c r="B36" s="2" t="s">
        <v>147</v>
      </c>
      <c r="C36" s="182">
        <v>31076239.138915617</v>
      </c>
      <c r="D36" s="183">
        <f>C36/$C$38</f>
        <v>0.94546053288605814</v>
      </c>
      <c r="E36" s="178">
        <v>1.3668800788686953E-2</v>
      </c>
      <c r="F36" s="178">
        <v>1.9281546633950514E-2</v>
      </c>
      <c r="G36" s="178">
        <v>0.24521330317788381</v>
      </c>
    </row>
    <row r="37" spans="2:7">
      <c r="B37" s="2" t="s">
        <v>160</v>
      </c>
      <c r="C37" s="182">
        <v>1792651.7962290661</v>
      </c>
      <c r="D37" s="183">
        <f>C37/$C$38</f>
        <v>5.4539467113941892E-2</v>
      </c>
      <c r="E37" s="178">
        <v>0</v>
      </c>
      <c r="F37" s="178">
        <v>0</v>
      </c>
      <c r="G37" s="178">
        <v>0.29721092725087606</v>
      </c>
    </row>
    <row r="38" spans="2:7">
      <c r="C38" s="184">
        <f>SUM(C36:C37)</f>
        <v>32868890.935144681</v>
      </c>
      <c r="D38" s="185">
        <f>SUM(D36:D37)</f>
        <v>1</v>
      </c>
      <c r="E38" s="186">
        <f>(E36*$D36)+(E37*$D37)</f>
        <v>1.2923311677585338E-2</v>
      </c>
      <c r="F38" s="186">
        <f>(F36*$D36)+(F37*$D37)</f>
        <v>1.8229941355402235E-2</v>
      </c>
      <c r="G38" s="186">
        <f>(G36*$D36)+(G37*$D37)</f>
        <v>0.24804922588601591</v>
      </c>
    </row>
  </sheetData>
  <pageMargins left="0.7" right="0.7" top="0.75" bottom="0.75" header="0.3" footer="0.3"/>
  <pageSetup paperSize="11"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X625"/>
  <sheetViews>
    <sheetView zoomScaleNormal="100" workbookViewId="0"/>
  </sheetViews>
  <sheetFormatPr defaultRowHeight="12"/>
  <cols>
    <col min="1" max="1" width="2" style="2" customWidth="1"/>
    <col min="2" max="2" width="28.42578125" style="2" customWidth="1"/>
    <col min="3" max="3" width="11" style="2" customWidth="1"/>
    <col min="4" max="4" width="14.28515625" style="2" customWidth="1"/>
    <col min="5" max="6" width="15.7109375" style="2" customWidth="1"/>
    <col min="7" max="7" width="12.7109375" style="12" customWidth="1"/>
    <col min="8" max="9" width="12.7109375" style="2" customWidth="1"/>
    <col min="10" max="10" width="5.42578125" style="2" customWidth="1"/>
    <col min="11" max="11" width="22.85546875" style="2" customWidth="1"/>
    <col min="12" max="12" width="10.28515625" style="2" customWidth="1"/>
    <col min="13" max="13" width="11.140625" style="2" customWidth="1"/>
    <col min="14" max="14" width="10.85546875" style="2" customWidth="1"/>
    <col min="15" max="15" width="9.7109375" style="2" customWidth="1"/>
    <col min="16" max="16" width="9.140625" style="2"/>
    <col min="17" max="17" width="12.140625" style="2" customWidth="1"/>
    <col min="18" max="18" width="11.42578125" style="2" bestFit="1" customWidth="1"/>
    <col min="19" max="19" width="11.7109375" style="2" customWidth="1"/>
    <col min="20" max="20" width="9.140625" style="2"/>
    <col min="21" max="21" width="15" style="2" bestFit="1" customWidth="1"/>
    <col min="22" max="22" width="11.42578125" style="2" bestFit="1" customWidth="1"/>
    <col min="23" max="23" width="10" style="2" bestFit="1" customWidth="1"/>
    <col min="24" max="24" width="11.42578125" style="2" bestFit="1" customWidth="1"/>
    <col min="25" max="25" width="13.5703125" style="2" bestFit="1" customWidth="1"/>
    <col min="26" max="26" width="10" style="2" bestFit="1" customWidth="1"/>
    <col min="27" max="16384" width="9.140625" style="2"/>
  </cols>
  <sheetData>
    <row r="1" spans="2:24" ht="15.75">
      <c r="B1" s="15" t="s">
        <v>52</v>
      </c>
      <c r="E1" s="3"/>
      <c r="F1" s="3"/>
      <c r="G1" s="39"/>
      <c r="H1" s="3"/>
      <c r="I1" s="3"/>
      <c r="J1" s="3"/>
      <c r="K1" s="3"/>
      <c r="L1" s="3"/>
      <c r="M1" s="3"/>
      <c r="N1" s="3"/>
      <c r="O1" s="3"/>
      <c r="P1" s="3"/>
    </row>
    <row r="2" spans="2:24">
      <c r="M2" s="77"/>
      <c r="N2" s="48"/>
      <c r="O2" s="48"/>
      <c r="P2" s="48"/>
    </row>
    <row r="3" spans="2:24">
      <c r="B3" s="217" t="str">
        <f>CONCATENATE("Industry: ",Drivers!$C$14)</f>
        <v>Industry: Banks - Diversified</v>
      </c>
      <c r="C3" s="217"/>
      <c r="D3" s="217"/>
      <c r="E3" s="217"/>
      <c r="F3" s="217"/>
      <c r="G3" s="217"/>
      <c r="H3" s="217"/>
      <c r="I3" s="217"/>
      <c r="J3" s="77"/>
      <c r="K3" s="221" t="s">
        <v>3</v>
      </c>
      <c r="L3" s="109"/>
      <c r="M3" s="77"/>
      <c r="N3" s="77"/>
      <c r="O3" s="77"/>
      <c r="P3" s="48"/>
      <c r="Q3" s="48"/>
    </row>
    <row r="4" spans="2:24" ht="12.75" thickBot="1">
      <c r="B4" s="218" t="s">
        <v>161</v>
      </c>
      <c r="C4" s="219"/>
      <c r="D4" s="219"/>
      <c r="E4" s="219"/>
      <c r="F4" s="219"/>
      <c r="G4" s="219"/>
      <c r="H4" s="219"/>
      <c r="I4" s="219"/>
      <c r="J4" s="77"/>
      <c r="K4" s="116"/>
      <c r="L4" s="116"/>
      <c r="M4" s="77"/>
      <c r="N4" s="77"/>
      <c r="O4" s="77"/>
      <c r="V4" s="69"/>
      <c r="W4" s="69"/>
      <c r="X4" s="69"/>
    </row>
    <row r="5" spans="2:24">
      <c r="B5" s="35" t="s">
        <v>40</v>
      </c>
      <c r="C5" s="35" t="s">
        <v>27</v>
      </c>
      <c r="D5" s="78" t="s">
        <v>42</v>
      </c>
      <c r="E5" s="40" t="s">
        <v>53</v>
      </c>
      <c r="F5" s="40" t="s">
        <v>210</v>
      </c>
      <c r="G5" s="40" t="s">
        <v>201</v>
      </c>
      <c r="H5" s="40" t="s">
        <v>202</v>
      </c>
      <c r="I5" s="40" t="s">
        <v>203</v>
      </c>
      <c r="J5" s="40"/>
      <c r="K5" s="33" t="str">
        <f>Drivers!$C$5&amp;" Risk Free Rate"</f>
        <v>$ Risk Free Rate</v>
      </c>
      <c r="L5" s="61">
        <f>'Risk Free Rate &amp; ERP'!C6</f>
        <v>3.5720000000000002E-2</v>
      </c>
      <c r="M5" s="40"/>
      <c r="N5" s="40"/>
      <c r="O5" s="40"/>
      <c r="Q5" s="12"/>
      <c r="U5" s="88"/>
      <c r="V5" s="88"/>
    </row>
    <row r="6" spans="2:24">
      <c r="B6" s="69" t="s">
        <v>162</v>
      </c>
      <c r="C6" s="45" t="s">
        <v>163</v>
      </c>
      <c r="D6" s="64">
        <v>1.08</v>
      </c>
      <c r="E6" s="182">
        <v>221890</v>
      </c>
      <c r="F6" s="208">
        <v>244884.3</v>
      </c>
      <c r="G6" s="191">
        <f>E6/F6</f>
        <v>0.9061013711373086</v>
      </c>
      <c r="H6" s="206">
        <v>0.108</v>
      </c>
      <c r="I6" s="206">
        <v>0.13170000000000001</v>
      </c>
      <c r="J6" s="190"/>
      <c r="K6" s="33" t="str">
        <f>Drivers!$C$11&amp;"'s Equity Risk Premium"</f>
        <v>JPM's Equity Risk Premium</v>
      </c>
      <c r="L6" s="61">
        <f>'Risk Free Rate &amp; ERP'!C8</f>
        <v>5.2868641170685314E-2</v>
      </c>
      <c r="M6" s="191"/>
      <c r="N6" s="191"/>
      <c r="O6" s="64"/>
      <c r="Q6" s="88"/>
      <c r="U6" s="88"/>
      <c r="V6" s="88"/>
    </row>
    <row r="7" spans="2:24">
      <c r="B7" s="69" t="s">
        <v>164</v>
      </c>
      <c r="C7" s="45" t="s">
        <v>165</v>
      </c>
      <c r="D7" s="64">
        <v>1.57</v>
      </c>
      <c r="E7" s="182">
        <v>42350</v>
      </c>
      <c r="F7" s="208">
        <v>51230.2</v>
      </c>
      <c r="G7" s="191">
        <f t="shared" ref="G7:G16" si="0">E7/F7</f>
        <v>0.82666083677206026</v>
      </c>
      <c r="H7" s="206">
        <v>0.13400000000000001</v>
      </c>
      <c r="I7" s="206">
        <v>8.72E-2</v>
      </c>
      <c r="J7" s="190"/>
      <c r="K7" s="33" t="str">
        <f>Drivers!$C$11&amp;"'s Beta"</f>
        <v>JPM's Beta</v>
      </c>
      <c r="L7" s="65">
        <f>D26</f>
        <v>1.1200000000000001</v>
      </c>
      <c r="M7" s="191"/>
      <c r="N7" s="191"/>
      <c r="O7" s="64"/>
      <c r="Q7" s="12"/>
      <c r="U7" s="88"/>
      <c r="V7" s="88"/>
    </row>
    <row r="8" spans="2:24">
      <c r="B8" s="69" t="s">
        <v>166</v>
      </c>
      <c r="C8" s="79" t="s">
        <v>167</v>
      </c>
      <c r="D8" s="64">
        <v>1.35</v>
      </c>
      <c r="E8" s="182">
        <v>28990</v>
      </c>
      <c r="F8" s="209">
        <v>85160</v>
      </c>
      <c r="G8" s="191">
        <f t="shared" si="0"/>
        <v>0.34041803663691872</v>
      </c>
      <c r="H8" s="206">
        <v>0</v>
      </c>
      <c r="I8" s="206">
        <v>0.13900000000000001</v>
      </c>
      <c r="J8" s="190"/>
      <c r="K8" s="222" t="s">
        <v>3</v>
      </c>
      <c r="L8" s="169">
        <f>L5+L7*L6</f>
        <v>9.493287811116756E-2</v>
      </c>
      <c r="M8" s="191"/>
      <c r="N8" s="191"/>
      <c r="O8" s="64"/>
      <c r="Q8" s="88"/>
      <c r="U8" s="88"/>
      <c r="V8" s="88"/>
    </row>
    <row r="9" spans="2:24">
      <c r="B9" s="69" t="s">
        <v>168</v>
      </c>
      <c r="C9" s="79" t="s">
        <v>169</v>
      </c>
      <c r="D9" s="193" t="s">
        <v>39</v>
      </c>
      <c r="E9" s="182">
        <v>63550</v>
      </c>
      <c r="F9" s="208">
        <v>53213.194800000005</v>
      </c>
      <c r="G9" s="191">
        <f t="shared" si="0"/>
        <v>1.1942526705801171</v>
      </c>
      <c r="H9" s="46">
        <v>0.16</v>
      </c>
      <c r="I9" s="206">
        <v>0.13850000000000001</v>
      </c>
      <c r="J9" s="190"/>
      <c r="M9" s="191"/>
      <c r="N9" s="191"/>
      <c r="O9" s="64"/>
      <c r="Q9" s="12"/>
      <c r="U9" s="88"/>
      <c r="V9" s="88"/>
    </row>
    <row r="10" spans="2:24" ht="12.75" thickBot="1">
      <c r="B10" s="69" t="s">
        <v>170</v>
      </c>
      <c r="C10" s="79" t="s">
        <v>171</v>
      </c>
      <c r="D10" s="64">
        <v>0.94</v>
      </c>
      <c r="E10" s="182">
        <v>59800</v>
      </c>
      <c r="F10" s="208">
        <v>49039.9</v>
      </c>
      <c r="G10" s="191">
        <f t="shared" si="0"/>
        <v>1.2194152108793044</v>
      </c>
      <c r="H10" s="206">
        <v>0.13300000000000001</v>
      </c>
      <c r="I10" s="206">
        <v>0.115</v>
      </c>
      <c r="J10" s="190"/>
      <c r="K10" s="223" t="s">
        <v>208</v>
      </c>
      <c r="L10" s="214"/>
      <c r="M10" s="191"/>
      <c r="N10" s="191"/>
      <c r="O10" s="64"/>
      <c r="Q10" s="12"/>
      <c r="U10" s="88"/>
      <c r="V10" s="88"/>
    </row>
    <row r="11" spans="2:24">
      <c r="B11" s="69" t="s">
        <v>172</v>
      </c>
      <c r="C11" s="79" t="s">
        <v>25</v>
      </c>
      <c r="D11" s="64">
        <v>1.56</v>
      </c>
      <c r="E11" s="182">
        <v>90370</v>
      </c>
      <c r="F11" s="208">
        <v>182495.8</v>
      </c>
      <c r="G11" s="191">
        <f t="shared" si="0"/>
        <v>0.49518947833320004</v>
      </c>
      <c r="H11" s="206">
        <v>7.5999999999999998E-2</v>
      </c>
      <c r="I11" s="206">
        <v>0.15440000000000001</v>
      </c>
      <c r="J11" s="190"/>
      <c r="K11" s="211" t="s">
        <v>204</v>
      </c>
      <c r="L11" s="212">
        <f>_xlfn.PERCENTILE.EXC($I$6:$I$25,0.9)</f>
        <v>0.2324800000000001</v>
      </c>
      <c r="M11" s="191"/>
      <c r="N11" s="191"/>
      <c r="O11" s="64"/>
      <c r="Q11" s="88"/>
      <c r="U11" s="88"/>
      <c r="V11" s="88"/>
    </row>
    <row r="12" spans="2:24">
      <c r="B12" s="69" t="s">
        <v>173</v>
      </c>
      <c r="C12" s="45" t="s">
        <v>174</v>
      </c>
      <c r="D12" s="64">
        <v>1.05</v>
      </c>
      <c r="E12" s="182">
        <v>38420</v>
      </c>
      <c r="F12" s="209">
        <v>33269.391299999996</v>
      </c>
      <c r="G12" s="191">
        <f t="shared" si="0"/>
        <v>1.1548152370314033</v>
      </c>
      <c r="H12" s="206">
        <v>0.10299999999999999</v>
      </c>
      <c r="I12" s="206">
        <v>0.11600000000000001</v>
      </c>
      <c r="J12" s="190"/>
      <c r="K12" s="211" t="s">
        <v>205</v>
      </c>
      <c r="L12" s="212">
        <f>_xlfn.PERCENTILE.EXC($I$6:$I$25,0.75)</f>
        <v>0.15255000000000002</v>
      </c>
      <c r="M12" s="191"/>
      <c r="N12" s="191"/>
      <c r="O12" s="64"/>
      <c r="Q12" s="88"/>
      <c r="U12" s="88"/>
      <c r="V12" s="12"/>
    </row>
    <row r="13" spans="2:24">
      <c r="B13" s="69" t="s">
        <v>175</v>
      </c>
      <c r="C13" s="45" t="s">
        <v>176</v>
      </c>
      <c r="D13" s="64">
        <v>1.19</v>
      </c>
      <c r="E13" s="182">
        <v>3480</v>
      </c>
      <c r="F13" s="210">
        <v>77666.399999999994</v>
      </c>
      <c r="G13" s="191">
        <f t="shared" si="0"/>
        <v>4.4807020796637932E-2</v>
      </c>
      <c r="H13" s="46">
        <v>-0.16300000000000001</v>
      </c>
      <c r="I13" s="206">
        <v>0.14099999999999999</v>
      </c>
      <c r="J13" s="190"/>
      <c r="K13" s="211" t="s">
        <v>206</v>
      </c>
      <c r="L13" s="212">
        <f>_xlfn.PERCENTILE.EXC($I$6:$I$25,0.5)</f>
        <v>0.1351</v>
      </c>
      <c r="M13" s="191"/>
      <c r="N13" s="191"/>
      <c r="O13" s="64"/>
      <c r="Q13" s="12"/>
      <c r="U13" s="88"/>
      <c r="V13" s="12"/>
    </row>
    <row r="14" spans="2:24">
      <c r="B14" s="69" t="s">
        <v>177</v>
      </c>
      <c r="C14" s="79" t="s">
        <v>178</v>
      </c>
      <c r="D14" s="64">
        <v>1.39</v>
      </c>
      <c r="E14" s="182">
        <v>7250</v>
      </c>
      <c r="F14" s="210">
        <v>5984.3123999999998</v>
      </c>
      <c r="G14" s="191">
        <f t="shared" si="0"/>
        <v>1.2115009236483043</v>
      </c>
      <c r="H14" s="207">
        <v>0.19700000000000001</v>
      </c>
      <c r="I14" s="206">
        <v>0.127</v>
      </c>
      <c r="J14" s="190"/>
      <c r="K14" s="211" t="s">
        <v>207</v>
      </c>
      <c r="L14" s="212">
        <f>_xlfn.PERCENTILE.EXC($I$6:$I$25,0.25)</f>
        <v>0.119475</v>
      </c>
      <c r="M14" s="191"/>
      <c r="N14" s="191"/>
      <c r="O14" s="64"/>
      <c r="Q14" s="88"/>
      <c r="U14" s="88"/>
    </row>
    <row r="15" spans="2:24">
      <c r="B15" s="69" t="s">
        <v>179</v>
      </c>
      <c r="C15" s="79" t="s">
        <v>180</v>
      </c>
      <c r="D15" s="64">
        <v>0.57999999999999996</v>
      </c>
      <c r="E15" s="182">
        <v>138200</v>
      </c>
      <c r="F15" s="209">
        <v>167796</v>
      </c>
      <c r="G15" s="191">
        <f t="shared" si="0"/>
        <v>0.82361915659491292</v>
      </c>
      <c r="H15" s="207">
        <v>0</v>
      </c>
      <c r="I15" s="206">
        <v>0.17810000000000001</v>
      </c>
      <c r="J15" s="190"/>
      <c r="K15" s="191"/>
      <c r="L15" s="86"/>
      <c r="M15" s="191"/>
      <c r="N15" s="191"/>
      <c r="O15" s="64"/>
      <c r="Q15" s="88"/>
      <c r="U15" s="88"/>
      <c r="V15" s="88"/>
    </row>
    <row r="16" spans="2:24" ht="12.75" thickBot="1">
      <c r="B16" s="69" t="s">
        <v>181</v>
      </c>
      <c r="C16" s="79" t="s">
        <v>182</v>
      </c>
      <c r="D16" s="64">
        <v>1.76</v>
      </c>
      <c r="E16" s="182">
        <v>43930</v>
      </c>
      <c r="F16" s="210">
        <v>58449.1</v>
      </c>
      <c r="G16" s="191">
        <f t="shared" si="0"/>
        <v>0.7515941220651815</v>
      </c>
      <c r="H16" s="46">
        <v>0</v>
      </c>
      <c r="I16" s="206">
        <v>0.14699999999999999</v>
      </c>
      <c r="J16" s="190"/>
      <c r="K16" s="223" t="s">
        <v>45</v>
      </c>
      <c r="L16" s="224"/>
      <c r="M16" s="191"/>
      <c r="N16" s="191"/>
      <c r="O16" s="64"/>
      <c r="Q16" s="12"/>
      <c r="U16" s="88"/>
      <c r="V16" s="12"/>
    </row>
    <row r="17" spans="2:22">
      <c r="B17" s="69" t="s">
        <v>183</v>
      </c>
      <c r="C17" s="79" t="s">
        <v>184</v>
      </c>
      <c r="D17" s="64">
        <v>0.83</v>
      </c>
      <c r="E17" s="182">
        <v>80770</v>
      </c>
      <c r="F17" s="209">
        <v>127002</v>
      </c>
      <c r="G17" s="191">
        <f t="shared" ref="G17:G25" si="1">E17/F17</f>
        <v>0.6359742366261949</v>
      </c>
      <c r="H17" s="46">
        <v>2.4E-2</v>
      </c>
      <c r="I17" s="206">
        <v>9.6600000000000005E-2</v>
      </c>
      <c r="J17" s="190"/>
      <c r="K17" s="211" t="s">
        <v>204</v>
      </c>
      <c r="L17" s="212">
        <f>_xlfn.PERCENTILE.EXC($H$6:$H$25,0.9)</f>
        <v>0.19330000000000008</v>
      </c>
      <c r="M17" s="191"/>
      <c r="N17" s="191"/>
      <c r="O17" s="64"/>
      <c r="Q17" s="88"/>
      <c r="U17" s="88"/>
      <c r="V17" s="88"/>
    </row>
    <row r="18" spans="2:22">
      <c r="B18" s="69" t="s">
        <v>185</v>
      </c>
      <c r="C18" s="43" t="s">
        <v>186</v>
      </c>
      <c r="D18" s="64">
        <v>1.37</v>
      </c>
      <c r="E18" s="182">
        <v>1300</v>
      </c>
      <c r="F18" s="209">
        <v>864.90300000000002</v>
      </c>
      <c r="G18" s="191">
        <f t="shared" si="1"/>
        <v>1.5030587245043663</v>
      </c>
      <c r="H18" s="46">
        <v>0.26200000000000001</v>
      </c>
      <c r="I18" s="206">
        <v>0.23799999999999999</v>
      </c>
      <c r="J18" s="190"/>
      <c r="K18" s="211" t="s">
        <v>205</v>
      </c>
      <c r="L18" s="212">
        <f>_xlfn.PERCENTILE.EXC($H$6:$H$25,0.75)</f>
        <v>0.14524999999999999</v>
      </c>
      <c r="M18" s="191"/>
      <c r="N18" s="191"/>
      <c r="O18" s="64"/>
      <c r="Q18" s="88"/>
      <c r="U18" s="88"/>
    </row>
    <row r="19" spans="2:22">
      <c r="B19" s="69" t="s">
        <v>187</v>
      </c>
      <c r="C19" s="69" t="s">
        <v>188</v>
      </c>
      <c r="D19" s="64">
        <v>1.3</v>
      </c>
      <c r="E19" s="182">
        <v>31750</v>
      </c>
      <c r="F19" s="209">
        <v>45450.3</v>
      </c>
      <c r="G19" s="191">
        <f t="shared" si="1"/>
        <v>0.69856524599397585</v>
      </c>
      <c r="H19" s="46">
        <v>8.8999999999999996E-2</v>
      </c>
      <c r="I19" s="206">
        <v>0.14299999999999999</v>
      </c>
      <c r="J19" s="190"/>
      <c r="K19" s="211" t="s">
        <v>206</v>
      </c>
      <c r="L19" s="212">
        <f>_xlfn.PERCENTILE.EXC($H$6:$H$25,0.5)</f>
        <v>0.105</v>
      </c>
      <c r="M19" s="64"/>
      <c r="N19" s="191"/>
      <c r="O19" s="64"/>
      <c r="Q19" s="88"/>
      <c r="U19" s="88"/>
      <c r="V19" s="88"/>
    </row>
    <row r="20" spans="2:22">
      <c r="B20" s="69" t="s">
        <v>189</v>
      </c>
      <c r="C20" s="69" t="s">
        <v>190</v>
      </c>
      <c r="D20" s="64">
        <v>0.74</v>
      </c>
      <c r="E20" s="182">
        <v>134810</v>
      </c>
      <c r="F20" s="209">
        <v>74423.399999999994</v>
      </c>
      <c r="G20" s="191">
        <f t="shared" si="1"/>
        <v>1.8113926533858975</v>
      </c>
      <c r="H20" s="46">
        <v>0.14899999999999999</v>
      </c>
      <c r="I20" s="206">
        <v>0.12189999999999999</v>
      </c>
      <c r="J20" s="190"/>
      <c r="K20" s="211" t="s">
        <v>207</v>
      </c>
      <c r="L20" s="212">
        <f>_xlfn.PERCENTILE.EXC($H$6:$H$25,0.25)</f>
        <v>3.5250000000000004E-2</v>
      </c>
      <c r="M20" s="191"/>
      <c r="N20" s="191"/>
      <c r="O20" s="64"/>
      <c r="Q20" s="88"/>
      <c r="U20" s="88"/>
    </row>
    <row r="21" spans="2:22">
      <c r="B21" s="69" t="s">
        <v>191</v>
      </c>
      <c r="C21" s="43" t="s">
        <v>192</v>
      </c>
      <c r="D21" s="64">
        <v>1.38</v>
      </c>
      <c r="E21" s="182">
        <v>63390</v>
      </c>
      <c r="F21" s="209">
        <v>95535.1</v>
      </c>
      <c r="G21" s="191">
        <f t="shared" si="1"/>
        <v>0.66352576173573896</v>
      </c>
      <c r="H21" s="46">
        <v>0.107</v>
      </c>
      <c r="I21" s="206">
        <v>0.122</v>
      </c>
      <c r="J21" s="190"/>
      <c r="K21" s="191"/>
      <c r="L21" s="192"/>
      <c r="M21" s="191"/>
      <c r="N21" s="191"/>
      <c r="O21" s="64"/>
      <c r="Q21" s="88"/>
      <c r="U21" s="88"/>
      <c r="V21" s="12"/>
    </row>
    <row r="22" spans="2:22" ht="12.75" thickBot="1">
      <c r="B22" s="69" t="s">
        <v>193</v>
      </c>
      <c r="C22" s="69" t="s">
        <v>194</v>
      </c>
      <c r="D22" s="64">
        <v>0.77</v>
      </c>
      <c r="E22" s="182">
        <v>55700</v>
      </c>
      <c r="F22" s="209">
        <v>94185.7</v>
      </c>
      <c r="G22" s="191">
        <f t="shared" si="1"/>
        <v>0.59138489176170062</v>
      </c>
      <c r="H22" s="46">
        <v>6.9000000000000006E-2</v>
      </c>
      <c r="I22" s="206">
        <v>0.1191</v>
      </c>
      <c r="J22" s="190"/>
      <c r="K22" s="223" t="s">
        <v>209</v>
      </c>
      <c r="L22" s="224"/>
      <c r="M22" s="191"/>
      <c r="N22" s="191"/>
      <c r="O22" s="64"/>
      <c r="Q22" s="88"/>
      <c r="U22" s="88"/>
      <c r="V22" s="88"/>
    </row>
    <row r="23" spans="2:22">
      <c r="B23" s="69" t="s">
        <v>195</v>
      </c>
      <c r="C23" s="69" t="s">
        <v>196</v>
      </c>
      <c r="D23" s="64">
        <v>0.84</v>
      </c>
      <c r="E23" s="182">
        <v>108020</v>
      </c>
      <c r="F23" s="209">
        <v>74729.2</v>
      </c>
      <c r="G23" s="191">
        <f t="shared" si="1"/>
        <v>1.4454858341852985</v>
      </c>
      <c r="H23" s="46">
        <v>0.154</v>
      </c>
      <c r="I23" s="206">
        <v>0.18279999999999999</v>
      </c>
      <c r="J23" s="190"/>
      <c r="K23" s="211" t="s">
        <v>204</v>
      </c>
      <c r="L23" s="213">
        <f>_xlfn.PERCENTILE.EXC($G$6:$G$25,0.9)</f>
        <v>1.4973014354724596</v>
      </c>
      <c r="M23" s="191"/>
      <c r="N23" s="191"/>
      <c r="O23" s="64"/>
      <c r="Q23" s="88"/>
      <c r="U23" s="88"/>
    </row>
    <row r="24" spans="2:22">
      <c r="B24" s="69" t="s">
        <v>197</v>
      </c>
      <c r="C24" s="69" t="s">
        <v>198</v>
      </c>
      <c r="D24" s="64">
        <v>1.1000000000000001</v>
      </c>
      <c r="E24" s="182">
        <v>74580</v>
      </c>
      <c r="F24" s="208">
        <v>56834.000000000007</v>
      </c>
      <c r="G24" s="191">
        <f t="shared" si="1"/>
        <v>1.3122426716402151</v>
      </c>
      <c r="H24" s="206">
        <v>0.13400000000000001</v>
      </c>
      <c r="I24" s="206">
        <v>0.29220000000000002</v>
      </c>
      <c r="J24" s="190"/>
      <c r="K24" s="211" t="s">
        <v>205</v>
      </c>
      <c r="L24" s="213">
        <f>_xlfn.PERCENTILE.EXC($G$6:$G$25,0.75)</f>
        <v>1.2174366390715543</v>
      </c>
      <c r="M24" s="64"/>
      <c r="N24" s="191"/>
      <c r="O24" s="64"/>
      <c r="Q24" s="88"/>
      <c r="U24" s="88"/>
      <c r="V24" s="88"/>
    </row>
    <row r="25" spans="2:22">
      <c r="B25" s="69" t="s">
        <v>199</v>
      </c>
      <c r="C25" s="69" t="s">
        <v>200</v>
      </c>
      <c r="D25" s="64">
        <v>1.1200000000000001</v>
      </c>
      <c r="E25" s="182">
        <v>144740</v>
      </c>
      <c r="F25" s="208">
        <v>160436</v>
      </c>
      <c r="G25" s="191">
        <f t="shared" si="1"/>
        <v>0.9021665960258296</v>
      </c>
      <c r="H25" s="206">
        <v>7.5999999999999998E-2</v>
      </c>
      <c r="I25" s="206">
        <v>0.1206</v>
      </c>
      <c r="J25" s="190"/>
      <c r="K25" s="211" t="s">
        <v>206</v>
      </c>
      <c r="L25" s="213">
        <f>_xlfn.PERCENTILE.EXC($G$6:$G$25,0.5)</f>
        <v>0.86441371639894493</v>
      </c>
      <c r="M25" s="191"/>
      <c r="N25" s="191"/>
      <c r="O25" s="64"/>
      <c r="Q25" s="88"/>
      <c r="U25" s="88"/>
      <c r="V25" s="88"/>
    </row>
    <row r="26" spans="2:22">
      <c r="B26" s="69"/>
      <c r="C26" s="69"/>
      <c r="D26" s="220">
        <f>MEDIAN(D6:D25)</f>
        <v>1.1200000000000001</v>
      </c>
      <c r="E26" s="188"/>
      <c r="F26" s="194"/>
      <c r="G26" s="215">
        <f>MEDIAN(G6:G25)</f>
        <v>0.86441371639894493</v>
      </c>
      <c r="H26" s="216">
        <f>MEDIAN(H6:H25)</f>
        <v>0.105</v>
      </c>
      <c r="I26" s="216">
        <f>MEDIAN(I6:I25)</f>
        <v>0.1351</v>
      </c>
      <c r="J26" s="190"/>
      <c r="K26" s="211" t="s">
        <v>207</v>
      </c>
      <c r="L26" s="213">
        <f>_xlfn.PERCENTILE.EXC($G$6:$G$25,0.25)</f>
        <v>0.64286211790358094</v>
      </c>
      <c r="M26" s="191"/>
      <c r="N26" s="191"/>
      <c r="O26" s="64"/>
      <c r="Q26" s="88"/>
      <c r="U26" s="88"/>
      <c r="V26" s="88"/>
    </row>
    <row r="27" spans="2:22">
      <c r="J27" s="190"/>
      <c r="M27" s="191"/>
      <c r="N27" s="191"/>
      <c r="O27" s="64"/>
      <c r="T27" s="69"/>
      <c r="U27" s="88"/>
      <c r="V27" s="12"/>
    </row>
    <row r="28" spans="2:22">
      <c r="B28" s="69"/>
      <c r="C28" s="69"/>
      <c r="D28" s="64"/>
      <c r="E28" s="188"/>
      <c r="F28" s="189"/>
      <c r="G28" s="189"/>
      <c r="H28" s="194"/>
      <c r="I28" s="189"/>
      <c r="J28" s="190"/>
      <c r="M28" s="191"/>
      <c r="N28" s="191"/>
      <c r="O28" s="64"/>
      <c r="T28" s="69"/>
      <c r="U28" s="88"/>
      <c r="V28" s="12"/>
    </row>
    <row r="29" spans="2:22">
      <c r="B29" s="69"/>
      <c r="C29" s="69"/>
      <c r="D29" s="64"/>
      <c r="E29" s="188"/>
      <c r="F29" s="189"/>
      <c r="G29" s="189"/>
      <c r="H29" s="189"/>
      <c r="I29" s="189"/>
      <c r="J29" s="190"/>
      <c r="M29" s="191"/>
      <c r="N29" s="191"/>
      <c r="O29" s="64"/>
      <c r="T29" s="69"/>
      <c r="U29" s="88"/>
      <c r="V29" s="88"/>
    </row>
    <row r="30" spans="2:22">
      <c r="B30" s="69"/>
      <c r="C30" s="69"/>
      <c r="D30" s="64"/>
      <c r="E30" s="188"/>
      <c r="F30" s="189"/>
      <c r="G30" s="189"/>
      <c r="H30" s="189"/>
      <c r="I30" s="189"/>
      <c r="J30" s="190"/>
      <c r="M30" s="191"/>
      <c r="N30" s="191"/>
      <c r="O30" s="64"/>
      <c r="T30" s="69"/>
      <c r="U30" s="88"/>
      <c r="V30" s="12"/>
    </row>
    <row r="31" spans="2:22">
      <c r="B31" s="69"/>
      <c r="C31" s="69"/>
      <c r="D31" s="64"/>
      <c r="E31" s="188"/>
      <c r="F31" s="89"/>
      <c r="G31" s="189"/>
      <c r="H31" s="189"/>
      <c r="I31" s="189"/>
      <c r="J31" s="190"/>
      <c r="M31" s="191"/>
      <c r="N31" s="191"/>
      <c r="O31" s="64"/>
      <c r="T31" s="69"/>
      <c r="U31" s="88"/>
      <c r="V31" s="88"/>
    </row>
    <row r="32" spans="2:22">
      <c r="B32" s="69"/>
      <c r="C32" s="69"/>
      <c r="D32" s="64"/>
      <c r="E32" s="188"/>
      <c r="F32" s="195"/>
      <c r="G32" s="189"/>
      <c r="H32" s="89"/>
      <c r="I32" s="189"/>
      <c r="J32" s="190"/>
      <c r="M32" s="191"/>
      <c r="N32" s="191"/>
      <c r="O32" s="64"/>
      <c r="T32" s="69"/>
      <c r="U32" s="88"/>
      <c r="V32" s="88"/>
    </row>
    <row r="33" spans="2:22">
      <c r="B33" s="69"/>
      <c r="C33" s="69"/>
      <c r="D33" s="64"/>
      <c r="E33" s="188"/>
      <c r="F33" s="195"/>
      <c r="G33" s="189"/>
      <c r="H33" s="195"/>
      <c r="I33" s="189"/>
      <c r="J33" s="190"/>
      <c r="M33" s="191"/>
      <c r="N33" s="191"/>
      <c r="O33" s="64"/>
      <c r="T33" s="69"/>
      <c r="U33" s="88"/>
      <c r="V33" s="12"/>
    </row>
    <row r="34" spans="2:22">
      <c r="B34" s="69"/>
      <c r="C34" s="69"/>
      <c r="D34" s="64"/>
      <c r="E34" s="188"/>
      <c r="F34" s="89"/>
      <c r="G34" s="189"/>
      <c r="H34" s="195"/>
      <c r="I34" s="189"/>
      <c r="J34" s="190"/>
      <c r="M34" s="191"/>
      <c r="N34" s="191"/>
      <c r="O34" s="64"/>
      <c r="T34" s="69"/>
      <c r="U34" s="88"/>
      <c r="V34" s="88"/>
    </row>
    <row r="35" spans="2:22">
      <c r="B35" s="69"/>
      <c r="C35" s="69"/>
      <c r="D35" s="64"/>
      <c r="E35" s="188"/>
      <c r="F35" s="195"/>
      <c r="G35" s="189"/>
      <c r="H35" s="89"/>
      <c r="I35" s="189"/>
      <c r="J35" s="190"/>
      <c r="M35" s="191"/>
      <c r="N35" s="191"/>
      <c r="O35" s="64"/>
      <c r="T35" s="69"/>
      <c r="U35" s="88"/>
      <c r="V35" s="12"/>
    </row>
    <row r="36" spans="2:22" ht="12" customHeight="1">
      <c r="B36" s="69"/>
      <c r="C36" s="69"/>
      <c r="D36" s="64"/>
      <c r="E36" s="188"/>
      <c r="F36" s="89"/>
      <c r="G36" s="189"/>
      <c r="H36" s="195"/>
      <c r="I36" s="189"/>
      <c r="J36" s="190"/>
      <c r="M36" s="191"/>
      <c r="N36" s="191"/>
      <c r="O36" s="64"/>
      <c r="T36" s="69"/>
      <c r="U36" s="88"/>
      <c r="V36" s="12"/>
    </row>
    <row r="37" spans="2:22">
      <c r="B37" s="69"/>
      <c r="C37" s="69"/>
      <c r="D37" s="64"/>
      <c r="E37" s="188"/>
      <c r="F37" s="194"/>
      <c r="G37" s="189"/>
      <c r="H37" s="89"/>
      <c r="I37" s="189"/>
      <c r="J37" s="190"/>
      <c r="M37" s="191"/>
      <c r="N37" s="191"/>
      <c r="O37" s="64"/>
      <c r="T37" s="69"/>
      <c r="U37" s="88"/>
      <c r="V37" s="12"/>
    </row>
    <row r="38" spans="2:22">
      <c r="B38" s="69"/>
      <c r="C38" s="69"/>
      <c r="D38" s="64"/>
      <c r="E38" s="188"/>
      <c r="F38" s="89"/>
      <c r="G38" s="189"/>
      <c r="H38" s="194"/>
      <c r="I38" s="189"/>
      <c r="J38" s="190"/>
      <c r="M38" s="191"/>
      <c r="N38" s="191"/>
      <c r="O38" s="64"/>
      <c r="T38" s="69"/>
      <c r="U38" s="88"/>
    </row>
    <row r="39" spans="2:22" ht="12" customHeight="1">
      <c r="B39" s="69"/>
      <c r="C39" s="69"/>
      <c r="D39" s="64"/>
      <c r="E39" s="188"/>
      <c r="F39" s="194"/>
      <c r="G39" s="189"/>
      <c r="H39" s="89"/>
      <c r="I39" s="189"/>
      <c r="J39" s="190"/>
      <c r="M39" s="191"/>
      <c r="N39" s="191"/>
      <c r="O39" s="64"/>
      <c r="U39" s="88"/>
      <c r="V39" s="88"/>
    </row>
    <row r="40" spans="2:22">
      <c r="B40" s="69"/>
      <c r="C40" s="69"/>
      <c r="D40" s="64"/>
      <c r="E40" s="188"/>
      <c r="F40" s="194"/>
      <c r="G40" s="189"/>
      <c r="H40" s="194"/>
      <c r="I40" s="189"/>
      <c r="J40" s="190"/>
      <c r="M40" s="191"/>
      <c r="N40" s="191"/>
      <c r="O40" s="64"/>
      <c r="U40" s="88"/>
      <c r="V40" s="12"/>
    </row>
    <row r="41" spans="2:22">
      <c r="B41" s="69"/>
      <c r="C41" s="69"/>
      <c r="D41" s="64"/>
      <c r="E41" s="188"/>
      <c r="F41" s="89"/>
      <c r="G41" s="189"/>
      <c r="H41" s="194"/>
      <c r="I41" s="189"/>
      <c r="J41" s="190"/>
      <c r="M41" s="191"/>
      <c r="N41" s="191"/>
      <c r="O41" s="64"/>
      <c r="U41" s="88"/>
      <c r="V41" s="12"/>
    </row>
    <row r="42" spans="2:22">
      <c r="B42" s="69"/>
      <c r="C42" s="69"/>
      <c r="D42" s="64"/>
      <c r="E42" s="188"/>
      <c r="F42" s="194"/>
      <c r="G42" s="189"/>
      <c r="H42" s="89"/>
      <c r="I42" s="189"/>
      <c r="J42" s="190"/>
      <c r="M42" s="191"/>
      <c r="N42" s="191"/>
      <c r="O42" s="64"/>
      <c r="U42" s="88"/>
    </row>
    <row r="43" spans="2:22">
      <c r="B43" s="69"/>
      <c r="C43" s="69"/>
      <c r="D43" s="64"/>
      <c r="E43" s="188"/>
      <c r="F43" s="194"/>
      <c r="G43" s="189"/>
      <c r="H43" s="194"/>
      <c r="I43" s="189"/>
      <c r="J43" s="190"/>
      <c r="M43" s="191"/>
      <c r="N43" s="191"/>
      <c r="O43" s="64"/>
      <c r="U43" s="88"/>
      <c r="V43" s="88"/>
    </row>
    <row r="44" spans="2:22">
      <c r="B44" s="69"/>
      <c r="C44" s="69"/>
      <c r="D44" s="64"/>
      <c r="E44" s="188"/>
      <c r="F44" s="89"/>
      <c r="G44" s="189"/>
      <c r="H44" s="194"/>
      <c r="I44" s="189"/>
      <c r="J44" s="190"/>
      <c r="M44" s="191"/>
      <c r="N44" s="191"/>
      <c r="O44" s="64"/>
      <c r="U44" s="88"/>
      <c r="V44" s="12"/>
    </row>
    <row r="45" spans="2:22">
      <c r="B45" s="69"/>
      <c r="C45" s="69"/>
      <c r="D45" s="64"/>
      <c r="E45" s="188"/>
      <c r="F45" s="89"/>
      <c r="G45" s="189"/>
      <c r="H45" s="194"/>
      <c r="I45" s="189"/>
      <c r="J45" s="190"/>
      <c r="M45" s="191"/>
      <c r="N45" s="191"/>
      <c r="O45" s="64"/>
      <c r="U45" s="88"/>
      <c r="V45" s="12"/>
    </row>
    <row r="46" spans="2:22">
      <c r="B46" s="69"/>
      <c r="C46" s="69"/>
      <c r="D46" s="64"/>
      <c r="E46" s="188"/>
      <c r="F46" s="89"/>
      <c r="G46" s="189"/>
      <c r="H46" s="194"/>
      <c r="I46" s="189"/>
      <c r="J46" s="190"/>
      <c r="M46" s="191"/>
      <c r="N46" s="191"/>
      <c r="O46" s="64"/>
      <c r="U46" s="88"/>
      <c r="V46" s="12"/>
    </row>
    <row r="47" spans="2:22">
      <c r="B47" s="69"/>
      <c r="C47" s="69"/>
      <c r="D47" s="64"/>
      <c r="E47" s="188"/>
      <c r="F47" s="89"/>
      <c r="G47" s="189"/>
      <c r="H47" s="194"/>
      <c r="I47" s="189"/>
      <c r="J47" s="190"/>
      <c r="M47" s="191"/>
      <c r="N47" s="191"/>
      <c r="O47" s="64"/>
      <c r="U47" s="88"/>
      <c r="V47" s="12"/>
    </row>
    <row r="48" spans="2:22">
      <c r="B48" s="69"/>
      <c r="C48" s="69"/>
      <c r="D48" s="64"/>
      <c r="E48" s="188"/>
      <c r="F48" s="89"/>
      <c r="G48" s="189"/>
      <c r="H48" s="194"/>
      <c r="I48" s="189"/>
      <c r="J48" s="190"/>
      <c r="M48" s="191"/>
      <c r="N48" s="191"/>
      <c r="O48" s="64"/>
      <c r="U48" s="88"/>
    </row>
    <row r="49" spans="2:22">
      <c r="B49" s="69"/>
      <c r="C49" s="69"/>
      <c r="D49" s="64"/>
      <c r="E49" s="188"/>
      <c r="F49" s="89"/>
      <c r="G49" s="189"/>
      <c r="H49" s="194"/>
      <c r="I49" s="189"/>
      <c r="J49" s="190"/>
      <c r="M49" s="191"/>
      <c r="N49" s="191"/>
      <c r="O49" s="64"/>
      <c r="U49" s="88"/>
      <c r="V49" s="88"/>
    </row>
    <row r="50" spans="2:22">
      <c r="B50" s="69"/>
      <c r="C50" s="69"/>
      <c r="D50" s="64"/>
      <c r="E50" s="188"/>
      <c r="F50" s="89"/>
      <c r="G50" s="189"/>
      <c r="H50" s="194"/>
      <c r="I50" s="189"/>
      <c r="J50" s="190"/>
      <c r="M50" s="191"/>
      <c r="N50" s="191"/>
      <c r="O50" s="64"/>
      <c r="U50" s="88"/>
      <c r="V50" s="12"/>
    </row>
    <row r="51" spans="2:22">
      <c r="B51" s="69"/>
      <c r="C51" s="69"/>
      <c r="D51" s="64"/>
      <c r="E51" s="188"/>
      <c r="F51" s="89"/>
      <c r="G51" s="189"/>
      <c r="H51" s="194"/>
      <c r="I51" s="189"/>
      <c r="J51" s="190"/>
      <c r="K51" s="191"/>
      <c r="L51" s="87"/>
      <c r="M51" s="191"/>
      <c r="N51" s="191"/>
      <c r="O51" s="64"/>
      <c r="U51" s="88"/>
    </row>
    <row r="52" spans="2:22">
      <c r="B52" s="69"/>
      <c r="C52" s="69"/>
      <c r="D52" s="64"/>
      <c r="E52" s="188"/>
      <c r="F52" s="89"/>
      <c r="G52" s="189"/>
      <c r="H52" s="194"/>
      <c r="I52" s="189"/>
      <c r="J52" s="190"/>
      <c r="K52" s="191"/>
      <c r="L52" s="87"/>
      <c r="M52" s="191"/>
      <c r="N52" s="191"/>
      <c r="O52" s="64"/>
      <c r="S52" s="88"/>
      <c r="U52" s="88"/>
      <c r="V52" s="12"/>
    </row>
    <row r="53" spans="2:22">
      <c r="B53" s="69"/>
      <c r="C53" s="69"/>
      <c r="D53" s="64"/>
      <c r="E53" s="188"/>
      <c r="F53" s="89"/>
      <c r="G53" s="189"/>
      <c r="H53" s="194"/>
      <c r="I53" s="189"/>
      <c r="J53" s="190"/>
      <c r="K53" s="191"/>
      <c r="L53" s="87"/>
      <c r="M53" s="191"/>
      <c r="N53" s="191"/>
      <c r="O53" s="64"/>
      <c r="S53" s="88"/>
      <c r="U53" s="88"/>
    </row>
    <row r="54" spans="2:22">
      <c r="B54" s="69"/>
      <c r="C54" s="69"/>
      <c r="D54" s="64"/>
      <c r="E54" s="188"/>
      <c r="F54" s="89"/>
      <c r="G54" s="189"/>
      <c r="H54" s="194"/>
      <c r="I54" s="189"/>
      <c r="J54" s="190"/>
      <c r="K54" s="191"/>
      <c r="L54" s="87"/>
      <c r="M54" s="191"/>
      <c r="N54" s="191"/>
      <c r="O54" s="64"/>
      <c r="S54" s="88"/>
      <c r="U54" s="88"/>
      <c r="V54" s="12"/>
    </row>
    <row r="55" spans="2:22">
      <c r="B55" s="69"/>
      <c r="C55" s="69"/>
      <c r="D55" s="64"/>
      <c r="E55" s="188"/>
      <c r="F55" s="89"/>
      <c r="G55" s="189"/>
      <c r="H55" s="194"/>
      <c r="I55" s="189"/>
      <c r="J55" s="190"/>
      <c r="K55" s="191"/>
      <c r="L55" s="87"/>
      <c r="M55" s="191"/>
      <c r="N55" s="191"/>
      <c r="O55" s="64"/>
      <c r="S55" s="88"/>
      <c r="U55" s="88"/>
      <c r="V55" s="12"/>
    </row>
    <row r="56" spans="2:22">
      <c r="B56" s="69"/>
      <c r="C56" s="69"/>
      <c r="D56" s="64"/>
      <c r="E56" s="188"/>
      <c r="F56" s="89"/>
      <c r="G56" s="189"/>
      <c r="H56" s="194"/>
      <c r="I56" s="189"/>
      <c r="J56" s="190"/>
      <c r="K56" s="191"/>
      <c r="L56" s="87"/>
      <c r="M56" s="191"/>
      <c r="N56" s="191"/>
      <c r="O56" s="64"/>
      <c r="S56" s="88"/>
      <c r="U56" s="88"/>
      <c r="V56" s="88"/>
    </row>
    <row r="57" spans="2:22" ht="12" customHeight="1">
      <c r="B57" s="69"/>
      <c r="C57" s="69"/>
      <c r="D57" s="64"/>
      <c r="E57" s="188"/>
      <c r="F57" s="89"/>
      <c r="G57" s="189"/>
      <c r="H57" s="194"/>
      <c r="I57" s="189"/>
      <c r="J57" s="190"/>
      <c r="K57" s="191"/>
      <c r="L57" s="87"/>
      <c r="M57" s="191"/>
      <c r="N57" s="191"/>
      <c r="O57" s="64"/>
      <c r="S57" s="88"/>
      <c r="U57" s="88"/>
      <c r="V57" s="12"/>
    </row>
    <row r="58" spans="2:22">
      <c r="B58" s="69"/>
      <c r="C58" s="69"/>
      <c r="D58" s="64"/>
      <c r="E58" s="188"/>
      <c r="F58" s="89"/>
      <c r="G58" s="189"/>
      <c r="H58" s="194"/>
      <c r="I58" s="189"/>
      <c r="J58" s="190"/>
      <c r="K58" s="191"/>
      <c r="L58" s="87"/>
      <c r="M58" s="191"/>
      <c r="N58" s="191"/>
      <c r="O58" s="64"/>
      <c r="S58" s="88"/>
      <c r="U58" s="88"/>
      <c r="V58" s="12"/>
    </row>
    <row r="59" spans="2:22">
      <c r="B59" s="69"/>
      <c r="C59" s="69"/>
      <c r="D59" s="64"/>
      <c r="E59" s="188"/>
      <c r="F59" s="89"/>
      <c r="G59" s="189"/>
      <c r="H59" s="194"/>
      <c r="I59" s="189"/>
      <c r="J59" s="190"/>
      <c r="K59" s="191"/>
      <c r="L59" s="87"/>
      <c r="M59" s="191"/>
      <c r="N59" s="191"/>
      <c r="O59" s="64"/>
      <c r="S59" s="88"/>
      <c r="U59" s="88"/>
      <c r="V59" s="88"/>
    </row>
    <row r="60" spans="2:22">
      <c r="B60" s="69"/>
      <c r="C60" s="69"/>
      <c r="D60" s="64"/>
      <c r="E60" s="188"/>
      <c r="F60" s="89"/>
      <c r="G60" s="189"/>
      <c r="H60" s="194"/>
      <c r="I60" s="189"/>
      <c r="J60" s="190"/>
      <c r="K60" s="191"/>
      <c r="L60" s="87"/>
      <c r="M60" s="191"/>
      <c r="N60" s="191"/>
      <c r="O60" s="64"/>
      <c r="S60" s="88"/>
      <c r="U60" s="88"/>
      <c r="V60" s="12"/>
    </row>
    <row r="61" spans="2:22">
      <c r="B61" s="69"/>
      <c r="C61" s="69"/>
      <c r="D61" s="64"/>
      <c r="E61" s="188"/>
      <c r="F61" s="89"/>
      <c r="G61" s="189"/>
      <c r="H61" s="194"/>
      <c r="I61" s="189"/>
      <c r="J61" s="190"/>
      <c r="K61" s="191"/>
      <c r="L61" s="87"/>
      <c r="M61" s="191"/>
      <c r="N61" s="191"/>
      <c r="O61" s="64"/>
      <c r="S61" s="88"/>
      <c r="U61" s="88"/>
      <c r="V61" s="12"/>
    </row>
    <row r="62" spans="2:22">
      <c r="B62" s="69"/>
      <c r="C62" s="69"/>
      <c r="D62" s="64"/>
      <c r="E62" s="188"/>
      <c r="F62" s="89"/>
      <c r="G62" s="189"/>
      <c r="H62" s="194"/>
      <c r="I62" s="189"/>
      <c r="J62" s="190"/>
      <c r="K62" s="191"/>
      <c r="L62" s="87"/>
      <c r="M62" s="191"/>
      <c r="N62" s="191"/>
      <c r="O62" s="64"/>
      <c r="S62" s="88"/>
      <c r="U62" s="88"/>
      <c r="V62" s="88"/>
    </row>
    <row r="63" spans="2:22" ht="12" customHeight="1">
      <c r="B63" s="69"/>
      <c r="C63" s="69"/>
      <c r="D63" s="64"/>
      <c r="E63" s="188"/>
      <c r="F63" s="89"/>
      <c r="G63" s="189"/>
      <c r="H63" s="194"/>
      <c r="I63" s="189"/>
      <c r="J63" s="190"/>
      <c r="K63" s="191"/>
      <c r="L63" s="87"/>
      <c r="M63" s="191"/>
      <c r="N63" s="191"/>
      <c r="O63" s="64"/>
      <c r="S63" s="88"/>
      <c r="U63" s="88"/>
      <c r="V63" s="88"/>
    </row>
    <row r="64" spans="2:22">
      <c r="B64" s="69"/>
      <c r="C64" s="69"/>
      <c r="D64" s="64"/>
      <c r="E64" s="188"/>
      <c r="F64" s="89"/>
      <c r="G64" s="189"/>
      <c r="H64" s="194"/>
      <c r="I64" s="189"/>
      <c r="J64" s="190"/>
      <c r="K64" s="191"/>
      <c r="L64" s="87"/>
      <c r="M64" s="191"/>
      <c r="N64" s="191"/>
      <c r="O64" s="64"/>
      <c r="S64" s="88"/>
      <c r="U64" s="88"/>
      <c r="V64" s="12"/>
    </row>
    <row r="65" spans="2:22">
      <c r="B65" s="69"/>
      <c r="C65" s="69"/>
      <c r="D65" s="64"/>
      <c r="E65" s="188"/>
      <c r="F65" s="89"/>
      <c r="G65" s="189"/>
      <c r="H65" s="194"/>
      <c r="I65" s="189"/>
      <c r="J65" s="190"/>
      <c r="K65" s="191"/>
      <c r="L65" s="87"/>
      <c r="M65" s="191"/>
      <c r="N65" s="191"/>
      <c r="O65" s="64"/>
      <c r="S65" s="88"/>
      <c r="U65" s="88"/>
      <c r="V65" s="88"/>
    </row>
    <row r="66" spans="2:22">
      <c r="B66" s="69"/>
      <c r="C66" s="69"/>
      <c r="D66" s="64"/>
      <c r="E66" s="188"/>
      <c r="F66" s="89"/>
      <c r="G66" s="189"/>
      <c r="H66" s="194"/>
      <c r="I66" s="189"/>
      <c r="J66" s="190"/>
      <c r="K66" s="191"/>
      <c r="L66" s="87"/>
      <c r="M66" s="191"/>
      <c r="N66" s="191"/>
      <c r="O66" s="64"/>
      <c r="S66" s="88"/>
      <c r="U66" s="88"/>
      <c r="V66" s="88"/>
    </row>
    <row r="67" spans="2:22">
      <c r="B67" s="69"/>
      <c r="C67" s="69"/>
      <c r="D67" s="64"/>
      <c r="E67" s="188"/>
      <c r="F67" s="89"/>
      <c r="G67" s="189"/>
      <c r="H67" s="194"/>
      <c r="I67" s="189"/>
      <c r="J67" s="190"/>
      <c r="K67" s="191"/>
      <c r="L67" s="87"/>
      <c r="M67" s="191"/>
      <c r="N67" s="191"/>
      <c r="O67" s="64"/>
      <c r="S67" s="88"/>
      <c r="U67" s="88"/>
      <c r="V67" s="88"/>
    </row>
    <row r="68" spans="2:22">
      <c r="B68" s="69"/>
      <c r="C68" s="69"/>
      <c r="D68" s="64"/>
      <c r="E68" s="188"/>
      <c r="F68" s="89"/>
      <c r="G68" s="189"/>
      <c r="H68" s="194"/>
      <c r="I68" s="189"/>
      <c r="J68" s="190"/>
      <c r="K68" s="191"/>
      <c r="L68" s="87"/>
      <c r="M68" s="191"/>
      <c r="N68" s="191"/>
      <c r="O68" s="64"/>
      <c r="S68" s="88"/>
      <c r="U68" s="88"/>
      <c r="V68" s="88"/>
    </row>
    <row r="69" spans="2:22">
      <c r="B69" s="69"/>
      <c r="C69" s="69"/>
      <c r="D69" s="64"/>
      <c r="E69" s="188"/>
      <c r="F69" s="89"/>
      <c r="G69" s="189"/>
      <c r="H69" s="194"/>
      <c r="I69" s="189"/>
      <c r="J69" s="190"/>
      <c r="K69" s="191"/>
      <c r="L69" s="87"/>
      <c r="M69" s="191"/>
      <c r="N69" s="191"/>
      <c r="O69" s="64"/>
      <c r="S69" s="88"/>
      <c r="U69" s="88"/>
      <c r="V69" s="88"/>
    </row>
    <row r="70" spans="2:22">
      <c r="B70" s="69"/>
      <c r="C70" s="69"/>
      <c r="D70" s="64"/>
      <c r="E70" s="188"/>
      <c r="F70" s="89"/>
      <c r="G70" s="189"/>
      <c r="H70" s="194"/>
      <c r="I70" s="189"/>
      <c r="J70" s="190"/>
      <c r="K70" s="191"/>
      <c r="L70" s="87"/>
      <c r="M70" s="191"/>
      <c r="N70" s="191"/>
      <c r="O70" s="64"/>
    </row>
    <row r="71" spans="2:22">
      <c r="B71" s="69"/>
      <c r="C71" s="69"/>
      <c r="D71" s="64"/>
      <c r="E71" s="188"/>
      <c r="F71" s="194"/>
      <c r="G71" s="205"/>
      <c r="H71" s="194"/>
      <c r="I71" s="194"/>
      <c r="J71" s="205"/>
      <c r="K71" s="205"/>
      <c r="L71" s="205"/>
      <c r="M71" s="64"/>
      <c r="N71" s="205"/>
      <c r="O71" s="64"/>
    </row>
    <row r="72" spans="2:22">
      <c r="B72" s="69"/>
      <c r="C72" s="69"/>
      <c r="D72" s="64"/>
      <c r="E72" s="205"/>
      <c r="F72" s="194"/>
      <c r="G72" s="205"/>
      <c r="H72" s="194"/>
      <c r="I72" s="194"/>
      <c r="J72" s="205"/>
      <c r="K72" s="205"/>
      <c r="L72" s="205"/>
      <c r="M72" s="64"/>
      <c r="N72" s="205"/>
      <c r="O72" s="64"/>
      <c r="S72" s="88"/>
      <c r="U72" s="88"/>
      <c r="V72" s="12"/>
    </row>
    <row r="73" spans="2:22">
      <c r="B73" s="69"/>
      <c r="C73" s="69"/>
      <c r="D73" s="64"/>
      <c r="E73" s="188"/>
      <c r="F73" s="89"/>
      <c r="G73" s="189"/>
      <c r="H73" s="194"/>
      <c r="I73" s="189"/>
      <c r="J73" s="190"/>
      <c r="K73" s="191"/>
      <c r="L73" s="87"/>
      <c r="M73" s="191"/>
      <c r="N73" s="191"/>
      <c r="O73" s="64"/>
      <c r="S73" s="88"/>
      <c r="U73" s="88"/>
      <c r="V73" s="12"/>
    </row>
    <row r="74" spans="2:22">
      <c r="B74" s="69"/>
      <c r="C74" s="69"/>
      <c r="D74" s="64"/>
      <c r="E74" s="188"/>
      <c r="F74" s="89"/>
      <c r="G74" s="189"/>
      <c r="H74" s="194"/>
      <c r="I74" s="189"/>
      <c r="J74" s="190"/>
      <c r="K74" s="191"/>
      <c r="L74" s="87"/>
      <c r="M74" s="191"/>
      <c r="N74" s="191"/>
      <c r="O74" s="64"/>
      <c r="S74" s="88"/>
      <c r="U74" s="88"/>
      <c r="V74" s="12"/>
    </row>
    <row r="75" spans="2:22">
      <c r="B75" s="69"/>
      <c r="C75" s="69"/>
      <c r="D75" s="64"/>
      <c r="E75" s="188"/>
      <c r="F75" s="89"/>
      <c r="G75" s="189"/>
      <c r="H75" s="194"/>
      <c r="I75" s="189"/>
      <c r="J75" s="190"/>
      <c r="K75" s="191"/>
      <c r="L75" s="87"/>
      <c r="M75" s="191"/>
      <c r="N75" s="191"/>
      <c r="O75" s="64"/>
      <c r="S75" s="88"/>
      <c r="U75" s="88"/>
      <c r="V75" s="88"/>
    </row>
    <row r="76" spans="2:22">
      <c r="B76" s="69"/>
      <c r="C76" s="69"/>
      <c r="D76" s="64"/>
      <c r="E76" s="188"/>
      <c r="F76" s="89"/>
      <c r="G76" s="189"/>
      <c r="H76" s="194"/>
      <c r="I76" s="189"/>
      <c r="J76" s="190"/>
      <c r="K76" s="191"/>
      <c r="L76" s="87"/>
      <c r="M76" s="191"/>
      <c r="N76" s="191"/>
      <c r="O76" s="64"/>
      <c r="S76" s="88"/>
      <c r="U76" s="88"/>
      <c r="V76" s="12"/>
    </row>
    <row r="77" spans="2:22">
      <c r="B77" s="69"/>
      <c r="C77" s="69"/>
      <c r="D77" s="64"/>
      <c r="E77" s="188"/>
      <c r="F77" s="89"/>
      <c r="G77" s="189"/>
      <c r="H77" s="194"/>
      <c r="I77" s="189"/>
      <c r="J77" s="190"/>
      <c r="K77" s="191"/>
      <c r="L77" s="87"/>
      <c r="M77" s="191"/>
      <c r="N77" s="191"/>
      <c r="O77" s="64"/>
      <c r="S77" s="88"/>
      <c r="U77" s="88"/>
      <c r="V77" s="88"/>
    </row>
    <row r="78" spans="2:22">
      <c r="B78" s="69"/>
      <c r="C78" s="69"/>
      <c r="D78" s="64"/>
      <c r="E78" s="188"/>
      <c r="F78" s="89"/>
      <c r="G78" s="189"/>
      <c r="H78" s="194"/>
      <c r="I78" s="189"/>
      <c r="J78" s="190"/>
      <c r="K78" s="191"/>
      <c r="L78" s="87"/>
      <c r="M78" s="191"/>
      <c r="N78" s="191"/>
      <c r="O78" s="64"/>
      <c r="S78" s="88"/>
      <c r="U78" s="88"/>
      <c r="V78" s="88"/>
    </row>
    <row r="79" spans="2:22">
      <c r="B79" s="69"/>
      <c r="C79" s="69"/>
      <c r="D79" s="64"/>
      <c r="E79" s="188"/>
      <c r="F79" s="89"/>
      <c r="G79" s="189"/>
      <c r="H79" s="194"/>
      <c r="I79" s="189"/>
      <c r="J79" s="190"/>
      <c r="K79" s="191"/>
      <c r="L79" s="87"/>
      <c r="M79" s="191"/>
      <c r="N79" s="191"/>
      <c r="O79" s="64"/>
      <c r="S79" s="88"/>
      <c r="U79" s="88"/>
      <c r="V79" s="88"/>
    </row>
    <row r="80" spans="2:22">
      <c r="B80" s="69"/>
      <c r="C80" s="69"/>
      <c r="D80" s="64"/>
      <c r="E80" s="188"/>
      <c r="F80" s="89"/>
      <c r="G80" s="189"/>
      <c r="H80" s="194"/>
      <c r="I80" s="189"/>
      <c r="J80" s="190"/>
      <c r="K80" s="191"/>
      <c r="L80" s="87"/>
      <c r="M80" s="191"/>
      <c r="N80" s="191"/>
      <c r="O80" s="64"/>
      <c r="S80" s="88"/>
      <c r="U80" s="88"/>
      <c r="V80" s="88"/>
    </row>
    <row r="81" spans="2:22">
      <c r="B81" s="69"/>
      <c r="C81" s="69"/>
      <c r="D81" s="64"/>
      <c r="E81" s="188"/>
      <c r="F81" s="89"/>
      <c r="G81" s="189"/>
      <c r="H81" s="194"/>
      <c r="I81" s="189"/>
      <c r="J81" s="190"/>
      <c r="K81" s="191"/>
      <c r="L81" s="87"/>
      <c r="M81" s="191"/>
      <c r="N81" s="191"/>
      <c r="O81" s="64"/>
      <c r="S81" s="88"/>
      <c r="U81" s="88"/>
      <c r="V81" s="88"/>
    </row>
    <row r="82" spans="2:22">
      <c r="B82" s="69"/>
      <c r="C82" s="69"/>
      <c r="D82" s="64"/>
      <c r="E82" s="188"/>
      <c r="F82" s="89"/>
      <c r="G82" s="189"/>
      <c r="H82" s="194"/>
      <c r="I82" s="189"/>
      <c r="J82" s="190"/>
      <c r="K82" s="191"/>
      <c r="L82" s="87"/>
      <c r="M82" s="191"/>
      <c r="N82" s="191"/>
      <c r="O82" s="64"/>
      <c r="S82" s="88"/>
      <c r="U82" s="88"/>
      <c r="V82" s="12"/>
    </row>
    <row r="83" spans="2:22">
      <c r="B83" s="69"/>
      <c r="C83" s="69"/>
      <c r="D83" s="64"/>
      <c r="E83" s="188"/>
      <c r="F83" s="89"/>
      <c r="G83" s="189"/>
      <c r="H83" s="194"/>
      <c r="I83" s="189"/>
      <c r="J83" s="190"/>
      <c r="K83" s="191"/>
      <c r="L83" s="87"/>
      <c r="M83" s="191"/>
      <c r="N83" s="191"/>
      <c r="O83" s="64"/>
      <c r="S83" s="88"/>
      <c r="U83" s="88"/>
      <c r="V83" s="88"/>
    </row>
    <row r="84" spans="2:22">
      <c r="B84" s="69"/>
      <c r="C84" s="69"/>
      <c r="D84" s="64"/>
      <c r="E84" s="188"/>
      <c r="F84" s="89"/>
      <c r="G84" s="189"/>
      <c r="H84" s="194"/>
      <c r="I84" s="189"/>
      <c r="J84" s="190"/>
      <c r="K84" s="191"/>
      <c r="L84" s="87"/>
      <c r="M84" s="191"/>
      <c r="N84" s="191"/>
      <c r="O84" s="64"/>
    </row>
    <row r="85" spans="2:22">
      <c r="B85" s="69"/>
      <c r="C85" s="69"/>
      <c r="D85" s="64"/>
      <c r="E85" s="188"/>
      <c r="F85" s="194"/>
      <c r="G85" s="205"/>
      <c r="H85" s="194"/>
      <c r="I85" s="194"/>
      <c r="J85" s="205"/>
      <c r="K85" s="205"/>
      <c r="L85" s="205"/>
      <c r="M85" s="64"/>
      <c r="N85" s="205"/>
      <c r="O85" s="64"/>
      <c r="S85" s="88"/>
      <c r="U85" s="88"/>
      <c r="V85" s="12"/>
    </row>
    <row r="86" spans="2:22">
      <c r="B86" s="69"/>
      <c r="C86" s="69"/>
      <c r="D86" s="64"/>
      <c r="E86" s="188"/>
      <c r="F86" s="89"/>
      <c r="G86" s="189"/>
      <c r="H86" s="194"/>
      <c r="I86" s="189"/>
      <c r="J86" s="190"/>
      <c r="K86" s="191"/>
      <c r="L86" s="87"/>
      <c r="M86" s="191"/>
      <c r="N86" s="191"/>
      <c r="O86" s="64"/>
      <c r="S86" s="88"/>
      <c r="U86" s="88"/>
      <c r="V86" s="12"/>
    </row>
    <row r="87" spans="2:22">
      <c r="B87" s="69"/>
      <c r="C87" s="69"/>
      <c r="D87" s="64"/>
      <c r="E87" s="188"/>
      <c r="F87" s="89"/>
      <c r="G87" s="189"/>
      <c r="H87" s="194"/>
      <c r="I87" s="189"/>
      <c r="J87" s="190"/>
      <c r="K87" s="191"/>
      <c r="L87" s="87"/>
      <c r="M87" s="191"/>
      <c r="N87" s="191"/>
      <c r="O87" s="64"/>
      <c r="S87" s="88"/>
      <c r="U87" s="88"/>
      <c r="V87" s="12"/>
    </row>
    <row r="88" spans="2:22">
      <c r="B88" s="69"/>
      <c r="C88" s="69"/>
      <c r="D88" s="64"/>
      <c r="E88" s="188"/>
      <c r="F88" s="89"/>
      <c r="G88" s="189"/>
      <c r="H88" s="194"/>
      <c r="I88" s="189"/>
      <c r="J88" s="190"/>
      <c r="K88" s="191"/>
      <c r="L88" s="87"/>
      <c r="M88" s="191"/>
      <c r="N88" s="191"/>
      <c r="O88" s="64"/>
      <c r="S88" s="88"/>
      <c r="V88" s="12"/>
    </row>
    <row r="89" spans="2:22">
      <c r="B89" s="69"/>
      <c r="C89" s="69"/>
      <c r="D89" s="64"/>
      <c r="E89" s="188"/>
      <c r="F89" s="89"/>
      <c r="G89" s="189"/>
      <c r="H89" s="194"/>
      <c r="I89" s="189"/>
      <c r="J89" s="190"/>
      <c r="K89" s="191"/>
      <c r="L89" s="87"/>
      <c r="M89" s="64"/>
      <c r="N89" s="191"/>
      <c r="O89" s="64"/>
      <c r="S89" s="88"/>
      <c r="U89" s="88"/>
      <c r="V89" s="12"/>
    </row>
    <row r="90" spans="2:22">
      <c r="B90" s="69"/>
      <c r="C90" s="69"/>
      <c r="D90" s="64"/>
      <c r="E90" s="188"/>
      <c r="F90" s="89"/>
      <c r="G90" s="189"/>
      <c r="H90" s="194"/>
      <c r="I90" s="189"/>
      <c r="J90" s="190"/>
      <c r="K90" s="191"/>
      <c r="L90" s="87"/>
      <c r="M90" s="191"/>
      <c r="N90" s="191"/>
      <c r="O90" s="64"/>
      <c r="S90" s="88"/>
      <c r="U90" s="88"/>
      <c r="V90" s="88"/>
    </row>
    <row r="91" spans="2:22">
      <c r="B91" s="69"/>
      <c r="C91" s="69"/>
      <c r="D91" s="64"/>
      <c r="E91" s="188"/>
      <c r="F91" s="89"/>
      <c r="G91" s="189"/>
      <c r="H91" s="194"/>
      <c r="I91" s="189"/>
      <c r="J91" s="190"/>
      <c r="K91" s="191"/>
      <c r="L91" s="87"/>
      <c r="M91" s="191"/>
      <c r="N91" s="191"/>
      <c r="O91" s="64"/>
      <c r="U91" s="88"/>
      <c r="V91" s="12"/>
    </row>
    <row r="92" spans="2:22">
      <c r="B92" s="69"/>
      <c r="C92" s="69"/>
      <c r="D92" s="64"/>
      <c r="E92" s="188"/>
      <c r="F92" s="89"/>
      <c r="G92" s="189"/>
      <c r="H92" s="194"/>
      <c r="I92" s="189"/>
      <c r="J92" s="190"/>
      <c r="K92" s="191"/>
      <c r="L92" s="87"/>
      <c r="M92" s="191"/>
      <c r="N92" s="191"/>
      <c r="O92" s="64"/>
      <c r="U92" s="88"/>
      <c r="V92" s="88"/>
    </row>
    <row r="93" spans="2:22">
      <c r="B93" s="69"/>
      <c r="C93" s="69"/>
      <c r="D93" s="64"/>
      <c r="E93" s="188"/>
      <c r="F93" s="89"/>
      <c r="G93" s="189"/>
      <c r="H93" s="194"/>
      <c r="I93" s="189"/>
      <c r="J93" s="190"/>
      <c r="K93" s="191"/>
      <c r="L93" s="87"/>
      <c r="M93" s="64"/>
      <c r="N93" s="191"/>
      <c r="O93" s="64"/>
      <c r="U93" s="88"/>
      <c r="V93" s="12"/>
    </row>
    <row r="94" spans="2:22">
      <c r="B94" s="69"/>
      <c r="C94" s="69"/>
      <c r="D94" s="64"/>
      <c r="E94" s="188"/>
      <c r="F94" s="89"/>
      <c r="G94" s="189"/>
      <c r="H94" s="194"/>
      <c r="I94" s="189"/>
      <c r="J94" s="190"/>
      <c r="K94" s="191"/>
      <c r="L94" s="87"/>
      <c r="M94" s="191"/>
      <c r="N94" s="191"/>
      <c r="O94" s="64"/>
      <c r="U94" s="88"/>
      <c r="V94" s="12"/>
    </row>
    <row r="95" spans="2:22">
      <c r="B95" s="69"/>
      <c r="C95" s="69"/>
      <c r="D95" s="64"/>
      <c r="E95" s="188"/>
      <c r="F95" s="89"/>
      <c r="G95" s="189"/>
      <c r="H95" s="194"/>
      <c r="I95" s="189"/>
      <c r="J95" s="190"/>
      <c r="K95" s="191"/>
      <c r="L95" s="87"/>
      <c r="M95" s="191"/>
      <c r="N95" s="191"/>
      <c r="O95" s="64"/>
      <c r="S95" s="88"/>
      <c r="U95" s="88"/>
      <c r="V95" s="88"/>
    </row>
    <row r="96" spans="2:22">
      <c r="B96" s="69"/>
      <c r="C96" s="69"/>
      <c r="D96" s="64"/>
      <c r="E96" s="188"/>
      <c r="F96" s="89"/>
      <c r="G96" s="189"/>
      <c r="H96" s="194"/>
      <c r="I96" s="189"/>
      <c r="J96" s="190"/>
      <c r="K96" s="191"/>
      <c r="L96" s="87"/>
      <c r="M96" s="191"/>
      <c r="N96" s="191"/>
      <c r="O96" s="64"/>
      <c r="S96" s="88"/>
      <c r="U96" s="88"/>
      <c r="V96" s="88"/>
    </row>
    <row r="97" spans="2:22">
      <c r="B97" s="69"/>
      <c r="C97" s="69"/>
      <c r="D97" s="64"/>
      <c r="E97" s="188"/>
      <c r="F97" s="89"/>
      <c r="G97" s="189"/>
      <c r="H97" s="194"/>
      <c r="I97" s="189"/>
      <c r="J97" s="190"/>
      <c r="K97" s="191"/>
      <c r="L97" s="87"/>
      <c r="M97" s="191"/>
      <c r="N97" s="191"/>
      <c r="O97" s="64"/>
      <c r="S97" s="88"/>
      <c r="U97" s="88"/>
      <c r="V97" s="88"/>
    </row>
    <row r="98" spans="2:22">
      <c r="B98" s="69"/>
      <c r="C98" s="69"/>
      <c r="D98" s="64"/>
      <c r="E98" s="188"/>
      <c r="F98" s="89"/>
      <c r="G98" s="189"/>
      <c r="H98" s="194"/>
      <c r="I98" s="189"/>
      <c r="J98" s="190"/>
      <c r="K98" s="191"/>
      <c r="L98" s="87"/>
      <c r="M98" s="191"/>
      <c r="N98" s="191"/>
      <c r="O98" s="64"/>
      <c r="S98" s="88"/>
      <c r="U98" s="88"/>
      <c r="V98" s="88"/>
    </row>
    <row r="99" spans="2:22">
      <c r="B99" s="69"/>
      <c r="C99" s="69"/>
      <c r="D99" s="64"/>
      <c r="E99" s="188"/>
      <c r="F99" s="89"/>
      <c r="G99" s="189"/>
      <c r="H99" s="194"/>
      <c r="I99" s="189"/>
      <c r="J99" s="190"/>
      <c r="K99" s="191"/>
      <c r="L99" s="87"/>
      <c r="M99" s="191"/>
      <c r="N99" s="191"/>
      <c r="O99" s="64"/>
      <c r="S99" s="88"/>
      <c r="U99" s="88"/>
      <c r="V99" s="88"/>
    </row>
    <row r="100" spans="2:22">
      <c r="B100" s="69"/>
      <c r="C100" s="69"/>
      <c r="D100" s="64"/>
      <c r="E100" s="188"/>
      <c r="F100" s="89"/>
      <c r="G100" s="189"/>
      <c r="H100" s="194"/>
      <c r="I100" s="189"/>
      <c r="J100" s="190"/>
      <c r="K100" s="191"/>
      <c r="L100" s="87"/>
      <c r="M100" s="64"/>
      <c r="N100" s="191"/>
      <c r="O100" s="64"/>
      <c r="S100" s="88"/>
      <c r="U100" s="88"/>
      <c r="V100" s="12"/>
    </row>
    <row r="101" spans="2:22">
      <c r="B101" s="69"/>
      <c r="C101" s="69"/>
      <c r="D101" s="64"/>
      <c r="E101" s="188"/>
      <c r="F101" s="89"/>
      <c r="G101" s="189"/>
      <c r="H101" s="194"/>
      <c r="I101" s="189"/>
      <c r="J101" s="190"/>
      <c r="K101" s="191"/>
      <c r="L101" s="87"/>
      <c r="M101" s="191"/>
      <c r="N101" s="191"/>
      <c r="O101" s="64"/>
      <c r="S101" s="88"/>
      <c r="U101" s="88"/>
      <c r="V101" s="12"/>
    </row>
    <row r="102" spans="2:22">
      <c r="B102" s="69"/>
      <c r="C102" s="69"/>
      <c r="D102" s="64"/>
      <c r="E102" s="188"/>
      <c r="F102" s="89"/>
      <c r="G102" s="189"/>
      <c r="H102" s="194"/>
      <c r="I102" s="189"/>
      <c r="J102" s="190"/>
      <c r="K102" s="191"/>
      <c r="L102" s="87"/>
      <c r="M102" s="191"/>
      <c r="N102" s="191"/>
      <c r="O102" s="64"/>
      <c r="S102" s="88"/>
      <c r="U102" s="88"/>
      <c r="V102" s="12"/>
    </row>
    <row r="103" spans="2:22">
      <c r="B103" s="69"/>
      <c r="C103" s="69"/>
      <c r="D103" s="64"/>
      <c r="E103" s="188"/>
      <c r="F103" s="89"/>
      <c r="G103" s="189"/>
      <c r="H103" s="194"/>
      <c r="I103" s="189"/>
      <c r="J103" s="190"/>
      <c r="K103" s="191"/>
      <c r="L103" s="87"/>
      <c r="M103" s="191"/>
      <c r="N103" s="191"/>
      <c r="O103" s="64"/>
      <c r="S103" s="88"/>
      <c r="U103" s="88"/>
      <c r="V103" s="12"/>
    </row>
    <row r="104" spans="2:22">
      <c r="B104" s="69"/>
      <c r="C104" s="69"/>
      <c r="D104" s="64"/>
      <c r="E104" s="188"/>
      <c r="F104" s="89"/>
      <c r="G104" s="189"/>
      <c r="H104" s="194"/>
      <c r="I104" s="189"/>
      <c r="J104" s="190"/>
      <c r="K104" s="191"/>
      <c r="L104" s="87"/>
      <c r="M104" s="191"/>
      <c r="N104" s="191"/>
      <c r="O104" s="64"/>
      <c r="S104" s="88"/>
      <c r="U104" s="88"/>
      <c r="V104" s="88"/>
    </row>
    <row r="105" spans="2:22">
      <c r="B105" s="69"/>
      <c r="C105" s="69"/>
      <c r="D105" s="64"/>
      <c r="E105" s="188"/>
      <c r="F105" s="89"/>
      <c r="G105" s="189"/>
      <c r="H105" s="194"/>
      <c r="I105" s="189"/>
      <c r="J105" s="190"/>
      <c r="K105" s="191"/>
      <c r="L105" s="87"/>
      <c r="M105" s="191"/>
      <c r="N105" s="191"/>
      <c r="O105" s="64"/>
      <c r="S105" s="88"/>
      <c r="U105" s="88"/>
      <c r="V105" s="12"/>
    </row>
    <row r="106" spans="2:22">
      <c r="B106" s="69"/>
      <c r="C106" s="69"/>
      <c r="D106" s="64"/>
      <c r="E106" s="188"/>
      <c r="F106" s="89"/>
      <c r="G106" s="189"/>
      <c r="H106" s="194"/>
      <c r="I106" s="189"/>
      <c r="J106" s="190"/>
      <c r="K106" s="191"/>
      <c r="L106" s="87"/>
      <c r="M106" s="191"/>
      <c r="N106" s="191"/>
      <c r="O106" s="64"/>
      <c r="S106" s="88"/>
      <c r="U106" s="88"/>
      <c r="V106" s="88"/>
    </row>
    <row r="107" spans="2:22">
      <c r="B107" s="69"/>
      <c r="C107" s="69"/>
      <c r="D107" s="64"/>
      <c r="E107" s="188"/>
      <c r="F107" s="89"/>
      <c r="G107" s="189"/>
      <c r="H107" s="194"/>
      <c r="I107" s="189"/>
      <c r="J107" s="190"/>
      <c r="K107" s="191"/>
      <c r="L107" s="87"/>
      <c r="M107" s="191"/>
      <c r="N107" s="191"/>
      <c r="O107" s="64"/>
      <c r="U107" s="88"/>
      <c r="V107" s="12"/>
    </row>
    <row r="108" spans="2:22">
      <c r="B108" s="69"/>
      <c r="C108" s="69"/>
      <c r="D108" s="64"/>
      <c r="E108" s="188"/>
      <c r="F108" s="89"/>
      <c r="G108" s="189"/>
      <c r="H108" s="194"/>
      <c r="I108" s="189"/>
      <c r="J108" s="190"/>
      <c r="K108" s="191"/>
      <c r="L108" s="87"/>
      <c r="M108" s="191"/>
      <c r="N108" s="191"/>
      <c r="O108" s="64"/>
      <c r="S108" s="88"/>
      <c r="U108" s="88"/>
      <c r="V108" s="88"/>
    </row>
    <row r="109" spans="2:22">
      <c r="B109" s="69"/>
      <c r="C109" s="69"/>
      <c r="D109" s="64"/>
      <c r="E109" s="188"/>
      <c r="F109" s="89"/>
      <c r="G109" s="189"/>
      <c r="H109" s="194"/>
      <c r="I109" s="189"/>
      <c r="J109" s="190"/>
      <c r="K109" s="191"/>
      <c r="L109" s="87"/>
      <c r="M109" s="191"/>
      <c r="N109" s="191"/>
      <c r="O109" s="64"/>
      <c r="U109" s="88"/>
      <c r="V109" s="88"/>
    </row>
    <row r="110" spans="2:22">
      <c r="B110" s="69"/>
      <c r="C110" s="69"/>
      <c r="D110" s="64"/>
      <c r="E110" s="188"/>
      <c r="F110" s="89"/>
      <c r="G110" s="189"/>
      <c r="H110" s="194"/>
      <c r="I110" s="189"/>
      <c r="J110" s="190"/>
      <c r="K110" s="191"/>
      <c r="L110" s="87"/>
      <c r="M110" s="191"/>
      <c r="N110" s="191"/>
      <c r="O110" s="64"/>
      <c r="S110" s="88"/>
      <c r="U110" s="88"/>
      <c r="V110" s="12"/>
    </row>
    <row r="111" spans="2:22">
      <c r="B111" s="69"/>
      <c r="C111" s="69"/>
      <c r="D111" s="64"/>
      <c r="E111" s="188"/>
      <c r="F111" s="89"/>
      <c r="G111" s="189"/>
      <c r="H111" s="194"/>
      <c r="I111" s="189"/>
      <c r="J111" s="190"/>
      <c r="K111" s="191"/>
      <c r="L111" s="87"/>
      <c r="M111" s="191"/>
      <c r="N111" s="191"/>
      <c r="O111" s="64"/>
      <c r="S111" s="88"/>
      <c r="U111" s="88"/>
      <c r="V111" s="88"/>
    </row>
    <row r="112" spans="2:22">
      <c r="B112" s="69"/>
      <c r="C112" s="69"/>
      <c r="D112" s="64"/>
      <c r="E112" s="188"/>
      <c r="F112" s="89"/>
      <c r="G112" s="189"/>
      <c r="H112" s="194"/>
      <c r="I112" s="189"/>
      <c r="J112" s="190"/>
      <c r="K112" s="191"/>
      <c r="L112" s="87"/>
      <c r="M112" s="191"/>
      <c r="N112" s="191"/>
      <c r="O112" s="64"/>
      <c r="S112" s="88"/>
      <c r="U112" s="88"/>
      <c r="V112" s="88"/>
    </row>
    <row r="113" spans="2:22">
      <c r="B113" s="69"/>
      <c r="C113" s="69"/>
      <c r="D113" s="64"/>
      <c r="E113" s="188"/>
      <c r="F113" s="89"/>
      <c r="G113" s="189"/>
      <c r="H113" s="194"/>
      <c r="I113" s="189"/>
      <c r="J113" s="190"/>
      <c r="K113" s="191"/>
      <c r="L113" s="87"/>
      <c r="M113" s="191"/>
      <c r="N113" s="191"/>
      <c r="O113" s="64"/>
      <c r="S113" s="88"/>
      <c r="U113" s="88"/>
      <c r="V113" s="88"/>
    </row>
    <row r="114" spans="2:22">
      <c r="B114" s="69"/>
      <c r="C114" s="69"/>
      <c r="D114" s="64"/>
      <c r="E114" s="188"/>
      <c r="F114" s="89"/>
      <c r="G114" s="189"/>
      <c r="H114" s="194"/>
      <c r="I114" s="189"/>
      <c r="J114" s="190"/>
      <c r="K114" s="191"/>
      <c r="L114" s="87"/>
      <c r="M114" s="191"/>
      <c r="N114" s="191"/>
      <c r="O114" s="64"/>
      <c r="S114" s="88"/>
      <c r="U114" s="88"/>
      <c r="V114" s="88"/>
    </row>
    <row r="115" spans="2:22">
      <c r="B115" s="69"/>
      <c r="C115" s="69"/>
      <c r="D115" s="64"/>
      <c r="E115" s="188"/>
      <c r="F115" s="89"/>
      <c r="G115" s="189"/>
      <c r="H115" s="194"/>
      <c r="I115" s="189"/>
      <c r="J115" s="190"/>
      <c r="K115" s="191"/>
      <c r="L115" s="87"/>
      <c r="M115" s="191"/>
      <c r="N115" s="191"/>
      <c r="O115" s="64"/>
      <c r="S115" s="88"/>
      <c r="U115" s="88"/>
      <c r="V115" s="88"/>
    </row>
    <row r="116" spans="2:22">
      <c r="B116" s="69"/>
      <c r="C116" s="69"/>
      <c r="D116" s="64"/>
      <c r="E116" s="188"/>
      <c r="F116" s="89"/>
      <c r="G116" s="189"/>
      <c r="H116" s="194"/>
      <c r="I116" s="189"/>
      <c r="J116" s="190"/>
      <c r="K116" s="191"/>
      <c r="L116" s="87"/>
      <c r="M116" s="191"/>
      <c r="N116" s="191"/>
      <c r="O116" s="64"/>
      <c r="S116" s="88"/>
      <c r="U116" s="88"/>
      <c r="V116" s="88"/>
    </row>
    <row r="117" spans="2:22">
      <c r="B117" s="69"/>
      <c r="C117" s="69"/>
      <c r="D117" s="64"/>
      <c r="E117" s="188"/>
      <c r="F117" s="89"/>
      <c r="G117" s="189"/>
      <c r="H117" s="194"/>
      <c r="I117" s="189"/>
      <c r="J117" s="190"/>
      <c r="K117" s="191"/>
      <c r="L117" s="87"/>
      <c r="M117" s="191"/>
      <c r="N117" s="191"/>
      <c r="O117" s="64"/>
      <c r="S117" s="88"/>
      <c r="U117" s="88"/>
      <c r="V117" s="88"/>
    </row>
    <row r="118" spans="2:22">
      <c r="B118" s="69"/>
      <c r="C118" s="69"/>
      <c r="D118" s="64"/>
      <c r="E118" s="188"/>
      <c r="F118" s="89"/>
      <c r="G118" s="189"/>
      <c r="H118" s="194"/>
      <c r="I118" s="189"/>
      <c r="J118" s="190"/>
      <c r="K118" s="191"/>
      <c r="L118" s="87"/>
      <c r="M118" s="191"/>
      <c r="N118" s="191"/>
      <c r="O118" s="64"/>
      <c r="S118" s="88"/>
      <c r="U118" s="88"/>
      <c r="V118" s="12"/>
    </row>
    <row r="119" spans="2:22">
      <c r="B119" s="69"/>
      <c r="C119" s="69"/>
      <c r="D119" s="64"/>
      <c r="E119" s="188"/>
      <c r="F119" s="89"/>
      <c r="G119" s="189"/>
      <c r="H119" s="194"/>
      <c r="I119" s="189"/>
      <c r="J119" s="190"/>
      <c r="K119" s="191"/>
      <c r="L119" s="87"/>
      <c r="M119" s="191"/>
      <c r="N119" s="191"/>
      <c r="O119" s="64"/>
      <c r="S119" s="88"/>
      <c r="U119" s="88"/>
      <c r="V119" s="12"/>
    </row>
    <row r="120" spans="2:22">
      <c r="B120" s="69"/>
      <c r="C120" s="69"/>
      <c r="D120" s="64"/>
      <c r="E120" s="188"/>
      <c r="F120" s="89"/>
      <c r="G120" s="189"/>
      <c r="H120" s="194"/>
      <c r="I120" s="189"/>
      <c r="J120" s="190"/>
      <c r="K120" s="191"/>
      <c r="L120" s="87"/>
      <c r="M120" s="191"/>
      <c r="N120" s="191"/>
      <c r="O120" s="64"/>
      <c r="S120" s="88"/>
      <c r="U120" s="88"/>
      <c r="V120" s="88"/>
    </row>
    <row r="121" spans="2:22">
      <c r="B121" s="69"/>
      <c r="C121" s="69"/>
      <c r="D121" s="64"/>
      <c r="E121" s="188"/>
      <c r="F121" s="89"/>
      <c r="G121" s="189"/>
      <c r="H121" s="194"/>
      <c r="I121" s="189"/>
      <c r="J121" s="190"/>
      <c r="K121" s="191"/>
      <c r="L121" s="87"/>
      <c r="M121" s="191"/>
      <c r="N121" s="191"/>
      <c r="O121" s="64"/>
      <c r="S121" s="88"/>
      <c r="U121" s="88"/>
      <c r="V121" s="88"/>
    </row>
    <row r="122" spans="2:22">
      <c r="B122" s="69"/>
      <c r="C122" s="69"/>
      <c r="D122" s="64"/>
      <c r="E122" s="188"/>
      <c r="F122" s="89"/>
      <c r="G122" s="189"/>
      <c r="H122" s="194"/>
      <c r="I122" s="189"/>
      <c r="J122" s="190"/>
      <c r="K122" s="191"/>
      <c r="L122" s="87"/>
      <c r="M122" s="191"/>
      <c r="N122" s="191"/>
      <c r="O122" s="64"/>
      <c r="S122" s="88"/>
      <c r="U122" s="88"/>
      <c r="V122" s="88"/>
    </row>
    <row r="123" spans="2:22">
      <c r="B123" s="69"/>
      <c r="C123" s="69"/>
      <c r="D123" s="64"/>
      <c r="E123" s="188"/>
      <c r="F123" s="89"/>
      <c r="G123" s="189"/>
      <c r="H123" s="194"/>
      <c r="I123" s="189"/>
      <c r="J123" s="190"/>
      <c r="K123" s="191"/>
      <c r="L123" s="87"/>
      <c r="M123" s="191"/>
      <c r="N123" s="191"/>
      <c r="O123" s="64"/>
      <c r="S123" s="88"/>
      <c r="U123" s="88"/>
      <c r="V123" s="12"/>
    </row>
    <row r="124" spans="2:22">
      <c r="B124" s="69"/>
      <c r="C124" s="69"/>
      <c r="D124" s="64"/>
      <c r="E124" s="188"/>
      <c r="F124" s="89"/>
      <c r="G124" s="189"/>
      <c r="H124" s="194"/>
      <c r="I124" s="189"/>
      <c r="J124" s="190"/>
      <c r="K124" s="191"/>
      <c r="L124" s="87"/>
      <c r="M124" s="64"/>
      <c r="N124" s="191"/>
      <c r="O124" s="64"/>
      <c r="S124" s="88"/>
      <c r="U124" s="88"/>
      <c r="V124" s="12"/>
    </row>
    <row r="125" spans="2:22">
      <c r="B125" s="69"/>
      <c r="C125" s="69"/>
      <c r="D125" s="64"/>
      <c r="E125" s="188"/>
      <c r="F125" s="89"/>
      <c r="G125" s="189"/>
      <c r="H125" s="194"/>
      <c r="I125" s="189"/>
      <c r="J125" s="190"/>
      <c r="K125" s="191"/>
      <c r="L125" s="87"/>
      <c r="M125" s="191"/>
      <c r="N125" s="191"/>
      <c r="O125" s="64"/>
      <c r="S125" s="88"/>
      <c r="U125" s="88"/>
      <c r="V125" s="12"/>
    </row>
    <row r="126" spans="2:22">
      <c r="B126" s="69"/>
      <c r="C126" s="69"/>
      <c r="D126" s="64"/>
      <c r="E126" s="188"/>
      <c r="F126" s="89"/>
      <c r="G126" s="189"/>
      <c r="H126" s="194"/>
      <c r="I126" s="189"/>
      <c r="J126" s="190"/>
      <c r="K126" s="191"/>
      <c r="L126" s="87"/>
      <c r="M126" s="191"/>
      <c r="N126" s="191"/>
      <c r="O126" s="64"/>
      <c r="S126" s="88"/>
      <c r="U126" s="88"/>
      <c r="V126" s="88"/>
    </row>
    <row r="127" spans="2:22">
      <c r="B127" s="69"/>
      <c r="C127" s="69"/>
      <c r="D127" s="64"/>
      <c r="E127" s="188"/>
      <c r="F127" s="89"/>
      <c r="G127" s="189"/>
      <c r="H127" s="194"/>
      <c r="I127" s="189"/>
      <c r="J127" s="190"/>
      <c r="K127" s="191"/>
      <c r="L127" s="87"/>
      <c r="M127" s="64"/>
      <c r="N127" s="191"/>
      <c r="O127" s="64"/>
      <c r="S127" s="88"/>
      <c r="U127" s="88"/>
      <c r="V127" s="12"/>
    </row>
    <row r="128" spans="2:22">
      <c r="B128" s="69"/>
      <c r="C128" s="69"/>
      <c r="D128" s="64"/>
      <c r="E128" s="188"/>
      <c r="F128" s="89"/>
      <c r="G128" s="189"/>
      <c r="H128" s="194"/>
      <c r="I128" s="189"/>
      <c r="J128" s="190"/>
      <c r="K128" s="191"/>
      <c r="L128" s="87"/>
      <c r="M128" s="191"/>
      <c r="N128" s="191"/>
      <c r="O128" s="64"/>
      <c r="S128" s="88"/>
      <c r="U128" s="88"/>
      <c r="V128" s="12"/>
    </row>
    <row r="129" spans="2:22">
      <c r="B129" s="69"/>
      <c r="C129" s="69"/>
      <c r="D129" s="64"/>
      <c r="E129" s="188"/>
      <c r="F129" s="89"/>
      <c r="G129" s="189"/>
      <c r="H129" s="194"/>
      <c r="I129" s="189"/>
      <c r="J129" s="190"/>
      <c r="K129" s="191"/>
      <c r="L129" s="87"/>
      <c r="M129" s="191"/>
      <c r="N129" s="191"/>
      <c r="O129" s="64"/>
      <c r="S129" s="88"/>
      <c r="U129" s="88"/>
      <c r="V129" s="88"/>
    </row>
    <row r="130" spans="2:22">
      <c r="B130" s="69"/>
      <c r="C130" s="69"/>
      <c r="D130" s="64"/>
      <c r="E130" s="188"/>
      <c r="F130" s="89"/>
      <c r="G130" s="189"/>
      <c r="H130" s="194"/>
      <c r="I130" s="189"/>
      <c r="J130" s="190"/>
      <c r="K130" s="191"/>
      <c r="L130" s="87"/>
      <c r="M130" s="191"/>
      <c r="N130" s="191"/>
      <c r="O130" s="64"/>
      <c r="S130" s="88"/>
      <c r="U130" s="88"/>
      <c r="V130" s="12"/>
    </row>
    <row r="131" spans="2:22">
      <c r="B131" s="69"/>
      <c r="C131" s="69"/>
      <c r="D131" s="64"/>
      <c r="E131" s="188"/>
      <c r="F131" s="89"/>
      <c r="G131" s="189"/>
      <c r="H131" s="194"/>
      <c r="I131" s="189"/>
      <c r="J131" s="190"/>
      <c r="K131" s="191"/>
      <c r="L131" s="87"/>
      <c r="M131" s="191"/>
      <c r="N131" s="191"/>
      <c r="O131" s="64"/>
      <c r="S131" s="88"/>
      <c r="U131" s="88"/>
    </row>
    <row r="132" spans="2:22">
      <c r="B132" s="69"/>
      <c r="C132" s="69"/>
      <c r="D132" s="64"/>
      <c r="E132" s="188"/>
      <c r="F132" s="89"/>
      <c r="G132" s="189"/>
      <c r="H132" s="194"/>
      <c r="I132" s="189"/>
      <c r="J132" s="190"/>
      <c r="K132" s="191"/>
      <c r="L132" s="87"/>
      <c r="M132" s="191"/>
      <c r="N132" s="191"/>
      <c r="O132" s="64"/>
      <c r="U132" s="88"/>
      <c r="V132" s="12"/>
    </row>
    <row r="133" spans="2:22">
      <c r="B133" s="69"/>
      <c r="C133" s="69"/>
      <c r="D133" s="64"/>
      <c r="E133" s="188"/>
      <c r="F133" s="89"/>
      <c r="G133" s="189"/>
      <c r="H133" s="194"/>
      <c r="I133" s="189"/>
      <c r="J133" s="190"/>
      <c r="K133" s="191"/>
      <c r="L133" s="87"/>
      <c r="M133" s="191"/>
      <c r="N133" s="191"/>
      <c r="O133" s="64"/>
      <c r="S133" s="88"/>
      <c r="T133" s="88"/>
      <c r="U133" s="88"/>
      <c r="V133" s="88"/>
    </row>
    <row r="134" spans="2:22">
      <c r="B134" s="69"/>
      <c r="C134" s="69"/>
      <c r="D134" s="64"/>
      <c r="E134" s="188"/>
      <c r="F134" s="89"/>
      <c r="G134" s="189"/>
      <c r="H134" s="194"/>
      <c r="I134" s="189"/>
      <c r="J134" s="190"/>
      <c r="K134" s="191"/>
      <c r="L134" s="87"/>
      <c r="M134" s="191"/>
      <c r="N134" s="191"/>
      <c r="O134" s="64"/>
      <c r="S134" s="88"/>
      <c r="T134" s="88"/>
      <c r="U134" s="88"/>
      <c r="V134" s="88"/>
    </row>
    <row r="135" spans="2:22">
      <c r="B135" s="69"/>
      <c r="C135" s="69"/>
      <c r="D135" s="64"/>
      <c r="E135" s="188"/>
      <c r="F135" s="89"/>
      <c r="G135" s="189"/>
      <c r="H135" s="194"/>
      <c r="I135" s="189"/>
      <c r="J135" s="190"/>
      <c r="K135" s="191"/>
      <c r="L135" s="87"/>
      <c r="M135" s="191"/>
      <c r="N135" s="191"/>
      <c r="O135" s="64"/>
      <c r="S135" s="88"/>
      <c r="T135" s="88"/>
      <c r="U135" s="88"/>
      <c r="V135" s="88"/>
    </row>
    <row r="136" spans="2:22">
      <c r="B136" s="69"/>
      <c r="C136" s="69"/>
      <c r="D136" s="64"/>
      <c r="E136" s="188"/>
      <c r="F136" s="87"/>
      <c r="G136" s="189"/>
      <c r="H136" s="194"/>
      <c r="I136" s="189"/>
      <c r="J136" s="190"/>
      <c r="K136" s="191"/>
      <c r="L136" s="87"/>
      <c r="M136" s="191"/>
      <c r="N136" s="191"/>
      <c r="O136" s="64"/>
      <c r="S136" s="88"/>
      <c r="T136" s="88"/>
      <c r="U136" s="88"/>
      <c r="V136" s="88"/>
    </row>
    <row r="137" spans="2:22">
      <c r="B137" s="69"/>
      <c r="C137" s="69"/>
      <c r="D137" s="64"/>
      <c r="E137" s="188"/>
      <c r="F137" s="87"/>
      <c r="G137" s="189"/>
      <c r="H137" s="194"/>
      <c r="I137" s="189"/>
      <c r="J137" s="190"/>
      <c r="K137" s="191"/>
      <c r="L137" s="87"/>
      <c r="M137" s="191"/>
      <c r="N137" s="191"/>
      <c r="O137" s="64"/>
      <c r="S137" s="12"/>
      <c r="T137" s="12"/>
      <c r="U137" s="88"/>
    </row>
    <row r="138" spans="2:22">
      <c r="B138" s="69"/>
      <c r="C138" s="69"/>
      <c r="D138" s="64"/>
      <c r="E138" s="188"/>
      <c r="F138" s="87"/>
      <c r="G138" s="189"/>
      <c r="H138" s="194"/>
      <c r="I138" s="189"/>
      <c r="J138" s="190"/>
      <c r="K138" s="191"/>
      <c r="L138" s="87"/>
      <c r="M138" s="191"/>
      <c r="N138" s="191"/>
      <c r="O138" s="64"/>
      <c r="S138" s="88"/>
      <c r="T138" s="88"/>
      <c r="U138" s="88"/>
      <c r="V138" s="88"/>
    </row>
    <row r="139" spans="2:22">
      <c r="B139" s="69"/>
      <c r="C139" s="69"/>
      <c r="D139" s="64"/>
      <c r="E139" s="188"/>
      <c r="F139" s="87"/>
      <c r="G139" s="189"/>
      <c r="H139" s="194"/>
      <c r="I139" s="189"/>
      <c r="J139" s="190"/>
      <c r="K139" s="191"/>
      <c r="L139" s="87"/>
      <c r="M139" s="191"/>
      <c r="N139" s="191"/>
      <c r="O139" s="64"/>
      <c r="S139" s="88"/>
      <c r="T139" s="88"/>
      <c r="U139" s="88"/>
      <c r="V139" s="88"/>
    </row>
    <row r="140" spans="2:22">
      <c r="B140" s="69"/>
      <c r="C140" s="69"/>
      <c r="D140" s="64"/>
      <c r="E140" s="188"/>
      <c r="F140" s="87"/>
      <c r="G140" s="189"/>
      <c r="H140" s="194"/>
      <c r="I140" s="189"/>
      <c r="J140" s="190"/>
      <c r="K140" s="191"/>
      <c r="L140" s="87"/>
      <c r="M140" s="191"/>
      <c r="N140" s="191"/>
      <c r="O140" s="64"/>
      <c r="S140" s="88"/>
      <c r="T140" s="88"/>
      <c r="U140" s="88"/>
      <c r="V140" s="88"/>
    </row>
    <row r="141" spans="2:22">
      <c r="B141" s="69"/>
      <c r="C141" s="69"/>
      <c r="D141" s="64"/>
      <c r="E141" s="188"/>
      <c r="F141" s="87"/>
      <c r="G141" s="189"/>
      <c r="H141" s="194"/>
      <c r="I141" s="189"/>
      <c r="J141" s="190"/>
      <c r="K141" s="191"/>
      <c r="L141" s="87"/>
      <c r="M141" s="191"/>
      <c r="N141" s="191"/>
      <c r="O141" s="64"/>
      <c r="S141" s="88"/>
      <c r="T141" s="88"/>
      <c r="U141" s="88"/>
      <c r="V141" s="88"/>
    </row>
    <row r="142" spans="2:22">
      <c r="B142" s="69"/>
      <c r="C142" s="69"/>
      <c r="D142" s="64"/>
      <c r="E142" s="188"/>
      <c r="F142" s="87"/>
      <c r="G142" s="189"/>
      <c r="H142" s="194"/>
      <c r="I142" s="189"/>
      <c r="J142" s="190"/>
      <c r="K142" s="191"/>
      <c r="L142" s="87"/>
      <c r="M142" s="191"/>
      <c r="N142" s="191"/>
      <c r="O142" s="64"/>
      <c r="S142" s="88"/>
      <c r="T142" s="88"/>
      <c r="U142" s="88"/>
      <c r="V142" s="88"/>
    </row>
    <row r="143" spans="2:22">
      <c r="B143" s="69"/>
      <c r="C143" s="69"/>
      <c r="D143" s="64"/>
      <c r="E143" s="188"/>
      <c r="F143" s="87"/>
      <c r="G143" s="189"/>
      <c r="H143" s="194"/>
      <c r="I143" s="189"/>
      <c r="J143" s="190"/>
      <c r="K143" s="191"/>
      <c r="L143" s="87"/>
      <c r="M143" s="191"/>
      <c r="N143" s="191"/>
      <c r="O143" s="64"/>
      <c r="S143" s="88"/>
      <c r="T143" s="88"/>
      <c r="U143" s="88"/>
    </row>
    <row r="144" spans="2:22">
      <c r="B144" s="69"/>
      <c r="C144" s="69"/>
      <c r="D144" s="64"/>
      <c r="E144" s="188"/>
      <c r="F144" s="87"/>
      <c r="G144" s="189"/>
      <c r="H144" s="194"/>
      <c r="I144" s="189"/>
      <c r="J144" s="190"/>
      <c r="K144" s="191"/>
      <c r="L144" s="87"/>
      <c r="M144" s="191"/>
      <c r="N144" s="191"/>
      <c r="O144" s="64"/>
      <c r="T144" s="88"/>
      <c r="U144" s="88"/>
      <c r="V144" s="12"/>
    </row>
    <row r="145" spans="2:22">
      <c r="B145" s="69"/>
      <c r="C145" s="69"/>
      <c r="D145" s="64"/>
      <c r="E145" s="188"/>
      <c r="F145" s="87"/>
      <c r="G145" s="189"/>
      <c r="H145" s="194"/>
      <c r="I145" s="189"/>
      <c r="J145" s="190"/>
      <c r="K145" s="191"/>
      <c r="L145" s="87"/>
      <c r="M145" s="191"/>
      <c r="N145" s="191"/>
      <c r="O145" s="64"/>
      <c r="S145" s="88"/>
      <c r="T145" s="88"/>
      <c r="U145" s="88"/>
      <c r="V145" s="88"/>
    </row>
    <row r="146" spans="2:22">
      <c r="B146" s="69"/>
      <c r="C146" s="69"/>
      <c r="D146" s="64"/>
      <c r="E146" s="188"/>
      <c r="F146" s="87"/>
      <c r="G146" s="189"/>
      <c r="H146" s="194"/>
      <c r="I146" s="189"/>
      <c r="J146" s="190"/>
      <c r="K146" s="191"/>
      <c r="L146" s="87"/>
      <c r="M146" s="191"/>
      <c r="N146" s="191"/>
      <c r="O146" s="64"/>
      <c r="S146" s="88"/>
      <c r="T146" s="88"/>
      <c r="U146" s="88"/>
      <c r="V146" s="88"/>
    </row>
    <row r="147" spans="2:22">
      <c r="B147" s="69"/>
      <c r="C147" s="69"/>
      <c r="D147" s="64"/>
      <c r="E147" s="188"/>
      <c r="F147" s="87"/>
      <c r="G147" s="189"/>
      <c r="H147" s="194"/>
      <c r="I147" s="189"/>
      <c r="J147" s="190"/>
      <c r="K147" s="191"/>
      <c r="L147" s="87"/>
      <c r="M147" s="191"/>
      <c r="N147" s="191"/>
      <c r="O147" s="64"/>
      <c r="S147" s="88"/>
      <c r="T147" s="88"/>
      <c r="U147" s="88"/>
      <c r="V147" s="88"/>
    </row>
    <row r="148" spans="2:22">
      <c r="B148" s="69"/>
      <c r="C148" s="69"/>
      <c r="D148" s="64"/>
      <c r="E148" s="188"/>
      <c r="F148" s="87"/>
      <c r="G148" s="189"/>
      <c r="H148" s="194"/>
      <c r="I148" s="189"/>
      <c r="J148" s="190"/>
      <c r="K148" s="191"/>
      <c r="L148" s="87"/>
      <c r="M148" s="191"/>
      <c r="N148" s="191"/>
      <c r="O148" s="64"/>
      <c r="S148" s="88"/>
      <c r="T148" s="88"/>
      <c r="U148" s="88"/>
      <c r="V148" s="88"/>
    </row>
    <row r="149" spans="2:22">
      <c r="B149" s="69"/>
      <c r="C149" s="69"/>
      <c r="D149" s="64"/>
      <c r="E149" s="188"/>
      <c r="F149" s="87"/>
      <c r="G149" s="189"/>
      <c r="H149" s="194"/>
      <c r="I149" s="189"/>
      <c r="J149" s="190"/>
      <c r="K149" s="191"/>
      <c r="L149" s="87"/>
      <c r="M149" s="191"/>
      <c r="N149" s="191"/>
      <c r="O149" s="64"/>
      <c r="S149" s="88"/>
      <c r="T149" s="88"/>
      <c r="U149" s="88"/>
      <c r="V149" s="12"/>
    </row>
    <row r="150" spans="2:22">
      <c r="B150" s="69"/>
      <c r="C150" s="69"/>
      <c r="D150" s="64"/>
      <c r="E150" s="188"/>
      <c r="F150" s="87"/>
      <c r="G150" s="189"/>
      <c r="H150" s="194"/>
      <c r="I150" s="189"/>
      <c r="J150" s="190"/>
      <c r="K150" s="191"/>
      <c r="L150" s="87"/>
      <c r="M150" s="191"/>
      <c r="N150" s="191"/>
      <c r="O150" s="64"/>
      <c r="S150" s="88"/>
      <c r="T150" s="12"/>
      <c r="U150" s="88"/>
      <c r="V150" s="12"/>
    </row>
    <row r="151" spans="2:22">
      <c r="B151" s="69"/>
      <c r="C151" s="69"/>
      <c r="D151" s="64"/>
      <c r="E151" s="188"/>
      <c r="F151" s="87"/>
      <c r="G151" s="189"/>
      <c r="H151" s="194"/>
      <c r="I151" s="189"/>
      <c r="J151" s="190"/>
      <c r="K151" s="191"/>
      <c r="L151" s="87"/>
      <c r="M151" s="191"/>
      <c r="N151" s="191"/>
      <c r="O151" s="64"/>
      <c r="S151" s="88"/>
      <c r="T151" s="88"/>
      <c r="U151" s="88"/>
      <c r="V151" s="88"/>
    </row>
    <row r="152" spans="2:22">
      <c r="B152" s="69"/>
      <c r="C152" s="69"/>
      <c r="D152" s="64"/>
      <c r="E152" s="188"/>
      <c r="F152" s="87"/>
      <c r="G152" s="189"/>
      <c r="H152" s="194"/>
      <c r="I152" s="189"/>
      <c r="J152" s="190"/>
      <c r="K152" s="191"/>
      <c r="L152" s="87"/>
      <c r="M152" s="191"/>
      <c r="N152" s="191"/>
      <c r="O152" s="64"/>
      <c r="S152" s="88"/>
      <c r="T152" s="88"/>
      <c r="U152" s="88"/>
      <c r="V152" s="88"/>
    </row>
    <row r="153" spans="2:22">
      <c r="B153" s="69"/>
      <c r="C153" s="69"/>
      <c r="D153" s="64"/>
      <c r="E153" s="188"/>
      <c r="F153" s="87"/>
      <c r="G153" s="189"/>
      <c r="H153" s="194"/>
      <c r="I153" s="189"/>
      <c r="J153" s="190"/>
      <c r="K153" s="191"/>
      <c r="L153" s="87"/>
      <c r="M153" s="191"/>
      <c r="N153" s="191"/>
      <c r="O153" s="64"/>
      <c r="S153" s="88"/>
      <c r="T153" s="88"/>
      <c r="U153" s="88"/>
      <c r="V153" s="88"/>
    </row>
    <row r="154" spans="2:22">
      <c r="B154" s="69"/>
      <c r="C154" s="69"/>
      <c r="D154" s="64"/>
      <c r="E154" s="188"/>
      <c r="F154" s="87"/>
      <c r="G154" s="189"/>
      <c r="H154" s="194"/>
      <c r="I154" s="189"/>
      <c r="J154" s="190"/>
      <c r="K154" s="191"/>
      <c r="L154" s="87"/>
      <c r="M154" s="191"/>
      <c r="N154" s="191"/>
      <c r="O154" s="64"/>
      <c r="S154" s="88"/>
      <c r="T154" s="88"/>
      <c r="U154" s="88"/>
      <c r="V154" s="88"/>
    </row>
    <row r="155" spans="2:22">
      <c r="B155" s="69"/>
      <c r="C155" s="69"/>
      <c r="D155" s="64"/>
      <c r="E155" s="188"/>
      <c r="F155" s="87"/>
      <c r="G155" s="189"/>
      <c r="H155" s="194"/>
      <c r="I155" s="189"/>
      <c r="J155" s="190"/>
      <c r="K155" s="191"/>
      <c r="L155" s="87"/>
      <c r="M155" s="191"/>
      <c r="N155" s="191"/>
      <c r="O155" s="64"/>
      <c r="S155" s="88"/>
      <c r="T155" s="88"/>
    </row>
    <row r="156" spans="2:22">
      <c r="B156" s="69"/>
      <c r="C156" s="69"/>
      <c r="D156" s="64"/>
      <c r="E156" s="188"/>
      <c r="F156" s="87"/>
      <c r="G156" s="189"/>
      <c r="H156" s="194"/>
      <c r="I156" s="189"/>
      <c r="J156" s="190"/>
      <c r="K156" s="191"/>
      <c r="L156" s="87"/>
      <c r="M156" s="64"/>
      <c r="N156" s="191"/>
      <c r="O156" s="64"/>
      <c r="S156" s="12"/>
      <c r="T156" s="88"/>
      <c r="U156" s="88"/>
      <c r="V156" s="88"/>
    </row>
    <row r="157" spans="2:22">
      <c r="B157" s="69"/>
      <c r="C157" s="69"/>
      <c r="D157" s="64"/>
      <c r="E157" s="188"/>
      <c r="F157" s="87"/>
      <c r="G157" s="189"/>
      <c r="H157" s="194"/>
      <c r="I157" s="189"/>
      <c r="J157" s="190"/>
      <c r="K157" s="191"/>
      <c r="L157" s="87"/>
      <c r="M157" s="191"/>
      <c r="N157" s="191"/>
      <c r="O157" s="64"/>
      <c r="S157" s="88"/>
      <c r="T157" s="88"/>
      <c r="U157" s="88"/>
      <c r="V157" s="88"/>
    </row>
    <row r="158" spans="2:22">
      <c r="B158" s="69"/>
      <c r="C158" s="69"/>
      <c r="D158" s="64"/>
      <c r="E158" s="188"/>
      <c r="F158" s="87"/>
      <c r="G158" s="189"/>
      <c r="H158" s="194"/>
      <c r="I158" s="189"/>
      <c r="J158" s="190"/>
      <c r="K158" s="191"/>
      <c r="L158" s="87"/>
      <c r="M158" s="191"/>
      <c r="N158" s="191"/>
      <c r="O158" s="64"/>
      <c r="S158" s="88"/>
      <c r="T158" s="88"/>
      <c r="U158" s="88"/>
      <c r="V158" s="88"/>
    </row>
    <row r="159" spans="2:22">
      <c r="B159" s="69"/>
      <c r="C159" s="69"/>
      <c r="D159" s="64"/>
      <c r="E159" s="188"/>
      <c r="F159" s="87"/>
      <c r="G159" s="189"/>
      <c r="H159" s="194"/>
      <c r="I159" s="189"/>
      <c r="J159" s="190"/>
      <c r="K159" s="191"/>
      <c r="L159" s="87"/>
      <c r="M159" s="191"/>
      <c r="N159" s="191"/>
      <c r="O159" s="64"/>
      <c r="S159" s="88"/>
      <c r="T159" s="88"/>
      <c r="U159" s="88"/>
      <c r="V159" s="88"/>
    </row>
    <row r="160" spans="2:22">
      <c r="B160" s="69"/>
      <c r="C160" s="69"/>
      <c r="D160" s="64"/>
      <c r="E160" s="188"/>
      <c r="F160" s="87"/>
      <c r="G160" s="189"/>
      <c r="H160" s="194"/>
      <c r="I160" s="189"/>
      <c r="J160" s="190"/>
      <c r="K160" s="191"/>
      <c r="L160" s="87"/>
      <c r="M160" s="191"/>
      <c r="N160" s="191"/>
      <c r="O160" s="64"/>
      <c r="S160" s="88"/>
      <c r="T160" s="88"/>
      <c r="U160" s="88"/>
      <c r="V160" s="12"/>
    </row>
    <row r="161" spans="2:22">
      <c r="B161" s="69"/>
      <c r="C161" s="69"/>
      <c r="D161" s="64"/>
      <c r="E161" s="188"/>
      <c r="F161" s="87"/>
      <c r="G161" s="189"/>
      <c r="H161" s="194"/>
      <c r="I161" s="189"/>
      <c r="J161" s="190"/>
      <c r="K161" s="191"/>
      <c r="L161" s="87"/>
      <c r="M161" s="191"/>
      <c r="N161" s="191"/>
      <c r="O161" s="64"/>
      <c r="S161" s="88"/>
      <c r="T161" s="12"/>
      <c r="U161" s="88"/>
      <c r="V161" s="88"/>
    </row>
    <row r="162" spans="2:22">
      <c r="B162" s="69"/>
      <c r="C162" s="69"/>
      <c r="D162" s="64"/>
      <c r="E162" s="188"/>
      <c r="F162" s="87"/>
      <c r="G162" s="189"/>
      <c r="H162" s="194"/>
      <c r="I162" s="189"/>
      <c r="J162" s="190"/>
      <c r="K162" s="191"/>
      <c r="L162" s="87"/>
      <c r="M162" s="191"/>
      <c r="N162" s="191"/>
      <c r="O162" s="64"/>
      <c r="S162" s="88"/>
      <c r="T162" s="88"/>
      <c r="U162" s="88"/>
      <c r="V162" s="12"/>
    </row>
    <row r="163" spans="2:22">
      <c r="B163" s="69"/>
      <c r="C163" s="69"/>
      <c r="D163" s="64"/>
      <c r="E163" s="188"/>
      <c r="F163" s="87"/>
      <c r="G163" s="189"/>
      <c r="H163" s="194"/>
      <c r="I163" s="189"/>
      <c r="J163" s="190"/>
      <c r="K163" s="191"/>
      <c r="L163" s="87"/>
      <c r="M163" s="191"/>
      <c r="N163" s="191"/>
      <c r="O163" s="64"/>
      <c r="U163" s="88"/>
      <c r="V163" s="88"/>
    </row>
    <row r="164" spans="2:22">
      <c r="B164" s="69"/>
      <c r="C164" s="69"/>
      <c r="D164" s="64"/>
      <c r="E164" s="188"/>
      <c r="F164" s="64"/>
      <c r="G164" s="64"/>
      <c r="H164" s="194"/>
      <c r="I164" s="194"/>
      <c r="J164" s="64"/>
      <c r="K164" s="205"/>
      <c r="L164" s="87"/>
      <c r="M164" s="64"/>
      <c r="N164" s="191"/>
      <c r="O164" s="64"/>
      <c r="S164" s="88"/>
      <c r="T164" s="88"/>
      <c r="U164" s="88"/>
      <c r="V164" s="12"/>
    </row>
    <row r="165" spans="2:22">
      <c r="B165" s="69"/>
      <c r="C165" s="69"/>
      <c r="D165" s="64"/>
      <c r="E165" s="188"/>
      <c r="F165" s="87"/>
      <c r="G165" s="189"/>
      <c r="H165" s="194"/>
      <c r="I165" s="189"/>
      <c r="J165" s="190"/>
      <c r="K165" s="191"/>
      <c r="L165" s="87"/>
      <c r="M165" s="191"/>
      <c r="N165" s="191"/>
      <c r="O165" s="64"/>
      <c r="U165" s="88"/>
      <c r="V165" s="12"/>
    </row>
    <row r="166" spans="2:22">
      <c r="B166" s="69"/>
      <c r="C166" s="69"/>
      <c r="D166" s="64"/>
      <c r="E166" s="188"/>
      <c r="F166" s="64"/>
      <c r="G166" s="64"/>
      <c r="H166" s="194"/>
      <c r="I166" s="194"/>
      <c r="J166" s="64"/>
      <c r="K166" s="205"/>
      <c r="L166" s="87"/>
      <c r="M166" s="205"/>
      <c r="N166" s="191"/>
      <c r="O166" s="64"/>
      <c r="S166" s="12"/>
      <c r="T166" s="12"/>
      <c r="U166" s="88"/>
      <c r="V166" s="12"/>
    </row>
    <row r="167" spans="2:22">
      <c r="B167" s="69"/>
      <c r="C167" s="69"/>
      <c r="D167" s="64"/>
      <c r="E167" s="188"/>
      <c r="F167" s="87"/>
      <c r="G167" s="189"/>
      <c r="H167" s="194"/>
      <c r="I167" s="189"/>
      <c r="J167" s="190"/>
      <c r="K167" s="191"/>
      <c r="L167" s="87"/>
      <c r="M167" s="191"/>
      <c r="N167" s="191"/>
      <c r="O167" s="64"/>
      <c r="S167" s="88"/>
      <c r="T167" s="88"/>
      <c r="U167" s="88"/>
      <c r="V167" s="88"/>
    </row>
    <row r="168" spans="2:22">
      <c r="B168" s="69"/>
      <c r="C168" s="69"/>
      <c r="D168" s="64"/>
      <c r="E168" s="188"/>
      <c r="F168" s="87"/>
      <c r="G168" s="189"/>
      <c r="H168" s="194"/>
      <c r="I168" s="189"/>
      <c r="J168" s="190"/>
      <c r="K168" s="191"/>
      <c r="L168" s="87"/>
      <c r="M168" s="191"/>
      <c r="N168" s="191"/>
      <c r="O168" s="64"/>
      <c r="S168" s="12"/>
      <c r="T168" s="88"/>
      <c r="U168" s="88"/>
      <c r="V168" s="12"/>
    </row>
    <row r="169" spans="2:22">
      <c r="B169" s="69"/>
      <c r="C169" s="69"/>
      <c r="D169" s="64"/>
      <c r="E169" s="188"/>
      <c r="F169" s="87"/>
      <c r="G169" s="189"/>
      <c r="H169" s="194"/>
      <c r="I169" s="189"/>
      <c r="J169" s="190"/>
      <c r="K169" s="191"/>
      <c r="L169" s="87"/>
      <c r="M169" s="191"/>
      <c r="N169" s="191"/>
      <c r="O169" s="64"/>
      <c r="S169" s="88"/>
      <c r="T169" s="88"/>
      <c r="U169" s="88"/>
      <c r="V169" s="88"/>
    </row>
    <row r="170" spans="2:22">
      <c r="B170" s="69"/>
      <c r="C170" s="69"/>
      <c r="D170" s="64"/>
      <c r="E170" s="188"/>
      <c r="F170" s="87"/>
      <c r="G170" s="189"/>
      <c r="H170" s="194"/>
      <c r="I170" s="189"/>
      <c r="J170" s="190"/>
      <c r="K170" s="191"/>
      <c r="L170" s="87"/>
      <c r="M170" s="191"/>
      <c r="N170" s="191"/>
      <c r="O170" s="64"/>
      <c r="S170" s="88"/>
      <c r="T170" s="88"/>
      <c r="U170" s="88"/>
      <c r="V170" s="88"/>
    </row>
    <row r="171" spans="2:22">
      <c r="B171" s="69"/>
      <c r="C171" s="69"/>
      <c r="D171" s="64"/>
      <c r="E171" s="188"/>
      <c r="F171" s="87"/>
      <c r="G171" s="189"/>
      <c r="H171" s="194"/>
      <c r="I171" s="189"/>
      <c r="J171" s="190"/>
      <c r="K171" s="191"/>
      <c r="L171" s="87"/>
      <c r="M171" s="191"/>
      <c r="N171" s="191"/>
      <c r="O171" s="64"/>
      <c r="S171" s="12"/>
      <c r="U171" s="12"/>
      <c r="V171" s="12"/>
    </row>
    <row r="172" spans="2:22">
      <c r="B172" s="69"/>
      <c r="C172" s="69"/>
      <c r="D172" s="64"/>
      <c r="E172" s="188"/>
      <c r="F172" s="87"/>
      <c r="G172" s="189"/>
      <c r="H172" s="86"/>
      <c r="I172" s="189"/>
      <c r="J172" s="190"/>
      <c r="K172" s="191"/>
      <c r="L172" s="87"/>
      <c r="M172" s="191"/>
      <c r="N172" s="191"/>
      <c r="O172" s="64"/>
      <c r="S172" s="88"/>
      <c r="U172" s="88"/>
      <c r="V172" s="12"/>
    </row>
    <row r="173" spans="2:22">
      <c r="B173" s="69"/>
      <c r="C173" s="69"/>
      <c r="D173" s="64"/>
      <c r="E173" s="188"/>
      <c r="F173" s="87"/>
      <c r="G173" s="189"/>
      <c r="H173" s="86"/>
      <c r="I173" s="189"/>
      <c r="J173" s="190"/>
      <c r="K173" s="191"/>
      <c r="L173" s="87"/>
      <c r="M173" s="191"/>
      <c r="N173" s="191"/>
      <c r="O173" s="64"/>
      <c r="U173" s="88"/>
      <c r="V173" s="12"/>
    </row>
    <row r="174" spans="2:22">
      <c r="B174" s="69"/>
      <c r="C174" s="69"/>
      <c r="D174" s="64"/>
      <c r="E174" s="188"/>
      <c r="F174" s="87"/>
      <c r="G174" s="189"/>
      <c r="H174" s="86"/>
      <c r="I174" s="189"/>
      <c r="J174" s="190"/>
      <c r="K174" s="191"/>
      <c r="L174" s="87"/>
      <c r="M174" s="191"/>
      <c r="N174" s="191"/>
      <c r="O174" s="64"/>
      <c r="S174" s="88"/>
      <c r="U174" s="88"/>
      <c r="V174" s="12"/>
    </row>
    <row r="175" spans="2:22">
      <c r="B175" s="69"/>
      <c r="C175" s="69"/>
      <c r="D175" s="64"/>
      <c r="E175" s="188"/>
      <c r="F175" s="87"/>
      <c r="G175" s="189"/>
      <c r="H175" s="86"/>
      <c r="I175" s="189"/>
      <c r="J175" s="190"/>
      <c r="K175" s="191"/>
      <c r="L175" s="87"/>
      <c r="M175" s="191"/>
      <c r="N175" s="191"/>
      <c r="O175" s="64"/>
      <c r="U175" s="88"/>
      <c r="V175" s="88"/>
    </row>
    <row r="176" spans="2:22">
      <c r="B176" s="69"/>
      <c r="C176" s="69"/>
      <c r="D176" s="64"/>
      <c r="E176" s="188"/>
      <c r="F176" s="87"/>
      <c r="G176" s="189"/>
      <c r="H176" s="86"/>
      <c r="I176" s="189"/>
      <c r="J176" s="190"/>
      <c r="K176" s="191"/>
      <c r="L176" s="87"/>
      <c r="M176" s="191"/>
      <c r="N176" s="191"/>
      <c r="O176" s="64"/>
      <c r="U176" s="88"/>
      <c r="V176" s="88"/>
    </row>
    <row r="177" spans="2:22">
      <c r="B177" s="69"/>
      <c r="C177" s="69"/>
      <c r="D177" s="64"/>
      <c r="E177" s="188"/>
      <c r="F177" s="87"/>
      <c r="G177" s="189"/>
      <c r="H177" s="86"/>
      <c r="I177" s="189"/>
      <c r="J177" s="190"/>
      <c r="K177" s="191"/>
      <c r="L177" s="87"/>
      <c r="M177" s="191"/>
      <c r="N177" s="191"/>
      <c r="O177" s="64"/>
      <c r="U177" s="88"/>
      <c r="V177" s="88"/>
    </row>
    <row r="178" spans="2:22">
      <c r="B178" s="69"/>
      <c r="C178" s="69"/>
      <c r="D178" s="64"/>
      <c r="E178" s="188"/>
      <c r="F178" s="87"/>
      <c r="G178" s="189"/>
      <c r="H178" s="86"/>
      <c r="I178" s="189"/>
      <c r="J178" s="190"/>
      <c r="K178" s="191"/>
      <c r="L178" s="87"/>
      <c r="M178" s="191"/>
      <c r="N178" s="191"/>
      <c r="O178" s="64"/>
      <c r="U178" s="88"/>
      <c r="V178" s="12"/>
    </row>
    <row r="179" spans="2:22">
      <c r="B179" s="69"/>
      <c r="C179" s="69"/>
      <c r="D179" s="64"/>
      <c r="E179" s="188"/>
      <c r="F179" s="87"/>
      <c r="G179" s="189"/>
      <c r="H179" s="86"/>
      <c r="I179" s="189"/>
      <c r="J179" s="190"/>
      <c r="K179" s="191"/>
      <c r="L179" s="87"/>
      <c r="M179" s="191"/>
      <c r="N179" s="191"/>
      <c r="O179" s="64"/>
      <c r="U179" s="88"/>
      <c r="V179" s="12"/>
    </row>
    <row r="180" spans="2:22">
      <c r="B180" s="69"/>
      <c r="C180" s="69"/>
      <c r="D180" s="64"/>
      <c r="E180" s="188"/>
      <c r="F180" s="64"/>
      <c r="G180" s="64"/>
      <c r="H180" s="64"/>
      <c r="I180" s="64"/>
      <c r="J180" s="64"/>
      <c r="K180" s="205"/>
      <c r="L180" s="87"/>
      <c r="M180" s="205"/>
      <c r="N180" s="191"/>
      <c r="O180" s="64"/>
      <c r="U180" s="88"/>
      <c r="V180" s="88"/>
    </row>
    <row r="181" spans="2:22">
      <c r="B181" s="69"/>
      <c r="C181" s="69"/>
      <c r="D181" s="64"/>
      <c r="E181" s="188"/>
      <c r="F181" s="87"/>
      <c r="G181" s="189"/>
      <c r="H181" s="86"/>
      <c r="I181" s="189"/>
      <c r="J181" s="190"/>
      <c r="K181" s="191"/>
      <c r="L181" s="87"/>
      <c r="M181" s="191"/>
      <c r="N181" s="191"/>
      <c r="O181" s="64"/>
      <c r="U181" s="88"/>
      <c r="V181" s="88"/>
    </row>
    <row r="182" spans="2:22">
      <c r="B182" s="69"/>
      <c r="C182" s="69"/>
      <c r="D182" s="64"/>
      <c r="E182" s="188"/>
      <c r="F182" s="87"/>
      <c r="G182" s="189"/>
      <c r="H182" s="86"/>
      <c r="I182" s="189"/>
      <c r="J182" s="190"/>
      <c r="K182" s="191"/>
      <c r="L182" s="87"/>
      <c r="M182" s="191"/>
      <c r="N182" s="191"/>
      <c r="O182" s="64"/>
      <c r="U182" s="88"/>
      <c r="V182" s="88"/>
    </row>
    <row r="183" spans="2:22">
      <c r="B183" s="69"/>
      <c r="C183" s="69"/>
      <c r="D183" s="64"/>
      <c r="E183" s="188"/>
      <c r="F183" s="87"/>
      <c r="G183" s="189"/>
      <c r="H183" s="86"/>
      <c r="I183" s="189"/>
      <c r="J183" s="190"/>
      <c r="K183" s="191"/>
      <c r="L183" s="87"/>
      <c r="M183" s="191"/>
      <c r="N183" s="191"/>
      <c r="O183" s="64"/>
      <c r="U183" s="88"/>
      <c r="V183" s="12"/>
    </row>
    <row r="184" spans="2:22">
      <c r="B184" s="69"/>
      <c r="C184" s="69"/>
      <c r="D184" s="64"/>
      <c r="E184" s="188"/>
      <c r="F184" s="87"/>
      <c r="G184" s="189"/>
      <c r="H184" s="86"/>
      <c r="I184" s="189"/>
      <c r="J184" s="190"/>
      <c r="K184" s="191"/>
      <c r="L184" s="87"/>
      <c r="M184" s="191"/>
      <c r="N184" s="191"/>
      <c r="O184" s="64"/>
    </row>
    <row r="185" spans="2:22">
      <c r="B185" s="69"/>
      <c r="C185" s="69"/>
      <c r="D185" s="64"/>
      <c r="E185" s="188"/>
      <c r="F185" s="64"/>
      <c r="G185" s="64"/>
      <c r="H185" s="64"/>
      <c r="I185" s="64"/>
      <c r="J185" s="64"/>
      <c r="K185" s="205"/>
      <c r="L185" s="205"/>
      <c r="M185" s="205"/>
      <c r="N185" s="205"/>
      <c r="O185" s="64"/>
      <c r="U185" s="88"/>
      <c r="V185" s="12"/>
    </row>
    <row r="186" spans="2:22">
      <c r="B186" s="69"/>
      <c r="C186" s="69"/>
      <c r="D186" s="64"/>
      <c r="E186" s="188"/>
      <c r="F186" s="87"/>
      <c r="G186" s="189"/>
      <c r="H186" s="86"/>
      <c r="I186" s="189"/>
      <c r="J186" s="190"/>
      <c r="K186" s="191"/>
      <c r="L186" s="87"/>
      <c r="M186" s="191"/>
      <c r="N186" s="191"/>
      <c r="O186" s="64"/>
      <c r="U186" s="88"/>
      <c r="V186" s="12"/>
    </row>
    <row r="187" spans="2:22">
      <c r="B187" s="69"/>
      <c r="C187" s="69"/>
      <c r="D187" s="64"/>
      <c r="E187" s="188"/>
      <c r="F187" s="87"/>
      <c r="G187" s="189"/>
      <c r="H187" s="86"/>
      <c r="I187" s="189"/>
      <c r="J187" s="190"/>
      <c r="K187" s="191"/>
      <c r="L187" s="87"/>
      <c r="M187" s="191"/>
      <c r="N187" s="191"/>
      <c r="O187" s="64"/>
      <c r="U187" s="88"/>
      <c r="V187" s="88"/>
    </row>
    <row r="188" spans="2:22">
      <c r="B188" s="69"/>
      <c r="C188" s="69"/>
      <c r="D188" s="64"/>
      <c r="E188" s="188"/>
      <c r="F188" s="87"/>
      <c r="G188" s="189"/>
      <c r="H188" s="86"/>
      <c r="I188" s="189"/>
      <c r="J188" s="190"/>
      <c r="K188" s="191"/>
      <c r="L188" s="87"/>
      <c r="M188" s="191"/>
      <c r="N188" s="191"/>
      <c r="O188" s="64"/>
      <c r="U188" s="88"/>
      <c r="V188" s="88"/>
    </row>
    <row r="189" spans="2:22">
      <c r="B189" s="69"/>
      <c r="C189" s="69"/>
      <c r="D189" s="64"/>
      <c r="E189" s="188"/>
      <c r="F189" s="87"/>
      <c r="G189" s="189"/>
      <c r="H189" s="86"/>
      <c r="I189" s="189"/>
      <c r="J189" s="190"/>
      <c r="K189" s="191"/>
      <c r="L189" s="87"/>
      <c r="M189" s="191"/>
      <c r="N189" s="191"/>
      <c r="O189" s="64"/>
      <c r="U189" s="88"/>
      <c r="V189" s="12"/>
    </row>
    <row r="190" spans="2:22">
      <c r="B190" s="69"/>
      <c r="C190" s="69"/>
      <c r="D190" s="64"/>
      <c r="E190" s="188"/>
      <c r="F190" s="87"/>
      <c r="G190" s="189"/>
      <c r="H190" s="86"/>
      <c r="I190" s="189"/>
      <c r="J190" s="190"/>
      <c r="K190" s="191"/>
      <c r="L190" s="87"/>
      <c r="M190" s="191"/>
      <c r="N190" s="191"/>
      <c r="O190" s="64"/>
      <c r="U190" s="88"/>
      <c r="V190" s="12"/>
    </row>
    <row r="191" spans="2:22">
      <c r="B191" s="69"/>
      <c r="C191" s="69"/>
      <c r="D191" s="64"/>
      <c r="E191" s="188"/>
      <c r="F191" s="87"/>
      <c r="G191" s="189"/>
      <c r="H191" s="86"/>
      <c r="I191" s="189"/>
      <c r="J191" s="190"/>
      <c r="K191" s="191"/>
      <c r="L191" s="87"/>
      <c r="M191" s="191"/>
      <c r="N191" s="191"/>
      <c r="O191" s="64"/>
      <c r="U191" s="88"/>
      <c r="V191" s="12"/>
    </row>
    <row r="192" spans="2:22">
      <c r="B192" s="69"/>
      <c r="C192" s="69"/>
      <c r="D192" s="64"/>
      <c r="E192" s="188"/>
      <c r="F192" s="87"/>
      <c r="G192" s="189"/>
      <c r="H192" s="86"/>
      <c r="I192" s="189"/>
      <c r="J192" s="190"/>
      <c r="K192" s="191"/>
      <c r="L192" s="87"/>
      <c r="M192" s="191"/>
      <c r="N192" s="191"/>
      <c r="O192" s="64"/>
      <c r="U192" s="88"/>
      <c r="V192" s="88"/>
    </row>
    <row r="193" spans="2:23">
      <c r="B193" s="69"/>
      <c r="C193" s="69"/>
      <c r="D193" s="64"/>
      <c r="E193" s="188"/>
      <c r="F193" s="87"/>
      <c r="G193" s="189"/>
      <c r="H193" s="86"/>
      <c r="I193" s="189"/>
      <c r="J193" s="190"/>
      <c r="K193" s="191"/>
      <c r="L193" s="87"/>
      <c r="M193" s="191"/>
      <c r="N193" s="191"/>
      <c r="O193" s="64"/>
    </row>
    <row r="194" spans="2:23">
      <c r="B194" s="69"/>
      <c r="C194" s="69"/>
      <c r="D194" s="64"/>
      <c r="E194" s="188"/>
      <c r="F194" s="64"/>
      <c r="G194" s="64"/>
      <c r="H194" s="64"/>
      <c r="I194" s="64"/>
      <c r="J194" s="64"/>
      <c r="K194" s="205"/>
      <c r="L194" s="205"/>
      <c r="M194" s="205"/>
      <c r="N194" s="205"/>
      <c r="O194" s="64"/>
      <c r="U194" s="88"/>
    </row>
    <row r="195" spans="2:23">
      <c r="B195" s="69"/>
      <c r="C195" s="69"/>
      <c r="D195" s="64"/>
      <c r="E195" s="188"/>
      <c r="F195" s="64"/>
      <c r="G195" s="64"/>
      <c r="H195" s="64"/>
      <c r="I195" s="64"/>
      <c r="J195" s="64"/>
      <c r="K195" s="205"/>
      <c r="L195" s="205"/>
      <c r="M195" s="205"/>
      <c r="N195" s="205"/>
      <c r="O195" s="64"/>
      <c r="U195" s="88"/>
      <c r="V195" s="88"/>
    </row>
    <row r="196" spans="2:23">
      <c r="B196" s="69"/>
      <c r="C196" s="69"/>
      <c r="D196" s="64"/>
      <c r="E196" s="188"/>
      <c r="F196" s="87"/>
      <c r="G196" s="189"/>
      <c r="H196" s="86"/>
      <c r="I196" s="189"/>
      <c r="J196" s="190"/>
      <c r="K196" s="191"/>
      <c r="L196" s="87"/>
      <c r="M196" s="191"/>
      <c r="N196" s="191"/>
      <c r="O196" s="64"/>
      <c r="U196" s="88"/>
      <c r="V196" s="88"/>
    </row>
    <row r="197" spans="2:23">
      <c r="B197" s="69"/>
      <c r="C197" s="69"/>
      <c r="D197" s="64"/>
      <c r="E197" s="188"/>
      <c r="F197" s="87"/>
      <c r="G197" s="189"/>
      <c r="H197" s="86"/>
      <c r="I197" s="189"/>
      <c r="J197" s="190"/>
      <c r="K197" s="191"/>
      <c r="L197" s="87"/>
      <c r="M197" s="191"/>
      <c r="N197" s="191"/>
      <c r="O197" s="64"/>
      <c r="U197" s="12"/>
      <c r="V197" s="12"/>
    </row>
    <row r="198" spans="2:23">
      <c r="B198" s="69"/>
      <c r="C198" s="69"/>
      <c r="D198" s="64"/>
      <c r="E198" s="188"/>
      <c r="F198" s="64"/>
      <c r="G198" s="64"/>
      <c r="H198" s="64"/>
      <c r="I198" s="64"/>
      <c r="J198" s="64"/>
      <c r="K198" s="205"/>
      <c r="L198" s="87"/>
      <c r="M198" s="205"/>
      <c r="N198" s="191"/>
      <c r="O198" s="64"/>
      <c r="U198" s="88"/>
    </row>
    <row r="199" spans="2:23">
      <c r="B199" s="69"/>
      <c r="C199" s="69"/>
      <c r="D199" s="64"/>
      <c r="E199" s="188"/>
      <c r="F199" s="64"/>
      <c r="G199" s="64"/>
      <c r="H199" s="64"/>
      <c r="I199" s="64"/>
      <c r="J199" s="64"/>
      <c r="K199" s="205"/>
      <c r="L199" s="205"/>
      <c r="M199" s="205"/>
      <c r="N199" s="205"/>
      <c r="O199" s="64"/>
      <c r="U199" s="88"/>
      <c r="V199" s="12"/>
    </row>
    <row r="200" spans="2:23">
      <c r="B200" s="69"/>
      <c r="C200" s="69"/>
      <c r="D200" s="64"/>
      <c r="E200" s="188"/>
      <c r="F200" s="87"/>
      <c r="G200" s="189"/>
      <c r="H200" s="86"/>
      <c r="I200" s="189"/>
      <c r="J200" s="190"/>
      <c r="K200" s="191"/>
      <c r="L200" s="87"/>
      <c r="M200" s="191"/>
      <c r="N200" s="191"/>
      <c r="O200" s="64"/>
      <c r="U200" s="12"/>
      <c r="V200" s="12"/>
    </row>
    <row r="201" spans="2:23">
      <c r="B201" s="69"/>
      <c r="C201" s="69"/>
      <c r="D201" s="64"/>
      <c r="E201" s="188"/>
      <c r="F201" s="64"/>
      <c r="G201" s="64"/>
      <c r="H201" s="64"/>
      <c r="I201" s="64"/>
      <c r="J201" s="64"/>
      <c r="K201" s="205"/>
      <c r="L201" s="87"/>
      <c r="M201" s="205"/>
      <c r="N201" s="191"/>
      <c r="O201" s="64"/>
      <c r="U201" s="88"/>
    </row>
    <row r="202" spans="2:23">
      <c r="B202" s="69"/>
      <c r="C202" s="69"/>
      <c r="D202" s="64"/>
      <c r="E202" s="84"/>
      <c r="F202" s="87"/>
      <c r="G202" s="64"/>
      <c r="H202" s="86"/>
      <c r="I202" s="64"/>
      <c r="J202" s="64"/>
      <c r="K202" s="205"/>
      <c r="L202" s="87"/>
      <c r="M202" s="205"/>
      <c r="N202" s="191"/>
      <c r="O202" s="64"/>
      <c r="U202" s="88"/>
      <c r="V202" s="12"/>
    </row>
    <row r="203" spans="2:23">
      <c r="B203" s="69"/>
      <c r="C203" s="69"/>
      <c r="D203" s="64"/>
      <c r="E203" s="84"/>
      <c r="F203" s="87"/>
      <c r="G203" s="64"/>
      <c r="H203" s="86"/>
      <c r="I203" s="64"/>
      <c r="J203" s="64"/>
      <c r="K203" s="205"/>
      <c r="L203" s="87"/>
      <c r="M203" s="205"/>
      <c r="N203" s="191"/>
      <c r="O203" s="64"/>
      <c r="U203" s="88"/>
      <c r="V203" s="12"/>
    </row>
    <row r="204" spans="2:23">
      <c r="B204" s="69"/>
      <c r="C204" s="69"/>
      <c r="D204" s="64"/>
      <c r="E204" s="84"/>
      <c r="F204" s="87"/>
      <c r="G204" s="64"/>
      <c r="H204" s="86"/>
      <c r="I204" s="64"/>
      <c r="J204" s="64"/>
      <c r="K204" s="205"/>
      <c r="L204" s="87"/>
      <c r="M204" s="205"/>
      <c r="N204" s="191"/>
      <c r="O204" s="64"/>
    </row>
    <row r="205" spans="2:23">
      <c r="D205" s="196">
        <f>MEDIAN(D6:D204)</f>
        <v>1.1200000000000001</v>
      </c>
      <c r="E205" s="197"/>
      <c r="F205" s="198"/>
      <c r="G205" s="199"/>
      <c r="H205" s="200"/>
      <c r="I205" s="201"/>
      <c r="J205" s="202" t="e">
        <f>_xlfn.PERCENTILE.EXC(J6:J204,0.5)</f>
        <v>#NUM!</v>
      </c>
      <c r="K205" s="203" t="e">
        <f>_xlfn.PERCENTILE.EXC(K30:K204,0.5)</f>
        <v>#NUM!</v>
      </c>
      <c r="L205" s="36"/>
      <c r="M205" s="196" t="e">
        <f>_xlfn.PERCENTILE.EXC(M6:M204,0.5)</f>
        <v>#NUM!</v>
      </c>
      <c r="N205" s="204"/>
      <c r="O205" s="196" t="e">
        <f>_xlfn.PERCENTILE.EXC(O6:O204,0.5)</f>
        <v>#NUM!</v>
      </c>
      <c r="W205" s="2" t="str">
        <f>IF(COUNTIF($T$6:$T104, $T104)&gt;1, "Duplicate", "")</f>
        <v/>
      </c>
    </row>
    <row r="206" spans="2:23">
      <c r="W206" s="2" t="str">
        <f>IF(COUNTIF($T$6:$T105, $T105)&gt;1, "Duplicate", "")</f>
        <v/>
      </c>
    </row>
    <row r="207" spans="2:23">
      <c r="W207" s="2" t="str">
        <f>IF(COUNTIF($T$6:$T106, $T106)&gt;1, "Duplicate", "")</f>
        <v/>
      </c>
    </row>
    <row r="208" spans="2:23">
      <c r="W208" s="2" t="str">
        <f>IF(COUNTIF($T$6:$T107, $T107)&gt;1, "Duplicate", "")</f>
        <v/>
      </c>
    </row>
    <row r="210" spans="23:23">
      <c r="W210" s="2" t="str">
        <f>IF(COUNTIF($T$6:$T108, $T108)&gt;1, "Duplicate", "")</f>
        <v/>
      </c>
    </row>
    <row r="211" spans="23:23">
      <c r="W211" s="2" t="str">
        <f>IF(COUNTIF($T$6:$T109, $T109)&gt;1, "Duplicate", "")</f>
        <v/>
      </c>
    </row>
    <row r="213" spans="23:23">
      <c r="W213" s="2" t="str">
        <f>IF(COUNTIF($T$6:$T110, $T110)&gt;1, "Duplicate", "")</f>
        <v/>
      </c>
    </row>
    <row r="215" spans="23:23">
      <c r="W215" s="2" t="str">
        <f>IF(COUNTIF($T$6:$T111, $T111)&gt;1, "Duplicate", "")</f>
        <v/>
      </c>
    </row>
    <row r="216" spans="23:23">
      <c r="W216" s="2" t="str">
        <f>IF(COUNTIF($T$6:$T112, $T112)&gt;1, "Duplicate", "")</f>
        <v/>
      </c>
    </row>
    <row r="224" spans="23:23">
      <c r="W224" s="2" t="str">
        <f>IF(COUNTIF($T$6:$T113, $T113)&gt;1, "Duplicate", "")</f>
        <v/>
      </c>
    </row>
    <row r="225" spans="23:23">
      <c r="W225" s="2" t="str">
        <f>IF(COUNTIF($T$6:$T114, $T114)&gt;1, "Duplicate", "")</f>
        <v/>
      </c>
    </row>
    <row r="230" spans="23:23">
      <c r="W230" s="2" t="str">
        <f>IF(COUNTIF($T$6:$T115, $T115)&gt;1, "Duplicate", "")</f>
        <v/>
      </c>
    </row>
    <row r="232" spans="23:23">
      <c r="W232" s="2" t="str">
        <f>IF(COUNTIF($T$6:$T116, $T116)&gt;1, "Duplicate", "")</f>
        <v/>
      </c>
    </row>
    <row r="233" spans="23:23">
      <c r="W233" s="2" t="str">
        <f>IF(COUNTIF($T$6:$T117, $T117)&gt;1, "Duplicate", "")</f>
        <v/>
      </c>
    </row>
    <row r="234" spans="23:23">
      <c r="W234" s="2" t="str">
        <f>IF(COUNTIF($T$6:$T118, $T118)&gt;1, "Duplicate", "")</f>
        <v/>
      </c>
    </row>
    <row r="235" spans="23:23">
      <c r="W235" s="2" t="str">
        <f>IF(COUNTIF($T$6:$T119, $T119)&gt;1, "Duplicate", "")</f>
        <v/>
      </c>
    </row>
    <row r="238" spans="23:23">
      <c r="W238" s="2" t="str">
        <f>IF(COUNTIF($T$6:$T120, $T120)&gt;1, "Duplicate", "")</f>
        <v/>
      </c>
    </row>
    <row r="243" spans="23:23">
      <c r="W243" s="2" t="str">
        <f>IF(COUNTIF($T$6:$T121, $T121)&gt;1, "Duplicate", "")</f>
        <v/>
      </c>
    </row>
    <row r="246" spans="23:23">
      <c r="W246" s="2" t="str">
        <f>IF(COUNTIF($T$6:$T122, $T122)&gt;1, "Duplicate", "")</f>
        <v/>
      </c>
    </row>
    <row r="247" spans="23:23">
      <c r="W247" s="2" t="str">
        <f>IF(COUNTIF($T$6:$T123, $T123)&gt;1, "Duplicate", "")</f>
        <v/>
      </c>
    </row>
    <row r="248" spans="23:23">
      <c r="W248" s="2" t="str">
        <f>IF(COUNTIF($T$6:$T124, $T124)&gt;1, "Duplicate", "")</f>
        <v/>
      </c>
    </row>
    <row r="250" spans="23:23">
      <c r="W250" s="2" t="str">
        <f>IF(COUNTIF($T$6:$T125, $T125)&gt;1, "Duplicate", "")</f>
        <v/>
      </c>
    </row>
    <row r="251" spans="23:23">
      <c r="W251" s="2" t="str">
        <f>IF(COUNTIF($T$6:$T126, $T126)&gt;1, "Duplicate", "")</f>
        <v/>
      </c>
    </row>
    <row r="253" spans="23:23">
      <c r="W253" s="2" t="str">
        <f>IF(COUNTIF($T$6:$T127, $T127)&gt;1, "Duplicate", "")</f>
        <v/>
      </c>
    </row>
    <row r="254" spans="23:23">
      <c r="W254" s="2" t="str">
        <f>IF(COUNTIF($T$6:$T128, $T128)&gt;1, "Duplicate", "")</f>
        <v/>
      </c>
    </row>
    <row r="256" spans="23:23">
      <c r="W256" s="2" t="str">
        <f>IF(COUNTIF($T$6:$T129, $T129)&gt;1, "Duplicate", "")</f>
        <v/>
      </c>
    </row>
    <row r="257" spans="23:23">
      <c r="W257" s="2" t="str">
        <f>IF(COUNTIF($T$6:$T130, $T130)&gt;1, "Duplicate", "")</f>
        <v/>
      </c>
    </row>
    <row r="266" spans="23:23">
      <c r="W266" s="2" t="str">
        <f>IF(COUNTIF($T$6:$T131, $T131)&gt;1, "Duplicate", "")</f>
        <v/>
      </c>
    </row>
    <row r="267" spans="23:23">
      <c r="W267" s="2" t="str">
        <f>IF(COUNTIF($T$6:$T132, $T132)&gt;1, "Duplicate", "")</f>
        <v/>
      </c>
    </row>
    <row r="270" spans="23:23">
      <c r="W270" s="2" t="str">
        <f>IF(COUNTIF($T$6:$T133, $T133)&gt;1, "Duplicate", "")</f>
        <v/>
      </c>
    </row>
    <row r="278" spans="23:23">
      <c r="W278" s="2" t="str">
        <f>IF(COUNTIF($T$6:$T134, $T134)&gt;1, "Duplicate", "")</f>
        <v/>
      </c>
    </row>
    <row r="280" spans="23:23">
      <c r="W280" s="2" t="str">
        <f>IF(COUNTIF($T$6:$T135, $T135)&gt;1, "Duplicate", "")</f>
        <v/>
      </c>
    </row>
    <row r="281" spans="23:23">
      <c r="W281" s="2" t="str">
        <f>IF(COUNTIF($T$6:$T136, $T136)&gt;1, "Duplicate", "")</f>
        <v/>
      </c>
    </row>
    <row r="282" spans="23:23">
      <c r="W282" s="2" t="str">
        <f>IF(COUNTIF($T$6:$T137, $T137)&gt;1, "Duplicate", "")</f>
        <v/>
      </c>
    </row>
    <row r="283" spans="23:23">
      <c r="W283" s="2" t="str">
        <f>IF(COUNTIF($T$6:$T138, $T138)&gt;1, "Duplicate", "")</f>
        <v/>
      </c>
    </row>
    <row r="286" spans="23:23">
      <c r="W286" s="2" t="str">
        <f>IF(COUNTIF($T$6:$T139, $T139)&gt;1, "Duplicate", "")</f>
        <v/>
      </c>
    </row>
    <row r="287" spans="23:23">
      <c r="W287" s="2" t="str">
        <f>IF(COUNTIF($T$6:$T140, $T140)&gt;1, "Duplicate", "")</f>
        <v/>
      </c>
    </row>
    <row r="288" spans="23:23">
      <c r="W288" s="2" t="str">
        <f>IF(COUNTIF($T$6:$T141, $T141)&gt;1, "Duplicate", "")</f>
        <v/>
      </c>
    </row>
    <row r="290" spans="23:23">
      <c r="W290" s="2" t="str">
        <f>IF(COUNTIF($T$6:$T142, $T142)&gt;1, "Duplicate", "")</f>
        <v/>
      </c>
    </row>
    <row r="292" spans="23:23">
      <c r="W292" s="2" t="str">
        <f>IF(COUNTIF($T$6:$T143, $T143)&gt;1, "Duplicate", "")</f>
        <v/>
      </c>
    </row>
    <row r="293" spans="23:23">
      <c r="W293" s="2" t="str">
        <f>IF(COUNTIF($T$6:$T144, $T144)&gt;1, "Duplicate", "")</f>
        <v/>
      </c>
    </row>
    <row r="294" spans="23:23">
      <c r="W294" s="2" t="str">
        <f>IF(COUNTIF($T$6:$T145, $T145)&gt;1, "Duplicate", "")</f>
        <v/>
      </c>
    </row>
    <row r="299" spans="23:23">
      <c r="W299" s="2" t="str">
        <f>IF(COUNTIF($T$6:$T146, $T146)&gt;1, "Duplicate", "")</f>
        <v/>
      </c>
    </row>
    <row r="300" spans="23:23">
      <c r="W300" s="2" t="str">
        <f>IF(COUNTIF($T$6:$T147, $T147)&gt;1, "Duplicate", "")</f>
        <v/>
      </c>
    </row>
    <row r="303" spans="23:23">
      <c r="W303" s="2" t="str">
        <f>IF(COUNTIF($T$6:$T148, $T148)&gt;1, "Duplicate", "")</f>
        <v/>
      </c>
    </row>
    <row r="304" spans="23:23">
      <c r="W304" s="2" t="str">
        <f>IF(COUNTIF($T$6:$T149, $T149)&gt;1, "Duplicate", "")</f>
        <v/>
      </c>
    </row>
    <row r="307" spans="23:23">
      <c r="W307" s="2" t="str">
        <f>IF(COUNTIF($T$6:$T150, $T150)&gt;1, "Duplicate", "")</f>
        <v/>
      </c>
    </row>
    <row r="308" spans="23:23">
      <c r="W308" s="2" t="str">
        <f>IF(COUNTIF($T$6:$T151, $T151)&gt;1, "Duplicate", "")</f>
        <v/>
      </c>
    </row>
    <row r="312" spans="23:23">
      <c r="W312" s="2" t="str">
        <f>IF(COUNTIF($T$6:$T152, $T152)&gt;1, "Duplicate", "")</f>
        <v/>
      </c>
    </row>
    <row r="314" spans="23:23">
      <c r="W314" s="2" t="str">
        <f>IF(COUNTIF($T$6:$T153, $T153)&gt;1, "Duplicate", "")</f>
        <v/>
      </c>
    </row>
    <row r="315" spans="23:23">
      <c r="W315" s="2" t="str">
        <f>IF(COUNTIF($T$6:$T154, $T154)&gt;1, "Duplicate", "")</f>
        <v/>
      </c>
    </row>
    <row r="318" spans="23:23">
      <c r="W318" s="2" t="str">
        <f>IF(COUNTIF($T$6:$T155, $T155)&gt;1, "Duplicate", "")</f>
        <v/>
      </c>
    </row>
    <row r="319" spans="23:23">
      <c r="W319" s="2" t="str">
        <f>IF(COUNTIF($T$6:$T156, $T156)&gt;1, "Duplicate", "")</f>
        <v/>
      </c>
    </row>
    <row r="320" spans="23:23">
      <c r="W320" s="2" t="str">
        <f>IF(COUNTIF($T$6:$T157, $T157)&gt;1, "Duplicate", "")</f>
        <v/>
      </c>
    </row>
    <row r="321" spans="23:23">
      <c r="W321" s="2" t="str">
        <f>IF(COUNTIF($T$6:$T158, $T158)&gt;1, "Duplicate", "")</f>
        <v/>
      </c>
    </row>
    <row r="324" spans="23:23">
      <c r="W324" s="2" t="str">
        <f>IF(COUNTIF($T$6:$T159, $T159)&gt;1, "Duplicate", "")</f>
        <v/>
      </c>
    </row>
    <row r="325" spans="23:23">
      <c r="W325" s="2" t="str">
        <f>IF(COUNTIF($T$6:$T160, $T160)&gt;1, "Duplicate", "")</f>
        <v/>
      </c>
    </row>
    <row r="326" spans="23:23">
      <c r="W326" s="2" t="str">
        <f>IF(COUNTIF($T$6:$T161, $T161)&gt;1, "Duplicate", "")</f>
        <v/>
      </c>
    </row>
    <row r="330" spans="23:23">
      <c r="W330" s="2" t="str">
        <f>IF(COUNTIF($T$6:$T162, $T162)&gt;1, "Duplicate", "")</f>
        <v/>
      </c>
    </row>
    <row r="331" spans="23:23">
      <c r="W331" s="2" t="str">
        <f>IF(COUNTIF($T$6:$T163, $T163)&gt;1, "Duplicate", "")</f>
        <v/>
      </c>
    </row>
    <row r="333" spans="23:23">
      <c r="W333" s="2" t="str">
        <f>IF(COUNTIF($T$6:$T164, $T164)&gt;1, "Duplicate", "")</f>
        <v/>
      </c>
    </row>
    <row r="334" spans="23:23">
      <c r="W334" s="2" t="str">
        <f>IF(COUNTIF($T$6:$T165, $T165)&gt;1, "Duplicate", "")</f>
        <v/>
      </c>
    </row>
    <row r="335" spans="23:23">
      <c r="W335" s="2" t="str">
        <f>IF(COUNTIF($T$6:$T166, $T166)&gt;1, "Duplicate", "")</f>
        <v/>
      </c>
    </row>
    <row r="336" spans="23:23">
      <c r="W336" s="2" t="str">
        <f>IF(COUNTIF($T$6:$T167, $T167)&gt;1, "Duplicate", "")</f>
        <v/>
      </c>
    </row>
    <row r="337" spans="23:23">
      <c r="W337" s="2" t="str">
        <f>IF(COUNTIF($T$6:$T168, $T168)&gt;1, "Duplicate", "")</f>
        <v/>
      </c>
    </row>
    <row r="338" spans="23:23">
      <c r="W338" s="2" t="str">
        <f>IF(COUNTIF($T$6:$T169, $T169)&gt;1, "Duplicate", "")</f>
        <v/>
      </c>
    </row>
    <row r="339" spans="23:23">
      <c r="W339" s="2" t="str">
        <f>IF(COUNTIF($T$6:$T170, $T170)&gt;1, "Duplicate", "")</f>
        <v/>
      </c>
    </row>
    <row r="343" spans="23:23">
      <c r="W343" s="2" t="str">
        <f>IF(COUNTIF($T$6:$T171, $T171)&gt;1, "Duplicate", "")</f>
        <v/>
      </c>
    </row>
    <row r="344" spans="23:23">
      <c r="W344" s="2" t="str">
        <f>IF(COUNTIF($T$6:$T172, $T172)&gt;1, "Duplicate", "")</f>
        <v/>
      </c>
    </row>
    <row r="346" spans="23:23">
      <c r="W346" s="2" t="str">
        <f>IF(COUNTIF($T$6:$T173, $T173)&gt;1, "Duplicate", "")</f>
        <v/>
      </c>
    </row>
    <row r="348" spans="23:23">
      <c r="W348" s="2" t="str">
        <f>IF(COUNTIF($T$6:$T174, $T174)&gt;1, "Duplicate", "")</f>
        <v/>
      </c>
    </row>
    <row r="349" spans="23:23">
      <c r="W349" s="2" t="str">
        <f>IF(COUNTIF($T$6:$T175, $T175)&gt;1, "Duplicate", "")</f>
        <v/>
      </c>
    </row>
    <row r="351" spans="23:23">
      <c r="W351" s="2" t="str">
        <f>IF(COUNTIF($T$6:$T176, $T176)&gt;1, "Duplicate", "")</f>
        <v/>
      </c>
    </row>
    <row r="352" spans="23:23">
      <c r="W352" s="2" t="str">
        <f>IF(COUNTIF($T$6:$T177, $T177)&gt;1, "Duplicate", "")</f>
        <v/>
      </c>
    </row>
    <row r="354" spans="23:23">
      <c r="W354" s="2" t="str">
        <f>IF(COUNTIF($T$6:$T178, $T178)&gt;1, "Duplicate", "")</f>
        <v/>
      </c>
    </row>
    <row r="357" spans="23:23">
      <c r="W357" s="2" t="str">
        <f>IF(COUNTIF($T$6:$T179, $T179)&gt;1, "Duplicate", "")</f>
        <v/>
      </c>
    </row>
    <row r="359" spans="23:23">
      <c r="W359" s="2" t="str">
        <f>IF(COUNTIF($T$6:$T180, $T180)&gt;1, "Duplicate", "")</f>
        <v/>
      </c>
    </row>
    <row r="361" spans="23:23">
      <c r="W361" s="2" t="str">
        <f>IF(COUNTIF($T$6:$T181, $T181)&gt;1, "Duplicate", "")</f>
        <v/>
      </c>
    </row>
    <row r="362" spans="23:23">
      <c r="W362" s="2" t="str">
        <f>IF(COUNTIF($T$6:$T182, $T182)&gt;1, "Duplicate", "")</f>
        <v/>
      </c>
    </row>
    <row r="364" spans="23:23">
      <c r="W364" s="2" t="str">
        <f>IF(COUNTIF($T$6:$T183, $T183)&gt;1, "Duplicate", "")</f>
        <v/>
      </c>
    </row>
    <row r="365" spans="23:23">
      <c r="W365" s="2" t="str">
        <f>IF(COUNTIF($T$6:$T184, $T184)&gt;1, "Duplicate", "")</f>
        <v/>
      </c>
    </row>
    <row r="366" spans="23:23">
      <c r="W366" s="2" t="str">
        <f>IF(COUNTIF($T$6:$T185, $T185)&gt;1, "Duplicate", "")</f>
        <v/>
      </c>
    </row>
    <row r="367" spans="23:23">
      <c r="W367" s="2" t="str">
        <f>IF(COUNTIF($T$6:$T186, $T186)&gt;1, "Duplicate", "")</f>
        <v/>
      </c>
    </row>
    <row r="368" spans="23:23">
      <c r="W368" s="2" t="str">
        <f>IF(COUNTIF($T$6:$T187, $T187)&gt;1, "Duplicate", "")</f>
        <v/>
      </c>
    </row>
    <row r="369" spans="23:23">
      <c r="W369" s="2" t="str">
        <f>IF(COUNTIF($T$6:$T188, $T188)&gt;1, "Duplicate", "")</f>
        <v/>
      </c>
    </row>
    <row r="370" spans="23:23">
      <c r="W370" s="2" t="str">
        <f>IF(COUNTIF($T$6:$T189, $T189)&gt;1, "Duplicate", "")</f>
        <v/>
      </c>
    </row>
    <row r="371" spans="23:23">
      <c r="W371" s="2" t="str">
        <f>IF(COUNTIF($T$6:$T190, $T190)&gt;1, "Duplicate", "")</f>
        <v/>
      </c>
    </row>
    <row r="372" spans="23:23">
      <c r="W372" s="2" t="str">
        <f>IF(COUNTIF($T$6:$T191, $T191)&gt;1, "Duplicate", "")</f>
        <v/>
      </c>
    </row>
    <row r="373" spans="23:23">
      <c r="W373" s="2" t="str">
        <f>IF(COUNTIF($T$6:$T192, $T192)&gt;1, "Duplicate", "")</f>
        <v/>
      </c>
    </row>
    <row r="375" spans="23:23">
      <c r="W375" s="2" t="str">
        <f>IF(COUNTIF($T$6:$T193, $T193)&gt;1, "Duplicate", "")</f>
        <v/>
      </c>
    </row>
    <row r="376" spans="23:23">
      <c r="W376" s="2" t="str">
        <f>IF(COUNTIF($T$6:$T194, $T194)&gt;1, "Duplicate", "")</f>
        <v/>
      </c>
    </row>
    <row r="379" spans="23:23">
      <c r="W379" s="2" t="str">
        <f>IF(COUNTIF($T$6:$T195, $T195)&gt;1, "Duplicate", "")</f>
        <v/>
      </c>
    </row>
    <row r="380" spans="23:23">
      <c r="W380" s="2" t="str">
        <f>IF(COUNTIF($T$6:$T196, $T196)&gt;1, "Duplicate", "")</f>
        <v/>
      </c>
    </row>
    <row r="381" spans="23:23">
      <c r="W381" s="2" t="str">
        <f>IF(COUNTIF($T$6:$T197, $T197)&gt;1, "Duplicate", "")</f>
        <v/>
      </c>
    </row>
    <row r="382" spans="23:23">
      <c r="W382" s="2" t="str">
        <f>IF(COUNTIF($T$6:$T198, $T198)&gt;1, "Duplicate", "")</f>
        <v/>
      </c>
    </row>
    <row r="384" spans="23:23">
      <c r="W384" s="2" t="str">
        <f>IF(COUNTIF($T$6:$T199, $T199)&gt;1, "Duplicate", "")</f>
        <v/>
      </c>
    </row>
    <row r="385" spans="23:23">
      <c r="W385" s="2" t="str">
        <f>IF(COUNTIF($T$6:$T200, $T200)&gt;1, "Duplicate", "")</f>
        <v/>
      </c>
    </row>
    <row r="386" spans="23:23">
      <c r="W386" s="2" t="str">
        <f>IF(COUNTIF($T$6:$T201, $T201)&gt;1, "Duplicate", "")</f>
        <v/>
      </c>
    </row>
    <row r="389" spans="23:23">
      <c r="W389" s="2" t="str">
        <f>IF(COUNTIF($T$6:$T202, $T202)&gt;1, "Duplicate", "")</f>
        <v/>
      </c>
    </row>
    <row r="392" spans="23:23">
      <c r="W392" s="2" t="str">
        <f>IF(COUNTIF($T$6:$T203, $T203)&gt;1, "Duplicate", "")</f>
        <v/>
      </c>
    </row>
    <row r="393" spans="23:23">
      <c r="W393" s="2" t="str">
        <f>IF(COUNTIF($T$6:$T204, $T204)&gt;1, "Duplicate", "")</f>
        <v/>
      </c>
    </row>
    <row r="394" spans="23:23">
      <c r="W394" s="2" t="str">
        <f>IF(COUNTIF($T$6:$T205, $T205)&gt;1, "Duplicate", "")</f>
        <v/>
      </c>
    </row>
    <row r="396" spans="23:23">
      <c r="W396" s="2" t="str">
        <f>IF(COUNTIF($T$6:$T206, $T206)&gt;1, "Duplicate", "")</f>
        <v/>
      </c>
    </row>
    <row r="401" spans="23:23">
      <c r="W401" s="2" t="str">
        <f>IF(COUNTIF($T$6:$T207, $T207)&gt;1, "Duplicate", "")</f>
        <v/>
      </c>
    </row>
    <row r="403" spans="23:23">
      <c r="W403" s="2" t="str">
        <f>IF(COUNTIF($T$6:$T208, $T208)&gt;1, "Duplicate", "")</f>
        <v/>
      </c>
    </row>
    <row r="404" spans="23:23">
      <c r="W404" s="2" t="str">
        <f>IF(COUNTIF($T$6:$T209, $T209)&gt;1, "Duplicate", "")</f>
        <v/>
      </c>
    </row>
    <row r="406" spans="23:23">
      <c r="W406" s="2" t="str">
        <f>IF(COUNTIF($T$6:$T210, $T210)&gt;1, "Duplicate", "")</f>
        <v/>
      </c>
    </row>
    <row r="407" spans="23:23">
      <c r="W407" s="2" t="str">
        <f>IF(COUNTIF($T$6:$T211, $T211)&gt;1, "Duplicate", "")</f>
        <v/>
      </c>
    </row>
    <row r="408" spans="23:23">
      <c r="W408" s="2" t="str">
        <f>IF(COUNTIF($T$6:$T212, $T212)&gt;1, "Duplicate", "")</f>
        <v/>
      </c>
    </row>
    <row r="409" spans="23:23">
      <c r="W409" s="2" t="str">
        <f>IF(COUNTIF($T$6:$T213, $T213)&gt;1, "Duplicate", "")</f>
        <v/>
      </c>
    </row>
    <row r="411" spans="23:23">
      <c r="W411" s="2" t="str">
        <f>IF(COUNTIF($T$6:$T214, $T214)&gt;1, "Duplicate", "")</f>
        <v/>
      </c>
    </row>
    <row r="412" spans="23:23">
      <c r="W412" s="2" t="str">
        <f>IF(COUNTIF($T$6:$T215, $T215)&gt;1, "Duplicate", "")</f>
        <v/>
      </c>
    </row>
    <row r="414" spans="23:23">
      <c r="W414" s="2" t="str">
        <f>IF(COUNTIF($T$6:$T216, $T216)&gt;1, "Duplicate", "")</f>
        <v/>
      </c>
    </row>
    <row r="418" spans="23:23">
      <c r="W418" s="2" t="str">
        <f>IF(COUNTIF($T$6:$T217, $T217)&gt;1, "Duplicate", "")</f>
        <v/>
      </c>
    </row>
    <row r="424" spans="23:23">
      <c r="W424" s="2" t="str">
        <f>IF(COUNTIF($T$6:$T218, $T218)&gt;1, "Duplicate", "")</f>
        <v/>
      </c>
    </row>
    <row r="426" spans="23:23">
      <c r="W426" s="2" t="str">
        <f>IF(COUNTIF($T$6:$T219, $T219)&gt;1, "Duplicate", "")</f>
        <v/>
      </c>
    </row>
    <row r="429" spans="23:23">
      <c r="W429" s="2" t="str">
        <f>IF(COUNTIF($T$6:$T220, $T220)&gt;1, "Duplicate", "")</f>
        <v/>
      </c>
    </row>
    <row r="430" spans="23:23">
      <c r="W430" s="2" t="str">
        <f>IF(COUNTIF($T$6:$T221, $T221)&gt;1, "Duplicate", "")</f>
        <v/>
      </c>
    </row>
    <row r="431" spans="23:23">
      <c r="W431" s="2" t="str">
        <f>IF(COUNTIF($T$6:$T222, $T222)&gt;1, "Duplicate", "")</f>
        <v/>
      </c>
    </row>
    <row r="433" spans="23:23">
      <c r="W433" s="2" t="str">
        <f>IF(COUNTIF($T$6:$T223, $T223)&gt;1, "Duplicate", "")</f>
        <v/>
      </c>
    </row>
    <row r="434" spans="23:23">
      <c r="W434" s="2" t="str">
        <f>IF(COUNTIF($T$6:$T224, $T224)&gt;1, "Duplicate", "")</f>
        <v/>
      </c>
    </row>
    <row r="439" spans="23:23">
      <c r="W439" s="2" t="str">
        <f>IF(COUNTIF($T$6:$T225, $T225)&gt;1, "Duplicate", "")</f>
        <v/>
      </c>
    </row>
    <row r="440" spans="23:23">
      <c r="W440" s="2" t="str">
        <f>IF(COUNTIF($T$6:$T226, $T226)&gt;1, "Duplicate", "")</f>
        <v/>
      </c>
    </row>
    <row r="442" spans="23:23">
      <c r="W442" s="2" t="str">
        <f>IF(COUNTIF($T$6:$T227, $T227)&gt;1, "Duplicate", "")</f>
        <v/>
      </c>
    </row>
    <row r="443" spans="23:23">
      <c r="W443" s="2" t="str">
        <f>IF(COUNTIF($T$6:$T228, $T228)&gt;1, "Duplicate", "")</f>
        <v/>
      </c>
    </row>
    <row r="445" spans="23:23">
      <c r="W445" s="2" t="str">
        <f>IF(COUNTIF($T$6:$T229, $T229)&gt;1, "Duplicate", "")</f>
        <v/>
      </c>
    </row>
    <row r="447" spans="23:23">
      <c r="W447" s="2" t="str">
        <f>IF(COUNTIF($T$6:$T230, $T230)&gt;1, "Duplicate", "")</f>
        <v/>
      </c>
    </row>
    <row r="448" spans="23:23">
      <c r="W448" s="2" t="str">
        <f>IF(COUNTIF($T$6:$T231, $T231)&gt;1, "Duplicate", "")</f>
        <v/>
      </c>
    </row>
    <row r="451" spans="23:23">
      <c r="W451" s="2" t="str">
        <f>IF(COUNTIF($T$6:$T232, $T232)&gt;1, "Duplicate", "")</f>
        <v/>
      </c>
    </row>
    <row r="452" spans="23:23">
      <c r="W452" s="2" t="str">
        <f>IF(COUNTIF($T$6:$T233, $T233)&gt;1, "Duplicate", "")</f>
        <v/>
      </c>
    </row>
    <row r="454" spans="23:23">
      <c r="W454" s="2" t="str">
        <f>IF(COUNTIF($T$6:$T234, $T234)&gt;1, "Duplicate", "")</f>
        <v/>
      </c>
    </row>
    <row r="461" spans="23:23">
      <c r="W461" s="2" t="str">
        <f>IF(COUNTIF($T$6:$T235, $T235)&gt;1, "Duplicate", "")</f>
        <v/>
      </c>
    </row>
    <row r="462" spans="23:23">
      <c r="W462" s="2" t="str">
        <f>IF(COUNTIF($T$6:$T236, $T236)&gt;1, "Duplicate", "")</f>
        <v/>
      </c>
    </row>
    <row r="469" spans="23:23">
      <c r="W469" s="2" t="str">
        <f>IF(COUNTIF($T$6:$T237, $T237)&gt;1, "Duplicate", "")</f>
        <v/>
      </c>
    </row>
    <row r="470" spans="23:23">
      <c r="W470" s="2" t="str">
        <f>IF(COUNTIF($T$6:$T238, $T238)&gt;1, "Duplicate", "")</f>
        <v/>
      </c>
    </row>
    <row r="471" spans="23:23">
      <c r="W471" s="2" t="str">
        <f>IF(COUNTIF($T$6:$T239, $T239)&gt;1, "Duplicate", "")</f>
        <v/>
      </c>
    </row>
    <row r="474" spans="23:23">
      <c r="W474" s="2" t="str">
        <f>IF(COUNTIF($T$6:$T240, $T240)&gt;1, "Duplicate", "")</f>
        <v/>
      </c>
    </row>
    <row r="479" spans="23:23">
      <c r="W479" s="2" t="str">
        <f>IF(COUNTIF($T$6:$T241, $T241)&gt;1, "Duplicate", "")</f>
        <v/>
      </c>
    </row>
    <row r="480" spans="23:23">
      <c r="W480" s="2" t="str">
        <f>IF(COUNTIF($T$6:$T242, $T242)&gt;1, "Duplicate", "")</f>
        <v/>
      </c>
    </row>
    <row r="485" spans="23:23">
      <c r="W485" s="2" t="str">
        <f>IF(COUNTIF($T$6:$T243, $T243)&gt;1, "Duplicate", "")</f>
        <v/>
      </c>
    </row>
    <row r="486" spans="23:23">
      <c r="W486" s="2" t="str">
        <f>IF(COUNTIF($T$6:$T244, $T244)&gt;1, "Duplicate", "")</f>
        <v/>
      </c>
    </row>
    <row r="491" spans="23:23">
      <c r="W491" s="2" t="str">
        <f>IF(COUNTIF($T$6:$T245, $T245)&gt;1, "Duplicate", "")</f>
        <v/>
      </c>
    </row>
    <row r="500" spans="23:23">
      <c r="W500" s="2" t="str">
        <f>IF(COUNTIF($T$6:$T246, $T246)&gt;1, "Duplicate", "")</f>
        <v/>
      </c>
    </row>
    <row r="502" spans="23:23">
      <c r="W502" s="2" t="str">
        <f>IF(COUNTIF($T$6:$T247, $T247)&gt;1, "Duplicate", "")</f>
        <v/>
      </c>
    </row>
    <row r="503" spans="23:23">
      <c r="W503" s="2" t="str">
        <f>IF(COUNTIF($T$6:$T248, $T248)&gt;1, "Duplicate", "")</f>
        <v/>
      </c>
    </row>
    <row r="504" spans="23:23">
      <c r="W504" s="2" t="str">
        <f>IF(COUNTIF($T$6:$T249, $T249)&gt;1, "Duplicate", "")</f>
        <v/>
      </c>
    </row>
    <row r="516" spans="23:23">
      <c r="W516" s="2" t="str">
        <f>IF(COUNTIF($T$6:$T250, $T250)&gt;1, "Duplicate", "")</f>
        <v/>
      </c>
    </row>
    <row r="546" spans="23:23">
      <c r="W546" s="2" t="str">
        <f>IF(COUNTIF($T$6:$T251, $T251)&gt;1, "Duplicate", "")</f>
        <v/>
      </c>
    </row>
    <row r="549" spans="23:23">
      <c r="W549" s="2" t="str">
        <f>IF(COUNTIF($T$6:$T252, $T252)&gt;1, "Duplicate", "")</f>
        <v/>
      </c>
    </row>
    <row r="556" spans="23:23">
      <c r="W556" s="2" t="str">
        <f>IF(COUNTIF($T$6:$T253, $T253)&gt;1, "Duplicate", "")</f>
        <v/>
      </c>
    </row>
    <row r="561" spans="23:23">
      <c r="W561" s="2" t="str">
        <f>IF(COUNTIF($T$6:$T254, $T254)&gt;1, "Duplicate", "")</f>
        <v/>
      </c>
    </row>
    <row r="581" spans="23:23">
      <c r="W581" s="2" t="str">
        <f>IF(COUNTIF($T$6:$T255, $T255)&gt;1, "Duplicate", "")</f>
        <v/>
      </c>
    </row>
    <row r="622" spans="23:23">
      <c r="W622" s="2" t="str">
        <f>IF(COUNTIF($T$6:$T256, $T256)&gt;1, "Duplicate", "")</f>
        <v/>
      </c>
    </row>
    <row r="623" spans="23:23">
      <c r="W623" s="2" t="str">
        <f>IF(COUNTIF($T$6:$T257, $T257)&gt;1, "Duplicate", "")</f>
        <v/>
      </c>
    </row>
    <row r="624" spans="23:23">
      <c r="W624" s="2" t="str">
        <f>IF(COUNTIF($T$6:$T258, $T258)&gt;1, "Duplicate", "")</f>
        <v/>
      </c>
    </row>
    <row r="625" spans="23:23">
      <c r="W625" s="2" t="str">
        <f>IF(COUNTIF($T$6:$T259, $T259)&gt;1, "Duplicate", "")</f>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8" t="s">
        <v>251</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38"/>
  <sheetViews>
    <sheetView zoomScaleNormal="100" workbookViewId="0"/>
  </sheetViews>
  <sheetFormatPr defaultRowHeight="12"/>
  <cols>
    <col min="1" max="1" width="2" style="51" customWidth="1"/>
    <col min="2" max="2" width="27.7109375" style="51" customWidth="1"/>
    <col min="3" max="8" width="11.7109375" style="51" customWidth="1"/>
    <col min="9" max="9" width="7.7109375" style="51" customWidth="1"/>
    <col min="10" max="12" width="11.7109375" style="51" customWidth="1"/>
    <col min="13" max="13" width="13.140625" style="51" customWidth="1"/>
    <col min="14" max="23" width="9.140625" style="51" customWidth="1"/>
    <col min="24" max="24" width="9.28515625" style="51" customWidth="1"/>
    <col min="25" max="25" width="9.42578125" style="51" customWidth="1"/>
    <col min="26" max="26" width="10" style="51" customWidth="1"/>
    <col min="27" max="27" width="11.42578125" style="51" customWidth="1"/>
    <col min="28" max="28" width="9.42578125" style="51" bestFit="1" customWidth="1" collapsed="1"/>
    <col min="29" max="16384" width="9.140625" style="51"/>
  </cols>
  <sheetData>
    <row r="1" spans="1:27" s="50" customFormat="1" ht="15" customHeight="1">
      <c r="B1" s="15" t="s">
        <v>220</v>
      </c>
      <c r="C1" s="49"/>
      <c r="D1" s="49"/>
      <c r="E1" s="49"/>
      <c r="F1" s="49"/>
      <c r="G1" s="49"/>
      <c r="H1" s="49"/>
      <c r="I1" s="49"/>
    </row>
    <row r="2" spans="1:27" ht="12" customHeight="1"/>
    <row r="3" spans="1:27" ht="12" customHeight="1">
      <c r="A3" s="53"/>
      <c r="B3" s="153" t="s">
        <v>220</v>
      </c>
      <c r="C3" s="153"/>
      <c r="D3" s="153"/>
      <c r="E3" s="153"/>
      <c r="F3" s="153"/>
      <c r="G3" s="153"/>
      <c r="H3" s="153"/>
      <c r="I3" s="235"/>
    </row>
    <row r="4" spans="1:27" ht="12" customHeight="1" thickBot="1">
      <c r="A4" s="57"/>
      <c r="B4" s="227" t="str">
        <f>Drivers!$C$5&amp;" in million"</f>
        <v>$ in million</v>
      </c>
      <c r="C4" s="228">
        <v>43465</v>
      </c>
      <c r="D4" s="228">
        <f t="shared" ref="D4:G4" si="0">EDATE(C4,12)</f>
        <v>43830</v>
      </c>
      <c r="E4" s="228">
        <f t="shared" si="0"/>
        <v>44196</v>
      </c>
      <c r="F4" s="228">
        <f t="shared" si="0"/>
        <v>44561</v>
      </c>
      <c r="G4" s="228">
        <f t="shared" si="0"/>
        <v>44926</v>
      </c>
      <c r="H4" s="343" t="s">
        <v>282</v>
      </c>
      <c r="I4" s="239"/>
      <c r="K4" s="232"/>
      <c r="L4" s="232"/>
      <c r="M4" s="232"/>
    </row>
    <row r="5" spans="1:27" ht="12" customHeight="1">
      <c r="A5" s="57"/>
      <c r="B5" s="233" t="s">
        <v>221</v>
      </c>
      <c r="C5" s="264"/>
      <c r="D5" s="264"/>
      <c r="E5" s="264"/>
      <c r="F5" s="264"/>
      <c r="G5" s="264"/>
      <c r="H5" s="264"/>
      <c r="I5" s="243"/>
      <c r="J5" s="90"/>
      <c r="K5" s="90"/>
      <c r="L5" s="90"/>
      <c r="M5" s="90"/>
      <c r="N5" s="56"/>
      <c r="O5" s="56"/>
    </row>
    <row r="6" spans="1:27" ht="12" customHeight="1">
      <c r="A6" s="57"/>
      <c r="B6" s="265" t="s">
        <v>225</v>
      </c>
      <c r="C6" s="175">
        <v>256515</v>
      </c>
      <c r="D6" s="269">
        <v>261330</v>
      </c>
      <c r="E6" s="269">
        <v>279354</v>
      </c>
      <c r="F6" s="269">
        <v>294127</v>
      </c>
      <c r="G6" s="269">
        <v>292332</v>
      </c>
      <c r="H6" s="175">
        <v>303082</v>
      </c>
      <c r="I6" s="243"/>
      <c r="J6" s="266"/>
      <c r="K6" s="247"/>
      <c r="L6" s="41"/>
      <c r="M6" s="240"/>
      <c r="N6" s="56"/>
      <c r="O6" s="56"/>
    </row>
    <row r="7" spans="1:27" ht="12" customHeight="1">
      <c r="B7" s="265" t="s">
        <v>226</v>
      </c>
      <c r="C7" s="269">
        <v>-26068</v>
      </c>
      <c r="D7" s="269">
        <v>-26993</v>
      </c>
      <c r="E7" s="269">
        <v>-30063</v>
      </c>
      <c r="F7" s="269">
        <v>-34838</v>
      </c>
      <c r="G7" s="269">
        <v>-27404</v>
      </c>
      <c r="H7" s="269">
        <v>-27404.000000000015</v>
      </c>
      <c r="I7" s="243"/>
      <c r="J7" s="243"/>
      <c r="K7" s="247"/>
      <c r="L7" s="41"/>
      <c r="M7" s="240"/>
      <c r="N7" s="56"/>
      <c r="O7" s="56"/>
    </row>
    <row r="8" spans="1:27" ht="12" customHeight="1">
      <c r="A8" s="57"/>
      <c r="B8" s="271" t="s">
        <v>288</v>
      </c>
      <c r="C8" s="273">
        <f t="shared" ref="C8:D8" si="1">SUM(C6:C7)</f>
        <v>230447</v>
      </c>
      <c r="D8" s="273">
        <f t="shared" si="1"/>
        <v>234337</v>
      </c>
      <c r="E8" s="273">
        <f>SUM(E6:E7)</f>
        <v>249291</v>
      </c>
      <c r="F8" s="273">
        <f t="shared" ref="F8:H8" si="2">SUM(F6:F7)</f>
        <v>259289</v>
      </c>
      <c r="G8" s="273">
        <f t="shared" si="2"/>
        <v>264928</v>
      </c>
      <c r="H8" s="273">
        <f t="shared" si="2"/>
        <v>275678</v>
      </c>
      <c r="I8" s="243"/>
      <c r="J8" s="243"/>
      <c r="K8" s="247"/>
      <c r="L8" s="41"/>
      <c r="M8" s="240"/>
      <c r="N8" s="56"/>
      <c r="O8" s="56"/>
    </row>
    <row r="9" spans="1:27" ht="12" customHeight="1">
      <c r="A9" s="57"/>
      <c r="I9" s="243"/>
      <c r="J9" s="243"/>
      <c r="K9" s="247"/>
      <c r="L9" s="41"/>
      <c r="M9" s="240"/>
      <c r="N9" s="56"/>
      <c r="O9" s="56"/>
    </row>
    <row r="10" spans="1:27">
      <c r="A10" s="54"/>
      <c r="B10" s="265" t="s">
        <v>227</v>
      </c>
      <c r="C10" s="269">
        <v>-47471</v>
      </c>
      <c r="D10" s="269">
        <v>-47823</v>
      </c>
      <c r="E10" s="269">
        <v>-49248</v>
      </c>
      <c r="F10" s="269">
        <v>-50315</v>
      </c>
      <c r="G10" s="269">
        <v>-53501</v>
      </c>
      <c r="H10" s="269">
        <v>-52144</v>
      </c>
      <c r="I10" s="243"/>
      <c r="J10" s="243"/>
      <c r="K10" s="247"/>
      <c r="L10" s="41"/>
      <c r="M10" s="240"/>
      <c r="N10" s="56"/>
      <c r="O10" s="56"/>
    </row>
    <row r="11" spans="1:27" ht="12" customHeight="1">
      <c r="A11" s="57"/>
      <c r="B11" s="265" t="s">
        <v>228</v>
      </c>
      <c r="C11" s="269">
        <v>-748</v>
      </c>
      <c r="D11" s="269">
        <v>-819</v>
      </c>
      <c r="E11" s="269">
        <v>-904</v>
      </c>
      <c r="F11" s="269">
        <v>-882</v>
      </c>
      <c r="G11" s="269">
        <v>-1224</v>
      </c>
      <c r="H11" s="269">
        <v>-2191</v>
      </c>
      <c r="O11" s="56"/>
    </row>
    <row r="12" spans="1:27">
      <c r="B12" s="265" t="s">
        <v>229</v>
      </c>
      <c r="C12" s="269">
        <v>-1034</v>
      </c>
      <c r="D12" s="269">
        <v>-323</v>
      </c>
      <c r="E12" s="269">
        <v>3486</v>
      </c>
      <c r="F12" s="269">
        <v>3351</v>
      </c>
      <c r="G12" s="269">
        <v>6221</v>
      </c>
      <c r="H12" s="269">
        <v>3045</v>
      </c>
      <c r="O12" s="56"/>
    </row>
    <row r="13" spans="1:27">
      <c r="A13" s="57"/>
      <c r="B13" s="265" t="s">
        <v>230</v>
      </c>
      <c r="C13" s="269">
        <v>2280</v>
      </c>
      <c r="D13" s="269">
        <v>2381</v>
      </c>
      <c r="E13" s="269">
        <v>2453</v>
      </c>
      <c r="F13" s="269">
        <v>2499</v>
      </c>
      <c r="G13" s="269">
        <v>2510</v>
      </c>
      <c r="H13" s="269">
        <v>2754</v>
      </c>
      <c r="O13" s="56"/>
    </row>
    <row r="14" spans="1:27">
      <c r="B14" s="271" t="s">
        <v>285</v>
      </c>
      <c r="C14" s="273">
        <f t="shared" ref="C14:H14" si="3">C8+C10+C11+C12+C13</f>
        <v>183474</v>
      </c>
      <c r="D14" s="273">
        <f t="shared" si="3"/>
        <v>187753</v>
      </c>
      <c r="E14" s="273">
        <f t="shared" si="3"/>
        <v>205078</v>
      </c>
      <c r="F14" s="273">
        <f t="shared" si="3"/>
        <v>213942</v>
      </c>
      <c r="G14" s="273">
        <f t="shared" si="3"/>
        <v>218934</v>
      </c>
      <c r="H14" s="273">
        <f t="shared" si="3"/>
        <v>227142</v>
      </c>
      <c r="I14" s="243"/>
      <c r="J14" s="243"/>
      <c r="K14" s="247"/>
      <c r="L14" s="41"/>
      <c r="M14" s="240"/>
      <c r="N14" s="56"/>
      <c r="O14" s="56"/>
    </row>
    <row r="15" spans="1:27">
      <c r="I15" s="243"/>
      <c r="J15" s="243"/>
      <c r="K15" s="247"/>
      <c r="L15" s="41"/>
      <c r="M15" s="240"/>
      <c r="N15" s="56"/>
      <c r="O15" s="56"/>
      <c r="P15" s="56"/>
      <c r="Q15" s="56"/>
      <c r="R15" s="56"/>
      <c r="S15" s="56"/>
      <c r="T15" s="56"/>
      <c r="U15" s="56"/>
    </row>
    <row r="16" spans="1:27">
      <c r="B16" s="265" t="s">
        <v>235</v>
      </c>
      <c r="C16" s="269">
        <v>26068</v>
      </c>
      <c r="D16" s="269">
        <v>26993</v>
      </c>
      <c r="E16" s="269">
        <v>30063</v>
      </c>
      <c r="F16" s="269">
        <v>34838</v>
      </c>
      <c r="G16" s="269">
        <v>27404</v>
      </c>
      <c r="H16" s="269">
        <v>27404</v>
      </c>
      <c r="I16" s="187"/>
      <c r="J16" s="243"/>
      <c r="K16" s="247"/>
      <c r="L16" s="41"/>
      <c r="M16" s="240"/>
      <c r="N16" s="56"/>
      <c r="O16" s="56"/>
      <c r="P16" s="56"/>
      <c r="Q16" s="56"/>
      <c r="R16" s="56"/>
      <c r="S16" s="56"/>
      <c r="T16" s="56"/>
      <c r="U16" s="56"/>
      <c r="V16" s="56"/>
      <c r="W16" s="56"/>
      <c r="X16" s="56"/>
      <c r="Y16" s="56"/>
      <c r="Z16" s="56"/>
      <c r="AA16" s="56"/>
    </row>
    <row r="17" spans="1:29">
      <c r="B17" s="265" t="s">
        <v>231</v>
      </c>
      <c r="C17" s="269">
        <v>-449</v>
      </c>
      <c r="D17" s="269">
        <v>-314</v>
      </c>
      <c r="E17" s="269">
        <v>-297</v>
      </c>
      <c r="F17" s="269">
        <v>-2618</v>
      </c>
      <c r="G17" s="269">
        <v>-707</v>
      </c>
      <c r="H17" s="269">
        <v>-722</v>
      </c>
      <c r="I17" s="40"/>
      <c r="J17" s="243"/>
      <c r="K17" s="247"/>
      <c r="L17" s="41"/>
      <c r="M17" s="240"/>
      <c r="N17" s="56"/>
      <c r="O17" s="56"/>
      <c r="P17" s="56"/>
      <c r="Q17" s="56"/>
      <c r="R17" s="56"/>
      <c r="S17" s="56"/>
      <c r="T17" s="56"/>
      <c r="U17" s="56"/>
      <c r="V17" s="56"/>
      <c r="W17" s="56"/>
      <c r="X17" s="56"/>
      <c r="Y17" s="56"/>
      <c r="Z17" s="56"/>
      <c r="AA17" s="56"/>
    </row>
    <row r="18" spans="1:29">
      <c r="A18" s="57"/>
      <c r="B18" s="271" t="s">
        <v>286</v>
      </c>
      <c r="C18" s="273">
        <f t="shared" ref="C18:H18" si="4">C14+C16+C17</f>
        <v>209093</v>
      </c>
      <c r="D18" s="273">
        <f t="shared" si="4"/>
        <v>214432</v>
      </c>
      <c r="E18" s="273">
        <f t="shared" si="4"/>
        <v>234844</v>
      </c>
      <c r="F18" s="273">
        <f t="shared" si="4"/>
        <v>246162</v>
      </c>
      <c r="G18" s="273">
        <f t="shared" si="4"/>
        <v>245631</v>
      </c>
      <c r="H18" s="273">
        <f t="shared" si="4"/>
        <v>253824</v>
      </c>
      <c r="I18" s="259"/>
      <c r="M18" s="56"/>
      <c r="N18" s="56"/>
      <c r="O18" s="56"/>
      <c r="P18" s="56"/>
      <c r="Q18" s="56"/>
      <c r="R18" s="56"/>
      <c r="S18" s="56"/>
      <c r="T18" s="56"/>
      <c r="U18" s="56"/>
      <c r="V18" s="56"/>
      <c r="W18" s="56"/>
      <c r="X18" s="56"/>
      <c r="Y18" s="56"/>
      <c r="Z18" s="56"/>
      <c r="AA18" s="56"/>
    </row>
    <row r="19" spans="1:29">
      <c r="I19" s="259"/>
      <c r="J19" s="40"/>
      <c r="M19" s="56"/>
      <c r="N19" s="56"/>
      <c r="O19" s="56"/>
      <c r="P19" s="56"/>
      <c r="Q19" s="56"/>
      <c r="R19" s="56"/>
      <c r="S19" s="56"/>
      <c r="T19" s="56"/>
      <c r="U19" s="56"/>
      <c r="V19" s="56"/>
      <c r="W19" s="56"/>
      <c r="X19" s="56"/>
      <c r="Y19" s="56"/>
      <c r="Z19" s="56"/>
      <c r="AA19" s="56"/>
    </row>
    <row r="20" spans="1:29" ht="12" customHeight="1">
      <c r="A20" s="57"/>
      <c r="B20" s="265" t="s">
        <v>234</v>
      </c>
      <c r="C20" s="269">
        <v>13772</v>
      </c>
      <c r="D20" s="269">
        <v>13733</v>
      </c>
      <c r="E20" s="269">
        <v>16645</v>
      </c>
      <c r="F20" s="269">
        <v>14106</v>
      </c>
      <c r="G20" s="269">
        <v>13569</v>
      </c>
      <c r="H20" s="269">
        <v>13569</v>
      </c>
      <c r="I20" s="63"/>
      <c r="J20" s="259"/>
      <c r="M20" s="56"/>
      <c r="N20" s="56"/>
      <c r="O20" s="56"/>
      <c r="P20" s="56"/>
      <c r="Q20" s="56"/>
      <c r="R20" s="56"/>
      <c r="S20" s="56"/>
      <c r="T20" s="56"/>
      <c r="U20" s="56"/>
      <c r="V20" s="56"/>
      <c r="W20" s="56"/>
      <c r="X20" s="56"/>
      <c r="Y20" s="56"/>
      <c r="Z20" s="56"/>
      <c r="AA20" s="56"/>
    </row>
    <row r="21" spans="1:29">
      <c r="B21" s="265" t="s">
        <v>232</v>
      </c>
      <c r="C21" s="269">
        <v>14500</v>
      </c>
      <c r="D21" s="269">
        <v>14314</v>
      </c>
      <c r="E21" s="269">
        <v>18372</v>
      </c>
      <c r="F21" s="269">
        <v>15012</v>
      </c>
      <c r="G21" s="269">
        <v>19353</v>
      </c>
      <c r="H21" s="269">
        <v>19805.000000000033</v>
      </c>
      <c r="I21" s="63"/>
      <c r="J21" s="56"/>
      <c r="M21" s="56"/>
      <c r="N21" s="56"/>
      <c r="O21" s="56"/>
      <c r="P21" s="56"/>
      <c r="Q21" s="56"/>
      <c r="R21" s="56"/>
      <c r="S21" s="56"/>
      <c r="T21" s="56"/>
      <c r="U21" s="56"/>
      <c r="V21" s="56"/>
      <c r="W21" s="56"/>
      <c r="X21" s="56"/>
      <c r="Y21" s="56"/>
      <c r="Z21" s="56"/>
      <c r="AA21" s="56"/>
    </row>
    <row r="22" spans="1:29">
      <c r="B22" s="265" t="s">
        <v>233</v>
      </c>
      <c r="C22" s="269">
        <v>146</v>
      </c>
      <c r="D22" s="269">
        <v>110</v>
      </c>
      <c r="E22" s="269">
        <v>62</v>
      </c>
      <c r="F22" s="269">
        <v>-380</v>
      </c>
      <c r="G22" s="269">
        <v>-784</v>
      </c>
      <c r="H22" s="269">
        <v>-784</v>
      </c>
      <c r="I22" s="63"/>
      <c r="J22" s="269"/>
      <c r="K22" s="276"/>
      <c r="L22" s="56"/>
      <c r="M22" s="56"/>
      <c r="N22" s="56"/>
      <c r="O22" s="56"/>
      <c r="P22" s="56"/>
      <c r="Q22" s="56"/>
      <c r="R22" s="56"/>
      <c r="S22" s="56"/>
      <c r="T22" s="56"/>
      <c r="U22" s="56"/>
      <c r="V22" s="56"/>
      <c r="W22" s="56"/>
      <c r="X22" s="56"/>
      <c r="Y22" s="56"/>
      <c r="Z22" s="56"/>
      <c r="AA22" s="56"/>
      <c r="AB22" s="56"/>
    </row>
    <row r="23" spans="1:29">
      <c r="B23" s="274" t="s">
        <v>287</v>
      </c>
      <c r="C23" s="275">
        <f t="shared" ref="C23:H23" si="5">C18+C20+C21+C22</f>
        <v>237511</v>
      </c>
      <c r="D23" s="275">
        <f t="shared" si="5"/>
        <v>242589</v>
      </c>
      <c r="E23" s="275">
        <f t="shared" si="5"/>
        <v>269923</v>
      </c>
      <c r="F23" s="275">
        <f t="shared" si="5"/>
        <v>274900</v>
      </c>
      <c r="G23" s="275">
        <f t="shared" si="5"/>
        <v>277769</v>
      </c>
      <c r="H23" s="275">
        <f t="shared" si="5"/>
        <v>286414.00000000006</v>
      </c>
      <c r="I23" s="64"/>
      <c r="J23" s="56"/>
      <c r="K23" s="56"/>
      <c r="L23" s="56"/>
      <c r="M23" s="56"/>
      <c r="N23" s="56"/>
      <c r="O23" s="56"/>
      <c r="P23" s="56"/>
      <c r="Q23" s="56"/>
      <c r="R23" s="56"/>
      <c r="S23" s="56"/>
      <c r="T23" s="56"/>
      <c r="U23" s="56"/>
      <c r="V23" s="56"/>
      <c r="W23" s="56"/>
      <c r="X23" s="56"/>
      <c r="Y23" s="56"/>
      <c r="Z23" s="56"/>
      <c r="AA23" s="56"/>
      <c r="AB23" s="56"/>
      <c r="AC23" s="56"/>
    </row>
    <row r="24" spans="1:29">
      <c r="I24" s="56"/>
      <c r="J24" s="56"/>
      <c r="K24" s="56"/>
      <c r="L24" s="56"/>
      <c r="M24" s="56"/>
      <c r="N24" s="56"/>
      <c r="O24" s="56"/>
      <c r="P24" s="56"/>
      <c r="Q24" s="56"/>
      <c r="R24" s="56"/>
      <c r="S24" s="56"/>
      <c r="T24" s="56"/>
      <c r="U24" s="56"/>
      <c r="V24" s="56"/>
      <c r="W24" s="56"/>
      <c r="X24" s="56"/>
      <c r="Y24" s="56"/>
      <c r="Z24" s="56"/>
      <c r="AA24" s="56"/>
    </row>
    <row r="25" spans="1:29">
      <c r="B25" s="265" t="s">
        <v>216</v>
      </c>
      <c r="C25" s="270">
        <v>1528916</v>
      </c>
      <c r="D25" s="270">
        <v>1515869</v>
      </c>
      <c r="E25" s="270">
        <v>1560609</v>
      </c>
      <c r="F25" s="270">
        <v>1638900</v>
      </c>
      <c r="G25" s="270">
        <v>1653538</v>
      </c>
      <c r="H25" s="270">
        <v>1650014</v>
      </c>
      <c r="J25" s="61"/>
      <c r="K25" s="56"/>
      <c r="L25" s="56"/>
      <c r="M25" s="56"/>
      <c r="N25" s="56"/>
      <c r="O25" s="56"/>
      <c r="P25" s="56"/>
      <c r="Q25" s="56"/>
      <c r="R25" s="56"/>
      <c r="S25" s="56"/>
      <c r="T25" s="56"/>
      <c r="U25" s="56"/>
      <c r="V25" s="56"/>
      <c r="W25" s="56"/>
      <c r="X25" s="56"/>
      <c r="Y25" s="56"/>
      <c r="Z25" s="56"/>
      <c r="AA25" s="56"/>
    </row>
    <row r="26" spans="1:29">
      <c r="J26" s="56"/>
      <c r="K26" s="56"/>
      <c r="L26" s="56"/>
      <c r="M26" s="56"/>
      <c r="N26" s="56"/>
      <c r="O26" s="56"/>
      <c r="P26" s="56"/>
      <c r="Q26" s="56"/>
      <c r="R26" s="56"/>
      <c r="S26" s="56"/>
      <c r="T26" s="56"/>
      <c r="U26" s="56"/>
      <c r="V26" s="56"/>
      <c r="W26" s="56"/>
      <c r="X26" s="56"/>
      <c r="Y26" s="56"/>
      <c r="Z26" s="56"/>
      <c r="AA26" s="56"/>
    </row>
    <row r="27" spans="1:29">
      <c r="B27" s="268" t="s">
        <v>222</v>
      </c>
      <c r="C27" s="237">
        <f t="shared" ref="C27:G27" si="6">C14/C25</f>
        <v>0.12000266855733081</v>
      </c>
      <c r="D27" s="237">
        <f t="shared" si="6"/>
        <v>0.12385832812729861</v>
      </c>
      <c r="E27" s="237">
        <f t="shared" si="6"/>
        <v>0.13140895637536373</v>
      </c>
      <c r="F27" s="237">
        <f t="shared" si="6"/>
        <v>0.13053999633900787</v>
      </c>
      <c r="G27" s="237">
        <f t="shared" si="6"/>
        <v>0.1324033678089043</v>
      </c>
      <c r="H27" s="237">
        <f>H14/H25</f>
        <v>0.13766065015205931</v>
      </c>
      <c r="I27" s="34"/>
      <c r="J27" s="56"/>
      <c r="K27" s="56"/>
      <c r="L27" s="56"/>
      <c r="M27" s="56"/>
      <c r="N27" s="56"/>
      <c r="O27" s="56"/>
      <c r="P27" s="56"/>
      <c r="Q27" s="56"/>
      <c r="R27" s="56"/>
      <c r="S27" s="56"/>
      <c r="T27" s="56"/>
      <c r="U27" s="56"/>
      <c r="V27" s="56"/>
      <c r="W27" s="56"/>
      <c r="X27" s="56"/>
      <c r="Y27" s="56"/>
      <c r="Z27" s="56"/>
      <c r="AA27" s="56"/>
      <c r="AB27" s="56"/>
      <c r="AC27" s="56"/>
    </row>
    <row r="28" spans="1:29">
      <c r="B28" s="268" t="s">
        <v>223</v>
      </c>
      <c r="C28" s="237">
        <f t="shared" ref="C28:G28" si="7">C18/C25</f>
        <v>0.13675898479707191</v>
      </c>
      <c r="D28" s="237">
        <f t="shared" si="7"/>
        <v>0.14145813391526577</v>
      </c>
      <c r="E28" s="237">
        <f t="shared" si="7"/>
        <v>0.15048227967415284</v>
      </c>
      <c r="F28" s="237">
        <f t="shared" si="7"/>
        <v>0.15019952407102324</v>
      </c>
      <c r="G28" s="237">
        <f t="shared" si="7"/>
        <v>0.14854874819931566</v>
      </c>
      <c r="H28" s="237">
        <f>H18/H25</f>
        <v>0.15383142203641909</v>
      </c>
      <c r="I28" s="61"/>
      <c r="J28" s="56"/>
      <c r="K28" s="56"/>
      <c r="L28" s="56"/>
      <c r="M28" s="56"/>
      <c r="N28" s="56"/>
      <c r="O28" s="56"/>
      <c r="P28" s="56"/>
      <c r="Q28" s="56"/>
      <c r="R28" s="56"/>
      <c r="S28" s="56"/>
      <c r="T28" s="56"/>
      <c r="U28" s="56"/>
      <c r="V28" s="56"/>
      <c r="W28" s="56"/>
      <c r="X28" s="56"/>
      <c r="Y28" s="56"/>
      <c r="Z28" s="56"/>
      <c r="AA28" s="56"/>
      <c r="AB28" s="56"/>
      <c r="AC28" s="56"/>
    </row>
    <row r="29" spans="1:29">
      <c r="B29" s="268" t="s">
        <v>224</v>
      </c>
      <c r="C29" s="237">
        <f t="shared" ref="C29:G29" si="8">C23/C25</f>
        <v>0.15534600985273225</v>
      </c>
      <c r="D29" s="237">
        <f t="shared" si="8"/>
        <v>0.16003295799307196</v>
      </c>
      <c r="E29" s="237">
        <f t="shared" si="8"/>
        <v>0.17296004316263716</v>
      </c>
      <c r="F29" s="237">
        <f t="shared" si="8"/>
        <v>0.16773445603758619</v>
      </c>
      <c r="G29" s="237">
        <f t="shared" si="8"/>
        <v>0.16798464867453908</v>
      </c>
      <c r="H29" s="237">
        <f>H23/H25</f>
        <v>0.17358276960074281</v>
      </c>
      <c r="I29" s="61"/>
      <c r="J29" s="56"/>
      <c r="K29" s="56"/>
      <c r="L29" s="56"/>
      <c r="M29" s="56"/>
      <c r="N29" s="56"/>
      <c r="O29" s="56"/>
      <c r="P29" s="56"/>
      <c r="Q29" s="56"/>
      <c r="R29" s="56"/>
      <c r="S29" s="56"/>
      <c r="T29" s="56"/>
      <c r="U29" s="56"/>
      <c r="V29" s="56"/>
      <c r="W29" s="56"/>
      <c r="X29" s="56"/>
      <c r="Y29" s="56"/>
      <c r="Z29" s="56"/>
      <c r="AA29" s="56"/>
      <c r="AB29" s="56"/>
      <c r="AC29" s="56"/>
    </row>
    <row r="30" spans="1:29" ht="14.25" customHeight="1">
      <c r="K30" s="56"/>
      <c r="L30" s="56"/>
      <c r="M30" s="56"/>
      <c r="N30" s="56"/>
      <c r="O30" s="56"/>
      <c r="P30" s="56"/>
      <c r="Q30" s="56"/>
      <c r="R30" s="56"/>
      <c r="S30" s="56"/>
      <c r="T30" s="56"/>
      <c r="U30" s="56"/>
      <c r="V30" s="56"/>
      <c r="W30" s="56"/>
      <c r="X30" s="56"/>
      <c r="Y30" s="56"/>
      <c r="Z30" s="56"/>
      <c r="AA30" s="56"/>
      <c r="AB30" s="56"/>
      <c r="AC30" s="56"/>
    </row>
    <row r="31" spans="1:29">
      <c r="I31" s="56"/>
      <c r="K31" s="56"/>
      <c r="L31" s="56"/>
      <c r="M31" s="56"/>
      <c r="N31" s="56"/>
      <c r="O31" s="56"/>
      <c r="P31" s="56"/>
      <c r="Q31" s="56"/>
      <c r="R31" s="56"/>
      <c r="S31" s="56"/>
      <c r="T31" s="56"/>
      <c r="U31" s="56"/>
      <c r="V31" s="56"/>
      <c r="W31" s="56"/>
      <c r="X31" s="56"/>
      <c r="Y31" s="56"/>
      <c r="Z31" s="56"/>
      <c r="AA31" s="56"/>
      <c r="AB31" s="56"/>
      <c r="AC31" s="56"/>
    </row>
    <row r="32" spans="1:29">
      <c r="I32" s="56"/>
      <c r="J32" s="56"/>
      <c r="K32" s="56"/>
      <c r="L32" s="56"/>
      <c r="M32" s="56"/>
      <c r="N32" s="56"/>
      <c r="O32" s="56"/>
      <c r="P32" s="56"/>
      <c r="Q32" s="56"/>
      <c r="R32" s="56"/>
      <c r="S32" s="56"/>
      <c r="T32" s="56"/>
      <c r="U32" s="56"/>
      <c r="V32" s="56"/>
      <c r="W32" s="56"/>
      <c r="X32" s="56"/>
      <c r="Y32" s="56"/>
      <c r="Z32" s="56"/>
      <c r="AA32" s="56"/>
      <c r="AB32" s="56"/>
      <c r="AC32" s="56"/>
    </row>
    <row r="33" spans="9:29">
      <c r="I33" s="56"/>
      <c r="J33" s="56"/>
      <c r="K33" s="56"/>
      <c r="L33" s="56"/>
      <c r="M33" s="56"/>
      <c r="N33" s="56"/>
      <c r="O33" s="56"/>
      <c r="P33" s="56"/>
      <c r="Q33" s="56"/>
      <c r="R33" s="56"/>
      <c r="S33" s="56"/>
      <c r="T33" s="56"/>
      <c r="U33" s="56"/>
      <c r="V33" s="56"/>
      <c r="W33" s="56"/>
      <c r="X33" s="56"/>
      <c r="Y33" s="56"/>
      <c r="Z33" s="56"/>
      <c r="AA33" s="56"/>
      <c r="AB33" s="56"/>
      <c r="AC33" s="56"/>
    </row>
    <row r="34" spans="9:29">
      <c r="I34" s="56"/>
      <c r="J34" s="56"/>
      <c r="K34" s="56"/>
      <c r="L34" s="56"/>
      <c r="M34" s="56"/>
      <c r="N34" s="56"/>
      <c r="O34" s="56"/>
      <c r="P34" s="56"/>
      <c r="Q34" s="56"/>
      <c r="R34" s="56"/>
      <c r="S34" s="56"/>
      <c r="T34" s="56"/>
      <c r="U34" s="56"/>
      <c r="V34" s="56"/>
      <c r="W34" s="56"/>
      <c r="X34" s="56"/>
      <c r="Y34" s="56"/>
      <c r="Z34" s="56"/>
      <c r="AA34" s="56"/>
      <c r="AB34" s="56"/>
      <c r="AC34" s="56"/>
    </row>
    <row r="35" spans="9:29">
      <c r="I35" s="56"/>
      <c r="J35" s="56"/>
      <c r="K35" s="56"/>
      <c r="L35" s="56"/>
      <c r="M35" s="56"/>
      <c r="N35" s="56"/>
      <c r="O35" s="56"/>
      <c r="P35" s="56"/>
      <c r="Q35" s="56"/>
      <c r="R35" s="56"/>
      <c r="S35" s="56"/>
      <c r="T35" s="56"/>
      <c r="U35" s="56"/>
      <c r="V35" s="56"/>
      <c r="W35" s="56"/>
      <c r="X35" s="56"/>
      <c r="Y35" s="56"/>
      <c r="Z35" s="56"/>
      <c r="AA35" s="56"/>
      <c r="AB35" s="56"/>
      <c r="AC35" s="56"/>
    </row>
    <row r="36" spans="9:29">
      <c r="J36" s="56"/>
      <c r="K36" s="56"/>
      <c r="L36" s="56"/>
      <c r="M36" s="56"/>
      <c r="N36" s="56"/>
      <c r="O36" s="56"/>
      <c r="P36" s="56"/>
      <c r="Q36" s="56"/>
      <c r="R36" s="56"/>
      <c r="S36" s="56"/>
      <c r="T36" s="56"/>
      <c r="U36" s="56"/>
      <c r="V36" s="56"/>
      <c r="W36" s="56"/>
      <c r="X36" s="56"/>
      <c r="Y36" s="56"/>
      <c r="Z36" s="56"/>
      <c r="AA36" s="56"/>
      <c r="AB36" s="56"/>
      <c r="AC36" s="56"/>
    </row>
    <row r="37" spans="9:29">
      <c r="J37" s="56"/>
      <c r="K37" s="56"/>
      <c r="L37" s="56"/>
      <c r="M37" s="56"/>
      <c r="N37" s="56"/>
      <c r="O37" s="56"/>
      <c r="P37" s="56"/>
      <c r="Q37" s="56"/>
      <c r="R37" s="56"/>
      <c r="S37" s="56"/>
      <c r="T37" s="56"/>
      <c r="U37" s="56"/>
      <c r="V37" s="56"/>
      <c r="W37" s="56"/>
      <c r="X37" s="56"/>
      <c r="Y37" s="56"/>
      <c r="Z37" s="56"/>
      <c r="AA37" s="56"/>
      <c r="AB37" s="56"/>
      <c r="AC37" s="56"/>
    </row>
    <row r="38" spans="9:29">
      <c r="J38" s="56"/>
      <c r="K38" s="56"/>
      <c r="L38" s="56"/>
      <c r="M38" s="56"/>
      <c r="N38" s="56"/>
      <c r="O38" s="56"/>
      <c r="P38" s="56"/>
      <c r="Q38" s="56"/>
      <c r="R38" s="56"/>
      <c r="S38" s="56"/>
      <c r="T38" s="56"/>
      <c r="U38" s="56"/>
      <c r="V38" s="56"/>
      <c r="W38" s="56"/>
      <c r="X38" s="56"/>
      <c r="Y38" s="56"/>
      <c r="Z38" s="56"/>
      <c r="AA38" s="56"/>
      <c r="AB38" s="56"/>
      <c r="AC38" s="56"/>
    </row>
  </sheetData>
  <pageMargins left="0.7" right="0.7" top="0.75" bottom="0.75" header="0.3" footer="0.3"/>
  <pageSetup orientation="landscape" r:id="rId1"/>
  <extLst>
    <ext xmlns:x14="http://schemas.microsoft.com/office/spreadsheetml/2009/9/main" uri="{05C60535-1F16-4fd2-B633-F4F36F0B64E0}">
      <x14:sparklineGroups xmlns:xm="http://schemas.microsoft.com/office/excel/2006/main">
        <x14:sparklineGroup lineWeight="1.5" displayEmptyCellsAs="gap" markers="1">
          <x14:colorSeries theme="2" tint="-0.499984740745262"/>
          <x14:colorNegative rgb="FFD00000"/>
          <x14:colorAxis rgb="FF000000"/>
          <x14:colorMarkers theme="2" tint="-0.499984740745262"/>
          <x14:colorFirst rgb="FFD00000"/>
          <x14:colorLast rgb="FFD00000"/>
          <x14:colorHigh rgb="FFD00000"/>
          <x14:colorLow rgb="FFD00000"/>
          <x14:sparklines>
            <x14:sparkline>
              <xm:f>'Regulatory Capital'!C6:H6</xm:f>
              <xm:sqref>I6</xm:sqref>
            </x14:sparkline>
            <x14:sparkline>
              <xm:f>'Regulatory Capital'!C7:H7</xm:f>
              <xm:sqref>I7</xm:sqref>
            </x14:sparkline>
            <x14:sparkline>
              <xm:f>'Regulatory Capital'!C8:H8</xm:f>
              <xm:sqref>I8</xm:sqref>
            </x14:sparkline>
            <x14:sparkline>
              <xm:f>'Regulatory Capital'!C9:H9</xm:f>
              <xm:sqref>I9</xm:sqref>
            </x14:sparkline>
            <x14:sparkline>
              <xm:f>'Regulatory Capital'!C10:H10</xm:f>
              <xm:sqref>I10</xm:sqref>
            </x14:sparkline>
            <x14:sparkline>
              <xm:f>'Regulatory Capital'!C11:H11</xm:f>
              <xm:sqref>I11</xm:sqref>
            </x14:sparkline>
            <x14:sparkline>
              <xm:f>'Regulatory Capital'!C12:H12</xm:f>
              <xm:sqref>I12</xm:sqref>
            </x14:sparkline>
            <x14:sparkline>
              <xm:f>'Regulatory Capital'!C13:H13</xm:f>
              <xm:sqref>I13</xm:sqref>
            </x14:sparkline>
            <x14:sparkline>
              <xm:f>'Regulatory Capital'!C14:H14</xm:f>
              <xm:sqref>I14</xm:sqref>
            </x14:sparkline>
            <x14:sparkline>
              <xm:f>'Regulatory Capital'!C15:H15</xm:f>
              <xm:sqref>I15</xm:sqref>
            </x14:sparkline>
            <x14:sparkline>
              <xm:f>'Regulatory Capital'!C16:H16</xm:f>
              <xm:sqref>I16</xm:sqref>
            </x14:sparkline>
            <x14:sparkline>
              <xm:f>'Regulatory Capital'!C17:H17</xm:f>
              <xm:sqref>I17</xm:sqref>
            </x14:sparkline>
            <x14:sparkline>
              <xm:f>'Regulatory Capital'!C18:H18</xm:f>
              <xm:sqref>I18</xm:sqref>
            </x14:sparkline>
            <x14:sparkline>
              <xm:f>'Regulatory Capital'!C19:H19</xm:f>
              <xm:sqref>I19</xm:sqref>
            </x14:sparkline>
            <x14:sparkline>
              <xm:f>'Regulatory Capital'!C20:H20</xm:f>
              <xm:sqref>I20</xm:sqref>
            </x14:sparkline>
            <x14:sparkline>
              <xm:f>'Regulatory Capital'!C21:H21</xm:f>
              <xm:sqref>I21</xm:sqref>
            </x14:sparkline>
            <x14:sparkline>
              <xm:f>'Regulatory Capital'!C22:H22</xm:f>
              <xm:sqref>I22</xm:sqref>
            </x14:sparkline>
            <x14:sparkline>
              <xm:f>'Regulatory Capital'!C23:H23</xm:f>
              <xm:sqref>I23</xm:sqref>
            </x14:sparkline>
            <x14:sparkline>
              <xm:f>'Regulatory Capital'!C24:H24</xm:f>
              <xm:sqref>I24</xm:sqref>
            </x14:sparkline>
            <x14:sparkline>
              <xm:f>'Regulatory Capital'!C25:H25</xm:f>
              <xm:sqref>I25</xm:sqref>
            </x14:sparkline>
            <x14:sparkline>
              <xm:f>'Regulatory Capital'!C26:H26</xm:f>
              <xm:sqref>I26</xm:sqref>
            </x14:sparkline>
            <x14:sparkline>
              <xm:f>'Regulatory Capital'!C27:H27</xm:f>
              <xm:sqref>I27</xm:sqref>
            </x14:sparkline>
            <x14:sparkline>
              <xm:f>'Regulatory Capital'!C28:H28</xm:f>
              <xm:sqref>I28</xm:sqref>
            </x14:sparkline>
            <x14:sparkline>
              <xm:f>'Regulatory Capital'!C29:H29</xm:f>
              <xm:sqref>I29</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38"/>
  <sheetViews>
    <sheetView zoomScaleNormal="100" workbookViewId="0"/>
  </sheetViews>
  <sheetFormatPr defaultRowHeight="12"/>
  <cols>
    <col min="1" max="1" width="2" style="51" customWidth="1"/>
    <col min="2" max="2" width="27.7109375" style="51" customWidth="1"/>
    <col min="3" max="7" width="11.7109375" style="51" customWidth="1"/>
    <col min="8" max="8" width="8.140625" style="51" customWidth="1"/>
    <col min="9" max="9" width="7.7109375" style="51" customWidth="1"/>
    <col min="10" max="12" width="11.7109375" style="51" customWidth="1"/>
    <col min="13" max="13" width="13.140625" style="51" customWidth="1"/>
    <col min="14" max="23" width="9.140625" style="51" customWidth="1"/>
    <col min="24" max="24" width="9.28515625" style="51" customWidth="1"/>
    <col min="25" max="25" width="9.42578125" style="51" customWidth="1"/>
    <col min="26" max="26" width="10" style="51" customWidth="1"/>
    <col min="27" max="27" width="11.42578125" style="51" customWidth="1"/>
    <col min="28" max="28" width="9.42578125" style="51" bestFit="1" customWidth="1" collapsed="1"/>
    <col min="29" max="16384" width="9.140625" style="51"/>
  </cols>
  <sheetData>
    <row r="1" spans="1:27" s="50" customFormat="1" ht="15" customHeight="1">
      <c r="B1" s="15" t="s">
        <v>237</v>
      </c>
      <c r="C1" s="49"/>
      <c r="D1" s="49"/>
      <c r="E1" s="49"/>
      <c r="F1" s="49"/>
      <c r="G1" s="49"/>
      <c r="H1" s="49"/>
      <c r="I1" s="49"/>
    </row>
    <row r="2" spans="1:27" ht="12" customHeight="1"/>
    <row r="3" spans="1:27" ht="12" customHeight="1">
      <c r="A3" s="53"/>
      <c r="B3" s="153" t="s">
        <v>238</v>
      </c>
      <c r="C3" s="153"/>
      <c r="D3" s="153"/>
      <c r="E3" s="153"/>
      <c r="F3" s="153"/>
      <c r="G3" s="153"/>
      <c r="H3" s="77"/>
      <c r="I3" s="235"/>
    </row>
    <row r="4" spans="1:27" ht="12" customHeight="1" thickBot="1">
      <c r="A4" s="57"/>
      <c r="B4" s="227" t="str">
        <f>Drivers!$C$5&amp;" in million"</f>
        <v>$ in million</v>
      </c>
      <c r="C4" s="267">
        <v>43465</v>
      </c>
      <c r="D4" s="267">
        <f t="shared" ref="D4:G4" si="0">EDATE(C4,12)</f>
        <v>43830</v>
      </c>
      <c r="E4" s="267">
        <f t="shared" si="0"/>
        <v>44196</v>
      </c>
      <c r="F4" s="267">
        <f t="shared" si="0"/>
        <v>44561</v>
      </c>
      <c r="G4" s="267">
        <f t="shared" si="0"/>
        <v>44926</v>
      </c>
      <c r="H4" s="281"/>
      <c r="I4" s="239"/>
      <c r="K4" s="232"/>
      <c r="L4" s="232"/>
      <c r="M4" s="232"/>
    </row>
    <row r="5" spans="1:27" ht="12" customHeight="1">
      <c r="A5" s="57"/>
      <c r="B5" s="233" t="s">
        <v>46</v>
      </c>
      <c r="C5" s="234">
        <f>'Regulatory Capital'!C18</f>
        <v>209093</v>
      </c>
      <c r="D5" s="234">
        <f>'Regulatory Capital'!D18</f>
        <v>214432</v>
      </c>
      <c r="E5" s="234">
        <f>'Regulatory Capital'!E18</f>
        <v>234844</v>
      </c>
      <c r="F5" s="234">
        <f>'Regulatory Capital'!F18</f>
        <v>246162</v>
      </c>
      <c r="G5" s="234">
        <f>'Regulatory Capital'!G18</f>
        <v>245631</v>
      </c>
      <c r="H5" s="279"/>
      <c r="I5" s="243"/>
      <c r="J5" s="90"/>
      <c r="K5" s="90"/>
      <c r="L5" s="90"/>
      <c r="M5" s="90"/>
      <c r="N5" s="56"/>
      <c r="O5" s="56"/>
    </row>
    <row r="6" spans="1:27" ht="12" customHeight="1">
      <c r="A6" s="57"/>
      <c r="B6" s="280" t="s">
        <v>29</v>
      </c>
      <c r="C6" s="234">
        <f>C5-208644</f>
        <v>449</v>
      </c>
      <c r="D6" s="234">
        <f>D5-C5</f>
        <v>5339</v>
      </c>
      <c r="E6" s="234">
        <f t="shared" ref="E6:G6" si="1">E5-D5</f>
        <v>20412</v>
      </c>
      <c r="F6" s="234">
        <f t="shared" si="1"/>
        <v>11318</v>
      </c>
      <c r="G6" s="234">
        <f t="shared" si="1"/>
        <v>-531</v>
      </c>
      <c r="H6" s="243"/>
      <c r="J6" s="266"/>
      <c r="K6" s="247"/>
      <c r="L6" s="41"/>
      <c r="M6" s="240"/>
      <c r="N6" s="56"/>
      <c r="O6" s="56"/>
    </row>
    <row r="7" spans="1:27" ht="12" customHeight="1">
      <c r="B7" s="280" t="s">
        <v>48</v>
      </c>
      <c r="C7" s="283">
        <v>30709</v>
      </c>
      <c r="D7" s="283">
        <v>34642</v>
      </c>
      <c r="E7" s="283">
        <v>27410</v>
      </c>
      <c r="F7" s="283">
        <v>46503</v>
      </c>
      <c r="G7" s="283">
        <v>35892</v>
      </c>
      <c r="H7" s="243"/>
      <c r="J7" s="243"/>
      <c r="K7" s="247"/>
      <c r="L7" s="41"/>
      <c r="M7" s="240"/>
      <c r="N7" s="56"/>
      <c r="O7" s="56"/>
    </row>
    <row r="8" spans="1:27" ht="12" customHeight="1">
      <c r="A8" s="57"/>
      <c r="B8" s="282" t="s">
        <v>215</v>
      </c>
      <c r="C8" s="186">
        <f>C6/C7</f>
        <v>1.4621120844052232E-2</v>
      </c>
      <c r="D8" s="186">
        <f>D6/D7</f>
        <v>0.15411927717799204</v>
      </c>
      <c r="E8" s="186">
        <f>E6/E7</f>
        <v>0.74469171835096681</v>
      </c>
      <c r="F8" s="186">
        <f>F6/F7</f>
        <v>0.24338214738834055</v>
      </c>
      <c r="G8" s="186">
        <f>G6/G7</f>
        <v>-1.4794383149448346E-2</v>
      </c>
      <c r="H8" s="243"/>
      <c r="J8" s="243"/>
      <c r="K8" s="247"/>
      <c r="L8" s="41"/>
      <c r="M8" s="240"/>
      <c r="N8" s="56"/>
      <c r="O8" s="56"/>
    </row>
    <row r="9" spans="1:27" ht="12" customHeight="1">
      <c r="A9" s="57"/>
      <c r="H9" s="243"/>
      <c r="J9" s="243"/>
      <c r="K9" s="247"/>
      <c r="L9" s="41"/>
      <c r="M9" s="240"/>
      <c r="N9" s="56"/>
      <c r="O9" s="56"/>
    </row>
    <row r="10" spans="1:27">
      <c r="A10" s="54"/>
      <c r="B10" s="280" t="s">
        <v>47</v>
      </c>
      <c r="C10" s="246">
        <f>'Regulatory Capital'!C8</f>
        <v>230447</v>
      </c>
      <c r="D10" s="246">
        <f>'Regulatory Capital'!D8</f>
        <v>234337</v>
      </c>
      <c r="E10" s="246">
        <f>'Regulatory Capital'!E8</f>
        <v>249291</v>
      </c>
      <c r="F10" s="246">
        <f>'Regulatory Capital'!F8</f>
        <v>259289</v>
      </c>
      <c r="G10" s="246">
        <f>'Regulatory Capital'!G8</f>
        <v>264928</v>
      </c>
      <c r="H10" s="243"/>
      <c r="J10" s="243"/>
      <c r="K10" s="247"/>
      <c r="L10" s="41"/>
      <c r="M10" s="240"/>
      <c r="N10" s="56"/>
      <c r="O10" s="56"/>
    </row>
    <row r="11" spans="1:27" ht="12" customHeight="1">
      <c r="A11" s="57"/>
      <c r="B11" s="280" t="s">
        <v>48</v>
      </c>
      <c r="C11" s="246">
        <f t="shared" ref="C11:F11" si="2">C7</f>
        <v>30709</v>
      </c>
      <c r="D11" s="246">
        <f t="shared" si="2"/>
        <v>34642</v>
      </c>
      <c r="E11" s="246">
        <f t="shared" si="2"/>
        <v>27410</v>
      </c>
      <c r="F11" s="246">
        <f t="shared" si="2"/>
        <v>46503</v>
      </c>
      <c r="G11" s="246">
        <f>G7</f>
        <v>35892</v>
      </c>
      <c r="H11" s="243"/>
      <c r="O11" s="56"/>
    </row>
    <row r="12" spans="1:27">
      <c r="B12" s="282" t="s">
        <v>240</v>
      </c>
      <c r="C12" s="186">
        <f t="shared" ref="C12:F12" si="3">C11/C10</f>
        <v>0.13325840648825976</v>
      </c>
      <c r="D12" s="186">
        <f t="shared" si="3"/>
        <v>0.14782983481055062</v>
      </c>
      <c r="E12" s="186">
        <f t="shared" si="3"/>
        <v>0.10995182337108038</v>
      </c>
      <c r="F12" s="186">
        <f t="shared" si="3"/>
        <v>0.17934814049188358</v>
      </c>
      <c r="G12" s="186">
        <f>G11/G10</f>
        <v>0.13547831863751661</v>
      </c>
      <c r="H12" s="243"/>
      <c r="O12" s="56"/>
    </row>
    <row r="13" spans="1:27">
      <c r="A13" s="57"/>
      <c r="B13" s="265"/>
      <c r="C13" s="269"/>
      <c r="D13" s="269"/>
      <c r="E13" s="269"/>
      <c r="F13" s="269"/>
      <c r="G13" s="269"/>
      <c r="H13" s="243"/>
      <c r="O13" s="56"/>
    </row>
    <row r="14" spans="1:27">
      <c r="B14" s="280" t="s">
        <v>214</v>
      </c>
      <c r="C14" s="34">
        <f t="shared" ref="C14:F14" si="4">C8*C12</f>
        <v>1.9483872647506799E-3</v>
      </c>
      <c r="D14" s="34">
        <f t="shared" si="4"/>
        <v>2.2783427286344027E-2</v>
      </c>
      <c r="E14" s="34">
        <f t="shared" si="4"/>
        <v>8.1880212282031836E-2</v>
      </c>
      <c r="F14" s="34">
        <f t="shared" si="4"/>
        <v>4.3650135563020415E-2</v>
      </c>
      <c r="G14" s="34">
        <f>G8*G12</f>
        <v>-2.0043181543664694E-3</v>
      </c>
      <c r="H14" s="243"/>
      <c r="J14" s="243"/>
      <c r="K14" s="247"/>
      <c r="L14" s="41"/>
      <c r="M14" s="240"/>
      <c r="N14" s="56"/>
      <c r="O14" s="56"/>
    </row>
    <row r="15" spans="1:27">
      <c r="J15" s="243"/>
      <c r="K15" s="247"/>
      <c r="L15" s="41"/>
      <c r="M15" s="240"/>
      <c r="N15" s="56"/>
      <c r="O15" s="56"/>
      <c r="P15" s="56"/>
      <c r="Q15" s="56"/>
      <c r="R15" s="56"/>
      <c r="S15" s="56"/>
      <c r="T15" s="56"/>
      <c r="U15" s="56"/>
    </row>
    <row r="16" spans="1:27">
      <c r="B16" s="265"/>
      <c r="C16" s="269"/>
      <c r="D16" s="269"/>
      <c r="E16" s="269"/>
      <c r="F16" s="269"/>
      <c r="G16" s="269"/>
      <c r="H16" s="243"/>
      <c r="J16" s="243"/>
      <c r="K16" s="247"/>
      <c r="L16" s="41"/>
      <c r="M16" s="240"/>
      <c r="N16" s="56"/>
      <c r="O16" s="56"/>
      <c r="P16" s="56"/>
      <c r="Q16" s="56"/>
      <c r="R16" s="56"/>
      <c r="S16" s="56"/>
      <c r="T16" s="56"/>
      <c r="U16" s="56"/>
      <c r="V16" s="56"/>
      <c r="W16" s="56"/>
      <c r="X16" s="56"/>
      <c r="Y16" s="56"/>
      <c r="Z16" s="56"/>
      <c r="AA16" s="56"/>
    </row>
    <row r="17" spans="1:29">
      <c r="B17" s="265"/>
      <c r="C17" s="269"/>
      <c r="D17" s="269"/>
      <c r="E17" s="269"/>
      <c r="F17" s="269"/>
      <c r="G17" s="269"/>
      <c r="H17" s="243"/>
      <c r="J17" s="243"/>
      <c r="K17" s="247"/>
      <c r="L17" s="41"/>
      <c r="M17" s="240"/>
      <c r="N17" s="56"/>
      <c r="O17" s="56"/>
      <c r="P17" s="56"/>
      <c r="Q17" s="56"/>
      <c r="R17" s="56"/>
      <c r="S17" s="56"/>
      <c r="T17" s="56"/>
      <c r="U17" s="56"/>
      <c r="V17" s="56"/>
      <c r="W17" s="56"/>
      <c r="X17" s="56"/>
      <c r="Y17" s="56"/>
      <c r="Z17" s="56"/>
      <c r="AA17" s="56"/>
    </row>
    <row r="18" spans="1:29">
      <c r="A18" s="57"/>
      <c r="B18" s="265"/>
      <c r="C18" s="261"/>
      <c r="D18" s="261"/>
      <c r="E18" s="261"/>
      <c r="F18" s="261"/>
      <c r="G18" s="261"/>
      <c r="H18" s="243"/>
      <c r="M18" s="56"/>
      <c r="N18" s="56"/>
      <c r="O18" s="56"/>
      <c r="P18" s="56"/>
      <c r="Q18" s="56"/>
      <c r="R18" s="56"/>
      <c r="S18" s="56"/>
      <c r="T18" s="56"/>
      <c r="U18" s="56"/>
      <c r="V18" s="56"/>
      <c r="W18" s="56"/>
      <c r="X18" s="56"/>
      <c r="Y18" s="56"/>
      <c r="Z18" s="56"/>
      <c r="AA18" s="56"/>
    </row>
    <row r="19" spans="1:29">
      <c r="H19" s="243"/>
      <c r="J19" s="40"/>
      <c r="M19" s="56"/>
      <c r="N19" s="56"/>
      <c r="O19" s="56"/>
      <c r="P19" s="56"/>
      <c r="Q19" s="56"/>
      <c r="R19" s="56"/>
      <c r="S19" s="56"/>
      <c r="T19" s="56"/>
      <c r="U19" s="56"/>
      <c r="V19" s="56"/>
      <c r="W19" s="56"/>
      <c r="X19" s="56"/>
      <c r="Y19" s="56"/>
      <c r="Z19" s="56"/>
      <c r="AA19" s="56"/>
    </row>
    <row r="20" spans="1:29" ht="12" customHeight="1">
      <c r="A20" s="57"/>
      <c r="B20" s="265"/>
      <c r="C20" s="269"/>
      <c r="D20" s="269"/>
      <c r="E20" s="269"/>
      <c r="F20" s="269"/>
      <c r="G20" s="269"/>
      <c r="H20" s="243"/>
      <c r="J20" s="259"/>
      <c r="M20" s="56"/>
      <c r="N20" s="56"/>
      <c r="O20" s="56"/>
      <c r="P20" s="56"/>
      <c r="Q20" s="56"/>
      <c r="R20" s="56"/>
      <c r="S20" s="56"/>
      <c r="T20" s="56"/>
      <c r="U20" s="56"/>
      <c r="V20" s="56"/>
      <c r="W20" s="56"/>
      <c r="X20" s="56"/>
      <c r="Y20" s="56"/>
      <c r="Z20" s="56"/>
      <c r="AA20" s="56"/>
    </row>
    <row r="21" spans="1:29">
      <c r="B21" s="265"/>
      <c r="C21" s="269"/>
      <c r="D21" s="269"/>
      <c r="E21" s="269"/>
      <c r="F21" s="269"/>
      <c r="G21" s="269"/>
      <c r="H21" s="243"/>
      <c r="J21" s="56"/>
      <c r="M21" s="56"/>
      <c r="N21" s="56"/>
      <c r="O21" s="56"/>
      <c r="P21" s="56"/>
      <c r="Q21" s="56"/>
      <c r="R21" s="56"/>
      <c r="S21" s="56"/>
      <c r="T21" s="56"/>
      <c r="U21" s="56"/>
      <c r="V21" s="56"/>
      <c r="W21" s="56"/>
      <c r="X21" s="56"/>
      <c r="Y21" s="56"/>
      <c r="Z21" s="56"/>
      <c r="AA21" s="56"/>
    </row>
    <row r="22" spans="1:29">
      <c r="B22" s="265"/>
      <c r="C22" s="269"/>
      <c r="D22" s="269"/>
      <c r="E22" s="269"/>
      <c r="F22" s="269"/>
      <c r="G22" s="269"/>
      <c r="H22" s="243"/>
      <c r="J22" s="269"/>
      <c r="K22" s="276"/>
      <c r="L22" s="56"/>
      <c r="M22" s="56"/>
      <c r="N22" s="56"/>
      <c r="O22" s="56"/>
      <c r="P22" s="56"/>
      <c r="Q22" s="56"/>
      <c r="R22" s="56"/>
      <c r="S22" s="56"/>
      <c r="T22" s="56"/>
      <c r="U22" s="56"/>
      <c r="V22" s="56"/>
      <c r="W22" s="56"/>
      <c r="X22" s="56"/>
      <c r="Y22" s="56"/>
      <c r="Z22" s="56"/>
      <c r="AA22" s="56"/>
      <c r="AB22" s="56"/>
    </row>
    <row r="23" spans="1:29">
      <c r="B23" s="265"/>
      <c r="C23" s="261"/>
      <c r="D23" s="261"/>
      <c r="E23" s="261"/>
      <c r="F23" s="261"/>
      <c r="G23" s="261"/>
      <c r="H23" s="243"/>
      <c r="J23" s="56"/>
      <c r="K23" s="56"/>
      <c r="L23" s="56"/>
      <c r="M23" s="56"/>
      <c r="N23" s="56"/>
      <c r="O23" s="56"/>
      <c r="P23" s="56"/>
      <c r="Q23" s="56"/>
      <c r="R23" s="56"/>
      <c r="S23" s="56"/>
      <c r="T23" s="56"/>
      <c r="U23" s="56"/>
      <c r="V23" s="56"/>
      <c r="W23" s="56"/>
      <c r="X23" s="56"/>
      <c r="Y23" s="56"/>
      <c r="Z23" s="56"/>
      <c r="AA23" s="56"/>
      <c r="AB23" s="56"/>
      <c r="AC23" s="56"/>
    </row>
    <row r="24" spans="1:29">
      <c r="H24" s="243"/>
      <c r="J24" s="56"/>
      <c r="K24" s="56"/>
      <c r="L24" s="56"/>
      <c r="M24" s="56"/>
      <c r="N24" s="56"/>
      <c r="O24" s="56"/>
      <c r="P24" s="56"/>
      <c r="Q24" s="56"/>
      <c r="R24" s="56"/>
      <c r="S24" s="56"/>
      <c r="T24" s="56"/>
      <c r="U24" s="56"/>
      <c r="V24" s="56"/>
      <c r="W24" s="56"/>
      <c r="X24" s="56"/>
      <c r="Y24" s="56"/>
      <c r="Z24" s="56"/>
      <c r="AA24" s="56"/>
    </row>
    <row r="25" spans="1:29">
      <c r="B25" s="265"/>
      <c r="C25" s="270"/>
      <c r="D25" s="270"/>
      <c r="E25" s="270"/>
      <c r="F25" s="270"/>
      <c r="G25" s="270"/>
      <c r="H25" s="243"/>
      <c r="J25" s="61"/>
      <c r="K25" s="56"/>
      <c r="L25" s="56"/>
      <c r="M25" s="56"/>
      <c r="N25" s="56"/>
      <c r="O25" s="56"/>
      <c r="P25" s="56"/>
      <c r="Q25" s="56"/>
      <c r="R25" s="56"/>
      <c r="S25" s="56"/>
      <c r="T25" s="56"/>
      <c r="U25" s="56"/>
      <c r="V25" s="56"/>
      <c r="W25" s="56"/>
      <c r="X25" s="56"/>
      <c r="Y25" s="56"/>
      <c r="Z25" s="56"/>
      <c r="AA25" s="56"/>
    </row>
    <row r="26" spans="1:29">
      <c r="H26" s="243"/>
      <c r="J26" s="56"/>
      <c r="K26" s="56"/>
      <c r="L26" s="56"/>
      <c r="M26" s="56"/>
      <c r="N26" s="56"/>
      <c r="O26" s="56"/>
      <c r="P26" s="56"/>
      <c r="Q26" s="56"/>
      <c r="R26" s="56"/>
      <c r="S26" s="56"/>
      <c r="T26" s="56"/>
      <c r="U26" s="56"/>
      <c r="V26" s="56"/>
      <c r="W26" s="56"/>
      <c r="X26" s="56"/>
      <c r="Y26" s="56"/>
      <c r="Z26" s="56"/>
      <c r="AA26" s="56"/>
    </row>
    <row r="27" spans="1:29">
      <c r="B27" s="268"/>
      <c r="C27" s="237"/>
      <c r="D27" s="237"/>
      <c r="E27" s="237"/>
      <c r="F27" s="237"/>
      <c r="G27" s="237"/>
      <c r="H27" s="243"/>
      <c r="J27" s="56"/>
      <c r="K27" s="56"/>
      <c r="L27" s="56"/>
      <c r="M27" s="56"/>
      <c r="N27" s="56"/>
      <c r="O27" s="56"/>
      <c r="P27" s="56"/>
      <c r="Q27" s="56"/>
      <c r="R27" s="56"/>
      <c r="S27" s="56"/>
      <c r="T27" s="56"/>
      <c r="U27" s="56"/>
      <c r="V27" s="56"/>
      <c r="W27" s="56"/>
      <c r="X27" s="56"/>
      <c r="Y27" s="56"/>
      <c r="Z27" s="56"/>
      <c r="AA27" s="56"/>
      <c r="AB27" s="56"/>
      <c r="AC27" s="56"/>
    </row>
    <row r="28" spans="1:29">
      <c r="B28" s="268"/>
      <c r="C28" s="237"/>
      <c r="D28" s="237"/>
      <c r="E28" s="237"/>
      <c r="F28" s="237"/>
      <c r="G28" s="237"/>
      <c r="H28" s="243"/>
      <c r="J28" s="56"/>
      <c r="K28" s="56"/>
      <c r="L28" s="56"/>
      <c r="M28" s="56"/>
      <c r="N28" s="56"/>
      <c r="O28" s="56"/>
      <c r="P28" s="56"/>
      <c r="Q28" s="56"/>
      <c r="R28" s="56"/>
      <c r="S28" s="56"/>
      <c r="T28" s="56"/>
      <c r="U28" s="56"/>
      <c r="V28" s="56"/>
      <c r="W28" s="56"/>
      <c r="X28" s="56"/>
      <c r="Y28" s="56"/>
      <c r="Z28" s="56"/>
      <c r="AA28" s="56"/>
      <c r="AB28" s="56"/>
      <c r="AC28" s="56"/>
    </row>
    <row r="29" spans="1:29">
      <c r="B29" s="268"/>
      <c r="C29" s="237"/>
      <c r="D29" s="237"/>
      <c r="E29" s="237"/>
      <c r="F29" s="237"/>
      <c r="G29" s="237"/>
      <c r="H29" s="243"/>
      <c r="J29" s="56"/>
      <c r="K29" s="56"/>
      <c r="L29" s="56"/>
      <c r="M29" s="56"/>
      <c r="N29" s="56"/>
      <c r="O29" s="56"/>
      <c r="P29" s="56"/>
      <c r="Q29" s="56"/>
      <c r="R29" s="56"/>
      <c r="S29" s="56"/>
      <c r="T29" s="56"/>
      <c r="U29" s="56"/>
      <c r="V29" s="56"/>
      <c r="W29" s="56"/>
      <c r="X29" s="56"/>
      <c r="Y29" s="56"/>
      <c r="Z29" s="56"/>
      <c r="AA29" s="56"/>
      <c r="AB29" s="56"/>
      <c r="AC29" s="56"/>
    </row>
    <row r="30" spans="1:29" ht="14.25" customHeight="1">
      <c r="K30" s="56"/>
      <c r="L30" s="56"/>
      <c r="M30" s="56"/>
      <c r="N30" s="56"/>
      <c r="O30" s="56"/>
      <c r="P30" s="56"/>
      <c r="Q30" s="56"/>
      <c r="R30" s="56"/>
      <c r="S30" s="56"/>
      <c r="T30" s="56"/>
      <c r="U30" s="56"/>
      <c r="V30" s="56"/>
      <c r="W30" s="56"/>
      <c r="X30" s="56"/>
      <c r="Y30" s="56"/>
      <c r="Z30" s="56"/>
      <c r="AA30" s="56"/>
      <c r="AB30" s="56"/>
      <c r="AC30" s="56"/>
    </row>
    <row r="31" spans="1:29">
      <c r="I31" s="56"/>
      <c r="K31" s="56"/>
      <c r="L31" s="56"/>
      <c r="M31" s="56"/>
      <c r="N31" s="56"/>
      <c r="O31" s="56"/>
      <c r="P31" s="56"/>
      <c r="Q31" s="56"/>
      <c r="R31" s="56"/>
      <c r="S31" s="56"/>
      <c r="T31" s="56"/>
      <c r="U31" s="56"/>
      <c r="V31" s="56"/>
      <c r="W31" s="56"/>
      <c r="X31" s="56"/>
      <c r="Y31" s="56"/>
      <c r="Z31" s="56"/>
      <c r="AA31" s="56"/>
      <c r="AB31" s="56"/>
      <c r="AC31" s="56"/>
    </row>
    <row r="32" spans="1:29">
      <c r="I32" s="56"/>
      <c r="J32" s="56"/>
      <c r="K32" s="56"/>
      <c r="L32" s="56"/>
      <c r="M32" s="56"/>
      <c r="N32" s="56"/>
      <c r="O32" s="56"/>
      <c r="P32" s="56"/>
      <c r="Q32" s="56"/>
      <c r="R32" s="56"/>
      <c r="S32" s="56"/>
      <c r="T32" s="56"/>
      <c r="U32" s="56"/>
      <c r="V32" s="56"/>
      <c r="W32" s="56"/>
      <c r="X32" s="56"/>
      <c r="Y32" s="56"/>
      <c r="Z32" s="56"/>
      <c r="AA32" s="56"/>
      <c r="AB32" s="56"/>
      <c r="AC32" s="56"/>
    </row>
    <row r="33" spans="9:29">
      <c r="I33" s="56"/>
      <c r="J33" s="56"/>
      <c r="K33" s="56"/>
      <c r="L33" s="56"/>
      <c r="M33" s="56"/>
      <c r="N33" s="56"/>
      <c r="O33" s="56"/>
      <c r="P33" s="56"/>
      <c r="Q33" s="56"/>
      <c r="R33" s="56"/>
      <c r="S33" s="56"/>
      <c r="T33" s="56"/>
      <c r="U33" s="56"/>
      <c r="V33" s="56"/>
      <c r="W33" s="56"/>
      <c r="X33" s="56"/>
      <c r="Y33" s="56"/>
      <c r="Z33" s="56"/>
      <c r="AA33" s="56"/>
      <c r="AB33" s="56"/>
      <c r="AC33" s="56"/>
    </row>
    <row r="34" spans="9:29">
      <c r="I34" s="56"/>
      <c r="J34" s="56"/>
      <c r="K34" s="56"/>
      <c r="L34" s="56"/>
      <c r="M34" s="56"/>
      <c r="N34" s="56"/>
      <c r="O34" s="56"/>
      <c r="P34" s="56"/>
      <c r="Q34" s="56"/>
      <c r="R34" s="56"/>
      <c r="S34" s="56"/>
      <c r="T34" s="56"/>
      <c r="U34" s="56"/>
      <c r="V34" s="56"/>
      <c r="W34" s="56"/>
      <c r="X34" s="56"/>
      <c r="Y34" s="56"/>
      <c r="Z34" s="56"/>
      <c r="AA34" s="56"/>
      <c r="AB34" s="56"/>
      <c r="AC34" s="56"/>
    </row>
    <row r="35" spans="9:29">
      <c r="I35" s="56"/>
      <c r="J35" s="56"/>
      <c r="K35" s="56"/>
      <c r="L35" s="56"/>
      <c r="M35" s="56"/>
      <c r="N35" s="56"/>
      <c r="O35" s="56"/>
      <c r="P35" s="56"/>
      <c r="Q35" s="56"/>
      <c r="R35" s="56"/>
      <c r="S35" s="56"/>
      <c r="T35" s="56"/>
      <c r="U35" s="56"/>
      <c r="V35" s="56"/>
      <c r="W35" s="56"/>
      <c r="X35" s="56"/>
      <c r="Y35" s="56"/>
      <c r="Z35" s="56"/>
      <c r="AA35" s="56"/>
      <c r="AB35" s="56"/>
      <c r="AC35" s="56"/>
    </row>
    <row r="36" spans="9:29">
      <c r="J36" s="56"/>
      <c r="K36" s="56"/>
      <c r="L36" s="56"/>
      <c r="M36" s="56"/>
      <c r="N36" s="56"/>
      <c r="O36" s="56"/>
      <c r="P36" s="56"/>
      <c r="Q36" s="56"/>
      <c r="R36" s="56"/>
      <c r="S36" s="56"/>
      <c r="T36" s="56"/>
      <c r="U36" s="56"/>
      <c r="V36" s="56"/>
      <c r="W36" s="56"/>
      <c r="X36" s="56"/>
      <c r="Y36" s="56"/>
      <c r="Z36" s="56"/>
      <c r="AA36" s="56"/>
      <c r="AB36" s="56"/>
      <c r="AC36" s="56"/>
    </row>
    <row r="37" spans="9:29">
      <c r="J37" s="56"/>
      <c r="K37" s="56"/>
      <c r="L37" s="56"/>
      <c r="M37" s="56"/>
      <c r="N37" s="56"/>
      <c r="O37" s="56"/>
      <c r="P37" s="56"/>
      <c r="Q37" s="56"/>
      <c r="R37" s="56"/>
      <c r="S37" s="56"/>
      <c r="T37" s="56"/>
      <c r="U37" s="56"/>
      <c r="V37" s="56"/>
      <c r="W37" s="56"/>
      <c r="X37" s="56"/>
      <c r="Y37" s="56"/>
      <c r="Z37" s="56"/>
      <c r="AA37" s="56"/>
      <c r="AB37" s="56"/>
      <c r="AC37" s="56"/>
    </row>
    <row r="38" spans="9:29">
      <c r="J38" s="56"/>
      <c r="K38" s="56"/>
      <c r="L38" s="56"/>
      <c r="M38" s="56"/>
      <c r="N38" s="56"/>
      <c r="O38" s="56"/>
      <c r="P38" s="56"/>
      <c r="Q38" s="56"/>
      <c r="R38" s="56"/>
      <c r="S38" s="56"/>
      <c r="T38" s="56"/>
      <c r="U38" s="56"/>
      <c r="V38" s="56"/>
      <c r="W38" s="56"/>
      <c r="X38" s="56"/>
      <c r="Y38" s="56"/>
      <c r="Z38" s="56"/>
      <c r="AA38" s="56"/>
      <c r="AB38" s="56"/>
      <c r="AC38" s="56"/>
    </row>
  </sheetData>
  <pageMargins left="0.7" right="0.7" top="0.75" bottom="0.75" header="0.3" footer="0.3"/>
  <pageSetup orientation="landscape" r:id="rId1"/>
  <extLst>
    <ext xmlns:x14="http://schemas.microsoft.com/office/spreadsheetml/2009/9/main" uri="{05C60535-1F16-4fd2-B633-F4F36F0B64E0}">
      <x14:sparklineGroups xmlns:xm="http://schemas.microsoft.com/office/excel/2006/main">
        <x14:sparklineGroup lineWeight="1.5" displayEmptyCellsAs="gap" markers="1">
          <x14:colorSeries theme="2" tint="-0.499984740745262"/>
          <x14:colorNegative rgb="FFD00000"/>
          <x14:colorAxis rgb="FF000000"/>
          <x14:colorMarkers theme="2" tint="-0.499984740745262"/>
          <x14:colorFirst rgb="FFD00000"/>
          <x14:colorLast rgb="FFD00000"/>
          <x14:colorHigh rgb="FFD00000"/>
          <x14:colorLow rgb="FFD00000"/>
          <x14:sparklines>
            <x14:sparkline>
              <xm:f>'Growth Rate'!C8:H8</xm:f>
              <xm:sqref>H8</xm:sqref>
            </x14:sparkline>
          </x14:sparklines>
        </x14:sparklineGroup>
        <x14:sparklineGroup lineWeight="1.5" displayEmptyCellsAs="gap" markers="1">
          <x14:colorSeries theme="2" tint="-0.499984740745262"/>
          <x14:colorNegative rgb="FFD00000"/>
          <x14:colorAxis rgb="FF000000"/>
          <x14:colorMarkers theme="2" tint="-0.499984740745262"/>
          <x14:colorFirst rgb="FFD00000"/>
          <x14:colorLast rgb="FFD00000"/>
          <x14:colorHigh rgb="FFD00000"/>
          <x14:colorLow rgb="FFD00000"/>
          <x14:sparklines>
            <x14:sparkline>
              <xm:f>'Growth Rate'!C14:H14</xm:f>
              <xm:sqref>H14</xm:sqref>
            </x14:sparkline>
          </x14:sparklines>
        </x14:sparklineGroup>
        <x14:sparklineGroup lineWeight="1.5" displayEmptyCellsAs="gap" markers="1">
          <x14:colorSeries theme="2" tint="-0.499984740745262"/>
          <x14:colorNegative rgb="FFD00000"/>
          <x14:colorAxis rgb="FF000000"/>
          <x14:colorMarkers theme="2" tint="-0.499984740745262"/>
          <x14:colorFirst rgb="FFD00000"/>
          <x14:colorLast rgb="FFD00000"/>
          <x14:colorHigh rgb="FFD00000"/>
          <x14:colorLow rgb="FFD00000"/>
          <x14:sparklines>
            <x14:sparkline>
              <xm:f>'Growth Rate'!C12:H12</xm:f>
              <xm:sqref>H12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zoomScaleNormal="100" workbookViewId="0"/>
  </sheetViews>
  <sheetFormatPr defaultRowHeight="12"/>
  <cols>
    <col min="1" max="1" width="2" style="51" customWidth="1"/>
    <col min="2" max="2" width="27" style="51" customWidth="1"/>
    <col min="3" max="6" width="11.7109375" style="51" customWidth="1"/>
    <col min="7" max="7" width="11.7109375" style="51" customWidth="1" collapsed="1"/>
    <col min="8" max="13" width="11.7109375" style="51" customWidth="1"/>
    <col min="14" max="14" width="2.85546875" style="51" customWidth="1"/>
    <col min="15" max="17" width="11.7109375" style="51" customWidth="1"/>
    <col min="18" max="18" width="13.140625" style="51" customWidth="1"/>
    <col min="19" max="28" width="9.140625" style="51" customWidth="1"/>
    <col min="29" max="29" width="9.28515625" style="51" customWidth="1"/>
    <col min="30" max="30" width="9.42578125" style="51" customWidth="1"/>
    <col min="31" max="31" width="10" style="51" customWidth="1"/>
    <col min="32" max="32" width="11.42578125" style="51" customWidth="1"/>
    <col min="33" max="33" width="9.42578125" style="51" bestFit="1" customWidth="1" collapsed="1"/>
    <col min="34" max="16384" width="9.140625" style="51"/>
  </cols>
  <sheetData>
    <row r="1" spans="1:32" s="50" customFormat="1" ht="15" customHeight="1">
      <c r="B1" s="15" t="s">
        <v>211</v>
      </c>
      <c r="C1" s="49"/>
      <c r="D1" s="49"/>
      <c r="E1" s="49"/>
      <c r="F1" s="49"/>
      <c r="G1" s="49"/>
      <c r="H1" s="49"/>
      <c r="I1" s="49"/>
      <c r="J1" s="49"/>
      <c r="K1" s="49"/>
      <c r="L1" s="49"/>
      <c r="M1" s="49"/>
      <c r="N1" s="49"/>
    </row>
    <row r="2" spans="1:32" ht="12" customHeight="1"/>
    <row r="3" spans="1:32" ht="12" customHeight="1">
      <c r="A3" s="53"/>
      <c r="B3" s="153" t="s">
        <v>241</v>
      </c>
      <c r="C3" s="153"/>
      <c r="D3" s="153"/>
      <c r="E3" s="153"/>
      <c r="F3" s="153"/>
      <c r="G3" s="153"/>
      <c r="H3" s="153"/>
      <c r="I3" s="153"/>
      <c r="J3" s="153"/>
      <c r="K3" s="153"/>
      <c r="L3" s="153"/>
      <c r="M3" s="153"/>
      <c r="O3" s="225" t="s">
        <v>289</v>
      </c>
      <c r="P3" s="226"/>
    </row>
    <row r="4" spans="1:32" ht="12" customHeight="1" thickBot="1">
      <c r="A4" s="57"/>
      <c r="B4" s="227" t="str">
        <f>Drivers!$C$5&amp;" in mil"</f>
        <v>$ in mil</v>
      </c>
      <c r="C4" s="228">
        <v>45016</v>
      </c>
      <c r="D4" s="229">
        <f>EDATE(C4,12)</f>
        <v>45382</v>
      </c>
      <c r="E4" s="229">
        <f t="shared" ref="E4:M4" si="0">EDATE(D4,12)</f>
        <v>45747</v>
      </c>
      <c r="F4" s="229">
        <f t="shared" si="0"/>
        <v>46112</v>
      </c>
      <c r="G4" s="229">
        <f t="shared" si="0"/>
        <v>46477</v>
      </c>
      <c r="H4" s="229">
        <f t="shared" si="0"/>
        <v>46843</v>
      </c>
      <c r="I4" s="229">
        <f t="shared" si="0"/>
        <v>47208</v>
      </c>
      <c r="J4" s="229">
        <f t="shared" si="0"/>
        <v>47573</v>
      </c>
      <c r="K4" s="229">
        <f t="shared" si="0"/>
        <v>47938</v>
      </c>
      <c r="L4" s="229">
        <f t="shared" si="0"/>
        <v>48304</v>
      </c>
      <c r="M4" s="229">
        <f t="shared" si="0"/>
        <v>48669</v>
      </c>
      <c r="O4" s="230"/>
      <c r="P4" s="231"/>
      <c r="Q4" s="232"/>
    </row>
    <row r="5" spans="1:32" ht="12" customHeight="1">
      <c r="A5" s="57"/>
      <c r="B5" s="320" t="s">
        <v>216</v>
      </c>
      <c r="C5" s="321">
        <f>'Regulatory Capital'!H25</f>
        <v>1650014</v>
      </c>
      <c r="D5" s="321">
        <f>C5*(1+D6)</f>
        <v>1674764.2099999997</v>
      </c>
      <c r="E5" s="321">
        <f t="shared" ref="E5:M5" ca="1" si="1">D5*(1+E6)</f>
        <v>1699187.8547291665</v>
      </c>
      <c r="F5" s="321">
        <f t="shared" ca="1" si="1"/>
        <v>1723259.682671163</v>
      </c>
      <c r="G5" s="321">
        <f t="shared" ca="1" si="1"/>
        <v>1746954.5033078913</v>
      </c>
      <c r="H5" s="321">
        <f t="shared" ca="1" si="1"/>
        <v>1770247.2300186635</v>
      </c>
      <c r="I5" s="321">
        <f t="shared" ca="1" si="1"/>
        <v>1793112.9234064044</v>
      </c>
      <c r="J5" s="321">
        <f t="shared" ca="1" si="1"/>
        <v>1815526.8349489844</v>
      </c>
      <c r="K5" s="321">
        <f t="shared" ca="1" si="1"/>
        <v>1836707.9813567228</v>
      </c>
      <c r="L5" s="321">
        <f t="shared" ca="1" si="1"/>
        <v>1856605.6511547538</v>
      </c>
      <c r="M5" s="321">
        <f t="shared" ca="1" si="1"/>
        <v>1875171.7076663014</v>
      </c>
      <c r="N5" s="235"/>
      <c r="O5" s="236" t="s">
        <v>212</v>
      </c>
      <c r="P5" s="237">
        <v>1.4999999999999999E-2</v>
      </c>
      <c r="Q5" s="90"/>
      <c r="R5" s="90"/>
      <c r="S5" s="56"/>
      <c r="T5" s="56"/>
    </row>
    <row r="6" spans="1:32" ht="12" customHeight="1">
      <c r="A6" s="57"/>
      <c r="B6" s="238" t="s">
        <v>214</v>
      </c>
      <c r="C6" s="237"/>
      <c r="D6" s="237">
        <f>P5</f>
        <v>1.4999999999999999E-2</v>
      </c>
      <c r="E6" s="237">
        <f t="shared" ref="E6" ca="1" si="2">AVERAGE(D6,F6)</f>
        <v>1.458333333333333E-2</v>
      </c>
      <c r="F6" s="237">
        <f ca="1">AVERAGE(E6,G6)</f>
        <v>1.4166666666666661E-2</v>
      </c>
      <c r="G6" s="237">
        <f ca="1">AVERAGE(F6,H6)</f>
        <v>1.3749999999999993E-2</v>
      </c>
      <c r="H6" s="237">
        <f ca="1">AVERAGE(G6,I6)</f>
        <v>1.3333333333333326E-2</v>
      </c>
      <c r="I6" s="237">
        <f ca="1">AVERAGE(H6,J6)</f>
        <v>1.291666666666666E-2</v>
      </c>
      <c r="J6" s="237">
        <f ca="1">AVERAGE(H6,K6)</f>
        <v>1.2499999999999994E-2</v>
      </c>
      <c r="K6" s="237">
        <f ca="1">AVERAGE(H6,M6)</f>
        <v>1.1666666666666662E-2</v>
      </c>
      <c r="L6" s="237">
        <f ca="1">AVERAGE(K6,M6)</f>
        <v>1.083333333333333E-2</v>
      </c>
      <c r="M6" s="244">
        <f>P6</f>
        <v>0.01</v>
      </c>
      <c r="N6" s="239"/>
      <c r="O6" s="236" t="s">
        <v>213</v>
      </c>
      <c r="P6" s="237">
        <v>0.01</v>
      </c>
      <c r="Q6" s="41"/>
      <c r="R6" s="240"/>
      <c r="S6" s="56"/>
      <c r="T6" s="56"/>
    </row>
    <row r="7" spans="1:32" ht="12" customHeight="1">
      <c r="B7" s="245" t="s">
        <v>46</v>
      </c>
      <c r="C7" s="246">
        <f>'Regulatory Capital'!H18</f>
        <v>253824</v>
      </c>
      <c r="D7" s="246">
        <f>D5*D8</f>
        <v>257497.23001471875</v>
      </c>
      <c r="E7" s="246">
        <f t="shared" ref="E7:M7" ca="1" si="3">E5*E8</f>
        <v>261116.31190486677</v>
      </c>
      <c r="F7" s="246">
        <f t="shared" ca="1" si="3"/>
        <v>264539.43179037148</v>
      </c>
      <c r="G7" s="246">
        <f t="shared" ca="1" si="3"/>
        <v>267897.02572784398</v>
      </c>
      <c r="H7" s="246">
        <f t="shared" ca="1" si="3"/>
        <v>271185.43184457498</v>
      </c>
      <c r="I7" s="246">
        <f t="shared" ca="1" si="3"/>
        <v>274401.02687083732</v>
      </c>
      <c r="J7" s="246">
        <f t="shared" ca="1" si="3"/>
        <v>277540.23269497103</v>
      </c>
      <c r="K7" s="246">
        <f t="shared" ca="1" si="3"/>
        <v>280631.10219630133</v>
      </c>
      <c r="L7" s="246">
        <f t="shared" ca="1" si="3"/>
        <v>283522.57900794892</v>
      </c>
      <c r="M7" s="246">
        <f t="shared" ca="1" si="3"/>
        <v>286057.44400449429</v>
      </c>
      <c r="N7" s="243"/>
      <c r="Q7" s="41"/>
      <c r="R7" s="240"/>
      <c r="S7" s="56"/>
      <c r="T7" s="56"/>
    </row>
    <row r="8" spans="1:32" ht="12" customHeight="1">
      <c r="A8" s="57"/>
      <c r="B8" s="238" t="s">
        <v>218</v>
      </c>
      <c r="C8" s="237">
        <f>C7/C5</f>
        <v>0.15383142203641909</v>
      </c>
      <c r="D8" s="237">
        <f>AVERAGE(C8,E8)</f>
        <v>0.15375133315914291</v>
      </c>
      <c r="E8" s="237">
        <f>AVERAGE(C8,F8)</f>
        <v>0.15367124428186671</v>
      </c>
      <c r="F8" s="237">
        <f>AVERAGE(C8,H8)</f>
        <v>0.15351106652731433</v>
      </c>
      <c r="G8" s="248">
        <f>AVERAGE(F8,H8)</f>
        <v>0.15335088877276193</v>
      </c>
      <c r="H8" s="237">
        <f>AVERAGE(C8,M8)</f>
        <v>0.15319071101820955</v>
      </c>
      <c r="I8" s="61">
        <f>AVERAGE(H8,J8)</f>
        <v>0.15303053326365718</v>
      </c>
      <c r="J8" s="61">
        <f>AVERAGE(H8,M8)</f>
        <v>0.15287035550910477</v>
      </c>
      <c r="K8" s="61">
        <f>AVERAGE(J8,L8)</f>
        <v>0.1527902666318286</v>
      </c>
      <c r="L8" s="61">
        <f>AVERAGE(J8,M8)</f>
        <v>0.1527101777545524</v>
      </c>
      <c r="M8" s="244">
        <f>'Beta &amp; Cost of Equity'!L12</f>
        <v>0.15255000000000002</v>
      </c>
      <c r="N8" s="243"/>
      <c r="Q8" s="41"/>
      <c r="R8" s="240"/>
      <c r="S8" s="56"/>
      <c r="T8" s="56"/>
    </row>
    <row r="9" spans="1:32" ht="12" customHeight="1">
      <c r="A9" s="57"/>
      <c r="B9" s="241" t="s">
        <v>236</v>
      </c>
      <c r="C9" s="242"/>
      <c r="D9" s="242">
        <f>D7-C7</f>
        <v>3673.2300147187489</v>
      </c>
      <c r="E9" s="242">
        <f t="shared" ref="E9:M9" ca="1" si="4">E7-D7</f>
        <v>3619.0818901480234</v>
      </c>
      <c r="F9" s="242">
        <f t="shared" ca="1" si="4"/>
        <v>3423.1198855047114</v>
      </c>
      <c r="G9" s="242">
        <f t="shared" ca="1" si="4"/>
        <v>3357.5939374724985</v>
      </c>
      <c r="H9" s="242">
        <f t="shared" ca="1" si="4"/>
        <v>3288.4061167309992</v>
      </c>
      <c r="I9" s="242">
        <f t="shared" ca="1" si="4"/>
        <v>3215.5950262623373</v>
      </c>
      <c r="J9" s="242">
        <f t="shared" ca="1" si="4"/>
        <v>3139.2058241337072</v>
      </c>
      <c r="K9" s="242">
        <f t="shared" ca="1" si="4"/>
        <v>3090.8695013303077</v>
      </c>
      <c r="L9" s="242">
        <f t="shared" ca="1" si="4"/>
        <v>2891.4768116475898</v>
      </c>
      <c r="M9" s="242">
        <f t="shared" ca="1" si="4"/>
        <v>2534.864996545366</v>
      </c>
      <c r="N9" s="243"/>
      <c r="O9" s="243"/>
      <c r="P9" s="247"/>
      <c r="Q9" s="41"/>
      <c r="R9" s="240"/>
      <c r="S9" s="56"/>
      <c r="T9" s="56"/>
    </row>
    <row r="10" spans="1:32">
      <c r="A10" s="54"/>
      <c r="B10" s="78"/>
      <c r="C10" s="249"/>
      <c r="D10" s="144"/>
      <c r="E10" s="249"/>
      <c r="F10" s="237"/>
      <c r="G10" s="250"/>
      <c r="H10" s="251"/>
      <c r="J10" s="252"/>
      <c r="K10" s="41"/>
      <c r="L10" s="253"/>
      <c r="N10" s="243"/>
      <c r="O10" s="243"/>
      <c r="P10" s="247"/>
      <c r="Q10" s="41"/>
      <c r="R10" s="240"/>
      <c r="S10" s="56"/>
      <c r="T10" s="56"/>
    </row>
    <row r="11" spans="1:32" ht="12" customHeight="1">
      <c r="B11" s="245" t="s">
        <v>47</v>
      </c>
      <c r="C11" s="246">
        <f>'Regulatory Capital'!H8</f>
        <v>275678</v>
      </c>
      <c r="D11" s="254">
        <f>C11+D9</f>
        <v>279351.23001471872</v>
      </c>
      <c r="E11" s="254">
        <f t="shared" ref="E11:K11" ca="1" si="5">D11+E9</f>
        <v>282970.31190486671</v>
      </c>
      <c r="F11" s="254">
        <f t="shared" ca="1" si="5"/>
        <v>286393.43179037143</v>
      </c>
      <c r="G11" s="254">
        <f t="shared" ca="1" si="5"/>
        <v>289751.02572784392</v>
      </c>
      <c r="H11" s="254">
        <f t="shared" ca="1" si="5"/>
        <v>293039.43184457492</v>
      </c>
      <c r="I11" s="254">
        <f t="shared" ca="1" si="5"/>
        <v>296255.02687083726</v>
      </c>
      <c r="J11" s="254">
        <f t="shared" ca="1" si="5"/>
        <v>299394.23269497097</v>
      </c>
      <c r="K11" s="254">
        <f t="shared" ca="1" si="5"/>
        <v>302485.10219630128</v>
      </c>
      <c r="L11" s="254">
        <f ca="1">K11+L9</f>
        <v>305376.57900794887</v>
      </c>
      <c r="M11" s="254">
        <f ca="1">L11+M9</f>
        <v>307911.44400449423</v>
      </c>
      <c r="N11" s="243"/>
      <c r="O11" s="243"/>
      <c r="P11" s="247"/>
      <c r="Q11" s="41"/>
      <c r="R11" s="240"/>
      <c r="S11" s="56"/>
      <c r="T11" s="56"/>
    </row>
    <row r="12" spans="1:32">
      <c r="A12" s="57"/>
      <c r="B12" s="255" t="s">
        <v>219</v>
      </c>
      <c r="C12" s="61">
        <f>C13/C11</f>
        <v>0.15240969536923513</v>
      </c>
      <c r="D12" s="61">
        <f>AVERAGE(C12,E12)</f>
        <v>0.15196221440865793</v>
      </c>
      <c r="E12" s="61">
        <f>AVERAGE(C12,F12)</f>
        <v>0.15151473344808075</v>
      </c>
      <c r="F12" s="61">
        <f>AVERAGE(C12,H12)</f>
        <v>0.15061977152692635</v>
      </c>
      <c r="G12" s="61">
        <f>AVERAGE(F12,H12)</f>
        <v>0.14972480960577195</v>
      </c>
      <c r="H12" s="61">
        <f>AVERAGE(C12,M12)</f>
        <v>0.14882984768461754</v>
      </c>
      <c r="I12" s="61">
        <f>AVERAGE(H12,J12)</f>
        <v>0.14793488576346314</v>
      </c>
      <c r="J12" s="61">
        <f>AVERAGE(H12,M12)</f>
        <v>0.14703992384230877</v>
      </c>
      <c r="K12" s="61">
        <f>AVERAGE(J12,L12)</f>
        <v>0.14659244288173157</v>
      </c>
      <c r="L12" s="61">
        <f>AVERAGE(J12,M12)</f>
        <v>0.14614496192115439</v>
      </c>
      <c r="M12" s="61">
        <f>'Beta &amp; Cost of Equity'!L18</f>
        <v>0.14524999999999999</v>
      </c>
      <c r="N12" s="243"/>
      <c r="O12" s="243"/>
      <c r="P12" s="247"/>
      <c r="Q12" s="41"/>
      <c r="R12" s="240"/>
      <c r="S12" s="56"/>
      <c r="T12" s="56"/>
    </row>
    <row r="13" spans="1:32">
      <c r="B13" s="256" t="s">
        <v>48</v>
      </c>
      <c r="C13" s="278">
        <f>12622+11008+9737+8649</f>
        <v>42016</v>
      </c>
      <c r="D13" s="258">
        <f>D11*D12</f>
        <v>42450.831510819</v>
      </c>
      <c r="E13" s="258">
        <f t="shared" ref="E13:M13" ca="1" si="6">E11*E12</f>
        <v>42874.171381986154</v>
      </c>
      <c r="F13" s="258">
        <f t="shared" ca="1" si="6"/>
        <v>43136.513263078108</v>
      </c>
      <c r="G13" s="258">
        <f t="shared" ca="1" si="6"/>
        <v>43382.917160178564</v>
      </c>
      <c r="H13" s="258">
        <f t="shared" ca="1" si="6"/>
        <v>43613.01400701495</v>
      </c>
      <c r="I13" s="258">
        <f t="shared" ca="1" si="6"/>
        <v>43826.453556989014</v>
      </c>
      <c r="J13" s="258">
        <f t="shared" ca="1" si="6"/>
        <v>44022.905174295003</v>
      </c>
      <c r="K13" s="258">
        <f t="shared" ca="1" si="6"/>
        <v>44342.030066286032</v>
      </c>
      <c r="L13" s="258">
        <f t="shared" ca="1" si="6"/>
        <v>44629.248510729085</v>
      </c>
      <c r="M13" s="258">
        <f t="shared" ca="1" si="6"/>
        <v>44724.137241652781</v>
      </c>
      <c r="N13" s="243"/>
      <c r="O13" s="243"/>
      <c r="P13" s="247"/>
      <c r="Q13" s="41"/>
      <c r="R13" s="240"/>
      <c r="S13" s="56"/>
      <c r="T13" s="56"/>
    </row>
    <row r="14" spans="1:32">
      <c r="A14" s="57"/>
      <c r="N14" s="243"/>
      <c r="O14" s="243"/>
      <c r="P14" s="247"/>
      <c r="Q14" s="41"/>
      <c r="R14" s="240"/>
      <c r="S14" s="56"/>
      <c r="T14" s="56"/>
    </row>
    <row r="15" spans="1:32">
      <c r="B15" s="245" t="s">
        <v>29</v>
      </c>
      <c r="C15" s="246"/>
      <c r="D15" s="261">
        <f>D9</f>
        <v>3673.2300147187489</v>
      </c>
      <c r="E15" s="261">
        <f t="shared" ref="E15:M15" ca="1" si="7">E9</f>
        <v>3619.0818901480234</v>
      </c>
      <c r="F15" s="261">
        <f t="shared" ca="1" si="7"/>
        <v>3423.1198855047114</v>
      </c>
      <c r="G15" s="261">
        <f t="shared" ca="1" si="7"/>
        <v>3357.5939374724985</v>
      </c>
      <c r="H15" s="261">
        <f t="shared" ca="1" si="7"/>
        <v>3288.4061167309992</v>
      </c>
      <c r="I15" s="261">
        <f t="shared" ca="1" si="7"/>
        <v>3215.5950262623373</v>
      </c>
      <c r="J15" s="261">
        <f t="shared" ca="1" si="7"/>
        <v>3139.2058241337072</v>
      </c>
      <c r="K15" s="261">
        <f t="shared" ca="1" si="7"/>
        <v>3090.8695013303077</v>
      </c>
      <c r="L15" s="261">
        <f t="shared" ca="1" si="7"/>
        <v>2891.4768116475898</v>
      </c>
      <c r="M15" s="261">
        <f t="shared" ca="1" si="7"/>
        <v>2534.864996545366</v>
      </c>
      <c r="N15" s="243"/>
      <c r="O15" s="243"/>
      <c r="P15" s="247"/>
      <c r="Q15" s="41"/>
      <c r="R15" s="240"/>
      <c r="S15" s="56"/>
      <c r="T15" s="56"/>
      <c r="U15" s="56"/>
      <c r="V15" s="56"/>
      <c r="W15" s="56"/>
      <c r="X15" s="56"/>
      <c r="Y15" s="56"/>
      <c r="Z15" s="56"/>
    </row>
    <row r="16" spans="1:32">
      <c r="B16" s="56" t="s">
        <v>215</v>
      </c>
      <c r="C16" s="260"/>
      <c r="D16" s="61">
        <f>D15/D13</f>
        <v>8.6529047464773245E-2</v>
      </c>
      <c r="E16" s="61">
        <f t="shared" ref="E16:M16" ca="1" si="8">E15/E13</f>
        <v>8.4411704611243005E-2</v>
      </c>
      <c r="F16" s="61">
        <f t="shared" ca="1" si="8"/>
        <v>7.9355507122887164E-2</v>
      </c>
      <c r="G16" s="61">
        <f t="shared" ca="1" si="8"/>
        <v>7.7394379107231959E-2</v>
      </c>
      <c r="H16" s="61">
        <f t="shared" ca="1" si="8"/>
        <v>7.5399652869716241E-2</v>
      </c>
      <c r="I16" s="61">
        <f t="shared" ca="1" si="8"/>
        <v>7.3371098167479845E-2</v>
      </c>
      <c r="J16" s="61">
        <f t="shared" ca="1" si="8"/>
        <v>7.1308465711315466E-2</v>
      </c>
      <c r="K16" s="61">
        <f t="shared" ca="1" si="8"/>
        <v>6.9705187081191985E-2</v>
      </c>
      <c r="L16" s="61">
        <f t="shared" ca="1" si="8"/>
        <v>6.4788830377739054E-2</v>
      </c>
      <c r="M16" s="61">
        <f t="shared" ca="1" si="8"/>
        <v>5.6677784142576564E-2</v>
      </c>
      <c r="N16" s="243"/>
      <c r="O16" s="243"/>
      <c r="P16" s="247"/>
      <c r="Q16" s="41"/>
      <c r="R16" s="240"/>
      <c r="S16" s="56"/>
      <c r="T16" s="56"/>
      <c r="U16" s="56"/>
      <c r="V16" s="56"/>
      <c r="W16" s="56"/>
      <c r="X16" s="56"/>
      <c r="Y16" s="56"/>
      <c r="Z16" s="56"/>
      <c r="AA16" s="56"/>
      <c r="AB16" s="56"/>
      <c r="AC16" s="56"/>
      <c r="AD16" s="56"/>
      <c r="AE16" s="56"/>
      <c r="AF16" s="56"/>
    </row>
    <row r="17" spans="1:34">
      <c r="B17" s="56"/>
      <c r="C17" s="61"/>
      <c r="D17" s="61"/>
      <c r="E17" s="61"/>
      <c r="F17" s="61"/>
      <c r="G17" s="61"/>
      <c r="H17" s="61"/>
      <c r="I17" s="61"/>
      <c r="J17" s="61"/>
      <c r="K17" s="61"/>
      <c r="L17" s="61"/>
      <c r="M17" s="61"/>
      <c r="N17" s="243"/>
      <c r="O17" s="243"/>
      <c r="P17" s="247"/>
      <c r="Q17" s="41"/>
      <c r="R17" s="240"/>
      <c r="S17" s="56"/>
      <c r="T17" s="56"/>
      <c r="U17" s="56"/>
      <c r="V17" s="56"/>
      <c r="W17" s="56"/>
      <c r="X17" s="56"/>
      <c r="Y17" s="56"/>
      <c r="Z17" s="56"/>
      <c r="AA17" s="56"/>
      <c r="AB17" s="56"/>
      <c r="AC17" s="56"/>
      <c r="AD17" s="56"/>
      <c r="AE17" s="56"/>
      <c r="AF17" s="56"/>
    </row>
    <row r="18" spans="1:34">
      <c r="B18" s="262" t="s">
        <v>241</v>
      </c>
      <c r="C18" s="263"/>
      <c r="D18" s="263">
        <f>D13-D15</f>
        <v>38777.601496100251</v>
      </c>
      <c r="E18" s="263">
        <f t="shared" ref="E18:M18" ca="1" si="9">E13-E15</f>
        <v>39255.089491838131</v>
      </c>
      <c r="F18" s="263">
        <f t="shared" ca="1" si="9"/>
        <v>39713.393377573397</v>
      </c>
      <c r="G18" s="263">
        <f t="shared" ca="1" si="9"/>
        <v>40025.323222706065</v>
      </c>
      <c r="H18" s="263">
        <f t="shared" ca="1" si="9"/>
        <v>40324.607890283951</v>
      </c>
      <c r="I18" s="263">
        <f t="shared" ca="1" si="9"/>
        <v>40610.858530726677</v>
      </c>
      <c r="J18" s="263">
        <f t="shared" ca="1" si="9"/>
        <v>40883.699350161296</v>
      </c>
      <c r="K18" s="263">
        <f t="shared" ca="1" si="9"/>
        <v>41251.160564955724</v>
      </c>
      <c r="L18" s="263">
        <f t="shared" ca="1" si="9"/>
        <v>41737.771699081495</v>
      </c>
      <c r="M18" s="263">
        <f t="shared" ca="1" si="9"/>
        <v>42189.272245107415</v>
      </c>
      <c r="N18" s="187"/>
      <c r="R18" s="56"/>
      <c r="S18" s="56"/>
      <c r="T18" s="56"/>
      <c r="U18" s="56"/>
      <c r="V18" s="56"/>
      <c r="W18" s="56"/>
      <c r="X18" s="56"/>
      <c r="Y18" s="56"/>
      <c r="Z18" s="56"/>
      <c r="AA18" s="56"/>
      <c r="AB18" s="56"/>
      <c r="AC18" s="56"/>
      <c r="AD18" s="56"/>
      <c r="AE18" s="56"/>
      <c r="AF18" s="56"/>
    </row>
    <row r="19" spans="1:34">
      <c r="A19" s="57"/>
      <c r="N19" s="40"/>
      <c r="O19" s="40"/>
      <c r="R19" s="56"/>
      <c r="S19" s="56"/>
      <c r="T19" s="56"/>
      <c r="U19" s="56"/>
      <c r="V19" s="56"/>
      <c r="W19" s="56"/>
      <c r="X19" s="56"/>
      <c r="Y19" s="56"/>
      <c r="Z19" s="56"/>
      <c r="AA19" s="56"/>
      <c r="AB19" s="56"/>
      <c r="AC19" s="56"/>
      <c r="AD19" s="56"/>
      <c r="AE19" s="56"/>
      <c r="AF19" s="56"/>
    </row>
    <row r="20" spans="1:34" ht="12" customHeight="1">
      <c r="N20" s="259"/>
      <c r="O20" s="259"/>
      <c r="R20" s="56"/>
      <c r="S20" s="56"/>
      <c r="T20" s="56"/>
      <c r="U20" s="56"/>
      <c r="V20" s="56"/>
      <c r="W20" s="56"/>
      <c r="X20" s="56"/>
      <c r="Y20" s="56"/>
      <c r="Z20" s="56"/>
      <c r="AA20" s="56"/>
      <c r="AB20" s="56"/>
      <c r="AC20" s="56"/>
      <c r="AD20" s="56"/>
      <c r="AE20" s="56"/>
      <c r="AF20" s="56"/>
    </row>
    <row r="21" spans="1:34">
      <c r="A21" s="57"/>
      <c r="L21" s="56"/>
      <c r="N21" s="259"/>
      <c r="O21" s="56"/>
      <c r="R21" s="56"/>
      <c r="S21" s="56"/>
      <c r="T21" s="56"/>
      <c r="U21" s="56"/>
      <c r="V21" s="56"/>
      <c r="W21" s="56"/>
      <c r="X21" s="56"/>
      <c r="Y21" s="56"/>
      <c r="Z21" s="56"/>
      <c r="AA21" s="56"/>
      <c r="AB21" s="56"/>
      <c r="AC21" s="56"/>
      <c r="AD21" s="56"/>
      <c r="AE21" s="56"/>
      <c r="AF21" s="56"/>
    </row>
    <row r="22" spans="1:34">
      <c r="D22" s="34"/>
      <c r="L22" s="56"/>
      <c r="N22" s="63"/>
      <c r="O22" s="56"/>
      <c r="P22" s="56"/>
      <c r="Q22" s="56"/>
      <c r="R22" s="56"/>
      <c r="S22" s="56"/>
      <c r="T22" s="56"/>
      <c r="U22" s="56"/>
      <c r="V22" s="56"/>
      <c r="W22" s="56"/>
      <c r="X22" s="56"/>
      <c r="Y22" s="56"/>
      <c r="Z22" s="56"/>
      <c r="AA22" s="56"/>
      <c r="AB22" s="56"/>
      <c r="AC22" s="56"/>
      <c r="AD22" s="56"/>
      <c r="AE22" s="56"/>
      <c r="AF22" s="56"/>
      <c r="AG22" s="56"/>
    </row>
    <row r="23" spans="1:34">
      <c r="L23" s="56"/>
      <c r="N23" s="63"/>
      <c r="O23" s="56"/>
      <c r="P23" s="56"/>
      <c r="Q23" s="56"/>
      <c r="R23" s="56"/>
      <c r="S23" s="56"/>
      <c r="T23" s="56"/>
      <c r="U23" s="56"/>
      <c r="V23" s="56"/>
      <c r="W23" s="56"/>
      <c r="X23" s="56"/>
      <c r="Y23" s="56"/>
      <c r="Z23" s="56"/>
      <c r="AA23" s="56"/>
      <c r="AB23" s="56"/>
      <c r="AC23" s="56"/>
      <c r="AD23" s="56"/>
      <c r="AE23" s="56"/>
      <c r="AF23" s="56"/>
      <c r="AG23" s="56"/>
      <c r="AH23" s="56"/>
    </row>
    <row r="24" spans="1:34">
      <c r="L24" s="56"/>
      <c r="M24" s="56"/>
      <c r="N24" s="63"/>
      <c r="O24" s="56"/>
      <c r="P24" s="56"/>
      <c r="Q24" s="56"/>
      <c r="R24" s="56"/>
      <c r="S24" s="56"/>
      <c r="T24" s="56"/>
      <c r="U24" s="56"/>
      <c r="V24" s="56"/>
      <c r="W24" s="56"/>
      <c r="X24" s="56"/>
      <c r="Y24" s="56"/>
      <c r="Z24" s="56"/>
      <c r="AA24" s="56"/>
      <c r="AB24" s="56"/>
      <c r="AC24" s="56"/>
      <c r="AD24" s="56"/>
      <c r="AE24" s="56"/>
      <c r="AF24" s="56"/>
    </row>
    <row r="25" spans="1:34">
      <c r="L25" s="56"/>
      <c r="M25" s="56"/>
      <c r="N25" s="64"/>
      <c r="O25" s="56"/>
      <c r="P25" s="56"/>
      <c r="Q25" s="56"/>
      <c r="R25" s="56"/>
      <c r="S25" s="56"/>
      <c r="T25" s="56"/>
      <c r="U25" s="56"/>
      <c r="V25" s="56"/>
      <c r="W25" s="56"/>
      <c r="X25" s="56"/>
      <c r="Y25" s="56"/>
      <c r="Z25" s="56"/>
      <c r="AA25" s="56"/>
      <c r="AB25" s="56"/>
      <c r="AC25" s="56"/>
      <c r="AD25" s="56"/>
      <c r="AE25" s="56"/>
      <c r="AF25" s="56"/>
    </row>
    <row r="26" spans="1:34">
      <c r="L26" s="56"/>
      <c r="M26" s="56"/>
      <c r="N26" s="56"/>
      <c r="O26" s="56"/>
      <c r="P26" s="56"/>
      <c r="Q26" s="56"/>
      <c r="R26" s="56"/>
      <c r="S26" s="56"/>
      <c r="T26" s="56"/>
      <c r="U26" s="56"/>
      <c r="V26" s="56"/>
      <c r="W26" s="56"/>
      <c r="X26" s="56"/>
      <c r="Y26" s="56"/>
      <c r="Z26" s="56"/>
      <c r="AA26" s="56"/>
      <c r="AB26" s="56"/>
      <c r="AC26" s="56"/>
      <c r="AD26" s="56"/>
      <c r="AE26" s="56"/>
      <c r="AF26" s="56"/>
    </row>
    <row r="27" spans="1:34">
      <c r="L27" s="56"/>
      <c r="M27" s="56"/>
      <c r="O27" s="56"/>
      <c r="P27" s="56"/>
      <c r="Q27" s="56"/>
      <c r="R27" s="56"/>
      <c r="S27" s="56"/>
      <c r="T27" s="56"/>
      <c r="U27" s="56"/>
      <c r="V27" s="56"/>
      <c r="W27" s="56"/>
      <c r="X27" s="56"/>
      <c r="Y27" s="56"/>
      <c r="Z27" s="56"/>
      <c r="AA27" s="56"/>
      <c r="AB27" s="56"/>
      <c r="AC27" s="56"/>
      <c r="AD27" s="56"/>
      <c r="AE27" s="56"/>
      <c r="AF27" s="56"/>
      <c r="AG27" s="56"/>
      <c r="AH27" s="56"/>
    </row>
    <row r="28" spans="1:34">
      <c r="L28" s="56"/>
      <c r="M28" s="56"/>
      <c r="O28" s="56"/>
      <c r="P28" s="56"/>
      <c r="Q28" s="56"/>
      <c r="R28" s="56"/>
      <c r="S28" s="56"/>
      <c r="T28" s="56"/>
      <c r="U28" s="56"/>
      <c r="V28" s="56"/>
      <c r="W28" s="56"/>
      <c r="X28" s="56"/>
      <c r="Y28" s="56"/>
      <c r="Z28" s="56"/>
      <c r="AA28" s="56"/>
      <c r="AB28" s="56"/>
      <c r="AC28" s="56"/>
      <c r="AD28" s="56"/>
      <c r="AE28" s="56"/>
      <c r="AF28" s="56"/>
      <c r="AG28" s="56"/>
      <c r="AH28" s="56"/>
    </row>
    <row r="29" spans="1:34">
      <c r="L29" s="56"/>
      <c r="M29" s="56"/>
      <c r="O29" s="56"/>
      <c r="P29" s="56"/>
      <c r="Q29" s="56"/>
      <c r="R29" s="56"/>
      <c r="S29" s="56"/>
      <c r="T29" s="56"/>
      <c r="U29" s="56"/>
      <c r="V29" s="56"/>
      <c r="W29" s="56"/>
      <c r="X29" s="56"/>
      <c r="Y29" s="56"/>
      <c r="Z29" s="56"/>
      <c r="AA29" s="56"/>
      <c r="AB29" s="56"/>
      <c r="AC29" s="56"/>
      <c r="AD29" s="56"/>
      <c r="AE29" s="56"/>
      <c r="AF29" s="56"/>
      <c r="AG29" s="56"/>
      <c r="AH29" s="56"/>
    </row>
    <row r="30" spans="1:34" ht="14.25" customHeight="1">
      <c r="L30" s="56"/>
      <c r="M30" s="56"/>
      <c r="P30" s="56"/>
      <c r="Q30" s="56"/>
      <c r="R30" s="56"/>
      <c r="S30" s="56"/>
      <c r="T30" s="56"/>
      <c r="U30" s="56"/>
      <c r="V30" s="56"/>
      <c r="W30" s="56"/>
      <c r="X30" s="56"/>
      <c r="Y30" s="56"/>
      <c r="Z30" s="56"/>
      <c r="AA30" s="56"/>
      <c r="AB30" s="56"/>
      <c r="AC30" s="56"/>
      <c r="AD30" s="56"/>
      <c r="AE30" s="56"/>
      <c r="AF30" s="56"/>
      <c r="AG30" s="56"/>
      <c r="AH30" s="56"/>
    </row>
    <row r="31" spans="1:34">
      <c r="L31" s="56"/>
      <c r="N31" s="56"/>
      <c r="P31" s="56"/>
      <c r="Q31" s="56"/>
      <c r="R31" s="56"/>
      <c r="S31" s="56"/>
      <c r="T31" s="56"/>
      <c r="U31" s="56"/>
      <c r="V31" s="56"/>
      <c r="W31" s="56"/>
      <c r="X31" s="56"/>
      <c r="Y31" s="56"/>
      <c r="Z31" s="56"/>
      <c r="AA31" s="56"/>
      <c r="AB31" s="56"/>
      <c r="AC31" s="56"/>
      <c r="AD31" s="56"/>
      <c r="AE31" s="56"/>
      <c r="AF31" s="56"/>
      <c r="AG31" s="56"/>
      <c r="AH31" s="56"/>
    </row>
    <row r="32" spans="1:34">
      <c r="N32" s="56"/>
      <c r="O32" s="56"/>
      <c r="P32" s="56"/>
      <c r="Q32" s="56"/>
      <c r="R32" s="56"/>
      <c r="S32" s="56"/>
      <c r="T32" s="56"/>
      <c r="U32" s="56"/>
      <c r="V32" s="56"/>
      <c r="W32" s="56"/>
      <c r="X32" s="56"/>
      <c r="Y32" s="56"/>
      <c r="Z32" s="56"/>
      <c r="AA32" s="56"/>
      <c r="AB32" s="56"/>
      <c r="AC32" s="56"/>
      <c r="AD32" s="56"/>
      <c r="AE32" s="56"/>
      <c r="AF32" s="56"/>
      <c r="AG32" s="56"/>
      <c r="AH32" s="56"/>
    </row>
    <row r="33" spans="14:34">
      <c r="N33" s="56"/>
      <c r="O33" s="56"/>
      <c r="P33" s="56"/>
      <c r="Q33" s="56"/>
      <c r="R33" s="56"/>
      <c r="S33" s="56"/>
      <c r="T33" s="56"/>
      <c r="U33" s="56"/>
      <c r="V33" s="56"/>
      <c r="W33" s="56"/>
      <c r="X33" s="56"/>
      <c r="Y33" s="56"/>
      <c r="Z33" s="56"/>
      <c r="AA33" s="56"/>
      <c r="AB33" s="56"/>
      <c r="AC33" s="56"/>
      <c r="AD33" s="56"/>
      <c r="AE33" s="56"/>
      <c r="AF33" s="56"/>
      <c r="AG33" s="56"/>
      <c r="AH33" s="56"/>
    </row>
    <row r="34" spans="14:34">
      <c r="N34" s="56"/>
      <c r="O34" s="56"/>
      <c r="P34" s="56"/>
      <c r="Q34" s="56"/>
      <c r="R34" s="56"/>
      <c r="S34" s="56"/>
      <c r="T34" s="56"/>
      <c r="U34" s="56"/>
      <c r="V34" s="56"/>
      <c r="W34" s="56"/>
      <c r="X34" s="56"/>
      <c r="Y34" s="56"/>
      <c r="Z34" s="56"/>
      <c r="AA34" s="56"/>
      <c r="AB34" s="56"/>
      <c r="AC34" s="56"/>
      <c r="AD34" s="56"/>
      <c r="AE34" s="56"/>
      <c r="AF34" s="56"/>
      <c r="AG34" s="56"/>
      <c r="AH34" s="56"/>
    </row>
    <row r="35" spans="14:34">
      <c r="N35" s="56"/>
      <c r="O35" s="56"/>
      <c r="P35" s="56"/>
      <c r="Q35" s="56"/>
      <c r="R35" s="56"/>
      <c r="S35" s="56"/>
      <c r="T35" s="56"/>
      <c r="U35" s="56"/>
      <c r="V35" s="56"/>
      <c r="W35" s="56"/>
      <c r="X35" s="56"/>
      <c r="Y35" s="56"/>
      <c r="Z35" s="56"/>
      <c r="AA35" s="56"/>
      <c r="AB35" s="56"/>
      <c r="AC35" s="56"/>
      <c r="AD35" s="56"/>
      <c r="AE35" s="56"/>
      <c r="AF35" s="56"/>
      <c r="AG35" s="56"/>
      <c r="AH35" s="56"/>
    </row>
    <row r="36" spans="14:34">
      <c r="N36" s="56"/>
      <c r="O36" s="56"/>
      <c r="P36" s="56"/>
      <c r="Q36" s="56"/>
      <c r="R36" s="56"/>
      <c r="S36" s="56"/>
      <c r="T36" s="56"/>
      <c r="U36" s="56"/>
      <c r="V36" s="56"/>
      <c r="W36" s="56"/>
      <c r="X36" s="56"/>
      <c r="Y36" s="56"/>
      <c r="Z36" s="56"/>
      <c r="AA36" s="56"/>
      <c r="AB36" s="56"/>
      <c r="AC36" s="56"/>
      <c r="AD36" s="56"/>
      <c r="AE36" s="56"/>
      <c r="AF36" s="56"/>
      <c r="AG36" s="56"/>
      <c r="AH36" s="56"/>
    </row>
    <row r="37" spans="14:34">
      <c r="N37" s="56"/>
      <c r="O37" s="56"/>
      <c r="P37" s="56"/>
      <c r="Q37" s="56"/>
      <c r="R37" s="56"/>
      <c r="S37" s="56"/>
      <c r="T37" s="56"/>
      <c r="U37" s="56"/>
      <c r="V37" s="56"/>
      <c r="W37" s="56"/>
      <c r="X37" s="56"/>
      <c r="Y37" s="56"/>
      <c r="Z37" s="56"/>
      <c r="AA37" s="56"/>
      <c r="AB37" s="56"/>
      <c r="AC37" s="56"/>
      <c r="AD37" s="56"/>
      <c r="AE37" s="56"/>
      <c r="AF37" s="56"/>
      <c r="AG37" s="56"/>
      <c r="AH37" s="56"/>
    </row>
    <row r="38" spans="14:34">
      <c r="O38" s="56"/>
      <c r="P38" s="56"/>
      <c r="Q38" s="56"/>
      <c r="R38" s="56"/>
      <c r="S38" s="56"/>
      <c r="T38" s="56"/>
      <c r="U38" s="56"/>
      <c r="V38" s="56"/>
      <c r="W38" s="56"/>
      <c r="X38" s="56"/>
      <c r="Y38" s="56"/>
      <c r="Z38" s="56"/>
      <c r="AA38" s="56"/>
      <c r="AB38" s="56"/>
      <c r="AC38" s="56"/>
      <c r="AD38" s="56"/>
      <c r="AE38" s="56"/>
      <c r="AF38" s="56"/>
      <c r="AG38" s="56"/>
      <c r="AH38" s="56"/>
    </row>
  </sheetData>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51" customWidth="1"/>
    <col min="2" max="2" width="25.7109375" style="51" customWidth="1"/>
    <col min="3" max="3" width="13.140625" style="51" customWidth="1"/>
    <col min="4" max="4" width="9.42578125" style="51" customWidth="1"/>
    <col min="5" max="5" width="21.5703125" style="51" customWidth="1"/>
    <col min="6" max="6" width="10.140625" style="51" customWidth="1" collapsed="1"/>
    <col min="7" max="8" width="10.42578125" style="51" customWidth="1"/>
    <col min="9" max="9" width="9.140625" style="51" customWidth="1"/>
    <col min="10" max="10" width="9" style="51" customWidth="1"/>
    <col min="11" max="11" width="9.85546875" style="51" customWidth="1"/>
    <col min="12" max="25" width="9.140625" style="51" customWidth="1"/>
    <col min="26" max="26" width="9.28515625" style="51" customWidth="1"/>
    <col min="27" max="27" width="9.42578125" style="51" customWidth="1"/>
    <col min="28" max="28" width="10" style="51" customWidth="1"/>
    <col min="29" max="29" width="11.42578125" style="51" customWidth="1"/>
    <col min="30" max="30" width="9.42578125" style="51" bestFit="1" customWidth="1" collapsed="1"/>
    <col min="31" max="16384" width="9.140625" style="51"/>
  </cols>
  <sheetData>
    <row r="1" spans="1:31" s="50" customFormat="1" ht="15" customHeight="1">
      <c r="B1" s="15" t="s">
        <v>31</v>
      </c>
      <c r="C1" s="49"/>
      <c r="D1" s="49"/>
      <c r="E1" s="49"/>
      <c r="F1" s="49"/>
      <c r="G1" s="49"/>
      <c r="H1" s="49"/>
      <c r="I1" s="49"/>
      <c r="J1" s="49"/>
      <c r="K1" s="49"/>
    </row>
    <row r="2" spans="1:31" ht="12" customHeight="1">
      <c r="C2" s="59"/>
    </row>
    <row r="3" spans="1:31" ht="12" customHeight="1">
      <c r="A3" s="53"/>
      <c r="B3" s="153" t="s">
        <v>31</v>
      </c>
      <c r="C3" s="153"/>
      <c r="E3" s="153" t="s">
        <v>245</v>
      </c>
      <c r="F3" s="153"/>
      <c r="G3" s="77"/>
      <c r="H3" s="77"/>
      <c r="I3" s="77"/>
      <c r="J3" s="77"/>
      <c r="K3" s="62"/>
      <c r="L3" s="62"/>
      <c r="M3" s="62"/>
      <c r="N3" s="62"/>
      <c r="O3" s="62"/>
      <c r="P3" s="62"/>
    </row>
    <row r="4" spans="1:31" ht="12" customHeight="1" thickBot="1">
      <c r="A4" s="57"/>
      <c r="B4" s="227" t="str">
        <f>Drivers!$C$5&amp;" in mil"</f>
        <v>$ in mil</v>
      </c>
      <c r="C4" s="228"/>
      <c r="E4" s="227"/>
      <c r="F4" s="228"/>
      <c r="G4" s="284"/>
      <c r="H4" s="284"/>
      <c r="I4" s="284"/>
      <c r="J4" s="284"/>
      <c r="K4" s="68"/>
      <c r="L4" s="68"/>
      <c r="M4" s="68"/>
      <c r="N4" s="68"/>
      <c r="O4" s="68"/>
      <c r="P4" s="52"/>
      <c r="R4" s="55"/>
      <c r="S4" s="55"/>
      <c r="T4" s="55"/>
      <c r="U4" s="55"/>
      <c r="Z4" s="55"/>
    </row>
    <row r="5" spans="1:31" ht="12" customHeight="1">
      <c r="A5" s="57"/>
      <c r="B5" s="51" t="s">
        <v>246</v>
      </c>
      <c r="C5" s="270">
        <f ca="1">'Future CashFlows (10Y)'!M5*(1+'Future CashFlows (10Y)'!$P$6)</f>
        <v>1893923.4247429643</v>
      </c>
      <c r="E5" s="33" t="s">
        <v>242</v>
      </c>
      <c r="F5" s="61">
        <f>'Sensitivity Analysis'!P9</f>
        <v>3.5720000000000002E-2</v>
      </c>
      <c r="G5" s="287"/>
      <c r="J5" s="60"/>
      <c r="K5" s="34"/>
      <c r="L5" s="34"/>
      <c r="M5" s="34"/>
      <c r="N5" s="34"/>
      <c r="O5" s="34"/>
      <c r="P5" s="34"/>
      <c r="R5" s="56"/>
      <c r="S5" s="56"/>
      <c r="T5" s="56"/>
      <c r="U5" s="56"/>
      <c r="V5" s="56"/>
      <c r="W5" s="56"/>
      <c r="X5" s="56"/>
      <c r="Y5" s="56"/>
      <c r="Z5" s="56"/>
      <c r="AA5" s="56"/>
      <c r="AB5" s="56"/>
      <c r="AC5" s="56"/>
      <c r="AD5" s="56"/>
      <c r="AE5" s="56"/>
    </row>
    <row r="6" spans="1:31" ht="12" customHeight="1">
      <c r="A6" s="57"/>
      <c r="B6" s="285" t="s">
        <v>248</v>
      </c>
      <c r="C6" s="244">
        <f>'Future CashFlows (10Y)'!M8</f>
        <v>0.15255000000000002</v>
      </c>
      <c r="E6" s="33" t="s">
        <v>4</v>
      </c>
      <c r="F6" s="61">
        <f>'Risk Free Rate &amp; ERP'!C8</f>
        <v>5.2868641170685314E-2</v>
      </c>
      <c r="J6" s="60"/>
      <c r="K6" s="61"/>
      <c r="L6" s="61"/>
      <c r="M6" s="61"/>
      <c r="N6" s="61"/>
      <c r="O6" s="61"/>
      <c r="P6" s="61"/>
      <c r="R6" s="56"/>
      <c r="S6" s="56"/>
      <c r="T6" s="56"/>
      <c r="U6" s="56"/>
      <c r="V6" s="56"/>
      <c r="W6" s="56"/>
      <c r="X6" s="56"/>
      <c r="Y6" s="56"/>
      <c r="Z6" s="56"/>
      <c r="AA6" s="56"/>
      <c r="AB6" s="56"/>
      <c r="AC6" s="56"/>
      <c r="AD6" s="56"/>
      <c r="AE6" s="56"/>
    </row>
    <row r="7" spans="1:31" ht="12" customHeight="1">
      <c r="B7" s="51" t="s">
        <v>46</v>
      </c>
      <c r="C7" s="261">
        <f ca="1">C5*C6</f>
        <v>288918.01844453922</v>
      </c>
      <c r="E7" s="33" t="s">
        <v>32</v>
      </c>
      <c r="F7" s="65">
        <f>_xlfn.PERCENTILE.EXC('Beta &amp; Cost of Equity'!D6:D25,0.5)</f>
        <v>1.1200000000000001</v>
      </c>
      <c r="G7" s="287"/>
      <c r="J7" s="60"/>
      <c r="M7" s="56"/>
      <c r="N7" s="56"/>
      <c r="O7" s="59"/>
      <c r="P7" s="61"/>
      <c r="R7" s="56"/>
      <c r="S7" s="56"/>
      <c r="T7" s="56"/>
      <c r="U7" s="56"/>
      <c r="V7" s="56"/>
      <c r="W7" s="56"/>
      <c r="X7" s="56"/>
      <c r="Y7" s="56"/>
      <c r="Z7" s="56"/>
      <c r="AA7" s="56"/>
      <c r="AB7" s="56"/>
      <c r="AC7" s="56"/>
      <c r="AD7" s="56"/>
      <c r="AE7" s="56"/>
    </row>
    <row r="8" spans="1:31" ht="12" customHeight="1">
      <c r="A8" s="57"/>
      <c r="B8" s="272" t="s">
        <v>29</v>
      </c>
      <c r="C8" s="273">
        <f ca="1">'Terminal Value'!C7-'Future CashFlows (10Y)'!M7</f>
        <v>2860.574440044933</v>
      </c>
      <c r="E8" s="166" t="s">
        <v>3</v>
      </c>
      <c r="F8" s="167">
        <f>F5+F7*F6</f>
        <v>9.493287811116756E-2</v>
      </c>
      <c r="N8" s="56"/>
      <c r="O8" s="56"/>
      <c r="P8" s="56"/>
      <c r="Q8" s="56"/>
      <c r="R8" s="56"/>
      <c r="S8" s="56"/>
      <c r="T8" s="56"/>
      <c r="U8" s="56"/>
      <c r="V8" s="56"/>
      <c r="W8" s="56"/>
      <c r="X8" s="56"/>
      <c r="Y8" s="56"/>
      <c r="Z8" s="56"/>
      <c r="AA8" s="56"/>
      <c r="AB8" s="56"/>
      <c r="AC8" s="56"/>
      <c r="AD8" s="56"/>
      <c r="AE8" s="56"/>
    </row>
    <row r="9" spans="1:31" ht="12" customHeight="1">
      <c r="A9" s="57"/>
      <c r="B9" s="51" t="s">
        <v>47</v>
      </c>
      <c r="C9" s="261">
        <f ca="1">'Future CashFlows (10Y)'!M11+'Terminal Value'!C8</f>
        <v>310772.01844453916</v>
      </c>
      <c r="E9" s="56"/>
      <c r="F9" s="56"/>
      <c r="J9" s="67"/>
      <c r="N9" s="56"/>
      <c r="O9" s="56"/>
      <c r="P9" s="56"/>
      <c r="Q9" s="56"/>
      <c r="R9" s="56"/>
      <c r="S9" s="56"/>
      <c r="T9" s="56"/>
      <c r="U9" s="56"/>
      <c r="V9" s="56"/>
      <c r="W9" s="56"/>
      <c r="X9" s="56"/>
      <c r="Y9" s="56"/>
      <c r="Z9" s="56"/>
      <c r="AA9" s="56"/>
      <c r="AB9" s="56"/>
      <c r="AC9" s="56"/>
      <c r="AD9" s="56"/>
      <c r="AE9" s="56"/>
    </row>
    <row r="10" spans="1:31">
      <c r="A10" s="54"/>
      <c r="B10" s="285" t="s">
        <v>247</v>
      </c>
      <c r="C10" s="244">
        <f>'Future CashFlows (10Y)'!M12</f>
        <v>0.14524999999999999</v>
      </c>
      <c r="E10" s="33"/>
      <c r="F10" s="46"/>
      <c r="J10" s="56"/>
      <c r="N10" s="56"/>
      <c r="O10" s="56"/>
      <c r="P10" s="56"/>
      <c r="Q10" s="56"/>
      <c r="R10" s="56"/>
      <c r="S10" s="56"/>
      <c r="T10" s="56"/>
      <c r="U10" s="56"/>
      <c r="V10" s="56"/>
      <c r="W10" s="56"/>
      <c r="X10" s="56"/>
      <c r="Y10" s="56"/>
      <c r="Z10" s="56"/>
      <c r="AA10" s="56"/>
      <c r="AB10" s="56"/>
      <c r="AC10" s="56"/>
      <c r="AD10" s="56"/>
      <c r="AE10" s="56"/>
    </row>
    <row r="11" spans="1:31" ht="12.75" customHeight="1">
      <c r="A11" s="57"/>
      <c r="B11" s="294" t="s">
        <v>48</v>
      </c>
      <c r="C11" s="275">
        <f ca="1">C9*C10</f>
        <v>45139.63567906931</v>
      </c>
      <c r="E11" s="33"/>
      <c r="F11" s="61"/>
      <c r="I11" s="58"/>
      <c r="J11" s="56"/>
      <c r="N11" s="56"/>
      <c r="O11" s="56"/>
      <c r="P11" s="56"/>
      <c r="Q11" s="56"/>
      <c r="R11" s="56"/>
      <c r="S11" s="56"/>
      <c r="T11" s="56"/>
      <c r="U11" s="56"/>
      <c r="V11" s="56"/>
      <c r="W11" s="56"/>
      <c r="X11" s="56"/>
      <c r="Y11" s="56"/>
      <c r="Z11" s="56"/>
      <c r="AA11" s="56"/>
      <c r="AB11" s="56"/>
      <c r="AC11" s="56"/>
      <c r="AD11" s="56"/>
      <c r="AE11" s="56"/>
    </row>
    <row r="12" spans="1:31">
      <c r="E12" s="33"/>
      <c r="F12" s="61"/>
      <c r="G12" s="287"/>
      <c r="I12" s="61"/>
      <c r="J12" s="56"/>
      <c r="K12" s="62"/>
      <c r="L12" s="62"/>
      <c r="M12" s="62"/>
      <c r="N12" s="62"/>
      <c r="O12" s="62"/>
      <c r="P12" s="62"/>
      <c r="Q12" s="56"/>
      <c r="R12" s="56"/>
      <c r="S12" s="56"/>
      <c r="T12" s="56"/>
      <c r="U12" s="56"/>
      <c r="V12" s="56"/>
      <c r="W12" s="56"/>
      <c r="X12" s="56"/>
      <c r="Y12" s="56"/>
      <c r="Z12" s="56"/>
      <c r="AA12" s="56"/>
      <c r="AB12" s="56"/>
      <c r="AC12" s="56"/>
      <c r="AD12" s="56"/>
      <c r="AE12" s="56"/>
    </row>
    <row r="13" spans="1:31" ht="12" customHeight="1">
      <c r="A13" s="57"/>
      <c r="B13" s="296" t="s">
        <v>243</v>
      </c>
      <c r="C13" s="248">
        <v>0.01</v>
      </c>
      <c r="D13" s="2"/>
      <c r="E13" s="36"/>
      <c r="F13" s="293"/>
      <c r="I13" s="61"/>
      <c r="J13" s="56"/>
      <c r="N13" s="56"/>
      <c r="O13" s="56"/>
      <c r="P13" s="56"/>
      <c r="Q13" s="56"/>
      <c r="R13" s="56"/>
      <c r="S13" s="56"/>
      <c r="T13" s="56"/>
      <c r="U13" s="56"/>
      <c r="V13" s="56"/>
      <c r="W13" s="56"/>
      <c r="X13" s="56"/>
      <c r="Y13" s="56"/>
      <c r="Z13" s="56"/>
      <c r="AA13" s="56"/>
      <c r="AB13" s="56"/>
      <c r="AC13" s="56"/>
      <c r="AD13" s="56"/>
      <c r="AE13" s="56"/>
    </row>
    <row r="14" spans="1:31">
      <c r="B14" s="56" t="s">
        <v>249</v>
      </c>
      <c r="C14" s="61">
        <f>C10</f>
        <v>0.14524999999999999</v>
      </c>
      <c r="D14" s="2"/>
      <c r="E14" s="3"/>
      <c r="F14" s="3"/>
      <c r="I14" s="61"/>
      <c r="J14" s="56"/>
      <c r="N14" s="56"/>
      <c r="O14" s="56"/>
      <c r="P14" s="56"/>
      <c r="Q14" s="56"/>
      <c r="R14" s="56"/>
      <c r="S14" s="56"/>
      <c r="T14" s="56"/>
      <c r="U14" s="56"/>
      <c r="V14" s="56"/>
      <c r="W14" s="56"/>
      <c r="X14" s="56"/>
      <c r="Y14" s="56"/>
      <c r="Z14" s="56"/>
      <c r="AA14" s="56"/>
      <c r="AB14" s="56"/>
      <c r="AC14" s="56"/>
      <c r="AD14" s="56"/>
      <c r="AE14" s="56"/>
    </row>
    <row r="15" spans="1:31">
      <c r="B15" s="282" t="s">
        <v>244</v>
      </c>
      <c r="C15" s="186">
        <f>C13/C14</f>
        <v>6.884681583476765E-2</v>
      </c>
      <c r="D15" s="5"/>
      <c r="E15" s="54"/>
      <c r="F15" s="92"/>
      <c r="I15" s="61"/>
      <c r="J15" s="56"/>
      <c r="N15" s="56"/>
      <c r="O15" s="56"/>
      <c r="P15" s="56"/>
      <c r="Q15" s="56"/>
      <c r="R15" s="56"/>
      <c r="S15" s="56"/>
      <c r="T15" s="56"/>
      <c r="U15" s="56"/>
      <c r="V15" s="56"/>
      <c r="W15" s="56"/>
      <c r="X15" s="56"/>
      <c r="Y15" s="56"/>
      <c r="Z15" s="56"/>
      <c r="AA15" s="56"/>
      <c r="AB15" s="56"/>
      <c r="AC15" s="56"/>
      <c r="AD15" s="56"/>
      <c r="AE15" s="56"/>
    </row>
    <row r="16" spans="1:31">
      <c r="D16" s="19"/>
      <c r="I16" s="61"/>
      <c r="J16" s="56"/>
      <c r="N16" s="56"/>
      <c r="O16" s="56"/>
      <c r="P16" s="56"/>
      <c r="Q16" s="56"/>
      <c r="R16" s="56"/>
      <c r="S16" s="56"/>
      <c r="T16" s="56"/>
      <c r="U16" s="56"/>
      <c r="V16" s="56"/>
      <c r="W16" s="56"/>
      <c r="X16" s="56"/>
      <c r="Y16" s="56"/>
      <c r="Z16" s="56"/>
      <c r="AA16" s="56"/>
      <c r="AB16" s="56"/>
      <c r="AC16" s="56"/>
      <c r="AD16" s="56"/>
      <c r="AE16" s="56"/>
    </row>
    <row r="17" spans="1:31">
      <c r="B17" s="51" t="s">
        <v>250</v>
      </c>
      <c r="C17" s="270">
        <f ca="1">C11*(1-C15)</f>
        <v>42031.915494623914</v>
      </c>
      <c r="D17" s="5"/>
      <c r="E17" s="54"/>
      <c r="F17" s="290"/>
      <c r="G17" s="287"/>
      <c r="K17" s="56"/>
      <c r="N17" s="56"/>
      <c r="O17" s="56"/>
      <c r="P17" s="56"/>
      <c r="Q17" s="56"/>
      <c r="R17" s="56"/>
      <c r="S17" s="56"/>
      <c r="T17" s="56"/>
      <c r="U17" s="56"/>
      <c r="V17" s="56"/>
      <c r="W17" s="56"/>
      <c r="X17" s="56"/>
      <c r="Y17" s="56"/>
      <c r="Z17" s="56"/>
      <c r="AA17" s="56"/>
      <c r="AB17" s="56"/>
      <c r="AC17" s="56"/>
      <c r="AD17" s="56"/>
      <c r="AE17" s="56"/>
    </row>
    <row r="18" spans="1:31">
      <c r="A18" s="57"/>
      <c r="D18" s="5"/>
      <c r="E18" s="54"/>
      <c r="F18" s="291"/>
      <c r="G18" s="47"/>
      <c r="K18" s="56"/>
      <c r="L18" s="56"/>
      <c r="M18" s="56"/>
      <c r="N18" s="56"/>
      <c r="O18" s="56"/>
      <c r="P18" s="56"/>
      <c r="Q18" s="56"/>
      <c r="R18" s="56"/>
      <c r="S18" s="56"/>
      <c r="T18" s="56"/>
      <c r="U18" s="56"/>
      <c r="V18" s="56"/>
      <c r="W18" s="56"/>
      <c r="X18" s="56"/>
      <c r="Y18" s="56"/>
      <c r="Z18" s="56"/>
      <c r="AA18" s="56"/>
      <c r="AB18" s="56"/>
      <c r="AC18" s="56"/>
      <c r="AD18" s="56"/>
      <c r="AE18" s="56"/>
    </row>
    <row r="19" spans="1:31">
      <c r="B19" s="262" t="s">
        <v>31</v>
      </c>
      <c r="C19" s="295">
        <f ca="1">C17/(F8-C13)</f>
        <v>494883.9180936371</v>
      </c>
      <c r="D19" s="5"/>
      <c r="E19" s="54"/>
      <c r="F19" s="41"/>
      <c r="I19" s="61"/>
      <c r="J19" s="56"/>
      <c r="K19" s="56"/>
      <c r="L19" s="56"/>
      <c r="M19" s="56"/>
      <c r="N19" s="56"/>
      <c r="O19" s="56"/>
      <c r="P19" s="56"/>
      <c r="Q19" s="56"/>
      <c r="R19" s="56"/>
      <c r="S19" s="56"/>
      <c r="T19" s="56"/>
      <c r="U19" s="56"/>
      <c r="V19" s="56"/>
      <c r="W19" s="56"/>
      <c r="X19" s="56"/>
      <c r="Y19" s="56"/>
      <c r="Z19" s="56"/>
      <c r="AA19" s="56"/>
      <c r="AB19" s="56"/>
      <c r="AC19" s="56"/>
      <c r="AD19" s="56"/>
      <c r="AE19" s="56"/>
    </row>
    <row r="20" spans="1:31">
      <c r="A20" s="57"/>
      <c r="D20" s="5"/>
      <c r="I20" s="61"/>
      <c r="J20" s="56"/>
      <c r="K20" s="56"/>
      <c r="L20" s="56"/>
      <c r="M20" s="56"/>
      <c r="N20" s="56"/>
      <c r="O20" s="56"/>
      <c r="P20" s="56"/>
      <c r="Q20" s="56"/>
      <c r="R20" s="56"/>
      <c r="S20" s="56"/>
      <c r="T20" s="56"/>
      <c r="U20" s="56"/>
      <c r="V20" s="56"/>
      <c r="W20" s="56"/>
      <c r="X20" s="56"/>
      <c r="Y20" s="56"/>
      <c r="Z20" s="56"/>
      <c r="AA20" s="56"/>
      <c r="AB20" s="56"/>
      <c r="AC20" s="56"/>
      <c r="AD20" s="56"/>
      <c r="AE20" s="56"/>
    </row>
    <row r="21" spans="1:31">
      <c r="D21" s="5"/>
      <c r="I21" s="292"/>
      <c r="J21" s="56"/>
      <c r="K21" s="56"/>
      <c r="L21" s="56"/>
      <c r="M21" s="56"/>
      <c r="N21" s="56"/>
      <c r="O21" s="56"/>
      <c r="P21" s="56"/>
      <c r="Q21" s="56"/>
      <c r="R21" s="56"/>
      <c r="S21" s="56"/>
      <c r="T21" s="56"/>
      <c r="U21" s="56"/>
      <c r="V21" s="56"/>
      <c r="W21" s="56"/>
      <c r="X21" s="56"/>
      <c r="Y21" s="56"/>
      <c r="Z21" s="56"/>
      <c r="AA21" s="56"/>
      <c r="AB21" s="56"/>
      <c r="AC21" s="56"/>
      <c r="AD21" s="56"/>
      <c r="AE21" s="56"/>
    </row>
    <row r="22" spans="1:31">
      <c r="D22" s="2"/>
      <c r="K22" s="56"/>
      <c r="L22" s="56"/>
      <c r="M22" s="56"/>
      <c r="N22" s="56"/>
      <c r="O22" s="56"/>
      <c r="P22" s="56"/>
      <c r="Q22" s="56"/>
      <c r="R22" s="56"/>
      <c r="S22" s="56"/>
      <c r="T22" s="56"/>
      <c r="U22" s="56"/>
      <c r="V22" s="56"/>
      <c r="W22" s="56"/>
      <c r="X22" s="56"/>
      <c r="Y22" s="56"/>
      <c r="Z22" s="56"/>
      <c r="AA22" s="56"/>
      <c r="AB22" s="56"/>
      <c r="AC22" s="56"/>
      <c r="AD22" s="56"/>
      <c r="AE22" s="56"/>
    </row>
    <row r="23" spans="1:31" ht="12" customHeight="1">
      <c r="D23" s="5"/>
      <c r="K23" s="56"/>
      <c r="L23" s="56"/>
      <c r="M23" s="56"/>
      <c r="N23" s="56"/>
      <c r="O23" s="56"/>
      <c r="P23" s="56"/>
      <c r="Q23" s="56"/>
      <c r="R23" s="56"/>
      <c r="S23" s="56"/>
      <c r="T23" s="56"/>
      <c r="U23" s="56"/>
      <c r="V23" s="56"/>
      <c r="W23" s="56"/>
      <c r="X23" s="56"/>
      <c r="Y23" s="56"/>
      <c r="Z23" s="56"/>
      <c r="AA23" s="56"/>
      <c r="AB23" s="56"/>
      <c r="AC23" s="56"/>
      <c r="AD23" s="56"/>
      <c r="AE23" s="56"/>
    </row>
    <row r="24" spans="1:31">
      <c r="B24" s="18"/>
      <c r="C24" s="18"/>
      <c r="D24" s="5"/>
      <c r="K24" s="56"/>
      <c r="L24" s="56"/>
      <c r="M24" s="56"/>
      <c r="N24" s="56"/>
      <c r="O24" s="56"/>
      <c r="P24" s="56"/>
      <c r="Q24" s="56"/>
      <c r="R24" s="56"/>
      <c r="S24" s="56"/>
      <c r="T24" s="56"/>
      <c r="U24" s="56"/>
      <c r="V24" s="56"/>
      <c r="W24" s="56"/>
      <c r="X24" s="56"/>
      <c r="Y24" s="56"/>
      <c r="Z24" s="56"/>
      <c r="AA24" s="56"/>
      <c r="AB24" s="56"/>
      <c r="AC24" s="56"/>
      <c r="AD24" s="56"/>
      <c r="AE24" s="56"/>
    </row>
    <row r="25" spans="1:31">
      <c r="B25" s="36"/>
      <c r="C25" s="3"/>
      <c r="D25" s="5"/>
      <c r="K25" s="56"/>
      <c r="L25" s="56"/>
      <c r="M25" s="56"/>
      <c r="N25" s="56"/>
      <c r="O25" s="56"/>
      <c r="P25" s="56"/>
      <c r="Q25" s="56"/>
      <c r="R25" s="56"/>
      <c r="S25" s="56"/>
      <c r="T25" s="56"/>
      <c r="U25" s="56"/>
      <c r="V25" s="56"/>
      <c r="W25" s="56"/>
      <c r="X25" s="56"/>
      <c r="Y25" s="56"/>
      <c r="Z25" s="56"/>
      <c r="AA25" s="56"/>
      <c r="AB25" s="56"/>
      <c r="AC25" s="56"/>
      <c r="AD25" s="56"/>
      <c r="AE25" s="56"/>
    </row>
    <row r="26" spans="1:31">
      <c r="D26" s="5"/>
      <c r="K26" s="56"/>
      <c r="L26" s="56"/>
      <c r="M26" s="56"/>
      <c r="N26" s="56"/>
      <c r="O26" s="56"/>
      <c r="P26" s="56"/>
      <c r="Q26" s="56"/>
      <c r="R26" s="56"/>
      <c r="S26" s="56"/>
      <c r="T26" s="56"/>
      <c r="U26" s="56"/>
      <c r="V26" s="56"/>
      <c r="W26" s="56"/>
      <c r="X26" s="56"/>
      <c r="Y26" s="56"/>
      <c r="Z26" s="56"/>
      <c r="AA26" s="56"/>
      <c r="AB26" s="56"/>
      <c r="AC26" s="56"/>
      <c r="AD26" s="56"/>
      <c r="AE26" s="56"/>
    </row>
    <row r="27" spans="1:31">
      <c r="D27" s="19"/>
      <c r="K27" s="56"/>
      <c r="L27" s="56"/>
      <c r="M27" s="56"/>
      <c r="N27" s="56"/>
      <c r="O27" s="56"/>
      <c r="P27" s="56"/>
      <c r="Q27" s="56"/>
      <c r="R27" s="56"/>
      <c r="S27" s="56"/>
      <c r="T27" s="56"/>
      <c r="U27" s="56"/>
      <c r="V27" s="56"/>
      <c r="W27" s="56"/>
      <c r="X27" s="56"/>
      <c r="Y27" s="56"/>
      <c r="Z27" s="56"/>
      <c r="AA27" s="56"/>
      <c r="AB27" s="56"/>
      <c r="AC27" s="56"/>
      <c r="AD27" s="56"/>
      <c r="AE27" s="56"/>
    </row>
    <row r="28" spans="1:31">
      <c r="D28" s="5"/>
      <c r="K28" s="56"/>
      <c r="L28" s="56"/>
      <c r="M28" s="56"/>
      <c r="N28" s="56"/>
      <c r="O28" s="56"/>
      <c r="P28" s="56"/>
      <c r="Q28" s="56"/>
      <c r="R28" s="56"/>
      <c r="S28" s="56"/>
      <c r="T28" s="56"/>
      <c r="U28" s="56"/>
      <c r="V28" s="56"/>
      <c r="W28" s="56"/>
      <c r="X28" s="56"/>
      <c r="Y28" s="56"/>
      <c r="Z28" s="56"/>
      <c r="AA28" s="56"/>
      <c r="AB28" s="56"/>
      <c r="AC28" s="56"/>
      <c r="AD28" s="56"/>
      <c r="AE28" s="56"/>
    </row>
    <row r="29" spans="1:31">
      <c r="D29" s="5"/>
      <c r="J29" s="56"/>
      <c r="K29" s="56"/>
      <c r="L29" s="56"/>
      <c r="M29" s="56"/>
      <c r="N29" s="56"/>
      <c r="O29" s="56"/>
      <c r="P29" s="56"/>
      <c r="Q29" s="56"/>
      <c r="R29" s="56"/>
      <c r="S29" s="56"/>
      <c r="T29" s="56"/>
      <c r="U29" s="56"/>
      <c r="V29" s="56"/>
      <c r="W29" s="56"/>
      <c r="X29" s="56"/>
      <c r="Y29" s="56"/>
      <c r="Z29" s="56"/>
      <c r="AA29" s="56"/>
      <c r="AB29" s="56"/>
      <c r="AC29" s="56"/>
      <c r="AD29" s="56"/>
      <c r="AE29" s="56"/>
    </row>
    <row r="30" spans="1:31" ht="14.25" customHeight="1">
      <c r="D30" s="5"/>
      <c r="J30" s="56"/>
      <c r="K30" s="56"/>
      <c r="L30" s="56"/>
      <c r="M30" s="56"/>
      <c r="N30" s="56"/>
      <c r="O30" s="56"/>
      <c r="P30" s="56"/>
      <c r="Q30" s="56"/>
      <c r="R30" s="56"/>
      <c r="S30" s="56"/>
      <c r="T30" s="56"/>
      <c r="U30" s="56"/>
      <c r="V30" s="56"/>
      <c r="W30" s="56"/>
      <c r="X30" s="56"/>
      <c r="Y30" s="56"/>
      <c r="Z30" s="56"/>
      <c r="AA30" s="56"/>
      <c r="AB30" s="56"/>
      <c r="AC30" s="56"/>
      <c r="AD30" s="56"/>
      <c r="AE30" s="56"/>
    </row>
    <row r="31" spans="1:31">
      <c r="D31" s="19"/>
      <c r="F31" s="56"/>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row>
    <row r="32" spans="1:31">
      <c r="D32" s="3"/>
      <c r="F32" s="56"/>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row>
    <row r="33" spans="6:31">
      <c r="F33" s="56"/>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row>
    <row r="34" spans="6:31">
      <c r="F34" s="56"/>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row>
    <row r="35" spans="6:31">
      <c r="F35" s="56"/>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row>
    <row r="36" spans="6:31">
      <c r="F36" s="56"/>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row>
    <row r="37" spans="6:31">
      <c r="F37" s="56"/>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row>
    <row r="38" spans="6:31">
      <c r="F38" s="56"/>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8" t="s">
        <v>256</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0" style="2" bestFit="1" customWidth="1"/>
    <col min="14" max="14" width="11" style="2" customWidth="1"/>
    <col min="15" max="16" width="10" style="2" bestFit="1" customWidth="1"/>
    <col min="17" max="19" width="9.140625" style="2"/>
    <col min="20" max="20" width="10.140625" style="2" bestFit="1" customWidth="1"/>
    <col min="21" max="16384" width="9.140625" style="2"/>
  </cols>
  <sheetData>
    <row r="1" spans="1:20" ht="16.5" customHeight="1">
      <c r="B1" s="15" t="s">
        <v>35</v>
      </c>
    </row>
    <row r="3" spans="1:20" ht="12" customHeight="1">
      <c r="B3" s="153" t="s">
        <v>36</v>
      </c>
      <c r="C3" s="305">
        <v>1</v>
      </c>
      <c r="D3" s="305">
        <v>2</v>
      </c>
      <c r="E3" s="305">
        <v>3</v>
      </c>
      <c r="F3" s="305">
        <v>4</v>
      </c>
      <c r="G3" s="305">
        <v>5</v>
      </c>
      <c r="H3" s="305">
        <v>6</v>
      </c>
      <c r="I3" s="305">
        <v>7</v>
      </c>
      <c r="J3" s="305">
        <v>8</v>
      </c>
      <c r="K3" s="305">
        <v>9</v>
      </c>
      <c r="L3" s="305">
        <v>10</v>
      </c>
      <c r="M3" s="3"/>
      <c r="N3" s="3"/>
      <c r="O3" s="3"/>
      <c r="P3" s="3"/>
      <c r="Q3" s="3"/>
      <c r="R3" s="3"/>
      <c r="S3" s="3"/>
      <c r="T3" s="3"/>
    </row>
    <row r="4" spans="1:20" ht="12" customHeight="1" thickBot="1">
      <c r="B4" s="227" t="str">
        <f>Drivers!$C$5&amp;" in mil"</f>
        <v>$ in mil</v>
      </c>
      <c r="C4" s="229">
        <v>45382</v>
      </c>
      <c r="D4" s="229">
        <f>EDATE(C4,12)</f>
        <v>45747</v>
      </c>
      <c r="E4" s="229">
        <f t="shared" ref="E4:L4" si="0">EDATE(D4,12)</f>
        <v>46112</v>
      </c>
      <c r="F4" s="229">
        <f t="shared" si="0"/>
        <v>46477</v>
      </c>
      <c r="G4" s="229">
        <f t="shared" si="0"/>
        <v>46843</v>
      </c>
      <c r="H4" s="229">
        <f t="shared" si="0"/>
        <v>47208</v>
      </c>
      <c r="I4" s="229">
        <f t="shared" si="0"/>
        <v>47573</v>
      </c>
      <c r="J4" s="229">
        <f t="shared" si="0"/>
        <v>47938</v>
      </c>
      <c r="K4" s="229">
        <f t="shared" si="0"/>
        <v>48304</v>
      </c>
      <c r="L4" s="229">
        <f t="shared" si="0"/>
        <v>48669</v>
      </c>
      <c r="M4" s="3"/>
      <c r="N4" s="3"/>
      <c r="O4" s="3"/>
      <c r="P4" s="3"/>
      <c r="Q4" s="3"/>
      <c r="R4" s="3"/>
      <c r="S4" s="3"/>
      <c r="T4" s="3"/>
    </row>
    <row r="5" spans="1:20" ht="12" customHeight="1">
      <c r="B5" s="3" t="s">
        <v>254</v>
      </c>
      <c r="C5" s="270">
        <f>'Future CashFlows (10Y)'!D18</f>
        <v>38777.601496100251</v>
      </c>
      <c r="D5" s="270">
        <f ca="1">'Future CashFlows (10Y)'!E18</f>
        <v>39255.089491838131</v>
      </c>
      <c r="E5" s="270">
        <f ca="1">'Future CashFlows (10Y)'!F18</f>
        <v>39713.393377573397</v>
      </c>
      <c r="F5" s="270">
        <f ca="1">'Future CashFlows (10Y)'!G18</f>
        <v>40025.323222706065</v>
      </c>
      <c r="G5" s="270">
        <f ca="1">'Future CashFlows (10Y)'!H18</f>
        <v>40324.607890283951</v>
      </c>
      <c r="H5" s="270">
        <f ca="1">'Future CashFlows (10Y)'!I18</f>
        <v>40610.858530726677</v>
      </c>
      <c r="I5" s="270">
        <f ca="1">'Future CashFlows (10Y)'!J18</f>
        <v>40883.699350161296</v>
      </c>
      <c r="J5" s="270">
        <f ca="1">'Future CashFlows (10Y)'!K18</f>
        <v>41251.160564955724</v>
      </c>
      <c r="K5" s="270">
        <f ca="1">'Future CashFlows (10Y)'!L18</f>
        <v>41737.771699081495</v>
      </c>
      <c r="L5" s="270">
        <f ca="1">'Future CashFlows (10Y)'!M18</f>
        <v>42189.272245107415</v>
      </c>
      <c r="M5" s="3"/>
      <c r="N5" s="3"/>
      <c r="O5" s="3"/>
      <c r="P5" s="3"/>
      <c r="Q5" s="3"/>
      <c r="R5" s="3"/>
      <c r="S5" s="3"/>
      <c r="T5" s="3"/>
    </row>
    <row r="6" spans="1:20" ht="12" customHeight="1">
      <c r="B6" s="120" t="s">
        <v>255</v>
      </c>
      <c r="C6" s="178">
        <f>'Beta &amp; Cost of Equity'!L8</f>
        <v>9.493287811116756E-2</v>
      </c>
      <c r="D6" s="178">
        <f>AVERAGE(C6,E6)</f>
        <v>9.493287811116756E-2</v>
      </c>
      <c r="E6" s="178">
        <f>AVERAGE(C6,G6)</f>
        <v>9.493287811116756E-2</v>
      </c>
      <c r="F6" s="237">
        <f>AVERAGE(E6,G6)</f>
        <v>9.493287811116756E-2</v>
      </c>
      <c r="G6" s="237">
        <f>AVERAGE(C6,L6)</f>
        <v>9.493287811116756E-2</v>
      </c>
      <c r="H6" s="237">
        <f>AVERAGE(G6,I6)</f>
        <v>9.493287811116756E-2</v>
      </c>
      <c r="I6" s="178">
        <f>AVERAGE(G6,L6)</f>
        <v>9.493287811116756E-2</v>
      </c>
      <c r="J6" s="178">
        <f>AVERAGE(I6,K6)</f>
        <v>9.493287811116756E-2</v>
      </c>
      <c r="K6" s="178">
        <f>AVERAGE(I6,L6)</f>
        <v>9.493287811116756E-2</v>
      </c>
      <c r="L6" s="178">
        <f>'Terminal Value'!F8</f>
        <v>9.493287811116756E-2</v>
      </c>
      <c r="M6" s="3"/>
      <c r="N6" s="3"/>
      <c r="O6" s="3"/>
      <c r="P6" s="3"/>
      <c r="Q6" s="3"/>
      <c r="R6" s="3"/>
      <c r="S6" s="3"/>
      <c r="T6" s="3"/>
    </row>
    <row r="7" spans="1:20" ht="12" customHeight="1">
      <c r="B7" s="288" t="s">
        <v>36</v>
      </c>
      <c r="C7" s="295">
        <f t="shared" ref="C7:L7" si="1">C5/(1+C6)^C3</f>
        <v>35415.505618019444</v>
      </c>
      <c r="D7" s="295">
        <f t="shared" ca="1" si="1"/>
        <v>32743.189251960011</v>
      </c>
      <c r="E7" s="295">
        <f t="shared" ca="1" si="1"/>
        <v>30253.422146549299</v>
      </c>
      <c r="F7" s="295">
        <f t="shared" ca="1" si="1"/>
        <v>27847.41331614009</v>
      </c>
      <c r="G7" s="295">
        <f t="shared" ca="1" si="1"/>
        <v>25623.158870503987</v>
      </c>
      <c r="H7" s="295">
        <f t="shared" ca="1" si="1"/>
        <v>23567.699402877188</v>
      </c>
      <c r="I7" s="295">
        <f t="shared" ca="1" si="1"/>
        <v>21668.942077697931</v>
      </c>
      <c r="J7" s="295">
        <f t="shared" ca="1" si="1"/>
        <v>19968.074924424862</v>
      </c>
      <c r="K7" s="295">
        <f t="shared" ca="1" si="1"/>
        <v>18451.929578358526</v>
      </c>
      <c r="L7" s="295">
        <f t="shared" ca="1" si="1"/>
        <v>17034.408841249122</v>
      </c>
      <c r="M7" s="16"/>
      <c r="N7" s="3"/>
      <c r="O7" s="3"/>
      <c r="P7" s="3"/>
      <c r="Q7" s="3"/>
      <c r="R7" s="3"/>
      <c r="S7" s="3"/>
      <c r="T7" s="3"/>
    </row>
    <row r="8" spans="1:20" ht="12" customHeight="1">
      <c r="M8" s="3"/>
      <c r="N8" s="3"/>
      <c r="O8" s="3"/>
      <c r="P8" s="3"/>
      <c r="Q8" s="3"/>
      <c r="R8" s="3"/>
      <c r="S8" s="3"/>
      <c r="T8" s="3"/>
    </row>
    <row r="9" spans="1:20" ht="12" customHeight="1">
      <c r="M9" s="3"/>
      <c r="N9" s="3"/>
      <c r="O9" s="3"/>
      <c r="P9" s="3"/>
      <c r="Q9" s="3"/>
      <c r="R9" s="3"/>
      <c r="S9" s="3"/>
      <c r="T9" s="3"/>
    </row>
    <row r="10" spans="1:20" ht="12" customHeight="1">
      <c r="B10" s="153" t="s">
        <v>38</v>
      </c>
      <c r="C10" s="305"/>
      <c r="E10" s="24"/>
      <c r="F10" s="24"/>
      <c r="G10" s="24"/>
      <c r="H10" s="24"/>
      <c r="M10" s="3"/>
      <c r="N10" s="3"/>
      <c r="O10" s="3"/>
      <c r="P10" s="3"/>
      <c r="Q10" s="3"/>
      <c r="R10" s="3"/>
      <c r="S10" s="3"/>
      <c r="T10" s="3"/>
    </row>
    <row r="11" spans="1:20" ht="12" customHeight="1" thickBot="1">
      <c r="A11" s="3"/>
      <c r="B11" s="227" t="str">
        <f>Drivers!$C$5&amp;" in mil"</f>
        <v>$ in mil</v>
      </c>
      <c r="C11" s="229"/>
      <c r="E11" s="27"/>
      <c r="F11" s="27"/>
      <c r="G11" s="27"/>
      <c r="H11" s="27"/>
      <c r="L11" s="74"/>
      <c r="N11" s="3"/>
      <c r="O11" s="3"/>
      <c r="P11" s="3"/>
      <c r="Q11" s="3"/>
      <c r="R11" s="3"/>
      <c r="S11" s="3"/>
      <c r="T11" s="3"/>
    </row>
    <row r="12" spans="1:20" ht="12" customHeight="1">
      <c r="A12" s="3"/>
      <c r="B12" s="24" t="s">
        <v>253</v>
      </c>
      <c r="C12" s="246">
        <f ca="1">SUM(C7:L7)</f>
        <v>252573.74402778049</v>
      </c>
      <c r="E12" s="44"/>
      <c r="F12" s="44"/>
      <c r="G12" s="44"/>
      <c r="H12" s="44"/>
      <c r="I12" s="24"/>
      <c r="J12" s="24"/>
      <c r="K12" s="24"/>
      <c r="L12" s="3"/>
      <c r="M12" s="3"/>
      <c r="N12" s="3"/>
      <c r="O12" s="3"/>
      <c r="P12" s="3"/>
      <c r="Q12" s="3"/>
      <c r="R12" s="3"/>
      <c r="S12" s="3"/>
      <c r="T12" s="3"/>
    </row>
    <row r="13" spans="1:20" ht="12" customHeight="1">
      <c r="A13" s="3"/>
      <c r="B13" s="24" t="s">
        <v>31</v>
      </c>
      <c r="C13" s="246">
        <f ca="1">'Terminal Value'!C19</f>
        <v>494883.9180936371</v>
      </c>
      <c r="D13" s="24"/>
      <c r="E13" s="19"/>
      <c r="F13" s="80"/>
      <c r="G13" s="182"/>
      <c r="H13" s="73"/>
      <c r="I13" s="73"/>
      <c r="J13" s="73"/>
      <c r="K13" s="73"/>
      <c r="L13" s="73"/>
      <c r="M13" s="73"/>
      <c r="N13" s="73"/>
      <c r="O13" s="73"/>
      <c r="P13" s="73"/>
      <c r="Q13" s="3"/>
      <c r="R13" s="3"/>
      <c r="S13" s="3"/>
      <c r="T13" s="3"/>
    </row>
    <row r="14" spans="1:20" s="21" customFormat="1" ht="12" customHeight="1">
      <c r="A14" s="20"/>
      <c r="B14" s="24" t="s">
        <v>33</v>
      </c>
      <c r="C14" s="246">
        <f ca="1">C13/(1+L6)^L3</f>
        <v>199815.13169485572</v>
      </c>
      <c r="D14" s="32"/>
      <c r="E14" s="19"/>
      <c r="F14" s="80"/>
      <c r="G14" s="303"/>
      <c r="H14" s="302"/>
      <c r="I14" s="270"/>
      <c r="J14" s="302"/>
      <c r="K14" s="302"/>
      <c r="L14" s="270"/>
      <c r="M14" s="270"/>
      <c r="N14" s="270"/>
      <c r="O14" s="270"/>
      <c r="P14" s="270"/>
      <c r="Q14" s="20"/>
      <c r="R14" s="20"/>
      <c r="S14" s="20"/>
      <c r="T14" s="20"/>
    </row>
    <row r="15" spans="1:20" ht="12" customHeight="1">
      <c r="A15" s="3"/>
      <c r="B15" s="300" t="s">
        <v>34</v>
      </c>
      <c r="C15" s="242">
        <f ca="1">C14+C12</f>
        <v>452388.87572263624</v>
      </c>
      <c r="E15" s="81"/>
      <c r="F15" s="80"/>
      <c r="G15" s="303"/>
      <c r="H15" s="302"/>
      <c r="I15" s="302"/>
      <c r="J15" s="302"/>
      <c r="K15" s="302"/>
      <c r="L15" s="302"/>
      <c r="M15" s="302"/>
      <c r="N15" s="302"/>
      <c r="O15" s="302"/>
      <c r="P15" s="302"/>
    </row>
    <row r="16" spans="1:20" ht="12" customHeight="1">
      <c r="A16" s="304"/>
      <c r="B16" s="2" t="s">
        <v>37</v>
      </c>
      <c r="C16" s="301">
        <f>-Drivers!I8</f>
        <v>-22695</v>
      </c>
      <c r="E16" s="81"/>
      <c r="F16" s="80"/>
      <c r="G16" s="303"/>
      <c r="H16" s="302"/>
      <c r="I16" s="302"/>
      <c r="J16" s="302"/>
      <c r="K16" s="302"/>
      <c r="L16" s="302"/>
      <c r="M16" s="302"/>
      <c r="N16" s="302"/>
      <c r="O16" s="302"/>
      <c r="P16" s="302"/>
    </row>
    <row r="17" spans="1:20" ht="12" customHeight="1">
      <c r="A17" s="304"/>
      <c r="B17" s="300" t="s">
        <v>51</v>
      </c>
      <c r="C17" s="299">
        <f ca="1">SUM(C15:C16)</f>
        <v>429693.87572263624</v>
      </c>
      <c r="E17" s="81"/>
      <c r="F17" s="80"/>
      <c r="G17" s="303"/>
      <c r="H17" s="302"/>
      <c r="I17" s="302"/>
      <c r="J17" s="302"/>
      <c r="K17" s="302"/>
      <c r="L17" s="302"/>
      <c r="M17" s="302"/>
      <c r="N17" s="302"/>
      <c r="O17" s="302"/>
      <c r="P17" s="302"/>
    </row>
    <row r="18" spans="1:20" ht="12" customHeight="1">
      <c r="A18" s="304"/>
      <c r="B18" s="2" t="s">
        <v>252</v>
      </c>
      <c r="C18" s="306">
        <f>Drivers!C17</f>
        <v>2940</v>
      </c>
      <c r="D18" s="24"/>
      <c r="E18" s="81"/>
      <c r="F18" s="80"/>
      <c r="G18" s="303"/>
      <c r="H18" s="302"/>
      <c r="I18" s="302"/>
      <c r="J18" s="302"/>
      <c r="K18" s="302"/>
      <c r="L18" s="302"/>
      <c r="M18" s="302"/>
      <c r="N18" s="302"/>
      <c r="O18" s="302"/>
      <c r="P18" s="302"/>
    </row>
    <row r="19" spans="1:20" ht="12" customHeight="1">
      <c r="A19" s="6"/>
      <c r="B19" s="222" t="s">
        <v>38</v>
      </c>
      <c r="C19" s="297">
        <f ca="1">C17/C18</f>
        <v>146.15437949749531</v>
      </c>
      <c r="D19" s="24"/>
      <c r="E19" s="19"/>
      <c r="F19" s="82"/>
      <c r="G19" s="303"/>
      <c r="H19" s="302"/>
      <c r="I19" s="302"/>
      <c r="J19" s="302"/>
      <c r="K19" s="302"/>
      <c r="L19" s="302"/>
      <c r="M19" s="302"/>
      <c r="N19" s="302"/>
      <c r="O19" s="302"/>
      <c r="P19" s="302"/>
      <c r="Q19" s="24"/>
      <c r="R19" s="3"/>
      <c r="S19" s="3"/>
      <c r="T19" s="3"/>
    </row>
    <row r="20" spans="1:20" ht="12" customHeight="1">
      <c r="A20" s="6"/>
      <c r="D20" s="24"/>
      <c r="E20" s="19"/>
      <c r="F20" s="82"/>
      <c r="G20" s="303"/>
      <c r="H20" s="302"/>
      <c r="I20" s="302"/>
      <c r="J20" s="302"/>
      <c r="K20" s="302"/>
      <c r="L20" s="302"/>
      <c r="M20" s="302"/>
      <c r="N20" s="302"/>
      <c r="O20" s="302"/>
      <c r="P20" s="302"/>
      <c r="Q20" s="3"/>
      <c r="R20" s="3"/>
      <c r="S20" s="3"/>
      <c r="T20" s="3"/>
    </row>
    <row r="21" spans="1:20" ht="12" customHeight="1">
      <c r="A21" s="6"/>
      <c r="D21" s="26"/>
      <c r="E21" s="19"/>
      <c r="F21" s="82"/>
      <c r="G21" s="303"/>
      <c r="H21" s="302"/>
      <c r="I21" s="302"/>
      <c r="J21" s="302"/>
      <c r="K21" s="302"/>
      <c r="L21" s="302"/>
      <c r="M21" s="302"/>
      <c r="N21" s="302"/>
      <c r="O21" s="302"/>
      <c r="P21" s="302"/>
      <c r="Q21" s="3"/>
      <c r="R21" s="3"/>
      <c r="S21" s="3"/>
      <c r="T21" s="3"/>
    </row>
    <row r="22" spans="1:20" ht="12" customHeight="1">
      <c r="A22" s="6"/>
      <c r="D22" s="24"/>
      <c r="E22" s="19"/>
      <c r="F22" s="82"/>
      <c r="G22" s="303"/>
      <c r="H22" s="302"/>
      <c r="I22" s="302"/>
      <c r="J22" s="302"/>
      <c r="K22" s="302"/>
      <c r="L22" s="302"/>
      <c r="M22" s="302"/>
      <c r="N22" s="302"/>
      <c r="O22" s="302"/>
      <c r="P22" s="302"/>
      <c r="Q22" s="3"/>
      <c r="R22" s="3"/>
      <c r="S22" s="3"/>
      <c r="T22" s="3"/>
    </row>
    <row r="23" spans="1:20" s="23" customFormat="1" ht="12" customHeight="1">
      <c r="A23" s="69"/>
      <c r="B23" s="2"/>
      <c r="C23" s="2"/>
      <c r="D23" s="24"/>
      <c r="E23" s="22"/>
      <c r="F23" s="22"/>
      <c r="G23" s="22"/>
      <c r="H23" s="83"/>
      <c r="I23" s="27"/>
      <c r="J23" s="27"/>
      <c r="K23" s="27"/>
      <c r="L23" s="22"/>
      <c r="M23" s="22"/>
      <c r="N23" s="22"/>
      <c r="O23" s="22"/>
      <c r="P23" s="22"/>
      <c r="Q23" s="22"/>
      <c r="R23" s="22"/>
      <c r="S23" s="22"/>
      <c r="T23" s="22"/>
    </row>
    <row r="24" spans="1:20" ht="12" customHeight="1">
      <c r="A24" s="23"/>
      <c r="D24" s="85"/>
      <c r="I24" s="3"/>
      <c r="J24" s="3"/>
      <c r="K24" s="3"/>
      <c r="L24" s="3"/>
      <c r="M24" s="3"/>
      <c r="N24" s="3"/>
      <c r="O24" s="3"/>
      <c r="P24" s="3"/>
      <c r="Q24" s="3"/>
      <c r="R24" s="3"/>
      <c r="S24" s="3"/>
      <c r="T24" s="3"/>
    </row>
    <row r="25" spans="1:20" ht="12" customHeight="1">
      <c r="D25" s="298"/>
      <c r="I25" s="24"/>
      <c r="J25" s="24"/>
      <c r="K25" s="13"/>
      <c r="L25" s="3"/>
      <c r="M25" s="3"/>
      <c r="N25" s="3"/>
      <c r="O25" s="3"/>
      <c r="P25" s="3"/>
      <c r="Q25" s="3"/>
      <c r="R25" s="3"/>
      <c r="S25" s="3"/>
      <c r="T25" s="3"/>
    </row>
    <row r="26" spans="1:20" ht="12" customHeight="1">
      <c r="D26" s="27"/>
      <c r="I26" s="24"/>
      <c r="J26" s="24"/>
      <c r="K26" s="5"/>
      <c r="L26" s="3"/>
      <c r="M26" s="3"/>
      <c r="N26" s="3"/>
      <c r="O26" s="3"/>
      <c r="P26" s="3"/>
      <c r="Q26" s="3"/>
      <c r="R26" s="3"/>
      <c r="S26" s="3"/>
      <c r="T26" s="3"/>
    </row>
    <row r="27" spans="1:20" ht="12" customHeight="1">
      <c r="D27" s="3"/>
      <c r="I27" s="24"/>
      <c r="J27" s="24"/>
      <c r="K27" s="5"/>
      <c r="L27" s="3"/>
      <c r="M27" s="3"/>
      <c r="N27" s="3"/>
      <c r="O27" s="3"/>
      <c r="P27" s="3"/>
      <c r="Q27" s="3"/>
      <c r="R27" s="3"/>
      <c r="S27" s="3"/>
      <c r="T27" s="3"/>
    </row>
    <row r="28" spans="1:20" ht="12" customHeight="1">
      <c r="D28" s="3"/>
      <c r="E28" s="72"/>
      <c r="F28" s="73"/>
      <c r="G28" s="13"/>
      <c r="H28" s="5"/>
      <c r="I28" s="5"/>
      <c r="J28" s="5"/>
      <c r="K28" s="5"/>
      <c r="L28" s="3"/>
      <c r="M28" s="3"/>
      <c r="N28" s="3"/>
      <c r="O28" s="3"/>
      <c r="P28" s="3"/>
      <c r="Q28" s="3"/>
      <c r="R28" s="3"/>
      <c r="S28" s="3"/>
      <c r="T28" s="3"/>
    </row>
    <row r="29" spans="1:20" ht="12" customHeight="1">
      <c r="D29" s="3"/>
      <c r="E29" s="33"/>
      <c r="F29" s="63"/>
      <c r="G29" s="13"/>
      <c r="H29" s="5"/>
      <c r="I29" s="5"/>
      <c r="J29" s="5"/>
      <c r="K29" s="5"/>
      <c r="L29" s="3"/>
      <c r="M29" s="3"/>
      <c r="N29" s="3"/>
      <c r="O29" s="3"/>
      <c r="P29" s="3"/>
      <c r="Q29" s="3"/>
      <c r="R29" s="3"/>
      <c r="S29" s="3"/>
      <c r="T29" s="3"/>
    </row>
    <row r="30" spans="1:20" ht="12" customHeight="1">
      <c r="D30" s="3"/>
      <c r="E30" s="33"/>
      <c r="F30" s="61"/>
      <c r="G30" s="3"/>
      <c r="H30" s="3"/>
      <c r="I30" s="3"/>
      <c r="J30" s="3"/>
      <c r="K30" s="3"/>
      <c r="L30" s="3"/>
      <c r="M30" s="3"/>
      <c r="N30" s="3"/>
      <c r="O30" s="3"/>
      <c r="P30" s="3"/>
      <c r="Q30" s="3"/>
      <c r="R30" s="3"/>
      <c r="S30" s="3"/>
      <c r="T30" s="3"/>
    </row>
    <row r="31" spans="1:20" ht="12" customHeight="1">
      <c r="E31" s="26"/>
      <c r="F31" s="60"/>
      <c r="G31" s="3"/>
      <c r="H31" s="3"/>
      <c r="I31" s="3"/>
      <c r="J31" s="3"/>
      <c r="K31" s="3"/>
      <c r="L31" s="3"/>
      <c r="M31" s="3"/>
    </row>
    <row r="32" spans="1:20" ht="12" customHeight="1">
      <c r="E32" s="3"/>
      <c r="F32" s="60"/>
      <c r="G32" s="3"/>
      <c r="H32" s="3"/>
      <c r="I32" s="3"/>
      <c r="J32" s="3"/>
      <c r="K32" s="3"/>
      <c r="L32" s="3"/>
      <c r="M32" s="3"/>
    </row>
    <row r="33" spans="5:13" ht="12" customHeight="1">
      <c r="E33" s="3"/>
      <c r="F33" s="71"/>
    </row>
    <row r="34" spans="5:13" ht="12" customHeight="1">
      <c r="E34" s="3"/>
      <c r="F34" s="41"/>
      <c r="G34" s="7"/>
      <c r="K34" s="9"/>
    </row>
    <row r="35" spans="5:13" ht="12" customHeight="1">
      <c r="E35" s="24"/>
      <c r="F35" s="70"/>
      <c r="G35" s="10"/>
      <c r="K35" s="7"/>
      <c r="M35" s="7"/>
    </row>
    <row r="36" spans="5:13" ht="12" customHeight="1">
      <c r="E36" s="24"/>
      <c r="M36" s="7"/>
    </row>
    <row r="37" spans="5:13" ht="12" customHeight="1">
      <c r="E37" s="24"/>
      <c r="F37" s="5"/>
      <c r="G37" s="14"/>
      <c r="K37" s="4"/>
    </row>
    <row r="40" spans="5:13" ht="12" customHeight="1">
      <c r="G40" s="11"/>
    </row>
    <row r="41" spans="5:13" ht="12" customHeight="1">
      <c r="G41" s="7"/>
    </row>
    <row r="42" spans="5:13" ht="12" customHeight="1">
      <c r="G42" s="11"/>
    </row>
    <row r="44" spans="5:13" ht="12" customHeight="1">
      <c r="G44" s="14"/>
    </row>
  </sheetData>
  <pageMargins left="0.7" right="0.7" top="0.75" bottom="0.75" header="0.3" footer="0.3"/>
  <pageSetup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12" width="11.7109375" style="2" customWidth="1"/>
    <col min="13" max="13" width="11.28515625" style="2" customWidth="1"/>
    <col min="14" max="14" width="6.7109375" style="2" customWidth="1"/>
    <col min="15" max="15" width="14" style="2" customWidth="1"/>
    <col min="16" max="16" width="9.7109375" style="2" customWidth="1"/>
    <col min="17" max="19" width="9.140625" style="2"/>
    <col min="20" max="20" width="10.140625" style="2" bestFit="1" customWidth="1"/>
    <col min="21" max="16384" width="9.140625" style="2"/>
  </cols>
  <sheetData>
    <row r="1" spans="1:20" ht="16.5" customHeight="1">
      <c r="B1" s="15" t="s">
        <v>257</v>
      </c>
    </row>
    <row r="3" spans="1:20" ht="12" customHeight="1">
      <c r="B3" s="153" t="s">
        <v>257</v>
      </c>
      <c r="C3" s="305">
        <v>1</v>
      </c>
      <c r="D3" s="305">
        <v>1</v>
      </c>
      <c r="E3" s="305">
        <v>2</v>
      </c>
      <c r="F3" s="305">
        <v>3</v>
      </c>
      <c r="G3" s="305">
        <v>4</v>
      </c>
      <c r="H3" s="305">
        <v>5</v>
      </c>
      <c r="I3" s="305">
        <v>6</v>
      </c>
      <c r="J3" s="305">
        <v>7</v>
      </c>
      <c r="K3" s="305">
        <v>8</v>
      </c>
      <c r="L3" s="305">
        <v>9</v>
      </c>
      <c r="M3" s="305">
        <v>10</v>
      </c>
      <c r="N3" s="3"/>
      <c r="O3" s="307" t="s">
        <v>258</v>
      </c>
      <c r="P3" s="305">
        <v>10</v>
      </c>
      <c r="Q3" s="3"/>
      <c r="R3" s="3"/>
      <c r="S3" s="3"/>
      <c r="T3" s="3"/>
    </row>
    <row r="4" spans="1:20" ht="12" customHeight="1" thickBot="1">
      <c r="B4" s="227" t="str">
        <f>Drivers!$C$5&amp;" in mil"</f>
        <v>$ in mil</v>
      </c>
      <c r="C4" s="228">
        <v>45016</v>
      </c>
      <c r="D4" s="229">
        <f>EDATE(C4,12)</f>
        <v>45382</v>
      </c>
      <c r="E4" s="229">
        <f t="shared" ref="E4:M4" si="0">EDATE(D4,12)</f>
        <v>45747</v>
      </c>
      <c r="F4" s="229">
        <f t="shared" si="0"/>
        <v>46112</v>
      </c>
      <c r="G4" s="229">
        <f t="shared" si="0"/>
        <v>46477</v>
      </c>
      <c r="H4" s="229">
        <f t="shared" si="0"/>
        <v>46843</v>
      </c>
      <c r="I4" s="229">
        <f t="shared" si="0"/>
        <v>47208</v>
      </c>
      <c r="J4" s="229">
        <f t="shared" si="0"/>
        <v>47573</v>
      </c>
      <c r="K4" s="229">
        <f t="shared" si="0"/>
        <v>47938</v>
      </c>
      <c r="L4" s="229">
        <f t="shared" si="0"/>
        <v>48304</v>
      </c>
      <c r="M4" s="229">
        <f t="shared" si="0"/>
        <v>48669</v>
      </c>
      <c r="O4" s="229"/>
      <c r="P4" s="229"/>
      <c r="Q4" s="3"/>
      <c r="R4" s="3"/>
      <c r="S4" s="3"/>
      <c r="T4" s="3"/>
    </row>
    <row r="5" spans="1:20" ht="12" customHeight="1">
      <c r="B5" s="3" t="s">
        <v>216</v>
      </c>
      <c r="C5" s="270">
        <v>1650014</v>
      </c>
      <c r="D5" s="270">
        <f>C5*(1+$P$5)</f>
        <v>1671200.17976</v>
      </c>
      <c r="E5" s="270">
        <f t="shared" ref="E5:M5" si="1">D5*(1+$P$5)</f>
        <v>1692658.3900681182</v>
      </c>
      <c r="F5" s="270">
        <f t="shared" si="1"/>
        <v>1714392.1237965927</v>
      </c>
      <c r="G5" s="270">
        <f t="shared" si="1"/>
        <v>1736404.9186661409</v>
      </c>
      <c r="H5" s="270">
        <f t="shared" si="1"/>
        <v>1758700.357821814</v>
      </c>
      <c r="I5" s="270">
        <f t="shared" si="1"/>
        <v>1781282.0704162461</v>
      </c>
      <c r="J5" s="270">
        <f t="shared" si="1"/>
        <v>1804153.7322003907</v>
      </c>
      <c r="K5" s="270">
        <f t="shared" si="1"/>
        <v>1827319.0661218436</v>
      </c>
      <c r="L5" s="270">
        <f t="shared" si="1"/>
        <v>1850781.842930848</v>
      </c>
      <c r="M5" s="270">
        <f t="shared" si="1"/>
        <v>1874545.8817940801</v>
      </c>
      <c r="O5" s="61" t="s">
        <v>260</v>
      </c>
      <c r="P5" s="61">
        <v>1.2840000000000001E-2</v>
      </c>
      <c r="Q5" s="3"/>
      <c r="R5" s="3"/>
      <c r="S5" s="3"/>
      <c r="T5" s="3"/>
    </row>
    <row r="6" spans="1:20" ht="12" customHeight="1">
      <c r="B6" s="308" t="s">
        <v>217</v>
      </c>
      <c r="C6" s="178">
        <v>0.15383142203641909</v>
      </c>
      <c r="D6" s="178">
        <f>AVERAGE(C6,E6)</f>
        <v>0.15375133315914291</v>
      </c>
      <c r="E6" s="178">
        <f>AVERAGE(C6,F6)</f>
        <v>0.15367124428186671</v>
      </c>
      <c r="F6" s="178">
        <f>AVERAGE(C6,H6)</f>
        <v>0.15351106652731433</v>
      </c>
      <c r="G6" s="178">
        <f>AVERAGE(F6,H6)</f>
        <v>0.15335088877276193</v>
      </c>
      <c r="H6" s="178">
        <f>AVERAGE(C6,M6)</f>
        <v>0.15319071101820955</v>
      </c>
      <c r="I6" s="178">
        <f>AVERAGE(H6,J6)</f>
        <v>0.15303053326365718</v>
      </c>
      <c r="J6" s="178">
        <f>AVERAGE(H6,M6)</f>
        <v>0.15287035550910477</v>
      </c>
      <c r="K6" s="178">
        <f>AVERAGE(J6,L6)</f>
        <v>0.1527902666318286</v>
      </c>
      <c r="L6" s="178">
        <f>AVERAGE(J6,M6)</f>
        <v>0.1527101777545524</v>
      </c>
      <c r="M6" s="178">
        <f>P6</f>
        <v>0.15255000000000002</v>
      </c>
      <c r="N6" s="3"/>
      <c r="O6" s="61" t="s">
        <v>218</v>
      </c>
      <c r="P6" s="61">
        <f>'Beta &amp; Cost of Equity'!L12</f>
        <v>0.15255000000000002</v>
      </c>
      <c r="Q6" s="3"/>
      <c r="R6" s="3"/>
      <c r="S6" s="3"/>
      <c r="T6" s="3"/>
    </row>
    <row r="7" spans="1:20" ht="12" customHeight="1">
      <c r="B7" s="2" t="s">
        <v>46</v>
      </c>
      <c r="C7" s="302">
        <f>C5*C6</f>
        <v>253824</v>
      </c>
      <c r="D7" s="302">
        <f t="shared" ref="D7:M7" si="2">D5*D6</f>
        <v>256949.25561389927</v>
      </c>
      <c r="E7" s="302">
        <f t="shared" si="2"/>
        <v>260112.92094590902</v>
      </c>
      <c r="F7" s="302">
        <f t="shared" si="2"/>
        <v>263178.16337004246</v>
      </c>
      <c r="G7" s="302">
        <f t="shared" si="2"/>
        <v>266279.23754684807</v>
      </c>
      <c r="H7" s="302">
        <f t="shared" si="2"/>
        <v>269416.55828270322</v>
      </c>
      <c r="I7" s="302">
        <f t="shared" si="2"/>
        <v>272590.5451287895</v>
      </c>
      <c r="J7" s="302">
        <f t="shared" si="2"/>
        <v>275801.62243455194</v>
      </c>
      <c r="K7" s="302">
        <f t="shared" si="2"/>
        <v>279196.56733418052</v>
      </c>
      <c r="L7" s="302">
        <f t="shared" si="2"/>
        <v>282633.22421886789</v>
      </c>
      <c r="M7" s="302">
        <f t="shared" si="2"/>
        <v>285961.97426768695</v>
      </c>
      <c r="N7" s="3"/>
      <c r="O7" s="120" t="s">
        <v>261</v>
      </c>
      <c r="P7" s="178">
        <f>'Beta &amp; Cost of Equity'!L18</f>
        <v>0.14524999999999999</v>
      </c>
      <c r="Q7" s="3"/>
      <c r="R7" s="3"/>
      <c r="S7" s="3"/>
      <c r="T7" s="3"/>
    </row>
    <row r="8" spans="1:20" ht="12" customHeight="1">
      <c r="B8" s="309" t="s">
        <v>29</v>
      </c>
      <c r="C8" s="286"/>
      <c r="D8" s="286">
        <f>D7-C7</f>
        <v>3125.2556138992659</v>
      </c>
      <c r="E8" s="286">
        <f t="shared" ref="E8:M8" si="3">E7-D7</f>
        <v>3163.6653320097539</v>
      </c>
      <c r="F8" s="286">
        <f t="shared" si="3"/>
        <v>3065.2424241334375</v>
      </c>
      <c r="G8" s="286">
        <f t="shared" si="3"/>
        <v>3101.0741768056178</v>
      </c>
      <c r="H8" s="286">
        <f t="shared" si="3"/>
        <v>3137.3207358551444</v>
      </c>
      <c r="I8" s="286">
        <f t="shared" si="3"/>
        <v>3173.9868460862781</v>
      </c>
      <c r="J8" s="286">
        <f t="shared" si="3"/>
        <v>3211.0773057624465</v>
      </c>
      <c r="K8" s="286">
        <f t="shared" si="3"/>
        <v>3394.9448996285792</v>
      </c>
      <c r="L8" s="286">
        <f t="shared" si="3"/>
        <v>3436.6568846873706</v>
      </c>
      <c r="M8" s="286">
        <f t="shared" si="3"/>
        <v>3328.7500488190562</v>
      </c>
      <c r="N8" s="3"/>
      <c r="O8" s="33" t="s">
        <v>3</v>
      </c>
      <c r="P8" s="61">
        <f>'Terminal Value'!F8</f>
        <v>9.493287811116756E-2</v>
      </c>
      <c r="Q8" s="3"/>
      <c r="R8" s="3"/>
      <c r="S8" s="3"/>
      <c r="T8" s="3"/>
    </row>
    <row r="9" spans="1:20" ht="12" customHeight="1">
      <c r="B9" s="2" t="s">
        <v>47</v>
      </c>
      <c r="C9" s="302">
        <v>275678</v>
      </c>
      <c r="D9" s="302">
        <f>C9+D8</f>
        <v>278803.25561389927</v>
      </c>
      <c r="E9" s="302">
        <f t="shared" ref="E9:M9" si="4">D9+E8</f>
        <v>281966.92094590899</v>
      </c>
      <c r="F9" s="302">
        <f t="shared" si="4"/>
        <v>285032.16337004246</v>
      </c>
      <c r="G9" s="302">
        <f t="shared" si="4"/>
        <v>288133.23754684807</v>
      </c>
      <c r="H9" s="302">
        <f t="shared" si="4"/>
        <v>291270.55828270322</v>
      </c>
      <c r="I9" s="302">
        <f t="shared" si="4"/>
        <v>294444.5451287895</v>
      </c>
      <c r="J9" s="302">
        <f t="shared" si="4"/>
        <v>297655.62243455194</v>
      </c>
      <c r="K9" s="302">
        <f t="shared" si="4"/>
        <v>301050.56733418052</v>
      </c>
      <c r="L9" s="302">
        <f t="shared" si="4"/>
        <v>304487.22421886789</v>
      </c>
      <c r="M9" s="302">
        <f t="shared" si="4"/>
        <v>307815.97426768695</v>
      </c>
      <c r="N9" s="3"/>
      <c r="O9" s="33" t="s">
        <v>242</v>
      </c>
      <c r="P9" s="61">
        <f>'Risk Free Rate &amp; ERP'!C6</f>
        <v>3.5720000000000002E-2</v>
      </c>
      <c r="Q9" s="3"/>
      <c r="R9" s="3"/>
      <c r="S9" s="3"/>
      <c r="T9" s="3"/>
    </row>
    <row r="10" spans="1:20" ht="12" customHeight="1">
      <c r="B10" s="33" t="s">
        <v>219</v>
      </c>
      <c r="C10" s="61">
        <v>0.15240969536923513</v>
      </c>
      <c r="D10" s="61">
        <f>AVERAGE(C10,E10)</f>
        <v>0.15196221440865793</v>
      </c>
      <c r="E10" s="61">
        <f>AVERAGE(C10,F10)</f>
        <v>0.15151473344808075</v>
      </c>
      <c r="F10" s="61">
        <f>AVERAGE(C10,H10)</f>
        <v>0.15061977152692635</v>
      </c>
      <c r="G10" s="61">
        <f>AVERAGE(F10,H10)</f>
        <v>0.14972480960577195</v>
      </c>
      <c r="H10" s="61">
        <f>AVERAGE(C10,M10)</f>
        <v>0.14882984768461754</v>
      </c>
      <c r="I10" s="61">
        <f>AVERAGE(H10,J10)</f>
        <v>0.14793488576346314</v>
      </c>
      <c r="J10" s="61">
        <f>AVERAGE(H10,M10)</f>
        <v>0.14703992384230877</v>
      </c>
      <c r="K10" s="61">
        <f>AVERAGE(J10,L10)</f>
        <v>0.14659244288173157</v>
      </c>
      <c r="L10" s="61">
        <f>AVERAGE(J10,M10)</f>
        <v>0.14614496192115439</v>
      </c>
      <c r="M10" s="61">
        <f>P7</f>
        <v>0.14524999999999999</v>
      </c>
      <c r="N10" s="3"/>
      <c r="O10" s="3" t="s">
        <v>237</v>
      </c>
      <c r="P10" s="277">
        <v>0.01</v>
      </c>
      <c r="Q10" s="3"/>
      <c r="R10" s="3"/>
      <c r="S10" s="3"/>
      <c r="T10" s="3"/>
    </row>
    <row r="11" spans="1:20" ht="12" customHeight="1">
      <c r="A11" s="3"/>
      <c r="B11" s="2" t="s">
        <v>48</v>
      </c>
      <c r="C11" s="302">
        <f>C9*C10</f>
        <v>42016</v>
      </c>
      <c r="D11" s="302">
        <f t="shared" ref="D11:M11" si="5">D9*D10</f>
        <v>42367.560107431222</v>
      </c>
      <c r="E11" s="302">
        <f t="shared" si="5"/>
        <v>42722.142868295457</v>
      </c>
      <c r="F11" s="302">
        <f t="shared" si="5"/>
        <v>42931.479324621338</v>
      </c>
      <c r="G11" s="302">
        <f t="shared" si="5"/>
        <v>43140.694132796489</v>
      </c>
      <c r="H11" s="302">
        <f t="shared" si="5"/>
        <v>43349.752824228235</v>
      </c>
      <c r="I11" s="302">
        <f t="shared" si="5"/>
        <v>43558.620147302339</v>
      </c>
      <c r="J11" s="302">
        <f t="shared" si="5"/>
        <v>43767.260054011531</v>
      </c>
      <c r="K11" s="302">
        <f t="shared" si="5"/>
        <v>44131.738096448738</v>
      </c>
      <c r="L11" s="302">
        <f t="shared" si="5"/>
        <v>44499.273788944447</v>
      </c>
      <c r="M11" s="302">
        <f t="shared" si="5"/>
        <v>44710.270262381528</v>
      </c>
      <c r="N11" s="3"/>
      <c r="O11" s="73" t="s">
        <v>261</v>
      </c>
      <c r="P11" s="73">
        <f>M10</f>
        <v>0.14524999999999999</v>
      </c>
      <c r="Q11" s="3"/>
      <c r="R11" s="3"/>
      <c r="S11" s="3"/>
      <c r="T11" s="3"/>
    </row>
    <row r="12" spans="1:20" ht="12" customHeight="1">
      <c r="A12" s="3"/>
      <c r="B12" s="309" t="s">
        <v>241</v>
      </c>
      <c r="C12" s="309"/>
      <c r="D12" s="286">
        <f>D11-D8</f>
        <v>39242.304493531956</v>
      </c>
      <c r="E12" s="286">
        <f t="shared" ref="E12:M12" si="6">E11-E8</f>
        <v>39558.477536285704</v>
      </c>
      <c r="F12" s="286">
        <f t="shared" si="6"/>
        <v>39866.2369004879</v>
      </c>
      <c r="G12" s="286">
        <f t="shared" si="6"/>
        <v>40039.619955990871</v>
      </c>
      <c r="H12" s="286">
        <f t="shared" si="6"/>
        <v>40212.432088373091</v>
      </c>
      <c r="I12" s="286">
        <f t="shared" si="6"/>
        <v>40384.633301216061</v>
      </c>
      <c r="J12" s="286">
        <f t="shared" si="6"/>
        <v>40556.182748249084</v>
      </c>
      <c r="K12" s="286">
        <f t="shared" si="6"/>
        <v>40736.793196820159</v>
      </c>
      <c r="L12" s="286">
        <f t="shared" si="6"/>
        <v>41062.616904257076</v>
      </c>
      <c r="M12" s="286">
        <f t="shared" si="6"/>
        <v>41381.520213562471</v>
      </c>
      <c r="N12" s="3"/>
      <c r="Q12" s="3"/>
      <c r="R12" s="3"/>
      <c r="S12" s="3"/>
      <c r="T12" s="3"/>
    </row>
    <row r="13" spans="1:20" ht="12" customHeight="1">
      <c r="A13" s="3"/>
      <c r="B13" s="2" t="s">
        <v>262</v>
      </c>
      <c r="D13" s="11">
        <f>$P$8</f>
        <v>9.493287811116756E-2</v>
      </c>
      <c r="E13" s="11">
        <f t="shared" ref="E13:M13" si="7">$P$8</f>
        <v>9.493287811116756E-2</v>
      </c>
      <c r="F13" s="11">
        <f t="shared" si="7"/>
        <v>9.493287811116756E-2</v>
      </c>
      <c r="G13" s="11">
        <f t="shared" si="7"/>
        <v>9.493287811116756E-2</v>
      </c>
      <c r="H13" s="11">
        <f t="shared" si="7"/>
        <v>9.493287811116756E-2</v>
      </c>
      <c r="I13" s="11">
        <f t="shared" si="7"/>
        <v>9.493287811116756E-2</v>
      </c>
      <c r="J13" s="11">
        <f t="shared" si="7"/>
        <v>9.493287811116756E-2</v>
      </c>
      <c r="K13" s="11">
        <f t="shared" si="7"/>
        <v>9.493287811116756E-2</v>
      </c>
      <c r="L13" s="11">
        <f t="shared" si="7"/>
        <v>9.493287811116756E-2</v>
      </c>
      <c r="M13" s="11">
        <f t="shared" si="7"/>
        <v>9.493287811116756E-2</v>
      </c>
      <c r="N13" s="73"/>
      <c r="Q13" s="3"/>
      <c r="R13" s="3"/>
      <c r="S13" s="3"/>
      <c r="T13" s="3"/>
    </row>
    <row r="14" spans="1:20" s="21" customFormat="1" ht="12" customHeight="1">
      <c r="A14" s="20"/>
      <c r="B14" s="288" t="s">
        <v>259</v>
      </c>
      <c r="C14" s="288"/>
      <c r="D14" s="289">
        <f t="shared" ref="D14:M14" si="8">D12/(1+D13)^D3</f>
        <v>35839.917932894256</v>
      </c>
      <c r="E14" s="289">
        <f t="shared" si="8"/>
        <v>32996.249231818023</v>
      </c>
      <c r="F14" s="289">
        <f t="shared" si="8"/>
        <v>30369.857415052684</v>
      </c>
      <c r="G14" s="289">
        <f t="shared" si="8"/>
        <v>27857.3601949857</v>
      </c>
      <c r="H14" s="289">
        <f t="shared" si="8"/>
        <v>25551.879853939001</v>
      </c>
      <c r="I14" s="289">
        <f t="shared" si="8"/>
        <v>23436.414116149768</v>
      </c>
      <c r="J14" s="289">
        <f t="shared" si="8"/>
        <v>21495.353620950507</v>
      </c>
      <c r="K14" s="289">
        <f t="shared" si="8"/>
        <v>19719.089780614489</v>
      </c>
      <c r="L14" s="289">
        <f t="shared" si="8"/>
        <v>18153.449131955935</v>
      </c>
      <c r="M14" s="289">
        <f t="shared" si="8"/>
        <v>16708.269573718102</v>
      </c>
      <c r="N14" s="270"/>
      <c r="O14" s="73"/>
      <c r="P14" s="270"/>
      <c r="Q14" s="20"/>
      <c r="R14" s="20"/>
      <c r="S14" s="20"/>
      <c r="T14" s="20"/>
    </row>
    <row r="15" spans="1:20" ht="12" customHeight="1">
      <c r="A15" s="3"/>
      <c r="B15" s="21"/>
      <c r="C15" s="21"/>
      <c r="D15" s="32"/>
      <c r="E15" s="19"/>
      <c r="F15" s="80"/>
      <c r="G15" s="303"/>
      <c r="H15" s="302"/>
      <c r="I15" s="270"/>
      <c r="J15" s="302"/>
      <c r="K15" s="302"/>
      <c r="L15" s="270"/>
      <c r="M15" s="270"/>
      <c r="N15" s="302"/>
      <c r="O15" s="302"/>
      <c r="P15" s="302"/>
    </row>
    <row r="16" spans="1:20" ht="12" customHeight="1">
      <c r="A16" s="304"/>
      <c r="B16" s="153" t="s">
        <v>38</v>
      </c>
      <c r="C16" s="305"/>
      <c r="E16" s="81"/>
      <c r="F16" s="80"/>
      <c r="G16" s="303"/>
      <c r="H16" s="302"/>
      <c r="I16" s="302"/>
      <c r="J16" s="302"/>
      <c r="K16" s="302"/>
      <c r="L16" s="302"/>
      <c r="M16" s="302"/>
      <c r="N16" s="302"/>
      <c r="O16" s="302"/>
      <c r="P16" s="302"/>
    </row>
    <row r="17" spans="1:20" ht="12" customHeight="1" thickBot="1">
      <c r="A17" s="304"/>
      <c r="B17" s="227" t="str">
        <f>Drivers!$C$5&amp;" in mil"</f>
        <v>$ in mil</v>
      </c>
      <c r="C17" s="328"/>
      <c r="J17" s="302"/>
      <c r="K17" s="302"/>
      <c r="L17" s="302"/>
      <c r="M17" s="302"/>
      <c r="N17" s="302"/>
      <c r="O17" s="302"/>
      <c r="P17" s="302"/>
    </row>
    <row r="18" spans="1:20" ht="12" customHeight="1">
      <c r="A18" s="304"/>
      <c r="B18" s="24" t="s">
        <v>253</v>
      </c>
      <c r="C18" s="246">
        <f>SUM(D14:M14)</f>
        <v>252127.84085207846</v>
      </c>
      <c r="P18" s="302"/>
    </row>
    <row r="19" spans="1:20" ht="12" customHeight="1">
      <c r="A19" s="6"/>
      <c r="B19" s="24" t="s">
        <v>31</v>
      </c>
      <c r="C19" s="246">
        <f>((((((M5*(1+$P$5))*P6)-M7)+M9)*P7)*(1-(P10/P11)))/(P8-P10)</f>
        <v>496023.63514275261</v>
      </c>
      <c r="D19" s="24"/>
      <c r="P19" s="302"/>
      <c r="Q19" s="24"/>
      <c r="R19" s="3"/>
      <c r="S19" s="3"/>
      <c r="T19" s="3"/>
    </row>
    <row r="20" spans="1:20" ht="12" customHeight="1">
      <c r="A20" s="6"/>
      <c r="B20" s="24" t="s">
        <v>33</v>
      </c>
      <c r="C20" s="246">
        <f>C19/(1+M13)^M3</f>
        <v>200275.30569513672</v>
      </c>
      <c r="D20" s="24"/>
      <c r="E20" s="310">
        <f>C25</f>
        <v>146.15923351946094</v>
      </c>
      <c r="F20" s="311">
        <v>0.01</v>
      </c>
      <c r="G20" s="311">
        <v>0.02</v>
      </c>
      <c r="H20" s="312">
        <v>0.03</v>
      </c>
      <c r="I20" s="313">
        <v>0.04</v>
      </c>
      <c r="J20" s="323">
        <v>0.05</v>
      </c>
      <c r="K20" s="13"/>
      <c r="L20" s="3"/>
      <c r="M20" s="3"/>
      <c r="N20" s="3"/>
      <c r="O20" s="3"/>
      <c r="P20" s="302"/>
      <c r="Q20" s="3"/>
      <c r="R20" s="3"/>
      <c r="S20" s="3"/>
      <c r="T20" s="3"/>
    </row>
    <row r="21" spans="1:20" ht="12" customHeight="1">
      <c r="A21" s="6"/>
      <c r="B21" s="300" t="s">
        <v>34</v>
      </c>
      <c r="C21" s="257">
        <f>C18+C20</f>
        <v>452403.14654721518</v>
      </c>
      <c r="D21" s="24"/>
      <c r="E21" s="314">
        <v>0.01</v>
      </c>
      <c r="F21" s="324">
        <f t="dataTable" ref="F21:J25" dt2D="1" dtr="1" r1="P9" r2="P10"/>
        <v>212.5608291971667</v>
      </c>
      <c r="G21" s="325">
        <v>180.8848174188746</v>
      </c>
      <c r="H21" s="315">
        <v>157.20111164293806</v>
      </c>
      <c r="I21" s="315">
        <v>138.82227120476455</v>
      </c>
      <c r="J21" s="317">
        <v>124.14436266398042</v>
      </c>
      <c r="K21" s="5"/>
      <c r="L21" s="3"/>
      <c r="M21" s="3"/>
      <c r="N21" s="3"/>
      <c r="O21" s="3"/>
      <c r="P21" s="302"/>
      <c r="Q21" s="3"/>
      <c r="R21" s="3"/>
      <c r="S21" s="3"/>
      <c r="T21" s="3"/>
    </row>
    <row r="22" spans="1:20" ht="12" customHeight="1">
      <c r="A22" s="6"/>
      <c r="B22" s="2" t="s">
        <v>37</v>
      </c>
      <c r="C22" s="302">
        <f>-Drivers!I8</f>
        <v>-22695</v>
      </c>
      <c r="D22" s="26"/>
      <c r="E22" s="316">
        <v>1.2500000000000001E-2</v>
      </c>
      <c r="F22" s="322">
        <v>215.63211065576124</v>
      </c>
      <c r="G22" s="326">
        <v>182.65229525449504</v>
      </c>
      <c r="H22" s="317">
        <v>158.24035604270844</v>
      </c>
      <c r="I22" s="317">
        <v>139.4343573530663</v>
      </c>
      <c r="J22" s="317">
        <v>124.49720633135574</v>
      </c>
      <c r="K22" s="5"/>
      <c r="L22" s="3"/>
      <c r="M22" s="3"/>
      <c r="N22" s="3"/>
      <c r="O22" s="3"/>
      <c r="P22" s="302"/>
      <c r="Q22" s="3"/>
      <c r="R22" s="3"/>
      <c r="S22" s="3"/>
      <c r="T22" s="3"/>
    </row>
    <row r="23" spans="1:20" s="23" customFormat="1" ht="12" customHeight="1">
      <c r="A23" s="69"/>
      <c r="B23" s="300" t="s">
        <v>51</v>
      </c>
      <c r="C23" s="299">
        <f>C21+C22</f>
        <v>429708.14654721518</v>
      </c>
      <c r="D23" s="24"/>
      <c r="E23" s="316">
        <v>1.4999999999999999E-2</v>
      </c>
      <c r="F23" s="327">
        <v>218.9866533583259</v>
      </c>
      <c r="G23" s="326">
        <v>184.55739952017214</v>
      </c>
      <c r="H23" s="317">
        <v>159.34961823630519</v>
      </c>
      <c r="I23" s="317">
        <v>140.08278510149091</v>
      </c>
      <c r="J23" s="317">
        <v>124.86877587116217</v>
      </c>
      <c r="K23" s="5"/>
      <c r="L23" s="3"/>
      <c r="M23" s="3"/>
      <c r="N23" s="3"/>
      <c r="O23" s="3"/>
      <c r="P23" s="22"/>
      <c r="Q23" s="22"/>
      <c r="R23" s="22"/>
      <c r="S23" s="22"/>
      <c r="T23" s="22"/>
    </row>
    <row r="24" spans="1:20" ht="12" customHeight="1">
      <c r="A24" s="23"/>
      <c r="B24" s="2" t="s">
        <v>252</v>
      </c>
      <c r="C24" s="306">
        <f>Drivers!C17</f>
        <v>2940</v>
      </c>
      <c r="D24" s="24"/>
      <c r="E24" s="316">
        <v>1.7500000000000002E-2</v>
      </c>
      <c r="F24" s="327">
        <v>222.66553912833245</v>
      </c>
      <c r="G24" s="326">
        <v>186.61685603160299</v>
      </c>
      <c r="H24" s="317">
        <v>160.53622094549789</v>
      </c>
      <c r="I24" s="317">
        <v>140.77089005645948</v>
      </c>
      <c r="J24" s="317">
        <v>125.26060262824596</v>
      </c>
      <c r="K24" s="5"/>
      <c r="L24" s="3"/>
      <c r="M24" s="3"/>
      <c r="N24" s="3"/>
      <c r="O24" s="3"/>
      <c r="P24" s="3"/>
      <c r="Q24" s="3"/>
      <c r="R24" s="3"/>
      <c r="S24" s="3"/>
      <c r="T24" s="3"/>
    </row>
    <row r="25" spans="1:20" ht="12" customHeight="1">
      <c r="B25" s="318" t="s">
        <v>38</v>
      </c>
      <c r="C25" s="319">
        <f>C23/C24</f>
        <v>146.15923351946094</v>
      </c>
      <c r="D25" s="85"/>
      <c r="E25" s="314">
        <v>0.02</v>
      </c>
      <c r="F25" s="327">
        <v>226.71819756833969</v>
      </c>
      <c r="G25" s="326">
        <v>188.850215296719</v>
      </c>
      <c r="H25" s="317">
        <v>161.80854489194982</v>
      </c>
      <c r="I25" s="317">
        <v>141.50242891834932</v>
      </c>
      <c r="J25" s="317">
        <v>125.67438959810283</v>
      </c>
      <c r="K25" s="3"/>
      <c r="L25" s="3"/>
      <c r="M25" s="3"/>
      <c r="P25" s="3"/>
      <c r="Q25" s="3"/>
      <c r="R25" s="3"/>
      <c r="S25" s="3"/>
      <c r="T25" s="3"/>
    </row>
    <row r="26" spans="1:20" ht="12" customHeight="1">
      <c r="D26" s="298"/>
      <c r="I26" s="24"/>
      <c r="J26" s="24"/>
      <c r="K26" s="3"/>
      <c r="L26" s="3"/>
      <c r="M26" s="3"/>
      <c r="P26" s="3"/>
      <c r="Q26" s="3"/>
      <c r="R26" s="3"/>
      <c r="S26" s="3"/>
      <c r="T26" s="3"/>
    </row>
    <row r="27" spans="1:20" ht="12" customHeight="1">
      <c r="D27" s="27"/>
      <c r="I27" s="24"/>
      <c r="J27" s="24"/>
      <c r="P27" s="3"/>
      <c r="Q27" s="3"/>
      <c r="R27" s="3"/>
      <c r="S27" s="3"/>
      <c r="T27" s="3"/>
    </row>
    <row r="28" spans="1:20" ht="12" customHeight="1">
      <c r="D28" s="3"/>
      <c r="I28" s="24"/>
      <c r="J28" s="24"/>
      <c r="K28" s="9"/>
      <c r="P28" s="3"/>
      <c r="Q28" s="3"/>
      <c r="R28" s="3"/>
      <c r="S28" s="3"/>
      <c r="T28" s="3"/>
    </row>
    <row r="29" spans="1:20" ht="12" customHeight="1">
      <c r="D29" s="6"/>
      <c r="E29" s="72"/>
      <c r="F29" s="73"/>
      <c r="G29" s="13"/>
      <c r="H29" s="5"/>
      <c r="I29" s="5"/>
      <c r="J29" s="5"/>
      <c r="K29" s="7"/>
      <c r="M29" s="7"/>
      <c r="P29" s="3"/>
      <c r="Q29" s="3"/>
      <c r="R29" s="3"/>
      <c r="S29" s="3"/>
      <c r="T29" s="3"/>
    </row>
    <row r="30" spans="1:20" ht="12" customHeight="1">
      <c r="D30" s="3"/>
      <c r="E30" s="33"/>
      <c r="F30" s="63"/>
      <c r="G30" s="13"/>
      <c r="H30" s="5"/>
      <c r="I30" s="5"/>
      <c r="J30" s="5"/>
      <c r="M30" s="7"/>
      <c r="P30" s="3"/>
      <c r="Q30" s="3"/>
      <c r="R30" s="3"/>
      <c r="S30" s="3"/>
      <c r="T30" s="3"/>
    </row>
    <row r="31" spans="1:20" ht="12" customHeight="1">
      <c r="D31" s="3"/>
      <c r="E31" s="33"/>
      <c r="F31" s="61"/>
      <c r="G31" s="3"/>
      <c r="H31" s="3"/>
      <c r="I31" s="3"/>
      <c r="J31" s="3"/>
      <c r="K31" s="4"/>
    </row>
    <row r="32" spans="1:20" ht="12" customHeight="1">
      <c r="E32" s="3"/>
      <c r="F32" s="60"/>
      <c r="G32" s="3"/>
      <c r="H32" s="3"/>
      <c r="I32" s="3"/>
      <c r="J32" s="3"/>
    </row>
    <row r="33" spans="5:7" ht="12" customHeight="1">
      <c r="E33" s="3"/>
      <c r="F33" s="71"/>
    </row>
    <row r="34" spans="5:7" ht="12" customHeight="1">
      <c r="E34" s="3"/>
      <c r="F34" s="41"/>
      <c r="G34" s="7"/>
    </row>
    <row r="35" spans="5:7" ht="12" customHeight="1">
      <c r="E35" s="24"/>
      <c r="F35" s="70"/>
      <c r="G35" s="10"/>
    </row>
    <row r="36" spans="5:7" ht="12" customHeight="1">
      <c r="E36" s="24"/>
    </row>
    <row r="37" spans="5:7" ht="12" customHeight="1">
      <c r="E37" s="24"/>
      <c r="F37" s="5"/>
      <c r="G37" s="14"/>
    </row>
    <row r="40" spans="5:7" ht="12" customHeight="1">
      <c r="G40" s="11"/>
    </row>
    <row r="41" spans="5:7" ht="12" customHeight="1">
      <c r="G41" s="7"/>
    </row>
    <row r="42" spans="5:7" ht="12" customHeight="1">
      <c r="G42" s="11"/>
    </row>
    <row r="44" spans="5:7" ht="12" customHeight="1">
      <c r="G44" s="14"/>
    </row>
  </sheetData>
  <pageMargins left="0.7" right="0.7" top="0.75" bottom="0.75" header="0.3" footer="0.3"/>
  <pageSetup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28" t="s">
        <v>271</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6"/>
  <sheetViews>
    <sheetView workbookViewId="0"/>
  </sheetViews>
  <sheetFormatPr defaultRowHeight="12" customHeight="1"/>
  <cols>
    <col min="1" max="1" width="2" style="2" customWidth="1"/>
    <col min="2" max="2" width="21.5703125" style="2" customWidth="1"/>
    <col min="3" max="7" width="11.7109375" style="2" customWidth="1"/>
    <col min="8" max="8" width="12.140625" style="2" customWidth="1"/>
    <col min="9" max="9" width="25.140625" style="2" customWidth="1"/>
    <col min="10" max="10" width="11" style="2" customWidth="1"/>
    <col min="11" max="11" width="10.28515625" style="2" customWidth="1"/>
    <col min="12" max="12" width="12.28515625" style="2" customWidth="1"/>
    <col min="13" max="13" width="11.5703125" style="2" customWidth="1"/>
    <col min="14" max="14" width="11.85546875" style="2" customWidth="1"/>
    <col min="15" max="16" width="9.140625" style="2"/>
    <col min="17" max="17" width="11.5703125" style="2" customWidth="1"/>
    <col min="18" max="18" width="12.7109375" style="2" customWidth="1"/>
    <col min="19" max="19" width="10.140625" style="2" bestFit="1" customWidth="1"/>
    <col min="20" max="16384" width="9.140625" style="2"/>
  </cols>
  <sheetData>
    <row r="1" spans="1:14" ht="16.5" customHeight="1">
      <c r="B1" s="15" t="s">
        <v>272</v>
      </c>
    </row>
    <row r="3" spans="1:14" ht="12" customHeight="1">
      <c r="B3" s="153" t="s">
        <v>263</v>
      </c>
      <c r="C3" s="305">
        <v>1</v>
      </c>
      <c r="D3" s="305">
        <v>2</v>
      </c>
      <c r="E3" s="305"/>
      <c r="F3" s="305">
        <v>3</v>
      </c>
      <c r="G3" s="305">
        <v>3</v>
      </c>
    </row>
    <row r="4" spans="1:14" ht="12" customHeight="1" thickBot="1">
      <c r="B4" s="227" t="str">
        <f>Drivers!$C$5&amp;" in mil"</f>
        <v>$ in mil</v>
      </c>
      <c r="C4" s="228">
        <v>43101</v>
      </c>
      <c r="D4" s="228">
        <f>EDATE(C4,12)</f>
        <v>43466</v>
      </c>
      <c r="E4" s="228">
        <f t="shared" ref="E4:G4" si="0">EDATE(D4,12)</f>
        <v>43831</v>
      </c>
      <c r="F4" s="228">
        <f t="shared" si="0"/>
        <v>44197</v>
      </c>
      <c r="G4" s="228">
        <f t="shared" si="0"/>
        <v>44562</v>
      </c>
    </row>
    <row r="5" spans="1:14" ht="12" customHeight="1">
      <c r="B5" s="329" t="s">
        <v>264</v>
      </c>
      <c r="C5" s="330">
        <v>10109</v>
      </c>
      <c r="D5" s="330">
        <v>12343</v>
      </c>
      <c r="E5" s="330">
        <v>12690</v>
      </c>
      <c r="F5" s="330">
        <v>12858</v>
      </c>
      <c r="G5" s="330">
        <v>13562</v>
      </c>
    </row>
    <row r="6" spans="1:14" ht="12" customHeight="1">
      <c r="B6" s="331" t="s">
        <v>265</v>
      </c>
      <c r="C6" s="330">
        <v>19983</v>
      </c>
      <c r="D6" s="330">
        <v>24001</v>
      </c>
      <c r="E6" s="330">
        <v>6517</v>
      </c>
      <c r="F6" s="330">
        <v>18408</v>
      </c>
      <c r="G6" s="330">
        <v>3162</v>
      </c>
      <c r="H6" s="3"/>
    </row>
    <row r="7" spans="1:14" ht="12" customHeight="1">
      <c r="B7" s="332" t="s">
        <v>266</v>
      </c>
      <c r="C7" s="333">
        <f>SUM(C5:C6)</f>
        <v>30092</v>
      </c>
      <c r="D7" s="333">
        <f t="shared" ref="D7:F7" si="1">SUM(D5:D6)</f>
        <v>36344</v>
      </c>
      <c r="E7" s="333">
        <f t="shared" si="1"/>
        <v>19207</v>
      </c>
      <c r="F7" s="333">
        <f t="shared" si="1"/>
        <v>31266</v>
      </c>
      <c r="G7" s="333">
        <f>SUM(G5:G6)</f>
        <v>16724</v>
      </c>
      <c r="H7" s="3"/>
      <c r="I7" s="334" t="s">
        <v>267</v>
      </c>
      <c r="J7" s="334"/>
    </row>
    <row r="8" spans="1:14" ht="12" customHeight="1">
      <c r="B8" s="335"/>
      <c r="C8" s="209"/>
      <c r="D8" s="209"/>
      <c r="E8" s="66"/>
      <c r="F8" s="336"/>
      <c r="G8" s="337">
        <f>SUM(C7:G7)</f>
        <v>133633</v>
      </c>
      <c r="I8" s="338" t="s">
        <v>239</v>
      </c>
      <c r="J8" s="34">
        <f>'Future CashFlows (10Y)'!C12</f>
        <v>0.15240969536923513</v>
      </c>
      <c r="K8" s="3"/>
    </row>
    <row r="9" spans="1:14" ht="12" customHeight="1">
      <c r="H9" s="339"/>
      <c r="I9" s="338" t="s">
        <v>3</v>
      </c>
      <c r="J9" s="34">
        <f>'Beta &amp; Cost of Equity'!L8</f>
        <v>9.493287811116756E-2</v>
      </c>
      <c r="K9" s="3"/>
    </row>
    <row r="10" spans="1:14" ht="12" customHeight="1">
      <c r="A10" s="3"/>
      <c r="B10" s="153" t="s">
        <v>241</v>
      </c>
      <c r="C10" s="305">
        <v>1</v>
      </c>
      <c r="D10" s="305">
        <v>2</v>
      </c>
      <c r="E10" s="305"/>
      <c r="F10" s="305">
        <v>3</v>
      </c>
      <c r="G10" s="305">
        <v>3</v>
      </c>
      <c r="H10" s="340"/>
      <c r="I10" s="341" t="s">
        <v>268</v>
      </c>
      <c r="J10" s="342" t="str">
        <f>IF(J8&gt;J9,"Yes","No")</f>
        <v>Yes</v>
      </c>
    </row>
    <row r="11" spans="1:14" ht="12" customHeight="1" thickBot="1">
      <c r="A11" s="3"/>
      <c r="B11" s="227" t="str">
        <f>Drivers!$C$5&amp;" in mil"</f>
        <v>$ in mil</v>
      </c>
      <c r="C11" s="228">
        <v>43466</v>
      </c>
      <c r="D11" s="228">
        <f>EDATE(C11,12)</f>
        <v>43831</v>
      </c>
      <c r="E11" s="228">
        <f t="shared" ref="E11:F11" si="2">EDATE(D11,12)</f>
        <v>44197</v>
      </c>
      <c r="F11" s="228">
        <f t="shared" si="2"/>
        <v>44562</v>
      </c>
      <c r="G11" s="343" t="s">
        <v>269</v>
      </c>
      <c r="K11" s="344"/>
      <c r="L11" s="344"/>
      <c r="M11" s="344"/>
    </row>
    <row r="12" spans="1:14" ht="12" customHeight="1">
      <c r="B12" s="329" t="s">
        <v>48</v>
      </c>
      <c r="C12" s="270">
        <f>'Growth Rate'!D7</f>
        <v>34642</v>
      </c>
      <c r="D12" s="270">
        <f>'Growth Rate'!E7</f>
        <v>27410</v>
      </c>
      <c r="E12" s="270">
        <f>'Growth Rate'!F7</f>
        <v>46503</v>
      </c>
      <c r="F12" s="270">
        <f>'Growth Rate'!G7</f>
        <v>35892</v>
      </c>
      <c r="G12" s="270">
        <f>SUM(C12:F12)</f>
        <v>144447</v>
      </c>
      <c r="K12" s="345"/>
      <c r="L12" s="345"/>
      <c r="M12" s="346"/>
    </row>
    <row r="13" spans="1:14" ht="12" customHeight="1">
      <c r="B13" s="331"/>
      <c r="C13" s="330"/>
      <c r="D13" s="330"/>
      <c r="E13" s="330"/>
      <c r="F13" s="330"/>
      <c r="G13" s="330"/>
      <c r="M13" s="347"/>
    </row>
    <row r="14" spans="1:14" s="21" customFormat="1" ht="12" customHeight="1">
      <c r="B14" s="330" t="s">
        <v>46</v>
      </c>
      <c r="C14" s="270">
        <f>'Regulatory Capital'!D18</f>
        <v>214432</v>
      </c>
      <c r="D14" s="270">
        <f>'Regulatory Capital'!E18</f>
        <v>234844</v>
      </c>
      <c r="E14" s="270">
        <f>'Regulatory Capital'!F18</f>
        <v>246162</v>
      </c>
      <c r="F14" s="270">
        <f>'Regulatory Capital'!G18</f>
        <v>245631</v>
      </c>
      <c r="G14" s="270">
        <f>SUM(C14:F14)</f>
        <v>941069</v>
      </c>
      <c r="H14" s="2"/>
      <c r="K14" s="2"/>
      <c r="L14" s="2"/>
      <c r="M14" s="2"/>
      <c r="N14" s="2"/>
    </row>
    <row r="15" spans="1:14" ht="12" customHeight="1">
      <c r="B15" s="329" t="s">
        <v>29</v>
      </c>
      <c r="C15" s="270">
        <f>'Growth Rate'!D6</f>
        <v>5339</v>
      </c>
      <c r="D15" s="270">
        <f>'Growth Rate'!E6</f>
        <v>20412</v>
      </c>
      <c r="E15" s="270">
        <f>'Growth Rate'!F6</f>
        <v>11318</v>
      </c>
      <c r="F15" s="270">
        <f>'Growth Rate'!G6</f>
        <v>-531</v>
      </c>
      <c r="G15" s="270">
        <f>SUM(C15:F15)</f>
        <v>36538</v>
      </c>
      <c r="M15" s="347"/>
    </row>
    <row r="16" spans="1:14" ht="12" customHeight="1">
      <c r="A16" s="6"/>
      <c r="B16" s="332" t="s">
        <v>49</v>
      </c>
      <c r="C16" s="333">
        <f t="shared" ref="C16:E16" si="3">C12-C15</f>
        <v>29303</v>
      </c>
      <c r="D16" s="333">
        <f t="shared" si="3"/>
        <v>6998</v>
      </c>
      <c r="E16" s="333">
        <f t="shared" si="3"/>
        <v>35185</v>
      </c>
      <c r="F16" s="333">
        <f>F12-F15</f>
        <v>36423</v>
      </c>
      <c r="G16" s="333">
        <f>SUM(C16:F16)</f>
        <v>107909</v>
      </c>
    </row>
    <row r="17" spans="1:15" ht="12" customHeight="1">
      <c r="C17" s="302"/>
      <c r="D17" s="302"/>
      <c r="E17" s="302"/>
      <c r="F17" s="302"/>
      <c r="G17" s="302"/>
    </row>
    <row r="18" spans="1:15" ht="12" customHeight="1">
      <c r="B18" s="349" t="s">
        <v>270</v>
      </c>
      <c r="C18" s="350">
        <f>G8/G16</f>
        <v>1.2383860475029886</v>
      </c>
    </row>
    <row r="20" spans="1:15" ht="12" customHeight="1">
      <c r="A20" s="23"/>
      <c r="E20" s="11"/>
    </row>
    <row r="21" spans="1:15" ht="12" customHeight="1">
      <c r="A21" s="6"/>
    </row>
    <row r="22" spans="1:15" ht="12" customHeight="1">
      <c r="A22" s="23"/>
    </row>
    <row r="23" spans="1:15" s="23" customFormat="1" ht="12" customHeight="1">
      <c r="B23" s="2"/>
      <c r="C23" s="2"/>
      <c r="D23" s="2"/>
      <c r="E23" s="2"/>
      <c r="F23" s="2"/>
      <c r="G23" s="2"/>
      <c r="H23" s="2"/>
      <c r="I23" s="2"/>
      <c r="J23" s="2"/>
      <c r="K23" s="2"/>
      <c r="L23" s="2"/>
      <c r="M23" s="2"/>
      <c r="N23" s="2"/>
      <c r="O23" s="2"/>
    </row>
    <row r="26" spans="1:15" ht="12" customHeight="1">
      <c r="A26" s="348"/>
    </row>
  </sheetData>
  <pageMargins left="0.7" right="0.7" top="0.75" bottom="0.75" header="0.3" footer="0.3"/>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vt:i4>
      </vt:variant>
    </vt:vector>
  </HeadingPairs>
  <TitlesOfParts>
    <vt:vector size="21" baseType="lpstr">
      <vt:lpstr>Dashboard</vt:lpstr>
      <vt:lpstr>Drivers</vt:lpstr>
      <vt:lpstr>About</vt:lpstr>
      <vt:lpstr>Corporate Governance</vt:lpstr>
      <vt:lpstr>Index</vt:lpstr>
      <vt:lpstr>Risk Free Rate &amp; ERP</vt:lpstr>
      <vt:lpstr>Beta &amp; Cost of Equity</vt:lpstr>
      <vt:lpstr>Free Cash Flow</vt:lpstr>
      <vt:lpstr>Regulatory Capital</vt:lpstr>
      <vt:lpstr>Growth Rate</vt:lpstr>
      <vt:lpstr>Future CashFlows (10Y)</vt:lpstr>
      <vt:lpstr>Terminal Value</vt:lpstr>
      <vt:lpstr>Road to Fair Value</vt:lpstr>
      <vt:lpstr>Fair Value of Share</vt:lpstr>
      <vt:lpstr>Sensitivity Analysis</vt:lpstr>
      <vt:lpstr>Dividend Decision</vt:lpstr>
      <vt:lpstr>Cash Return Explained</vt:lpstr>
      <vt:lpstr>'Cash Return Explained'!Print_Area</vt:lpstr>
      <vt:lpstr>Dashboard!Print_Area</vt:lpstr>
      <vt:lpstr>'Fair Value of Share'!Print_Area</vt:lpstr>
      <vt:lpstr>'Sensitivity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2023-04-21T20:11:49Z</dcterms:modified>
</cp:coreProperties>
</file>