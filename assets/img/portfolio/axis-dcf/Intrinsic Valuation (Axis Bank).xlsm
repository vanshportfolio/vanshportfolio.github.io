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585" windowWidth="14805" windowHeight="7530"/>
  </bookViews>
  <sheets>
    <sheet name="Cover" sheetId="28" r:id="rId1"/>
    <sheet name="About" sheetId="29" r:id="rId2"/>
    <sheet name="Index" sheetId="4" r:id="rId3"/>
    <sheet name="Risk Free Rate" sheetId="24" r:id="rId4"/>
    <sheet name="Equity Risk Premium" sheetId="26" r:id="rId5"/>
    <sheet name="Beta" sheetId="53" r:id="rId6"/>
    <sheet name="Cost of Equity" sheetId="23" r:id="rId7"/>
    <sheet name=" Cash Flows and Fair Value" sheetId="36" r:id="rId8"/>
    <sheet name="Industry Numbers" sheetId="54" r:id="rId9"/>
    <sheet name="Future Cashflows (10 Yrs)" sheetId="37" r:id="rId10"/>
    <sheet name="Fair Value of Share" sheetId="48" r:id="rId11"/>
  </sheets>
  <definedNames>
    <definedName name="_xlnm.Print_Area" localSheetId="5">Beta!$G$2:$M$10,Beta!$B$3:$C$13</definedName>
  </definedNames>
  <calcPr calcId="162913" iterate="1"/>
</workbook>
</file>

<file path=xl/calcChain.xml><?xml version="1.0" encoding="utf-8"?>
<calcChain xmlns="http://schemas.openxmlformats.org/spreadsheetml/2006/main">
  <c r="C16" i="48" l="1"/>
  <c r="G19" i="37"/>
  <c r="E19" i="37"/>
  <c r="E20" i="54"/>
  <c r="C5" i="37" l="1"/>
  <c r="C6" i="37" s="1"/>
  <c r="D29" i="37"/>
  <c r="E15" i="37"/>
  <c r="D28" i="37"/>
  <c r="E14" i="37"/>
  <c r="E10" i="37"/>
  <c r="E12" i="37" s="1"/>
  <c r="D18" i="37"/>
  <c r="F4" i="37"/>
  <c r="H7" i="54"/>
  <c r="E19" i="54"/>
  <c r="D19" i="54"/>
  <c r="C5" i="23"/>
  <c r="C6" i="53"/>
  <c r="I17" i="53"/>
  <c r="L16" i="53"/>
  <c r="K16" i="53"/>
  <c r="L15" i="53"/>
  <c r="K15" i="53"/>
  <c r="L14" i="53"/>
  <c r="K14" i="53"/>
  <c r="L13" i="53"/>
  <c r="K13" i="53"/>
  <c r="L12" i="53"/>
  <c r="K12" i="53"/>
  <c r="L11" i="53"/>
  <c r="K11" i="53"/>
  <c r="L10" i="53"/>
  <c r="K10" i="53"/>
  <c r="C4" i="53"/>
  <c r="C3" i="53"/>
  <c r="L9" i="53"/>
  <c r="K9" i="53"/>
  <c r="L8" i="53"/>
  <c r="K8" i="53"/>
  <c r="L7" i="53"/>
  <c r="K7" i="53"/>
  <c r="L6" i="53"/>
  <c r="K6" i="53"/>
  <c r="L5" i="53"/>
  <c r="K5" i="53"/>
  <c r="L4" i="53"/>
  <c r="K4" i="53"/>
  <c r="D23" i="37" l="1"/>
  <c r="E7" i="37"/>
  <c r="E9" i="37" s="1"/>
  <c r="E18" i="37"/>
  <c r="C7" i="37"/>
  <c r="D26" i="37"/>
  <c r="D27" i="37" s="1"/>
  <c r="D21" i="37"/>
  <c r="D22" i="37" s="1"/>
  <c r="E13" i="37"/>
  <c r="E11" i="37"/>
  <c r="E8" i="37" l="1"/>
  <c r="E6" i="37" s="1"/>
  <c r="E5" i="37" s="1"/>
  <c r="F5" i="37" s="1"/>
  <c r="G5" i="37" s="1"/>
  <c r="F19" i="37" s="1"/>
  <c r="D19" i="37"/>
  <c r="D20" i="37" s="1"/>
  <c r="D25" i="37"/>
  <c r="D24" i="37" s="1"/>
  <c r="F7" i="37"/>
  <c r="C8" i="37"/>
  <c r="C19" i="37" l="1"/>
  <c r="C8" i="48" s="1"/>
  <c r="F6" i="37"/>
  <c r="G6" i="37" s="1"/>
  <c r="F20" i="37" s="1"/>
  <c r="F8" i="37"/>
  <c r="G8" i="37" s="1"/>
  <c r="F22" i="37" s="1"/>
  <c r="C9" i="37"/>
  <c r="F9" i="37" s="1"/>
  <c r="G7" i="37" l="1"/>
  <c r="F21" i="37" s="1"/>
  <c r="C20" i="37"/>
  <c r="E20" i="37" s="1"/>
  <c r="G20" i="37" s="1"/>
  <c r="D8" i="48" s="1"/>
  <c r="G9" i="37"/>
  <c r="F23" i="37" s="1"/>
  <c r="C10" i="37"/>
  <c r="C11" i="37" s="1"/>
  <c r="C21" i="37" l="1"/>
  <c r="E21" i="37" s="1"/>
  <c r="G21" i="37" s="1"/>
  <c r="E8" i="48" s="1"/>
  <c r="F10" i="37"/>
  <c r="G10" i="37" s="1"/>
  <c r="F24" i="37" s="1"/>
  <c r="C22" i="37"/>
  <c r="E22" i="37" l="1"/>
  <c r="G22" i="37" s="1"/>
  <c r="F8" i="48" s="1"/>
  <c r="C23" i="37"/>
  <c r="F11" i="37"/>
  <c r="G11" i="37" s="1"/>
  <c r="F25" i="37" s="1"/>
  <c r="E23" i="37" l="1"/>
  <c r="G23" i="37" s="1"/>
  <c r="G8" i="48" s="1"/>
  <c r="C24" i="37"/>
  <c r="C25" i="37" l="1"/>
  <c r="E24" i="37"/>
  <c r="G24" i="37" s="1"/>
  <c r="H8" i="48" s="1"/>
  <c r="E25" i="37" l="1"/>
  <c r="G25" i="37" s="1"/>
  <c r="I8" i="48" s="1"/>
  <c r="J4" i="26" l="1"/>
  <c r="J5" i="26"/>
  <c r="J6" i="26"/>
  <c r="J7" i="26"/>
  <c r="J8" i="26"/>
  <c r="I14" i="26"/>
  <c r="J13" i="26"/>
  <c r="J12" i="26"/>
  <c r="J11" i="26"/>
  <c r="E21" i="26"/>
  <c r="M4" i="26"/>
  <c r="C11" i="26"/>
  <c r="J9" i="26"/>
  <c r="J10" i="26"/>
  <c r="C7" i="26"/>
  <c r="C6" i="26"/>
  <c r="C3" i="26"/>
  <c r="B6" i="4"/>
  <c r="B7" i="4" s="1"/>
  <c r="B8" i="4" s="1"/>
  <c r="B9" i="4" s="1"/>
  <c r="B10" i="4" s="1"/>
  <c r="B11" i="4" s="1"/>
  <c r="B12" i="4" s="1"/>
  <c r="B13" i="4" s="1"/>
  <c r="M6" i="26" l="1"/>
  <c r="M7" i="26" s="1"/>
  <c r="J14" i="26"/>
  <c r="C4" i="26" s="1"/>
  <c r="C7" i="24"/>
  <c r="C3" i="24" s="1"/>
  <c r="D13" i="37" l="1"/>
  <c r="H5" i="54"/>
  <c r="D15" i="37"/>
  <c r="D12" i="37"/>
  <c r="C12" i="37" s="1"/>
  <c r="D14" i="37"/>
  <c r="F27" i="26"/>
  <c r="C3" i="23"/>
  <c r="M5" i="26"/>
  <c r="M9" i="26" s="1"/>
  <c r="C13" i="26" s="1"/>
  <c r="F21" i="26"/>
  <c r="F12" i="37" l="1"/>
  <c r="G12" i="37" s="1"/>
  <c r="C13" i="37"/>
  <c r="G21" i="26"/>
  <c r="H21" i="26" s="1"/>
  <c r="F13" i="37" l="1"/>
  <c r="G13" i="37" s="1"/>
  <c r="F27" i="37" s="1"/>
  <c r="C14" i="37"/>
  <c r="F26" i="37"/>
  <c r="C26" i="37"/>
  <c r="I21" i="26"/>
  <c r="J21" i="26" s="1"/>
  <c r="K21" i="26" s="1"/>
  <c r="C27" i="37" l="1"/>
  <c r="E26" i="37"/>
  <c r="G26" i="37" s="1"/>
  <c r="J8" i="48" s="1"/>
  <c r="C15" i="37"/>
  <c r="F15" i="37" s="1"/>
  <c r="F14" i="37"/>
  <c r="G14" i="37" s="1"/>
  <c r="F28" i="37" s="1"/>
  <c r="F24" i="26"/>
  <c r="F23" i="26"/>
  <c r="G15" i="37" l="1"/>
  <c r="F29" i="37" s="1"/>
  <c r="C28" i="37"/>
  <c r="E27" i="37"/>
  <c r="G27" i="37" s="1"/>
  <c r="K8" i="48" s="1"/>
  <c r="F26" i="26"/>
  <c r="F28" i="26" s="1"/>
  <c r="H6" i="54" s="1"/>
  <c r="H9" i="54" s="1"/>
  <c r="L9" i="48" s="1"/>
  <c r="C29" i="37" l="1"/>
  <c r="E29" i="37" s="1"/>
  <c r="G29" i="37" s="1"/>
  <c r="C13" i="48" s="1"/>
  <c r="C14" i="48" s="1"/>
  <c r="E28" i="37"/>
  <c r="G28" i="37" s="1"/>
  <c r="L8" i="48" s="1"/>
  <c r="C4" i="23"/>
  <c r="C7" i="23" l="1"/>
  <c r="C9" i="48" s="1"/>
  <c r="G9" i="48" l="1"/>
  <c r="C10" i="48"/>
  <c r="E9" i="48" l="1"/>
  <c r="I9" i="48"/>
  <c r="K9" i="48" s="1"/>
  <c r="J9" i="48" s="1"/>
  <c r="H9" i="48"/>
  <c r="F9" i="48" l="1"/>
  <c r="F10" i="48" s="1"/>
  <c r="D9" i="48"/>
  <c r="D10" i="48" s="1"/>
  <c r="E10" i="48"/>
  <c r="G10" i="48"/>
  <c r="H10" i="48"/>
  <c r="I10" i="48"/>
  <c r="J10" i="48"/>
  <c r="K10" i="48"/>
  <c r="L10" i="48"/>
  <c r="C12" i="48" l="1"/>
  <c r="C15" i="48" l="1"/>
  <c r="C17" i="48" s="1"/>
  <c r="C19" i="48" s="1"/>
</calcChain>
</file>

<file path=xl/sharedStrings.xml><?xml version="1.0" encoding="utf-8"?>
<sst xmlns="http://schemas.openxmlformats.org/spreadsheetml/2006/main" count="228" uniqueCount="169">
  <si>
    <t xml:space="preserve">#                </t>
  </si>
  <si>
    <t>Worksheet</t>
  </si>
  <si>
    <t>Beta</t>
  </si>
  <si>
    <t>Cost of Capital</t>
  </si>
  <si>
    <t>Cost of Equity</t>
  </si>
  <si>
    <t>Risk Free Rate</t>
  </si>
  <si>
    <t>Equity Risk Premium</t>
  </si>
  <si>
    <t>India 10-Year Government Bond Yield</t>
  </si>
  <si>
    <t>India Credit Rating (Fitch - 06/10/2022)</t>
  </si>
  <si>
    <t>India's Default Spread</t>
  </si>
  <si>
    <t>Cyprus</t>
  </si>
  <si>
    <t>Mexico</t>
  </si>
  <si>
    <t>Panama</t>
  </si>
  <si>
    <t>Romania</t>
  </si>
  <si>
    <t>Uruguay</t>
  </si>
  <si>
    <t>Croatia</t>
  </si>
  <si>
    <t>Kazakhstan</t>
  </si>
  <si>
    <t>Montserrat</t>
  </si>
  <si>
    <t>Trinidad and Tobago</t>
  </si>
  <si>
    <t>Aa2</t>
  </si>
  <si>
    <t>B1</t>
  </si>
  <si>
    <t>Baa2</t>
  </si>
  <si>
    <t>B3</t>
  </si>
  <si>
    <t>Ca</t>
  </si>
  <si>
    <t>Ba3</t>
  </si>
  <si>
    <t>Aaa</t>
  </si>
  <si>
    <t>Aa1</t>
  </si>
  <si>
    <t>Ba2</t>
  </si>
  <si>
    <t>B2</t>
  </si>
  <si>
    <t>Caa1</t>
  </si>
  <si>
    <t>Aa3</t>
  </si>
  <si>
    <t>Caa3</t>
  </si>
  <si>
    <t>A2</t>
  </si>
  <si>
    <t>A3</t>
  </si>
  <si>
    <t>Baa1</t>
  </si>
  <si>
    <t>A1</t>
  </si>
  <si>
    <t>Caa2</t>
  </si>
  <si>
    <t>Ba1</t>
  </si>
  <si>
    <t>Baa3</t>
  </si>
  <si>
    <t>C</t>
  </si>
  <si>
    <t>Credit Rating</t>
  </si>
  <si>
    <t>Avg Default Spread (%)</t>
  </si>
  <si>
    <t>Countries credit rating same as India</t>
  </si>
  <si>
    <t>(Risk Free Rate = 10 Year Gov Bond - Default Spread)</t>
  </si>
  <si>
    <t>Year</t>
  </si>
  <si>
    <t>Dividends from Nifty50 in 2021</t>
  </si>
  <si>
    <t>Dividend Cf</t>
  </si>
  <si>
    <t>Avg Div Yield</t>
  </si>
  <si>
    <t>Adj Avg Div Yield (Last 10 Years)</t>
  </si>
  <si>
    <t>Dividend Yield (as on March 31, 2022)</t>
  </si>
  <si>
    <t>Weights</t>
  </si>
  <si>
    <t>Adj Avg Dividend Cash Flows in 2021</t>
  </si>
  <si>
    <t>Source:</t>
  </si>
  <si>
    <t>Nifty 50 Dividend Yield(DIV) on Trendlyne.com</t>
  </si>
  <si>
    <t>Nifty50 Dividend Points Index Ticker: NIFTYDIVID</t>
  </si>
  <si>
    <t>FY13</t>
  </si>
  <si>
    <t>FY14</t>
  </si>
  <si>
    <t>FY15</t>
  </si>
  <si>
    <t>FY16</t>
  </si>
  <si>
    <t>FY17</t>
  </si>
  <si>
    <t>FY18</t>
  </si>
  <si>
    <t>FY19</t>
  </si>
  <si>
    <t>FY20</t>
  </si>
  <si>
    <t>FY21</t>
  </si>
  <si>
    <t>FY22</t>
  </si>
  <si>
    <t>FY23</t>
  </si>
  <si>
    <t>FY24</t>
  </si>
  <si>
    <t>FY25</t>
  </si>
  <si>
    <t>FY26</t>
  </si>
  <si>
    <t>FY27</t>
  </si>
  <si>
    <t>EPS of Nifty50 (31st Mar 2012)</t>
  </si>
  <si>
    <t>EPS of Nifty50 (31st Mar 2022)</t>
  </si>
  <si>
    <t>Avg EPS growth Nifty50 (Last 10 Years)</t>
  </si>
  <si>
    <t>Exp Growth %</t>
  </si>
  <si>
    <t>Expected Growth % in Nifty50 (Next 5 Years)</t>
  </si>
  <si>
    <t>Nifty 50 Earnings Per share (EPS)</t>
  </si>
  <si>
    <t>India 10-Year Bond Yield</t>
  </si>
  <si>
    <t>Wght Div Cf</t>
  </si>
  <si>
    <t>Investment Outflow</t>
  </si>
  <si>
    <t>NPV @ 10%</t>
  </si>
  <si>
    <t>NPV @ 9%</t>
  </si>
  <si>
    <t>Exp Return on Stocks</t>
  </si>
  <si>
    <t>-</t>
  </si>
  <si>
    <t>Implied Market Risk Premium (India)</t>
  </si>
  <si>
    <t>Ticker</t>
  </si>
  <si>
    <t>Std Error</t>
  </si>
  <si>
    <t>Beta Range</t>
  </si>
  <si>
    <t>Low Beta</t>
  </si>
  <si>
    <t>High Beta</t>
  </si>
  <si>
    <t>Regression Beta using Python (skLearn.LinearModel)</t>
  </si>
  <si>
    <t>Yahoo Finance (yahoofinancials module)</t>
  </si>
  <si>
    <t>Bottom-Up Beta</t>
  </si>
  <si>
    <t>India Corporate Tax Rate</t>
  </si>
  <si>
    <t>Risk Free Rate - Rf</t>
  </si>
  <si>
    <t>(Cost of Equity = Risk Free Rate + Beta * Equity Risk Premium)</t>
  </si>
  <si>
    <t>Number of Shares Outstanding</t>
  </si>
  <si>
    <t>Valuation Index</t>
  </si>
  <si>
    <t>Reinvestment</t>
  </si>
  <si>
    <t>Future Cash Flows (10 Yrs)</t>
  </si>
  <si>
    <t>Terminal Value</t>
  </si>
  <si>
    <t>Risk Free Rate - India</t>
  </si>
  <si>
    <t>Mature Company's Beta</t>
  </si>
  <si>
    <t>Present Value of TV</t>
  </si>
  <si>
    <t>Value of Equity</t>
  </si>
  <si>
    <t>Fair Value of the Share</t>
  </si>
  <si>
    <t>Present Value of Cash Flows</t>
  </si>
  <si>
    <t>Discounting Future Cash Flows to Present Value</t>
  </si>
  <si>
    <t>Value of Equity Options</t>
  </si>
  <si>
    <t>Fair value of share</t>
  </si>
  <si>
    <t>Value of Common Stock</t>
  </si>
  <si>
    <t>Fair Value of Share</t>
  </si>
  <si>
    <t>Growth Rate in Perpetuity</t>
  </si>
  <si>
    <t>TV</t>
  </si>
  <si>
    <t>Axis Bank Company Analysis</t>
  </si>
  <si>
    <t>Axis Bank</t>
  </si>
  <si>
    <t>Sector of Axis Bank</t>
  </si>
  <si>
    <t>Industry of Axis Bank</t>
  </si>
  <si>
    <t>Financial Services</t>
  </si>
  <si>
    <t>Private Banking</t>
  </si>
  <si>
    <t>Nifty50 (as on 20th July 2022)</t>
  </si>
  <si>
    <t>Industry - Private Banking</t>
  </si>
  <si>
    <t>Banking Co.</t>
  </si>
  <si>
    <t>HDFC Bank</t>
  </si>
  <si>
    <t>ICICI Bank</t>
  </si>
  <si>
    <t>Kotak Mahindra Bank</t>
  </si>
  <si>
    <t>IndusInd Bank</t>
  </si>
  <si>
    <t>Bandhan Bank</t>
  </si>
  <si>
    <t>IDBI Bank</t>
  </si>
  <si>
    <t>AU Small Finance</t>
  </si>
  <si>
    <t>Yes Bank</t>
  </si>
  <si>
    <t>Federal Bank</t>
  </si>
  <si>
    <t>IDFC First Bank</t>
  </si>
  <si>
    <t>City Union Bank</t>
  </si>
  <si>
    <t>RBL Bank</t>
  </si>
  <si>
    <t>Karur Vysya Bank</t>
  </si>
  <si>
    <t>Beta (5Y, Monthly)</t>
  </si>
  <si>
    <t>HDFCBANK</t>
  </si>
  <si>
    <t>ICICIBANK</t>
  </si>
  <si>
    <t>KOTAKBANK</t>
  </si>
  <si>
    <t>INDUSINDBK</t>
  </si>
  <si>
    <t>BANDHANBNK</t>
  </si>
  <si>
    <t>IDBI</t>
  </si>
  <si>
    <t>AUBANK</t>
  </si>
  <si>
    <t>YESBANK</t>
  </si>
  <si>
    <t>FEDERALBNK</t>
  </si>
  <si>
    <t>IDFCFIRSTB</t>
  </si>
  <si>
    <t>CUB</t>
  </si>
  <si>
    <t>RBLBANK</t>
  </si>
  <si>
    <t>KARURVYSYA</t>
  </si>
  <si>
    <t>Bottom Up Beta</t>
  </si>
  <si>
    <t>Beta (Axis Bank)</t>
  </si>
  <si>
    <t>Tier 1 Capital</t>
  </si>
  <si>
    <t>Book Equity</t>
  </si>
  <si>
    <t>Expected ROE</t>
  </si>
  <si>
    <t>Net Income</t>
  </si>
  <si>
    <t>FCFE</t>
  </si>
  <si>
    <t>RWA Growth (%)</t>
  </si>
  <si>
    <t>Industry Numbers</t>
  </si>
  <si>
    <t>ROE</t>
  </si>
  <si>
    <t>Mature Company Cost of Equity Estimation</t>
  </si>
  <si>
    <t>Mature Beta</t>
  </si>
  <si>
    <t>Free Cash Flows to Equity</t>
  </si>
  <si>
    <t>LTM</t>
  </si>
  <si>
    <t>Tier 1 Ratio (%)</t>
  </si>
  <si>
    <t>Chg. In Capital</t>
  </si>
  <si>
    <t>RWA</t>
  </si>
  <si>
    <t>Cash Flows and Fair Value</t>
  </si>
  <si>
    <t>Cash Flows &amp; Fair Value</t>
  </si>
  <si>
    <t>Present Vaue of FCFE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</si>
</sst>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_);@_l"/>
    <numFmt numFmtId="168" formatCode="_-* #,##0.00\ &quot;€&quot;_-;\-* #,##0.00\ &quot;€&quot;_-;_-* &quot;-&quot;??\ &quot;€&quot;_-;_-@_-"/>
    <numFmt numFmtId="169" formatCode="_-* #,##0.00\ _€_-;\-* #,##0.00\ _€_-;_-* &quot;-&quot;??\ _€_-;_-@_-"/>
    <numFmt numFmtId="170" formatCode="_-* #,##0\ _D_M_-;\-* #,##0\ _D_M_-;_-* &quot;-&quot;\ _D_M_-;_-@_-"/>
    <numFmt numFmtId="171" formatCode="_-* #,##0.00\ &quot;Kc&quot;_-;\-* #,##0.00\ &quot;Kc&quot;_-;_-* &quot;-&quot;??\ &quot;Kc&quot;_-;_-@_-"/>
    <numFmt numFmtId="172" formatCode="\(0\'\)"/>
    <numFmt numFmtId="173" formatCode="0.00_)"/>
    <numFmt numFmtId="174" formatCode="#,##0;\(#,##0\);&quot;-&quot;"/>
    <numFmt numFmtId="175" formatCode="_-* #,##0_-;\-* #,##0_-;_-* &quot;-&quot;_-;_-@_-"/>
    <numFmt numFmtId="176" formatCode="#,##0_);\(#,##0\);&quot; - &quot;_);@_)"/>
    <numFmt numFmtId="177" formatCode="\ #,##0.0_);\(#,##0.0\);&quot; - &quot;_);@_)"/>
    <numFmt numFmtId="178" formatCode="_(* #,##0.00_);_(* \(#,##0.00\);_(* &quot;-&quot;?_);@_)"/>
    <numFmt numFmtId="179" formatCode="0.0"/>
    <numFmt numFmtId="180" formatCode="_ [$₹-4009]\ * #,##0.00_ ;_ [$₹-4009]\ * \-#,##0.00_ ;_ [$₹-4009]\ * &quot;-&quot;??_ ;_ @_ "/>
    <numFmt numFmtId="181" formatCode="[$₹-4009]\ #,##0.00;[$₹-4009]\ \-#,##0.00"/>
    <numFmt numFmtId="182" formatCode="_(* #,##0.000_);_(* \(#,##0.000\);_(* &quot;-&quot;?_);@_)"/>
    <numFmt numFmtId="183" formatCode="_ [$₹-4009]\ * #,##0.00_ ;_ [$₹-4009]\ * \-#,##0.00_ ;_ [$₹-4009]\ * &quot;-&quot;?_ ;_ @_ "/>
  </numFmts>
  <fonts count="74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i/>
      <sz val="9"/>
      <color theme="1"/>
      <name val="Arial"/>
      <family val="2"/>
    </font>
    <font>
      <b/>
      <i/>
      <sz val="9"/>
      <color theme="1"/>
      <name val="Arial"/>
      <family val="2"/>
    </font>
    <font>
      <i/>
      <sz val="9"/>
      <name val="Arial"/>
      <family val="2"/>
    </font>
    <font>
      <b/>
      <i/>
      <sz val="9"/>
      <color theme="0"/>
      <name val="Arial"/>
      <family val="2"/>
    </font>
    <font>
      <b/>
      <sz val="32"/>
      <name val="Arial"/>
      <family val="2"/>
    </font>
    <font>
      <b/>
      <sz val="9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04"/>
    </font>
    <font>
      <b/>
      <sz val="40"/>
      <color theme="1" tint="4.9989318521683403E-2"/>
      <name val="Arial"/>
      <family val="2"/>
      <charset val="204"/>
    </font>
    <font>
      <sz val="10"/>
      <color rgb="FF002060"/>
      <name val="Arial"/>
      <family val="2"/>
      <charset val="204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69">
    <xf numFmtId="0" fontId="0" fillId="0" borderId="0"/>
    <xf numFmtId="0" fontId="3" fillId="0" borderId="1" applyFill="0" applyProtection="0">
      <alignment horizontal="right" wrapText="1"/>
    </xf>
    <xf numFmtId="9" fontId="5" fillId="0" borderId="0" applyFont="0" applyFill="0" applyBorder="0" applyAlignment="0" applyProtection="0"/>
    <xf numFmtId="0" fontId="9" fillId="0" borderId="0"/>
    <xf numFmtId="0" fontId="9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3" borderId="3"/>
    <xf numFmtId="0" fontId="12" fillId="0" borderId="0"/>
    <xf numFmtId="0" fontId="9" fillId="0" borderId="0"/>
    <xf numFmtId="0" fontId="9" fillId="0" borderId="0"/>
    <xf numFmtId="0" fontId="12" fillId="0" borderId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9" fillId="0" borderId="0"/>
    <xf numFmtId="0" fontId="16" fillId="5" borderId="0" applyNumberFormat="0" applyBorder="0" applyAlignment="0" applyProtection="0"/>
    <xf numFmtId="0" fontId="17" fillId="22" borderId="4" applyNumberFormat="0" applyAlignment="0" applyProtection="0"/>
    <xf numFmtId="0" fontId="18" fillId="23" borderId="5" applyNumberFormat="0" applyAlignment="0" applyProtection="0"/>
    <xf numFmtId="49" fontId="10" fillId="0" borderId="0">
      <alignment horizontal="left" vertical="top" wrapText="1"/>
    </xf>
    <xf numFmtId="168" fontId="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38" fontId="10" fillId="24" borderId="0" applyNumberFormat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4" applyNumberFormat="0" applyAlignment="0" applyProtection="0"/>
    <xf numFmtId="10" fontId="10" fillId="3" borderId="9" applyNumberFormat="0" applyBorder="0" applyAlignment="0" applyProtection="0"/>
    <xf numFmtId="0" fontId="25" fillId="0" borderId="10" applyNumberFormat="0" applyFill="0" applyAlignment="0" applyProtection="0"/>
    <xf numFmtId="171" fontId="26" fillId="0" borderId="0" applyFont="0" applyFill="0" applyBorder="0" applyAlignment="0" applyProtection="0"/>
    <xf numFmtId="170" fontId="9" fillId="0" borderId="0" applyFont="0" applyFill="0" applyBorder="0" applyAlignment="0" applyProtection="0"/>
    <xf numFmtId="4" fontId="27" fillId="0" borderId="0" applyFont="0" applyFill="0" applyBorder="0" applyAlignment="0" applyProtection="0"/>
    <xf numFmtId="42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28" fillId="25" borderId="0" applyNumberFormat="0" applyBorder="0" applyAlignment="0" applyProtection="0"/>
    <xf numFmtId="173" fontId="29" fillId="0" borderId="0"/>
    <xf numFmtId="0" fontId="26" fillId="0" borderId="0"/>
    <xf numFmtId="0" fontId="14" fillId="26" borderId="11" applyNumberFormat="0" applyFon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1" fillId="22" borderId="12" applyNumberFormat="0" applyAlignment="0" applyProtection="0"/>
    <xf numFmtId="9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ont="0" applyFill="0" applyBorder="0" applyAlignment="0" applyProtection="0">
      <alignment horizontal="left"/>
    </xf>
    <xf numFmtId="15" fontId="30" fillId="0" borderId="0" applyFont="0" applyFill="0" applyBorder="0" applyAlignment="0" applyProtection="0"/>
    <xf numFmtId="4" fontId="30" fillId="0" borderId="0" applyFont="0" applyFill="0" applyBorder="0" applyAlignment="0" applyProtection="0"/>
    <xf numFmtId="0" fontId="32" fillId="0" borderId="13">
      <alignment horizontal="center"/>
    </xf>
    <xf numFmtId="3" fontId="30" fillId="0" borderId="0" applyFont="0" applyFill="0" applyBorder="0" applyAlignment="0" applyProtection="0"/>
    <xf numFmtId="0" fontId="30" fillId="27" borderId="0" applyNumberFormat="0" applyFont="0" applyBorder="0" applyAlignment="0" applyProtection="0"/>
    <xf numFmtId="3" fontId="42" fillId="28" borderId="0" applyFont="0" applyFill="0" applyBorder="0" applyAlignment="0" applyProtection="0"/>
    <xf numFmtId="4" fontId="33" fillId="29" borderId="12" applyNumberFormat="0" applyProtection="0">
      <alignment vertical="center"/>
    </xf>
    <xf numFmtId="4" fontId="34" fillId="29" borderId="12" applyNumberFormat="0" applyProtection="0">
      <alignment vertical="center"/>
    </xf>
    <xf numFmtId="4" fontId="33" fillId="29" borderId="12" applyNumberFormat="0" applyProtection="0">
      <alignment horizontal="left" vertical="center" indent="1"/>
    </xf>
    <xf numFmtId="4" fontId="33" fillId="29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31" borderId="12" applyNumberFormat="0" applyProtection="0">
      <alignment horizontal="right" vertical="center"/>
    </xf>
    <xf numFmtId="4" fontId="33" fillId="32" borderId="12" applyNumberFormat="0" applyProtection="0">
      <alignment horizontal="right" vertical="center"/>
    </xf>
    <xf numFmtId="4" fontId="33" fillId="33" borderId="12" applyNumberFormat="0" applyProtection="0">
      <alignment horizontal="right" vertical="center"/>
    </xf>
    <xf numFmtId="4" fontId="33" fillId="34" borderId="12" applyNumberFormat="0" applyProtection="0">
      <alignment horizontal="right" vertical="center"/>
    </xf>
    <xf numFmtId="4" fontId="33" fillId="35" borderId="12" applyNumberFormat="0" applyProtection="0">
      <alignment horizontal="right" vertical="center"/>
    </xf>
    <xf numFmtId="4" fontId="33" fillId="36" borderId="12" applyNumberFormat="0" applyProtection="0">
      <alignment horizontal="right" vertical="center"/>
    </xf>
    <xf numFmtId="4" fontId="33" fillId="37" borderId="12" applyNumberFormat="0" applyProtection="0">
      <alignment horizontal="right" vertical="center"/>
    </xf>
    <xf numFmtId="4" fontId="33" fillId="38" borderId="12" applyNumberFormat="0" applyProtection="0">
      <alignment horizontal="right" vertical="center"/>
    </xf>
    <xf numFmtId="4" fontId="33" fillId="39" borderId="12" applyNumberFormat="0" applyProtection="0">
      <alignment horizontal="right" vertical="center"/>
    </xf>
    <xf numFmtId="4" fontId="35" fillId="40" borderId="12" applyNumberFormat="0" applyProtection="0">
      <alignment horizontal="left" vertical="center" indent="1"/>
    </xf>
    <xf numFmtId="4" fontId="33" fillId="41" borderId="14" applyNumberFormat="0" applyProtection="0">
      <alignment horizontal="left" vertical="center" indent="1"/>
    </xf>
    <xf numFmtId="4" fontId="36" fillId="42" borderId="0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41" borderId="12" applyNumberFormat="0" applyProtection="0">
      <alignment horizontal="left" vertical="center" indent="1"/>
    </xf>
    <xf numFmtId="4" fontId="33" fillId="43" borderId="12" applyNumberFormat="0" applyProtection="0">
      <alignment horizontal="left" vertical="center" indent="1"/>
    </xf>
    <xf numFmtId="0" fontId="9" fillId="43" borderId="12" applyNumberFormat="0" applyProtection="0">
      <alignment horizontal="left" vertical="center" indent="1"/>
    </xf>
    <xf numFmtId="0" fontId="9" fillId="43" borderId="12" applyNumberFormat="0" applyProtection="0">
      <alignment horizontal="left" vertical="center" indent="1"/>
    </xf>
    <xf numFmtId="0" fontId="9" fillId="44" borderId="12" applyNumberFormat="0" applyProtection="0">
      <alignment horizontal="left" vertical="center" indent="1"/>
    </xf>
    <xf numFmtId="0" fontId="9" fillId="44" borderId="12" applyNumberFormat="0" applyProtection="0">
      <alignment horizontal="left" vertical="center" indent="1"/>
    </xf>
    <xf numFmtId="0" fontId="9" fillId="24" borderId="12" applyNumberFormat="0" applyProtection="0">
      <alignment horizontal="left" vertical="center" indent="1"/>
    </xf>
    <xf numFmtId="0" fontId="9" fillId="24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3" borderId="12" applyNumberFormat="0" applyProtection="0">
      <alignment vertical="center"/>
    </xf>
    <xf numFmtId="4" fontId="34" fillId="3" borderId="12" applyNumberFormat="0" applyProtection="0">
      <alignment vertical="center"/>
    </xf>
    <xf numFmtId="4" fontId="33" fillId="3" borderId="12" applyNumberFormat="0" applyProtection="0">
      <alignment horizontal="left" vertical="center" indent="1"/>
    </xf>
    <xf numFmtId="4" fontId="33" fillId="3" borderId="12" applyNumberFormat="0" applyProtection="0">
      <alignment horizontal="left" vertical="center" indent="1"/>
    </xf>
    <xf numFmtId="4" fontId="33" fillId="41" borderId="12" applyNumberFormat="0" applyProtection="0">
      <alignment horizontal="right" vertical="center"/>
    </xf>
    <xf numFmtId="4" fontId="34" fillId="41" borderId="12" applyNumberFormat="0" applyProtection="0">
      <alignment horizontal="right" vertical="center"/>
    </xf>
    <xf numFmtId="0" fontId="9" fillId="30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0" fontId="37" fillId="0" borderId="0"/>
    <xf numFmtId="4" fontId="11" fillId="41" borderId="12" applyNumberFormat="0" applyProtection="0">
      <alignment horizontal="right" vertical="center"/>
    </xf>
    <xf numFmtId="0" fontId="9" fillId="0" borderId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3" fontId="40" fillId="0" borderId="2" applyNumberFormat="0"/>
    <xf numFmtId="0" fontId="4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43" fillId="0" borderId="0"/>
    <xf numFmtId="0" fontId="9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44" fillId="0" borderId="0" applyNumberFormat="0" applyFont="0" applyFill="0" applyBorder="0" applyAlignment="0" applyProtection="0"/>
    <xf numFmtId="0" fontId="45" fillId="0" borderId="0"/>
    <xf numFmtId="0" fontId="46" fillId="0" borderId="0"/>
    <xf numFmtId="174" fontId="47" fillId="0" borderId="0"/>
    <xf numFmtId="174" fontId="9" fillId="0" borderId="0"/>
    <xf numFmtId="174" fontId="49" fillId="0" borderId="0"/>
    <xf numFmtId="0" fontId="50" fillId="0" borderId="0">
      <alignment horizontal="left"/>
    </xf>
    <xf numFmtId="175" fontId="48" fillId="0" borderId="16" applyFill="0" applyBorder="0" applyProtection="0">
      <alignment horizontal="right" vertical="top"/>
    </xf>
    <xf numFmtId="174" fontId="51" fillId="0" borderId="16">
      <alignment horizontal="left"/>
    </xf>
    <xf numFmtId="0" fontId="50" fillId="0" borderId="16">
      <alignment horizontal="right" wrapText="1"/>
    </xf>
    <xf numFmtId="0" fontId="48" fillId="0" borderId="0" applyFill="0" applyBorder="0">
      <alignment horizontal="left" vertical="top" wrapText="1"/>
    </xf>
    <xf numFmtId="176" fontId="48" fillId="0" borderId="0" applyFill="0" applyBorder="0">
      <alignment horizontal="right" vertical="top"/>
    </xf>
    <xf numFmtId="177" fontId="48" fillId="0" borderId="0" applyFill="0" applyBorder="0">
      <alignment horizontal="right" vertical="top"/>
    </xf>
    <xf numFmtId="49" fontId="48" fillId="0" borderId="0" applyNumberFormat="0" applyFill="0" applyBorder="0" applyProtection="0">
      <alignment horizontal="center" vertical="top"/>
    </xf>
    <xf numFmtId="174" fontId="52" fillId="0" borderId="0">
      <alignment horizontal="left" vertical="top"/>
    </xf>
    <xf numFmtId="0" fontId="53" fillId="0" borderId="0"/>
    <xf numFmtId="0" fontId="5" fillId="0" borderId="0"/>
    <xf numFmtId="0" fontId="54" fillId="0" borderId="0"/>
    <xf numFmtId="0" fontId="5" fillId="0" borderId="0"/>
    <xf numFmtId="16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5" fillId="0" borderId="0"/>
    <xf numFmtId="0" fontId="56" fillId="0" borderId="0"/>
    <xf numFmtId="0" fontId="57" fillId="0" borderId="0"/>
    <xf numFmtId="0" fontId="58" fillId="0" borderId="0"/>
    <xf numFmtId="0" fontId="58" fillId="0" borderId="0"/>
    <xf numFmtId="0" fontId="55" fillId="0" borderId="0"/>
    <xf numFmtId="0" fontId="56" fillId="0" borderId="0"/>
    <xf numFmtId="0" fontId="57" fillId="0" borderId="0"/>
    <xf numFmtId="0" fontId="61" fillId="0" borderId="0" applyNumberFormat="0" applyFill="0" applyBorder="0" applyAlignment="0" applyProtection="0"/>
    <xf numFmtId="44" fontId="9" fillId="0" borderId="0" applyFont="0" applyFill="0" applyBorder="0" applyAlignment="0" applyProtection="0"/>
    <xf numFmtId="0" fontId="70" fillId="0" borderId="0">
      <alignment vertical="top"/>
    </xf>
    <xf numFmtId="43" fontId="71" fillId="0" borderId="0">
      <alignment vertical="top"/>
    </xf>
  </cellStyleXfs>
  <cellXfs count="259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1" fillId="2" borderId="0" xfId="0" applyNumberFormat="1" applyFont="1" applyFill="1" applyBorder="1"/>
    <xf numFmtId="9" fontId="1" fillId="2" borderId="0" xfId="2" applyFont="1" applyFill="1"/>
    <xf numFmtId="167" fontId="1" fillId="2" borderId="0" xfId="0" applyNumberFormat="1" applyFont="1" applyFill="1"/>
    <xf numFmtId="165" fontId="1" fillId="2" borderId="0" xfId="0" applyNumberFormat="1" applyFont="1" applyFill="1" applyBorder="1"/>
    <xf numFmtId="164" fontId="7" fillId="2" borderId="0" xfId="0" applyNumberFormat="1" applyFont="1" applyFill="1" applyBorder="1"/>
    <xf numFmtId="164" fontId="1" fillId="2" borderId="0" xfId="0" applyNumberFormat="1" applyFont="1" applyFill="1" applyBorder="1" applyAlignment="1">
      <alignment horizontal="right"/>
    </xf>
    <xf numFmtId="178" fontId="1" fillId="2" borderId="0" xfId="0" applyNumberFormat="1" applyFont="1" applyFill="1"/>
    <xf numFmtId="0" fontId="60" fillId="2" borderId="0" xfId="0" applyFont="1" applyFill="1"/>
    <xf numFmtId="2" fontId="1" fillId="2" borderId="0" xfId="0" applyNumberFormat="1" applyFont="1" applyFill="1"/>
    <xf numFmtId="178" fontId="1" fillId="2" borderId="0" xfId="0" applyNumberFormat="1" applyFont="1" applyFill="1" applyBorder="1"/>
    <xf numFmtId="10" fontId="1" fillId="2" borderId="0" xfId="2" applyNumberFormat="1" applyFont="1" applyFill="1"/>
    <xf numFmtId="0" fontId="1" fillId="2" borderId="0" xfId="0" applyNumberFormat="1" applyFont="1" applyFill="1"/>
    <xf numFmtId="9" fontId="4" fillId="2" borderId="0" xfId="2" applyFont="1" applyFill="1" applyBorder="1"/>
    <xf numFmtId="10" fontId="8" fillId="2" borderId="0" xfId="2" applyNumberFormat="1" applyFont="1" applyFill="1"/>
    <xf numFmtId="164" fontId="63" fillId="2" borderId="0" xfId="0" applyNumberFormat="1" applyFont="1" applyFill="1"/>
    <xf numFmtId="165" fontId="1" fillId="46" borderId="0" xfId="0" applyNumberFormat="1" applyFont="1" applyFill="1" applyBorder="1"/>
    <xf numFmtId="164" fontId="1" fillId="46" borderId="0" xfId="0" applyNumberFormat="1" applyFont="1" applyFill="1" applyBorder="1"/>
    <xf numFmtId="10" fontId="6" fillId="2" borderId="0" xfId="2" applyNumberFormat="1" applyFont="1" applyFill="1" applyBorder="1"/>
    <xf numFmtId="164" fontId="4" fillId="2" borderId="0" xfId="0" applyNumberFormat="1" applyFont="1" applyFill="1" applyBorder="1" applyAlignment="1">
      <alignment wrapText="1"/>
    </xf>
    <xf numFmtId="164" fontId="2" fillId="2" borderId="0" xfId="0" applyNumberFormat="1" applyFont="1" applyFill="1" applyBorder="1" applyAlignment="1">
      <alignment horizontal="right" wrapText="1"/>
    </xf>
    <xf numFmtId="164" fontId="2" fillId="2" borderId="0" xfId="0" applyNumberFormat="1" applyFont="1" applyFill="1" applyBorder="1"/>
    <xf numFmtId="165" fontId="2" fillId="2" borderId="0" xfId="0" applyNumberFormat="1" applyFont="1" applyFill="1" applyBorder="1"/>
    <xf numFmtId="164" fontId="1" fillId="2" borderId="0" xfId="0" applyNumberFormat="1" applyFont="1" applyFill="1" applyBorder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8" fillId="45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1" fillId="46" borderId="0" xfId="0" applyNumberFormat="1" applyFont="1" applyFill="1"/>
    <xf numFmtId="164" fontId="60" fillId="2" borderId="0" xfId="0" applyNumberFormat="1" applyFont="1" applyFill="1" applyBorder="1"/>
    <xf numFmtId="164" fontId="60" fillId="2" borderId="0" xfId="0" applyNumberFormat="1" applyFont="1" applyFill="1" applyBorder="1" applyAlignment="1">
      <alignment horizontal="right"/>
    </xf>
    <xf numFmtId="164" fontId="40" fillId="2" borderId="0" xfId="0" applyNumberFormat="1" applyFont="1" applyFill="1" applyBorder="1"/>
    <xf numFmtId="164" fontId="60" fillId="2" borderId="0" xfId="0" applyNumberFormat="1" applyFont="1" applyFill="1" applyBorder="1" applyAlignment="1">
      <alignment horizontal="left" vertical="center"/>
    </xf>
    <xf numFmtId="0" fontId="68" fillId="2" borderId="0" xfId="0" applyFont="1" applyFill="1"/>
    <xf numFmtId="0" fontId="62" fillId="2" borderId="0" xfId="0" applyFont="1" applyFill="1"/>
    <xf numFmtId="0" fontId="40" fillId="2" borderId="0" xfId="0" applyFont="1" applyFill="1"/>
    <xf numFmtId="0" fontId="10" fillId="2" borderId="0" xfId="0" applyFont="1" applyFill="1" applyAlignment="1">
      <alignment horizontal="left"/>
    </xf>
    <xf numFmtId="0" fontId="60" fillId="2" borderId="0" xfId="165" applyFont="1" applyFill="1"/>
    <xf numFmtId="0" fontId="59" fillId="45" borderId="0" xfId="0" applyFont="1" applyFill="1" applyAlignment="1">
      <alignment horizontal="left"/>
    </xf>
    <xf numFmtId="0" fontId="8" fillId="45" borderId="0" xfId="0" applyFont="1" applyFill="1"/>
    <xf numFmtId="165" fontId="2" fillId="46" borderId="0" xfId="0" applyNumberFormat="1" applyFont="1" applyFill="1" applyBorder="1"/>
    <xf numFmtId="9" fontId="40" fillId="2" borderId="0" xfId="2" applyFont="1" applyFill="1" applyBorder="1" applyAlignment="1">
      <alignment horizontal="right"/>
    </xf>
    <xf numFmtId="0" fontId="8" fillId="2" borderId="0" xfId="133" applyNumberFormat="1" applyFont="1" applyFill="1" applyBorder="1" applyAlignment="1">
      <alignment vertical="center"/>
    </xf>
    <xf numFmtId="164" fontId="64" fillId="2" borderId="0" xfId="0" applyNumberFormat="1" applyFont="1" applyFill="1" applyBorder="1"/>
    <xf numFmtId="10" fontId="1" fillId="2" borderId="0" xfId="2" applyNumberFormat="1" applyFont="1" applyFill="1" applyBorder="1"/>
    <xf numFmtId="165" fontId="2" fillId="2" borderId="0" xfId="0" applyNumberFormat="1" applyFont="1" applyFill="1" applyBorder="1" applyAlignment="1">
      <alignment horizontal="right"/>
    </xf>
    <xf numFmtId="164" fontId="2" fillId="46" borderId="2" xfId="0" applyNumberFormat="1" applyFont="1" applyFill="1" applyBorder="1"/>
    <xf numFmtId="165" fontId="2" fillId="46" borderId="0" xfId="0" applyNumberFormat="1" applyFont="1" applyFill="1" applyBorder="1" applyAlignment="1">
      <alignment horizontal="right"/>
    </xf>
    <xf numFmtId="164" fontId="2" fillId="46" borderId="0" xfId="0" applyNumberFormat="1" applyFont="1" applyFill="1"/>
    <xf numFmtId="164" fontId="64" fillId="46" borderId="0" xfId="0" applyNumberFormat="1" applyFont="1" applyFill="1"/>
    <xf numFmtId="164" fontId="65" fillId="2" borderId="0" xfId="0" applyNumberFormat="1" applyFont="1" applyFill="1" applyBorder="1"/>
    <xf numFmtId="10" fontId="1" fillId="46" borderId="0" xfId="2" applyNumberFormat="1" applyFont="1" applyFill="1" applyBorder="1"/>
    <xf numFmtId="10" fontId="8" fillId="45" borderId="0" xfId="2" applyNumberFormat="1" applyFont="1" applyFill="1" applyBorder="1"/>
    <xf numFmtId="166" fontId="1" fillId="46" borderId="0" xfId="2" applyNumberFormat="1" applyFont="1" applyFill="1" applyBorder="1"/>
    <xf numFmtId="164" fontId="1" fillId="46" borderId="0" xfId="0" applyNumberFormat="1" applyFont="1" applyFill="1" applyBorder="1" applyAlignment="1">
      <alignment horizontal="right"/>
    </xf>
    <xf numFmtId="10" fontId="8" fillId="2" borderId="0" xfId="2" applyNumberFormat="1" applyFont="1" applyFill="1" applyBorder="1"/>
    <xf numFmtId="0" fontId="70" fillId="2" borderId="0" xfId="167" applyFill="1">
      <alignment vertical="top"/>
    </xf>
    <xf numFmtId="0" fontId="72" fillId="2" borderId="0" xfId="167" applyFont="1" applyFill="1">
      <alignment vertical="top"/>
    </xf>
    <xf numFmtId="0" fontId="73" fillId="2" borderId="0" xfId="167" applyFont="1" applyFill="1">
      <alignment vertical="top"/>
    </xf>
    <xf numFmtId="0" fontId="70" fillId="0" borderId="0" xfId="167">
      <alignment vertical="top"/>
    </xf>
    <xf numFmtId="0" fontId="69" fillId="2" borderId="0" xfId="1" applyFont="1" applyFill="1" applyBorder="1" applyAlignment="1">
      <alignment horizontal="left" wrapText="1"/>
    </xf>
    <xf numFmtId="0" fontId="1" fillId="2" borderId="0" xfId="2" applyNumberFormat="1" applyFont="1" applyFill="1" applyBorder="1"/>
    <xf numFmtId="0" fontId="1" fillId="2" borderId="0" xfId="0" applyNumberFormat="1" applyFont="1" applyFill="1" applyBorder="1"/>
    <xf numFmtId="0" fontId="2" fillId="2" borderId="0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0" fontId="1" fillId="2" borderId="0" xfId="2" applyNumberFormat="1" applyFont="1" applyFill="1" applyBorder="1" applyAlignment="1">
      <alignment horizontal="right"/>
    </xf>
    <xf numFmtId="0" fontId="1" fillId="2" borderId="0" xfId="2" applyNumberFormat="1" applyFont="1" applyFill="1" applyBorder="1" applyAlignment="1">
      <alignment horizontal="right" vertical="center"/>
    </xf>
    <xf numFmtId="0" fontId="1" fillId="46" borderId="0" xfId="2" applyNumberFormat="1" applyFont="1" applyFill="1" applyBorder="1" applyAlignment="1">
      <alignment horizontal="right" vertical="center"/>
    </xf>
    <xf numFmtId="0" fontId="8" fillId="45" borderId="0" xfId="0" applyNumberFormat="1" applyFont="1" applyFill="1" applyAlignment="1">
      <alignment horizontal="right" vertical="center"/>
    </xf>
    <xf numFmtId="164" fontId="8" fillId="45" borderId="0" xfId="0" applyNumberFormat="1" applyFont="1" applyFill="1" applyBorder="1" applyAlignment="1">
      <alignment horizontal="right" vertical="center"/>
    </xf>
    <xf numFmtId="181" fontId="1" fillId="46" borderId="0" xfId="0" applyNumberFormat="1" applyFont="1" applyFill="1" applyBorder="1" applyAlignment="1">
      <alignment horizontal="right" vertical="center"/>
    </xf>
    <xf numFmtId="164" fontId="8" fillId="45" borderId="0" xfId="0" applyNumberFormat="1" applyFont="1" applyFill="1" applyBorder="1" applyAlignment="1">
      <alignment horizontal="right"/>
    </xf>
    <xf numFmtId="10" fontId="64" fillId="46" borderId="0" xfId="2" applyNumberFormat="1" applyFont="1" applyFill="1" applyBorder="1" applyAlignment="1">
      <alignment horizontal="right"/>
    </xf>
    <xf numFmtId="10" fontId="40" fillId="2" borderId="0" xfId="2" applyNumberFormat="1" applyFont="1" applyFill="1" applyBorder="1"/>
    <xf numFmtId="10" fontId="2" fillId="2" borderId="0" xfId="2" applyNumberFormat="1" applyFont="1" applyFill="1" applyBorder="1"/>
    <xf numFmtId="165" fontId="2" fillId="2" borderId="18" xfId="0" applyNumberFormat="1" applyFont="1" applyFill="1" applyBorder="1" applyAlignment="1">
      <alignment horizontal="right"/>
    </xf>
    <xf numFmtId="164" fontId="2" fillId="46" borderId="0" xfId="0" applyNumberFormat="1" applyFont="1" applyFill="1" applyBorder="1" applyAlignment="1">
      <alignment horizontal="right"/>
    </xf>
    <xf numFmtId="164" fontId="2" fillId="2" borderId="18" xfId="0" applyNumberFormat="1" applyFont="1" applyFill="1" applyBorder="1"/>
    <xf numFmtId="0" fontId="64" fillId="2" borderId="0" xfId="2" applyNumberFormat="1" applyFont="1" applyFill="1" applyBorder="1"/>
    <xf numFmtId="164" fontId="66" fillId="2" borderId="0" xfId="165" applyNumberFormat="1" applyFont="1" applyFill="1" applyBorder="1"/>
    <xf numFmtId="181" fontId="2" fillId="2" borderId="0" xfId="0" applyNumberFormat="1" applyFont="1" applyFill="1" applyBorder="1" applyAlignment="1">
      <alignment horizontal="right"/>
    </xf>
    <xf numFmtId="10" fontId="2" fillId="2" borderId="0" xfId="2" applyNumberFormat="1" applyFont="1" applyFill="1" applyBorder="1" applyAlignment="1">
      <alignment horizontal="right"/>
    </xf>
    <xf numFmtId="10" fontId="1" fillId="2" borderId="0" xfId="2" applyNumberFormat="1" applyFont="1" applyFill="1" applyBorder="1" applyAlignment="1">
      <alignment horizontal="right"/>
    </xf>
    <xf numFmtId="0" fontId="1" fillId="46" borderId="0" xfId="2" applyNumberFormat="1" applyFont="1" applyFill="1" applyBorder="1" applyAlignment="1">
      <alignment horizontal="right"/>
    </xf>
    <xf numFmtId="10" fontId="1" fillId="46" borderId="0" xfId="2" applyNumberFormat="1" applyFont="1" applyFill="1" applyBorder="1" applyAlignment="1">
      <alignment horizontal="right"/>
    </xf>
    <xf numFmtId="0" fontId="8" fillId="45" borderId="0" xfId="0" applyNumberFormat="1" applyFont="1" applyFill="1" applyAlignment="1">
      <alignment horizontal="right"/>
    </xf>
    <xf numFmtId="10" fontId="1" fillId="2" borderId="18" xfId="2" applyNumberFormat="1" applyFont="1" applyFill="1" applyBorder="1" applyAlignment="1">
      <alignment horizontal="right"/>
    </xf>
    <xf numFmtId="164" fontId="64" fillId="2" borderId="0" xfId="165" applyNumberFormat="1" applyFont="1" applyFill="1" applyBorder="1"/>
    <xf numFmtId="181" fontId="2" fillId="46" borderId="0" xfId="0" applyNumberFormat="1" applyFont="1" applyFill="1" applyBorder="1"/>
    <xf numFmtId="10" fontId="40" fillId="46" borderId="0" xfId="2" applyNumberFormat="1" applyFont="1" applyFill="1" applyBorder="1"/>
    <xf numFmtId="10" fontId="2" fillId="46" borderId="0" xfId="2" applyNumberFormat="1" applyFont="1" applyFill="1" applyBorder="1"/>
    <xf numFmtId="181" fontId="2" fillId="46" borderId="0" xfId="0" applyNumberFormat="1" applyFont="1" applyFill="1" applyBorder="1" applyAlignment="1">
      <alignment horizontal="right"/>
    </xf>
    <xf numFmtId="10" fontId="2" fillId="46" borderId="0" xfId="2" applyNumberFormat="1" applyFont="1" applyFill="1" applyBorder="1" applyAlignment="1">
      <alignment horizontal="right"/>
    </xf>
    <xf numFmtId="181" fontId="8" fillId="45" borderId="0" xfId="0" applyNumberFormat="1" applyFont="1" applyFill="1" applyBorder="1"/>
    <xf numFmtId="181" fontId="1" fillId="46" borderId="0" xfId="0" applyNumberFormat="1" applyFont="1" applyFill="1" applyAlignment="1">
      <alignment horizontal="right"/>
    </xf>
    <xf numFmtId="164" fontId="1" fillId="46" borderId="0" xfId="0" applyNumberFormat="1" applyFont="1" applyFill="1" applyAlignment="1">
      <alignment horizontal="right"/>
    </xf>
    <xf numFmtId="178" fontId="8" fillId="45" borderId="0" xfId="0" applyNumberFormat="1" applyFont="1" applyFill="1" applyBorder="1" applyAlignment="1">
      <alignment horizontal="right"/>
    </xf>
    <xf numFmtId="165" fontId="8" fillId="45" borderId="0" xfId="0" applyNumberFormat="1" applyFont="1" applyFill="1" applyBorder="1" applyAlignment="1">
      <alignment horizontal="right"/>
    </xf>
    <xf numFmtId="178" fontId="2" fillId="2" borderId="0" xfId="0" applyNumberFormat="1" applyFont="1" applyFill="1" applyBorder="1" applyAlignment="1">
      <alignment horizontal="right"/>
    </xf>
    <xf numFmtId="0" fontId="1" fillId="2" borderId="0" xfId="0" applyNumberFormat="1" applyFont="1" applyFill="1" applyBorder="1" applyAlignment="1">
      <alignment horizontal="right"/>
    </xf>
    <xf numFmtId="179" fontId="1" fillId="2" borderId="0" xfId="2" applyNumberFormat="1" applyFont="1" applyFill="1"/>
    <xf numFmtId="182" fontId="1" fillId="2" borderId="0" xfId="0" applyNumberFormat="1" applyFont="1" applyFill="1"/>
    <xf numFmtId="164" fontId="8" fillId="2" borderId="0" xfId="0" applyNumberFormat="1" applyFont="1" applyFill="1" applyBorder="1" applyAlignment="1">
      <alignment horizontal="right"/>
    </xf>
    <xf numFmtId="178" fontId="2" fillId="46" borderId="0" xfId="0" applyNumberFormat="1" applyFont="1" applyFill="1" applyBorder="1" applyAlignment="1">
      <alignment horizontal="right"/>
    </xf>
    <xf numFmtId="0" fontId="1" fillId="46" borderId="0" xfId="0" applyNumberFormat="1" applyFont="1" applyFill="1"/>
    <xf numFmtId="0" fontId="1" fillId="46" borderId="0" xfId="0" applyNumberFormat="1" applyFont="1" applyFill="1" applyBorder="1" applyAlignment="1">
      <alignment horizontal="right"/>
    </xf>
    <xf numFmtId="0" fontId="1" fillId="46" borderId="0" xfId="2" applyNumberFormat="1" applyFont="1" applyFill="1"/>
    <xf numFmtId="10" fontId="1" fillId="46" borderId="0" xfId="2" applyNumberFormat="1" applyFont="1" applyFill="1"/>
    <xf numFmtId="164" fontId="2" fillId="46" borderId="0" xfId="0" applyNumberFormat="1" applyFont="1" applyFill="1" applyBorder="1"/>
    <xf numFmtId="10" fontId="1" fillId="46" borderId="0" xfId="0" applyNumberFormat="1" applyFont="1" applyFill="1"/>
    <xf numFmtId="164" fontId="2" fillId="46" borderId="18" xfId="0" applyNumberFormat="1" applyFont="1" applyFill="1" applyBorder="1"/>
    <xf numFmtId="10" fontId="1" fillId="46" borderId="18" xfId="0" applyNumberFormat="1" applyFont="1" applyFill="1" applyBorder="1"/>
    <xf numFmtId="0" fontId="64" fillId="46" borderId="0" xfId="2" applyNumberFormat="1" applyFont="1" applyFill="1" applyBorder="1"/>
    <xf numFmtId="164" fontId="66" fillId="46" borderId="0" xfId="165" applyNumberFormat="1" applyFont="1" applyFill="1" applyBorder="1"/>
    <xf numFmtId="0" fontId="1" fillId="46" borderId="0" xfId="2" applyNumberFormat="1" applyFont="1" applyFill="1" applyBorder="1"/>
    <xf numFmtId="164" fontId="8" fillId="2" borderId="0" xfId="0" applyNumberFormat="1" applyFont="1" applyFill="1" applyBorder="1" applyAlignment="1">
      <alignment horizontal="right" vertical="center"/>
    </xf>
    <xf numFmtId="181" fontId="1" fillId="2" borderId="0" xfId="0" applyNumberFormat="1" applyFont="1" applyFill="1" applyBorder="1" applyAlignment="1">
      <alignment horizontal="right" vertical="center"/>
    </xf>
    <xf numFmtId="10" fontId="64" fillId="2" borderId="0" xfId="2" applyNumberFormat="1" applyFont="1" applyFill="1" applyBorder="1" applyAlignment="1">
      <alignment horizontal="right"/>
    </xf>
    <xf numFmtId="165" fontId="8" fillId="2" borderId="0" xfId="0" applyNumberFormat="1" applyFont="1" applyFill="1" applyBorder="1" applyAlignment="1">
      <alignment horizontal="right"/>
    </xf>
    <xf numFmtId="0" fontId="8" fillId="2" borderId="0" xfId="0" applyNumberFormat="1" applyFont="1" applyFill="1" applyBorder="1" applyAlignment="1">
      <alignment horizontal="right" vertical="center"/>
    </xf>
    <xf numFmtId="0" fontId="8" fillId="2" borderId="0" xfId="0" applyNumberFormat="1" applyFont="1" applyFill="1" applyBorder="1" applyAlignment="1">
      <alignment horizontal="right"/>
    </xf>
    <xf numFmtId="181" fontId="1" fillId="2" borderId="0" xfId="0" applyNumberFormat="1" applyFont="1" applyFill="1" applyBorder="1" applyAlignment="1">
      <alignment horizontal="right"/>
    </xf>
    <xf numFmtId="179" fontId="1" fillId="2" borderId="0" xfId="2" applyNumberFormat="1" applyFont="1" applyFill="1" applyBorder="1"/>
    <xf numFmtId="182" fontId="1" fillId="2" borderId="0" xfId="0" applyNumberFormat="1" applyFont="1" applyFill="1" applyBorder="1"/>
    <xf numFmtId="10" fontId="1" fillId="2" borderId="0" xfId="0" applyNumberFormat="1" applyFont="1" applyFill="1" applyBorder="1"/>
    <xf numFmtId="178" fontId="8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left"/>
    </xf>
    <xf numFmtId="165" fontId="6" fillId="2" borderId="0" xfId="0" applyNumberFormat="1" applyFont="1" applyFill="1" applyBorder="1" applyAlignment="1">
      <alignment horizontal="right"/>
    </xf>
    <xf numFmtId="0" fontId="40" fillId="46" borderId="0" xfId="0" applyNumberFormat="1" applyFont="1" applyFill="1" applyBorder="1" applyAlignment="1">
      <alignment horizontal="right"/>
    </xf>
    <xf numFmtId="164" fontId="40" fillId="46" borderId="0" xfId="0" applyNumberFormat="1" applyFont="1" applyFill="1" applyBorder="1" applyAlignment="1">
      <alignment horizontal="right"/>
    </xf>
    <xf numFmtId="164" fontId="64" fillId="2" borderId="0" xfId="0" applyNumberFormat="1" applyFont="1" applyFill="1" applyBorder="1" applyAlignment="1">
      <alignment horizontal="left"/>
    </xf>
    <xf numFmtId="2" fontId="64" fillId="46" borderId="0" xfId="2" applyNumberFormat="1" applyFont="1" applyFill="1" applyBorder="1" applyAlignment="1">
      <alignment horizontal="right"/>
    </xf>
    <xf numFmtId="2" fontId="64" fillId="46" borderId="0" xfId="0" applyNumberFormat="1" applyFont="1" applyFill="1"/>
    <xf numFmtId="181" fontId="64" fillId="2" borderId="0" xfId="0" applyNumberFormat="1" applyFont="1" applyFill="1" applyBorder="1" applyAlignment="1">
      <alignment horizontal="left" vertical="center"/>
    </xf>
    <xf numFmtId="10" fontId="2" fillId="46" borderId="0" xfId="2" applyNumberFormat="1" applyFont="1" applyFill="1"/>
    <xf numFmtId="178" fontId="8" fillId="45" borderId="0" xfId="0" applyNumberFormat="1" applyFont="1" applyFill="1" applyBorder="1"/>
    <xf numFmtId="178" fontId="2" fillId="46" borderId="0" xfId="0" applyNumberFormat="1" applyFont="1" applyFill="1" applyBorder="1"/>
    <xf numFmtId="164" fontId="65" fillId="46" borderId="0" xfId="0" applyNumberFormat="1" applyFont="1" applyFill="1" applyBorder="1"/>
    <xf numFmtId="181" fontId="66" fillId="2" borderId="0" xfId="165" applyNumberFormat="1" applyFont="1" applyFill="1" applyBorder="1" applyAlignment="1">
      <alignment horizontal="left" vertical="center"/>
    </xf>
    <xf numFmtId="164" fontId="8" fillId="2" borderId="0" xfId="0" applyNumberFormat="1" applyFont="1" applyFill="1" applyBorder="1" applyAlignment="1"/>
    <xf numFmtId="164" fontId="64" fillId="2" borderId="0" xfId="0" applyNumberFormat="1" applyFont="1" applyFill="1" applyBorder="1" applyAlignment="1"/>
    <xf numFmtId="0" fontId="62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2" fillId="2" borderId="0" xfId="0" applyFont="1" applyFill="1" applyBorder="1"/>
    <xf numFmtId="1" fontId="1" fillId="2" borderId="0" xfId="0" applyNumberFormat="1" applyFont="1" applyFill="1" applyBorder="1"/>
    <xf numFmtId="0" fontId="64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6" fillId="2" borderId="0" xfId="0" applyFont="1" applyFill="1" applyBorder="1"/>
    <xf numFmtId="0" fontId="2" fillId="2" borderId="0" xfId="0" applyFont="1" applyFill="1" applyBorder="1" applyAlignment="1">
      <alignment horizontal="right"/>
    </xf>
    <xf numFmtId="179" fontId="64" fillId="2" borderId="0" xfId="0" applyNumberFormat="1" applyFont="1" applyFill="1" applyBorder="1"/>
    <xf numFmtId="180" fontId="2" fillId="46" borderId="0" xfId="0" applyNumberFormat="1" applyFont="1" applyFill="1" applyBorder="1"/>
    <xf numFmtId="180" fontId="2" fillId="46" borderId="19" xfId="0" applyNumberFormat="1" applyFont="1" applyFill="1" applyBorder="1"/>
    <xf numFmtId="180" fontId="2" fillId="46" borderId="18" xfId="0" applyNumberFormat="1" applyFont="1" applyFill="1" applyBorder="1"/>
    <xf numFmtId="0" fontId="64" fillId="2" borderId="0" xfId="0" applyFont="1" applyFill="1" applyBorder="1" applyAlignment="1">
      <alignment horizontal="right"/>
    </xf>
    <xf numFmtId="180" fontId="2" fillId="2" borderId="0" xfId="0" applyNumberFormat="1" applyFont="1" applyFill="1" applyBorder="1"/>
    <xf numFmtId="10" fontId="64" fillId="2" borderId="0" xfId="2" applyNumberFormat="1" applyFont="1" applyFill="1" applyBorder="1"/>
    <xf numFmtId="10" fontId="64" fillId="46" borderId="0" xfId="2" applyNumberFormat="1" applyFont="1" applyFill="1" applyBorder="1"/>
    <xf numFmtId="10" fontId="65" fillId="2" borderId="0" xfId="0" applyNumberFormat="1" applyFont="1" applyFill="1" applyBorder="1"/>
    <xf numFmtId="0" fontId="65" fillId="2" borderId="0" xfId="0" applyFont="1" applyFill="1" applyBorder="1" applyAlignment="1"/>
    <xf numFmtId="0" fontId="8" fillId="2" borderId="0" xfId="0" applyFont="1" applyFill="1" applyBorder="1" applyAlignment="1"/>
    <xf numFmtId="180" fontId="8" fillId="45" borderId="0" xfId="0" applyNumberFormat="1" applyFont="1" applyFill="1" applyBorder="1" applyAlignment="1">
      <alignment horizontal="left" vertical="center"/>
    </xf>
    <xf numFmtId="0" fontId="8" fillId="45" borderId="0" xfId="0" applyFont="1" applyFill="1" applyBorder="1" applyAlignment="1">
      <alignment horizontal="right"/>
    </xf>
    <xf numFmtId="2" fontId="64" fillId="2" borderId="0" xfId="0" applyNumberFormat="1" applyFont="1" applyFill="1" applyBorder="1"/>
    <xf numFmtId="164" fontId="40" fillId="2" borderId="0" xfId="0" applyNumberFormat="1" applyFont="1" applyFill="1" applyBorder="1" applyAlignment="1">
      <alignment horizontal="center"/>
    </xf>
    <xf numFmtId="2" fontId="64" fillId="2" borderId="0" xfId="2" applyNumberFormat="1" applyFont="1" applyFill="1" applyBorder="1" applyAlignment="1">
      <alignment horizontal="right"/>
    </xf>
    <xf numFmtId="178" fontId="64" fillId="2" borderId="0" xfId="0" applyNumberFormat="1" applyFont="1" applyFill="1" applyBorder="1"/>
    <xf numFmtId="178" fontId="64" fillId="2" borderId="0" xfId="0" applyNumberFormat="1" applyFont="1" applyFill="1" applyBorder="1" applyAlignment="1">
      <alignment horizontal="right"/>
    </xf>
    <xf numFmtId="10" fontId="64" fillId="2" borderId="0" xfId="2" applyNumberFormat="1" applyFont="1" applyFill="1"/>
    <xf numFmtId="2" fontId="64" fillId="2" borderId="0" xfId="0" applyNumberFormat="1" applyFont="1" applyFill="1"/>
    <xf numFmtId="2" fontId="64" fillId="2" borderId="0" xfId="2" applyNumberFormat="1" applyFont="1" applyFill="1" applyBorder="1" applyAlignment="1"/>
    <xf numFmtId="178" fontId="64" fillId="2" borderId="0" xfId="0" applyNumberFormat="1" applyFont="1" applyFill="1"/>
    <xf numFmtId="181" fontId="1" fillId="2" borderId="0" xfId="0" applyNumberFormat="1" applyFont="1" applyFill="1" applyBorder="1"/>
    <xf numFmtId="180" fontId="8" fillId="2" borderId="0" xfId="0" applyNumberFormat="1" applyFont="1" applyFill="1" applyBorder="1"/>
    <xf numFmtId="178" fontId="2" fillId="2" borderId="0" xfId="0" applyNumberFormat="1" applyFont="1" applyFill="1" applyBorder="1"/>
    <xf numFmtId="180" fontId="40" fillId="46" borderId="0" xfId="0" applyNumberFormat="1" applyFont="1" applyFill="1" applyBorder="1"/>
    <xf numFmtId="10" fontId="6" fillId="2" borderId="0" xfId="0" applyNumberFormat="1" applyFont="1" applyFill="1" applyBorder="1"/>
    <xf numFmtId="0" fontId="40" fillId="46" borderId="0" xfId="2" applyNumberFormat="1" applyFont="1" applyFill="1" applyBorder="1" applyAlignment="1">
      <alignment horizontal="right"/>
    </xf>
    <xf numFmtId="2" fontId="1" fillId="2" borderId="0" xfId="0" applyNumberFormat="1" applyFont="1" applyFill="1" applyBorder="1"/>
    <xf numFmtId="0" fontId="2" fillId="2" borderId="0" xfId="0" applyNumberFormat="1" applyFont="1" applyFill="1" applyBorder="1" applyAlignment="1">
      <alignment horizontal="right" vertical="center"/>
    </xf>
    <xf numFmtId="164" fontId="2" fillId="47" borderId="0" xfId="0" applyNumberFormat="1" applyFont="1" applyFill="1"/>
    <xf numFmtId="9" fontId="60" fillId="2" borderId="0" xfId="2" applyFont="1" applyFill="1" applyBorder="1"/>
    <xf numFmtId="180" fontId="2" fillId="46" borderId="0" xfId="0" applyNumberFormat="1" applyFont="1" applyFill="1"/>
    <xf numFmtId="0" fontId="2" fillId="47" borderId="0" xfId="0" applyNumberFormat="1" applyFont="1" applyFill="1"/>
    <xf numFmtId="0" fontId="40" fillId="47" borderId="0" xfId="2" applyNumberFormat="1" applyFont="1" applyFill="1" applyBorder="1" applyAlignment="1">
      <alignment horizontal="right"/>
    </xf>
    <xf numFmtId="0" fontId="40" fillId="47" borderId="0" xfId="0" applyNumberFormat="1" applyFont="1" applyFill="1" applyBorder="1" applyAlignment="1">
      <alignment horizontal="right"/>
    </xf>
    <xf numFmtId="0" fontId="40" fillId="47" borderId="0" xfId="2" applyNumberFormat="1" applyFont="1" applyFill="1" applyBorder="1"/>
    <xf numFmtId="0" fontId="40" fillId="47" borderId="0" xfId="0" applyNumberFormat="1" applyFont="1" applyFill="1" applyBorder="1"/>
    <xf numFmtId="164" fontId="1" fillId="2" borderId="0" xfId="0" applyNumberFormat="1" applyFont="1" applyFill="1" applyAlignment="1">
      <alignment horizontal="right"/>
    </xf>
    <xf numFmtId="164" fontId="60" fillId="46" borderId="0" xfId="0" applyNumberFormat="1" applyFont="1" applyFill="1" applyBorder="1"/>
    <xf numFmtId="164" fontId="40" fillId="46" borderId="17" xfId="0" applyNumberFormat="1" applyFont="1" applyFill="1" applyBorder="1"/>
    <xf numFmtId="180" fontId="2" fillId="46" borderId="19" xfId="0" applyNumberFormat="1" applyFont="1" applyFill="1" applyBorder="1" applyAlignment="1">
      <alignment horizontal="left" vertical="center"/>
    </xf>
    <xf numFmtId="180" fontId="8" fillId="2" borderId="0" xfId="0" applyNumberFormat="1" applyFont="1" applyFill="1" applyBorder="1" applyAlignment="1">
      <alignment horizontal="left" vertical="center"/>
    </xf>
    <xf numFmtId="180" fontId="2" fillId="2" borderId="0" xfId="0" applyNumberFormat="1" applyFont="1" applyFill="1" applyBorder="1" applyAlignment="1">
      <alignment horizontal="left" vertical="center"/>
    </xf>
    <xf numFmtId="164" fontId="60" fillId="2" borderId="0" xfId="0" applyNumberFormat="1" applyFont="1" applyFill="1" applyBorder="1" applyAlignment="1"/>
    <xf numFmtId="166" fontId="60" fillId="2" borderId="0" xfId="2" applyNumberFormat="1" applyFont="1" applyFill="1" applyBorder="1" applyAlignment="1"/>
    <xf numFmtId="164" fontId="64" fillId="2" borderId="0" xfId="0" applyNumberFormat="1" applyFont="1" applyFill="1"/>
    <xf numFmtId="166" fontId="64" fillId="2" borderId="0" xfId="2" applyNumberFormat="1" applyFont="1" applyFill="1"/>
    <xf numFmtId="164" fontId="66" fillId="2" borderId="0" xfId="0" applyNumberFormat="1" applyFont="1" applyFill="1" applyBorder="1" applyAlignment="1"/>
    <xf numFmtId="166" fontId="66" fillId="2" borderId="0" xfId="2" applyNumberFormat="1" applyFont="1" applyFill="1" applyBorder="1" applyAlignment="1"/>
    <xf numFmtId="164" fontId="8" fillId="45" borderId="0" xfId="0" applyNumberFormat="1" applyFont="1" applyFill="1"/>
    <xf numFmtId="0" fontId="60" fillId="2" borderId="0" xfId="2" applyNumberFormat="1" applyFont="1" applyFill="1" applyBorder="1"/>
    <xf numFmtId="180" fontId="60" fillId="2" borderId="0" xfId="0" applyNumberFormat="1" applyFont="1" applyFill="1" applyBorder="1"/>
    <xf numFmtId="10" fontId="60" fillId="2" borderId="0" xfId="2" applyNumberFormat="1" applyFont="1" applyFill="1" applyBorder="1"/>
    <xf numFmtId="0" fontId="1" fillId="2" borderId="0" xfId="2" applyNumberFormat="1" applyFont="1" applyFill="1"/>
    <xf numFmtId="183" fontId="2" fillId="46" borderId="0" xfId="0" applyNumberFormat="1" applyFont="1" applyFill="1"/>
    <xf numFmtId="10" fontId="64" fillId="46" borderId="0" xfId="2" applyNumberFormat="1" applyFont="1" applyFill="1"/>
    <xf numFmtId="0" fontId="2" fillId="47" borderId="0" xfId="0" applyNumberFormat="1" applyFont="1" applyFill="1" applyAlignment="1">
      <alignment horizontal="right"/>
    </xf>
    <xf numFmtId="9" fontId="8" fillId="2" borderId="0" xfId="2" applyFont="1" applyFill="1" applyBorder="1" applyAlignment="1">
      <alignment horizontal="right"/>
    </xf>
    <xf numFmtId="164" fontId="8" fillId="2" borderId="0" xfId="0" applyNumberFormat="1" applyFont="1" applyFill="1"/>
    <xf numFmtId="164" fontId="2" fillId="2" borderId="0" xfId="0" applyNumberFormat="1" applyFont="1" applyFill="1"/>
    <xf numFmtId="0" fontId="2" fillId="2" borderId="0" xfId="0" applyNumberFormat="1" applyFont="1" applyFill="1" applyBorder="1" applyAlignment="1">
      <alignment horizontal="right"/>
    </xf>
    <xf numFmtId="9" fontId="67" fillId="2" borderId="0" xfId="0" applyNumberFormat="1" applyFont="1" applyFill="1" applyBorder="1"/>
    <xf numFmtId="9" fontId="67" fillId="2" borderId="0" xfId="0" applyNumberFormat="1" applyFont="1" applyFill="1" applyBorder="1" applyAlignment="1">
      <alignment horizontal="right"/>
    </xf>
    <xf numFmtId="9" fontId="67" fillId="2" borderId="0" xfId="2" applyFont="1" applyFill="1" applyBorder="1"/>
    <xf numFmtId="10" fontId="67" fillId="2" borderId="0" xfId="0" applyNumberFormat="1" applyFont="1" applyFill="1" applyBorder="1"/>
    <xf numFmtId="181" fontId="40" fillId="2" borderId="0" xfId="0" applyNumberFormat="1" applyFont="1" applyFill="1" applyBorder="1" applyAlignment="1">
      <alignment horizontal="right"/>
    </xf>
    <xf numFmtId="181" fontId="40" fillId="46" borderId="0" xfId="0" applyNumberFormat="1" applyFont="1" applyFill="1" applyBorder="1" applyAlignment="1">
      <alignment horizontal="right"/>
    </xf>
    <xf numFmtId="2" fontId="64" fillId="46" borderId="0" xfId="2" applyNumberFormat="1" applyFont="1" applyFill="1" applyBorder="1" applyAlignment="1"/>
    <xf numFmtId="0" fontId="1" fillId="46" borderId="0" xfId="0" applyNumberFormat="1" applyFont="1" applyFill="1" applyBorder="1" applyAlignment="1">
      <alignment horizontal="right" vertical="center"/>
    </xf>
    <xf numFmtId="9" fontId="64" fillId="2" borderId="0" xfId="2" applyFont="1" applyFill="1" applyBorder="1"/>
    <xf numFmtId="2" fontId="64" fillId="2" borderId="20" xfId="2" applyNumberFormat="1" applyFont="1" applyFill="1" applyBorder="1" applyAlignment="1">
      <alignment horizontal="right"/>
    </xf>
    <xf numFmtId="2" fontId="40" fillId="2" borderId="0" xfId="0" applyNumberFormat="1" applyFont="1" applyFill="1" applyBorder="1" applyAlignment="1">
      <alignment horizontal="right"/>
    </xf>
    <xf numFmtId="182" fontId="7" fillId="2" borderId="0" xfId="0" applyNumberFormat="1" applyFont="1" applyFill="1" applyBorder="1"/>
    <xf numFmtId="164" fontId="40" fillId="2" borderId="0" xfId="0" applyNumberFormat="1" applyFont="1" applyFill="1" applyBorder="1" applyAlignment="1">
      <alignment horizontal="right"/>
    </xf>
    <xf numFmtId="164" fontId="60" fillId="46" borderId="0" xfId="0" applyNumberFormat="1" applyFont="1" applyFill="1" applyBorder="1" applyAlignment="1">
      <alignment horizontal="right"/>
    </xf>
    <xf numFmtId="0" fontId="40" fillId="2" borderId="0" xfId="2" applyNumberFormat="1" applyFont="1" applyFill="1" applyBorder="1"/>
    <xf numFmtId="0" fontId="40" fillId="2" borderId="0" xfId="0" applyNumberFormat="1" applyFont="1" applyFill="1" applyBorder="1"/>
    <xf numFmtId="180" fontId="40" fillId="2" borderId="0" xfId="0" applyNumberFormat="1" applyFont="1" applyFill="1" applyBorder="1"/>
    <xf numFmtId="183" fontId="2" fillId="2" borderId="0" xfId="0" applyNumberFormat="1" applyFont="1" applyFill="1" applyBorder="1"/>
    <xf numFmtId="10" fontId="64" fillId="46" borderId="0" xfId="2" applyNumberFormat="1" applyFont="1" applyFill="1" applyBorder="1" applyAlignment="1"/>
    <xf numFmtId="10" fontId="64" fillId="2" borderId="20" xfId="2" applyNumberFormat="1" applyFont="1" applyFill="1" applyBorder="1" applyAlignment="1">
      <alignment horizontal="right"/>
    </xf>
    <xf numFmtId="10" fontId="64" fillId="46" borderId="0" xfId="2" applyNumberFormat="1" applyFont="1" applyFill="1" applyAlignment="1">
      <alignment horizontal="right"/>
    </xf>
    <xf numFmtId="10" fontId="2" fillId="2" borderId="20" xfId="2" applyNumberFormat="1" applyFont="1" applyFill="1" applyBorder="1"/>
    <xf numFmtId="183" fontId="2" fillId="46" borderId="0" xfId="2" applyNumberFormat="1" applyFont="1" applyFill="1"/>
    <xf numFmtId="10" fontId="64" fillId="2" borderId="0" xfId="2" applyNumberFormat="1" applyFont="1" applyFill="1" applyBorder="1" applyAlignment="1">
      <alignment vertical="center"/>
    </xf>
    <xf numFmtId="183" fontId="2" fillId="2" borderId="0" xfId="2" applyNumberFormat="1" applyFont="1" applyFill="1" applyBorder="1"/>
    <xf numFmtId="164" fontId="8" fillId="45" borderId="0" xfId="0" applyNumberFormat="1" applyFont="1" applyFill="1" applyAlignment="1">
      <alignment horizontal="right"/>
    </xf>
    <xf numFmtId="164" fontId="8" fillId="45" borderId="0" xfId="0" applyNumberFormat="1" applyFont="1" applyFill="1" applyAlignment="1">
      <alignment horizontal="right" vertical="center"/>
    </xf>
    <xf numFmtId="0" fontId="2" fillId="46" borderId="0" xfId="0" applyNumberFormat="1" applyFont="1" applyFill="1"/>
    <xf numFmtId="0" fontId="40" fillId="46" borderId="0" xfId="2" applyNumberFormat="1" applyFont="1" applyFill="1" applyBorder="1"/>
    <xf numFmtId="0" fontId="40" fillId="46" borderId="0" xfId="0" applyNumberFormat="1" applyFont="1" applyFill="1" applyBorder="1"/>
    <xf numFmtId="0" fontId="2" fillId="46" borderId="0" xfId="0" applyNumberFormat="1" applyFont="1" applyFill="1" applyAlignment="1">
      <alignment horizontal="right"/>
    </xf>
    <xf numFmtId="180" fontId="40" fillId="47" borderId="0" xfId="0" applyNumberFormat="1" applyFont="1" applyFill="1" applyBorder="1"/>
    <xf numFmtId="0" fontId="1" fillId="47" borderId="0" xfId="0" applyFont="1" applyFill="1" applyBorder="1"/>
    <xf numFmtId="10" fontId="64" fillId="47" borderId="0" xfId="2" applyNumberFormat="1" applyFont="1" applyFill="1" applyBorder="1"/>
    <xf numFmtId="183" fontId="2" fillId="47" borderId="0" xfId="0" applyNumberFormat="1" applyFont="1" applyFill="1"/>
    <xf numFmtId="10" fontId="2" fillId="47" borderId="0" xfId="2" applyNumberFormat="1" applyFont="1" applyFill="1"/>
    <xf numFmtId="180" fontId="2" fillId="47" borderId="0" xfId="0" applyNumberFormat="1" applyFont="1" applyFill="1"/>
    <xf numFmtId="183" fontId="2" fillId="47" borderId="0" xfId="2" applyNumberFormat="1" applyFont="1" applyFill="1"/>
    <xf numFmtId="180" fontId="2" fillId="47" borderId="0" xfId="0" applyNumberFormat="1" applyFont="1" applyFill="1" applyBorder="1"/>
    <xf numFmtId="9" fontId="8" fillId="45" borderId="0" xfId="2" applyFont="1" applyFill="1"/>
    <xf numFmtId="0" fontId="8" fillId="2" borderId="0" xfId="0" applyFont="1" applyFill="1"/>
    <xf numFmtId="164" fontId="8" fillId="45" borderId="0" xfId="0" applyNumberFormat="1" applyFont="1" applyFill="1" applyBorder="1" applyAlignment="1">
      <alignment horizontal="center"/>
    </xf>
    <xf numFmtId="0" fontId="8" fillId="45" borderId="0" xfId="0" applyFont="1" applyFill="1" applyBorder="1" applyAlignment="1">
      <alignment horizontal="center"/>
    </xf>
    <xf numFmtId="164" fontId="8" fillId="45" borderId="0" xfId="0" applyNumberFormat="1" applyFont="1" applyFill="1" applyAlignment="1">
      <alignment horizontal="center"/>
    </xf>
  </cellXfs>
  <cellStyles count="169">
    <cellStyle name="%" xfId="135"/>
    <cellStyle name="_x0002_._x0011__x0002_._x001b__x0002_ _x0015_%_x0018__x0001_" xfId="4"/>
    <cellStyle name="_060510 Goal Setting CNV" xfId="5"/>
    <cellStyle name="_2008-08-18 WC SRL" xfId="6"/>
    <cellStyle name="_2008-10-06 Goodwill Test KPMG incl PL 19 (2)" xfId="7"/>
    <cellStyle name="_2008-10-06 Goodwill Test KPMG incl PL 19 (3)" xfId="8"/>
    <cellStyle name="_2009-03-17 Version für 53-19" xfId="9"/>
    <cellStyle name="_Access Bluebook 2007 DCL V7" xfId="10"/>
    <cellStyle name="_AL_cost_outlook_070405_Bluebook2007" xfId="11"/>
    <cellStyle name="_BB_08_BG_COM" xfId="12"/>
    <cellStyle name="_Bluebook-2005-PL-Projections-COM-SR2" xfId="13"/>
    <cellStyle name="_COM Cash Flow Bluebook 2008" xfId="14"/>
    <cellStyle name="_Cordless_Bizcase_070524" xfId="15"/>
    <cellStyle name="_Cordless_Bizcase_Bluebook (2)" xfId="16"/>
    <cellStyle name="_Cordless_Bizcase_Master" xfId="17"/>
    <cellStyle name="_Data" xfId="18"/>
    <cellStyle name="_Foundry Wafer Price Database - BU" xfId="19"/>
    <cellStyle name="_Segment_DCL_FRFC_2007_03" xfId="20"/>
    <cellStyle name="_SR_CSP_Segments" xfId="21"/>
    <cellStyle name="_Wireless_MPP_FRFC0810_V3" xfId="22"/>
    <cellStyle name="_WLS_MPP_BB2008_vs_VRFC0904_bw (2)" xfId="23"/>
    <cellStyle name="0,0_x000d__x000a_NA_x000d__x000a_" xfId="24"/>
    <cellStyle name="20% - Accent1 2" xfId="25"/>
    <cellStyle name="20% - Accent2 2" xfId="26"/>
    <cellStyle name="20% - Accent3 2" xfId="27"/>
    <cellStyle name="20% - Accent4 2" xfId="28"/>
    <cellStyle name="20% - Accent5 2" xfId="29"/>
    <cellStyle name="20% - Accent6 2" xfId="30"/>
    <cellStyle name="40% - Accent1 2" xfId="31"/>
    <cellStyle name="40% - Accent2 2" xfId="32"/>
    <cellStyle name="40% - Accent3 2" xfId="33"/>
    <cellStyle name="40% - Accent4 2" xfId="34"/>
    <cellStyle name="40% - Accent5 2" xfId="35"/>
    <cellStyle name="40% - Accent6 2" xfId="36"/>
    <cellStyle name="60% - Accent1 2" xfId="37"/>
    <cellStyle name="60% - Accent2 2" xfId="38"/>
    <cellStyle name="60% - Accent3 2" xfId="39"/>
    <cellStyle name="60% - Accent4 2" xfId="40"/>
    <cellStyle name="60% - Accent5 2" xfId="41"/>
    <cellStyle name="60% - Accent6 2" xfId="42"/>
    <cellStyle name="Accent1 2" xfId="43"/>
    <cellStyle name="Accent2 2" xfId="44"/>
    <cellStyle name="Accent3 2" xfId="45"/>
    <cellStyle name="Accent4 2" xfId="46"/>
    <cellStyle name="Accent5 2" xfId="47"/>
    <cellStyle name="Accent6 2" xfId="48"/>
    <cellStyle name="AFE" xfId="49"/>
    <cellStyle name="AFE 2" xfId="132"/>
    <cellStyle name="Bad 2" xfId="50"/>
    <cellStyle name="Calculation 2" xfId="51"/>
    <cellStyle name="Check Cell 2" xfId="52"/>
    <cellStyle name="Comma 2" xfId="154"/>
    <cellStyle name="Comma 3" xfId="168"/>
    <cellStyle name="Currency 2" xfId="166"/>
    <cellStyle name="Detail" xfId="53"/>
    <cellStyle name="Euro" xfId="54"/>
    <cellStyle name="Explanatory Text 2" xfId="55"/>
    <cellStyle name="EY Narrative text" xfId="148"/>
    <cellStyle name="EY0dp" xfId="146"/>
    <cellStyle name="EY1dp" xfId="147"/>
    <cellStyle name="EYChartTitle" xfId="141"/>
    <cellStyle name="EYColumnHeading" xfId="144"/>
    <cellStyle name="EYCurrency" xfId="143"/>
    <cellStyle name="EYnumber" xfId="142"/>
    <cellStyle name="EYSectionHeading" xfId="138"/>
    <cellStyle name="EYSheetHeading" xfId="140"/>
    <cellStyle name="EYsmallheading" xfId="139"/>
    <cellStyle name="EYSource" xfId="149"/>
    <cellStyle name="EYtext" xfId="145"/>
    <cellStyle name="Good 2" xfId="56"/>
    <cellStyle name="Grey" xfId="57"/>
    <cellStyle name="Heading 1 2" xfId="58"/>
    <cellStyle name="Heading 2 2" xfId="59"/>
    <cellStyle name="Heading 3 2" xfId="60"/>
    <cellStyle name="Heading 4 2" xfId="61"/>
    <cellStyle name="Hyperlink" xfId="165" builtinId="8"/>
    <cellStyle name="Input [yellow]" xfId="63"/>
    <cellStyle name="Input 2" xfId="62"/>
    <cellStyle name="Linked Cell 2" xfId="64"/>
    <cellStyle name="meny_33-34" xfId="65"/>
    <cellStyle name="Milliers [0]_foxz" xfId="66"/>
    <cellStyle name="Milliers_foxz" xfId="67"/>
    <cellStyle name="Monétaire [0]_foxz" xfId="68"/>
    <cellStyle name="Monétaire_foxz" xfId="69"/>
    <cellStyle name="Neutral 2" xfId="70"/>
    <cellStyle name="Normal" xfId="0" builtinId="0"/>
    <cellStyle name="Normal - Style1" xfId="71"/>
    <cellStyle name="Normal 2" xfId="150"/>
    <cellStyle name="Normal 2 2" xfId="152"/>
    <cellStyle name="Normal 3" xfId="151"/>
    <cellStyle name="Normal 4" xfId="153"/>
    <cellStyle name="Normal 5" xfId="3"/>
    <cellStyle name="Normal 6" xfId="167"/>
    <cellStyle name="Normal_Project Accel Valuation v56" xfId="133"/>
    <cellStyle name="normální_33-34" xfId="72"/>
    <cellStyle name="Note 2" xfId="73"/>
    <cellStyle name="Œ…‹æØ‚è [0.00]_laroux" xfId="74"/>
    <cellStyle name="Œ…‹æØ‚è_laroux" xfId="75"/>
    <cellStyle name="Output 2" xfId="76"/>
    <cellStyle name="Percent" xfId="2" builtinId="5"/>
    <cellStyle name="Percent [2]" xfId="78"/>
    <cellStyle name="Percent 2" xfId="155"/>
    <cellStyle name="Percent 3" xfId="77"/>
    <cellStyle name="Percent 5" xfId="79"/>
    <cellStyle name="Prozent 2" xfId="134"/>
    <cellStyle name="PSChar" xfId="80"/>
    <cellStyle name="PSDate" xfId="81"/>
    <cellStyle name="PSDec" xfId="82"/>
    <cellStyle name="PSHeading" xfId="83"/>
    <cellStyle name="PSInt" xfId="84"/>
    <cellStyle name="PSSpacer" xfId="85"/>
    <cellStyle name="Revenue" xfId="86"/>
    <cellStyle name="SAPBEXaggData" xfId="87"/>
    <cellStyle name="SAPBEXaggDataEmph" xfId="88"/>
    <cellStyle name="SAPBEXaggItem" xfId="89"/>
    <cellStyle name="SAPBEXaggItemX" xfId="90"/>
    <cellStyle name="SAPBEXchaText" xfId="91"/>
    <cellStyle name="SAPBEXexcBad7" xfId="92"/>
    <cellStyle name="SAPBEXexcBad8" xfId="93"/>
    <cellStyle name="SAPBEXexcBad9" xfId="94"/>
    <cellStyle name="SAPBEXexcCritical4" xfId="95"/>
    <cellStyle name="SAPBEXexcCritical5" xfId="96"/>
    <cellStyle name="SAPBEXexcCritical6" xfId="97"/>
    <cellStyle name="SAPBEXexcGood1" xfId="98"/>
    <cellStyle name="SAPBEXexcGood2" xfId="99"/>
    <cellStyle name="SAPBEXexcGood3" xfId="100"/>
    <cellStyle name="SAPBEXfilterDrill" xfId="101"/>
    <cellStyle name="SAPBEXfilterItem" xfId="102"/>
    <cellStyle name="SAPBEXfilterText" xfId="103"/>
    <cellStyle name="SAPBEXformats" xfId="104"/>
    <cellStyle name="SAPBEXheaderItem" xfId="105"/>
    <cellStyle name="SAPBEXheaderText" xfId="106"/>
    <cellStyle name="SAPBEXHLevel0" xfId="107"/>
    <cellStyle name="SAPBEXHLevel0X" xfId="108"/>
    <cellStyle name="SAPBEXHLevel1" xfId="109"/>
    <cellStyle name="SAPBEXHLevel1X" xfId="110"/>
    <cellStyle name="SAPBEXHLevel2" xfId="111"/>
    <cellStyle name="SAPBEXHLevel2X" xfId="112"/>
    <cellStyle name="SAPBEXHLevel3" xfId="113"/>
    <cellStyle name="SAPBEXHLevel3X" xfId="114"/>
    <cellStyle name="SAPBEXresData" xfId="115"/>
    <cellStyle name="SAPBEXresDataEmph" xfId="116"/>
    <cellStyle name="SAPBEXresItem" xfId="117"/>
    <cellStyle name="SAPBEXresItemX" xfId="118"/>
    <cellStyle name="SAPBEXstdData" xfId="119"/>
    <cellStyle name="SAPBEXstdDataEmph" xfId="120"/>
    <cellStyle name="SAPBEXstdItem" xfId="121"/>
    <cellStyle name="SAPBEXstdItemX" xfId="122"/>
    <cellStyle name="SAPBEXtitle" xfId="123"/>
    <cellStyle name="SAPBEXundefined" xfId="124"/>
    <cellStyle name="Smart Subtitle 1" xfId="1"/>
    <cellStyle name="Standard 2" xfId="131"/>
    <cellStyle name="Standard 3" xfId="136"/>
    <cellStyle name="Standard 4" xfId="156"/>
    <cellStyle name="Stil 1" xfId="130"/>
    <cellStyle name="Style 1" xfId="125"/>
    <cellStyle name="Tahoma:10:1" xfId="160"/>
    <cellStyle name="Tahoma:10:129" xfId="161"/>
    <cellStyle name="Tahoma:12:1" xfId="157"/>
    <cellStyle name="Tahoma:12:129" xfId="162"/>
    <cellStyle name="Tahoma:8:0" xfId="158"/>
    <cellStyle name="Tahoma:8:1" xfId="159"/>
    <cellStyle name="Tahoma:8:128" xfId="163"/>
    <cellStyle name="Tahoma:8:129" xfId="164"/>
    <cellStyle name="Title 2" xfId="126"/>
    <cellStyle name="Total 2" xfId="127"/>
    <cellStyle name="Total Row" xfId="128"/>
    <cellStyle name="TTS" xfId="137"/>
    <cellStyle name="Warning Text 2" xfId="129"/>
  </cellStyles>
  <dxfs count="0"/>
  <tableStyles count="0" defaultTableStyle="TableStyleMedium2" defaultPivotStyle="PivotStyleMedium9"/>
  <colors>
    <mruColors>
      <color rgb="FFAF235D"/>
      <color rgb="FFF8F8F8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</xdr:row>
      <xdr:rowOff>28575</xdr:rowOff>
    </xdr:from>
    <xdr:to>
      <xdr:col>13</xdr:col>
      <xdr:colOff>38100</xdr:colOff>
      <xdr:row>18</xdr:row>
      <xdr:rowOff>19050</xdr:rowOff>
    </xdr:to>
    <xdr:grpSp>
      <xdr:nvGrpSpPr>
        <xdr:cNvPr id="5" name="Group 4"/>
        <xdr:cNvGrpSpPr/>
      </xdr:nvGrpSpPr>
      <xdr:grpSpPr>
        <a:xfrm>
          <a:off x="209550" y="1000125"/>
          <a:ext cx="7429500" cy="2505075"/>
          <a:chOff x="190500" y="962025"/>
          <a:chExt cx="7429500" cy="2505075"/>
        </a:xfrm>
      </xdr:grpSpPr>
      <xdr:sp macro="" textlink="">
        <xdr:nvSpPr>
          <xdr:cNvPr id="4" name="Rectangle 3"/>
          <xdr:cNvSpPr/>
        </xdr:nvSpPr>
        <xdr:spPr>
          <a:xfrm>
            <a:off x="190500" y="962025"/>
            <a:ext cx="7429500" cy="2505075"/>
          </a:xfrm>
          <a:prstGeom prst="rect">
            <a:avLst/>
          </a:prstGeom>
          <a:solidFill>
            <a:srgbClr val="AF23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>
                <a:noFill/>
              </a:ln>
            </a:endParaRPr>
          </a:p>
        </xdr:txBody>
      </xdr:sp>
      <xdr:pic>
        <xdr:nvPicPr>
          <xdr:cNvPr id="3" name="Picture 2" descr="File:Axis Bank logo.svg - Wikimedia Commons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biLevel thresh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1646" y="1381125"/>
            <a:ext cx="6407208" cy="1666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28576</xdr:colOff>
      <xdr:row>5</xdr:row>
      <xdr:rowOff>0</xdr:rowOff>
    </xdr:from>
    <xdr:to>
      <xdr:col>6</xdr:col>
      <xdr:colOff>115695</xdr:colOff>
      <xdr:row>10</xdr:row>
      <xdr:rowOff>47625</xdr:rowOff>
    </xdr:to>
    <xdr:sp macro="" textlink="">
      <xdr:nvSpPr>
        <xdr:cNvPr id="2" name="TextBox 1"/>
        <xdr:cNvSpPr txBox="1"/>
      </xdr:nvSpPr>
      <xdr:spPr>
        <a:xfrm>
          <a:off x="161926" y="809625"/>
          <a:ext cx="5287769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About Axis Bank:</a:t>
          </a:r>
        </a:p>
        <a:p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Axis Bank is the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3rd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largest private sector bank in India. The Bank offers the entire spectrum of financial services to customer segments covering Large and Mid-Corporates, MSME, Agriculture and Retail Businesses.</a:t>
          </a:r>
        </a:p>
      </xdr:txBody>
    </xdr:sp>
    <xdr:clientData/>
  </xdr:twoCellAnchor>
  <xdr:twoCellAnchor>
    <xdr:from>
      <xdr:col>1</xdr:col>
      <xdr:colOff>28574</xdr:colOff>
      <xdr:row>11</xdr:row>
      <xdr:rowOff>19050</xdr:rowOff>
    </xdr:from>
    <xdr:to>
      <xdr:col>6</xdr:col>
      <xdr:colOff>133350</xdr:colOff>
      <xdr:row>25</xdr:row>
      <xdr:rowOff>9526</xdr:rowOff>
    </xdr:to>
    <xdr:sp macro="" textlink="">
      <xdr:nvSpPr>
        <xdr:cNvPr id="6" name="TextBox 5"/>
        <xdr:cNvSpPr txBox="1"/>
      </xdr:nvSpPr>
      <xdr:spPr>
        <a:xfrm>
          <a:off x="161924" y="1743075"/>
          <a:ext cx="5305426" cy="21240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Branch Network-</a:t>
          </a:r>
          <a:r>
            <a:rPr lang="en-US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Presently, the bank operates 4,586 branches with majority of branches present in south.</a:t>
          </a:r>
          <a:r>
            <a:rPr lang="en-US" sz="900" b="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30% of its branches are present in Metro cities while the rest are present in urban, semi-urban and rural areas. Branch network has increased from 2,900 in FY16 to 4,600 in FY21.</a:t>
          </a:r>
          <a:b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It operates 17,500 ATMs and cash deposit/ withdrawal machines across nation.</a:t>
          </a:r>
        </a:p>
        <a:p>
          <a:endParaRPr lang="en-US" sz="900" b="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Market Share</a:t>
          </a:r>
          <a:r>
            <a:rPr lang="en-US" sz="900" b="1" baseline="0">
              <a:latin typeface="Arial" panose="020B0604020202020204" pitchFamily="34" charset="0"/>
              <a:cs typeface="Arial" panose="020B0604020202020204" pitchFamily="34" charset="0"/>
            </a:rPr>
            <a:t> -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The bank has 5.1% market share in assets, 4.6% in deposits &amp; 5.6% in advances in the banking segment.</a:t>
          </a:r>
        </a:p>
        <a:p>
          <a:endParaRPr lang="en-US" sz="900" b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Digital Banking</a:t>
          </a:r>
          <a:r>
            <a:rPr lang="en-US" sz="900" b="0" baseline="0">
              <a:latin typeface="Arial" panose="020B0604020202020204" pitchFamily="34" charset="0"/>
              <a:cs typeface="Arial" panose="020B0604020202020204" pitchFamily="34" charset="0"/>
            </a:rPr>
            <a:t> -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71% of new savings accounts were sourced digitally in FY20. 78% cards and 72% FDs were sourced digitally.</a:t>
          </a:r>
          <a:r>
            <a:rPr lang="en-US" sz="900" b="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The bank has a 19% share in UPI transactions, 17% share in mobile banking and 11% share in credit cards in circulation in India.</a:t>
          </a:r>
        </a:p>
        <a:p>
          <a:endParaRPr lang="en-US" sz="900" b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Retail Fee Mix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-</a:t>
          </a:r>
          <a:r>
            <a:rPr lang="en-US" sz="900" b="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Bank earns retail fees from various mediums. retail cards account for 34% of fees, followed by retail assets (20%), third party products (20%) and the rest 26% fees comes from other mediums.</a:t>
          </a:r>
        </a:p>
        <a:p>
          <a:endParaRPr lang="en-US" sz="9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9</xdr:row>
      <xdr:rowOff>142875</xdr:rowOff>
    </xdr:from>
    <xdr:to>
      <xdr:col>7</xdr:col>
      <xdr:colOff>981075</xdr:colOff>
      <xdr:row>17</xdr:row>
      <xdr:rowOff>85725</xdr:rowOff>
    </xdr:to>
    <xdr:sp macro="" textlink="">
      <xdr:nvSpPr>
        <xdr:cNvPr id="3" name="TextBox 2"/>
        <xdr:cNvSpPr txBox="1"/>
      </xdr:nvSpPr>
      <xdr:spPr>
        <a:xfrm>
          <a:off x="5448300" y="1552575"/>
          <a:ext cx="2714625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According to India Ratings &amp; Research (Ind-Ra), credit growth is expected to hit 10% in 2022-23 which will be a double-digit growth in eight years. According to the RBI, bank credit stood at Rs. 116.8 lakh crore (US$ 1.56 trillion) on 31st December 2021.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endlyne.com/equity/EPS/NIFTY50/1887/nifty-50-earnings-per-share/" TargetMode="External"/><Relationship Id="rId2" Type="http://schemas.openxmlformats.org/officeDocument/2006/relationships/hyperlink" Target="https://trendlyne.com/equity/DIV/NIFTY50/1887/nifty-50-dividend-yield/" TargetMode="External"/><Relationship Id="rId1" Type="http://schemas.openxmlformats.org/officeDocument/2006/relationships/hyperlink" Target="https://www.google.co.in/search?ie=UTF-8&amp;oe=UTF-8&amp;sourceid=navclient&amp;gfns=1&amp;q=Nifty50+Dividend+Points&amp;gws_rd=ssl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in.investing.com/rates-bonds/india-10-year-bond-yield-historical-data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tradingeconomics.com/india/corporate-tax-rat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B1:O15"/>
  <sheetViews>
    <sheetView tabSelected="1" workbookViewId="0"/>
  </sheetViews>
  <sheetFormatPr defaultColWidth="9.140625" defaultRowHeight="12.75"/>
  <cols>
    <col min="1" max="1" width="2" style="58" customWidth="1"/>
    <col min="2" max="8" width="9.140625" style="58"/>
    <col min="9" max="9" width="11.42578125" style="58" customWidth="1"/>
    <col min="10" max="16384" width="9.140625" style="58"/>
  </cols>
  <sheetData>
    <row r="1" spans="2:15" ht="50.25">
      <c r="B1" s="59" t="s">
        <v>113</v>
      </c>
    </row>
    <row r="3" spans="2:15" ht="13.5" customHeight="1">
      <c r="F3" s="59"/>
      <c r="H3" s="59"/>
    </row>
    <row r="6" spans="2:15" ht="15">
      <c r="D6"/>
    </row>
    <row r="9" spans="2:15">
      <c r="C9" s="60"/>
    </row>
    <row r="10" spans="2:15">
      <c r="C10" s="60"/>
    </row>
    <row r="12" spans="2:15" ht="15">
      <c r="J12"/>
    </row>
    <row r="13" spans="2:15">
      <c r="O13" s="61"/>
    </row>
    <row r="15" spans="2:15" ht="15">
      <c r="J1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34"/>
  <sheetViews>
    <sheetView zoomScaleNormal="100" workbookViewId="0"/>
  </sheetViews>
  <sheetFormatPr defaultRowHeight="12"/>
  <cols>
    <col min="1" max="1" width="2" style="2" customWidth="1"/>
    <col min="2" max="2" width="22.85546875" style="2" customWidth="1"/>
    <col min="3" max="3" width="15.85546875" style="2" bestFit="1" customWidth="1"/>
    <col min="4" max="4" width="11.7109375" style="2" customWidth="1"/>
    <col min="5" max="5" width="17.5703125" style="2" customWidth="1"/>
    <col min="6" max="6" width="10" style="14" bestFit="1" customWidth="1"/>
    <col min="7" max="8" width="11.42578125" style="2" customWidth="1"/>
    <col min="9" max="9" width="9.85546875" style="2" customWidth="1"/>
    <col min="10" max="10" width="12.28515625" style="2" customWidth="1"/>
    <col min="11" max="11" width="10" style="2" customWidth="1"/>
    <col min="12" max="12" width="7.85546875" style="2" customWidth="1"/>
    <col min="13" max="13" width="16" style="2" customWidth="1"/>
    <col min="14" max="16384" width="9.140625" style="2"/>
  </cols>
  <sheetData>
    <row r="1" spans="2:14" ht="15.75">
      <c r="B1" s="17" t="s">
        <v>114</v>
      </c>
      <c r="E1" s="3"/>
      <c r="F1" s="64"/>
      <c r="G1" s="3"/>
      <c r="H1" s="3"/>
      <c r="I1" s="3"/>
      <c r="J1" s="3"/>
      <c r="K1" s="3"/>
      <c r="L1" s="3"/>
      <c r="M1" s="3"/>
      <c r="N1" s="3"/>
    </row>
    <row r="2" spans="2:14">
      <c r="E2" s="3"/>
      <c r="F2" s="64"/>
      <c r="G2" s="3"/>
      <c r="H2" s="3"/>
      <c r="I2" s="3"/>
      <c r="J2" s="3"/>
      <c r="K2" s="3"/>
      <c r="L2" s="3"/>
      <c r="M2" s="3"/>
      <c r="N2" s="3"/>
    </row>
    <row r="3" spans="2:14">
      <c r="B3" s="3" t="s">
        <v>115</v>
      </c>
      <c r="C3" s="82" t="s">
        <v>117</v>
      </c>
      <c r="D3" s="22"/>
      <c r="E3" s="47"/>
      <c r="F3" s="121"/>
      <c r="G3" s="117"/>
      <c r="H3" s="104"/>
      <c r="I3" s="104"/>
      <c r="J3" s="104"/>
      <c r="K3" s="3"/>
      <c r="L3" s="122"/>
      <c r="M3" s="104"/>
      <c r="N3" s="3"/>
    </row>
    <row r="4" spans="2:14">
      <c r="B4" s="2" t="s">
        <v>116</v>
      </c>
      <c r="C4" s="219" t="s">
        <v>118</v>
      </c>
      <c r="D4" s="6"/>
      <c r="E4" s="3"/>
      <c r="F4" s="68"/>
      <c r="G4" s="118"/>
      <c r="H4" s="119"/>
      <c r="I4" s="47"/>
      <c r="J4" s="66"/>
      <c r="K4" s="3"/>
      <c r="L4" s="67"/>
      <c r="M4" s="84"/>
      <c r="N4" s="3"/>
    </row>
    <row r="5" spans="2:14">
      <c r="D5" s="6"/>
      <c r="E5" s="3"/>
      <c r="F5" s="68"/>
      <c r="G5" s="118"/>
      <c r="H5" s="119"/>
      <c r="I5" s="47"/>
      <c r="J5" s="66"/>
      <c r="K5" s="3"/>
      <c r="L5" s="67"/>
      <c r="M5" s="84"/>
      <c r="N5" s="3"/>
    </row>
    <row r="6" spans="2:14">
      <c r="C6" s="75"/>
      <c r="D6" s="24"/>
      <c r="E6" s="3"/>
      <c r="F6" s="68"/>
      <c r="G6" s="118"/>
      <c r="H6" s="119"/>
      <c r="I6" s="47"/>
      <c r="J6" s="66"/>
      <c r="K6" s="3"/>
      <c r="L6" s="67"/>
      <c r="M6" s="84"/>
      <c r="N6" s="3"/>
    </row>
    <row r="7" spans="2:14">
      <c r="C7" s="76"/>
      <c r="D7" s="6"/>
      <c r="E7" s="3"/>
      <c r="F7" s="68"/>
      <c r="G7" s="118"/>
      <c r="H7" s="119"/>
      <c r="I7" s="47"/>
      <c r="J7" s="66"/>
      <c r="K7" s="3"/>
      <c r="L7" s="67"/>
      <c r="M7" s="84"/>
      <c r="N7" s="3"/>
    </row>
    <row r="8" spans="2:14">
      <c r="C8" s="46"/>
      <c r="D8" s="6"/>
      <c r="E8" s="3"/>
      <c r="F8" s="68"/>
      <c r="G8" s="118"/>
      <c r="H8" s="119"/>
      <c r="I8" s="47"/>
      <c r="J8" s="66"/>
      <c r="K8" s="3"/>
      <c r="L8" s="67"/>
      <c r="M8" s="84"/>
      <c r="N8" s="3"/>
    </row>
    <row r="9" spans="2:14">
      <c r="B9" s="3"/>
      <c r="C9" s="82"/>
      <c r="D9" s="6"/>
      <c r="E9" s="3"/>
      <c r="F9" s="68"/>
      <c r="G9" s="118"/>
      <c r="H9" s="119"/>
      <c r="I9" s="47"/>
      <c r="J9" s="66"/>
      <c r="K9" s="3"/>
      <c r="L9" s="67"/>
      <c r="M9" s="84"/>
      <c r="N9" s="3"/>
    </row>
    <row r="10" spans="2:14">
      <c r="B10" s="3"/>
      <c r="C10" s="82"/>
      <c r="D10" s="6"/>
      <c r="E10" s="3"/>
      <c r="F10" s="68"/>
      <c r="G10" s="118"/>
      <c r="H10" s="119"/>
      <c r="I10" s="47"/>
      <c r="J10" s="66"/>
      <c r="K10" s="3"/>
      <c r="L10" s="65"/>
      <c r="M10" s="3"/>
      <c r="N10" s="3"/>
    </row>
    <row r="11" spans="2:14">
      <c r="B11" s="3"/>
      <c r="C11" s="83"/>
      <c r="D11" s="6"/>
      <c r="E11" s="3"/>
      <c r="F11" s="68"/>
      <c r="G11" s="118"/>
      <c r="H11" s="119"/>
      <c r="I11" s="47"/>
      <c r="J11" s="66"/>
      <c r="K11" s="3"/>
      <c r="L11" s="80"/>
      <c r="M11" s="89"/>
      <c r="N11" s="3"/>
    </row>
    <row r="12" spans="2:14">
      <c r="B12" s="3"/>
      <c r="C12" s="3"/>
      <c r="D12" s="6"/>
      <c r="E12" s="3"/>
      <c r="F12" s="68"/>
      <c r="G12" s="118"/>
      <c r="H12" s="119"/>
      <c r="I12" s="47"/>
      <c r="J12" s="66"/>
      <c r="K12" s="3"/>
      <c r="L12" s="63"/>
      <c r="M12" s="89"/>
      <c r="N12" s="3"/>
    </row>
    <row r="13" spans="2:14">
      <c r="B13" s="3"/>
      <c r="C13" s="57"/>
      <c r="D13" s="6"/>
      <c r="E13" s="3"/>
      <c r="F13" s="68"/>
      <c r="G13" s="118"/>
      <c r="H13" s="119"/>
      <c r="I13" s="47"/>
      <c r="J13" s="66"/>
      <c r="K13" s="3"/>
      <c r="L13" s="3"/>
      <c r="M13" s="3"/>
      <c r="N13" s="3"/>
    </row>
    <row r="14" spans="2:14">
      <c r="B14" s="23"/>
      <c r="C14" s="23"/>
      <c r="D14" s="24"/>
      <c r="E14" s="3"/>
      <c r="F14" s="67"/>
      <c r="G14" s="8"/>
      <c r="H14" s="3"/>
      <c r="I14" s="47"/>
      <c r="J14" s="23"/>
      <c r="K14" s="3"/>
      <c r="L14" s="3"/>
      <c r="M14" s="3"/>
      <c r="N14" s="3"/>
    </row>
    <row r="15" spans="2:14">
      <c r="B15" s="3"/>
      <c r="C15" s="127"/>
      <c r="D15" s="6"/>
      <c r="E15" s="47"/>
      <c r="F15" s="63"/>
      <c r="G15" s="3"/>
      <c r="H15" s="3"/>
      <c r="I15" s="3"/>
      <c r="J15" s="3"/>
      <c r="K15" s="3"/>
      <c r="L15" s="3"/>
      <c r="M15" s="3"/>
      <c r="N15" s="3"/>
    </row>
    <row r="16" spans="2:14">
      <c r="B16" s="3"/>
      <c r="C16" s="3"/>
      <c r="D16" s="6"/>
      <c r="E16" s="47"/>
      <c r="F16" s="80"/>
      <c r="G16" s="81"/>
      <c r="H16" s="45"/>
      <c r="I16" s="3"/>
      <c r="J16" s="3"/>
      <c r="K16" s="3"/>
      <c r="L16" s="3"/>
      <c r="M16" s="3"/>
      <c r="N16" s="3"/>
    </row>
    <row r="17" spans="2:14">
      <c r="B17" s="3"/>
      <c r="C17" s="76"/>
      <c r="D17" s="6"/>
      <c r="E17" s="47"/>
      <c r="F17" s="63"/>
      <c r="G17" s="81"/>
      <c r="H17" s="3"/>
      <c r="I17" s="3"/>
      <c r="J17" s="3"/>
      <c r="K17" s="3"/>
      <c r="L17" s="3"/>
      <c r="M17" s="3"/>
      <c r="N17" s="3"/>
    </row>
    <row r="18" spans="2:14">
      <c r="B18" s="3"/>
      <c r="C18" s="3"/>
      <c r="D18" s="24"/>
      <c r="E18" s="47"/>
      <c r="F18" s="63"/>
      <c r="G18" s="3"/>
      <c r="H18" s="3"/>
      <c r="I18" s="3"/>
      <c r="J18" s="3"/>
      <c r="K18" s="3"/>
      <c r="L18" s="3"/>
      <c r="M18" s="3"/>
      <c r="N18" s="3"/>
    </row>
    <row r="19" spans="2:14">
      <c r="B19" s="23"/>
      <c r="C19" s="23"/>
      <c r="D19" s="6"/>
      <c r="E19" s="47"/>
      <c r="F19" s="63"/>
      <c r="G19" s="3"/>
      <c r="H19" s="3"/>
      <c r="I19" s="3"/>
      <c r="J19" s="3"/>
      <c r="K19" s="3"/>
      <c r="L19" s="3"/>
      <c r="M19" s="3"/>
      <c r="N19" s="3"/>
    </row>
    <row r="20" spans="2:14">
      <c r="B20" s="3"/>
      <c r="C20" s="3"/>
      <c r="D20" s="6"/>
      <c r="E20" s="120"/>
      <c r="F20" s="122"/>
      <c r="G20" s="122"/>
      <c r="H20" s="122"/>
      <c r="I20" s="122"/>
      <c r="J20" s="122"/>
      <c r="K20" s="122"/>
      <c r="L20" s="3"/>
      <c r="M20" s="3"/>
      <c r="N20" s="3"/>
    </row>
    <row r="21" spans="2:14">
      <c r="B21" s="3"/>
      <c r="C21" s="3"/>
      <c r="D21" s="6"/>
      <c r="E21" s="100"/>
      <c r="F21" s="123"/>
      <c r="G21" s="8"/>
      <c r="H21" s="8"/>
      <c r="I21" s="8"/>
      <c r="J21" s="8"/>
      <c r="K21" s="8"/>
      <c r="L21" s="3"/>
      <c r="M21" s="3"/>
      <c r="N21" s="3"/>
    </row>
    <row r="22" spans="2:14">
      <c r="B22" s="3"/>
      <c r="C22" s="3"/>
      <c r="D22" s="6"/>
      <c r="E22" s="47"/>
      <c r="F22" s="64"/>
      <c r="G22" s="64"/>
      <c r="H22" s="64"/>
      <c r="I22" s="101"/>
      <c r="J22" s="63"/>
      <c r="K22" s="64"/>
      <c r="L22" s="3"/>
      <c r="M22" s="3"/>
      <c r="N22" s="3"/>
    </row>
    <row r="23" spans="2:14">
      <c r="B23" s="23"/>
      <c r="C23" s="23"/>
      <c r="D23" s="24"/>
      <c r="E23" s="47"/>
      <c r="F23" s="3"/>
      <c r="G23" s="3"/>
      <c r="H23" s="3"/>
      <c r="I23" s="3"/>
      <c r="J23" s="3"/>
      <c r="K23" s="3"/>
      <c r="L23" s="124"/>
      <c r="M23" s="3"/>
      <c r="N23" s="3"/>
    </row>
    <row r="24" spans="2:14">
      <c r="B24" s="3"/>
      <c r="C24" s="3"/>
      <c r="D24" s="6"/>
      <c r="E24" s="47"/>
      <c r="F24" s="3"/>
      <c r="G24" s="3"/>
      <c r="H24" s="3"/>
      <c r="I24" s="3"/>
      <c r="J24" s="3"/>
      <c r="K24" s="3"/>
      <c r="L24" s="3"/>
      <c r="M24" s="3"/>
      <c r="N24" s="3"/>
    </row>
    <row r="25" spans="2:14">
      <c r="B25" s="3"/>
      <c r="C25" s="3"/>
      <c r="D25" s="6"/>
      <c r="E25" s="6"/>
      <c r="F25" s="64"/>
      <c r="G25" s="3"/>
      <c r="H25" s="80"/>
      <c r="I25" s="81"/>
      <c r="J25" s="3"/>
      <c r="K25" s="3"/>
      <c r="L25" s="3"/>
      <c r="M25" s="3"/>
      <c r="N25" s="3"/>
    </row>
    <row r="26" spans="2:14">
      <c r="B26" s="3"/>
      <c r="C26" s="3"/>
      <c r="D26" s="6"/>
      <c r="E26" s="24"/>
      <c r="F26" s="46"/>
      <c r="G26" s="3"/>
      <c r="H26" s="63"/>
      <c r="I26" s="81"/>
      <c r="J26" s="3"/>
      <c r="K26" s="3"/>
      <c r="L26" s="125"/>
      <c r="M26" s="3"/>
      <c r="N26" s="3"/>
    </row>
    <row r="27" spans="2:14">
      <c r="B27" s="3"/>
      <c r="C27" s="3"/>
      <c r="D27" s="24"/>
      <c r="E27" s="23"/>
      <c r="F27" s="126"/>
      <c r="G27" s="3"/>
      <c r="H27" s="3"/>
      <c r="I27" s="3"/>
      <c r="J27" s="3"/>
      <c r="K27" s="3"/>
      <c r="L27" s="3"/>
      <c r="M27" s="3"/>
      <c r="N27" s="3"/>
    </row>
    <row r="28" spans="2:14">
      <c r="B28" s="3"/>
      <c r="C28" s="3"/>
      <c r="D28" s="8"/>
      <c r="E28" s="23"/>
      <c r="F28" s="126"/>
      <c r="G28" s="3"/>
      <c r="H28" s="3"/>
      <c r="I28" s="3"/>
      <c r="J28" s="3"/>
      <c r="K28" s="3"/>
      <c r="L28" s="3"/>
      <c r="M28" s="3"/>
      <c r="N28" s="3"/>
    </row>
    <row r="29" spans="2:14">
      <c r="B29" s="3"/>
      <c r="C29" s="3"/>
      <c r="D29" s="3"/>
      <c r="E29" s="3"/>
      <c r="F29" s="64"/>
      <c r="G29" s="3"/>
      <c r="H29" s="3"/>
      <c r="I29" s="3"/>
      <c r="J29" s="3"/>
      <c r="K29" s="3"/>
      <c r="L29" s="3"/>
      <c r="M29" s="3"/>
      <c r="N29" s="3"/>
    </row>
    <row r="30" spans="2:14">
      <c r="B30" s="3"/>
      <c r="C30" s="3"/>
      <c r="D30" s="3"/>
      <c r="E30" s="3"/>
      <c r="F30" s="64"/>
    </row>
    <row r="31" spans="2:14">
      <c r="D31" s="3"/>
      <c r="E31" s="3"/>
      <c r="F31" s="64"/>
    </row>
    <row r="32" spans="2:14">
      <c r="D32" s="3"/>
      <c r="E32" s="3"/>
      <c r="F32" s="64"/>
    </row>
    <row r="33" spans="4:6">
      <c r="D33" s="3"/>
      <c r="E33" s="3"/>
      <c r="F33" s="64"/>
    </row>
    <row r="34" spans="4:6">
      <c r="D34" s="3"/>
      <c r="E34" s="3"/>
      <c r="F34" s="6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1:C28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36" t="s">
        <v>96</v>
      </c>
      <c r="C1" s="10"/>
    </row>
    <row r="2" spans="2:3">
      <c r="B2" s="37"/>
      <c r="C2" s="10"/>
    </row>
    <row r="3" spans="2:3">
      <c r="B3" s="10"/>
      <c r="C3" s="10"/>
    </row>
    <row r="4" spans="2:3">
      <c r="B4" s="62" t="s">
        <v>0</v>
      </c>
      <c r="C4" s="62" t="s">
        <v>1</v>
      </c>
    </row>
    <row r="5" spans="2:3">
      <c r="B5" s="40">
        <v>1</v>
      </c>
      <c r="C5" s="41" t="s">
        <v>3</v>
      </c>
    </row>
    <row r="6" spans="2:3">
      <c r="B6" s="38">
        <f>B5+1</f>
        <v>2</v>
      </c>
      <c r="C6" s="39" t="s">
        <v>5</v>
      </c>
    </row>
    <row r="7" spans="2:3">
      <c r="B7" s="38">
        <f t="shared" ref="B7:B13" si="0">B6+1</f>
        <v>3</v>
      </c>
      <c r="C7" s="39" t="s">
        <v>6</v>
      </c>
    </row>
    <row r="8" spans="2:3">
      <c r="B8" s="38">
        <f t="shared" si="0"/>
        <v>4</v>
      </c>
      <c r="C8" s="39" t="s">
        <v>2</v>
      </c>
    </row>
    <row r="9" spans="2:3">
      <c r="B9" s="38">
        <f t="shared" si="0"/>
        <v>5</v>
      </c>
      <c r="C9" s="39" t="s">
        <v>4</v>
      </c>
    </row>
    <row r="10" spans="2:3">
      <c r="B10" s="38">
        <f t="shared" si="0"/>
        <v>6</v>
      </c>
      <c r="C10" s="41" t="s">
        <v>167</v>
      </c>
    </row>
    <row r="11" spans="2:3">
      <c r="B11" s="38">
        <f t="shared" si="0"/>
        <v>7</v>
      </c>
      <c r="C11" s="39" t="s">
        <v>157</v>
      </c>
    </row>
    <row r="12" spans="2:3">
      <c r="B12" s="38">
        <f t="shared" si="0"/>
        <v>8</v>
      </c>
      <c r="C12" s="39" t="s">
        <v>98</v>
      </c>
    </row>
    <row r="13" spans="2:3">
      <c r="B13" s="38">
        <f t="shared" si="0"/>
        <v>9</v>
      </c>
      <c r="C13" s="39" t="s">
        <v>110</v>
      </c>
    </row>
    <row r="14" spans="2:3">
      <c r="B14" s="38"/>
      <c r="C14" s="39"/>
    </row>
    <row r="15" spans="2:3">
      <c r="B15" s="38"/>
      <c r="C15" s="255"/>
    </row>
    <row r="16" spans="2:3">
      <c r="B16" s="38"/>
      <c r="C16" s="39"/>
    </row>
    <row r="17" spans="2:3">
      <c r="B17" s="38"/>
      <c r="C17" s="39"/>
    </row>
    <row r="18" spans="2:3">
      <c r="B18" s="38"/>
      <c r="C18" s="39"/>
    </row>
    <row r="19" spans="2:3">
      <c r="B19" s="38"/>
      <c r="C19" s="39"/>
    </row>
    <row r="20" spans="2:3">
      <c r="B20" s="38"/>
      <c r="C20" s="39"/>
    </row>
    <row r="21" spans="2:3">
      <c r="B21" s="38"/>
      <c r="C21" s="39"/>
    </row>
    <row r="22" spans="2:3">
      <c r="B22" s="38"/>
      <c r="C22" s="39"/>
    </row>
    <row r="23" spans="2:3">
      <c r="B23" s="38"/>
      <c r="C23" s="39"/>
    </row>
    <row r="24" spans="2:3">
      <c r="B24" s="38"/>
      <c r="C24" s="39"/>
    </row>
    <row r="27" spans="2:3">
      <c r="B27" s="38"/>
      <c r="C27" s="39"/>
    </row>
    <row r="28" spans="2:3">
      <c r="B28" s="10"/>
      <c r="C28" s="10"/>
    </row>
  </sheetData>
  <hyperlinks>
    <hyperlink ref="C7" location="'Equity Risk Premium'!A1" display="Equity Risk Premium"/>
    <hyperlink ref="C8" location="Beta!A1" display="Beta"/>
    <hyperlink ref="C9" location="'Cost of Equity'!A1" display="Cost of Equity"/>
    <hyperlink ref="C6" location="'Risk Free Rate'!A1" display="Risk Free Rate"/>
    <hyperlink ref="C11" location="'Industry Numbers'!A1" display="Industry Numbers"/>
    <hyperlink ref="C12" location="'Future Cashflows (10 Yrs)'!A1" display="Future Cash Flows (10 Yrs)"/>
    <hyperlink ref="C13" location="'Fair Value of Share'!A1" display="Fair Value of Share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4"/>
  <sheetViews>
    <sheetView zoomScaleNormal="100" workbookViewId="0"/>
  </sheetViews>
  <sheetFormatPr defaultRowHeight="12"/>
  <cols>
    <col min="1" max="1" width="2" style="2" customWidth="1"/>
    <col min="2" max="2" width="34.85546875" style="2" customWidth="1"/>
    <col min="3" max="3" width="9.140625" style="2"/>
    <col min="4" max="4" width="6.140625" style="2" customWidth="1"/>
    <col min="5" max="5" width="11.5703125" style="2" bestFit="1" customWidth="1"/>
    <col min="6" max="6" width="18.85546875" style="2" customWidth="1"/>
    <col min="7" max="7" width="2.7109375" style="2" customWidth="1"/>
    <col min="8" max="8" width="30.42578125" style="2" customWidth="1"/>
    <col min="9" max="16384" width="9.140625" style="2"/>
  </cols>
  <sheetData>
    <row r="1" spans="2:13" ht="15.75">
      <c r="B1" s="17" t="s">
        <v>100</v>
      </c>
    </row>
    <row r="3" spans="2:13">
      <c r="B3" s="19" t="s">
        <v>5</v>
      </c>
      <c r="C3" s="54">
        <f>C5-C7</f>
        <v>5.5759999999999997E-2</v>
      </c>
      <c r="D3" s="22"/>
      <c r="E3" s="49" t="s">
        <v>40</v>
      </c>
      <c r="F3" s="50" t="s">
        <v>41</v>
      </c>
      <c r="I3" s="3"/>
      <c r="J3" s="3"/>
      <c r="K3" s="3"/>
    </row>
    <row r="4" spans="2:13">
      <c r="B4" s="3"/>
      <c r="C4" s="3"/>
      <c r="D4" s="6"/>
      <c r="E4" s="49" t="s">
        <v>25</v>
      </c>
      <c r="F4" s="13">
        <v>0</v>
      </c>
      <c r="I4" s="3"/>
      <c r="J4" s="3"/>
      <c r="K4" s="3"/>
    </row>
    <row r="5" spans="2:13">
      <c r="B5" s="19" t="s">
        <v>7</v>
      </c>
      <c r="C5" s="55">
        <v>7.4459999999999998E-2</v>
      </c>
      <c r="D5" s="6"/>
      <c r="E5" s="49" t="s">
        <v>26</v>
      </c>
      <c r="F5" s="13">
        <v>3.3999999999999998E-3</v>
      </c>
      <c r="I5" s="3"/>
      <c r="J5" s="3"/>
      <c r="K5" s="3"/>
      <c r="M5" s="3"/>
    </row>
    <row r="6" spans="2:13">
      <c r="B6" s="19" t="s">
        <v>8</v>
      </c>
      <c r="C6" s="56" t="s">
        <v>38</v>
      </c>
      <c r="D6" s="24"/>
      <c r="E6" s="49" t="s">
        <v>19</v>
      </c>
      <c r="F6" s="13">
        <v>4.1999999999999997E-3</v>
      </c>
      <c r="I6" s="3"/>
      <c r="J6" s="3"/>
      <c r="K6" s="3"/>
    </row>
    <row r="7" spans="2:13">
      <c r="B7" s="19" t="s">
        <v>9</v>
      </c>
      <c r="C7" s="53">
        <f>VLOOKUP(C6,$E$3:$F$24,2,0)</f>
        <v>1.8700000000000001E-2</v>
      </c>
      <c r="D7" s="6"/>
      <c r="E7" s="49" t="s">
        <v>30</v>
      </c>
      <c r="F7" s="13">
        <v>5.1000000000000004E-3</v>
      </c>
      <c r="I7" s="3"/>
      <c r="J7" s="3"/>
      <c r="K7" s="3"/>
    </row>
    <row r="8" spans="2:13">
      <c r="B8" s="3"/>
      <c r="C8" s="3"/>
      <c r="D8" s="6"/>
      <c r="E8" s="49" t="s">
        <v>35</v>
      </c>
      <c r="F8" s="46">
        <v>6.0000000000000001E-3</v>
      </c>
      <c r="I8" s="3"/>
      <c r="J8" s="3"/>
      <c r="K8" s="3"/>
    </row>
    <row r="9" spans="2:13">
      <c r="B9" s="52" t="s">
        <v>43</v>
      </c>
      <c r="C9" s="23"/>
      <c r="D9" s="6"/>
      <c r="E9" s="49" t="s">
        <v>32</v>
      </c>
      <c r="F9" s="13">
        <v>7.1999999999999998E-3</v>
      </c>
      <c r="I9" s="3"/>
      <c r="J9" s="3"/>
      <c r="K9" s="3"/>
    </row>
    <row r="10" spans="2:13">
      <c r="B10" s="3"/>
      <c r="C10" s="3"/>
      <c r="D10" s="6"/>
      <c r="E10" s="49" t="s">
        <v>33</v>
      </c>
      <c r="F10" s="13">
        <v>1.0200000000000001E-2</v>
      </c>
      <c r="I10" s="3"/>
      <c r="J10" s="3"/>
      <c r="K10" s="3"/>
    </row>
    <row r="11" spans="2:13">
      <c r="B11" s="48" t="s">
        <v>42</v>
      </c>
      <c r="C11" s="3"/>
      <c r="D11" s="6"/>
      <c r="E11" s="49" t="s">
        <v>34</v>
      </c>
      <c r="F11" s="13">
        <v>1.3599999999999999E-2</v>
      </c>
      <c r="I11" s="3"/>
      <c r="J11" s="3"/>
      <c r="K11" s="3"/>
    </row>
    <row r="12" spans="2:13">
      <c r="B12" s="51" t="s">
        <v>10</v>
      </c>
      <c r="C12" s="3"/>
      <c r="D12" s="6"/>
      <c r="E12" s="49" t="s">
        <v>21</v>
      </c>
      <c r="F12" s="13">
        <v>1.6199999999999999E-2</v>
      </c>
      <c r="I12" s="3"/>
      <c r="J12" s="3"/>
      <c r="K12" s="3"/>
    </row>
    <row r="13" spans="2:13">
      <c r="B13" s="51" t="s">
        <v>11</v>
      </c>
      <c r="C13" s="23"/>
      <c r="D13" s="6"/>
      <c r="E13" s="49" t="s">
        <v>38</v>
      </c>
      <c r="F13" s="13">
        <v>1.8700000000000001E-2</v>
      </c>
    </row>
    <row r="14" spans="2:13">
      <c r="B14" s="51" t="s">
        <v>12</v>
      </c>
      <c r="C14" s="3"/>
      <c r="D14" s="24"/>
      <c r="E14" s="49" t="s">
        <v>37</v>
      </c>
      <c r="F14" s="13">
        <v>2.1299999999999999E-2</v>
      </c>
    </row>
    <row r="15" spans="2:13">
      <c r="B15" s="51" t="s">
        <v>13</v>
      </c>
      <c r="C15" s="3"/>
      <c r="D15" s="6"/>
      <c r="E15" s="49" t="s">
        <v>27</v>
      </c>
      <c r="F15" s="13">
        <v>2.5600000000000001E-2</v>
      </c>
    </row>
    <row r="16" spans="2:13">
      <c r="B16" s="51" t="s">
        <v>14</v>
      </c>
      <c r="C16" s="3"/>
      <c r="D16" s="6"/>
      <c r="E16" s="49" t="s">
        <v>24</v>
      </c>
      <c r="F16" s="13">
        <v>3.0599999999999999E-2</v>
      </c>
    </row>
    <row r="17" spans="2:9">
      <c r="B17" s="51" t="s">
        <v>15</v>
      </c>
      <c r="C17" s="3"/>
      <c r="D17" s="6"/>
      <c r="E17" s="49" t="s">
        <v>20</v>
      </c>
      <c r="F17" s="13">
        <v>3.8300000000000001E-2</v>
      </c>
    </row>
    <row r="18" spans="2:9">
      <c r="B18" s="51" t="s">
        <v>16</v>
      </c>
      <c r="C18" s="23"/>
      <c r="D18" s="24"/>
      <c r="E18" s="49" t="s">
        <v>28</v>
      </c>
      <c r="F18" s="13">
        <v>4.6800000000000001E-2</v>
      </c>
    </row>
    <row r="19" spans="2:9">
      <c r="B19" s="51" t="s">
        <v>17</v>
      </c>
      <c r="C19" s="3"/>
      <c r="D19" s="6"/>
      <c r="E19" s="49" t="s">
        <v>22</v>
      </c>
      <c r="F19" s="13">
        <v>5.5300000000000002E-2</v>
      </c>
    </row>
    <row r="20" spans="2:9">
      <c r="B20" s="51" t="s">
        <v>18</v>
      </c>
      <c r="C20" s="3"/>
      <c r="D20" s="6"/>
      <c r="E20" s="49" t="s">
        <v>29</v>
      </c>
      <c r="F20" s="13">
        <v>6.3799999999999996E-2</v>
      </c>
    </row>
    <row r="21" spans="2:9">
      <c r="D21" s="6"/>
      <c r="E21" s="49" t="s">
        <v>36</v>
      </c>
      <c r="F21" s="13">
        <v>7.6600000000000001E-2</v>
      </c>
    </row>
    <row r="22" spans="2:9">
      <c r="B22" s="3"/>
      <c r="C22" s="3"/>
      <c r="D22" s="6"/>
      <c r="E22" s="49" t="s">
        <v>31</v>
      </c>
      <c r="F22" s="13">
        <v>8.5099999999999995E-2</v>
      </c>
    </row>
    <row r="23" spans="2:9">
      <c r="B23" s="23"/>
      <c r="C23" s="23"/>
      <c r="D23" s="24"/>
      <c r="E23" s="49" t="s">
        <v>23</v>
      </c>
      <c r="F23" s="13">
        <v>0.1021</v>
      </c>
      <c r="I23" s="4"/>
    </row>
    <row r="24" spans="2:9">
      <c r="B24" s="3"/>
      <c r="C24" s="3"/>
      <c r="D24" s="6"/>
      <c r="E24" s="49" t="s">
        <v>39</v>
      </c>
      <c r="F24" s="13">
        <v>0.17499999999999999</v>
      </c>
    </row>
    <row r="25" spans="2:9">
      <c r="B25" s="3"/>
      <c r="C25" s="3"/>
      <c r="D25" s="6"/>
      <c r="E25" s="6"/>
    </row>
    <row r="26" spans="2:9">
      <c r="B26" s="3"/>
      <c r="C26" s="3"/>
      <c r="D26" s="6"/>
      <c r="E26" s="6"/>
    </row>
    <row r="27" spans="2:9">
      <c r="B27" s="3"/>
      <c r="C27" s="3"/>
      <c r="D27" s="24"/>
      <c r="E27" s="24"/>
      <c r="F27" s="24"/>
    </row>
    <row r="28" spans="2:9">
      <c r="B28" s="3"/>
      <c r="C28" s="3"/>
      <c r="D28" s="3"/>
      <c r="E28" s="3"/>
      <c r="F28" s="3"/>
    </row>
    <row r="29" spans="2:9">
      <c r="B29" s="3"/>
      <c r="C29" s="3"/>
      <c r="D29" s="3"/>
      <c r="E29" s="3"/>
      <c r="F29" s="3"/>
    </row>
    <row r="30" spans="2:9">
      <c r="B30" s="3"/>
      <c r="C30" s="3"/>
      <c r="D30" s="3"/>
      <c r="E30" s="3"/>
      <c r="F30" s="3"/>
    </row>
    <row r="31" spans="2:9">
      <c r="D31" s="3"/>
      <c r="E31" s="3"/>
      <c r="F31" s="3"/>
    </row>
    <row r="32" spans="2:9">
      <c r="D32" s="3"/>
      <c r="E32" s="3"/>
      <c r="F32" s="3"/>
    </row>
    <row r="33" spans="4:6">
      <c r="D33" s="3"/>
      <c r="E33" s="3"/>
      <c r="F33" s="3"/>
    </row>
    <row r="34" spans="4:6">
      <c r="D34" s="3"/>
      <c r="E34" s="3"/>
      <c r="F34" s="3"/>
    </row>
  </sheetData>
  <sortState ref="E4:F24">
    <sortCondition ref="F6"/>
  </sortState>
  <conditionalFormatting sqref="F4:F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4"/>
  <sheetViews>
    <sheetView zoomScaleNormal="100" workbookViewId="0"/>
  </sheetViews>
  <sheetFormatPr defaultRowHeight="12"/>
  <cols>
    <col min="1" max="1" width="2" style="2" customWidth="1"/>
    <col min="2" max="2" width="36.42578125" style="2" customWidth="1"/>
    <col min="3" max="3" width="10" style="2" bestFit="1" customWidth="1"/>
    <col min="4" max="4" width="2.85546875" style="2" customWidth="1"/>
    <col min="5" max="5" width="18.5703125" style="2" customWidth="1"/>
    <col min="6" max="6" width="10" style="14" customWidth="1"/>
    <col min="7" max="8" width="11.42578125" style="2" customWidth="1"/>
    <col min="9" max="9" width="9.85546875" style="2" customWidth="1"/>
    <col min="10" max="10" width="12.28515625" style="2" customWidth="1"/>
    <col min="11" max="11" width="10" style="2" customWidth="1"/>
    <col min="12" max="12" width="7.85546875" style="2" customWidth="1"/>
    <col min="13" max="13" width="16" style="2" customWidth="1"/>
    <col min="14" max="16384" width="9.140625" style="2"/>
  </cols>
  <sheetData>
    <row r="1" spans="2:13" ht="15.75">
      <c r="B1" s="17" t="s">
        <v>6</v>
      </c>
    </row>
    <row r="3" spans="2:13">
      <c r="B3" s="19" t="s">
        <v>45</v>
      </c>
      <c r="C3" s="90">
        <f>G13</f>
        <v>189.17</v>
      </c>
      <c r="D3" s="22"/>
      <c r="E3" s="47"/>
      <c r="F3" s="70" t="s">
        <v>44</v>
      </c>
      <c r="G3" s="71" t="s">
        <v>46</v>
      </c>
      <c r="H3" s="73" t="s">
        <v>47</v>
      </c>
      <c r="I3" s="73" t="s">
        <v>50</v>
      </c>
      <c r="J3" s="73" t="s">
        <v>77</v>
      </c>
      <c r="K3" s="3"/>
      <c r="L3" s="87" t="s">
        <v>44</v>
      </c>
      <c r="M3" s="73" t="s">
        <v>73</v>
      </c>
    </row>
    <row r="4" spans="2:13">
      <c r="B4" s="30" t="s">
        <v>51</v>
      </c>
      <c r="C4" s="95">
        <f>J14/I14</f>
        <v>138.95218181818183</v>
      </c>
      <c r="D4" s="6"/>
      <c r="F4" s="69" t="s">
        <v>55</v>
      </c>
      <c r="G4" s="72">
        <v>77.72</v>
      </c>
      <c r="H4" s="74">
        <v>1.47E-2</v>
      </c>
      <c r="I4" s="49">
        <v>1</v>
      </c>
      <c r="J4" s="78">
        <f t="shared" ref="J4:J13" si="0">G4*I4</f>
        <v>77.72</v>
      </c>
      <c r="K4" s="3"/>
      <c r="L4" s="85" t="s">
        <v>65</v>
      </c>
      <c r="M4" s="86">
        <f>C11</f>
        <v>0.172634108417556</v>
      </c>
    </row>
    <row r="5" spans="2:13">
      <c r="D5" s="6"/>
      <c r="F5" s="69" t="s">
        <v>56</v>
      </c>
      <c r="G5" s="72">
        <v>97.24</v>
      </c>
      <c r="H5" s="74">
        <v>1.37E-2</v>
      </c>
      <c r="I5" s="49">
        <v>2</v>
      </c>
      <c r="J5" s="78">
        <f t="shared" si="0"/>
        <v>194.48</v>
      </c>
      <c r="K5" s="3"/>
      <c r="L5" s="85" t="s">
        <v>66</v>
      </c>
      <c r="M5" s="86">
        <f>(M4+M6)/2</f>
        <v>0.146583081313167</v>
      </c>
    </row>
    <row r="6" spans="2:13">
      <c r="B6" s="30" t="s">
        <v>49</v>
      </c>
      <c r="C6" s="91">
        <f>H13</f>
        <v>1.11E-2</v>
      </c>
      <c r="D6" s="24"/>
      <c r="F6" s="69" t="s">
        <v>57</v>
      </c>
      <c r="G6" s="72">
        <v>122.26</v>
      </c>
      <c r="H6" s="74">
        <v>1.2800000000000001E-2</v>
      </c>
      <c r="I6" s="49">
        <v>3</v>
      </c>
      <c r="J6" s="78">
        <f t="shared" si="0"/>
        <v>366.78000000000003</v>
      </c>
      <c r="K6" s="3"/>
      <c r="L6" s="85" t="s">
        <v>67</v>
      </c>
      <c r="M6" s="86">
        <f>(M4+M8)/2</f>
        <v>0.12053205420877799</v>
      </c>
    </row>
    <row r="7" spans="2:13">
      <c r="B7" s="30" t="s">
        <v>48</v>
      </c>
      <c r="C7" s="92">
        <f>AVERAGE(H4:H13)</f>
        <v>1.315E-2</v>
      </c>
      <c r="D7" s="6"/>
      <c r="F7" s="69" t="s">
        <v>58</v>
      </c>
      <c r="G7" s="72">
        <v>121.01</v>
      </c>
      <c r="H7" s="74">
        <v>1.49E-2</v>
      </c>
      <c r="I7" s="49">
        <v>4</v>
      </c>
      <c r="J7" s="78">
        <f t="shared" si="0"/>
        <v>484.04</v>
      </c>
      <c r="K7" s="3"/>
      <c r="L7" s="85" t="s">
        <v>68</v>
      </c>
      <c r="M7" s="86">
        <f>(M6+M8)/2</f>
        <v>9.4481027104388993E-2</v>
      </c>
    </row>
    <row r="8" spans="2:13">
      <c r="C8" s="46"/>
      <c r="D8" s="6"/>
      <c r="F8" s="69" t="s">
        <v>59</v>
      </c>
      <c r="G8" s="72">
        <v>112.54</v>
      </c>
      <c r="H8" s="74">
        <v>1.23E-2</v>
      </c>
      <c r="I8" s="49">
        <v>5</v>
      </c>
      <c r="J8" s="78">
        <f t="shared" si="0"/>
        <v>562.70000000000005</v>
      </c>
      <c r="K8" s="3"/>
      <c r="L8" s="85" t="s">
        <v>69</v>
      </c>
      <c r="M8" s="86">
        <v>6.8430000000000005E-2</v>
      </c>
    </row>
    <row r="9" spans="2:13">
      <c r="B9" s="19" t="s">
        <v>70</v>
      </c>
      <c r="C9" s="93">
        <v>282.98</v>
      </c>
      <c r="D9" s="6"/>
      <c r="F9" s="69" t="s">
        <v>60</v>
      </c>
      <c r="G9" s="72">
        <v>137.75</v>
      </c>
      <c r="H9" s="74">
        <v>1.2500000000000001E-2</v>
      </c>
      <c r="I9" s="49">
        <v>6</v>
      </c>
      <c r="J9" s="78">
        <f t="shared" si="0"/>
        <v>826.5</v>
      </c>
      <c r="K9" s="3"/>
      <c r="L9" s="67"/>
      <c r="M9" s="88">
        <f>AVERAGE(M4:M8)</f>
        <v>0.12053205420877799</v>
      </c>
    </row>
    <row r="10" spans="2:13">
      <c r="B10" s="19" t="s">
        <v>71</v>
      </c>
      <c r="C10" s="93">
        <v>771.5</v>
      </c>
      <c r="D10" s="6"/>
      <c r="F10" s="69" t="s">
        <v>61</v>
      </c>
      <c r="G10" s="72">
        <v>142.54</v>
      </c>
      <c r="H10" s="74">
        <v>1.1299999999999999E-2</v>
      </c>
      <c r="I10" s="49">
        <v>7</v>
      </c>
      <c r="J10" s="78">
        <f t="shared" si="0"/>
        <v>997.78</v>
      </c>
      <c r="K10" s="3"/>
      <c r="L10" s="65"/>
    </row>
    <row r="11" spans="2:13">
      <c r="B11" s="19" t="s">
        <v>72</v>
      </c>
      <c r="C11" s="94">
        <f>((C10-C9)/C9)/10</f>
        <v>0.172634108417556</v>
      </c>
      <c r="D11" s="6"/>
      <c r="F11" s="69" t="s">
        <v>62</v>
      </c>
      <c r="G11" s="72">
        <v>149.1</v>
      </c>
      <c r="H11" s="74">
        <v>1.83E-2</v>
      </c>
      <c r="I11" s="49">
        <v>8</v>
      </c>
      <c r="J11" s="78">
        <f t="shared" si="0"/>
        <v>1192.8</v>
      </c>
      <c r="K11" s="3"/>
      <c r="L11" s="80" t="s">
        <v>52</v>
      </c>
      <c r="M11" s="89" t="s">
        <v>75</v>
      </c>
    </row>
    <row r="12" spans="2:13">
      <c r="B12" s="3"/>
      <c r="C12" s="3"/>
      <c r="D12" s="6"/>
      <c r="F12" s="69" t="s">
        <v>63</v>
      </c>
      <c r="G12" s="72">
        <v>116.43</v>
      </c>
      <c r="H12" s="74">
        <v>9.9000000000000008E-3</v>
      </c>
      <c r="I12" s="49">
        <v>9</v>
      </c>
      <c r="J12" s="78">
        <f t="shared" si="0"/>
        <v>1047.8700000000001</v>
      </c>
      <c r="K12" s="3"/>
      <c r="L12" s="63"/>
      <c r="M12" s="89" t="s">
        <v>76</v>
      </c>
    </row>
    <row r="13" spans="2:13">
      <c r="B13" s="19" t="s">
        <v>74</v>
      </c>
      <c r="C13" s="54">
        <f>M9</f>
        <v>0.12053205420877799</v>
      </c>
      <c r="D13" s="6"/>
      <c r="F13" s="69" t="s">
        <v>64</v>
      </c>
      <c r="G13" s="72">
        <v>189.17</v>
      </c>
      <c r="H13" s="74">
        <v>1.11E-2</v>
      </c>
      <c r="I13" s="49">
        <v>10</v>
      </c>
      <c r="J13" s="78">
        <f t="shared" si="0"/>
        <v>1891.6999999999998</v>
      </c>
    </row>
    <row r="14" spans="2:13">
      <c r="B14" s="23"/>
      <c r="C14" s="23"/>
      <c r="D14" s="24"/>
      <c r="F14" s="67"/>
      <c r="G14" s="8"/>
      <c r="I14" s="77">
        <f>SUM(I4:I13)</f>
        <v>55</v>
      </c>
      <c r="J14" s="79">
        <f>SUM(J4:J13)</f>
        <v>7642.37</v>
      </c>
    </row>
    <row r="15" spans="2:13">
      <c r="B15" s="19" t="s">
        <v>119</v>
      </c>
      <c r="C15" s="98">
        <v>16605.25</v>
      </c>
      <c r="D15" s="6"/>
      <c r="E15" s="47"/>
      <c r="F15" s="63"/>
      <c r="G15" s="3"/>
      <c r="H15" s="3"/>
    </row>
    <row r="16" spans="2:13">
      <c r="B16" s="3"/>
      <c r="C16" s="3"/>
      <c r="D16" s="6"/>
      <c r="E16" s="47"/>
      <c r="F16" s="80" t="s">
        <v>52</v>
      </c>
      <c r="G16" s="81" t="s">
        <v>54</v>
      </c>
      <c r="H16" s="45"/>
    </row>
    <row r="17" spans="2:12">
      <c r="B17" s="19" t="s">
        <v>83</v>
      </c>
      <c r="C17" s="92">
        <v>1.8200000000000001E-2</v>
      </c>
      <c r="D17" s="6"/>
      <c r="E17" s="47"/>
      <c r="F17" s="63"/>
      <c r="G17" s="81" t="s">
        <v>53</v>
      </c>
    </row>
    <row r="18" spans="2:12">
      <c r="B18" s="3"/>
      <c r="C18" s="3"/>
      <c r="D18" s="24"/>
      <c r="E18" s="47"/>
      <c r="F18" s="63"/>
      <c r="G18" s="3"/>
      <c r="H18" s="3"/>
    </row>
    <row r="19" spans="2:12">
      <c r="B19" s="23"/>
      <c r="C19" s="23"/>
      <c r="D19" s="6"/>
      <c r="E19" s="47"/>
      <c r="F19" s="63"/>
      <c r="G19" s="3"/>
      <c r="H19" s="3"/>
    </row>
    <row r="20" spans="2:12">
      <c r="B20" s="3"/>
      <c r="C20" s="3"/>
      <c r="D20" s="6"/>
      <c r="E20" s="99" t="s">
        <v>78</v>
      </c>
      <c r="F20" s="87" t="s">
        <v>64</v>
      </c>
      <c r="G20" s="87" t="s">
        <v>65</v>
      </c>
      <c r="H20" s="87" t="s">
        <v>66</v>
      </c>
      <c r="I20" s="87" t="s">
        <v>67</v>
      </c>
      <c r="J20" s="87" t="s">
        <v>68</v>
      </c>
      <c r="K20" s="87" t="s">
        <v>69</v>
      </c>
    </row>
    <row r="21" spans="2:12">
      <c r="B21" s="3"/>
      <c r="C21" s="3"/>
      <c r="D21" s="6"/>
      <c r="E21" s="105">
        <f>-C15</f>
        <v>-16605.25</v>
      </c>
      <c r="F21" s="96">
        <f>$C$4</f>
        <v>138.95218181818183</v>
      </c>
      <c r="G21" s="97">
        <f>F21*(1+$C$13)</f>
        <v>155.7003737295189</v>
      </c>
      <c r="H21" s="97">
        <f>G21*(1+$C$13)</f>
        <v>174.46725961621226</v>
      </c>
      <c r="I21" s="97">
        <f>H21*(1+$C$13)</f>
        <v>195.49615680993051</v>
      </c>
      <c r="J21" s="97">
        <f>I21*(1+$C$13)</f>
        <v>219.05971018015282</v>
      </c>
      <c r="K21" s="97">
        <f>J21*(1+$C$13)</f>
        <v>245.46342704254619</v>
      </c>
    </row>
    <row r="22" spans="2:12">
      <c r="B22" s="3"/>
      <c r="C22" s="3"/>
      <c r="D22" s="6"/>
      <c r="E22" s="49"/>
      <c r="F22" s="106"/>
      <c r="G22" s="106"/>
      <c r="H22" s="106"/>
      <c r="I22" s="107"/>
      <c r="J22" s="108"/>
      <c r="K22" s="106"/>
    </row>
    <row r="23" spans="2:12">
      <c r="B23" s="23"/>
      <c r="C23" s="23"/>
      <c r="D23" s="24"/>
      <c r="E23" s="49" t="s">
        <v>79</v>
      </c>
      <c r="F23" s="30">
        <f>NPV(10%,$G$21:$K$21)+($K$21*(1+$M$8))/(10%-$M$8)*((1+10%)^5)+$E$21</f>
        <v>-2491.6628706754473</v>
      </c>
      <c r="G23" s="30"/>
      <c r="H23" s="30"/>
      <c r="I23" s="30"/>
      <c r="J23" s="30"/>
      <c r="K23" s="30"/>
      <c r="L23" s="102"/>
    </row>
    <row r="24" spans="2:12">
      <c r="B24" s="3"/>
      <c r="C24" s="3"/>
      <c r="D24" s="6"/>
      <c r="E24" s="49" t="s">
        <v>80</v>
      </c>
      <c r="F24" s="30">
        <f>NPV(9%,$G$21:$K$21)+($K$21*(1+$M$8))/(9%-$M$8)*((1+9%)^5)+$E$21</f>
        <v>2857.5973412469721</v>
      </c>
      <c r="G24" s="30"/>
      <c r="H24" s="30"/>
      <c r="I24" s="30"/>
      <c r="J24" s="30"/>
      <c r="K24" s="30"/>
    </row>
    <row r="25" spans="2:12">
      <c r="B25" s="3"/>
      <c r="C25" s="3"/>
      <c r="D25" s="6"/>
      <c r="E25" s="18"/>
      <c r="F25" s="106"/>
      <c r="G25" s="30"/>
      <c r="H25" s="114"/>
      <c r="I25" s="115"/>
      <c r="J25" s="30"/>
      <c r="K25" s="30"/>
    </row>
    <row r="26" spans="2:12">
      <c r="B26" s="3"/>
      <c r="C26" s="3"/>
      <c r="D26" s="6"/>
      <c r="E26" s="42" t="s">
        <v>81</v>
      </c>
      <c r="F26" s="109">
        <f>9%+($F$24/($F$24-$F$23)*(10%-9%))</f>
        <v>9.5342042129261104E-2</v>
      </c>
      <c r="G26" s="30"/>
      <c r="H26" s="116"/>
      <c r="I26" s="115"/>
      <c r="J26" s="30"/>
      <c r="K26" s="30"/>
      <c r="L26" s="103"/>
    </row>
    <row r="27" spans="2:12">
      <c r="B27" s="3"/>
      <c r="C27" s="3"/>
      <c r="D27" s="8" t="s">
        <v>82</v>
      </c>
      <c r="E27" s="110" t="s">
        <v>5</v>
      </c>
      <c r="F27" s="111">
        <f>'Risk Free Rate'!C3</f>
        <v>5.5759999999999997E-2</v>
      </c>
      <c r="G27" s="30"/>
      <c r="H27" s="30"/>
      <c r="I27" s="30"/>
      <c r="J27" s="30"/>
      <c r="K27" s="30"/>
    </row>
    <row r="28" spans="2:12">
      <c r="B28" s="3"/>
      <c r="C28" s="3"/>
      <c r="E28" s="112" t="s">
        <v>6</v>
      </c>
      <c r="F28" s="113">
        <f>F26-F27</f>
        <v>3.9582042129261107E-2</v>
      </c>
      <c r="G28" s="30"/>
      <c r="H28" s="30"/>
      <c r="I28" s="30"/>
      <c r="J28" s="30"/>
      <c r="K28" s="30"/>
    </row>
    <row r="29" spans="2:12">
      <c r="B29" s="3"/>
      <c r="C29" s="3"/>
      <c r="D29" s="3"/>
    </row>
    <row r="30" spans="2:12">
      <c r="B30" s="3"/>
      <c r="C30" s="3"/>
      <c r="D30" s="3"/>
      <c r="E30" s="3"/>
      <c r="F30" s="64"/>
    </row>
    <row r="31" spans="2:12">
      <c r="D31" s="3"/>
      <c r="E31" s="3"/>
      <c r="F31" s="64"/>
    </row>
    <row r="32" spans="2:12">
      <c r="D32" s="3"/>
      <c r="E32" s="3"/>
      <c r="F32" s="64"/>
    </row>
    <row r="33" spans="4:6">
      <c r="D33" s="3"/>
      <c r="E33" s="3"/>
      <c r="F33" s="64"/>
    </row>
    <row r="34" spans="4:6">
      <c r="D34" s="3"/>
      <c r="E34" s="3"/>
      <c r="F34" s="64"/>
    </row>
  </sheetData>
  <hyperlinks>
    <hyperlink ref="G16" r:id="rId1"/>
    <hyperlink ref="G17" r:id="rId2"/>
    <hyperlink ref="M11" r:id="rId3"/>
    <hyperlink ref="M12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33"/>
  <sheetViews>
    <sheetView zoomScaleNormal="100" workbookViewId="0"/>
  </sheetViews>
  <sheetFormatPr defaultRowHeight="12"/>
  <cols>
    <col min="1" max="1" width="2" style="2" customWidth="1"/>
    <col min="2" max="2" width="27" style="2" customWidth="1"/>
    <col min="3" max="3" width="16.140625" style="2" customWidth="1"/>
    <col min="4" max="4" width="9.140625" style="2" customWidth="1"/>
    <col min="5" max="5" width="3.28515625" style="2" customWidth="1"/>
    <col min="6" max="6" width="3" style="14" customWidth="1"/>
    <col min="7" max="7" width="25.7109375" style="2" customWidth="1"/>
    <col min="8" max="8" width="14.42578125" style="2" customWidth="1"/>
    <col min="9" max="9" width="15.5703125" style="14" bestFit="1" customWidth="1"/>
    <col min="10" max="10" width="10.85546875" style="2" customWidth="1"/>
    <col min="11" max="14" width="9.42578125" style="2" customWidth="1"/>
    <col min="15" max="15" width="7.85546875" style="2" customWidth="1"/>
    <col min="16" max="16" width="6.28515625" style="2" customWidth="1"/>
    <col min="17" max="16384" width="9.140625" style="2"/>
  </cols>
  <sheetData>
    <row r="1" spans="2:17" ht="15.75">
      <c r="B1" s="17" t="s">
        <v>91</v>
      </c>
      <c r="E1" s="3"/>
      <c r="F1" s="64"/>
      <c r="G1" s="3"/>
      <c r="H1" s="3"/>
      <c r="I1" s="64"/>
      <c r="J1" s="3"/>
      <c r="K1" s="3"/>
      <c r="L1" s="3"/>
      <c r="M1" s="3"/>
      <c r="N1" s="3"/>
      <c r="O1" s="3"/>
      <c r="P1" s="3"/>
      <c r="Q1" s="3"/>
    </row>
    <row r="2" spans="2:17">
      <c r="E2" s="3"/>
      <c r="F2" s="64"/>
      <c r="G2" s="256" t="s">
        <v>120</v>
      </c>
      <c r="H2" s="256"/>
      <c r="I2" s="256"/>
      <c r="J2" s="256"/>
      <c r="K2" s="256" t="s">
        <v>86</v>
      </c>
      <c r="L2" s="256"/>
      <c r="M2" s="167"/>
      <c r="N2" s="167"/>
      <c r="O2" s="3"/>
      <c r="P2" s="3"/>
      <c r="Q2" s="3"/>
    </row>
    <row r="3" spans="2:17">
      <c r="B3" s="19" t="s">
        <v>115</v>
      </c>
      <c r="C3" s="93" t="str">
        <f>About!C3</f>
        <v>Financial Services</v>
      </c>
      <c r="D3" s="22"/>
      <c r="F3" s="121"/>
      <c r="G3" s="49" t="s">
        <v>121</v>
      </c>
      <c r="H3" s="49" t="s">
        <v>84</v>
      </c>
      <c r="I3" s="130" t="s">
        <v>135</v>
      </c>
      <c r="J3" s="131" t="s">
        <v>85</v>
      </c>
      <c r="K3" s="131" t="s">
        <v>87</v>
      </c>
      <c r="L3" s="78" t="s">
        <v>88</v>
      </c>
      <c r="M3" s="66"/>
      <c r="N3" s="66"/>
      <c r="O3" s="122"/>
      <c r="P3" s="104"/>
      <c r="Q3" s="3"/>
    </row>
    <row r="4" spans="2:17">
      <c r="B4" s="30" t="s">
        <v>116</v>
      </c>
      <c r="C4" s="220" t="str">
        <f>About!C4</f>
        <v>Private Banking</v>
      </c>
      <c r="D4" s="6"/>
      <c r="E4" s="3"/>
      <c r="F4" s="68"/>
      <c r="G4" s="72" t="s">
        <v>122</v>
      </c>
      <c r="H4" s="72" t="s">
        <v>136</v>
      </c>
      <c r="I4" s="221">
        <v>1.0669</v>
      </c>
      <c r="J4" s="134">
        <v>9.8000000000000004E-2</v>
      </c>
      <c r="K4" s="134">
        <f t="shared" ref="K4:K8" si="0">I4-(2*J4)</f>
        <v>0.87090000000000001</v>
      </c>
      <c r="L4" s="134">
        <f t="shared" ref="L4:L8" si="1">I4+(2*J4)</f>
        <v>1.2628999999999999</v>
      </c>
      <c r="M4" s="166"/>
      <c r="N4" s="128"/>
      <c r="P4" s="84"/>
      <c r="Q4" s="3"/>
    </row>
    <row r="5" spans="2:17">
      <c r="D5" s="6"/>
      <c r="E5" s="3"/>
      <c r="F5" s="68"/>
      <c r="G5" s="72" t="s">
        <v>123</v>
      </c>
      <c r="H5" s="222" t="s">
        <v>137</v>
      </c>
      <c r="I5" s="133">
        <v>1.3136000000000001</v>
      </c>
      <c r="J5" s="134">
        <v>0.14599999999999999</v>
      </c>
      <c r="K5" s="134">
        <f t="shared" si="0"/>
        <v>1.0216000000000001</v>
      </c>
      <c r="L5" s="134">
        <f t="shared" si="1"/>
        <v>1.6056000000000001</v>
      </c>
      <c r="M5" s="166"/>
      <c r="N5" s="166"/>
      <c r="O5" s="129"/>
      <c r="P5" s="84"/>
      <c r="Q5" s="3"/>
    </row>
    <row r="6" spans="2:17">
      <c r="B6" s="110" t="s">
        <v>149</v>
      </c>
      <c r="C6" s="137">
        <f>I17</f>
        <v>1.4277692307692307</v>
      </c>
      <c r="D6" s="223"/>
      <c r="E6" s="3"/>
      <c r="F6" s="68"/>
      <c r="G6" s="72" t="s">
        <v>124</v>
      </c>
      <c r="H6" s="222" t="s">
        <v>138</v>
      </c>
      <c r="I6" s="133">
        <v>0.93989999999999996</v>
      </c>
      <c r="J6" s="134">
        <v>0.15</v>
      </c>
      <c r="K6" s="134">
        <f t="shared" si="0"/>
        <v>0.63989999999999991</v>
      </c>
      <c r="L6" s="134">
        <f t="shared" si="1"/>
        <v>1.2399</v>
      </c>
      <c r="M6" s="166"/>
      <c r="N6" s="170"/>
      <c r="O6" s="128"/>
      <c r="P6" s="84"/>
      <c r="Q6" s="3"/>
    </row>
    <row r="7" spans="2:17">
      <c r="B7" s="3"/>
      <c r="C7" s="225"/>
      <c r="D7" s="223"/>
      <c r="E7" s="3"/>
      <c r="F7" s="68"/>
      <c r="G7" s="72" t="s">
        <v>125</v>
      </c>
      <c r="H7" s="222" t="s">
        <v>139</v>
      </c>
      <c r="I7" s="133">
        <v>2.2919999999999998</v>
      </c>
      <c r="J7" s="134">
        <v>0.214</v>
      </c>
      <c r="K7" s="134">
        <f>I7-(2*J7)</f>
        <v>1.8639999999999999</v>
      </c>
      <c r="L7" s="134">
        <f t="shared" si="1"/>
        <v>2.7199999999999998</v>
      </c>
      <c r="M7" s="166"/>
      <c r="N7" s="166"/>
      <c r="O7" s="67"/>
      <c r="P7" s="84"/>
      <c r="Q7" s="3"/>
    </row>
    <row r="8" spans="2:17">
      <c r="B8" s="132" t="s">
        <v>52</v>
      </c>
      <c r="D8" s="223"/>
      <c r="E8" s="3"/>
      <c r="F8" s="68"/>
      <c r="G8" s="72" t="s">
        <v>126</v>
      </c>
      <c r="H8" s="222" t="s">
        <v>140</v>
      </c>
      <c r="I8" s="133">
        <v>1.0359</v>
      </c>
      <c r="J8" s="134">
        <v>0.24199999999999999</v>
      </c>
      <c r="K8" s="134">
        <f t="shared" si="0"/>
        <v>0.55190000000000006</v>
      </c>
      <c r="L8" s="134">
        <f t="shared" si="1"/>
        <v>1.5199</v>
      </c>
      <c r="M8" s="166"/>
      <c r="N8" s="166"/>
      <c r="P8" s="84"/>
      <c r="Q8" s="3"/>
    </row>
    <row r="9" spans="2:17">
      <c r="B9" s="132" t="s">
        <v>89</v>
      </c>
      <c r="D9" s="6"/>
      <c r="E9" s="3"/>
      <c r="F9" s="68"/>
      <c r="G9" s="72" t="s">
        <v>127</v>
      </c>
      <c r="H9" s="222" t="s">
        <v>141</v>
      </c>
      <c r="I9" s="133">
        <v>1.5431999999999999</v>
      </c>
      <c r="J9" s="134">
        <v>0.42899999999999999</v>
      </c>
      <c r="K9" s="134">
        <f>I9-(2*J9)</f>
        <v>0.68519999999999992</v>
      </c>
      <c r="L9" s="134">
        <f>I9+(2*J9)</f>
        <v>2.4011999999999998</v>
      </c>
      <c r="M9" s="166"/>
      <c r="N9" s="166"/>
      <c r="O9" s="67"/>
      <c r="P9" s="84"/>
      <c r="Q9" s="3"/>
    </row>
    <row r="10" spans="2:17">
      <c r="B10" s="135" t="s">
        <v>90</v>
      </c>
      <c r="D10" s="6"/>
      <c r="E10" s="3"/>
      <c r="F10" s="68"/>
      <c r="G10" s="72" t="s">
        <v>128</v>
      </c>
      <c r="H10" s="72" t="s">
        <v>142</v>
      </c>
      <c r="I10" s="133">
        <v>1.4699</v>
      </c>
      <c r="J10" s="133">
        <v>0.308</v>
      </c>
      <c r="K10" s="134">
        <f t="shared" ref="K10:K16" si="2">I10-(2*J10)</f>
        <v>0.85389999999999999</v>
      </c>
      <c r="L10" s="134">
        <f t="shared" ref="L10:L16" si="3">I10+(2*J10)</f>
        <v>2.0859000000000001</v>
      </c>
      <c r="M10" s="3"/>
      <c r="N10" s="166"/>
      <c r="O10" s="128"/>
      <c r="P10" s="3"/>
      <c r="Q10" s="3"/>
    </row>
    <row r="11" spans="2:17">
      <c r="B11" s="81" t="s">
        <v>92</v>
      </c>
      <c r="D11" s="6"/>
      <c r="E11" s="3"/>
      <c r="F11" s="68"/>
      <c r="G11" s="72" t="s">
        <v>129</v>
      </c>
      <c r="H11" s="222" t="s">
        <v>143</v>
      </c>
      <c r="I11" s="133">
        <v>1.2505999999999999</v>
      </c>
      <c r="J11" s="133">
        <v>0.433</v>
      </c>
      <c r="K11" s="134">
        <f t="shared" si="2"/>
        <v>0.38459999999999994</v>
      </c>
      <c r="L11" s="134">
        <f t="shared" si="3"/>
        <v>2.1166</v>
      </c>
      <c r="M11" s="166"/>
      <c r="N11" s="166"/>
      <c r="O11" s="80"/>
      <c r="P11" s="89"/>
      <c r="Q11" s="3"/>
    </row>
    <row r="12" spans="2:17">
      <c r="C12" s="225"/>
      <c r="D12" s="6"/>
      <c r="E12" s="3"/>
      <c r="F12" s="68"/>
      <c r="G12" s="97" t="s">
        <v>130</v>
      </c>
      <c r="H12" s="97" t="s">
        <v>144</v>
      </c>
      <c r="I12" s="133">
        <v>1.5001</v>
      </c>
      <c r="J12" s="133">
        <v>0.20699999999999999</v>
      </c>
      <c r="K12" s="134">
        <f t="shared" si="2"/>
        <v>1.0861000000000001</v>
      </c>
      <c r="L12" s="134">
        <f t="shared" si="3"/>
        <v>1.9140999999999999</v>
      </c>
      <c r="M12" s="3"/>
      <c r="O12" s="63"/>
      <c r="P12" s="89"/>
      <c r="Q12" s="3"/>
    </row>
    <row r="13" spans="2:17">
      <c r="C13" s="3"/>
      <c r="D13" s="6"/>
      <c r="E13" s="3"/>
      <c r="F13" s="68"/>
      <c r="G13" s="72" t="s">
        <v>131</v>
      </c>
      <c r="H13" s="72" t="s">
        <v>145</v>
      </c>
      <c r="I13" s="133">
        <v>1.3968</v>
      </c>
      <c r="J13" s="133">
        <v>0.24299999999999999</v>
      </c>
      <c r="K13" s="134">
        <f t="shared" si="2"/>
        <v>0.91080000000000005</v>
      </c>
      <c r="L13" s="134">
        <f t="shared" si="3"/>
        <v>1.8828</v>
      </c>
      <c r="M13" s="3"/>
      <c r="N13" s="3"/>
      <c r="O13" s="3"/>
      <c r="P13" s="3"/>
      <c r="Q13" s="3"/>
    </row>
    <row r="14" spans="2:17">
      <c r="B14" s="45"/>
      <c r="D14" s="24"/>
      <c r="E14" s="47"/>
      <c r="F14" s="63"/>
      <c r="G14" s="97" t="s">
        <v>132</v>
      </c>
      <c r="H14" s="97" t="s">
        <v>146</v>
      </c>
      <c r="I14" s="133">
        <v>1.0834999999999999</v>
      </c>
      <c r="J14" s="133">
        <v>0.185</v>
      </c>
      <c r="K14" s="134">
        <f t="shared" si="2"/>
        <v>0.71349999999999991</v>
      </c>
      <c r="L14" s="134">
        <f t="shared" si="3"/>
        <v>1.4535</v>
      </c>
      <c r="M14" s="3"/>
      <c r="Q14" s="3"/>
    </row>
    <row r="15" spans="2:17">
      <c r="C15" s="135"/>
      <c r="D15" s="6"/>
      <c r="E15" s="47"/>
      <c r="F15" s="80"/>
      <c r="G15" s="228" t="s">
        <v>133</v>
      </c>
      <c r="H15" s="228" t="s">
        <v>147</v>
      </c>
      <c r="I15" s="133">
        <v>1.7401</v>
      </c>
      <c r="J15" s="133">
        <v>0.27300000000000002</v>
      </c>
      <c r="K15" s="134">
        <f t="shared" si="2"/>
        <v>1.1940999999999999</v>
      </c>
      <c r="L15" s="134">
        <f t="shared" si="3"/>
        <v>2.2861000000000002</v>
      </c>
      <c r="M15" s="226"/>
      <c r="N15" s="226"/>
      <c r="O15" s="3"/>
      <c r="P15" s="3"/>
      <c r="Q15" s="3"/>
    </row>
    <row r="16" spans="2:17">
      <c r="C16" s="135"/>
      <c r="D16" s="6"/>
      <c r="E16" s="47"/>
      <c r="F16" s="63"/>
      <c r="G16" s="56" t="s">
        <v>134</v>
      </c>
      <c r="H16" s="56" t="s">
        <v>148</v>
      </c>
      <c r="I16" s="133">
        <v>1.9285000000000001</v>
      </c>
      <c r="J16" s="133">
        <v>0.26200000000000001</v>
      </c>
      <c r="K16" s="134">
        <f t="shared" si="2"/>
        <v>1.4045000000000001</v>
      </c>
      <c r="L16" s="134">
        <f t="shared" si="3"/>
        <v>2.4525000000000001</v>
      </c>
      <c r="M16" s="3"/>
      <c r="N16" s="125"/>
      <c r="O16" s="122"/>
      <c r="P16" s="104"/>
      <c r="Q16" s="3"/>
    </row>
    <row r="17" spans="2:17">
      <c r="C17" s="45"/>
      <c r="D17" s="6"/>
      <c r="E17" s="47"/>
      <c r="F17" s="63"/>
      <c r="I17" s="224">
        <f>AVERAGE(I4:I16)</f>
        <v>1.4277692307692307</v>
      </c>
      <c r="M17" s="170"/>
      <c r="N17" s="3"/>
      <c r="O17" s="128"/>
      <c r="P17" s="84"/>
      <c r="Q17" s="3"/>
    </row>
    <row r="18" spans="2:17">
      <c r="C18" s="81"/>
      <c r="D18" s="6"/>
      <c r="E18" s="47"/>
      <c r="F18" s="63"/>
      <c r="N18" s="3"/>
      <c r="O18" s="128"/>
      <c r="P18" s="84"/>
      <c r="Q18" s="3"/>
    </row>
    <row r="19" spans="2:17">
      <c r="C19" s="3"/>
      <c r="D19" s="24"/>
      <c r="E19" s="120"/>
      <c r="F19" s="122"/>
      <c r="N19" s="166"/>
      <c r="O19" s="128"/>
      <c r="P19" s="84"/>
      <c r="Q19" s="3"/>
    </row>
    <row r="20" spans="2:17">
      <c r="C20" s="3"/>
      <c r="D20" s="6"/>
      <c r="E20" s="100"/>
      <c r="F20" s="123"/>
      <c r="G20" s="3"/>
      <c r="H20" s="3"/>
      <c r="I20" s="64"/>
      <c r="J20" s="3"/>
      <c r="K20" s="3"/>
      <c r="L20" s="3"/>
      <c r="M20" s="3"/>
      <c r="N20" s="169"/>
      <c r="O20" s="128"/>
      <c r="P20" s="84"/>
      <c r="Q20" s="3"/>
    </row>
    <row r="21" spans="2:17">
      <c r="C21" s="3"/>
      <c r="D21" s="6"/>
      <c r="E21" s="47"/>
      <c r="F21" s="64"/>
      <c r="N21" s="169"/>
      <c r="O21" s="67"/>
      <c r="P21" s="84"/>
      <c r="Q21" s="3"/>
    </row>
    <row r="22" spans="2:17">
      <c r="D22" s="6"/>
      <c r="E22" s="47"/>
      <c r="F22" s="3"/>
      <c r="N22" s="103"/>
      <c r="O22" s="67"/>
      <c r="P22" s="84"/>
      <c r="Q22" s="3"/>
    </row>
    <row r="23" spans="2:17">
      <c r="D23" s="24"/>
      <c r="E23" s="47"/>
      <c r="F23" s="3"/>
      <c r="O23" s="65"/>
      <c r="P23" s="3"/>
      <c r="Q23" s="3"/>
    </row>
    <row r="24" spans="2:17">
      <c r="E24" s="6"/>
      <c r="F24" s="64"/>
      <c r="O24" s="80"/>
      <c r="P24" s="89"/>
      <c r="Q24" s="3"/>
    </row>
    <row r="25" spans="2:17">
      <c r="E25" s="24"/>
      <c r="F25" s="46"/>
      <c r="O25" s="63"/>
      <c r="P25" s="89"/>
      <c r="Q25" s="3"/>
    </row>
    <row r="26" spans="2:17">
      <c r="E26" s="23"/>
      <c r="F26" s="126"/>
      <c r="O26" s="3"/>
      <c r="P26" s="3"/>
      <c r="Q26" s="3"/>
    </row>
    <row r="27" spans="2:17">
      <c r="C27" s="3"/>
      <c r="D27" s="8" t="s">
        <v>82</v>
      </c>
      <c r="E27" s="23"/>
      <c r="F27" s="126"/>
      <c r="O27" s="3"/>
      <c r="P27" s="3"/>
      <c r="Q27" s="3"/>
    </row>
    <row r="28" spans="2:17">
      <c r="C28" s="3"/>
      <c r="D28" s="3"/>
      <c r="E28" s="3"/>
      <c r="F28" s="64"/>
      <c r="N28" s="3"/>
      <c r="O28" s="3"/>
      <c r="P28" s="3"/>
      <c r="Q28" s="3"/>
    </row>
    <row r="29" spans="2:17">
      <c r="B29" s="3"/>
      <c r="C29" s="3"/>
      <c r="D29" s="3"/>
      <c r="E29" s="3"/>
      <c r="F29" s="64"/>
    </row>
    <row r="30" spans="2:17">
      <c r="D30" s="3"/>
      <c r="E30" s="3"/>
      <c r="F30" s="64"/>
    </row>
    <row r="31" spans="2:17">
      <c r="D31" s="3"/>
      <c r="E31" s="3"/>
      <c r="F31" s="64"/>
    </row>
    <row r="32" spans="2:17">
      <c r="D32" s="3"/>
      <c r="E32" s="3"/>
      <c r="F32" s="64"/>
    </row>
    <row r="33" spans="4:6">
      <c r="D33" s="3"/>
      <c r="E33" s="3"/>
      <c r="F33" s="64"/>
    </row>
  </sheetData>
  <mergeCells count="2">
    <mergeCell ref="G2:J2"/>
    <mergeCell ref="K2:L2"/>
  </mergeCells>
  <hyperlinks>
    <hyperlink ref="B11" r:id="rId1"/>
  </hyperlinks>
  <pageMargins left="0.7" right="0.7" top="0.75" bottom="0.75" header="0.3" footer="0.3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2"/>
  <sheetViews>
    <sheetView zoomScaleNormal="100" workbookViewId="0"/>
  </sheetViews>
  <sheetFormatPr defaultRowHeight="12"/>
  <cols>
    <col min="1" max="1" width="2" style="2" customWidth="1"/>
    <col min="2" max="2" width="27.28515625" style="2" customWidth="1"/>
    <col min="3" max="3" width="9.140625" style="2"/>
    <col min="4" max="4" width="10.28515625" style="2" customWidth="1"/>
    <col min="5" max="5" width="11.5703125" style="2" customWidth="1"/>
    <col min="6" max="6" width="11.5703125" style="2" bestFit="1" customWidth="1"/>
    <col min="7" max="16384" width="9.140625" style="2"/>
  </cols>
  <sheetData>
    <row r="1" spans="2:13" ht="15.75">
      <c r="B1" s="17" t="s">
        <v>4</v>
      </c>
    </row>
    <row r="3" spans="2:13">
      <c r="B3" s="110" t="s">
        <v>93</v>
      </c>
      <c r="C3" s="92">
        <f>'Risk Free Rate'!C3</f>
        <v>5.5759999999999997E-2</v>
      </c>
      <c r="D3" s="18"/>
      <c r="E3" s="18"/>
      <c r="F3" s="6"/>
      <c r="J3" s="9"/>
      <c r="K3" s="9"/>
      <c r="L3" s="9"/>
      <c r="M3" s="9"/>
    </row>
    <row r="4" spans="2:13">
      <c r="B4" s="110" t="s">
        <v>6</v>
      </c>
      <c r="C4" s="92">
        <f>'Equity Risk Premium'!F28</f>
        <v>3.9582042129261107E-2</v>
      </c>
      <c r="D4" s="42"/>
      <c r="E4" s="18"/>
      <c r="F4" s="24"/>
      <c r="G4" s="3"/>
    </row>
    <row r="5" spans="2:13">
      <c r="B5" s="110" t="s">
        <v>150</v>
      </c>
      <c r="C5" s="138">
        <f>Beta!C6</f>
        <v>1.4277692307692307</v>
      </c>
      <c r="D5" s="18"/>
      <c r="E5" s="42"/>
      <c r="F5" s="6"/>
    </row>
    <row r="6" spans="2:13">
      <c r="B6" s="19"/>
      <c r="C6" s="19"/>
      <c r="D6" s="18"/>
      <c r="E6" s="18"/>
      <c r="F6" s="6"/>
    </row>
    <row r="7" spans="2:13">
      <c r="B7" s="110" t="s">
        <v>4</v>
      </c>
      <c r="C7" s="54">
        <f>C3+C5*C4</f>
        <v>0.11227402184317041</v>
      </c>
      <c r="D7" s="18"/>
      <c r="E7" s="18"/>
      <c r="F7" s="6"/>
    </row>
    <row r="8" spans="2:13">
      <c r="B8" s="19"/>
      <c r="C8" s="19"/>
      <c r="D8" s="18"/>
      <c r="E8" s="18"/>
      <c r="F8" s="6"/>
    </row>
    <row r="9" spans="2:13">
      <c r="B9" s="139" t="s">
        <v>94</v>
      </c>
      <c r="C9" s="19"/>
      <c r="D9" s="18"/>
      <c r="E9" s="42"/>
      <c r="F9" s="6"/>
    </row>
    <row r="10" spans="2:13">
      <c r="F10" s="6"/>
    </row>
    <row r="11" spans="2:13">
      <c r="F11" s="6"/>
    </row>
    <row r="12" spans="2:13">
      <c r="F12" s="24"/>
    </row>
    <row r="13" spans="2:13" ht="15.75">
      <c r="B13" s="17"/>
      <c r="C13" s="3"/>
      <c r="D13" s="6"/>
      <c r="E13" s="6"/>
      <c r="F13" s="6"/>
    </row>
    <row r="14" spans="2:13">
      <c r="B14" s="3"/>
      <c r="C14" s="3"/>
      <c r="D14" s="6"/>
      <c r="E14" s="6"/>
      <c r="F14" s="6"/>
    </row>
    <row r="15" spans="2:13">
      <c r="B15" s="23"/>
      <c r="C15" s="83"/>
      <c r="D15" s="6"/>
      <c r="E15" s="6"/>
      <c r="F15" s="6"/>
    </row>
    <row r="16" spans="2:13">
      <c r="B16" s="23"/>
      <c r="C16" s="177"/>
      <c r="D16" s="6"/>
      <c r="E16" s="6"/>
      <c r="F16" s="24"/>
    </row>
    <row r="17" spans="2:12">
      <c r="B17" s="23"/>
      <c r="C17" s="76"/>
      <c r="D17" s="24"/>
      <c r="E17" s="24"/>
      <c r="F17" s="6"/>
    </row>
    <row r="18" spans="2:12">
      <c r="B18" s="213"/>
      <c r="C18" s="76"/>
      <c r="D18" s="6"/>
      <c r="E18" s="6"/>
      <c r="F18" s="6"/>
    </row>
    <row r="19" spans="2:12">
      <c r="C19" s="3"/>
      <c r="D19" s="6"/>
      <c r="E19" s="6"/>
      <c r="F19" s="6"/>
    </row>
    <row r="20" spans="2:12">
      <c r="B20" s="23"/>
      <c r="C20" s="57"/>
      <c r="D20" s="6"/>
      <c r="E20" s="6"/>
      <c r="F20" s="6"/>
    </row>
    <row r="21" spans="2:12">
      <c r="B21" s="23"/>
      <c r="C21" s="23"/>
      <c r="D21" s="24"/>
      <c r="E21" s="24"/>
      <c r="F21" s="24"/>
    </row>
    <row r="22" spans="2:12">
      <c r="B22" s="52"/>
      <c r="C22" s="3"/>
      <c r="D22" s="3"/>
      <c r="E22" s="3"/>
      <c r="F22" s="6"/>
      <c r="G22" s="141"/>
      <c r="H22" s="141"/>
      <c r="I22" s="141"/>
      <c r="J22" s="141"/>
      <c r="K22" s="141"/>
      <c r="L22" s="141"/>
    </row>
    <row r="23" spans="2:12">
      <c r="F23" s="6"/>
      <c r="G23" s="3"/>
      <c r="H23" s="65"/>
      <c r="I23" s="65"/>
      <c r="J23" s="65"/>
      <c r="K23" s="65"/>
      <c r="L23" s="65"/>
    </row>
    <row r="24" spans="2:12">
      <c r="B24" s="132"/>
      <c r="F24" s="6"/>
      <c r="G24" s="52"/>
      <c r="H24" s="45"/>
      <c r="I24" s="45"/>
      <c r="J24" s="45"/>
      <c r="K24" s="45"/>
      <c r="L24" s="45"/>
    </row>
    <row r="25" spans="2:12">
      <c r="B25" s="132"/>
      <c r="F25" s="24"/>
      <c r="G25" s="52"/>
      <c r="H25" s="45"/>
      <c r="I25" s="45"/>
      <c r="J25" s="45"/>
      <c r="K25" s="45"/>
      <c r="L25" s="45"/>
    </row>
    <row r="26" spans="2:12">
      <c r="B26" s="140"/>
      <c r="F26" s="3"/>
      <c r="G26" s="52"/>
      <c r="H26" s="45"/>
      <c r="I26" s="45"/>
      <c r="J26" s="45"/>
      <c r="K26" s="45"/>
      <c r="L26" s="45"/>
    </row>
    <row r="27" spans="2:12">
      <c r="B27" s="135"/>
      <c r="C27" s="3"/>
      <c r="D27" s="3"/>
      <c r="E27" s="3"/>
      <c r="F27" s="3"/>
      <c r="G27" s="52"/>
      <c r="H27" s="45"/>
      <c r="I27" s="45"/>
      <c r="J27" s="45"/>
      <c r="K27" s="45"/>
      <c r="L27" s="45"/>
    </row>
    <row r="28" spans="2:12">
      <c r="B28" s="45"/>
      <c r="C28" s="3"/>
      <c r="D28" s="3"/>
      <c r="E28" s="3"/>
      <c r="F28" s="3"/>
      <c r="G28" s="142"/>
      <c r="H28" s="142"/>
      <c r="I28" s="142"/>
      <c r="J28" s="142"/>
      <c r="K28" s="142"/>
      <c r="L28" s="23"/>
    </row>
    <row r="29" spans="2:12">
      <c r="B29" s="81"/>
      <c r="C29" s="3"/>
      <c r="D29" s="3"/>
      <c r="E29" s="3"/>
      <c r="F29" s="3"/>
    </row>
    <row r="30" spans="2:12">
      <c r="B30" s="3"/>
      <c r="C30" s="3"/>
      <c r="D30" s="3"/>
      <c r="E30" s="3"/>
      <c r="F30" s="3"/>
    </row>
    <row r="31" spans="2:12">
      <c r="B31" s="3"/>
      <c r="C31" s="3"/>
      <c r="D31" s="3"/>
      <c r="E31" s="3"/>
      <c r="F31" s="3"/>
    </row>
    <row r="32" spans="2:12">
      <c r="B32" s="3"/>
      <c r="C32" s="3"/>
      <c r="D32" s="3"/>
      <c r="E32" s="3"/>
      <c r="F32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1"/>
  <sheetViews>
    <sheetView workbookViewId="0"/>
  </sheetViews>
  <sheetFormatPr defaultRowHeight="12"/>
  <cols>
    <col min="1" max="1" width="2" style="1" customWidth="1"/>
    <col min="2" max="2" width="36" style="1" customWidth="1"/>
    <col min="3" max="16384" width="9.140625" style="1"/>
  </cols>
  <sheetData>
    <row r="1" spans="2:2" ht="41.25">
      <c r="B1" s="35" t="s">
        <v>166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8"/>
  <sheetViews>
    <sheetView workbookViewId="0"/>
  </sheetViews>
  <sheetFormatPr defaultRowHeight="12"/>
  <cols>
    <col min="1" max="1" width="2" style="145" customWidth="1"/>
    <col min="2" max="2" width="27.28515625" style="145" customWidth="1"/>
    <col min="3" max="3" width="14.140625" style="145" customWidth="1"/>
    <col min="4" max="5" width="12.7109375" style="145" bestFit="1" customWidth="1"/>
    <col min="6" max="6" width="6.42578125" style="145" customWidth="1"/>
    <col min="7" max="7" width="26.140625" style="145" customWidth="1"/>
    <col min="8" max="8" width="14.85546875" style="145" customWidth="1" collapsed="1"/>
    <col min="9" max="9" width="14.85546875" style="145" customWidth="1"/>
    <col min="10" max="14" width="13.7109375" style="145" bestFit="1" customWidth="1"/>
    <col min="15" max="15" width="8.7109375" style="145" customWidth="1"/>
    <col min="16" max="16" width="6.7109375" style="145" customWidth="1"/>
    <col min="17" max="17" width="8.28515625" style="145" customWidth="1"/>
    <col min="18" max="29" width="9.140625" style="145" customWidth="1"/>
    <col min="30" max="30" width="9.28515625" style="145" customWidth="1"/>
    <col min="31" max="31" width="9.42578125" style="145" customWidth="1"/>
    <col min="32" max="32" width="10" style="145" customWidth="1"/>
    <col min="33" max="33" width="11.42578125" style="145" customWidth="1"/>
    <col min="34" max="34" width="9.42578125" style="145" bestFit="1" customWidth="1" collapsed="1"/>
    <col min="35" max="16384" width="9.140625" style="145"/>
  </cols>
  <sheetData>
    <row r="1" spans="1:33" s="144" customFormat="1" ht="15" customHeight="1">
      <c r="B1" s="17" t="s">
        <v>157</v>
      </c>
      <c r="C1" s="17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33" ht="12" customHeight="1">
      <c r="D2" s="157"/>
    </row>
    <row r="3" spans="1:33" ht="12" customHeight="1">
      <c r="A3" s="14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67"/>
    </row>
    <row r="4" spans="1:33" ht="12" customHeight="1">
      <c r="A4" s="150"/>
      <c r="B4" s="256" t="s">
        <v>120</v>
      </c>
      <c r="C4" s="256"/>
      <c r="D4" s="256"/>
      <c r="E4" s="256"/>
      <c r="F4" s="141"/>
      <c r="G4" s="257" t="s">
        <v>159</v>
      </c>
      <c r="H4" s="257"/>
      <c r="I4" s="163"/>
      <c r="J4" s="163"/>
      <c r="K4" s="163"/>
      <c r="L4" s="163"/>
      <c r="O4" s="66"/>
      <c r="P4" s="148"/>
      <c r="R4" s="148"/>
      <c r="S4" s="148"/>
      <c r="T4" s="148"/>
      <c r="U4" s="148"/>
      <c r="V4" s="148"/>
      <c r="W4" s="148"/>
      <c r="AB4" s="148"/>
    </row>
    <row r="5" spans="1:33" ht="12" customHeight="1">
      <c r="A5" s="150"/>
      <c r="B5" s="49" t="s">
        <v>121</v>
      </c>
      <c r="C5" s="49" t="s">
        <v>84</v>
      </c>
      <c r="D5" s="130" t="s">
        <v>151</v>
      </c>
      <c r="E5" s="131" t="s">
        <v>158</v>
      </c>
      <c r="F5" s="227"/>
      <c r="G5" s="110" t="s">
        <v>93</v>
      </c>
      <c r="H5" s="92">
        <f>'Risk Free Rate'!C3</f>
        <v>5.5759999999999997E-2</v>
      </c>
      <c r="L5" s="158"/>
      <c r="O5" s="171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</row>
    <row r="6" spans="1:33" ht="12" customHeight="1">
      <c r="A6" s="150"/>
      <c r="B6" s="72" t="s">
        <v>122</v>
      </c>
      <c r="C6" s="72" t="s">
        <v>136</v>
      </c>
      <c r="D6" s="233">
        <v>0.1787</v>
      </c>
      <c r="E6" s="235">
        <v>0.16600000000000001</v>
      </c>
      <c r="F6" s="172"/>
      <c r="G6" s="110" t="s">
        <v>6</v>
      </c>
      <c r="H6" s="92">
        <f>'Equity Risk Premium'!F28</f>
        <v>3.9582042129261107E-2</v>
      </c>
      <c r="L6" s="158"/>
      <c r="O6" s="171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</row>
    <row r="7" spans="1:33" ht="12" customHeight="1">
      <c r="B7" s="72" t="s">
        <v>123</v>
      </c>
      <c r="C7" s="222" t="s">
        <v>137</v>
      </c>
      <c r="D7" s="74">
        <v>0.1472</v>
      </c>
      <c r="E7" s="209">
        <v>0.159</v>
      </c>
      <c r="F7" s="172"/>
      <c r="G7" s="110" t="s">
        <v>160</v>
      </c>
      <c r="H7" s="138">
        <f>Beta!I4</f>
        <v>1.0669</v>
      </c>
      <c r="I7" s="151" t="s">
        <v>101</v>
      </c>
      <c r="L7" s="158"/>
      <c r="O7" s="171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</row>
    <row r="8" spans="1:33" ht="12" customHeight="1">
      <c r="A8" s="150"/>
      <c r="B8" s="72" t="s">
        <v>124</v>
      </c>
      <c r="C8" s="222" t="s">
        <v>138</v>
      </c>
      <c r="D8" s="74">
        <v>0.223</v>
      </c>
      <c r="E8" s="209">
        <v>0.14199999999999999</v>
      </c>
      <c r="F8" s="172"/>
      <c r="G8" s="19"/>
      <c r="H8" s="19"/>
      <c r="O8" s="171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</row>
    <row r="9" spans="1:33" ht="12" customHeight="1">
      <c r="A9" s="150"/>
      <c r="B9" s="72" t="s">
        <v>125</v>
      </c>
      <c r="C9" s="222" t="s">
        <v>139</v>
      </c>
      <c r="D9" s="74">
        <v>0.16370000000000001</v>
      </c>
      <c r="E9" s="209">
        <v>0.106</v>
      </c>
      <c r="F9" s="172"/>
      <c r="G9" s="110" t="s">
        <v>4</v>
      </c>
      <c r="H9" s="54">
        <f>H5+H7*H6</f>
        <v>9.799008074770868E-2</v>
      </c>
      <c r="L9" s="176"/>
      <c r="O9" s="171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</row>
    <row r="10" spans="1:33">
      <c r="A10" s="147"/>
      <c r="B10" s="72" t="s">
        <v>126</v>
      </c>
      <c r="C10" s="222" t="s">
        <v>140</v>
      </c>
      <c r="D10" s="74">
        <v>0.18890000000000001</v>
      </c>
      <c r="E10" s="209">
        <v>7.4000000000000003E-3</v>
      </c>
      <c r="F10" s="172"/>
      <c r="L10" s="149"/>
      <c r="O10" s="171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</row>
    <row r="11" spans="1:33">
      <c r="A11" s="150"/>
      <c r="B11" s="72" t="s">
        <v>127</v>
      </c>
      <c r="C11" s="222" t="s">
        <v>141</v>
      </c>
      <c r="D11" s="74">
        <v>0.13059999999999999</v>
      </c>
      <c r="E11" s="209">
        <v>6.3200000000000006E-2</v>
      </c>
      <c r="F11" s="172"/>
      <c r="G11" s="23"/>
      <c r="H11" s="83"/>
      <c r="K11" s="152"/>
      <c r="L11" s="149"/>
      <c r="O11" s="171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</row>
    <row r="12" spans="1:33">
      <c r="B12" s="72" t="s">
        <v>128</v>
      </c>
      <c r="C12" s="72" t="s">
        <v>142</v>
      </c>
      <c r="D12" s="74">
        <v>0.215</v>
      </c>
      <c r="E12" s="209">
        <v>0.183</v>
      </c>
      <c r="F12" s="172"/>
      <c r="G12" s="23"/>
      <c r="H12" s="177"/>
      <c r="K12" s="159"/>
      <c r="L12" s="149"/>
      <c r="O12" s="171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</row>
    <row r="13" spans="1:33">
      <c r="A13" s="150"/>
      <c r="B13" s="72" t="s">
        <v>129</v>
      </c>
      <c r="C13" s="222" t="s">
        <v>143</v>
      </c>
      <c r="D13" s="74">
        <v>0.11600000000000001</v>
      </c>
      <c r="E13" s="209">
        <v>3.2099999999999997E-2</v>
      </c>
      <c r="F13" s="172"/>
      <c r="G13" s="23"/>
      <c r="H13" s="76"/>
      <c r="I13" s="151"/>
      <c r="K13" s="159"/>
      <c r="L13" s="149"/>
      <c r="O13" s="170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</row>
    <row r="14" spans="1:33">
      <c r="B14" s="97" t="s">
        <v>130</v>
      </c>
      <c r="C14" s="97" t="s">
        <v>144</v>
      </c>
      <c r="D14" s="74">
        <v>0.14430000000000001</v>
      </c>
      <c r="E14" s="209">
        <v>0.11</v>
      </c>
      <c r="F14" s="172"/>
      <c r="G14" s="23"/>
      <c r="H14" s="76"/>
      <c r="I14" s="151"/>
      <c r="K14" s="159"/>
      <c r="L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</row>
    <row r="15" spans="1:33">
      <c r="B15" s="72" t="s">
        <v>131</v>
      </c>
      <c r="C15" s="72" t="s">
        <v>145</v>
      </c>
      <c r="D15" s="74">
        <v>0.14879999999999999</v>
      </c>
      <c r="E15" s="209">
        <v>7.0000000000000001E-3</v>
      </c>
      <c r="F15" s="172"/>
      <c r="G15" s="3"/>
      <c r="H15" s="3"/>
      <c r="K15" s="159"/>
      <c r="L15" s="149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</row>
    <row r="16" spans="1:33">
      <c r="B16" s="97" t="s">
        <v>132</v>
      </c>
      <c r="C16" s="97" t="s">
        <v>146</v>
      </c>
      <c r="D16" s="74">
        <v>0.1845</v>
      </c>
      <c r="E16" s="209">
        <v>0.13</v>
      </c>
      <c r="F16" s="172"/>
      <c r="G16" s="23"/>
      <c r="H16" s="57"/>
      <c r="K16" s="159"/>
      <c r="L16" s="149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</row>
    <row r="17" spans="1:35">
      <c r="B17" s="228" t="s">
        <v>133</v>
      </c>
      <c r="C17" s="228" t="s">
        <v>147</v>
      </c>
      <c r="D17" s="74">
        <v>0.16639999999999999</v>
      </c>
      <c r="E17" s="209">
        <v>-1.3100000000000001E-2</v>
      </c>
      <c r="F17" s="172"/>
      <c r="K17" s="159"/>
      <c r="L17" s="149"/>
      <c r="O17" s="66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</row>
    <row r="18" spans="1:35">
      <c r="A18" s="150"/>
      <c r="B18" s="56" t="s">
        <v>134</v>
      </c>
      <c r="C18" s="56" t="s">
        <v>148</v>
      </c>
      <c r="D18" s="74">
        <v>0.1676</v>
      </c>
      <c r="E18" s="209">
        <v>9.2399999999999996E-2</v>
      </c>
      <c r="F18" s="172"/>
      <c r="G18" s="147"/>
      <c r="H18" s="20"/>
      <c r="K18" s="159"/>
      <c r="L18" s="149"/>
      <c r="O18" s="172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</row>
    <row r="19" spans="1:35">
      <c r="B19" s="2"/>
      <c r="C19" s="2"/>
      <c r="D19" s="234">
        <f>AVERAGE(D6:D18)</f>
        <v>0.16728461538461542</v>
      </c>
      <c r="E19" s="234">
        <f>AVERAGE(E6:E18)</f>
        <v>9.1153846153846155E-2</v>
      </c>
      <c r="F19" s="2"/>
      <c r="G19" s="147"/>
      <c r="H19" s="179"/>
      <c r="K19" s="159"/>
      <c r="L19" s="149"/>
      <c r="O19" s="172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  <c r="AG19" s="149"/>
    </row>
    <row r="20" spans="1:35">
      <c r="A20" s="150"/>
      <c r="B20" s="182"/>
      <c r="C20" s="182"/>
      <c r="D20" s="175"/>
      <c r="E20" s="236">
        <f>AVERAGE(E6:E9)</f>
        <v>0.14324999999999999</v>
      </c>
      <c r="F20" s="175"/>
      <c r="G20" s="147"/>
      <c r="H20" s="76"/>
      <c r="K20" s="161"/>
      <c r="L20" s="149"/>
      <c r="O20" s="172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  <c r="AG20" s="149"/>
    </row>
    <row r="21" spans="1:35">
      <c r="B21" s="182"/>
      <c r="C21" s="182"/>
      <c r="D21" s="175"/>
      <c r="E21" s="181"/>
      <c r="F21" s="175"/>
      <c r="G21" s="175"/>
      <c r="H21" s="118"/>
      <c r="I21" s="119"/>
      <c r="J21" s="119"/>
      <c r="K21" s="173"/>
      <c r="L21" s="174"/>
      <c r="M21" s="174"/>
      <c r="N21" s="174"/>
      <c r="O21" s="174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</row>
    <row r="22" spans="1:35">
      <c r="B22" s="182"/>
      <c r="C22" s="182"/>
      <c r="D22" s="175"/>
      <c r="E22" s="181"/>
      <c r="F22" s="175"/>
      <c r="G22" s="175"/>
      <c r="H22" s="118"/>
      <c r="I22" s="119"/>
      <c r="J22" s="119"/>
      <c r="K22" s="168"/>
      <c r="L22" s="169"/>
      <c r="M22" s="169"/>
      <c r="N22" s="169"/>
      <c r="O22" s="16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</row>
    <row r="23" spans="1:35">
      <c r="B23" s="182"/>
      <c r="C23" s="182"/>
      <c r="D23" s="175"/>
      <c r="E23" s="181"/>
      <c r="F23" s="175"/>
      <c r="G23" s="175"/>
      <c r="H23" s="118"/>
      <c r="I23" s="119"/>
      <c r="J23" s="119"/>
      <c r="K23" s="118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49"/>
      <c r="AD23" s="149"/>
      <c r="AE23" s="149"/>
      <c r="AF23" s="149"/>
      <c r="AG23" s="149"/>
      <c r="AH23" s="149"/>
      <c r="AI23" s="149"/>
    </row>
    <row r="24" spans="1:35">
      <c r="B24" s="182"/>
      <c r="C24" s="182"/>
      <c r="D24" s="175"/>
      <c r="E24" s="181"/>
      <c r="F24" s="175"/>
      <c r="G24" s="175"/>
      <c r="H24" s="118"/>
      <c r="I24" s="119"/>
      <c r="J24" s="119"/>
      <c r="K24" s="118"/>
      <c r="L24" s="149"/>
      <c r="M24" s="149"/>
      <c r="N24" s="149"/>
      <c r="O24" s="215"/>
      <c r="P24" s="80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</row>
    <row r="25" spans="1:35">
      <c r="B25" s="182"/>
      <c r="C25" s="182"/>
      <c r="D25" s="175"/>
      <c r="E25" s="181"/>
      <c r="F25" s="175"/>
      <c r="G25" s="175"/>
      <c r="H25" s="118"/>
      <c r="I25" s="119"/>
      <c r="J25" s="119"/>
      <c r="K25" s="118"/>
      <c r="L25" s="149"/>
      <c r="M25" s="149"/>
      <c r="N25" s="149"/>
      <c r="O25" s="216"/>
      <c r="P25" s="153"/>
      <c r="Q25" s="149"/>
      <c r="R25" s="149"/>
      <c r="S25" s="149"/>
      <c r="T25" s="149"/>
      <c r="U25" s="149"/>
      <c r="V25" s="149"/>
      <c r="W25" s="149"/>
      <c r="X25" s="149"/>
      <c r="Y25" s="149"/>
      <c r="Z25" s="149"/>
      <c r="AA25" s="149"/>
      <c r="AB25" s="149"/>
      <c r="AC25" s="149"/>
      <c r="AD25" s="149"/>
      <c r="AE25" s="149"/>
      <c r="AF25" s="149"/>
      <c r="AG25" s="149"/>
      <c r="AH25" s="149"/>
      <c r="AI25" s="149"/>
    </row>
    <row r="26" spans="1:35">
      <c r="B26" s="182"/>
      <c r="C26" s="182"/>
      <c r="D26" s="175"/>
      <c r="E26" s="181"/>
      <c r="F26" s="175"/>
      <c r="G26" s="175"/>
      <c r="H26" s="118"/>
      <c r="I26" s="119"/>
      <c r="J26" s="119"/>
      <c r="K26" s="118"/>
      <c r="L26" s="149"/>
      <c r="M26" s="149"/>
      <c r="N26" s="149"/>
      <c r="O26" s="217"/>
      <c r="P26" s="153"/>
      <c r="Q26" s="149"/>
      <c r="R26" s="149"/>
      <c r="S26" s="149"/>
      <c r="T26" s="149"/>
      <c r="U26" s="149"/>
      <c r="V26" s="149"/>
      <c r="W26" s="149"/>
      <c r="X26" s="149"/>
      <c r="Y26" s="149"/>
      <c r="Z26" s="149"/>
      <c r="AA26" s="149"/>
      <c r="AB26" s="149"/>
      <c r="AC26" s="149"/>
      <c r="AD26" s="149"/>
      <c r="AE26" s="149"/>
      <c r="AF26" s="149"/>
      <c r="AG26" s="149"/>
      <c r="AH26" s="149"/>
      <c r="AI26" s="149"/>
    </row>
    <row r="27" spans="1:35">
      <c r="B27" s="182"/>
      <c r="C27" s="182"/>
      <c r="D27" s="175"/>
      <c r="E27" s="181"/>
      <c r="F27" s="175"/>
      <c r="G27" s="175"/>
      <c r="H27" s="118"/>
      <c r="I27" s="119"/>
      <c r="J27" s="119"/>
      <c r="K27" s="118"/>
      <c r="L27" s="149"/>
      <c r="M27" s="149"/>
      <c r="N27" s="149"/>
      <c r="O27" s="217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</row>
    <row r="28" spans="1:35">
      <c r="B28" s="182"/>
      <c r="C28" s="182"/>
      <c r="D28" s="175"/>
      <c r="E28" s="181"/>
      <c r="F28" s="175"/>
      <c r="G28" s="175"/>
      <c r="H28" s="118"/>
      <c r="I28" s="119"/>
      <c r="J28" s="119"/>
      <c r="K28" s="162"/>
      <c r="L28" s="149"/>
      <c r="M28" s="149"/>
      <c r="N28" s="149"/>
      <c r="O28" s="218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149"/>
      <c r="AG28" s="149"/>
      <c r="AH28" s="149"/>
      <c r="AI28" s="149"/>
    </row>
    <row r="29" spans="1:35">
      <c r="F29" s="175"/>
      <c r="L29" s="149"/>
      <c r="M29" s="149"/>
      <c r="N29" s="149"/>
      <c r="O29" s="218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</row>
    <row r="30" spans="1:35" ht="14.25" customHeight="1">
      <c r="K30" s="126"/>
      <c r="L30" s="149"/>
      <c r="M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</row>
    <row r="31" spans="1:35">
      <c r="H31" s="149"/>
      <c r="I31" s="149"/>
      <c r="J31" s="149"/>
      <c r="K31" s="149"/>
      <c r="L31" s="149"/>
      <c r="M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</row>
    <row r="32" spans="1:35"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</row>
    <row r="33" spans="8:35"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  <c r="AG33" s="149"/>
      <c r="AH33" s="149"/>
      <c r="AI33" s="149"/>
    </row>
    <row r="34" spans="8:35"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49"/>
      <c r="AD34" s="149"/>
      <c r="AE34" s="149"/>
      <c r="AF34" s="149"/>
      <c r="AG34" s="149"/>
      <c r="AH34" s="149"/>
      <c r="AI34" s="149"/>
    </row>
    <row r="35" spans="8:35"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</row>
    <row r="36" spans="8:35"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</row>
    <row r="37" spans="8:35"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</row>
    <row r="38" spans="8:35"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149"/>
    </row>
  </sheetData>
  <mergeCells count="2">
    <mergeCell ref="B4:E4"/>
    <mergeCell ref="G4:H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8"/>
  <sheetViews>
    <sheetView zoomScaleNormal="100" workbookViewId="0"/>
  </sheetViews>
  <sheetFormatPr defaultRowHeight="12"/>
  <cols>
    <col min="1" max="1" width="2" style="145" customWidth="1"/>
    <col min="2" max="2" width="9" style="145" customWidth="1"/>
    <col min="3" max="3" width="14.85546875" style="145" customWidth="1"/>
    <col min="4" max="4" width="15.85546875" style="145" customWidth="1"/>
    <col min="5" max="5" width="15.140625" style="145" customWidth="1"/>
    <col min="6" max="7" width="15.42578125" style="145" customWidth="1"/>
    <col min="8" max="8" width="12" style="145" customWidth="1" collapsed="1"/>
    <col min="9" max="11" width="13.7109375" style="145" bestFit="1" customWidth="1"/>
    <col min="12" max="12" width="10.85546875" style="145" customWidth="1"/>
    <col min="13" max="14" width="13.7109375" style="145" bestFit="1" customWidth="1"/>
    <col min="15" max="15" width="8.7109375" style="145" customWidth="1"/>
    <col min="16" max="16" width="6.7109375" style="145" customWidth="1"/>
    <col min="17" max="17" width="8.28515625" style="145" customWidth="1"/>
    <col min="18" max="29" width="9.140625" style="145" customWidth="1"/>
    <col min="30" max="30" width="9.28515625" style="145" customWidth="1"/>
    <col min="31" max="31" width="9.42578125" style="145" customWidth="1"/>
    <col min="32" max="32" width="10" style="145" customWidth="1"/>
    <col min="33" max="33" width="11.42578125" style="145" customWidth="1"/>
    <col min="34" max="34" width="9.42578125" style="145" bestFit="1" customWidth="1" collapsed="1"/>
    <col min="35" max="16384" width="9.140625" style="145"/>
  </cols>
  <sheetData>
    <row r="1" spans="1:33" s="144" customFormat="1" ht="15" customHeight="1">
      <c r="B1" s="17" t="s">
        <v>98</v>
      </c>
      <c r="C1" s="17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33" ht="12" customHeight="1">
      <c r="D2" s="157"/>
    </row>
    <row r="3" spans="1:33" ht="12" customHeight="1">
      <c r="A3" s="146"/>
      <c r="B3" s="203"/>
      <c r="C3" s="240" t="s">
        <v>165</v>
      </c>
      <c r="D3" s="165" t="s">
        <v>156</v>
      </c>
      <c r="E3" s="240" t="s">
        <v>163</v>
      </c>
      <c r="F3" s="240" t="s">
        <v>151</v>
      </c>
      <c r="G3" s="241" t="s">
        <v>164</v>
      </c>
      <c r="H3" s="141"/>
      <c r="I3" s="141"/>
      <c r="J3" s="141"/>
      <c r="K3" s="141"/>
      <c r="L3" s="141"/>
      <c r="M3" s="141"/>
      <c r="N3" s="141"/>
      <c r="O3" s="167"/>
    </row>
    <row r="4" spans="1:33" ht="12" customHeight="1">
      <c r="A4" s="150"/>
      <c r="B4" s="210" t="s">
        <v>162</v>
      </c>
      <c r="C4" s="246">
        <v>721356.26</v>
      </c>
      <c r="D4" s="247"/>
      <c r="E4" s="248">
        <v>0.16339999999999999</v>
      </c>
      <c r="F4" s="246">
        <f t="shared" ref="F4:F15" si="0">C4*E4</f>
        <v>117869.61288399999</v>
      </c>
      <c r="G4" s="249"/>
      <c r="H4" s="229"/>
      <c r="I4" s="230"/>
      <c r="J4" s="65"/>
      <c r="K4" s="65"/>
      <c r="L4" s="65"/>
      <c r="M4" s="65"/>
      <c r="N4" s="214"/>
      <c r="O4" s="66"/>
      <c r="P4" s="148"/>
      <c r="R4" s="148"/>
      <c r="S4" s="148"/>
      <c r="T4" s="148"/>
      <c r="U4" s="148"/>
      <c r="V4" s="148"/>
      <c r="W4" s="148"/>
      <c r="AB4" s="148"/>
    </row>
    <row r="5" spans="1:33" ht="12" customHeight="1">
      <c r="A5" s="150"/>
      <c r="B5" s="242">
        <v>1</v>
      </c>
      <c r="C5" s="178">
        <f t="shared" ref="C5:C15" si="1">C4*(1+D5)</f>
        <v>793491.88600000006</v>
      </c>
      <c r="D5" s="160">
        <v>0.1</v>
      </c>
      <c r="E5" s="160">
        <f>AVERAGE(E4,E6)</f>
        <v>0.16370348557692307</v>
      </c>
      <c r="F5" s="178">
        <f t="shared" si="0"/>
        <v>129897.3875152065</v>
      </c>
      <c r="G5" s="208">
        <f t="shared" ref="G5:G15" si="2">F5-F4</f>
        <v>12027.774631206514</v>
      </c>
      <c r="H5" s="75"/>
      <c r="I5" s="231"/>
      <c r="J5" s="231"/>
      <c r="K5" s="231"/>
      <c r="L5" s="231"/>
      <c r="M5" s="231"/>
      <c r="N5" s="231"/>
      <c r="O5" s="171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</row>
    <row r="6" spans="1:33" ht="12" customHeight="1">
      <c r="A6" s="150"/>
      <c r="B6" s="242">
        <v>2</v>
      </c>
      <c r="C6" s="178">
        <f t="shared" si="1"/>
        <v>872841.07460000017</v>
      </c>
      <c r="D6" s="160">
        <v>0.1</v>
      </c>
      <c r="E6" s="160">
        <f>AVERAGE(E4,E8)</f>
        <v>0.16400697115384616</v>
      </c>
      <c r="F6" s="178">
        <f t="shared" si="0"/>
        <v>143152.02094381431</v>
      </c>
      <c r="G6" s="208">
        <f t="shared" si="2"/>
        <v>13254.633428607805</v>
      </c>
      <c r="H6" s="75"/>
      <c r="I6" s="159"/>
      <c r="J6" s="159"/>
      <c r="K6" s="159"/>
      <c r="L6" s="159"/>
      <c r="M6" s="159"/>
      <c r="N6" s="159"/>
      <c r="O6" s="171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</row>
    <row r="7" spans="1:33" ht="12" customHeight="1">
      <c r="B7" s="180">
        <v>3</v>
      </c>
      <c r="C7" s="178">
        <f t="shared" si="1"/>
        <v>960125.18206000025</v>
      </c>
      <c r="D7" s="160">
        <v>0.1</v>
      </c>
      <c r="E7" s="160">
        <f>AVERAGE(E4,E10)</f>
        <v>0.16437115384615386</v>
      </c>
      <c r="F7" s="178">
        <f t="shared" si="0"/>
        <v>157816.88401195078</v>
      </c>
      <c r="G7" s="208">
        <f t="shared" si="2"/>
        <v>14664.863068136474</v>
      </c>
      <c r="H7" s="75"/>
      <c r="I7" s="159"/>
      <c r="J7" s="159"/>
      <c r="K7" s="159"/>
      <c r="L7" s="159"/>
      <c r="M7" s="159"/>
      <c r="N7" s="159"/>
      <c r="O7" s="171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</row>
    <row r="8" spans="1:33" ht="12" customHeight="1">
      <c r="A8" s="150"/>
      <c r="B8" s="130">
        <v>4</v>
      </c>
      <c r="C8" s="178">
        <f t="shared" si="1"/>
        <v>1036935.1966248003</v>
      </c>
      <c r="D8" s="160">
        <v>0.08</v>
      </c>
      <c r="E8" s="160">
        <f>AVERAGE(E7,E9)</f>
        <v>0.16461394230769233</v>
      </c>
      <c r="F8" s="178">
        <f t="shared" si="0"/>
        <v>170693.99063401049</v>
      </c>
      <c r="G8" s="208">
        <f t="shared" si="2"/>
        <v>12877.106622059713</v>
      </c>
      <c r="H8" s="75"/>
      <c r="I8" s="231"/>
      <c r="J8" s="231"/>
      <c r="K8" s="231"/>
      <c r="L8" s="231"/>
      <c r="M8" s="231"/>
      <c r="N8" s="231"/>
      <c r="O8" s="171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</row>
    <row r="9" spans="1:33" ht="12" customHeight="1">
      <c r="A9" s="150"/>
      <c r="B9" s="243">
        <v>5</v>
      </c>
      <c r="C9" s="178">
        <f t="shared" si="1"/>
        <v>1119890.0123547844</v>
      </c>
      <c r="D9" s="160">
        <v>0.08</v>
      </c>
      <c r="E9" s="160">
        <f>AVERAGE(E7,E10)</f>
        <v>0.1648567307692308</v>
      </c>
      <c r="F9" s="178">
        <f t="shared" si="0"/>
        <v>184621.40625792326</v>
      </c>
      <c r="G9" s="208">
        <f t="shared" si="2"/>
        <v>13927.415623912762</v>
      </c>
      <c r="H9" s="75"/>
      <c r="I9" s="232"/>
      <c r="J9" s="232"/>
      <c r="K9" s="232"/>
      <c r="L9" s="232"/>
      <c r="M9" s="232"/>
      <c r="N9" s="232"/>
      <c r="O9" s="171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</row>
    <row r="10" spans="1:33">
      <c r="A10" s="147"/>
      <c r="B10" s="244">
        <v>6</v>
      </c>
      <c r="C10" s="178">
        <f t="shared" si="1"/>
        <v>1187083.4130960715</v>
      </c>
      <c r="D10" s="160">
        <v>0.06</v>
      </c>
      <c r="E10" s="160">
        <f>AVERAGE(E4,E14)</f>
        <v>0.16534230769230771</v>
      </c>
      <c r="F10" s="178">
        <f t="shared" si="0"/>
        <v>196275.11094456547</v>
      </c>
      <c r="G10" s="208">
        <f t="shared" si="2"/>
        <v>11653.704686642217</v>
      </c>
      <c r="H10" s="75"/>
      <c r="I10" s="231"/>
      <c r="J10" s="231"/>
      <c r="K10" s="231"/>
      <c r="L10" s="231"/>
      <c r="M10" s="231"/>
      <c r="N10" s="231"/>
      <c r="O10" s="171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</row>
    <row r="11" spans="1:33">
      <c r="A11" s="150"/>
      <c r="B11" s="242">
        <v>7</v>
      </c>
      <c r="C11" s="178">
        <f t="shared" si="1"/>
        <v>1258308.4178818357</v>
      </c>
      <c r="D11" s="160">
        <v>0.06</v>
      </c>
      <c r="E11" s="160">
        <f>AVERAGE(E10,E12)</f>
        <v>0.16582788461538461</v>
      </c>
      <c r="F11" s="178">
        <f t="shared" si="0"/>
        <v>208662.62313107622</v>
      </c>
      <c r="G11" s="208">
        <f t="shared" si="2"/>
        <v>12387.51218651075</v>
      </c>
      <c r="H11" s="75"/>
      <c r="O11" s="171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</row>
    <row r="12" spans="1:33">
      <c r="B12" s="242">
        <v>8</v>
      </c>
      <c r="C12" s="178">
        <f t="shared" si="1"/>
        <v>1328471.6952629269</v>
      </c>
      <c r="D12" s="160">
        <f>'Risk Free Rate'!$C$3</f>
        <v>5.5759999999999997E-2</v>
      </c>
      <c r="E12" s="160">
        <f>AVERAGE(E10,E14)</f>
        <v>0.16631346153846155</v>
      </c>
      <c r="F12" s="178">
        <f t="shared" si="0"/>
        <v>220942.7261950456</v>
      </c>
      <c r="G12" s="208">
        <f t="shared" si="2"/>
        <v>12280.103063969378</v>
      </c>
      <c r="H12" s="75"/>
      <c r="I12" s="76"/>
      <c r="J12" s="76"/>
      <c r="K12" s="76"/>
      <c r="L12" s="76"/>
      <c r="M12" s="76"/>
      <c r="N12" s="76"/>
      <c r="O12" s="171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</row>
    <row r="13" spans="1:33">
      <c r="A13" s="150"/>
      <c r="B13" s="242">
        <v>9</v>
      </c>
      <c r="C13" s="178">
        <f t="shared" si="1"/>
        <v>1402547.2769907876</v>
      </c>
      <c r="D13" s="160">
        <f>'Risk Free Rate'!$C$3</f>
        <v>5.5759999999999997E-2</v>
      </c>
      <c r="E13" s="160">
        <f>AVERAGE(E12,E14)</f>
        <v>0.16679903846153848</v>
      </c>
      <c r="F13" s="178">
        <f t="shared" si="0"/>
        <v>233943.53719891244</v>
      </c>
      <c r="G13" s="208">
        <f t="shared" si="2"/>
        <v>13000.811003866838</v>
      </c>
      <c r="H13" s="75"/>
      <c r="I13" s="158"/>
      <c r="J13" s="158"/>
      <c r="K13" s="158"/>
      <c r="L13" s="158"/>
      <c r="M13" s="158"/>
      <c r="N13" s="158"/>
      <c r="O13" s="170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</row>
    <row r="14" spans="1:33">
      <c r="A14" s="150"/>
      <c r="B14" s="242">
        <v>10</v>
      </c>
      <c r="C14" s="178">
        <f t="shared" si="1"/>
        <v>1480753.3131557941</v>
      </c>
      <c r="D14" s="160">
        <f>'Risk Free Rate'!$C$3</f>
        <v>5.5759999999999997E-2</v>
      </c>
      <c r="E14" s="160">
        <f>'Industry Numbers'!$D$19</f>
        <v>0.16728461538461542</v>
      </c>
      <c r="F14" s="178">
        <f t="shared" si="0"/>
        <v>247707.24847076199</v>
      </c>
      <c r="G14" s="208">
        <f t="shared" si="2"/>
        <v>13763.711271849548</v>
      </c>
      <c r="H14" s="75"/>
      <c r="I14" s="239"/>
      <c r="J14" s="239"/>
      <c r="K14" s="239"/>
      <c r="L14" s="239"/>
      <c r="M14" s="239"/>
      <c r="N14" s="23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</row>
    <row r="15" spans="1:33">
      <c r="B15" s="245" t="s">
        <v>112</v>
      </c>
      <c r="C15" s="178">
        <f t="shared" si="1"/>
        <v>1563320.1178973613</v>
      </c>
      <c r="D15" s="160">
        <f>'Risk Free Rate'!$C$3</f>
        <v>5.5759999999999997E-2</v>
      </c>
      <c r="E15" s="160">
        <f>'Industry Numbers'!$D$19</f>
        <v>0.16728461538461542</v>
      </c>
      <c r="F15" s="178">
        <f t="shared" si="0"/>
        <v>261519.40464549171</v>
      </c>
      <c r="G15" s="208">
        <f t="shared" si="2"/>
        <v>13812.156174729724</v>
      </c>
      <c r="H15" s="75"/>
      <c r="I15" s="158"/>
      <c r="J15" s="158"/>
      <c r="K15" s="158"/>
      <c r="L15" s="158"/>
      <c r="M15" s="158"/>
      <c r="N15" s="158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</row>
    <row r="16" spans="1:33">
      <c r="H16" s="238"/>
      <c r="I16" s="238"/>
      <c r="J16" s="238"/>
      <c r="K16" s="238"/>
      <c r="L16" s="238"/>
      <c r="M16" s="238"/>
      <c r="N16" s="238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</row>
    <row r="17" spans="1:35">
      <c r="B17" s="203"/>
      <c r="C17" s="240" t="s">
        <v>152</v>
      </c>
      <c r="D17" s="240" t="s">
        <v>153</v>
      </c>
      <c r="E17" s="240" t="s">
        <v>154</v>
      </c>
      <c r="F17" s="240" t="s">
        <v>97</v>
      </c>
      <c r="G17" s="73" t="s">
        <v>155</v>
      </c>
      <c r="H17" s="239"/>
      <c r="I17" s="239"/>
      <c r="J17" s="239"/>
      <c r="K17" s="239"/>
      <c r="L17" s="239"/>
      <c r="M17" s="239"/>
      <c r="N17" s="144"/>
      <c r="O17" s="66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</row>
    <row r="18" spans="1:35">
      <c r="A18" s="150"/>
      <c r="B18" s="210" t="s">
        <v>162</v>
      </c>
      <c r="C18" s="246">
        <v>118109.89</v>
      </c>
      <c r="D18" s="250">
        <f>0.1199250698</f>
        <v>0.11992506980000001</v>
      </c>
      <c r="E18" s="251">
        <f t="shared" ref="E18:E29" si="3">C18*D18</f>
        <v>14164.336802320322</v>
      </c>
      <c r="F18" s="252"/>
      <c r="G18" s="253"/>
      <c r="O18" s="172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</row>
    <row r="19" spans="1:35">
      <c r="B19" s="242">
        <v>1</v>
      </c>
      <c r="C19" s="178">
        <f t="shared" ref="C19:C29" si="4">C18+G5</f>
        <v>130137.66463120651</v>
      </c>
      <c r="D19" s="136">
        <f>AVERAGE(D18,D21)</f>
        <v>0.12284068607500001</v>
      </c>
      <c r="E19" s="185">
        <f>C19*D19</f>
        <v>15986.20000749567</v>
      </c>
      <c r="F19" s="237">
        <f t="shared" ref="F19:F29" si="5">G5</f>
        <v>12027.774631206514</v>
      </c>
      <c r="G19" s="154">
        <f>E19-F19</f>
        <v>3958.4253762891567</v>
      </c>
      <c r="O19" s="172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  <c r="AG19" s="149"/>
    </row>
    <row r="20" spans="1:35">
      <c r="A20" s="3"/>
      <c r="B20" s="242">
        <v>2</v>
      </c>
      <c r="C20" s="178">
        <f t="shared" si="4"/>
        <v>143392.29805981432</v>
      </c>
      <c r="D20" s="136">
        <f>AVERAGE(D19,D21)</f>
        <v>0.12429849421250001</v>
      </c>
      <c r="E20" s="185">
        <f t="shared" si="3"/>
        <v>17823.446730504907</v>
      </c>
      <c r="F20" s="237">
        <f t="shared" si="5"/>
        <v>13254.633428607805</v>
      </c>
      <c r="G20" s="154">
        <f t="shared" ref="G20:G29" si="6">E20-F20</f>
        <v>4568.8133018971021</v>
      </c>
      <c r="O20" s="172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  <c r="AG20" s="149"/>
    </row>
    <row r="21" spans="1:35">
      <c r="A21" s="3"/>
      <c r="B21" s="180">
        <v>3</v>
      </c>
      <c r="C21" s="178">
        <f t="shared" si="4"/>
        <v>158057.16112795079</v>
      </c>
      <c r="D21" s="136">
        <f>AVERAGE(D18,D23)</f>
        <v>0.12575630235000002</v>
      </c>
      <c r="E21" s="185">
        <f t="shared" si="3"/>
        <v>19876.684143389248</v>
      </c>
      <c r="F21" s="237">
        <f t="shared" si="5"/>
        <v>14664.863068136474</v>
      </c>
      <c r="G21" s="154">
        <f t="shared" si="6"/>
        <v>5211.8210752527739</v>
      </c>
      <c r="O21" s="174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</row>
    <row r="22" spans="1:35">
      <c r="A22" s="25"/>
      <c r="B22" s="130">
        <v>4</v>
      </c>
      <c r="C22" s="178">
        <f t="shared" si="4"/>
        <v>170934.26775001051</v>
      </c>
      <c r="D22" s="136">
        <f>AVERAGE(D21,D23)</f>
        <v>0.12867191862499999</v>
      </c>
      <c r="E22" s="185">
        <f t="shared" si="3"/>
        <v>21994.440190153313</v>
      </c>
      <c r="F22" s="237">
        <f t="shared" si="5"/>
        <v>12877.106622059713</v>
      </c>
      <c r="G22" s="154">
        <f t="shared" si="6"/>
        <v>9117.3335680935998</v>
      </c>
      <c r="O22" s="16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</row>
    <row r="23" spans="1:35">
      <c r="A23" s="8"/>
      <c r="B23" s="243">
        <v>5</v>
      </c>
      <c r="C23" s="178">
        <f t="shared" si="4"/>
        <v>184861.68337392327</v>
      </c>
      <c r="D23" s="136">
        <f>AVERAGE(D28,D18)</f>
        <v>0.1315875349</v>
      </c>
      <c r="E23" s="185">
        <f t="shared" si="3"/>
        <v>24325.493212638878</v>
      </c>
      <c r="F23" s="237">
        <f t="shared" si="5"/>
        <v>13927.415623912762</v>
      </c>
      <c r="G23" s="154">
        <f t="shared" si="6"/>
        <v>10398.077588726115</v>
      </c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49"/>
      <c r="AD23" s="149"/>
      <c r="AE23" s="149"/>
      <c r="AF23" s="149"/>
      <c r="AG23" s="149"/>
      <c r="AH23" s="149"/>
      <c r="AI23" s="149"/>
    </row>
    <row r="24" spans="1:35">
      <c r="A24" s="191"/>
      <c r="B24" s="244">
        <v>6</v>
      </c>
      <c r="C24" s="178">
        <f t="shared" si="4"/>
        <v>196515.38806056548</v>
      </c>
      <c r="D24" s="136">
        <f>AVERAGE(D23,D25)</f>
        <v>0.13304534303749999</v>
      </c>
      <c r="E24" s="185">
        <f t="shared" si="3"/>
        <v>26145.457216665363</v>
      </c>
      <c r="F24" s="237">
        <f t="shared" si="5"/>
        <v>11653.704686642217</v>
      </c>
      <c r="G24" s="154">
        <f t="shared" si="6"/>
        <v>14491.752530023146</v>
      </c>
      <c r="O24" s="215"/>
      <c r="P24" s="80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</row>
    <row r="25" spans="1:35">
      <c r="A25" s="29"/>
      <c r="B25" s="242">
        <v>7</v>
      </c>
      <c r="C25" s="178">
        <f t="shared" si="4"/>
        <v>208902.90024707624</v>
      </c>
      <c r="D25" s="136">
        <f>AVERAGE(D23,D26)</f>
        <v>0.134503151175</v>
      </c>
      <c r="E25" s="185">
        <f t="shared" si="3"/>
        <v>28098.098372828441</v>
      </c>
      <c r="F25" s="237">
        <f t="shared" si="5"/>
        <v>12387.51218651075</v>
      </c>
      <c r="G25" s="154">
        <f t="shared" si="6"/>
        <v>15710.586186317691</v>
      </c>
      <c r="O25" s="216"/>
      <c r="P25" s="153"/>
      <c r="Q25" s="149"/>
      <c r="R25" s="149"/>
      <c r="S25" s="149"/>
      <c r="T25" s="149"/>
      <c r="U25" s="149"/>
      <c r="V25" s="149"/>
      <c r="W25" s="149"/>
      <c r="X25" s="149"/>
      <c r="Y25" s="149"/>
      <c r="Z25" s="149"/>
      <c r="AA25" s="149"/>
      <c r="AB25" s="149"/>
      <c r="AC25" s="149"/>
      <c r="AD25" s="149"/>
      <c r="AE25" s="149"/>
      <c r="AF25" s="149"/>
      <c r="AG25" s="149"/>
      <c r="AH25" s="149"/>
      <c r="AI25" s="149"/>
    </row>
    <row r="26" spans="1:35">
      <c r="A26" s="2"/>
      <c r="B26" s="242">
        <v>8</v>
      </c>
      <c r="C26" s="178">
        <f t="shared" si="4"/>
        <v>221183.00331104561</v>
      </c>
      <c r="D26" s="136">
        <f>AVERAGE(D23,D28)</f>
        <v>0.13741876744999998</v>
      </c>
      <c r="E26" s="185">
        <f t="shared" si="3"/>
        <v>30394.695695893151</v>
      </c>
      <c r="F26" s="237">
        <f t="shared" si="5"/>
        <v>12280.103063969378</v>
      </c>
      <c r="G26" s="154">
        <f t="shared" si="6"/>
        <v>18114.592631923773</v>
      </c>
      <c r="O26" s="217"/>
      <c r="P26" s="153"/>
      <c r="Q26" s="149"/>
      <c r="R26" s="149"/>
      <c r="S26" s="149"/>
      <c r="T26" s="149"/>
      <c r="U26" s="149"/>
      <c r="V26" s="149"/>
      <c r="W26" s="149"/>
      <c r="X26" s="149"/>
      <c r="Y26" s="149"/>
      <c r="Z26" s="149"/>
      <c r="AA26" s="149"/>
      <c r="AB26" s="149"/>
      <c r="AC26" s="149"/>
      <c r="AD26" s="149"/>
      <c r="AE26" s="149"/>
      <c r="AF26" s="149"/>
      <c r="AG26" s="149"/>
      <c r="AH26" s="149"/>
      <c r="AI26" s="149"/>
    </row>
    <row r="27" spans="1:35">
      <c r="A27" s="2"/>
      <c r="B27" s="242">
        <v>9</v>
      </c>
      <c r="C27" s="178">
        <f t="shared" si="4"/>
        <v>234183.81431491245</v>
      </c>
      <c r="D27" s="136">
        <f>AVERAGE(D26,D28)</f>
        <v>0.14033438372499998</v>
      </c>
      <c r="E27" s="185">
        <f t="shared" si="3"/>
        <v>32864.041260253071</v>
      </c>
      <c r="F27" s="237">
        <f t="shared" si="5"/>
        <v>13000.811003866838</v>
      </c>
      <c r="G27" s="154">
        <f t="shared" si="6"/>
        <v>19863.230256386232</v>
      </c>
      <c r="O27" s="217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</row>
    <row r="28" spans="1:35">
      <c r="B28" s="242">
        <v>10</v>
      </c>
      <c r="C28" s="178">
        <f t="shared" si="4"/>
        <v>247947.525586762</v>
      </c>
      <c r="D28" s="136">
        <f>'Industry Numbers'!$E$20</f>
        <v>0.14324999999999999</v>
      </c>
      <c r="E28" s="185">
        <f t="shared" si="3"/>
        <v>35518.483040303654</v>
      </c>
      <c r="F28" s="237">
        <f t="shared" si="5"/>
        <v>13763.711271849548</v>
      </c>
      <c r="G28" s="154">
        <f t="shared" si="6"/>
        <v>21754.771768454106</v>
      </c>
      <c r="O28" s="218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149"/>
      <c r="AG28" s="149"/>
      <c r="AH28" s="149"/>
      <c r="AI28" s="149"/>
    </row>
    <row r="29" spans="1:35">
      <c r="B29" s="245" t="s">
        <v>112</v>
      </c>
      <c r="C29" s="178">
        <f t="shared" si="4"/>
        <v>261759.68176149172</v>
      </c>
      <c r="D29" s="136">
        <f>'Industry Numbers'!$E$20</f>
        <v>0.14324999999999999</v>
      </c>
      <c r="E29" s="185">
        <f t="shared" si="3"/>
        <v>37497.074412333684</v>
      </c>
      <c r="F29" s="237">
        <f t="shared" si="5"/>
        <v>13812.156174729724</v>
      </c>
      <c r="G29" s="154">
        <f t="shared" si="6"/>
        <v>23684.918237603961</v>
      </c>
      <c r="O29" s="218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</row>
    <row r="30" spans="1:35" ht="12" customHeight="1"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</row>
    <row r="31" spans="1:35">
      <c r="H31" s="149"/>
      <c r="I31" s="149"/>
      <c r="J31" s="149"/>
      <c r="K31" s="149"/>
      <c r="L31" s="149"/>
      <c r="M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</row>
    <row r="32" spans="1:35"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</row>
    <row r="33" spans="8:35"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  <c r="AG33" s="149"/>
      <c r="AH33" s="149"/>
      <c r="AI33" s="149"/>
    </row>
    <row r="34" spans="8:35"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49"/>
      <c r="AD34" s="149"/>
      <c r="AE34" s="149"/>
      <c r="AF34" s="149"/>
      <c r="AG34" s="149"/>
      <c r="AH34" s="149"/>
      <c r="AI34" s="149"/>
    </row>
    <row r="35" spans="8:35"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</row>
    <row r="36" spans="8:35"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</row>
    <row r="37" spans="8:35"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</row>
    <row r="38" spans="8:35"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14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4"/>
  <sheetViews>
    <sheetView workbookViewId="0"/>
  </sheetViews>
  <sheetFormatPr defaultRowHeight="12" customHeight="1"/>
  <cols>
    <col min="1" max="1" width="2" style="2" customWidth="1"/>
    <col min="2" max="2" width="25.5703125" style="2" customWidth="1"/>
    <col min="3" max="3" width="13.5703125" style="2" customWidth="1"/>
    <col min="4" max="4" width="12.5703125" style="2" customWidth="1"/>
    <col min="5" max="5" width="12.42578125" style="2" customWidth="1"/>
    <col min="6" max="6" width="12.28515625" style="2" customWidth="1"/>
    <col min="7" max="7" width="11.85546875" style="2" customWidth="1"/>
    <col min="8" max="8" width="12.28515625" style="2" customWidth="1"/>
    <col min="9" max="9" width="12.42578125" style="2" customWidth="1"/>
    <col min="10" max="10" width="11.85546875" style="2" customWidth="1"/>
    <col min="11" max="11" width="12.140625" style="2" customWidth="1"/>
    <col min="12" max="12" width="13.7109375" style="2" customWidth="1"/>
    <col min="13" max="13" width="9.140625" style="2"/>
    <col min="14" max="14" width="18.42578125" style="2" customWidth="1"/>
    <col min="15" max="16384" width="9.140625" style="2"/>
  </cols>
  <sheetData>
    <row r="1" spans="1:20" ht="16.5" customHeight="1">
      <c r="B1" s="17" t="s">
        <v>104</v>
      </c>
    </row>
    <row r="3" spans="1:20" ht="12" customHeight="1">
      <c r="E3" s="43"/>
      <c r="F3" s="32"/>
      <c r="G3" s="184"/>
      <c r="H3" s="31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2" customHeight="1">
      <c r="B4" s="30" t="s">
        <v>111</v>
      </c>
      <c r="C4" s="254">
        <v>0.04</v>
      </c>
      <c r="M4" s="3"/>
      <c r="N4" s="3"/>
      <c r="O4" s="3"/>
      <c r="P4" s="3"/>
      <c r="Q4" s="3"/>
      <c r="R4" s="3"/>
      <c r="S4" s="3"/>
      <c r="T4" s="3"/>
    </row>
    <row r="5" spans="1:20" ht="12" customHeight="1">
      <c r="M5" s="3"/>
      <c r="N5" s="3"/>
      <c r="O5" s="3"/>
      <c r="P5" s="3"/>
      <c r="Q5" s="3"/>
      <c r="R5" s="3"/>
      <c r="S5" s="3"/>
      <c r="T5" s="3"/>
    </row>
    <row r="6" spans="1:20" ht="12" customHeight="1">
      <c r="B6" s="258" t="s">
        <v>106</v>
      </c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3"/>
      <c r="N6" s="3"/>
      <c r="O6" s="3"/>
      <c r="P6" s="3"/>
      <c r="Q6" s="3"/>
      <c r="R6" s="3"/>
      <c r="S6" s="3"/>
      <c r="T6" s="3"/>
    </row>
    <row r="7" spans="1:20" ht="12" customHeight="1">
      <c r="B7" s="183"/>
      <c r="C7" s="186">
        <v>1</v>
      </c>
      <c r="D7" s="186">
        <v>2</v>
      </c>
      <c r="E7" s="187">
        <v>3</v>
      </c>
      <c r="F7" s="188">
        <v>4</v>
      </c>
      <c r="G7" s="189">
        <v>5</v>
      </c>
      <c r="H7" s="190">
        <v>6</v>
      </c>
      <c r="I7" s="186">
        <v>7</v>
      </c>
      <c r="J7" s="186">
        <v>8</v>
      </c>
      <c r="K7" s="186">
        <v>9</v>
      </c>
      <c r="L7" s="186">
        <v>10</v>
      </c>
      <c r="M7" s="21"/>
      <c r="N7" s="3"/>
      <c r="O7" s="3"/>
      <c r="P7" s="3"/>
      <c r="Q7" s="3"/>
      <c r="R7" s="3"/>
      <c r="S7" s="3"/>
      <c r="T7" s="3"/>
    </row>
    <row r="8" spans="1:20" ht="12" customHeight="1">
      <c r="B8" s="50" t="s">
        <v>161</v>
      </c>
      <c r="C8" s="185">
        <f>'Future Cashflows (10 Yrs)'!G19</f>
        <v>3958.4253762891567</v>
      </c>
      <c r="D8" s="185">
        <f>'Future Cashflows (10 Yrs)'!G20</f>
        <v>4568.8133018971021</v>
      </c>
      <c r="E8" s="185">
        <f>'Future Cashflows (10 Yrs)'!G21</f>
        <v>5211.8210752527739</v>
      </c>
      <c r="F8" s="185">
        <f>'Future Cashflows (10 Yrs)'!G22</f>
        <v>9117.3335680935998</v>
      </c>
      <c r="G8" s="185">
        <f>'Future Cashflows (10 Yrs)'!G23</f>
        <v>10398.077588726115</v>
      </c>
      <c r="H8" s="185">
        <f>'Future Cashflows (10 Yrs)'!G24</f>
        <v>14491.752530023146</v>
      </c>
      <c r="I8" s="185">
        <f>'Future Cashflows (10 Yrs)'!G25</f>
        <v>15710.586186317691</v>
      </c>
      <c r="J8" s="185">
        <f>'Future Cashflows (10 Yrs)'!G26</f>
        <v>18114.592631923773</v>
      </c>
      <c r="K8" s="185">
        <f>'Future Cashflows (10 Yrs)'!G27</f>
        <v>19863.230256386232</v>
      </c>
      <c r="L8" s="185">
        <f>'Future Cashflows (10 Yrs)'!G28</f>
        <v>21754.771768454106</v>
      </c>
      <c r="M8" s="3"/>
      <c r="N8" s="3"/>
      <c r="O8" s="3"/>
      <c r="P8" s="3"/>
      <c r="Q8" s="3"/>
      <c r="R8" s="3"/>
      <c r="S8" s="3"/>
      <c r="T8" s="3"/>
    </row>
    <row r="9" spans="1:20" ht="12" customHeight="1">
      <c r="B9" s="50" t="s">
        <v>4</v>
      </c>
      <c r="C9" s="136">
        <f>'Cost of Equity'!C7</f>
        <v>0.11227402184317041</v>
      </c>
      <c r="D9" s="136">
        <f>AVERAGE(C9,E9)</f>
        <v>0.1104885292062377</v>
      </c>
      <c r="E9" s="136">
        <f>AVERAGE(C9,G9)</f>
        <v>0.10870303656930497</v>
      </c>
      <c r="F9" s="136">
        <f>AVERAGE(E9,G9)</f>
        <v>0.10691754393237225</v>
      </c>
      <c r="G9" s="136">
        <f>AVERAGE(C9,L9)</f>
        <v>0.10513205129543954</v>
      </c>
      <c r="H9" s="136">
        <f>AVERAGE(G9,I9)</f>
        <v>0.10334655865850682</v>
      </c>
      <c r="I9" s="136">
        <f>AVERAGE(G9,L9)</f>
        <v>0.10156106602157411</v>
      </c>
      <c r="J9" s="136">
        <f>AVERAGE(I9,K9)</f>
        <v>0.10066831970310774</v>
      </c>
      <c r="K9" s="136">
        <f>AVERAGE(I9,L9)</f>
        <v>9.9775573384641394E-2</v>
      </c>
      <c r="L9" s="136">
        <f>'Industry Numbers'!H9</f>
        <v>9.799008074770868E-2</v>
      </c>
      <c r="M9" s="3"/>
      <c r="N9" s="3"/>
      <c r="O9" s="3"/>
      <c r="P9" s="3"/>
      <c r="Q9" s="3"/>
      <c r="R9" s="3"/>
      <c r="S9" s="3"/>
      <c r="T9" s="3"/>
    </row>
    <row r="10" spans="1:20" ht="12" customHeight="1">
      <c r="A10" s="3"/>
      <c r="B10" s="112" t="s">
        <v>105</v>
      </c>
      <c r="C10" s="156">
        <f>C8/(1+C9)^C7</f>
        <v>3558.8580678433673</v>
      </c>
      <c r="D10" s="156">
        <f t="shared" ref="D10:K10" si="0">D8/(1+D9)^D7</f>
        <v>3704.8894862162897</v>
      </c>
      <c r="E10" s="156">
        <f t="shared" si="0"/>
        <v>3824.2280860554988</v>
      </c>
      <c r="F10" s="156">
        <f t="shared" si="0"/>
        <v>6073.0486627205146</v>
      </c>
      <c r="G10" s="156">
        <f t="shared" si="0"/>
        <v>6307.8619597592387</v>
      </c>
      <c r="H10" s="156">
        <f t="shared" si="0"/>
        <v>8032.472372033486</v>
      </c>
      <c r="I10" s="156">
        <f t="shared" si="0"/>
        <v>7982.3790347195227</v>
      </c>
      <c r="J10" s="156">
        <f t="shared" si="0"/>
        <v>8409.6290665532051</v>
      </c>
      <c r="K10" s="156">
        <f t="shared" si="0"/>
        <v>8439.4326402970473</v>
      </c>
      <c r="L10" s="156">
        <f>L8/(1+L9)^L7</f>
        <v>8542.2123696957278</v>
      </c>
      <c r="M10" s="3"/>
      <c r="N10" s="3"/>
      <c r="O10" s="3"/>
      <c r="P10" s="3"/>
      <c r="Q10" s="3"/>
      <c r="R10" s="3"/>
      <c r="S10" s="3"/>
      <c r="T10" s="3"/>
    </row>
    <row r="11" spans="1:20" ht="12" customHeight="1">
      <c r="A11" s="3"/>
      <c r="E11" s="34"/>
      <c r="F11" s="34"/>
      <c r="G11" s="34"/>
      <c r="H11" s="34"/>
      <c r="L11" s="207"/>
      <c r="N11" s="3"/>
      <c r="O11" s="3"/>
      <c r="P11" s="3"/>
      <c r="Q11" s="3"/>
      <c r="R11" s="3"/>
      <c r="S11" s="3"/>
      <c r="T11" s="3"/>
    </row>
    <row r="12" spans="1:20" ht="12" customHeight="1">
      <c r="A12" s="3"/>
      <c r="B12" s="192" t="s">
        <v>168</v>
      </c>
      <c r="C12" s="178">
        <f>SUM(C10:L10)</f>
        <v>64875.011745893906</v>
      </c>
      <c r="G12" s="31"/>
      <c r="H12" s="31"/>
      <c r="I12" s="31"/>
      <c r="J12" s="31"/>
      <c r="K12" s="31"/>
      <c r="L12" s="3"/>
      <c r="M12" s="3"/>
      <c r="N12" s="3"/>
      <c r="O12" s="3"/>
      <c r="P12" s="3"/>
      <c r="Q12" s="3"/>
      <c r="R12" s="3"/>
      <c r="S12" s="3"/>
      <c r="T12" s="3"/>
    </row>
    <row r="13" spans="1:20" ht="12" customHeight="1">
      <c r="A13" s="3"/>
      <c r="B13" s="192" t="s">
        <v>99</v>
      </c>
      <c r="C13" s="178">
        <f>'Future Cashflows (10 Yrs)'!G29/('Fair Value of Share'!L9-'Fair Value of Share'!C4)</f>
        <v>408430.50970471028</v>
      </c>
      <c r="D13" s="31"/>
      <c r="E13" s="31"/>
      <c r="F13" s="31"/>
      <c r="G13" s="31"/>
      <c r="H13" s="31"/>
      <c r="I13" s="31"/>
      <c r="J13" s="31"/>
      <c r="K13" s="31"/>
      <c r="L13" s="3"/>
      <c r="M13" s="3"/>
      <c r="N13" s="3"/>
      <c r="O13" s="3"/>
      <c r="P13" s="3"/>
      <c r="Q13" s="3"/>
      <c r="R13" s="3"/>
      <c r="S13" s="3"/>
      <c r="T13" s="3"/>
    </row>
    <row r="14" spans="1:20" s="26" customFormat="1" ht="12" customHeight="1">
      <c r="A14" s="25"/>
      <c r="B14" s="192" t="s">
        <v>102</v>
      </c>
      <c r="C14" s="178">
        <f>C13/(1+L9)^'Fair Value of Share'!$L$7</f>
        <v>160374.01767734694</v>
      </c>
      <c r="D14" s="44"/>
      <c r="E14" s="104"/>
      <c r="F14" s="211"/>
      <c r="G14" s="44"/>
      <c r="H14" s="44"/>
      <c r="I14" s="44"/>
      <c r="J14" s="44"/>
      <c r="K14" s="44"/>
      <c r="L14" s="25"/>
      <c r="M14" s="25"/>
      <c r="N14" s="25"/>
      <c r="O14" s="25"/>
      <c r="P14" s="25"/>
      <c r="Q14" s="25"/>
      <c r="R14" s="25"/>
      <c r="S14" s="25"/>
      <c r="T14" s="25"/>
    </row>
    <row r="15" spans="1:20" ht="12" customHeight="1">
      <c r="A15" s="8"/>
      <c r="B15" s="193" t="s">
        <v>103</v>
      </c>
      <c r="C15" s="155">
        <f>C14+C12</f>
        <v>225249.02942324086</v>
      </c>
      <c r="E15" s="198"/>
      <c r="F15" s="197"/>
      <c r="I15" s="31"/>
      <c r="J15" s="31"/>
      <c r="K15" s="31"/>
      <c r="L15" s="3"/>
      <c r="N15" s="3"/>
      <c r="O15" s="3"/>
      <c r="P15" s="3"/>
      <c r="Q15" s="3"/>
      <c r="R15" s="3"/>
      <c r="S15" s="3"/>
      <c r="T15" s="3"/>
    </row>
    <row r="16" spans="1:20" ht="12" customHeight="1">
      <c r="A16" s="191" t="s">
        <v>82</v>
      </c>
      <c r="B16" s="30" t="s">
        <v>107</v>
      </c>
      <c r="C16" s="185">
        <f>318.415503*4.4159611</f>
        <v>1406.1104748849332</v>
      </c>
      <c r="E16" s="198"/>
      <c r="F16" s="204"/>
      <c r="I16" s="31"/>
      <c r="J16" s="31"/>
      <c r="K16" s="31"/>
      <c r="L16" s="3"/>
      <c r="M16" s="3"/>
      <c r="N16" s="3"/>
      <c r="O16" s="3"/>
      <c r="P16" s="3"/>
      <c r="Q16" s="3"/>
      <c r="R16" s="3"/>
      <c r="S16" s="3"/>
      <c r="T16" s="3"/>
    </row>
    <row r="17" spans="1:20" ht="12" customHeight="1">
      <c r="A17" s="29"/>
      <c r="B17" s="193" t="s">
        <v>109</v>
      </c>
      <c r="C17" s="194">
        <f>C15-C16</f>
        <v>223842.91894835592</v>
      </c>
      <c r="E17" s="198"/>
      <c r="F17" s="205"/>
      <c r="I17" s="31"/>
      <c r="J17" s="31"/>
      <c r="K17" s="31"/>
      <c r="L17" s="3"/>
      <c r="M17" s="3"/>
      <c r="N17" s="3"/>
      <c r="O17" s="3"/>
      <c r="P17" s="3"/>
      <c r="Q17" s="3"/>
      <c r="R17" s="3"/>
      <c r="S17" s="3"/>
      <c r="T17" s="3"/>
    </row>
    <row r="18" spans="1:20" ht="12" customHeight="1">
      <c r="B18" s="30" t="s">
        <v>95</v>
      </c>
      <c r="C18" s="185">
        <v>307.57</v>
      </c>
      <c r="D18" s="31"/>
      <c r="E18" s="198"/>
      <c r="F18" s="206"/>
      <c r="I18" s="31"/>
      <c r="J18" s="31"/>
      <c r="K18" s="31"/>
      <c r="L18" s="3"/>
      <c r="M18" s="3"/>
      <c r="N18" s="3"/>
      <c r="O18" s="3"/>
      <c r="P18" s="3"/>
      <c r="Q18" s="3"/>
      <c r="R18" s="3"/>
      <c r="S18" s="3"/>
      <c r="T18" s="3"/>
    </row>
    <row r="19" spans="1:20" ht="12" customHeight="1">
      <c r="B19" s="27" t="s">
        <v>108</v>
      </c>
      <c r="C19" s="164">
        <f>C17/C18</f>
        <v>727.7787786466688</v>
      </c>
      <c r="D19" s="31"/>
      <c r="E19" s="198"/>
      <c r="F19" s="205"/>
      <c r="I19" s="31"/>
      <c r="J19" s="31"/>
      <c r="K19" s="31"/>
      <c r="L19" s="3"/>
      <c r="M19" s="3"/>
      <c r="N19" s="3"/>
      <c r="O19" s="3"/>
      <c r="P19" s="3"/>
      <c r="Q19" s="3"/>
      <c r="R19" s="3"/>
      <c r="S19" s="3"/>
      <c r="T19" s="3"/>
    </row>
    <row r="20" spans="1:20" ht="12" customHeight="1">
      <c r="D20" s="31"/>
      <c r="E20" s="198"/>
      <c r="F20" s="31"/>
      <c r="I20" s="31"/>
      <c r="J20" s="31"/>
      <c r="K20" s="31"/>
      <c r="L20" s="3"/>
      <c r="M20" s="3"/>
      <c r="N20" s="3"/>
      <c r="O20" s="3"/>
      <c r="P20" s="3"/>
      <c r="Q20" s="3"/>
      <c r="R20" s="3"/>
      <c r="S20" s="3"/>
      <c r="T20" s="3"/>
    </row>
    <row r="21" spans="1:20" ht="12" customHeight="1">
      <c r="B21" s="3"/>
      <c r="C21" s="6"/>
      <c r="D21" s="33"/>
      <c r="E21" s="198"/>
      <c r="F21" s="31"/>
      <c r="I21" s="31"/>
      <c r="J21" s="31"/>
      <c r="K21" s="31"/>
      <c r="L21" s="3"/>
      <c r="M21" s="3"/>
      <c r="N21" s="3"/>
      <c r="O21" s="3"/>
      <c r="P21" s="3"/>
      <c r="Q21" s="3"/>
      <c r="R21" s="3"/>
      <c r="S21" s="3"/>
      <c r="T21" s="3"/>
    </row>
    <row r="22" spans="1:20" ht="12" customHeight="1">
      <c r="B22" s="3"/>
      <c r="C22" s="5"/>
      <c r="D22" s="31"/>
      <c r="E22" s="198"/>
      <c r="F22" s="34"/>
      <c r="I22" s="31"/>
      <c r="J22" s="31"/>
      <c r="K22" s="31"/>
      <c r="L22" s="3"/>
      <c r="M22" s="3"/>
      <c r="O22" s="3"/>
      <c r="P22" s="3"/>
      <c r="Q22" s="3"/>
      <c r="R22" s="3"/>
      <c r="S22" s="3"/>
      <c r="T22" s="3"/>
    </row>
    <row r="23" spans="1:20" s="29" customFormat="1" ht="12" customHeight="1">
      <c r="A23" s="2"/>
      <c r="B23" s="3"/>
      <c r="C23" s="3"/>
      <c r="D23" s="31"/>
      <c r="E23" s="198"/>
      <c r="F23" s="31"/>
      <c r="I23" s="34"/>
      <c r="J23" s="34"/>
      <c r="K23" s="34"/>
      <c r="L23" s="28"/>
      <c r="M23" s="28"/>
      <c r="N23" s="28"/>
      <c r="O23" s="28"/>
      <c r="P23" s="28"/>
      <c r="Q23" s="28"/>
      <c r="R23" s="28"/>
      <c r="S23" s="28"/>
      <c r="T23" s="28"/>
    </row>
    <row r="24" spans="1:20" ht="12" customHeight="1">
      <c r="B24" s="3"/>
      <c r="C24" s="3"/>
      <c r="D24" s="33"/>
      <c r="E24" s="25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ht="12" customHeight="1">
      <c r="D25" s="31"/>
      <c r="E25" s="3"/>
      <c r="G25" s="7"/>
      <c r="H25" s="15"/>
      <c r="I25" s="15"/>
      <c r="J25" s="15"/>
      <c r="K25" s="15"/>
      <c r="L25" s="3"/>
      <c r="M25" s="3"/>
      <c r="N25" s="3"/>
      <c r="O25" s="3"/>
      <c r="P25" s="3"/>
      <c r="Q25" s="3"/>
      <c r="R25" s="3"/>
      <c r="S25" s="3"/>
      <c r="T25" s="3"/>
    </row>
    <row r="26" spans="1:20" ht="12" customHeight="1">
      <c r="C26" s="14"/>
      <c r="D26" s="34"/>
      <c r="E26" s="212"/>
      <c r="F26" s="212"/>
      <c r="G26" s="15"/>
      <c r="H26" s="6"/>
      <c r="I26" s="6"/>
      <c r="J26" s="6"/>
      <c r="K26" s="6"/>
      <c r="L26" s="3"/>
      <c r="M26" s="3"/>
      <c r="N26" s="3"/>
      <c r="O26" s="3"/>
      <c r="P26" s="3"/>
      <c r="Q26" s="3"/>
      <c r="R26" s="3"/>
      <c r="S26" s="3"/>
      <c r="T26" s="3"/>
    </row>
    <row r="27" spans="1:20" ht="12" customHeight="1">
      <c r="D27" s="3"/>
      <c r="E27" s="199"/>
      <c r="F27" s="200"/>
      <c r="G27" s="15"/>
      <c r="H27" s="6"/>
      <c r="I27" s="6"/>
      <c r="J27" s="6"/>
      <c r="K27" s="6"/>
      <c r="L27" s="3"/>
      <c r="M27" s="3"/>
      <c r="N27" s="3"/>
      <c r="O27" s="3"/>
      <c r="P27" s="3"/>
      <c r="Q27" s="3"/>
      <c r="R27" s="3"/>
      <c r="S27" s="3"/>
      <c r="T27" s="3"/>
    </row>
    <row r="28" spans="1:20" ht="12" customHeight="1">
      <c r="B28" s="16"/>
      <c r="D28" s="3"/>
      <c r="E28" s="201"/>
      <c r="F28" s="202"/>
      <c r="G28" s="15"/>
      <c r="H28" s="6"/>
      <c r="I28" s="6"/>
      <c r="J28" s="6"/>
      <c r="K28" s="6"/>
      <c r="L28" s="3"/>
      <c r="M28" s="3"/>
      <c r="N28" s="3"/>
      <c r="O28" s="3"/>
      <c r="P28" s="3"/>
      <c r="Q28" s="3"/>
      <c r="R28" s="3"/>
      <c r="S28" s="3"/>
      <c r="T28" s="3"/>
    </row>
    <row r="29" spans="1:20" ht="12" customHeight="1">
      <c r="B29" s="9"/>
      <c r="D29" s="3"/>
      <c r="E29" s="45"/>
      <c r="F29" s="166"/>
      <c r="G29" s="15"/>
      <c r="H29" s="6"/>
      <c r="I29" s="6"/>
      <c r="J29" s="6"/>
      <c r="K29" s="6"/>
      <c r="L29" s="3"/>
      <c r="M29" s="3"/>
      <c r="N29" s="3"/>
      <c r="O29" s="3"/>
      <c r="P29" s="3"/>
      <c r="Q29" s="3"/>
      <c r="R29" s="3"/>
      <c r="S29" s="3"/>
      <c r="T29" s="3"/>
    </row>
    <row r="30" spans="1:20" ht="12" customHeight="1">
      <c r="D30" s="3"/>
      <c r="E30" s="45"/>
      <c r="F30" s="15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</row>
    <row r="31" spans="1:20" ht="12" customHeight="1">
      <c r="E31" s="33"/>
      <c r="F31" s="158"/>
      <c r="G31" s="3"/>
      <c r="H31" s="3"/>
      <c r="I31" s="3"/>
      <c r="J31" s="3"/>
      <c r="K31" s="3"/>
      <c r="L31" s="3"/>
      <c r="M31" s="3"/>
    </row>
    <row r="32" spans="1:20" ht="12" customHeight="1">
      <c r="E32" s="3"/>
      <c r="F32" s="158"/>
      <c r="G32" s="3"/>
      <c r="H32" s="3"/>
      <c r="I32" s="3"/>
      <c r="J32" s="3"/>
      <c r="K32" s="3"/>
      <c r="L32" s="3"/>
      <c r="M32" s="3"/>
    </row>
    <row r="33" spans="5:13" ht="12" customHeight="1">
      <c r="E33" s="3"/>
      <c r="F33" s="196"/>
    </row>
    <row r="34" spans="5:13" ht="12" customHeight="1">
      <c r="E34" s="3"/>
      <c r="F34" s="76"/>
      <c r="G34" s="9"/>
      <c r="K34" s="11"/>
    </row>
    <row r="35" spans="5:13" ht="12" customHeight="1">
      <c r="E35" s="31"/>
      <c r="F35" s="195"/>
      <c r="G35" s="12"/>
      <c r="K35" s="9"/>
      <c r="M35" s="9"/>
    </row>
    <row r="36" spans="5:13" ht="12" customHeight="1">
      <c r="E36" s="31"/>
      <c r="M36" s="9"/>
    </row>
    <row r="37" spans="5:13" ht="12" customHeight="1">
      <c r="E37" s="31"/>
      <c r="F37" s="6"/>
      <c r="G37" s="16"/>
      <c r="K37" s="4"/>
    </row>
    <row r="40" spans="5:13" ht="12" customHeight="1">
      <c r="G40" s="13"/>
    </row>
    <row r="41" spans="5:13" ht="12" customHeight="1">
      <c r="G41" s="9"/>
    </row>
    <row r="42" spans="5:13" ht="12" customHeight="1">
      <c r="G42" s="13"/>
    </row>
    <row r="44" spans="5:13" ht="12" customHeight="1">
      <c r="G44" s="16"/>
    </row>
  </sheetData>
  <mergeCells count="1">
    <mergeCell ref="B6:L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Cover</vt:lpstr>
      <vt:lpstr>About</vt:lpstr>
      <vt:lpstr>Index</vt:lpstr>
      <vt:lpstr>Risk Free Rate</vt:lpstr>
      <vt:lpstr>Equity Risk Premium</vt:lpstr>
      <vt:lpstr>Beta</vt:lpstr>
      <vt:lpstr>Cost of Equity</vt:lpstr>
      <vt:lpstr> Cash Flows and Fair Value</vt:lpstr>
      <vt:lpstr>Industry Numbers</vt:lpstr>
      <vt:lpstr>Future Cashflows (10 Yrs)</vt:lpstr>
      <vt:lpstr>Fair Value of Share</vt:lpstr>
      <vt:lpstr>Beta!Print_Area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2022-07-22T11:45:20Z</dcterms:modified>
</cp:coreProperties>
</file>