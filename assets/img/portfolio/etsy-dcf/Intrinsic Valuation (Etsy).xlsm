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Dashboard" sheetId="28" r:id="rId1"/>
    <sheet name="Drivers" sheetId="79" r:id="rId2"/>
    <sheet name="About" sheetId="29" r:id="rId3"/>
    <sheet name="Corporate Governance" sheetId="66" r:id="rId4"/>
    <sheet name="Index" sheetId="4" r:id="rId5"/>
    <sheet name="Risk Free Rate &amp; ERP" sheetId="24" r:id="rId6"/>
    <sheet name="Beta Calculation Data" sheetId="67" r:id="rId7"/>
    <sheet name="Bottom Up Beta" sheetId="68" r:id="rId8"/>
    <sheet name="Cost of Equity, Debt &amp; WACC" sheetId="23" r:id="rId9"/>
    <sheet name="Cash Flows" sheetId="17" r:id="rId10"/>
    <sheet name="Accounting Adjustments" sheetId="49" r:id="rId11"/>
    <sheet name="Reinvestment" sheetId="32" r:id="rId12"/>
    <sheet name="FCFF &amp; FCFE" sheetId="35" r:id="rId13"/>
    <sheet name="Growth Rate &amp; TV" sheetId="36" r:id="rId14"/>
    <sheet name="Expected Growth Rate" sheetId="39" r:id="rId15"/>
    <sheet name="Key Performance Indicators" sheetId="80" r:id="rId16"/>
    <sheet name="Future CashFlows (10Y)" sheetId="75" r:id="rId17"/>
    <sheet name="Terminal Value" sheetId="40" r:id="rId18"/>
    <sheet name="Road to Fair Value of Share" sheetId="42" r:id="rId19"/>
    <sheet name="Cash &amp; Marketable Securities" sheetId="43" r:id="rId20"/>
    <sheet name="Future Value (Equity Options)" sheetId="57" r:id="rId21"/>
    <sheet name="Fair Value of Share" sheetId="48" r:id="rId22"/>
    <sheet name="What If Analysis" sheetId="82" r:id="rId23"/>
    <sheet name="Sensitivity Analysis" sheetId="81" r:id="rId24"/>
    <sheet name="Scenario Analysis" sheetId="83" r:id="rId25"/>
    <sheet name="Financing Decision" sheetId="70" r:id="rId26"/>
    <sheet name="Debt Design Explained" sheetId="71" r:id="rId27"/>
    <sheet name="Optimal Cost of Capital" sheetId="69" r:id="rId28"/>
    <sheet name="Adjusted Present Value" sheetId="72" r:id="rId29"/>
    <sheet name="Dividend Decision" sheetId="76" r:id="rId30"/>
    <sheet name="Dividend-Buyback Explained" sheetId="77" r:id="rId31"/>
    <sheet name="Resources" sheetId="86" r:id="rId32"/>
    <sheet name="Income Statement" sheetId="84" r:id="rId33"/>
    <sheet name="Balance Sheet" sheetId="85" r:id="rId34"/>
    <sheet name="Cash Flow Statement" sheetId="87" r:id="rId35"/>
  </sheets>
  <definedNames>
    <definedName name="_xlchart.v1.0" hidden="1">('Accounting Adjustments'!$B$5:$B$6,'Accounting Adjustments'!$B$8:$B$11)</definedName>
    <definedName name="_xlchart.v1.1" hidden="1">('Accounting Adjustments'!$G$5:$G$6,'Accounting Adjustments'!$G$8:$G$11)</definedName>
    <definedName name="_xlnm.Print_Area" localSheetId="28">'Adjusted Present Value'!$A$11:$H$27</definedName>
    <definedName name="_xlnm.Print_Area" localSheetId="0">Dashboard!$A$1:$AC$31</definedName>
    <definedName name="_xlnm.Print_Area" localSheetId="26">'Debt Design Explained'!$A$11:$H$27</definedName>
    <definedName name="_xlnm.Print_Area" localSheetId="30">'Dividend-Buyback Explained'!$A$11:$G$27</definedName>
    <definedName name="_xlnm.Print_Area" localSheetId="21">'Fair Value of Share'!$A$11:$H$27</definedName>
    <definedName name="_xlnm.Print_Area" localSheetId="16">'Future CashFlows (10Y)'!#REF!</definedName>
    <definedName name="_xlnm.Print_Area" localSheetId="20">'Future Value (Equity Options)'!$B$3:$M$22</definedName>
    <definedName name="_xlnm.Print_Area" localSheetId="15">'Key Performance Indicators'!#REF!</definedName>
    <definedName name="_xlnm.Print_Area" localSheetId="27">'Optimal Cost of Capital'!$A$11:$H$27</definedName>
    <definedName name="_xlnm.Print_Area" localSheetId="24">'Scenario Analysis'!$A$11:$A$27</definedName>
    <definedName name="_xlnm.Print_Area" localSheetId="23">'Sensitivity Analysis'!$A$11:$H$27</definedName>
  </definedNames>
  <calcPr calcId="162913"/>
</workbook>
</file>

<file path=xl/calcChain.xml><?xml version="1.0" encoding="utf-8"?>
<calcChain xmlns="http://schemas.openxmlformats.org/spreadsheetml/2006/main">
  <c r="J24" i="79" l="1"/>
  <c r="J23" i="79"/>
  <c r="K25" i="79"/>
  <c r="I25" i="79" l="1"/>
  <c r="J25" i="79" s="1"/>
  <c r="M17" i="79"/>
  <c r="L17" i="79"/>
  <c r="K17" i="79"/>
  <c r="J17" i="79"/>
  <c r="N17" i="79"/>
  <c r="M16" i="79"/>
  <c r="L16" i="79"/>
  <c r="K16" i="79"/>
  <c r="J16" i="79"/>
  <c r="N16" i="79"/>
  <c r="H14" i="79" l="1"/>
  <c r="I18" i="79"/>
  <c r="J18" i="79"/>
  <c r="K18" i="79"/>
  <c r="L18" i="79"/>
  <c r="M18" i="79"/>
  <c r="N18" i="79"/>
  <c r="F21" i="77"/>
  <c r="E21" i="77"/>
  <c r="E22" i="77" s="1"/>
  <c r="D21" i="77"/>
  <c r="D22" i="77" s="1"/>
  <c r="C21" i="77"/>
  <c r="E20" i="77"/>
  <c r="D20" i="77"/>
  <c r="C20" i="77"/>
  <c r="C22" i="77" s="1"/>
  <c r="F20" i="77"/>
  <c r="F22" i="77" s="1"/>
  <c r="E18" i="77"/>
  <c r="D18" i="77"/>
  <c r="C18" i="77"/>
  <c r="F18" i="77"/>
  <c r="E15" i="77"/>
  <c r="D15" i="77"/>
  <c r="C15" i="77"/>
  <c r="G15" i="77" s="1"/>
  <c r="F15" i="77"/>
  <c r="E14" i="77"/>
  <c r="D14" i="77"/>
  <c r="C14" i="77"/>
  <c r="F14" i="77"/>
  <c r="E12" i="77"/>
  <c r="D12" i="77"/>
  <c r="C12" i="77"/>
  <c r="G12" i="77" s="1"/>
  <c r="F12" i="77"/>
  <c r="N19" i="79" l="1"/>
  <c r="D11" i="77"/>
  <c r="E11" i="77" s="1"/>
  <c r="F11" i="77" s="1"/>
  <c r="B11" i="77"/>
  <c r="F6" i="77"/>
  <c r="F7" i="77" s="1"/>
  <c r="E6" i="77"/>
  <c r="E7" i="77" s="1"/>
  <c r="D6" i="77"/>
  <c r="D7" i="77" s="1"/>
  <c r="C6" i="77"/>
  <c r="C7" i="77" s="1"/>
  <c r="G6" i="77"/>
  <c r="G7" i="77" s="1"/>
  <c r="D4" i="77"/>
  <c r="E4" i="77" s="1"/>
  <c r="F4" i="77" s="1"/>
  <c r="G4" i="77" s="1"/>
  <c r="B4" i="77"/>
  <c r="H3" i="79"/>
  <c r="C17" i="79"/>
  <c r="C23" i="48"/>
  <c r="C26" i="81" s="1"/>
  <c r="C21" i="48"/>
  <c r="C24" i="81" s="1"/>
  <c r="I10" i="79"/>
  <c r="C6" i="43"/>
  <c r="C5" i="43"/>
  <c r="P5" i="75"/>
  <c r="C8" i="40"/>
  <c r="I6" i="35"/>
  <c r="H6" i="35"/>
  <c r="G6" i="35"/>
  <c r="F6" i="35"/>
  <c r="J6" i="35"/>
  <c r="I5" i="35"/>
  <c r="H5" i="35"/>
  <c r="G5" i="35"/>
  <c r="F5" i="35"/>
  <c r="J5" i="35"/>
  <c r="I8" i="32"/>
  <c r="H8" i="32"/>
  <c r="G8" i="32"/>
  <c r="F8" i="32"/>
  <c r="J8" i="32"/>
  <c r="I6" i="32"/>
  <c r="H6" i="32"/>
  <c r="G6" i="32"/>
  <c r="F6" i="32"/>
  <c r="J6" i="32"/>
  <c r="I5" i="32"/>
  <c r="H5" i="32"/>
  <c r="G5" i="32"/>
  <c r="F5" i="32"/>
  <c r="J5" i="32"/>
  <c r="F59" i="87"/>
  <c r="E59" i="87"/>
  <c r="D59" i="87"/>
  <c r="C59" i="87"/>
  <c r="G59" i="87"/>
  <c r="F57" i="87"/>
  <c r="E57" i="87"/>
  <c r="D57" i="87"/>
  <c r="G57" i="87"/>
  <c r="G52" i="87"/>
  <c r="F52" i="87"/>
  <c r="E52" i="87"/>
  <c r="D52" i="87"/>
  <c r="C52" i="87"/>
  <c r="G39" i="87"/>
  <c r="F39" i="87"/>
  <c r="E39" i="87"/>
  <c r="D39" i="87"/>
  <c r="C39" i="87"/>
  <c r="C30" i="87"/>
  <c r="C56" i="87" s="1"/>
  <c r="C58" i="87" s="1"/>
  <c r="D6" i="87"/>
  <c r="D30" i="87" s="1"/>
  <c r="D56" i="87" s="1"/>
  <c r="F6" i="87"/>
  <c r="F30" i="87" s="1"/>
  <c r="E6" i="87"/>
  <c r="E30" i="87" s="1"/>
  <c r="E56" i="87" s="1"/>
  <c r="G6" i="87"/>
  <c r="G30" i="87" s="1"/>
  <c r="G56" i="87" s="1"/>
  <c r="D4" i="87"/>
  <c r="E4" i="87" s="1"/>
  <c r="F4" i="87" s="1"/>
  <c r="G4" i="87" s="1"/>
  <c r="B4" i="87"/>
  <c r="I27" i="32"/>
  <c r="H27" i="32"/>
  <c r="G27" i="32"/>
  <c r="F27" i="32"/>
  <c r="J27" i="32"/>
  <c r="I20" i="32"/>
  <c r="H20" i="32"/>
  <c r="G20" i="32"/>
  <c r="F20" i="32"/>
  <c r="J20" i="32"/>
  <c r="I19" i="32"/>
  <c r="H19" i="32"/>
  <c r="G19" i="32"/>
  <c r="F19" i="32"/>
  <c r="J19" i="32"/>
  <c r="I18" i="32"/>
  <c r="H18" i="32"/>
  <c r="G18" i="32"/>
  <c r="F18" i="32"/>
  <c r="J18" i="32"/>
  <c r="I17" i="32"/>
  <c r="H17" i="32"/>
  <c r="G17" i="32"/>
  <c r="F17" i="32"/>
  <c r="J17" i="32"/>
  <c r="I16" i="32"/>
  <c r="H16" i="32"/>
  <c r="G16" i="32"/>
  <c r="F16" i="32"/>
  <c r="J16" i="32"/>
  <c r="I14" i="32"/>
  <c r="H14" i="32"/>
  <c r="G14" i="32"/>
  <c r="F14" i="32"/>
  <c r="J14" i="32"/>
  <c r="I13" i="32"/>
  <c r="H13" i="32"/>
  <c r="G13" i="32"/>
  <c r="F13" i="32"/>
  <c r="J13" i="32"/>
  <c r="I12" i="32"/>
  <c r="H12" i="32"/>
  <c r="G12" i="32"/>
  <c r="F12" i="32"/>
  <c r="J12" i="32"/>
  <c r="F47" i="49"/>
  <c r="E47" i="49"/>
  <c r="D47" i="49"/>
  <c r="C47" i="49"/>
  <c r="G47" i="49"/>
  <c r="F46" i="49"/>
  <c r="E46" i="49"/>
  <c r="D46" i="49"/>
  <c r="C46" i="49"/>
  <c r="G46" i="49"/>
  <c r="F45" i="49"/>
  <c r="E45" i="49"/>
  <c r="D45" i="49"/>
  <c r="C45" i="49"/>
  <c r="G45" i="49"/>
  <c r="F44" i="49"/>
  <c r="E44" i="49"/>
  <c r="D44" i="49"/>
  <c r="C44" i="49"/>
  <c r="G44" i="49"/>
  <c r="F34" i="49"/>
  <c r="E34" i="49"/>
  <c r="D34" i="49"/>
  <c r="C34" i="49"/>
  <c r="G34" i="49"/>
  <c r="F33" i="49"/>
  <c r="E33" i="49"/>
  <c r="D33" i="49"/>
  <c r="C33" i="49"/>
  <c r="G33" i="49"/>
  <c r="F32" i="49"/>
  <c r="E32" i="49"/>
  <c r="D32" i="49"/>
  <c r="C32" i="49"/>
  <c r="G32" i="49"/>
  <c r="F31" i="49"/>
  <c r="E31" i="49"/>
  <c r="D31" i="49"/>
  <c r="C31" i="49"/>
  <c r="G31" i="49"/>
  <c r="E42" i="85"/>
  <c r="E44" i="85" s="1"/>
  <c r="E41" i="85"/>
  <c r="E33" i="85"/>
  <c r="E27" i="85"/>
  <c r="E19" i="85"/>
  <c r="E11" i="85"/>
  <c r="G42" i="85"/>
  <c r="C44" i="85"/>
  <c r="F44" i="85"/>
  <c r="D44" i="85"/>
  <c r="G44" i="85"/>
  <c r="C41" i="85"/>
  <c r="C42" i="85" s="1"/>
  <c r="C33" i="85"/>
  <c r="C27" i="85"/>
  <c r="C19" i="85"/>
  <c r="C11" i="85"/>
  <c r="D42" i="85"/>
  <c r="D41" i="85"/>
  <c r="D33" i="85"/>
  <c r="D27" i="85"/>
  <c r="D19" i="85"/>
  <c r="D11" i="85"/>
  <c r="G41" i="85"/>
  <c r="F41" i="85"/>
  <c r="G33" i="85"/>
  <c r="F19" i="85"/>
  <c r="F33" i="85"/>
  <c r="F42" i="85" s="1"/>
  <c r="F27" i="85"/>
  <c r="G19" i="85"/>
  <c r="G11" i="85"/>
  <c r="F11" i="85"/>
  <c r="D4" i="85"/>
  <c r="E4" i="85" s="1"/>
  <c r="F4" i="85" s="1"/>
  <c r="G4" i="85" s="1"/>
  <c r="B4" i="85"/>
  <c r="F10" i="49"/>
  <c r="E10" i="49"/>
  <c r="D10" i="49"/>
  <c r="C10" i="49"/>
  <c r="G10" i="49"/>
  <c r="F9" i="49"/>
  <c r="E9" i="49"/>
  <c r="D9" i="49"/>
  <c r="C9" i="49"/>
  <c r="G9" i="49"/>
  <c r="F8" i="49"/>
  <c r="E8" i="49"/>
  <c r="D8" i="49"/>
  <c r="C8" i="49"/>
  <c r="G8" i="49"/>
  <c r="F6" i="49"/>
  <c r="E6" i="49"/>
  <c r="D6" i="49"/>
  <c r="C6" i="49"/>
  <c r="G6" i="49"/>
  <c r="F5" i="49"/>
  <c r="E5" i="49"/>
  <c r="D5" i="49"/>
  <c r="C5" i="49"/>
  <c r="G5" i="49"/>
  <c r="C7" i="84"/>
  <c r="D7" i="84"/>
  <c r="C20" i="84"/>
  <c r="D20" i="84"/>
  <c r="C13" i="84"/>
  <c r="C14" i="84" s="1"/>
  <c r="C21" i="84" s="1"/>
  <c r="C23" i="84" s="1"/>
  <c r="D13" i="84"/>
  <c r="D14" i="84" s="1"/>
  <c r="D21" i="84" s="1"/>
  <c r="D23" i="84" s="1"/>
  <c r="G20" i="84"/>
  <c r="F20" i="84"/>
  <c r="E20" i="84"/>
  <c r="G13" i="84"/>
  <c r="F13" i="84"/>
  <c r="E13" i="84"/>
  <c r="E14" i="84" s="1"/>
  <c r="E21" i="84" s="1"/>
  <c r="E23" i="84" s="1"/>
  <c r="G7" i="84"/>
  <c r="F7" i="84"/>
  <c r="E7" i="84"/>
  <c r="D4" i="84"/>
  <c r="E4" i="84" s="1"/>
  <c r="F4" i="84" s="1"/>
  <c r="G4" i="84" s="1"/>
  <c r="B4" i="84"/>
  <c r="G8" i="77" l="1"/>
  <c r="D58" i="87"/>
  <c r="F56" i="87"/>
  <c r="F58" i="87" s="1"/>
  <c r="E58" i="87"/>
  <c r="G58" i="87"/>
  <c r="G14" i="84"/>
  <c r="G21" i="84" s="1"/>
  <c r="G23" i="84" s="1"/>
  <c r="F14" i="84"/>
  <c r="F21" i="84" s="1"/>
  <c r="F23" i="84" s="1"/>
  <c r="E16" i="68"/>
  <c r="C11" i="24"/>
  <c r="C57" i="69"/>
  <c r="C56" i="69"/>
  <c r="C55" i="69"/>
  <c r="C54" i="69"/>
  <c r="C53" i="69"/>
  <c r="C52" i="69"/>
  <c r="C51" i="69"/>
  <c r="C50" i="69"/>
  <c r="C49" i="69"/>
  <c r="C48" i="69"/>
  <c r="AB3" i="28"/>
  <c r="C45" i="69"/>
  <c r="C44" i="69"/>
  <c r="C43" i="69"/>
  <c r="C42" i="69"/>
  <c r="C41" i="69"/>
  <c r="C40" i="69"/>
  <c r="C39" i="69"/>
  <c r="C38" i="69"/>
  <c r="C37" i="69"/>
  <c r="C36" i="69"/>
  <c r="C35" i="69"/>
  <c r="C5" i="69"/>
  <c r="I11" i="71"/>
  <c r="C3" i="71" s="1"/>
  <c r="H10" i="71"/>
  <c r="H9" i="71"/>
  <c r="H8" i="71"/>
  <c r="J7" i="71"/>
  <c r="H7" i="71"/>
  <c r="I5" i="71"/>
  <c r="I13" i="71" s="1"/>
  <c r="C13" i="71" s="1"/>
  <c r="H5" i="71"/>
  <c r="P12" i="81"/>
  <c r="D6" i="81"/>
  <c r="D5" i="81" s="1"/>
  <c r="M6" i="81"/>
  <c r="L6" i="81"/>
  <c r="K6" i="81"/>
  <c r="J6" i="81"/>
  <c r="I6" i="81"/>
  <c r="H6" i="81"/>
  <c r="G6" i="81"/>
  <c r="F6" i="81"/>
  <c r="E6" i="81"/>
  <c r="M7" i="81"/>
  <c r="C28" i="81"/>
  <c r="B4" i="81"/>
  <c r="J9" i="71" l="1"/>
  <c r="C15" i="71"/>
  <c r="C14" i="71"/>
  <c r="C5" i="71"/>
  <c r="K11" i="71"/>
  <c r="J13" i="71" s="1"/>
  <c r="K5" i="71"/>
  <c r="J8" i="71"/>
  <c r="F11" i="71" s="1"/>
  <c r="J10" i="71"/>
  <c r="E5" i="81"/>
  <c r="J11" i="71" l="1"/>
  <c r="H11" i="71"/>
  <c r="H13" i="71" s="1"/>
  <c r="F13" i="71"/>
  <c r="F5" i="81"/>
  <c r="G5" i="81" l="1"/>
  <c r="H5" i="81" l="1"/>
  <c r="I5" i="81" l="1"/>
  <c r="J5" i="81" l="1"/>
  <c r="K5" i="81" l="1"/>
  <c r="L5" i="81" l="1"/>
  <c r="M5" i="81" l="1"/>
  <c r="E12" i="57" l="1"/>
  <c r="F12" i="57" s="1"/>
  <c r="G12" i="57" s="1"/>
  <c r="H12" i="57" s="1"/>
  <c r="I12" i="57" s="1"/>
  <c r="J12" i="57" s="1"/>
  <c r="K12" i="57" s="1"/>
  <c r="L12" i="57" s="1"/>
  <c r="M12" i="57" s="1"/>
  <c r="D12" i="57"/>
  <c r="B12" i="57"/>
  <c r="D6" i="57"/>
  <c r="F6" i="57"/>
  <c r="F7" i="57"/>
  <c r="E7" i="57"/>
  <c r="D7" i="57"/>
  <c r="C7" i="57"/>
  <c r="G7" i="57"/>
  <c r="G8" i="57" s="1"/>
  <c r="C13" i="57" s="1"/>
  <c r="D5" i="57"/>
  <c r="E5" i="57" s="1"/>
  <c r="F5" i="57" s="1"/>
  <c r="G5" i="57" s="1"/>
  <c r="B5" i="57"/>
  <c r="C25" i="48"/>
  <c r="B11" i="48"/>
  <c r="B4" i="48"/>
  <c r="C7" i="43"/>
  <c r="B4" i="43"/>
  <c r="B4" i="40"/>
  <c r="C7" i="75"/>
  <c r="C6" i="75" s="1"/>
  <c r="H5" i="75"/>
  <c r="G5" i="75"/>
  <c r="F5" i="75"/>
  <c r="E5" i="75"/>
  <c r="D5" i="75"/>
  <c r="C5" i="75"/>
  <c r="B4" i="80"/>
  <c r="M29" i="80"/>
  <c r="L29" i="80"/>
  <c r="K29" i="80"/>
  <c r="J29" i="80"/>
  <c r="I29" i="80"/>
  <c r="H29" i="80"/>
  <c r="G29" i="80"/>
  <c r="F29" i="80"/>
  <c r="E29" i="80"/>
  <c r="D29" i="80"/>
  <c r="C29" i="80"/>
  <c r="M27" i="80"/>
  <c r="L27" i="80"/>
  <c r="K27" i="80"/>
  <c r="J27" i="80"/>
  <c r="I27" i="80"/>
  <c r="H27" i="80"/>
  <c r="G27" i="80"/>
  <c r="F27" i="80"/>
  <c r="E27" i="80"/>
  <c r="D27" i="80"/>
  <c r="C27" i="80"/>
  <c r="C14" i="80"/>
  <c r="K14" i="80"/>
  <c r="G14" i="80"/>
  <c r="M14" i="80"/>
  <c r="L14" i="80"/>
  <c r="J14" i="80"/>
  <c r="I14" i="80"/>
  <c r="H14" i="80"/>
  <c r="F14" i="80"/>
  <c r="E14" i="80"/>
  <c r="D14" i="80"/>
  <c r="D4" i="80"/>
  <c r="E4" i="80" s="1"/>
  <c r="F4" i="80" s="1"/>
  <c r="G4" i="80" s="1"/>
  <c r="H4" i="80" s="1"/>
  <c r="I4" i="80" s="1"/>
  <c r="J4" i="80" s="1"/>
  <c r="K4" i="80" s="1"/>
  <c r="L4" i="80" s="1"/>
  <c r="M4" i="80" s="1"/>
  <c r="B4" i="75"/>
  <c r="E3" i="39"/>
  <c r="B3" i="67"/>
  <c r="C14" i="57" l="1"/>
  <c r="G4" i="35"/>
  <c r="H4" i="35" s="1"/>
  <c r="I4" i="35" s="1"/>
  <c r="J4" i="35" s="1"/>
  <c r="E4" i="35"/>
  <c r="B15" i="35"/>
  <c r="B4" i="35"/>
  <c r="F15" i="32"/>
  <c r="G11" i="32"/>
  <c r="H11" i="32" s="1"/>
  <c r="I11" i="32" s="1"/>
  <c r="J11" i="32" s="1"/>
  <c r="E11" i="32"/>
  <c r="G4" i="32"/>
  <c r="H4" i="32" s="1"/>
  <c r="I4" i="32" s="1"/>
  <c r="J4" i="32" s="1"/>
  <c r="E4" i="32"/>
  <c r="B28" i="32"/>
  <c r="B16" i="32"/>
  <c r="B4" i="32"/>
  <c r="F19" i="49"/>
  <c r="E19" i="49"/>
  <c r="D19" i="49"/>
  <c r="C19" i="49"/>
  <c r="G19" i="49"/>
  <c r="F15" i="49"/>
  <c r="E15" i="49"/>
  <c r="D15" i="49"/>
  <c r="C15" i="49"/>
  <c r="G15" i="49"/>
  <c r="O45" i="49" l="1"/>
  <c r="L43" i="49"/>
  <c r="J35" i="49"/>
  <c r="K31" i="49"/>
  <c r="L30" i="49"/>
  <c r="K30" i="49"/>
  <c r="M29" i="49"/>
  <c r="L29" i="49"/>
  <c r="K29" i="49"/>
  <c r="M27" i="49"/>
  <c r="M36" i="49" s="1"/>
  <c r="L27" i="49"/>
  <c r="L36" i="49" s="1"/>
  <c r="K27" i="49"/>
  <c r="K38" i="49" s="1"/>
  <c r="J27" i="49"/>
  <c r="J44" i="49" s="1"/>
  <c r="O44" i="49" s="1"/>
  <c r="N27" i="49"/>
  <c r="N35" i="49" s="1"/>
  <c r="K26" i="49"/>
  <c r="L26" i="49" s="1"/>
  <c r="M26" i="49" s="1"/>
  <c r="N26" i="49" s="1"/>
  <c r="O23" i="49"/>
  <c r="K21" i="49"/>
  <c r="L21" i="49"/>
  <c r="K9" i="49"/>
  <c r="K8" i="49"/>
  <c r="L8" i="49"/>
  <c r="K7" i="49"/>
  <c r="M7" i="49"/>
  <c r="M5" i="49"/>
  <c r="L5" i="49"/>
  <c r="L20" i="49" s="1"/>
  <c r="K5" i="49"/>
  <c r="K20" i="49" s="1"/>
  <c r="J5" i="49"/>
  <c r="J21" i="49" s="1"/>
  <c r="N5" i="49"/>
  <c r="K4" i="49"/>
  <c r="L4" i="49" s="1"/>
  <c r="M4" i="49" s="1"/>
  <c r="N4" i="49" s="1"/>
  <c r="I26" i="49"/>
  <c r="I4" i="49"/>
  <c r="D43" i="49"/>
  <c r="E43" i="49" s="1"/>
  <c r="F43" i="49" s="1"/>
  <c r="G43" i="49" s="1"/>
  <c r="B43" i="49"/>
  <c r="B29" i="49"/>
  <c r="B4" i="49"/>
  <c r="D29" i="49"/>
  <c r="E29" i="49" s="1"/>
  <c r="F29" i="49" s="1"/>
  <c r="G29" i="49" s="1"/>
  <c r="D4" i="49"/>
  <c r="E4" i="49" s="1"/>
  <c r="F4" i="49" s="1"/>
  <c r="G4" i="49" s="1"/>
  <c r="B23" i="23"/>
  <c r="B21" i="23"/>
  <c r="B15" i="23"/>
  <c r="B7" i="23"/>
  <c r="B6" i="23"/>
  <c r="B12" i="23"/>
  <c r="B5" i="23"/>
  <c r="C4" i="68"/>
  <c r="C3" i="68"/>
  <c r="B4" i="68"/>
  <c r="B3" i="68"/>
  <c r="C13" i="68"/>
  <c r="H12" i="24"/>
  <c r="B28" i="79"/>
  <c r="F12" i="24"/>
  <c r="B27" i="79"/>
  <c r="B26" i="79"/>
  <c r="B25" i="79"/>
  <c r="E12" i="24"/>
  <c r="C4" i="24"/>
  <c r="C5" i="24" s="1"/>
  <c r="C3" i="24"/>
  <c r="B22" i="79"/>
  <c r="D205" i="67"/>
  <c r="C15" i="24"/>
  <c r="K42" i="49" l="1"/>
  <c r="O21" i="49"/>
  <c r="K16" i="49"/>
  <c r="M14" i="49"/>
  <c r="M13" i="49"/>
  <c r="K35" i="49"/>
  <c r="J36" i="49"/>
  <c r="J38" i="49"/>
  <c r="O38" i="49" s="1"/>
  <c r="M41" i="49"/>
  <c r="K43" i="49"/>
  <c r="L37" i="49"/>
  <c r="L41" i="49"/>
  <c r="J14" i="49"/>
  <c r="J19" i="49"/>
  <c r="J15" i="49"/>
  <c r="J17" i="49"/>
  <c r="O17" i="49" s="1"/>
  <c r="J13" i="49"/>
  <c r="J22" i="49"/>
  <c r="O22" i="49" s="1"/>
  <c r="L35" i="49"/>
  <c r="J37" i="49"/>
  <c r="J41" i="49"/>
  <c r="L42" i="49"/>
  <c r="J43" i="49"/>
  <c r="L15" i="49"/>
  <c r="L14" i="49"/>
  <c r="L19" i="49"/>
  <c r="K14" i="49"/>
  <c r="K13" i="49"/>
  <c r="K15" i="49"/>
  <c r="J16" i="49"/>
  <c r="O16" i="49" s="1"/>
  <c r="K19" i="49"/>
  <c r="J20" i="49"/>
  <c r="O20" i="49" s="1"/>
  <c r="K36" i="49"/>
  <c r="M35" i="49"/>
  <c r="K37" i="49"/>
  <c r="J39" i="49"/>
  <c r="O39" i="49" s="1"/>
  <c r="K41" i="49"/>
  <c r="J42" i="49"/>
  <c r="J205" i="39"/>
  <c r="O35" i="49" l="1"/>
  <c r="O41" i="49"/>
  <c r="O14" i="49"/>
  <c r="O37" i="49"/>
  <c r="O42" i="49"/>
  <c r="O43" i="49"/>
  <c r="O15" i="49"/>
  <c r="O36" i="49"/>
  <c r="H185" i="39"/>
  <c r="H180" i="39"/>
  <c r="C25" i="39"/>
  <c r="C24" i="39"/>
  <c r="C23" i="39"/>
  <c r="C8" i="83" s="1"/>
  <c r="C22" i="39"/>
  <c r="M10" i="75" s="1"/>
  <c r="G204" i="39"/>
  <c r="I204" i="39" s="1"/>
  <c r="G203" i="39"/>
  <c r="I203" i="39" s="1"/>
  <c r="G202" i="39"/>
  <c r="I202" i="39" s="1"/>
  <c r="G201" i="39"/>
  <c r="G200" i="39"/>
  <c r="I200" i="39" s="1"/>
  <c r="G198" i="39"/>
  <c r="G197" i="39"/>
  <c r="I197" i="39" s="1"/>
  <c r="G196" i="39"/>
  <c r="I196" i="39" s="1"/>
  <c r="G193" i="39"/>
  <c r="I193" i="39" s="1"/>
  <c r="G192" i="39"/>
  <c r="I192" i="39" s="1"/>
  <c r="G191" i="39"/>
  <c r="I191" i="39" s="1"/>
  <c r="G190" i="39"/>
  <c r="I190" i="39" s="1"/>
  <c r="G189" i="39"/>
  <c r="I189" i="39" s="1"/>
  <c r="G188" i="39"/>
  <c r="I188" i="39" s="1"/>
  <c r="G187" i="39"/>
  <c r="I187" i="39" s="1"/>
  <c r="G186" i="39"/>
  <c r="I186" i="39" s="1"/>
  <c r="G185" i="39"/>
  <c r="G184" i="39"/>
  <c r="I184" i="39" s="1"/>
  <c r="G183" i="39"/>
  <c r="I183" i="39" s="1"/>
  <c r="G182" i="39"/>
  <c r="I182" i="39" s="1"/>
  <c r="G181" i="39"/>
  <c r="I181" i="39" s="1"/>
  <c r="G180" i="39"/>
  <c r="G179" i="39"/>
  <c r="I179" i="39" s="1"/>
  <c r="G178" i="39"/>
  <c r="I178" i="39" s="1"/>
  <c r="G177" i="39"/>
  <c r="I177" i="39" s="1"/>
  <c r="G176" i="39"/>
  <c r="I176" i="39" s="1"/>
  <c r="G175" i="39"/>
  <c r="I175" i="39" s="1"/>
  <c r="G174" i="39"/>
  <c r="I174" i="39" s="1"/>
  <c r="G173" i="39"/>
  <c r="I173" i="39" s="1"/>
  <c r="G172" i="39"/>
  <c r="I172" i="39" s="1"/>
  <c r="G171" i="39"/>
  <c r="I171" i="39" s="1"/>
  <c r="G170" i="39"/>
  <c r="I170" i="39" s="1"/>
  <c r="G169" i="39"/>
  <c r="I169" i="39" s="1"/>
  <c r="G168" i="39"/>
  <c r="I168" i="39" s="1"/>
  <c r="G167" i="39"/>
  <c r="I167" i="39" s="1"/>
  <c r="G166" i="39"/>
  <c r="G165" i="39"/>
  <c r="I165" i="39" s="1"/>
  <c r="G164" i="39"/>
  <c r="G163" i="39"/>
  <c r="I163" i="39" s="1"/>
  <c r="G162" i="39"/>
  <c r="I162" i="39" s="1"/>
  <c r="G161" i="39"/>
  <c r="I161" i="39" s="1"/>
  <c r="G160" i="39"/>
  <c r="I160" i="39" s="1"/>
  <c r="G159" i="39"/>
  <c r="I159" i="39" s="1"/>
  <c r="G158" i="39"/>
  <c r="I158" i="39" s="1"/>
  <c r="G157" i="39"/>
  <c r="I157" i="39" s="1"/>
  <c r="G156" i="39"/>
  <c r="I156" i="39" s="1"/>
  <c r="G155" i="39"/>
  <c r="I155" i="39" s="1"/>
  <c r="G154" i="39"/>
  <c r="I154" i="39" s="1"/>
  <c r="G153" i="39"/>
  <c r="I153" i="39" s="1"/>
  <c r="G152" i="39"/>
  <c r="I152" i="39" s="1"/>
  <c r="G151" i="39"/>
  <c r="I151" i="39" s="1"/>
  <c r="G150" i="39"/>
  <c r="I150" i="39" s="1"/>
  <c r="G149" i="39"/>
  <c r="I149" i="39" s="1"/>
  <c r="G148" i="39"/>
  <c r="I148" i="39" s="1"/>
  <c r="G147" i="39"/>
  <c r="I147" i="39" s="1"/>
  <c r="G146" i="39"/>
  <c r="I146" i="39" s="1"/>
  <c r="G145" i="39"/>
  <c r="I145" i="39" s="1"/>
  <c r="G144" i="39"/>
  <c r="I144" i="39" s="1"/>
  <c r="G143" i="39"/>
  <c r="I143" i="39" s="1"/>
  <c r="G142" i="39"/>
  <c r="I142" i="39" s="1"/>
  <c r="G141" i="39"/>
  <c r="I141" i="39" s="1"/>
  <c r="G140" i="39"/>
  <c r="I140" i="39" s="1"/>
  <c r="G139" i="39"/>
  <c r="I139" i="39" s="1"/>
  <c r="G138" i="39"/>
  <c r="I138" i="39" s="1"/>
  <c r="G137" i="39"/>
  <c r="I137" i="39" s="1"/>
  <c r="G136" i="39"/>
  <c r="I136" i="39" s="1"/>
  <c r="G135" i="39"/>
  <c r="I135" i="39" s="1"/>
  <c r="G134" i="39"/>
  <c r="I134" i="39" s="1"/>
  <c r="G133" i="39"/>
  <c r="I133" i="39" s="1"/>
  <c r="G132" i="39"/>
  <c r="I132" i="39" s="1"/>
  <c r="G131" i="39"/>
  <c r="I131" i="39" s="1"/>
  <c r="G130" i="39"/>
  <c r="I130" i="39" s="1"/>
  <c r="G129" i="39"/>
  <c r="I129" i="39" s="1"/>
  <c r="G128" i="39"/>
  <c r="I128" i="39" s="1"/>
  <c r="G127" i="39"/>
  <c r="I127" i="39" s="1"/>
  <c r="G126" i="39"/>
  <c r="I126" i="39" s="1"/>
  <c r="G125" i="39"/>
  <c r="I125" i="39" s="1"/>
  <c r="G124" i="39"/>
  <c r="I124" i="39" s="1"/>
  <c r="G123" i="39"/>
  <c r="I123" i="39" s="1"/>
  <c r="G122" i="39"/>
  <c r="I122" i="39" s="1"/>
  <c r="G121" i="39"/>
  <c r="I121" i="39" s="1"/>
  <c r="G120" i="39"/>
  <c r="I120" i="39" s="1"/>
  <c r="G119" i="39"/>
  <c r="I119" i="39" s="1"/>
  <c r="G118" i="39"/>
  <c r="I118" i="39" s="1"/>
  <c r="G117" i="39"/>
  <c r="I117" i="39" s="1"/>
  <c r="G116" i="39"/>
  <c r="I116" i="39" s="1"/>
  <c r="G115" i="39"/>
  <c r="I115" i="39" s="1"/>
  <c r="G114" i="39"/>
  <c r="I114" i="39" s="1"/>
  <c r="G113" i="39"/>
  <c r="I113" i="39" s="1"/>
  <c r="G112" i="39"/>
  <c r="I112" i="39" s="1"/>
  <c r="G111" i="39"/>
  <c r="I111" i="39" s="1"/>
  <c r="G110" i="39"/>
  <c r="I110" i="39" s="1"/>
  <c r="G109" i="39"/>
  <c r="I109" i="39" s="1"/>
  <c r="G108" i="39"/>
  <c r="I108" i="39" s="1"/>
  <c r="G107" i="39"/>
  <c r="I107" i="39" s="1"/>
  <c r="G106" i="39"/>
  <c r="I106" i="39" s="1"/>
  <c r="G105" i="39"/>
  <c r="I105" i="39" s="1"/>
  <c r="G104" i="39"/>
  <c r="I104" i="39" s="1"/>
  <c r="G103" i="39"/>
  <c r="I103" i="39" s="1"/>
  <c r="G102" i="39"/>
  <c r="I102" i="39" s="1"/>
  <c r="G101" i="39"/>
  <c r="I101" i="39" s="1"/>
  <c r="G100" i="39"/>
  <c r="I100" i="39" s="1"/>
  <c r="G99" i="39"/>
  <c r="I99" i="39" s="1"/>
  <c r="G98" i="39"/>
  <c r="I98" i="39" s="1"/>
  <c r="G97" i="39"/>
  <c r="I97" i="39" s="1"/>
  <c r="G96" i="39"/>
  <c r="I96" i="39" s="1"/>
  <c r="G95" i="39"/>
  <c r="I95" i="39" s="1"/>
  <c r="G94" i="39"/>
  <c r="I94" i="39" s="1"/>
  <c r="G93" i="39"/>
  <c r="I93" i="39" s="1"/>
  <c r="G92" i="39"/>
  <c r="I92" i="39" s="1"/>
  <c r="G91" i="39"/>
  <c r="I91" i="39" s="1"/>
  <c r="G90" i="39"/>
  <c r="I90" i="39" s="1"/>
  <c r="G89" i="39"/>
  <c r="I89" i="39" s="1"/>
  <c r="G88" i="39"/>
  <c r="I88" i="39" s="1"/>
  <c r="G87" i="39"/>
  <c r="I87" i="39" s="1"/>
  <c r="G86" i="39"/>
  <c r="I86" i="39" s="1"/>
  <c r="G84" i="39"/>
  <c r="I84" i="39" s="1"/>
  <c r="G83" i="39"/>
  <c r="I83" i="39" s="1"/>
  <c r="G82" i="39"/>
  <c r="I82" i="39" s="1"/>
  <c r="G81" i="39"/>
  <c r="I81" i="39" s="1"/>
  <c r="G80" i="39"/>
  <c r="I80" i="39" s="1"/>
  <c r="G79" i="39"/>
  <c r="I79" i="39" s="1"/>
  <c r="G78" i="39"/>
  <c r="I78" i="39" s="1"/>
  <c r="G77" i="39"/>
  <c r="I77" i="39" s="1"/>
  <c r="G76" i="39"/>
  <c r="I76" i="39" s="1"/>
  <c r="G75" i="39"/>
  <c r="I75" i="39" s="1"/>
  <c r="G74" i="39"/>
  <c r="I74" i="39" s="1"/>
  <c r="G73" i="39"/>
  <c r="I73" i="39" s="1"/>
  <c r="G70" i="39"/>
  <c r="I70" i="39" s="1"/>
  <c r="G69" i="39"/>
  <c r="I69" i="39" s="1"/>
  <c r="G68" i="39"/>
  <c r="I68" i="39" s="1"/>
  <c r="G67" i="39"/>
  <c r="I67" i="39" s="1"/>
  <c r="G66" i="39"/>
  <c r="I66" i="39" s="1"/>
  <c r="G65" i="39"/>
  <c r="I65" i="39" s="1"/>
  <c r="G64" i="39"/>
  <c r="I64" i="39" s="1"/>
  <c r="G63" i="39"/>
  <c r="I63" i="39" s="1"/>
  <c r="G62" i="39"/>
  <c r="I62" i="39" s="1"/>
  <c r="G61" i="39"/>
  <c r="I61" i="39" s="1"/>
  <c r="G60" i="39"/>
  <c r="I60" i="39" s="1"/>
  <c r="G59" i="39"/>
  <c r="I59" i="39" s="1"/>
  <c r="G58" i="39"/>
  <c r="I58" i="39" s="1"/>
  <c r="G57" i="39"/>
  <c r="I57" i="39" s="1"/>
  <c r="G56" i="39"/>
  <c r="I56" i="39" s="1"/>
  <c r="G55" i="39"/>
  <c r="I55" i="39" s="1"/>
  <c r="G54" i="39"/>
  <c r="I54" i="39" s="1"/>
  <c r="G53" i="39"/>
  <c r="I53" i="39" s="1"/>
  <c r="G52" i="39"/>
  <c r="I52" i="39" s="1"/>
  <c r="G51" i="39"/>
  <c r="I51" i="39" s="1"/>
  <c r="G50" i="39"/>
  <c r="I50" i="39" s="1"/>
  <c r="G49" i="39"/>
  <c r="I49" i="39" s="1"/>
  <c r="G48" i="39"/>
  <c r="I48" i="39" s="1"/>
  <c r="G47" i="39"/>
  <c r="I47" i="39" s="1"/>
  <c r="G46" i="39"/>
  <c r="I46" i="39" s="1"/>
  <c r="G45" i="39"/>
  <c r="I45" i="39" s="1"/>
  <c r="G44" i="39"/>
  <c r="I44" i="39" s="1"/>
  <c r="G43" i="39"/>
  <c r="I43" i="39" s="1"/>
  <c r="G42" i="39"/>
  <c r="I42" i="39" s="1"/>
  <c r="G41" i="39"/>
  <c r="I41" i="39" s="1"/>
  <c r="G40" i="39"/>
  <c r="I40" i="39" s="1"/>
  <c r="G39" i="39"/>
  <c r="I39" i="39" s="1"/>
  <c r="G38" i="39"/>
  <c r="I38" i="39" s="1"/>
  <c r="G37" i="39"/>
  <c r="I37" i="39" s="1"/>
  <c r="G36" i="39"/>
  <c r="I36" i="39" s="1"/>
  <c r="G35" i="39"/>
  <c r="I35" i="39" s="1"/>
  <c r="G34" i="39"/>
  <c r="I34" i="39" s="1"/>
  <c r="G33" i="39"/>
  <c r="I33" i="39" s="1"/>
  <c r="G32" i="39"/>
  <c r="I32" i="39" s="1"/>
  <c r="G31" i="39"/>
  <c r="I31" i="39" s="1"/>
  <c r="G30" i="39"/>
  <c r="I30" i="39" s="1"/>
  <c r="G29" i="39"/>
  <c r="I29" i="39" s="1"/>
  <c r="G28" i="39"/>
  <c r="I28" i="39" s="1"/>
  <c r="G27" i="39"/>
  <c r="I27" i="39" s="1"/>
  <c r="G26" i="39"/>
  <c r="I26" i="39" s="1"/>
  <c r="G25" i="39"/>
  <c r="I25" i="39" s="1"/>
  <c r="G24" i="39"/>
  <c r="I24" i="39" s="1"/>
  <c r="G23" i="39"/>
  <c r="I23" i="39" s="1"/>
  <c r="G22" i="39"/>
  <c r="I22" i="39" s="1"/>
  <c r="G21" i="39"/>
  <c r="I21" i="39" s="1"/>
  <c r="G20" i="39"/>
  <c r="I20" i="39" s="1"/>
  <c r="G19" i="39"/>
  <c r="I19" i="39" s="1"/>
  <c r="G18" i="39"/>
  <c r="I18" i="39" s="1"/>
  <c r="G17" i="39"/>
  <c r="I17" i="39" s="1"/>
  <c r="G16" i="39"/>
  <c r="I16" i="39" s="1"/>
  <c r="G15" i="39"/>
  <c r="I15" i="39" s="1"/>
  <c r="G14" i="39"/>
  <c r="I14" i="39" s="1"/>
  <c r="G13" i="39"/>
  <c r="I13" i="39" s="1"/>
  <c r="G12" i="39"/>
  <c r="I12" i="39" s="1"/>
  <c r="G11" i="39"/>
  <c r="I11" i="39" s="1"/>
  <c r="G10" i="39"/>
  <c r="I10" i="39" s="1"/>
  <c r="G9" i="39"/>
  <c r="I9" i="39" s="1"/>
  <c r="G8" i="39"/>
  <c r="I8" i="39" s="1"/>
  <c r="G7" i="39"/>
  <c r="I7" i="39" s="1"/>
  <c r="G6" i="39"/>
  <c r="I6" i="39" s="1"/>
  <c r="K6" i="35"/>
  <c r="C24" i="35" s="1"/>
  <c r="K5" i="35"/>
  <c r="C25" i="35" s="1"/>
  <c r="C48" i="49"/>
  <c r="D48" i="49"/>
  <c r="E52" i="49"/>
  <c r="F52" i="49"/>
  <c r="G48" i="49"/>
  <c r="C52" i="49" l="1"/>
  <c r="E48" i="49"/>
  <c r="F48" i="49"/>
  <c r="G52" i="49"/>
  <c r="D52" i="49"/>
  <c r="I205" i="39"/>
  <c r="C17" i="39"/>
  <c r="C18" i="39"/>
  <c r="C15" i="39"/>
  <c r="C16" i="39"/>
  <c r="F21" i="32"/>
  <c r="H21" i="32"/>
  <c r="G21" i="32"/>
  <c r="J21" i="32"/>
  <c r="I21" i="32"/>
  <c r="H15" i="32"/>
  <c r="G15" i="32"/>
  <c r="J15" i="32"/>
  <c r="I15" i="32"/>
  <c r="K8" i="32"/>
  <c r="K6" i="32"/>
  <c r="K5" i="32"/>
  <c r="G7" i="49"/>
  <c r="P7" i="81" l="1"/>
  <c r="J18" i="75"/>
  <c r="F18" i="75"/>
  <c r="M18" i="75"/>
  <c r="I18" i="75"/>
  <c r="E18" i="75"/>
  <c r="K18" i="75"/>
  <c r="G18" i="75"/>
  <c r="L18" i="75"/>
  <c r="H18" i="75"/>
  <c r="D18" i="75"/>
  <c r="I11" i="68"/>
  <c r="F17" i="68" s="1"/>
  <c r="H10" i="68"/>
  <c r="H9" i="68"/>
  <c r="H8" i="68"/>
  <c r="H7" i="68"/>
  <c r="I5" i="68"/>
  <c r="O198" i="67"/>
  <c r="O197" i="67"/>
  <c r="O196" i="67"/>
  <c r="O193" i="67"/>
  <c r="O192" i="67"/>
  <c r="O189" i="67"/>
  <c r="O188" i="67"/>
  <c r="O186" i="67"/>
  <c r="O184" i="67"/>
  <c r="O183" i="67"/>
  <c r="O182" i="67"/>
  <c r="O181" i="67"/>
  <c r="O178" i="67"/>
  <c r="O177" i="67"/>
  <c r="O176" i="67"/>
  <c r="O172" i="67"/>
  <c r="O171" i="67"/>
  <c r="O170" i="67"/>
  <c r="O168" i="67"/>
  <c r="O164" i="67"/>
  <c r="O162" i="67"/>
  <c r="O160" i="67"/>
  <c r="O159" i="67"/>
  <c r="O158" i="67"/>
  <c r="O157" i="67"/>
  <c r="O155" i="67"/>
  <c r="O154" i="67"/>
  <c r="O153" i="67"/>
  <c r="O152" i="67"/>
  <c r="O149" i="67"/>
  <c r="O148" i="67"/>
  <c r="O147" i="67"/>
  <c r="O146" i="67"/>
  <c r="O143" i="67"/>
  <c r="O142" i="67"/>
  <c r="O141" i="67"/>
  <c r="O140" i="67"/>
  <c r="O139" i="67"/>
  <c r="O137" i="67"/>
  <c r="O136" i="67"/>
  <c r="O135" i="67"/>
  <c r="O134" i="67"/>
  <c r="O130" i="67"/>
  <c r="O123" i="67"/>
  <c r="O122" i="67"/>
  <c r="O121" i="67"/>
  <c r="O118" i="67"/>
  <c r="O117" i="67"/>
  <c r="O116" i="67"/>
  <c r="O115" i="67"/>
  <c r="O114" i="67"/>
  <c r="O112" i="67"/>
  <c r="O110" i="67"/>
  <c r="O109" i="67"/>
  <c r="O107" i="67"/>
  <c r="O105" i="67"/>
  <c r="O99" i="67"/>
  <c r="O98" i="67"/>
  <c r="O97" i="67"/>
  <c r="O96" i="67"/>
  <c r="O91" i="67"/>
  <c r="O84" i="67"/>
  <c r="O81" i="67"/>
  <c r="O80" i="67"/>
  <c r="O79" i="67"/>
  <c r="O78" i="67"/>
  <c r="O76" i="67"/>
  <c r="O69" i="67"/>
  <c r="O66" i="67"/>
  <c r="O64" i="67"/>
  <c r="O63" i="67"/>
  <c r="O60" i="67"/>
  <c r="O57" i="67"/>
  <c r="O50" i="67"/>
  <c r="O44" i="67"/>
  <c r="O40" i="67"/>
  <c r="O35" i="67"/>
  <c r="O33" i="67"/>
  <c r="O32" i="67"/>
  <c r="O30" i="67"/>
  <c r="O27" i="67"/>
  <c r="O26" i="67"/>
  <c r="O25" i="67"/>
  <c r="O23" i="67"/>
  <c r="O20" i="67"/>
  <c r="O18" i="67"/>
  <c r="O16" i="67"/>
  <c r="O12" i="67"/>
  <c r="O11" i="67"/>
  <c r="O10" i="67"/>
  <c r="O9" i="67"/>
  <c r="O8" i="67"/>
  <c r="O7" i="67"/>
  <c r="O6" i="67"/>
  <c r="M9" i="81" l="1"/>
  <c r="M10" i="81" s="1"/>
  <c r="E9" i="81"/>
  <c r="E10" i="81" s="1"/>
  <c r="D9" i="81"/>
  <c r="D10" i="81" s="1"/>
  <c r="F9" i="81"/>
  <c r="F10" i="81" s="1"/>
  <c r="I9" i="81"/>
  <c r="I10" i="81" s="1"/>
  <c r="K9" i="81"/>
  <c r="K10" i="81" s="1"/>
  <c r="L9" i="81"/>
  <c r="L10" i="81" s="1"/>
  <c r="J9" i="81"/>
  <c r="J10" i="81" s="1"/>
  <c r="G9" i="81"/>
  <c r="G10" i="81" s="1"/>
  <c r="H9" i="81"/>
  <c r="H10" i="81" s="1"/>
  <c r="J8" i="68"/>
  <c r="J9" i="68"/>
  <c r="I13" i="68"/>
  <c r="K5" i="68" s="1"/>
  <c r="J10" i="68"/>
  <c r="J7" i="68"/>
  <c r="O205" i="67"/>
  <c r="K11" i="68" l="1"/>
  <c r="J13" i="68" s="1"/>
  <c r="F11" i="68"/>
  <c r="J11" i="68"/>
  <c r="H11" i="68"/>
  <c r="F20" i="68" s="1"/>
  <c r="K171" i="67"/>
  <c r="K182" i="67"/>
  <c r="K188" i="67"/>
  <c r="K200" i="67"/>
  <c r="K197" i="67"/>
  <c r="K196" i="67"/>
  <c r="K193" i="67"/>
  <c r="K192" i="67"/>
  <c r="K191" i="67"/>
  <c r="K190" i="67"/>
  <c r="K189" i="67"/>
  <c r="K187" i="67"/>
  <c r="K186" i="67"/>
  <c r="K184" i="67"/>
  <c r="K183" i="67"/>
  <c r="K181" i="67"/>
  <c r="K179" i="67"/>
  <c r="K178" i="67"/>
  <c r="K177" i="67"/>
  <c r="K176" i="67"/>
  <c r="K175" i="67"/>
  <c r="K174" i="67"/>
  <c r="K173" i="67"/>
  <c r="K172" i="67"/>
  <c r="K170" i="67"/>
  <c r="K169" i="67"/>
  <c r="K168" i="67"/>
  <c r="K167" i="67"/>
  <c r="K165" i="67"/>
  <c r="K163" i="67"/>
  <c r="K162" i="67"/>
  <c r="K161" i="67"/>
  <c r="K160" i="67"/>
  <c r="K159" i="67"/>
  <c r="K158" i="67"/>
  <c r="K157" i="67"/>
  <c r="K156" i="67"/>
  <c r="K155" i="67"/>
  <c r="K154" i="67"/>
  <c r="K153" i="67"/>
  <c r="K152" i="67"/>
  <c r="K151" i="67"/>
  <c r="K150" i="67"/>
  <c r="K149" i="67"/>
  <c r="K148" i="67"/>
  <c r="K147" i="67"/>
  <c r="K146" i="67"/>
  <c r="K145" i="67"/>
  <c r="K144" i="67"/>
  <c r="K143" i="67"/>
  <c r="K142" i="67"/>
  <c r="K141" i="67"/>
  <c r="K140" i="67"/>
  <c r="K139" i="67"/>
  <c r="K138" i="67"/>
  <c r="K137" i="67"/>
  <c r="K136" i="67"/>
  <c r="K135" i="67"/>
  <c r="K134" i="67"/>
  <c r="K133" i="67"/>
  <c r="K132" i="67"/>
  <c r="K131" i="67"/>
  <c r="K130" i="67"/>
  <c r="K129" i="67"/>
  <c r="K128" i="67"/>
  <c r="K127" i="67"/>
  <c r="K126" i="67"/>
  <c r="K125" i="67"/>
  <c r="K124" i="67"/>
  <c r="K123" i="67"/>
  <c r="K122" i="67"/>
  <c r="K121" i="67"/>
  <c r="K120" i="67"/>
  <c r="K119" i="67"/>
  <c r="K118" i="67"/>
  <c r="K117" i="67"/>
  <c r="K116" i="67"/>
  <c r="K115" i="67"/>
  <c r="K114" i="67"/>
  <c r="K113" i="67"/>
  <c r="K112" i="67"/>
  <c r="K111" i="67"/>
  <c r="K110" i="67"/>
  <c r="K109" i="67"/>
  <c r="K108" i="67"/>
  <c r="K107" i="67"/>
  <c r="K106" i="67"/>
  <c r="K105" i="67"/>
  <c r="K104" i="67"/>
  <c r="K103" i="67"/>
  <c r="K102" i="67"/>
  <c r="K101" i="67"/>
  <c r="K100" i="67"/>
  <c r="K99" i="67"/>
  <c r="K98" i="67"/>
  <c r="K97" i="67"/>
  <c r="K96" i="67"/>
  <c r="K95" i="67"/>
  <c r="K94" i="67"/>
  <c r="K93" i="67"/>
  <c r="K92" i="67"/>
  <c r="K91" i="67"/>
  <c r="K90" i="67"/>
  <c r="K89" i="67"/>
  <c r="K88" i="67"/>
  <c r="K87" i="67"/>
  <c r="K86" i="67"/>
  <c r="K84" i="67"/>
  <c r="K83" i="67"/>
  <c r="K82" i="67"/>
  <c r="K81" i="67"/>
  <c r="K80" i="67"/>
  <c r="K79" i="67"/>
  <c r="K78" i="67"/>
  <c r="K77" i="67"/>
  <c r="K76" i="67"/>
  <c r="K75" i="67"/>
  <c r="K74" i="67"/>
  <c r="K73" i="67"/>
  <c r="K70" i="67"/>
  <c r="K69" i="67"/>
  <c r="K68" i="67"/>
  <c r="K67" i="67"/>
  <c r="K66" i="67"/>
  <c r="K65" i="67"/>
  <c r="K64" i="67"/>
  <c r="K63" i="67"/>
  <c r="K62" i="67"/>
  <c r="K61" i="67"/>
  <c r="K60" i="67"/>
  <c r="K59" i="67"/>
  <c r="K58" i="67"/>
  <c r="K57" i="67"/>
  <c r="K56" i="67"/>
  <c r="K55" i="67"/>
  <c r="K54" i="67"/>
  <c r="K53" i="67"/>
  <c r="K52" i="67"/>
  <c r="K51" i="67"/>
  <c r="K50" i="67"/>
  <c r="K49" i="67"/>
  <c r="K48" i="67"/>
  <c r="K47" i="67"/>
  <c r="K46" i="67"/>
  <c r="K45" i="67"/>
  <c r="K44" i="67"/>
  <c r="K43" i="67"/>
  <c r="K42" i="67"/>
  <c r="K41" i="67"/>
  <c r="K40" i="67"/>
  <c r="K39" i="67"/>
  <c r="K38" i="67"/>
  <c r="K37" i="67"/>
  <c r="K36" i="67"/>
  <c r="K35" i="67"/>
  <c r="K34" i="67"/>
  <c r="K33" i="67"/>
  <c r="K32" i="67"/>
  <c r="K31" i="67"/>
  <c r="K30" i="67"/>
  <c r="K29" i="67"/>
  <c r="K28" i="67"/>
  <c r="K27" i="67"/>
  <c r="K26" i="67"/>
  <c r="K25" i="67"/>
  <c r="K24" i="67"/>
  <c r="K23" i="67"/>
  <c r="K22" i="67"/>
  <c r="K21" i="67"/>
  <c r="K20" i="67"/>
  <c r="K19" i="67"/>
  <c r="K18" i="67"/>
  <c r="K17" i="67"/>
  <c r="K16" i="67"/>
  <c r="K15" i="67"/>
  <c r="K14" i="67"/>
  <c r="K13" i="67"/>
  <c r="K12" i="67"/>
  <c r="K11" i="67"/>
  <c r="K10" i="67"/>
  <c r="K9" i="67"/>
  <c r="K8" i="67"/>
  <c r="K7" i="67"/>
  <c r="K6" i="67"/>
  <c r="F13" i="68" l="1"/>
  <c r="K205" i="67"/>
  <c r="G200" i="67"/>
  <c r="G197" i="67"/>
  <c r="G196" i="67"/>
  <c r="G193" i="67"/>
  <c r="G192" i="67"/>
  <c r="G191" i="67"/>
  <c r="G190" i="67"/>
  <c r="G189" i="67"/>
  <c r="G188" i="67"/>
  <c r="G187" i="67"/>
  <c r="G186" i="67"/>
  <c r="G184" i="67"/>
  <c r="G183" i="67"/>
  <c r="G182" i="67"/>
  <c r="G181" i="67"/>
  <c r="G179" i="67"/>
  <c r="G178" i="67"/>
  <c r="G177" i="67"/>
  <c r="G176" i="67"/>
  <c r="G175" i="67"/>
  <c r="G174" i="67"/>
  <c r="G173" i="67"/>
  <c r="G172" i="67"/>
  <c r="G171" i="67"/>
  <c r="G170" i="67"/>
  <c r="G169" i="67"/>
  <c r="G168" i="67"/>
  <c r="G167" i="67"/>
  <c r="G165" i="67"/>
  <c r="G163" i="67"/>
  <c r="G162" i="67"/>
  <c r="G161" i="67"/>
  <c r="G160" i="67"/>
  <c r="G159" i="67"/>
  <c r="G158" i="67"/>
  <c r="G157" i="67"/>
  <c r="G156" i="67"/>
  <c r="G155" i="67"/>
  <c r="G154" i="67"/>
  <c r="G153" i="67"/>
  <c r="G152" i="67"/>
  <c r="G151" i="67"/>
  <c r="G150" i="67"/>
  <c r="G149" i="67"/>
  <c r="G148" i="67"/>
  <c r="G147" i="67"/>
  <c r="G146" i="67"/>
  <c r="G145" i="67"/>
  <c r="G144" i="67"/>
  <c r="G143" i="67"/>
  <c r="G142" i="67"/>
  <c r="G141" i="67"/>
  <c r="G140" i="67"/>
  <c r="G139" i="67"/>
  <c r="G138" i="67"/>
  <c r="G137" i="67"/>
  <c r="G136" i="67"/>
  <c r="G135" i="67"/>
  <c r="G134" i="67"/>
  <c r="G133" i="67"/>
  <c r="G132" i="67"/>
  <c r="G131" i="67"/>
  <c r="G130" i="67"/>
  <c r="G129" i="67"/>
  <c r="G128" i="67"/>
  <c r="G127" i="67"/>
  <c r="G126" i="67"/>
  <c r="G125" i="67"/>
  <c r="G124" i="67"/>
  <c r="G123" i="67"/>
  <c r="G122" i="67"/>
  <c r="G121" i="67"/>
  <c r="G120" i="67"/>
  <c r="G119" i="67"/>
  <c r="G118" i="67"/>
  <c r="G117" i="67"/>
  <c r="G116" i="67"/>
  <c r="G115" i="67"/>
  <c r="G114" i="67"/>
  <c r="G113" i="67"/>
  <c r="G112" i="67"/>
  <c r="G111" i="67"/>
  <c r="G110" i="67"/>
  <c r="G109" i="67"/>
  <c r="G108" i="67"/>
  <c r="G107" i="67"/>
  <c r="G106" i="67"/>
  <c r="G105" i="67"/>
  <c r="G104" i="67"/>
  <c r="G103" i="67"/>
  <c r="G102" i="67"/>
  <c r="G101" i="67"/>
  <c r="G100" i="67"/>
  <c r="G99" i="67"/>
  <c r="G98" i="67"/>
  <c r="G97" i="67"/>
  <c r="G96" i="67"/>
  <c r="G95" i="67"/>
  <c r="G94" i="67"/>
  <c r="G93" i="67"/>
  <c r="G92" i="67"/>
  <c r="G91" i="67"/>
  <c r="G90" i="67"/>
  <c r="G89" i="67"/>
  <c r="G88" i="67"/>
  <c r="G87" i="67"/>
  <c r="G86" i="67"/>
  <c r="G84" i="67"/>
  <c r="G83" i="67"/>
  <c r="G82" i="67"/>
  <c r="G81" i="67"/>
  <c r="G80" i="67"/>
  <c r="G79" i="67"/>
  <c r="G78" i="67"/>
  <c r="G77" i="67"/>
  <c r="G76" i="67"/>
  <c r="G75" i="67"/>
  <c r="G74" i="67"/>
  <c r="G73" i="67"/>
  <c r="G70" i="67"/>
  <c r="G69" i="67"/>
  <c r="G68" i="67"/>
  <c r="G67" i="67"/>
  <c r="G66" i="67"/>
  <c r="G65" i="67"/>
  <c r="G64" i="67"/>
  <c r="G63" i="67"/>
  <c r="G62" i="67"/>
  <c r="G61" i="67"/>
  <c r="G60" i="67"/>
  <c r="G59" i="67"/>
  <c r="G58" i="67"/>
  <c r="G57" i="67"/>
  <c r="G56" i="67"/>
  <c r="G55" i="67"/>
  <c r="G54" i="67"/>
  <c r="G53" i="67"/>
  <c r="G52" i="67"/>
  <c r="G51" i="67"/>
  <c r="G50" i="67"/>
  <c r="G49" i="67"/>
  <c r="G48" i="67"/>
  <c r="G47" i="67"/>
  <c r="G46" i="67"/>
  <c r="G45" i="67"/>
  <c r="G44" i="67"/>
  <c r="G43" i="67"/>
  <c r="G42" i="67"/>
  <c r="G41" i="67"/>
  <c r="G40" i="67"/>
  <c r="G39" i="67"/>
  <c r="G38" i="67"/>
  <c r="G37" i="67"/>
  <c r="G36" i="67"/>
  <c r="G35" i="67"/>
  <c r="G34" i="67"/>
  <c r="G33" i="67"/>
  <c r="G32" i="67"/>
  <c r="G31" i="67"/>
  <c r="G30" i="67"/>
  <c r="G29" i="67"/>
  <c r="G28" i="67"/>
  <c r="G27" i="67"/>
  <c r="G26" i="67"/>
  <c r="G25" i="67"/>
  <c r="G24" i="67"/>
  <c r="G23" i="67"/>
  <c r="G22" i="67"/>
  <c r="G21" i="67"/>
  <c r="G20" i="67"/>
  <c r="G19" i="67"/>
  <c r="G18" i="67"/>
  <c r="G17" i="67"/>
  <c r="G16" i="67"/>
  <c r="G15" i="67"/>
  <c r="G14" i="67"/>
  <c r="G13" i="67"/>
  <c r="G12" i="67"/>
  <c r="G11" i="67"/>
  <c r="G10" i="67"/>
  <c r="G9" i="67"/>
  <c r="G8" i="67"/>
  <c r="G7" i="67"/>
  <c r="G6" i="67"/>
  <c r="I196" i="67" l="1"/>
  <c r="M196" i="67" s="1"/>
  <c r="J196" i="67"/>
  <c r="I8" i="67"/>
  <c r="M8" i="67" s="1"/>
  <c r="J8" i="67"/>
  <c r="I12" i="67"/>
  <c r="M12" i="67" s="1"/>
  <c r="J12" i="67"/>
  <c r="I16" i="67"/>
  <c r="M16" i="67" s="1"/>
  <c r="J16" i="67"/>
  <c r="I20" i="67"/>
  <c r="M20" i="67" s="1"/>
  <c r="J20" i="67"/>
  <c r="I24" i="67"/>
  <c r="J24" i="67"/>
  <c r="I28" i="67"/>
  <c r="M28" i="67" s="1"/>
  <c r="J28" i="67"/>
  <c r="I32" i="67"/>
  <c r="M32" i="67" s="1"/>
  <c r="J32" i="67"/>
  <c r="I36" i="67"/>
  <c r="M36" i="67" s="1"/>
  <c r="J36" i="67"/>
  <c r="I40" i="67"/>
  <c r="M40" i="67" s="1"/>
  <c r="J40" i="67"/>
  <c r="I44" i="67"/>
  <c r="M44" i="67" s="1"/>
  <c r="J44" i="67"/>
  <c r="I48" i="67"/>
  <c r="M48" i="67" s="1"/>
  <c r="J48" i="67"/>
  <c r="I52" i="67"/>
  <c r="M52" i="67" s="1"/>
  <c r="J52" i="67"/>
  <c r="J56" i="67"/>
  <c r="I56" i="67"/>
  <c r="M56" i="67" s="1"/>
  <c r="J60" i="67"/>
  <c r="I60" i="67"/>
  <c r="M60" i="67" s="1"/>
  <c r="J64" i="67"/>
  <c r="I64" i="67"/>
  <c r="M64" i="67" s="1"/>
  <c r="J68" i="67"/>
  <c r="I68" i="67"/>
  <c r="M68" i="67" s="1"/>
  <c r="J74" i="67"/>
  <c r="I74" i="67"/>
  <c r="M74" i="67" s="1"/>
  <c r="J78" i="67"/>
  <c r="I78" i="67"/>
  <c r="M78" i="67" s="1"/>
  <c r="J82" i="67"/>
  <c r="I82" i="67"/>
  <c r="M82" i="67" s="1"/>
  <c r="J87" i="67"/>
  <c r="I87" i="67"/>
  <c r="M87" i="67" s="1"/>
  <c r="J91" i="67"/>
  <c r="I91" i="67"/>
  <c r="M91" i="67" s="1"/>
  <c r="J95" i="67"/>
  <c r="I95" i="67"/>
  <c r="M95" i="67" s="1"/>
  <c r="I99" i="67"/>
  <c r="M99" i="67" s="1"/>
  <c r="J99" i="67"/>
  <c r="I103" i="67"/>
  <c r="M103" i="67" s="1"/>
  <c r="J103" i="67"/>
  <c r="I107" i="67"/>
  <c r="M107" i="67" s="1"/>
  <c r="J107" i="67"/>
  <c r="I111" i="67"/>
  <c r="M111" i="67" s="1"/>
  <c r="J111" i="67"/>
  <c r="I115" i="67"/>
  <c r="M115" i="67" s="1"/>
  <c r="J115" i="67"/>
  <c r="I119" i="67"/>
  <c r="M119" i="67" s="1"/>
  <c r="J119" i="67"/>
  <c r="I123" i="67"/>
  <c r="M123" i="67" s="1"/>
  <c r="J123" i="67"/>
  <c r="I127" i="67"/>
  <c r="J127" i="67"/>
  <c r="J131" i="67"/>
  <c r="I131" i="67"/>
  <c r="M131" i="67" s="1"/>
  <c r="J135" i="67"/>
  <c r="I135" i="67"/>
  <c r="M135" i="67" s="1"/>
  <c r="J139" i="67"/>
  <c r="I139" i="67"/>
  <c r="M139" i="67" s="1"/>
  <c r="J143" i="67"/>
  <c r="I143" i="67"/>
  <c r="M143" i="67" s="1"/>
  <c r="J147" i="67"/>
  <c r="I147" i="67"/>
  <c r="M147" i="67" s="1"/>
  <c r="J151" i="67"/>
  <c r="I151" i="67"/>
  <c r="M151" i="67" s="1"/>
  <c r="J155" i="67"/>
  <c r="I155" i="67"/>
  <c r="M155" i="67" s="1"/>
  <c r="J159" i="67"/>
  <c r="I159" i="67"/>
  <c r="M159" i="67" s="1"/>
  <c r="J163" i="67"/>
  <c r="I163" i="67"/>
  <c r="M163" i="67" s="1"/>
  <c r="J169" i="67"/>
  <c r="I169" i="67"/>
  <c r="M169" i="67" s="1"/>
  <c r="J173" i="67"/>
  <c r="I173" i="67"/>
  <c r="M173" i="67" s="1"/>
  <c r="J177" i="67"/>
  <c r="I177" i="67"/>
  <c r="M177" i="67" s="1"/>
  <c r="J182" i="67"/>
  <c r="I182" i="67"/>
  <c r="M182" i="67" s="1"/>
  <c r="J187" i="67"/>
  <c r="I187" i="67"/>
  <c r="M187" i="67" s="1"/>
  <c r="J191" i="67"/>
  <c r="I191" i="67"/>
  <c r="M191" i="67" s="1"/>
  <c r="J197" i="67"/>
  <c r="I197" i="67"/>
  <c r="M197" i="67" s="1"/>
  <c r="J6" i="67"/>
  <c r="I6" i="67"/>
  <c r="M6" i="67" s="1"/>
  <c r="J10" i="67"/>
  <c r="I10" i="67"/>
  <c r="M10" i="67" s="1"/>
  <c r="J14" i="67"/>
  <c r="I14" i="67"/>
  <c r="M14" i="67" s="1"/>
  <c r="J18" i="67"/>
  <c r="I18" i="67"/>
  <c r="M18" i="67" s="1"/>
  <c r="J22" i="67"/>
  <c r="I22" i="67"/>
  <c r="M22" i="67" s="1"/>
  <c r="J26" i="67"/>
  <c r="I26" i="67"/>
  <c r="M26" i="67" s="1"/>
  <c r="J30" i="67"/>
  <c r="I30" i="67"/>
  <c r="M30" i="67" s="1"/>
  <c r="J34" i="67"/>
  <c r="I34" i="67"/>
  <c r="M34" i="67" s="1"/>
  <c r="J38" i="67"/>
  <c r="I38" i="67"/>
  <c r="M38" i="67" s="1"/>
  <c r="J42" i="67"/>
  <c r="I42" i="67"/>
  <c r="M42" i="67" s="1"/>
  <c r="J46" i="67"/>
  <c r="I46" i="67"/>
  <c r="M46" i="67" s="1"/>
  <c r="J50" i="67"/>
  <c r="I50" i="67"/>
  <c r="M50" i="67" s="1"/>
  <c r="J54" i="67"/>
  <c r="I54" i="67"/>
  <c r="M54" i="67" s="1"/>
  <c r="J58" i="67"/>
  <c r="I58" i="67"/>
  <c r="M58" i="67" s="1"/>
  <c r="J62" i="67"/>
  <c r="I62" i="67"/>
  <c r="M62" i="67" s="1"/>
  <c r="J66" i="67"/>
  <c r="I66" i="67"/>
  <c r="M66" i="67" s="1"/>
  <c r="J70" i="67"/>
  <c r="I70" i="67"/>
  <c r="M70" i="67" s="1"/>
  <c r="J76" i="67"/>
  <c r="I76" i="67"/>
  <c r="M76" i="67" s="1"/>
  <c r="J80" i="67"/>
  <c r="I80" i="67"/>
  <c r="M80" i="67" s="1"/>
  <c r="J84" i="67"/>
  <c r="I84" i="67"/>
  <c r="M84" i="67" s="1"/>
  <c r="J89" i="67"/>
  <c r="I89" i="67"/>
  <c r="J93" i="67"/>
  <c r="I93" i="67"/>
  <c r="I97" i="67"/>
  <c r="M97" i="67" s="1"/>
  <c r="J97" i="67"/>
  <c r="I101" i="67"/>
  <c r="M101" i="67" s="1"/>
  <c r="J101" i="67"/>
  <c r="I105" i="67"/>
  <c r="M105" i="67" s="1"/>
  <c r="J105" i="67"/>
  <c r="I109" i="67"/>
  <c r="M109" i="67" s="1"/>
  <c r="J109" i="67"/>
  <c r="I113" i="67"/>
  <c r="M113" i="67" s="1"/>
  <c r="J113" i="67"/>
  <c r="I117" i="67"/>
  <c r="M117" i="67" s="1"/>
  <c r="J117" i="67"/>
  <c r="I121" i="67"/>
  <c r="M121" i="67" s="1"/>
  <c r="J121" i="67"/>
  <c r="I125" i="67"/>
  <c r="M125" i="67" s="1"/>
  <c r="J125" i="67"/>
  <c r="J129" i="67"/>
  <c r="I129" i="67"/>
  <c r="M129" i="67" s="1"/>
  <c r="I133" i="67"/>
  <c r="M133" i="67" s="1"/>
  <c r="J133" i="67"/>
  <c r="J137" i="67"/>
  <c r="I137" i="67"/>
  <c r="M137" i="67" s="1"/>
  <c r="J141" i="67"/>
  <c r="I141" i="67"/>
  <c r="M141" i="67" s="1"/>
  <c r="J145" i="67"/>
  <c r="I145" i="67"/>
  <c r="M145" i="67" s="1"/>
  <c r="J149" i="67"/>
  <c r="I149" i="67"/>
  <c r="M149" i="67" s="1"/>
  <c r="J153" i="67"/>
  <c r="I153" i="67"/>
  <c r="M153" i="67" s="1"/>
  <c r="J157" i="67"/>
  <c r="I157" i="67"/>
  <c r="M157" i="67" s="1"/>
  <c r="J161" i="67"/>
  <c r="I161" i="67"/>
  <c r="M161" i="67" s="1"/>
  <c r="J167" i="67"/>
  <c r="I167" i="67"/>
  <c r="M167" i="67" s="1"/>
  <c r="J171" i="67"/>
  <c r="I171" i="67"/>
  <c r="M171" i="67" s="1"/>
  <c r="J175" i="67"/>
  <c r="I175" i="67"/>
  <c r="M175" i="67" s="1"/>
  <c r="J179" i="67"/>
  <c r="I179" i="67"/>
  <c r="M179" i="67" s="1"/>
  <c r="J184" i="67"/>
  <c r="I184" i="67"/>
  <c r="M184" i="67" s="1"/>
  <c r="J189" i="67"/>
  <c r="I189" i="67"/>
  <c r="M189" i="67" s="1"/>
  <c r="J193" i="67"/>
  <c r="I193" i="67"/>
  <c r="M193" i="67" s="1"/>
  <c r="J7" i="67"/>
  <c r="I7" i="67"/>
  <c r="M7" i="67" s="1"/>
  <c r="J11" i="67"/>
  <c r="I11" i="67"/>
  <c r="M11" i="67" s="1"/>
  <c r="J15" i="67"/>
  <c r="I15" i="67"/>
  <c r="M15" i="67" s="1"/>
  <c r="J19" i="67"/>
  <c r="I19" i="67"/>
  <c r="J23" i="67"/>
  <c r="I23" i="67"/>
  <c r="M23" i="67" s="1"/>
  <c r="J27" i="67"/>
  <c r="I27" i="67"/>
  <c r="M27" i="67" s="1"/>
  <c r="J31" i="67"/>
  <c r="I31" i="67"/>
  <c r="M31" i="67" s="1"/>
  <c r="J35" i="67"/>
  <c r="I35" i="67"/>
  <c r="M35" i="67" s="1"/>
  <c r="J39" i="67"/>
  <c r="I39" i="67"/>
  <c r="M39" i="67" s="1"/>
  <c r="J43" i="67"/>
  <c r="I43" i="67"/>
  <c r="M43" i="67" s="1"/>
  <c r="J47" i="67"/>
  <c r="I47" i="67"/>
  <c r="M47" i="67" s="1"/>
  <c r="J51" i="67"/>
  <c r="I51" i="67"/>
  <c r="M51" i="67" s="1"/>
  <c r="J55" i="67"/>
  <c r="I55" i="67"/>
  <c r="M55" i="67" s="1"/>
  <c r="J59" i="67"/>
  <c r="I59" i="67"/>
  <c r="M59" i="67" s="1"/>
  <c r="J63" i="67"/>
  <c r="I63" i="67"/>
  <c r="M63" i="67" s="1"/>
  <c r="J67" i="67"/>
  <c r="I67" i="67"/>
  <c r="M67" i="67" s="1"/>
  <c r="J73" i="67"/>
  <c r="I73" i="67"/>
  <c r="M73" i="67" s="1"/>
  <c r="J77" i="67"/>
  <c r="I77" i="67"/>
  <c r="M77" i="67" s="1"/>
  <c r="J81" i="67"/>
  <c r="I81" i="67"/>
  <c r="M81" i="67" s="1"/>
  <c r="J86" i="67"/>
  <c r="I86" i="67"/>
  <c r="M86" i="67" s="1"/>
  <c r="J90" i="67"/>
  <c r="I90" i="67"/>
  <c r="M90" i="67" s="1"/>
  <c r="I94" i="67"/>
  <c r="M94" i="67" s="1"/>
  <c r="J94" i="67"/>
  <c r="I98" i="67"/>
  <c r="M98" i="67" s="1"/>
  <c r="J98" i="67"/>
  <c r="I102" i="67"/>
  <c r="M102" i="67" s="1"/>
  <c r="J102" i="67"/>
  <c r="I106" i="67"/>
  <c r="M106" i="67" s="1"/>
  <c r="J106" i="67"/>
  <c r="J110" i="67"/>
  <c r="I110" i="67"/>
  <c r="M110" i="67" s="1"/>
  <c r="I114" i="67"/>
  <c r="M114" i="67" s="1"/>
  <c r="J114" i="67"/>
  <c r="I118" i="67"/>
  <c r="M118" i="67" s="1"/>
  <c r="J118" i="67"/>
  <c r="I122" i="67"/>
  <c r="M122" i="67" s="1"/>
  <c r="J122" i="67"/>
  <c r="I126" i="67"/>
  <c r="M126" i="67" s="1"/>
  <c r="J126" i="67"/>
  <c r="J130" i="67"/>
  <c r="I130" i="67"/>
  <c r="M130" i="67" s="1"/>
  <c r="J134" i="67"/>
  <c r="I134" i="67"/>
  <c r="M134" i="67" s="1"/>
  <c r="J138" i="67"/>
  <c r="I138" i="67"/>
  <c r="M138" i="67" s="1"/>
  <c r="J142" i="67"/>
  <c r="I142" i="67"/>
  <c r="M142" i="67" s="1"/>
  <c r="J146" i="67"/>
  <c r="I146" i="67"/>
  <c r="M146" i="67" s="1"/>
  <c r="J150" i="67"/>
  <c r="I150" i="67"/>
  <c r="M150" i="67" s="1"/>
  <c r="J154" i="67"/>
  <c r="I154" i="67"/>
  <c r="M154" i="67" s="1"/>
  <c r="J158" i="67"/>
  <c r="I158" i="67"/>
  <c r="M158" i="67" s="1"/>
  <c r="J162" i="67"/>
  <c r="I162" i="67"/>
  <c r="M162" i="67" s="1"/>
  <c r="J168" i="67"/>
  <c r="I168" i="67"/>
  <c r="M168" i="67" s="1"/>
  <c r="J172" i="67"/>
  <c r="I172" i="67"/>
  <c r="M172" i="67" s="1"/>
  <c r="J176" i="67"/>
  <c r="I176" i="67"/>
  <c r="M176" i="67" s="1"/>
  <c r="J181" i="67"/>
  <c r="I181" i="67"/>
  <c r="M181" i="67" s="1"/>
  <c r="J186" i="67"/>
  <c r="I186" i="67"/>
  <c r="M186" i="67" s="1"/>
  <c r="I190" i="67"/>
  <c r="M190" i="67" s="1"/>
  <c r="J190" i="67"/>
  <c r="I9" i="67"/>
  <c r="M9" i="67" s="1"/>
  <c r="J9" i="67"/>
  <c r="I13" i="67"/>
  <c r="M13" i="67" s="1"/>
  <c r="J13" i="67"/>
  <c r="I17" i="67"/>
  <c r="M17" i="67" s="1"/>
  <c r="J17" i="67"/>
  <c r="I21" i="67"/>
  <c r="M21" i="67" s="1"/>
  <c r="J21" i="67"/>
  <c r="I25" i="67"/>
  <c r="M25" i="67" s="1"/>
  <c r="J25" i="67"/>
  <c r="I29" i="67"/>
  <c r="M29" i="67" s="1"/>
  <c r="J29" i="67"/>
  <c r="I33" i="67"/>
  <c r="M33" i="67" s="1"/>
  <c r="J33" i="67"/>
  <c r="I37" i="67"/>
  <c r="M37" i="67" s="1"/>
  <c r="J37" i="67"/>
  <c r="I41" i="67"/>
  <c r="M41" i="67" s="1"/>
  <c r="J41" i="67"/>
  <c r="I45" i="67"/>
  <c r="M45" i="67" s="1"/>
  <c r="J45" i="67"/>
  <c r="I49" i="67"/>
  <c r="M49" i="67" s="1"/>
  <c r="J49" i="67"/>
  <c r="J53" i="67"/>
  <c r="I53" i="67"/>
  <c r="M53" i="67" s="1"/>
  <c r="J57" i="67"/>
  <c r="I57" i="67"/>
  <c r="M57" i="67" s="1"/>
  <c r="J61" i="67"/>
  <c r="I61" i="67"/>
  <c r="M61" i="67" s="1"/>
  <c r="J65" i="67"/>
  <c r="I65" i="67"/>
  <c r="M65" i="67" s="1"/>
  <c r="J69" i="67"/>
  <c r="I69" i="67"/>
  <c r="M69" i="67" s="1"/>
  <c r="J75" i="67"/>
  <c r="I75" i="67"/>
  <c r="M75" i="67" s="1"/>
  <c r="J79" i="67"/>
  <c r="I79" i="67"/>
  <c r="M79" i="67" s="1"/>
  <c r="J83" i="67"/>
  <c r="I83" i="67"/>
  <c r="M83" i="67" s="1"/>
  <c r="J88" i="67"/>
  <c r="I88" i="67"/>
  <c r="M88" i="67" s="1"/>
  <c r="I92" i="67"/>
  <c r="M92" i="67" s="1"/>
  <c r="J92" i="67"/>
  <c r="I96" i="67"/>
  <c r="M96" i="67" s="1"/>
  <c r="J96" i="67"/>
  <c r="I100" i="67"/>
  <c r="J100" i="67"/>
  <c r="I104" i="67"/>
  <c r="M104" i="67" s="1"/>
  <c r="J104" i="67"/>
  <c r="I108" i="67"/>
  <c r="M108" i="67" s="1"/>
  <c r="J108" i="67"/>
  <c r="I112" i="67"/>
  <c r="M112" i="67" s="1"/>
  <c r="J112" i="67"/>
  <c r="I116" i="67"/>
  <c r="M116" i="67" s="1"/>
  <c r="J116" i="67"/>
  <c r="I120" i="67"/>
  <c r="M120" i="67" s="1"/>
  <c r="J120" i="67"/>
  <c r="I124" i="67"/>
  <c r="J124" i="67"/>
  <c r="J128" i="67"/>
  <c r="I128" i="67"/>
  <c r="M128" i="67" s="1"/>
  <c r="J132" i="67"/>
  <c r="I132" i="67"/>
  <c r="M132" i="67" s="1"/>
  <c r="J136" i="67"/>
  <c r="I136" i="67"/>
  <c r="M136" i="67" s="1"/>
  <c r="J140" i="67"/>
  <c r="I140" i="67"/>
  <c r="M140" i="67" s="1"/>
  <c r="J144" i="67"/>
  <c r="I144" i="67"/>
  <c r="M144" i="67" s="1"/>
  <c r="J148" i="67"/>
  <c r="I148" i="67"/>
  <c r="M148" i="67" s="1"/>
  <c r="J152" i="67"/>
  <c r="I152" i="67"/>
  <c r="M152" i="67" s="1"/>
  <c r="J156" i="67"/>
  <c r="I156" i="67"/>
  <c r="J160" i="67"/>
  <c r="I160" i="67"/>
  <c r="M160" i="67" s="1"/>
  <c r="J165" i="67"/>
  <c r="I165" i="67"/>
  <c r="M165" i="67" s="1"/>
  <c r="J170" i="67"/>
  <c r="I170" i="67"/>
  <c r="M170" i="67" s="1"/>
  <c r="J174" i="67"/>
  <c r="I174" i="67"/>
  <c r="M174" i="67" s="1"/>
  <c r="J178" i="67"/>
  <c r="I178" i="67"/>
  <c r="M178" i="67" s="1"/>
  <c r="J183" i="67"/>
  <c r="I183" i="67"/>
  <c r="M183" i="67" s="1"/>
  <c r="J188" i="67"/>
  <c r="I188" i="67"/>
  <c r="M188" i="67" s="1"/>
  <c r="I192" i="67"/>
  <c r="M192" i="67" s="1"/>
  <c r="J192" i="67"/>
  <c r="J200" i="67"/>
  <c r="I200" i="67"/>
  <c r="M200" i="67" s="1"/>
  <c r="W625" i="67"/>
  <c r="W624" i="67"/>
  <c r="W623" i="67"/>
  <c r="W622" i="67"/>
  <c r="W581" i="67"/>
  <c r="W561" i="67"/>
  <c r="W556" i="67"/>
  <c r="W549" i="67"/>
  <c r="W546" i="67"/>
  <c r="W516" i="67"/>
  <c r="W504" i="67"/>
  <c r="W503" i="67"/>
  <c r="W502" i="67"/>
  <c r="W500" i="67"/>
  <c r="W491" i="67"/>
  <c r="W486" i="67"/>
  <c r="W485" i="67"/>
  <c r="W480" i="67"/>
  <c r="W479" i="67"/>
  <c r="W474" i="67"/>
  <c r="W471" i="67"/>
  <c r="W470" i="67"/>
  <c r="W469" i="67"/>
  <c r="W462" i="67"/>
  <c r="W461" i="67"/>
  <c r="W454" i="67"/>
  <c r="W452" i="67"/>
  <c r="W451" i="67"/>
  <c r="W448" i="67"/>
  <c r="W447" i="67"/>
  <c r="W445" i="67"/>
  <c r="W443" i="67"/>
  <c r="W442" i="67"/>
  <c r="W440" i="67"/>
  <c r="W439" i="67"/>
  <c r="W434" i="67"/>
  <c r="W433" i="67"/>
  <c r="W431" i="67"/>
  <c r="W430" i="67"/>
  <c r="W429" i="67"/>
  <c r="W426" i="67"/>
  <c r="W424" i="67"/>
  <c r="W418" i="67"/>
  <c r="W414" i="67"/>
  <c r="W412" i="67"/>
  <c r="W411" i="67"/>
  <c r="W409" i="67"/>
  <c r="W408" i="67"/>
  <c r="W407" i="67"/>
  <c r="W406" i="67"/>
  <c r="W404" i="67"/>
  <c r="W403" i="67"/>
  <c r="W401" i="67"/>
  <c r="W396" i="67"/>
  <c r="W394" i="67"/>
  <c r="W393" i="67"/>
  <c r="W392" i="67"/>
  <c r="W389" i="67"/>
  <c r="W386" i="67"/>
  <c r="W385" i="67"/>
  <c r="W384" i="67"/>
  <c r="W382" i="67"/>
  <c r="W381" i="67"/>
  <c r="W380" i="67"/>
  <c r="W379" i="67"/>
  <c r="W376" i="67"/>
  <c r="W375" i="67"/>
  <c r="W373" i="67"/>
  <c r="W372" i="67"/>
  <c r="W371" i="67"/>
  <c r="W370" i="67"/>
  <c r="W369" i="67"/>
  <c r="W368" i="67"/>
  <c r="W367" i="67"/>
  <c r="W366" i="67"/>
  <c r="W365" i="67"/>
  <c r="W364" i="67"/>
  <c r="W362" i="67"/>
  <c r="W361" i="67"/>
  <c r="W359" i="67"/>
  <c r="W357" i="67"/>
  <c r="W354" i="67"/>
  <c r="W352" i="67"/>
  <c r="W351" i="67"/>
  <c r="W349" i="67"/>
  <c r="W348" i="67"/>
  <c r="W346" i="67"/>
  <c r="W344" i="67"/>
  <c r="W343" i="67"/>
  <c r="W339" i="67"/>
  <c r="W338" i="67"/>
  <c r="W337" i="67"/>
  <c r="W336" i="67"/>
  <c r="W335" i="67"/>
  <c r="W334" i="67"/>
  <c r="W333" i="67"/>
  <c r="W331" i="67"/>
  <c r="W330" i="67"/>
  <c r="W326" i="67"/>
  <c r="W325" i="67"/>
  <c r="W324" i="67"/>
  <c r="W321" i="67"/>
  <c r="W320" i="67"/>
  <c r="W319" i="67"/>
  <c r="W318" i="67"/>
  <c r="W315" i="67"/>
  <c r="W314" i="67"/>
  <c r="W312" i="67"/>
  <c r="W308" i="67"/>
  <c r="W307" i="67"/>
  <c r="W304" i="67"/>
  <c r="W303" i="67"/>
  <c r="W300" i="67"/>
  <c r="W299" i="67"/>
  <c r="W294" i="67"/>
  <c r="W293" i="67"/>
  <c r="W292" i="67"/>
  <c r="W290" i="67"/>
  <c r="W288" i="67"/>
  <c r="W287" i="67"/>
  <c r="W286" i="67"/>
  <c r="W283" i="67"/>
  <c r="W282" i="67"/>
  <c r="W281" i="67"/>
  <c r="W280" i="67"/>
  <c r="W278" i="67"/>
  <c r="W270" i="67"/>
  <c r="W267" i="67"/>
  <c r="W266" i="67"/>
  <c r="W257" i="67"/>
  <c r="W256" i="67"/>
  <c r="W254" i="67"/>
  <c r="W253" i="67"/>
  <c r="W251" i="67"/>
  <c r="W250" i="67"/>
  <c r="W248" i="67"/>
  <c r="W247" i="67"/>
  <c r="W246" i="67"/>
  <c r="W243" i="67"/>
  <c r="W238" i="67"/>
  <c r="W235" i="67"/>
  <c r="W234" i="67"/>
  <c r="W233" i="67"/>
  <c r="W232" i="67"/>
  <c r="W230" i="67"/>
  <c r="W225" i="67"/>
  <c r="W224" i="67"/>
  <c r="W216" i="67"/>
  <c r="W215" i="67"/>
  <c r="W213" i="67"/>
  <c r="W211" i="67"/>
  <c r="W210" i="67"/>
  <c r="W208" i="67"/>
  <c r="W207" i="67"/>
  <c r="W206" i="67"/>
  <c r="W205" i="67"/>
  <c r="M205" i="67" l="1"/>
  <c r="J205" i="67"/>
  <c r="E14" i="24" l="1"/>
  <c r="E13" i="24"/>
  <c r="G20" i="77" l="1"/>
  <c r="G21" i="77"/>
  <c r="G22" i="77" l="1"/>
  <c r="D16" i="77" l="1"/>
  <c r="E16" i="77"/>
  <c r="F16" i="77"/>
  <c r="G14" i="77" l="1"/>
  <c r="C16" i="77"/>
  <c r="G16" i="77" l="1"/>
  <c r="C12" i="71" l="1"/>
  <c r="F23" i="32" l="1"/>
  <c r="C30" i="49" s="1"/>
  <c r="C6" i="32"/>
  <c r="H8" i="49"/>
  <c r="C7" i="49"/>
  <c r="G11" i="49"/>
  <c r="K3" i="28" s="1"/>
  <c r="F28" i="32" l="1"/>
  <c r="C7" i="68" l="1"/>
  <c r="F21" i="66" l="1"/>
  <c r="C26" i="35" l="1"/>
  <c r="C5" i="32"/>
  <c r="C7" i="32" s="1"/>
  <c r="F7" i="32"/>
  <c r="J23" i="32" l="1"/>
  <c r="C19" i="32"/>
  <c r="C22" i="32"/>
  <c r="G30" i="49" l="1"/>
  <c r="J28" i="32"/>
  <c r="C15" i="72"/>
  <c r="G4" i="72"/>
  <c r="H4" i="72" s="1"/>
  <c r="C13" i="69" l="1"/>
  <c r="C12" i="69"/>
  <c r="C11" i="69"/>
  <c r="C10" i="69"/>
  <c r="C9" i="69"/>
  <c r="C8" i="69"/>
  <c r="C7" i="69"/>
  <c r="C6" i="69"/>
  <c r="C4" i="69"/>
  <c r="Z3" i="28" l="1"/>
  <c r="Q3" i="28"/>
  <c r="H3" i="28"/>
  <c r="C18" i="49" l="1"/>
  <c r="C14" i="49"/>
  <c r="E37" i="49"/>
  <c r="D37" i="49"/>
  <c r="C37" i="49"/>
  <c r="F37" i="49"/>
  <c r="E35" i="49"/>
  <c r="D35" i="49"/>
  <c r="C35" i="49"/>
  <c r="F35" i="49"/>
  <c r="C11" i="49"/>
  <c r="D7" i="49"/>
  <c r="D11" i="49" s="1"/>
  <c r="E7" i="49"/>
  <c r="E11" i="49" s="1"/>
  <c r="F7" i="49"/>
  <c r="F11" i="49" s="1"/>
  <c r="F21" i="49" s="1"/>
  <c r="C22" i="49" l="1"/>
  <c r="C36" i="49"/>
  <c r="C23" i="49"/>
  <c r="C38" i="49"/>
  <c r="C39" i="49" s="1"/>
  <c r="C53" i="49" s="1"/>
  <c r="D14" i="49"/>
  <c r="N13" i="49"/>
  <c r="M19" i="49"/>
  <c r="O19" i="49" s="1"/>
  <c r="G14" i="49" s="1"/>
  <c r="E14" i="49"/>
  <c r="C17" i="49"/>
  <c r="D18" i="49"/>
  <c r="C13" i="49"/>
  <c r="C21" i="49"/>
  <c r="E21" i="49"/>
  <c r="D21" i="49"/>
  <c r="L7" i="49"/>
  <c r="L13" i="49" s="1"/>
  <c r="O13" i="49" s="1"/>
  <c r="C24" i="49" l="1"/>
  <c r="C50" i="49" s="1"/>
  <c r="D22" i="49"/>
  <c r="D36" i="49"/>
  <c r="D23" i="49"/>
  <c r="D38" i="49"/>
  <c r="E22" i="49"/>
  <c r="E36" i="49"/>
  <c r="F17" i="49"/>
  <c r="F18" i="49"/>
  <c r="I23" i="32"/>
  <c r="E18" i="49"/>
  <c r="E13" i="49"/>
  <c r="D17" i="49"/>
  <c r="F13" i="49"/>
  <c r="F14" i="49"/>
  <c r="E17" i="49"/>
  <c r="D13" i="49"/>
  <c r="G17" i="49"/>
  <c r="G37" i="49"/>
  <c r="G18" i="49"/>
  <c r="H6" i="49"/>
  <c r="H10" i="49"/>
  <c r="H9" i="49"/>
  <c r="D24" i="49" l="1"/>
  <c r="D50" i="49" s="1"/>
  <c r="F22" i="49"/>
  <c r="F36" i="49"/>
  <c r="E23" i="49"/>
  <c r="E24" i="49" s="1"/>
  <c r="E50" i="49" s="1"/>
  <c r="E38" i="49"/>
  <c r="G23" i="49"/>
  <c r="G38" i="49"/>
  <c r="F23" i="49"/>
  <c r="F38" i="49"/>
  <c r="F30" i="49"/>
  <c r="J25" i="32"/>
  <c r="F24" i="77" s="1"/>
  <c r="I28" i="32"/>
  <c r="G13" i="49"/>
  <c r="C11" i="32"/>
  <c r="C12" i="32"/>
  <c r="H11" i="49"/>
  <c r="H7" i="49"/>
  <c r="F24" i="49" l="1"/>
  <c r="F50" i="49" s="1"/>
  <c r="G21" i="49"/>
  <c r="G35" i="49"/>
  <c r="F39" i="49"/>
  <c r="F53" i="49" s="1"/>
  <c r="C10" i="68"/>
  <c r="C6" i="68"/>
  <c r="F15" i="40" l="1"/>
  <c r="F17" i="40" s="1"/>
  <c r="G23" i="32" l="1"/>
  <c r="H23" i="32"/>
  <c r="I25" i="32" l="1"/>
  <c r="E24" i="77" s="1"/>
  <c r="E30" i="49"/>
  <c r="E39" i="49" s="1"/>
  <c r="G25" i="32"/>
  <c r="C24" i="77" s="1"/>
  <c r="D30" i="49"/>
  <c r="D39" i="49" s="1"/>
  <c r="H25" i="32"/>
  <c r="D24" i="77" s="1"/>
  <c r="G28" i="32"/>
  <c r="H28" i="32"/>
  <c r="F18" i="40"/>
  <c r="G22" i="49" l="1"/>
  <c r="G24" i="49" s="1"/>
  <c r="G50" i="49" s="1"/>
  <c r="C55" i="49" s="1"/>
  <c r="G36" i="49"/>
  <c r="G39" i="49" s="1"/>
  <c r="J29" i="32"/>
  <c r="E53" i="49"/>
  <c r="G24" i="77"/>
  <c r="C26" i="77" s="1"/>
  <c r="G18" i="77"/>
  <c r="C56" i="49" l="1"/>
  <c r="C5" i="35" s="1"/>
  <c r="C10" i="75"/>
  <c r="G53" i="49"/>
  <c r="C8" i="39"/>
  <c r="D53" i="49"/>
  <c r="C20" i="69"/>
  <c r="C17" i="32"/>
  <c r="G55" i="69" l="1"/>
  <c r="G51" i="69"/>
  <c r="G41" i="69"/>
  <c r="G40" i="69"/>
  <c r="G35" i="69"/>
  <c r="G56" i="69"/>
  <c r="G52" i="69"/>
  <c r="G48" i="69"/>
  <c r="G43" i="69"/>
  <c r="G42" i="69"/>
  <c r="G36" i="69"/>
  <c r="G54" i="69"/>
  <c r="G39" i="69"/>
  <c r="G38" i="69"/>
  <c r="G57" i="69"/>
  <c r="G53" i="69"/>
  <c r="G49" i="69"/>
  <c r="G45" i="69"/>
  <c r="G44" i="69"/>
  <c r="G37" i="69"/>
  <c r="G5" i="69"/>
  <c r="G50" i="69"/>
  <c r="C11" i="81"/>
  <c r="D11" i="81" s="1"/>
  <c r="E11" i="81" s="1"/>
  <c r="F11" i="81" s="1"/>
  <c r="G11" i="81" s="1"/>
  <c r="H11" i="81" s="1"/>
  <c r="I11" i="81" s="1"/>
  <c r="J11" i="81" s="1"/>
  <c r="K11" i="81" s="1"/>
  <c r="L11" i="81" s="1"/>
  <c r="M11" i="81" s="1"/>
  <c r="C22" i="75"/>
  <c r="C7" i="81"/>
  <c r="H10" i="75"/>
  <c r="C9" i="75"/>
  <c r="C12" i="75" s="1"/>
  <c r="C23" i="32"/>
  <c r="C20" i="32"/>
  <c r="G13" i="69"/>
  <c r="G11" i="69"/>
  <c r="G6" i="69"/>
  <c r="G7" i="69"/>
  <c r="G10" i="69"/>
  <c r="G12" i="69"/>
  <c r="G4" i="69"/>
  <c r="G8" i="69"/>
  <c r="G9" i="69"/>
  <c r="C18" i="75" l="1"/>
  <c r="J10" i="75"/>
  <c r="L10" i="75" s="1"/>
  <c r="K10" i="75" s="1"/>
  <c r="F10" i="75"/>
  <c r="H7" i="81"/>
  <c r="F7" i="81" s="1"/>
  <c r="C25" i="32"/>
  <c r="C17" i="35"/>
  <c r="C8" i="32"/>
  <c r="H7" i="32"/>
  <c r="I7" i="32"/>
  <c r="J7" i="32"/>
  <c r="G7" i="32"/>
  <c r="I10" i="75" l="1"/>
  <c r="G10" i="75"/>
  <c r="E10" i="75"/>
  <c r="D10" i="75" s="1"/>
  <c r="E7" i="81"/>
  <c r="G7" i="81"/>
  <c r="J7" i="81"/>
  <c r="I7" i="81" s="1"/>
  <c r="C21" i="23"/>
  <c r="E3" i="28" s="1"/>
  <c r="H5" i="68"/>
  <c r="H13" i="68" s="1"/>
  <c r="D7" i="81" l="1"/>
  <c r="L7" i="81"/>
  <c r="K7" i="81" l="1"/>
  <c r="C6" i="24"/>
  <c r="I8" i="79" s="1"/>
  <c r="P6" i="75" s="1"/>
  <c r="C17" i="69" l="1"/>
  <c r="C12" i="23"/>
  <c r="M8" i="75" l="1"/>
  <c r="K8" i="75" s="1"/>
  <c r="I5" i="75"/>
  <c r="J5" i="75" s="1"/>
  <c r="K5" i="75" s="1"/>
  <c r="L5" i="75" s="1"/>
  <c r="M5" i="75" s="1"/>
  <c r="L56" i="69"/>
  <c r="L52" i="69"/>
  <c r="L48" i="69"/>
  <c r="L43" i="69"/>
  <c r="L42" i="69"/>
  <c r="L36" i="69"/>
  <c r="L11" i="69"/>
  <c r="L7" i="69"/>
  <c r="L57" i="69"/>
  <c r="L53" i="69"/>
  <c r="L49" i="69"/>
  <c r="L45" i="69"/>
  <c r="L44" i="69"/>
  <c r="L37" i="69"/>
  <c r="L10" i="69"/>
  <c r="L6" i="69"/>
  <c r="L55" i="69"/>
  <c r="L51" i="69"/>
  <c r="L41" i="69"/>
  <c r="L40" i="69"/>
  <c r="L35" i="69"/>
  <c r="L12" i="69"/>
  <c r="L8" i="69"/>
  <c r="L54" i="69"/>
  <c r="L50" i="69"/>
  <c r="L39" i="69"/>
  <c r="L38" i="69"/>
  <c r="L13" i="69"/>
  <c r="L9" i="69"/>
  <c r="L4" i="69"/>
  <c r="C8" i="57"/>
  <c r="L8" i="75" l="1"/>
  <c r="J8" i="75"/>
  <c r="I8" i="75" s="1"/>
  <c r="F8" i="57"/>
  <c r="E8" i="57"/>
  <c r="D8" i="57"/>
  <c r="G9" i="57" l="1"/>
  <c r="C9" i="32"/>
  <c r="C10" i="32" l="1"/>
  <c r="C13" i="32" s="1"/>
  <c r="C29" i="32" s="1"/>
  <c r="C9" i="35" s="1"/>
  <c r="C19" i="75" s="1"/>
  <c r="C15" i="57" l="1"/>
  <c r="B16" i="35" l="1"/>
  <c r="B6" i="4" l="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 r="B32" i="4" s="1"/>
  <c r="F5" i="40" l="1"/>
  <c r="C5" i="23"/>
  <c r="F10" i="40" l="1"/>
  <c r="C16" i="35" l="1"/>
  <c r="C18" i="35" s="1"/>
  <c r="C22" i="35" l="1"/>
  <c r="C3" i="39"/>
  <c r="D12" i="24" l="1"/>
  <c r="D13" i="24"/>
  <c r="D14" i="24"/>
  <c r="H15" i="24" l="1"/>
  <c r="E15" i="24"/>
  <c r="C8" i="24" s="1"/>
  <c r="F6" i="40" s="1"/>
  <c r="F15" i="24"/>
  <c r="D15" i="24"/>
  <c r="P10" i="81" l="1"/>
  <c r="M14" i="75"/>
  <c r="C6" i="40" s="1"/>
  <c r="I14" i="75"/>
  <c r="E14" i="75"/>
  <c r="L14" i="75"/>
  <c r="H14" i="75"/>
  <c r="D14" i="75"/>
  <c r="J14" i="75"/>
  <c r="F14" i="75"/>
  <c r="K14" i="75"/>
  <c r="G14" i="75"/>
  <c r="C14" i="75"/>
  <c r="C13" i="75" s="1"/>
  <c r="C15" i="75" s="1"/>
  <c r="C6" i="35"/>
  <c r="F25" i="49"/>
  <c r="F26" i="49" s="1"/>
  <c r="F51" i="49" s="1"/>
  <c r="G25" i="49"/>
  <c r="G26" i="49" s="1"/>
  <c r="G51" i="49" s="1"/>
  <c r="D25" i="49"/>
  <c r="D26" i="49" s="1"/>
  <c r="D51" i="49" s="1"/>
  <c r="C25" i="49"/>
  <c r="C26" i="49" s="1"/>
  <c r="C51" i="49" s="1"/>
  <c r="E25" i="49"/>
  <c r="E26" i="49" s="1"/>
  <c r="E51" i="49" s="1"/>
  <c r="C8" i="68"/>
  <c r="C18" i="69"/>
  <c r="C6" i="23"/>
  <c r="C15" i="69"/>
  <c r="C24" i="72"/>
  <c r="C24" i="23"/>
  <c r="C23" i="75" l="1"/>
  <c r="C25" i="75"/>
  <c r="C21" i="75"/>
  <c r="M8" i="81"/>
  <c r="C8" i="81"/>
  <c r="F8" i="81"/>
  <c r="F12" i="81" s="1"/>
  <c r="H8" i="81"/>
  <c r="H12" i="81" s="1"/>
  <c r="I8" i="81"/>
  <c r="I12" i="81" s="1"/>
  <c r="J8" i="81"/>
  <c r="J12" i="81" s="1"/>
  <c r="E8" i="81"/>
  <c r="E12" i="81" s="1"/>
  <c r="G8" i="81"/>
  <c r="G12" i="81" s="1"/>
  <c r="D8" i="81"/>
  <c r="D12" i="81" s="1"/>
  <c r="L8" i="81"/>
  <c r="L12" i="81" s="1"/>
  <c r="K8" i="81"/>
  <c r="K12" i="81" s="1"/>
  <c r="C9" i="68"/>
  <c r="C11" i="68" s="1"/>
  <c r="C16" i="69" s="1"/>
  <c r="C7" i="35"/>
  <c r="C19" i="35"/>
  <c r="C20" i="35" s="1"/>
  <c r="C28" i="35" s="1"/>
  <c r="D45" i="69" l="1"/>
  <c r="E45" i="69" s="1"/>
  <c r="D38" i="69"/>
  <c r="E38" i="69" s="1"/>
  <c r="D5" i="69"/>
  <c r="E5" i="69" s="1"/>
  <c r="D40" i="69"/>
  <c r="E40" i="69" s="1"/>
  <c r="D39" i="69"/>
  <c r="E39" i="69" s="1"/>
  <c r="D44" i="69"/>
  <c r="E44" i="69" s="1"/>
  <c r="D43" i="69"/>
  <c r="E43" i="69" s="1"/>
  <c r="D42" i="69"/>
  <c r="E42" i="69" s="1"/>
  <c r="D41" i="69"/>
  <c r="E41" i="69" s="1"/>
  <c r="D56" i="69"/>
  <c r="E56" i="69" s="1"/>
  <c r="D57" i="69"/>
  <c r="E57" i="69" s="1"/>
  <c r="D55" i="69"/>
  <c r="E55" i="69" s="1"/>
  <c r="D54" i="69"/>
  <c r="E54" i="69" s="1"/>
  <c r="D52" i="69"/>
  <c r="E52" i="69" s="1"/>
  <c r="D36" i="69"/>
  <c r="E36" i="69" s="1"/>
  <c r="D51" i="69"/>
  <c r="E51" i="69" s="1"/>
  <c r="D50" i="69"/>
  <c r="E50" i="69" s="1"/>
  <c r="D48" i="69"/>
  <c r="E48" i="69" s="1"/>
  <c r="D49" i="69"/>
  <c r="E49" i="69" s="1"/>
  <c r="D35" i="69"/>
  <c r="E35" i="69" s="1"/>
  <c r="D37" i="69"/>
  <c r="E37" i="69" s="1"/>
  <c r="D53" i="69"/>
  <c r="E53" i="69" s="1"/>
  <c r="P13" i="81"/>
  <c r="M12" i="81"/>
  <c r="D11" i="69"/>
  <c r="E11" i="69" s="1"/>
  <c r="D8" i="69"/>
  <c r="E8" i="69" s="1"/>
  <c r="D10" i="69"/>
  <c r="E10" i="69" s="1"/>
  <c r="D9" i="69"/>
  <c r="E9" i="69" s="1"/>
  <c r="D12" i="69"/>
  <c r="E12" i="69" s="1"/>
  <c r="D7" i="69"/>
  <c r="E7" i="69" s="1"/>
  <c r="D13" i="69"/>
  <c r="E13" i="69" s="1"/>
  <c r="D6" i="69"/>
  <c r="E6" i="69" s="1"/>
  <c r="D4" i="69"/>
  <c r="E4" i="69" s="1"/>
  <c r="C7" i="39"/>
  <c r="C9" i="39" s="1"/>
  <c r="C4" i="39"/>
  <c r="C5" i="39" s="1"/>
  <c r="C11" i="35"/>
  <c r="J8" i="77" l="1"/>
  <c r="C9" i="43"/>
  <c r="C11" i="39"/>
  <c r="D8" i="75" s="1"/>
  <c r="D7" i="75" s="1"/>
  <c r="D14" i="57" l="1"/>
  <c r="D6" i="75"/>
  <c r="D17" i="75"/>
  <c r="D19" i="75" s="1"/>
  <c r="D22" i="75" s="1"/>
  <c r="E7" i="75"/>
  <c r="D9" i="75"/>
  <c r="G12" i="24"/>
  <c r="G15" i="24" s="1"/>
  <c r="E14" i="57" l="1"/>
  <c r="E9" i="75"/>
  <c r="E6" i="75"/>
  <c r="E17" i="75"/>
  <c r="E19" i="75" s="1"/>
  <c r="E22" i="75" s="1"/>
  <c r="F7" i="75"/>
  <c r="F11" i="40"/>
  <c r="F13" i="40" s="1"/>
  <c r="C13" i="23"/>
  <c r="C16" i="23" s="1"/>
  <c r="F14" i="57" l="1"/>
  <c r="F6" i="75"/>
  <c r="G7" i="75"/>
  <c r="F9" i="75"/>
  <c r="F17" i="75"/>
  <c r="F19" i="75" s="1"/>
  <c r="F22" i="75" s="1"/>
  <c r="C22" i="23"/>
  <c r="F19" i="68"/>
  <c r="F22" i="68" s="1"/>
  <c r="G14" i="57" l="1"/>
  <c r="G17" i="75"/>
  <c r="G19" i="75" s="1"/>
  <c r="G22" i="75" s="1"/>
  <c r="G6" i="75"/>
  <c r="G9" i="75"/>
  <c r="H7" i="75"/>
  <c r="C14" i="68"/>
  <c r="C23" i="81" s="1"/>
  <c r="C4" i="71"/>
  <c r="H14" i="57" l="1"/>
  <c r="I7" i="75"/>
  <c r="H17" i="75"/>
  <c r="H19" i="75" s="1"/>
  <c r="H22" i="75" s="1"/>
  <c r="H9" i="75"/>
  <c r="H6" i="75"/>
  <c r="C20" i="72"/>
  <c r="C19" i="72"/>
  <c r="C4" i="72" s="1"/>
  <c r="C20" i="48"/>
  <c r="C23" i="23"/>
  <c r="C26" i="23" s="1"/>
  <c r="C19" i="69"/>
  <c r="C15" i="68"/>
  <c r="N3" i="28" s="1"/>
  <c r="I14" i="57" l="1"/>
  <c r="I6" i="75"/>
  <c r="I17" i="75"/>
  <c r="I19" i="75" s="1"/>
  <c r="I22" i="75" s="1"/>
  <c r="I9" i="75"/>
  <c r="J7" i="75"/>
  <c r="F57" i="69"/>
  <c r="H57" i="69" s="1"/>
  <c r="F56" i="69"/>
  <c r="H56" i="69" s="1"/>
  <c r="F55" i="69"/>
  <c r="H55" i="69" s="1"/>
  <c r="F54" i="69"/>
  <c r="H54" i="69" s="1"/>
  <c r="F53" i="69"/>
  <c r="H53" i="69" s="1"/>
  <c r="F52" i="69"/>
  <c r="H52" i="69" s="1"/>
  <c r="F51" i="69"/>
  <c r="H51" i="69" s="1"/>
  <c r="F50" i="69"/>
  <c r="H50" i="69" s="1"/>
  <c r="F49" i="69"/>
  <c r="H49" i="69" s="1"/>
  <c r="F48" i="69"/>
  <c r="H48" i="69" s="1"/>
  <c r="F36" i="69"/>
  <c r="H36" i="69" s="1"/>
  <c r="M36" i="69" s="1"/>
  <c r="N36" i="69" s="1"/>
  <c r="O36" i="69" s="1"/>
  <c r="F45" i="69"/>
  <c r="H45" i="69" s="1"/>
  <c r="F41" i="69"/>
  <c r="H41" i="69" s="1"/>
  <c r="F37" i="69"/>
  <c r="H37" i="69" s="1"/>
  <c r="F42" i="69"/>
  <c r="H42" i="69" s="1"/>
  <c r="F38" i="69"/>
  <c r="H38" i="69" s="1"/>
  <c r="F44" i="69"/>
  <c r="H44" i="69" s="1"/>
  <c r="F40" i="69"/>
  <c r="H40" i="69" s="1"/>
  <c r="F43" i="69"/>
  <c r="H43" i="69" s="1"/>
  <c r="F39" i="69"/>
  <c r="H39" i="69" s="1"/>
  <c r="F5" i="69"/>
  <c r="F35" i="69"/>
  <c r="H35" i="69" s="1"/>
  <c r="F7" i="40"/>
  <c r="F8" i="40" s="1"/>
  <c r="F19" i="40" s="1"/>
  <c r="L6" i="48" s="1"/>
  <c r="F9" i="69"/>
  <c r="H9" i="69" s="1"/>
  <c r="C21" i="72"/>
  <c r="C22" i="72" s="1"/>
  <c r="E35" i="72" s="1"/>
  <c r="C36" i="72"/>
  <c r="C33" i="72"/>
  <c r="C10" i="72"/>
  <c r="C40" i="72"/>
  <c r="C38" i="72"/>
  <c r="C12" i="72"/>
  <c r="C11" i="72"/>
  <c r="C42" i="72"/>
  <c r="C35" i="72"/>
  <c r="C39" i="72"/>
  <c r="C41" i="72"/>
  <c r="C34" i="72"/>
  <c r="C13" i="72"/>
  <c r="C5" i="72"/>
  <c r="C8" i="72"/>
  <c r="C6" i="72"/>
  <c r="C37" i="72"/>
  <c r="C9" i="72"/>
  <c r="C27" i="23"/>
  <c r="C7" i="72"/>
  <c r="F8" i="69"/>
  <c r="H8" i="69" s="1"/>
  <c r="C18" i="68"/>
  <c r="U3" i="28" s="1"/>
  <c r="C16" i="68"/>
  <c r="F10" i="69"/>
  <c r="H10" i="69" s="1"/>
  <c r="F13" i="69"/>
  <c r="H13" i="69" s="1"/>
  <c r="F7" i="69"/>
  <c r="H7" i="69" s="1"/>
  <c r="F12" i="69"/>
  <c r="H12" i="69" s="1"/>
  <c r="F4" i="69"/>
  <c r="H4" i="69" s="1"/>
  <c r="M4" i="69" s="1"/>
  <c r="F6" i="69"/>
  <c r="H6" i="69" s="1"/>
  <c r="F11" i="69"/>
  <c r="H11" i="69" s="1"/>
  <c r="J14" i="57" l="1"/>
  <c r="J17" i="75"/>
  <c r="J19" i="75" s="1"/>
  <c r="J22" i="75" s="1"/>
  <c r="J9" i="75"/>
  <c r="K7" i="75"/>
  <c r="J6" i="75"/>
  <c r="M51" i="69"/>
  <c r="N51" i="69" s="1"/>
  <c r="O51" i="69" s="1"/>
  <c r="I51" i="69"/>
  <c r="J51" i="69" s="1"/>
  <c r="G36" i="72" s="1"/>
  <c r="M55" i="69"/>
  <c r="N55" i="69" s="1"/>
  <c r="O55" i="69" s="1"/>
  <c r="I55" i="69"/>
  <c r="J55" i="69" s="1"/>
  <c r="G40" i="72" s="1"/>
  <c r="M48" i="69"/>
  <c r="N48" i="69" s="1"/>
  <c r="O48" i="69" s="1"/>
  <c r="I48" i="69"/>
  <c r="J48" i="69" s="1"/>
  <c r="G33" i="72" s="1"/>
  <c r="M52" i="69"/>
  <c r="N52" i="69" s="1"/>
  <c r="O52" i="69" s="1"/>
  <c r="I52" i="69"/>
  <c r="J52" i="69" s="1"/>
  <c r="G37" i="72" s="1"/>
  <c r="M56" i="69"/>
  <c r="N56" i="69" s="1"/>
  <c r="O56" i="69" s="1"/>
  <c r="I56" i="69"/>
  <c r="J56" i="69" s="1"/>
  <c r="G41" i="72" s="1"/>
  <c r="M49" i="69"/>
  <c r="N49" i="69" s="1"/>
  <c r="O49" i="69" s="1"/>
  <c r="I49" i="69"/>
  <c r="J49" i="69" s="1"/>
  <c r="G34" i="72" s="1"/>
  <c r="M53" i="69"/>
  <c r="N53" i="69" s="1"/>
  <c r="O53" i="69" s="1"/>
  <c r="I53" i="69"/>
  <c r="J53" i="69" s="1"/>
  <c r="G38" i="72" s="1"/>
  <c r="M57" i="69"/>
  <c r="N57" i="69" s="1"/>
  <c r="O57" i="69" s="1"/>
  <c r="I57" i="69"/>
  <c r="J57" i="69" s="1"/>
  <c r="G42" i="72" s="1"/>
  <c r="M50" i="69"/>
  <c r="N50" i="69" s="1"/>
  <c r="O50" i="69" s="1"/>
  <c r="I50" i="69"/>
  <c r="J50" i="69" s="1"/>
  <c r="G35" i="72" s="1"/>
  <c r="M54" i="69"/>
  <c r="N54" i="69" s="1"/>
  <c r="O54" i="69" s="1"/>
  <c r="I54" i="69"/>
  <c r="J54" i="69" s="1"/>
  <c r="G39" i="72" s="1"/>
  <c r="I36" i="69"/>
  <c r="J36" i="69" s="1"/>
  <c r="M37" i="69"/>
  <c r="N37" i="69" s="1"/>
  <c r="O37" i="69" s="1"/>
  <c r="I37" i="69"/>
  <c r="J37" i="69" s="1"/>
  <c r="I44" i="69"/>
  <c r="J44" i="69" s="1"/>
  <c r="M44" i="69"/>
  <c r="N44" i="69" s="1"/>
  <c r="O44" i="69" s="1"/>
  <c r="M41" i="69"/>
  <c r="N41" i="69" s="1"/>
  <c r="O41" i="69" s="1"/>
  <c r="I41" i="69"/>
  <c r="J41" i="69" s="1"/>
  <c r="I40" i="69"/>
  <c r="J40" i="69" s="1"/>
  <c r="M40" i="69"/>
  <c r="N40" i="69" s="1"/>
  <c r="O40" i="69" s="1"/>
  <c r="M39" i="69"/>
  <c r="N39" i="69" s="1"/>
  <c r="O39" i="69" s="1"/>
  <c r="I39" i="69"/>
  <c r="J39" i="69" s="1"/>
  <c r="M38" i="69"/>
  <c r="N38" i="69" s="1"/>
  <c r="O38" i="69" s="1"/>
  <c r="I38" i="69"/>
  <c r="J38" i="69" s="1"/>
  <c r="M45" i="69"/>
  <c r="N45" i="69" s="1"/>
  <c r="O45" i="69" s="1"/>
  <c r="I45" i="69"/>
  <c r="J45" i="69" s="1"/>
  <c r="M43" i="69"/>
  <c r="N43" i="69" s="1"/>
  <c r="O43" i="69" s="1"/>
  <c r="I43" i="69"/>
  <c r="J43" i="69" s="1"/>
  <c r="M42" i="69"/>
  <c r="N42" i="69" s="1"/>
  <c r="O42" i="69" s="1"/>
  <c r="I42" i="69"/>
  <c r="J42" i="69" s="1"/>
  <c r="M35" i="69"/>
  <c r="N35" i="69" s="1"/>
  <c r="O35" i="69" s="1"/>
  <c r="I35" i="69"/>
  <c r="J35" i="69" s="1"/>
  <c r="I13" i="69"/>
  <c r="J13" i="69" s="1"/>
  <c r="M13" i="69"/>
  <c r="N13" i="69" s="1"/>
  <c r="O13" i="69" s="1"/>
  <c r="I12" i="69"/>
  <c r="J12" i="69" s="1"/>
  <c r="M12" i="69"/>
  <c r="N12" i="69" s="1"/>
  <c r="O12" i="69" s="1"/>
  <c r="I11" i="69"/>
  <c r="J11" i="69" s="1"/>
  <c r="M11" i="69"/>
  <c r="N11" i="69" s="1"/>
  <c r="O11" i="69" s="1"/>
  <c r="I10" i="69"/>
  <c r="J10" i="69" s="1"/>
  <c r="M10" i="69"/>
  <c r="N10" i="69" s="1"/>
  <c r="O10" i="69" s="1"/>
  <c r="I9" i="69"/>
  <c r="J9" i="69" s="1"/>
  <c r="M9" i="69"/>
  <c r="N9" i="69" s="1"/>
  <c r="O9" i="69" s="1"/>
  <c r="I8" i="69"/>
  <c r="J8" i="69" s="1"/>
  <c r="M8" i="69"/>
  <c r="N8" i="69" s="1"/>
  <c r="O8" i="69" s="1"/>
  <c r="I7" i="69"/>
  <c r="J7" i="69" s="1"/>
  <c r="G7" i="72" s="1"/>
  <c r="M7" i="69"/>
  <c r="N7" i="69" s="1"/>
  <c r="O7" i="69" s="1"/>
  <c r="I6" i="69"/>
  <c r="J6" i="69" s="1"/>
  <c r="M6" i="69"/>
  <c r="N6" i="69" s="1"/>
  <c r="O6" i="69" s="1"/>
  <c r="E5" i="72"/>
  <c r="E36" i="72"/>
  <c r="E34" i="72"/>
  <c r="E8" i="72"/>
  <c r="E13" i="72"/>
  <c r="E10" i="72"/>
  <c r="E4" i="72"/>
  <c r="I4" i="72" s="1"/>
  <c r="E41" i="72"/>
  <c r="E39" i="72"/>
  <c r="E11" i="72"/>
  <c r="E6" i="72"/>
  <c r="E12" i="72"/>
  <c r="E33" i="72"/>
  <c r="E37" i="72"/>
  <c r="E7" i="72"/>
  <c r="E9" i="72"/>
  <c r="E42" i="72"/>
  <c r="E38" i="72"/>
  <c r="E40" i="72"/>
  <c r="C7" i="23"/>
  <c r="C8" i="23" s="1"/>
  <c r="C20" i="23" s="1"/>
  <c r="C29" i="23" s="1"/>
  <c r="P8" i="81" s="1"/>
  <c r="K26" i="71"/>
  <c r="K14" i="57" l="1"/>
  <c r="K17" i="75"/>
  <c r="K19" i="75" s="1"/>
  <c r="K22" i="75" s="1"/>
  <c r="L7" i="75"/>
  <c r="K6" i="75"/>
  <c r="K9" i="75"/>
  <c r="D4" i="72"/>
  <c r="F4" i="72" s="1"/>
  <c r="J4" i="72" s="1"/>
  <c r="N4" i="69"/>
  <c r="O4" i="69" s="1"/>
  <c r="H13" i="81"/>
  <c r="H14" i="81" s="1"/>
  <c r="C6" i="48"/>
  <c r="K17" i="71" s="1"/>
  <c r="W3" i="28"/>
  <c r="C10" i="43"/>
  <c r="C11" i="43" s="1"/>
  <c r="C13" i="43" s="1"/>
  <c r="C16" i="48" s="1"/>
  <c r="K26" i="79" s="1"/>
  <c r="J9" i="77"/>
  <c r="J10" i="77" s="1"/>
  <c r="I26" i="79" l="1"/>
  <c r="J26" i="79" s="1"/>
  <c r="L14" i="57"/>
  <c r="L9" i="75"/>
  <c r="M7" i="75"/>
  <c r="L6" i="75"/>
  <c r="L17" i="75"/>
  <c r="L19" i="75" s="1"/>
  <c r="L22" i="75" s="1"/>
  <c r="H6" i="48"/>
  <c r="F6" i="48" s="1"/>
  <c r="D6" i="48"/>
  <c r="K18" i="71" s="1"/>
  <c r="M13" i="81"/>
  <c r="M14" i="81" s="1"/>
  <c r="C21" i="81"/>
  <c r="G13" i="81"/>
  <c r="G14" i="81" s="1"/>
  <c r="C18" i="81"/>
  <c r="I13" i="81"/>
  <c r="I14" i="81" s="1"/>
  <c r="E13" i="81"/>
  <c r="E14" i="81" s="1"/>
  <c r="L13" i="81"/>
  <c r="L14" i="81" s="1"/>
  <c r="F13" i="81"/>
  <c r="F14" i="81" s="1"/>
  <c r="D13" i="81"/>
  <c r="D14" i="81" s="1"/>
  <c r="K13" i="81"/>
  <c r="K14" i="81" s="1"/>
  <c r="J13" i="81"/>
  <c r="J14" i="81" s="1"/>
  <c r="M14" i="57" l="1"/>
  <c r="M17" i="75"/>
  <c r="M19" i="75" s="1"/>
  <c r="M22" i="75" s="1"/>
  <c r="C5" i="40"/>
  <c r="M9" i="75"/>
  <c r="M6" i="75"/>
  <c r="J6" i="48"/>
  <c r="I6" i="48" s="1"/>
  <c r="K22" i="71"/>
  <c r="C17" i="81"/>
  <c r="C19" i="81"/>
  <c r="G6" i="48"/>
  <c r="K21" i="71" s="1"/>
  <c r="K20" i="71"/>
  <c r="E6" i="48"/>
  <c r="K6" i="48" l="1"/>
  <c r="K25" i="71" s="1"/>
  <c r="K24" i="71"/>
  <c r="K19" i="71"/>
  <c r="K23" i="71"/>
  <c r="E15" i="57" l="1"/>
  <c r="E11" i="75" s="1"/>
  <c r="E12" i="75" s="1"/>
  <c r="E13" i="75" s="1"/>
  <c r="E15" i="75" s="1"/>
  <c r="E25" i="75" l="1"/>
  <c r="D5" i="48" s="1"/>
  <c r="D7" i="48" s="1"/>
  <c r="E21" i="75"/>
  <c r="E23" i="75"/>
  <c r="J15" i="57"/>
  <c r="J11" i="75" s="1"/>
  <c r="J12" i="75" s="1"/>
  <c r="J13" i="75" s="1"/>
  <c r="J15" i="75" s="1"/>
  <c r="D15" i="57"/>
  <c r="D11" i="75" s="1"/>
  <c r="D12" i="75" s="1"/>
  <c r="D13" i="75" s="1"/>
  <c r="D15" i="75" s="1"/>
  <c r="I15" i="57"/>
  <c r="I11" i="75" s="1"/>
  <c r="I12" i="75" s="1"/>
  <c r="I13" i="75" s="1"/>
  <c r="I15" i="75" s="1"/>
  <c r="M15" i="57"/>
  <c r="M11" i="75" s="1"/>
  <c r="M12" i="75" s="1"/>
  <c r="M13" i="75" s="1"/>
  <c r="M15" i="75" s="1"/>
  <c r="H15" i="57"/>
  <c r="H11" i="75" s="1"/>
  <c r="H12" i="75" s="1"/>
  <c r="H13" i="75" s="1"/>
  <c r="H15" i="75" s="1"/>
  <c r="F15" i="57"/>
  <c r="F11" i="75" s="1"/>
  <c r="F12" i="75" s="1"/>
  <c r="F13" i="75" s="1"/>
  <c r="F15" i="75" s="1"/>
  <c r="L15" i="57"/>
  <c r="L11" i="75" s="1"/>
  <c r="L12" i="75" s="1"/>
  <c r="L13" i="75" s="1"/>
  <c r="L15" i="75" s="1"/>
  <c r="G15" i="57"/>
  <c r="G11" i="75" s="1"/>
  <c r="G12" i="75" s="1"/>
  <c r="G13" i="75" s="1"/>
  <c r="G15" i="75" s="1"/>
  <c r="K15" i="57"/>
  <c r="K11" i="75" s="1"/>
  <c r="K12" i="75" s="1"/>
  <c r="K13" i="75" l="1"/>
  <c r="K15" i="75" s="1"/>
  <c r="H21" i="75"/>
  <c r="H23" i="75"/>
  <c r="H25" i="75"/>
  <c r="G5" i="48" s="1"/>
  <c r="G7" i="48" s="1"/>
  <c r="J23" i="75"/>
  <c r="J25" i="75"/>
  <c r="I5" i="48" s="1"/>
  <c r="I7" i="48" s="1"/>
  <c r="J21" i="75"/>
  <c r="M21" i="75"/>
  <c r="M23" i="75"/>
  <c r="C9" i="40" s="1"/>
  <c r="C10" i="40" s="1"/>
  <c r="M25" i="75"/>
  <c r="L5" i="48" s="1"/>
  <c r="L7" i="48" s="1"/>
  <c r="L21" i="75"/>
  <c r="L23" i="75"/>
  <c r="L25" i="75"/>
  <c r="K5" i="48" s="1"/>
  <c r="K7" i="48" s="1"/>
  <c r="G23" i="75"/>
  <c r="G25" i="75"/>
  <c r="F5" i="48" s="1"/>
  <c r="F7" i="48" s="1"/>
  <c r="G21" i="75"/>
  <c r="I23" i="75"/>
  <c r="I25" i="75"/>
  <c r="H5" i="48" s="1"/>
  <c r="H7" i="48" s="1"/>
  <c r="I21" i="75"/>
  <c r="F23" i="75"/>
  <c r="F25" i="75"/>
  <c r="E5" i="48" s="1"/>
  <c r="E7" i="48" s="1"/>
  <c r="F21" i="75"/>
  <c r="D21" i="75"/>
  <c r="D23" i="75"/>
  <c r="D25" i="75"/>
  <c r="C5" i="48" s="1"/>
  <c r="C7" i="48" s="1"/>
  <c r="C7" i="40"/>
  <c r="C11" i="40" l="1"/>
  <c r="C12" i="40" s="1"/>
  <c r="K25" i="75"/>
  <c r="K23" i="75"/>
  <c r="K21" i="75"/>
  <c r="J18" i="71"/>
  <c r="L18" i="71" s="1"/>
  <c r="M18" i="71" s="1"/>
  <c r="J21" i="71"/>
  <c r="L21" i="71" s="1"/>
  <c r="M21" i="71" s="1"/>
  <c r="J22" i="71"/>
  <c r="L22" i="71" s="1"/>
  <c r="M22" i="71" s="1"/>
  <c r="J20" i="71"/>
  <c r="L20" i="71" s="1"/>
  <c r="M20" i="71" s="1"/>
  <c r="J23" i="71"/>
  <c r="L23" i="71" s="1"/>
  <c r="M23" i="71" s="1"/>
  <c r="J17" i="71"/>
  <c r="L17" i="71" s="1"/>
  <c r="J5" i="48" l="1"/>
  <c r="J7" i="48" s="1"/>
  <c r="C12" i="48" s="1"/>
  <c r="J25" i="71"/>
  <c r="L25" i="71" s="1"/>
  <c r="M25" i="71" s="1"/>
  <c r="J19" i="71"/>
  <c r="L19" i="71" s="1"/>
  <c r="M19" i="71" s="1"/>
  <c r="M17" i="71"/>
  <c r="J26" i="71"/>
  <c r="J24" i="71" l="1"/>
  <c r="L24" i="71" s="1"/>
  <c r="M24" i="71" s="1"/>
  <c r="C13" i="48"/>
  <c r="C14" i="48" s="1"/>
  <c r="C15" i="48" s="1"/>
  <c r="C19" i="48" s="1"/>
  <c r="C22" i="48" s="1"/>
  <c r="C24" i="48" s="1"/>
  <c r="C26" i="48" s="1"/>
  <c r="L26" i="71" l="1"/>
  <c r="M26" i="71" s="1"/>
  <c r="M27" i="71" s="1"/>
  <c r="L27" i="71" l="1"/>
  <c r="M29" i="71" s="1"/>
  <c r="C20" i="81" l="1"/>
  <c r="C22" i="81" l="1"/>
  <c r="C25" i="81" s="1"/>
  <c r="C27" i="81" s="1"/>
  <c r="C29" i="81" s="1"/>
  <c r="E20" i="81" l="1"/>
  <c r="K20" i="81"/>
  <c r="G13" i="72"/>
  <c r="H13" i="72" s="1"/>
  <c r="I13" i="72" s="1"/>
  <c r="G12" i="72"/>
  <c r="H12" i="72" s="1"/>
  <c r="I12" i="72" s="1"/>
  <c r="D11" i="72"/>
  <c r="F11" i="72" s="1"/>
  <c r="G10" i="72"/>
  <c r="H10" i="72" s="1"/>
  <c r="I10" i="72" s="1"/>
  <c r="G9" i="72"/>
  <c r="H9" i="72" s="1"/>
  <c r="I9" i="72" s="1"/>
  <c r="D10" i="72"/>
  <c r="F10" i="72" s="1"/>
  <c r="D7" i="72"/>
  <c r="F7" i="72" s="1"/>
  <c r="D13" i="72"/>
  <c r="F13" i="72" s="1"/>
  <c r="D9" i="72"/>
  <c r="F9" i="72" s="1"/>
  <c r="D12" i="72"/>
  <c r="F12" i="72" s="1"/>
  <c r="G11" i="72"/>
  <c r="H11" i="72" s="1"/>
  <c r="I11" i="72" s="1"/>
  <c r="G8" i="72"/>
  <c r="H8" i="72" s="1"/>
  <c r="I8" i="72" s="1"/>
  <c r="H7" i="72"/>
  <c r="I7" i="72" s="1"/>
  <c r="D8" i="72"/>
  <c r="F8" i="72" s="1"/>
  <c r="J7" i="72" l="1"/>
  <c r="J13" i="72"/>
  <c r="J12" i="72"/>
  <c r="J9" i="72"/>
  <c r="J11" i="72"/>
  <c r="J10" i="72"/>
  <c r="J8" i="72"/>
  <c r="G6" i="72" l="1"/>
  <c r="H6" i="72" s="1"/>
  <c r="I6" i="72" s="1"/>
  <c r="D6" i="72" l="1"/>
  <c r="F6" i="72" s="1"/>
  <c r="J6" i="72" s="1"/>
  <c r="L5" i="69"/>
  <c r="H5" i="69" s="1"/>
  <c r="I5" i="69" s="1"/>
  <c r="J5" i="69" s="1"/>
  <c r="G5" i="72" s="1"/>
  <c r="H5" i="72" s="1"/>
  <c r="I5" i="72" s="1"/>
  <c r="M5" i="69" l="1"/>
  <c r="D5" i="72" s="1"/>
  <c r="F5" i="72" s="1"/>
  <c r="J5" i="72" s="1"/>
  <c r="N5" i="69" l="1"/>
  <c r="O5" i="69" s="1"/>
  <c r="D35" i="72"/>
  <c r="F35" i="72" s="1"/>
  <c r="H35" i="72"/>
  <c r="I35" i="72" s="1"/>
  <c r="H33" i="72"/>
  <c r="I33" i="72" s="1"/>
  <c r="H34" i="72"/>
  <c r="I34" i="72" s="1"/>
  <c r="D37" i="72"/>
  <c r="F37" i="72" s="1"/>
  <c r="H37" i="72"/>
  <c r="I37" i="72" s="1"/>
  <c r="H38" i="72"/>
  <c r="I38" i="72" s="1"/>
  <c r="H41" i="72"/>
  <c r="I41" i="72" s="1"/>
  <c r="H36" i="72"/>
  <c r="I36" i="72" s="1"/>
  <c r="D34" i="72"/>
  <c r="F34" i="72" s="1"/>
  <c r="D41" i="72"/>
  <c r="F41" i="72" s="1"/>
  <c r="D42" i="72"/>
  <c r="F42" i="72" s="1"/>
  <c r="D36" i="72"/>
  <c r="F36" i="72" s="1"/>
  <c r="D39" i="72"/>
  <c r="F39" i="72" s="1"/>
  <c r="D38" i="72"/>
  <c r="F38" i="72" s="1"/>
  <c r="H40" i="72"/>
  <c r="I40" i="72" s="1"/>
  <c r="H42" i="72"/>
  <c r="I42" i="72" s="1"/>
  <c r="D33" i="72"/>
  <c r="F33" i="72" s="1"/>
  <c r="D40" i="72"/>
  <c r="F40" i="72" s="1"/>
  <c r="H39" i="72"/>
  <c r="I39" i="72" s="1"/>
  <c r="J36" i="72" l="1"/>
  <c r="J38" i="72"/>
  <c r="J33" i="72"/>
  <c r="J41" i="72"/>
  <c r="J40" i="72"/>
  <c r="J35" i="72"/>
  <c r="J42" i="72"/>
  <c r="J39" i="72"/>
  <c r="J37" i="72"/>
  <c r="J34" i="72"/>
</calcChain>
</file>

<file path=xl/comments1.xml><?xml version="1.0" encoding="utf-8"?>
<comments xmlns="http://schemas.openxmlformats.org/spreadsheetml/2006/main">
  <authors>
    <author>Author</author>
  </authors>
  <commentList>
    <comment ref="H5" authorId="0" shapeId="0">
      <text>
        <r>
          <rPr>
            <b/>
            <sz val="9"/>
            <color indexed="81"/>
            <rFont val="Tahoma"/>
            <charset val="1"/>
          </rPr>
          <t>Author:</t>
        </r>
        <r>
          <rPr>
            <sz val="9"/>
            <color indexed="81"/>
            <rFont val="Tahoma"/>
            <charset val="1"/>
          </rPr>
          <t xml:space="preserve">
To get basic understanding of the business.</t>
        </r>
      </text>
    </comment>
    <comment ref="H6" authorId="0" shapeId="0">
      <text>
        <r>
          <rPr>
            <b/>
            <sz val="9"/>
            <color indexed="81"/>
            <rFont val="Tahoma"/>
            <charset val="1"/>
          </rPr>
          <t>Author:</t>
        </r>
        <r>
          <rPr>
            <sz val="9"/>
            <color indexed="81"/>
            <rFont val="Tahoma"/>
            <charset val="1"/>
          </rPr>
          <t xml:space="preserve">
To know the people behind the business.</t>
        </r>
      </text>
    </comment>
    <comment ref="H7" authorId="0" shapeId="0">
      <text>
        <r>
          <rPr>
            <b/>
            <sz val="9"/>
            <color indexed="81"/>
            <rFont val="Tahoma"/>
            <charset val="1"/>
          </rPr>
          <t>Author:</t>
        </r>
        <r>
          <rPr>
            <sz val="9"/>
            <color indexed="81"/>
            <rFont val="Tahoma"/>
            <charset val="1"/>
          </rPr>
          <t xml:space="preserve">
Do sanity check to eliminate criminal background, intense political affiliations etc.</t>
        </r>
      </text>
    </comment>
    <comment ref="H8" authorId="0" shapeId="0">
      <text>
        <r>
          <rPr>
            <b/>
            <sz val="9"/>
            <color indexed="81"/>
            <rFont val="Tahoma"/>
            <charset val="1"/>
          </rPr>
          <t>Author:</t>
        </r>
        <r>
          <rPr>
            <sz val="9"/>
            <color indexed="81"/>
            <rFont val="Tahoma"/>
            <charset val="1"/>
          </rPr>
          <t xml:space="preserve">
To know the product better. Demand and Supply dynamics of the product.</t>
        </r>
      </text>
    </comment>
    <comment ref="H9" authorId="0" shapeId="0">
      <text>
        <r>
          <rPr>
            <b/>
            <sz val="9"/>
            <color indexed="81"/>
            <rFont val="Tahoma"/>
            <charset val="1"/>
          </rPr>
          <t>Author:</t>
        </r>
        <r>
          <rPr>
            <sz val="9"/>
            <color indexed="81"/>
            <rFont val="Tahoma"/>
            <charset val="1"/>
          </rPr>
          <t xml:space="preserve">
To get a sense of their geographical presence. Also, if plants are located at prime location, the value of such plants could go off balance sheet making it highly undervalued.</t>
        </r>
      </text>
    </comment>
    <comment ref="H11" authorId="0" shapeId="0">
      <text>
        <r>
          <rPr>
            <b/>
            <sz val="9"/>
            <color indexed="81"/>
            <rFont val="Tahoma"/>
            <charset val="1"/>
          </rPr>
          <t>Author:</t>
        </r>
        <r>
          <rPr>
            <sz val="9"/>
            <color indexed="81"/>
            <rFont val="Tahoma"/>
            <charset val="1"/>
          </rPr>
          <t xml:space="preserve">
An idea about their operational abilities, demand of their product and positioning of future demand.</t>
        </r>
      </text>
    </comment>
    <comment ref="H12" authorId="0" shapeId="0">
      <text>
        <r>
          <rPr>
            <b/>
            <sz val="9"/>
            <color indexed="81"/>
            <rFont val="Tahoma"/>
            <charset val="1"/>
          </rPr>
          <t>Author:</t>
        </r>
        <r>
          <rPr>
            <sz val="9"/>
            <color indexed="81"/>
            <rFont val="Tahoma"/>
            <charset val="1"/>
          </rPr>
          <t xml:space="preserve">
Help us understand the dependency of raw material.</t>
        </r>
      </text>
    </comment>
    <comment ref="H13" authorId="0" shapeId="0">
      <text>
        <r>
          <rPr>
            <b/>
            <sz val="9"/>
            <color indexed="81"/>
            <rFont val="Tahoma"/>
            <charset val="1"/>
          </rPr>
          <t>Author:</t>
        </r>
        <r>
          <rPr>
            <sz val="9"/>
            <color indexed="81"/>
            <rFont val="Tahoma"/>
            <charset val="1"/>
          </rPr>
          <t xml:space="preserve">
By knowing the client base, we get a sense of the sales cycle. Efforts required to sell company's product. Concentration Risk if single client.</t>
        </r>
      </text>
    </comment>
    <comment ref="H14" authorId="0" shapeId="0">
      <text>
        <r>
          <rPr>
            <b/>
            <sz val="9"/>
            <color indexed="81"/>
            <rFont val="Tahoma"/>
            <charset val="1"/>
          </rPr>
          <t>Author:</t>
        </r>
        <r>
          <rPr>
            <sz val="9"/>
            <color indexed="81"/>
            <rFont val="Tahoma"/>
            <charset val="1"/>
          </rPr>
          <t xml:space="preserve">
Too many competitors means pressure on margins, the company needs to innovate consistently. Margins are higher if the company operates in monopoly, oligopoly, duopoly etc.</t>
        </r>
      </text>
    </comment>
    <comment ref="H15" authorId="0" shapeId="0">
      <text>
        <r>
          <rPr>
            <b/>
            <sz val="9"/>
            <color indexed="81"/>
            <rFont val="Tahoma"/>
            <charset val="1"/>
          </rPr>
          <t>Author:</t>
        </r>
        <r>
          <rPr>
            <sz val="9"/>
            <color indexed="81"/>
            <rFont val="Tahoma"/>
            <charset val="1"/>
          </rPr>
          <t xml:space="preserve">
Important to know who else owns company besides promotors and promotor group. If a highly successful investor helds the share in the company (it maybe a good sign!)</t>
        </r>
      </text>
    </comment>
    <comment ref="H16" authorId="0" shapeId="0">
      <text>
        <r>
          <rPr>
            <b/>
            <sz val="9"/>
            <color indexed="81"/>
            <rFont val="Tahoma"/>
            <charset val="1"/>
          </rPr>
          <t>Author:</t>
        </r>
        <r>
          <rPr>
            <sz val="9"/>
            <color indexed="81"/>
            <rFont val="Tahoma"/>
            <charset val="1"/>
          </rPr>
          <t xml:space="preserve">
Gives a sense of how ambitions and innovative the company is. While launching the product outside their domain could be a red flag. Possibility that company is losing focus.</t>
        </r>
      </text>
    </comment>
    <comment ref="H17" authorId="0" shapeId="0">
      <text>
        <r>
          <rPr>
            <b/>
            <sz val="9"/>
            <color indexed="81"/>
            <rFont val="Tahoma"/>
            <charset val="1"/>
          </rPr>
          <t>Author:</t>
        </r>
        <r>
          <rPr>
            <sz val="9"/>
            <color indexed="81"/>
            <rFont val="Tahoma"/>
            <charset val="1"/>
          </rPr>
          <t xml:space="preserve">
Gives a sense of how ambitions and innovative the company is. Is company ready for global expansion or will it backfire?</t>
        </r>
      </text>
    </comment>
    <comment ref="H18" authorId="0" shapeId="0">
      <text>
        <r>
          <rPr>
            <b/>
            <sz val="9"/>
            <color indexed="81"/>
            <rFont val="Tahoma"/>
            <charset val="1"/>
          </rPr>
          <t>Author:</t>
        </r>
        <r>
          <rPr>
            <sz val="9"/>
            <color indexed="81"/>
            <rFont val="Tahoma"/>
            <charset val="1"/>
          </rPr>
          <t xml:space="preserve">
Helps us understand which segment/product contribute the most in revenue. This further helps us understand the key drivers for future revenue growth.</t>
        </r>
      </text>
    </comment>
    <comment ref="H19" authorId="0" shapeId="0">
      <text>
        <r>
          <rPr>
            <b/>
            <sz val="9"/>
            <color indexed="81"/>
            <rFont val="Tahoma"/>
            <charset val="1"/>
          </rPr>
          <t>Author:</t>
        </r>
        <r>
          <rPr>
            <sz val="9"/>
            <color indexed="81"/>
            <rFont val="Tahoma"/>
            <charset val="1"/>
          </rPr>
          <t xml:space="preserve">
It is good and bad. It acts as a natural entry barrier for new players to enter the market. Bad as it limits choices when it comes to being innovative in the industry.</t>
        </r>
      </text>
    </comment>
    <comment ref="H20" authorId="0" shapeId="0">
      <text>
        <r>
          <rPr>
            <b/>
            <sz val="9"/>
            <color indexed="81"/>
            <rFont val="Tahoma"/>
            <charset val="1"/>
          </rPr>
          <t>Author:</t>
        </r>
        <r>
          <rPr>
            <sz val="9"/>
            <color indexed="81"/>
            <rFont val="Tahoma"/>
            <charset val="1"/>
          </rPr>
          <t xml:space="preserve">
Always good to know, as possibilties of conflict of interest. Association with scandalious agencies.</t>
        </r>
      </text>
    </comment>
    <comment ref="H21" authorId="0" shapeId="0">
      <text>
        <r>
          <rPr>
            <b/>
            <sz val="9"/>
            <color indexed="81"/>
            <rFont val="Tahoma"/>
            <charset val="1"/>
          </rPr>
          <t>Author:</t>
        </r>
        <r>
          <rPr>
            <sz val="9"/>
            <color indexed="81"/>
            <rFont val="Tahoma"/>
            <charset val="1"/>
          </rPr>
          <t xml:space="preserve">
Gives the sense of how labor intensive the company operations are. Also if company requires a lot of people with niche skills (red flag).</t>
        </r>
      </text>
    </comment>
    <comment ref="H22" authorId="0" shapeId="0">
      <text>
        <r>
          <rPr>
            <b/>
            <sz val="9"/>
            <color indexed="81"/>
            <rFont val="Tahoma"/>
            <charset val="1"/>
          </rPr>
          <t>Author:</t>
        </r>
        <r>
          <rPr>
            <sz val="9"/>
            <color indexed="81"/>
            <rFont val="Tahoma"/>
            <charset val="1"/>
          </rPr>
          <t xml:space="preserve">
Helps us understand how easy or difficult it is for a new company to enter and eat away the margins.</t>
        </r>
      </text>
    </comment>
    <comment ref="H23" authorId="0" shapeId="0">
      <text>
        <r>
          <rPr>
            <b/>
            <sz val="9"/>
            <color indexed="81"/>
            <rFont val="Tahoma"/>
            <charset val="1"/>
          </rPr>
          <t>Author:</t>
        </r>
        <r>
          <rPr>
            <sz val="9"/>
            <color indexed="81"/>
            <rFont val="Tahoma"/>
            <charset val="1"/>
          </rPr>
          <t xml:space="preserve">
If yes, it's a big red flag.</t>
        </r>
      </text>
    </comment>
    <comment ref="H24" authorId="0" shapeId="0">
      <text>
        <r>
          <rPr>
            <b/>
            <sz val="9"/>
            <color indexed="81"/>
            <rFont val="Tahoma"/>
            <charset val="1"/>
          </rPr>
          <t>Author:</t>
        </r>
        <r>
          <rPr>
            <sz val="9"/>
            <color indexed="81"/>
            <rFont val="Tahoma"/>
            <charset val="1"/>
          </rPr>
          <t xml:space="preserve">
If yes, you need to question why? Is this a geniune business requirement? Or is this a way to siphon off the fund?</t>
        </r>
      </text>
    </comment>
  </commentList>
</comments>
</file>

<file path=xl/sharedStrings.xml><?xml version="1.0" encoding="utf-8"?>
<sst xmlns="http://schemas.openxmlformats.org/spreadsheetml/2006/main" count="2062" uniqueCount="1030">
  <si>
    <t xml:space="preserve">#                </t>
  </si>
  <si>
    <t>Worksheet</t>
  </si>
  <si>
    <t>D&amp;A</t>
  </si>
  <si>
    <t>EBIT</t>
  </si>
  <si>
    <t>Revenues</t>
  </si>
  <si>
    <t>WACC</t>
  </si>
  <si>
    <t>Cost of Capital</t>
  </si>
  <si>
    <t>Cost of Equity</t>
  </si>
  <si>
    <t>Equity Risk Premium</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</si>
  <si>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</si>
  <si>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</si>
  <si>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</si>
  <si>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</si>
  <si>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</si>
  <si>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</si>
  <si>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</si>
  <si>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</si>
  <si>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</si>
  <si>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</si>
  <si>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</si>
  <si>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</si>
  <si>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</si>
  <si>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</si>
  <si>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</si>
  <si>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</si>
  <si>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</si>
  <si>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</si>
  <si>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</si>
  <si>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</si>
  <si>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</si>
  <si>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</si>
  <si>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Year</t>
  </si>
  <si>
    <t>-</t>
  </si>
  <si>
    <t>Ticker</t>
  </si>
  <si>
    <t>EV/Sales</t>
  </si>
  <si>
    <t>Bottom-Up Beta</t>
  </si>
  <si>
    <t>Pre-Tax Cost of Debt</t>
  </si>
  <si>
    <t>Market Value of Debt</t>
  </si>
  <si>
    <t>Number of Shares Outstanding</t>
  </si>
  <si>
    <t>Market Capitalization</t>
  </si>
  <si>
    <t>Cash Flows</t>
  </si>
  <si>
    <t>Valuation Index</t>
  </si>
  <si>
    <t>+</t>
  </si>
  <si>
    <t>Adjusted EBIT</t>
  </si>
  <si>
    <t>Net CapEx</t>
  </si>
  <si>
    <t>Capital Expenditures (CapEx)</t>
  </si>
  <si>
    <t>Account Payables</t>
  </si>
  <si>
    <t>Non Cash Working Capital</t>
  </si>
  <si>
    <t>EBIT * (1 - Tax Rate)</t>
  </si>
  <si>
    <t>Free Cash Flow to Firm (FCFF)</t>
  </si>
  <si>
    <t>Reinvestment</t>
  </si>
  <si>
    <t>Finance Cost</t>
  </si>
  <si>
    <t>Adjusted EBT</t>
  </si>
  <si>
    <t>Adjusted Net Income</t>
  </si>
  <si>
    <t>Principle Repayments</t>
  </si>
  <si>
    <t>New Debt Issue</t>
  </si>
  <si>
    <t>Free Cash Flow to Equity (FCFE)</t>
  </si>
  <si>
    <t>FCFE &amp; FCFF</t>
  </si>
  <si>
    <t>FCFF &amp; FCFE</t>
  </si>
  <si>
    <t>Account Recievables</t>
  </si>
  <si>
    <t>Working capital as % of revenues</t>
  </si>
  <si>
    <t>Non Cash Current Assets</t>
  </si>
  <si>
    <t>Non Debt Current Liabilities</t>
  </si>
  <si>
    <t>Average WC as % of revenues</t>
  </si>
  <si>
    <t>Non Cash Working Capital (2021)</t>
  </si>
  <si>
    <t>Revenues (2021)</t>
  </si>
  <si>
    <t>Expected Growth Rate</t>
  </si>
  <si>
    <t>Future Cash Flows (10 Yrs)</t>
  </si>
  <si>
    <t>Terminal Value</t>
  </si>
  <si>
    <t>Growth &amp; TV</t>
  </si>
  <si>
    <t>Reinvestment Rate</t>
  </si>
  <si>
    <t>Sales to Capital</t>
  </si>
  <si>
    <t>FCFF</t>
  </si>
  <si>
    <t>Invested Capital</t>
  </si>
  <si>
    <t>ROIC</t>
  </si>
  <si>
    <t>Growth Rate &amp; TV</t>
  </si>
  <si>
    <t>Growth Rate in perpetuity</t>
  </si>
  <si>
    <t>ROIC in perpetuity</t>
  </si>
  <si>
    <t>EBIT (11th Year)</t>
  </si>
  <si>
    <t>Marginal Tax Rate (%)</t>
  </si>
  <si>
    <t>FCFF (11th Year)</t>
  </si>
  <si>
    <t>% of Debt</t>
  </si>
  <si>
    <t>% of Equity</t>
  </si>
  <si>
    <t>Mature WACC</t>
  </si>
  <si>
    <t>Cash &amp; Marketable Securities</t>
  </si>
  <si>
    <t>Cash and cash equivalents</t>
  </si>
  <si>
    <t>Sales to Cap</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</si>
  <si>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</si>
  <si>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</si>
  <si>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</si>
  <si>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</si>
  <si>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</si>
  <si>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</si>
  <si>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</si>
  <si>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</si>
  <si>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</si>
  <si>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</si>
  <si>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</si>
  <si>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</si>
  <si>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Value of Operating Assets</t>
  </si>
  <si>
    <t>Value of Other Assets</t>
  </si>
  <si>
    <t>Value of Equity Options</t>
  </si>
  <si>
    <t>Value of Common Stock</t>
  </si>
  <si>
    <t>Fair Value of Share</t>
  </si>
  <si>
    <t>Road to Fair Value of Share</t>
  </si>
  <si>
    <t>Advertising Expense</t>
  </si>
  <si>
    <t>N/A</t>
  </si>
  <si>
    <t>EBIT * (1 - Tax)</t>
  </si>
  <si>
    <t>OPM %</t>
  </si>
  <si>
    <t>Mature Risk Premium</t>
  </si>
  <si>
    <t>ERP</t>
  </si>
  <si>
    <t>Companies</t>
  </si>
  <si>
    <t>Unlevered Beta</t>
  </si>
  <si>
    <t>Amortization</t>
  </si>
  <si>
    <t>Median WC as % of Revenues</t>
  </si>
  <si>
    <t>OPM</t>
  </si>
  <si>
    <t>Options Value</t>
  </si>
  <si>
    <t>Options as a % Revenues</t>
  </si>
  <si>
    <t>Future Value of Equity Options</t>
  </si>
  <si>
    <t>CRP</t>
  </si>
  <si>
    <t>Interest</t>
  </si>
  <si>
    <t>ICR (%)</t>
  </si>
  <si>
    <t>Average ICR (%)</t>
  </si>
  <si>
    <t>%</t>
  </si>
  <si>
    <t>Maturity</t>
  </si>
  <si>
    <t>Years</t>
  </si>
  <si>
    <t>Based on Debt Equity Ratio (Industry Median)</t>
  </si>
  <si>
    <t>Median Option as a % of revenues</t>
  </si>
  <si>
    <t>Total Debt</t>
  </si>
  <si>
    <t>Risk Free Rate &amp; Equity Risk Premium</t>
  </si>
  <si>
    <t>Corporate Governance</t>
  </si>
  <si>
    <t>Director</t>
  </si>
  <si>
    <t>Name</t>
  </si>
  <si>
    <t>Designation</t>
  </si>
  <si>
    <t>Management</t>
  </si>
  <si>
    <t>Board of Directors</t>
  </si>
  <si>
    <t>*</t>
  </si>
  <si>
    <t>Audit</t>
  </si>
  <si>
    <t>Board</t>
  </si>
  <si>
    <t>Shareholder Rights</t>
  </si>
  <si>
    <t>Compensation</t>
  </si>
  <si>
    <t>Levered Beta</t>
  </si>
  <si>
    <t>Firm Value</t>
  </si>
  <si>
    <t>Cash</t>
  </si>
  <si>
    <t>EV</t>
  </si>
  <si>
    <t>Cash/Firm Value</t>
  </si>
  <si>
    <t>Gross D/E</t>
  </si>
  <si>
    <t>Sales</t>
  </si>
  <si>
    <t>Beta Calculation Data</t>
  </si>
  <si>
    <t>Market Cap (m)</t>
  </si>
  <si>
    <t>Median Beta</t>
  </si>
  <si>
    <t>Median D/E</t>
  </si>
  <si>
    <t>Median Cash/FV</t>
  </si>
  <si>
    <t>Debt to Equity</t>
  </si>
  <si>
    <t>Pre Tax Cost of Debt</t>
  </si>
  <si>
    <t>% Equity</t>
  </si>
  <si>
    <t>% Debt</t>
  </si>
  <si>
    <t>Marginal Tax Rate %</t>
  </si>
  <si>
    <t>Cost of Equity, Debt &amp; WACC</t>
  </si>
  <si>
    <t>Risk Free Rate &amp; ERP</t>
  </si>
  <si>
    <t>Bottom Up Beta</t>
  </si>
  <si>
    <t>AAA</t>
  </si>
  <si>
    <t>Gross Profit</t>
  </si>
  <si>
    <t>Value of R&amp;D Asset</t>
  </si>
  <si>
    <t>R&amp;D Expense (Current)</t>
  </si>
  <si>
    <t>Amortization: R&amp;D Expense</t>
  </si>
  <si>
    <t>Capital Expenditure (CapEx)</t>
  </si>
  <si>
    <t>Depreciation</t>
  </si>
  <si>
    <t>% Depn</t>
  </si>
  <si>
    <t>Acquisitions</t>
  </si>
  <si>
    <t>R&amp;D Expense (Current Year)</t>
  </si>
  <si>
    <t>Amortization Asset: R&amp;D Expense</t>
  </si>
  <si>
    <t>Invested Cap</t>
  </si>
  <si>
    <t>Industry's Sales to Capital</t>
  </si>
  <si>
    <t>Industry Debt to Equity</t>
  </si>
  <si>
    <t>25th Percentile of Industry</t>
  </si>
  <si>
    <t>Accounting Adjustments</t>
  </si>
  <si>
    <t>Chg. in Non Cash Working Capital</t>
  </si>
  <si>
    <t>Spread (%)</t>
  </si>
  <si>
    <t>Ad Exp</t>
  </si>
  <si>
    <t>ROAS</t>
  </si>
  <si>
    <t>Book Value of Debt</t>
  </si>
  <si>
    <t>Current Synthetic Rating</t>
  </si>
  <si>
    <t>Value of Ad Asset</t>
  </si>
  <si>
    <t>EBIT &amp; R&amp;D &amp; Ad</t>
  </si>
  <si>
    <t>Amortization: Ad Expense</t>
  </si>
  <si>
    <t>Ad Expense (Current)</t>
  </si>
  <si>
    <t>Ad Expense (Current Year)</t>
  </si>
  <si>
    <t>Amortization Asset: Ad Expense</t>
  </si>
  <si>
    <t>Adj Net Capital Expenditures</t>
  </si>
  <si>
    <t>EBIT Margin %</t>
  </si>
  <si>
    <t>Amortization (2021 weights)</t>
  </si>
  <si>
    <t>Amortization (2020 weights)</t>
  </si>
  <si>
    <t>Amortization (2019 weights)</t>
  </si>
  <si>
    <t>Amortization (2018 weights)</t>
  </si>
  <si>
    <t>Amortization (TTM weights)</t>
  </si>
  <si>
    <t>Amortized Value (TTM)</t>
  </si>
  <si>
    <t>Amortized Value (2021)</t>
  </si>
  <si>
    <t>Amortized Value (2020)</t>
  </si>
  <si>
    <t>Amortized Value (2019)</t>
  </si>
  <si>
    <t>Amortized Value (2018)</t>
  </si>
  <si>
    <t>Amortization (TTM)</t>
  </si>
  <si>
    <t>Amortization (2021)</t>
  </si>
  <si>
    <t>Amortization (2020)</t>
  </si>
  <si>
    <t>Amortization (2019)</t>
  </si>
  <si>
    <t>Amortization (2018)</t>
  </si>
  <si>
    <t>Return on Capital %</t>
  </si>
  <si>
    <t>Median EBIT Margin %</t>
  </si>
  <si>
    <t>Normalized EBIT</t>
  </si>
  <si>
    <t>At 90th %ile</t>
  </si>
  <si>
    <t>At 75th %ile</t>
  </si>
  <si>
    <t>At 50th %ile</t>
  </si>
  <si>
    <t>At 25th %ile</t>
  </si>
  <si>
    <t>Marginal Tax %</t>
  </si>
  <si>
    <t>Interest Coverage Ratio will be above 8.5</t>
  </si>
  <si>
    <t>Revenue (TTM)</t>
  </si>
  <si>
    <t>Market Cap</t>
  </si>
  <si>
    <t>EBIT (TTM)</t>
  </si>
  <si>
    <t>Revenue Growth %</t>
  </si>
  <si>
    <t>Beta</t>
  </si>
  <si>
    <t>WACC %</t>
  </si>
  <si>
    <t>CG Score</t>
  </si>
  <si>
    <t>ARPU</t>
  </si>
  <si>
    <t>Revenue From Operations</t>
  </si>
  <si>
    <t>R&amp;D</t>
  </si>
  <si>
    <t>Ads</t>
  </si>
  <si>
    <t>G&amp;A</t>
  </si>
  <si>
    <t>COGS</t>
  </si>
  <si>
    <t>Operating Profit Waterfall</t>
  </si>
  <si>
    <t>Shareholding Pattern</t>
  </si>
  <si>
    <t>Ownership</t>
  </si>
  <si>
    <t>Institutional</t>
  </si>
  <si>
    <t>Insider</t>
  </si>
  <si>
    <t>Retail</t>
  </si>
  <si>
    <t>Revenue - Geography</t>
  </si>
  <si>
    <t>Key Ratios</t>
  </si>
  <si>
    <t>Industry</t>
  </si>
  <si>
    <t>Stock Price Data</t>
  </si>
  <si>
    <t>Debt to Capital</t>
  </si>
  <si>
    <t>Risk Free Rate</t>
  </si>
  <si>
    <t>Spread</t>
  </si>
  <si>
    <t>D</t>
  </si>
  <si>
    <t>If interest coverage ratio is</t>
  </si>
  <si>
    <t>Rating is</t>
  </si>
  <si>
    <t>For Small Cap Companies</t>
  </si>
  <si>
    <t>For Large Cap Companies</t>
  </si>
  <si>
    <t>Pretax Kd</t>
  </si>
  <si>
    <t>EBIT TTM</t>
  </si>
  <si>
    <t>A-</t>
  </si>
  <si>
    <t>BBB</t>
  </si>
  <si>
    <t>CC</t>
  </si>
  <si>
    <t>CCC</t>
  </si>
  <si>
    <t>B-</t>
  </si>
  <si>
    <t>B</t>
  </si>
  <si>
    <t>B+</t>
  </si>
  <si>
    <t>BB</t>
  </si>
  <si>
    <t>A</t>
  </si>
  <si>
    <t>A+</t>
  </si>
  <si>
    <t>AA</t>
  </si>
  <si>
    <t>Large Cap = 1; Small Cap = 0</t>
  </si>
  <si>
    <t>Type of Firm</t>
  </si>
  <si>
    <t>Rating</t>
  </si>
  <si>
    <t>Firm Value (Mkt)</t>
  </si>
  <si>
    <t>Aftertax Kd</t>
  </si>
  <si>
    <t>Tax Rate</t>
  </si>
  <si>
    <t>optimal</t>
  </si>
  <si>
    <t>Optimal Cost of Capital</t>
  </si>
  <si>
    <t>ICR</t>
  </si>
  <si>
    <t>Financing Decision</t>
  </si>
  <si>
    <t>Book value of interest bearing debt</t>
  </si>
  <si>
    <t>Market value of interest bearing debt</t>
  </si>
  <si>
    <t>Lease Debt</t>
  </si>
  <si>
    <t>Type of Debt</t>
  </si>
  <si>
    <t>Bank Debt</t>
  </si>
  <si>
    <t>Bonds/Notes</t>
  </si>
  <si>
    <t>&lt; 1 year</t>
  </si>
  <si>
    <t>10-20 years</t>
  </si>
  <si>
    <t>5-10 years</t>
  </si>
  <si>
    <t>1-5 years</t>
  </si>
  <si>
    <t>&gt; 20 years</t>
  </si>
  <si>
    <t>Debt Maturity</t>
  </si>
  <si>
    <t>Currency of Debt</t>
  </si>
  <si>
    <t>Debt in domestic currency</t>
  </si>
  <si>
    <t>Debt in foriegn currency</t>
  </si>
  <si>
    <t>Fixed or Floating</t>
  </si>
  <si>
    <t>Fixed Rate Debt</t>
  </si>
  <si>
    <t>Floating Rate Debt</t>
  </si>
  <si>
    <t>Debt Explained</t>
  </si>
  <si>
    <t>Adjusted Present Value</t>
  </si>
  <si>
    <t>Tax Benefits</t>
  </si>
  <si>
    <t>Exp Bankruptcy</t>
  </si>
  <si>
    <t>Exp Bankruptcy Cost</t>
  </si>
  <si>
    <t>Prob. of Default</t>
  </si>
  <si>
    <t>High</t>
  </si>
  <si>
    <t>Medium</t>
  </si>
  <si>
    <t>Low</t>
  </si>
  <si>
    <t>Indirect Bankruptcy</t>
  </si>
  <si>
    <t>Unlevered Firm Value</t>
  </si>
  <si>
    <t>Unlevered FV</t>
  </si>
  <si>
    <t>High; Medium; Low</t>
  </si>
  <si>
    <t>Firm's Exposure</t>
  </si>
  <si>
    <t>Value of Unlevered Firm</t>
  </si>
  <si>
    <t>Current Rating</t>
  </si>
  <si>
    <t>Relative Analysis</t>
  </si>
  <si>
    <t>Weighted Avg CRP</t>
  </si>
  <si>
    <t>Debt to Equity (BV)</t>
  </si>
  <si>
    <t>Revenues (2022)</t>
  </si>
  <si>
    <t>Non Cash Working Capital (2022)</t>
  </si>
  <si>
    <t>Country Risk Premium</t>
  </si>
  <si>
    <t>Debt Ratio</t>
  </si>
  <si>
    <t>PV of Cashflows</t>
  </si>
  <si>
    <t>PV * Year</t>
  </si>
  <si>
    <t>Duration of the operating assets</t>
  </si>
  <si>
    <t>Debt Design Explained</t>
  </si>
  <si>
    <t>Rest of the world</t>
  </si>
  <si>
    <t>10-Year Gov. Bond Yield</t>
  </si>
  <si>
    <t>Default Spread</t>
  </si>
  <si>
    <t>Chewy, Inc.</t>
  </si>
  <si>
    <t>Debt (m)</t>
  </si>
  <si>
    <t>Adj. Unlevered Beta</t>
  </si>
  <si>
    <t>Sector</t>
  </si>
  <si>
    <t>Adj EBIT (1 - Tax)</t>
  </si>
  <si>
    <t>Other Current Assets</t>
  </si>
  <si>
    <t>Deffered Revenue</t>
  </si>
  <si>
    <t>Adj Chg in Non Cash WC</t>
  </si>
  <si>
    <t>Net Borrowing</t>
  </si>
  <si>
    <t>Key Performance Indicators</t>
  </si>
  <si>
    <t>Industry and Revenues</t>
  </si>
  <si>
    <t>Last 5 Years</t>
  </si>
  <si>
    <t>Short Term Investments</t>
  </si>
  <si>
    <t>Debt</t>
  </si>
  <si>
    <t>Dividend Decision</t>
  </si>
  <si>
    <t>Dividends</t>
  </si>
  <si>
    <t>Dividend-Buybacks Explained</t>
  </si>
  <si>
    <t>Aggregate</t>
  </si>
  <si>
    <t>Net Income</t>
  </si>
  <si>
    <t>Capital Exp.</t>
  </si>
  <si>
    <t>Chg. In WC</t>
  </si>
  <si>
    <t>Principal Repay.</t>
  </si>
  <si>
    <t>FCFE</t>
  </si>
  <si>
    <t>Cash Return Ratio</t>
  </si>
  <si>
    <t>Return on Invested Capital</t>
  </si>
  <si>
    <t>Quality of Current Projects</t>
  </si>
  <si>
    <t>Do I trust the managers?</t>
  </si>
  <si>
    <t>Dividend-Buyback Explained</t>
  </si>
  <si>
    <t>NYSE</t>
  </si>
  <si>
    <t>ETSY</t>
  </si>
  <si>
    <t>Consumer Cyclical</t>
  </si>
  <si>
    <t>Internet Retail</t>
  </si>
  <si>
    <t>Etsy Inc.</t>
  </si>
  <si>
    <t>Fred Wilson</t>
  </si>
  <si>
    <t>C. Andrew Ballard</t>
  </si>
  <si>
    <t>Marla Blow</t>
  </si>
  <si>
    <t>Gary Briggs</t>
  </si>
  <si>
    <t>M. Michele Burns</t>
  </si>
  <si>
    <t>Jonathan D. Klein</t>
  </si>
  <si>
    <t>Melissa Reiff</t>
  </si>
  <si>
    <t>Josh Silverman</t>
  </si>
  <si>
    <t>Margaret "Peggy" Smyth</t>
  </si>
  <si>
    <t>Chairman</t>
  </si>
  <si>
    <t>CEO</t>
  </si>
  <si>
    <t>Rachel Glaser</t>
  </si>
  <si>
    <t>Ryan Scott</t>
  </si>
  <si>
    <t>Nick Daniel</t>
  </si>
  <si>
    <t>Raina Moskowitz</t>
  </si>
  <si>
    <t>Kim Seymour</t>
  </si>
  <si>
    <t>Rachana Kumar</t>
  </si>
  <si>
    <t>Colin Stretch</t>
  </si>
  <si>
    <t>$ Risk Free Rate</t>
  </si>
  <si>
    <t>United States</t>
  </si>
  <si>
    <t>United Kingdom</t>
  </si>
  <si>
    <t>AKA</t>
  </si>
  <si>
    <t>a.k.a. Brands Holding Corp.</t>
  </si>
  <si>
    <t>Amazon.com, Inc.</t>
  </si>
  <si>
    <t>APRN</t>
  </si>
  <si>
    <t>Blue Apron Holdings, Inc.</t>
  </si>
  <si>
    <t>Alibaba Group Holding Limited</t>
  </si>
  <si>
    <t>BOXD</t>
  </si>
  <si>
    <t>Boxed, Inc.</t>
  </si>
  <si>
    <t>Baozun Inc.</t>
  </si>
  <si>
    <t>CPNG</t>
  </si>
  <si>
    <t>Coupang, Inc.</t>
  </si>
  <si>
    <t>DADA</t>
  </si>
  <si>
    <t>Dada Nexus Limited</t>
  </si>
  <si>
    <t>DIBS</t>
  </si>
  <si>
    <t>1stdibs.Com, Inc.</t>
  </si>
  <si>
    <t>DTC</t>
  </si>
  <si>
    <t>Solo Brands, Inc.</t>
  </si>
  <si>
    <t>eBay Inc.</t>
  </si>
  <si>
    <t>FTCH</t>
  </si>
  <si>
    <t>Farfetch Limited</t>
  </si>
  <si>
    <t>GLBE</t>
  </si>
  <si>
    <t>HEPS</t>
  </si>
  <si>
    <t>HOUR</t>
  </si>
  <si>
    <t>Hour Loop, Inc.</t>
  </si>
  <si>
    <t>IPW</t>
  </si>
  <si>
    <t>iPower Inc.</t>
  </si>
  <si>
    <t>JD.com, Inc.</t>
  </si>
  <si>
    <t>JFBR</t>
  </si>
  <si>
    <t>Jeffs' Brands Ltd</t>
  </si>
  <si>
    <t>JMIA</t>
  </si>
  <si>
    <t>Jumia Technologies AG</t>
  </si>
  <si>
    <t>JWEL</t>
  </si>
  <si>
    <t>Jowell Global Ltd.</t>
  </si>
  <si>
    <t>LITB</t>
  </si>
  <si>
    <t>LightInTheBox Holding Co., Ltd.</t>
  </si>
  <si>
    <t>LQDT</t>
  </si>
  <si>
    <t>Liquidity Services, Inc.</t>
  </si>
  <si>
    <t>MercadoLibre, Inc.</t>
  </si>
  <si>
    <t>MOGU</t>
  </si>
  <si>
    <t>MOGU Inc.</t>
  </si>
  <si>
    <t>Newegg Commerce, Inc.</t>
  </si>
  <si>
    <t>NHTC</t>
  </si>
  <si>
    <t>Natural Health Trends Corp.</t>
  </si>
  <si>
    <t>OCG</t>
  </si>
  <si>
    <t>Oriental Culture Holding LTD</t>
  </si>
  <si>
    <t>OSTK</t>
  </si>
  <si>
    <t>Overstock.com, Inc.</t>
  </si>
  <si>
    <t>PIK</t>
  </si>
  <si>
    <t>Kidpik Corp.</t>
  </si>
  <si>
    <t>PRTS</t>
  </si>
  <si>
    <t>CarParts.com, Inc.</t>
  </si>
  <si>
    <t>QRTEA</t>
  </si>
  <si>
    <t>Qurate Retail, Inc.</t>
  </si>
  <si>
    <t>RERE</t>
  </si>
  <si>
    <t>ATRenew Inc.</t>
  </si>
  <si>
    <t>Revolve Group, Inc.</t>
  </si>
  <si>
    <t>Sea Limited</t>
  </si>
  <si>
    <t>SECO</t>
  </si>
  <si>
    <t>Secoo Holding Limited</t>
  </si>
  <si>
    <t>TDUP</t>
  </si>
  <si>
    <t>ThredUp Inc.</t>
  </si>
  <si>
    <t>TKAT</t>
  </si>
  <si>
    <t>Takung Art Co., Ltd.</t>
  </si>
  <si>
    <t>Vipshop Holdings Limited</t>
  </si>
  <si>
    <t>Wayfair Inc.</t>
  </si>
  <si>
    <t>ContextLogic Inc.</t>
  </si>
  <si>
    <t>WNW</t>
  </si>
  <si>
    <t>YJ</t>
  </si>
  <si>
    <t>Yunji Inc.</t>
  </si>
  <si>
    <t>BABA.BA</t>
  </si>
  <si>
    <t>AMZN.BA</t>
  </si>
  <si>
    <t>BELI.JK</t>
  </si>
  <si>
    <t>PT Global Digital Niaga Tbk</t>
  </si>
  <si>
    <t>JD.BA</t>
  </si>
  <si>
    <t>BUKA.JK</t>
  </si>
  <si>
    <t>PT Bukalapak.com Tbk.</t>
  </si>
  <si>
    <t>MELI.BA</t>
  </si>
  <si>
    <t>EBAY.BA</t>
  </si>
  <si>
    <t>4689.T</t>
  </si>
  <si>
    <t>Z Holdings Corporation</t>
  </si>
  <si>
    <t>4755.T</t>
  </si>
  <si>
    <t>Rakuten Group, Inc.</t>
  </si>
  <si>
    <t>3092.T</t>
  </si>
  <si>
    <t>ZOZO, Inc.</t>
  </si>
  <si>
    <t>3690.HK</t>
  </si>
  <si>
    <t>Meituan</t>
  </si>
  <si>
    <t>3064.T</t>
  </si>
  <si>
    <t>MonotaRO Co., Ltd.</t>
  </si>
  <si>
    <t>057050.KS</t>
  </si>
  <si>
    <t>P1DD34.SA</t>
  </si>
  <si>
    <t>PDD Holdings Inc.</t>
  </si>
  <si>
    <t>ZOMATO.NS</t>
  </si>
  <si>
    <t>Zomato Limited</t>
  </si>
  <si>
    <t>NYKAA.NS</t>
  </si>
  <si>
    <t>4385.T</t>
  </si>
  <si>
    <t>Mercari, Inc.</t>
  </si>
  <si>
    <t>JET.L</t>
  </si>
  <si>
    <t>Just Eat Takeaway.com N.V.</t>
  </si>
  <si>
    <t>CHWY.MX</t>
  </si>
  <si>
    <t>S2EA34.SA</t>
  </si>
  <si>
    <t>8454.TW</t>
  </si>
  <si>
    <t>momo.com Inc.</t>
  </si>
  <si>
    <t>VIPSN.MX</t>
  </si>
  <si>
    <t>ROO.L</t>
  </si>
  <si>
    <t>Deliveroo plc</t>
  </si>
  <si>
    <t>2678.T</t>
  </si>
  <si>
    <t>ASKUL Corporation</t>
  </si>
  <si>
    <t>THG.L</t>
  </si>
  <si>
    <t>THG Plc</t>
  </si>
  <si>
    <t>7685.T</t>
  </si>
  <si>
    <t>BuySell Technologies Co.,Ltd.</t>
  </si>
  <si>
    <t>ASC.L</t>
  </si>
  <si>
    <t>ASOS Plc</t>
  </si>
  <si>
    <t>300413.SZ</t>
  </si>
  <si>
    <t>Mango Excellent Media Co., Ltd.</t>
  </si>
  <si>
    <t>6058.T</t>
  </si>
  <si>
    <t>Vector Inc.</t>
  </si>
  <si>
    <t>BOO.L</t>
  </si>
  <si>
    <t>boohoo group plc</t>
  </si>
  <si>
    <t>4449.T</t>
  </si>
  <si>
    <t>giftee Inc.</t>
  </si>
  <si>
    <t>9997.T</t>
  </si>
  <si>
    <t>Belluna Co., Ltd.</t>
  </si>
  <si>
    <t>2484.T</t>
  </si>
  <si>
    <t>Demae-Can Co.,Ltd</t>
  </si>
  <si>
    <t>RTNINDIA.NS</t>
  </si>
  <si>
    <t>RattanIndia Enterprises Limited</t>
  </si>
  <si>
    <t>TRX.TA</t>
  </si>
  <si>
    <t>Terminal X Online Ltd.</t>
  </si>
  <si>
    <t>3660.T</t>
  </si>
  <si>
    <t>istyle Inc.</t>
  </si>
  <si>
    <t>3964.T</t>
  </si>
  <si>
    <t>Aucnet Inc.</t>
  </si>
  <si>
    <t>AO.L</t>
  </si>
  <si>
    <t>AO World plc</t>
  </si>
  <si>
    <t>RVLV.MX</t>
  </si>
  <si>
    <t>8005.T</t>
  </si>
  <si>
    <t>Scroll Corporation</t>
  </si>
  <si>
    <t>ALE.WA</t>
  </si>
  <si>
    <t>Allegro.eu SA</t>
  </si>
  <si>
    <t>3328.T</t>
  </si>
  <si>
    <t>BEENOS Inc.</t>
  </si>
  <si>
    <t>EMIL.NS</t>
  </si>
  <si>
    <t>Electronics Mart India Limited</t>
  </si>
  <si>
    <t>W2YF34.SA</t>
  </si>
  <si>
    <t>9272.T</t>
  </si>
  <si>
    <t>Boutiques, Inc.</t>
  </si>
  <si>
    <t>8165.T</t>
  </si>
  <si>
    <t>Senshukai Co., Ltd.</t>
  </si>
  <si>
    <t>3031.T</t>
  </si>
  <si>
    <t>RACCOON HOLDINGS, Inc.</t>
  </si>
  <si>
    <t>3179.T</t>
  </si>
  <si>
    <t>Syuppin Co., Ltd.</t>
  </si>
  <si>
    <t>3319.T</t>
  </si>
  <si>
    <t>Golf Digest Online Inc.</t>
  </si>
  <si>
    <t>3134.T</t>
  </si>
  <si>
    <t>Hamee Corp.</t>
  </si>
  <si>
    <t>BWNG.L</t>
  </si>
  <si>
    <t>N Brown Group plc</t>
  </si>
  <si>
    <t>3558.T</t>
  </si>
  <si>
    <t>LOCONDO, Inc.</t>
  </si>
  <si>
    <t>6082.T</t>
  </si>
  <si>
    <t>ZLNDY</t>
  </si>
  <si>
    <t>Zalando SE</t>
  </si>
  <si>
    <t>2652.T</t>
  </si>
  <si>
    <t>Mandarake Inc.</t>
  </si>
  <si>
    <t>MRK.L</t>
  </si>
  <si>
    <t>Marks Electrical Group PLC</t>
  </si>
  <si>
    <t>DHE.F</t>
  </si>
  <si>
    <t>Delivery Hero SE</t>
  </si>
  <si>
    <t>300792.SZ</t>
  </si>
  <si>
    <t>Hangzhou Onechance Tech Crop.</t>
  </si>
  <si>
    <t>7110.T</t>
  </si>
  <si>
    <t>Kurashicom Inc.</t>
  </si>
  <si>
    <t>8044.TWO</t>
  </si>
  <si>
    <t>PChome Online Inc.</t>
  </si>
  <si>
    <t>3556.T</t>
  </si>
  <si>
    <t>RenetJapanGroup,Inc.</t>
  </si>
  <si>
    <t>SAR.SG</t>
  </si>
  <si>
    <t>Start Today Co., Ltd.</t>
  </si>
  <si>
    <t>002640.SZ</t>
  </si>
  <si>
    <t>Global Top E-Commerce Co., Ltd.</t>
  </si>
  <si>
    <t>7695.T</t>
  </si>
  <si>
    <t>Koukandekirukun, Inc.</t>
  </si>
  <si>
    <t>9526.SR</t>
  </si>
  <si>
    <t>BZWHF</t>
  </si>
  <si>
    <t>Americanas S.A.</t>
  </si>
  <si>
    <t>3396.T</t>
  </si>
  <si>
    <t>Felissimo Corporation</t>
  </si>
  <si>
    <t>3135.T</t>
  </si>
  <si>
    <t>MarketEnterprise Co.,Ltd</t>
  </si>
  <si>
    <t>3542.T</t>
  </si>
  <si>
    <t>Vega Corporation Co.,Ltd.</t>
  </si>
  <si>
    <t>605136.SS</t>
  </si>
  <si>
    <t>SOS.L</t>
  </si>
  <si>
    <t>Sosandar Plc</t>
  </si>
  <si>
    <t>3172.T</t>
  </si>
  <si>
    <t>Tea Life Co., Ltd.</t>
  </si>
  <si>
    <t>300740.SZ</t>
  </si>
  <si>
    <t>SYoung Group Co., Ltd.</t>
  </si>
  <si>
    <t>WISH.MX</t>
  </si>
  <si>
    <t>Global-e Online Ltd.</t>
  </si>
  <si>
    <t>1137.HK</t>
  </si>
  <si>
    <t>9557.T</t>
  </si>
  <si>
    <t>airCloset, Inc.</t>
  </si>
  <si>
    <t>2148.HK</t>
  </si>
  <si>
    <t>Vesync Co., Ltd</t>
  </si>
  <si>
    <t>QUIK.TA</t>
  </si>
  <si>
    <t>4017.T</t>
  </si>
  <si>
    <t>Creema Ltd.</t>
  </si>
  <si>
    <t>3726.T</t>
  </si>
  <si>
    <t>4Cs HD Co., Ltd.</t>
  </si>
  <si>
    <t>3071.T</t>
  </si>
  <si>
    <t>Stream Co.,Ltd.</t>
  </si>
  <si>
    <t>KOMPL.OL</t>
  </si>
  <si>
    <t>Komplett ASA</t>
  </si>
  <si>
    <t>4937.T</t>
  </si>
  <si>
    <t>Waqoo Inc.</t>
  </si>
  <si>
    <t>2949.TWO</t>
  </si>
  <si>
    <t>H. H. Galaxy Co., Ltd</t>
  </si>
  <si>
    <t>3185.T</t>
  </si>
  <si>
    <t>Dream Vision Co.,Ltd.</t>
  </si>
  <si>
    <t>9991.HK</t>
  </si>
  <si>
    <t>3138.T</t>
  </si>
  <si>
    <t>Fujisan Magazine Service Co., Ltd.</t>
  </si>
  <si>
    <t>3195.T</t>
  </si>
  <si>
    <t>Generation Pass Co.,Ltd.</t>
  </si>
  <si>
    <t>OZON</t>
  </si>
  <si>
    <t>Ozon Holdings PLC</t>
  </si>
  <si>
    <t>301001.SZ</t>
  </si>
  <si>
    <t>Shanghai Kaytune Industrial Co.,Ltd</t>
  </si>
  <si>
    <t>2101.HK</t>
  </si>
  <si>
    <t>Fulu Holdings Limited</t>
  </si>
  <si>
    <t>2420.HK</t>
  </si>
  <si>
    <t>Zibuyu Group Limited</t>
  </si>
  <si>
    <t>3192.T</t>
  </si>
  <si>
    <t>Shirohato Co., Ltd.</t>
  </si>
  <si>
    <t>G4M.L</t>
  </si>
  <si>
    <t>Gear4music (Holdings) plc</t>
  </si>
  <si>
    <t>3416.T</t>
  </si>
  <si>
    <t>PIXTA Inc.</t>
  </si>
  <si>
    <t>ISFT.NS</t>
  </si>
  <si>
    <t>IntraSoft Technologies Limited</t>
  </si>
  <si>
    <t>BHG.ST</t>
  </si>
  <si>
    <t>BHG Group AB (publ)</t>
  </si>
  <si>
    <t>CNV.PA</t>
  </si>
  <si>
    <t>Cnova N.V.</t>
  </si>
  <si>
    <t>3779.T</t>
  </si>
  <si>
    <t>J Escom Holdings,Inc.</t>
  </si>
  <si>
    <t>TVDH-R.BK</t>
  </si>
  <si>
    <t>CDON.ST</t>
  </si>
  <si>
    <t>CDON AB</t>
  </si>
  <si>
    <t>2673.T</t>
  </si>
  <si>
    <t>YUMEMITSUKETAI Co.,Ltd.</t>
  </si>
  <si>
    <t>YOU.DE</t>
  </si>
  <si>
    <t>ABOUT YOU Holding AG</t>
  </si>
  <si>
    <t>8472.TWO</t>
  </si>
  <si>
    <t>GOMAJI Corp., LTD</t>
  </si>
  <si>
    <t>2941.TWO</t>
  </si>
  <si>
    <t>PIERCE.ST</t>
  </si>
  <si>
    <t>Pierce Group AB (publ)</t>
  </si>
  <si>
    <t>8477.TWO</t>
  </si>
  <si>
    <t>Kuobrothers Corp.</t>
  </si>
  <si>
    <t>ANR.WA</t>
  </si>
  <si>
    <t>Answear.com S.A.</t>
  </si>
  <si>
    <t>J8D.F</t>
  </si>
  <si>
    <t>1020.HK</t>
  </si>
  <si>
    <t>TPW.AX</t>
  </si>
  <si>
    <t>Temple &amp; Webster Group Ltd</t>
  </si>
  <si>
    <t>KGN.AX</t>
  </si>
  <si>
    <t>Kogan.com Ltd</t>
  </si>
  <si>
    <t>0620.HK</t>
  </si>
  <si>
    <t>OBAB.ST</t>
  </si>
  <si>
    <t>Online Brands Nordic AB (publ)</t>
  </si>
  <si>
    <t>XPLRA.OL</t>
  </si>
  <si>
    <t>Xplora Technologies AS</t>
  </si>
  <si>
    <t>UBG.L</t>
  </si>
  <si>
    <t>Unbound Group plc</t>
  </si>
  <si>
    <t>DSNO.ST</t>
  </si>
  <si>
    <t>Desenio Group AB (publ)</t>
  </si>
  <si>
    <t>0AA1.IL</t>
  </si>
  <si>
    <t>home24 SE</t>
  </si>
  <si>
    <t>2209.HK</t>
  </si>
  <si>
    <t>YesAsia Holdings Limited</t>
  </si>
  <si>
    <t>JSHL.BO</t>
  </si>
  <si>
    <t>JLA Infraville Shoppers Limited</t>
  </si>
  <si>
    <t>ENJU3.SA</t>
  </si>
  <si>
    <t>Enjoei S.A.</t>
  </si>
  <si>
    <t>SRP.PA</t>
  </si>
  <si>
    <t>SRP Groupe S.A.</t>
  </si>
  <si>
    <t>PURE.ST</t>
  </si>
  <si>
    <t>Purefun Group AB (publ)</t>
  </si>
  <si>
    <t>BIKE.F</t>
  </si>
  <si>
    <t>Bike24 Holding AG</t>
  </si>
  <si>
    <t>BBROOM.ST</t>
  </si>
  <si>
    <t>VERK.HE</t>
  </si>
  <si>
    <t>Verkkokauppa.com Oyj</t>
  </si>
  <si>
    <t>RBL.AX</t>
  </si>
  <si>
    <t>Redbubble Limited</t>
  </si>
  <si>
    <t>DAD.WA</t>
  </si>
  <si>
    <t>Dadelo S.A.</t>
  </si>
  <si>
    <t>NELLY.ST</t>
  </si>
  <si>
    <t>Nelly Group AB (publ)</t>
  </si>
  <si>
    <t>KV7.F</t>
  </si>
  <si>
    <t>Kværner ASA</t>
  </si>
  <si>
    <t>K7L.F</t>
  </si>
  <si>
    <t>Zamaz plc</t>
  </si>
  <si>
    <t>8M8.MU</t>
  </si>
  <si>
    <t>Vente-Unique.com SA</t>
  </si>
  <si>
    <t>ABY.AX</t>
  </si>
  <si>
    <t>Adore Beauty Group Limited</t>
  </si>
  <si>
    <t>NTAR.CN</t>
  </si>
  <si>
    <t>NexTech AR Solutions Corp.</t>
  </si>
  <si>
    <t>MFB.NZ</t>
  </si>
  <si>
    <t>My Food Bag Group Limited</t>
  </si>
  <si>
    <t>8G6.F</t>
  </si>
  <si>
    <t>Arena.pl S.A.</t>
  </si>
  <si>
    <t>ART.F</t>
  </si>
  <si>
    <t>artnet AG</t>
  </si>
  <si>
    <t>5JR0.F</t>
  </si>
  <si>
    <t>Giglio.com S.p.A.</t>
  </si>
  <si>
    <t>BGRP</t>
  </si>
  <si>
    <t>Bluestem Group Inc.</t>
  </si>
  <si>
    <t>7PQ.F</t>
  </si>
  <si>
    <t>SFD S.A.</t>
  </si>
  <si>
    <t>PXHI</t>
  </si>
  <si>
    <t>PhoneX Holdings, Inc.</t>
  </si>
  <si>
    <t>3RG.WA</t>
  </si>
  <si>
    <t>3R Games S.A.</t>
  </si>
  <si>
    <t>BKG.AX</t>
  </si>
  <si>
    <t>Booktopia Group Limited</t>
  </si>
  <si>
    <t>8E9.F</t>
  </si>
  <si>
    <t>Kumulus Vape S.A.</t>
  </si>
  <si>
    <t>FDIT</t>
  </si>
  <si>
    <t>Findit, Inc.</t>
  </si>
  <si>
    <t>BUY.ST</t>
  </si>
  <si>
    <t>Sweden Buyersclub AB</t>
  </si>
  <si>
    <t>ECF.F</t>
  </si>
  <si>
    <t>Mountain Alliance AG</t>
  </si>
  <si>
    <t>HJGP</t>
  </si>
  <si>
    <t>Hanjiao Group, Inc.</t>
  </si>
  <si>
    <t>7ZP.F</t>
  </si>
  <si>
    <t>Spartoo SAS</t>
  </si>
  <si>
    <t>8F4.F</t>
  </si>
  <si>
    <t>Moliera2 SA</t>
  </si>
  <si>
    <t>SLZ.WA</t>
  </si>
  <si>
    <t>Sleepz AG</t>
  </si>
  <si>
    <t>ECOM.V</t>
  </si>
  <si>
    <t>Emerge Commerce Ltd.</t>
  </si>
  <si>
    <t>TIPS</t>
  </si>
  <si>
    <t>ALX.AS</t>
  </si>
  <si>
    <t>Alumexx N.V.</t>
  </si>
  <si>
    <t>SFERIO.ST</t>
  </si>
  <si>
    <t>Spherio Group AB (publ)</t>
  </si>
  <si>
    <t>1F1.SI</t>
  </si>
  <si>
    <t>Y Ventures Group Ltd.</t>
  </si>
  <si>
    <t>BZA.F</t>
  </si>
  <si>
    <t>ePRICE S.p.A.</t>
  </si>
  <si>
    <t>HT8.AX</t>
  </si>
  <si>
    <t>Harris Technology Group Limited</t>
  </si>
  <si>
    <t>BRAV</t>
  </si>
  <si>
    <t>BRAVADA International Ltd</t>
  </si>
  <si>
    <t>PRRY</t>
  </si>
  <si>
    <t>Planet Resource Recovery, Inc.</t>
  </si>
  <si>
    <t>VEGA.CN</t>
  </si>
  <si>
    <t>PlantX Life Inc.</t>
  </si>
  <si>
    <t>WDL1.F</t>
  </si>
  <si>
    <t>windeln.de SE</t>
  </si>
  <si>
    <t>WBWB</t>
  </si>
  <si>
    <t>CBDD</t>
  </si>
  <si>
    <t>CBD of Denver Inc.</t>
  </si>
  <si>
    <t>8E70.MU</t>
  </si>
  <si>
    <t>Pharmasimple SA</t>
  </si>
  <si>
    <t>YUKA</t>
  </si>
  <si>
    <t>Yuka Group, Inc.</t>
  </si>
  <si>
    <t>9PDA.MU</t>
  </si>
  <si>
    <t>Pinduoduo Inc</t>
  </si>
  <si>
    <t>0018.KL</t>
  </si>
  <si>
    <t>Lambo Group Bhd</t>
  </si>
  <si>
    <t>New Bubbleroom Sweden AB</t>
  </si>
  <si>
    <t>926.BE</t>
  </si>
  <si>
    <t>BT Fixed Interest BTFM</t>
  </si>
  <si>
    <t>Hyundai Home</t>
  </si>
  <si>
    <t>FSN E-Commerce</t>
  </si>
  <si>
    <t>RIDE ON EXPRESS</t>
  </si>
  <si>
    <t>Jahez International Company for</t>
  </si>
  <si>
    <t>Shanghai Lily&amp;Beauty</t>
  </si>
  <si>
    <t>Hong Kong Technology</t>
  </si>
  <si>
    <t>Quik Technologies</t>
  </si>
  <si>
    <t>TVD Holdings Public</t>
  </si>
  <si>
    <t>Cybernaut International Holdings</t>
  </si>
  <si>
    <t>DTXS Silk Road Investment</t>
  </si>
  <si>
    <t>D-Market Elektronik</t>
  </si>
  <si>
    <t>Mister International Enterprise</t>
  </si>
  <si>
    <t>Tianrong Internet Products</t>
  </si>
  <si>
    <t>Meiwu Technology Company</t>
  </si>
  <si>
    <t>WU BA Superior Products</t>
  </si>
  <si>
    <t>Finance lease obligations</t>
  </si>
  <si>
    <t>Long-term debt, net</t>
  </si>
  <si>
    <t>2021 Notes</t>
  </si>
  <si>
    <t>2020 Notes</t>
  </si>
  <si>
    <t>2019 Notes</t>
  </si>
  <si>
    <t>2018 Notes</t>
  </si>
  <si>
    <t>Interest Expense</t>
  </si>
  <si>
    <t>Average Maturity of Debt (Yrs)</t>
  </si>
  <si>
    <t>Est. Market Value of Debt</t>
  </si>
  <si>
    <t>Pre tax Cost of Debt</t>
  </si>
  <si>
    <t>Funds Recievables</t>
  </si>
  <si>
    <t>Funds Payables</t>
  </si>
  <si>
    <t>Other current liabilities</t>
  </si>
  <si>
    <t>Accrued Expenses</t>
  </si>
  <si>
    <t>Net Working Capital</t>
  </si>
  <si>
    <t>Goodwill</t>
  </si>
  <si>
    <t>Intangible assets, net</t>
  </si>
  <si>
    <t>PP&amp;E, net</t>
  </si>
  <si>
    <t>Long Term Debt, net</t>
  </si>
  <si>
    <t>Shareholder's equity</t>
  </si>
  <si>
    <t>Amortization Asset: R&amp;D</t>
  </si>
  <si>
    <t>Amortization Asset: Ad</t>
  </si>
  <si>
    <t>Other long term liabilities</t>
  </si>
  <si>
    <t>Other Long Term Assets</t>
  </si>
  <si>
    <t>Financial Lease</t>
  </si>
  <si>
    <t>Principal Repayments</t>
  </si>
  <si>
    <t>as of Dec 2022</t>
  </si>
  <si>
    <t>CFO</t>
  </si>
  <si>
    <t>CMO</t>
  </si>
  <si>
    <t>CPO</t>
  </si>
  <si>
    <t>COO</t>
  </si>
  <si>
    <t>CTO</t>
  </si>
  <si>
    <t>CLO</t>
  </si>
  <si>
    <t>CHRO</t>
  </si>
  <si>
    <t>Total</t>
  </si>
  <si>
    <t>in mil $</t>
  </si>
  <si>
    <t>Regions</t>
  </si>
  <si>
    <t>Tax %</t>
  </si>
  <si>
    <t>all figures in mil</t>
  </si>
  <si>
    <t>Value</t>
  </si>
  <si>
    <t>Total Debt Obligations</t>
  </si>
  <si>
    <t>in m/d/yyyy</t>
  </si>
  <si>
    <t>Intt Rate %</t>
  </si>
  <si>
    <t>Drivers</t>
  </si>
  <si>
    <t>Company Name</t>
  </si>
  <si>
    <t>Current Stock Price</t>
  </si>
  <si>
    <t>Currency</t>
  </si>
  <si>
    <t>$</t>
  </si>
  <si>
    <t>Valuation Date</t>
  </si>
  <si>
    <t>About Company</t>
  </si>
  <si>
    <t>Shares Out. (in m)</t>
  </si>
  <si>
    <t>About</t>
  </si>
  <si>
    <t>Exchange</t>
  </si>
  <si>
    <t>Country</t>
  </si>
  <si>
    <t>USA</t>
  </si>
  <si>
    <t>Cost of Capital Inputs</t>
  </si>
  <si>
    <t xml:space="preserve"> </t>
  </si>
  <si>
    <t>Basic Inputs</t>
  </si>
  <si>
    <t>Synthetic Default Spread</t>
  </si>
  <si>
    <t>Income Statement</t>
  </si>
  <si>
    <t>Invested Capital (Operating Approach)</t>
  </si>
  <si>
    <t>Invested Capital (Financing Approach)</t>
  </si>
  <si>
    <t>Capitalizing R&amp;D Expense</t>
  </si>
  <si>
    <t>Capitalizing Ad Expense</t>
  </si>
  <si>
    <t>R&amp;D Expense</t>
  </si>
  <si>
    <t>Net Capital Expenditures</t>
  </si>
  <si>
    <t>Fixed Assets Schedule</t>
  </si>
  <si>
    <t>Working Capital Schedule</t>
  </si>
  <si>
    <t>Net Debt/Borrowings Schedule</t>
  </si>
  <si>
    <t>Industry's OPM</t>
  </si>
  <si>
    <t>Industry and Revenue Projections</t>
  </si>
  <si>
    <t>Beverages</t>
  </si>
  <si>
    <t>Fashion</t>
  </si>
  <si>
    <t>Electronics</t>
  </si>
  <si>
    <t>Food</t>
  </si>
  <si>
    <t>Furniture</t>
  </si>
  <si>
    <t>Media</t>
  </si>
  <si>
    <t>Toys, Hobby &amp; DIY</t>
  </si>
  <si>
    <t>Beauty &amp; Health</t>
  </si>
  <si>
    <t xml:space="preserve">E-Commerce Industry </t>
  </si>
  <si>
    <t>Average Revenue Per User</t>
  </si>
  <si>
    <t>Industry ARPU</t>
  </si>
  <si>
    <t>Online</t>
  </si>
  <si>
    <t>Offline</t>
  </si>
  <si>
    <t>Sales Channels</t>
  </si>
  <si>
    <t>Mobile</t>
  </si>
  <si>
    <t>Desktop</t>
  </si>
  <si>
    <t>Market Size</t>
  </si>
  <si>
    <t>Total Market Size</t>
  </si>
  <si>
    <t>eCommerce Industry</t>
  </si>
  <si>
    <t>Growth Rate %</t>
  </si>
  <si>
    <t>Market Share %</t>
  </si>
  <si>
    <t>First 5 Years</t>
  </si>
  <si>
    <t>Operating Costs</t>
  </si>
  <si>
    <t>Operating Margin %</t>
  </si>
  <si>
    <t>Operating Income (EBIT)</t>
  </si>
  <si>
    <t>Taxes</t>
  </si>
  <si>
    <t>Tax Rate %</t>
  </si>
  <si>
    <t>Net Operating Profit After Tax</t>
  </si>
  <si>
    <t>Change in Revenues</t>
  </si>
  <si>
    <t>Sales to Invested Capital</t>
  </si>
  <si>
    <t>Return on Invested Capital %</t>
  </si>
  <si>
    <t>Free Cash Flow to Firm</t>
  </si>
  <si>
    <t>Future CashFlows (10Y)</t>
  </si>
  <si>
    <t>Reinvestment Rate %</t>
  </si>
  <si>
    <t>Cost of Capital (Mature Company)</t>
  </si>
  <si>
    <t>Excess Return</t>
  </si>
  <si>
    <t>Adj Cash and Marketable Securities</t>
  </si>
  <si>
    <t>Contingent Liabilities</t>
  </si>
  <si>
    <t>Option Value as a % of revenues</t>
  </si>
  <si>
    <t>Operating Profit Margin %</t>
  </si>
  <si>
    <t>Value of Options</t>
  </si>
  <si>
    <t>Future Option Value</t>
  </si>
  <si>
    <t>Future Value of Options</t>
  </si>
  <si>
    <t>Sensitivity Analysis</t>
  </si>
  <si>
    <t>After Tax Operating Income</t>
  </si>
  <si>
    <t>Discount Rate WACC</t>
  </si>
  <si>
    <t>PV of Free Cash Flows</t>
  </si>
  <si>
    <t>Value Drivers</t>
  </si>
  <si>
    <t>Growth Rate</t>
  </si>
  <si>
    <t>Revenue %</t>
  </si>
  <si>
    <t>What If Analysis</t>
  </si>
  <si>
    <t>Scenario Analysis</t>
  </si>
  <si>
    <t>What If #1</t>
  </si>
  <si>
    <t>What If #2</t>
  </si>
  <si>
    <t>What If #3</t>
  </si>
  <si>
    <t>Revenue</t>
  </si>
  <si>
    <t>Cost of revenue</t>
  </si>
  <si>
    <t>Gross profit</t>
  </si>
  <si>
    <t>Operating expenses:</t>
  </si>
  <si>
    <t> </t>
  </si>
  <si>
    <t>Marketing</t>
  </si>
  <si>
    <t>Product development</t>
  </si>
  <si>
    <t>General and administrative</t>
  </si>
  <si>
    <t>Goodwill impairment</t>
  </si>
  <si>
    <t>Total operating expenses</t>
  </si>
  <si>
    <t>Other (expense) income:</t>
  </si>
  <si>
    <t>Loss on extinguishment of debt</t>
  </si>
  <si>
    <t>Interest expense</t>
  </si>
  <si>
    <t>Interest and other income</t>
  </si>
  <si>
    <t>Foreign exchange (loss) gain</t>
  </si>
  <si>
    <t>Total other (expense) income</t>
  </si>
  <si>
    <t>(Provision) benefit for income taxes</t>
  </si>
  <si>
    <t>Net (loss) income</t>
  </si>
  <si>
    <t>Basic (in dollars per share)</t>
  </si>
  <si>
    <t>Basic (in shares)</t>
  </si>
  <si>
    <t>Earnings Before Taxes (EBT)</t>
  </si>
  <si>
    <t>Balance Sheet</t>
  </si>
  <si>
    <t>Current assets:</t>
  </si>
  <si>
    <t>Short-term investments</t>
  </si>
  <si>
    <t>Accounts receivable, net</t>
  </si>
  <si>
    <t>Prepaid and other current assets</t>
  </si>
  <si>
    <t>Funds receivable and seller accounts</t>
  </si>
  <si>
    <t>Total current assets</t>
  </si>
  <si>
    <t>Restricted cash</t>
  </si>
  <si>
    <t>Property and equipment, net</t>
  </si>
  <si>
    <t>Deferred tax assets</t>
  </si>
  <si>
    <t>Long-term investments</t>
  </si>
  <si>
    <t>Other assets</t>
  </si>
  <si>
    <t>Total assets</t>
  </si>
  <si>
    <t>Current liabilities:</t>
  </si>
  <si>
    <t>Accounts payable</t>
  </si>
  <si>
    <t>Accrued expenses</t>
  </si>
  <si>
    <t>Finance lease obligations—current</t>
  </si>
  <si>
    <t>Funds payable and amounts due to sellers</t>
  </si>
  <si>
    <t>Deferred revenue</t>
  </si>
  <si>
    <t>Total current liabilities</t>
  </si>
  <si>
    <t>Deferred tax liabilities</t>
  </si>
  <si>
    <t>Other liabilities</t>
  </si>
  <si>
    <t>Total liabilities</t>
  </si>
  <si>
    <t>Stockholders’ (deficit) equity:</t>
  </si>
  <si>
    <t>Additional paid-in capital</t>
  </si>
  <si>
    <t>(Accumulated deficit) retained earnings</t>
  </si>
  <si>
    <t>Accumulated other comprehensive loss</t>
  </si>
  <si>
    <t>Common stock</t>
  </si>
  <si>
    <t>Preferred stock</t>
  </si>
  <si>
    <t>Total Equity</t>
  </si>
  <si>
    <t>Total liabilities and Equity</t>
  </si>
  <si>
    <t>Facility Financing Obligations</t>
  </si>
  <si>
    <t>Balance Check</t>
  </si>
  <si>
    <t>Resources</t>
  </si>
  <si>
    <t>Commitments and contingencies</t>
  </si>
  <si>
    <t>Cash Flow Statement</t>
  </si>
  <si>
    <t>Cash flows from operating activities</t>
  </si>
  <si>
    <t>Provision for expected credit losses</t>
  </si>
  <si>
    <t>Foreign exchange loss (gain)</t>
  </si>
  <si>
    <t>Non-cash interest expense</t>
  </si>
  <si>
    <t>Interest expense on marketable securities</t>
  </si>
  <si>
    <t>Other non-cash expense, net</t>
  </si>
  <si>
    <t>Accounts receivable</t>
  </si>
  <si>
    <t>Prepaid expenses and other current assets</t>
  </si>
  <si>
    <t>Accrued and other current liabilities</t>
  </si>
  <si>
    <t>Cash flows from investing activities</t>
  </si>
  <si>
    <t>Purchases of property and equipment</t>
  </si>
  <si>
    <t>Development of internal-use software</t>
  </si>
  <si>
    <t>Purchases of marketable securities</t>
  </si>
  <si>
    <t>Net cash used in investing activities</t>
  </si>
  <si>
    <t>Cash flows from financing activities</t>
  </si>
  <si>
    <t>Repurchase of stock</t>
  </si>
  <si>
    <t>Proceeds from exercise of stock options</t>
  </si>
  <si>
    <t>Payment of debt issuance costs</t>
  </si>
  <si>
    <t>Purchase of capped calls</t>
  </si>
  <si>
    <t>Settlement of convertible senior notes</t>
  </si>
  <si>
    <t>Payments on finance lease obligations</t>
  </si>
  <si>
    <t>Other financing, net</t>
  </si>
  <si>
    <t>Effect of exchange rate changes on cash</t>
  </si>
  <si>
    <t>Adjustments:</t>
  </si>
  <si>
    <t>Stock-based comp</t>
  </si>
  <si>
    <t>D&amp;A expense</t>
  </si>
  <si>
    <t>Deferred provision for income taxes</t>
  </si>
  <si>
    <t>Chg in operating assets and liabilities</t>
  </si>
  <si>
    <t>Acquisition of businesses</t>
  </si>
  <si>
    <t>Cash paid for asset acquisition</t>
  </si>
  <si>
    <t>Sales of marketable securities</t>
  </si>
  <si>
    <t xml:space="preserve">Payment of tax obligations </t>
  </si>
  <si>
    <t>Proceeds from issuance of notes</t>
  </si>
  <si>
    <t>Net cash from financing activities</t>
  </si>
  <si>
    <t>Net increase (decrease) in cash</t>
  </si>
  <si>
    <t>Cash (at end of period)</t>
  </si>
  <si>
    <t>Cash (at beginning of period)</t>
  </si>
  <si>
    <t>Amortization of debt issuance costs</t>
  </si>
  <si>
    <t>Loss on disposal of assets</t>
  </si>
  <si>
    <t>Payments on facility financing obligation</t>
  </si>
  <si>
    <t>Net cash from operating activities</t>
  </si>
  <si>
    <t>Restricted Cash</t>
  </si>
  <si>
    <t>Growth Rate in Perpetuity</t>
  </si>
  <si>
    <t>Industry Growth - First 5Y</t>
  </si>
  <si>
    <t>Industry Growth - Last 5Y</t>
  </si>
  <si>
    <t>Stock Buybacks</t>
  </si>
  <si>
    <t>Total Cash Return</t>
  </si>
  <si>
    <t>Cash Return</t>
  </si>
  <si>
    <t>Free Cash Flow to Equity</t>
  </si>
  <si>
    <t>Football Field Chart</t>
  </si>
  <si>
    <t xml:space="preserve">Football Field </t>
  </si>
  <si>
    <t>Min</t>
  </si>
  <si>
    <t>Max</t>
  </si>
  <si>
    <t>Analyst's Range</t>
  </si>
  <si>
    <t>DCF Valuation</t>
  </si>
  <si>
    <t>52 Week Range</t>
  </si>
  <si>
    <t>Difference</t>
  </si>
  <si>
    <t>Precedent - EVSales</t>
  </si>
  <si>
    <t>Questions</t>
  </si>
  <si>
    <t>What does the company do?</t>
  </si>
  <si>
    <t>Who are its promoters?</t>
  </si>
  <si>
    <t>What is their background?</t>
  </si>
  <si>
    <t>What do they manufacture/sell?</t>
  </si>
  <si>
    <t>How many plants/units they have?</t>
  </si>
  <si>
    <t>Where are those plants located?</t>
  </si>
  <si>
    <t>Are they running the plants at full capacity?</t>
  </si>
  <si>
    <t>What kind of raw material is required?</t>
  </si>
  <si>
    <t>Who are company's client/end users?</t>
  </si>
  <si>
    <t>Who are their competitors?</t>
  </si>
  <si>
    <t>Who are the major shareholders in company?</t>
  </si>
  <si>
    <t>Do they plan to launch any new products in future?</t>
  </si>
  <si>
    <t>Do they plan to expand to different countries?</t>
  </si>
  <si>
    <t>What is the revenue mix? Which product sells the most?</t>
  </si>
  <si>
    <t>Do they operate under heavy regulatory environment?</t>
  </si>
  <si>
    <t>Who are their bankers and auditors?</t>
  </si>
  <si>
    <t>How many employees do they have? Any Labor Issues?</t>
  </si>
  <si>
    <t>What are the entry barriers for new players?</t>
  </si>
  <si>
    <t>Does the company has too many subsidiaries?</t>
  </si>
  <si>
    <t>Is co. products be replecated in a country with cheap labor?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</si>
</sst>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9">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00\ &quot;€&quot;_-;\-* #,##0.00\ &quot;€&quot;_-;_-* &quot;-&quot;??\ &quot;€&quot;_-;_-@_-"/>
    <numFmt numFmtId="168" formatCode="_-* #,##0.00\ _€_-;\-* #,##0.00\ _€_-;_-* &quot;-&quot;??\ _€_-;_-@_-"/>
    <numFmt numFmtId="169" formatCode="_-* #,##0\ _D_M_-;\-* #,##0\ _D_M_-;_-* &quot;-&quot;\ _D_M_-;_-@_-"/>
    <numFmt numFmtId="170" formatCode="_-* #,##0.00\ &quot;Kc&quot;_-;\-* #,##0.00\ &quot;Kc&quot;_-;_-* &quot;-&quot;??\ &quot;Kc&quot;_-;_-@_-"/>
    <numFmt numFmtId="171" formatCode="\(0\'\)"/>
    <numFmt numFmtId="172" formatCode="0.00_)"/>
    <numFmt numFmtId="173" formatCode="#,##0;\(#,##0\);&quot;-&quot;"/>
    <numFmt numFmtId="174" formatCode="_-* #,##0_-;\-* #,##0_-;_-* &quot;-&quot;_-;_-@_-"/>
    <numFmt numFmtId="175" formatCode="#,##0_);\(#,##0\);&quot; - &quot;_);@_)"/>
    <numFmt numFmtId="176" formatCode="\ #,##0.0_);\(#,##0.0\);&quot; - &quot;_);@_)"/>
    <numFmt numFmtId="177" formatCode="_(* #,##0.00_);_(* \(#,##0.00\);_(* &quot;-&quot;?_);@_)"/>
    <numFmt numFmtId="178" formatCode="0.0"/>
    <numFmt numFmtId="179" formatCode="_ [$₹-4009]\ * #,##0.00_ ;_ [$₹-4009]\ * \-#,##0.00_ ;_ [$₹-4009]\ * &quot;-&quot;??_ ;_ @_ "/>
    <numFmt numFmtId="180" formatCode="[$₹-4009]\ #,##0.00;[$₹-4009]\ \-#,##0.00"/>
    <numFmt numFmtId="181" formatCode="_(* #,##0.000_);_(* \(#,##0.000\);_(* &quot;-&quot;?_);@_)"/>
    <numFmt numFmtId="182" formatCode="0.000"/>
    <numFmt numFmtId="183" formatCode="&quot;$&quot;#,##0.00"/>
    <numFmt numFmtId="184" formatCode="&quot;$&quot;#,##0"/>
    <numFmt numFmtId="185" formatCode="&quot;$&quot;#,##0.0"/>
    <numFmt numFmtId="186" formatCode="0.0000%"/>
    <numFmt numFmtId="187" formatCode="_([$€-2]\ * #,##0.00_);_([$€-2]\ * \(#,##0.00\);_([$€-2]\ * &quot;-&quot;??_);_(@_)"/>
    <numFmt numFmtId="188" formatCode="[$€-2]\ #,##0.00_);\([$€-2]\ #,##0.00\)"/>
    <numFmt numFmtId="189" formatCode="[$₹-4009]\ #,##0.00"/>
    <numFmt numFmtId="190" formatCode="[$€-1809]#,##0.00"/>
    <numFmt numFmtId="191" formatCode="[$€-2]\ #,##0.00"/>
    <numFmt numFmtId="192" formatCode="_(&quot;$&quot;* #,##0.0_);_(&quot;$&quot;* \(#,##0.0\);_(&quot;$&quot;* &quot;-&quot;??_);_(@_)"/>
    <numFmt numFmtId="193" formatCode="_(&quot;$&quot;* #,##0_);_(&quot;$&quot;* \(#,##0\);_(&quot;$&quot;* &quot;-&quot;??_);_(@_)"/>
    <numFmt numFmtId="194" formatCode="[$-409]mmmm\ d\,\ yyyy;@"/>
    <numFmt numFmtId="195" formatCode="yyyy\A"/>
    <numFmt numFmtId="196" formatCode="yyyy\E"/>
    <numFmt numFmtId="197" formatCode="0.000%"/>
    <numFmt numFmtId="198" formatCode="mmm\-yyyy"/>
    <numFmt numFmtId="199" formatCode="_(&quot;$&quot;* #,##0.000_);_(&quot;$&quot;* \(#,##0.000\);_(&quot;$&quot;* &quot;-&quot;??_);_(@_)"/>
  </numFmts>
  <fonts count="100">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sz val="32"/>
      <name val="Arial"/>
      <family val="2"/>
    </font>
    <font>
      <b/>
      <sz val="9"/>
      <name val="Calibri"/>
      <family val="2"/>
      <scheme val="minor"/>
    </font>
    <font>
      <sz val="10"/>
      <name val="Arial"/>
      <family val="2"/>
    </font>
    <font>
      <sz val="10"/>
      <name val="Arial"/>
      <family val="2"/>
      <charset val="204"/>
    </font>
    <font>
      <sz val="10"/>
      <color rgb="FF002060"/>
      <name val="Arial"/>
      <family val="2"/>
      <charset val="204"/>
    </font>
    <font>
      <i/>
      <sz val="9"/>
      <color theme="0"/>
      <name val="Arial"/>
      <family val="2"/>
    </font>
    <font>
      <b/>
      <i/>
      <sz val="9"/>
      <name val="Arial"/>
      <family val="2"/>
    </font>
    <font>
      <b/>
      <i/>
      <sz val="8"/>
      <color theme="1"/>
      <name val="Arial"/>
      <family val="2"/>
    </font>
    <font>
      <b/>
      <sz val="18"/>
      <color theme="1" tint="4.9989318521683403E-2"/>
      <name val="Arial"/>
      <family val="2"/>
      <charset val="204"/>
    </font>
    <font>
      <i/>
      <sz val="9"/>
      <color theme="1" tint="0.14999847407452621"/>
      <name val="Arial"/>
      <family val="2"/>
    </font>
    <font>
      <sz val="10"/>
      <name val="Catamaran"/>
    </font>
    <font>
      <sz val="10"/>
      <color theme="1" tint="0.14999847407452621"/>
      <name val="Catamaran"/>
    </font>
    <font>
      <b/>
      <sz val="11"/>
      <color theme="1" tint="0.14999847407452621"/>
      <name val="Catamaran SemiBold"/>
    </font>
    <font>
      <sz val="10"/>
      <color theme="1" tint="0.14999847407452621"/>
      <name val="Catamaran SemiBold"/>
    </font>
    <font>
      <sz val="10"/>
      <color theme="1" tint="0.14999847407452621"/>
      <name val="Arial"/>
      <family val="2"/>
    </font>
    <font>
      <b/>
      <sz val="14"/>
      <color theme="1" tint="0.14999847407452621"/>
      <name val="Montserrat"/>
    </font>
    <font>
      <sz val="10"/>
      <color theme="1" tint="0.14999847407452621"/>
      <name val="Montserrat"/>
    </font>
    <font>
      <sz val="14"/>
      <name val="Catamaran SemiBold"/>
    </font>
    <font>
      <i/>
      <sz val="8"/>
      <name val="Arial"/>
      <family val="2"/>
    </font>
    <font>
      <i/>
      <sz val="9"/>
      <name val="Calibri"/>
      <family val="2"/>
      <scheme val="minor"/>
    </font>
    <font>
      <sz val="9"/>
      <name val="Calibri"/>
      <family val="2"/>
      <scheme val="minor"/>
    </font>
    <font>
      <b/>
      <sz val="12"/>
      <color theme="1" tint="4.9989318521683403E-2"/>
      <name val="Arial"/>
      <family val="2"/>
      <charset val="204"/>
    </font>
    <font>
      <i/>
      <sz val="10"/>
      <name val="Arial"/>
      <family val="2"/>
    </font>
    <font>
      <b/>
      <sz val="11"/>
      <color theme="0"/>
      <name val="Catamaran SemiBold"/>
    </font>
    <font>
      <sz val="11"/>
      <color theme="0"/>
      <name val="Catamaran SemiBold"/>
    </font>
    <font>
      <b/>
      <sz val="8"/>
      <name val="Arial"/>
      <family val="2"/>
    </font>
    <font>
      <sz val="9"/>
      <color rgb="FF0432FF"/>
      <name val="Arial"/>
      <family val="2"/>
    </font>
    <font>
      <i/>
      <sz val="9"/>
      <color rgb="FF0432FF"/>
      <name val="Arial"/>
      <family val="2"/>
    </font>
    <font>
      <b/>
      <sz val="9"/>
      <color rgb="FFD9E2F3"/>
      <name val="Arial"/>
      <family val="2"/>
    </font>
    <font>
      <sz val="9"/>
      <color rgb="FF002060"/>
      <name val="Arial"/>
      <family val="2"/>
    </font>
    <font>
      <b/>
      <sz val="9"/>
      <color rgb="FF0432FF"/>
      <name val="Arial"/>
      <family val="2"/>
    </font>
    <font>
      <sz val="11"/>
      <name val="Calibri"/>
      <family val="2"/>
    </font>
    <font>
      <sz val="9"/>
      <color indexed="81"/>
      <name val="Tahoma"/>
      <charset val="1"/>
    </font>
    <font>
      <b/>
      <sz val="9"/>
      <color indexed="81"/>
      <name val="Tahoma"/>
      <charset val="1"/>
    </font>
  </fonts>
  <fills count="50">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rgb="FFF8F8F8"/>
        <bgColor indexed="64"/>
      </patternFill>
    </fill>
    <fill>
      <patternFill patternType="solid">
        <fgColor theme="2"/>
        <bgColor indexed="64"/>
      </patternFill>
    </fill>
    <fill>
      <patternFill patternType="solid">
        <fgColor rgb="FFEB6D20"/>
        <bgColor indexed="64"/>
      </patternFill>
    </fill>
    <fill>
      <patternFill patternType="solid">
        <fgColor rgb="FFF9D1B9"/>
        <bgColor indexed="64"/>
      </patternFill>
    </fill>
    <fill>
      <patternFill patternType="solid">
        <fgColor rgb="FFD9E2F3"/>
        <bgColor indexed="64"/>
      </patternFill>
    </fill>
  </fills>
  <borders count="35">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thin">
        <color auto="1"/>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bottom/>
      <diagonal/>
    </border>
    <border>
      <left style="thin">
        <color indexed="64"/>
      </left>
      <right/>
      <top style="thin">
        <color indexed="64"/>
      </top>
      <bottom/>
      <diagonal/>
    </border>
  </borders>
  <cellStyleXfs count="171">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7"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0" fontId="26" fillId="0" borderId="0" applyFont="0" applyFill="0" applyBorder="0" applyAlignment="0" applyProtection="0"/>
    <xf numFmtId="169"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1" fontId="9" fillId="0" borderId="0" applyFont="0" applyFill="0" applyBorder="0" applyAlignment="0" applyProtection="0"/>
    <xf numFmtId="0" fontId="28" fillId="25" borderId="0" applyNumberFormat="0" applyBorder="0" applyAlignment="0" applyProtection="0"/>
    <xf numFmtId="172"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3" fontId="47" fillId="0" borderId="0"/>
    <xf numFmtId="173" fontId="9" fillId="0" borderId="0"/>
    <xf numFmtId="173" fontId="49" fillId="0" borderId="0"/>
    <xf numFmtId="0" fontId="50" fillId="0" borderId="0">
      <alignment horizontal="left"/>
    </xf>
    <xf numFmtId="174" fontId="48" fillId="0" borderId="16" applyFill="0" applyBorder="0" applyProtection="0">
      <alignment horizontal="right" vertical="top"/>
    </xf>
    <xf numFmtId="173" fontId="51" fillId="0" borderId="16">
      <alignment horizontal="left"/>
    </xf>
    <xf numFmtId="0" fontId="50" fillId="0" borderId="16">
      <alignment horizontal="right" wrapText="1"/>
    </xf>
    <xf numFmtId="0" fontId="48" fillId="0" borderId="0" applyFill="0" applyBorder="0">
      <alignment horizontal="left" vertical="top" wrapText="1"/>
    </xf>
    <xf numFmtId="175" fontId="48" fillId="0" borderId="0" applyFill="0" applyBorder="0">
      <alignment horizontal="right" vertical="top"/>
    </xf>
    <xf numFmtId="176" fontId="48" fillId="0" borderId="0" applyFill="0" applyBorder="0">
      <alignment horizontal="right" vertical="top"/>
    </xf>
    <xf numFmtId="49" fontId="48" fillId="0" borderId="0" applyNumberFormat="0" applyFill="0" applyBorder="0" applyProtection="0">
      <alignment horizontal="center" vertical="top"/>
    </xf>
    <xf numFmtId="173" fontId="52" fillId="0" borderId="0">
      <alignment horizontal="left" vertical="top"/>
    </xf>
    <xf numFmtId="0" fontId="53" fillId="0" borderId="0"/>
    <xf numFmtId="0" fontId="5" fillId="0" borderId="0"/>
    <xf numFmtId="0" fontId="54" fillId="0" borderId="0"/>
    <xf numFmtId="0" fontId="5" fillId="0" borderId="0"/>
    <xf numFmtId="168"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0" fillId="0" borderId="0" applyNumberFormat="0" applyFill="0" applyBorder="0" applyAlignment="0" applyProtection="0"/>
    <xf numFmtId="44" fontId="9" fillId="0" borderId="0" applyFont="0" applyFill="0" applyBorder="0" applyAlignment="0" applyProtection="0"/>
    <xf numFmtId="0" fontId="68" fillId="0" borderId="0">
      <alignment vertical="top"/>
    </xf>
    <xf numFmtId="43" fontId="69" fillId="0" borderId="0">
      <alignment vertical="top"/>
    </xf>
    <xf numFmtId="44" fontId="5" fillId="0" borderId="0" applyFont="0" applyFill="0" applyBorder="0" applyAlignment="0" applyProtection="0"/>
    <xf numFmtId="0" fontId="9" fillId="0" borderId="0">
      <alignment vertical="top"/>
    </xf>
  </cellStyleXfs>
  <cellXfs count="630">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7" fontId="1" fillId="2" borderId="0" xfId="0" applyNumberFormat="1" applyFont="1" applyFill="1"/>
    <xf numFmtId="0" fontId="59" fillId="2" borderId="0" xfId="0" applyFont="1" applyFill="1"/>
    <xf numFmtId="2" fontId="1" fillId="2" borderId="0" xfId="0" applyNumberFormat="1" applyFont="1" applyFill="1"/>
    <xf numFmtId="177"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2" fillId="2" borderId="0" xfId="0" applyNumberFormat="1" applyFont="1" applyFill="1"/>
    <xf numFmtId="10" fontId="6" fillId="2"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59" fillId="2" borderId="0" xfId="0" applyNumberFormat="1" applyFont="1" applyFill="1" applyBorder="1"/>
    <xf numFmtId="164" fontId="59" fillId="2" borderId="0" xfId="0" applyNumberFormat="1" applyFont="1" applyFill="1" applyBorder="1" applyAlignment="1">
      <alignment horizontal="right"/>
    </xf>
    <xf numFmtId="164" fontId="40" fillId="2" borderId="0" xfId="0" applyNumberFormat="1" applyFont="1" applyFill="1" applyBorder="1"/>
    <xf numFmtId="164" fontId="59" fillId="2" borderId="0" xfId="0" applyNumberFormat="1" applyFont="1" applyFill="1" applyBorder="1" applyAlignment="1">
      <alignment horizontal="left" vertical="center"/>
    </xf>
    <xf numFmtId="0" fontId="66" fillId="2" borderId="0" xfId="0" applyFont="1" applyFill="1"/>
    <xf numFmtId="0" fontId="61" fillId="2" borderId="0" xfId="0" applyFont="1" applyFill="1"/>
    <xf numFmtId="0" fontId="40" fillId="2" borderId="0" xfId="0" applyFont="1" applyFill="1"/>
    <xf numFmtId="0" fontId="10" fillId="2" borderId="0" xfId="0" applyFont="1" applyFill="1" applyAlignment="1">
      <alignment horizontal="left"/>
    </xf>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3"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64" fillId="2" borderId="0" xfId="0" applyNumberFormat="1" applyFont="1" applyFill="1" applyBorder="1"/>
    <xf numFmtId="10" fontId="8" fillId="2" borderId="0" xfId="2" applyNumberFormat="1" applyFont="1" applyFill="1" applyBorder="1"/>
    <xf numFmtId="0" fontId="68" fillId="2" borderId="0" xfId="167" applyFill="1">
      <alignment vertical="top"/>
    </xf>
    <xf numFmtId="0" fontId="70" fillId="2" borderId="0" xfId="167" applyFont="1" applyFill="1">
      <alignment vertical="top"/>
    </xf>
    <xf numFmtId="0" fontId="68" fillId="0" borderId="0" xfId="167">
      <alignment vertical="top"/>
    </xf>
    <xf numFmtId="0" fontId="67"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10" fontId="40" fillId="2" borderId="0" xfId="2" applyNumberFormat="1" applyFont="1" applyFill="1" applyBorder="1"/>
    <xf numFmtId="10" fontId="2" fillId="2" borderId="0" xfId="2" applyNumberFormat="1" applyFont="1" applyFill="1" applyBorder="1"/>
    <xf numFmtId="0" fontId="63" fillId="2" borderId="0" xfId="2" applyNumberFormat="1" applyFont="1" applyFill="1" applyBorder="1"/>
    <xf numFmtId="164" fontId="65" fillId="2" borderId="0" xfId="165" applyNumberFormat="1" applyFont="1" applyFill="1" applyBorder="1"/>
    <xf numFmtId="180"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164" fontId="63" fillId="2" borderId="0" xfId="165" applyNumberFormat="1" applyFont="1" applyFill="1" applyBorder="1"/>
    <xf numFmtId="177"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64" fontId="8" fillId="2" borderId="0" xfId="0" applyNumberFormat="1" applyFont="1" applyFill="1" applyBorder="1" applyAlignment="1">
      <alignment horizontal="right"/>
    </xf>
    <xf numFmtId="164" fontId="8" fillId="2" borderId="0" xfId="0" applyNumberFormat="1" applyFont="1" applyFill="1" applyBorder="1" applyAlignment="1">
      <alignment horizontal="right" vertical="center"/>
    </xf>
    <xf numFmtId="180" fontId="1" fillId="2" borderId="0" xfId="0" applyNumberFormat="1" applyFont="1" applyFill="1" applyBorder="1" applyAlignment="1">
      <alignment horizontal="right" vertical="center"/>
    </xf>
    <xf numFmtId="10" fontId="63"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0" fontId="1" fillId="2" borderId="0" xfId="0" applyNumberFormat="1" applyFont="1" applyFill="1" applyBorder="1" applyAlignment="1">
      <alignment horizontal="right"/>
    </xf>
    <xf numFmtId="178" fontId="1" fillId="2" borderId="0" xfId="2" applyNumberFormat="1" applyFont="1" applyFill="1" applyBorder="1"/>
    <xf numFmtId="181" fontId="1" fillId="2" borderId="0" xfId="0" applyNumberFormat="1" applyFont="1" applyFill="1" applyBorder="1"/>
    <xf numFmtId="10" fontId="1" fillId="2" borderId="0" xfId="0" applyNumberFormat="1" applyFont="1" applyFill="1" applyBorder="1"/>
    <xf numFmtId="177" fontId="8" fillId="2" borderId="0" xfId="0" applyNumberFormat="1" applyFont="1" applyFill="1" applyBorder="1" applyAlignment="1">
      <alignment horizontal="right"/>
    </xf>
    <xf numFmtId="2" fontId="63" fillId="2" borderId="18" xfId="2" applyNumberFormat="1" applyFont="1" applyFill="1" applyBorder="1" applyAlignment="1">
      <alignment horizontal="right"/>
    </xf>
    <xf numFmtId="164" fontId="8" fillId="2" borderId="0" xfId="0" applyNumberFormat="1" applyFont="1" applyFill="1" applyBorder="1" applyAlignment="1"/>
    <xf numFmtId="164" fontId="63" fillId="2" borderId="0" xfId="0" applyNumberFormat="1" applyFont="1" applyFill="1" applyBorder="1" applyAlignment="1"/>
    <xf numFmtId="0" fontId="61"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3" fillId="2" borderId="0" xfId="0" applyFont="1" applyFill="1" applyBorder="1"/>
    <xf numFmtId="0" fontId="64"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8" fontId="63" fillId="2" borderId="0" xfId="0" applyNumberFormat="1" applyFont="1" applyFill="1" applyBorder="1"/>
    <xf numFmtId="178" fontId="1" fillId="2" borderId="0" xfId="0" applyNumberFormat="1" applyFont="1" applyFill="1" applyBorder="1"/>
    <xf numFmtId="0" fontId="63" fillId="2" borderId="0" xfId="0" applyFont="1" applyFill="1" applyBorder="1" applyAlignment="1">
      <alignment horizontal="right"/>
    </xf>
    <xf numFmtId="179" fontId="2" fillId="2" borderId="0" xfId="0" applyNumberFormat="1" applyFont="1" applyFill="1" applyBorder="1"/>
    <xf numFmtId="179" fontId="63" fillId="2" borderId="0" xfId="0" applyNumberFormat="1" applyFont="1" applyFill="1" applyBorder="1"/>
    <xf numFmtId="10" fontId="63" fillId="2" borderId="0" xfId="2" applyNumberFormat="1" applyFont="1" applyFill="1" applyBorder="1"/>
    <xf numFmtId="10" fontId="64" fillId="2" borderId="0" xfId="0" applyNumberFormat="1" applyFont="1" applyFill="1" applyBorder="1"/>
    <xf numFmtId="0" fontId="64"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79" fontId="1" fillId="2" borderId="0" xfId="0" applyNumberFormat="1" applyFont="1" applyFill="1" applyBorder="1"/>
    <xf numFmtId="2" fontId="63" fillId="2" borderId="0" xfId="0" applyNumberFormat="1" applyFont="1" applyFill="1" applyBorder="1"/>
    <xf numFmtId="2" fontId="63" fillId="2" borderId="0" xfId="2" applyNumberFormat="1" applyFont="1" applyFill="1" applyBorder="1" applyAlignment="1">
      <alignment horizontal="right"/>
    </xf>
    <xf numFmtId="177" fontId="63" fillId="2" borderId="0" xfId="0" applyNumberFormat="1" applyFont="1" applyFill="1" applyBorder="1"/>
    <xf numFmtId="2" fontId="63" fillId="2" borderId="0" xfId="2" applyNumberFormat="1" applyFont="1" applyFill="1" applyBorder="1" applyAlignment="1"/>
    <xf numFmtId="0" fontId="63" fillId="45" borderId="0" xfId="0" applyFont="1" applyFill="1" applyBorder="1"/>
    <xf numFmtId="10" fontId="40" fillId="2" borderId="0" xfId="2" applyNumberFormat="1" applyFont="1" applyFill="1" applyBorder="1" applyAlignment="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79" fontId="8" fillId="2" borderId="0" xfId="0" applyNumberFormat="1" applyFont="1" applyFill="1" applyBorder="1"/>
    <xf numFmtId="0" fontId="63" fillId="2" borderId="0" xfId="0" applyNumberFormat="1" applyFont="1" applyFill="1" applyBorder="1"/>
    <xf numFmtId="177" fontId="2" fillId="2" borderId="0" xfId="0" applyNumberFormat="1" applyFont="1" applyFill="1" applyBorder="1"/>
    <xf numFmtId="10" fontId="2" fillId="2" borderId="18" xfId="2" applyNumberFormat="1" applyFont="1" applyFill="1" applyBorder="1"/>
    <xf numFmtId="0" fontId="2" fillId="2" borderId="18" xfId="0" applyFont="1" applyFill="1" applyBorder="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8" fontId="40" fillId="2" borderId="0" xfId="2" applyNumberFormat="1" applyFont="1" applyFill="1" applyBorder="1" applyAlignment="1">
      <alignment horizontal="right"/>
    </xf>
    <xf numFmtId="2" fontId="1" fillId="2" borderId="0" xfId="0" applyNumberFormat="1" applyFont="1" applyFill="1" applyBorder="1"/>
    <xf numFmtId="2" fontId="1" fillId="2" borderId="0" xfId="0" applyNumberFormat="1" applyFont="1" applyFill="1" applyBorder="1" applyAlignment="1">
      <alignment horizontal="right"/>
    </xf>
    <xf numFmtId="9" fontId="59" fillId="2" borderId="0" xfId="2" applyFont="1" applyFill="1" applyBorder="1"/>
    <xf numFmtId="164" fontId="1" fillId="2" borderId="0" xfId="0" applyNumberFormat="1" applyFont="1" applyFill="1" applyBorder="1" applyAlignment="1">
      <alignment horizontal="left"/>
    </xf>
    <xf numFmtId="164" fontId="1" fillId="2" borderId="0" xfId="0" applyNumberFormat="1" applyFont="1" applyFill="1" applyAlignment="1">
      <alignment horizontal="right"/>
    </xf>
    <xf numFmtId="179" fontId="8" fillId="2" borderId="0" xfId="0" applyNumberFormat="1" applyFont="1" applyFill="1" applyBorder="1" applyAlignment="1">
      <alignment horizontal="left" vertical="center"/>
    </xf>
    <xf numFmtId="179" fontId="2" fillId="2" borderId="0" xfId="0" applyNumberFormat="1" applyFont="1" applyFill="1" applyBorder="1" applyAlignment="1">
      <alignment horizontal="left" vertical="center"/>
    </xf>
    <xf numFmtId="164" fontId="65" fillId="2" borderId="0" xfId="0" applyNumberFormat="1" applyFont="1" applyFill="1" applyBorder="1" applyAlignment="1"/>
    <xf numFmtId="166" fontId="65" fillId="2" borderId="0" xfId="2" applyNumberFormat="1" applyFont="1" applyFill="1" applyBorder="1" applyAlignment="1"/>
    <xf numFmtId="0" fontId="1" fillId="2" borderId="0" xfId="2" applyNumberFormat="1" applyFont="1" applyFill="1"/>
    <xf numFmtId="2" fontId="63" fillId="2" borderId="0" xfId="0" applyNumberFormat="1" applyFont="1" applyFill="1" applyBorder="1" applyAlignment="1">
      <alignment horizontal="right"/>
    </xf>
    <xf numFmtId="180" fontId="40" fillId="2" borderId="0" xfId="0" applyNumberFormat="1" applyFont="1" applyFill="1" applyBorder="1" applyAlignment="1">
      <alignment horizontal="right"/>
    </xf>
    <xf numFmtId="10" fontId="63" fillId="2" borderId="18" xfId="2" applyNumberFormat="1" applyFont="1" applyFill="1" applyBorder="1" applyAlignment="1">
      <alignment horizontal="right"/>
    </xf>
    <xf numFmtId="10" fontId="2" fillId="2" borderId="20" xfId="2" applyNumberFormat="1" applyFont="1" applyFill="1" applyBorder="1"/>
    <xf numFmtId="10" fontId="2" fillId="2" borderId="20" xfId="2" applyNumberFormat="1" applyFont="1" applyFill="1" applyBorder="1" applyAlignment="1">
      <alignment horizontal="right"/>
    </xf>
    <xf numFmtId="9" fontId="6" fillId="2" borderId="0" xfId="2" applyFont="1" applyFill="1" applyBorder="1"/>
    <xf numFmtId="164" fontId="1" fillId="2" borderId="0" xfId="0" applyNumberFormat="1" applyFont="1" applyFill="1" applyAlignment="1">
      <alignment wrapText="1"/>
    </xf>
    <xf numFmtId="0" fontId="40" fillId="2" borderId="0" xfId="0" applyFont="1" applyFill="1" applyBorder="1" applyAlignment="1"/>
    <xf numFmtId="179" fontId="63" fillId="2" borderId="0" xfId="0" applyNumberFormat="1" applyFont="1" applyFill="1" applyBorder="1" applyAlignment="1">
      <alignment horizontal="right"/>
    </xf>
    <xf numFmtId="164" fontId="7" fillId="2" borderId="0" xfId="0" applyNumberFormat="1" applyFont="1" applyFill="1" applyAlignment="1">
      <alignment horizontal="right"/>
    </xf>
    <xf numFmtId="2" fontId="71" fillId="2" borderId="0" xfId="2" applyNumberFormat="1" applyFont="1" applyFill="1" applyBorder="1" applyAlignment="1">
      <alignment horizontal="right"/>
    </xf>
    <xf numFmtId="177" fontId="7" fillId="2" borderId="0" xfId="0" applyNumberFormat="1" applyFont="1" applyFill="1"/>
    <xf numFmtId="177" fontId="71" fillId="2" borderId="0" xfId="2" applyNumberFormat="1" applyFont="1" applyFill="1" applyBorder="1" applyAlignment="1">
      <alignment horizontal="right"/>
    </xf>
    <xf numFmtId="2" fontId="63" fillId="2" borderId="0" xfId="0" applyNumberFormat="1" applyFont="1" applyFill="1" applyAlignment="1">
      <alignment horizontal="right"/>
    </xf>
    <xf numFmtId="2" fontId="1" fillId="2" borderId="0" xfId="2" applyNumberFormat="1" applyFont="1" applyFill="1" applyBorder="1" applyAlignment="1">
      <alignment horizontal="right"/>
    </xf>
    <xf numFmtId="164" fontId="40" fillId="2" borderId="0" xfId="0" applyNumberFormat="1" applyFont="1" applyFill="1" applyBorder="1" applyAlignment="1"/>
    <xf numFmtId="3" fontId="63" fillId="2" borderId="0" xfId="0" applyNumberFormat="1" applyFont="1" applyFill="1" applyBorder="1"/>
    <xf numFmtId="3" fontId="1" fillId="2" borderId="0" xfId="0" applyNumberFormat="1" applyFont="1" applyFill="1" applyBorder="1"/>
    <xf numFmtId="3" fontId="1" fillId="2" borderId="0" xfId="0" applyNumberFormat="1" applyFont="1" applyFill="1" applyBorder="1" applyAlignment="1">
      <alignment horizontal="right"/>
    </xf>
    <xf numFmtId="0" fontId="40" fillId="2" borderId="0" xfId="0" applyNumberFormat="1" applyFont="1" applyFill="1" applyBorder="1" applyAlignment="1">
      <alignment horizontal="right"/>
    </xf>
    <xf numFmtId="0" fontId="1" fillId="2" borderId="0" xfId="0" applyNumberFormat="1" applyFont="1" applyFill="1" applyBorder="1" applyAlignment="1">
      <alignment horizontal="right" vertical="center"/>
    </xf>
    <xf numFmtId="180" fontId="63" fillId="2" borderId="0" xfId="0" applyNumberFormat="1" applyFont="1" applyFill="1" applyBorder="1" applyAlignment="1">
      <alignment horizontal="right" vertical="center"/>
    </xf>
    <xf numFmtId="164" fontId="63" fillId="2" borderId="0" xfId="0" applyNumberFormat="1" applyFont="1" applyFill="1" applyBorder="1" applyAlignment="1">
      <alignment horizontal="right"/>
    </xf>
    <xf numFmtId="183" fontId="1" fillId="2" borderId="0" xfId="169" applyNumberFormat="1" applyFont="1" applyFill="1" applyBorder="1"/>
    <xf numFmtId="3" fontId="1" fillId="2" borderId="0" xfId="0" applyNumberFormat="1" applyFont="1" applyFill="1" applyBorder="1" applyAlignment="1">
      <alignment horizontal="right" vertical="center"/>
    </xf>
    <xf numFmtId="10" fontId="2" fillId="2" borderId="21" xfId="2" applyNumberFormat="1" applyFont="1" applyFill="1" applyBorder="1"/>
    <xf numFmtId="44" fontId="8" fillId="2" borderId="0" xfId="169" applyFont="1" applyFill="1" applyBorder="1" applyAlignment="1">
      <alignment horizontal="left" vertical="center"/>
    </xf>
    <xf numFmtId="164" fontId="65" fillId="2" borderId="0" xfId="0" applyNumberFormat="1" applyFont="1" applyFill="1" applyBorder="1" applyAlignment="1">
      <alignment horizontal="left"/>
    </xf>
    <xf numFmtId="44" fontId="2" fillId="2" borderId="0" xfId="169" applyFont="1" applyFill="1"/>
    <xf numFmtId="183" fontId="40" fillId="2" borderId="0" xfId="169" applyNumberFormat="1" applyFont="1" applyFill="1" applyBorder="1"/>
    <xf numFmtId="165" fontId="40" fillId="2" borderId="0" xfId="0" applyNumberFormat="1" applyFont="1" applyFill="1" applyBorder="1"/>
    <xf numFmtId="183" fontId="2" fillId="2" borderId="0" xfId="169" applyNumberFormat="1" applyFont="1" applyFill="1" applyBorder="1"/>
    <xf numFmtId="44" fontId="2" fillId="2" borderId="0" xfId="169" applyNumberFormat="1" applyFont="1" applyFill="1" applyBorder="1" applyAlignment="1">
      <alignment horizontal="right" vertical="center"/>
    </xf>
    <xf numFmtId="164" fontId="63" fillId="2" borderId="0" xfId="0" applyNumberFormat="1" applyFont="1" applyFill="1" applyAlignment="1">
      <alignment horizontal="right"/>
    </xf>
    <xf numFmtId="182" fontId="63" fillId="2" borderId="0" xfId="2" applyNumberFormat="1" applyFont="1" applyFill="1" applyBorder="1" applyAlignment="1">
      <alignment horizontal="right"/>
    </xf>
    <xf numFmtId="2" fontId="1" fillId="2" borderId="0" xfId="0" applyNumberFormat="1" applyFont="1" applyFill="1" applyBorder="1" applyAlignment="1">
      <alignment horizontal="right" vertical="center"/>
    </xf>
    <xf numFmtId="182" fontId="63" fillId="2" borderId="0" xfId="0" applyNumberFormat="1" applyFont="1" applyFill="1" applyBorder="1" applyAlignment="1">
      <alignment horizontal="right"/>
    </xf>
    <xf numFmtId="164" fontId="1" fillId="2" borderId="0" xfId="0" applyNumberFormat="1" applyFont="1" applyFill="1" applyBorder="1" applyAlignment="1">
      <alignment wrapText="1"/>
    </xf>
    <xf numFmtId="10" fontId="1" fillId="2" borderId="0" xfId="2" applyNumberFormat="1" applyFont="1" applyFill="1" applyBorder="1" applyAlignment="1">
      <alignment horizontal="right" vertical="center"/>
    </xf>
    <xf numFmtId="177" fontId="2" fillId="2" borderId="20" xfId="0" applyNumberFormat="1" applyFont="1" applyFill="1" applyBorder="1"/>
    <xf numFmtId="3" fontId="8" fillId="2" borderId="0" xfId="0" applyNumberFormat="1" applyFont="1" applyFill="1" applyBorder="1" applyAlignment="1"/>
    <xf numFmtId="3" fontId="2" fillId="2" borderId="0" xfId="0" applyNumberFormat="1" applyFont="1" applyFill="1" applyBorder="1" applyAlignment="1">
      <alignment horizontal="right"/>
    </xf>
    <xf numFmtId="177" fontId="40" fillId="2" borderId="0" xfId="0" applyNumberFormat="1" applyFont="1" applyFill="1" applyBorder="1"/>
    <xf numFmtId="10" fontId="72" fillId="2" borderId="0" xfId="169" applyNumberFormat="1" applyFont="1" applyFill="1" applyBorder="1"/>
    <xf numFmtId="178" fontId="63" fillId="2" borderId="0" xfId="2" applyNumberFormat="1" applyFont="1" applyFill="1" applyBorder="1" applyAlignment="1">
      <alignment horizontal="right"/>
    </xf>
    <xf numFmtId="178" fontId="63" fillId="2" borderId="0" xfId="0" applyNumberFormat="1" applyFont="1" applyFill="1" applyBorder="1" applyAlignment="1">
      <alignment horizontal="right"/>
    </xf>
    <xf numFmtId="0" fontId="8" fillId="2" borderId="0" xfId="0" applyFont="1" applyFill="1" applyBorder="1"/>
    <xf numFmtId="10" fontId="73" fillId="2" borderId="0" xfId="2" applyNumberFormat="1" applyFont="1" applyFill="1" applyBorder="1"/>
    <xf numFmtId="0" fontId="8" fillId="2" borderId="0" xfId="0" applyFont="1" applyFill="1" applyBorder="1" applyAlignment="1">
      <alignment vertical="center"/>
    </xf>
    <xf numFmtId="44" fontId="1" fillId="2" borderId="0" xfId="0" applyNumberFormat="1" applyFont="1" applyFill="1" applyBorder="1"/>
    <xf numFmtId="178" fontId="63" fillId="2" borderId="0" xfId="2" applyNumberFormat="1" applyFont="1" applyFill="1" applyBorder="1" applyAlignment="1"/>
    <xf numFmtId="10" fontId="65" fillId="2" borderId="0" xfId="2" applyNumberFormat="1" applyFont="1" applyFill="1" applyBorder="1" applyAlignment="1">
      <alignment horizontal="right" wrapText="1"/>
    </xf>
    <xf numFmtId="2" fontId="65" fillId="2" borderId="0" xfId="2" applyNumberFormat="1" applyFont="1" applyFill="1" applyBorder="1" applyAlignment="1">
      <alignment horizontal="right" wrapText="1"/>
    </xf>
    <xf numFmtId="10" fontId="63" fillId="2" borderId="0" xfId="2" applyNumberFormat="1" applyFont="1" applyFill="1" applyBorder="1" applyAlignment="1">
      <alignment horizontal="right" wrapText="1"/>
    </xf>
    <xf numFmtId="2" fontId="63" fillId="2" borderId="0" xfId="2" applyNumberFormat="1" applyFont="1" applyFill="1" applyBorder="1" applyAlignment="1">
      <alignment horizontal="right" wrapText="1"/>
    </xf>
    <xf numFmtId="9" fontId="63" fillId="2" borderId="0" xfId="2" applyNumberFormat="1" applyFont="1" applyFill="1" applyBorder="1" applyAlignment="1">
      <alignment horizontal="right"/>
    </xf>
    <xf numFmtId="2" fontId="8" fillId="2" borderId="0" xfId="169" applyNumberFormat="1" applyFont="1" applyFill="1" applyBorder="1" applyAlignment="1">
      <alignment horizontal="right"/>
    </xf>
    <xf numFmtId="10" fontId="8" fillId="2" borderId="0" xfId="2" applyNumberFormat="1" applyFont="1" applyFill="1" applyBorder="1" applyAlignment="1">
      <alignment horizontal="right"/>
    </xf>
    <xf numFmtId="183" fontId="1" fillId="2" borderId="0" xfId="169" applyNumberFormat="1" applyFont="1" applyFill="1" applyBorder="1" applyAlignment="1">
      <alignment horizontal="right"/>
    </xf>
    <xf numFmtId="2" fontId="1" fillId="2" borderId="0" xfId="169" applyNumberFormat="1" applyFont="1" applyFill="1" applyBorder="1" applyAlignment="1">
      <alignment horizontal="right"/>
    </xf>
    <xf numFmtId="0" fontId="74" fillId="2" borderId="0" xfId="167" applyFont="1" applyFill="1">
      <alignment vertical="top"/>
    </xf>
    <xf numFmtId="0" fontId="75" fillId="2" borderId="0" xfId="167" applyFont="1" applyFill="1">
      <alignment vertical="top"/>
    </xf>
    <xf numFmtId="0" fontId="79" fillId="2" borderId="0" xfId="167" applyFont="1" applyFill="1">
      <alignment vertical="top"/>
    </xf>
    <xf numFmtId="0" fontId="80" fillId="2" borderId="0" xfId="167" applyFont="1" applyFill="1">
      <alignment vertical="top"/>
    </xf>
    <xf numFmtId="0" fontId="82" fillId="2" borderId="0" xfId="167" applyFont="1" applyFill="1">
      <alignment vertical="top"/>
    </xf>
    <xf numFmtId="0" fontId="76" fillId="2" borderId="0" xfId="167" applyFont="1" applyFill="1" applyAlignment="1">
      <alignment horizontal="left" vertical="top"/>
    </xf>
    <xf numFmtId="0" fontId="77" fillId="2" borderId="0" xfId="167" applyFont="1" applyFill="1" applyAlignment="1">
      <alignment horizontal="left" vertical="top"/>
    </xf>
    <xf numFmtId="0" fontId="0" fillId="2" borderId="0" xfId="0" applyFill="1"/>
    <xf numFmtId="0" fontId="78" fillId="2" borderId="0" xfId="167" applyFont="1" applyFill="1" applyAlignment="1">
      <alignment vertical="top"/>
    </xf>
    <xf numFmtId="183" fontId="81" fillId="2" borderId="0" xfId="167" applyNumberFormat="1" applyFont="1" applyFill="1" applyAlignment="1">
      <alignment vertical="center"/>
    </xf>
    <xf numFmtId="0" fontId="83" fillId="2" borderId="0" xfId="167" applyFont="1" applyFill="1" applyAlignment="1">
      <alignment vertical="center"/>
    </xf>
    <xf numFmtId="2" fontId="63" fillId="45" borderId="0" xfId="2" applyNumberFormat="1" applyFont="1" applyFill="1" applyBorder="1"/>
    <xf numFmtId="185" fontId="81" fillId="2" borderId="0" xfId="167" applyNumberFormat="1" applyFont="1" applyFill="1" applyAlignment="1">
      <alignment vertical="center"/>
    </xf>
    <xf numFmtId="9" fontId="65" fillId="2" borderId="0" xfId="2" applyFont="1" applyFill="1" applyBorder="1"/>
    <xf numFmtId="177" fontId="40" fillId="2" borderId="0" xfId="0" applyNumberFormat="1" applyFont="1" applyFill="1" applyBorder="1" applyAlignment="1"/>
    <xf numFmtId="164" fontId="40" fillId="2" borderId="0" xfId="0" applyNumberFormat="1" applyFont="1" applyFill="1" applyBorder="1" applyAlignment="1">
      <alignment horizontal="right"/>
    </xf>
    <xf numFmtId="44" fontId="40" fillId="2" borderId="0" xfId="169" applyFont="1" applyFill="1" applyBorder="1" applyAlignment="1"/>
    <xf numFmtId="44" fontId="2" fillId="2" borderId="0" xfId="169" applyFont="1" applyFill="1" applyBorder="1" applyAlignment="1">
      <alignment horizontal="right"/>
    </xf>
    <xf numFmtId="164" fontId="2" fillId="2" borderId="0" xfId="0" applyNumberFormat="1" applyFont="1" applyFill="1" applyAlignment="1">
      <alignment horizontal="right"/>
    </xf>
    <xf numFmtId="164" fontId="84" fillId="2" borderId="0" xfId="0" applyNumberFormat="1" applyFont="1" applyFill="1" applyBorder="1" applyAlignment="1">
      <alignment horizontal="left"/>
    </xf>
    <xf numFmtId="164" fontId="6" fillId="2" borderId="0" xfId="0" applyNumberFormat="1" applyFont="1" applyFill="1"/>
    <xf numFmtId="0" fontId="85" fillId="0" borderId="25" xfId="0" applyFont="1" applyBorder="1" applyAlignment="1">
      <alignment horizontal="left"/>
    </xf>
    <xf numFmtId="0" fontId="85" fillId="0" borderId="22" xfId="0" applyFont="1" applyBorder="1" applyAlignment="1">
      <alignment horizontal="center"/>
    </xf>
    <xf numFmtId="0" fontId="86" fillId="0" borderId="9" xfId="0" applyFont="1" applyBorder="1" applyAlignment="1">
      <alignment horizontal="center"/>
    </xf>
    <xf numFmtId="0" fontId="86" fillId="0" borderId="22" xfId="0" applyFont="1" applyBorder="1" applyAlignment="1">
      <alignment horizontal="center"/>
    </xf>
    <xf numFmtId="10" fontId="86" fillId="0" borderId="24" xfId="2" applyNumberFormat="1" applyFont="1" applyBorder="1" applyAlignment="1">
      <alignment horizontal="center"/>
    </xf>
    <xf numFmtId="0" fontId="86" fillId="0" borderId="23" xfId="0" applyFont="1" applyBorder="1" applyAlignment="1">
      <alignment horizontal="center"/>
    </xf>
    <xf numFmtId="9" fontId="40" fillId="2" borderId="0" xfId="2" applyFont="1" applyFill="1" applyBorder="1"/>
    <xf numFmtId="10" fontId="72" fillId="2" borderId="0" xfId="169" applyNumberFormat="1" applyFont="1" applyFill="1" applyBorder="1" applyAlignment="1">
      <alignment horizontal="right"/>
    </xf>
    <xf numFmtId="10" fontId="72" fillId="2" borderId="0" xfId="2" applyNumberFormat="1" applyFont="1" applyFill="1" applyBorder="1" applyAlignment="1">
      <alignment horizontal="right"/>
    </xf>
    <xf numFmtId="186" fontId="1" fillId="2" borderId="0" xfId="2" applyNumberFormat="1" applyFont="1" applyFill="1" applyBorder="1"/>
    <xf numFmtId="164" fontId="8" fillId="2" borderId="0" xfId="0" applyNumberFormat="1" applyFont="1" applyFill="1" applyAlignment="1">
      <alignment horizontal="right"/>
    </xf>
    <xf numFmtId="9" fontId="8" fillId="2" borderId="0" xfId="2" applyFont="1" applyFill="1" applyBorder="1" applyAlignment="1">
      <alignment horizontal="right"/>
    </xf>
    <xf numFmtId="9" fontId="8" fillId="2" borderId="0" xfId="2" applyFont="1" applyFill="1" applyBorder="1" applyAlignment="1">
      <alignment horizontal="center"/>
    </xf>
    <xf numFmtId="9" fontId="40" fillId="2" borderId="0" xfId="2" applyFont="1" applyFill="1" applyBorder="1" applyAlignment="1"/>
    <xf numFmtId="44" fontId="72" fillId="2" borderId="0" xfId="169" applyFont="1" applyFill="1" applyBorder="1" applyAlignment="1">
      <alignment horizontal="center"/>
    </xf>
    <xf numFmtId="186" fontId="72" fillId="2" borderId="0" xfId="2" applyNumberFormat="1" applyFont="1" applyFill="1" applyBorder="1" applyAlignment="1">
      <alignment horizontal="right"/>
    </xf>
    <xf numFmtId="10" fontId="63" fillId="2" borderId="0" xfId="169" applyNumberFormat="1" applyFont="1" applyFill="1"/>
    <xf numFmtId="9" fontId="65" fillId="2" borderId="0" xfId="2" quotePrefix="1" applyFont="1" applyFill="1" applyBorder="1"/>
    <xf numFmtId="10" fontId="65" fillId="2" borderId="0" xfId="2" applyNumberFormat="1" applyFont="1" applyFill="1" applyBorder="1"/>
    <xf numFmtId="0" fontId="63" fillId="2" borderId="0" xfId="0" applyFont="1" applyFill="1" applyBorder="1" applyAlignment="1">
      <alignment horizontal="center"/>
    </xf>
    <xf numFmtId="3" fontId="1" fillId="2" borderId="0" xfId="0" applyNumberFormat="1" applyFont="1" applyFill="1"/>
    <xf numFmtId="0" fontId="8" fillId="2" borderId="0" xfId="0" applyFont="1" applyFill="1" applyBorder="1" applyAlignment="1">
      <alignment horizontal="right"/>
    </xf>
    <xf numFmtId="189" fontId="2" fillId="2" borderId="0" xfId="0" applyNumberFormat="1" applyFont="1" applyFill="1" applyBorder="1"/>
    <xf numFmtId="189" fontId="1" fillId="2" borderId="0" xfId="0" applyNumberFormat="1" applyFont="1" applyFill="1" applyBorder="1"/>
    <xf numFmtId="2" fontId="63" fillId="2" borderId="0" xfId="0" applyNumberFormat="1" applyFont="1" applyFill="1"/>
    <xf numFmtId="0" fontId="2" fillId="2" borderId="0" xfId="0" applyNumberFormat="1" applyFont="1" applyFill="1" applyBorder="1" applyAlignment="1">
      <alignment horizontal="right" vertical="center"/>
    </xf>
    <xf numFmtId="9" fontId="63" fillId="45" borderId="0" xfId="2" applyNumberFormat="1" applyFont="1" applyFill="1" applyBorder="1"/>
    <xf numFmtId="164" fontId="64" fillId="2" borderId="21" xfId="0" applyNumberFormat="1" applyFont="1" applyFill="1" applyBorder="1" applyAlignment="1">
      <alignment horizontal="right"/>
    </xf>
    <xf numFmtId="0" fontId="87" fillId="2" borderId="0" xfId="170" applyFont="1" applyFill="1">
      <alignment vertical="top"/>
    </xf>
    <xf numFmtId="0" fontId="9" fillId="2" borderId="0" xfId="170" applyFill="1">
      <alignment vertical="top"/>
    </xf>
    <xf numFmtId="0" fontId="89" fillId="47" borderId="0" xfId="167" applyFont="1" applyFill="1" applyAlignment="1">
      <alignment horizontal="center" vertical="top"/>
    </xf>
    <xf numFmtId="0" fontId="63" fillId="46" borderId="0" xfId="2" applyNumberFormat="1" applyFont="1" applyFill="1" applyBorder="1" applyAlignment="1">
      <alignment horizontal="right"/>
    </xf>
    <xf numFmtId="165" fontId="63" fillId="46" borderId="0" xfId="2" applyNumberFormat="1" applyFont="1" applyFill="1" applyBorder="1" applyAlignment="1">
      <alignment horizontal="right"/>
    </xf>
    <xf numFmtId="2" fontId="63" fillId="46" borderId="0" xfId="2" applyNumberFormat="1" applyFont="1" applyFill="1" applyBorder="1" applyAlignment="1">
      <alignment horizontal="right"/>
    </xf>
    <xf numFmtId="1" fontId="63" fillId="46" borderId="0" xfId="2" applyNumberFormat="1" applyFont="1" applyFill="1" applyBorder="1" applyAlignment="1">
      <alignment horizontal="right"/>
    </xf>
    <xf numFmtId="10" fontId="6" fillId="2" borderId="0" xfId="2" applyNumberFormat="1" applyFont="1" applyFill="1" applyBorder="1" applyAlignment="1">
      <alignment horizontal="right" vertical="center"/>
    </xf>
    <xf numFmtId="180" fontId="6" fillId="2" borderId="0" xfId="0" applyNumberFormat="1" applyFont="1" applyFill="1" applyBorder="1" applyAlignment="1">
      <alignment horizontal="right" vertical="center"/>
    </xf>
    <xf numFmtId="164" fontId="40" fillId="2" borderId="0" xfId="0" applyNumberFormat="1" applyFont="1" applyFill="1" applyAlignment="1">
      <alignment vertical="center"/>
    </xf>
    <xf numFmtId="192" fontId="8" fillId="2" borderId="0" xfId="169" applyNumberFormat="1" applyFont="1" applyFill="1" applyBorder="1"/>
    <xf numFmtId="192" fontId="1" fillId="2" borderId="0" xfId="169" applyNumberFormat="1" applyFont="1" applyFill="1" applyBorder="1"/>
    <xf numFmtId="44" fontId="63" fillId="2" borderId="0" xfId="0" applyNumberFormat="1" applyFont="1" applyFill="1" applyBorder="1"/>
    <xf numFmtId="3" fontId="59" fillId="2" borderId="0" xfId="0" applyNumberFormat="1" applyFont="1" applyFill="1" applyBorder="1" applyAlignment="1">
      <alignment horizontal="right"/>
    </xf>
    <xf numFmtId="3" fontId="63" fillId="2" borderId="0" xfId="0" applyNumberFormat="1" applyFont="1" applyFill="1" applyBorder="1" applyAlignment="1">
      <alignment horizontal="right"/>
    </xf>
    <xf numFmtId="3" fontId="63" fillId="2" borderId="0" xfId="0" applyNumberFormat="1" applyFont="1" applyFill="1" applyBorder="1" applyAlignment="1">
      <alignment horizontal="right" vertical="center"/>
    </xf>
    <xf numFmtId="164" fontId="8" fillId="2" borderId="0" xfId="0" applyNumberFormat="1" applyFont="1" applyFill="1" applyBorder="1" applyAlignment="1">
      <alignment horizontal="center"/>
    </xf>
    <xf numFmtId="164" fontId="40" fillId="49" borderId="0" xfId="0" applyNumberFormat="1" applyFont="1" applyFill="1" applyBorder="1" applyAlignment="1"/>
    <xf numFmtId="164" fontId="1" fillId="49" borderId="0" xfId="0" applyNumberFormat="1" applyFont="1" applyFill="1"/>
    <xf numFmtId="180" fontId="63" fillId="2" borderId="0" xfId="0" applyNumberFormat="1" applyFont="1" applyFill="1" applyBorder="1" applyAlignment="1">
      <alignment horizontal="left"/>
    </xf>
    <xf numFmtId="164" fontId="63" fillId="2" borderId="0" xfId="0" applyNumberFormat="1" applyFont="1" applyFill="1"/>
    <xf numFmtId="164" fontId="40" fillId="2" borderId="2" xfId="0" applyNumberFormat="1" applyFont="1" applyFill="1" applyBorder="1"/>
    <xf numFmtId="164" fontId="6" fillId="49" borderId="13" xfId="0" applyNumberFormat="1" applyFont="1" applyFill="1" applyBorder="1"/>
    <xf numFmtId="164" fontId="1" fillId="49" borderId="13" xfId="0" applyNumberFormat="1" applyFont="1" applyFill="1" applyBorder="1"/>
    <xf numFmtId="180" fontId="65" fillId="2" borderId="0" xfId="0" applyNumberFormat="1" applyFont="1" applyFill="1" applyBorder="1" applyAlignment="1">
      <alignment horizontal="left"/>
    </xf>
    <xf numFmtId="164" fontId="63" fillId="2" borderId="0" xfId="0" applyNumberFormat="1" applyFont="1" applyFill="1" applyAlignment="1">
      <alignment horizontal="left"/>
    </xf>
    <xf numFmtId="10" fontId="65" fillId="2" borderId="0" xfId="2" applyNumberFormat="1" applyFont="1" applyFill="1" applyBorder="1" applyAlignment="1">
      <alignment horizontal="left"/>
    </xf>
    <xf numFmtId="10" fontId="63" fillId="2" borderId="0" xfId="2" applyNumberFormat="1" applyFont="1" applyFill="1" applyBorder="1" applyAlignment="1">
      <alignment horizontal="left"/>
    </xf>
    <xf numFmtId="164" fontId="40" fillId="2" borderId="2" xfId="0" applyNumberFormat="1" applyFont="1" applyFill="1" applyBorder="1" applyAlignment="1">
      <alignment horizontal="right"/>
    </xf>
    <xf numFmtId="10" fontId="64" fillId="2" borderId="21" xfId="2" applyNumberFormat="1" applyFont="1" applyFill="1" applyBorder="1"/>
    <xf numFmtId="164" fontId="2" fillId="2" borderId="21" xfId="0" applyNumberFormat="1" applyFont="1" applyFill="1" applyBorder="1"/>
    <xf numFmtId="164" fontId="64" fillId="2" borderId="21" xfId="0" applyNumberFormat="1" applyFont="1" applyFill="1" applyBorder="1"/>
    <xf numFmtId="164" fontId="72" fillId="2" borderId="21" xfId="0" applyNumberFormat="1" applyFont="1" applyFill="1" applyBorder="1"/>
    <xf numFmtId="0" fontId="40" fillId="49" borderId="0" xfId="0" applyFont="1" applyFill="1"/>
    <xf numFmtId="0" fontId="91" fillId="49" borderId="0" xfId="0" applyFont="1" applyFill="1" applyAlignment="1">
      <alignment horizontal="left"/>
    </xf>
    <xf numFmtId="0" fontId="65" fillId="2" borderId="0" xfId="165" applyFont="1" applyFill="1"/>
    <xf numFmtId="0" fontId="63" fillId="2" borderId="0" xfId="165" applyFont="1" applyFill="1"/>
    <xf numFmtId="164" fontId="8" fillId="49" borderId="0" xfId="0" applyNumberFormat="1" applyFont="1" applyFill="1" applyAlignment="1">
      <alignment horizontal="right"/>
    </xf>
    <xf numFmtId="164" fontId="40" fillId="49" borderId="0" xfId="0" applyNumberFormat="1" applyFont="1" applyFill="1" applyAlignment="1">
      <alignment horizontal="right"/>
    </xf>
    <xf numFmtId="10" fontId="40" fillId="2" borderId="21" xfId="2" applyNumberFormat="1" applyFont="1" applyFill="1" applyBorder="1"/>
    <xf numFmtId="10" fontId="63" fillId="2" borderId="0" xfId="2" applyNumberFormat="1" applyFont="1" applyFill="1"/>
    <xf numFmtId="165" fontId="2" fillId="2" borderId="26" xfId="0" applyNumberFormat="1" applyFont="1" applyFill="1" applyBorder="1" applyAlignment="1">
      <alignment horizontal="right"/>
    </xf>
    <xf numFmtId="10" fontId="63" fillId="2" borderId="27" xfId="2" applyNumberFormat="1" applyFont="1" applyFill="1" applyBorder="1"/>
    <xf numFmtId="165" fontId="2" fillId="2" borderId="28" xfId="0" applyNumberFormat="1" applyFont="1" applyFill="1" applyBorder="1" applyAlignment="1">
      <alignment horizontal="right"/>
    </xf>
    <xf numFmtId="10" fontId="63" fillId="2" borderId="29" xfId="2" applyNumberFormat="1" applyFont="1" applyFill="1" applyBorder="1"/>
    <xf numFmtId="165" fontId="40" fillId="2" borderId="30" xfId="0" applyNumberFormat="1" applyFont="1" applyFill="1" applyBorder="1" applyAlignment="1">
      <alignment horizontal="right"/>
    </xf>
    <xf numFmtId="164" fontId="40" fillId="2" borderId="31" xfId="0" applyNumberFormat="1" applyFont="1" applyFill="1" applyBorder="1" applyAlignment="1">
      <alignment horizontal="right"/>
    </xf>
    <xf numFmtId="10" fontId="63" fillId="2" borderId="21" xfId="2" applyNumberFormat="1" applyFont="1" applyFill="1" applyBorder="1" applyAlignment="1">
      <alignment horizontal="left"/>
    </xf>
    <xf numFmtId="164" fontId="65" fillId="49" borderId="0" xfId="0" applyNumberFormat="1" applyFont="1" applyFill="1" applyAlignment="1">
      <alignment horizontal="right"/>
    </xf>
    <xf numFmtId="164" fontId="40" fillId="49" borderId="0" xfId="0" applyNumberFormat="1" applyFont="1" applyFill="1" applyAlignment="1">
      <alignment horizontal="left"/>
    </xf>
    <xf numFmtId="193" fontId="92" fillId="2" borderId="0" xfId="169" applyNumberFormat="1" applyFont="1" applyFill="1" applyBorder="1" applyAlignment="1">
      <alignment horizontal="right"/>
    </xf>
    <xf numFmtId="193" fontId="2" fillId="2" borderId="20" xfId="169" applyNumberFormat="1" applyFont="1" applyFill="1" applyBorder="1" applyAlignment="1">
      <alignment horizontal="right"/>
    </xf>
    <xf numFmtId="10" fontId="93" fillId="2" borderId="0" xfId="2" applyNumberFormat="1" applyFont="1" applyFill="1"/>
    <xf numFmtId="10" fontId="93" fillId="2" borderId="0" xfId="2" applyNumberFormat="1" applyFont="1" applyFill="1" applyBorder="1" applyAlignment="1">
      <alignment horizontal="right"/>
    </xf>
    <xf numFmtId="165" fontId="63" fillId="2" borderId="0" xfId="0" applyNumberFormat="1" applyFont="1" applyFill="1"/>
    <xf numFmtId="1" fontId="63" fillId="2" borderId="0" xfId="0" applyNumberFormat="1" applyFont="1" applyFill="1" applyAlignment="1">
      <alignment horizontal="right"/>
    </xf>
    <xf numFmtId="166" fontId="63" fillId="2" borderId="0" xfId="2" applyNumberFormat="1" applyFont="1" applyFill="1" applyAlignment="1">
      <alignment horizontal="right"/>
    </xf>
    <xf numFmtId="178" fontId="63" fillId="2" borderId="0" xfId="0" applyNumberFormat="1" applyFont="1" applyFill="1" applyAlignment="1">
      <alignment horizontal="right"/>
    </xf>
    <xf numFmtId="1" fontId="63" fillId="2" borderId="0" xfId="2" applyNumberFormat="1" applyFont="1" applyFill="1" applyBorder="1" applyAlignment="1">
      <alignment horizontal="right"/>
    </xf>
    <xf numFmtId="1" fontId="63" fillId="2" borderId="0" xfId="0" applyNumberFormat="1" applyFont="1" applyFill="1" applyBorder="1" applyAlignment="1">
      <alignment horizontal="right"/>
    </xf>
    <xf numFmtId="1" fontId="63" fillId="2" borderId="0" xfId="0" applyNumberFormat="1" applyFont="1" applyFill="1" applyBorder="1" applyAlignment="1">
      <alignment horizontal="right" vertical="center"/>
    </xf>
    <xf numFmtId="178" fontId="63" fillId="2" borderId="0" xfId="0" applyNumberFormat="1" applyFont="1" applyFill="1" applyBorder="1" applyAlignment="1">
      <alignment horizontal="right" vertical="center"/>
    </xf>
    <xf numFmtId="164" fontId="40" fillId="49" borderId="13" xfId="0" applyNumberFormat="1" applyFont="1" applyFill="1" applyBorder="1" applyAlignment="1"/>
    <xf numFmtId="164" fontId="65" fillId="49" borderId="13" xfId="0" applyNumberFormat="1" applyFont="1" applyFill="1" applyBorder="1" applyAlignment="1"/>
    <xf numFmtId="177" fontId="64" fillId="2" borderId="21" xfId="0" applyNumberFormat="1" applyFont="1" applyFill="1" applyBorder="1"/>
    <xf numFmtId="180" fontId="2" fillId="2" borderId="0" xfId="0" applyNumberFormat="1" applyFont="1" applyFill="1" applyBorder="1" applyAlignment="1">
      <alignment horizontal="right" vertical="center"/>
    </xf>
    <xf numFmtId="2" fontId="64" fillId="2" borderId="0" xfId="2" applyNumberFormat="1" applyFont="1" applyFill="1" applyBorder="1" applyAlignment="1">
      <alignment horizontal="right"/>
    </xf>
    <xf numFmtId="2" fontId="2" fillId="2" borderId="0" xfId="2" applyNumberFormat="1" applyFont="1" applyFill="1" applyBorder="1" applyAlignment="1">
      <alignment horizontal="right"/>
    </xf>
    <xf numFmtId="164" fontId="2" fillId="2" borderId="0" xfId="0" applyNumberFormat="1" applyFont="1" applyFill="1"/>
    <xf numFmtId="2" fontId="64" fillId="2" borderId="21" xfId="2" applyNumberFormat="1" applyFont="1" applyFill="1" applyBorder="1"/>
    <xf numFmtId="177" fontId="64" fillId="2" borderId="0" xfId="0" applyNumberFormat="1" applyFont="1" applyFill="1" applyBorder="1"/>
    <xf numFmtId="165" fontId="2" fillId="49" borderId="0" xfId="0" applyNumberFormat="1" applyFont="1" applyFill="1" applyBorder="1" applyAlignment="1">
      <alignment horizontal="right"/>
    </xf>
    <xf numFmtId="0" fontId="40" fillId="49" borderId="0" xfId="0" applyNumberFormat="1" applyFont="1" applyFill="1" applyBorder="1" applyAlignment="1">
      <alignment horizontal="right"/>
    </xf>
    <xf numFmtId="164" fontId="2" fillId="49" borderId="0" xfId="0" applyNumberFormat="1" applyFont="1" applyFill="1" applyBorder="1" applyAlignment="1">
      <alignment horizontal="right"/>
    </xf>
    <xf numFmtId="165" fontId="2" fillId="49" borderId="0" xfId="0" applyNumberFormat="1" applyFont="1" applyFill="1" applyBorder="1" applyAlignment="1">
      <alignment horizontal="left"/>
    </xf>
    <xf numFmtId="10" fontId="1" fillId="2" borderId="0" xfId="0" applyNumberFormat="1" applyFont="1" applyFill="1" applyBorder="1" applyAlignment="1">
      <alignment horizontal="right"/>
    </xf>
    <xf numFmtId="14" fontId="63" fillId="2" borderId="0" xfId="2" applyNumberFormat="1" applyFont="1" applyFill="1" applyBorder="1" applyAlignment="1">
      <alignment horizontal="right"/>
    </xf>
    <xf numFmtId="164" fontId="63" fillId="49" borderId="13" xfId="0" applyNumberFormat="1" applyFont="1" applyFill="1" applyBorder="1" applyAlignment="1">
      <alignment horizontal="right"/>
    </xf>
    <xf numFmtId="0" fontId="63" fillId="49" borderId="13" xfId="0" applyNumberFormat="1" applyFont="1" applyFill="1" applyBorder="1" applyAlignment="1">
      <alignment horizontal="right"/>
    </xf>
    <xf numFmtId="164" fontId="2" fillId="49" borderId="13" xfId="0" applyNumberFormat="1" applyFont="1" applyFill="1" applyBorder="1" applyAlignment="1">
      <alignment horizontal="right"/>
    </xf>
    <xf numFmtId="164" fontId="1" fillId="2" borderId="19" xfId="0" applyNumberFormat="1" applyFont="1" applyFill="1" applyBorder="1" applyAlignment="1">
      <alignment horizontal="right"/>
    </xf>
    <xf numFmtId="10" fontId="1" fillId="2" borderId="19" xfId="2" applyNumberFormat="1" applyFont="1" applyFill="1" applyBorder="1" applyAlignment="1">
      <alignment horizontal="right"/>
    </xf>
    <xf numFmtId="14" fontId="63" fillId="2" borderId="19" xfId="2" applyNumberFormat="1" applyFont="1" applyFill="1" applyBorder="1" applyAlignment="1">
      <alignment horizontal="right"/>
    </xf>
    <xf numFmtId="2" fontId="63" fillId="2" borderId="19" xfId="2" applyNumberFormat="1" applyFont="1" applyFill="1" applyBorder="1" applyAlignment="1">
      <alignment horizontal="right"/>
    </xf>
    <xf numFmtId="10" fontId="63" fillId="2" borderId="19" xfId="2" applyNumberFormat="1" applyFont="1" applyFill="1" applyBorder="1" applyAlignment="1">
      <alignment horizontal="right"/>
    </xf>
    <xf numFmtId="164" fontId="2" fillId="2" borderId="21" xfId="0" applyNumberFormat="1" applyFont="1" applyFill="1" applyBorder="1" applyAlignment="1">
      <alignment horizontal="right"/>
    </xf>
    <xf numFmtId="0" fontId="2" fillId="2" borderId="21" xfId="0" applyNumberFormat="1" applyFont="1" applyFill="1" applyBorder="1"/>
    <xf numFmtId="10" fontId="2" fillId="2" borderId="21" xfId="2" applyNumberFormat="1" applyFont="1" applyFill="1" applyBorder="1" applyAlignment="1">
      <alignment horizontal="right"/>
    </xf>
    <xf numFmtId="2" fontId="2" fillId="2" borderId="21" xfId="2" applyNumberFormat="1" applyFont="1" applyFill="1" applyBorder="1" applyAlignment="1">
      <alignment horizontal="right"/>
    </xf>
    <xf numFmtId="164" fontId="63" fillId="49" borderId="13" xfId="0" applyNumberFormat="1" applyFont="1" applyFill="1" applyBorder="1"/>
    <xf numFmtId="44" fontId="63" fillId="2" borderId="0" xfId="169" applyFont="1" applyFill="1" applyBorder="1" applyAlignment="1">
      <alignment horizontal="right" vertical="center"/>
    </xf>
    <xf numFmtId="10" fontId="63" fillId="2" borderId="0" xfId="0" applyNumberFormat="1" applyFont="1" applyFill="1" applyBorder="1" applyAlignment="1">
      <alignment horizontal="right" vertical="center"/>
    </xf>
    <xf numFmtId="2" fontId="63" fillId="2" borderId="0" xfId="0" applyNumberFormat="1" applyFont="1" applyFill="1" applyBorder="1" applyAlignment="1">
      <alignment horizontal="right" vertical="center"/>
    </xf>
    <xf numFmtId="0" fontId="63" fillId="2" borderId="0" xfId="0" applyNumberFormat="1" applyFont="1" applyFill="1" applyBorder="1" applyAlignment="1">
      <alignment horizontal="right" vertical="center"/>
    </xf>
    <xf numFmtId="2" fontId="63" fillId="2" borderId="0" xfId="2" applyNumberFormat="1" applyFont="1" applyFill="1"/>
    <xf numFmtId="44" fontId="63" fillId="2" borderId="0" xfId="169" applyFont="1" applyFill="1"/>
    <xf numFmtId="177" fontId="63" fillId="2" borderId="0" xfId="0" applyNumberFormat="1" applyFont="1" applyFill="1"/>
    <xf numFmtId="177" fontId="40" fillId="2" borderId="21" xfId="0" applyNumberFormat="1" applyFont="1" applyFill="1" applyBorder="1"/>
    <xf numFmtId="44" fontId="65" fillId="2" borderId="0" xfId="169" applyFont="1" applyFill="1"/>
    <xf numFmtId="164" fontId="40" fillId="2" borderId="21" xfId="0" applyNumberFormat="1" applyFont="1" applyFill="1" applyBorder="1"/>
    <xf numFmtId="164" fontId="2" fillId="49" borderId="0" xfId="0" applyNumberFormat="1" applyFont="1" applyFill="1"/>
    <xf numFmtId="164" fontId="2" fillId="49" borderId="0" xfId="0" applyNumberFormat="1" applyFont="1" applyFill="1" applyBorder="1" applyAlignment="1">
      <alignment horizontal="left"/>
    </xf>
    <xf numFmtId="194" fontId="93" fillId="2" borderId="0" xfId="169" applyNumberFormat="1" applyFont="1" applyFill="1" applyBorder="1" applyAlignment="1">
      <alignment horizontal="right"/>
    </xf>
    <xf numFmtId="164" fontId="93" fillId="2" borderId="0" xfId="0" applyNumberFormat="1" applyFont="1" applyFill="1" applyAlignment="1">
      <alignment horizontal="right"/>
    </xf>
    <xf numFmtId="180" fontId="93" fillId="2" borderId="0" xfId="0" applyNumberFormat="1" applyFont="1" applyFill="1" applyBorder="1" applyAlignment="1">
      <alignment horizontal="right"/>
    </xf>
    <xf numFmtId="164" fontId="93" fillId="2" borderId="0" xfId="0" applyNumberFormat="1" applyFont="1" applyFill="1"/>
    <xf numFmtId="183" fontId="93" fillId="2" borderId="0" xfId="169" applyNumberFormat="1" applyFont="1" applyFill="1" applyBorder="1" applyAlignment="1">
      <alignment horizontal="right"/>
    </xf>
    <xf numFmtId="2" fontId="93" fillId="2" borderId="0" xfId="169" applyNumberFormat="1" applyFont="1" applyFill="1" applyBorder="1" applyAlignment="1">
      <alignment horizontal="right"/>
    </xf>
    <xf numFmtId="10" fontId="93" fillId="2" borderId="0" xfId="2" applyNumberFormat="1" applyFont="1" applyFill="1" applyAlignment="1">
      <alignment horizontal="right"/>
    </xf>
    <xf numFmtId="10" fontId="93" fillId="2" borderId="0" xfId="2" applyNumberFormat="1" applyFont="1" applyFill="1" applyBorder="1"/>
    <xf numFmtId="10" fontId="65" fillId="2" borderId="0" xfId="2" applyNumberFormat="1" applyFont="1" applyFill="1"/>
    <xf numFmtId="10" fontId="65" fillId="2" borderId="0" xfId="2" applyNumberFormat="1" applyFont="1" applyFill="1" applyBorder="1" applyAlignment="1">
      <alignment horizontal="right"/>
    </xf>
    <xf numFmtId="10" fontId="59" fillId="2" borderId="0" xfId="2" applyNumberFormat="1" applyFont="1" applyFill="1" applyBorder="1"/>
    <xf numFmtId="10" fontId="72" fillId="2" borderId="21" xfId="2" applyNumberFormat="1" applyFont="1" applyFill="1" applyBorder="1"/>
    <xf numFmtId="180" fontId="1" fillId="2" borderId="0" xfId="0" applyNumberFormat="1" applyFont="1" applyFill="1" applyBorder="1" applyAlignment="1">
      <alignment horizontal="left" vertical="center"/>
    </xf>
    <xf numFmtId="164" fontId="1" fillId="2" borderId="21" xfId="0" applyNumberFormat="1" applyFont="1" applyFill="1" applyBorder="1" applyAlignment="1">
      <alignment horizontal="left"/>
    </xf>
    <xf numFmtId="164" fontId="65" fillId="2" borderId="0" xfId="0" applyNumberFormat="1" applyFont="1" applyFill="1"/>
    <xf numFmtId="164" fontId="59" fillId="2" borderId="0" xfId="0" applyNumberFormat="1" applyFont="1" applyFill="1"/>
    <xf numFmtId="164" fontId="40" fillId="49" borderId="0" xfId="0" applyNumberFormat="1" applyFont="1" applyFill="1" applyAlignment="1">
      <alignment vertical="center"/>
    </xf>
    <xf numFmtId="164" fontId="1" fillId="2" borderId="32" xfId="0" applyNumberFormat="1" applyFont="1" applyFill="1" applyBorder="1"/>
    <xf numFmtId="0" fontId="2" fillId="2" borderId="32" xfId="0" applyNumberFormat="1" applyFont="1" applyFill="1" applyBorder="1"/>
    <xf numFmtId="0" fontId="2" fillId="2" borderId="32" xfId="0" applyNumberFormat="1" applyFont="1" applyFill="1" applyBorder="1" applyAlignment="1">
      <alignment horizontal="right"/>
    </xf>
    <xf numFmtId="0" fontId="1" fillId="49" borderId="0" xfId="0" applyFont="1" applyFill="1" applyBorder="1"/>
    <xf numFmtId="0" fontId="2" fillId="49" borderId="0" xfId="0" applyFont="1" applyFill="1" applyBorder="1"/>
    <xf numFmtId="0" fontId="63" fillId="49" borderId="13" xfId="0" applyFont="1" applyFill="1" applyBorder="1"/>
    <xf numFmtId="0" fontId="2" fillId="2" borderId="19" xfId="0" applyFont="1" applyFill="1" applyBorder="1"/>
    <xf numFmtId="0" fontId="40" fillId="2" borderId="21" xfId="0" applyFont="1" applyFill="1" applyBorder="1"/>
    <xf numFmtId="192" fontId="40" fillId="2" borderId="21" xfId="169" applyNumberFormat="1" applyFont="1" applyFill="1" applyBorder="1"/>
    <xf numFmtId="0" fontId="40" fillId="2" borderId="19" xfId="0" applyFont="1" applyFill="1" applyBorder="1"/>
    <xf numFmtId="0" fontId="2" fillId="2" borderId="21" xfId="0" applyFont="1" applyFill="1" applyBorder="1"/>
    <xf numFmtId="10" fontId="63" fillId="2" borderId="0" xfId="0" applyNumberFormat="1" applyFont="1" applyFill="1" applyBorder="1"/>
    <xf numFmtId="0" fontId="1" fillId="2" borderId="0" xfId="0" applyFont="1" applyFill="1" applyBorder="1" applyAlignment="1">
      <alignment horizontal="left" indent="1"/>
    </xf>
    <xf numFmtId="0" fontId="59" fillId="2" borderId="0" xfId="0" applyFont="1" applyFill="1" applyBorder="1" applyAlignment="1">
      <alignment horizontal="left" indent="1"/>
    </xf>
    <xf numFmtId="0" fontId="59" fillId="2" borderId="0" xfId="0" applyFont="1" applyFill="1" applyBorder="1" applyAlignment="1">
      <alignment horizontal="left"/>
    </xf>
    <xf numFmtId="193" fontId="59" fillId="2" borderId="0" xfId="169" applyNumberFormat="1" applyFont="1" applyFill="1" applyBorder="1" applyAlignment="1">
      <alignment horizontal="right"/>
    </xf>
    <xf numFmtId="193" fontId="1" fillId="2" borderId="0" xfId="169" applyNumberFormat="1" applyFont="1" applyFill="1" applyBorder="1"/>
    <xf numFmtId="193" fontId="2" fillId="2" borderId="19" xfId="169" applyNumberFormat="1" applyFont="1" applyFill="1" applyBorder="1"/>
    <xf numFmtId="193" fontId="40" fillId="2" borderId="21" xfId="169" applyNumberFormat="1" applyFont="1" applyFill="1" applyBorder="1"/>
    <xf numFmtId="193" fontId="40" fillId="2" borderId="19" xfId="169" applyNumberFormat="1" applyFont="1" applyFill="1" applyBorder="1"/>
    <xf numFmtId="9" fontId="63" fillId="2" borderId="0" xfId="2" applyFont="1" applyFill="1" applyBorder="1"/>
    <xf numFmtId="193" fontId="40" fillId="2" borderId="21" xfId="169" applyNumberFormat="1" applyFont="1" applyFill="1" applyBorder="1" applyAlignment="1">
      <alignment horizontal="right"/>
    </xf>
    <xf numFmtId="9" fontId="63" fillId="2" borderId="0" xfId="2" applyNumberFormat="1" applyFont="1" applyFill="1" applyBorder="1"/>
    <xf numFmtId="195" fontId="2" fillId="49" borderId="13" xfId="0" applyNumberFormat="1" applyFont="1" applyFill="1" applyBorder="1" applyAlignment="1">
      <alignment horizontal="right"/>
    </xf>
    <xf numFmtId="0" fontId="40" fillId="49" borderId="0" xfId="0" applyFont="1" applyFill="1" applyBorder="1" applyAlignment="1">
      <alignment vertical="center"/>
    </xf>
    <xf numFmtId="10" fontId="6" fillId="2" borderId="0" xfId="2" applyNumberFormat="1" applyFont="1" applyFill="1" applyBorder="1" applyAlignment="1">
      <alignment horizontal="center"/>
    </xf>
    <xf numFmtId="10" fontId="73" fillId="2" borderId="0" xfId="2" applyNumberFormat="1" applyFont="1" applyFill="1" applyBorder="1" applyAlignment="1">
      <alignment horizontal="center"/>
    </xf>
    <xf numFmtId="0" fontId="1" fillId="49" borderId="0" xfId="0" applyFont="1" applyFill="1" applyBorder="1" applyAlignment="1">
      <alignment horizontal="right" vertical="center"/>
    </xf>
    <xf numFmtId="0" fontId="40" fillId="49" borderId="13" xfId="0" applyFont="1" applyFill="1" applyBorder="1" applyAlignment="1">
      <alignment vertical="center"/>
    </xf>
    <xf numFmtId="44" fontId="1" fillId="2" borderId="0" xfId="169" applyFont="1" applyFill="1" applyBorder="1"/>
    <xf numFmtId="193" fontId="40" fillId="2" borderId="21" xfId="169" applyNumberFormat="1" applyFont="1" applyFill="1" applyBorder="1" applyAlignment="1">
      <alignment horizontal="right" vertical="center"/>
    </xf>
    <xf numFmtId="193" fontId="2" fillId="2" borderId="0" xfId="169" applyNumberFormat="1" applyFont="1" applyFill="1" applyBorder="1"/>
    <xf numFmtId="193" fontId="2" fillId="2" borderId="18" xfId="169" applyNumberFormat="1" applyFont="1" applyFill="1" applyBorder="1"/>
    <xf numFmtId="193" fontId="59" fillId="2" borderId="0" xfId="169" applyNumberFormat="1" applyFont="1" applyFill="1" applyBorder="1"/>
    <xf numFmtId="193" fontId="92" fillId="2" borderId="0" xfId="169" applyNumberFormat="1" applyFont="1" applyFill="1" applyBorder="1"/>
    <xf numFmtId="193" fontId="1" fillId="2" borderId="0" xfId="169" applyNumberFormat="1" applyFont="1" applyFill="1" applyBorder="1" applyAlignment="1">
      <alignment horizontal="right" vertical="center"/>
    </xf>
    <xf numFmtId="0" fontId="1" fillId="2" borderId="19" xfId="0" applyFont="1" applyFill="1" applyBorder="1"/>
    <xf numFmtId="193" fontId="1" fillId="2" borderId="19" xfId="169" applyNumberFormat="1" applyFont="1" applyFill="1" applyBorder="1"/>
    <xf numFmtId="0" fontId="1" fillId="2" borderId="18" xfId="0" applyFont="1" applyFill="1" applyBorder="1"/>
    <xf numFmtId="193" fontId="1" fillId="2" borderId="18" xfId="169" applyNumberFormat="1" applyFont="1" applyFill="1" applyBorder="1" applyAlignment="1">
      <alignment horizontal="right" vertical="center"/>
    </xf>
    <xf numFmtId="193" fontId="1" fillId="2" borderId="18" xfId="169" applyNumberFormat="1" applyFont="1" applyFill="1" applyBorder="1"/>
    <xf numFmtId="9" fontId="65" fillId="2" borderId="0" xfId="2" applyNumberFormat="1" applyFont="1" applyFill="1" applyBorder="1" applyAlignment="1">
      <alignment horizontal="right"/>
    </xf>
    <xf numFmtId="0" fontId="65" fillId="2" borderId="0" xfId="0" applyFont="1" applyFill="1" applyBorder="1" applyAlignment="1">
      <alignment horizontal="left"/>
    </xf>
    <xf numFmtId="192" fontId="63" fillId="2" borderId="0" xfId="169" applyNumberFormat="1" applyFont="1" applyFill="1" applyBorder="1"/>
    <xf numFmtId="0" fontId="2" fillId="2" borderId="18" xfId="0" applyFont="1" applyFill="1" applyBorder="1" applyAlignment="1">
      <alignment horizontal="right"/>
    </xf>
    <xf numFmtId="178" fontId="1" fillId="2" borderId="0" xfId="0" applyNumberFormat="1" applyFont="1" applyFill="1" applyBorder="1" applyAlignment="1">
      <alignment horizontal="right"/>
    </xf>
    <xf numFmtId="193" fontId="1" fillId="2" borderId="0" xfId="0" applyNumberFormat="1" applyFont="1" applyFill="1" applyBorder="1"/>
    <xf numFmtId="193" fontId="40" fillId="2" borderId="21" xfId="169" applyNumberFormat="1" applyFont="1" applyFill="1" applyBorder="1" applyAlignment="1"/>
    <xf numFmtId="193" fontId="2" fillId="2" borderId="21" xfId="169" applyNumberFormat="1" applyFont="1" applyFill="1" applyBorder="1"/>
    <xf numFmtId="9" fontId="63" fillId="2" borderId="18" xfId="0" applyNumberFormat="1" applyFont="1" applyFill="1" applyBorder="1"/>
    <xf numFmtId="0" fontId="1" fillId="2" borderId="0" xfId="0" applyFont="1" applyFill="1" applyBorder="1" applyAlignment="1">
      <alignment horizontal="left" vertical="center"/>
    </xf>
    <xf numFmtId="44" fontId="1" fillId="2" borderId="0" xfId="169" applyFont="1" applyFill="1" applyBorder="1" applyAlignment="1">
      <alignment horizontal="right" vertical="center"/>
    </xf>
    <xf numFmtId="0" fontId="2" fillId="2" borderId="20" xfId="0" applyFont="1" applyFill="1" applyBorder="1" applyAlignment="1">
      <alignment horizontal="left" vertical="center"/>
    </xf>
    <xf numFmtId="10" fontId="40" fillId="2" borderId="20" xfId="2" applyNumberFormat="1" applyFont="1" applyFill="1" applyBorder="1" applyAlignment="1">
      <alignment horizontal="right" vertical="center"/>
    </xf>
    <xf numFmtId="0" fontId="2" fillId="2" borderId="20" xfId="0" applyFont="1" applyFill="1" applyBorder="1"/>
    <xf numFmtId="2" fontId="65" fillId="2" borderId="0" xfId="0" applyNumberFormat="1" applyFont="1" applyFill="1" applyBorder="1"/>
    <xf numFmtId="1" fontId="63" fillId="2" borderId="0" xfId="2" applyNumberFormat="1" applyFont="1" applyFill="1" applyBorder="1" applyAlignment="1"/>
    <xf numFmtId="164" fontId="59" fillId="2" borderId="0" xfId="0" applyNumberFormat="1" applyFont="1" applyFill="1" applyAlignment="1">
      <alignment horizontal="right"/>
    </xf>
    <xf numFmtId="165" fontId="2" fillId="2" borderId="32" xfId="0" applyNumberFormat="1" applyFont="1" applyFill="1" applyBorder="1" applyAlignment="1">
      <alignment horizontal="right"/>
    </xf>
    <xf numFmtId="0" fontId="40" fillId="2" borderId="32" xfId="0" applyNumberFormat="1" applyFont="1" applyFill="1" applyBorder="1" applyAlignment="1">
      <alignment horizontal="right"/>
    </xf>
    <xf numFmtId="10" fontId="63" fillId="46" borderId="0" xfId="2" applyNumberFormat="1" applyFont="1" applyFill="1" applyBorder="1" applyAlignment="1">
      <alignment horizontal="right"/>
    </xf>
    <xf numFmtId="190" fontId="1" fillId="2" borderId="0" xfId="0" applyNumberFormat="1" applyFont="1" applyFill="1" applyBorder="1"/>
    <xf numFmtId="1" fontId="59" fillId="2" borderId="0" xfId="0" applyNumberFormat="1" applyFont="1" applyFill="1" applyBorder="1"/>
    <xf numFmtId="190" fontId="40" fillId="2" borderId="0" xfId="2" applyNumberFormat="1" applyFont="1" applyFill="1" applyBorder="1" applyAlignment="1">
      <alignment horizontal="right" vertical="center"/>
    </xf>
    <xf numFmtId="190" fontId="59" fillId="2" borderId="0" xfId="0" applyNumberFormat="1" applyFont="1" applyFill="1" applyBorder="1"/>
    <xf numFmtId="0" fontId="59" fillId="2" borderId="0" xfId="0" applyFont="1" applyFill="1" applyBorder="1"/>
    <xf numFmtId="196" fontId="40" fillId="2" borderId="0" xfId="0" applyNumberFormat="1" applyFont="1" applyFill="1" applyBorder="1" applyAlignment="1">
      <alignment horizontal="right"/>
    </xf>
    <xf numFmtId="188" fontId="2" fillId="2" borderId="0" xfId="2" applyNumberFormat="1" applyFont="1" applyFill="1" applyBorder="1"/>
    <xf numFmtId="191" fontId="2" fillId="2" borderId="0" xfId="0" applyNumberFormat="1" applyFont="1" applyFill="1" applyBorder="1"/>
    <xf numFmtId="189" fontId="2" fillId="2" borderId="0" xfId="0" applyNumberFormat="1" applyFont="1" applyFill="1" applyBorder="1" applyAlignment="1">
      <alignment horizontal="right"/>
    </xf>
    <xf numFmtId="191" fontId="1" fillId="2" borderId="0" xfId="0" applyNumberFormat="1" applyFont="1" applyFill="1" applyBorder="1"/>
    <xf numFmtId="195" fontId="40" fillId="49" borderId="13" xfId="0" applyNumberFormat="1" applyFont="1" applyFill="1" applyBorder="1" applyAlignment="1"/>
    <xf numFmtId="196" fontId="40" fillId="49" borderId="13" xfId="0" applyNumberFormat="1" applyFont="1" applyFill="1" applyBorder="1" applyAlignment="1"/>
    <xf numFmtId="183" fontId="40" fillId="2" borderId="0" xfId="0" applyNumberFormat="1" applyFont="1" applyFill="1" applyBorder="1" applyAlignment="1">
      <alignment horizontal="right"/>
    </xf>
    <xf numFmtId="183" fontId="1" fillId="2" borderId="0" xfId="0" applyNumberFormat="1" applyFont="1" applyFill="1" applyBorder="1"/>
    <xf numFmtId="0" fontId="1" fillId="2" borderId="21" xfId="0" applyFont="1" applyFill="1" applyBorder="1"/>
    <xf numFmtId="184" fontId="40" fillId="2" borderId="21" xfId="0" applyNumberFormat="1" applyFont="1" applyFill="1" applyBorder="1"/>
    <xf numFmtId="44" fontId="59" fillId="2" borderId="0" xfId="169" applyFont="1" applyFill="1" applyBorder="1"/>
    <xf numFmtId="44" fontId="40" fillId="2" borderId="0" xfId="169" applyFont="1" applyFill="1" applyBorder="1"/>
    <xf numFmtId="0" fontId="1" fillId="2" borderId="0" xfId="0" applyFont="1" applyFill="1" applyBorder="1" applyAlignment="1">
      <alignment horizontal="left" indent="2"/>
    </xf>
    <xf numFmtId="0" fontId="59" fillId="2" borderId="0" xfId="0" applyNumberFormat="1" applyFont="1" applyFill="1" applyBorder="1" applyAlignment="1">
      <alignment horizontal="left"/>
    </xf>
    <xf numFmtId="0" fontId="65" fillId="2" borderId="0" xfId="0" applyNumberFormat="1" applyFont="1" applyFill="1" applyBorder="1" applyAlignment="1">
      <alignment horizontal="left"/>
    </xf>
    <xf numFmtId="0" fontId="40" fillId="2" borderId="19" xfId="0" applyNumberFormat="1" applyFont="1" applyFill="1" applyBorder="1" applyAlignment="1">
      <alignment horizontal="left"/>
    </xf>
    <xf numFmtId="10" fontId="65" fillId="2" borderId="0" xfId="2" applyNumberFormat="1" applyFont="1" applyFill="1" applyBorder="1" applyAlignment="1">
      <alignment horizontal="right" vertical="center"/>
    </xf>
    <xf numFmtId="0" fontId="65" fillId="2" borderId="0" xfId="0" applyNumberFormat="1" applyFont="1" applyFill="1" applyBorder="1" applyAlignment="1">
      <alignment horizontal="left" indent="1"/>
    </xf>
    <xf numFmtId="0" fontId="8" fillId="49" borderId="0" xfId="0" applyFont="1" applyFill="1" applyBorder="1" applyAlignment="1">
      <alignment horizontal="right"/>
    </xf>
    <xf numFmtId="189" fontId="2" fillId="49" borderId="13" xfId="0" applyNumberFormat="1" applyFont="1" applyFill="1" applyBorder="1"/>
    <xf numFmtId="188" fontId="2" fillId="49" borderId="13" xfId="2" applyNumberFormat="1" applyFont="1" applyFill="1" applyBorder="1"/>
    <xf numFmtId="189" fontId="2" fillId="49" borderId="0" xfId="0" applyNumberFormat="1" applyFont="1" applyFill="1" applyBorder="1"/>
    <xf numFmtId="193" fontId="40" fillId="2" borderId="19" xfId="169" applyNumberFormat="1" applyFont="1" applyFill="1" applyBorder="1" applyAlignment="1">
      <alignment horizontal="left"/>
    </xf>
    <xf numFmtId="193" fontId="59" fillId="2" borderId="0" xfId="2" applyNumberFormat="1" applyFont="1" applyFill="1" applyBorder="1"/>
    <xf numFmtId="193" fontId="2" fillId="2" borderId="19" xfId="0" applyNumberFormat="1" applyFont="1" applyFill="1" applyBorder="1"/>
    <xf numFmtId="166" fontId="1" fillId="2" borderId="0" xfId="2" applyNumberFormat="1" applyFont="1" applyFill="1" applyBorder="1"/>
    <xf numFmtId="193" fontId="2" fillId="2" borderId="21" xfId="0" applyNumberFormat="1" applyFont="1" applyFill="1" applyBorder="1"/>
    <xf numFmtId="187" fontId="1" fillId="2" borderId="0" xfId="169" applyNumberFormat="1" applyFont="1" applyFill="1" applyBorder="1"/>
    <xf numFmtId="193" fontId="59" fillId="2" borderId="0" xfId="169" applyNumberFormat="1" applyFont="1" applyFill="1"/>
    <xf numFmtId="10" fontId="1" fillId="2" borderId="19" xfId="2" applyNumberFormat="1" applyFont="1" applyFill="1" applyBorder="1"/>
    <xf numFmtId="0" fontId="63" fillId="2" borderId="0" xfId="0" applyFont="1" applyFill="1" applyBorder="1" applyAlignment="1">
      <alignment horizontal="left" indent="1"/>
    </xf>
    <xf numFmtId="195" fontId="40" fillId="2" borderId="0" xfId="0" applyNumberFormat="1" applyFont="1" applyFill="1" applyBorder="1" applyAlignment="1"/>
    <xf numFmtId="2" fontId="2" fillId="2" borderId="0" xfId="0" applyNumberFormat="1" applyFont="1" applyFill="1" applyBorder="1"/>
    <xf numFmtId="10" fontId="1" fillId="2" borderId="21" xfId="0" applyNumberFormat="1" applyFont="1" applyFill="1" applyBorder="1"/>
    <xf numFmtId="164" fontId="94" fillId="49" borderId="0" xfId="0" applyNumberFormat="1" applyFont="1" applyFill="1" applyBorder="1" applyAlignment="1"/>
    <xf numFmtId="164" fontId="2" fillId="2" borderId="18" xfId="0" applyNumberFormat="1" applyFont="1" applyFill="1" applyBorder="1"/>
    <xf numFmtId="193" fontId="65" fillId="2" borderId="0" xfId="169" applyNumberFormat="1" applyFont="1" applyFill="1"/>
    <xf numFmtId="193" fontId="63" fillId="2" borderId="0" xfId="169" applyNumberFormat="1" applyFont="1" applyFill="1"/>
    <xf numFmtId="193" fontId="63" fillId="2" borderId="0" xfId="169" applyNumberFormat="1" applyFont="1" applyFill="1" applyBorder="1" applyAlignment="1">
      <alignment horizontal="right" vertical="center"/>
    </xf>
    <xf numFmtId="193" fontId="63" fillId="2" borderId="21" xfId="169" applyNumberFormat="1" applyFont="1" applyFill="1" applyBorder="1" applyAlignment="1">
      <alignment horizontal="right"/>
    </xf>
    <xf numFmtId="193" fontId="93" fillId="2" borderId="0" xfId="169" applyNumberFormat="1" applyFont="1" applyFill="1" applyBorder="1" applyAlignment="1">
      <alignment horizontal="right"/>
    </xf>
    <xf numFmtId="193" fontId="1" fillId="2" borderId="0" xfId="0" applyNumberFormat="1" applyFont="1" applyFill="1"/>
    <xf numFmtId="193" fontId="63" fillId="2" borderId="19" xfId="169" applyNumberFormat="1" applyFont="1" applyFill="1" applyBorder="1" applyAlignment="1">
      <alignment horizontal="right"/>
    </xf>
    <xf numFmtId="193" fontId="2" fillId="2" borderId="21" xfId="169" applyNumberFormat="1" applyFont="1" applyFill="1" applyBorder="1" applyAlignment="1">
      <alignment horizontal="right"/>
    </xf>
    <xf numFmtId="164" fontId="40" fillId="2" borderId="17" xfId="0" applyNumberFormat="1" applyFont="1" applyFill="1" applyBorder="1"/>
    <xf numFmtId="193" fontId="40" fillId="2" borderId="17" xfId="169" applyNumberFormat="1" applyFont="1" applyFill="1" applyBorder="1"/>
    <xf numFmtId="49" fontId="59" fillId="2" borderId="0" xfId="0" quotePrefix="1" applyNumberFormat="1" applyFont="1" applyFill="1" applyBorder="1"/>
    <xf numFmtId="49" fontId="59" fillId="2" borderId="0" xfId="0" applyNumberFormat="1" applyFont="1" applyFill="1" applyBorder="1"/>
    <xf numFmtId="193" fontId="2" fillId="2" borderId="19" xfId="169" applyNumberFormat="1" applyFont="1" applyFill="1" applyBorder="1" applyAlignment="1">
      <alignment horizontal="left" vertical="center"/>
    </xf>
    <xf numFmtId="44" fontId="40" fillId="2" borderId="21" xfId="169" applyNumberFormat="1" applyFont="1" applyFill="1" applyBorder="1" applyAlignment="1">
      <alignment horizontal="left" vertical="center"/>
    </xf>
    <xf numFmtId="193" fontId="1" fillId="2" borderId="0" xfId="169" applyNumberFormat="1" applyFont="1" applyFill="1"/>
    <xf numFmtId="0" fontId="2" fillId="49" borderId="0" xfId="0" applyFont="1" applyFill="1" applyBorder="1" applyAlignment="1">
      <alignment horizontal="right"/>
    </xf>
    <xf numFmtId="193" fontId="63" fillId="2" borderId="0" xfId="169" applyNumberFormat="1" applyFont="1" applyFill="1" applyBorder="1"/>
    <xf numFmtId="196" fontId="2" fillId="49" borderId="13" xfId="0" applyNumberFormat="1" applyFont="1" applyFill="1" applyBorder="1" applyAlignment="1">
      <alignment horizontal="right"/>
    </xf>
    <xf numFmtId="187" fontId="59" fillId="2" borderId="0" xfId="169" applyNumberFormat="1" applyFont="1" applyFill="1" applyBorder="1" applyAlignment="1">
      <alignment horizontal="right"/>
    </xf>
    <xf numFmtId="0" fontId="63" fillId="2" borderId="21" xfId="0" applyFont="1" applyFill="1" applyBorder="1"/>
    <xf numFmtId="193" fontId="1" fillId="2" borderId="21" xfId="169" applyNumberFormat="1" applyFont="1" applyFill="1" applyBorder="1"/>
    <xf numFmtId="2" fontId="63" fillId="2" borderId="0" xfId="169" applyNumberFormat="1" applyFont="1" applyFill="1"/>
    <xf numFmtId="44" fontId="1" fillId="2" borderId="0" xfId="169" applyFont="1" applyFill="1"/>
    <xf numFmtId="9" fontId="65" fillId="2" borderId="0" xfId="2" applyNumberFormat="1" applyFont="1" applyFill="1" applyBorder="1" applyAlignment="1"/>
    <xf numFmtId="164" fontId="63" fillId="2" borderId="0" xfId="0" applyNumberFormat="1" applyFont="1" applyFill="1" applyBorder="1" applyAlignment="1">
      <alignment horizontal="left" indent="1"/>
    </xf>
    <xf numFmtId="10" fontId="95" fillId="2" borderId="0" xfId="2" applyNumberFormat="1" applyFont="1" applyFill="1" applyBorder="1" applyAlignment="1">
      <alignment wrapText="1"/>
    </xf>
    <xf numFmtId="164" fontId="1" fillId="2" borderId="19" xfId="0" applyNumberFormat="1" applyFont="1" applyFill="1" applyBorder="1"/>
    <xf numFmtId="44" fontId="1" fillId="2" borderId="19" xfId="169" applyFont="1" applyFill="1" applyBorder="1"/>
    <xf numFmtId="164" fontId="63" fillId="2" borderId="0" xfId="2" applyNumberFormat="1" applyFont="1" applyFill="1"/>
    <xf numFmtId="165" fontId="1" fillId="2" borderId="0" xfId="0" applyNumberFormat="1" applyFont="1" applyFill="1"/>
    <xf numFmtId="164" fontId="40" fillId="49" borderId="0" xfId="0" applyNumberFormat="1" applyFont="1" applyFill="1" applyBorder="1" applyAlignment="1">
      <alignment horizontal="left"/>
    </xf>
    <xf numFmtId="166" fontId="59" fillId="2" borderId="0" xfId="2" applyNumberFormat="1" applyFont="1" applyFill="1" applyBorder="1" applyAlignment="1"/>
    <xf numFmtId="9" fontId="59" fillId="2" borderId="0" xfId="2" applyNumberFormat="1" applyFont="1" applyFill="1" applyBorder="1" applyAlignment="1"/>
    <xf numFmtId="44" fontId="59" fillId="2" borderId="0" xfId="169" applyFont="1" applyFill="1" applyBorder="1" applyAlignment="1"/>
    <xf numFmtId="166" fontId="63" fillId="49" borderId="0" xfId="2" applyNumberFormat="1" applyFont="1" applyFill="1"/>
    <xf numFmtId="166" fontId="65" fillId="49" borderId="0" xfId="2" applyNumberFormat="1" applyFont="1" applyFill="1" applyBorder="1"/>
    <xf numFmtId="166" fontId="63" fillId="49" borderId="0" xfId="2" applyNumberFormat="1" applyFont="1" applyFill="1" applyBorder="1"/>
    <xf numFmtId="166" fontId="65" fillId="49" borderId="0" xfId="2" applyNumberFormat="1" applyFont="1" applyFill="1" applyBorder="1" applyAlignment="1"/>
    <xf numFmtId="44" fontId="1" fillId="2" borderId="0" xfId="169" applyNumberFormat="1" applyFont="1" applyFill="1"/>
    <xf numFmtId="44" fontId="1" fillId="2" borderId="0" xfId="169" applyNumberFormat="1" applyFont="1" applyFill="1" applyBorder="1" applyAlignment="1">
      <alignment horizontal="left" vertical="center"/>
    </xf>
    <xf numFmtId="166" fontId="63" fillId="2" borderId="0" xfId="2" applyNumberFormat="1" applyFont="1" applyFill="1"/>
    <xf numFmtId="164" fontId="63" fillId="2" borderId="13" xfId="0" applyNumberFormat="1" applyFont="1" applyFill="1" applyBorder="1"/>
    <xf numFmtId="164" fontId="1" fillId="2" borderId="13" xfId="0" applyNumberFormat="1" applyFont="1" applyFill="1" applyBorder="1"/>
    <xf numFmtId="2" fontId="63" fillId="2" borderId="13" xfId="0" applyNumberFormat="1" applyFont="1" applyFill="1" applyBorder="1"/>
    <xf numFmtId="9" fontId="4" fillId="2" borderId="13" xfId="2" applyFont="1" applyFill="1" applyBorder="1"/>
    <xf numFmtId="165" fontId="1" fillId="2" borderId="13" xfId="0" applyNumberFormat="1" applyFont="1" applyFill="1" applyBorder="1"/>
    <xf numFmtId="164" fontId="8" fillId="49" borderId="13" xfId="0" applyNumberFormat="1" applyFont="1" applyFill="1" applyBorder="1" applyAlignment="1"/>
    <xf numFmtId="9" fontId="40" fillId="49" borderId="0" xfId="2" applyFont="1" applyFill="1" applyBorder="1" applyAlignment="1">
      <alignment horizontal="right"/>
    </xf>
    <xf numFmtId="164" fontId="40" fillId="49" borderId="13" xfId="0" applyNumberFormat="1" applyFont="1" applyFill="1" applyBorder="1" applyAlignment="1">
      <alignment horizontal="right"/>
    </xf>
    <xf numFmtId="9" fontId="40" fillId="49" borderId="13" xfId="2" applyFont="1" applyFill="1" applyBorder="1" applyAlignment="1">
      <alignment horizontal="right"/>
    </xf>
    <xf numFmtId="177" fontId="40" fillId="2" borderId="0" xfId="0" applyNumberFormat="1" applyFont="1" applyFill="1" applyAlignment="1">
      <alignment horizontal="right"/>
    </xf>
    <xf numFmtId="44" fontId="65" fillId="2" borderId="0" xfId="169" applyFont="1" applyFill="1" applyBorder="1" applyAlignment="1">
      <alignment horizontal="right"/>
    </xf>
    <xf numFmtId="193" fontId="65" fillId="2" borderId="0" xfId="169" applyNumberFormat="1" applyFont="1" applyFill="1" applyBorder="1" applyAlignment="1">
      <alignment horizontal="right"/>
    </xf>
    <xf numFmtId="166" fontId="63" fillId="49" borderId="33" xfId="2" applyNumberFormat="1" applyFont="1" applyFill="1" applyBorder="1"/>
    <xf numFmtId="166" fontId="65" fillId="49" borderId="33" xfId="2" applyNumberFormat="1" applyFont="1" applyFill="1" applyBorder="1"/>
    <xf numFmtId="44" fontId="1" fillId="2" borderId="19" xfId="169" applyNumberFormat="1" applyFont="1" applyFill="1" applyBorder="1"/>
    <xf numFmtId="44" fontId="59" fillId="2" borderId="34" xfId="169" applyFont="1" applyFill="1" applyBorder="1"/>
    <xf numFmtId="44" fontId="59" fillId="2" borderId="19" xfId="169" applyFont="1" applyFill="1" applyBorder="1" applyAlignment="1"/>
    <xf numFmtId="9" fontId="40" fillId="49" borderId="0" xfId="2" applyFont="1" applyFill="1" applyBorder="1" applyAlignment="1">
      <alignment horizontal="center"/>
    </xf>
    <xf numFmtId="1" fontId="40" fillId="49" borderId="0" xfId="2" applyNumberFormat="1" applyFont="1" applyFill="1" applyBorder="1" applyAlignment="1">
      <alignment horizontal="center"/>
    </xf>
    <xf numFmtId="44" fontId="59" fillId="2" borderId="0" xfId="169" applyFont="1" applyFill="1" applyBorder="1" applyAlignment="1">
      <alignment horizontal="center"/>
    </xf>
    <xf numFmtId="2" fontId="59" fillId="2" borderId="0" xfId="169" applyNumberFormat="1" applyFont="1" applyFill="1" applyBorder="1" applyAlignment="1">
      <alignment horizontal="center"/>
    </xf>
    <xf numFmtId="9" fontId="59" fillId="2" borderId="0" xfId="2" applyFont="1" applyFill="1" applyBorder="1" applyAlignment="1"/>
    <xf numFmtId="177" fontId="59" fillId="2" borderId="0" xfId="0" applyNumberFormat="1" applyFont="1" applyFill="1" applyBorder="1" applyAlignment="1"/>
    <xf numFmtId="193" fontId="59" fillId="2" borderId="0" xfId="169" applyNumberFormat="1" applyFont="1" applyFill="1" applyBorder="1" applyAlignment="1"/>
    <xf numFmtId="10" fontId="65" fillId="2" borderId="0" xfId="169" applyNumberFormat="1" applyFont="1" applyFill="1" applyBorder="1" applyAlignment="1">
      <alignment horizontal="right"/>
    </xf>
    <xf numFmtId="166" fontId="65" fillId="2" borderId="0" xfId="169" applyNumberFormat="1" applyFont="1" applyFill="1" applyBorder="1" applyAlignment="1">
      <alignment horizontal="right"/>
    </xf>
    <xf numFmtId="178" fontId="59" fillId="2" borderId="0" xfId="169" applyNumberFormat="1" applyFont="1" applyFill="1" applyBorder="1" applyAlignment="1"/>
    <xf numFmtId="9" fontId="59" fillId="48" borderId="0" xfId="2" applyFont="1" applyFill="1" applyBorder="1"/>
    <xf numFmtId="9" fontId="59" fillId="48" borderId="0" xfId="2" applyNumberFormat="1" applyFont="1" applyFill="1" applyBorder="1" applyAlignment="1"/>
    <xf numFmtId="177" fontId="59" fillId="48" borderId="0" xfId="0" applyNumberFormat="1" applyFont="1" applyFill="1" applyBorder="1" applyAlignment="1"/>
    <xf numFmtId="166" fontId="59" fillId="48" borderId="0" xfId="2" applyNumberFormat="1" applyFont="1" applyFill="1" applyBorder="1" applyAlignment="1"/>
    <xf numFmtId="193" fontId="59" fillId="48" borderId="0" xfId="169" applyNumberFormat="1" applyFont="1" applyFill="1" applyBorder="1" applyAlignment="1"/>
    <xf numFmtId="178" fontId="59" fillId="48" borderId="0" xfId="169" applyNumberFormat="1" applyFont="1" applyFill="1" applyBorder="1" applyAlignment="1"/>
    <xf numFmtId="2" fontId="59" fillId="48" borderId="0" xfId="169" applyNumberFormat="1" applyFont="1" applyFill="1" applyBorder="1" applyAlignment="1">
      <alignment horizontal="center"/>
    </xf>
    <xf numFmtId="10" fontId="65" fillId="48" borderId="0" xfId="169" applyNumberFormat="1" applyFont="1" applyFill="1" applyBorder="1" applyAlignment="1">
      <alignment horizontal="right"/>
    </xf>
    <xf numFmtId="166" fontId="65" fillId="48" borderId="0" xfId="169" applyNumberFormat="1" applyFont="1" applyFill="1" applyBorder="1" applyAlignment="1">
      <alignment horizontal="right"/>
    </xf>
    <xf numFmtId="10" fontId="65" fillId="48" borderId="0" xfId="2" applyNumberFormat="1" applyFont="1" applyFill="1" applyBorder="1" applyAlignment="1">
      <alignment horizontal="right"/>
    </xf>
    <xf numFmtId="10" fontId="59" fillId="2" borderId="0" xfId="2" applyNumberFormat="1" applyFont="1" applyFill="1" applyBorder="1" applyAlignment="1"/>
    <xf numFmtId="197" fontId="65" fillId="2" borderId="0" xfId="2" applyNumberFormat="1" applyFont="1" applyFill="1" applyBorder="1" applyAlignment="1">
      <alignment horizontal="right"/>
    </xf>
    <xf numFmtId="197" fontId="65" fillId="48" borderId="0" xfId="2" applyNumberFormat="1" applyFont="1" applyFill="1" applyBorder="1" applyAlignment="1">
      <alignment horizontal="right"/>
    </xf>
    <xf numFmtId="184" fontId="92" fillId="2" borderId="0" xfId="0" applyNumberFormat="1" applyFont="1" applyFill="1" applyBorder="1" applyAlignment="1">
      <alignment horizontal="right"/>
    </xf>
    <xf numFmtId="184" fontId="92" fillId="2" borderId="0" xfId="2" applyNumberFormat="1" applyFont="1" applyFill="1" applyBorder="1" applyAlignment="1">
      <alignment horizontal="right"/>
    </xf>
    <xf numFmtId="184" fontId="92" fillId="2" borderId="0" xfId="0" applyNumberFormat="1" applyFont="1" applyFill="1" applyBorder="1"/>
    <xf numFmtId="184" fontId="92" fillId="2" borderId="0" xfId="2" applyNumberFormat="1" applyFont="1" applyFill="1" applyBorder="1"/>
    <xf numFmtId="184" fontId="92" fillId="2" borderId="0" xfId="2" applyNumberFormat="1" applyFont="1" applyFill="1" applyBorder="1" applyAlignment="1">
      <alignment horizontal="right" vertical="center"/>
    </xf>
    <xf numFmtId="184" fontId="92" fillId="2" borderId="0" xfId="169" applyNumberFormat="1" applyFont="1" applyFill="1" applyBorder="1"/>
    <xf numFmtId="184" fontId="92" fillId="2" borderId="0" xfId="169" applyNumberFormat="1" applyFont="1" applyFill="1" applyBorder="1" applyAlignment="1">
      <alignment horizontal="right" vertical="center"/>
    </xf>
    <xf numFmtId="184" fontId="92" fillId="2" borderId="0" xfId="169" applyNumberFormat="1" applyFont="1" applyFill="1" applyBorder="1" applyAlignment="1">
      <alignment horizontal="right"/>
    </xf>
    <xf numFmtId="184" fontId="92" fillId="2" borderId="0" xfId="169" applyNumberFormat="1" applyFont="1" applyFill="1"/>
    <xf numFmtId="9" fontId="96" fillId="2" borderId="0" xfId="2" applyFont="1" applyFill="1" applyBorder="1"/>
    <xf numFmtId="9" fontId="93" fillId="2" borderId="0" xfId="0" applyNumberFormat="1" applyFont="1" applyFill="1" applyBorder="1"/>
    <xf numFmtId="10" fontId="59" fillId="2" borderId="0" xfId="169" applyNumberFormat="1" applyFont="1" applyFill="1" applyBorder="1" applyAlignment="1">
      <alignment horizontal="right"/>
    </xf>
    <xf numFmtId="10" fontId="59" fillId="48" borderId="0" xfId="2" applyNumberFormat="1" applyFont="1" applyFill="1" applyBorder="1" applyAlignment="1"/>
    <xf numFmtId="193" fontId="59" fillId="48" borderId="0" xfId="169" applyNumberFormat="1" applyFont="1" applyFill="1" applyBorder="1" applyAlignment="1">
      <alignment horizontal="right"/>
    </xf>
    <xf numFmtId="44" fontId="59" fillId="48" borderId="0" xfId="169" applyFont="1" applyFill="1" applyBorder="1" applyAlignment="1">
      <alignment horizontal="center"/>
    </xf>
    <xf numFmtId="10" fontId="59" fillId="48" borderId="0" xfId="169" applyNumberFormat="1" applyFont="1" applyFill="1" applyBorder="1" applyAlignment="1">
      <alignment horizontal="right"/>
    </xf>
    <xf numFmtId="178" fontId="9" fillId="2" borderId="0" xfId="170" applyNumberFormat="1" applyFill="1">
      <alignment vertical="top"/>
    </xf>
    <xf numFmtId="193" fontId="9" fillId="2" borderId="0" xfId="169" applyNumberFormat="1" applyFont="1" applyFill="1" applyAlignment="1">
      <alignment vertical="top"/>
    </xf>
    <xf numFmtId="0" fontId="59" fillId="2" borderId="0" xfId="170" applyFont="1" applyFill="1">
      <alignment vertical="top"/>
    </xf>
    <xf numFmtId="193" fontId="59" fillId="2" borderId="0" xfId="169" applyNumberFormat="1" applyFont="1" applyFill="1" applyAlignment="1">
      <alignment vertical="top"/>
    </xf>
    <xf numFmtId="0" fontId="40" fillId="2" borderId="0" xfId="170" applyFont="1" applyFill="1">
      <alignment vertical="top"/>
    </xf>
    <xf numFmtId="0" fontId="40" fillId="2" borderId="19" xfId="170" applyFont="1" applyFill="1" applyBorder="1">
      <alignment vertical="top"/>
    </xf>
    <xf numFmtId="193" fontId="40" fillId="2" borderId="19" xfId="169" applyNumberFormat="1" applyFont="1" applyFill="1" applyBorder="1" applyAlignment="1">
      <alignment vertical="top"/>
    </xf>
    <xf numFmtId="0" fontId="59" fillId="2" borderId="0" xfId="170" applyFont="1" applyFill="1" applyAlignment="1">
      <alignment horizontal="left" vertical="top" indent="1"/>
    </xf>
    <xf numFmtId="0" fontId="59" fillId="2" borderId="21" xfId="170" applyFont="1" applyFill="1" applyBorder="1">
      <alignment vertical="top"/>
    </xf>
    <xf numFmtId="193" fontId="59" fillId="2" borderId="21" xfId="169" applyNumberFormat="1" applyFont="1" applyFill="1" applyBorder="1" applyAlignment="1">
      <alignment vertical="top"/>
    </xf>
    <xf numFmtId="0" fontId="59" fillId="2" borderId="0" xfId="170" applyFont="1" applyFill="1" applyBorder="1" applyAlignment="1">
      <alignment horizontal="left" vertical="top" indent="1"/>
    </xf>
    <xf numFmtId="193" fontId="9" fillId="2" borderId="0" xfId="170" applyNumberFormat="1" applyFill="1">
      <alignment vertical="top"/>
    </xf>
    <xf numFmtId="0" fontId="40" fillId="2" borderId="21" xfId="170" applyFont="1" applyFill="1" applyBorder="1">
      <alignment vertical="top"/>
    </xf>
    <xf numFmtId="193" fontId="40" fillId="2" borderId="21" xfId="169" applyNumberFormat="1" applyFont="1" applyFill="1" applyBorder="1" applyAlignment="1">
      <alignment vertical="top"/>
    </xf>
    <xf numFmtId="44" fontId="59" fillId="2" borderId="0" xfId="169" applyFont="1" applyFill="1" applyAlignment="1">
      <alignment vertical="top"/>
    </xf>
    <xf numFmtId="193" fontId="92" fillId="2" borderId="0" xfId="169" applyNumberFormat="1" applyFont="1" applyFill="1" applyAlignment="1">
      <alignment vertical="top"/>
    </xf>
    <xf numFmtId="193" fontId="92" fillId="2" borderId="0" xfId="169" applyNumberFormat="1" applyFont="1" applyFill="1" applyBorder="1" applyAlignment="1">
      <alignment vertical="top"/>
    </xf>
    <xf numFmtId="0" fontId="59" fillId="0" borderId="21" xfId="170" applyFont="1" applyBorder="1">
      <alignment vertical="top"/>
    </xf>
    <xf numFmtId="0" fontId="65" fillId="2" borderId="0" xfId="170" applyFont="1" applyFill="1" applyAlignment="1">
      <alignment horizontal="left" vertical="top"/>
    </xf>
    <xf numFmtId="0" fontId="65" fillId="2" borderId="0" xfId="170" applyFont="1" applyFill="1">
      <alignment vertical="top"/>
    </xf>
    <xf numFmtId="44" fontId="93" fillId="2" borderId="0" xfId="169" applyFont="1" applyFill="1" applyAlignment="1">
      <alignment vertical="top"/>
    </xf>
    <xf numFmtId="178" fontId="93" fillId="2" borderId="0" xfId="170" applyNumberFormat="1" applyFont="1" applyFill="1">
      <alignment vertical="top"/>
    </xf>
    <xf numFmtId="0" fontId="93" fillId="2" borderId="0" xfId="170" applyFont="1" applyFill="1">
      <alignment vertical="top"/>
    </xf>
    <xf numFmtId="0" fontId="88" fillId="2" borderId="0" xfId="170" applyFont="1" applyFill="1">
      <alignment vertical="top"/>
    </xf>
    <xf numFmtId="193" fontId="88" fillId="2" borderId="0" xfId="169" applyNumberFormat="1" applyFont="1" applyFill="1" applyAlignment="1">
      <alignment vertical="top"/>
    </xf>
    <xf numFmtId="44" fontId="88" fillId="2" borderId="0" xfId="169" applyFont="1" applyFill="1" applyAlignment="1">
      <alignment vertical="top"/>
    </xf>
    <xf numFmtId="198" fontId="40" fillId="49" borderId="13" xfId="0" applyNumberFormat="1" applyFont="1" applyFill="1" applyBorder="1" applyAlignment="1"/>
    <xf numFmtId="0" fontId="97" fillId="2" borderId="0" xfId="0" applyFont="1" applyFill="1" applyAlignment="1">
      <alignment horizontal="center" vertical="center" wrapText="1"/>
    </xf>
    <xf numFmtId="199" fontId="9" fillId="2" borderId="0" xfId="170" applyNumberFormat="1" applyFill="1">
      <alignment vertical="top"/>
    </xf>
    <xf numFmtId="193" fontId="40" fillId="2" borderId="0" xfId="169" applyNumberFormat="1" applyFont="1" applyFill="1" applyAlignment="1">
      <alignment horizontal="right" vertical="top"/>
    </xf>
    <xf numFmtId="193" fontId="59" fillId="2" borderId="0" xfId="169" applyNumberFormat="1" applyFont="1" applyFill="1" applyAlignment="1">
      <alignment horizontal="right" vertical="top"/>
    </xf>
    <xf numFmtId="0" fontId="59" fillId="2" borderId="0" xfId="170" applyFont="1" applyFill="1" applyAlignment="1">
      <alignment horizontal="right" vertical="top"/>
    </xf>
    <xf numFmtId="193" fontId="40" fillId="2" borderId="19" xfId="169" applyNumberFormat="1" applyFont="1" applyFill="1" applyBorder="1" applyAlignment="1">
      <alignment horizontal="right" vertical="top"/>
    </xf>
    <xf numFmtId="0" fontId="9" fillId="2" borderId="0" xfId="170" applyFont="1" applyFill="1" applyAlignment="1">
      <alignment horizontal="right" vertical="top"/>
    </xf>
    <xf numFmtId="0" fontId="9" fillId="2" borderId="0" xfId="170" applyFill="1" applyAlignment="1">
      <alignment horizontal="right" vertical="top"/>
    </xf>
    <xf numFmtId="44" fontId="59" fillId="2" borderId="0" xfId="169" applyFont="1" applyFill="1" applyAlignment="1">
      <alignment horizontal="right" vertical="top"/>
    </xf>
    <xf numFmtId="193" fontId="40" fillId="2" borderId="21" xfId="169" applyNumberFormat="1" applyFont="1" applyFill="1" applyBorder="1" applyAlignment="1">
      <alignment horizontal="right" vertical="top"/>
    </xf>
    <xf numFmtId="0" fontId="1" fillId="2" borderId="0" xfId="0" applyFont="1" applyFill="1" applyBorder="1" applyAlignment="1">
      <alignment horizontal="left" vertical="center" indent="1"/>
    </xf>
    <xf numFmtId="193" fontId="1" fillId="2" borderId="0" xfId="2" applyNumberFormat="1" applyFont="1" applyFill="1" applyBorder="1" applyAlignment="1">
      <alignment horizontal="right" vertical="center"/>
    </xf>
    <xf numFmtId="10" fontId="59" fillId="2" borderId="0" xfId="2" applyNumberFormat="1" applyFont="1" applyFill="1" applyBorder="1" applyAlignment="1">
      <alignment horizontal="right" vertical="center"/>
    </xf>
    <xf numFmtId="189" fontId="63" fillId="2" borderId="0" xfId="0" applyNumberFormat="1" applyFont="1" applyFill="1" applyBorder="1"/>
    <xf numFmtId="165" fontId="93" fillId="2" borderId="0" xfId="0" applyNumberFormat="1" applyFont="1" applyFill="1" applyBorder="1" applyAlignment="1">
      <alignment horizontal="right"/>
    </xf>
    <xf numFmtId="9" fontId="40" fillId="2" borderId="21" xfId="2" quotePrefix="1" applyFont="1" applyFill="1" applyBorder="1"/>
    <xf numFmtId="9" fontId="59" fillId="2" borderId="0" xfId="2" quotePrefix="1" applyFont="1" applyFill="1" applyBorder="1"/>
    <xf numFmtId="10" fontId="59" fillId="2" borderId="0" xfId="169" applyNumberFormat="1" applyFont="1" applyFill="1" applyBorder="1"/>
    <xf numFmtId="2" fontId="59" fillId="2" borderId="0" xfId="169" applyNumberFormat="1" applyFont="1" applyFill="1" applyBorder="1"/>
    <xf numFmtId="1" fontId="40" fillId="2" borderId="0" xfId="0" applyNumberFormat="1" applyFont="1" applyFill="1" applyBorder="1" applyAlignment="1">
      <alignment horizontal="right"/>
    </xf>
    <xf numFmtId="193" fontId="63" fillId="2" borderId="0" xfId="169" applyNumberFormat="1" applyFont="1" applyFill="1" applyBorder="1" applyAlignment="1">
      <alignment horizontal="right"/>
    </xf>
    <xf numFmtId="1" fontId="1" fillId="2" borderId="0" xfId="0" applyNumberFormat="1" applyFont="1" applyFill="1" applyBorder="1" applyAlignment="1">
      <alignment horizontal="right"/>
    </xf>
    <xf numFmtId="193" fontId="1" fillId="2" borderId="0" xfId="169" applyNumberFormat="1" applyFont="1" applyFill="1" applyBorder="1" applyAlignment="1">
      <alignment horizontal="right"/>
    </xf>
    <xf numFmtId="1" fontId="59" fillId="2" borderId="0" xfId="0" applyNumberFormat="1" applyFont="1" applyFill="1" applyBorder="1" applyAlignment="1">
      <alignment horizontal="right"/>
    </xf>
    <xf numFmtId="1" fontId="2" fillId="2" borderId="21" xfId="0" applyNumberFormat="1" applyFont="1" applyFill="1" applyBorder="1" applyAlignment="1">
      <alignment horizontal="right"/>
    </xf>
    <xf numFmtId="195" fontId="40" fillId="49" borderId="13" xfId="0" applyNumberFormat="1" applyFont="1" applyFill="1" applyBorder="1" applyAlignment="1">
      <alignment horizontal="right"/>
    </xf>
    <xf numFmtId="1" fontId="2" fillId="2" borderId="19" xfId="0" applyNumberFormat="1" applyFont="1" applyFill="1" applyBorder="1" applyAlignment="1">
      <alignment horizontal="right"/>
    </xf>
    <xf numFmtId="193" fontId="2" fillId="2" borderId="19" xfId="169" applyNumberFormat="1" applyFont="1" applyFill="1" applyBorder="1" applyAlignment="1">
      <alignment horizontal="right"/>
    </xf>
    <xf numFmtId="1" fontId="40" fillId="49" borderId="0" xfId="0" applyNumberFormat="1" applyFont="1" applyFill="1" applyBorder="1" applyAlignment="1">
      <alignment horizontal="right"/>
    </xf>
    <xf numFmtId="10" fontId="40" fillId="49" borderId="0" xfId="2" applyNumberFormat="1" applyFont="1" applyFill="1"/>
    <xf numFmtId="165" fontId="40" fillId="49" borderId="0" xfId="0" applyNumberFormat="1" applyFont="1" applyFill="1" applyBorder="1" applyAlignment="1"/>
    <xf numFmtId="164" fontId="64" fillId="2" borderId="21" xfId="0" applyNumberFormat="1" applyFont="1" applyFill="1" applyBorder="1" applyAlignment="1">
      <alignment horizontal="left"/>
    </xf>
    <xf numFmtId="1" fontId="1" fillId="2" borderId="0" xfId="0" applyNumberFormat="1" applyFont="1" applyFill="1" applyBorder="1" applyAlignment="1">
      <alignment horizontal="left"/>
    </xf>
    <xf numFmtId="178" fontId="63" fillId="2" borderId="0" xfId="2" applyNumberFormat="1" applyFont="1" applyFill="1"/>
    <xf numFmtId="0" fontId="90" fillId="2" borderId="0" xfId="167" applyFont="1" applyFill="1" applyAlignment="1">
      <alignment vertical="top"/>
    </xf>
    <xf numFmtId="193" fontId="93" fillId="2" borderId="0" xfId="169" applyNumberFormat="1" applyFont="1" applyFill="1"/>
    <xf numFmtId="193" fontId="93" fillId="2" borderId="0" xfId="169" applyNumberFormat="1" applyFont="1" applyFill="1" applyBorder="1"/>
    <xf numFmtId="192" fontId="93" fillId="2" borderId="0" xfId="169" applyNumberFormat="1" applyFont="1" applyFill="1" applyBorder="1" applyAlignment="1">
      <alignment horizontal="right"/>
    </xf>
    <xf numFmtId="193" fontId="93" fillId="2" borderId="0" xfId="2" applyNumberFormat="1" applyFont="1" applyFill="1" applyBorder="1" applyAlignment="1">
      <alignment horizontal="right"/>
    </xf>
    <xf numFmtId="0" fontId="89" fillId="47" borderId="0" xfId="167" applyFont="1" applyFill="1" applyAlignment="1">
      <alignment horizontal="center" vertical="top"/>
    </xf>
    <xf numFmtId="185" fontId="81" fillId="48" borderId="0" xfId="167" applyNumberFormat="1" applyFont="1" applyFill="1" applyAlignment="1">
      <alignment horizontal="center" vertical="center"/>
    </xf>
    <xf numFmtId="183" fontId="81" fillId="48" borderId="0" xfId="167" applyNumberFormat="1" applyFont="1" applyFill="1" applyAlignment="1">
      <alignment horizontal="center" vertical="center"/>
    </xf>
    <xf numFmtId="0" fontId="90" fillId="47" borderId="0" xfId="167" applyFont="1" applyFill="1" applyAlignment="1">
      <alignment horizontal="center" vertical="top"/>
    </xf>
    <xf numFmtId="164" fontId="40" fillId="49" borderId="25" xfId="0" applyNumberFormat="1" applyFont="1" applyFill="1" applyBorder="1" applyAlignment="1">
      <alignment horizontal="center"/>
    </xf>
    <xf numFmtId="164" fontId="40" fillId="49" borderId="21" xfId="0" applyNumberFormat="1" applyFont="1" applyFill="1" applyBorder="1" applyAlignment="1">
      <alignment horizontal="center"/>
    </xf>
    <xf numFmtId="164" fontId="40" fillId="49" borderId="22" xfId="0" applyNumberFormat="1" applyFont="1" applyFill="1" applyBorder="1" applyAlignment="1">
      <alignment horizontal="center"/>
    </xf>
    <xf numFmtId="192" fontId="2" fillId="2" borderId="0" xfId="169" applyNumberFormat="1" applyFont="1" applyFill="1" applyBorder="1" applyAlignment="1">
      <alignment horizontal="right"/>
    </xf>
    <xf numFmtId="44" fontId="1" fillId="2" borderId="0" xfId="169" applyNumberFormat="1" applyFont="1" applyFill="1" applyBorder="1"/>
  </cellXfs>
  <cellStyles count="171">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xfId="169" builtinId="4"/>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 6 2" xfId="170"/>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EB6D20"/>
      <color rgb="FF0432FF"/>
      <color rgb="FFD9E2F3"/>
      <color rgb="FFF8F8F8"/>
      <color rgb="FFF9D1B9"/>
      <color rgb="FFF29A64"/>
      <color rgb="FFC05310"/>
      <color rgb="FFBC5210"/>
      <color rgb="FFFF4347"/>
      <color rgb="FF1ED7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'Accounting Adjustments'!$B$5</c:f>
              <c:strCache>
                <c:ptCount val="1"/>
                <c:pt idx="0">
                  <c:v>Revenues</c:v>
                </c:pt>
              </c:strCache>
            </c:strRef>
          </c:tx>
          <c:spPr>
            <a:solidFill>
              <a:srgbClr val="EB6D20"/>
            </a:solidFill>
            <a:ln>
              <a:noFill/>
            </a:ln>
            <a:effectLst/>
          </c:spPr>
          <c:invertIfNegative val="0"/>
          <c:val>
            <c:numRef>
              <c:f>'Accounting Adjustments'!$C$5:$G$5</c:f>
              <c:numCache>
                <c:formatCode>_("$"* #,##0_);_("$"* \(#,##0\);_("$"* "-"??_);_(@_)</c:formatCode>
                <c:ptCount val="5"/>
                <c:pt idx="0">
                  <c:v>603.69299999999998</c:v>
                </c:pt>
                <c:pt idx="1">
                  <c:v>818.37900000000002</c:v>
                </c:pt>
                <c:pt idx="2">
                  <c:v>1725.625</c:v>
                </c:pt>
                <c:pt idx="3">
                  <c:v>2329.114</c:v>
                </c:pt>
                <c:pt idx="4">
                  <c:v>2566.1109999999999</c:v>
                </c:pt>
              </c:numCache>
            </c:numRef>
          </c:val>
          <c:extLst>
            <c:ext xmlns:c15="http://schemas.microsoft.com/office/drawing/2012/chart" uri="{02D57815-91ED-43cb-92C2-25804820EDAC}">
              <c15:filteredCategoryTitle>
                <c15:cat>
                  <c:multiLvlStrRef>
                    <c:extLst>
                      <c:ext uri="{02D57815-91ED-43cb-92C2-25804820EDAC}">
                        <c15:formulaRef>
                          <c15:sqref>'Accounting Adjustments'!#REF!</c15:sqref>
                        </c15:formulaRef>
                      </c:ext>
                    </c:extLst>
                  </c:multiLvlStrRef>
                </c15:cat>
              </c15:filteredCategoryTitle>
            </c:ext>
            <c:ext xmlns:c16="http://schemas.microsoft.com/office/drawing/2014/chart" uri="{C3380CC4-5D6E-409C-BE32-E72D297353CC}">
              <c16:uniqueId val="{00000000-7742-4C88-AB0A-CA4FEAF2F95F}"/>
            </c:ext>
          </c:extLst>
        </c:ser>
        <c:dLbls>
          <c:showLegendKey val="0"/>
          <c:showVal val="0"/>
          <c:showCatName val="0"/>
          <c:showSerName val="0"/>
          <c:showPercent val="0"/>
          <c:showBubbleSize val="0"/>
        </c:dLbls>
        <c:gapWidth val="50"/>
        <c:overlap val="100"/>
        <c:axId val="1880042095"/>
        <c:axId val="1880046255"/>
      </c:barChart>
      <c:catAx>
        <c:axId val="1880042095"/>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1880046255"/>
        <c:crosses val="autoZero"/>
        <c:auto val="1"/>
        <c:lblAlgn val="ctr"/>
        <c:lblOffset val="100"/>
        <c:noMultiLvlLbl val="0"/>
      </c:catAx>
      <c:valAx>
        <c:axId val="1880046255"/>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Catamaran" pitchFamily="2" charset="0"/>
              </a:defRPr>
            </a:pPr>
            <a:endParaRPr lang="en-US"/>
          </a:p>
        </c:txPr>
        <c:crossAx val="1880042095"/>
        <c:crosses val="autoZero"/>
        <c:crossBetween val="between"/>
        <c:majorUnit val="5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C05310"/>
              </a:solidFill>
              <a:ln w="19050">
                <a:solidFill>
                  <a:schemeClr val="lt1"/>
                </a:solidFill>
              </a:ln>
              <a:effectLst/>
            </c:spPr>
            <c:extLst>
              <c:ext xmlns:c16="http://schemas.microsoft.com/office/drawing/2014/chart" uri="{C3380CC4-5D6E-409C-BE32-E72D297353CC}">
                <c16:uniqueId val="{00000001-3CA0-479F-B988-0A55D3BCC3C6}"/>
              </c:ext>
            </c:extLst>
          </c:dPt>
          <c:dPt>
            <c:idx val="1"/>
            <c:bubble3D val="0"/>
            <c:spPr>
              <a:solidFill>
                <a:srgbClr val="F9D1B9"/>
              </a:solidFill>
              <a:ln w="19050">
                <a:solidFill>
                  <a:schemeClr val="lt1"/>
                </a:solidFill>
              </a:ln>
              <a:effectLst/>
            </c:spPr>
            <c:extLst>
              <c:ext xmlns:c16="http://schemas.microsoft.com/office/drawing/2014/chart" uri="{C3380CC4-5D6E-409C-BE32-E72D297353CC}">
                <c16:uniqueId val="{00000003-3CA0-479F-B988-0A55D3BCC3C6}"/>
              </c:ext>
            </c:extLst>
          </c:dPt>
          <c:dPt>
            <c:idx val="2"/>
            <c:bubble3D val="0"/>
            <c:spPr>
              <a:solidFill>
                <a:srgbClr val="EB6D20"/>
              </a:solidFill>
              <a:ln w="19050">
                <a:solidFill>
                  <a:schemeClr val="lt1"/>
                </a:solidFill>
              </a:ln>
              <a:effectLst/>
            </c:spPr>
            <c:extLst>
              <c:ext xmlns:c16="http://schemas.microsoft.com/office/drawing/2014/chart" uri="{C3380CC4-5D6E-409C-BE32-E72D297353CC}">
                <c16:uniqueId val="{00000005-3CA0-479F-B988-0A55D3BCC3C6}"/>
              </c:ext>
            </c:extLst>
          </c:dPt>
          <c:cat>
            <c:strRef>
              <c:f>'Corporate Governance'!$E$19:$E$21</c:f>
              <c:strCache>
                <c:ptCount val="3"/>
                <c:pt idx="0">
                  <c:v>Institutional</c:v>
                </c:pt>
                <c:pt idx="1">
                  <c:v>Insider</c:v>
                </c:pt>
                <c:pt idx="2">
                  <c:v>Retail</c:v>
                </c:pt>
              </c:strCache>
            </c:strRef>
          </c:cat>
          <c:val>
            <c:numRef>
              <c:f>'Corporate Governance'!$F$19:$F$21</c:f>
              <c:numCache>
                <c:formatCode>0.00%</c:formatCode>
                <c:ptCount val="3"/>
                <c:pt idx="0">
                  <c:v>0.9546</c:v>
                </c:pt>
                <c:pt idx="1">
                  <c:v>1.35E-2</c:v>
                </c:pt>
                <c:pt idx="2">
                  <c:v>3.1900000000000039E-2</c:v>
                </c:pt>
              </c:numCache>
            </c:numRef>
          </c:val>
          <c:extLst>
            <c:ext xmlns:c16="http://schemas.microsoft.com/office/drawing/2014/chart" uri="{C3380CC4-5D6E-409C-BE32-E72D297353CC}">
              <c16:uniqueId val="{00000006-3CA0-479F-B988-0A55D3BCC3C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871391076115486E-3"/>
          <c:y val="0"/>
          <c:w val="0.98439842892086105"/>
          <c:h val="1"/>
        </c:manualLayout>
      </c:layout>
      <c:barChart>
        <c:barDir val="col"/>
        <c:grouping val="stacked"/>
        <c:varyColors val="0"/>
        <c:ser>
          <c:idx val="0"/>
          <c:order val="0"/>
          <c:tx>
            <c:strRef>
              <c:f>'Corporate Governance'!$E$24</c:f>
              <c:strCache>
                <c:ptCount val="1"/>
                <c:pt idx="0">
                  <c:v>Audit</c:v>
                </c:pt>
              </c:strCache>
            </c:strRef>
          </c:tx>
          <c:spPr>
            <a:solidFill>
              <a:srgbClr val="C05310"/>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val>
            <c:numRef>
              <c:f>'Corporate Governance'!$F$24</c:f>
              <c:numCache>
                <c:formatCode>_(* #,##0.0_);_(* \(#,##0.0\);_(* "-"?_);@_)</c:formatCode>
                <c:ptCount val="1"/>
                <c:pt idx="0">
                  <c:v>6</c:v>
                </c:pt>
              </c:numCache>
            </c:numRef>
          </c:val>
          <c:extLst>
            <c:ext xmlns:c16="http://schemas.microsoft.com/office/drawing/2014/chart" uri="{C3380CC4-5D6E-409C-BE32-E72D297353CC}">
              <c16:uniqueId val="{00000000-1C27-4A4A-BF09-DEEC91878B14}"/>
            </c:ext>
          </c:extLst>
        </c:ser>
        <c:ser>
          <c:idx val="1"/>
          <c:order val="1"/>
          <c:tx>
            <c:strRef>
              <c:f>'Corporate Governance'!$E$25</c:f>
              <c:strCache>
                <c:ptCount val="1"/>
                <c:pt idx="0">
                  <c:v>Board</c:v>
                </c:pt>
              </c:strCache>
            </c:strRef>
          </c:tx>
          <c:spPr>
            <a:solidFill>
              <a:srgbClr val="EB6D20"/>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val>
            <c:numRef>
              <c:f>'Corporate Governance'!$F$25</c:f>
              <c:numCache>
                <c:formatCode>_(* #,##0.0_);_(* \(#,##0.0\);_(* "-"?_);@_)</c:formatCode>
                <c:ptCount val="1"/>
                <c:pt idx="0">
                  <c:v>8</c:v>
                </c:pt>
              </c:numCache>
            </c:numRef>
          </c:val>
          <c:extLst>
            <c:ext xmlns:c16="http://schemas.microsoft.com/office/drawing/2014/chart" uri="{C3380CC4-5D6E-409C-BE32-E72D297353CC}">
              <c16:uniqueId val="{00000001-1C27-4A4A-BF09-DEEC91878B14}"/>
            </c:ext>
          </c:extLst>
        </c:ser>
        <c:ser>
          <c:idx val="2"/>
          <c:order val="2"/>
          <c:tx>
            <c:strRef>
              <c:f>'Corporate Governance'!$E$26</c:f>
              <c:strCache>
                <c:ptCount val="1"/>
                <c:pt idx="0">
                  <c:v>Shareholder Rights</c:v>
                </c:pt>
              </c:strCache>
            </c:strRef>
          </c:tx>
          <c:spPr>
            <a:solidFill>
              <a:srgbClr val="F9D1B9"/>
            </a:solidFill>
            <a:ln>
              <a:noFill/>
            </a:ln>
            <a:effectLst/>
          </c:spPr>
          <c:invertIfNegative val="0"/>
          <c:dLbls>
            <c:dLbl>
              <c:idx val="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ysClr val="windowText" lastClr="000000"/>
                      </a:solidFill>
                      <a:latin typeface="Montserrat" panose="00000500000000000000"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1794-4C8C-A399-65DE06B4850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'Corporate Governance'!$F$26</c:f>
              <c:numCache>
                <c:formatCode>_(* #,##0.0_);_(* \(#,##0.0\);_(* "-"?_);@_)</c:formatCode>
                <c:ptCount val="1"/>
                <c:pt idx="0">
                  <c:v>10</c:v>
                </c:pt>
              </c:numCache>
            </c:numRef>
          </c:val>
          <c:extLst>
            <c:ext xmlns:c16="http://schemas.microsoft.com/office/drawing/2014/chart" uri="{C3380CC4-5D6E-409C-BE32-E72D297353CC}">
              <c16:uniqueId val="{00000002-1C27-4A4A-BF09-DEEC91878B14}"/>
            </c:ext>
          </c:extLst>
        </c:ser>
        <c:ser>
          <c:idx val="3"/>
          <c:order val="3"/>
          <c:tx>
            <c:strRef>
              <c:f>'Corporate Governance'!$E$27</c:f>
              <c:strCache>
                <c:ptCount val="1"/>
                <c:pt idx="0">
                  <c:v>Compensation</c:v>
                </c:pt>
              </c:strCache>
            </c:strRef>
          </c:tx>
          <c:spPr>
            <a:solidFill>
              <a:srgbClr val="F29A64"/>
            </a:solidFill>
            <a:ln>
              <a:noFill/>
            </a:ln>
            <a:effectLst/>
          </c:spPr>
          <c:invertIfNegative val="0"/>
          <c:dLbls>
            <c:dLbl>
              <c:idx val="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tx1">
                          <a:lumMod val="75000"/>
                          <a:lumOff val="25000"/>
                        </a:schemeClr>
                      </a:solidFill>
                      <a:latin typeface="Montserrat" panose="00000500000000000000"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1794-4C8C-A399-65DE06B4850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'Corporate Governance'!$F$27</c:f>
              <c:numCache>
                <c:formatCode>_(* #,##0.0_);_(* \(#,##0.0\);_(* "-"?_);@_)</c:formatCode>
                <c:ptCount val="1"/>
                <c:pt idx="0">
                  <c:v>9</c:v>
                </c:pt>
              </c:numCache>
            </c:numRef>
          </c:val>
          <c:extLst>
            <c:ext xmlns:c16="http://schemas.microsoft.com/office/drawing/2014/chart" uri="{C3380CC4-5D6E-409C-BE32-E72D297353CC}">
              <c16:uniqueId val="{00000003-1C27-4A4A-BF09-DEEC91878B14}"/>
            </c:ext>
          </c:extLst>
        </c:ser>
        <c:dLbls>
          <c:showLegendKey val="0"/>
          <c:showVal val="0"/>
          <c:showCatName val="0"/>
          <c:showSerName val="0"/>
          <c:showPercent val="0"/>
          <c:showBubbleSize val="0"/>
        </c:dLbls>
        <c:gapWidth val="150"/>
        <c:overlap val="100"/>
        <c:axId val="2135820480"/>
        <c:axId val="2135820896"/>
      </c:barChart>
      <c:catAx>
        <c:axId val="2135820480"/>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5820896"/>
        <c:crosses val="autoZero"/>
        <c:auto val="1"/>
        <c:lblAlgn val="ctr"/>
        <c:lblOffset val="100"/>
        <c:noMultiLvlLbl val="0"/>
      </c:catAx>
      <c:valAx>
        <c:axId val="2135820896"/>
        <c:scaling>
          <c:orientation val="minMax"/>
        </c:scaling>
        <c:delete val="1"/>
        <c:axPos val="l"/>
        <c:numFmt formatCode="_(* #,##0.0_);_(* \(#,##0.0\);_(* &quot;-&quot;?_);@_)" sourceLinked="1"/>
        <c:majorTickMark val="none"/>
        <c:minorTickMark val="none"/>
        <c:tickLblPos val="nextTo"/>
        <c:crossAx val="2135820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333858267716531E-2"/>
          <c:y val="2.8985523784961647E-2"/>
          <c:w val="0.8599994750656168"/>
          <c:h val="0.93478257148383626"/>
        </c:manualLayout>
      </c:layout>
      <c:pieChart>
        <c:varyColors val="1"/>
        <c:ser>
          <c:idx val="0"/>
          <c:order val="0"/>
          <c:dPt>
            <c:idx val="0"/>
            <c:bubble3D val="0"/>
            <c:spPr>
              <a:solidFill>
                <a:srgbClr val="EB6D20"/>
              </a:solidFill>
              <a:ln w="19050">
                <a:solidFill>
                  <a:schemeClr val="lt1"/>
                </a:solidFill>
              </a:ln>
              <a:effectLst/>
            </c:spPr>
            <c:extLst>
              <c:ext xmlns:c16="http://schemas.microsoft.com/office/drawing/2014/chart" uri="{C3380CC4-5D6E-409C-BE32-E72D297353CC}">
                <c16:uniqueId val="{00000001-74C7-4B28-A7F2-3ECA4184126F}"/>
              </c:ext>
            </c:extLst>
          </c:dPt>
          <c:dPt>
            <c:idx val="1"/>
            <c:bubble3D val="0"/>
            <c:spPr>
              <a:solidFill>
                <a:srgbClr val="F9D1B9"/>
              </a:solidFill>
              <a:ln w="19050">
                <a:solidFill>
                  <a:schemeClr val="lt1"/>
                </a:solidFill>
              </a:ln>
              <a:effectLst/>
            </c:spPr>
            <c:extLst>
              <c:ext xmlns:c16="http://schemas.microsoft.com/office/drawing/2014/chart" uri="{C3380CC4-5D6E-409C-BE32-E72D297353CC}">
                <c16:uniqueId val="{00000003-74C7-4B28-A7F2-3ECA4184126F}"/>
              </c:ext>
            </c:extLst>
          </c:dPt>
          <c:dPt>
            <c:idx val="2"/>
            <c:bubble3D val="0"/>
            <c:spPr>
              <a:solidFill>
                <a:srgbClr val="F29A64"/>
              </a:solidFill>
              <a:ln w="19050">
                <a:solidFill>
                  <a:schemeClr val="lt1"/>
                </a:solidFill>
              </a:ln>
              <a:effectLst/>
            </c:spPr>
            <c:extLst>
              <c:ext xmlns:c16="http://schemas.microsoft.com/office/drawing/2014/chart" uri="{C3380CC4-5D6E-409C-BE32-E72D297353CC}">
                <c16:uniqueId val="{00000005-74C7-4B28-A7F2-3ECA4184126F}"/>
              </c:ext>
            </c:extLst>
          </c:dPt>
          <c:dPt>
            <c:idx val="3"/>
            <c:bubble3D val="0"/>
            <c:spPr>
              <a:solidFill>
                <a:srgbClr val="C05310"/>
              </a:solidFill>
              <a:ln w="19050">
                <a:solidFill>
                  <a:schemeClr val="lt1"/>
                </a:solidFill>
              </a:ln>
              <a:effectLst/>
            </c:spPr>
            <c:extLst>
              <c:ext xmlns:c16="http://schemas.microsoft.com/office/drawing/2014/chart" uri="{C3380CC4-5D6E-409C-BE32-E72D297353CC}">
                <c16:uniqueId val="{00000007-74C7-4B28-A7F2-3ECA4184126F}"/>
              </c:ext>
            </c:extLst>
          </c:dPt>
          <c:dPt>
            <c:idx val="4"/>
            <c:bubble3D val="0"/>
            <c:spPr>
              <a:solidFill>
                <a:srgbClr val="FFB7B9"/>
              </a:solidFill>
              <a:ln w="19050">
                <a:solidFill>
                  <a:schemeClr val="lt1"/>
                </a:solidFill>
              </a:ln>
              <a:effectLst/>
            </c:spPr>
            <c:extLst>
              <c:ext xmlns:c16="http://schemas.microsoft.com/office/drawing/2014/chart" uri="{C3380CC4-5D6E-409C-BE32-E72D297353CC}">
                <c16:uniqueId val="{00000009-74C7-4B28-A7F2-3ECA4184126F}"/>
              </c:ext>
            </c:extLst>
          </c:dPt>
          <c:dPt>
            <c:idx val="5"/>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B-74C7-4B28-A7F2-3ECA4184126F}"/>
              </c:ext>
            </c:extLst>
          </c:dPt>
          <c:dPt>
            <c:idx val="6"/>
            <c:bubble3D val="0"/>
            <c:spPr>
              <a:solidFill>
                <a:schemeClr val="accent2"/>
              </a:solidFill>
              <a:ln w="19050">
                <a:solidFill>
                  <a:schemeClr val="lt1"/>
                </a:solidFill>
              </a:ln>
              <a:effectLst/>
            </c:spPr>
            <c:extLst>
              <c:ext xmlns:c16="http://schemas.microsoft.com/office/drawing/2014/chart" uri="{C3380CC4-5D6E-409C-BE32-E72D297353CC}">
                <c16:uniqueId val="{0000000D-74C7-4B28-A7F2-3ECA4184126F}"/>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74C7-4B28-A7F2-3ECA4184126F}"/>
              </c:ext>
            </c:extLst>
          </c:dPt>
          <c:dPt>
            <c:idx val="8"/>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1-74C7-4B28-A7F2-3ECA4184126F}"/>
              </c:ext>
            </c:extLst>
          </c:dPt>
          <c:dPt>
            <c:idx val="9"/>
            <c:bubble3D val="0"/>
            <c:spPr>
              <a:solidFill>
                <a:srgbClr val="FFC000"/>
              </a:solidFill>
              <a:ln w="19050">
                <a:solidFill>
                  <a:schemeClr val="lt1"/>
                </a:solidFill>
              </a:ln>
              <a:effectLst/>
            </c:spPr>
            <c:extLst>
              <c:ext xmlns:c16="http://schemas.microsoft.com/office/drawing/2014/chart" uri="{C3380CC4-5D6E-409C-BE32-E72D297353CC}">
                <c16:uniqueId val="{00000013-74C7-4B28-A7F2-3ECA4184126F}"/>
              </c:ext>
            </c:extLst>
          </c:dPt>
          <c:dLbls>
            <c:dLbl>
              <c:idx val="0"/>
              <c:layout/>
              <c:tx>
                <c:rich>
                  <a:bodyPr/>
                  <a:lstStyle/>
                  <a:p>
                    <a:fld id="{E86BBD6A-D31A-4E13-906F-61DAF13E1463}" type="CELLRANGE">
                      <a:rPr lang="en-US" baseline="0"/>
                      <a:pPr/>
                      <a:t>[CELLRANGE]</a:t>
                    </a:fld>
                    <a:r>
                      <a:rPr lang="en-US" baseline="0"/>
                      <a:t>, </a:t>
                    </a:r>
                    <a:fld id="{2C585CF1-8829-41DA-849D-C93D9E827AEE}" type="PERCENTAGE">
                      <a:rPr lang="en-US" baseline="0"/>
                      <a:pPr/>
                      <a:t>[PERCENTAGE]</a:t>
                    </a:fld>
                    <a:endParaRPr lang="en-US" baseline="0"/>
                  </a:p>
                </c:rich>
              </c:tx>
              <c:dLblPos val="ctr"/>
              <c:showLegendKey val="0"/>
              <c:showVal val="0"/>
              <c:showCatName val="0"/>
              <c:showSerName val="0"/>
              <c:showPercent val="1"/>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1-74C7-4B28-A7F2-3ECA4184126F}"/>
                </c:ext>
              </c:extLst>
            </c:dLbl>
            <c:dLbl>
              <c:idx val="1"/>
              <c:layout/>
              <c:tx>
                <c:rich>
                  <a:bodyPr/>
                  <a:lstStyle/>
                  <a:p>
                    <a:fld id="{635D9C6F-30DB-44AB-849A-ED2DF9F14F7D}" type="CELLRANGE">
                      <a:rPr lang="en-US"/>
                      <a:pPr/>
                      <a:t>[CELLRANGE]</a:t>
                    </a:fld>
                    <a:r>
                      <a:rPr lang="en-US" baseline="0"/>
                      <a:t>, </a:t>
                    </a:r>
                    <a:fld id="{F9C43856-FF0A-4F6D-ABB4-8E9FAD81F772}" type="PERCENTAGE">
                      <a:rPr lang="en-US" baseline="0"/>
                      <a:pPr/>
                      <a:t>[PERCENTAGE]</a:t>
                    </a:fld>
                    <a:endParaRPr lang="en-US" baseline="0"/>
                  </a:p>
                </c:rich>
              </c:tx>
              <c:dLblPos val="ctr"/>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74C7-4B28-A7F2-3ECA4184126F}"/>
                </c:ext>
              </c:extLst>
            </c:dLbl>
            <c:dLbl>
              <c:idx val="2"/>
              <c:layout/>
              <c:tx>
                <c:rich>
                  <a:bodyPr/>
                  <a:lstStyle/>
                  <a:p>
                    <a:fld id="{732E662B-C4E7-4264-A2FC-29AE75D80F7C}" type="CELLRANGE">
                      <a:rPr lang="en-US"/>
                      <a:pPr/>
                      <a:t>[CELLRANGE]</a:t>
                    </a:fld>
                    <a:r>
                      <a:rPr lang="en-US" baseline="0"/>
                      <a:t>, </a:t>
                    </a:r>
                    <a:fld id="{353696D6-9249-4A96-9F20-24529935B78A}" type="PERCENTAGE">
                      <a:rPr lang="en-US" baseline="0"/>
                      <a:pPr/>
                      <a:t>[PERCENTAGE]</a:t>
                    </a:fld>
                    <a:endParaRPr lang="en-US" baseline="0"/>
                  </a:p>
                </c:rich>
              </c:tx>
              <c:dLblPos val="ctr"/>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74C7-4B28-A7F2-3ECA4184126F}"/>
                </c:ext>
              </c:extLst>
            </c:dLbl>
            <c:spPr>
              <a:solidFill>
                <a:sysClr val="window" lastClr="FFFFFF"/>
              </a:solid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layout/>
                <c15:showDataLabelsRange val="1"/>
              </c:ext>
            </c:extLst>
          </c:dLbls>
          <c:cat>
            <c:strRef>
              <c:f>'Risk Free Rate &amp; ERP'!$B$12:$B$14</c:f>
              <c:strCache>
                <c:ptCount val="3"/>
                <c:pt idx="0">
                  <c:v>United States</c:v>
                </c:pt>
                <c:pt idx="1">
                  <c:v>United Kingdom</c:v>
                </c:pt>
                <c:pt idx="2">
                  <c:v>Rest of the world</c:v>
                </c:pt>
              </c:strCache>
            </c:strRef>
          </c:cat>
          <c:val>
            <c:numRef>
              <c:f>'Risk Free Rate &amp; ERP'!$C$12:$C$14</c:f>
              <c:numCache>
                <c:formatCode>_("$"* #,##0_);_("$"* \(#,##0\);_("$"* "-"??_);_(@_)</c:formatCode>
                <c:ptCount val="3"/>
                <c:pt idx="0">
                  <c:v>1429.65</c:v>
                </c:pt>
                <c:pt idx="1">
                  <c:v>343.78800000000001</c:v>
                </c:pt>
                <c:pt idx="2">
                  <c:v>792.673</c:v>
                </c:pt>
              </c:numCache>
            </c:numRef>
          </c:val>
          <c:extLst>
            <c:ext xmlns:c15="http://schemas.microsoft.com/office/drawing/2012/chart" uri="{02D57815-91ED-43cb-92C2-25804820EDAC}">
              <c15:datalabelsRange>
                <c15:f>'Risk Free Rate &amp; ERP'!$B$12:$B$14</c15:f>
                <c15:dlblRangeCache>
                  <c:ptCount val="3"/>
                  <c:pt idx="0">
                    <c:v>United States</c:v>
                  </c:pt>
                  <c:pt idx="1">
                    <c:v>United Kingdom</c:v>
                  </c:pt>
                  <c:pt idx="2">
                    <c:v>Rest of the world</c:v>
                  </c:pt>
                </c15:dlblRangeCache>
              </c15:datalabelsRange>
            </c:ext>
            <c:ext xmlns:c16="http://schemas.microsoft.com/office/drawing/2014/chart" uri="{C3380CC4-5D6E-409C-BE32-E72D297353CC}">
              <c16:uniqueId val="{00000014-74C7-4B28-A7F2-3ECA4184126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'Accounting Adjustments'!$B$50</c:f>
              <c:strCache>
                <c:ptCount val="1"/>
                <c:pt idx="0">
                  <c:v>EBIT Margin %</c:v>
                </c:pt>
              </c:strCache>
            </c:strRef>
          </c:tx>
          <c:spPr>
            <a:solidFill>
              <a:srgbClr val="F9D1B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'Accounting Adjustments'!$C$4:$G$4</c:f>
              <c:numCache>
                <c:formatCode>yyyy\A</c:formatCode>
                <c:ptCount val="5"/>
                <c:pt idx="0">
                  <c:v>43101</c:v>
                </c:pt>
                <c:pt idx="1">
                  <c:v>43466</c:v>
                </c:pt>
                <c:pt idx="2">
                  <c:v>43831</c:v>
                </c:pt>
                <c:pt idx="3">
                  <c:v>44197</c:v>
                </c:pt>
                <c:pt idx="4">
                  <c:v>44562</c:v>
                </c:pt>
              </c:numCache>
            </c:numRef>
          </c:cat>
          <c:val>
            <c:numRef>
              <c:f>'Accounting Adjustments'!$D$50:$G$50</c:f>
              <c:numCache>
                <c:formatCode>0%</c:formatCode>
                <c:ptCount val="4"/>
                <c:pt idx="0">
                  <c:v>0.20888488096590946</c:v>
                </c:pt>
                <c:pt idx="1">
                  <c:v>0.46852010141253181</c:v>
                </c:pt>
                <c:pt idx="2">
                  <c:v>0.4154179085552131</c:v>
                </c:pt>
                <c:pt idx="3">
                  <c:v>0.37382940566483663</c:v>
                </c:pt>
              </c:numCache>
            </c:numRef>
          </c:val>
          <c:extLst>
            <c:ext xmlns:c16="http://schemas.microsoft.com/office/drawing/2014/chart" uri="{C3380CC4-5D6E-409C-BE32-E72D297353CC}">
              <c16:uniqueId val="{00000000-939C-4706-ACAE-7DD4377B791F}"/>
            </c:ext>
          </c:extLst>
        </c:ser>
        <c:ser>
          <c:idx val="1"/>
          <c:order val="1"/>
          <c:tx>
            <c:strRef>
              <c:f>'Accounting Adjustments'!$B$51</c:f>
              <c:strCache>
                <c:ptCount val="1"/>
                <c:pt idx="0">
                  <c:v>Return on Capital %</c:v>
                </c:pt>
              </c:strCache>
            </c:strRef>
          </c:tx>
          <c:spPr>
            <a:solidFill>
              <a:srgbClr val="EB6D2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'Accounting Adjustments'!$C$4:$G$4</c:f>
              <c:numCache>
                <c:formatCode>yyyy\A</c:formatCode>
                <c:ptCount val="5"/>
                <c:pt idx="0">
                  <c:v>43101</c:v>
                </c:pt>
                <c:pt idx="1">
                  <c:v>43466</c:v>
                </c:pt>
                <c:pt idx="2">
                  <c:v>43831</c:v>
                </c:pt>
                <c:pt idx="3">
                  <c:v>44197</c:v>
                </c:pt>
                <c:pt idx="4">
                  <c:v>44562</c:v>
                </c:pt>
              </c:numCache>
            </c:numRef>
          </c:cat>
          <c:val>
            <c:numRef>
              <c:f>'Accounting Adjustments'!$D$51:$G$51</c:f>
              <c:numCache>
                <c:formatCode>0%</c:formatCode>
                <c:ptCount val="4"/>
                <c:pt idx="0">
                  <c:v>0.25560209585721266</c:v>
                </c:pt>
                <c:pt idx="1">
                  <c:v>0.99559347021743394</c:v>
                </c:pt>
                <c:pt idx="2">
                  <c:v>0.29397578988425532</c:v>
                </c:pt>
                <c:pt idx="3">
                  <c:v>0.59303076955210821</c:v>
                </c:pt>
              </c:numCache>
            </c:numRef>
          </c:val>
          <c:extLst>
            <c:ext xmlns:c16="http://schemas.microsoft.com/office/drawing/2014/chart" uri="{C3380CC4-5D6E-409C-BE32-E72D297353CC}">
              <c16:uniqueId val="{00000001-939C-4706-ACAE-7DD4377B791F}"/>
            </c:ext>
          </c:extLst>
        </c:ser>
        <c:dLbls>
          <c:showLegendKey val="0"/>
          <c:showVal val="0"/>
          <c:showCatName val="0"/>
          <c:showSerName val="0"/>
          <c:showPercent val="0"/>
          <c:showBubbleSize val="0"/>
        </c:dLbls>
        <c:gapWidth val="219"/>
        <c:overlap val="-27"/>
        <c:axId val="861408064"/>
        <c:axId val="861410144"/>
      </c:barChart>
      <c:dateAx>
        <c:axId val="861408064"/>
        <c:scaling>
          <c:orientation val="minMax"/>
        </c:scaling>
        <c:delete val="0"/>
        <c:axPos val="b"/>
        <c:numFmt formatCode="yyyy\A"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ontserrat" panose="00000500000000000000" pitchFamily="2" charset="0"/>
                <a:ea typeface="+mn-ea"/>
                <a:cs typeface="Arial" panose="020B0604020202020204" pitchFamily="34" charset="0"/>
              </a:defRPr>
            </a:pPr>
            <a:endParaRPr lang="en-US"/>
          </a:p>
        </c:txPr>
        <c:crossAx val="861410144"/>
        <c:crosses val="autoZero"/>
        <c:auto val="1"/>
        <c:lblOffset val="100"/>
        <c:baseTimeUnit val="years"/>
      </c:dateAx>
      <c:valAx>
        <c:axId val="8614101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861408064"/>
        <c:crosses val="autoZero"/>
        <c:crossBetween val="between"/>
      </c:val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Drivers!$I$22</c:f>
              <c:strCache>
                <c:ptCount val="1"/>
                <c:pt idx="0">
                  <c:v>Min</c:v>
                </c:pt>
              </c:strCache>
            </c:strRef>
          </c:tx>
          <c:spPr>
            <a:noFill/>
            <a:ln>
              <a:noFill/>
            </a:ln>
            <a:effectLst/>
          </c:spPr>
          <c:invertIfNegative val="0"/>
          <c:dLbls>
            <c:spPr>
              <a:noFill/>
              <a:ln>
                <a:noFill/>
              </a:ln>
              <a:effectLst/>
            </c:spPr>
            <c:txPr>
              <a:bodyPr rot="0" spcFirstLastPara="1" vertOverflow="overflow" horzOverflow="overflow"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ontserrat SemiBold" panose="00000700000000000000" pitchFamily="2"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Drivers!$H$23:$H$26</c:f>
              <c:strCache>
                <c:ptCount val="4"/>
                <c:pt idx="0">
                  <c:v>52 Week Range</c:v>
                </c:pt>
                <c:pt idx="1">
                  <c:v>Analyst's Range</c:v>
                </c:pt>
                <c:pt idx="2">
                  <c:v>DCF Valuation</c:v>
                </c:pt>
                <c:pt idx="3">
                  <c:v>Precedent - EVSales</c:v>
                </c:pt>
              </c:strCache>
            </c:strRef>
          </c:cat>
          <c:val>
            <c:numRef>
              <c:f>Drivers!$I$23:$I$26</c:f>
              <c:numCache>
                <c:formatCode>_("$"* #,##0_);_("$"* \(#,##0\);_("$"* "-"??_);_(@_)</c:formatCode>
                <c:ptCount val="4"/>
                <c:pt idx="0">
                  <c:v>67.010000000000005</c:v>
                </c:pt>
                <c:pt idx="1">
                  <c:v>47</c:v>
                </c:pt>
                <c:pt idx="2">
                  <c:v>45.332634170817293</c:v>
                </c:pt>
                <c:pt idx="3">
                  <c:v>94.251736498204849</c:v>
                </c:pt>
              </c:numCache>
            </c:numRef>
          </c:val>
          <c:extLst>
            <c:ext xmlns:c16="http://schemas.microsoft.com/office/drawing/2014/chart" uri="{C3380CC4-5D6E-409C-BE32-E72D297353CC}">
              <c16:uniqueId val="{00000000-BB5D-4FA6-A935-2EF9442B74D5}"/>
            </c:ext>
          </c:extLst>
        </c:ser>
        <c:ser>
          <c:idx val="1"/>
          <c:order val="1"/>
          <c:tx>
            <c:strRef>
              <c:f>Drivers!$J$22</c:f>
              <c:strCache>
                <c:ptCount val="1"/>
                <c:pt idx="0">
                  <c:v>Difference</c:v>
                </c:pt>
              </c:strCache>
            </c:strRef>
          </c:tx>
          <c:spPr>
            <a:solidFill>
              <a:srgbClr val="EB6D20"/>
            </a:solidFill>
            <a:ln>
              <a:noFill/>
            </a:ln>
            <a:effectLst/>
          </c:spPr>
          <c:invertIfNegative val="0"/>
          <c:cat>
            <c:strRef>
              <c:f>Drivers!$H$23:$H$26</c:f>
              <c:strCache>
                <c:ptCount val="4"/>
                <c:pt idx="0">
                  <c:v>52 Week Range</c:v>
                </c:pt>
                <c:pt idx="1">
                  <c:v>Analyst's Range</c:v>
                </c:pt>
                <c:pt idx="2">
                  <c:v>DCF Valuation</c:v>
                </c:pt>
                <c:pt idx="3">
                  <c:v>Precedent - EVSales</c:v>
                </c:pt>
              </c:strCache>
            </c:strRef>
          </c:cat>
          <c:val>
            <c:numRef>
              <c:f>Drivers!$J$23:$J$26</c:f>
              <c:numCache>
                <c:formatCode>_("$"* #,##0_);_("$"* \(#,##0\);_("$"* "-"??_);_(@_)</c:formatCode>
                <c:ptCount val="4"/>
                <c:pt idx="0">
                  <c:v>82.899999999999991</c:v>
                </c:pt>
                <c:pt idx="1">
                  <c:v>139</c:v>
                </c:pt>
                <c:pt idx="2">
                  <c:v>40.46794808238473</c:v>
                </c:pt>
                <c:pt idx="3">
                  <c:v>36.433584632791309</c:v>
                </c:pt>
              </c:numCache>
            </c:numRef>
          </c:val>
          <c:extLst>
            <c:ext xmlns:c16="http://schemas.microsoft.com/office/drawing/2014/chart" uri="{C3380CC4-5D6E-409C-BE32-E72D297353CC}">
              <c16:uniqueId val="{00000001-BB5D-4FA6-A935-2EF9442B74D5}"/>
            </c:ext>
          </c:extLst>
        </c:ser>
        <c:ser>
          <c:idx val="2"/>
          <c:order val="2"/>
          <c:tx>
            <c:strRef>
              <c:f>Drivers!$K$22</c:f>
              <c:strCache>
                <c:ptCount val="1"/>
                <c:pt idx="0">
                  <c:v>Max</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ontserrat SemiBold" panose="00000700000000000000" pitchFamily="2"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Drivers!$H$23:$H$26</c:f>
              <c:strCache>
                <c:ptCount val="4"/>
                <c:pt idx="0">
                  <c:v>52 Week Range</c:v>
                </c:pt>
                <c:pt idx="1">
                  <c:v>Analyst's Range</c:v>
                </c:pt>
                <c:pt idx="2">
                  <c:v>DCF Valuation</c:v>
                </c:pt>
                <c:pt idx="3">
                  <c:v>Precedent - EVSales</c:v>
                </c:pt>
              </c:strCache>
            </c:strRef>
          </c:cat>
          <c:val>
            <c:numRef>
              <c:f>Drivers!$K$23:$K$26</c:f>
              <c:numCache>
                <c:formatCode>_("$"* #,##0_);_("$"* \(#,##0\);_("$"* "-"??_);_(@_)</c:formatCode>
                <c:ptCount val="4"/>
                <c:pt idx="0">
                  <c:v>149.91</c:v>
                </c:pt>
                <c:pt idx="1">
                  <c:v>186</c:v>
                </c:pt>
                <c:pt idx="2">
                  <c:v>85.800582253202023</c:v>
                </c:pt>
                <c:pt idx="3">
                  <c:v>130.68532113099616</c:v>
                </c:pt>
              </c:numCache>
            </c:numRef>
          </c:val>
          <c:extLst>
            <c:ext xmlns:c16="http://schemas.microsoft.com/office/drawing/2014/chart" uri="{C3380CC4-5D6E-409C-BE32-E72D297353CC}">
              <c16:uniqueId val="{00000002-BB5D-4FA6-A935-2EF9442B74D5}"/>
            </c:ext>
          </c:extLst>
        </c:ser>
        <c:dLbls>
          <c:showLegendKey val="0"/>
          <c:showVal val="0"/>
          <c:showCatName val="0"/>
          <c:showSerName val="0"/>
          <c:showPercent val="0"/>
          <c:showBubbleSize val="0"/>
        </c:dLbls>
        <c:gapWidth val="126"/>
        <c:overlap val="100"/>
        <c:axId val="1932513040"/>
        <c:axId val="1932508880"/>
      </c:barChart>
      <c:catAx>
        <c:axId val="19325130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tamaran" pitchFamily="2" charset="0"/>
                <a:ea typeface="+mn-ea"/>
                <a:cs typeface="Catamaran" pitchFamily="2" charset="0"/>
              </a:defRPr>
            </a:pPr>
            <a:endParaRPr lang="en-US"/>
          </a:p>
        </c:txPr>
        <c:crossAx val="1932508880"/>
        <c:crosses val="autoZero"/>
        <c:auto val="1"/>
        <c:lblAlgn val="ctr"/>
        <c:lblOffset val="100"/>
        <c:noMultiLvlLbl val="0"/>
      </c:catAx>
      <c:valAx>
        <c:axId val="1932508880"/>
        <c:scaling>
          <c:orientation val="minMax"/>
          <c:max val="190"/>
          <c:min val="30"/>
        </c:scaling>
        <c:delete val="1"/>
        <c:axPos val="t"/>
        <c:majorGridlines>
          <c:spPr>
            <a:ln w="9525" cap="flat" cmpd="sng" algn="ctr">
              <a:solidFill>
                <a:schemeClr val="tx1">
                  <a:lumMod val="15000"/>
                  <a:lumOff val="85000"/>
                </a:schemeClr>
              </a:solidFill>
              <a:round/>
            </a:ln>
            <a:effectLst/>
          </c:spPr>
        </c:majorGridlines>
        <c:numFmt formatCode="_(&quot;$&quot;* #,##0.0_);_(&quot;$&quot;* \(#,###\);_(&quot;$&quot;* &quot;-&quot;??_);_(@_)" sourceLinked="0"/>
        <c:majorTickMark val="none"/>
        <c:minorTickMark val="none"/>
        <c:tickLblPos val="nextTo"/>
        <c:crossAx val="1932513040"/>
        <c:crosses val="autoZero"/>
        <c:crossBetween val="between"/>
        <c:majorUnit val="4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'Optimal Cost of Capital'!$O$34</c:f>
              <c:strCache>
                <c:ptCount val="1"/>
                <c:pt idx="0">
                  <c:v>WACC</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5-771A-439C-AA69-E1F6DCDAE81E}"/>
              </c:ext>
            </c:extLst>
          </c:dPt>
          <c:dPt>
            <c:idx val="1"/>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A42-4E38-980B-E2EFD989FD9B}"/>
              </c:ext>
            </c:extLst>
          </c:dPt>
          <c:dPt>
            <c:idx val="4"/>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2-21FC-4376-B3A8-DB3B1F3E9D61}"/>
              </c:ext>
            </c:extLst>
          </c:dPt>
          <c:dPt>
            <c:idx val="5"/>
            <c:marker>
              <c:symbol val="circle"/>
              <c:size val="5"/>
              <c:spPr>
                <a:solidFill>
                  <a:srgbClr val="F9D1B9"/>
                </a:solidFill>
                <a:ln w="9525">
                  <a:solidFill>
                    <a:sysClr val="windowText" lastClr="000000"/>
                  </a:solidFill>
                </a:ln>
                <a:effectLst/>
              </c:spPr>
            </c:marker>
            <c:bubble3D val="0"/>
            <c:extLst>
              <c:ext xmlns:c16="http://schemas.microsoft.com/office/drawing/2014/chart" uri="{C3380CC4-5D6E-409C-BE32-E72D297353CC}">
                <c16:uniqueId val="{00000003-38E7-413F-A9B5-82FD563A4058}"/>
              </c:ext>
            </c:extLst>
          </c:dPt>
          <c:xVal>
            <c:numRef>
              <c:f>'Optimal Cost of Capital'!$B$35:$B$44</c:f>
              <c:numCache>
                <c:formatCode>0%</c:formatCode>
                <c:ptCount val="10"/>
                <c:pt idx="0">
                  <c:v>0.1</c:v>
                </c:pt>
                <c:pt idx="1">
                  <c:v>0.11</c:v>
                </c:pt>
                <c:pt idx="2">
                  <c:v>0.12</c:v>
                </c:pt>
                <c:pt idx="3">
                  <c:v>0.13</c:v>
                </c:pt>
                <c:pt idx="4">
                  <c:v>0.14000000000000001</c:v>
                </c:pt>
                <c:pt idx="5">
                  <c:v>0.15</c:v>
                </c:pt>
                <c:pt idx="6">
                  <c:v>0.16</c:v>
                </c:pt>
                <c:pt idx="7">
                  <c:v>0.17</c:v>
                </c:pt>
                <c:pt idx="8">
                  <c:v>0.18</c:v>
                </c:pt>
                <c:pt idx="9">
                  <c:v>0.19</c:v>
                </c:pt>
              </c:numCache>
            </c:numRef>
          </c:xVal>
          <c:yVal>
            <c:numRef>
              <c:f>'Optimal Cost of Capital'!$O$35:$O$44</c:f>
              <c:numCache>
                <c:formatCode>0.000%</c:formatCode>
                <c:ptCount val="10"/>
                <c:pt idx="0">
                  <c:v>8.4829890303466854E-2</c:v>
                </c:pt>
                <c:pt idx="1">
                  <c:v>8.4693764465934532E-2</c:v>
                </c:pt>
                <c:pt idx="2">
                  <c:v>8.4557638628402196E-2</c:v>
                </c:pt>
                <c:pt idx="3">
                  <c:v>8.4673276526648952E-2</c:v>
                </c:pt>
                <c:pt idx="4">
                  <c:v>8.4556517130330425E-2</c:v>
                </c:pt>
                <c:pt idx="5">
                  <c:v>8.4439757734011855E-2</c:v>
                </c:pt>
                <c:pt idx="6">
                  <c:v>8.4942724456534155E-2</c:v>
                </c:pt>
                <c:pt idx="7">
                  <c:v>8.4864697942643147E-2</c:v>
                </c:pt>
                <c:pt idx="8">
                  <c:v>8.5204986558969728E-2</c:v>
                </c:pt>
                <c:pt idx="9">
                  <c:v>8.5150199774535265E-2</c:v>
                </c:pt>
              </c:numCache>
            </c:numRef>
          </c:yVal>
          <c:smooth val="0"/>
          <c:extLst>
            <c:ext xmlns:c16="http://schemas.microsoft.com/office/drawing/2014/chart" uri="{C3380CC4-5D6E-409C-BE32-E72D297353CC}">
              <c16:uniqueId val="{00000000-771A-439C-AA69-E1F6DCDAE81E}"/>
            </c:ext>
          </c:extLst>
        </c:ser>
        <c:dLbls>
          <c:showLegendKey val="0"/>
          <c:showVal val="0"/>
          <c:showCatName val="0"/>
          <c:showSerName val="0"/>
          <c:showPercent val="0"/>
          <c:showBubbleSize val="0"/>
        </c:dLbls>
        <c:axId val="1184005280"/>
        <c:axId val="1184006944"/>
      </c:scatterChart>
      <c:valAx>
        <c:axId val="1184005280"/>
        <c:scaling>
          <c:orientation val="minMax"/>
          <c:min val="0.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6944"/>
        <c:crosses val="autoZero"/>
        <c:crossBetween val="midCat"/>
      </c:valAx>
      <c:valAx>
        <c:axId val="11840069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528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'Adjusted Present Value'!$J$32</c:f>
              <c:strCache>
                <c:ptCount val="1"/>
                <c:pt idx="0">
                  <c:v>Value of Unlevered Firm</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7AA-47C4-A6F2-50DEAFE6FED9}"/>
              </c:ext>
            </c:extLst>
          </c:dPt>
          <c:dPt>
            <c:idx val="1"/>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2-E9DB-4525-B6F4-F287B926538A}"/>
              </c:ext>
            </c:extLst>
          </c:dPt>
          <c:dPt>
            <c:idx val="7"/>
            <c:marker>
              <c:symbol val="circle"/>
              <c:size val="5"/>
              <c:spPr>
                <a:solidFill>
                  <a:srgbClr val="F9D1B9"/>
                </a:solidFill>
                <a:ln w="9525">
                  <a:solidFill>
                    <a:sysClr val="windowText" lastClr="000000"/>
                  </a:solidFill>
                </a:ln>
                <a:effectLst/>
              </c:spPr>
            </c:marker>
            <c:bubble3D val="0"/>
            <c:extLst>
              <c:ext xmlns:c16="http://schemas.microsoft.com/office/drawing/2014/chart" uri="{C3380CC4-5D6E-409C-BE32-E72D297353CC}">
                <c16:uniqueId val="{00000002-1BE1-4FBA-B0B1-250FAEDBEE01}"/>
              </c:ext>
            </c:extLst>
          </c:dPt>
          <c:xVal>
            <c:numRef>
              <c:f>'Adjusted Present Value'!$B$33:$B$42</c:f>
              <c:numCache>
                <c:formatCode>0%</c:formatCode>
                <c:ptCount val="10"/>
                <c:pt idx="0">
                  <c:v>0.25</c:v>
                </c:pt>
                <c:pt idx="1">
                  <c:v>0.26</c:v>
                </c:pt>
                <c:pt idx="2">
                  <c:v>0.27</c:v>
                </c:pt>
                <c:pt idx="3">
                  <c:v>0.28000000000000003</c:v>
                </c:pt>
                <c:pt idx="4">
                  <c:v>0.28999999999999998</c:v>
                </c:pt>
                <c:pt idx="5">
                  <c:v>0.3</c:v>
                </c:pt>
                <c:pt idx="6">
                  <c:v>0.31</c:v>
                </c:pt>
                <c:pt idx="7">
                  <c:v>0.32</c:v>
                </c:pt>
                <c:pt idx="8">
                  <c:v>0.33</c:v>
                </c:pt>
                <c:pt idx="9">
                  <c:v>0.34</c:v>
                </c:pt>
              </c:numCache>
            </c:numRef>
          </c:xVal>
          <c:yVal>
            <c:numRef>
              <c:f>'Adjusted Present Value'!$J$33:$J$42</c:f>
              <c:numCache>
                <c:formatCode>_("$"* #,##0_);_("$"* \(#,##0\);_("$"* "-"??_);_(@_)</c:formatCode>
                <c:ptCount val="10"/>
                <c:pt idx="0">
                  <c:v>15985.933483159017</c:v>
                </c:pt>
                <c:pt idx="1">
                  <c:v>16021.145299080643</c:v>
                </c:pt>
                <c:pt idx="2">
                  <c:v>15864.829024564544</c:v>
                </c:pt>
                <c:pt idx="3">
                  <c:v>15900.04084048617</c:v>
                </c:pt>
                <c:pt idx="4">
                  <c:v>15935.252656407796</c:v>
                </c:pt>
                <c:pt idx="5">
                  <c:v>15970.464472329422</c:v>
                </c:pt>
                <c:pt idx="6">
                  <c:v>16005.676288251048</c:v>
                </c:pt>
                <c:pt idx="7">
                  <c:v>16040.888104172675</c:v>
                </c:pt>
                <c:pt idx="8">
                  <c:v>14652.559787594848</c:v>
                </c:pt>
                <c:pt idx="9">
                  <c:v>14687.77160351647</c:v>
                </c:pt>
              </c:numCache>
            </c:numRef>
          </c:yVal>
          <c:smooth val="0"/>
          <c:extLst>
            <c:ext xmlns:c16="http://schemas.microsoft.com/office/drawing/2014/chart" uri="{C3380CC4-5D6E-409C-BE32-E72D297353CC}">
              <c16:uniqueId val="{00000000-E9DB-4525-B6F4-F287B926538A}"/>
            </c:ext>
          </c:extLst>
        </c:ser>
        <c:dLbls>
          <c:showLegendKey val="0"/>
          <c:showVal val="0"/>
          <c:showCatName val="0"/>
          <c:showSerName val="0"/>
          <c:showPercent val="0"/>
          <c:showBubbleSize val="0"/>
        </c:dLbls>
        <c:axId val="737832495"/>
        <c:axId val="737828335"/>
      </c:scatterChart>
      <c:valAx>
        <c:axId val="737832495"/>
        <c:scaling>
          <c:orientation val="minMax"/>
          <c:min val="0.25"/>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28335"/>
        <c:crosses val="autoZero"/>
        <c:crossBetween val="midCat"/>
      </c:valAx>
      <c:valAx>
        <c:axId val="73782833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32495"/>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5A5DD700-5AF0-4EF6-9271-0F3D09B709EF}" formatIdx="0">
          <cx:spPr>
            <a:solidFill>
              <a:srgbClr val="FF5A5F"/>
            </a:solidFill>
          </cx:spPr>
          <cx:dataPt idx="0">
            <cx:spPr>
              <a:solidFill>
                <a:srgbClr val="EB6D20"/>
              </a:solidFill>
              <a:ln>
                <a:noFill/>
              </a:ln>
            </cx:spPr>
          </cx:dataPt>
          <cx:dataPt idx="1">
            <cx:spPr>
              <a:solidFill>
                <a:srgbClr val="F9D1B9"/>
              </a:solidFill>
              <a:ln>
                <a:noFill/>
              </a:ln>
            </cx:spPr>
          </cx:dataPt>
          <cx:dataPt idx="2">
            <cx:spPr>
              <a:solidFill>
                <a:srgbClr val="F9D1B9"/>
              </a:solidFill>
              <a:ln>
                <a:noFill/>
              </a:ln>
            </cx:spPr>
          </cx:dataPt>
          <cx:dataPt idx="3">
            <cx:spPr>
              <a:solidFill>
                <a:srgbClr val="F9D1B9"/>
              </a:solidFill>
              <a:ln>
                <a:noFill/>
              </a:ln>
            </cx:spPr>
          </cx:dataPt>
          <cx:dataPt idx="4">
            <cx:spPr>
              <a:solidFill>
                <a:srgbClr val="F9D1B9"/>
              </a:solidFill>
              <a:ln>
                <a:noFill/>
              </a:ln>
            </cx:spPr>
          </cx:dataPt>
          <cx:dataPt idx="5">
            <cx:spPr>
              <a:solidFill>
                <a:srgbClr val="EB6D20"/>
              </a:solidFill>
              <a:ln>
                <a:noFill/>
              </a:ln>
            </cx:spPr>
          </cx:dataPt>
          <cx:dataPt idx="6">
            <cx:spPr>
              <a:solidFill>
                <a:schemeClr val="accent3">
                  <a:lumMod val="60000"/>
                  <a:lumOff val="40000"/>
                </a:schemeClr>
              </a:solidFill>
              <a:ln>
                <a:noFill/>
              </a:ln>
            </cx:spPr>
          </cx:dataPt>
          <cx:dataPt idx="7">
            <cx:spPr>
              <a:solidFill>
                <a:srgbClr val="1ED760"/>
              </a:solidFill>
              <a:ln>
                <a:noFill/>
              </a:ln>
            </cx:spPr>
          </cx:dataPt>
          <cx:dataLabels pos="outEnd">
            <cx:txPr>
              <a:bodyPr spcFirstLastPara="1" vertOverflow="ellipsis" wrap="square" lIns="0" tIns="0" rIns="0" bIns="0" anchor="ctr" anchorCtr="1">
                <a:spAutoFit/>
              </a:bodyPr>
              <a:lstStyle/>
              <a:p>
                <a:pPr>
                  <a:defRPr lang="en-US" sz="800" b="1" i="0" u="none" strike="noStrike" kern="1200" baseline="0">
                    <a:solidFill>
                      <a:sysClr val="windowText" lastClr="000000">
                        <a:lumMod val="75000"/>
                        <a:lumOff val="25000"/>
                      </a:sysClr>
                    </a:solidFill>
                    <a:latin typeface="Calibri" panose="020F0502020204030204"/>
                  </a:defRPr>
                </a:pPr>
                <a:endParaRPr lang="en-US" sz="800" b="1" i="0"/>
              </a:p>
            </cx:txPr>
            <cx:visibility seriesName="0" categoryName="0" value="1"/>
            <cx:dataLabel idx="0" pos="outEnd">
              <cx:txPr>
                <a:bodyPr spcFirstLastPara="1" vertOverflow="ellipsis" wrap="square" lIns="0" tIns="0" rIns="0" bIns="0" anchor="ctr" anchorCtr="1">
                  <a:spAutoFit/>
                </a:bodyPr>
                <a:lstStyle/>
                <a:p>
                  <a:pPr>
                    <a:defRPr lang="en-US" sz="800" b="1" i="0" u="none" strike="noStrike" kern="1200" baseline="0">
                      <a:solidFill>
                        <a:sysClr val="windowText" lastClr="000000">
                          <a:lumMod val="75000"/>
                          <a:lumOff val="25000"/>
                        </a:sysClr>
                      </a:solidFill>
                      <a:latin typeface="Calibri" panose="020F0502020204030204"/>
                    </a:defRPr>
                  </a:pPr>
                  <a:r>
                    <a:rPr lang="en-US" b="1"/>
                    <a:t> $2,566 </a:t>
                  </a:r>
                </a:p>
              </cx:txPr>
              <cx:visibility seriesName="0" categoryName="0" value="1"/>
            </cx:dataLabel>
            <cx:dataLabel idx="1" pos="outEnd">
              <cx:txPr>
                <a:bodyPr spcFirstLastPara="1" vertOverflow="ellipsis" wrap="square" lIns="0" tIns="0" rIns="0" bIns="0" anchor="ctr" anchorCtr="1">
                  <a:spAutoFit/>
                </a:bodyPr>
                <a:lstStyle/>
                <a:p>
                  <a:pPr>
                    <a:defRPr lang="en-US" sz="800" b="1" i="0" u="none" strike="noStrike" kern="1200" baseline="0">
                      <a:solidFill>
                        <a:sysClr val="windowText" lastClr="000000">
                          <a:lumMod val="75000"/>
                          <a:lumOff val="25000"/>
                        </a:sysClr>
                      </a:solidFill>
                      <a:latin typeface="Calibri" panose="020F0502020204030204"/>
                    </a:defRPr>
                  </a:pPr>
                  <a:r>
                    <a:rPr lang="en-US" sz="800" b="1"/>
                    <a:t> $(745)</a:t>
                  </a:r>
                </a:p>
              </cx:txPr>
              <cx:visibility seriesName="0" categoryName="0" value="1"/>
            </cx:dataLabel>
          </cx:dataLabels>
          <cx:dataId val="0"/>
          <cx:layoutPr>
            <cx:visibility connectorLines="0"/>
            <cx:subtotals>
              <cx:idx val="5"/>
            </cx:subtotals>
          </cx:layoutPr>
        </cx:series>
      </cx:plotAreaRegion>
      <cx:axis id="0">
        <cx:catScaling gapWidth="0.300000012"/>
        <cx:majorTickMarks type="out"/>
        <cx:minorTickMarks type="out"/>
        <cx:tickLabels/>
        <cx:txPr>
          <a:bodyPr spcFirstLastPara="1" vertOverflow="ellipsis" wrap="square" lIns="0" tIns="0" rIns="0" bIns="0" anchor="ctr" anchorCtr="1"/>
          <a:lstStyle/>
          <a:p>
            <a:pPr>
              <a:defRPr b="1"/>
            </a:pPr>
            <a:endParaRPr lang="en-US" b="1"/>
          </a:p>
        </cx:txPr>
      </cx:axis>
      <cx:axis id="1" hidden="1">
        <cx:valScaling/>
        <cx:tickLabels/>
      </cx:axis>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bodyPr/>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A87AE887-645D-4AB6-910D-AFE49B59BAE5}" type="doc">
      <dgm:prSet loTypeId="urn:microsoft.com/office/officeart/2005/8/layout/matrix3" loCatId="matrix" qsTypeId="urn:microsoft.com/office/officeart/2005/8/quickstyle/simple1" qsCatId="simple" csTypeId="urn:microsoft.com/office/officeart/2005/8/colors/accent1_2" csCatId="accent1" phldr="1"/>
      <dgm:spPr/>
      <dgm:t>
        <a:bodyPr/>
        <a:lstStyle/>
        <a:p>
          <a:endParaRPr lang="en-US"/>
        </a:p>
      </dgm:t>
    </dgm:pt>
    <dgm:pt modelId="{3B7A71BC-FA89-47E2-BC4D-9FAD0A5D11EE}">
      <dgm:prSet phldrT="[Text]" custT="1"/>
      <dgm:spPr>
        <a:noFill/>
        <a:ln>
          <a:solidFill>
            <a:srgbClr val="EB6D20"/>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Surplus + Poor Projects</a:t>
          </a:r>
        </a:p>
      </dgm:t>
    </dgm:pt>
    <dgm:pt modelId="{30CBBC97-DBDF-43FF-99AD-2A0BD071B8FB}" type="parTrans" cxnId="{2127E0DD-B3C7-4112-B4A9-0D33EA379479}">
      <dgm:prSet/>
      <dgm:spPr/>
      <dgm:t>
        <a:bodyPr/>
        <a:lstStyle/>
        <a:p>
          <a:endParaRPr lang="en-US"/>
        </a:p>
      </dgm:t>
    </dgm:pt>
    <dgm:pt modelId="{DAA12A3B-5E75-4CEF-AA0D-7AE536CCF894}" type="sibTrans" cxnId="{2127E0DD-B3C7-4112-B4A9-0D33EA379479}">
      <dgm:prSet/>
      <dgm:spPr/>
      <dgm:t>
        <a:bodyPr/>
        <a:lstStyle/>
        <a:p>
          <a:endParaRPr lang="en-US"/>
        </a:p>
      </dgm:t>
    </dgm:pt>
    <dgm:pt modelId="{6A0527B0-36F2-4B73-A638-CF609A58818B}">
      <dgm:prSet phldrT="[Text]" custT="1"/>
      <dgm:spPr>
        <a:solidFill>
          <a:srgbClr val="EB6D20"/>
        </a:solidFill>
        <a:ln>
          <a:solidFill>
            <a:srgbClr val="EB6D20"/>
          </a:solidFill>
        </a:ln>
      </dgm:spPr>
      <dgm:t>
        <a:bodyPr anchor="t"/>
        <a:lstStyle/>
        <a:p>
          <a:pPr algn="ctr"/>
          <a:endParaRPr lang="en-US" sz="1000" b="1" i="1">
            <a:solidFill>
              <a:schemeClr val="bg1"/>
            </a:solidFill>
          </a:endParaRPr>
        </a:p>
        <a:p>
          <a:pPr algn="ctr"/>
          <a:r>
            <a:rPr lang="en-US" sz="1000" b="1" i="1">
              <a:solidFill>
                <a:schemeClr val="bg1"/>
              </a:solidFill>
            </a:rPr>
            <a:t>Cash Surplus + Good Projects</a:t>
          </a:r>
        </a:p>
      </dgm:t>
    </dgm:pt>
    <dgm:pt modelId="{E1EBF0A7-96BA-4B5C-B373-9834D2256AC1}" type="parTrans" cxnId="{80A093ED-CB48-479D-A71F-07F40DCE59C1}">
      <dgm:prSet/>
      <dgm:spPr/>
      <dgm:t>
        <a:bodyPr/>
        <a:lstStyle/>
        <a:p>
          <a:endParaRPr lang="en-US"/>
        </a:p>
      </dgm:t>
    </dgm:pt>
    <dgm:pt modelId="{D853C850-8A9C-4970-A042-85F9B04EBDFA}" type="sibTrans" cxnId="{80A093ED-CB48-479D-A71F-07F40DCE59C1}">
      <dgm:prSet/>
      <dgm:spPr/>
      <dgm:t>
        <a:bodyPr/>
        <a:lstStyle/>
        <a:p>
          <a:endParaRPr lang="en-US"/>
        </a:p>
      </dgm:t>
    </dgm:pt>
    <dgm:pt modelId="{D36CBFB8-D3CE-498D-8D4E-5C125A2163ED}">
      <dgm:prSet phldrT="[Text]" custT="1"/>
      <dgm:spPr>
        <a:noFill/>
        <a:ln>
          <a:solidFill>
            <a:srgbClr val="EB6D20"/>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Deficit + Poor Projects</a:t>
          </a:r>
        </a:p>
      </dgm:t>
    </dgm:pt>
    <dgm:pt modelId="{BF1E04AB-6513-4409-B9E3-B96CF47B8A89}" type="parTrans" cxnId="{45D4F201-B93B-4215-8940-5AEF507A9B31}">
      <dgm:prSet/>
      <dgm:spPr/>
      <dgm:t>
        <a:bodyPr/>
        <a:lstStyle/>
        <a:p>
          <a:endParaRPr lang="en-US"/>
        </a:p>
      </dgm:t>
    </dgm:pt>
    <dgm:pt modelId="{81DBC2AF-D8B2-4D07-AF44-478B88333E8C}" type="sibTrans" cxnId="{45D4F201-B93B-4215-8940-5AEF507A9B31}">
      <dgm:prSet/>
      <dgm:spPr/>
      <dgm:t>
        <a:bodyPr/>
        <a:lstStyle/>
        <a:p>
          <a:endParaRPr lang="en-US"/>
        </a:p>
      </dgm:t>
    </dgm:pt>
    <dgm:pt modelId="{A8A7ABEC-1468-4B7C-B3A0-D4CF409B7A3A}">
      <dgm:prSet phldrT="[Text]" custT="1"/>
      <dgm:spPr>
        <a:noFill/>
        <a:ln>
          <a:solidFill>
            <a:srgbClr val="EB6D20"/>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Deficit + Good Projects</a:t>
          </a:r>
        </a:p>
      </dgm:t>
    </dgm:pt>
    <dgm:pt modelId="{21E16707-C8A9-4939-896E-D201FDF97EE4}" type="parTrans" cxnId="{62942049-EFD1-474C-B456-28C1B8AA0829}">
      <dgm:prSet/>
      <dgm:spPr/>
      <dgm:t>
        <a:bodyPr/>
        <a:lstStyle/>
        <a:p>
          <a:endParaRPr lang="en-US"/>
        </a:p>
      </dgm:t>
    </dgm:pt>
    <dgm:pt modelId="{CF475316-3B7D-4B30-8CD4-D6AD4AFD6709}" type="sibTrans" cxnId="{62942049-EFD1-474C-B456-28C1B8AA0829}">
      <dgm:prSet/>
      <dgm:spPr/>
      <dgm:t>
        <a:bodyPr/>
        <a:lstStyle/>
        <a:p>
          <a:endParaRPr lang="en-US"/>
        </a:p>
      </dgm:t>
    </dgm:pt>
    <dgm:pt modelId="{61BA6A0B-9CC8-4479-B73F-AAD096D83919}" type="pres">
      <dgm:prSet presAssocID="{A87AE887-645D-4AB6-910D-AFE49B59BAE5}" presName="matrix" presStyleCnt="0">
        <dgm:presLayoutVars>
          <dgm:chMax val="1"/>
          <dgm:dir/>
          <dgm:resizeHandles val="exact"/>
        </dgm:presLayoutVars>
      </dgm:prSet>
      <dgm:spPr/>
      <dgm:t>
        <a:bodyPr/>
        <a:lstStyle/>
        <a:p>
          <a:endParaRPr lang="en-US"/>
        </a:p>
      </dgm:t>
    </dgm:pt>
    <dgm:pt modelId="{68121200-9F91-42D1-A953-C31C49AE73E4}" type="pres">
      <dgm:prSet presAssocID="{A87AE887-645D-4AB6-910D-AFE49B59BAE5}" presName="diamond" presStyleLbl="bgShp" presStyleIdx="0" presStyleCnt="1" custLinFactNeighborX="-43750" custLinFactNeighborY="-5556"/>
      <dgm:spPr>
        <a:noFill/>
      </dgm:spPr>
    </dgm:pt>
    <dgm:pt modelId="{612610D0-C9D6-4361-A958-C243B3875A6D}" type="pres">
      <dgm:prSet presAssocID="{A87AE887-645D-4AB6-910D-AFE49B59BAE5}" presName="quad1" presStyleLbl="node1" presStyleIdx="0" presStyleCnt="4">
        <dgm:presLayoutVars>
          <dgm:chMax val="0"/>
          <dgm:chPref val="0"/>
          <dgm:bulletEnabled val="1"/>
        </dgm:presLayoutVars>
      </dgm:prSet>
      <dgm:spPr/>
      <dgm:t>
        <a:bodyPr/>
        <a:lstStyle/>
        <a:p>
          <a:endParaRPr lang="en-US"/>
        </a:p>
      </dgm:t>
    </dgm:pt>
    <dgm:pt modelId="{36A78E69-4D51-412F-B8D8-EE32E2B23F89}" type="pres">
      <dgm:prSet presAssocID="{A87AE887-645D-4AB6-910D-AFE49B59BAE5}" presName="quad2" presStyleLbl="node1" presStyleIdx="1" presStyleCnt="4">
        <dgm:presLayoutVars>
          <dgm:chMax val="0"/>
          <dgm:chPref val="0"/>
          <dgm:bulletEnabled val="1"/>
        </dgm:presLayoutVars>
      </dgm:prSet>
      <dgm:spPr/>
      <dgm:t>
        <a:bodyPr/>
        <a:lstStyle/>
        <a:p>
          <a:endParaRPr lang="en-US"/>
        </a:p>
      </dgm:t>
    </dgm:pt>
    <dgm:pt modelId="{6E5374E9-3063-44D1-A4E6-BD24F914E87F}" type="pres">
      <dgm:prSet presAssocID="{A87AE887-645D-4AB6-910D-AFE49B59BAE5}" presName="quad3" presStyleLbl="node1" presStyleIdx="2" presStyleCnt="4">
        <dgm:presLayoutVars>
          <dgm:chMax val="0"/>
          <dgm:chPref val="0"/>
          <dgm:bulletEnabled val="1"/>
        </dgm:presLayoutVars>
      </dgm:prSet>
      <dgm:spPr/>
      <dgm:t>
        <a:bodyPr/>
        <a:lstStyle/>
        <a:p>
          <a:endParaRPr lang="en-US"/>
        </a:p>
      </dgm:t>
    </dgm:pt>
    <dgm:pt modelId="{4EBBA46B-EC79-44F7-90DE-1561621BC3E5}" type="pres">
      <dgm:prSet presAssocID="{A87AE887-645D-4AB6-910D-AFE49B59BAE5}" presName="quad4" presStyleLbl="node1" presStyleIdx="3" presStyleCnt="4">
        <dgm:presLayoutVars>
          <dgm:chMax val="0"/>
          <dgm:chPref val="0"/>
          <dgm:bulletEnabled val="1"/>
        </dgm:presLayoutVars>
      </dgm:prSet>
      <dgm:spPr/>
      <dgm:t>
        <a:bodyPr/>
        <a:lstStyle/>
        <a:p>
          <a:endParaRPr lang="en-US"/>
        </a:p>
      </dgm:t>
    </dgm:pt>
  </dgm:ptLst>
  <dgm:cxnLst>
    <dgm:cxn modelId="{0C9D54E4-6CC4-43BD-A754-775DA8EA24E2}" type="presOf" srcId="{3B7A71BC-FA89-47E2-BC4D-9FAD0A5D11EE}" destId="{612610D0-C9D6-4361-A958-C243B3875A6D}" srcOrd="0" destOrd="0" presId="urn:microsoft.com/office/officeart/2005/8/layout/matrix3"/>
    <dgm:cxn modelId="{80A093ED-CB48-479D-A71F-07F40DCE59C1}" srcId="{A87AE887-645D-4AB6-910D-AFE49B59BAE5}" destId="{6A0527B0-36F2-4B73-A638-CF609A58818B}" srcOrd="1" destOrd="0" parTransId="{E1EBF0A7-96BA-4B5C-B373-9834D2256AC1}" sibTransId="{D853C850-8A9C-4970-A042-85F9B04EBDFA}"/>
    <dgm:cxn modelId="{62942049-EFD1-474C-B456-28C1B8AA0829}" srcId="{A87AE887-645D-4AB6-910D-AFE49B59BAE5}" destId="{A8A7ABEC-1468-4B7C-B3A0-D4CF409B7A3A}" srcOrd="3" destOrd="0" parTransId="{21E16707-C8A9-4939-896E-D201FDF97EE4}" sibTransId="{CF475316-3B7D-4B30-8CD4-D6AD4AFD6709}"/>
    <dgm:cxn modelId="{009CF931-4BFF-45A5-AC90-3D6E651B3E3C}" type="presOf" srcId="{D36CBFB8-D3CE-498D-8D4E-5C125A2163ED}" destId="{6E5374E9-3063-44D1-A4E6-BD24F914E87F}" srcOrd="0" destOrd="0" presId="urn:microsoft.com/office/officeart/2005/8/layout/matrix3"/>
    <dgm:cxn modelId="{2127E0DD-B3C7-4112-B4A9-0D33EA379479}" srcId="{A87AE887-645D-4AB6-910D-AFE49B59BAE5}" destId="{3B7A71BC-FA89-47E2-BC4D-9FAD0A5D11EE}" srcOrd="0" destOrd="0" parTransId="{30CBBC97-DBDF-43FF-99AD-2A0BD071B8FB}" sibTransId="{DAA12A3B-5E75-4CEF-AA0D-7AE536CCF894}"/>
    <dgm:cxn modelId="{4F649AD8-A863-42EC-9A3D-D39385B15282}" type="presOf" srcId="{A87AE887-645D-4AB6-910D-AFE49B59BAE5}" destId="{61BA6A0B-9CC8-4479-B73F-AAD096D83919}" srcOrd="0" destOrd="0" presId="urn:microsoft.com/office/officeart/2005/8/layout/matrix3"/>
    <dgm:cxn modelId="{45D4F201-B93B-4215-8940-5AEF507A9B31}" srcId="{A87AE887-645D-4AB6-910D-AFE49B59BAE5}" destId="{D36CBFB8-D3CE-498D-8D4E-5C125A2163ED}" srcOrd="2" destOrd="0" parTransId="{BF1E04AB-6513-4409-B9E3-B96CF47B8A89}" sibTransId="{81DBC2AF-D8B2-4D07-AF44-478B88333E8C}"/>
    <dgm:cxn modelId="{F2D73DE8-84EF-4CBE-99DB-63F3EDC245D5}" type="presOf" srcId="{6A0527B0-36F2-4B73-A638-CF609A58818B}" destId="{36A78E69-4D51-412F-B8D8-EE32E2B23F89}" srcOrd="0" destOrd="0" presId="urn:microsoft.com/office/officeart/2005/8/layout/matrix3"/>
    <dgm:cxn modelId="{0791DFD5-670D-4EEF-B786-483852237F32}" type="presOf" srcId="{A8A7ABEC-1468-4B7C-B3A0-D4CF409B7A3A}" destId="{4EBBA46B-EC79-44F7-90DE-1561621BC3E5}" srcOrd="0" destOrd="0" presId="urn:microsoft.com/office/officeart/2005/8/layout/matrix3"/>
    <dgm:cxn modelId="{FD7F2C5C-2D3B-4C24-8EFA-E7F787B94F60}" type="presParOf" srcId="{61BA6A0B-9CC8-4479-B73F-AAD096D83919}" destId="{68121200-9F91-42D1-A953-C31C49AE73E4}" srcOrd="0" destOrd="0" presId="urn:microsoft.com/office/officeart/2005/8/layout/matrix3"/>
    <dgm:cxn modelId="{0CB41018-2871-461E-9CA9-096295B28589}" type="presParOf" srcId="{61BA6A0B-9CC8-4479-B73F-AAD096D83919}" destId="{612610D0-C9D6-4361-A958-C243B3875A6D}" srcOrd="1" destOrd="0" presId="urn:microsoft.com/office/officeart/2005/8/layout/matrix3"/>
    <dgm:cxn modelId="{73CE2809-B945-4363-951A-E5AFB7FA386D}" type="presParOf" srcId="{61BA6A0B-9CC8-4479-B73F-AAD096D83919}" destId="{36A78E69-4D51-412F-B8D8-EE32E2B23F89}" srcOrd="2" destOrd="0" presId="urn:microsoft.com/office/officeart/2005/8/layout/matrix3"/>
    <dgm:cxn modelId="{C9CEFC25-FDBD-4712-80EC-F931854DCA68}" type="presParOf" srcId="{61BA6A0B-9CC8-4479-B73F-AAD096D83919}" destId="{6E5374E9-3063-44D1-A4E6-BD24F914E87F}" srcOrd="3" destOrd="0" presId="urn:microsoft.com/office/officeart/2005/8/layout/matrix3"/>
    <dgm:cxn modelId="{82653115-9937-4E71-BEDE-43091A54CE01}" type="presParOf" srcId="{61BA6A0B-9CC8-4479-B73F-AAD096D83919}" destId="{4EBBA46B-EC79-44F7-90DE-1561621BC3E5}" srcOrd="4" destOrd="0" presId="urn:microsoft.com/office/officeart/2005/8/layout/matrix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8121200-9F91-42D1-A953-C31C49AE73E4}">
      <dsp:nvSpPr>
        <dsp:cNvPr id="0" name=""/>
        <dsp:cNvSpPr/>
      </dsp:nvSpPr>
      <dsp:spPr>
        <a:xfrm>
          <a:off x="0" y="0"/>
          <a:ext cx="3324225" cy="3324225"/>
        </a:xfrm>
        <a:prstGeom prst="diamond">
          <a:avLst/>
        </a:prstGeom>
        <a:noFill/>
        <a:ln>
          <a:noFill/>
        </a:ln>
        <a:effectLst/>
      </dsp:spPr>
      <dsp:style>
        <a:lnRef idx="0">
          <a:scrgbClr r="0" g="0" b="0"/>
        </a:lnRef>
        <a:fillRef idx="1">
          <a:scrgbClr r="0" g="0" b="0"/>
        </a:fillRef>
        <a:effectRef idx="0">
          <a:scrgbClr r="0" g="0" b="0"/>
        </a:effectRef>
        <a:fontRef idx="minor"/>
      </dsp:style>
    </dsp:sp>
    <dsp:sp modelId="{612610D0-C9D6-4361-A958-C243B3875A6D}">
      <dsp:nvSpPr>
        <dsp:cNvPr id="0" name=""/>
        <dsp:cNvSpPr/>
      </dsp:nvSpPr>
      <dsp:spPr>
        <a:xfrm>
          <a:off x="372950" y="315801"/>
          <a:ext cx="1296447" cy="1296447"/>
        </a:xfrm>
        <a:prstGeom prst="roundRect">
          <a:avLst/>
        </a:prstGeom>
        <a:noFill/>
        <a:ln w="25400" cap="flat" cmpd="sng" algn="ctr">
          <a:solidFill>
            <a:srgbClr val="EB6D20"/>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Surplus + Poor Projects</a:t>
          </a:r>
        </a:p>
      </dsp:txBody>
      <dsp:txXfrm>
        <a:off x="436237" y="379088"/>
        <a:ext cx="1169873" cy="1169873"/>
      </dsp:txXfrm>
    </dsp:sp>
    <dsp:sp modelId="{36A78E69-4D51-412F-B8D8-EE32E2B23F89}">
      <dsp:nvSpPr>
        <dsp:cNvPr id="0" name=""/>
        <dsp:cNvSpPr/>
      </dsp:nvSpPr>
      <dsp:spPr>
        <a:xfrm>
          <a:off x="1769125" y="315801"/>
          <a:ext cx="1296447" cy="1296447"/>
        </a:xfrm>
        <a:prstGeom prst="roundRect">
          <a:avLst/>
        </a:prstGeom>
        <a:solidFill>
          <a:srgbClr val="EB6D20"/>
        </a:solidFill>
        <a:ln w="25400" cap="flat" cmpd="sng" algn="ctr">
          <a:solidFill>
            <a:srgbClr val="EB6D20"/>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b="1" i="1" kern="1200">
            <a:solidFill>
              <a:schemeClr val="bg1"/>
            </a:solidFill>
          </a:endParaRPr>
        </a:p>
        <a:p>
          <a:pPr lvl="0" algn="ctr" defTabSz="444500">
            <a:lnSpc>
              <a:spcPct val="90000"/>
            </a:lnSpc>
            <a:spcBef>
              <a:spcPct val="0"/>
            </a:spcBef>
            <a:spcAft>
              <a:spcPct val="35000"/>
            </a:spcAft>
          </a:pPr>
          <a:r>
            <a:rPr lang="en-US" sz="1000" b="1" i="1" kern="1200">
              <a:solidFill>
                <a:schemeClr val="bg1"/>
              </a:solidFill>
            </a:rPr>
            <a:t>Cash Surplus + Good Projects</a:t>
          </a:r>
        </a:p>
      </dsp:txBody>
      <dsp:txXfrm>
        <a:off x="1832412" y="379088"/>
        <a:ext cx="1169873" cy="1169873"/>
      </dsp:txXfrm>
    </dsp:sp>
    <dsp:sp modelId="{6E5374E9-3063-44D1-A4E6-BD24F914E87F}">
      <dsp:nvSpPr>
        <dsp:cNvPr id="0" name=""/>
        <dsp:cNvSpPr/>
      </dsp:nvSpPr>
      <dsp:spPr>
        <a:xfrm>
          <a:off x="372950" y="1711975"/>
          <a:ext cx="1296447" cy="1296447"/>
        </a:xfrm>
        <a:prstGeom prst="roundRect">
          <a:avLst/>
        </a:prstGeom>
        <a:noFill/>
        <a:ln w="25400" cap="flat" cmpd="sng" algn="ctr">
          <a:solidFill>
            <a:srgbClr val="EB6D20"/>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Deficit + Poor Projects</a:t>
          </a:r>
        </a:p>
      </dsp:txBody>
      <dsp:txXfrm>
        <a:off x="436237" y="1775262"/>
        <a:ext cx="1169873" cy="1169873"/>
      </dsp:txXfrm>
    </dsp:sp>
    <dsp:sp modelId="{4EBBA46B-EC79-44F7-90DE-1561621BC3E5}">
      <dsp:nvSpPr>
        <dsp:cNvPr id="0" name=""/>
        <dsp:cNvSpPr/>
      </dsp:nvSpPr>
      <dsp:spPr>
        <a:xfrm>
          <a:off x="1769125" y="1711975"/>
          <a:ext cx="1296447" cy="1296447"/>
        </a:xfrm>
        <a:prstGeom prst="roundRect">
          <a:avLst/>
        </a:prstGeom>
        <a:noFill/>
        <a:ln w="25400" cap="flat" cmpd="sng" algn="ctr">
          <a:solidFill>
            <a:srgbClr val="EB6D20"/>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Deficit + Good Projects</a:t>
          </a:r>
        </a:p>
      </dsp:txBody>
      <dsp:txXfrm>
        <a:off x="1832412" y="1775262"/>
        <a:ext cx="1169873" cy="1169873"/>
      </dsp:txXfrm>
    </dsp:sp>
  </dsp:spTree>
</dsp:drawing>
</file>

<file path=xl/diagrams/layout1.xml><?xml version="1.0" encoding="utf-8"?>
<dgm:layoutDef xmlns:dgm="http://schemas.openxmlformats.org/drawingml/2006/diagram" xmlns:a="http://schemas.openxmlformats.org/drawingml/2006/main" uniqueId="urn:microsoft.com/office/officeart/2005/8/layout/matrix3">
  <dgm:title val=""/>
  <dgm:desc val=""/>
  <dgm:catLst>
    <dgm:cat type="matrix" pri="1000"/>
    <dgm:cat type="convert" pri="18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0" destOrd="0"/>
        <dgm:cxn modelId="8" srcId="0" destId="4" srcOrd="1" destOrd="0"/>
      </dgm:cxnLst>
      <dgm:bg/>
      <dgm:whole/>
    </dgm:dataModel>
  </dgm:sampData>
  <dgm:styleData useDef="1">
    <dgm:dataModel>
      <dgm:ptLst/>
      <dgm:bg/>
      <dgm:whole/>
    </dgm:dataModel>
  </dgm:styleData>
  <dgm:clrData useDef="1">
    <dgm:dataModel>
      <dgm:ptLst/>
      <dgm:bg/>
      <dgm:whole/>
    </dgm:dataModel>
  </dgm:clrData>
  <dgm:layoutNode name="matrix">
    <dgm:varLst>
      <dgm:chMax val="1"/>
      <dgm:dir/>
      <dgm:resizeHandles val="exact"/>
    </dgm:varLst>
    <dgm:alg type="composite">
      <dgm:param type="ar" val="1"/>
    </dgm:alg>
    <dgm:shape xmlns:r="http://schemas.openxmlformats.org/officeDocument/2006/relationships" r:blip="">
      <dgm:adjLst/>
    </dgm:shape>
    <dgm:presOf/>
    <dgm:choose name="Name0">
      <dgm:if name="Name1" func="var" arg="dir" op="equ" val="norm">
        <dgm:constrLst>
          <dgm:constr type="w" for="ch" forName="diamond" refType="w"/>
          <dgm:constr type="h" for="ch" forName="diamond" refType="h"/>
          <dgm:constr type="w" for="ch" forName="quad1" refType="w" fact="0.39"/>
          <dgm:constr type="h" for="ch" forName="quad1" refType="h" fact="0.39"/>
          <dgm:constr type="ctrX" for="ch" forName="quad1" refType="w" fact="0.29"/>
          <dgm:constr type="ctrY" for="ch" forName="quad1" refType="h" fact="0.29"/>
          <dgm:constr type="w" for="ch" forName="quad2" refType="w" fact="0.39"/>
          <dgm:constr type="h" for="ch" forName="quad2" refType="h" fact="0.39"/>
          <dgm:constr type="ctrX" for="ch" forName="quad2" refType="w" fact="0.71"/>
          <dgm:constr type="ctrY" for="ch" forName="quad2" refType="h" fact="0.29"/>
          <dgm:constr type="w" for="ch" forName="quad3" refType="w" fact="0.39"/>
          <dgm:constr type="h" for="ch" forName="quad3" refType="h" fact="0.39"/>
          <dgm:constr type="ctrX" for="ch" forName="quad3" refType="w" fact="0.29"/>
          <dgm:constr type="ctrY" for="ch" forName="quad3" refType="h" fact="0.71"/>
          <dgm:constr type="w" for="ch" forName="quad4" refType="w" fact="0.39"/>
          <dgm:constr type="h" for="ch" forName="quad4" refType="h" fact="0.39"/>
          <dgm:constr type="ctrX" for="ch" forName="quad4" refType="w" fact="0.71"/>
          <dgm:constr type="ctrY" for="ch" forName="quad4" refType="h" fact="0.71"/>
          <dgm:constr type="primFontSz" for="des" ptType="node" op="equ" val="65"/>
        </dgm:constrLst>
      </dgm:if>
      <dgm:else name="Name2">
        <dgm:constrLst>
          <dgm:constr type="w" for="ch" forName="diamond" refType="w"/>
          <dgm:constr type="h" for="ch" forName="diamond" refType="h"/>
          <dgm:constr type="w" for="ch" forName="quad1" refType="w" fact="0.39"/>
          <dgm:constr type="h" for="ch" forName="quad1" refType="h" fact="0.39"/>
          <dgm:constr type="ctrX" for="ch" forName="quad1" refType="w" fact="0.71"/>
          <dgm:constr type="ctrY" for="ch" forName="quad1" refType="h" fact="0.29"/>
          <dgm:constr type="w" for="ch" forName="quad2" refType="w" fact="0.39"/>
          <dgm:constr type="h" for="ch" forName="quad2" refType="h" fact="0.39"/>
          <dgm:constr type="ctrX" for="ch" forName="quad2" refType="w" fact="0.29"/>
          <dgm:constr type="ctrY" for="ch" forName="quad2" refType="h" fact="0.29"/>
          <dgm:constr type="w" for="ch" forName="quad3" refType="w" fact="0.39"/>
          <dgm:constr type="h" for="ch" forName="quad3" refType="h" fact="0.39"/>
          <dgm:constr type="ctrX" for="ch" forName="quad3" refType="w" fact="0.71"/>
          <dgm:constr type="ctrY" for="ch" forName="quad3" refType="h" fact="0.71"/>
          <dgm:constr type="w" for="ch" forName="quad4" refType="w" fact="0.39"/>
          <dgm:constr type="h" for="ch" forName="quad4" refType="h" fact="0.39"/>
          <dgm:constr type="ctrX" for="ch" forName="quad4" refType="w" fact="0.29"/>
          <dgm:constr type="ctrY" for="ch" forName="quad4" refType="h" fact="0.71"/>
          <dgm:constr type="primFontSz" for="des" ptType="node" op="equ" val="65"/>
        </dgm:constrLst>
      </dgm:else>
    </dgm:choose>
    <dgm:ruleLst/>
    <dgm:choose name="Name3">
      <dgm:if name="Name4" axis="ch" ptType="node" func="cnt" op="gte" val="1">
        <dgm:layoutNode name="diamond" styleLbl="bgShp">
          <dgm:alg type="sp"/>
          <dgm:shape xmlns:r="http://schemas.openxmlformats.org/officeDocument/2006/relationships" type="diamond" r:blip="">
            <dgm:adjLst/>
          </dgm:shape>
          <dgm:presOf/>
          <dgm:constrLst>
            <dgm:constr type="w" refType="h" op="equ"/>
          </dgm:constrLst>
          <dgm:ruleLst/>
        </dgm:layoutNode>
        <dgm:layoutNode name="quad1">
          <dgm:varLst>
            <dgm:chMax val="0"/>
            <dgm:chPref val="0"/>
            <dgm:bulletEnabled val="1"/>
          </dgm:varLst>
          <dgm:alg type="tx"/>
          <dgm:shape xmlns:r="http://schemas.openxmlformats.org/officeDocument/2006/relationships" type="roundRect" r:blip="">
            <dgm:adjLst/>
          </dgm:shape>
          <dgm:presOf axis="ch desOrSelf" ptType="node node" st="1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2">
          <dgm:varLst>
            <dgm:chMax val="0"/>
            <dgm:chPref val="0"/>
            <dgm:bulletEnabled val="1"/>
          </dgm:varLst>
          <dgm:alg type="tx"/>
          <dgm:shape xmlns:r="http://schemas.openxmlformats.org/officeDocument/2006/relationships" type="roundRect" r:blip="">
            <dgm:adjLst/>
          </dgm:shape>
          <dgm:presOf axis="ch desOrSelf" ptType="node node" st="2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3">
          <dgm:varLst>
            <dgm:chMax val="0"/>
            <dgm:chPref val="0"/>
            <dgm:bulletEnabled val="1"/>
          </dgm:varLst>
          <dgm:alg type="tx"/>
          <dgm:shape xmlns:r="http://schemas.openxmlformats.org/officeDocument/2006/relationships" type="roundRect" r:blip="">
            <dgm:adjLst/>
          </dgm:shape>
          <dgm:presOf axis="ch desOrSelf" ptType="node node" st="3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4">
          <dgm:varLst>
            <dgm:chMax val="0"/>
            <dgm:chPref val="0"/>
            <dgm:bulletEnabled val="1"/>
          </dgm:varLst>
          <dgm:alg type="tx"/>
          <dgm:shape xmlns:r="http://schemas.openxmlformats.org/officeDocument/2006/relationships" type="roundRect" r:blip="">
            <dgm:adjLst/>
          </dgm:shape>
          <dgm:presOf axis="ch desOrSelf" ptType="node node" st="4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5"/>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2.xml"/><Relationship Id="rId7" Type="http://schemas.openxmlformats.org/officeDocument/2006/relationships/image" Target="../media/image1.png"/><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xdr:twoCellAnchor>
    <xdr:from>
      <xdr:col>6</xdr:col>
      <xdr:colOff>71507</xdr:colOff>
      <xdr:row>7</xdr:row>
      <xdr:rowOff>2</xdr:rowOff>
    </xdr:from>
    <xdr:to>
      <xdr:col>15</xdr:col>
      <xdr:colOff>38100</xdr:colOff>
      <xdr:row>16</xdr:row>
      <xdr:rowOff>142876</xdr:rowOff>
    </xdr:to>
    <mc:AlternateContent xmlns:mc="http://schemas.openxmlformats.org/markup-compatibility/2006">
      <mc:Choice xmlns:cx1="http://schemas.microsoft.com/office/drawing/2015/9/8/chartex" Requires="cx1">
        <xdr:graphicFrame macro="">
          <xdr:nvGraphicFramePr>
            <xdr:cNvPr id="9" name="Chart 8"/>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9525</xdr:colOff>
      <xdr:row>1</xdr:row>
      <xdr:rowOff>0</xdr:rowOff>
    </xdr:from>
    <xdr:to>
      <xdr:col>3</xdr:col>
      <xdr:colOff>133350</xdr:colOff>
      <xdr:row>3</xdr:row>
      <xdr:rowOff>152400</xdr:rowOff>
    </xdr:to>
    <xdr:sp macro="" textlink="">
      <xdr:nvSpPr>
        <xdr:cNvPr id="6" name="Rectangle 5"/>
        <xdr:cNvSpPr/>
      </xdr:nvSpPr>
      <xdr:spPr>
        <a:xfrm>
          <a:off x="142875" y="66675"/>
          <a:ext cx="1343025" cy="533400"/>
        </a:xfrm>
        <a:prstGeom prst="rect">
          <a:avLst/>
        </a:prstGeom>
        <a:solidFill>
          <a:srgbClr val="EB6D2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xdr:row>
      <xdr:rowOff>0</xdr:rowOff>
    </xdr:from>
    <xdr:to>
      <xdr:col>5</xdr:col>
      <xdr:colOff>600075</xdr:colOff>
      <xdr:row>16</xdr:row>
      <xdr:rowOff>76199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142874</xdr:colOff>
      <xdr:row>7</xdr:row>
      <xdr:rowOff>0</xdr:rowOff>
    </xdr:from>
    <xdr:to>
      <xdr:col>20</xdr:col>
      <xdr:colOff>314325</xdr:colOff>
      <xdr:row>16</xdr:row>
      <xdr:rowOff>85725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590550</xdr:colOff>
      <xdr:row>8</xdr:row>
      <xdr:rowOff>95250</xdr:rowOff>
    </xdr:from>
    <xdr:to>
      <xdr:col>23</xdr:col>
      <xdr:colOff>9526</xdr:colOff>
      <xdr:row>10</xdr:row>
      <xdr:rowOff>38100</xdr:rowOff>
    </xdr:to>
    <xdr:sp macro="" textlink="">
      <xdr:nvSpPr>
        <xdr:cNvPr id="7" name="TextBox 6"/>
        <xdr:cNvSpPr txBox="1"/>
      </xdr:nvSpPr>
      <xdr:spPr>
        <a:xfrm>
          <a:off x="8963025" y="11620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Retail</a:t>
          </a:r>
        </a:p>
      </xdr:txBody>
    </xdr:sp>
    <xdr:clientData/>
  </xdr:twoCellAnchor>
  <xdr:twoCellAnchor>
    <xdr:from>
      <xdr:col>20</xdr:col>
      <xdr:colOff>571500</xdr:colOff>
      <xdr:row>10</xdr:row>
      <xdr:rowOff>128588</xdr:rowOff>
    </xdr:from>
    <xdr:to>
      <xdr:col>22</xdr:col>
      <xdr:colOff>742951</xdr:colOff>
      <xdr:row>12</xdr:row>
      <xdr:rowOff>42863</xdr:rowOff>
    </xdr:to>
    <xdr:sp macro="" textlink="">
      <xdr:nvSpPr>
        <xdr:cNvPr id="12" name="TextBox 11"/>
        <xdr:cNvSpPr txBox="1"/>
      </xdr:nvSpPr>
      <xdr:spPr>
        <a:xfrm>
          <a:off x="8943975" y="1681163"/>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Institutional</a:t>
          </a:r>
        </a:p>
      </xdr:txBody>
    </xdr:sp>
    <xdr:clientData/>
  </xdr:twoCellAnchor>
  <xdr:twoCellAnchor>
    <xdr:from>
      <xdr:col>20</xdr:col>
      <xdr:colOff>581025</xdr:colOff>
      <xdr:row>12</xdr:row>
      <xdr:rowOff>114300</xdr:rowOff>
    </xdr:from>
    <xdr:to>
      <xdr:col>23</xdr:col>
      <xdr:colOff>1</xdr:colOff>
      <xdr:row>14</xdr:row>
      <xdr:rowOff>57150</xdr:rowOff>
    </xdr:to>
    <xdr:sp macro="" textlink="">
      <xdr:nvSpPr>
        <xdr:cNvPr id="13" name="TextBox 12"/>
        <xdr:cNvSpPr txBox="1"/>
      </xdr:nvSpPr>
      <xdr:spPr>
        <a:xfrm>
          <a:off x="8953500" y="201930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Insider</a:t>
          </a:r>
        </a:p>
      </xdr:txBody>
    </xdr:sp>
    <xdr:clientData/>
  </xdr:twoCellAnchor>
  <xdr:twoCellAnchor>
    <xdr:from>
      <xdr:col>20</xdr:col>
      <xdr:colOff>390524</xdr:colOff>
      <xdr:row>9</xdr:row>
      <xdr:rowOff>9525</xdr:rowOff>
    </xdr:from>
    <xdr:to>
      <xdr:col>20</xdr:col>
      <xdr:colOff>552450</xdr:colOff>
      <xdr:row>10</xdr:row>
      <xdr:rowOff>9525</xdr:rowOff>
    </xdr:to>
    <xdr:sp macro="" textlink="">
      <xdr:nvSpPr>
        <xdr:cNvPr id="11" name="Rounded Rectangle 10"/>
        <xdr:cNvSpPr/>
      </xdr:nvSpPr>
      <xdr:spPr>
        <a:xfrm>
          <a:off x="8762999" y="1238250"/>
          <a:ext cx="161926" cy="161925"/>
        </a:xfrm>
        <a:prstGeom prst="roundRect">
          <a:avLst/>
        </a:prstGeom>
        <a:solidFill>
          <a:srgbClr val="EB6D2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11</xdr:row>
      <xdr:rowOff>33338</xdr:rowOff>
    </xdr:from>
    <xdr:to>
      <xdr:col>20</xdr:col>
      <xdr:colOff>552450</xdr:colOff>
      <xdr:row>12</xdr:row>
      <xdr:rowOff>4763</xdr:rowOff>
    </xdr:to>
    <xdr:sp macro="" textlink="">
      <xdr:nvSpPr>
        <xdr:cNvPr id="15" name="Rounded Rectangle 14"/>
        <xdr:cNvSpPr/>
      </xdr:nvSpPr>
      <xdr:spPr>
        <a:xfrm>
          <a:off x="8762999" y="1585913"/>
          <a:ext cx="161926" cy="161925"/>
        </a:xfrm>
        <a:prstGeom prst="round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13</xdr:row>
      <xdr:rowOff>28575</xdr:rowOff>
    </xdr:from>
    <xdr:to>
      <xdr:col>20</xdr:col>
      <xdr:colOff>552450</xdr:colOff>
      <xdr:row>14</xdr:row>
      <xdr:rowOff>28575</xdr:rowOff>
    </xdr:to>
    <xdr:sp macro="" textlink="">
      <xdr:nvSpPr>
        <xdr:cNvPr id="16" name="Rounded Rectangle 15"/>
        <xdr:cNvSpPr/>
      </xdr:nvSpPr>
      <xdr:spPr>
        <a:xfrm>
          <a:off x="8762999" y="1933575"/>
          <a:ext cx="161926" cy="161925"/>
        </a:xfrm>
        <a:prstGeom prst="roundRect">
          <a:avLst/>
        </a:prstGeom>
        <a:solidFill>
          <a:srgbClr val="F9D1B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533400</xdr:colOff>
      <xdr:row>9</xdr:row>
      <xdr:rowOff>104776</xdr:rowOff>
    </xdr:from>
    <xdr:to>
      <xdr:col>17</xdr:col>
      <xdr:colOff>466725</xdr:colOff>
      <xdr:row>10</xdr:row>
      <xdr:rowOff>123825</xdr:rowOff>
    </xdr:to>
    <xdr:sp macro="" textlink="">
      <xdr:nvSpPr>
        <xdr:cNvPr id="17" name="TextBox 16"/>
        <xdr:cNvSpPr txBox="1"/>
      </xdr:nvSpPr>
      <xdr:spPr>
        <a:xfrm>
          <a:off x="7458075" y="1333501"/>
          <a:ext cx="542925" cy="180974"/>
        </a:xfrm>
        <a:prstGeom prst="rect">
          <a:avLst/>
        </a:prstGeom>
        <a:solidFill>
          <a:srgbClr val="F8F8F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1%</a:t>
          </a:r>
        </a:p>
      </xdr:txBody>
    </xdr:sp>
    <xdr:clientData/>
  </xdr:twoCellAnchor>
  <xdr:twoCellAnchor>
    <xdr:from>
      <xdr:col>17</xdr:col>
      <xdr:colOff>209551</xdr:colOff>
      <xdr:row>12</xdr:row>
      <xdr:rowOff>114300</xdr:rowOff>
    </xdr:from>
    <xdr:to>
      <xdr:col>18</xdr:col>
      <xdr:colOff>142875</xdr:colOff>
      <xdr:row>13</xdr:row>
      <xdr:rowOff>152400</xdr:rowOff>
    </xdr:to>
    <xdr:sp macro="" textlink="">
      <xdr:nvSpPr>
        <xdr:cNvPr id="19" name="TextBox 18"/>
        <xdr:cNvSpPr txBox="1"/>
      </xdr:nvSpPr>
      <xdr:spPr>
        <a:xfrm>
          <a:off x="7743826" y="1857375"/>
          <a:ext cx="457199" cy="200025"/>
        </a:xfrm>
        <a:prstGeom prst="rect">
          <a:avLst/>
        </a:prstGeom>
        <a:solidFill>
          <a:srgbClr val="F8F8F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95%</a:t>
          </a:r>
        </a:p>
      </xdr:txBody>
    </xdr:sp>
    <xdr:clientData/>
  </xdr:twoCellAnchor>
  <xdr:twoCellAnchor>
    <xdr:from>
      <xdr:col>17</xdr:col>
      <xdr:colOff>114301</xdr:colOff>
      <xdr:row>7</xdr:row>
      <xdr:rowOff>104775</xdr:rowOff>
    </xdr:from>
    <xdr:to>
      <xdr:col>18</xdr:col>
      <xdr:colOff>133350</xdr:colOff>
      <xdr:row>8</xdr:row>
      <xdr:rowOff>123825</xdr:rowOff>
    </xdr:to>
    <xdr:sp macro="" textlink="">
      <xdr:nvSpPr>
        <xdr:cNvPr id="20" name="TextBox 19"/>
        <xdr:cNvSpPr txBox="1"/>
      </xdr:nvSpPr>
      <xdr:spPr>
        <a:xfrm>
          <a:off x="7648576" y="981075"/>
          <a:ext cx="542924" cy="209550"/>
        </a:xfrm>
        <a:prstGeom prst="rect">
          <a:avLst/>
        </a:prstGeom>
        <a:solidFill>
          <a:srgbClr val="F8F8F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4%</a:t>
          </a:r>
        </a:p>
      </xdr:txBody>
    </xdr:sp>
    <xdr:clientData/>
  </xdr:twoCellAnchor>
  <xdr:twoCellAnchor>
    <xdr:from>
      <xdr:col>2</xdr:col>
      <xdr:colOff>9526</xdr:colOff>
      <xdr:row>7</xdr:row>
      <xdr:rowOff>95250</xdr:rowOff>
    </xdr:from>
    <xdr:to>
      <xdr:col>5</xdr:col>
      <xdr:colOff>228600</xdr:colOff>
      <xdr:row>11</xdr:row>
      <xdr:rowOff>95251</xdr:rowOff>
    </xdr:to>
    <xdr:cxnSp macro="">
      <xdr:nvCxnSpPr>
        <xdr:cNvPr id="21" name="Straight Arrow Connector 20"/>
        <xdr:cNvCxnSpPr/>
      </xdr:nvCxnSpPr>
      <xdr:spPr>
        <a:xfrm flipV="1">
          <a:off x="752476" y="971550"/>
          <a:ext cx="1666874" cy="676276"/>
        </a:xfrm>
        <a:prstGeom prst="straightConnector1">
          <a:avLst/>
        </a:prstGeom>
        <a:ln>
          <a:solidFill>
            <a:srgbClr val="EB6D20"/>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xdr:col>
      <xdr:colOff>325807</xdr:colOff>
      <xdr:row>8</xdr:row>
      <xdr:rowOff>139307</xdr:rowOff>
    </xdr:from>
    <xdr:to>
      <xdr:col>4</xdr:col>
      <xdr:colOff>475704</xdr:colOff>
      <xdr:row>10</xdr:row>
      <xdr:rowOff>48236</xdr:rowOff>
    </xdr:to>
    <xdr:sp macro="" textlink="">
      <xdr:nvSpPr>
        <xdr:cNvPr id="22" name="TextBox 21"/>
        <xdr:cNvSpPr txBox="1"/>
      </xdr:nvSpPr>
      <xdr:spPr>
        <a:xfrm rot="20289846">
          <a:off x="1068757" y="1206107"/>
          <a:ext cx="988097" cy="232779"/>
        </a:xfrm>
        <a:prstGeom prst="rect">
          <a:avLst/>
        </a:prstGeom>
        <a:solidFill>
          <a:schemeClr val="lt1"/>
        </a:solidFill>
        <a:ln w="9525" cmpd="sng">
          <a:solidFill>
            <a:srgbClr val="EB6D2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CAGR:</a:t>
          </a:r>
          <a:r>
            <a:rPr lang="en-US" sz="900" baseline="0">
              <a:latin typeface="Montserrat Medium" panose="00000600000000000000" pitchFamily="2" charset="0"/>
            </a:rPr>
            <a:t> 15.44%</a:t>
          </a:r>
          <a:endParaRPr lang="en-US" sz="900">
            <a:latin typeface="Montserrat Medium" panose="00000600000000000000" pitchFamily="2" charset="0"/>
          </a:endParaRPr>
        </a:p>
      </xdr:txBody>
    </xdr:sp>
    <xdr:clientData/>
  </xdr:twoCellAnchor>
  <xdr:twoCellAnchor>
    <xdr:from>
      <xdr:col>25</xdr:col>
      <xdr:colOff>57151</xdr:colOff>
      <xdr:row>7</xdr:row>
      <xdr:rowOff>0</xdr:rowOff>
    </xdr:from>
    <xdr:to>
      <xdr:col>26</xdr:col>
      <xdr:colOff>66675</xdr:colOff>
      <xdr:row>16</xdr:row>
      <xdr:rowOff>142876</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1000125</xdr:colOff>
      <xdr:row>8</xdr:row>
      <xdr:rowOff>0</xdr:rowOff>
    </xdr:from>
    <xdr:to>
      <xdr:col>27</xdr:col>
      <xdr:colOff>819150</xdr:colOff>
      <xdr:row>9</xdr:row>
      <xdr:rowOff>104775</xdr:rowOff>
    </xdr:to>
    <xdr:sp macro="" textlink="">
      <xdr:nvSpPr>
        <xdr:cNvPr id="25" name="TextBox 24"/>
        <xdr:cNvSpPr txBox="1"/>
      </xdr:nvSpPr>
      <xdr:spPr>
        <a:xfrm>
          <a:off x="11001375" y="1066800"/>
          <a:ext cx="10287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Compensation</a:t>
          </a:r>
        </a:p>
      </xdr:txBody>
    </xdr:sp>
    <xdr:clientData/>
  </xdr:twoCellAnchor>
  <xdr:twoCellAnchor>
    <xdr:from>
      <xdr:col>25</xdr:col>
      <xdr:colOff>1000125</xdr:colOff>
      <xdr:row>10</xdr:row>
      <xdr:rowOff>15875</xdr:rowOff>
    </xdr:from>
    <xdr:to>
      <xdr:col>27</xdr:col>
      <xdr:colOff>1114425</xdr:colOff>
      <xdr:row>11</xdr:row>
      <xdr:rowOff>120650</xdr:rowOff>
    </xdr:to>
    <xdr:sp macro="" textlink="">
      <xdr:nvSpPr>
        <xdr:cNvPr id="26" name="TextBox 25"/>
        <xdr:cNvSpPr txBox="1"/>
      </xdr:nvSpPr>
      <xdr:spPr>
        <a:xfrm>
          <a:off x="11001375" y="1406525"/>
          <a:ext cx="1323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Shareholder Rights</a:t>
          </a:r>
        </a:p>
      </xdr:txBody>
    </xdr:sp>
    <xdr:clientData/>
  </xdr:twoCellAnchor>
  <xdr:twoCellAnchor>
    <xdr:from>
      <xdr:col>25</xdr:col>
      <xdr:colOff>1000125</xdr:colOff>
      <xdr:row>12</xdr:row>
      <xdr:rowOff>3175</xdr:rowOff>
    </xdr:from>
    <xdr:to>
      <xdr:col>27</xdr:col>
      <xdr:colOff>666751</xdr:colOff>
      <xdr:row>13</xdr:row>
      <xdr:rowOff>107950</xdr:rowOff>
    </xdr:to>
    <xdr:sp macro="" textlink="">
      <xdr:nvSpPr>
        <xdr:cNvPr id="27" name="TextBox 26"/>
        <xdr:cNvSpPr txBox="1"/>
      </xdr:nvSpPr>
      <xdr:spPr>
        <a:xfrm>
          <a:off x="11001375" y="17462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Board</a:t>
          </a:r>
        </a:p>
      </xdr:txBody>
    </xdr:sp>
    <xdr:clientData/>
  </xdr:twoCellAnchor>
  <xdr:twoCellAnchor>
    <xdr:from>
      <xdr:col>25</xdr:col>
      <xdr:colOff>1000125</xdr:colOff>
      <xdr:row>14</xdr:row>
      <xdr:rowOff>19050</xdr:rowOff>
    </xdr:from>
    <xdr:to>
      <xdr:col>27</xdr:col>
      <xdr:colOff>666751</xdr:colOff>
      <xdr:row>15</xdr:row>
      <xdr:rowOff>95250</xdr:rowOff>
    </xdr:to>
    <xdr:sp macro="" textlink="">
      <xdr:nvSpPr>
        <xdr:cNvPr id="31" name="TextBox 30"/>
        <xdr:cNvSpPr txBox="1"/>
      </xdr:nvSpPr>
      <xdr:spPr>
        <a:xfrm>
          <a:off x="11001375" y="2085975"/>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Audit</a:t>
          </a:r>
        </a:p>
      </xdr:txBody>
    </xdr:sp>
    <xdr:clientData/>
  </xdr:twoCellAnchor>
  <xdr:twoCellAnchor>
    <xdr:from>
      <xdr:col>1</xdr:col>
      <xdr:colOff>38100</xdr:colOff>
      <xdr:row>19</xdr:row>
      <xdr:rowOff>19050</xdr:rowOff>
    </xdr:from>
    <xdr:to>
      <xdr:col>5</xdr:col>
      <xdr:colOff>533400</xdr:colOff>
      <xdr:row>29</xdr:row>
      <xdr:rowOff>152399</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47625</xdr:colOff>
      <xdr:row>19</xdr:row>
      <xdr:rowOff>9525</xdr:rowOff>
    </xdr:from>
    <xdr:to>
      <xdr:col>25</xdr:col>
      <xdr:colOff>85724</xdr:colOff>
      <xdr:row>31</xdr:row>
      <xdr:rowOff>9525</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600075</xdr:colOff>
      <xdr:row>19</xdr:row>
      <xdr:rowOff>123825</xdr:rowOff>
    </xdr:from>
    <xdr:to>
      <xdr:col>23</xdr:col>
      <xdr:colOff>19051</xdr:colOff>
      <xdr:row>21</xdr:row>
      <xdr:rowOff>66675</xdr:rowOff>
    </xdr:to>
    <xdr:sp macro="" textlink="">
      <xdr:nvSpPr>
        <xdr:cNvPr id="50" name="TextBox 49"/>
        <xdr:cNvSpPr txBox="1"/>
      </xdr:nvSpPr>
      <xdr:spPr>
        <a:xfrm>
          <a:off x="8972550" y="29146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ROIC</a:t>
          </a:r>
          <a:r>
            <a:rPr lang="en-US" sz="1100" baseline="0">
              <a:latin typeface="Catamaran" pitchFamily="2" charset="0"/>
              <a:cs typeface="Catamaran" pitchFamily="2" charset="0"/>
            </a:rPr>
            <a:t> %</a:t>
          </a:r>
          <a:endParaRPr lang="en-US" sz="1100">
            <a:latin typeface="Catamaran" pitchFamily="2" charset="0"/>
            <a:cs typeface="Catamaran" pitchFamily="2" charset="0"/>
          </a:endParaRPr>
        </a:p>
      </xdr:txBody>
    </xdr:sp>
    <xdr:clientData/>
  </xdr:twoCellAnchor>
  <xdr:twoCellAnchor>
    <xdr:from>
      <xdr:col>21</xdr:col>
      <xdr:colOff>0</xdr:colOff>
      <xdr:row>21</xdr:row>
      <xdr:rowOff>9525</xdr:rowOff>
    </xdr:from>
    <xdr:to>
      <xdr:col>24</xdr:col>
      <xdr:colOff>9525</xdr:colOff>
      <xdr:row>22</xdr:row>
      <xdr:rowOff>114300</xdr:rowOff>
    </xdr:to>
    <xdr:sp macro="" textlink="">
      <xdr:nvSpPr>
        <xdr:cNvPr id="51" name="TextBox 50"/>
        <xdr:cNvSpPr txBox="1"/>
      </xdr:nvSpPr>
      <xdr:spPr>
        <a:xfrm>
          <a:off x="8982075" y="3124200"/>
          <a:ext cx="942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EBIT Margin</a:t>
          </a:r>
        </a:p>
      </xdr:txBody>
    </xdr:sp>
    <xdr:clientData/>
  </xdr:twoCellAnchor>
  <xdr:twoCellAnchor>
    <xdr:from>
      <xdr:col>20</xdr:col>
      <xdr:colOff>390524</xdr:colOff>
      <xdr:row>20</xdr:row>
      <xdr:rowOff>28575</xdr:rowOff>
    </xdr:from>
    <xdr:to>
      <xdr:col>20</xdr:col>
      <xdr:colOff>552450</xdr:colOff>
      <xdr:row>21</xdr:row>
      <xdr:rowOff>28575</xdr:rowOff>
    </xdr:to>
    <xdr:sp macro="" textlink="">
      <xdr:nvSpPr>
        <xdr:cNvPr id="52" name="Rounded Rectangle 51"/>
        <xdr:cNvSpPr/>
      </xdr:nvSpPr>
      <xdr:spPr>
        <a:xfrm>
          <a:off x="8762999" y="2981325"/>
          <a:ext cx="161926" cy="161925"/>
        </a:xfrm>
        <a:prstGeom prst="roundRect">
          <a:avLst/>
        </a:prstGeom>
        <a:solidFill>
          <a:srgbClr val="EB6D2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21</xdr:row>
      <xdr:rowOff>85725</xdr:rowOff>
    </xdr:from>
    <xdr:to>
      <xdr:col>20</xdr:col>
      <xdr:colOff>552450</xdr:colOff>
      <xdr:row>22</xdr:row>
      <xdr:rowOff>85725</xdr:rowOff>
    </xdr:to>
    <xdr:sp macro="" textlink="">
      <xdr:nvSpPr>
        <xdr:cNvPr id="53" name="Rounded Rectangle 52"/>
        <xdr:cNvSpPr/>
      </xdr:nvSpPr>
      <xdr:spPr>
        <a:xfrm>
          <a:off x="8762999" y="3200400"/>
          <a:ext cx="161926" cy="161925"/>
        </a:xfrm>
        <a:prstGeom prst="roundRect">
          <a:avLst/>
        </a:prstGeom>
        <a:solidFill>
          <a:srgbClr val="F9D1B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133352</xdr:colOff>
      <xdr:row>7</xdr:row>
      <xdr:rowOff>95252</xdr:rowOff>
    </xdr:from>
    <xdr:to>
      <xdr:col>14</xdr:col>
      <xdr:colOff>657225</xdr:colOff>
      <xdr:row>8</xdr:row>
      <xdr:rowOff>133350</xdr:rowOff>
    </xdr:to>
    <xdr:sp macro="" textlink="">
      <xdr:nvSpPr>
        <xdr:cNvPr id="54" name="TextBox 53"/>
        <xdr:cNvSpPr txBox="1"/>
      </xdr:nvSpPr>
      <xdr:spPr>
        <a:xfrm>
          <a:off x="4953002" y="971552"/>
          <a:ext cx="1838323" cy="228598"/>
        </a:xfrm>
        <a:prstGeom prst="rect">
          <a:avLst/>
        </a:prstGeom>
        <a:solidFill>
          <a:schemeClr val="lt1"/>
        </a:solidFill>
        <a:ln w="9525" cmpd="sng">
          <a:solidFill>
            <a:srgbClr val="EB6D2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Median EBIT Margin:</a:t>
          </a:r>
          <a:r>
            <a:rPr lang="en-US" sz="900" baseline="0">
              <a:latin typeface="Montserrat Medium" panose="00000600000000000000" pitchFamily="2" charset="0"/>
            </a:rPr>
            <a:t> 39.46%</a:t>
          </a:r>
          <a:endParaRPr lang="en-US" sz="900">
            <a:latin typeface="Montserrat Medium" panose="00000600000000000000" pitchFamily="2" charset="0"/>
          </a:endParaRPr>
        </a:p>
      </xdr:txBody>
    </xdr:sp>
    <xdr:clientData/>
  </xdr:twoCellAnchor>
  <xdr:twoCellAnchor editAs="oneCell">
    <xdr:from>
      <xdr:col>1</xdr:col>
      <xdr:colOff>279916</xdr:colOff>
      <xdr:row>1</xdr:row>
      <xdr:rowOff>76200</xdr:rowOff>
    </xdr:from>
    <xdr:to>
      <xdr:col>2</xdr:col>
      <xdr:colOff>472558</xdr:colOff>
      <xdr:row>3</xdr:row>
      <xdr:rowOff>76200</xdr:rowOff>
    </xdr:to>
    <xdr:pic>
      <xdr:nvPicPr>
        <xdr:cNvPr id="5" name="Picture 4"/>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3266" y="142875"/>
          <a:ext cx="802242" cy="381000"/>
        </a:xfrm>
        <a:prstGeom prst="rect">
          <a:avLst/>
        </a:prstGeom>
      </xdr:spPr>
    </xdr:pic>
    <xdr:clientData/>
  </xdr:twoCellAnchor>
  <xdr:twoCellAnchor editAs="oneCell">
    <xdr:from>
      <xdr:col>24</xdr:col>
      <xdr:colOff>9524</xdr:colOff>
      <xdr:row>19</xdr:row>
      <xdr:rowOff>76200</xdr:rowOff>
    </xdr:from>
    <xdr:to>
      <xdr:col>28</xdr:col>
      <xdr:colOff>57149</xdr:colOff>
      <xdr:row>30</xdr:row>
      <xdr:rowOff>123825</xdr:rowOff>
    </xdr:to>
    <xdr:pic>
      <xdr:nvPicPr>
        <xdr:cNvPr id="2" name="Picture 1"/>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8535" t="6588" b="6639"/>
        <a:stretch/>
      </xdr:blipFill>
      <xdr:spPr>
        <a:xfrm>
          <a:off x="9925049" y="2867025"/>
          <a:ext cx="2562225" cy="1828800"/>
        </a:xfrm>
        <a:prstGeom prst="rect">
          <a:avLst/>
        </a:prstGeom>
      </xdr:spPr>
    </xdr:pic>
    <xdr:clientData/>
  </xdr:twoCellAnchor>
  <xdr:twoCellAnchor>
    <xdr:from>
      <xdr:col>5</xdr:col>
      <xdr:colOff>590550</xdr:colOff>
      <xdr:row>19</xdr:row>
      <xdr:rowOff>9524</xdr:rowOff>
    </xdr:from>
    <xdr:to>
      <xdr:col>14</xdr:col>
      <xdr:colOff>685800</xdr:colOff>
      <xdr:row>31</xdr:row>
      <xdr:rowOff>28575</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600075</xdr:colOff>
      <xdr:row>19</xdr:row>
      <xdr:rowOff>152400</xdr:rowOff>
    </xdr:from>
    <xdr:to>
      <xdr:col>11</xdr:col>
      <xdr:colOff>600075</xdr:colOff>
      <xdr:row>30</xdr:row>
      <xdr:rowOff>85725</xdr:rowOff>
    </xdr:to>
    <xdr:cxnSp macro="">
      <xdr:nvCxnSpPr>
        <xdr:cNvPr id="4" name="Straight Connector 3"/>
        <xdr:cNvCxnSpPr/>
      </xdr:nvCxnSpPr>
      <xdr:spPr>
        <a:xfrm>
          <a:off x="5419725" y="2943225"/>
          <a:ext cx="0" cy="1714500"/>
        </a:xfrm>
        <a:prstGeom prst="line">
          <a:avLst/>
        </a:prstGeom>
        <a:ln w="19050">
          <a:solidFill>
            <a:schemeClr val="tx1">
              <a:lumMod val="75000"/>
              <a:lumOff val="25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19052</xdr:colOff>
      <xdr:row>1</xdr:row>
      <xdr:rowOff>114300</xdr:rowOff>
    </xdr:from>
    <xdr:to>
      <xdr:col>4</xdr:col>
      <xdr:colOff>828675</xdr:colOff>
      <xdr:row>27</xdr:row>
      <xdr:rowOff>104776</xdr:rowOff>
    </xdr:to>
    <xdr:sp macro="" textlink="">
      <xdr:nvSpPr>
        <xdr:cNvPr id="3" name="TextBox 2"/>
        <xdr:cNvSpPr txBox="1"/>
      </xdr:nvSpPr>
      <xdr:spPr>
        <a:xfrm>
          <a:off x="152402" y="314325"/>
          <a:ext cx="3895723" cy="3952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Etsy Inc:</a:t>
          </a:r>
        </a:p>
        <a:p>
          <a:endParaRPr lang="en-US" sz="800" b="1">
            <a:latin typeface="Arial" panose="020B0604020202020204" pitchFamily="34" charset="0"/>
            <a:cs typeface="Arial" panose="020B0604020202020204" pitchFamily="34" charset="0"/>
          </a:endParaRPr>
        </a:p>
        <a:p>
          <a:r>
            <a:rPr lang="en-US" sz="1100" b="0" i="0">
              <a:solidFill>
                <a:schemeClr val="dk1"/>
              </a:solidFill>
              <a:effectLst/>
              <a:latin typeface="+mn-lt"/>
              <a:ea typeface="+mn-ea"/>
              <a:cs typeface="+mn-cs"/>
            </a:rPr>
            <a:t>Etsy is an e-commerce website that specializes in handmade, vintage, and unique items. The platform was launched in 2005 and has since grown to become a popular online marketplace for independent creators and small businesses to sell their products.</a:t>
          </a:r>
        </a:p>
        <a:p>
          <a:r>
            <a:rPr lang="en-US" sz="1100" b="0" i="0">
              <a:solidFill>
                <a:schemeClr val="dk1"/>
              </a:solidFill>
              <a:effectLst/>
              <a:latin typeface="+mn-lt"/>
              <a:ea typeface="+mn-ea"/>
              <a:cs typeface="+mn-cs"/>
            </a:rPr>
            <a:t>Etsy has a global community of sellers who create and sell a wide range of products, including jewelry, clothing, home decor, art, and craft supplies. In addition to handmade and vintage items, Etsy also allows sellers to sell digital downloads and custom-made items.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One of the unique features of Etsy is the ability for buyers to communicate directly with sellers and request customizations or ask questions about products. Etsy also has a rating and review system that allows buyers to leave feedback about their purchases, which helps to build trust and transparency on the platform.</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Etsy charges sellers a fee for listing and selling items on the platform, as well as a payment processing fee for transactions. However, many sellers find that the exposure and sales they receive through Etsy outweigh the fees.</a:t>
          </a:r>
        </a:p>
      </xdr:txBody>
    </xdr:sp>
    <xdr:clientData/>
  </xdr:twoCellAnchor>
  <xdr:twoCellAnchor>
    <xdr:from>
      <xdr:col>4</xdr:col>
      <xdr:colOff>952502</xdr:colOff>
      <xdr:row>1</xdr:row>
      <xdr:rowOff>104773</xdr:rowOff>
    </xdr:from>
    <xdr:to>
      <xdr:col>10</xdr:col>
      <xdr:colOff>228600</xdr:colOff>
      <xdr:row>32</xdr:row>
      <xdr:rowOff>142874</xdr:rowOff>
    </xdr:to>
    <xdr:sp macro="" textlink="">
      <xdr:nvSpPr>
        <xdr:cNvPr id="4" name="TextBox 3"/>
        <xdr:cNvSpPr txBox="1"/>
      </xdr:nvSpPr>
      <xdr:spPr>
        <a:xfrm>
          <a:off x="4171952" y="304798"/>
          <a:ext cx="4114798" cy="4762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dk1"/>
              </a:solidFill>
              <a:effectLst/>
              <a:latin typeface="+mn-lt"/>
              <a:ea typeface="+mn-ea"/>
              <a:cs typeface="+mn-cs"/>
            </a:rPr>
            <a:t>Strengths:</a:t>
          </a:r>
        </a:p>
        <a:p>
          <a:r>
            <a:rPr lang="en-US" sz="1100" b="1" i="1">
              <a:solidFill>
                <a:schemeClr val="dk1"/>
              </a:solidFill>
              <a:effectLst/>
              <a:latin typeface="+mn-lt"/>
              <a:ea typeface="+mn-ea"/>
              <a:cs typeface="+mn-cs"/>
            </a:rPr>
            <a:t>Unique selling proposition and brand identity: </a:t>
          </a:r>
          <a:r>
            <a:rPr lang="en-US" sz="1100" b="0" i="0">
              <a:solidFill>
                <a:schemeClr val="dk1"/>
              </a:solidFill>
              <a:effectLst/>
              <a:latin typeface="+mn-lt"/>
              <a:ea typeface="+mn-ea"/>
              <a:cs typeface="+mn-cs"/>
            </a:rPr>
            <a:t>Etsy has a unique selling proposition as a platform for handmade, vintage, and unique items. This sets it apart from other e-commerce platforms, and it has a strong brand identity that resonates with its target audience.</a:t>
          </a:r>
        </a:p>
        <a:p>
          <a:r>
            <a:rPr lang="en-US" sz="1100" b="1" i="1">
              <a:solidFill>
                <a:schemeClr val="dk1"/>
              </a:solidFill>
              <a:effectLst/>
              <a:latin typeface="+mn-lt"/>
              <a:ea typeface="+mn-ea"/>
              <a:cs typeface="+mn-cs"/>
            </a:rPr>
            <a:t>Large and active community: </a:t>
          </a:r>
          <a:r>
            <a:rPr lang="en-US" sz="1100" b="0" i="0">
              <a:solidFill>
                <a:schemeClr val="dk1"/>
              </a:solidFill>
              <a:effectLst/>
              <a:latin typeface="+mn-lt"/>
              <a:ea typeface="+mn-ea"/>
              <a:cs typeface="+mn-cs"/>
            </a:rPr>
            <a:t>Etsy has a large and active community of buyers and sellers, which creates a network effect and reinforces its position as a leading platform for creative entrepreneurs.</a:t>
          </a:r>
        </a:p>
        <a:p>
          <a:r>
            <a:rPr lang="en-US" sz="1100" b="1" i="1">
              <a:solidFill>
                <a:schemeClr val="dk1"/>
              </a:solidFill>
              <a:effectLst/>
              <a:latin typeface="+mn-lt"/>
              <a:ea typeface="+mn-ea"/>
              <a:cs typeface="+mn-cs"/>
            </a:rPr>
            <a:t>User-friendly interface and seller tools: </a:t>
          </a:r>
          <a:r>
            <a:rPr lang="en-US" sz="1100" b="0" i="0">
              <a:solidFill>
                <a:schemeClr val="dk1"/>
              </a:solidFill>
              <a:effectLst/>
              <a:latin typeface="+mn-lt"/>
              <a:ea typeface="+mn-ea"/>
              <a:cs typeface="+mn-cs"/>
            </a:rPr>
            <a:t>Etsy offers a user-friendly interface for buyers and sellers, and provides sellers with tools to manage their shops, including inventory management, shipping options, and marketing tools.</a:t>
          </a:r>
        </a:p>
        <a:p>
          <a:r>
            <a:rPr lang="en-US" sz="1100" b="1" i="1">
              <a:solidFill>
                <a:schemeClr val="dk1"/>
              </a:solidFill>
              <a:effectLst/>
              <a:latin typeface="+mn-lt"/>
              <a:ea typeface="+mn-ea"/>
              <a:cs typeface="+mn-cs"/>
            </a:rPr>
            <a:t>Focus on sustainability and social responsibility: </a:t>
          </a:r>
          <a:r>
            <a:rPr lang="en-US" sz="1100" b="0" i="0">
              <a:solidFill>
                <a:schemeClr val="dk1"/>
              </a:solidFill>
              <a:effectLst/>
              <a:latin typeface="+mn-lt"/>
              <a:ea typeface="+mn-ea"/>
              <a:cs typeface="+mn-cs"/>
            </a:rPr>
            <a:t>Etsy has a strong focus on sustainability and social responsibility, which resonates with many consumers and helps to differentiate it from other e-commerce platforms.</a:t>
          </a:r>
        </a:p>
        <a:p>
          <a:endParaRPr lang="en-US" sz="300" b="0" i="0">
            <a:solidFill>
              <a:schemeClr val="dk1"/>
            </a:solidFill>
            <a:effectLst/>
            <a:latin typeface="+mn-lt"/>
            <a:ea typeface="+mn-ea"/>
            <a:cs typeface="+mn-cs"/>
          </a:endParaRPr>
        </a:p>
        <a:p>
          <a:r>
            <a:rPr lang="en-US" sz="1100" b="0" i="1">
              <a:solidFill>
                <a:schemeClr val="dk1"/>
              </a:solidFill>
              <a:effectLst/>
              <a:latin typeface="+mn-lt"/>
              <a:ea typeface="+mn-ea"/>
              <a:cs typeface="+mn-cs"/>
            </a:rPr>
            <a:t>Weaknesses:</a:t>
          </a:r>
        </a:p>
        <a:p>
          <a:r>
            <a:rPr lang="en-US" sz="1100" b="1" i="1">
              <a:solidFill>
                <a:schemeClr val="dk1"/>
              </a:solidFill>
              <a:effectLst/>
              <a:latin typeface="+mn-lt"/>
              <a:ea typeface="+mn-ea"/>
              <a:cs typeface="+mn-cs"/>
            </a:rPr>
            <a:t>Competition: </a:t>
          </a:r>
          <a:r>
            <a:rPr lang="en-US" sz="1100" b="0" i="0">
              <a:solidFill>
                <a:schemeClr val="dk1"/>
              </a:solidFill>
              <a:effectLst/>
              <a:latin typeface="+mn-lt"/>
              <a:ea typeface="+mn-ea"/>
              <a:cs typeface="+mn-cs"/>
            </a:rPr>
            <a:t>Etsy faces competition from other e-commerce platforms, such as Amazon Handmade, which could negatively impact its market share.</a:t>
          </a:r>
        </a:p>
        <a:p>
          <a:r>
            <a:rPr lang="en-US" sz="1100" b="1" i="1">
              <a:solidFill>
                <a:schemeClr val="dk1"/>
              </a:solidFill>
              <a:effectLst/>
              <a:latin typeface="+mn-lt"/>
              <a:ea typeface="+mn-ea"/>
              <a:cs typeface="+mn-cs"/>
            </a:rPr>
            <a:t>Perceived overpricing: </a:t>
          </a:r>
          <a:r>
            <a:rPr lang="en-US" sz="1100" b="0" i="0">
              <a:solidFill>
                <a:schemeClr val="dk1"/>
              </a:solidFill>
              <a:effectLst/>
              <a:latin typeface="+mn-lt"/>
              <a:ea typeface="+mn-ea"/>
              <a:cs typeface="+mn-cs"/>
            </a:rPr>
            <a:t>Some consumers may perceive Etsy's products as overpriced compared to mass-produced alternatives, which could limit its customer base.</a:t>
          </a:r>
        </a:p>
        <a:p>
          <a:r>
            <a:rPr lang="en-US" sz="1100" b="1" i="1">
              <a:solidFill>
                <a:schemeClr val="dk1"/>
              </a:solidFill>
              <a:effectLst/>
              <a:latin typeface="+mn-lt"/>
              <a:ea typeface="+mn-ea"/>
              <a:cs typeface="+mn-cs"/>
            </a:rPr>
            <a:t>Dependence on sellers for revenue: </a:t>
          </a:r>
          <a:r>
            <a:rPr lang="en-US" sz="1100" b="0" i="0">
              <a:solidFill>
                <a:schemeClr val="dk1"/>
              </a:solidFill>
              <a:effectLst/>
              <a:latin typeface="+mn-lt"/>
              <a:ea typeface="+mn-ea"/>
              <a:cs typeface="+mn-cs"/>
            </a:rPr>
            <a:t>The company's dependence on its seller community for revenue makes it vulnerable to changes in seller behavior, such as increased fees or restrictions on certain products.</a:t>
          </a:r>
        </a:p>
        <a:p>
          <a:endParaRPr lang="en-US" sz="1100" b="0" i="1">
            <a:solidFill>
              <a:schemeClr val="dk1"/>
            </a:solidFill>
            <a:effectLst/>
            <a:latin typeface="+mn-lt"/>
            <a:ea typeface="+mn-ea"/>
            <a:cs typeface="+mn-cs"/>
          </a:endParaRPr>
        </a:p>
      </xdr:txBody>
    </xdr:sp>
    <xdr:clientData/>
  </xdr:twoCellAnchor>
  <xdr:twoCellAnchor>
    <xdr:from>
      <xdr:col>10</xdr:col>
      <xdr:colOff>361951</xdr:colOff>
      <xdr:row>1</xdr:row>
      <xdr:rowOff>104774</xdr:rowOff>
    </xdr:from>
    <xdr:to>
      <xdr:col>16</xdr:col>
      <xdr:colOff>247649</xdr:colOff>
      <xdr:row>29</xdr:row>
      <xdr:rowOff>76200</xdr:rowOff>
    </xdr:to>
    <xdr:sp macro="" textlink="">
      <xdr:nvSpPr>
        <xdr:cNvPr id="5" name="TextBox 4"/>
        <xdr:cNvSpPr txBox="1"/>
      </xdr:nvSpPr>
      <xdr:spPr>
        <a:xfrm>
          <a:off x="8420101" y="304799"/>
          <a:ext cx="3971923" cy="423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dk1"/>
              </a:solidFill>
              <a:effectLst/>
              <a:latin typeface="+mn-lt"/>
              <a:ea typeface="+mn-ea"/>
              <a:cs typeface="+mn-cs"/>
            </a:rPr>
            <a:t>Opportunities:</a:t>
          </a:r>
        </a:p>
        <a:p>
          <a:r>
            <a:rPr lang="en-US" sz="1100" b="1" i="1">
              <a:solidFill>
                <a:schemeClr val="dk1"/>
              </a:solidFill>
              <a:effectLst/>
              <a:latin typeface="+mn-lt"/>
              <a:ea typeface="+mn-ea"/>
              <a:cs typeface="+mn-cs"/>
            </a:rPr>
            <a:t>Growing interest in sustainability and ethical consumerism: </a:t>
          </a:r>
          <a:r>
            <a:rPr lang="en-US" sz="1100" b="0" i="0">
              <a:solidFill>
                <a:schemeClr val="dk1"/>
              </a:solidFill>
              <a:effectLst/>
              <a:latin typeface="+mn-lt"/>
              <a:ea typeface="+mn-ea"/>
              <a:cs typeface="+mn-cs"/>
            </a:rPr>
            <a:t>The growing interest in sustainability and ethical consumerism presents an opportunity for Etsy to attract more customers who prioritize these values.</a:t>
          </a:r>
        </a:p>
        <a:p>
          <a:r>
            <a:rPr lang="en-US" sz="1100" b="1" i="1">
              <a:solidFill>
                <a:schemeClr val="dk1"/>
              </a:solidFill>
              <a:effectLst/>
              <a:latin typeface="+mn-lt"/>
              <a:ea typeface="+mn-ea"/>
              <a:cs typeface="+mn-cs"/>
            </a:rPr>
            <a:t>Increasing popularity of online shopping: </a:t>
          </a:r>
          <a:r>
            <a:rPr lang="en-US" sz="1100" b="0" i="0">
              <a:solidFill>
                <a:schemeClr val="dk1"/>
              </a:solidFill>
              <a:effectLst/>
              <a:latin typeface="+mn-lt"/>
              <a:ea typeface="+mn-ea"/>
              <a:cs typeface="+mn-cs"/>
            </a:rPr>
            <a:t>The increasing popularity of online shopping and e-commerce presents an opportunity for Etsy to expand its customer base and increase sales.</a:t>
          </a:r>
        </a:p>
        <a:p>
          <a:r>
            <a:rPr lang="en-US" sz="1100" b="1" i="1">
              <a:solidFill>
                <a:schemeClr val="dk1"/>
              </a:solidFill>
              <a:effectLst/>
              <a:latin typeface="+mn-lt"/>
              <a:ea typeface="+mn-ea"/>
              <a:cs typeface="+mn-cs"/>
            </a:rPr>
            <a:t>Expansion into new markets or product categories: </a:t>
          </a:r>
          <a:r>
            <a:rPr lang="en-US" sz="1100" b="0" i="0">
              <a:solidFill>
                <a:schemeClr val="dk1"/>
              </a:solidFill>
              <a:effectLst/>
              <a:latin typeface="+mn-lt"/>
              <a:ea typeface="+mn-ea"/>
              <a:cs typeface="+mn-cs"/>
            </a:rPr>
            <a:t>Etsy has the opportunity to expand into new markets or product categories, such as digital products or subscription services.</a:t>
          </a:r>
        </a:p>
        <a:p>
          <a:endParaRPr lang="en-US" sz="1100" b="0" i="0">
            <a:solidFill>
              <a:schemeClr val="dk1"/>
            </a:solidFill>
            <a:effectLst/>
            <a:latin typeface="+mn-lt"/>
            <a:ea typeface="+mn-ea"/>
            <a:cs typeface="+mn-cs"/>
          </a:endParaRPr>
        </a:p>
        <a:p>
          <a:r>
            <a:rPr lang="en-US" sz="1100" b="0" i="1">
              <a:solidFill>
                <a:schemeClr val="dk1"/>
              </a:solidFill>
              <a:effectLst/>
              <a:latin typeface="+mn-lt"/>
              <a:ea typeface="+mn-ea"/>
              <a:cs typeface="+mn-cs"/>
            </a:rPr>
            <a:t>Threats:</a:t>
          </a:r>
        </a:p>
        <a:p>
          <a:r>
            <a:rPr lang="en-US" sz="1100" b="1" i="1">
              <a:solidFill>
                <a:schemeClr val="dk1"/>
              </a:solidFill>
              <a:effectLst/>
              <a:latin typeface="+mn-lt"/>
              <a:ea typeface="+mn-ea"/>
              <a:cs typeface="+mn-cs"/>
            </a:rPr>
            <a:t>Global economic uncertainty and potential recession: </a:t>
          </a:r>
          <a:r>
            <a:rPr lang="en-US" sz="1100" b="0" i="0">
              <a:solidFill>
                <a:schemeClr val="dk1"/>
              </a:solidFill>
              <a:effectLst/>
              <a:latin typeface="+mn-lt"/>
              <a:ea typeface="+mn-ea"/>
              <a:cs typeface="+mn-cs"/>
            </a:rPr>
            <a:t>The global economic uncertainty and potential recession could negatively impact consumer spending and reduce demand for Etsy's products.</a:t>
          </a:r>
        </a:p>
        <a:p>
          <a:r>
            <a:rPr lang="en-US" sz="1100" b="1" i="1">
              <a:solidFill>
                <a:schemeClr val="dk1"/>
              </a:solidFill>
              <a:effectLst/>
              <a:latin typeface="+mn-lt"/>
              <a:ea typeface="+mn-ea"/>
              <a:cs typeface="+mn-cs"/>
            </a:rPr>
            <a:t>Increased competition: </a:t>
          </a:r>
          <a:r>
            <a:rPr lang="en-US" sz="1100" b="0" i="0">
              <a:solidFill>
                <a:schemeClr val="dk1"/>
              </a:solidFill>
              <a:effectLst/>
              <a:latin typeface="+mn-lt"/>
              <a:ea typeface="+mn-ea"/>
              <a:cs typeface="+mn-cs"/>
            </a:rPr>
            <a:t>Increased competition from other e-commerce platforms, as well as new entrants into the market, could threaten Etsy's market position.</a:t>
          </a:r>
        </a:p>
        <a:p>
          <a:r>
            <a:rPr lang="en-US" sz="1100" b="1" i="1">
              <a:solidFill>
                <a:schemeClr val="dk1"/>
              </a:solidFill>
              <a:effectLst/>
              <a:latin typeface="+mn-lt"/>
              <a:ea typeface="+mn-ea"/>
              <a:cs typeface="+mn-cs"/>
            </a:rPr>
            <a:t>Changes in government regulations or policies: </a:t>
          </a:r>
          <a:r>
            <a:rPr lang="en-US" sz="1100" b="0" i="0">
              <a:solidFill>
                <a:schemeClr val="dk1"/>
              </a:solidFill>
              <a:effectLst/>
              <a:latin typeface="+mn-lt"/>
              <a:ea typeface="+mn-ea"/>
              <a:cs typeface="+mn-cs"/>
            </a:rPr>
            <a:t>Changes in government regulations or policies related to e-commerce could impact Etsy's operations and revenue.</a:t>
          </a:r>
        </a:p>
        <a:p>
          <a:endParaRPr lang="en-US" sz="800" b="1">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5</xdr:row>
      <xdr:rowOff>47625</xdr:rowOff>
    </xdr:from>
    <xdr:to>
      <xdr:col>5</xdr:col>
      <xdr:colOff>352425</xdr:colOff>
      <xdr:row>9</xdr:row>
      <xdr:rowOff>85725</xdr:rowOff>
    </xdr:to>
    <xdr:sp macro="" textlink="">
      <xdr:nvSpPr>
        <xdr:cNvPr id="3" name="TextBox 2"/>
        <xdr:cNvSpPr txBox="1"/>
      </xdr:nvSpPr>
      <xdr:spPr>
        <a:xfrm>
          <a:off x="2733675" y="866775"/>
          <a:ext cx="172402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 </a:t>
          </a:r>
          <a:r>
            <a:rPr lang="en-US" sz="1100" i="1"/>
            <a:t>The CEO (Josh Silverman) of Etsy</a:t>
          </a:r>
          <a:r>
            <a:rPr lang="en-US" sz="1100" i="1" baseline="0"/>
            <a:t> is also the Member of Board of Directors.</a:t>
          </a:r>
          <a:endParaRPr lang="en-US" sz="1100" i="1"/>
        </a:p>
      </xdr:txBody>
    </xdr:sp>
    <xdr:clientData/>
  </xdr:twoCellAnchor>
  <xdr:twoCellAnchor>
    <xdr:from>
      <xdr:col>4</xdr:col>
      <xdr:colOff>2</xdr:colOff>
      <xdr:row>10</xdr:row>
      <xdr:rowOff>19051</xdr:rowOff>
    </xdr:from>
    <xdr:to>
      <xdr:col>5</xdr:col>
      <xdr:colOff>361950</xdr:colOff>
      <xdr:row>14</xdr:row>
      <xdr:rowOff>47625</xdr:rowOff>
    </xdr:to>
    <xdr:sp macro="" textlink="">
      <xdr:nvSpPr>
        <xdr:cNvPr id="5" name="TextBox 4"/>
        <xdr:cNvSpPr txBox="1"/>
      </xdr:nvSpPr>
      <xdr:spPr>
        <a:xfrm>
          <a:off x="2733677" y="1600201"/>
          <a:ext cx="1733548" cy="638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Etsy's ISS Governance Quality Score is as of </a:t>
          </a:r>
          <a:r>
            <a:rPr lang="en-US" sz="1100" b="0" i="1">
              <a:solidFill>
                <a:schemeClr val="dk1"/>
              </a:solidFill>
              <a:effectLst/>
              <a:latin typeface="+mn-lt"/>
              <a:ea typeface="+mn-ea"/>
              <a:cs typeface="+mn-cs"/>
            </a:rPr>
            <a:t>February 1, 2023</a:t>
          </a:r>
          <a:r>
            <a:rPr lang="en-US" sz="1100" i="1" baseline="0"/>
            <a:t>.</a:t>
          </a:r>
          <a:endParaRPr lang="en-US" sz="110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95251</xdr:colOff>
      <xdr:row>2</xdr:row>
      <xdr:rowOff>38100</xdr:rowOff>
    </xdr:from>
    <xdr:to>
      <xdr:col>5</xdr:col>
      <xdr:colOff>342900</xdr:colOff>
      <xdr:row>6</xdr:row>
      <xdr:rowOff>114299</xdr:rowOff>
    </xdr:to>
    <xdr:sp macro="" textlink="">
      <xdr:nvSpPr>
        <xdr:cNvPr id="17" name="TextBox 16"/>
        <xdr:cNvSpPr txBox="1"/>
      </xdr:nvSpPr>
      <xdr:spPr>
        <a:xfrm>
          <a:off x="2657476" y="390525"/>
          <a:ext cx="1571624" cy="685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Annual revenues are from 2022 annual</a:t>
          </a:r>
          <a:r>
            <a:rPr lang="en-US" sz="1100" b="0" i="1" u="none" strike="noStrike" baseline="0">
              <a:solidFill>
                <a:schemeClr val="dk1"/>
              </a:solidFill>
              <a:effectLst/>
              <a:latin typeface="+mn-lt"/>
              <a:ea typeface="+mn-ea"/>
              <a:cs typeface="+mn-cs"/>
            </a:rPr>
            <a:t> report.</a:t>
          </a:r>
          <a:endParaRPr lang="en-US" sz="1100" b="0" i="0" u="none" strike="noStrike" baseline="0">
            <a:solidFill>
              <a:schemeClr val="dk1"/>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152400</xdr:colOff>
      <xdr:row>4</xdr:row>
      <xdr:rowOff>9526</xdr:rowOff>
    </xdr:from>
    <xdr:to>
      <xdr:col>19</xdr:col>
      <xdr:colOff>85725</xdr:colOff>
      <xdr:row>10</xdr:row>
      <xdr:rowOff>85726</xdr:rowOff>
    </xdr:to>
    <xdr:sp macro="" textlink="">
      <xdr:nvSpPr>
        <xdr:cNvPr id="2" name="TextBox 1"/>
        <xdr:cNvSpPr txBox="1"/>
      </xdr:nvSpPr>
      <xdr:spPr>
        <a:xfrm>
          <a:off x="12573000" y="666751"/>
          <a:ext cx="2895600"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beta.py - To get the levered beta</a:t>
          </a:r>
        </a:p>
        <a:p>
          <a:r>
            <a:rPr lang="en-US" sz="1100" b="0" i="0" u="none" strike="noStrike" baseline="0">
              <a:solidFill>
                <a:schemeClr val="dk1"/>
              </a:solidFill>
              <a:effectLst/>
              <a:latin typeface="+mn-lt"/>
              <a:ea typeface="+mn-ea"/>
              <a:cs typeface="+mn-cs"/>
            </a:rPr>
            <a:t>marketcap.py - To get market cap</a:t>
          </a:r>
        </a:p>
        <a:p>
          <a:r>
            <a:rPr lang="en-US" sz="1100" b="0" i="0" u="none" strike="noStrike" baseline="0">
              <a:solidFill>
                <a:schemeClr val="dk1"/>
              </a:solidFill>
              <a:effectLst/>
              <a:latin typeface="+mn-lt"/>
              <a:ea typeface="+mn-ea"/>
              <a:cs typeface="+mn-cs"/>
            </a:rPr>
            <a:t>debt.py - To get the total debt</a:t>
          </a:r>
        </a:p>
        <a:p>
          <a:r>
            <a:rPr lang="en-US" sz="1100" b="0" i="0" u="none" strike="noStrike" baseline="0">
              <a:solidFill>
                <a:schemeClr val="dk1"/>
              </a:solidFill>
              <a:effectLst/>
              <a:latin typeface="+mn-lt"/>
              <a:ea typeface="+mn-ea"/>
              <a:cs typeface="+mn-cs"/>
            </a:rPr>
            <a:t>cash.py - To get the cash and cash eq.</a:t>
          </a:r>
        </a:p>
        <a:p>
          <a:r>
            <a:rPr lang="en-US" sz="1100" b="0" i="0" u="none" strike="noStrike" baseline="0">
              <a:solidFill>
                <a:schemeClr val="dk1"/>
              </a:solidFill>
              <a:effectLst/>
              <a:latin typeface="+mn-lt"/>
              <a:ea typeface="+mn-ea"/>
              <a:cs typeface="+mn-cs"/>
            </a:rPr>
            <a:t>sales_adexp.py - to get the latest revenues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123825</xdr:colOff>
      <xdr:row>2</xdr:row>
      <xdr:rowOff>0</xdr:rowOff>
    </xdr:from>
    <xdr:to>
      <xdr:col>25</xdr:col>
      <xdr:colOff>57150</xdr:colOff>
      <xdr:row>24</xdr:row>
      <xdr:rowOff>76200</xdr:rowOff>
    </xdr:to>
    <xdr:sp macro="" textlink="">
      <xdr:nvSpPr>
        <xdr:cNvPr id="3" name="TextBox 2"/>
        <xdr:cNvSpPr txBox="1"/>
      </xdr:nvSpPr>
      <xdr:spPr>
        <a:xfrm>
          <a:off x="10467975" y="342900"/>
          <a:ext cx="8201025"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fontAlgn="base"/>
          <a:r>
            <a:rPr lang="en-US" sz="1400" b="1" i="0">
              <a:solidFill>
                <a:schemeClr val="dk1"/>
              </a:solidFill>
              <a:effectLst/>
              <a:latin typeface="+mn-lt"/>
              <a:ea typeface="+mn-ea"/>
              <a:cs typeface="+mn-cs"/>
            </a:rPr>
            <a:t>Analyst Opinion</a:t>
          </a:r>
          <a:endParaRPr lang="en-US" sz="1100" b="1" i="0">
            <a:solidFill>
              <a:schemeClr val="dk1"/>
            </a:solidFill>
            <a:effectLst/>
            <a:latin typeface="+mn-lt"/>
            <a:ea typeface="+mn-ea"/>
            <a:cs typeface="+mn-cs"/>
          </a:endParaRPr>
        </a:p>
        <a:p>
          <a:pPr fontAlgn="base"/>
          <a:endParaRPr lang="en-US" sz="1100" b="0" i="0">
            <a:solidFill>
              <a:schemeClr val="dk1"/>
            </a:solidFill>
            <a:effectLst/>
            <a:latin typeface="+mn-lt"/>
            <a:ea typeface="+mn-ea"/>
            <a:cs typeface="+mn-cs"/>
          </a:endParaRPr>
        </a:p>
        <a:p>
          <a:pPr fontAlgn="base"/>
          <a:r>
            <a:rPr lang="en-US" sz="1100" b="0" i="0">
              <a:solidFill>
                <a:schemeClr val="dk1"/>
              </a:solidFill>
              <a:effectLst/>
              <a:latin typeface="+mn-lt"/>
              <a:ea typeface="+mn-ea"/>
              <a:cs typeface="+mn-cs"/>
            </a:rPr>
            <a:t>In the last decade, the eCommerce market has evolved from a simple concept of brick-and-mortar retail to a shopping ecosystem that involves multiple devices and store concepts. Many players from both online and offline retail are moving towards multi-channel strategies and are continuously reinventing the way we shop online. Expectations are growing rapidly as customers discover more convenience on all levels – be it product customization, mobile-optimized search, quick checkout processes, or hassle-free delivery.</a:t>
          </a:r>
        </a:p>
        <a:p>
          <a:pPr fontAlgn="base"/>
          <a:endParaRPr lang="en-US" sz="1100" b="0" i="0">
            <a:solidFill>
              <a:schemeClr val="dk1"/>
            </a:solidFill>
            <a:effectLst/>
            <a:latin typeface="+mn-lt"/>
            <a:ea typeface="+mn-ea"/>
            <a:cs typeface="+mn-cs"/>
          </a:endParaRPr>
        </a:p>
        <a:p>
          <a:pPr fontAlgn="base"/>
          <a:r>
            <a:rPr lang="en-US" sz="1100" b="0" i="0">
              <a:solidFill>
                <a:schemeClr val="dk1"/>
              </a:solidFill>
              <a:effectLst/>
              <a:latin typeface="+mn-lt"/>
              <a:ea typeface="+mn-ea"/>
              <a:cs typeface="+mn-cs"/>
            </a:rPr>
            <a:t>In 2021, the percentage of consumers who made at least one purchase online in the previous 12 months grew to 74% of population in the U.S., 81% in the UK, and 69% in China. In developed countries, the market is in its maturity phase, and the competition among eCommerce players is extremely high and cost-intensive. Marketplaces such as Amazon and AliExpress are flourishing, while many stand-alone retailers struggle to find their USP, as brand and store loyalty are decreasing and cart abandonment rate in the industry is high. Increasing brand engagement can be achieved through community building (e.g., ASOS Marketplace), loyalty programs, and a seamless mobile and desktop user experience.</a:t>
          </a:r>
        </a:p>
        <a:p>
          <a:pPr fontAlgn="base"/>
          <a:endParaRPr lang="en-US" sz="1100" b="0" i="0">
            <a:solidFill>
              <a:schemeClr val="dk1"/>
            </a:solidFill>
            <a:effectLst/>
            <a:latin typeface="+mn-lt"/>
            <a:ea typeface="+mn-ea"/>
            <a:cs typeface="+mn-cs"/>
          </a:endParaRPr>
        </a:p>
        <a:p>
          <a:pPr fontAlgn="base"/>
          <a:r>
            <a:rPr lang="en-US" sz="1100" b="0" i="0">
              <a:solidFill>
                <a:schemeClr val="dk1"/>
              </a:solidFill>
              <a:effectLst/>
              <a:latin typeface="+mn-lt"/>
              <a:ea typeface="+mn-ea"/>
              <a:cs typeface="+mn-cs"/>
            </a:rPr>
            <a:t>Chinese key market players such as Alibaba Group, JD, and Pinduoduo jointly contribute to the comprehensive eCommerce ecosystem in China – and are increasingly penetrating other promising Asian markets, such as Indonesia and India. The Chinese population is tech-savvy and mobile-first, and Chinese eCommerce giants are therefore constantly pushing technology forward. They have diversified into literally every sphere that comes in touch with online retail, from payments to logistics. Current developments in China will – to a large extent – define the next decade’s global eCommerce.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438154</xdr:colOff>
      <xdr:row>20</xdr:row>
      <xdr:rowOff>28574</xdr:rowOff>
    </xdr:from>
    <xdr:to>
      <xdr:col>3</xdr:col>
      <xdr:colOff>704854</xdr:colOff>
      <xdr:row>24</xdr:row>
      <xdr:rowOff>76199</xdr:rowOff>
    </xdr:to>
    <xdr:sp macro="" textlink="">
      <xdr:nvSpPr>
        <xdr:cNvPr id="2" name="TextBox 1"/>
        <xdr:cNvSpPr txBox="1"/>
      </xdr:nvSpPr>
      <xdr:spPr>
        <a:xfrm rot="16200000">
          <a:off x="2862266" y="3328987"/>
          <a:ext cx="657225"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OPM %</a:t>
          </a:r>
        </a:p>
      </xdr:txBody>
    </xdr:sp>
    <xdr:clientData/>
  </xdr:twoCellAnchor>
  <xdr:twoCellAnchor>
    <xdr:from>
      <xdr:col>6</xdr:col>
      <xdr:colOff>19050</xdr:colOff>
      <xdr:row>16</xdr:row>
      <xdr:rowOff>133350</xdr:rowOff>
    </xdr:from>
    <xdr:to>
      <xdr:col>7</xdr:col>
      <xdr:colOff>514350</xdr:colOff>
      <xdr:row>18</xdr:row>
      <xdr:rowOff>85725</xdr:rowOff>
    </xdr:to>
    <xdr:sp macro="" textlink="">
      <xdr:nvSpPr>
        <xdr:cNvPr id="3" name="TextBox 2"/>
        <xdr:cNvSpPr txBox="1"/>
      </xdr:nvSpPr>
      <xdr:spPr>
        <a:xfrm>
          <a:off x="4981575" y="2628900"/>
          <a:ext cx="1276350"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Revenue Growth %</a:t>
          </a:r>
        </a:p>
      </xdr:txBody>
    </xdr:sp>
    <xdr:clientData/>
  </xdr:twoCellAnchor>
  <xdr:twoCellAnchor>
    <xdr:from>
      <xdr:col>9</xdr:col>
      <xdr:colOff>438154</xdr:colOff>
      <xdr:row>20</xdr:row>
      <xdr:rowOff>19050</xdr:rowOff>
    </xdr:from>
    <xdr:to>
      <xdr:col>9</xdr:col>
      <xdr:colOff>704854</xdr:colOff>
      <xdr:row>24</xdr:row>
      <xdr:rowOff>123826</xdr:rowOff>
    </xdr:to>
    <xdr:sp macro="" textlink="">
      <xdr:nvSpPr>
        <xdr:cNvPr id="4" name="TextBox 3"/>
        <xdr:cNvSpPr txBox="1"/>
      </xdr:nvSpPr>
      <xdr:spPr>
        <a:xfrm rot="16200000">
          <a:off x="7519991" y="3043238"/>
          <a:ext cx="714376"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WACC  %</a:t>
          </a:r>
        </a:p>
      </xdr:txBody>
    </xdr:sp>
    <xdr:clientData/>
  </xdr:twoCellAnchor>
  <xdr:twoCellAnchor>
    <xdr:from>
      <xdr:col>11</xdr:col>
      <xdr:colOff>742950</xdr:colOff>
      <xdr:row>16</xdr:row>
      <xdr:rowOff>133350</xdr:rowOff>
    </xdr:from>
    <xdr:to>
      <xdr:col>13</xdr:col>
      <xdr:colOff>571500</xdr:colOff>
      <xdr:row>18</xdr:row>
      <xdr:rowOff>85725</xdr:rowOff>
    </xdr:to>
    <xdr:sp macro="" textlink="">
      <xdr:nvSpPr>
        <xdr:cNvPr id="5" name="TextBox 4"/>
        <xdr:cNvSpPr txBox="1"/>
      </xdr:nvSpPr>
      <xdr:spPr>
        <a:xfrm>
          <a:off x="9610725" y="2628900"/>
          <a:ext cx="1276350"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Revenue Growth %</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9524</xdr:colOff>
      <xdr:row>3</xdr:row>
      <xdr:rowOff>66675</xdr:rowOff>
    </xdr:from>
    <xdr:to>
      <xdr:col>10</xdr:col>
      <xdr:colOff>9525</xdr:colOff>
      <xdr:row>5</xdr:row>
      <xdr:rowOff>28575</xdr:rowOff>
    </xdr:to>
    <xdr:sp macro="" textlink="">
      <xdr:nvSpPr>
        <xdr:cNvPr id="6" name="TextBox 5"/>
        <xdr:cNvSpPr txBox="1"/>
      </xdr:nvSpPr>
      <xdr:spPr>
        <a:xfrm>
          <a:off x="142874" y="581025"/>
          <a:ext cx="6791326"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What</a:t>
          </a:r>
          <a:r>
            <a:rPr lang="en-US" sz="1100" i="1" baseline="0"/>
            <a:t> if ETSY have super low op. margins in the future (close to Amazon) as more platforms saturate the market?</a:t>
          </a:r>
          <a:endParaRPr lang="en-US" sz="1100" i="1"/>
        </a:p>
      </xdr:txBody>
    </xdr:sp>
    <xdr:clientData/>
  </xdr:twoCellAnchor>
  <xdr:twoCellAnchor>
    <xdr:from>
      <xdr:col>3</xdr:col>
      <xdr:colOff>123825</xdr:colOff>
      <xdr:row>6</xdr:row>
      <xdr:rowOff>19049</xdr:rowOff>
    </xdr:from>
    <xdr:to>
      <xdr:col>5</xdr:col>
      <xdr:colOff>276225</xdr:colOff>
      <xdr:row>10</xdr:row>
      <xdr:rowOff>9524</xdr:rowOff>
    </xdr:to>
    <xdr:sp macro="" textlink="">
      <xdr:nvSpPr>
        <xdr:cNvPr id="7" name="TextBox 6"/>
        <xdr:cNvSpPr txBox="1"/>
      </xdr:nvSpPr>
      <xdr:spPr>
        <a:xfrm>
          <a:off x="2028825" y="990599"/>
          <a:ext cx="171450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Fair Value:</a:t>
          </a:r>
          <a:r>
            <a:rPr lang="en-US" sz="1100" b="0" i="0" u="none" strike="noStrike">
              <a:solidFill>
                <a:schemeClr val="dk1"/>
              </a:solidFill>
              <a:effectLst/>
              <a:latin typeface="+mn-lt"/>
              <a:ea typeface="+mn-ea"/>
              <a:cs typeface="+mn-cs"/>
            </a:rPr>
            <a:t> </a:t>
          </a:r>
          <a:r>
            <a:rPr lang="en-US" sz="1800" b="1" i="0" u="none" strike="noStrike">
              <a:solidFill>
                <a:schemeClr val="dk1"/>
              </a:solidFill>
              <a:effectLst/>
              <a:latin typeface="+mn-lt"/>
              <a:ea typeface="+mn-ea"/>
              <a:cs typeface="+mn-cs"/>
            </a:rPr>
            <a:t>$</a:t>
          </a:r>
          <a:r>
            <a:rPr lang="en-US" sz="2000" b="1" i="0"/>
            <a:t>32.56/share</a:t>
          </a:r>
          <a:endParaRPr lang="en-US" sz="1100" i="1"/>
        </a:p>
      </xdr:txBody>
    </xdr:sp>
    <xdr:clientData/>
  </xdr:twoCellAnchor>
  <xdr:twoCellAnchor>
    <xdr:from>
      <xdr:col>1</xdr:col>
      <xdr:colOff>9524</xdr:colOff>
      <xdr:row>12</xdr:row>
      <xdr:rowOff>76200</xdr:rowOff>
    </xdr:from>
    <xdr:to>
      <xdr:col>9</xdr:col>
      <xdr:colOff>333374</xdr:colOff>
      <xdr:row>14</xdr:row>
      <xdr:rowOff>38100</xdr:rowOff>
    </xdr:to>
    <xdr:sp macro="" textlink="">
      <xdr:nvSpPr>
        <xdr:cNvPr id="8" name="TextBox 7"/>
        <xdr:cNvSpPr txBox="1"/>
      </xdr:nvSpPr>
      <xdr:spPr>
        <a:xfrm>
          <a:off x="142874" y="1962150"/>
          <a:ext cx="67818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What</a:t>
          </a:r>
          <a:r>
            <a:rPr lang="en-US" sz="1100" i="1" baseline="0"/>
            <a:t> if ETSY becomes a more risky company than it is now, by taking on more debt?</a:t>
          </a:r>
          <a:endParaRPr lang="en-US" sz="1100" i="1"/>
        </a:p>
      </xdr:txBody>
    </xdr:sp>
    <xdr:clientData/>
  </xdr:twoCellAnchor>
  <xdr:twoCellAnchor>
    <xdr:from>
      <xdr:col>3</xdr:col>
      <xdr:colOff>123825</xdr:colOff>
      <xdr:row>15</xdr:row>
      <xdr:rowOff>19049</xdr:rowOff>
    </xdr:from>
    <xdr:to>
      <xdr:col>5</xdr:col>
      <xdr:colOff>276225</xdr:colOff>
      <xdr:row>19</xdr:row>
      <xdr:rowOff>9524</xdr:rowOff>
    </xdr:to>
    <xdr:sp macro="" textlink="">
      <xdr:nvSpPr>
        <xdr:cNvPr id="9" name="TextBox 8"/>
        <xdr:cNvSpPr txBox="1"/>
      </xdr:nvSpPr>
      <xdr:spPr>
        <a:xfrm>
          <a:off x="2028825" y="2362199"/>
          <a:ext cx="171450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Fair Value:</a:t>
          </a:r>
          <a:r>
            <a:rPr lang="en-US" sz="1100" b="0" i="0" u="none" strike="noStrike">
              <a:solidFill>
                <a:schemeClr val="dk1"/>
              </a:solidFill>
              <a:effectLst/>
              <a:latin typeface="+mn-lt"/>
              <a:ea typeface="+mn-ea"/>
              <a:cs typeface="+mn-cs"/>
            </a:rPr>
            <a:t> </a:t>
          </a:r>
          <a:r>
            <a:rPr lang="en-US" sz="1800" b="1" i="0" u="none" strike="noStrike">
              <a:solidFill>
                <a:schemeClr val="dk1"/>
              </a:solidFill>
              <a:effectLst/>
              <a:latin typeface="+mn-lt"/>
              <a:ea typeface="+mn-ea"/>
              <a:cs typeface="+mn-cs"/>
            </a:rPr>
            <a:t>$</a:t>
          </a:r>
          <a:r>
            <a:rPr lang="en-US" sz="2000" b="1" i="0"/>
            <a:t>43.98/share</a:t>
          </a:r>
          <a:endParaRPr lang="en-US" sz="1100" i="1"/>
        </a:p>
      </xdr:txBody>
    </xdr:sp>
    <xdr:clientData/>
  </xdr:twoCellAnchor>
  <xdr:twoCellAnchor>
    <xdr:from>
      <xdr:col>1</xdr:col>
      <xdr:colOff>9524</xdr:colOff>
      <xdr:row>21</xdr:row>
      <xdr:rowOff>85725</xdr:rowOff>
    </xdr:from>
    <xdr:to>
      <xdr:col>9</xdr:col>
      <xdr:colOff>314325</xdr:colOff>
      <xdr:row>23</xdr:row>
      <xdr:rowOff>47625</xdr:rowOff>
    </xdr:to>
    <xdr:sp macro="" textlink="">
      <xdr:nvSpPr>
        <xdr:cNvPr id="10" name="TextBox 9"/>
        <xdr:cNvSpPr txBox="1"/>
      </xdr:nvSpPr>
      <xdr:spPr>
        <a:xfrm>
          <a:off x="142874" y="3343275"/>
          <a:ext cx="6762751"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What</a:t>
          </a:r>
          <a:r>
            <a:rPr lang="en-US" sz="1100" i="1" baseline="0"/>
            <a:t> if ETSY cannot reach 10B revenues projection at 10th Year, let's say it reaches 8B?</a:t>
          </a:r>
          <a:endParaRPr lang="en-US" sz="1100" i="1"/>
        </a:p>
      </xdr:txBody>
    </xdr:sp>
    <xdr:clientData/>
  </xdr:twoCellAnchor>
  <xdr:twoCellAnchor>
    <xdr:from>
      <xdr:col>3</xdr:col>
      <xdr:colOff>123825</xdr:colOff>
      <xdr:row>24</xdr:row>
      <xdr:rowOff>9524</xdr:rowOff>
    </xdr:from>
    <xdr:to>
      <xdr:col>5</xdr:col>
      <xdr:colOff>276225</xdr:colOff>
      <xdr:row>27</xdr:row>
      <xdr:rowOff>152399</xdr:rowOff>
    </xdr:to>
    <xdr:sp macro="" textlink="">
      <xdr:nvSpPr>
        <xdr:cNvPr id="11" name="TextBox 10"/>
        <xdr:cNvSpPr txBox="1"/>
      </xdr:nvSpPr>
      <xdr:spPr>
        <a:xfrm>
          <a:off x="2028825" y="3724274"/>
          <a:ext cx="171450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Fair Value:</a:t>
          </a:r>
          <a:r>
            <a:rPr lang="en-US" sz="1100" b="0" i="0" u="none" strike="noStrike">
              <a:solidFill>
                <a:schemeClr val="dk1"/>
              </a:solidFill>
              <a:effectLst/>
              <a:latin typeface="+mn-lt"/>
              <a:ea typeface="+mn-ea"/>
              <a:cs typeface="+mn-cs"/>
            </a:rPr>
            <a:t> </a:t>
          </a:r>
          <a:r>
            <a:rPr lang="en-US" sz="1800" b="1" i="0" u="none" strike="noStrike">
              <a:solidFill>
                <a:schemeClr val="dk1"/>
              </a:solidFill>
              <a:effectLst/>
              <a:latin typeface="+mn-lt"/>
              <a:ea typeface="+mn-ea"/>
              <a:cs typeface="+mn-cs"/>
            </a:rPr>
            <a:t>$</a:t>
          </a:r>
          <a:r>
            <a:rPr lang="en-US" sz="2000" b="1" i="0"/>
            <a:t>67.15/share</a:t>
          </a:r>
          <a:endParaRPr lang="en-US" sz="110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542924</xdr:colOff>
      <xdr:row>14</xdr:row>
      <xdr:rowOff>28577</xdr:rowOff>
    </xdr:from>
    <xdr:to>
      <xdr:col>7</xdr:col>
      <xdr:colOff>561975</xdr:colOff>
      <xdr:row>29</xdr:row>
      <xdr:rowOff>85725</xdr:rowOff>
    </xdr:to>
    <xdr:sp macro="" textlink="">
      <xdr:nvSpPr>
        <xdr:cNvPr id="3" name="TextBox 2"/>
        <xdr:cNvSpPr txBox="1"/>
      </xdr:nvSpPr>
      <xdr:spPr>
        <a:xfrm>
          <a:off x="3648074" y="2219327"/>
          <a:ext cx="4076701" cy="23431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Etsy has</a:t>
          </a:r>
          <a:r>
            <a:rPr lang="en-US" sz="1100" baseline="0"/>
            <a:t> 95% debt as </a:t>
          </a:r>
          <a:r>
            <a:rPr lang="en-US" sz="1100"/>
            <a:t>Convertible</a:t>
          </a:r>
          <a:r>
            <a:rPr lang="en-US" sz="1100" baseline="0"/>
            <a:t> Notes which is great for a growth company.</a:t>
          </a:r>
        </a:p>
        <a:p>
          <a:endParaRPr lang="en-US" sz="1100" baseline="0"/>
        </a:p>
        <a:p>
          <a:r>
            <a:rPr lang="en-US" sz="1100" baseline="0"/>
            <a:t>- Etsy has 100% debt in US $, which can be diversified with more GBP debt as their operations exist outside of the US particularly UK.</a:t>
          </a:r>
        </a:p>
        <a:p>
          <a:endParaRPr lang="en-US" sz="1100" baseline="0"/>
        </a:p>
        <a:p>
          <a:r>
            <a:rPr lang="en-US" sz="1100"/>
            <a:t>- Etsy</a:t>
          </a:r>
          <a:r>
            <a:rPr lang="en-US" sz="1100" baseline="0"/>
            <a:t> has 100% Fixed Rate Debt which tells that their business is affected by inflation (No Pricing Power).</a:t>
          </a:r>
        </a:p>
        <a:p>
          <a:endParaRPr lang="en-US" sz="1100" baseline="0"/>
        </a:p>
        <a:p>
          <a:r>
            <a:rPr lang="en-US" sz="1100" baseline="0"/>
            <a:t>- Etsy has almost all debt as Medium to Long Term Debt, which I expected, based on their operation's duration (8.44 years).</a:t>
          </a:r>
        </a:p>
        <a:p>
          <a:endParaRPr lang="en-US" sz="1100" baseline="0"/>
        </a:p>
        <a:p>
          <a:r>
            <a:rPr lang="en-US" sz="1100" baseline="0"/>
            <a:t>Overall, I am happy with the debt design of Etsy.</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200026</xdr:colOff>
      <xdr:row>14</xdr:row>
      <xdr:rowOff>76200</xdr:rowOff>
    </xdr:from>
    <xdr:to>
      <xdr:col>17</xdr:col>
      <xdr:colOff>447676</xdr:colOff>
      <xdr:row>29</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18</xdr:row>
      <xdr:rowOff>114301</xdr:rowOff>
    </xdr:from>
    <xdr:to>
      <xdr:col>6</xdr:col>
      <xdr:colOff>19050</xdr:colOff>
      <xdr:row>24</xdr:row>
      <xdr:rowOff>133351</xdr:rowOff>
    </xdr:to>
    <xdr:sp macro="" textlink="">
      <xdr:nvSpPr>
        <xdr:cNvPr id="3" name="TextBox 2"/>
        <xdr:cNvSpPr txBox="1"/>
      </xdr:nvSpPr>
      <xdr:spPr>
        <a:xfrm>
          <a:off x="3028950" y="2914651"/>
          <a:ext cx="21050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i="1"/>
            <a:t>High</a:t>
          </a:r>
          <a:r>
            <a:rPr lang="en-US" sz="1050" i="1" baseline="0"/>
            <a:t> - Aviation, Consumer Durables</a:t>
          </a:r>
        </a:p>
        <a:p>
          <a:endParaRPr lang="en-US" sz="1050" i="1" baseline="0"/>
        </a:p>
        <a:p>
          <a:r>
            <a:rPr lang="en-US" sz="1050" i="1" baseline="0"/>
            <a:t>Medium - Technology</a:t>
          </a:r>
        </a:p>
        <a:p>
          <a:endParaRPr lang="en-US" sz="1050" i="1" baseline="0"/>
        </a:p>
        <a:p>
          <a:r>
            <a:rPr lang="en-US" sz="1050" i="1" baseline="0"/>
            <a:t>Low - Grocery Store</a:t>
          </a:r>
          <a:endParaRPr lang="en-US" sz="1050" i="1"/>
        </a:p>
      </xdr:txBody>
    </xdr:sp>
    <xdr:clientData/>
  </xdr:twoCellAnchor>
  <xdr:twoCellAnchor>
    <xdr:from>
      <xdr:col>9</xdr:col>
      <xdr:colOff>380999</xdr:colOff>
      <xdr:row>13</xdr:row>
      <xdr:rowOff>123825</xdr:rowOff>
    </xdr:from>
    <xdr:to>
      <xdr:col>13</xdr:col>
      <xdr:colOff>238124</xdr:colOff>
      <xdr:row>29</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9524</xdr:colOff>
      <xdr:row>14</xdr:row>
      <xdr:rowOff>114302</xdr:rowOff>
    </xdr:from>
    <xdr:to>
      <xdr:col>10</xdr:col>
      <xdr:colOff>19050</xdr:colOff>
      <xdr:row>24</xdr:row>
      <xdr:rowOff>85725</xdr:rowOff>
    </xdr:to>
    <xdr:sp macro="" textlink="">
      <xdr:nvSpPr>
        <xdr:cNvPr id="3" name="TextBox 2"/>
        <xdr:cNvSpPr txBox="1"/>
      </xdr:nvSpPr>
      <xdr:spPr>
        <a:xfrm>
          <a:off x="5934074" y="2305052"/>
          <a:ext cx="2419351" cy="14954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Etsy returned 1.3 billion dollars only as stock buybacks (no dividends), which is expected from a young growth company.</a:t>
          </a:r>
          <a:r>
            <a:rPr lang="en-US" sz="1100" baseline="0"/>
            <a:t> Cash Return is </a:t>
          </a:r>
          <a:r>
            <a:rPr lang="en-US" sz="1100"/>
            <a:t>about 52.67% of</a:t>
          </a:r>
          <a:r>
            <a:rPr lang="en-US" sz="1100" baseline="0"/>
            <a:t> </a:t>
          </a:r>
          <a:r>
            <a:rPr lang="en-US" sz="1100"/>
            <a:t>2.5 billion dollars it had available as FCFE.</a:t>
          </a:r>
          <a:endParaRPr lang="en-US" sz="1100" baseline="0"/>
        </a:p>
        <a:p>
          <a:endParaRPr lang="en-US" sz="1100" i="1" baseline="0"/>
        </a:p>
        <a:p>
          <a:r>
            <a:rPr lang="en-US" sz="1050" i="1"/>
            <a:t>~ A</a:t>
          </a:r>
          <a:r>
            <a:rPr lang="en-US" sz="1050" i="1" baseline="0"/>
            <a:t> Cash Accumulator</a:t>
          </a:r>
        </a:p>
      </xdr:txBody>
    </xdr:sp>
    <xdr:clientData/>
  </xdr:twoCellAnchor>
  <xdr:twoCellAnchor>
    <xdr:from>
      <xdr:col>7</xdr:col>
      <xdr:colOff>800099</xdr:colOff>
      <xdr:row>2</xdr:row>
      <xdr:rowOff>3</xdr:rowOff>
    </xdr:from>
    <xdr:to>
      <xdr:col>9</xdr:col>
      <xdr:colOff>723900</xdr:colOff>
      <xdr:row>5</xdr:row>
      <xdr:rowOff>1</xdr:rowOff>
    </xdr:to>
    <xdr:sp macro="" textlink="">
      <xdr:nvSpPr>
        <xdr:cNvPr id="4" name="TextBox 3"/>
        <xdr:cNvSpPr txBox="1"/>
      </xdr:nvSpPr>
      <xdr:spPr>
        <a:xfrm>
          <a:off x="6276974" y="361953"/>
          <a:ext cx="2409826" cy="4571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Do I trust the managers of th</a:t>
          </a:r>
          <a:r>
            <a:rPr lang="en-US" sz="1100" i="1" baseline="0"/>
            <a:t>e company with excess cash?</a:t>
          </a:r>
          <a:endParaRPr lang="en-US" sz="1050" i="1" baseline="0"/>
        </a:p>
      </xdr:txBody>
    </xdr:sp>
    <xdr:clientData/>
  </xdr:twoCellAnchor>
  <xdr:twoCellAnchor>
    <xdr:from>
      <xdr:col>8</xdr:col>
      <xdr:colOff>9524</xdr:colOff>
      <xdr:row>10</xdr:row>
      <xdr:rowOff>142878</xdr:rowOff>
    </xdr:from>
    <xdr:to>
      <xdr:col>10</xdr:col>
      <xdr:colOff>9525</xdr:colOff>
      <xdr:row>14</xdr:row>
      <xdr:rowOff>9526</xdr:rowOff>
    </xdr:to>
    <xdr:sp macro="" textlink="">
      <xdr:nvSpPr>
        <xdr:cNvPr id="5" name="TextBox 4"/>
        <xdr:cNvSpPr txBox="1"/>
      </xdr:nvSpPr>
      <xdr:spPr>
        <a:xfrm>
          <a:off x="5934074" y="1724028"/>
          <a:ext cx="2409826" cy="476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So, I give them flexibility to</a:t>
          </a:r>
          <a:r>
            <a:rPr lang="en-US" sz="1100" i="1" baseline="0"/>
            <a:t> keep cash and set dividends.</a:t>
          </a:r>
          <a:endParaRPr lang="en-US" sz="1050" i="1" baseline="0"/>
        </a:p>
      </xdr:txBody>
    </xdr:sp>
    <xdr:clientData/>
  </xdr:twoCellAnchor>
  <xdr:twoCellAnchor>
    <xdr:from>
      <xdr:col>10</xdr:col>
      <xdr:colOff>66676</xdr:colOff>
      <xdr:row>2</xdr:row>
      <xdr:rowOff>114300</xdr:rowOff>
    </xdr:from>
    <xdr:to>
      <xdr:col>14</xdr:col>
      <xdr:colOff>438150</xdr:colOff>
      <xdr:row>24</xdr:row>
      <xdr:rowOff>85725</xdr:rowOff>
    </xdr:to>
    <xdr:graphicFrame macro="">
      <xdr:nvGraphicFramePr>
        <xdr:cNvPr id="6" name="Diagram 5"/>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10</xdr:col>
      <xdr:colOff>447674</xdr:colOff>
      <xdr:row>2</xdr:row>
      <xdr:rowOff>0</xdr:rowOff>
    </xdr:from>
    <xdr:to>
      <xdr:col>14</xdr:col>
      <xdr:colOff>57149</xdr:colOff>
      <xdr:row>4</xdr:row>
      <xdr:rowOff>9526</xdr:rowOff>
    </xdr:to>
    <xdr:sp macro="" textlink="">
      <xdr:nvSpPr>
        <xdr:cNvPr id="7" name="TextBox 6"/>
        <xdr:cNvSpPr txBox="1"/>
      </xdr:nvSpPr>
      <xdr:spPr>
        <a:xfrm>
          <a:off x="8782049" y="361950"/>
          <a:ext cx="2676525" cy="314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The Dividend Matrix</a:t>
          </a:r>
        </a:p>
      </xdr:txBody>
    </xdr:sp>
    <xdr:clientData/>
  </xdr:twoCellAnchor>
  <xdr:twoCellAnchor editAs="oneCell">
    <xdr:from>
      <xdr:col>12</xdr:col>
      <xdr:colOff>609600</xdr:colOff>
      <xdr:row>9</xdr:row>
      <xdr:rowOff>38100</xdr:rowOff>
    </xdr:from>
    <xdr:to>
      <xdr:col>13</xdr:col>
      <xdr:colOff>640317</xdr:colOff>
      <xdr:row>11</xdr:row>
      <xdr:rowOff>114300</xdr:rowOff>
    </xdr:to>
    <xdr:pic>
      <xdr:nvPicPr>
        <xdr:cNvPr id="9" name="Picture 8"/>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810875" y="1466850"/>
          <a:ext cx="802242" cy="381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AG27"/>
  <sheetViews>
    <sheetView tabSelected="1" zoomScaleNormal="100" workbookViewId="0"/>
  </sheetViews>
  <sheetFormatPr defaultColWidth="9.140625" defaultRowHeight="12.75"/>
  <cols>
    <col min="1" max="1" width="2" style="40" customWidth="1"/>
    <col min="2" max="3" width="9.140625" style="40"/>
    <col min="4" max="4" width="3.42578125" style="40" customWidth="1"/>
    <col min="5" max="6" width="9.140625" style="40"/>
    <col min="7" max="7" width="1.42578125" style="40" customWidth="1"/>
    <col min="8" max="9" width="9.140625" style="40"/>
    <col min="10" max="10" width="1.42578125" style="40" customWidth="1"/>
    <col min="11" max="12" width="9.140625" style="40"/>
    <col min="13" max="13" width="1.42578125" style="40" customWidth="1"/>
    <col min="14" max="14" width="9.140625" style="40"/>
    <col min="15" max="15" width="10.42578125" style="40" customWidth="1"/>
    <col min="16" max="16" width="1.42578125" style="40" customWidth="1"/>
    <col min="17" max="17" width="9.140625" style="40"/>
    <col min="18" max="18" width="7.85546875" style="40" customWidth="1"/>
    <col min="19" max="19" width="3.28515625" style="40" customWidth="1"/>
    <col min="20" max="20" width="1.42578125" style="40" customWidth="1"/>
    <col min="21" max="21" width="9.140625" style="40"/>
    <col min="22" max="22" width="1.42578125" style="40" customWidth="1"/>
    <col min="23" max="23" width="11.28515625" style="40" customWidth="1"/>
    <col min="24" max="25" width="1.28515625" style="40" customWidth="1"/>
    <col min="26" max="26" width="16.7109375" style="40" customWidth="1"/>
    <col min="27" max="27" width="1.42578125" style="40" customWidth="1"/>
    <col min="28" max="28" width="18.28515625" style="40" customWidth="1"/>
    <col min="29" max="29" width="11.7109375" style="40" customWidth="1"/>
    <col min="30" max="16384" width="9.140625" style="40"/>
  </cols>
  <sheetData>
    <row r="1" spans="2:33" ht="5.25" customHeight="1">
      <c r="B1" s="194"/>
      <c r="C1" s="187"/>
    </row>
    <row r="2" spans="2:33" ht="16.5" customHeight="1">
      <c r="E2" s="621" t="s">
        <v>216</v>
      </c>
      <c r="F2" s="621"/>
      <c r="G2" s="189"/>
      <c r="H2" s="621" t="s">
        <v>215</v>
      </c>
      <c r="I2" s="621"/>
      <c r="J2" s="190"/>
      <c r="K2" s="621" t="s">
        <v>217</v>
      </c>
      <c r="L2" s="621"/>
      <c r="M2" s="190"/>
      <c r="N2" s="621" t="s">
        <v>153</v>
      </c>
      <c r="O2" s="621"/>
      <c r="P2" s="190"/>
      <c r="Q2" s="621" t="s">
        <v>218</v>
      </c>
      <c r="R2" s="621"/>
      <c r="S2" s="621"/>
      <c r="T2" s="190"/>
      <c r="U2" s="238" t="s">
        <v>219</v>
      </c>
      <c r="V2" s="190"/>
      <c r="W2" s="621" t="s">
        <v>220</v>
      </c>
      <c r="X2" s="621"/>
      <c r="Z2" s="238" t="s">
        <v>221</v>
      </c>
      <c r="AA2" s="195"/>
      <c r="AB2" s="238" t="s">
        <v>222</v>
      </c>
      <c r="AD2" s="195"/>
    </row>
    <row r="3" spans="2:33" ht="13.5" customHeight="1">
      <c r="E3" s="622" t="str">
        <f>CONCATENATE("$",ROUND('Cost of Equity, Debt &amp; WACC'!C21/1000,2)," Bn")</f>
        <v>$13.65 Bn</v>
      </c>
      <c r="F3" s="622"/>
      <c r="G3" s="191"/>
      <c r="H3" s="622" t="str">
        <f>CONCATENATE("$",ROUND('Accounting Adjustments'!G5/1000,2)," Bn")</f>
        <v>$2.57 Bn</v>
      </c>
      <c r="I3" s="622"/>
      <c r="J3" s="190"/>
      <c r="K3" s="622" t="str">
        <f>CONCATENATE("$",ROUND('Accounting Adjustments'!G11,2)," Mn")</f>
        <v>$386.46 Mn</v>
      </c>
      <c r="L3" s="622"/>
      <c r="M3" s="190"/>
      <c r="N3" s="623" t="str">
        <f ca="1">CONCATENATE(ROUND('Bottom Up Beta'!C15,2))</f>
        <v>0.14</v>
      </c>
      <c r="O3" s="623"/>
      <c r="P3" s="190"/>
      <c r="Q3" s="623" t="str">
        <f>CONCATENATE(ROUND((('Accounting Adjustments'!F5-'Accounting Adjustments'!E5)/'Accounting Adjustments'!E5)*100,2),"%")</f>
        <v>34.97%</v>
      </c>
      <c r="R3" s="623"/>
      <c r="S3" s="623"/>
      <c r="T3" s="190"/>
      <c r="U3" s="623" t="str">
        <f ca="1">CONCATENATE(ROUND('Bottom Up Beta'!C18,2))</f>
        <v>1.06</v>
      </c>
      <c r="V3" s="190"/>
      <c r="W3" s="623" t="str">
        <f ca="1">CONCATENATE(ROUND('Cost of Equity, Debt &amp; WACC'!C29*100,2),"%")</f>
        <v>8.57%</v>
      </c>
      <c r="X3" s="623"/>
      <c r="Z3" s="623" t="str">
        <f>CONCATENATE(ROUND('Corporate Governance'!F28,2))</f>
        <v>10</v>
      </c>
      <c r="AA3" s="196"/>
      <c r="AB3" s="623" t="str">
        <f>CONCATENATE("$",ROUND('Key Performance Indicators'!H24,2))</f>
        <v>$850</v>
      </c>
      <c r="AD3" s="196"/>
    </row>
    <row r="4" spans="2:33" ht="12.75" customHeight="1">
      <c r="B4" s="188"/>
      <c r="E4" s="622"/>
      <c r="F4" s="622"/>
      <c r="G4" s="191"/>
      <c r="H4" s="622"/>
      <c r="I4" s="622"/>
      <c r="J4" s="190"/>
      <c r="K4" s="622"/>
      <c r="L4" s="622"/>
      <c r="M4" s="190"/>
      <c r="N4" s="623"/>
      <c r="O4" s="623"/>
      <c r="P4" s="190"/>
      <c r="Q4" s="623"/>
      <c r="R4" s="623"/>
      <c r="S4" s="623"/>
      <c r="T4" s="190"/>
      <c r="U4" s="623"/>
      <c r="V4" s="190"/>
      <c r="W4" s="623"/>
      <c r="X4" s="623"/>
      <c r="Z4" s="623"/>
      <c r="AA4" s="196"/>
      <c r="AB4" s="623"/>
      <c r="AD4" s="196"/>
    </row>
    <row r="5" spans="2:33" ht="4.5" customHeight="1">
      <c r="B5" s="193"/>
      <c r="C5" s="192"/>
    </row>
    <row r="6" spans="2:33" ht="8.25" customHeight="1">
      <c r="B6" s="624" t="s">
        <v>223</v>
      </c>
      <c r="C6" s="624"/>
      <c r="D6" s="624"/>
      <c r="E6" s="624"/>
      <c r="F6" s="624"/>
      <c r="G6" s="197"/>
      <c r="H6" s="624" t="s">
        <v>228</v>
      </c>
      <c r="I6" s="624"/>
      <c r="J6" s="624"/>
      <c r="K6" s="624"/>
      <c r="L6" s="624"/>
      <c r="M6" s="624"/>
      <c r="N6" s="624"/>
      <c r="O6" s="624"/>
      <c r="P6" s="197"/>
      <c r="Q6" s="624" t="s">
        <v>229</v>
      </c>
      <c r="R6" s="624"/>
      <c r="S6" s="624"/>
      <c r="T6" s="624"/>
      <c r="U6" s="624"/>
      <c r="V6" s="624"/>
      <c r="W6" s="624"/>
      <c r="X6" s="624"/>
      <c r="Z6" s="624" t="s">
        <v>130</v>
      </c>
      <c r="AA6" s="624"/>
      <c r="AB6" s="624"/>
      <c r="AC6" s="197"/>
      <c r="AD6" s="197"/>
      <c r="AE6" s="197"/>
      <c r="AF6" s="197"/>
      <c r="AG6" s="197"/>
    </row>
    <row r="7" spans="2:33" ht="8.25" customHeight="1">
      <c r="B7" s="624"/>
      <c r="C7" s="624"/>
      <c r="D7" s="624"/>
      <c r="E7" s="624"/>
      <c r="F7" s="624"/>
      <c r="G7" s="197"/>
      <c r="H7" s="624"/>
      <c r="I7" s="624"/>
      <c r="J7" s="624"/>
      <c r="K7" s="624"/>
      <c r="L7" s="624"/>
      <c r="M7" s="624"/>
      <c r="N7" s="624"/>
      <c r="O7" s="624"/>
      <c r="P7" s="197"/>
      <c r="Q7" s="624"/>
      <c r="R7" s="624"/>
      <c r="S7" s="624"/>
      <c r="T7" s="624"/>
      <c r="U7" s="624"/>
      <c r="V7" s="624"/>
      <c r="W7" s="624"/>
      <c r="X7" s="624"/>
      <c r="Z7" s="624"/>
      <c r="AA7" s="624"/>
      <c r="AB7" s="624"/>
      <c r="AC7" s="197"/>
      <c r="AD7" s="197"/>
      <c r="AE7" s="197"/>
      <c r="AF7" s="197"/>
      <c r="AG7" s="197"/>
    </row>
    <row r="8" spans="2:33" ht="15" customHeight="1"/>
    <row r="9" spans="2:33" ht="12.75" customHeight="1"/>
    <row r="10" spans="2:33">
      <c r="C10" s="41"/>
    </row>
    <row r="12" spans="2:33" ht="15">
      <c r="H12"/>
    </row>
    <row r="13" spans="2:33">
      <c r="M13" s="42"/>
    </row>
    <row r="15" spans="2:33" ht="15">
      <c r="H15"/>
    </row>
    <row r="18" spans="2:28" ht="8.25" customHeight="1">
      <c r="B18" s="624" t="s">
        <v>234</v>
      </c>
      <c r="C18" s="624"/>
      <c r="D18" s="624"/>
      <c r="E18" s="624"/>
      <c r="F18" s="624"/>
      <c r="H18" s="624" t="s">
        <v>1000</v>
      </c>
      <c r="I18" s="624"/>
      <c r="J18" s="624"/>
      <c r="K18" s="624"/>
      <c r="L18" s="624"/>
      <c r="M18" s="624"/>
      <c r="N18" s="624"/>
      <c r="O18" s="624"/>
      <c r="Q18" s="624" t="s">
        <v>235</v>
      </c>
      <c r="R18" s="624"/>
      <c r="S18" s="624"/>
      <c r="T18" s="624"/>
      <c r="U18" s="624"/>
      <c r="V18" s="624"/>
      <c r="W18" s="624"/>
      <c r="X18" s="624"/>
      <c r="Y18" s="616"/>
      <c r="Z18" s="624" t="s">
        <v>237</v>
      </c>
      <c r="AA18" s="624"/>
      <c r="AB18" s="624"/>
    </row>
    <row r="19" spans="2:28" ht="8.25" customHeight="1">
      <c r="B19" s="624"/>
      <c r="C19" s="624"/>
      <c r="D19" s="624"/>
      <c r="E19" s="624"/>
      <c r="F19" s="624"/>
      <c r="H19" s="624"/>
      <c r="I19" s="624"/>
      <c r="J19" s="624"/>
      <c r="K19" s="624"/>
      <c r="L19" s="624"/>
      <c r="M19" s="624"/>
      <c r="N19" s="624"/>
      <c r="O19" s="624"/>
      <c r="Q19" s="624"/>
      <c r="R19" s="624"/>
      <c r="S19" s="624"/>
      <c r="T19" s="624"/>
      <c r="U19" s="624"/>
      <c r="V19" s="624"/>
      <c r="W19" s="624"/>
      <c r="X19" s="624"/>
      <c r="Y19" s="616"/>
      <c r="Z19" s="624"/>
      <c r="AA19" s="624"/>
      <c r="AB19" s="624"/>
    </row>
    <row r="20" spans="2:28" ht="12.75" customHeight="1"/>
    <row r="21" spans="2:28" ht="12.75" customHeight="1">
      <c r="V21" s="195"/>
      <c r="Y21" s="195"/>
      <c r="Z21" s="195"/>
      <c r="AA21" s="195"/>
    </row>
    <row r="22" spans="2:28" ht="12.75" customHeight="1">
      <c r="V22" s="199"/>
      <c r="Y22" s="195"/>
      <c r="Z22" s="199"/>
      <c r="AA22" s="199"/>
    </row>
    <row r="23" spans="2:28" ht="12.75" customHeight="1">
      <c r="V23" s="199"/>
      <c r="Y23" s="195"/>
      <c r="Z23" s="199"/>
      <c r="AA23" s="199"/>
    </row>
    <row r="25" spans="2:28" ht="12.75" customHeight="1">
      <c r="V25" s="195"/>
    </row>
    <row r="26" spans="2:28" ht="12.75" customHeight="1">
      <c r="V26" s="199"/>
    </row>
    <row r="27" spans="2:28" ht="12.75" customHeight="1">
      <c r="V27" s="199"/>
    </row>
  </sheetData>
  <mergeCells count="23">
    <mergeCell ref="B18:F19"/>
    <mergeCell ref="H18:O19"/>
    <mergeCell ref="H6:O7"/>
    <mergeCell ref="AB3:AB4"/>
    <mergeCell ref="Z3:Z4"/>
    <mergeCell ref="B6:F7"/>
    <mergeCell ref="Q6:X7"/>
    <mergeCell ref="Z6:AB7"/>
    <mergeCell ref="Z18:AB19"/>
    <mergeCell ref="Q18:X19"/>
    <mergeCell ref="E2:F2"/>
    <mergeCell ref="E3:F4"/>
    <mergeCell ref="H2:I2"/>
    <mergeCell ref="H3:I4"/>
    <mergeCell ref="W2:X2"/>
    <mergeCell ref="W3:X4"/>
    <mergeCell ref="U3:U4"/>
    <mergeCell ref="K2:L2"/>
    <mergeCell ref="K3:L4"/>
    <mergeCell ref="N2:O2"/>
    <mergeCell ref="N3:O4"/>
    <mergeCell ref="Q2:S2"/>
    <mergeCell ref="Q3:S4"/>
  </mergeCells>
  <pageMargins left="0.7" right="0.7" top="0.75" bottom="0.75" header="0.3" footer="0.3"/>
  <pageSetup paperSize="8"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4"/>
  <sheetViews>
    <sheetView zoomScaleNormal="100" workbookViewId="0"/>
  </sheetViews>
  <sheetFormatPr defaultRowHeight="12"/>
  <cols>
    <col min="1" max="1" width="2" style="2" customWidth="1"/>
    <col min="2" max="2" width="23.28515625" style="2" customWidth="1"/>
    <col min="3" max="3" width="16.42578125" style="2" customWidth="1"/>
    <col min="4" max="4" width="5.85546875" style="2" customWidth="1"/>
    <col min="5" max="5" width="13.140625" style="2" customWidth="1"/>
    <col min="6" max="6" width="13.140625" style="12" customWidth="1"/>
    <col min="7" max="7" width="5.85546875" style="2" customWidth="1"/>
    <col min="8" max="8" width="24.140625" style="2" customWidth="1"/>
    <col min="9" max="14" width="11.7109375" style="2" customWidth="1"/>
    <col min="15" max="16384" width="9.140625" style="2"/>
  </cols>
  <sheetData>
    <row r="1" spans="2:14" ht="15.75">
      <c r="B1" s="15" t="s">
        <v>811</v>
      </c>
      <c r="E1" s="3"/>
      <c r="F1" s="45"/>
      <c r="G1" s="3"/>
      <c r="H1" s="3"/>
      <c r="I1" s="3"/>
      <c r="J1" s="3"/>
      <c r="K1" s="3"/>
      <c r="L1" s="3"/>
      <c r="M1" s="3"/>
      <c r="N1" s="3"/>
    </row>
    <row r="2" spans="2:14" ht="12.75" thickBot="1">
      <c r="E2" s="3"/>
      <c r="F2" s="45"/>
      <c r="G2" s="3"/>
      <c r="H2" s="3"/>
      <c r="I2" s="3"/>
      <c r="J2" s="3"/>
      <c r="K2" s="3"/>
      <c r="L2" s="3"/>
      <c r="M2" s="3"/>
      <c r="N2" s="3"/>
    </row>
    <row r="3" spans="2:14">
      <c r="B3" s="337" t="s">
        <v>825</v>
      </c>
      <c r="C3" s="254"/>
      <c r="D3" s="18"/>
      <c r="E3" s="281" t="s">
        <v>30</v>
      </c>
      <c r="F3" s="282" t="s">
        <v>178</v>
      </c>
      <c r="G3" s="61"/>
      <c r="H3" s="337" t="str">
        <f>$C$10&amp;"'s Inputs"</f>
        <v>Etsy Inc.'s Inputs</v>
      </c>
      <c r="I3" s="254"/>
      <c r="J3" s="60"/>
      <c r="K3" s="3"/>
      <c r="L3" s="44"/>
      <c r="M3" s="57"/>
      <c r="N3" s="3"/>
    </row>
    <row r="4" spans="2:14" ht="12.75" thickBot="1">
      <c r="B4" s="315"/>
      <c r="C4" s="259"/>
      <c r="D4" s="5"/>
      <c r="E4" s="277" t="s">
        <v>15</v>
      </c>
      <c r="F4" s="278">
        <v>0</v>
      </c>
      <c r="G4" s="62"/>
      <c r="H4" s="315"/>
      <c r="I4" s="259"/>
      <c r="J4" s="47"/>
      <c r="K4" s="3"/>
      <c r="L4" s="3"/>
      <c r="M4" s="3"/>
      <c r="N4" s="3"/>
    </row>
    <row r="5" spans="2:14">
      <c r="B5" s="160" t="s">
        <v>814</v>
      </c>
      <c r="C5" s="338" t="s">
        <v>815</v>
      </c>
      <c r="D5" s="5"/>
      <c r="E5" s="277" t="s">
        <v>16</v>
      </c>
      <c r="F5" s="278">
        <v>3.3999999999999998E-3</v>
      </c>
      <c r="G5" s="62"/>
      <c r="H5" s="160" t="s">
        <v>182</v>
      </c>
      <c r="I5" s="338" t="s">
        <v>258</v>
      </c>
      <c r="J5" s="47"/>
      <c r="K5" s="3"/>
      <c r="L5" s="3"/>
      <c r="M5" s="3"/>
      <c r="N5" s="3"/>
    </row>
    <row r="6" spans="2:14">
      <c r="B6" s="160" t="s">
        <v>816</v>
      </c>
      <c r="C6" s="338">
        <v>45015</v>
      </c>
      <c r="D6" s="20"/>
      <c r="E6" s="277" t="s">
        <v>9</v>
      </c>
      <c r="F6" s="278">
        <v>4.1999999999999997E-3</v>
      </c>
      <c r="G6" s="62"/>
      <c r="H6" s="160"/>
      <c r="I6" s="338"/>
      <c r="J6" s="47"/>
      <c r="K6" s="3"/>
      <c r="L6" s="3"/>
      <c r="M6" s="3"/>
      <c r="N6" s="3"/>
    </row>
    <row r="7" spans="2:14">
      <c r="C7" s="256"/>
      <c r="D7" s="5"/>
      <c r="E7" s="277" t="s">
        <v>20</v>
      </c>
      <c r="F7" s="278">
        <v>5.1000000000000004E-3</v>
      </c>
      <c r="G7" s="62"/>
      <c r="H7" s="63" t="s">
        <v>994</v>
      </c>
      <c r="I7" s="289">
        <v>0.11509999999999999</v>
      </c>
      <c r="J7" s="47"/>
      <c r="K7" s="3"/>
      <c r="L7" s="3"/>
      <c r="M7" s="3"/>
      <c r="N7" s="3"/>
    </row>
    <row r="8" spans="2:14">
      <c r="B8" s="337" t="s">
        <v>817</v>
      </c>
      <c r="C8" s="254"/>
      <c r="D8" s="5"/>
      <c r="E8" s="277" t="s">
        <v>25</v>
      </c>
      <c r="F8" s="278">
        <v>6.0000000000000001E-3</v>
      </c>
      <c r="G8" s="62"/>
      <c r="H8" s="63" t="s">
        <v>995</v>
      </c>
      <c r="I8" s="289">
        <f>'Risk Free Rate &amp; ERP'!C6</f>
        <v>3.372E-2</v>
      </c>
      <c r="J8" s="47"/>
      <c r="K8" s="3"/>
      <c r="L8" s="3"/>
      <c r="M8" s="3"/>
      <c r="N8" s="3"/>
    </row>
    <row r="9" spans="2:14" ht="12.75" thickBot="1">
      <c r="B9" s="315"/>
      <c r="C9" s="259"/>
      <c r="D9" s="5"/>
      <c r="E9" s="277" t="s">
        <v>22</v>
      </c>
      <c r="F9" s="278">
        <v>7.1999999999999998E-3</v>
      </c>
      <c r="G9" s="62"/>
      <c r="H9" s="63"/>
      <c r="I9" s="37"/>
      <c r="J9" s="47"/>
      <c r="K9" s="3"/>
      <c r="L9" s="3"/>
      <c r="M9" s="3"/>
      <c r="N9" s="3"/>
    </row>
    <row r="10" spans="2:14">
      <c r="B10" s="160" t="s">
        <v>812</v>
      </c>
      <c r="C10" s="339" t="s">
        <v>349</v>
      </c>
      <c r="D10" s="5"/>
      <c r="E10" s="277" t="s">
        <v>23</v>
      </c>
      <c r="F10" s="278">
        <v>1.0200000000000001E-2</v>
      </c>
      <c r="G10" s="62"/>
      <c r="H10" s="63" t="s">
        <v>876</v>
      </c>
      <c r="I10" s="596">
        <f>-388.336</f>
        <v>-388.33600000000001</v>
      </c>
      <c r="J10" s="47"/>
      <c r="K10" s="3"/>
      <c r="L10" s="3"/>
      <c r="M10" s="3"/>
      <c r="N10" s="3"/>
    </row>
    <row r="11" spans="2:14">
      <c r="B11" s="160" t="s">
        <v>33</v>
      </c>
      <c r="C11" s="339" t="s">
        <v>346</v>
      </c>
      <c r="D11" s="5"/>
      <c r="E11" s="277" t="s">
        <v>24</v>
      </c>
      <c r="F11" s="278">
        <v>1.3599999999999999E-2</v>
      </c>
      <c r="G11" s="62"/>
      <c r="H11" s="63" t="s">
        <v>101</v>
      </c>
      <c r="I11" s="596">
        <v>322.23</v>
      </c>
      <c r="J11" s="47"/>
      <c r="K11" s="66"/>
      <c r="L11" s="3"/>
      <c r="M11" s="3"/>
      <c r="N11" s="3"/>
    </row>
    <row r="12" spans="2:14">
      <c r="B12" s="160" t="s">
        <v>820</v>
      </c>
      <c r="C12" s="339" t="s">
        <v>345</v>
      </c>
      <c r="D12" s="5"/>
      <c r="E12" s="277" t="s">
        <v>11</v>
      </c>
      <c r="F12" s="278">
        <v>1.6199999999999999E-2</v>
      </c>
      <c r="G12" s="62"/>
      <c r="H12" s="63"/>
      <c r="I12" s="37"/>
      <c r="J12" s="47"/>
      <c r="K12" s="6"/>
      <c r="L12" s="3"/>
      <c r="M12" s="3"/>
      <c r="N12" s="3"/>
    </row>
    <row r="13" spans="2:14">
      <c r="B13" s="149" t="s">
        <v>320</v>
      </c>
      <c r="C13" s="340" t="s">
        <v>347</v>
      </c>
      <c r="D13" s="5"/>
      <c r="E13" s="277" t="s">
        <v>28</v>
      </c>
      <c r="F13" s="278">
        <v>1.8700000000000001E-2</v>
      </c>
      <c r="G13" s="62"/>
      <c r="H13" s="354" t="s">
        <v>826</v>
      </c>
      <c r="I13" s="354"/>
      <c r="J13" s="354"/>
      <c r="K13" s="354"/>
      <c r="L13" s="354"/>
      <c r="M13" s="354"/>
      <c r="N13" s="354"/>
    </row>
    <row r="14" spans="2:14" ht="12.75" thickBot="1">
      <c r="B14" s="160" t="s">
        <v>236</v>
      </c>
      <c r="C14" s="340" t="s">
        <v>348</v>
      </c>
      <c r="D14" s="20"/>
      <c r="E14" s="277" t="s">
        <v>27</v>
      </c>
      <c r="F14" s="278">
        <v>2.1299999999999999E-2</v>
      </c>
      <c r="G14" s="6"/>
      <c r="H14" s="325" t="str">
        <f>Drivers!$C$5&amp;" in mil"</f>
        <v>$ in mil</v>
      </c>
      <c r="I14" s="259"/>
      <c r="J14" s="259"/>
      <c r="K14" s="259"/>
      <c r="L14" s="259"/>
      <c r="M14" s="259"/>
      <c r="N14" s="259"/>
    </row>
    <row r="15" spans="2:14">
      <c r="C15" s="341"/>
      <c r="D15" s="5"/>
      <c r="E15" s="277" t="s">
        <v>17</v>
      </c>
      <c r="F15" s="278">
        <v>2.5600000000000001E-2</v>
      </c>
      <c r="G15" s="3"/>
      <c r="H15" s="355"/>
      <c r="I15" s="356">
        <v>2017</v>
      </c>
      <c r="J15" s="356">
        <v>2018</v>
      </c>
      <c r="K15" s="356">
        <v>2019</v>
      </c>
      <c r="L15" s="356">
        <v>2020</v>
      </c>
      <c r="M15" s="356">
        <v>2021</v>
      </c>
      <c r="N15" s="357">
        <v>2022</v>
      </c>
    </row>
    <row r="16" spans="2:14">
      <c r="B16" s="160" t="s">
        <v>813</v>
      </c>
      <c r="C16" s="342">
        <v>107.67</v>
      </c>
      <c r="D16" s="5"/>
      <c r="E16" s="277" t="s">
        <v>14</v>
      </c>
      <c r="F16" s="278">
        <v>3.0599999999999999E-2</v>
      </c>
      <c r="G16" s="53"/>
      <c r="H16" s="2" t="s">
        <v>120</v>
      </c>
      <c r="I16" s="617">
        <v>11.13</v>
      </c>
      <c r="J16" s="474">
        <f>-'Income Statement'!C17</f>
        <v>22.178000000000001</v>
      </c>
      <c r="K16" s="474">
        <f>-'Income Statement'!D17</f>
        <v>24.32</v>
      </c>
      <c r="L16" s="474">
        <f>-'Income Statement'!E17</f>
        <v>42.024999999999999</v>
      </c>
      <c r="M16" s="474">
        <f>-'Income Statement'!F17</f>
        <v>9.8849999999999998</v>
      </c>
      <c r="N16" s="474">
        <f>-'Income Statement'!G17</f>
        <v>14.167999999999999</v>
      </c>
    </row>
    <row r="17" spans="1:14">
      <c r="B17" s="160" t="s">
        <v>818</v>
      </c>
      <c r="C17" s="343">
        <f>'Income Statement'!G26</f>
        <v>126.778626</v>
      </c>
      <c r="D17" s="5"/>
      <c r="E17" s="277" t="s">
        <v>10</v>
      </c>
      <c r="F17" s="278">
        <v>3.8300000000000001E-2</v>
      </c>
      <c r="G17" s="53"/>
      <c r="H17" s="2" t="s">
        <v>3</v>
      </c>
      <c r="I17" s="618">
        <v>278.34899999999999</v>
      </c>
      <c r="J17" s="474">
        <f>-'Income Statement'!C13</f>
        <v>338.14499999999998</v>
      </c>
      <c r="K17" s="474">
        <f>-'Income Statement'!D13</f>
        <v>458.58199999999999</v>
      </c>
      <c r="L17" s="474">
        <f>-'Income Statement'!E13</f>
        <v>836.87099999999998</v>
      </c>
      <c r="M17" s="474">
        <f>-'Income Statement'!F13</f>
        <v>1208.8699999999999</v>
      </c>
      <c r="N17" s="474">
        <f>-'Income Statement'!G13</f>
        <v>2480.0789999999997</v>
      </c>
    </row>
    <row r="18" spans="1:14">
      <c r="B18" s="160"/>
      <c r="C18" s="342"/>
      <c r="D18" s="20"/>
      <c r="E18" s="277" t="s">
        <v>18</v>
      </c>
      <c r="F18" s="278">
        <v>4.6800000000000001E-2</v>
      </c>
      <c r="G18" s="3"/>
      <c r="H18" s="304" t="s">
        <v>121</v>
      </c>
      <c r="I18" s="615">
        <f t="shared" ref="I18:N18" si="0">I17/I16</f>
        <v>25.008894878706197</v>
      </c>
      <c r="J18" s="615">
        <f t="shared" si="0"/>
        <v>15.24686626386509</v>
      </c>
      <c r="K18" s="615">
        <f t="shared" si="0"/>
        <v>18.856167763157895</v>
      </c>
      <c r="L18" s="615">
        <f t="shared" si="0"/>
        <v>19.913646638905412</v>
      </c>
      <c r="M18" s="615">
        <f t="shared" si="0"/>
        <v>122.29337379868487</v>
      </c>
      <c r="N18" s="615">
        <f t="shared" si="0"/>
        <v>175.04792490118575</v>
      </c>
    </row>
    <row r="19" spans="1:14">
      <c r="B19" s="337" t="s">
        <v>823</v>
      </c>
      <c r="C19" s="254"/>
      <c r="D19" s="5"/>
      <c r="E19" s="277" t="s">
        <v>12</v>
      </c>
      <c r="F19" s="278">
        <v>5.5300000000000002E-2</v>
      </c>
      <c r="G19" s="3"/>
      <c r="K19" s="160"/>
      <c r="L19" s="160"/>
      <c r="M19" s="160" t="s">
        <v>122</v>
      </c>
      <c r="N19" s="166">
        <f>MEDIAN(I18:N18)</f>
        <v>22.461270758805803</v>
      </c>
    </row>
    <row r="20" spans="1:14" ht="12.75" thickBot="1">
      <c r="B20" s="315"/>
      <c r="C20" s="259"/>
      <c r="D20" s="5"/>
      <c r="E20" s="277" t="s">
        <v>19</v>
      </c>
      <c r="F20" s="278">
        <v>6.3799999999999996E-2</v>
      </c>
      <c r="G20" s="66"/>
      <c r="L20" s="3"/>
      <c r="M20" s="3"/>
      <c r="N20" s="3"/>
    </row>
    <row r="21" spans="1:14">
      <c r="B21" s="160" t="s">
        <v>821</v>
      </c>
      <c r="C21" s="344" t="s">
        <v>822</v>
      </c>
      <c r="D21" s="5"/>
      <c r="E21" s="277" t="s">
        <v>26</v>
      </c>
      <c r="F21" s="278">
        <v>7.6600000000000001E-2</v>
      </c>
      <c r="G21" s="6"/>
      <c r="H21" s="337" t="s">
        <v>1001</v>
      </c>
      <c r="I21" s="254"/>
      <c r="J21" s="254"/>
      <c r="K21" s="254"/>
    </row>
    <row r="22" spans="1:14" ht="12.75" thickBot="1">
      <c r="B22" s="160" t="str">
        <f>"10Y "&amp;C21&amp;" Gov Bond Yield"</f>
        <v>10Y USA Gov Bond Yield</v>
      </c>
      <c r="C22" s="344">
        <v>3.372E-2</v>
      </c>
      <c r="D22" s="5"/>
      <c r="E22" s="277" t="s">
        <v>21</v>
      </c>
      <c r="F22" s="278">
        <v>8.5099999999999995E-2</v>
      </c>
      <c r="G22" s="45"/>
      <c r="H22" s="315"/>
      <c r="I22" s="315" t="s">
        <v>1002</v>
      </c>
      <c r="J22" s="315" t="s">
        <v>1007</v>
      </c>
      <c r="K22" s="315" t="s">
        <v>1003</v>
      </c>
    </row>
    <row r="23" spans="1:14">
      <c r="B23" s="160" t="s">
        <v>30</v>
      </c>
      <c r="C23" s="344" t="s">
        <v>161</v>
      </c>
      <c r="D23" s="20"/>
      <c r="E23" s="277" t="s">
        <v>13</v>
      </c>
      <c r="F23" s="278">
        <v>0.1021</v>
      </c>
      <c r="G23" s="3"/>
      <c r="H23" s="160" t="s">
        <v>1006</v>
      </c>
      <c r="I23" s="462">
        <v>67.010000000000005</v>
      </c>
      <c r="J23" s="618">
        <f>K23-I23</f>
        <v>82.899999999999991</v>
      </c>
      <c r="K23" s="618">
        <v>149.91</v>
      </c>
    </row>
    <row r="24" spans="1:14" ht="12.75" thickBot="1">
      <c r="B24" s="3"/>
      <c r="C24" s="3"/>
      <c r="D24" s="5"/>
      <c r="E24" s="279" t="s">
        <v>29</v>
      </c>
      <c r="F24" s="280">
        <v>0.17499999999999999</v>
      </c>
      <c r="G24" s="3"/>
      <c r="H24" s="160" t="s">
        <v>1004</v>
      </c>
      <c r="I24" s="462">
        <v>47</v>
      </c>
      <c r="J24" s="618">
        <f t="shared" ref="J24:J26" si="1">K24-I24</f>
        <v>139</v>
      </c>
      <c r="K24" s="618">
        <v>186</v>
      </c>
    </row>
    <row r="25" spans="1:14">
      <c r="B25" s="149" t="str">
        <f>$C$21&amp;" ERP (as of Mar 23)"</f>
        <v>USA ERP (as of Mar 23)</v>
      </c>
      <c r="C25" s="345">
        <v>4.7800000000000002E-2</v>
      </c>
      <c r="D25" s="5"/>
      <c r="E25" s="5"/>
      <c r="F25" s="45"/>
      <c r="G25" s="3"/>
      <c r="H25" s="63" t="s">
        <v>1005</v>
      </c>
      <c r="I25" s="620">
        <f>'Sensitivity Analysis'!F22</f>
        <v>45.332634170817293</v>
      </c>
      <c r="J25" s="618">
        <f t="shared" si="1"/>
        <v>40.46794808238473</v>
      </c>
      <c r="K25" s="618">
        <f>'Sensitivity Analysis'!H23</f>
        <v>85.800582253202023</v>
      </c>
    </row>
    <row r="26" spans="1:14">
      <c r="A26" s="2" t="s">
        <v>824</v>
      </c>
      <c r="B26" s="149" t="str">
        <f>$C$21&amp;" Spread (as of Mar 23)"</f>
        <v>USA Spread (as of Mar 23)</v>
      </c>
      <c r="C26" s="345">
        <v>0</v>
      </c>
      <c r="D26" s="5"/>
      <c r="E26" s="20"/>
      <c r="F26" s="36"/>
      <c r="G26" s="3"/>
      <c r="H26" s="63" t="s">
        <v>1008</v>
      </c>
      <c r="I26" s="462">
        <f ca="1">((5*'Accounting Adjustments'!$G$5)+'Fair Value of Share'!$C$16+'Fair Value of Share'!$C$20+'Fair Value of Share'!$C$21-'Fair Value of Share'!$C$23)/'Fair Value of Share'!$C$25</f>
        <v>94.251736498204849</v>
      </c>
      <c r="J26" s="618">
        <f t="shared" ca="1" si="1"/>
        <v>36.433584632791309</v>
      </c>
      <c r="K26" s="462">
        <f ca="1">((6.8*'Accounting Adjustments'!$G$5)+'Fair Value of Share'!$C$16+'Fair Value of Share'!$C$20+'Fair Value of Share'!$C$21-'Fair Value of Share'!$C$23)/'Fair Value of Share'!$C$25</f>
        <v>130.68532113099616</v>
      </c>
    </row>
    <row r="27" spans="1:14">
      <c r="B27" s="149" t="str">
        <f>$C$21&amp;" CRP (as of Mar 23)"</f>
        <v>USA CRP (as of Mar 23)</v>
      </c>
      <c r="C27" s="345">
        <v>0</v>
      </c>
      <c r="D27" s="20"/>
      <c r="E27" s="19"/>
      <c r="F27" s="70"/>
      <c r="G27" s="3"/>
      <c r="H27" s="63"/>
      <c r="I27" s="619"/>
      <c r="J27" s="619"/>
    </row>
    <row r="28" spans="1:14">
      <c r="B28" s="149" t="str">
        <f>$C$21&amp;" Tax % (as of Mar 23)"</f>
        <v>USA Tax % (as of Mar 23)</v>
      </c>
      <c r="C28" s="345">
        <v>0.21</v>
      </c>
      <c r="D28" s="6"/>
      <c r="E28" s="19"/>
      <c r="F28" s="70"/>
      <c r="G28" s="3"/>
      <c r="H28" s="63"/>
      <c r="I28" s="596"/>
      <c r="J28" s="3"/>
    </row>
    <row r="29" spans="1:14">
      <c r="D29" s="3"/>
      <c r="E29" s="3"/>
      <c r="F29" s="45"/>
      <c r="G29" s="3"/>
      <c r="J29" s="3"/>
    </row>
    <row r="30" spans="1:14">
      <c r="B30" s="149" t="s">
        <v>993</v>
      </c>
      <c r="C30" s="345">
        <v>0.02</v>
      </c>
      <c r="D30" s="3"/>
      <c r="E30" s="3"/>
      <c r="F30" s="45"/>
    </row>
    <row r="31" spans="1:14">
      <c r="D31" s="3"/>
      <c r="E31" s="3"/>
      <c r="F31" s="45"/>
    </row>
    <row r="32" spans="1:14">
      <c r="D32" s="3"/>
      <c r="E32" s="3"/>
      <c r="F32" s="45"/>
    </row>
    <row r="33" spans="4:6">
      <c r="D33" s="3"/>
      <c r="E33" s="3"/>
      <c r="F33" s="45"/>
    </row>
    <row r="34" spans="4:6">
      <c r="D34" s="3"/>
      <c r="E34" s="3"/>
      <c r="F34" s="45"/>
    </row>
  </sheetData>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20.5703125" style="2" customWidth="1"/>
    <col min="4" max="4" width="2.85546875" style="2" customWidth="1"/>
    <col min="5" max="5" width="17.5703125" style="2" customWidth="1"/>
    <col min="6" max="6" width="10" style="12"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5" t="s">
        <v>819</v>
      </c>
      <c r="E1" s="3"/>
      <c r="F1" s="45"/>
      <c r="G1" s="3"/>
      <c r="H1" s="3"/>
      <c r="I1" s="3"/>
      <c r="J1" s="3"/>
      <c r="K1" s="3"/>
      <c r="L1" s="3"/>
      <c r="M1" s="3"/>
      <c r="N1" s="3"/>
    </row>
    <row r="2" spans="2:14">
      <c r="E2" s="3"/>
      <c r="F2" s="45"/>
      <c r="G2" s="3"/>
      <c r="H2" s="3"/>
      <c r="I2" s="3"/>
      <c r="J2" s="3"/>
      <c r="K2" s="3"/>
      <c r="L2" s="3"/>
      <c r="M2" s="3"/>
      <c r="N2" s="3"/>
    </row>
    <row r="3" spans="2:14">
      <c r="B3" s="3"/>
      <c r="C3" s="54"/>
      <c r="D3" s="18"/>
      <c r="E3" s="37"/>
      <c r="F3" s="65"/>
      <c r="G3" s="61"/>
      <c r="H3" s="60"/>
      <c r="I3" s="60"/>
      <c r="J3" s="60"/>
      <c r="K3" s="3"/>
      <c r="L3" s="66"/>
      <c r="M3" s="60"/>
      <c r="N3" s="3"/>
    </row>
    <row r="4" spans="2:14">
      <c r="C4" s="128"/>
      <c r="D4" s="5"/>
      <c r="E4" s="3"/>
      <c r="F4" s="49"/>
      <c r="G4" s="62"/>
      <c r="H4" s="63"/>
      <c r="I4" s="37"/>
      <c r="J4" s="47"/>
      <c r="K4" s="3"/>
      <c r="L4" s="48"/>
      <c r="M4" s="56"/>
      <c r="N4" s="3"/>
    </row>
    <row r="5" spans="2:14">
      <c r="C5" s="160"/>
      <c r="D5" s="5"/>
      <c r="E5" s="3"/>
      <c r="F5" s="49"/>
      <c r="G5" s="62"/>
      <c r="H5" s="63"/>
      <c r="I5" s="37"/>
      <c r="J5" s="47"/>
      <c r="K5" s="3"/>
      <c r="L5" s="48"/>
      <c r="M5" s="56"/>
      <c r="N5" s="3"/>
    </row>
    <row r="6" spans="2:14">
      <c r="C6" s="50"/>
      <c r="D6" s="20"/>
      <c r="E6" s="3"/>
      <c r="F6" s="49"/>
      <c r="G6" s="62"/>
      <c r="H6" s="63"/>
      <c r="I6" s="37"/>
      <c r="J6" s="47"/>
      <c r="K6" s="3"/>
      <c r="L6" s="48"/>
      <c r="M6" s="56"/>
      <c r="N6" s="3"/>
    </row>
    <row r="7" spans="2:14">
      <c r="C7" s="51"/>
      <c r="D7" s="5"/>
      <c r="E7" s="3"/>
      <c r="F7" s="49"/>
      <c r="G7" s="62"/>
      <c r="H7" s="63"/>
      <c r="I7" s="37"/>
      <c r="J7" s="47"/>
      <c r="K7" s="3"/>
      <c r="L7" s="48"/>
      <c r="M7" s="56"/>
      <c r="N7" s="3"/>
    </row>
    <row r="8" spans="2:14">
      <c r="C8" s="36"/>
      <c r="D8" s="5"/>
      <c r="E8" s="3"/>
      <c r="F8" s="49"/>
      <c r="G8" s="62"/>
      <c r="H8" s="63"/>
      <c r="I8" s="37"/>
      <c r="J8" s="47"/>
      <c r="K8" s="3"/>
      <c r="L8" s="48"/>
      <c r="M8" s="56"/>
      <c r="N8" s="3"/>
    </row>
    <row r="9" spans="2:14">
      <c r="B9" s="3"/>
      <c r="C9" s="54"/>
      <c r="D9" s="5"/>
      <c r="E9" s="3"/>
      <c r="F9" s="49"/>
      <c r="G9" s="62"/>
      <c r="H9" s="63"/>
      <c r="I9" s="37"/>
      <c r="J9" s="47"/>
      <c r="K9" s="3"/>
      <c r="L9" s="48"/>
      <c r="M9" s="56"/>
      <c r="N9" s="3"/>
    </row>
    <row r="10" spans="2:14">
      <c r="B10" s="3"/>
      <c r="C10" s="54"/>
      <c r="D10" s="5"/>
      <c r="E10" s="3"/>
      <c r="F10" s="49"/>
      <c r="G10" s="62"/>
      <c r="H10" s="63"/>
      <c r="I10" s="37"/>
      <c r="J10" s="47"/>
      <c r="K10" s="3"/>
      <c r="L10" s="46"/>
      <c r="M10" s="3"/>
      <c r="N10" s="3"/>
    </row>
    <row r="11" spans="2:14">
      <c r="B11" s="3"/>
      <c r="C11" s="55"/>
      <c r="D11" s="5"/>
      <c r="E11" s="3"/>
      <c r="F11" s="49"/>
      <c r="G11" s="62"/>
      <c r="H11" s="63"/>
      <c r="I11" s="37"/>
      <c r="J11" s="47"/>
      <c r="K11" s="3"/>
      <c r="L11" s="52"/>
      <c r="M11" s="57"/>
      <c r="N11" s="3"/>
    </row>
    <row r="12" spans="2:14">
      <c r="B12" s="3"/>
      <c r="C12" s="3"/>
      <c r="D12" s="5"/>
      <c r="E12" s="3"/>
      <c r="F12" s="49"/>
      <c r="G12" s="62"/>
      <c r="H12" s="63"/>
      <c r="I12" s="37"/>
      <c r="J12" s="47"/>
      <c r="K12" s="3"/>
      <c r="L12" s="44"/>
      <c r="M12" s="57"/>
      <c r="N12" s="3"/>
    </row>
    <row r="13" spans="2:14">
      <c r="B13" s="3"/>
      <c r="C13" s="39"/>
      <c r="D13" s="5"/>
      <c r="E13" s="3"/>
      <c r="F13" s="49"/>
      <c r="G13" s="62"/>
      <c r="H13" s="63"/>
      <c r="I13" s="37"/>
      <c r="J13" s="47"/>
      <c r="K13" s="3"/>
      <c r="L13" s="3"/>
      <c r="M13" s="3"/>
      <c r="N13" s="3"/>
    </row>
    <row r="14" spans="2:14">
      <c r="B14" s="19"/>
      <c r="C14" s="19"/>
      <c r="D14" s="20"/>
      <c r="E14" s="3"/>
      <c r="F14" s="48"/>
      <c r="G14" s="6"/>
      <c r="H14" s="3"/>
      <c r="I14" s="37"/>
      <c r="J14" s="19"/>
      <c r="K14" s="3"/>
      <c r="L14" s="3"/>
      <c r="M14" s="3"/>
      <c r="N14" s="3"/>
    </row>
    <row r="15" spans="2:14">
      <c r="B15" s="3"/>
      <c r="C15" s="71"/>
      <c r="D15" s="5"/>
      <c r="E15" s="37"/>
      <c r="F15" s="44"/>
      <c r="G15" s="3"/>
      <c r="H15" s="3"/>
      <c r="I15" s="3"/>
      <c r="J15" s="3"/>
      <c r="K15" s="3"/>
      <c r="L15" s="3"/>
      <c r="M15" s="3"/>
      <c r="N15" s="3"/>
    </row>
    <row r="16" spans="2:14">
      <c r="B16" s="3"/>
      <c r="C16" s="3"/>
      <c r="D16" s="5"/>
      <c r="E16" s="37"/>
      <c r="F16" s="52"/>
      <c r="G16" s="53"/>
      <c r="H16" s="35"/>
      <c r="I16" s="3"/>
      <c r="J16" s="3"/>
      <c r="K16" s="3"/>
      <c r="L16" s="3"/>
      <c r="M16" s="3"/>
      <c r="N16" s="3"/>
    </row>
    <row r="17" spans="2:14">
      <c r="B17" s="3"/>
      <c r="C17" s="51"/>
      <c r="D17" s="5"/>
      <c r="E17" s="37"/>
      <c r="F17" s="44"/>
      <c r="G17" s="53"/>
      <c r="H17" s="3"/>
      <c r="I17" s="3"/>
      <c r="J17" s="3"/>
      <c r="K17" s="3"/>
      <c r="L17" s="3"/>
      <c r="M17" s="3"/>
      <c r="N17" s="3"/>
    </row>
    <row r="18" spans="2:14">
      <c r="B18" s="3"/>
      <c r="C18" s="3"/>
      <c r="D18" s="20"/>
      <c r="E18" s="37"/>
      <c r="F18" s="44"/>
      <c r="G18" s="3"/>
      <c r="H18" s="3"/>
      <c r="I18" s="3"/>
      <c r="J18" s="3"/>
      <c r="K18" s="3"/>
      <c r="L18" s="3"/>
      <c r="M18" s="3"/>
      <c r="N18" s="3"/>
    </row>
    <row r="19" spans="2:14">
      <c r="B19" s="19"/>
      <c r="C19" s="19"/>
      <c r="D19" s="5"/>
      <c r="E19" s="37"/>
      <c r="F19" s="44"/>
      <c r="G19" s="3"/>
      <c r="H19" s="3"/>
      <c r="I19" s="3"/>
      <c r="J19" s="3"/>
      <c r="K19" s="3"/>
      <c r="L19" s="3"/>
      <c r="M19" s="3"/>
      <c r="N19" s="3"/>
    </row>
    <row r="20" spans="2:14">
      <c r="B20" s="3"/>
      <c r="C20" s="3"/>
      <c r="D20" s="5"/>
      <c r="E20" s="64"/>
      <c r="F20" s="66"/>
      <c r="G20" s="66"/>
      <c r="H20" s="66"/>
      <c r="I20" s="66"/>
      <c r="J20" s="66"/>
      <c r="K20" s="66"/>
      <c r="L20" s="3"/>
      <c r="M20" s="3"/>
      <c r="N20" s="3"/>
    </row>
    <row r="21" spans="2:14">
      <c r="B21" s="3"/>
      <c r="C21" s="3"/>
      <c r="D21" s="5"/>
      <c r="E21" s="58"/>
      <c r="F21" s="67"/>
      <c r="G21" s="6"/>
      <c r="H21" s="6"/>
      <c r="I21" s="6"/>
      <c r="J21" s="6"/>
      <c r="K21" s="6"/>
      <c r="L21" s="3"/>
      <c r="M21" s="3"/>
      <c r="N21" s="3"/>
    </row>
    <row r="22" spans="2:14">
      <c r="B22" s="3"/>
      <c r="C22" s="3"/>
      <c r="D22" s="5"/>
      <c r="E22" s="37"/>
      <c r="F22" s="45"/>
      <c r="G22" s="45"/>
      <c r="H22" s="45"/>
      <c r="I22" s="59"/>
      <c r="J22" s="44"/>
      <c r="K22" s="45"/>
      <c r="L22" s="3"/>
      <c r="M22" s="3"/>
      <c r="N22" s="3"/>
    </row>
    <row r="23" spans="2:14">
      <c r="B23" s="19"/>
      <c r="C23" s="19"/>
      <c r="D23" s="20"/>
      <c r="E23" s="37"/>
      <c r="F23" s="3"/>
      <c r="G23" s="3"/>
      <c r="H23" s="3"/>
      <c r="I23" s="3"/>
      <c r="J23" s="3"/>
      <c r="K23" s="3"/>
      <c r="L23" s="68"/>
      <c r="M23" s="3"/>
      <c r="N23" s="3"/>
    </row>
    <row r="24" spans="2:14">
      <c r="B24" s="3"/>
      <c r="C24" s="3"/>
      <c r="D24" s="5"/>
      <c r="E24" s="37"/>
      <c r="F24" s="3"/>
      <c r="G24" s="3"/>
      <c r="H24" s="3"/>
      <c r="I24" s="3"/>
      <c r="J24" s="3"/>
      <c r="K24" s="3"/>
      <c r="L24" s="3"/>
      <c r="M24" s="3"/>
      <c r="N24" s="3"/>
    </row>
    <row r="25" spans="2:14">
      <c r="B25" s="3"/>
      <c r="C25" s="3"/>
      <c r="D25" s="5"/>
      <c r="E25" s="5"/>
      <c r="F25" s="45"/>
      <c r="G25" s="3"/>
      <c r="H25" s="52"/>
      <c r="I25" s="53"/>
      <c r="J25" s="3"/>
      <c r="K25" s="3"/>
      <c r="L25" s="3"/>
      <c r="M25" s="3"/>
      <c r="N25" s="3"/>
    </row>
    <row r="26" spans="2:14">
      <c r="B26" s="3"/>
      <c r="C26" s="3"/>
      <c r="D26" s="5"/>
      <c r="E26" s="20"/>
      <c r="F26" s="36"/>
      <c r="G26" s="3"/>
      <c r="H26" s="44"/>
      <c r="I26" s="53"/>
      <c r="J26" s="3"/>
      <c r="K26" s="3"/>
      <c r="L26" s="69"/>
      <c r="M26" s="3"/>
      <c r="N26" s="3"/>
    </row>
    <row r="27" spans="2:14">
      <c r="B27" s="3"/>
      <c r="C27" s="3"/>
      <c r="D27" s="20"/>
      <c r="E27" s="19"/>
      <c r="F27" s="70"/>
      <c r="G27" s="3"/>
      <c r="H27" s="3"/>
      <c r="I27" s="3"/>
      <c r="J27" s="3"/>
      <c r="K27" s="3"/>
      <c r="L27" s="3"/>
      <c r="M27" s="3"/>
      <c r="N27" s="3"/>
    </row>
    <row r="28" spans="2:14">
      <c r="B28" s="3"/>
      <c r="C28" s="3"/>
      <c r="D28" s="6"/>
      <c r="E28" s="19"/>
      <c r="F28" s="70"/>
      <c r="G28" s="3"/>
      <c r="H28" s="3"/>
      <c r="I28" s="3"/>
      <c r="J28" s="3"/>
      <c r="K28" s="3"/>
      <c r="L28" s="3"/>
      <c r="M28" s="3"/>
      <c r="N28" s="3"/>
    </row>
    <row r="29" spans="2:14">
      <c r="B29" s="3"/>
      <c r="C29" s="3"/>
      <c r="D29" s="3"/>
      <c r="E29" s="3"/>
      <c r="F29" s="45"/>
      <c r="G29" s="3"/>
      <c r="H29" s="3"/>
      <c r="I29" s="3"/>
      <c r="J29" s="3"/>
      <c r="K29" s="3"/>
      <c r="L29" s="3"/>
      <c r="M29" s="3"/>
      <c r="N29" s="3"/>
    </row>
    <row r="30" spans="2:14">
      <c r="B30" s="3"/>
      <c r="C30" s="3"/>
      <c r="D30" s="3"/>
      <c r="E30" s="3"/>
      <c r="F30" s="45"/>
    </row>
    <row r="31" spans="2:14">
      <c r="D31" s="3"/>
      <c r="E31" s="3"/>
      <c r="F31" s="45"/>
    </row>
    <row r="32" spans="2:14">
      <c r="D32" s="3"/>
      <c r="E32" s="3"/>
      <c r="F32" s="45"/>
    </row>
    <row r="33" spans="4:6">
      <c r="D33" s="3"/>
      <c r="E33" s="3"/>
      <c r="F33" s="45"/>
    </row>
    <row r="34" spans="4:6">
      <c r="D34" s="3"/>
      <c r="E34" s="3"/>
      <c r="F34" s="45"/>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L34"/>
  <sheetViews>
    <sheetView zoomScaleNormal="100" workbookViewId="0"/>
  </sheetViews>
  <sheetFormatPr defaultRowHeight="12"/>
  <cols>
    <col min="1" max="1" width="2" style="2" customWidth="1"/>
    <col min="2" max="2" width="22.28515625" style="2" customWidth="1"/>
    <col min="3" max="3" width="13.42578125" style="2" customWidth="1"/>
    <col min="4" max="4" width="3.28515625" style="2" customWidth="1"/>
    <col min="5" max="5" width="20.5703125" style="2" customWidth="1"/>
    <col min="6" max="6" width="10" style="12" bestFit="1" customWidth="1"/>
    <col min="7" max="7" width="11.42578125" style="2" customWidth="1"/>
    <col min="8" max="8" width="48.7109375" style="2" customWidth="1"/>
    <col min="9" max="9" width="10" style="2" customWidth="1"/>
    <col min="10" max="10" width="7.85546875" style="2" customWidth="1"/>
    <col min="11" max="11" width="10.28515625" style="2" customWidth="1"/>
    <col min="12" max="16384" width="9.140625" style="2"/>
  </cols>
  <sheetData>
    <row r="1" spans="2:12" ht="15.75">
      <c r="B1" s="15" t="s">
        <v>130</v>
      </c>
      <c r="E1" s="3"/>
      <c r="F1" s="45"/>
      <c r="G1" s="3"/>
      <c r="H1" s="3"/>
      <c r="I1" s="3"/>
      <c r="J1" s="3"/>
      <c r="K1" s="3"/>
      <c r="L1" s="3"/>
    </row>
    <row r="2" spans="2:12">
      <c r="E2" s="3"/>
      <c r="F2" s="45"/>
      <c r="G2" s="3"/>
      <c r="H2" s="3"/>
      <c r="I2" s="3"/>
      <c r="J2" s="3"/>
      <c r="K2" s="3"/>
      <c r="L2" s="3"/>
    </row>
    <row r="3" spans="2:12">
      <c r="B3" s="253" t="s">
        <v>135</v>
      </c>
      <c r="C3" s="253"/>
      <c r="D3" s="18"/>
      <c r="E3" s="37"/>
      <c r="F3" s="65"/>
      <c r="G3" s="61"/>
      <c r="H3" s="253" t="s">
        <v>1009</v>
      </c>
      <c r="I3" s="253"/>
      <c r="J3" s="66"/>
      <c r="K3" s="60"/>
      <c r="L3" s="3"/>
    </row>
    <row r="4" spans="2:12" ht="12.75" thickBot="1">
      <c r="B4" s="258" t="s">
        <v>794</v>
      </c>
      <c r="C4" s="259"/>
      <c r="G4" s="62"/>
      <c r="H4" s="258"/>
      <c r="I4" s="259"/>
      <c r="J4" s="48"/>
      <c r="K4" s="56"/>
      <c r="L4" s="3"/>
    </row>
    <row r="5" spans="2:12">
      <c r="B5" s="257" t="s">
        <v>132</v>
      </c>
      <c r="C5" s="257" t="s">
        <v>133</v>
      </c>
      <c r="D5" s="5"/>
      <c r="E5" s="3"/>
      <c r="F5" s="49"/>
      <c r="G5" s="62"/>
      <c r="H5" s="2" t="s">
        <v>1010</v>
      </c>
      <c r="J5" s="48"/>
      <c r="K5" s="56"/>
      <c r="L5" s="3"/>
    </row>
    <row r="6" spans="2:12">
      <c r="B6" s="35" t="s">
        <v>350</v>
      </c>
      <c r="C6" s="255" t="s">
        <v>359</v>
      </c>
      <c r="E6" s="3"/>
      <c r="F6" s="49"/>
      <c r="G6" s="62"/>
      <c r="H6" s="2" t="s">
        <v>1011</v>
      </c>
      <c r="J6" s="48"/>
      <c r="K6" s="56"/>
      <c r="L6" s="3"/>
    </row>
    <row r="7" spans="2:12">
      <c r="B7" s="256" t="s">
        <v>351</v>
      </c>
      <c r="C7" s="255" t="s">
        <v>131</v>
      </c>
      <c r="D7" s="20"/>
      <c r="E7" s="3"/>
      <c r="F7" s="49"/>
      <c r="G7" s="62"/>
      <c r="H7" s="2" t="s">
        <v>1012</v>
      </c>
      <c r="J7" s="48"/>
      <c r="K7" s="56"/>
      <c r="L7" s="3"/>
    </row>
    <row r="8" spans="2:12">
      <c r="B8" s="256" t="s">
        <v>352</v>
      </c>
      <c r="C8" s="255" t="s">
        <v>131</v>
      </c>
      <c r="D8" s="5"/>
      <c r="E8" s="3"/>
      <c r="F8" s="49"/>
      <c r="G8" s="62"/>
      <c r="H8" s="2" t="s">
        <v>1013</v>
      </c>
      <c r="J8" s="48"/>
      <c r="K8" s="56"/>
      <c r="L8" s="3"/>
    </row>
    <row r="9" spans="2:12">
      <c r="B9" s="256" t="s">
        <v>353</v>
      </c>
      <c r="C9" s="255" t="s">
        <v>131</v>
      </c>
      <c r="D9" s="5"/>
      <c r="E9" s="3"/>
      <c r="F9" s="49"/>
      <c r="G9" s="62"/>
      <c r="H9" s="2" t="s">
        <v>1014</v>
      </c>
      <c r="I9" s="3"/>
      <c r="J9" s="48"/>
      <c r="K9" s="56"/>
      <c r="L9" s="3"/>
    </row>
    <row r="10" spans="2:12">
      <c r="B10" s="256" t="s">
        <v>354</v>
      </c>
      <c r="C10" s="255" t="s">
        <v>131</v>
      </c>
      <c r="D10" s="5"/>
      <c r="E10" s="3"/>
      <c r="F10" s="49"/>
      <c r="G10" s="62"/>
      <c r="H10" s="2" t="s">
        <v>1015</v>
      </c>
      <c r="I10" s="3"/>
      <c r="J10" s="46"/>
      <c r="K10" s="3"/>
      <c r="L10" s="3"/>
    </row>
    <row r="11" spans="2:12">
      <c r="B11" s="256" t="s">
        <v>355</v>
      </c>
      <c r="C11" s="255" t="s">
        <v>131</v>
      </c>
      <c r="D11" s="5"/>
      <c r="E11" s="3"/>
      <c r="F11" s="49"/>
      <c r="G11" s="62"/>
      <c r="H11" s="2" t="s">
        <v>1016</v>
      </c>
      <c r="I11" s="3"/>
      <c r="J11" s="52"/>
      <c r="K11" s="57"/>
      <c r="L11" s="3"/>
    </row>
    <row r="12" spans="2:12">
      <c r="B12" s="35" t="s">
        <v>356</v>
      </c>
      <c r="C12" s="255" t="s">
        <v>131</v>
      </c>
      <c r="D12" s="5"/>
      <c r="E12" s="3"/>
      <c r="F12" s="49"/>
      <c r="G12" s="62"/>
      <c r="H12" s="2" t="s">
        <v>1017</v>
      </c>
      <c r="I12" s="3"/>
      <c r="J12" s="44"/>
      <c r="K12" s="57"/>
      <c r="L12" s="3"/>
    </row>
    <row r="13" spans="2:12">
      <c r="B13" s="35" t="s">
        <v>357</v>
      </c>
      <c r="C13" s="255" t="s">
        <v>360</v>
      </c>
      <c r="D13" s="20" t="s">
        <v>136</v>
      </c>
      <c r="E13" s="3"/>
      <c r="F13" s="49"/>
      <c r="G13" s="62"/>
      <c r="H13" s="2" t="s">
        <v>1018</v>
      </c>
      <c r="I13" s="3"/>
      <c r="J13" s="3"/>
      <c r="K13" s="3"/>
      <c r="L13" s="3"/>
    </row>
    <row r="14" spans="2:12">
      <c r="B14" s="35" t="s">
        <v>358</v>
      </c>
      <c r="C14" s="255" t="s">
        <v>131</v>
      </c>
      <c r="D14" s="5"/>
      <c r="E14" s="3"/>
      <c r="F14" s="49"/>
      <c r="G14" s="6"/>
      <c r="H14" s="2" t="s">
        <v>1019</v>
      </c>
      <c r="I14" s="3"/>
      <c r="J14" s="3"/>
      <c r="K14" s="3"/>
      <c r="L14" s="3"/>
    </row>
    <row r="15" spans="2:12">
      <c r="D15" s="20"/>
      <c r="E15" s="3"/>
      <c r="F15" s="48"/>
      <c r="G15" s="3"/>
      <c r="H15" s="2" t="s">
        <v>1020</v>
      </c>
      <c r="I15" s="3"/>
      <c r="J15" s="3"/>
      <c r="K15" s="3"/>
      <c r="L15" s="3"/>
    </row>
    <row r="16" spans="2:12">
      <c r="B16" s="253" t="s">
        <v>134</v>
      </c>
      <c r="C16" s="253"/>
      <c r="D16" s="5"/>
      <c r="E16" s="253" t="s">
        <v>230</v>
      </c>
      <c r="F16" s="253"/>
      <c r="G16" s="53"/>
      <c r="H16" s="2" t="s">
        <v>1021</v>
      </c>
      <c r="I16" s="3"/>
      <c r="J16" s="3"/>
      <c r="K16" s="3"/>
      <c r="L16" s="3"/>
    </row>
    <row r="17" spans="2:12" ht="12.75" thickBot="1">
      <c r="B17" s="258" t="s">
        <v>794</v>
      </c>
      <c r="C17" s="259"/>
      <c r="D17" s="5"/>
      <c r="E17" s="258" t="s">
        <v>794</v>
      </c>
      <c r="F17" s="259"/>
      <c r="G17" s="53"/>
      <c r="H17" s="2" t="s">
        <v>1022</v>
      </c>
      <c r="I17" s="3"/>
      <c r="J17" s="3"/>
      <c r="K17" s="3"/>
      <c r="L17" s="3"/>
    </row>
    <row r="18" spans="2:12">
      <c r="B18" s="257" t="s">
        <v>132</v>
      </c>
      <c r="C18" s="257" t="s">
        <v>133</v>
      </c>
      <c r="E18" s="257" t="s">
        <v>132</v>
      </c>
      <c r="F18" s="264" t="s">
        <v>123</v>
      </c>
      <c r="G18" s="3"/>
      <c r="H18" s="2" t="s">
        <v>1023</v>
      </c>
      <c r="I18" s="3"/>
      <c r="J18" s="3"/>
      <c r="K18" s="3"/>
      <c r="L18" s="3"/>
    </row>
    <row r="19" spans="2:12">
      <c r="B19" s="35" t="s">
        <v>357</v>
      </c>
      <c r="C19" s="255" t="s">
        <v>360</v>
      </c>
      <c r="D19" s="5" t="s">
        <v>136</v>
      </c>
      <c r="E19" s="38" t="s">
        <v>231</v>
      </c>
      <c r="F19" s="92">
        <v>0.9546</v>
      </c>
      <c r="G19" s="3"/>
      <c r="H19" s="2" t="s">
        <v>1024</v>
      </c>
      <c r="I19" s="3"/>
      <c r="J19" s="3"/>
      <c r="K19" s="3"/>
      <c r="L19" s="3"/>
    </row>
    <row r="20" spans="2:12">
      <c r="B20" s="256" t="s">
        <v>361</v>
      </c>
      <c r="C20" s="260" t="s">
        <v>795</v>
      </c>
      <c r="E20" s="38" t="s">
        <v>232</v>
      </c>
      <c r="F20" s="92">
        <v>1.35E-2</v>
      </c>
      <c r="G20" s="66"/>
      <c r="H20" s="2" t="s">
        <v>1025</v>
      </c>
      <c r="I20" s="66"/>
      <c r="J20" s="3"/>
      <c r="K20" s="3"/>
      <c r="L20" s="3"/>
    </row>
    <row r="21" spans="2:12">
      <c r="B21" s="256" t="s">
        <v>362</v>
      </c>
      <c r="C21" s="261" t="s">
        <v>796</v>
      </c>
      <c r="E21" s="38" t="s">
        <v>233</v>
      </c>
      <c r="F21" s="92">
        <f>F22-F20-F19</f>
        <v>3.1900000000000039E-2</v>
      </c>
      <c r="G21" s="6"/>
      <c r="H21" s="2" t="s">
        <v>1026</v>
      </c>
      <c r="I21" s="6"/>
      <c r="J21" s="3"/>
      <c r="K21" s="3"/>
      <c r="L21" s="3"/>
    </row>
    <row r="22" spans="2:12">
      <c r="B22" s="256" t="s">
        <v>363</v>
      </c>
      <c r="C22" s="262" t="s">
        <v>797</v>
      </c>
      <c r="E22" s="267" t="s">
        <v>802</v>
      </c>
      <c r="F22" s="265">
        <v>1</v>
      </c>
      <c r="G22" s="45"/>
      <c r="H22" s="2" t="s">
        <v>1027</v>
      </c>
      <c r="I22" s="45"/>
      <c r="J22" s="3"/>
      <c r="K22" s="3"/>
      <c r="L22" s="3"/>
    </row>
    <row r="23" spans="2:12">
      <c r="B23" s="256" t="s">
        <v>364</v>
      </c>
      <c r="C23" s="262" t="s">
        <v>798</v>
      </c>
      <c r="D23" s="5"/>
      <c r="E23" s="37"/>
      <c r="F23" s="45"/>
      <c r="G23" s="3"/>
      <c r="H23" s="2" t="s">
        <v>1029</v>
      </c>
      <c r="I23" s="3"/>
      <c r="J23" s="68"/>
      <c r="K23" s="3"/>
      <c r="L23" s="3"/>
    </row>
    <row r="24" spans="2:12">
      <c r="B24" s="256" t="s">
        <v>365</v>
      </c>
      <c r="C24" s="263" t="s">
        <v>801</v>
      </c>
      <c r="D24" s="5"/>
      <c r="E24" s="35" t="s">
        <v>137</v>
      </c>
      <c r="F24" s="35">
        <v>6</v>
      </c>
      <c r="G24" s="3"/>
      <c r="H24" s="2" t="s">
        <v>1028</v>
      </c>
      <c r="I24" s="3"/>
      <c r="J24" s="3"/>
      <c r="K24" s="3"/>
      <c r="L24" s="3"/>
    </row>
    <row r="25" spans="2:12">
      <c r="B25" s="35" t="s">
        <v>366</v>
      </c>
      <c r="C25" s="255" t="s">
        <v>799</v>
      </c>
      <c r="D25" s="20"/>
      <c r="E25" s="35" t="s">
        <v>138</v>
      </c>
      <c r="F25" s="35">
        <v>8</v>
      </c>
      <c r="G25" s="3"/>
      <c r="H25" s="3"/>
      <c r="I25" s="3"/>
      <c r="J25" s="3"/>
      <c r="K25" s="3"/>
      <c r="L25" s="3"/>
    </row>
    <row r="26" spans="2:12" ht="12" customHeight="1">
      <c r="B26" s="35" t="s">
        <v>367</v>
      </c>
      <c r="C26" s="255" t="s">
        <v>800</v>
      </c>
      <c r="D26" s="5"/>
      <c r="E26" s="35" t="s">
        <v>139</v>
      </c>
      <c r="F26" s="35">
        <v>10</v>
      </c>
      <c r="G26" s="3"/>
      <c r="H26" s="3"/>
      <c r="I26" s="3"/>
      <c r="J26" s="69"/>
      <c r="K26" s="3"/>
      <c r="L26" s="3"/>
    </row>
    <row r="27" spans="2:12">
      <c r="D27" s="5"/>
      <c r="E27" s="35" t="s">
        <v>140</v>
      </c>
      <c r="F27" s="35">
        <v>9</v>
      </c>
      <c r="G27" s="3"/>
      <c r="H27" s="3"/>
      <c r="I27" s="3"/>
      <c r="J27" s="3"/>
      <c r="K27" s="3"/>
      <c r="L27" s="3"/>
    </row>
    <row r="28" spans="2:12">
      <c r="D28" s="6"/>
      <c r="E28" s="268" t="s">
        <v>130</v>
      </c>
      <c r="F28" s="268">
        <v>10</v>
      </c>
      <c r="G28" s="3"/>
      <c r="H28" s="3"/>
      <c r="I28" s="3"/>
      <c r="J28" s="3"/>
      <c r="K28" s="3"/>
      <c r="L28" s="3"/>
    </row>
    <row r="29" spans="2:12">
      <c r="D29" s="3"/>
      <c r="E29" s="3"/>
      <c r="F29" s="45"/>
      <c r="G29" s="3"/>
      <c r="H29" s="3"/>
      <c r="I29" s="3"/>
      <c r="J29" s="3"/>
      <c r="K29" s="3"/>
      <c r="L29" s="3"/>
    </row>
    <row r="30" spans="2:12">
      <c r="D30" s="3"/>
      <c r="E30" s="3"/>
      <c r="F30" s="45"/>
    </row>
    <row r="31" spans="2:12">
      <c r="D31" s="3"/>
      <c r="E31" s="3"/>
      <c r="F31" s="45"/>
    </row>
    <row r="32" spans="2:12">
      <c r="D32" s="3"/>
      <c r="E32" s="3"/>
      <c r="F32" s="45"/>
    </row>
    <row r="33" spans="4:6">
      <c r="D33" s="3"/>
      <c r="E33" s="3"/>
      <c r="F33" s="45"/>
    </row>
    <row r="34" spans="4:6">
      <c r="D34" s="3"/>
      <c r="E34" s="3"/>
      <c r="F34" s="45"/>
    </row>
  </sheetData>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32"/>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7.7109375" style="1" customWidth="1"/>
    <col min="3" max="3" width="28.5703125" style="1" customWidth="1"/>
    <col min="4" max="4" width="9.140625" style="1" customWidth="1"/>
    <col min="5" max="16384" width="9.140625" style="1"/>
  </cols>
  <sheetData>
    <row r="1" spans="2:3" ht="15.75">
      <c r="B1" s="30" t="s">
        <v>41</v>
      </c>
      <c r="C1" s="8"/>
    </row>
    <row r="2" spans="2:3">
      <c r="B2" s="31"/>
      <c r="C2" s="8"/>
    </row>
    <row r="3" spans="2:3">
      <c r="B3" s="8"/>
      <c r="C3" s="8"/>
    </row>
    <row r="4" spans="2:3">
      <c r="B4" s="43" t="s">
        <v>0</v>
      </c>
      <c r="C4" s="43" t="s">
        <v>1</v>
      </c>
    </row>
    <row r="5" spans="2:3">
      <c r="B5" s="270">
        <v>1</v>
      </c>
      <c r="C5" s="269" t="s">
        <v>6</v>
      </c>
    </row>
    <row r="6" spans="2:3">
      <c r="B6" s="32">
        <f>B5+1</f>
        <v>2</v>
      </c>
      <c r="C6" s="271" t="s">
        <v>159</v>
      </c>
    </row>
    <row r="7" spans="2:3">
      <c r="B7" s="32">
        <f t="shared" ref="B7:B32" si="0">B6+1</f>
        <v>3</v>
      </c>
      <c r="C7" s="271" t="s">
        <v>148</v>
      </c>
    </row>
    <row r="8" spans="2:3">
      <c r="B8" s="32">
        <f t="shared" si="0"/>
        <v>4</v>
      </c>
      <c r="C8" s="271" t="s">
        <v>160</v>
      </c>
    </row>
    <row r="9" spans="2:3">
      <c r="B9" s="32">
        <f t="shared" si="0"/>
        <v>5</v>
      </c>
      <c r="C9" s="271" t="s">
        <v>158</v>
      </c>
    </row>
    <row r="10" spans="2:3">
      <c r="B10" s="32">
        <f t="shared" si="0"/>
        <v>6</v>
      </c>
      <c r="C10" s="269" t="s">
        <v>40</v>
      </c>
    </row>
    <row r="11" spans="2:3">
      <c r="B11" s="32">
        <f t="shared" si="0"/>
        <v>7</v>
      </c>
      <c r="C11" s="271" t="s">
        <v>176</v>
      </c>
    </row>
    <row r="12" spans="2:3">
      <c r="B12" s="32">
        <f t="shared" si="0"/>
        <v>8</v>
      </c>
      <c r="C12" s="271" t="s">
        <v>50</v>
      </c>
    </row>
    <row r="13" spans="2:3">
      <c r="B13" s="32">
        <f t="shared" si="0"/>
        <v>9</v>
      </c>
      <c r="C13" s="271" t="s">
        <v>57</v>
      </c>
    </row>
    <row r="14" spans="2:3">
      <c r="B14" s="32">
        <f t="shared" si="0"/>
        <v>10</v>
      </c>
      <c r="C14" s="269" t="s">
        <v>69</v>
      </c>
    </row>
    <row r="15" spans="2:3">
      <c r="B15" s="32">
        <f t="shared" si="0"/>
        <v>11</v>
      </c>
      <c r="C15" s="271" t="s">
        <v>66</v>
      </c>
    </row>
    <row r="16" spans="2:3">
      <c r="B16" s="32">
        <f t="shared" si="0"/>
        <v>12</v>
      </c>
      <c r="C16" s="271" t="s">
        <v>326</v>
      </c>
    </row>
    <row r="17" spans="2:3">
      <c r="B17" s="32">
        <f t="shared" si="0"/>
        <v>13</v>
      </c>
      <c r="C17" s="271" t="s">
        <v>67</v>
      </c>
    </row>
    <row r="18" spans="2:3">
      <c r="B18" s="32">
        <f t="shared" si="0"/>
        <v>14</v>
      </c>
      <c r="C18" s="271" t="s">
        <v>68</v>
      </c>
    </row>
    <row r="19" spans="2:3">
      <c r="B19" s="32">
        <f t="shared" si="0"/>
        <v>15</v>
      </c>
      <c r="C19" s="269" t="s">
        <v>104</v>
      </c>
    </row>
    <row r="20" spans="2:3">
      <c r="B20" s="32">
        <f t="shared" si="0"/>
        <v>16</v>
      </c>
      <c r="C20" s="271" t="s">
        <v>89</v>
      </c>
    </row>
    <row r="21" spans="2:3">
      <c r="B21" s="32">
        <f t="shared" si="0"/>
        <v>17</v>
      </c>
      <c r="C21" s="271" t="s">
        <v>118</v>
      </c>
    </row>
    <row r="22" spans="2:3">
      <c r="B22" s="32">
        <f t="shared" si="0"/>
        <v>18</v>
      </c>
      <c r="C22" s="271" t="s">
        <v>103</v>
      </c>
    </row>
    <row r="23" spans="2:3">
      <c r="B23" s="32">
        <f t="shared" si="0"/>
        <v>19</v>
      </c>
      <c r="C23" s="269" t="s">
        <v>889</v>
      </c>
    </row>
    <row r="24" spans="2:3">
      <c r="B24" s="32">
        <f t="shared" si="0"/>
        <v>20</v>
      </c>
      <c r="C24" s="271" t="s">
        <v>882</v>
      </c>
    </row>
    <row r="25" spans="2:3">
      <c r="B25" s="32">
        <f t="shared" si="0"/>
        <v>21</v>
      </c>
      <c r="C25" s="271" t="s">
        <v>890</v>
      </c>
    </row>
    <row r="26" spans="2:3">
      <c r="B26" s="32">
        <f t="shared" si="0"/>
        <v>22</v>
      </c>
      <c r="C26" s="269" t="s">
        <v>268</v>
      </c>
    </row>
    <row r="27" spans="2:3">
      <c r="B27" s="32">
        <f t="shared" si="0"/>
        <v>23</v>
      </c>
      <c r="C27" s="271" t="s">
        <v>313</v>
      </c>
    </row>
    <row r="28" spans="2:3">
      <c r="B28" s="32">
        <f t="shared" si="0"/>
        <v>24</v>
      </c>
      <c r="C28" s="272" t="s">
        <v>266</v>
      </c>
    </row>
    <row r="29" spans="2:3">
      <c r="B29" s="32">
        <f t="shared" si="0"/>
        <v>25</v>
      </c>
      <c r="C29" s="272" t="s">
        <v>288</v>
      </c>
    </row>
    <row r="30" spans="2:3">
      <c r="B30" s="32">
        <f t="shared" si="0"/>
        <v>26</v>
      </c>
      <c r="C30" s="272" t="s">
        <v>303</v>
      </c>
    </row>
    <row r="31" spans="2:3">
      <c r="B31" s="32">
        <f t="shared" si="0"/>
        <v>27</v>
      </c>
      <c r="C31" s="269" t="s">
        <v>331</v>
      </c>
    </row>
    <row r="32" spans="2:3">
      <c r="B32" s="32">
        <f t="shared" si="0"/>
        <v>28</v>
      </c>
      <c r="C32" s="271" t="s">
        <v>344</v>
      </c>
    </row>
  </sheetData>
  <hyperlinks>
    <hyperlink ref="C15" location="'Expected Growth Rate'!A1" display="Expected Growth Rate"/>
    <hyperlink ref="C17" location="'Future Cashflows (10 Yrs)'!A1" display="Future Cash Flows (10 Yrs)"/>
    <hyperlink ref="C18" location="'Terminal Value'!A1" display="Terminal Value"/>
    <hyperlink ref="C20" location="'Cash &amp; Marketable Securities'!A1" display="Cash and Marketable Securities"/>
    <hyperlink ref="C8" location="'Bottom Up Beta'!A1" display="Bottom Up Beta"/>
    <hyperlink ref="C9" location="'Cost of Equity, Debt &amp; WACC'!A1" display="Cost of Equity, Debt &amp; WACC"/>
    <hyperlink ref="C6" location="'Risk Free Rate &amp; ERP'!A1" display="Risk Free Rate &amp; ERP"/>
    <hyperlink ref="C22" location="'Fair Value of Share'!A1" display="Fair Value of Share"/>
    <hyperlink ref="C11" location="'Accounting Adjustments'!A1" display="Accounting Adjustments"/>
    <hyperlink ref="C12" location="Reinvestment!A1" display="Reinvestment"/>
    <hyperlink ref="C13" location="'FCFF &amp; FCFE'!A1" display="FCFE &amp; FCFF"/>
    <hyperlink ref="C7" location="Index!A1" display="Beta Calculation Data"/>
    <hyperlink ref="C21" location="'Future Value (Equity Options)'!A1" display="Future Value of Equity Options"/>
    <hyperlink ref="C27" location="'Debt Design Explained'!A1" display="Debt Design Explained"/>
    <hyperlink ref="C29" location="'Adjusted Present Value'!A1" display="Adjusted Present Value"/>
    <hyperlink ref="C28" location="'Optimal Cost of Capital'!A1" display="Optimal Cost of Capital"/>
    <hyperlink ref="C30" location="'Relative Analysis'!A1" display="Relative Analysis"/>
    <hyperlink ref="C16" location="'Key Performance Indicators'!A1" display="Key Performance Indicators"/>
    <hyperlink ref="C32" location="'Dividend-Buyback Explained'!A1" display="Dividend-Buyback Explained"/>
    <hyperlink ref="C24" location="'Sensitivity Analysis'!A1" display="Sensitivity Analysis"/>
    <hyperlink ref="C25" location="'Scenario Analysis'!A1" display="Scenario Analysis"/>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15"/>
  <sheetViews>
    <sheetView zoomScaleNormal="100" workbookViewId="0"/>
  </sheetViews>
  <sheetFormatPr defaultRowHeight="12"/>
  <cols>
    <col min="1" max="1" width="2" style="2" customWidth="1"/>
    <col min="2" max="2" width="24" style="2" customWidth="1"/>
    <col min="3" max="3" width="12.42578125" style="2" customWidth="1"/>
    <col min="4" max="4" width="9.28515625" style="2" customWidth="1"/>
    <col min="5" max="5" width="10.5703125" style="2" customWidth="1"/>
    <col min="6" max="6" width="10.42578125" style="2" customWidth="1"/>
    <col min="7" max="7" width="9.140625" style="2" customWidth="1"/>
    <col min="8" max="8" width="10.85546875" style="2" customWidth="1"/>
    <col min="9" max="9" width="4.42578125" style="2" customWidth="1"/>
    <col min="10" max="10" width="13.42578125" style="2" customWidth="1"/>
    <col min="11" max="11" width="11.85546875" style="2" customWidth="1"/>
    <col min="12" max="12" width="3.140625" style="2" customWidth="1"/>
    <col min="13" max="13" width="14.140625" style="2" customWidth="1"/>
    <col min="14" max="14" width="11.42578125" style="2" customWidth="1"/>
    <col min="15" max="15" width="2.85546875" style="2" customWidth="1"/>
    <col min="16" max="16" width="12.42578125" style="2" customWidth="1"/>
    <col min="17" max="16384" width="9.140625" style="2"/>
  </cols>
  <sheetData>
    <row r="1" spans="2:8" ht="15.75">
      <c r="B1" s="15" t="s">
        <v>129</v>
      </c>
    </row>
    <row r="3" spans="2:8">
      <c r="B3" s="35" t="s">
        <v>315</v>
      </c>
      <c r="C3" s="348">
        <f>Drivers!C22</f>
        <v>3.372E-2</v>
      </c>
      <c r="D3" s="18"/>
    </row>
    <row r="4" spans="2:8">
      <c r="B4" s="35" t="s">
        <v>30</v>
      </c>
      <c r="C4" s="26" t="str">
        <f>Drivers!C23</f>
        <v>AAA</v>
      </c>
      <c r="D4" s="5"/>
    </row>
    <row r="5" spans="2:8">
      <c r="B5" s="35" t="s">
        <v>316</v>
      </c>
      <c r="C5" s="36">
        <f>VLOOKUP(C4,Drivers!$E$3:$F$24,2,0)</f>
        <v>0</v>
      </c>
      <c r="D5" s="5"/>
    </row>
    <row r="6" spans="2:8">
      <c r="B6" s="267" t="s">
        <v>368</v>
      </c>
      <c r="C6" s="349">
        <f>C3</f>
        <v>3.372E-2</v>
      </c>
      <c r="D6" s="20"/>
    </row>
    <row r="7" spans="2:8">
      <c r="D7" s="5"/>
    </row>
    <row r="8" spans="2:8">
      <c r="B8" s="283" t="s">
        <v>8</v>
      </c>
      <c r="C8" s="275">
        <f>E15</f>
        <v>5.4897267203722205E-2</v>
      </c>
    </row>
    <row r="10" spans="2:8">
      <c r="B10" s="285" t="s">
        <v>804</v>
      </c>
      <c r="C10" s="274" t="s">
        <v>4</v>
      </c>
      <c r="D10" s="274" t="s">
        <v>123</v>
      </c>
      <c r="E10" s="274" t="s">
        <v>110</v>
      </c>
      <c r="F10" s="274" t="s">
        <v>240</v>
      </c>
      <c r="G10" s="274" t="s">
        <v>119</v>
      </c>
      <c r="H10" s="274" t="s">
        <v>805</v>
      </c>
    </row>
    <row r="11" spans="2:8">
      <c r="B11" s="273"/>
      <c r="C11" s="284" t="str">
        <f>"in mil "&amp;Drivers!C5</f>
        <v>in mil $</v>
      </c>
      <c r="D11" s="274"/>
      <c r="E11" s="274"/>
      <c r="F11" s="274"/>
      <c r="G11" s="274"/>
      <c r="H11" s="274"/>
    </row>
    <row r="12" spans="2:8">
      <c r="B12" s="35" t="s">
        <v>369</v>
      </c>
      <c r="C12" s="286">
        <v>1429.65</v>
      </c>
      <c r="D12" s="63">
        <f>C12/$C$15</f>
        <v>0.55712710790764708</v>
      </c>
      <c r="E12" s="346">
        <f>Drivers!C25</f>
        <v>4.7800000000000002E-2</v>
      </c>
      <c r="F12" s="347">
        <f>Drivers!C26</f>
        <v>0</v>
      </c>
      <c r="G12" s="347">
        <f>Drivers!C27</f>
        <v>0</v>
      </c>
      <c r="H12" s="346">
        <f>Drivers!C28</f>
        <v>0.21</v>
      </c>
    </row>
    <row r="13" spans="2:8">
      <c r="B13" s="35" t="s">
        <v>370</v>
      </c>
      <c r="C13" s="286">
        <v>343.78800000000001</v>
      </c>
      <c r="D13" s="63">
        <f>C13/$C$15</f>
        <v>0.13397238077386364</v>
      </c>
      <c r="E13" s="276">
        <f>$E$12+F13</f>
        <v>5.5134174311926611E-2</v>
      </c>
      <c r="F13" s="289">
        <v>7.3341743119266101E-3</v>
      </c>
      <c r="G13" s="289">
        <v>1.03457666991516E-2</v>
      </c>
      <c r="H13" s="288">
        <v>0.25</v>
      </c>
    </row>
    <row r="14" spans="2:8">
      <c r="B14" s="256" t="s">
        <v>314</v>
      </c>
      <c r="C14" s="286">
        <v>792.673</v>
      </c>
      <c r="D14" s="63">
        <f>C14/$C$15</f>
        <v>0.30890051131848933</v>
      </c>
      <c r="E14" s="276">
        <f>$E$12+F14</f>
        <v>6.7595015502057182E-2</v>
      </c>
      <c r="F14" s="288">
        <v>1.9795015502057187E-2</v>
      </c>
      <c r="G14" s="289">
        <v>2.7923335808550748E-2</v>
      </c>
      <c r="H14" s="288">
        <v>0.24231932564757067</v>
      </c>
    </row>
    <row r="15" spans="2:8">
      <c r="C15" s="287">
        <f>SUM(C12:C14)</f>
        <v>2566.1109999999999</v>
      </c>
      <c r="D15" s="131">
        <f>SUM(D12:D14)</f>
        <v>1</v>
      </c>
      <c r="E15" s="131">
        <f>(D12*E12)+(D13*E13)+(D14*E14)</f>
        <v>5.4897267203722205E-2</v>
      </c>
      <c r="F15" s="131">
        <f>(F12*D12)+(D13*F13)+(D14*F14)</f>
        <v>7.0972672037222084E-3</v>
      </c>
      <c r="G15" s="131">
        <f>(D12*G12)+(D13*G13)+(D14*G14)</f>
        <v>1.0011579704595505E-2</v>
      </c>
      <c r="H15" s="152">
        <f>(D12*H12)+(D13*H13)+(D14*H14)</f>
        <v>0.22534235144895792</v>
      </c>
    </row>
  </sheetData>
  <pageMargins left="0.7" right="0.7" top="0.75" bottom="0.75" header="0.3" footer="0.3"/>
  <pageSetup paperSize="1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X625"/>
  <sheetViews>
    <sheetView zoomScaleNormal="100" workbookViewId="0"/>
  </sheetViews>
  <sheetFormatPr defaultRowHeight="12"/>
  <cols>
    <col min="1" max="1" width="2" style="2" customWidth="1"/>
    <col min="2" max="2" width="28.42578125" style="2" customWidth="1"/>
    <col min="3" max="3" width="12.42578125" style="2" customWidth="1"/>
    <col min="4" max="4" width="13.28515625" style="2" customWidth="1"/>
    <col min="5" max="5" width="15.140625" style="2" customWidth="1"/>
    <col min="6" max="6" width="11.28515625" style="2" customWidth="1"/>
    <col min="7" max="7" width="13.28515625" style="12" customWidth="1"/>
    <col min="8" max="8" width="12.28515625" style="2" customWidth="1"/>
    <col min="9" max="9" width="10.42578125" style="2" customWidth="1"/>
    <col min="10" max="10" width="15.28515625" style="2" customWidth="1"/>
    <col min="11" max="11" width="10.28515625" style="2" customWidth="1"/>
    <col min="12" max="12" width="11.28515625" style="2" customWidth="1"/>
    <col min="13" max="13" width="11.140625" style="2" customWidth="1"/>
    <col min="14" max="14" width="10.85546875" style="2" customWidth="1"/>
    <col min="15" max="15" width="9.7109375" style="2" customWidth="1"/>
    <col min="16" max="16" width="9.140625" style="2"/>
    <col min="17" max="17" width="12.140625" style="2" customWidth="1"/>
    <col min="18" max="18" width="11.42578125" style="2" bestFit="1" customWidth="1"/>
    <col min="19" max="19" width="11.7109375" style="2" customWidth="1"/>
    <col min="20" max="20" width="9.140625" style="2"/>
    <col min="21" max="21" width="15" style="2" bestFit="1" customWidth="1"/>
    <col min="22" max="22" width="11.42578125" style="2" bestFit="1" customWidth="1"/>
    <col min="23" max="23" width="10" style="2" bestFit="1" customWidth="1"/>
    <col min="24" max="24" width="11.42578125" style="2" bestFit="1" customWidth="1"/>
    <col min="25" max="25" width="13.5703125" style="2" bestFit="1" customWidth="1"/>
    <col min="26" max="26" width="10" style="2" bestFit="1" customWidth="1"/>
    <col min="27" max="16384" width="9.140625" style="2"/>
  </cols>
  <sheetData>
    <row r="1" spans="2:24" ht="15.75">
      <c r="B1" s="15" t="s">
        <v>148</v>
      </c>
      <c r="E1" s="3"/>
      <c r="F1" s="3"/>
      <c r="G1" s="45"/>
      <c r="H1" s="3"/>
      <c r="I1" s="3"/>
      <c r="J1" s="3"/>
      <c r="K1" s="3"/>
      <c r="L1" s="3"/>
      <c r="M1" s="3"/>
      <c r="N1" s="3"/>
      <c r="O1" s="3"/>
      <c r="P1" s="3"/>
    </row>
    <row r="2" spans="2:24">
      <c r="M2" s="142"/>
      <c r="N2" s="73"/>
      <c r="O2" s="73"/>
      <c r="P2" s="73"/>
    </row>
    <row r="3" spans="2:24">
      <c r="B3" s="253" t="str">
        <f>CONCATENATE("Industry: ",Drivers!$C$14)</f>
        <v>Industry: Internet Retail</v>
      </c>
      <c r="C3" s="253"/>
      <c r="D3" s="253"/>
      <c r="E3" s="253"/>
      <c r="F3" s="253"/>
      <c r="G3" s="253"/>
      <c r="H3" s="253"/>
      <c r="I3" s="253"/>
      <c r="J3" s="253"/>
      <c r="K3" s="253"/>
      <c r="L3" s="253"/>
      <c r="M3" s="253"/>
      <c r="N3" s="253"/>
      <c r="O3" s="253"/>
      <c r="P3" s="73"/>
      <c r="Q3" s="73"/>
    </row>
    <row r="4" spans="2:24" ht="12.75" thickBot="1">
      <c r="B4" s="299" t="s">
        <v>806</v>
      </c>
      <c r="C4" s="298"/>
      <c r="D4" s="298"/>
      <c r="E4" s="298"/>
      <c r="F4" s="298"/>
      <c r="G4" s="298"/>
      <c r="H4" s="298"/>
      <c r="I4" s="298"/>
      <c r="J4" s="298"/>
      <c r="K4" s="298"/>
      <c r="L4" s="298"/>
      <c r="M4" s="298"/>
      <c r="N4" s="298"/>
      <c r="O4" s="298"/>
      <c r="V4" s="121"/>
      <c r="W4" s="121"/>
      <c r="X4" s="121"/>
    </row>
    <row r="5" spans="2:24">
      <c r="B5" s="37" t="s">
        <v>111</v>
      </c>
      <c r="C5" s="37" t="s">
        <v>33</v>
      </c>
      <c r="D5" s="146" t="s">
        <v>141</v>
      </c>
      <c r="E5" s="47" t="s">
        <v>149</v>
      </c>
      <c r="F5" s="47" t="s">
        <v>318</v>
      </c>
      <c r="G5" s="47" t="s">
        <v>142</v>
      </c>
      <c r="H5" s="47" t="s">
        <v>143</v>
      </c>
      <c r="I5" s="47" t="s">
        <v>144</v>
      </c>
      <c r="J5" s="47" t="s">
        <v>145</v>
      </c>
      <c r="K5" s="47" t="s">
        <v>146</v>
      </c>
      <c r="L5" s="47" t="s">
        <v>147</v>
      </c>
      <c r="M5" s="47" t="s">
        <v>34</v>
      </c>
      <c r="N5" s="47" t="s">
        <v>179</v>
      </c>
      <c r="O5" s="47" t="s">
        <v>180</v>
      </c>
      <c r="Q5" s="12"/>
      <c r="U5" s="228"/>
      <c r="V5" s="228"/>
    </row>
    <row r="6" spans="2:24">
      <c r="B6" s="121" t="s">
        <v>376</v>
      </c>
      <c r="C6" s="62" t="s">
        <v>440</v>
      </c>
      <c r="D6" s="99">
        <v>0.63</v>
      </c>
      <c r="E6" s="290">
        <v>700302000</v>
      </c>
      <c r="F6" s="291">
        <v>176597</v>
      </c>
      <c r="G6" s="291">
        <f>E6+F6</f>
        <v>700478597</v>
      </c>
      <c r="H6" s="291">
        <v>455085</v>
      </c>
      <c r="I6" s="291">
        <f>G6-H6</f>
        <v>700023512</v>
      </c>
      <c r="J6" s="292">
        <f>H6/G6</f>
        <v>6.496772377472084E-4</v>
      </c>
      <c r="K6" s="140">
        <f>F6/E6</f>
        <v>2.5217263409214879E-4</v>
      </c>
      <c r="L6" s="293">
        <v>864539</v>
      </c>
      <c r="M6" s="140">
        <f>I6/L6</f>
        <v>809.70726826667158</v>
      </c>
      <c r="N6" s="140">
        <v>105765</v>
      </c>
      <c r="O6" s="99">
        <f t="shared" ref="O6:O12" si="0">L6/N6</f>
        <v>8.1741502387368214</v>
      </c>
      <c r="Q6" s="228"/>
      <c r="U6" s="228"/>
      <c r="V6" s="228"/>
    </row>
    <row r="7" spans="2:24">
      <c r="B7" s="121" t="s">
        <v>373</v>
      </c>
      <c r="C7" s="62" t="s">
        <v>441</v>
      </c>
      <c r="D7" s="99">
        <v>1.25</v>
      </c>
      <c r="E7" s="290">
        <v>207291000</v>
      </c>
      <c r="F7" s="291">
        <v>140118</v>
      </c>
      <c r="G7" s="291">
        <f t="shared" ref="G7:G70" si="1">E7+F7</f>
        <v>207431118</v>
      </c>
      <c r="H7" s="291">
        <v>70026</v>
      </c>
      <c r="I7" s="291">
        <f t="shared" ref="I7:I52" si="2">G7-H7</f>
        <v>207361092</v>
      </c>
      <c r="J7" s="292">
        <f t="shared" ref="J7:J52" si="3">H7/G7</f>
        <v>3.375867645856298E-4</v>
      </c>
      <c r="K7" s="140">
        <f t="shared" ref="K7:K70" si="4">F7/E7</f>
        <v>6.7594830455736143E-4</v>
      </c>
      <c r="L7" s="293">
        <v>513983</v>
      </c>
      <c r="M7" s="140">
        <f t="shared" ref="M7:M70" si="5">I7/L7</f>
        <v>403.43959236005861</v>
      </c>
      <c r="N7" s="140">
        <v>42238</v>
      </c>
      <c r="O7" s="99">
        <f t="shared" si="0"/>
        <v>12.168734315071736</v>
      </c>
      <c r="Q7" s="12"/>
      <c r="U7" s="228"/>
      <c r="V7" s="228"/>
    </row>
    <row r="8" spans="2:24">
      <c r="B8" s="121" t="s">
        <v>443</v>
      </c>
      <c r="C8" s="147" t="s">
        <v>442</v>
      </c>
      <c r="D8" s="241" t="s">
        <v>106</v>
      </c>
      <c r="E8" s="290">
        <v>54270000</v>
      </c>
      <c r="F8" s="294">
        <v>5545006</v>
      </c>
      <c r="G8" s="291">
        <f t="shared" si="1"/>
        <v>59815006</v>
      </c>
      <c r="H8" s="291">
        <v>4999157</v>
      </c>
      <c r="I8" s="291">
        <f t="shared" si="2"/>
        <v>54815849</v>
      </c>
      <c r="J8" s="292">
        <f t="shared" si="3"/>
        <v>8.3576970635094477E-2</v>
      </c>
      <c r="K8" s="140">
        <f t="shared" si="4"/>
        <v>0.10217442417541921</v>
      </c>
      <c r="L8" s="171">
        <v>12570024</v>
      </c>
      <c r="M8" s="140">
        <f t="shared" si="5"/>
        <v>4.3608388496314721</v>
      </c>
      <c r="N8" s="140">
        <v>2260526</v>
      </c>
      <c r="O8" s="99">
        <f t="shared" si="0"/>
        <v>5.5606633146444677</v>
      </c>
      <c r="Q8" s="228"/>
      <c r="U8" s="228"/>
      <c r="V8" s="228"/>
    </row>
    <row r="9" spans="2:24">
      <c r="B9" s="121" t="s">
        <v>397</v>
      </c>
      <c r="C9" s="147" t="s">
        <v>444</v>
      </c>
      <c r="D9" s="99">
        <v>0.48</v>
      </c>
      <c r="E9" s="290">
        <v>24696000</v>
      </c>
      <c r="F9" s="291">
        <v>65045</v>
      </c>
      <c r="G9" s="291">
        <f t="shared" si="1"/>
        <v>24761045</v>
      </c>
      <c r="H9" s="294">
        <v>219956</v>
      </c>
      <c r="I9" s="291">
        <f t="shared" si="2"/>
        <v>24541089</v>
      </c>
      <c r="J9" s="292">
        <f t="shared" si="3"/>
        <v>8.883146894648428E-3</v>
      </c>
      <c r="K9" s="140">
        <f t="shared" si="4"/>
        <v>2.6338273404599936E-3</v>
      </c>
      <c r="L9" s="293">
        <v>1046236</v>
      </c>
      <c r="M9" s="140">
        <f t="shared" si="5"/>
        <v>23.456551867838613</v>
      </c>
      <c r="N9" s="140">
        <v>37772</v>
      </c>
      <c r="O9" s="99">
        <f t="shared" si="0"/>
        <v>27.698718627554804</v>
      </c>
      <c r="Q9" s="12"/>
      <c r="U9" s="228"/>
      <c r="V9" s="228"/>
    </row>
    <row r="10" spans="2:24">
      <c r="B10" s="121" t="s">
        <v>446</v>
      </c>
      <c r="C10" s="147" t="s">
        <v>445</v>
      </c>
      <c r="D10" s="241" t="s">
        <v>106</v>
      </c>
      <c r="E10" s="290">
        <v>24324000</v>
      </c>
      <c r="F10" s="291">
        <v>2054813.6059999999</v>
      </c>
      <c r="G10" s="291">
        <f t="shared" si="1"/>
        <v>26378813.605999999</v>
      </c>
      <c r="H10" s="291">
        <v>25342994.877</v>
      </c>
      <c r="I10" s="291">
        <f t="shared" si="2"/>
        <v>1035818.7289999984</v>
      </c>
      <c r="J10" s="292">
        <f t="shared" si="3"/>
        <v>0.96073292967336499</v>
      </c>
      <c r="K10" s="140">
        <f t="shared" si="4"/>
        <v>8.4476796826179895E-2</v>
      </c>
      <c r="L10" s="293">
        <v>3110916.1869999999</v>
      </c>
      <c r="M10" s="140">
        <f t="shared" si="5"/>
        <v>0.33296259581936416</v>
      </c>
      <c r="N10" s="140">
        <v>1142373.0819999999</v>
      </c>
      <c r="O10" s="99">
        <f t="shared" si="0"/>
        <v>2.7232050859895875</v>
      </c>
      <c r="Q10" s="12"/>
      <c r="U10" s="228"/>
      <c r="V10" s="228"/>
    </row>
    <row r="11" spans="2:24">
      <c r="B11" s="121" t="s">
        <v>408</v>
      </c>
      <c r="C11" s="147" t="s">
        <v>447</v>
      </c>
      <c r="D11" s="99">
        <v>1.59</v>
      </c>
      <c r="E11" s="290">
        <v>12315000</v>
      </c>
      <c r="F11" s="291">
        <v>5414</v>
      </c>
      <c r="G11" s="291">
        <f t="shared" si="1"/>
        <v>12320414</v>
      </c>
      <c r="H11" s="291">
        <v>3030</v>
      </c>
      <c r="I11" s="291">
        <f t="shared" si="2"/>
        <v>12317384</v>
      </c>
      <c r="J11" s="292">
        <f t="shared" si="3"/>
        <v>2.4593329412469421E-4</v>
      </c>
      <c r="K11" s="140">
        <f t="shared" si="4"/>
        <v>4.396264717823792E-4</v>
      </c>
      <c r="L11" s="293">
        <v>10537</v>
      </c>
      <c r="M11" s="140">
        <f t="shared" si="5"/>
        <v>1168.964980544747</v>
      </c>
      <c r="N11" s="140">
        <v>1296</v>
      </c>
      <c r="O11" s="99">
        <f t="shared" si="0"/>
        <v>8.130401234567902</v>
      </c>
      <c r="Q11" s="228"/>
      <c r="U11" s="228"/>
      <c r="V11" s="228"/>
    </row>
    <row r="12" spans="2:24">
      <c r="B12" s="121" t="s">
        <v>388</v>
      </c>
      <c r="C12" s="62" t="s">
        <v>448</v>
      </c>
      <c r="D12" s="99">
        <v>1.36</v>
      </c>
      <c r="E12" s="290">
        <v>4713000</v>
      </c>
      <c r="F12" s="295">
        <v>9420</v>
      </c>
      <c r="G12" s="291">
        <f t="shared" si="1"/>
        <v>4722420</v>
      </c>
      <c r="H12" s="291">
        <v>7471</v>
      </c>
      <c r="I12" s="291">
        <f t="shared" si="2"/>
        <v>4714949</v>
      </c>
      <c r="J12" s="292">
        <f t="shared" si="3"/>
        <v>1.5820278585979223E-3</v>
      </c>
      <c r="K12" s="140">
        <f t="shared" si="4"/>
        <v>1.9987269255251432E-3</v>
      </c>
      <c r="L12" s="172">
        <v>9795</v>
      </c>
      <c r="M12" s="140">
        <f t="shared" si="5"/>
        <v>481.36283818274632</v>
      </c>
      <c r="N12" s="140">
        <v>2136</v>
      </c>
      <c r="O12" s="99">
        <f t="shared" si="0"/>
        <v>4.5856741573033704</v>
      </c>
      <c r="Q12" s="228"/>
      <c r="U12" s="228"/>
      <c r="V12" s="12"/>
    </row>
    <row r="13" spans="2:24">
      <c r="B13" s="121" t="s">
        <v>450</v>
      </c>
      <c r="C13" s="62" t="s">
        <v>449</v>
      </c>
      <c r="D13" s="99">
        <v>0.85</v>
      </c>
      <c r="E13" s="290">
        <v>2865000</v>
      </c>
      <c r="F13" s="296">
        <v>1666503</v>
      </c>
      <c r="G13" s="291">
        <f t="shared" si="1"/>
        <v>4531503</v>
      </c>
      <c r="H13" s="295">
        <v>1127523</v>
      </c>
      <c r="I13" s="291">
        <f t="shared" si="2"/>
        <v>3403980</v>
      </c>
      <c r="J13" s="292">
        <f t="shared" si="3"/>
        <v>0.24881876940167533</v>
      </c>
      <c r="K13" s="140">
        <f t="shared" si="4"/>
        <v>0.58167643979057593</v>
      </c>
      <c r="L13" s="297">
        <v>1645881</v>
      </c>
      <c r="M13" s="140">
        <f t="shared" si="5"/>
        <v>2.0681811139444468</v>
      </c>
      <c r="N13" s="140">
        <v>0</v>
      </c>
      <c r="O13" s="241" t="s">
        <v>106</v>
      </c>
      <c r="Q13" s="12"/>
      <c r="U13" s="228"/>
      <c r="V13" s="12"/>
    </row>
    <row r="14" spans="2:24">
      <c r="B14" s="121" t="s">
        <v>452</v>
      </c>
      <c r="C14" s="147" t="s">
        <v>451</v>
      </c>
      <c r="D14" s="99">
        <v>0.88</v>
      </c>
      <c r="E14" s="290">
        <v>1008000</v>
      </c>
      <c r="F14" s="296">
        <v>3402912</v>
      </c>
      <c r="G14" s="291">
        <f t="shared" si="1"/>
        <v>4410912</v>
      </c>
      <c r="H14" s="296">
        <v>4410301</v>
      </c>
      <c r="I14" s="291">
        <f t="shared" si="2"/>
        <v>611</v>
      </c>
      <c r="J14" s="292">
        <f t="shared" si="3"/>
        <v>0.99986147989350049</v>
      </c>
      <c r="K14" s="140">
        <f t="shared" si="4"/>
        <v>3.3759047619047617</v>
      </c>
      <c r="L14" s="297">
        <v>1845891</v>
      </c>
      <c r="M14" s="140">
        <f t="shared" si="5"/>
        <v>3.3100546023573439E-4</v>
      </c>
      <c r="N14" s="140">
        <v>0</v>
      </c>
      <c r="O14" s="241" t="s">
        <v>106</v>
      </c>
      <c r="Q14" s="228"/>
      <c r="U14" s="228"/>
    </row>
    <row r="15" spans="2:24">
      <c r="B15" s="121" t="s">
        <v>454</v>
      </c>
      <c r="C15" s="147" t="s">
        <v>453</v>
      </c>
      <c r="D15" s="99">
        <v>1</v>
      </c>
      <c r="E15" s="290">
        <v>912903</v>
      </c>
      <c r="F15" s="295">
        <v>20200</v>
      </c>
      <c r="G15" s="291">
        <f t="shared" si="1"/>
        <v>933103</v>
      </c>
      <c r="H15" s="296">
        <v>65520</v>
      </c>
      <c r="I15" s="291">
        <f t="shared" si="2"/>
        <v>867583</v>
      </c>
      <c r="J15" s="292">
        <f t="shared" si="3"/>
        <v>7.0217328633602083E-2</v>
      </c>
      <c r="K15" s="140">
        <f t="shared" si="4"/>
        <v>2.2127213953727833E-2</v>
      </c>
      <c r="L15" s="172">
        <v>178888</v>
      </c>
      <c r="M15" s="140">
        <f t="shared" si="5"/>
        <v>4.8498669558606506</v>
      </c>
      <c r="N15" s="140">
        <v>0</v>
      </c>
      <c r="O15" s="241" t="s">
        <v>106</v>
      </c>
      <c r="Q15" s="228"/>
      <c r="U15" s="228"/>
      <c r="V15" s="228"/>
    </row>
    <row r="16" spans="2:24">
      <c r="B16" s="121" t="s">
        <v>456</v>
      </c>
      <c r="C16" s="147" t="s">
        <v>455</v>
      </c>
      <c r="D16" s="99">
        <v>0.85</v>
      </c>
      <c r="E16" s="290">
        <v>867722</v>
      </c>
      <c r="F16" s="296">
        <v>58919.03</v>
      </c>
      <c r="G16" s="291">
        <f t="shared" si="1"/>
        <v>926641.03</v>
      </c>
      <c r="H16" s="295">
        <v>116795.444</v>
      </c>
      <c r="I16" s="291">
        <f t="shared" si="2"/>
        <v>809845.58600000001</v>
      </c>
      <c r="J16" s="292">
        <f t="shared" si="3"/>
        <v>0.12604173592442805</v>
      </c>
      <c r="K16" s="140">
        <f t="shared" si="4"/>
        <v>6.7900813855128708E-2</v>
      </c>
      <c r="L16" s="297">
        <v>195559.62</v>
      </c>
      <c r="M16" s="140">
        <f t="shared" si="5"/>
        <v>4.1411697670510916</v>
      </c>
      <c r="N16" s="140">
        <v>40719.894999999997</v>
      </c>
      <c r="O16" s="99">
        <f>L16/N16</f>
        <v>4.8025570792851999</v>
      </c>
      <c r="Q16" s="12"/>
      <c r="U16" s="228"/>
      <c r="V16" s="12"/>
    </row>
    <row r="17" spans="2:22">
      <c r="B17" s="121" t="s">
        <v>458</v>
      </c>
      <c r="C17" s="62" t="s">
        <v>457</v>
      </c>
      <c r="D17" s="99">
        <v>0.36</v>
      </c>
      <c r="E17" s="290">
        <v>832749</v>
      </c>
      <c r="F17" s="295">
        <v>9620</v>
      </c>
      <c r="G17" s="291">
        <f t="shared" si="1"/>
        <v>842369</v>
      </c>
      <c r="H17" s="296">
        <v>12379</v>
      </c>
      <c r="I17" s="291">
        <f t="shared" si="2"/>
        <v>829990</v>
      </c>
      <c r="J17" s="292">
        <f t="shared" si="3"/>
        <v>1.4695460065600704E-2</v>
      </c>
      <c r="K17" s="140">
        <f t="shared" si="4"/>
        <v>1.1552100332753326E-2</v>
      </c>
      <c r="L17" s="172">
        <v>217274</v>
      </c>
      <c r="M17" s="140">
        <f t="shared" si="5"/>
        <v>3.8200152802452205</v>
      </c>
      <c r="N17" s="140">
        <v>0</v>
      </c>
      <c r="O17" s="241" t="s">
        <v>106</v>
      </c>
      <c r="Q17" s="228"/>
      <c r="U17" s="228"/>
      <c r="V17" s="228"/>
    </row>
    <row r="18" spans="2:22">
      <c r="B18" s="121" t="s">
        <v>753</v>
      </c>
      <c r="C18" s="147" t="s">
        <v>459</v>
      </c>
      <c r="D18" s="99">
        <v>0.8</v>
      </c>
      <c r="E18" s="290">
        <v>557508</v>
      </c>
      <c r="F18" s="294">
        <v>192032.753</v>
      </c>
      <c r="G18" s="291">
        <f t="shared" si="1"/>
        <v>749540.75300000003</v>
      </c>
      <c r="H18" s="295">
        <v>550639.63699999999</v>
      </c>
      <c r="I18" s="291">
        <f t="shared" si="2"/>
        <v>198901.11600000004</v>
      </c>
      <c r="J18" s="292">
        <f t="shared" si="3"/>
        <v>0.73463602185217003</v>
      </c>
      <c r="K18" s="140">
        <f t="shared" si="4"/>
        <v>0.3444484258521851</v>
      </c>
      <c r="L18" s="171">
        <v>2251956.4900000002</v>
      </c>
      <c r="M18" s="140">
        <f t="shared" si="5"/>
        <v>8.8323694033715552E-2</v>
      </c>
      <c r="N18" s="140">
        <v>525687.06900000002</v>
      </c>
      <c r="O18" s="99">
        <f>L18/N18</f>
        <v>4.2838346666655411</v>
      </c>
      <c r="Q18" s="228"/>
      <c r="U18" s="228"/>
    </row>
    <row r="19" spans="2:22">
      <c r="B19" s="121" t="s">
        <v>461</v>
      </c>
      <c r="C19" s="59" t="s">
        <v>460</v>
      </c>
      <c r="D19" s="99">
        <v>0.76</v>
      </c>
      <c r="E19" s="290">
        <v>495597</v>
      </c>
      <c r="F19" s="295">
        <v>12760.334000000001</v>
      </c>
      <c r="G19" s="291">
        <f t="shared" si="1"/>
        <v>508357.33399999997</v>
      </c>
      <c r="H19" s="294">
        <v>92943.332999999999</v>
      </c>
      <c r="I19" s="291">
        <f t="shared" si="2"/>
        <v>415414.00099999999</v>
      </c>
      <c r="J19" s="292">
        <f t="shared" si="3"/>
        <v>0.18283071135942341</v>
      </c>
      <c r="K19" s="140">
        <f t="shared" si="4"/>
        <v>2.5747399600885398E-2</v>
      </c>
      <c r="L19" s="172">
        <v>0</v>
      </c>
      <c r="M19" s="241" t="s">
        <v>106</v>
      </c>
      <c r="N19" s="140">
        <v>0</v>
      </c>
      <c r="O19" s="241" t="s">
        <v>106</v>
      </c>
      <c r="Q19" s="228"/>
      <c r="U19" s="228"/>
      <c r="V19" s="228"/>
    </row>
    <row r="20" spans="2:22">
      <c r="B20" s="121" t="s">
        <v>463</v>
      </c>
      <c r="C20" s="121" t="s">
        <v>462</v>
      </c>
      <c r="D20" s="241" t="s">
        <v>106</v>
      </c>
      <c r="E20" s="290">
        <v>431525</v>
      </c>
      <c r="F20" s="294">
        <v>703</v>
      </c>
      <c r="G20" s="291">
        <f t="shared" si="1"/>
        <v>432228</v>
      </c>
      <c r="H20" s="295">
        <v>66992</v>
      </c>
      <c r="I20" s="291">
        <f t="shared" si="2"/>
        <v>365236</v>
      </c>
      <c r="J20" s="292">
        <f t="shared" si="3"/>
        <v>0.15499227259687018</v>
      </c>
      <c r="K20" s="140">
        <f t="shared" si="4"/>
        <v>1.6291060772840506E-3</v>
      </c>
      <c r="L20" s="171">
        <v>62352</v>
      </c>
      <c r="M20" s="140">
        <f t="shared" si="5"/>
        <v>5.8576469078778546</v>
      </c>
      <c r="N20" s="140">
        <v>11943</v>
      </c>
      <c r="O20" s="99">
        <f>L20/N20</f>
        <v>5.2207987942727954</v>
      </c>
      <c r="Q20" s="228"/>
      <c r="U20" s="228"/>
    </row>
    <row r="21" spans="2:22">
      <c r="B21" s="121" t="s">
        <v>754</v>
      </c>
      <c r="C21" s="121" t="s">
        <v>464</v>
      </c>
      <c r="D21" s="241" t="s">
        <v>106</v>
      </c>
      <c r="E21" s="290">
        <v>396869</v>
      </c>
      <c r="F21" s="294">
        <v>5926.23</v>
      </c>
      <c r="G21" s="291">
        <f t="shared" si="1"/>
        <v>402795.23</v>
      </c>
      <c r="H21" s="294">
        <v>6567.12</v>
      </c>
      <c r="I21" s="291">
        <f t="shared" si="2"/>
        <v>396228.11</v>
      </c>
      <c r="J21" s="292">
        <f t="shared" si="3"/>
        <v>1.6303867352153101E-2</v>
      </c>
      <c r="K21" s="140">
        <f t="shared" si="4"/>
        <v>1.49324588214247E-2</v>
      </c>
      <c r="L21" s="171">
        <v>48153.96</v>
      </c>
      <c r="M21" s="140">
        <f t="shared" si="5"/>
        <v>8.2283598275198973</v>
      </c>
      <c r="N21" s="140">
        <v>0</v>
      </c>
      <c r="O21" s="241" t="s">
        <v>106</v>
      </c>
      <c r="Q21" s="228"/>
      <c r="U21" s="228"/>
      <c r="V21" s="12"/>
    </row>
    <row r="22" spans="2:22">
      <c r="B22" s="121" t="s">
        <v>466</v>
      </c>
      <c r="C22" s="59" t="s">
        <v>465</v>
      </c>
      <c r="D22" s="99">
        <v>1.3</v>
      </c>
      <c r="E22" s="290">
        <v>381932</v>
      </c>
      <c r="F22" s="295">
        <v>131351</v>
      </c>
      <c r="G22" s="291">
        <f t="shared" si="1"/>
        <v>513283</v>
      </c>
      <c r="H22" s="294">
        <v>211406</v>
      </c>
      <c r="I22" s="291">
        <f t="shared" si="2"/>
        <v>301877</v>
      </c>
      <c r="J22" s="292">
        <f t="shared" si="3"/>
        <v>0.41187025481069894</v>
      </c>
      <c r="K22" s="140">
        <f t="shared" si="4"/>
        <v>0.34391200527842652</v>
      </c>
      <c r="L22" s="172">
        <v>160143</v>
      </c>
      <c r="M22" s="140">
        <f t="shared" si="5"/>
        <v>1.8850464896998307</v>
      </c>
      <c r="N22" s="140">
        <v>0</v>
      </c>
      <c r="O22" s="241" t="s">
        <v>106</v>
      </c>
      <c r="Q22" s="228"/>
      <c r="U22" s="228"/>
      <c r="V22" s="228"/>
    </row>
    <row r="23" spans="2:22">
      <c r="B23" s="121" t="s">
        <v>468</v>
      </c>
      <c r="C23" s="121" t="s">
        <v>467</v>
      </c>
      <c r="D23" s="99">
        <v>0.86</v>
      </c>
      <c r="E23" s="290">
        <v>3402</v>
      </c>
      <c r="F23" s="294">
        <v>2380</v>
      </c>
      <c r="G23" s="291">
        <f t="shared" si="1"/>
        <v>5782</v>
      </c>
      <c r="H23" s="295">
        <v>2020</v>
      </c>
      <c r="I23" s="291">
        <f t="shared" si="2"/>
        <v>3762</v>
      </c>
      <c r="J23" s="292">
        <f t="shared" si="3"/>
        <v>0.34936008301625737</v>
      </c>
      <c r="K23" s="140">
        <f t="shared" si="4"/>
        <v>0.69958847736625518</v>
      </c>
      <c r="L23" s="171">
        <v>5508</v>
      </c>
      <c r="M23" s="140">
        <f t="shared" si="5"/>
        <v>0.68300653594771243</v>
      </c>
      <c r="N23" s="140">
        <v>803</v>
      </c>
      <c r="O23" s="99">
        <f>L23/N23</f>
        <v>6.859277708592777</v>
      </c>
      <c r="Q23" s="228"/>
      <c r="U23" s="228"/>
    </row>
    <row r="24" spans="2:22">
      <c r="B24" s="121" t="s">
        <v>317</v>
      </c>
      <c r="C24" s="121" t="s">
        <v>469</v>
      </c>
      <c r="D24" s="99">
        <v>0.79</v>
      </c>
      <c r="E24" s="290">
        <v>266714</v>
      </c>
      <c r="F24" s="294">
        <v>410.16800000000001</v>
      </c>
      <c r="G24" s="291">
        <f t="shared" si="1"/>
        <v>267124.16800000001</v>
      </c>
      <c r="H24" s="294">
        <v>603.07899999999995</v>
      </c>
      <c r="I24" s="291">
        <f t="shared" si="2"/>
        <v>266521.08899999998</v>
      </c>
      <c r="J24" s="292">
        <f t="shared" si="3"/>
        <v>2.2576729186106438E-3</v>
      </c>
      <c r="K24" s="140">
        <f t="shared" si="4"/>
        <v>1.5378570303771081E-3</v>
      </c>
      <c r="L24" s="171">
        <v>0</v>
      </c>
      <c r="M24" s="241" t="s">
        <v>106</v>
      </c>
      <c r="N24" s="140">
        <v>0</v>
      </c>
      <c r="O24" s="241" t="s">
        <v>106</v>
      </c>
      <c r="Q24" s="228"/>
      <c r="U24" s="228"/>
      <c r="V24" s="228"/>
    </row>
    <row r="25" spans="2:22">
      <c r="B25" s="121" t="s">
        <v>427</v>
      </c>
      <c r="C25" s="121" t="s">
        <v>470</v>
      </c>
      <c r="D25" s="99">
        <v>1.65</v>
      </c>
      <c r="E25" s="290">
        <v>245249</v>
      </c>
      <c r="F25" s="291">
        <v>4485.183</v>
      </c>
      <c r="G25" s="291">
        <f t="shared" si="1"/>
        <v>249734.18299999999</v>
      </c>
      <c r="H25" s="291">
        <v>6894.1170000000002</v>
      </c>
      <c r="I25" s="291">
        <f t="shared" si="2"/>
        <v>242840.06599999999</v>
      </c>
      <c r="J25" s="292">
        <f t="shared" si="3"/>
        <v>2.7605820385429577E-2</v>
      </c>
      <c r="K25" s="140">
        <f t="shared" si="4"/>
        <v>1.8288282521029646E-2</v>
      </c>
      <c r="L25" s="293">
        <v>12449.705</v>
      </c>
      <c r="M25" s="140">
        <f t="shared" si="5"/>
        <v>19.505688367716342</v>
      </c>
      <c r="N25" s="140">
        <v>3269.223</v>
      </c>
      <c r="O25" s="99">
        <f>L25/N25</f>
        <v>3.8081541087897643</v>
      </c>
      <c r="Q25" s="228"/>
      <c r="U25" s="228"/>
      <c r="V25" s="228"/>
    </row>
    <row r="26" spans="2:22">
      <c r="B26" s="121" t="s">
        <v>472</v>
      </c>
      <c r="C26" s="121" t="s">
        <v>471</v>
      </c>
      <c r="D26" s="99">
        <v>0.96</v>
      </c>
      <c r="E26" s="290">
        <v>194675</v>
      </c>
      <c r="F26" s="291">
        <v>1625.299</v>
      </c>
      <c r="G26" s="291">
        <f t="shared" si="1"/>
        <v>196300.299</v>
      </c>
      <c r="H26" s="291">
        <v>8183.4059999999999</v>
      </c>
      <c r="I26" s="291">
        <f t="shared" si="2"/>
        <v>188116.89300000001</v>
      </c>
      <c r="J26" s="292">
        <f t="shared" si="3"/>
        <v>4.168819936438304E-2</v>
      </c>
      <c r="K26" s="140">
        <f t="shared" si="4"/>
        <v>8.3487813021702832E-3</v>
      </c>
      <c r="L26" s="293">
        <v>103436.435</v>
      </c>
      <c r="M26" s="140">
        <f t="shared" si="5"/>
        <v>1.8186714671672513</v>
      </c>
      <c r="N26" s="140">
        <v>3379.9740000000002</v>
      </c>
      <c r="O26" s="99">
        <f>L26/N26</f>
        <v>30.602730967753004</v>
      </c>
      <c r="Q26" s="228"/>
      <c r="U26" s="228"/>
      <c r="V26" s="228"/>
    </row>
    <row r="27" spans="2:22">
      <c r="B27" s="121" t="s">
        <v>434</v>
      </c>
      <c r="C27" s="121" t="s">
        <v>473</v>
      </c>
      <c r="D27" s="99">
        <v>0.45</v>
      </c>
      <c r="E27" s="290">
        <v>182226</v>
      </c>
      <c r="F27" s="294">
        <v>3656.8009999999999</v>
      </c>
      <c r="G27" s="291">
        <f t="shared" si="1"/>
        <v>185882.80100000001</v>
      </c>
      <c r="H27" s="291">
        <v>23534.557000000001</v>
      </c>
      <c r="I27" s="291">
        <f t="shared" si="2"/>
        <v>162348.24400000001</v>
      </c>
      <c r="J27" s="292">
        <f t="shared" si="3"/>
        <v>0.12660965335894631</v>
      </c>
      <c r="K27" s="140">
        <f t="shared" si="4"/>
        <v>2.0067394334507698E-2</v>
      </c>
      <c r="L27" s="171">
        <v>103152.489</v>
      </c>
      <c r="M27" s="140">
        <f t="shared" si="5"/>
        <v>1.5738664725773122</v>
      </c>
      <c r="N27" s="140">
        <v>2831.3159999999998</v>
      </c>
      <c r="O27" s="99">
        <f>L27/N27</f>
        <v>36.432700906574894</v>
      </c>
      <c r="T27" s="121"/>
      <c r="U27" s="228"/>
      <c r="V27" s="12"/>
    </row>
    <row r="28" spans="2:22">
      <c r="B28" s="121" t="s">
        <v>475</v>
      </c>
      <c r="C28" s="121" t="s">
        <v>474</v>
      </c>
      <c r="D28" s="241" t="s">
        <v>106</v>
      </c>
      <c r="E28" s="290">
        <v>1696</v>
      </c>
      <c r="F28" s="291">
        <v>73.8</v>
      </c>
      <c r="G28" s="291">
        <f t="shared" si="1"/>
        <v>1769.8</v>
      </c>
      <c r="H28" s="294">
        <v>949.1</v>
      </c>
      <c r="I28" s="291">
        <f t="shared" si="2"/>
        <v>820.69999999999993</v>
      </c>
      <c r="J28" s="292">
        <f t="shared" si="3"/>
        <v>0.53627528534297664</v>
      </c>
      <c r="K28" s="140">
        <f t="shared" si="4"/>
        <v>4.3514150943396224E-2</v>
      </c>
      <c r="L28" s="293">
        <v>1930.5</v>
      </c>
      <c r="M28" s="140">
        <f t="shared" si="5"/>
        <v>0.42512302512302508</v>
      </c>
      <c r="N28" s="140">
        <v>0</v>
      </c>
      <c r="O28" s="241" t="s">
        <v>106</v>
      </c>
      <c r="T28" s="121"/>
      <c r="U28" s="228"/>
      <c r="V28" s="12"/>
    </row>
    <row r="29" spans="2:22">
      <c r="B29" s="121" t="s">
        <v>477</v>
      </c>
      <c r="C29" s="121" t="s">
        <v>476</v>
      </c>
      <c r="D29" s="99">
        <v>0.28000000000000003</v>
      </c>
      <c r="E29" s="290">
        <v>163029</v>
      </c>
      <c r="F29" s="291">
        <v>25200</v>
      </c>
      <c r="G29" s="291">
        <f t="shared" si="1"/>
        <v>188229</v>
      </c>
      <c r="H29" s="291">
        <v>58789</v>
      </c>
      <c r="I29" s="291">
        <f t="shared" si="2"/>
        <v>129440</v>
      </c>
      <c r="J29" s="292">
        <f t="shared" si="3"/>
        <v>0.31232700593426094</v>
      </c>
      <c r="K29" s="140">
        <f t="shared" si="4"/>
        <v>0.15457372614688183</v>
      </c>
      <c r="L29" s="293">
        <v>439730</v>
      </c>
      <c r="M29" s="140">
        <f t="shared" si="5"/>
        <v>0.294362449685034</v>
      </c>
      <c r="N29" s="140">
        <v>0</v>
      </c>
      <c r="O29" s="241" t="s">
        <v>106</v>
      </c>
      <c r="T29" s="121"/>
      <c r="U29" s="228"/>
      <c r="V29" s="228"/>
    </row>
    <row r="30" spans="2:22">
      <c r="B30" s="121" t="s">
        <v>479</v>
      </c>
      <c r="C30" s="121" t="s">
        <v>478</v>
      </c>
      <c r="D30" s="99">
        <v>2.08</v>
      </c>
      <c r="E30" s="290">
        <v>904.44799999999998</v>
      </c>
      <c r="F30" s="291">
        <v>839.03800000000001</v>
      </c>
      <c r="G30" s="291">
        <f t="shared" si="1"/>
        <v>1743.4859999999999</v>
      </c>
      <c r="H30" s="291">
        <v>536.827</v>
      </c>
      <c r="I30" s="291">
        <f t="shared" si="2"/>
        <v>1206.6589999999999</v>
      </c>
      <c r="J30" s="292">
        <f t="shared" si="3"/>
        <v>0.30790439384084534</v>
      </c>
      <c r="K30" s="140">
        <f t="shared" si="4"/>
        <v>0.92767964548542314</v>
      </c>
      <c r="L30" s="293">
        <v>2297.8420000000001</v>
      </c>
      <c r="M30" s="140">
        <f t="shared" si="5"/>
        <v>0.52512705399239801</v>
      </c>
      <c r="N30" s="140">
        <v>425.99099999999999</v>
      </c>
      <c r="O30" s="99">
        <f>L30/N30</f>
        <v>5.3941092652192184</v>
      </c>
      <c r="T30" s="121"/>
      <c r="U30" s="228"/>
      <c r="V30" s="12"/>
    </row>
    <row r="31" spans="2:22">
      <c r="B31" s="121" t="s">
        <v>481</v>
      </c>
      <c r="C31" s="121" t="s">
        <v>480</v>
      </c>
      <c r="D31" s="99">
        <v>1.45</v>
      </c>
      <c r="E31" s="290">
        <v>80055</v>
      </c>
      <c r="F31" s="295">
        <v>3115.2379999999998</v>
      </c>
      <c r="G31" s="291">
        <f t="shared" si="1"/>
        <v>83170.237999999998</v>
      </c>
      <c r="H31" s="291">
        <v>4772.692</v>
      </c>
      <c r="I31" s="291">
        <f t="shared" si="2"/>
        <v>78397.546000000002</v>
      </c>
      <c r="J31" s="292">
        <f t="shared" si="3"/>
        <v>5.7384613952890219E-2</v>
      </c>
      <c r="K31" s="140">
        <f t="shared" si="4"/>
        <v>3.8913721816251322E-2</v>
      </c>
      <c r="L31" s="172">
        <v>30817.644</v>
      </c>
      <c r="M31" s="140">
        <f t="shared" si="5"/>
        <v>2.5439175687797548</v>
      </c>
      <c r="N31" s="140">
        <v>0</v>
      </c>
      <c r="O31" s="241" t="s">
        <v>106</v>
      </c>
      <c r="T31" s="121"/>
      <c r="U31" s="228"/>
      <c r="V31" s="228"/>
    </row>
    <row r="32" spans="2:22">
      <c r="B32" s="121" t="s">
        <v>483</v>
      </c>
      <c r="C32" s="121" t="s">
        <v>482</v>
      </c>
      <c r="D32" s="99">
        <v>2.93</v>
      </c>
      <c r="E32" s="290">
        <v>771.11500000000001</v>
      </c>
      <c r="F32" s="296">
        <v>856</v>
      </c>
      <c r="G32" s="291">
        <f t="shared" si="1"/>
        <v>1627.115</v>
      </c>
      <c r="H32" s="295">
        <v>323</v>
      </c>
      <c r="I32" s="291">
        <f t="shared" si="2"/>
        <v>1304.115</v>
      </c>
      <c r="J32" s="292">
        <f t="shared" si="3"/>
        <v>0.19851086124828302</v>
      </c>
      <c r="K32" s="140">
        <f t="shared" si="4"/>
        <v>1.1100808569409233</v>
      </c>
      <c r="L32" s="297">
        <v>3936.5</v>
      </c>
      <c r="M32" s="140">
        <f t="shared" si="5"/>
        <v>0.33128794614505269</v>
      </c>
      <c r="N32" s="140">
        <v>523.70000000000005</v>
      </c>
      <c r="O32" s="99">
        <f>L32/N32</f>
        <v>7.516708038953599</v>
      </c>
      <c r="T32" s="121"/>
      <c r="U32" s="228"/>
      <c r="V32" s="228"/>
    </row>
    <row r="33" spans="2:22">
      <c r="B33" s="121" t="s">
        <v>485</v>
      </c>
      <c r="C33" s="121" t="s">
        <v>484</v>
      </c>
      <c r="D33" s="99">
        <v>0.5</v>
      </c>
      <c r="E33" s="290">
        <v>71256</v>
      </c>
      <c r="F33" s="296">
        <v>252.529</v>
      </c>
      <c r="G33" s="291">
        <f t="shared" si="1"/>
        <v>71508.528999999995</v>
      </c>
      <c r="H33" s="296">
        <v>10384.465</v>
      </c>
      <c r="I33" s="291">
        <f t="shared" si="2"/>
        <v>61124.063999999998</v>
      </c>
      <c r="J33" s="292">
        <f t="shared" si="3"/>
        <v>0.1452199499167435</v>
      </c>
      <c r="K33" s="140">
        <f t="shared" si="4"/>
        <v>3.5439682272370046E-3</v>
      </c>
      <c r="L33" s="297">
        <v>13963.388000000001</v>
      </c>
      <c r="M33" s="140">
        <f t="shared" si="5"/>
        <v>4.3774522343717726</v>
      </c>
      <c r="N33" s="140">
        <v>2244.0450000000001</v>
      </c>
      <c r="O33" s="99">
        <f>L33/N33</f>
        <v>6.222418890886769</v>
      </c>
      <c r="T33" s="121"/>
      <c r="U33" s="228"/>
      <c r="V33" s="12"/>
    </row>
    <row r="34" spans="2:22">
      <c r="B34" s="121" t="s">
        <v>487</v>
      </c>
      <c r="C34" s="121" t="s">
        <v>486</v>
      </c>
      <c r="D34" s="99">
        <v>1.1299999999999999</v>
      </c>
      <c r="E34" s="290">
        <v>69270</v>
      </c>
      <c r="F34" s="295">
        <v>5790</v>
      </c>
      <c r="G34" s="291">
        <f t="shared" si="1"/>
        <v>75060</v>
      </c>
      <c r="H34" s="296">
        <v>13626</v>
      </c>
      <c r="I34" s="291">
        <f t="shared" si="2"/>
        <v>61434</v>
      </c>
      <c r="J34" s="292">
        <f t="shared" si="3"/>
        <v>0.18153477218225419</v>
      </c>
      <c r="K34" s="140">
        <f t="shared" si="4"/>
        <v>8.3585967951494158E-2</v>
      </c>
      <c r="L34" s="172">
        <v>53622</v>
      </c>
      <c r="M34" s="140">
        <f t="shared" si="5"/>
        <v>1.1456864719704598</v>
      </c>
      <c r="N34" s="140">
        <v>0</v>
      </c>
      <c r="O34" s="241" t="s">
        <v>106</v>
      </c>
      <c r="T34" s="121"/>
      <c r="U34" s="228"/>
      <c r="V34" s="228"/>
    </row>
    <row r="35" spans="2:22">
      <c r="B35" s="121" t="s">
        <v>489</v>
      </c>
      <c r="C35" s="121" t="s">
        <v>488</v>
      </c>
      <c r="D35" s="99">
        <v>1.86</v>
      </c>
      <c r="E35" s="290">
        <v>688.50800000000004</v>
      </c>
      <c r="F35" s="296">
        <v>151.9</v>
      </c>
      <c r="G35" s="291">
        <f t="shared" si="1"/>
        <v>840.40800000000002</v>
      </c>
      <c r="H35" s="295">
        <v>101.3</v>
      </c>
      <c r="I35" s="291">
        <f t="shared" si="2"/>
        <v>739.10800000000006</v>
      </c>
      <c r="J35" s="292">
        <f t="shared" si="3"/>
        <v>0.12053669170212562</v>
      </c>
      <c r="K35" s="140">
        <f t="shared" si="4"/>
        <v>0.2206219826058666</v>
      </c>
      <c r="L35" s="297">
        <v>1889.3</v>
      </c>
      <c r="M35" s="140">
        <f t="shared" si="5"/>
        <v>0.3912073254644578</v>
      </c>
      <c r="N35" s="140">
        <v>505.9</v>
      </c>
      <c r="O35" s="99">
        <f>L35/N35</f>
        <v>3.7345325163075707</v>
      </c>
      <c r="T35" s="121"/>
      <c r="U35" s="228"/>
      <c r="V35" s="12"/>
    </row>
    <row r="36" spans="2:22" ht="12" customHeight="1">
      <c r="B36" s="121" t="s">
        <v>491</v>
      </c>
      <c r="C36" s="121" t="s">
        <v>490</v>
      </c>
      <c r="D36" s="99">
        <v>0.82</v>
      </c>
      <c r="E36" s="290">
        <v>68173</v>
      </c>
      <c r="F36" s="295">
        <v>8372.6440000000002</v>
      </c>
      <c r="G36" s="291">
        <f t="shared" si="1"/>
        <v>76545.644</v>
      </c>
      <c r="H36" s="296">
        <v>11029.941000000001</v>
      </c>
      <c r="I36" s="291">
        <f t="shared" si="2"/>
        <v>65515.703000000001</v>
      </c>
      <c r="J36" s="292">
        <f t="shared" si="3"/>
        <v>0.14409625974274906</v>
      </c>
      <c r="K36" s="140">
        <f t="shared" si="4"/>
        <v>0.12281466269637541</v>
      </c>
      <c r="L36" s="172">
        <v>4479.6620000000003</v>
      </c>
      <c r="M36" s="140">
        <f t="shared" si="5"/>
        <v>14.62514426311628</v>
      </c>
      <c r="N36" s="140">
        <v>0</v>
      </c>
      <c r="O36" s="241" t="s">
        <v>106</v>
      </c>
      <c r="T36" s="121"/>
      <c r="U36" s="228"/>
      <c r="V36" s="12"/>
    </row>
    <row r="37" spans="2:22">
      <c r="B37" s="121" t="s">
        <v>493</v>
      </c>
      <c r="C37" s="121" t="s">
        <v>492</v>
      </c>
      <c r="D37" s="99">
        <v>0.84</v>
      </c>
      <c r="E37" s="290">
        <v>66133</v>
      </c>
      <c r="F37" s="294">
        <v>84320</v>
      </c>
      <c r="G37" s="291">
        <f t="shared" si="1"/>
        <v>150453</v>
      </c>
      <c r="H37" s="295">
        <v>28793</v>
      </c>
      <c r="I37" s="291">
        <f t="shared" si="2"/>
        <v>121660</v>
      </c>
      <c r="J37" s="292">
        <f t="shared" si="3"/>
        <v>0.19137537968667956</v>
      </c>
      <c r="K37" s="140">
        <f t="shared" si="4"/>
        <v>1.2750064264436816</v>
      </c>
      <c r="L37" s="171">
        <v>211955</v>
      </c>
      <c r="M37" s="140">
        <f t="shared" si="5"/>
        <v>0.57398976197777829</v>
      </c>
      <c r="N37" s="140">
        <v>0</v>
      </c>
      <c r="O37" s="241" t="s">
        <v>106</v>
      </c>
      <c r="T37" s="121"/>
      <c r="U37" s="228"/>
      <c r="V37" s="12"/>
    </row>
    <row r="38" spans="2:22">
      <c r="B38" s="121" t="s">
        <v>495</v>
      </c>
      <c r="C38" s="121" t="s">
        <v>494</v>
      </c>
      <c r="D38" s="99">
        <v>1.1100000000000001</v>
      </c>
      <c r="E38" s="290">
        <v>59117</v>
      </c>
      <c r="F38" s="295">
        <v>0</v>
      </c>
      <c r="G38" s="291">
        <f t="shared" si="1"/>
        <v>59117</v>
      </c>
      <c r="H38" s="294">
        <v>53262.597999999998</v>
      </c>
      <c r="I38" s="291">
        <f t="shared" si="2"/>
        <v>5854.4020000000019</v>
      </c>
      <c r="J38" s="292">
        <f t="shared" si="3"/>
        <v>0.90096923050899058</v>
      </c>
      <c r="K38" s="140">
        <f t="shared" si="4"/>
        <v>0</v>
      </c>
      <c r="L38" s="172">
        <v>49165.714999999997</v>
      </c>
      <c r="M38" s="140">
        <f t="shared" si="5"/>
        <v>0.11907488785630398</v>
      </c>
      <c r="N38" s="140">
        <v>0</v>
      </c>
      <c r="O38" s="241" t="s">
        <v>106</v>
      </c>
      <c r="T38" s="121"/>
      <c r="U38" s="228"/>
    </row>
    <row r="39" spans="2:22" ht="12" customHeight="1">
      <c r="B39" s="121" t="s">
        <v>497</v>
      </c>
      <c r="C39" s="121" t="s">
        <v>496</v>
      </c>
      <c r="D39" s="99">
        <v>1.33</v>
      </c>
      <c r="E39" s="290">
        <v>49319</v>
      </c>
      <c r="F39" s="294">
        <v>1576.7239999999999</v>
      </c>
      <c r="G39" s="291">
        <f t="shared" si="1"/>
        <v>50895.724000000002</v>
      </c>
      <c r="H39" s="295">
        <v>1579.0740000000001</v>
      </c>
      <c r="I39" s="291">
        <f t="shared" si="2"/>
        <v>49316.65</v>
      </c>
      <c r="J39" s="292">
        <f t="shared" si="3"/>
        <v>3.1025671233206153E-2</v>
      </c>
      <c r="K39" s="140">
        <f t="shared" si="4"/>
        <v>3.1969910176605366E-2</v>
      </c>
      <c r="L39" s="171">
        <v>30298.149000000001</v>
      </c>
      <c r="M39" s="140">
        <f t="shared" si="5"/>
        <v>1.6277116466751813</v>
      </c>
      <c r="N39" s="140">
        <v>0</v>
      </c>
      <c r="O39" s="241" t="s">
        <v>106</v>
      </c>
      <c r="U39" s="228"/>
      <c r="V39" s="228"/>
    </row>
    <row r="40" spans="2:22">
      <c r="B40" s="121" t="s">
        <v>499</v>
      </c>
      <c r="C40" s="121" t="s">
        <v>498</v>
      </c>
      <c r="D40" s="241" t="s">
        <v>106</v>
      </c>
      <c r="E40" s="290">
        <v>441.56200000000001</v>
      </c>
      <c r="F40" s="294">
        <v>103.803</v>
      </c>
      <c r="G40" s="291">
        <f t="shared" si="1"/>
        <v>545.36500000000001</v>
      </c>
      <c r="H40" s="294">
        <v>141.232</v>
      </c>
      <c r="I40" s="291">
        <f t="shared" si="2"/>
        <v>404.13300000000004</v>
      </c>
      <c r="J40" s="292">
        <f t="shared" si="3"/>
        <v>0.25896784722158556</v>
      </c>
      <c r="K40" s="140">
        <f t="shared" si="4"/>
        <v>0.23508137022660464</v>
      </c>
      <c r="L40" s="171">
        <v>375.01</v>
      </c>
      <c r="M40" s="140">
        <f t="shared" si="5"/>
        <v>1.077659262419669</v>
      </c>
      <c r="N40" s="140">
        <v>107.715</v>
      </c>
      <c r="O40" s="99">
        <f>L40/N40</f>
        <v>3.4815021120549599</v>
      </c>
      <c r="U40" s="228"/>
      <c r="V40" s="12"/>
    </row>
    <row r="41" spans="2:22">
      <c r="B41" s="121" t="s">
        <v>501</v>
      </c>
      <c r="C41" s="121" t="s">
        <v>500</v>
      </c>
      <c r="D41" s="99">
        <v>1.25</v>
      </c>
      <c r="E41" s="290">
        <v>42001</v>
      </c>
      <c r="F41" s="295">
        <v>9800</v>
      </c>
      <c r="G41" s="291">
        <f t="shared" si="1"/>
        <v>51801</v>
      </c>
      <c r="H41" s="294">
        <v>6862</v>
      </c>
      <c r="I41" s="291">
        <f t="shared" si="2"/>
        <v>44939</v>
      </c>
      <c r="J41" s="292">
        <f t="shared" si="3"/>
        <v>0.13246848516437906</v>
      </c>
      <c r="K41" s="140">
        <f t="shared" si="4"/>
        <v>0.23332777791004977</v>
      </c>
      <c r="L41" s="172">
        <v>37650</v>
      </c>
      <c r="M41" s="140">
        <f t="shared" si="5"/>
        <v>1.1935989375830014</v>
      </c>
      <c r="N41" s="140">
        <v>0</v>
      </c>
      <c r="O41" s="241" t="s">
        <v>106</v>
      </c>
      <c r="U41" s="228"/>
      <c r="V41" s="12"/>
    </row>
    <row r="42" spans="2:22">
      <c r="B42" s="121" t="s">
        <v>503</v>
      </c>
      <c r="C42" s="121" t="s">
        <v>502</v>
      </c>
      <c r="D42" s="99">
        <v>-0.04</v>
      </c>
      <c r="E42" s="290">
        <v>40636</v>
      </c>
      <c r="F42" s="294">
        <v>0</v>
      </c>
      <c r="G42" s="291">
        <f t="shared" si="1"/>
        <v>40636</v>
      </c>
      <c r="H42" s="295">
        <v>20615.920999999998</v>
      </c>
      <c r="I42" s="291">
        <f t="shared" si="2"/>
        <v>20020.079000000002</v>
      </c>
      <c r="J42" s="292">
        <f t="shared" si="3"/>
        <v>0.507331454867605</v>
      </c>
      <c r="K42" s="140">
        <f t="shared" si="4"/>
        <v>0</v>
      </c>
      <c r="L42" s="171">
        <v>39932.629999999997</v>
      </c>
      <c r="M42" s="140">
        <f t="shared" si="5"/>
        <v>0.50134636761966345</v>
      </c>
      <c r="N42" s="140">
        <v>0</v>
      </c>
      <c r="O42" s="241" t="s">
        <v>106</v>
      </c>
      <c r="U42" s="228"/>
    </row>
    <row r="43" spans="2:22">
      <c r="B43" s="121" t="s">
        <v>505</v>
      </c>
      <c r="C43" s="121" t="s">
        <v>504</v>
      </c>
      <c r="D43" s="99">
        <v>0.7</v>
      </c>
      <c r="E43" s="290">
        <v>366.62</v>
      </c>
      <c r="F43" s="294">
        <v>153.6</v>
      </c>
      <c r="G43" s="291">
        <f t="shared" si="1"/>
        <v>520.22</v>
      </c>
      <c r="H43" s="294">
        <v>19.5</v>
      </c>
      <c r="I43" s="291">
        <f t="shared" si="2"/>
        <v>500.72</v>
      </c>
      <c r="J43" s="292">
        <f t="shared" si="3"/>
        <v>3.7484141324824111E-2</v>
      </c>
      <c r="K43" s="140">
        <f t="shared" si="4"/>
        <v>0.41896241339806883</v>
      </c>
      <c r="L43" s="171">
        <v>1443.1</v>
      </c>
      <c r="M43" s="140">
        <f t="shared" si="5"/>
        <v>0.34697526158963349</v>
      </c>
      <c r="N43" s="140">
        <v>0</v>
      </c>
      <c r="O43" s="241" t="s">
        <v>106</v>
      </c>
      <c r="U43" s="228"/>
      <c r="V43" s="228"/>
    </row>
    <row r="44" spans="2:22">
      <c r="B44" s="121" t="s">
        <v>426</v>
      </c>
      <c r="C44" s="121" t="s">
        <v>506</v>
      </c>
      <c r="D44" s="99">
        <v>2.15</v>
      </c>
      <c r="E44" s="290">
        <v>34329</v>
      </c>
      <c r="F44" s="295">
        <v>24.503</v>
      </c>
      <c r="G44" s="291">
        <f t="shared" si="1"/>
        <v>34353.502999999997</v>
      </c>
      <c r="H44" s="294">
        <v>234.72399999999999</v>
      </c>
      <c r="I44" s="291">
        <f t="shared" si="2"/>
        <v>34118.778999999995</v>
      </c>
      <c r="J44" s="292">
        <f t="shared" si="3"/>
        <v>6.8326074345314951E-3</v>
      </c>
      <c r="K44" s="140">
        <f t="shared" si="4"/>
        <v>7.1376969908823441E-4</v>
      </c>
      <c r="L44" s="172">
        <v>1101.4159999999999</v>
      </c>
      <c r="M44" s="140">
        <f t="shared" si="5"/>
        <v>30.977195718965401</v>
      </c>
      <c r="N44" s="140">
        <v>372.06700000000001</v>
      </c>
      <c r="O44" s="99">
        <f>L44/N44</f>
        <v>2.9602625333609267</v>
      </c>
      <c r="U44" s="228"/>
      <c r="V44" s="12"/>
    </row>
    <row r="45" spans="2:22">
      <c r="B45" s="121" t="s">
        <v>508</v>
      </c>
      <c r="C45" s="121" t="s">
        <v>507</v>
      </c>
      <c r="D45" s="99">
        <v>0.86</v>
      </c>
      <c r="E45" s="290">
        <v>28607</v>
      </c>
      <c r="F45" s="295">
        <v>6075</v>
      </c>
      <c r="G45" s="291">
        <f t="shared" si="1"/>
        <v>34682</v>
      </c>
      <c r="H45" s="294">
        <v>7142</v>
      </c>
      <c r="I45" s="291">
        <f t="shared" si="2"/>
        <v>27540</v>
      </c>
      <c r="J45" s="292">
        <f t="shared" si="3"/>
        <v>0.20592814716567673</v>
      </c>
      <c r="K45" s="140">
        <f t="shared" si="4"/>
        <v>0.21236061103925613</v>
      </c>
      <c r="L45" s="172">
        <v>80818</v>
      </c>
      <c r="M45" s="140">
        <f t="shared" si="5"/>
        <v>0.34076567101388305</v>
      </c>
      <c r="N45" s="140">
        <v>0</v>
      </c>
      <c r="O45" s="241" t="s">
        <v>106</v>
      </c>
      <c r="U45" s="228"/>
      <c r="V45" s="12"/>
    </row>
    <row r="46" spans="2:22">
      <c r="B46" s="121" t="s">
        <v>510</v>
      </c>
      <c r="C46" s="121" t="s">
        <v>509</v>
      </c>
      <c r="D46" s="99">
        <v>0.72</v>
      </c>
      <c r="E46" s="290">
        <v>27477</v>
      </c>
      <c r="F46" s="295">
        <v>5617.44</v>
      </c>
      <c r="G46" s="291">
        <f t="shared" si="1"/>
        <v>33094.44</v>
      </c>
      <c r="H46" s="294">
        <v>1963.951</v>
      </c>
      <c r="I46" s="291">
        <f t="shared" si="2"/>
        <v>31130.489000000001</v>
      </c>
      <c r="J46" s="292">
        <f t="shared" si="3"/>
        <v>5.9343835399541432E-2</v>
      </c>
      <c r="K46" s="140">
        <f t="shared" si="4"/>
        <v>0.20444153291844086</v>
      </c>
      <c r="L46" s="172">
        <v>7522.7920000000004</v>
      </c>
      <c r="M46" s="140">
        <f t="shared" si="5"/>
        <v>4.1381562855918386</v>
      </c>
      <c r="N46" s="140">
        <v>0</v>
      </c>
      <c r="O46" s="241" t="s">
        <v>106</v>
      </c>
      <c r="U46" s="228"/>
      <c r="V46" s="12"/>
    </row>
    <row r="47" spans="2:22">
      <c r="B47" s="121" t="s">
        <v>381</v>
      </c>
      <c r="C47" s="121" t="s">
        <v>380</v>
      </c>
      <c r="D47" s="99">
        <v>1.34</v>
      </c>
      <c r="E47" s="290">
        <v>27128</v>
      </c>
      <c r="F47" s="295">
        <v>2401.8229999999999</v>
      </c>
      <c r="G47" s="291">
        <f t="shared" si="1"/>
        <v>29529.823</v>
      </c>
      <c r="H47" s="294">
        <v>3509.3339999999998</v>
      </c>
      <c r="I47" s="291">
        <f t="shared" si="2"/>
        <v>26020.489000000001</v>
      </c>
      <c r="J47" s="292">
        <f t="shared" si="3"/>
        <v>0.11884033304229422</v>
      </c>
      <c r="K47" s="140">
        <f t="shared" si="4"/>
        <v>8.8536677971099972E-2</v>
      </c>
      <c r="L47" s="172">
        <v>20582.615000000002</v>
      </c>
      <c r="M47" s="140">
        <f t="shared" si="5"/>
        <v>1.2641974306957595</v>
      </c>
      <c r="N47" s="140">
        <v>0</v>
      </c>
      <c r="O47" s="241" t="s">
        <v>106</v>
      </c>
      <c r="U47" s="228"/>
      <c r="V47" s="12"/>
    </row>
    <row r="48" spans="2:22">
      <c r="B48" s="121" t="s">
        <v>512</v>
      </c>
      <c r="C48" s="121" t="s">
        <v>511</v>
      </c>
      <c r="D48" s="99">
        <v>1.53</v>
      </c>
      <c r="E48" s="290">
        <v>26033</v>
      </c>
      <c r="F48" s="295">
        <v>5498</v>
      </c>
      <c r="G48" s="291">
        <f t="shared" si="1"/>
        <v>31531</v>
      </c>
      <c r="H48" s="294">
        <v>22421</v>
      </c>
      <c r="I48" s="291">
        <f t="shared" si="2"/>
        <v>9110</v>
      </c>
      <c r="J48" s="292">
        <f t="shared" si="3"/>
        <v>0.7110779867432051</v>
      </c>
      <c r="K48" s="140">
        <f t="shared" si="4"/>
        <v>0.21119348519187187</v>
      </c>
      <c r="L48" s="172">
        <v>30005</v>
      </c>
      <c r="M48" s="140">
        <f t="shared" si="5"/>
        <v>0.30361606398933511</v>
      </c>
      <c r="N48" s="140">
        <v>0</v>
      </c>
      <c r="O48" s="241" t="s">
        <v>106</v>
      </c>
      <c r="U48" s="228"/>
    </row>
    <row r="49" spans="2:22">
      <c r="B49" s="121" t="s">
        <v>514</v>
      </c>
      <c r="C49" s="121" t="s">
        <v>513</v>
      </c>
      <c r="D49" s="241" t="s">
        <v>106</v>
      </c>
      <c r="E49" s="290">
        <v>24847</v>
      </c>
      <c r="F49" s="295">
        <v>11433.88</v>
      </c>
      <c r="G49" s="291">
        <f t="shared" si="1"/>
        <v>36280.879999999997</v>
      </c>
      <c r="H49" s="294">
        <v>343.99</v>
      </c>
      <c r="I49" s="291">
        <f t="shared" si="2"/>
        <v>35936.89</v>
      </c>
      <c r="J49" s="292">
        <f t="shared" si="3"/>
        <v>9.4813025483395114E-3</v>
      </c>
      <c r="K49" s="140">
        <f t="shared" si="4"/>
        <v>0.46017144926952946</v>
      </c>
      <c r="L49" s="172">
        <v>69148.990000000005</v>
      </c>
      <c r="M49" s="140">
        <f t="shared" si="5"/>
        <v>0.51970231235481523</v>
      </c>
      <c r="N49" s="140">
        <v>0</v>
      </c>
      <c r="O49" s="241" t="s">
        <v>106</v>
      </c>
      <c r="U49" s="228"/>
      <c r="V49" s="228"/>
    </row>
    <row r="50" spans="2:22">
      <c r="B50" s="121" t="s">
        <v>435</v>
      </c>
      <c r="C50" s="121" t="s">
        <v>515</v>
      </c>
      <c r="D50" s="99">
        <v>3.1</v>
      </c>
      <c r="E50" s="290">
        <v>20058</v>
      </c>
      <c r="F50" s="295">
        <v>4155</v>
      </c>
      <c r="G50" s="291">
        <f t="shared" si="1"/>
        <v>24213</v>
      </c>
      <c r="H50" s="294">
        <v>1278</v>
      </c>
      <c r="I50" s="291">
        <f t="shared" si="2"/>
        <v>22935</v>
      </c>
      <c r="J50" s="292">
        <f t="shared" si="3"/>
        <v>5.2781563622847229E-2</v>
      </c>
      <c r="K50" s="140">
        <f t="shared" si="4"/>
        <v>0.20714926712533652</v>
      </c>
      <c r="L50" s="172">
        <v>12218</v>
      </c>
      <c r="M50" s="140">
        <f t="shared" si="5"/>
        <v>1.8771484694712719</v>
      </c>
      <c r="N50" s="140">
        <v>1473</v>
      </c>
      <c r="O50" s="99">
        <f>L50/N50</f>
        <v>8.2946367956551263</v>
      </c>
      <c r="U50" s="228"/>
      <c r="V50" s="12"/>
    </row>
    <row r="51" spans="2:22">
      <c r="B51" s="121" t="s">
        <v>517</v>
      </c>
      <c r="C51" s="121" t="s">
        <v>516</v>
      </c>
      <c r="D51" s="99">
        <v>1.93</v>
      </c>
      <c r="E51" s="290">
        <v>19247</v>
      </c>
      <c r="F51" s="295">
        <v>133.5</v>
      </c>
      <c r="G51" s="291">
        <f t="shared" si="1"/>
        <v>19380.5</v>
      </c>
      <c r="H51" s="294">
        <v>1847.2660000000001</v>
      </c>
      <c r="I51" s="291">
        <f t="shared" si="2"/>
        <v>17533.234</v>
      </c>
      <c r="J51" s="292">
        <f t="shared" si="3"/>
        <v>9.5315703929207199E-2</v>
      </c>
      <c r="K51" s="140">
        <f t="shared" si="4"/>
        <v>6.9361458928664209E-3</v>
      </c>
      <c r="L51" s="172">
        <v>2568.79</v>
      </c>
      <c r="M51" s="140">
        <f t="shared" si="5"/>
        <v>6.8254835934428275</v>
      </c>
      <c r="N51" s="140">
        <v>0</v>
      </c>
      <c r="O51" s="241" t="s">
        <v>106</v>
      </c>
      <c r="U51" s="228"/>
    </row>
    <row r="52" spans="2:22">
      <c r="B52" s="121" t="s">
        <v>519</v>
      </c>
      <c r="C52" s="121" t="s">
        <v>518</v>
      </c>
      <c r="D52" s="99">
        <v>0.53</v>
      </c>
      <c r="E52" s="290">
        <v>18756</v>
      </c>
      <c r="F52" s="295">
        <v>3628</v>
      </c>
      <c r="G52" s="291">
        <f t="shared" si="1"/>
        <v>22384</v>
      </c>
      <c r="H52" s="294">
        <v>15665</v>
      </c>
      <c r="I52" s="291">
        <f t="shared" si="2"/>
        <v>6719</v>
      </c>
      <c r="J52" s="292">
        <f t="shared" si="3"/>
        <v>0.69983023588277338</v>
      </c>
      <c r="K52" s="140">
        <f t="shared" si="4"/>
        <v>0.19343143527404563</v>
      </c>
      <c r="L52" s="172">
        <v>61449</v>
      </c>
      <c r="M52" s="140">
        <f t="shared" si="5"/>
        <v>0.10934270696024345</v>
      </c>
      <c r="N52" s="140">
        <v>0</v>
      </c>
      <c r="O52" s="241" t="s">
        <v>106</v>
      </c>
      <c r="S52" s="228"/>
      <c r="U52" s="228"/>
      <c r="V52" s="12"/>
    </row>
    <row r="53" spans="2:22">
      <c r="B53" s="121" t="s">
        <v>521</v>
      </c>
      <c r="C53" s="121" t="s">
        <v>520</v>
      </c>
      <c r="D53" s="99">
        <v>0.85</v>
      </c>
      <c r="E53" s="290">
        <v>18597</v>
      </c>
      <c r="F53" s="295">
        <v>1198.336</v>
      </c>
      <c r="G53" s="291">
        <f t="shared" si="1"/>
        <v>19795.335999999999</v>
      </c>
      <c r="H53" s="294">
        <v>5343.3050000000003</v>
      </c>
      <c r="I53" s="291">
        <f t="shared" ref="I53:I91" si="6">G53-H53</f>
        <v>14452.030999999999</v>
      </c>
      <c r="J53" s="292">
        <f t="shared" ref="J53:J91" si="7">H53/G53</f>
        <v>0.26992747180446952</v>
      </c>
      <c r="K53" s="140">
        <f t="shared" si="4"/>
        <v>6.4437059740818411E-2</v>
      </c>
      <c r="L53" s="172">
        <v>5183.67</v>
      </c>
      <c r="M53" s="140">
        <f t="shared" si="5"/>
        <v>2.7879920982624276</v>
      </c>
      <c r="N53" s="140">
        <v>0</v>
      </c>
      <c r="O53" s="241" t="s">
        <v>106</v>
      </c>
      <c r="S53" s="228"/>
      <c r="U53" s="228"/>
    </row>
    <row r="54" spans="2:22">
      <c r="B54" s="121" t="s">
        <v>523</v>
      </c>
      <c r="C54" s="121" t="s">
        <v>522</v>
      </c>
      <c r="D54" s="99">
        <v>0.63</v>
      </c>
      <c r="E54" s="290">
        <v>17698</v>
      </c>
      <c r="F54" s="295">
        <v>5560.4849999999997</v>
      </c>
      <c r="G54" s="291">
        <f t="shared" si="1"/>
        <v>23258.485000000001</v>
      </c>
      <c r="H54" s="294">
        <v>1173.4069999999999</v>
      </c>
      <c r="I54" s="291">
        <f t="shared" si="6"/>
        <v>22085.078000000001</v>
      </c>
      <c r="J54" s="292">
        <f t="shared" si="7"/>
        <v>5.0450706484106767E-2</v>
      </c>
      <c r="K54" s="140">
        <f t="shared" si="4"/>
        <v>0.31418719629336644</v>
      </c>
      <c r="L54" s="172">
        <v>46985.212</v>
      </c>
      <c r="M54" s="140">
        <f t="shared" si="5"/>
        <v>0.47004317017873626</v>
      </c>
      <c r="N54" s="140">
        <v>0</v>
      </c>
      <c r="O54" s="241" t="s">
        <v>106</v>
      </c>
      <c r="S54" s="228"/>
      <c r="U54" s="228"/>
      <c r="V54" s="12"/>
    </row>
    <row r="55" spans="2:22">
      <c r="B55" s="121" t="s">
        <v>525</v>
      </c>
      <c r="C55" s="121" t="s">
        <v>524</v>
      </c>
      <c r="D55" s="99">
        <v>0.62</v>
      </c>
      <c r="E55" s="290">
        <v>17214</v>
      </c>
      <c r="F55" s="295">
        <v>2027.0129999999999</v>
      </c>
      <c r="G55" s="291">
        <f t="shared" si="1"/>
        <v>19241.012999999999</v>
      </c>
      <c r="H55" s="294">
        <v>2904.77</v>
      </c>
      <c r="I55" s="291">
        <f t="shared" si="6"/>
        <v>16336.242999999999</v>
      </c>
      <c r="J55" s="292">
        <f t="shared" si="7"/>
        <v>0.15096762317036011</v>
      </c>
      <c r="K55" s="140">
        <f t="shared" si="4"/>
        <v>0.11775374695015685</v>
      </c>
      <c r="L55" s="172">
        <v>43613.114000000001</v>
      </c>
      <c r="M55" s="140">
        <f t="shared" si="5"/>
        <v>0.37457180883713093</v>
      </c>
      <c r="N55" s="140">
        <v>0</v>
      </c>
      <c r="O55" s="241" t="s">
        <v>106</v>
      </c>
      <c r="S55" s="228"/>
      <c r="U55" s="228"/>
      <c r="V55" s="12"/>
    </row>
    <row r="56" spans="2:22">
      <c r="B56" s="121" t="s">
        <v>527</v>
      </c>
      <c r="C56" s="121" t="s">
        <v>526</v>
      </c>
      <c r="D56" s="99">
        <v>1.33</v>
      </c>
      <c r="E56" s="290">
        <v>15025</v>
      </c>
      <c r="F56" s="295">
        <v>543.85299999999995</v>
      </c>
      <c r="G56" s="291">
        <f t="shared" si="1"/>
        <v>15568.852999999999</v>
      </c>
      <c r="H56" s="294">
        <v>4025.7579999999998</v>
      </c>
      <c r="I56" s="291">
        <f t="shared" si="6"/>
        <v>11543.094999999999</v>
      </c>
      <c r="J56" s="292">
        <f t="shared" si="7"/>
        <v>0.25857768712955281</v>
      </c>
      <c r="K56" s="140">
        <f t="shared" si="4"/>
        <v>3.6196539101497498E-2</v>
      </c>
      <c r="L56" s="172">
        <v>13976.423000000001</v>
      </c>
      <c r="M56" s="140">
        <f t="shared" si="5"/>
        <v>0.82589765636028611</v>
      </c>
      <c r="N56" s="140">
        <v>0</v>
      </c>
      <c r="O56" s="241" t="s">
        <v>106</v>
      </c>
      <c r="S56" s="228"/>
      <c r="U56" s="228"/>
      <c r="V56" s="228"/>
    </row>
    <row r="57" spans="2:22" ht="12" customHeight="1">
      <c r="B57" s="121" t="s">
        <v>529</v>
      </c>
      <c r="C57" s="121" t="s">
        <v>528</v>
      </c>
      <c r="D57" s="99">
        <v>2.25</v>
      </c>
      <c r="E57" s="290">
        <v>142.75</v>
      </c>
      <c r="F57" s="295">
        <v>303.8</v>
      </c>
      <c r="G57" s="291">
        <f t="shared" si="1"/>
        <v>446.55</v>
      </c>
      <c r="H57" s="294">
        <v>36.700000000000003</v>
      </c>
      <c r="I57" s="291">
        <f t="shared" si="6"/>
        <v>409.85</v>
      </c>
      <c r="J57" s="292">
        <f t="shared" si="7"/>
        <v>8.2185645504422797E-2</v>
      </c>
      <c r="K57" s="140">
        <f t="shared" si="4"/>
        <v>2.1281961471103328</v>
      </c>
      <c r="L57" s="172">
        <v>699.8</v>
      </c>
      <c r="M57" s="140">
        <f t="shared" si="5"/>
        <v>0.58566733352386402</v>
      </c>
      <c r="N57" s="140">
        <v>76.099999999999994</v>
      </c>
      <c r="O57" s="99">
        <f>L57/N57</f>
        <v>9.195795006570302</v>
      </c>
      <c r="S57" s="228"/>
      <c r="U57" s="228"/>
      <c r="V57" s="12"/>
    </row>
    <row r="58" spans="2:22">
      <c r="B58" s="121" t="s">
        <v>531</v>
      </c>
      <c r="C58" s="121" t="s">
        <v>530</v>
      </c>
      <c r="D58" s="99">
        <v>1.1299999999999999</v>
      </c>
      <c r="E58" s="290">
        <v>12637</v>
      </c>
      <c r="F58" s="295">
        <v>0</v>
      </c>
      <c r="G58" s="291">
        <f t="shared" si="1"/>
        <v>12637</v>
      </c>
      <c r="H58" s="294">
        <v>3318.3989999999999</v>
      </c>
      <c r="I58" s="291">
        <f t="shared" si="6"/>
        <v>9318.6010000000006</v>
      </c>
      <c r="J58" s="292">
        <f t="shared" si="7"/>
        <v>0.26259389095513175</v>
      </c>
      <c r="K58" s="140">
        <f t="shared" si="4"/>
        <v>0</v>
      </c>
      <c r="L58" s="172">
        <v>9638.8539999999994</v>
      </c>
      <c r="M58" s="140">
        <f t="shared" si="5"/>
        <v>0.96677478463726096</v>
      </c>
      <c r="N58" s="140">
        <v>0</v>
      </c>
      <c r="O58" s="241" t="s">
        <v>106</v>
      </c>
      <c r="S58" s="228"/>
      <c r="U58" s="228"/>
      <c r="V58" s="12"/>
    </row>
    <row r="59" spans="2:22">
      <c r="B59" s="121" t="s">
        <v>755</v>
      </c>
      <c r="C59" s="121" t="s">
        <v>532</v>
      </c>
      <c r="D59" s="99">
        <v>0.36</v>
      </c>
      <c r="E59" s="290">
        <v>11201</v>
      </c>
      <c r="F59" s="295">
        <v>392.21899999999999</v>
      </c>
      <c r="G59" s="291">
        <f t="shared" si="1"/>
        <v>11593.218999999999</v>
      </c>
      <c r="H59" s="294">
        <v>5003.424</v>
      </c>
      <c r="I59" s="291">
        <f t="shared" si="6"/>
        <v>6589.7949999999992</v>
      </c>
      <c r="J59" s="292">
        <f t="shared" si="7"/>
        <v>0.4315819445832948</v>
      </c>
      <c r="K59" s="140">
        <f t="shared" si="4"/>
        <v>3.5016427104722789E-2</v>
      </c>
      <c r="L59" s="172">
        <v>25461.505000000001</v>
      </c>
      <c r="M59" s="140">
        <f t="shared" si="5"/>
        <v>0.25881404103960071</v>
      </c>
      <c r="N59" s="140">
        <v>0</v>
      </c>
      <c r="O59" s="241" t="s">
        <v>106</v>
      </c>
      <c r="S59" s="228"/>
      <c r="U59" s="228"/>
      <c r="V59" s="228"/>
    </row>
    <row r="60" spans="2:22">
      <c r="B60" s="121" t="s">
        <v>534</v>
      </c>
      <c r="C60" s="121" t="s">
        <v>533</v>
      </c>
      <c r="D60" s="99">
        <v>1.61</v>
      </c>
      <c r="E60" s="290">
        <v>9912</v>
      </c>
      <c r="F60" s="295">
        <v>1716.7</v>
      </c>
      <c r="G60" s="291">
        <f t="shared" si="1"/>
        <v>11628.7</v>
      </c>
      <c r="H60" s="294">
        <v>2038.3</v>
      </c>
      <c r="I60" s="291">
        <f t="shared" si="6"/>
        <v>9590.4000000000015</v>
      </c>
      <c r="J60" s="292">
        <f t="shared" si="7"/>
        <v>0.17528184577811792</v>
      </c>
      <c r="K60" s="140">
        <f t="shared" si="4"/>
        <v>0.17319410815173528</v>
      </c>
      <c r="L60" s="172">
        <v>10344.799999999999</v>
      </c>
      <c r="M60" s="140">
        <f t="shared" si="5"/>
        <v>0.92707447219859274</v>
      </c>
      <c r="N60" s="140">
        <v>794.5</v>
      </c>
      <c r="O60" s="99">
        <f>L60/N60</f>
        <v>13.020516047828822</v>
      </c>
      <c r="S60" s="228"/>
      <c r="U60" s="228"/>
      <c r="V60" s="12"/>
    </row>
    <row r="61" spans="2:22">
      <c r="B61" s="121" t="s">
        <v>536</v>
      </c>
      <c r="C61" s="121" t="s">
        <v>535</v>
      </c>
      <c r="D61" s="99">
        <v>0.28999999999999998</v>
      </c>
      <c r="E61" s="290">
        <v>9208</v>
      </c>
      <c r="F61" s="295">
        <v>6449.326</v>
      </c>
      <c r="G61" s="291">
        <f t="shared" si="1"/>
        <v>15657.326000000001</v>
      </c>
      <c r="H61" s="294">
        <v>845.471</v>
      </c>
      <c r="I61" s="291">
        <f t="shared" si="6"/>
        <v>14811.855000000001</v>
      </c>
      <c r="J61" s="292">
        <f t="shared" si="7"/>
        <v>5.3998428595023185E-2</v>
      </c>
      <c r="K61" s="140">
        <f t="shared" si="4"/>
        <v>0.70040464813205905</v>
      </c>
      <c r="L61" s="172">
        <v>11219.46</v>
      </c>
      <c r="M61" s="140">
        <f t="shared" si="5"/>
        <v>1.320193217855405</v>
      </c>
      <c r="N61" s="140">
        <v>0</v>
      </c>
      <c r="O61" s="241" t="s">
        <v>106</v>
      </c>
      <c r="S61" s="228"/>
      <c r="U61" s="228"/>
      <c r="V61" s="12"/>
    </row>
    <row r="62" spans="2:22">
      <c r="B62" s="121" t="s">
        <v>538</v>
      </c>
      <c r="C62" s="121" t="s">
        <v>537</v>
      </c>
      <c r="D62" s="241" t="s">
        <v>106</v>
      </c>
      <c r="E62" s="290">
        <v>89.730999999999995</v>
      </c>
      <c r="F62" s="295">
        <v>2.262</v>
      </c>
      <c r="G62" s="291">
        <f t="shared" si="1"/>
        <v>91.992999999999995</v>
      </c>
      <c r="H62" s="294">
        <v>3.8719999999999999</v>
      </c>
      <c r="I62" s="291">
        <f t="shared" si="6"/>
        <v>88.120999999999995</v>
      </c>
      <c r="J62" s="292">
        <f t="shared" si="7"/>
        <v>4.209015903383953E-2</v>
      </c>
      <c r="K62" s="140">
        <f t="shared" si="4"/>
        <v>2.5208679274721112E-2</v>
      </c>
      <c r="L62" s="172">
        <v>86.153999999999996</v>
      </c>
      <c r="M62" s="140">
        <f t="shared" si="5"/>
        <v>1.0228312092299836</v>
      </c>
      <c r="N62" s="140">
        <v>0</v>
      </c>
      <c r="O62" s="241" t="s">
        <v>106</v>
      </c>
      <c r="S62" s="228"/>
      <c r="U62" s="228"/>
      <c r="V62" s="228"/>
    </row>
    <row r="63" spans="2:22" ht="12" customHeight="1">
      <c r="B63" s="121" t="s">
        <v>540</v>
      </c>
      <c r="C63" s="121" t="s">
        <v>539</v>
      </c>
      <c r="D63" s="99">
        <v>0.99</v>
      </c>
      <c r="E63" s="290">
        <v>8887</v>
      </c>
      <c r="F63" s="295">
        <v>4535.7</v>
      </c>
      <c r="G63" s="291">
        <f t="shared" si="1"/>
        <v>13422.7</v>
      </c>
      <c r="H63" s="294">
        <v>2446.6999999999998</v>
      </c>
      <c r="I63" s="291">
        <f t="shared" si="6"/>
        <v>10976</v>
      </c>
      <c r="J63" s="292">
        <f t="shared" si="7"/>
        <v>0.18228076318475417</v>
      </c>
      <c r="K63" s="140">
        <f t="shared" si="4"/>
        <v>0.51037470462473278</v>
      </c>
      <c r="L63" s="172">
        <v>7213.7</v>
      </c>
      <c r="M63" s="140">
        <f t="shared" si="5"/>
        <v>1.5215492742975172</v>
      </c>
      <c r="N63" s="140">
        <v>814.2</v>
      </c>
      <c r="O63" s="99">
        <f>L63/N63</f>
        <v>8.8598624416605247</v>
      </c>
      <c r="S63" s="228"/>
      <c r="U63" s="228"/>
      <c r="V63" s="228"/>
    </row>
    <row r="64" spans="2:22">
      <c r="B64" s="121" t="s">
        <v>542</v>
      </c>
      <c r="C64" s="121" t="s">
        <v>541</v>
      </c>
      <c r="D64" s="99">
        <v>0.56000000000000005</v>
      </c>
      <c r="E64" s="290">
        <v>8865</v>
      </c>
      <c r="F64" s="295">
        <v>95.843000000000004</v>
      </c>
      <c r="G64" s="291">
        <f t="shared" si="1"/>
        <v>8960.8430000000008</v>
      </c>
      <c r="H64" s="294">
        <v>1526.1210000000001</v>
      </c>
      <c r="I64" s="291">
        <f t="shared" si="6"/>
        <v>7434.7220000000007</v>
      </c>
      <c r="J64" s="292">
        <f t="shared" si="7"/>
        <v>0.17030998088014709</v>
      </c>
      <c r="K64" s="140">
        <f t="shared" si="4"/>
        <v>1.0811393119007333E-2</v>
      </c>
      <c r="L64" s="172">
        <v>1421.1310000000001</v>
      </c>
      <c r="M64" s="140">
        <f t="shared" si="5"/>
        <v>5.2315528969532012</v>
      </c>
      <c r="N64" s="140">
        <v>142.678</v>
      </c>
      <c r="O64" s="99">
        <f>L64/N64</f>
        <v>9.9604073508179258</v>
      </c>
      <c r="S64" s="228"/>
      <c r="U64" s="228"/>
      <c r="V64" s="12"/>
    </row>
    <row r="65" spans="2:22">
      <c r="B65" s="121" t="s">
        <v>544</v>
      </c>
      <c r="C65" s="121" t="s">
        <v>543</v>
      </c>
      <c r="D65" s="241" t="s">
        <v>106</v>
      </c>
      <c r="E65" s="290">
        <v>8513</v>
      </c>
      <c r="F65" s="295">
        <v>179.42</v>
      </c>
      <c r="G65" s="291">
        <f t="shared" si="1"/>
        <v>8692.42</v>
      </c>
      <c r="H65" s="294">
        <v>2385.482</v>
      </c>
      <c r="I65" s="291">
        <f t="shared" si="6"/>
        <v>6306.9380000000001</v>
      </c>
      <c r="J65" s="292">
        <f t="shared" si="7"/>
        <v>0.27443243653666066</v>
      </c>
      <c r="K65" s="140">
        <f t="shared" si="4"/>
        <v>2.1076001409608833E-2</v>
      </c>
      <c r="L65" s="172">
        <v>5163.1360000000004</v>
      </c>
      <c r="M65" s="140">
        <f t="shared" si="5"/>
        <v>1.2215324175074993</v>
      </c>
      <c r="N65" s="140">
        <v>0</v>
      </c>
      <c r="O65" s="241" t="s">
        <v>106</v>
      </c>
      <c r="S65" s="228"/>
      <c r="U65" s="228"/>
      <c r="V65" s="228"/>
    </row>
    <row r="66" spans="2:22">
      <c r="B66" s="121" t="s">
        <v>546</v>
      </c>
      <c r="C66" s="121" t="s">
        <v>545</v>
      </c>
      <c r="D66" s="99">
        <v>0.67</v>
      </c>
      <c r="E66" s="290">
        <v>7971</v>
      </c>
      <c r="F66" s="295">
        <v>7208.4620000000004</v>
      </c>
      <c r="G66" s="291">
        <f t="shared" si="1"/>
        <v>15179.462</v>
      </c>
      <c r="H66" s="294">
        <v>9119.3940000000002</v>
      </c>
      <c r="I66" s="291">
        <f t="shared" si="6"/>
        <v>6060.0679999999993</v>
      </c>
      <c r="J66" s="292">
        <f t="shared" si="7"/>
        <v>0.60077188506417423</v>
      </c>
      <c r="K66" s="140">
        <f t="shared" si="4"/>
        <v>0.90433596788357806</v>
      </c>
      <c r="L66" s="172">
        <v>46849.497000000003</v>
      </c>
      <c r="M66" s="140">
        <f t="shared" si="5"/>
        <v>0.12935182633871178</v>
      </c>
      <c r="N66" s="140">
        <v>4076.6010000000001</v>
      </c>
      <c r="O66" s="99">
        <f>L66/N66</f>
        <v>11.492293947825653</v>
      </c>
      <c r="S66" s="228"/>
      <c r="U66" s="228"/>
      <c r="V66" s="228"/>
    </row>
    <row r="67" spans="2:22">
      <c r="B67" s="121" t="s">
        <v>548</v>
      </c>
      <c r="C67" s="121" t="s">
        <v>547</v>
      </c>
      <c r="D67" s="99">
        <v>0.79</v>
      </c>
      <c r="E67" s="290">
        <v>7831</v>
      </c>
      <c r="F67" s="295">
        <v>6171.1279999999997</v>
      </c>
      <c r="G67" s="291">
        <f t="shared" si="1"/>
        <v>14002.128000000001</v>
      </c>
      <c r="H67" s="294">
        <v>1728.2190000000001</v>
      </c>
      <c r="I67" s="291">
        <f t="shared" si="6"/>
        <v>12273.909</v>
      </c>
      <c r="J67" s="292">
        <f t="shared" si="7"/>
        <v>0.12342545361676453</v>
      </c>
      <c r="K67" s="140">
        <f t="shared" si="4"/>
        <v>0.7880383092836164</v>
      </c>
      <c r="L67" s="172">
        <v>8882.991</v>
      </c>
      <c r="M67" s="140">
        <f t="shared" si="5"/>
        <v>1.3817315586608159</v>
      </c>
      <c r="N67" s="140">
        <v>0</v>
      </c>
      <c r="O67" s="241" t="s">
        <v>106</v>
      </c>
      <c r="S67" s="228"/>
      <c r="U67" s="228"/>
      <c r="V67" s="228"/>
    </row>
    <row r="68" spans="2:22">
      <c r="B68" s="121" t="s">
        <v>550</v>
      </c>
      <c r="C68" s="121" t="s">
        <v>549</v>
      </c>
      <c r="D68" s="241" t="s">
        <v>106</v>
      </c>
      <c r="E68" s="290">
        <v>6472</v>
      </c>
      <c r="F68" s="295">
        <v>20200</v>
      </c>
      <c r="G68" s="291">
        <f t="shared" si="1"/>
        <v>26672</v>
      </c>
      <c r="H68" s="294">
        <v>65520</v>
      </c>
      <c r="I68" s="291">
        <f t="shared" si="6"/>
        <v>-38848</v>
      </c>
      <c r="J68" s="292">
        <f t="shared" si="7"/>
        <v>2.4565086982603481</v>
      </c>
      <c r="K68" s="140">
        <f t="shared" si="4"/>
        <v>3.1211372064276883</v>
      </c>
      <c r="L68" s="172">
        <v>178888</v>
      </c>
      <c r="M68" s="140">
        <f t="shared" si="5"/>
        <v>-0.21716381199409687</v>
      </c>
      <c r="N68" s="140">
        <v>0</v>
      </c>
      <c r="O68" s="241" t="s">
        <v>106</v>
      </c>
      <c r="S68" s="228"/>
      <c r="U68" s="228"/>
      <c r="V68" s="228"/>
    </row>
    <row r="69" spans="2:22">
      <c r="B69" s="121" t="s">
        <v>552</v>
      </c>
      <c r="C69" s="121" t="s">
        <v>551</v>
      </c>
      <c r="D69" s="99">
        <v>0.31</v>
      </c>
      <c r="E69" s="290">
        <v>7541</v>
      </c>
      <c r="F69" s="295">
        <v>83.616</v>
      </c>
      <c r="G69" s="291">
        <f t="shared" si="1"/>
        <v>7624.616</v>
      </c>
      <c r="H69" s="294">
        <v>528.88199999999995</v>
      </c>
      <c r="I69" s="291">
        <f t="shared" si="6"/>
        <v>7095.7340000000004</v>
      </c>
      <c r="J69" s="292">
        <f t="shared" si="7"/>
        <v>6.9365067040753264E-2</v>
      </c>
      <c r="K69" s="140">
        <f t="shared" si="4"/>
        <v>1.1088184590903064E-2</v>
      </c>
      <c r="L69" s="172">
        <v>6896.8329999999996</v>
      </c>
      <c r="M69" s="140">
        <f t="shared" si="5"/>
        <v>1.0288394687822657</v>
      </c>
      <c r="N69" s="140">
        <v>69.712999999999994</v>
      </c>
      <c r="O69" s="99">
        <f>L69/N69</f>
        <v>98.931806119375153</v>
      </c>
      <c r="S69" s="228"/>
      <c r="U69" s="228"/>
      <c r="V69" s="228"/>
    </row>
    <row r="70" spans="2:22">
      <c r="B70" s="121" t="s">
        <v>554</v>
      </c>
      <c r="C70" s="121" t="s">
        <v>553</v>
      </c>
      <c r="D70" s="99">
        <v>0.85</v>
      </c>
      <c r="E70" s="290">
        <v>7513</v>
      </c>
      <c r="F70" s="295">
        <v>105.09099999999999</v>
      </c>
      <c r="G70" s="291">
        <f t="shared" si="1"/>
        <v>7618.0910000000003</v>
      </c>
      <c r="H70" s="294">
        <v>740.26800000000003</v>
      </c>
      <c r="I70" s="291">
        <f t="shared" si="6"/>
        <v>6877.8230000000003</v>
      </c>
      <c r="J70" s="292">
        <f t="shared" si="7"/>
        <v>9.7172375599083816E-2</v>
      </c>
      <c r="K70" s="140">
        <f t="shared" si="4"/>
        <v>1.3987887661386929E-2</v>
      </c>
      <c r="L70" s="172">
        <v>5644.973</v>
      </c>
      <c r="M70" s="140">
        <f t="shared" si="5"/>
        <v>1.2183978559330577</v>
      </c>
      <c r="N70" s="140">
        <v>0</v>
      </c>
      <c r="O70" s="241" t="s">
        <v>106</v>
      </c>
    </row>
    <row r="71" spans="2:22">
      <c r="B71" s="121" t="s">
        <v>756</v>
      </c>
      <c r="C71" s="121" t="s">
        <v>555</v>
      </c>
      <c r="D71" s="241" t="s">
        <v>106</v>
      </c>
      <c r="E71" s="290">
        <v>7210</v>
      </c>
      <c r="F71" s="242" t="s">
        <v>106</v>
      </c>
      <c r="G71" s="240" t="s">
        <v>106</v>
      </c>
      <c r="H71" s="242" t="s">
        <v>106</v>
      </c>
      <c r="I71" s="242" t="s">
        <v>106</v>
      </c>
      <c r="J71" s="240" t="s">
        <v>106</v>
      </c>
      <c r="K71" s="240" t="s">
        <v>106</v>
      </c>
      <c r="L71" s="240" t="s">
        <v>106</v>
      </c>
      <c r="M71" s="241" t="s">
        <v>106</v>
      </c>
      <c r="N71" s="240" t="s">
        <v>106</v>
      </c>
      <c r="O71" s="241" t="s">
        <v>106</v>
      </c>
    </row>
    <row r="72" spans="2:22">
      <c r="B72" s="121" t="s">
        <v>557</v>
      </c>
      <c r="C72" s="121" t="s">
        <v>556</v>
      </c>
      <c r="D72" s="241" t="s">
        <v>106</v>
      </c>
      <c r="E72" s="240" t="s">
        <v>106</v>
      </c>
      <c r="F72" s="242" t="s">
        <v>106</v>
      </c>
      <c r="G72" s="240" t="s">
        <v>106</v>
      </c>
      <c r="H72" s="242" t="s">
        <v>106</v>
      </c>
      <c r="I72" s="242" t="s">
        <v>106</v>
      </c>
      <c r="J72" s="240" t="s">
        <v>106</v>
      </c>
      <c r="K72" s="240" t="s">
        <v>106</v>
      </c>
      <c r="L72" s="240" t="s">
        <v>106</v>
      </c>
      <c r="M72" s="241" t="s">
        <v>106</v>
      </c>
      <c r="N72" s="240" t="s">
        <v>106</v>
      </c>
      <c r="O72" s="241" t="s">
        <v>106</v>
      </c>
      <c r="S72" s="228"/>
      <c r="U72" s="228"/>
      <c r="V72" s="12"/>
    </row>
    <row r="73" spans="2:22">
      <c r="B73" s="121" t="s">
        <v>559</v>
      </c>
      <c r="C73" s="121" t="s">
        <v>558</v>
      </c>
      <c r="D73" s="99">
        <v>0.21</v>
      </c>
      <c r="E73" s="290">
        <v>7088</v>
      </c>
      <c r="F73" s="295">
        <v>26</v>
      </c>
      <c r="G73" s="291">
        <f t="shared" ref="G73:G134" si="8">E73+F73</f>
        <v>7114</v>
      </c>
      <c r="H73" s="294">
        <v>13509</v>
      </c>
      <c r="I73" s="291">
        <f t="shared" si="6"/>
        <v>-6395</v>
      </c>
      <c r="J73" s="292">
        <f t="shared" si="7"/>
        <v>1.8989316840033736</v>
      </c>
      <c r="K73" s="140">
        <f t="shared" ref="K73:K134" si="9">F73/E73</f>
        <v>3.6681715575620768E-3</v>
      </c>
      <c r="L73" s="172">
        <v>32594</v>
      </c>
      <c r="M73" s="140">
        <f t="shared" ref="M73:M134" si="10">I73/L73</f>
        <v>-0.19620175492421918</v>
      </c>
      <c r="N73" s="140">
        <v>0</v>
      </c>
      <c r="O73" s="241" t="s">
        <v>106</v>
      </c>
      <c r="S73" s="228"/>
      <c r="U73" s="228"/>
      <c r="V73" s="12"/>
    </row>
    <row r="74" spans="2:22">
      <c r="B74" s="121" t="s">
        <v>561</v>
      </c>
      <c r="C74" s="121" t="s">
        <v>560</v>
      </c>
      <c r="D74" s="99">
        <v>0.6</v>
      </c>
      <c r="E74" s="290">
        <v>6786</v>
      </c>
      <c r="F74" s="295">
        <v>1224.8779999999999</v>
      </c>
      <c r="G74" s="291">
        <f t="shared" si="8"/>
        <v>8010.8779999999997</v>
      </c>
      <c r="H74" s="294">
        <v>941.69600000000003</v>
      </c>
      <c r="I74" s="291">
        <f t="shared" si="6"/>
        <v>7069.1819999999998</v>
      </c>
      <c r="J74" s="292">
        <f t="shared" si="7"/>
        <v>0.11755215845254416</v>
      </c>
      <c r="K74" s="140">
        <f t="shared" si="9"/>
        <v>0.18050073681108164</v>
      </c>
      <c r="L74" s="172">
        <v>13880.087</v>
      </c>
      <c r="M74" s="140">
        <f t="shared" si="10"/>
        <v>0.5093038681962152</v>
      </c>
      <c r="N74" s="140">
        <v>0</v>
      </c>
      <c r="O74" s="241" t="s">
        <v>106</v>
      </c>
      <c r="S74" s="228"/>
      <c r="U74" s="228"/>
      <c r="V74" s="12"/>
    </row>
    <row r="75" spans="2:22">
      <c r="B75" s="121" t="s">
        <v>563</v>
      </c>
      <c r="C75" s="121" t="s">
        <v>562</v>
      </c>
      <c r="D75" s="99">
        <v>1.59</v>
      </c>
      <c r="E75" s="290">
        <v>6352</v>
      </c>
      <c r="F75" s="295">
        <v>1000</v>
      </c>
      <c r="G75" s="291">
        <f t="shared" si="8"/>
        <v>7352</v>
      </c>
      <c r="H75" s="294">
        <v>1070.2950000000001</v>
      </c>
      <c r="I75" s="291">
        <f t="shared" si="6"/>
        <v>6281.7049999999999</v>
      </c>
      <c r="J75" s="292">
        <f t="shared" si="7"/>
        <v>0.14557875408052232</v>
      </c>
      <c r="K75" s="140">
        <f t="shared" si="9"/>
        <v>0.15743073047858941</v>
      </c>
      <c r="L75" s="172">
        <v>16844.828000000001</v>
      </c>
      <c r="M75" s="140">
        <f t="shared" si="10"/>
        <v>0.37291594785058058</v>
      </c>
      <c r="N75" s="140">
        <v>0</v>
      </c>
      <c r="O75" s="241" t="s">
        <v>106</v>
      </c>
      <c r="S75" s="228"/>
      <c r="U75" s="228"/>
      <c r="V75" s="228"/>
    </row>
    <row r="76" spans="2:22">
      <c r="B76" s="121" t="s">
        <v>757</v>
      </c>
      <c r="C76" s="121" t="s">
        <v>564</v>
      </c>
      <c r="D76" s="99">
        <v>0.67</v>
      </c>
      <c r="E76" s="290">
        <v>6299</v>
      </c>
      <c r="F76" s="295">
        <v>78.418999999999997</v>
      </c>
      <c r="G76" s="291">
        <f t="shared" si="8"/>
        <v>6377.4189999999999</v>
      </c>
      <c r="H76" s="294">
        <v>1159.9469999999999</v>
      </c>
      <c r="I76" s="291">
        <f t="shared" si="6"/>
        <v>5217.4719999999998</v>
      </c>
      <c r="J76" s="292">
        <f t="shared" si="7"/>
        <v>0.18188345473301973</v>
      </c>
      <c r="K76" s="140">
        <f t="shared" si="9"/>
        <v>1.2449436418479122E-2</v>
      </c>
      <c r="L76" s="172">
        <v>3752.2</v>
      </c>
      <c r="M76" s="140">
        <f t="shared" si="10"/>
        <v>1.3905101007408986</v>
      </c>
      <c r="N76" s="140">
        <v>820.73400000000004</v>
      </c>
      <c r="O76" s="99">
        <f>L76/N76</f>
        <v>4.5717613745744661</v>
      </c>
      <c r="S76" s="228"/>
      <c r="U76" s="228"/>
      <c r="V76" s="12"/>
    </row>
    <row r="77" spans="2:22">
      <c r="B77" s="121" t="s">
        <v>566</v>
      </c>
      <c r="C77" s="121" t="s">
        <v>565</v>
      </c>
      <c r="D77" s="99">
        <v>2.36</v>
      </c>
      <c r="E77" s="290">
        <v>54.61</v>
      </c>
      <c r="F77" s="295">
        <v>0.32700000000000001</v>
      </c>
      <c r="G77" s="291">
        <f t="shared" si="8"/>
        <v>54.936999999999998</v>
      </c>
      <c r="H77" s="294">
        <v>7.048</v>
      </c>
      <c r="I77" s="291">
        <f t="shared" si="6"/>
        <v>47.888999999999996</v>
      </c>
      <c r="J77" s="292">
        <f t="shared" si="7"/>
        <v>0.12829240766696398</v>
      </c>
      <c r="K77" s="140">
        <f t="shared" si="9"/>
        <v>5.9879143014099981E-3</v>
      </c>
      <c r="L77" s="172">
        <v>38.231000000000002</v>
      </c>
      <c r="M77" s="140">
        <f t="shared" si="10"/>
        <v>1.2526222175721271</v>
      </c>
      <c r="N77" s="140">
        <v>0</v>
      </c>
      <c r="O77" s="241" t="s">
        <v>106</v>
      </c>
      <c r="S77" s="228"/>
      <c r="U77" s="228"/>
      <c r="V77" s="228"/>
    </row>
    <row r="78" spans="2:22">
      <c r="B78" s="121" t="s">
        <v>568</v>
      </c>
      <c r="C78" s="121" t="s">
        <v>567</v>
      </c>
      <c r="D78" s="99">
        <v>0.56000000000000005</v>
      </c>
      <c r="E78" s="290">
        <v>5440</v>
      </c>
      <c r="F78" s="295">
        <v>815</v>
      </c>
      <c r="G78" s="291">
        <f t="shared" si="8"/>
        <v>6255</v>
      </c>
      <c r="H78" s="294">
        <v>2323</v>
      </c>
      <c r="I78" s="291">
        <f t="shared" si="6"/>
        <v>3932</v>
      </c>
      <c r="J78" s="292">
        <f t="shared" si="7"/>
        <v>0.37138289368505195</v>
      </c>
      <c r="K78" s="140">
        <f t="shared" si="9"/>
        <v>0.14981617647058823</v>
      </c>
      <c r="L78" s="172">
        <v>13167</v>
      </c>
      <c r="M78" s="140">
        <f t="shared" si="10"/>
        <v>0.29862535125693018</v>
      </c>
      <c r="N78" s="140">
        <v>1398</v>
      </c>
      <c r="O78" s="99">
        <f>L78/N78</f>
        <v>9.4184549356223179</v>
      </c>
      <c r="S78" s="228"/>
      <c r="U78" s="228"/>
      <c r="V78" s="228"/>
    </row>
    <row r="79" spans="2:22">
      <c r="B79" s="121" t="s">
        <v>570</v>
      </c>
      <c r="C79" s="121" t="s">
        <v>569</v>
      </c>
      <c r="D79" s="99">
        <v>0.49</v>
      </c>
      <c r="E79" s="290">
        <v>5375</v>
      </c>
      <c r="F79" s="295">
        <v>676.05899999999997</v>
      </c>
      <c r="G79" s="291">
        <f t="shared" si="8"/>
        <v>6051.0590000000002</v>
      </c>
      <c r="H79" s="294">
        <v>479.90899999999999</v>
      </c>
      <c r="I79" s="291">
        <f t="shared" si="6"/>
        <v>5571.1500000000005</v>
      </c>
      <c r="J79" s="292">
        <f t="shared" si="7"/>
        <v>7.9309919139773713E-2</v>
      </c>
      <c r="K79" s="140">
        <f t="shared" si="9"/>
        <v>0.12577841860465117</v>
      </c>
      <c r="L79" s="172">
        <v>5040.1549999999997</v>
      </c>
      <c r="M79" s="140">
        <f t="shared" si="10"/>
        <v>1.1053529107735776</v>
      </c>
      <c r="N79" s="140">
        <v>2091.63</v>
      </c>
      <c r="O79" s="99">
        <f>L79/N79</f>
        <v>2.4096780979427526</v>
      </c>
      <c r="S79" s="228"/>
      <c r="U79" s="228"/>
      <c r="V79" s="228"/>
    </row>
    <row r="80" spans="2:22">
      <c r="B80" s="121" t="s">
        <v>436</v>
      </c>
      <c r="C80" s="121" t="s">
        <v>571</v>
      </c>
      <c r="D80" s="99">
        <v>1.56</v>
      </c>
      <c r="E80" s="290">
        <v>5135</v>
      </c>
      <c r="F80" s="295">
        <v>13</v>
      </c>
      <c r="G80" s="291">
        <f t="shared" si="8"/>
        <v>5148</v>
      </c>
      <c r="H80" s="294">
        <v>719</v>
      </c>
      <c r="I80" s="291">
        <f t="shared" si="6"/>
        <v>4429</v>
      </c>
      <c r="J80" s="292">
        <f t="shared" si="7"/>
        <v>0.13966588966588966</v>
      </c>
      <c r="K80" s="140">
        <f t="shared" si="9"/>
        <v>2.5316455696202532E-3</v>
      </c>
      <c r="L80" s="172">
        <v>571</v>
      </c>
      <c r="M80" s="140">
        <f t="shared" si="10"/>
        <v>7.7565674255691768</v>
      </c>
      <c r="N80" s="140">
        <v>254</v>
      </c>
      <c r="O80" s="99">
        <f>L80/N80</f>
        <v>2.2480314960629921</v>
      </c>
      <c r="S80" s="228"/>
      <c r="U80" s="228"/>
      <c r="V80" s="228"/>
    </row>
    <row r="81" spans="2:22">
      <c r="B81" s="121" t="s">
        <v>572</v>
      </c>
      <c r="C81" s="121" t="s">
        <v>391</v>
      </c>
      <c r="D81" s="241" t="s">
        <v>106</v>
      </c>
      <c r="E81" s="290">
        <v>4566</v>
      </c>
      <c r="F81" s="295">
        <v>19.824000000000002</v>
      </c>
      <c r="G81" s="291">
        <f t="shared" si="8"/>
        <v>4585.8239999999996</v>
      </c>
      <c r="H81" s="294">
        <v>228.19900000000001</v>
      </c>
      <c r="I81" s="291">
        <f t="shared" si="6"/>
        <v>4357.625</v>
      </c>
      <c r="J81" s="292">
        <f t="shared" si="7"/>
        <v>4.9761831243414496E-2</v>
      </c>
      <c r="K81" s="140">
        <f t="shared" si="9"/>
        <v>4.3416557161629439E-3</v>
      </c>
      <c r="L81" s="172">
        <v>409.04899999999998</v>
      </c>
      <c r="M81" s="140">
        <f t="shared" si="10"/>
        <v>10.653063569401221</v>
      </c>
      <c r="N81" s="140">
        <v>206.1</v>
      </c>
      <c r="O81" s="99">
        <f>L81/N81</f>
        <v>1.9847113051916545</v>
      </c>
      <c r="S81" s="228"/>
      <c r="U81" s="228"/>
      <c r="V81" s="228"/>
    </row>
    <row r="82" spans="2:22">
      <c r="B82" s="121" t="s">
        <v>758</v>
      </c>
      <c r="C82" s="121" t="s">
        <v>573</v>
      </c>
      <c r="D82" s="99">
        <v>0.51</v>
      </c>
      <c r="E82" s="290">
        <v>4164</v>
      </c>
      <c r="F82" s="295">
        <v>522.03</v>
      </c>
      <c r="G82" s="291">
        <f t="shared" si="8"/>
        <v>4686.03</v>
      </c>
      <c r="H82" s="294">
        <v>799.55200000000002</v>
      </c>
      <c r="I82" s="291">
        <f t="shared" si="6"/>
        <v>3886.4779999999996</v>
      </c>
      <c r="J82" s="292">
        <f t="shared" si="7"/>
        <v>0.17062460120827225</v>
      </c>
      <c r="K82" s="140">
        <f t="shared" si="9"/>
        <v>0.12536743515850143</v>
      </c>
      <c r="L82" s="172">
        <v>3534.181</v>
      </c>
      <c r="M82" s="140">
        <f t="shared" si="10"/>
        <v>1.0996827836491678</v>
      </c>
      <c r="N82" s="140">
        <v>0</v>
      </c>
      <c r="O82" s="241" t="s">
        <v>106</v>
      </c>
      <c r="S82" s="228"/>
      <c r="U82" s="228"/>
      <c r="V82" s="12"/>
    </row>
    <row r="83" spans="2:22">
      <c r="B83" s="121" t="s">
        <v>575</v>
      </c>
      <c r="C83" s="121" t="s">
        <v>574</v>
      </c>
      <c r="D83" s="241" t="s">
        <v>106</v>
      </c>
      <c r="E83" s="290">
        <v>4056</v>
      </c>
      <c r="F83" s="295">
        <v>1448.752</v>
      </c>
      <c r="G83" s="291">
        <f t="shared" si="8"/>
        <v>5504.7520000000004</v>
      </c>
      <c r="H83" s="294">
        <v>1139.598</v>
      </c>
      <c r="I83" s="291">
        <f t="shared" si="6"/>
        <v>4365.1540000000005</v>
      </c>
      <c r="J83" s="292">
        <f t="shared" si="7"/>
        <v>0.20702077041799519</v>
      </c>
      <c r="K83" s="140">
        <f t="shared" si="9"/>
        <v>0.35718737672583828</v>
      </c>
      <c r="L83" s="172">
        <v>3390.3389999999999</v>
      </c>
      <c r="M83" s="140">
        <f t="shared" si="10"/>
        <v>1.2875272944681935</v>
      </c>
      <c r="N83" s="140">
        <v>0</v>
      </c>
      <c r="O83" s="241" t="s">
        <v>106</v>
      </c>
      <c r="S83" s="228"/>
      <c r="U83" s="228"/>
      <c r="V83" s="228"/>
    </row>
    <row r="84" spans="2:22">
      <c r="B84" s="121" t="s">
        <v>577</v>
      </c>
      <c r="C84" s="121" t="s">
        <v>576</v>
      </c>
      <c r="D84" s="99">
        <v>3.46</v>
      </c>
      <c r="E84" s="290">
        <v>4011.9999999999995</v>
      </c>
      <c r="F84" s="295">
        <v>48.536000000000001</v>
      </c>
      <c r="G84" s="291">
        <f t="shared" si="8"/>
        <v>4060.5359999999996</v>
      </c>
      <c r="H84" s="294">
        <v>126.65900000000001</v>
      </c>
      <c r="I84" s="291">
        <f t="shared" si="6"/>
        <v>3933.8769999999995</v>
      </c>
      <c r="J84" s="292">
        <f t="shared" si="7"/>
        <v>3.1192679981165053E-2</v>
      </c>
      <c r="K84" s="140">
        <f t="shared" si="9"/>
        <v>1.2097706879361916E-2</v>
      </c>
      <c r="L84" s="172">
        <v>478.25700000000001</v>
      </c>
      <c r="M84" s="140">
        <f t="shared" si="10"/>
        <v>8.2254457331518402</v>
      </c>
      <c r="N84" s="140">
        <v>76.224999999999994</v>
      </c>
      <c r="O84" s="99">
        <f>L84/N84</f>
        <v>6.274280091833389</v>
      </c>
    </row>
    <row r="85" spans="2:22">
      <c r="B85" s="121" t="s">
        <v>759</v>
      </c>
      <c r="C85" s="121" t="s">
        <v>578</v>
      </c>
      <c r="D85" s="241" t="s">
        <v>106</v>
      </c>
      <c r="E85" s="290">
        <v>37.957999999999998</v>
      </c>
      <c r="F85" s="242" t="s">
        <v>106</v>
      </c>
      <c r="G85" s="240" t="s">
        <v>106</v>
      </c>
      <c r="H85" s="242" t="s">
        <v>106</v>
      </c>
      <c r="I85" s="242" t="s">
        <v>106</v>
      </c>
      <c r="J85" s="240" t="s">
        <v>106</v>
      </c>
      <c r="K85" s="240" t="s">
        <v>106</v>
      </c>
      <c r="L85" s="240" t="s">
        <v>106</v>
      </c>
      <c r="M85" s="241" t="s">
        <v>106</v>
      </c>
      <c r="N85" s="240" t="s">
        <v>106</v>
      </c>
      <c r="O85" s="241" t="s">
        <v>106</v>
      </c>
      <c r="S85" s="228"/>
      <c r="U85" s="228"/>
      <c r="V85" s="12"/>
    </row>
    <row r="86" spans="2:22">
      <c r="B86" s="121" t="s">
        <v>580</v>
      </c>
      <c r="C86" s="121" t="s">
        <v>579</v>
      </c>
      <c r="D86" s="99">
        <v>0.84</v>
      </c>
      <c r="E86" s="290">
        <v>3495</v>
      </c>
      <c r="F86" s="295">
        <v>558.44799999999998</v>
      </c>
      <c r="G86" s="291">
        <f t="shared" si="8"/>
        <v>4053.4479999999999</v>
      </c>
      <c r="H86" s="294">
        <v>2953.931</v>
      </c>
      <c r="I86" s="291">
        <f t="shared" si="6"/>
        <v>1099.5169999999998</v>
      </c>
      <c r="J86" s="292">
        <f t="shared" si="7"/>
        <v>0.72874525589078731</v>
      </c>
      <c r="K86" s="140">
        <f t="shared" si="9"/>
        <v>0.15978483547925607</v>
      </c>
      <c r="L86" s="172">
        <v>2408.8939999999998</v>
      </c>
      <c r="M86" s="140">
        <f t="shared" si="10"/>
        <v>0.45644059057808267</v>
      </c>
      <c r="N86" s="140">
        <v>0</v>
      </c>
      <c r="O86" s="241" t="s">
        <v>106</v>
      </c>
      <c r="S86" s="228"/>
      <c r="U86" s="228"/>
      <c r="V86" s="12"/>
    </row>
    <row r="87" spans="2:22">
      <c r="B87" s="121" t="s">
        <v>582</v>
      </c>
      <c r="C87" s="121" t="s">
        <v>581</v>
      </c>
      <c r="D87" s="99">
        <v>0.5</v>
      </c>
      <c r="E87" s="290">
        <v>3210</v>
      </c>
      <c r="F87" s="295">
        <v>650.65300000000002</v>
      </c>
      <c r="G87" s="291">
        <f t="shared" si="8"/>
        <v>3860.6530000000002</v>
      </c>
      <c r="H87" s="294">
        <v>649.43899999999996</v>
      </c>
      <c r="I87" s="291">
        <f t="shared" si="6"/>
        <v>3211.2140000000004</v>
      </c>
      <c r="J87" s="292">
        <f t="shared" si="7"/>
        <v>0.16821998765493815</v>
      </c>
      <c r="K87" s="140">
        <f t="shared" si="9"/>
        <v>0.2026956386292835</v>
      </c>
      <c r="L87" s="172">
        <v>2135.451</v>
      </c>
      <c r="M87" s="140">
        <f t="shared" si="10"/>
        <v>1.5037638419237904</v>
      </c>
      <c r="N87" s="140">
        <v>0</v>
      </c>
      <c r="O87" s="241" t="s">
        <v>106</v>
      </c>
      <c r="S87" s="228"/>
      <c r="U87" s="228"/>
      <c r="V87" s="12"/>
    </row>
    <row r="88" spans="2:22">
      <c r="B88" s="121" t="s">
        <v>584</v>
      </c>
      <c r="C88" s="121" t="s">
        <v>583</v>
      </c>
      <c r="D88" s="99">
        <v>1.1499999999999999</v>
      </c>
      <c r="E88" s="290">
        <v>3056</v>
      </c>
      <c r="F88" s="295">
        <v>1190.5419999999999</v>
      </c>
      <c r="G88" s="291">
        <f t="shared" si="8"/>
        <v>4246.5419999999995</v>
      </c>
      <c r="H88" s="294">
        <v>1792.502</v>
      </c>
      <c r="I88" s="291">
        <f t="shared" si="6"/>
        <v>2454.0399999999995</v>
      </c>
      <c r="J88" s="292">
        <f t="shared" si="7"/>
        <v>0.42210862391093745</v>
      </c>
      <c r="K88" s="140">
        <f t="shared" si="9"/>
        <v>0.38957526178010471</v>
      </c>
      <c r="L88" s="172">
        <v>31759.478999999999</v>
      </c>
      <c r="M88" s="140">
        <f t="shared" si="10"/>
        <v>7.7269529515896648E-2</v>
      </c>
      <c r="N88" s="140">
        <v>0</v>
      </c>
      <c r="O88" s="241" t="s">
        <v>106</v>
      </c>
      <c r="S88" s="228"/>
      <c r="V88" s="12"/>
    </row>
    <row r="89" spans="2:22">
      <c r="B89" s="121" t="s">
        <v>586</v>
      </c>
      <c r="C89" s="121" t="s">
        <v>585</v>
      </c>
      <c r="D89" s="241" t="s">
        <v>106</v>
      </c>
      <c r="E89" s="290">
        <v>2893</v>
      </c>
      <c r="F89" s="295">
        <v>917</v>
      </c>
      <c r="G89" s="291">
        <f t="shared" si="8"/>
        <v>3810</v>
      </c>
      <c r="H89" s="294">
        <v>40.200000000000003</v>
      </c>
      <c r="I89" s="291">
        <f t="shared" si="6"/>
        <v>3769.8</v>
      </c>
      <c r="J89" s="292">
        <f t="shared" si="7"/>
        <v>1.0551181102362205E-2</v>
      </c>
      <c r="K89" s="140">
        <f t="shared" si="9"/>
        <v>0.31697200138264775</v>
      </c>
      <c r="L89" s="172">
        <v>0</v>
      </c>
      <c r="M89" s="241" t="s">
        <v>106</v>
      </c>
      <c r="N89" s="140">
        <v>0</v>
      </c>
      <c r="O89" s="241" t="s">
        <v>106</v>
      </c>
      <c r="S89" s="228"/>
      <c r="U89" s="228"/>
      <c r="V89" s="12"/>
    </row>
    <row r="90" spans="2:22">
      <c r="B90" s="121" t="s">
        <v>588</v>
      </c>
      <c r="C90" s="121" t="s">
        <v>587</v>
      </c>
      <c r="D90" s="241" t="s">
        <v>106</v>
      </c>
      <c r="E90" s="290">
        <v>2847</v>
      </c>
      <c r="F90" s="295">
        <v>645.63800000000003</v>
      </c>
      <c r="G90" s="291">
        <f t="shared" si="8"/>
        <v>3492.6379999999999</v>
      </c>
      <c r="H90" s="294">
        <v>906.22400000000005</v>
      </c>
      <c r="I90" s="291">
        <f t="shared" si="6"/>
        <v>2586.4139999999998</v>
      </c>
      <c r="J90" s="292">
        <f t="shared" si="7"/>
        <v>0.25946691297523533</v>
      </c>
      <c r="K90" s="140">
        <f t="shared" si="9"/>
        <v>0.2267783631893221</v>
      </c>
      <c r="L90" s="172">
        <v>2414.212</v>
      </c>
      <c r="M90" s="140">
        <f t="shared" si="10"/>
        <v>1.071328450028415</v>
      </c>
      <c r="N90" s="140">
        <v>0</v>
      </c>
      <c r="O90" s="241" t="s">
        <v>106</v>
      </c>
      <c r="S90" s="228"/>
      <c r="U90" s="228"/>
      <c r="V90" s="228"/>
    </row>
    <row r="91" spans="2:22">
      <c r="B91" s="121" t="s">
        <v>590</v>
      </c>
      <c r="C91" s="121" t="s">
        <v>589</v>
      </c>
      <c r="D91" s="241" t="s">
        <v>106</v>
      </c>
      <c r="E91" s="290">
        <v>2827</v>
      </c>
      <c r="F91" s="295">
        <v>328.10500000000002</v>
      </c>
      <c r="G91" s="291">
        <f t="shared" si="8"/>
        <v>3155.105</v>
      </c>
      <c r="H91" s="294">
        <v>357.322</v>
      </c>
      <c r="I91" s="291">
        <f t="shared" si="6"/>
        <v>2797.7829999999999</v>
      </c>
      <c r="J91" s="292">
        <f t="shared" si="7"/>
        <v>0.11325201538459101</v>
      </c>
      <c r="K91" s="140">
        <f t="shared" si="9"/>
        <v>0.1160611956137248</v>
      </c>
      <c r="L91" s="172">
        <v>3332.2240000000002</v>
      </c>
      <c r="M91" s="140">
        <f t="shared" si="10"/>
        <v>0.83961432364690958</v>
      </c>
      <c r="N91" s="140">
        <v>144.9</v>
      </c>
      <c r="O91" s="99">
        <f>L91/N91</f>
        <v>22.996714975845411</v>
      </c>
      <c r="U91" s="228"/>
      <c r="V91" s="12"/>
    </row>
    <row r="92" spans="2:22">
      <c r="B92" s="121" t="s">
        <v>592</v>
      </c>
      <c r="C92" s="121" t="s">
        <v>591</v>
      </c>
      <c r="D92" s="99">
        <v>0.61</v>
      </c>
      <c r="E92" s="290">
        <v>2574</v>
      </c>
      <c r="F92" s="295">
        <v>2084.94</v>
      </c>
      <c r="G92" s="291">
        <f t="shared" si="8"/>
        <v>4658.9400000000005</v>
      </c>
      <c r="H92" s="294">
        <v>1198.5</v>
      </c>
      <c r="I92" s="291">
        <f>G92-H92</f>
        <v>3460.4400000000005</v>
      </c>
      <c r="J92" s="292">
        <f>H92/G92</f>
        <v>0.25724735669487048</v>
      </c>
      <c r="K92" s="140">
        <f t="shared" si="9"/>
        <v>0.81</v>
      </c>
      <c r="L92" s="172">
        <v>5201.7240000000002</v>
      </c>
      <c r="M92" s="140">
        <f t="shared" si="10"/>
        <v>0.66524867524689901</v>
      </c>
      <c r="N92" s="140">
        <v>0</v>
      </c>
      <c r="O92" s="241" t="s">
        <v>106</v>
      </c>
      <c r="U92" s="228"/>
      <c r="V92" s="228"/>
    </row>
    <row r="93" spans="2:22">
      <c r="B93" s="121" t="s">
        <v>379</v>
      </c>
      <c r="C93" s="121" t="s">
        <v>593</v>
      </c>
      <c r="D93" s="99">
        <v>0.64</v>
      </c>
      <c r="E93" s="290">
        <v>2514</v>
      </c>
      <c r="F93" s="295">
        <v>3979.739</v>
      </c>
      <c r="G93" s="291">
        <f t="shared" si="8"/>
        <v>6493.7389999999996</v>
      </c>
      <c r="H93" s="294">
        <v>4606.5450000000001</v>
      </c>
      <c r="I93" s="291">
        <f t="shared" ref="I93:I109" si="11">G93-H93</f>
        <v>1887.1939999999995</v>
      </c>
      <c r="J93" s="292">
        <f t="shared" ref="J93:J109" si="12">H93/G93</f>
        <v>0.7093825298491363</v>
      </c>
      <c r="K93" s="140">
        <f t="shared" si="9"/>
        <v>1.5830306284805091</v>
      </c>
      <c r="L93" s="172">
        <v>0</v>
      </c>
      <c r="M93" s="241" t="s">
        <v>106</v>
      </c>
      <c r="N93" s="140">
        <v>0</v>
      </c>
      <c r="O93" s="241" t="s">
        <v>106</v>
      </c>
      <c r="U93" s="228"/>
      <c r="V93" s="12"/>
    </row>
    <row r="94" spans="2:22">
      <c r="B94" s="121" t="s">
        <v>595</v>
      </c>
      <c r="C94" s="121" t="s">
        <v>594</v>
      </c>
      <c r="D94" s="99">
        <v>0.69</v>
      </c>
      <c r="E94" s="290">
        <v>2482</v>
      </c>
      <c r="F94" s="295">
        <v>550</v>
      </c>
      <c r="G94" s="291">
        <f t="shared" si="8"/>
        <v>3032</v>
      </c>
      <c r="H94" s="294">
        <v>2892.5569999999998</v>
      </c>
      <c r="I94" s="291">
        <f t="shared" si="11"/>
        <v>139.44300000000021</v>
      </c>
      <c r="J94" s="292">
        <f t="shared" si="12"/>
        <v>0.95400956464379938</v>
      </c>
      <c r="K94" s="140">
        <f t="shared" si="9"/>
        <v>0.22159548751007252</v>
      </c>
      <c r="L94" s="172">
        <v>6001.9589999999998</v>
      </c>
      <c r="M94" s="140">
        <f t="shared" si="10"/>
        <v>2.3232914453430991E-2</v>
      </c>
      <c r="N94" s="140">
        <v>0</v>
      </c>
      <c r="O94" s="241" t="s">
        <v>106</v>
      </c>
      <c r="U94" s="228"/>
      <c r="V94" s="12"/>
    </row>
    <row r="95" spans="2:22">
      <c r="B95" s="121" t="s">
        <v>597</v>
      </c>
      <c r="C95" s="121" t="s">
        <v>596</v>
      </c>
      <c r="D95" s="99">
        <v>0.32</v>
      </c>
      <c r="E95" s="290">
        <v>2443</v>
      </c>
      <c r="F95" s="295">
        <v>1019.9450000000001</v>
      </c>
      <c r="G95" s="291">
        <f t="shared" si="8"/>
        <v>3462.9450000000002</v>
      </c>
      <c r="H95" s="294">
        <v>1351.443</v>
      </c>
      <c r="I95" s="291">
        <f t="shared" si="11"/>
        <v>2111.5020000000004</v>
      </c>
      <c r="J95" s="292">
        <f t="shared" si="12"/>
        <v>0.39025829171413345</v>
      </c>
      <c r="K95" s="140">
        <f t="shared" si="9"/>
        <v>0.41749693000409333</v>
      </c>
      <c r="L95" s="172">
        <v>15979.755999999999</v>
      </c>
      <c r="M95" s="140">
        <f t="shared" si="10"/>
        <v>0.13213606015010496</v>
      </c>
      <c r="N95" s="140">
        <v>0</v>
      </c>
      <c r="O95" s="241" t="s">
        <v>106</v>
      </c>
      <c r="S95" s="228"/>
      <c r="U95" s="228"/>
      <c r="V95" s="228"/>
    </row>
    <row r="96" spans="2:22">
      <c r="B96" s="121" t="s">
        <v>599</v>
      </c>
      <c r="C96" s="121" t="s">
        <v>598</v>
      </c>
      <c r="D96" s="99">
        <v>0.35</v>
      </c>
      <c r="E96" s="290">
        <v>2417</v>
      </c>
      <c r="F96" s="295">
        <v>104583</v>
      </c>
      <c r="G96" s="291">
        <f t="shared" si="8"/>
        <v>107000</v>
      </c>
      <c r="H96" s="294">
        <v>126066</v>
      </c>
      <c r="I96" s="291">
        <f t="shared" si="11"/>
        <v>-19066</v>
      </c>
      <c r="J96" s="292">
        <f t="shared" si="12"/>
        <v>1.1781869158878504</v>
      </c>
      <c r="K96" s="140">
        <f t="shared" si="9"/>
        <v>43.26975589573852</v>
      </c>
      <c r="L96" s="172">
        <v>249787</v>
      </c>
      <c r="M96" s="140">
        <f t="shared" si="10"/>
        <v>-7.6329032335549885E-2</v>
      </c>
      <c r="N96" s="140">
        <v>139477</v>
      </c>
      <c r="O96" s="99">
        <f>L96/N96</f>
        <v>1.7908830846662891</v>
      </c>
      <c r="S96" s="228"/>
      <c r="U96" s="228"/>
      <c r="V96" s="228"/>
    </row>
    <row r="97" spans="2:22">
      <c r="B97" s="121" t="s">
        <v>601</v>
      </c>
      <c r="C97" s="121" t="s">
        <v>600</v>
      </c>
      <c r="D97" s="241" t="s">
        <v>106</v>
      </c>
      <c r="E97" s="290">
        <v>2258</v>
      </c>
      <c r="F97" s="295">
        <v>70.784000000000006</v>
      </c>
      <c r="G97" s="291">
        <f t="shared" si="8"/>
        <v>2328.7840000000001</v>
      </c>
      <c r="H97" s="294">
        <v>557.41499999999996</v>
      </c>
      <c r="I97" s="291">
        <f t="shared" si="11"/>
        <v>1771.3690000000001</v>
      </c>
      <c r="J97" s="292">
        <f t="shared" si="12"/>
        <v>0.23935882417605064</v>
      </c>
      <c r="K97" s="140">
        <f t="shared" si="9"/>
        <v>3.1348095659876E-2</v>
      </c>
      <c r="L97" s="172">
        <v>774.63699999999994</v>
      </c>
      <c r="M97" s="140">
        <f t="shared" si="10"/>
        <v>2.2867084841028769</v>
      </c>
      <c r="N97" s="140">
        <v>175.286</v>
      </c>
      <c r="O97" s="99">
        <f>L97/N97</f>
        <v>4.4192747852081737</v>
      </c>
      <c r="S97" s="228"/>
      <c r="U97" s="228"/>
      <c r="V97" s="228"/>
    </row>
    <row r="98" spans="2:22">
      <c r="B98" s="121" t="s">
        <v>603</v>
      </c>
      <c r="C98" s="121" t="s">
        <v>602</v>
      </c>
      <c r="D98" s="99">
        <v>-0.25</v>
      </c>
      <c r="E98" s="290">
        <v>2138</v>
      </c>
      <c r="F98" s="295">
        <v>18.702000000000002</v>
      </c>
      <c r="G98" s="291">
        <f t="shared" si="8"/>
        <v>2156.7020000000002</v>
      </c>
      <c r="H98" s="294">
        <v>226.45099999999999</v>
      </c>
      <c r="I98" s="291">
        <f t="shared" si="11"/>
        <v>1930.2510000000002</v>
      </c>
      <c r="J98" s="292">
        <f t="shared" si="12"/>
        <v>0.10499874345180742</v>
      </c>
      <c r="K98" s="140">
        <f t="shared" si="9"/>
        <v>8.7474275023386346E-3</v>
      </c>
      <c r="L98" s="172">
        <v>395.14499999999998</v>
      </c>
      <c r="M98" s="140">
        <f t="shared" si="10"/>
        <v>4.8849181945867981</v>
      </c>
      <c r="N98" s="140">
        <v>104.363</v>
      </c>
      <c r="O98" s="99">
        <f>L98/N98</f>
        <v>3.7862556653220008</v>
      </c>
      <c r="S98" s="228"/>
      <c r="U98" s="228"/>
      <c r="V98" s="228"/>
    </row>
    <row r="99" spans="2:22">
      <c r="B99" s="121" t="s">
        <v>605</v>
      </c>
      <c r="C99" s="121" t="s">
        <v>604</v>
      </c>
      <c r="D99" s="241" t="s">
        <v>106</v>
      </c>
      <c r="E99" s="290">
        <v>2095</v>
      </c>
      <c r="F99" s="295">
        <v>250.08</v>
      </c>
      <c r="G99" s="291">
        <f t="shared" si="8"/>
        <v>2345.08</v>
      </c>
      <c r="H99" s="294">
        <v>80.855000000000004</v>
      </c>
      <c r="I99" s="291">
        <f t="shared" si="11"/>
        <v>2264.2249999999999</v>
      </c>
      <c r="J99" s="292">
        <f t="shared" si="12"/>
        <v>3.4478567895338326E-2</v>
      </c>
      <c r="K99" s="140">
        <f t="shared" si="9"/>
        <v>0.11936992840095466</v>
      </c>
      <c r="L99" s="172">
        <v>2523.384</v>
      </c>
      <c r="M99" s="140">
        <f t="shared" si="10"/>
        <v>0.8972970423843537</v>
      </c>
      <c r="N99" s="140">
        <v>913.22</v>
      </c>
      <c r="O99" s="99">
        <f>L99/N99</f>
        <v>2.7631720724469457</v>
      </c>
      <c r="S99" s="228"/>
      <c r="U99" s="228"/>
      <c r="V99" s="228"/>
    </row>
    <row r="100" spans="2:22">
      <c r="B100" s="121" t="s">
        <v>383</v>
      </c>
      <c r="C100" s="121" t="s">
        <v>382</v>
      </c>
      <c r="D100" s="99">
        <v>1.55</v>
      </c>
      <c r="E100" s="290">
        <v>2090</v>
      </c>
      <c r="F100" s="295">
        <v>182.00200000000001</v>
      </c>
      <c r="G100" s="291">
        <f t="shared" si="8"/>
        <v>2272.002</v>
      </c>
      <c r="H100" s="294">
        <v>1706.739</v>
      </c>
      <c r="I100" s="291">
        <f t="shared" si="11"/>
        <v>565.26299999999992</v>
      </c>
      <c r="J100" s="292">
        <f t="shared" si="12"/>
        <v>0.75120488450274259</v>
      </c>
      <c r="K100" s="140">
        <f t="shared" si="9"/>
        <v>8.7082296650717705E-2</v>
      </c>
      <c r="L100" s="172">
        <v>0</v>
      </c>
      <c r="M100" s="241" t="s">
        <v>106</v>
      </c>
      <c r="N100" s="140">
        <v>0</v>
      </c>
      <c r="O100" s="241" t="s">
        <v>106</v>
      </c>
      <c r="S100" s="228"/>
      <c r="U100" s="228"/>
      <c r="V100" s="12"/>
    </row>
    <row r="101" spans="2:22">
      <c r="B101" s="121" t="s">
        <v>607</v>
      </c>
      <c r="C101" s="121" t="s">
        <v>606</v>
      </c>
      <c r="D101" s="99">
        <v>0.81</v>
      </c>
      <c r="E101" s="290">
        <v>1817</v>
      </c>
      <c r="F101" s="295">
        <v>3387.5</v>
      </c>
      <c r="G101" s="291">
        <f t="shared" si="8"/>
        <v>5204.5</v>
      </c>
      <c r="H101" s="294">
        <v>508.29500000000002</v>
      </c>
      <c r="I101" s="291">
        <f t="shared" si="11"/>
        <v>4696.2049999999999</v>
      </c>
      <c r="J101" s="292">
        <f t="shared" si="12"/>
        <v>9.7664521087520412E-2</v>
      </c>
      <c r="K101" s="140">
        <f t="shared" si="9"/>
        <v>1.864336818932306</v>
      </c>
      <c r="L101" s="172">
        <v>6372.1559999999999</v>
      </c>
      <c r="M101" s="140">
        <f t="shared" si="10"/>
        <v>0.736988391370205</v>
      </c>
      <c r="N101" s="140">
        <v>0</v>
      </c>
      <c r="O101" s="241" t="s">
        <v>106</v>
      </c>
      <c r="S101" s="228"/>
      <c r="U101" s="228"/>
      <c r="V101" s="12"/>
    </row>
    <row r="102" spans="2:22">
      <c r="B102" s="121" t="s">
        <v>609</v>
      </c>
      <c r="C102" s="121" t="s">
        <v>608</v>
      </c>
      <c r="D102" s="99">
        <v>0.99</v>
      </c>
      <c r="E102" s="290">
        <v>18.04</v>
      </c>
      <c r="F102" s="295">
        <v>37.683999999999997</v>
      </c>
      <c r="G102" s="291">
        <f t="shared" si="8"/>
        <v>55.723999999999997</v>
      </c>
      <c r="H102" s="294">
        <v>3.903</v>
      </c>
      <c r="I102" s="291">
        <f t="shared" si="11"/>
        <v>51.820999999999998</v>
      </c>
      <c r="J102" s="292">
        <f t="shared" si="12"/>
        <v>7.0041633766420225E-2</v>
      </c>
      <c r="K102" s="140">
        <f t="shared" si="9"/>
        <v>2.0889135254988913</v>
      </c>
      <c r="L102" s="172">
        <v>149.24100000000001</v>
      </c>
      <c r="M102" s="140">
        <f t="shared" si="10"/>
        <v>0.34723031874618898</v>
      </c>
      <c r="N102" s="140">
        <v>0</v>
      </c>
      <c r="O102" s="241" t="s">
        <v>106</v>
      </c>
      <c r="S102" s="228"/>
      <c r="U102" s="228"/>
      <c r="V102" s="12"/>
    </row>
    <row r="103" spans="2:22">
      <c r="B103" s="121" t="s">
        <v>611</v>
      </c>
      <c r="C103" s="121" t="s">
        <v>610</v>
      </c>
      <c r="D103" s="99">
        <v>0.89</v>
      </c>
      <c r="E103" s="290">
        <v>1714</v>
      </c>
      <c r="F103" s="295">
        <v>209.03399999999999</v>
      </c>
      <c r="G103" s="291">
        <f t="shared" si="8"/>
        <v>1923.0340000000001</v>
      </c>
      <c r="H103" s="294">
        <v>1501.55</v>
      </c>
      <c r="I103" s="291">
        <f t="shared" si="11"/>
        <v>421.48400000000015</v>
      </c>
      <c r="J103" s="292">
        <f t="shared" si="12"/>
        <v>0.78082342797891247</v>
      </c>
      <c r="K103" s="140">
        <f t="shared" si="9"/>
        <v>0.12195682613768961</v>
      </c>
      <c r="L103" s="172">
        <v>2808.1109999999999</v>
      </c>
      <c r="M103" s="140">
        <f t="shared" si="10"/>
        <v>0.15009520635046128</v>
      </c>
      <c r="N103" s="140">
        <v>0</v>
      </c>
      <c r="O103" s="241" t="s">
        <v>106</v>
      </c>
      <c r="S103" s="228"/>
      <c r="U103" s="228"/>
      <c r="V103" s="12"/>
    </row>
    <row r="104" spans="2:22">
      <c r="B104" s="121" t="s">
        <v>390</v>
      </c>
      <c r="C104" s="121" t="s">
        <v>389</v>
      </c>
      <c r="D104" s="99">
        <v>2.99</v>
      </c>
      <c r="E104" s="290">
        <v>1760</v>
      </c>
      <c r="F104" s="295">
        <v>1107.943</v>
      </c>
      <c r="G104" s="291">
        <f t="shared" si="8"/>
        <v>2867.9430000000002</v>
      </c>
      <c r="H104" s="294">
        <v>734.221</v>
      </c>
      <c r="I104" s="291">
        <f t="shared" si="11"/>
        <v>2133.7220000000002</v>
      </c>
      <c r="J104" s="292">
        <f t="shared" si="12"/>
        <v>0.25600962083277107</v>
      </c>
      <c r="K104" s="140">
        <f t="shared" si="9"/>
        <v>0.62951306818181818</v>
      </c>
      <c r="L104" s="172">
        <v>2316.6799999999998</v>
      </c>
      <c r="M104" s="140">
        <f t="shared" si="10"/>
        <v>0.9210257782689022</v>
      </c>
      <c r="N104" s="140">
        <v>0</v>
      </c>
      <c r="O104" s="241" t="s">
        <v>106</v>
      </c>
      <c r="S104" s="228"/>
      <c r="U104" s="228"/>
      <c r="V104" s="228"/>
    </row>
    <row r="105" spans="2:22">
      <c r="B105" s="121" t="s">
        <v>613</v>
      </c>
      <c r="C105" s="121" t="s">
        <v>612</v>
      </c>
      <c r="D105" s="99">
        <v>1.19</v>
      </c>
      <c r="E105" s="290">
        <v>1571</v>
      </c>
      <c r="F105" s="295">
        <v>1127.4259999999999</v>
      </c>
      <c r="G105" s="291">
        <f t="shared" si="8"/>
        <v>2698.4259999999999</v>
      </c>
      <c r="H105" s="294">
        <v>810.23299999999995</v>
      </c>
      <c r="I105" s="291">
        <f t="shared" si="11"/>
        <v>1888.193</v>
      </c>
      <c r="J105" s="292">
        <f t="shared" si="12"/>
        <v>0.30026133753528905</v>
      </c>
      <c r="K105" s="140">
        <f t="shared" si="9"/>
        <v>0.71764863144493951</v>
      </c>
      <c r="L105" s="172">
        <v>4423.7510000000002</v>
      </c>
      <c r="M105" s="140">
        <f t="shared" si="10"/>
        <v>0.4268307596878757</v>
      </c>
      <c r="N105" s="140">
        <v>586.08600000000001</v>
      </c>
      <c r="O105" s="99">
        <f>L105/N105</f>
        <v>7.5479554195118128</v>
      </c>
      <c r="S105" s="228"/>
      <c r="U105" s="228"/>
      <c r="V105" s="12"/>
    </row>
    <row r="106" spans="2:22">
      <c r="B106" s="121" t="s">
        <v>615</v>
      </c>
      <c r="C106" s="121" t="s">
        <v>614</v>
      </c>
      <c r="D106" s="99">
        <v>1.23</v>
      </c>
      <c r="E106" s="290">
        <v>1564</v>
      </c>
      <c r="F106" s="295">
        <v>3395.9</v>
      </c>
      <c r="G106" s="291">
        <f t="shared" si="8"/>
        <v>4959.8999999999996</v>
      </c>
      <c r="H106" s="294">
        <v>273.5</v>
      </c>
      <c r="I106" s="291">
        <f t="shared" si="11"/>
        <v>4686.3999999999996</v>
      </c>
      <c r="J106" s="292">
        <f t="shared" si="12"/>
        <v>5.5142240770983293E-2</v>
      </c>
      <c r="K106" s="140">
        <f t="shared" si="9"/>
        <v>2.171291560102302</v>
      </c>
      <c r="L106" s="172">
        <v>13612.9</v>
      </c>
      <c r="M106" s="140">
        <f t="shared" si="10"/>
        <v>0.34426169295300779</v>
      </c>
      <c r="N106" s="140">
        <v>0</v>
      </c>
      <c r="O106" s="241" t="s">
        <v>106</v>
      </c>
      <c r="S106" s="228"/>
      <c r="U106" s="228"/>
      <c r="V106" s="228"/>
    </row>
    <row r="107" spans="2:22">
      <c r="B107" s="121" t="s">
        <v>617</v>
      </c>
      <c r="C107" s="121" t="s">
        <v>616</v>
      </c>
      <c r="D107" s="99">
        <v>0.64</v>
      </c>
      <c r="E107" s="290">
        <v>1471</v>
      </c>
      <c r="F107" s="295">
        <v>515.98599999999999</v>
      </c>
      <c r="G107" s="291">
        <f t="shared" si="8"/>
        <v>1986.9859999999999</v>
      </c>
      <c r="H107" s="294">
        <v>21.37</v>
      </c>
      <c r="I107" s="291">
        <f t="shared" si="11"/>
        <v>1965.616</v>
      </c>
      <c r="J107" s="292">
        <f t="shared" si="12"/>
        <v>1.0754982672248321E-2</v>
      </c>
      <c r="K107" s="140">
        <f t="shared" si="9"/>
        <v>0.35077226376614545</v>
      </c>
      <c r="L107" s="172">
        <v>2038.3420000000001</v>
      </c>
      <c r="M107" s="140">
        <f t="shared" si="10"/>
        <v>0.9643210020693288</v>
      </c>
      <c r="N107" s="140">
        <v>91.322000000000003</v>
      </c>
      <c r="O107" s="99">
        <f>L107/N107</f>
        <v>22.320382821225991</v>
      </c>
      <c r="U107" s="228"/>
      <c r="V107" s="12"/>
    </row>
    <row r="108" spans="2:22">
      <c r="B108" s="121" t="s">
        <v>619</v>
      </c>
      <c r="C108" s="121" t="s">
        <v>618</v>
      </c>
      <c r="D108" s="99">
        <v>1.47</v>
      </c>
      <c r="E108" s="290">
        <v>1226</v>
      </c>
      <c r="F108" s="295">
        <v>0</v>
      </c>
      <c r="G108" s="291">
        <f t="shared" si="8"/>
        <v>1226</v>
      </c>
      <c r="H108" s="294">
        <v>395.73200000000003</v>
      </c>
      <c r="I108" s="291">
        <f t="shared" si="11"/>
        <v>830.26800000000003</v>
      </c>
      <c r="J108" s="292">
        <f t="shared" si="12"/>
        <v>0.32278303425774879</v>
      </c>
      <c r="K108" s="140">
        <f t="shared" si="9"/>
        <v>0</v>
      </c>
      <c r="L108" s="172">
        <v>1222.462</v>
      </c>
      <c r="M108" s="140">
        <f t="shared" si="10"/>
        <v>0.67917693965129389</v>
      </c>
      <c r="N108" s="140">
        <v>0</v>
      </c>
      <c r="O108" s="241" t="s">
        <v>106</v>
      </c>
      <c r="S108" s="228"/>
      <c r="U108" s="228"/>
      <c r="V108" s="228"/>
    </row>
    <row r="109" spans="2:22">
      <c r="B109" s="121" t="s">
        <v>760</v>
      </c>
      <c r="C109" s="121" t="s">
        <v>620</v>
      </c>
      <c r="D109" s="99">
        <v>1.18</v>
      </c>
      <c r="E109" s="290">
        <v>1164</v>
      </c>
      <c r="F109" s="295">
        <v>537.35299999999995</v>
      </c>
      <c r="G109" s="291">
        <f t="shared" si="8"/>
        <v>1701.3530000000001</v>
      </c>
      <c r="H109" s="294">
        <v>401.12400000000002</v>
      </c>
      <c r="I109" s="291">
        <f t="shared" si="11"/>
        <v>1300.229</v>
      </c>
      <c r="J109" s="292">
        <f t="shared" si="12"/>
        <v>0.235767650804977</v>
      </c>
      <c r="K109" s="140">
        <f t="shared" si="9"/>
        <v>0.46164347079037799</v>
      </c>
      <c r="L109" s="172">
        <v>2119.7159999999999</v>
      </c>
      <c r="M109" s="140">
        <f t="shared" si="10"/>
        <v>0.6133977381875686</v>
      </c>
      <c r="N109" s="140">
        <v>1123.3019999999999</v>
      </c>
      <c r="O109" s="99">
        <f>L109/N109</f>
        <v>1.8870401726338955</v>
      </c>
      <c r="U109" s="228"/>
      <c r="V109" s="228"/>
    </row>
    <row r="110" spans="2:22">
      <c r="B110" s="121" t="s">
        <v>622</v>
      </c>
      <c r="C110" s="121" t="s">
        <v>621</v>
      </c>
      <c r="D110" s="99">
        <v>1.32</v>
      </c>
      <c r="E110" s="290">
        <v>1122</v>
      </c>
      <c r="F110" s="295">
        <v>0</v>
      </c>
      <c r="G110" s="291">
        <f t="shared" si="8"/>
        <v>1122</v>
      </c>
      <c r="H110" s="294">
        <v>202.9</v>
      </c>
      <c r="I110" s="291">
        <f>G110-H110</f>
        <v>919.1</v>
      </c>
      <c r="J110" s="292">
        <f>H110/G110</f>
        <v>0.18083778966131908</v>
      </c>
      <c r="K110" s="140">
        <f t="shared" si="9"/>
        <v>0</v>
      </c>
      <c r="L110" s="172">
        <v>487.9</v>
      </c>
      <c r="M110" s="140">
        <f t="shared" si="10"/>
        <v>1.883787661406026</v>
      </c>
      <c r="N110" s="140">
        <v>182.9</v>
      </c>
      <c r="O110" s="99">
        <f>L110/N110</f>
        <v>2.6675779114270091</v>
      </c>
      <c r="S110" s="228"/>
      <c r="U110" s="228"/>
      <c r="V110" s="12"/>
    </row>
    <row r="111" spans="2:22">
      <c r="B111" s="121" t="s">
        <v>624</v>
      </c>
      <c r="C111" s="121" t="s">
        <v>623</v>
      </c>
      <c r="D111" s="99">
        <v>0.91</v>
      </c>
      <c r="E111" s="290">
        <v>1113</v>
      </c>
      <c r="F111" s="295">
        <v>1040.9010000000001</v>
      </c>
      <c r="G111" s="291">
        <f t="shared" si="8"/>
        <v>2153.9009999999998</v>
      </c>
      <c r="H111" s="294">
        <v>178.19200000000001</v>
      </c>
      <c r="I111" s="291">
        <f t="shared" ref="I111:I131" si="13">G111-H111</f>
        <v>1975.7089999999998</v>
      </c>
      <c r="J111" s="292">
        <f t="shared" ref="J111:J131" si="14">H111/G111</f>
        <v>8.2729893342358821E-2</v>
      </c>
      <c r="K111" s="140">
        <f t="shared" si="9"/>
        <v>0.93522102425876019</v>
      </c>
      <c r="L111" s="172">
        <v>341.83800000000002</v>
      </c>
      <c r="M111" s="140">
        <f t="shared" si="10"/>
        <v>5.7796646364652258</v>
      </c>
      <c r="N111" s="140">
        <v>0</v>
      </c>
      <c r="O111" s="241" t="s">
        <v>106</v>
      </c>
      <c r="S111" s="228"/>
      <c r="U111" s="228"/>
      <c r="V111" s="228"/>
    </row>
    <row r="112" spans="2:22">
      <c r="B112" s="121" t="s">
        <v>417</v>
      </c>
      <c r="C112" s="121" t="s">
        <v>416</v>
      </c>
      <c r="D112" s="99">
        <v>3.43</v>
      </c>
      <c r="E112" s="290">
        <v>877.24699999999996</v>
      </c>
      <c r="F112" s="295">
        <v>42.512</v>
      </c>
      <c r="G112" s="291">
        <f t="shared" si="8"/>
        <v>919.75900000000001</v>
      </c>
      <c r="H112" s="294">
        <v>371.26299999999998</v>
      </c>
      <c r="I112" s="291">
        <f t="shared" si="13"/>
        <v>548.49600000000009</v>
      </c>
      <c r="J112" s="292">
        <f t="shared" si="14"/>
        <v>0.40365247852970176</v>
      </c>
      <c r="K112" s="140">
        <f t="shared" si="9"/>
        <v>4.8460695790353232E-2</v>
      </c>
      <c r="L112" s="172">
        <v>1929.3340000000001</v>
      </c>
      <c r="M112" s="140">
        <f t="shared" si="10"/>
        <v>0.28429292180617771</v>
      </c>
      <c r="N112" s="140">
        <v>215.477</v>
      </c>
      <c r="O112" s="99">
        <f>L112/N112</f>
        <v>8.9537816101022383</v>
      </c>
      <c r="S112" s="228"/>
      <c r="U112" s="228"/>
      <c r="V112" s="228"/>
    </row>
    <row r="113" spans="2:22">
      <c r="B113" s="121" t="s">
        <v>626</v>
      </c>
      <c r="C113" s="121" t="s">
        <v>625</v>
      </c>
      <c r="D113" s="241" t="s">
        <v>106</v>
      </c>
      <c r="E113" s="290">
        <v>845.75599999999997</v>
      </c>
      <c r="F113" s="295">
        <v>60</v>
      </c>
      <c r="G113" s="291">
        <f t="shared" si="8"/>
        <v>905.75599999999997</v>
      </c>
      <c r="H113" s="294">
        <v>496.2</v>
      </c>
      <c r="I113" s="291">
        <f t="shared" si="13"/>
        <v>409.55599999999998</v>
      </c>
      <c r="J113" s="292">
        <f t="shared" si="14"/>
        <v>0.54782965831857589</v>
      </c>
      <c r="K113" s="140">
        <f t="shared" si="9"/>
        <v>7.0942446757693706E-2</v>
      </c>
      <c r="L113" s="172">
        <v>1891.1</v>
      </c>
      <c r="M113" s="140">
        <f t="shared" si="10"/>
        <v>0.21657025011897837</v>
      </c>
      <c r="N113" s="140">
        <v>0</v>
      </c>
      <c r="O113" s="241" t="s">
        <v>106</v>
      </c>
      <c r="S113" s="228"/>
      <c r="U113" s="228"/>
      <c r="V113" s="228"/>
    </row>
    <row r="114" spans="2:22">
      <c r="B114" s="121" t="s">
        <v>628</v>
      </c>
      <c r="C114" s="121" t="s">
        <v>627</v>
      </c>
      <c r="D114" s="99">
        <v>0.79</v>
      </c>
      <c r="E114" s="290">
        <v>779.49699999999996</v>
      </c>
      <c r="F114" s="295">
        <v>13.257999999999999</v>
      </c>
      <c r="G114" s="291">
        <f t="shared" si="8"/>
        <v>792.755</v>
      </c>
      <c r="H114" s="294">
        <v>656.12599999999998</v>
      </c>
      <c r="I114" s="291">
        <f t="shared" si="13"/>
        <v>136.62900000000002</v>
      </c>
      <c r="J114" s="292">
        <f t="shared" si="14"/>
        <v>0.82765293186419508</v>
      </c>
      <c r="K114" s="140">
        <f t="shared" si="9"/>
        <v>1.7008404137539977E-2</v>
      </c>
      <c r="L114" s="172">
        <v>318.113</v>
      </c>
      <c r="M114" s="140">
        <f t="shared" si="10"/>
        <v>0.42949832292298656</v>
      </c>
      <c r="N114" s="140">
        <v>213.911</v>
      </c>
      <c r="O114" s="99">
        <f>L114/N114</f>
        <v>1.4871278241885644</v>
      </c>
      <c r="S114" s="228"/>
      <c r="U114" s="228"/>
      <c r="V114" s="228"/>
    </row>
    <row r="115" spans="2:22">
      <c r="B115" s="121" t="s">
        <v>764</v>
      </c>
      <c r="C115" s="121" t="s">
        <v>629</v>
      </c>
      <c r="D115" s="241" t="s">
        <v>106</v>
      </c>
      <c r="E115" s="290">
        <v>758.25800000000004</v>
      </c>
      <c r="F115" s="295">
        <v>45.334000000000003</v>
      </c>
      <c r="G115" s="291">
        <f t="shared" si="8"/>
        <v>803.5920000000001</v>
      </c>
      <c r="H115" s="294">
        <v>108.73699999999999</v>
      </c>
      <c r="I115" s="291">
        <f t="shared" si="13"/>
        <v>694.85500000000013</v>
      </c>
      <c r="J115" s="292">
        <f t="shared" si="14"/>
        <v>0.13531369152505249</v>
      </c>
      <c r="K115" s="140">
        <f t="shared" si="9"/>
        <v>5.9787038184892213E-2</v>
      </c>
      <c r="L115" s="172">
        <v>419.339</v>
      </c>
      <c r="M115" s="140">
        <f t="shared" si="10"/>
        <v>1.657024507617942</v>
      </c>
      <c r="N115" s="140">
        <v>177.88499999999999</v>
      </c>
      <c r="O115" s="99">
        <f>L115/N115</f>
        <v>2.3573600921943956</v>
      </c>
      <c r="S115" s="228"/>
      <c r="U115" s="228"/>
      <c r="V115" s="228"/>
    </row>
    <row r="116" spans="2:22">
      <c r="B116" s="121" t="s">
        <v>425</v>
      </c>
      <c r="C116" s="121" t="s">
        <v>424</v>
      </c>
      <c r="D116" s="241" t="s">
        <v>106</v>
      </c>
      <c r="E116" s="290">
        <v>647.23</v>
      </c>
      <c r="F116" s="295">
        <v>157.506</v>
      </c>
      <c r="G116" s="291">
        <f t="shared" si="8"/>
        <v>804.73599999999999</v>
      </c>
      <c r="H116" s="294">
        <v>2485.8560000000002</v>
      </c>
      <c r="I116" s="291">
        <f t="shared" si="13"/>
        <v>-1681.1200000000003</v>
      </c>
      <c r="J116" s="292">
        <f t="shared" si="14"/>
        <v>3.0890329250835058</v>
      </c>
      <c r="K116" s="140">
        <f t="shared" si="9"/>
        <v>0.24335398544566847</v>
      </c>
      <c r="L116" s="172">
        <v>9324.0789999999997</v>
      </c>
      <c r="M116" s="140">
        <f t="shared" si="10"/>
        <v>-0.18029877267234656</v>
      </c>
      <c r="N116" s="140">
        <v>1310.7919999999999</v>
      </c>
      <c r="O116" s="99">
        <f>L116/N116</f>
        <v>7.1133169869819168</v>
      </c>
      <c r="S116" s="228"/>
      <c r="U116" s="228"/>
      <c r="V116" s="228"/>
    </row>
    <row r="117" spans="2:22">
      <c r="B117" s="121" t="s">
        <v>631</v>
      </c>
      <c r="C117" s="121" t="s">
        <v>630</v>
      </c>
      <c r="D117" s="241" t="s">
        <v>106</v>
      </c>
      <c r="E117" s="290">
        <v>634.99300000000005</v>
      </c>
      <c r="F117" s="295">
        <v>249</v>
      </c>
      <c r="G117" s="291">
        <f t="shared" si="8"/>
        <v>883.99300000000005</v>
      </c>
      <c r="H117" s="294">
        <v>18</v>
      </c>
      <c r="I117" s="291">
        <f t="shared" si="13"/>
        <v>865.99300000000005</v>
      </c>
      <c r="J117" s="292">
        <f t="shared" si="14"/>
        <v>2.036215218898792E-2</v>
      </c>
      <c r="K117" s="140">
        <f t="shared" si="9"/>
        <v>0.39213030694826556</v>
      </c>
      <c r="L117" s="172">
        <v>1656</v>
      </c>
      <c r="M117" s="140">
        <f t="shared" si="10"/>
        <v>0.52294263285024156</v>
      </c>
      <c r="N117" s="140">
        <v>431</v>
      </c>
      <c r="O117" s="99">
        <f>L117/N117</f>
        <v>3.8422273781902554</v>
      </c>
      <c r="S117" s="228"/>
      <c r="U117" s="228"/>
      <c r="V117" s="228"/>
    </row>
    <row r="118" spans="2:22">
      <c r="B118" s="121" t="s">
        <v>633</v>
      </c>
      <c r="C118" s="121" t="s">
        <v>632</v>
      </c>
      <c r="D118" s="241" t="s">
        <v>106</v>
      </c>
      <c r="E118" s="290">
        <v>578.04100000000005</v>
      </c>
      <c r="F118" s="295">
        <v>49.994999999999997</v>
      </c>
      <c r="G118" s="291">
        <f t="shared" si="8"/>
        <v>628.03600000000006</v>
      </c>
      <c r="H118" s="294">
        <v>535.91999999999996</v>
      </c>
      <c r="I118" s="291">
        <f t="shared" si="13"/>
        <v>92.116000000000099</v>
      </c>
      <c r="J118" s="292">
        <f t="shared" si="14"/>
        <v>0.85332687935086504</v>
      </c>
      <c r="K118" s="140">
        <f t="shared" si="9"/>
        <v>8.6490404659877049E-2</v>
      </c>
      <c r="L118" s="172">
        <v>2353.0709999999999</v>
      </c>
      <c r="M118" s="140">
        <f t="shared" si="10"/>
        <v>3.9147140056547423E-2</v>
      </c>
      <c r="N118" s="140">
        <v>321.85300000000001</v>
      </c>
      <c r="O118" s="99">
        <f>L118/N118</f>
        <v>7.3110115487505158</v>
      </c>
      <c r="S118" s="228"/>
      <c r="U118" s="228"/>
      <c r="V118" s="12"/>
    </row>
    <row r="119" spans="2:22">
      <c r="B119" s="121" t="s">
        <v>635</v>
      </c>
      <c r="C119" s="121" t="s">
        <v>634</v>
      </c>
      <c r="D119" s="99">
        <v>0.79</v>
      </c>
      <c r="E119" s="290">
        <v>503.00200000000001</v>
      </c>
      <c r="F119" s="295">
        <v>108.26900000000001</v>
      </c>
      <c r="G119" s="291">
        <f t="shared" si="8"/>
        <v>611.27099999999996</v>
      </c>
      <c r="H119" s="294">
        <v>24.007999999999999</v>
      </c>
      <c r="I119" s="291">
        <f t="shared" si="13"/>
        <v>587.26299999999992</v>
      </c>
      <c r="J119" s="292">
        <f t="shared" si="14"/>
        <v>3.9275542271758355E-2</v>
      </c>
      <c r="K119" s="140">
        <f t="shared" si="9"/>
        <v>0.21524566502717685</v>
      </c>
      <c r="L119" s="172">
        <v>868.33100000000002</v>
      </c>
      <c r="M119" s="140">
        <f t="shared" si="10"/>
        <v>0.67631237396799138</v>
      </c>
      <c r="N119" s="140">
        <v>0</v>
      </c>
      <c r="O119" s="241" t="s">
        <v>106</v>
      </c>
      <c r="S119" s="228"/>
      <c r="U119" s="228"/>
      <c r="V119" s="12"/>
    </row>
    <row r="120" spans="2:22">
      <c r="B120" s="121" t="s">
        <v>411</v>
      </c>
      <c r="C120" s="121" t="s">
        <v>636</v>
      </c>
      <c r="D120" s="241" t="s">
        <v>106</v>
      </c>
      <c r="E120" s="290">
        <v>486.447</v>
      </c>
      <c r="F120" s="295">
        <v>107.22799999999999</v>
      </c>
      <c r="G120" s="291">
        <f t="shared" si="8"/>
        <v>593.67499999999995</v>
      </c>
      <c r="H120" s="294">
        <v>99.992999999999995</v>
      </c>
      <c r="I120" s="291">
        <f t="shared" si="13"/>
        <v>493.68199999999996</v>
      </c>
      <c r="J120" s="292">
        <f t="shared" si="14"/>
        <v>0.16843053859434876</v>
      </c>
      <c r="K120" s="140">
        <f t="shared" si="9"/>
        <v>0.22043100276083519</v>
      </c>
      <c r="L120" s="172">
        <v>1868.153</v>
      </c>
      <c r="M120" s="140">
        <f t="shared" si="10"/>
        <v>0.2642620813177507</v>
      </c>
      <c r="N120" s="140">
        <v>0</v>
      </c>
      <c r="O120" s="241" t="s">
        <v>106</v>
      </c>
      <c r="S120" s="228"/>
      <c r="U120" s="228"/>
      <c r="V120" s="228"/>
    </row>
    <row r="121" spans="2:22">
      <c r="B121" s="121" t="s">
        <v>761</v>
      </c>
      <c r="C121" s="121" t="s">
        <v>637</v>
      </c>
      <c r="D121" s="99">
        <v>0.35</v>
      </c>
      <c r="E121" s="290">
        <v>471.24299999999999</v>
      </c>
      <c r="F121" s="295">
        <v>245.964</v>
      </c>
      <c r="G121" s="291">
        <f t="shared" si="8"/>
        <v>717.20699999999999</v>
      </c>
      <c r="H121" s="294">
        <v>44.595999999999997</v>
      </c>
      <c r="I121" s="291">
        <f t="shared" si="13"/>
        <v>672.61099999999999</v>
      </c>
      <c r="J121" s="292">
        <f t="shared" si="14"/>
        <v>6.2180095844017132E-2</v>
      </c>
      <c r="K121" s="140">
        <f t="shared" si="9"/>
        <v>0.52194727560939902</v>
      </c>
      <c r="L121" s="172">
        <v>76.192999999999998</v>
      </c>
      <c r="M121" s="140">
        <f t="shared" si="10"/>
        <v>8.8277269565445646</v>
      </c>
      <c r="N121" s="140">
        <v>1.837</v>
      </c>
      <c r="O121" s="99">
        <f>L121/N121</f>
        <v>41.476864452912359</v>
      </c>
      <c r="S121" s="228"/>
      <c r="U121" s="228"/>
      <c r="V121" s="228"/>
    </row>
    <row r="122" spans="2:22">
      <c r="B122" s="121" t="s">
        <v>639</v>
      </c>
      <c r="C122" s="121" t="s">
        <v>638</v>
      </c>
      <c r="D122" s="99">
        <v>1.63</v>
      </c>
      <c r="E122" s="290">
        <v>437.702</v>
      </c>
      <c r="F122" s="295">
        <v>5.0990000000000002</v>
      </c>
      <c r="G122" s="291">
        <f t="shared" si="8"/>
        <v>442.80099999999999</v>
      </c>
      <c r="H122" s="294">
        <v>101.011</v>
      </c>
      <c r="I122" s="291">
        <f t="shared" si="13"/>
        <v>341.78999999999996</v>
      </c>
      <c r="J122" s="292">
        <f t="shared" si="14"/>
        <v>0.22811827434897392</v>
      </c>
      <c r="K122" s="140">
        <f t="shared" si="9"/>
        <v>1.1649478412253085E-2</v>
      </c>
      <c r="L122" s="172">
        <v>398.05700000000002</v>
      </c>
      <c r="M122" s="140">
        <f t="shared" si="10"/>
        <v>0.8586458723248177</v>
      </c>
      <c r="N122" s="140">
        <v>111.664</v>
      </c>
      <c r="O122" s="99">
        <f>L122/N122</f>
        <v>3.5647746811864165</v>
      </c>
      <c r="S122" s="228"/>
      <c r="U122" s="228"/>
      <c r="V122" s="228"/>
    </row>
    <row r="123" spans="2:22">
      <c r="B123" s="121" t="s">
        <v>641</v>
      </c>
      <c r="C123" s="121" t="s">
        <v>640</v>
      </c>
      <c r="D123" s="99">
        <v>1.45</v>
      </c>
      <c r="E123" s="290">
        <v>439.01600000000002</v>
      </c>
      <c r="F123" s="295">
        <v>57.531999999999996</v>
      </c>
      <c r="G123" s="291">
        <f t="shared" si="8"/>
        <v>496.548</v>
      </c>
      <c r="H123" s="294">
        <v>66.762</v>
      </c>
      <c r="I123" s="291">
        <f t="shared" si="13"/>
        <v>429.786</v>
      </c>
      <c r="J123" s="292">
        <f t="shared" si="14"/>
        <v>0.13445225839193795</v>
      </c>
      <c r="K123" s="140">
        <f t="shared" si="9"/>
        <v>0.13104761557665323</v>
      </c>
      <c r="L123" s="172">
        <v>575.80600000000004</v>
      </c>
      <c r="M123" s="140">
        <f t="shared" si="10"/>
        <v>0.74640764424128958</v>
      </c>
      <c r="N123" s="140">
        <v>86.027000000000001</v>
      </c>
      <c r="O123" s="99">
        <f>L123/N123</f>
        <v>6.6933172143629331</v>
      </c>
      <c r="S123" s="228"/>
      <c r="U123" s="228"/>
      <c r="V123" s="12"/>
    </row>
    <row r="124" spans="2:22">
      <c r="B124" s="121" t="s">
        <v>387</v>
      </c>
      <c r="C124" s="121" t="s">
        <v>386</v>
      </c>
      <c r="D124" s="241" t="s">
        <v>106</v>
      </c>
      <c r="E124" s="290">
        <v>430.40199999999999</v>
      </c>
      <c r="F124" s="295">
        <v>128.148</v>
      </c>
      <c r="G124" s="291">
        <f t="shared" si="8"/>
        <v>558.54999999999995</v>
      </c>
      <c r="H124" s="294">
        <v>25.100999999999999</v>
      </c>
      <c r="I124" s="291">
        <f t="shared" si="13"/>
        <v>533.44899999999996</v>
      </c>
      <c r="J124" s="292">
        <f t="shared" si="14"/>
        <v>4.4939575687046818E-2</v>
      </c>
      <c r="K124" s="140">
        <f t="shared" si="9"/>
        <v>0.29774025213637484</v>
      </c>
      <c r="L124" s="172">
        <v>0</v>
      </c>
      <c r="M124" s="241" t="s">
        <v>106</v>
      </c>
      <c r="N124" s="140">
        <v>0</v>
      </c>
      <c r="O124" s="241" t="s">
        <v>106</v>
      </c>
      <c r="S124" s="228"/>
      <c r="U124" s="228"/>
      <c r="V124" s="12"/>
    </row>
    <row r="125" spans="2:22">
      <c r="B125" s="121" t="s">
        <v>762</v>
      </c>
      <c r="C125" s="121" t="s">
        <v>642</v>
      </c>
      <c r="D125" s="99">
        <v>0.56000000000000005</v>
      </c>
      <c r="E125" s="290">
        <v>420.541</v>
      </c>
      <c r="F125" s="295">
        <v>1666.78</v>
      </c>
      <c r="G125" s="291">
        <f t="shared" si="8"/>
        <v>2087.3209999999999</v>
      </c>
      <c r="H125" s="294">
        <v>29.084</v>
      </c>
      <c r="I125" s="291">
        <f t="shared" si="13"/>
        <v>2058.2370000000001</v>
      </c>
      <c r="J125" s="292">
        <f t="shared" si="14"/>
        <v>1.3933649879438764E-2</v>
      </c>
      <c r="K125" s="140">
        <f t="shared" si="9"/>
        <v>3.9634185489643103</v>
      </c>
      <c r="L125" s="172">
        <v>593.07799999999997</v>
      </c>
      <c r="M125" s="140">
        <f t="shared" si="10"/>
        <v>3.470432219708032</v>
      </c>
      <c r="N125" s="140">
        <v>0</v>
      </c>
      <c r="O125" s="241" t="s">
        <v>106</v>
      </c>
      <c r="S125" s="228"/>
      <c r="U125" s="228"/>
      <c r="V125" s="12"/>
    </row>
    <row r="126" spans="2:22">
      <c r="B126" s="121" t="s">
        <v>407</v>
      </c>
      <c r="C126" s="121" t="s">
        <v>406</v>
      </c>
      <c r="D126" s="99">
        <v>1.54</v>
      </c>
      <c r="E126" s="290">
        <v>399.40100000000001</v>
      </c>
      <c r="F126" s="295">
        <v>14.227</v>
      </c>
      <c r="G126" s="291">
        <f t="shared" si="8"/>
        <v>413.62799999999999</v>
      </c>
      <c r="H126" s="294">
        <v>97.941000000000003</v>
      </c>
      <c r="I126" s="291">
        <f t="shared" si="13"/>
        <v>315.68700000000001</v>
      </c>
      <c r="J126" s="292">
        <f t="shared" si="14"/>
        <v>0.23678522730569498</v>
      </c>
      <c r="K126" s="140">
        <f t="shared" si="9"/>
        <v>3.5620842211211291E-2</v>
      </c>
      <c r="L126" s="172">
        <v>285.625</v>
      </c>
      <c r="M126" s="140">
        <f t="shared" si="10"/>
        <v>1.1052498905908097</v>
      </c>
      <c r="N126" s="140">
        <v>0</v>
      </c>
      <c r="O126" s="241" t="s">
        <v>106</v>
      </c>
      <c r="S126" s="228"/>
      <c r="U126" s="228"/>
      <c r="V126" s="228"/>
    </row>
    <row r="127" spans="2:22">
      <c r="B127" s="121" t="s">
        <v>763</v>
      </c>
      <c r="C127" s="121" t="s">
        <v>392</v>
      </c>
      <c r="D127" s="241" t="s">
        <v>106</v>
      </c>
      <c r="E127" s="290">
        <v>371.63799999999998</v>
      </c>
      <c r="F127" s="295">
        <v>404.43400000000003</v>
      </c>
      <c r="G127" s="291">
        <f t="shared" si="8"/>
        <v>776.072</v>
      </c>
      <c r="H127" s="294">
        <v>4971.5209999999997</v>
      </c>
      <c r="I127" s="291">
        <f t="shared" si="13"/>
        <v>-4195.4489999999996</v>
      </c>
      <c r="J127" s="292">
        <f>H127/G127</f>
        <v>6.406004855219618</v>
      </c>
      <c r="K127" s="140">
        <f t="shared" si="9"/>
        <v>1.0882471652522079</v>
      </c>
      <c r="L127" s="172">
        <v>0</v>
      </c>
      <c r="M127" s="241" t="s">
        <v>106</v>
      </c>
      <c r="N127" s="140">
        <v>0</v>
      </c>
      <c r="O127" s="241" t="s">
        <v>106</v>
      </c>
      <c r="S127" s="228"/>
      <c r="U127" s="228"/>
      <c r="V127" s="12"/>
    </row>
    <row r="128" spans="2:22">
      <c r="B128" s="121" t="s">
        <v>644</v>
      </c>
      <c r="C128" s="121" t="s">
        <v>643</v>
      </c>
      <c r="D128" s="241" t="s">
        <v>106</v>
      </c>
      <c r="E128" s="290">
        <v>365.541</v>
      </c>
      <c r="F128" s="295">
        <v>4.1680000000000001</v>
      </c>
      <c r="G128" s="291">
        <f t="shared" si="8"/>
        <v>369.709</v>
      </c>
      <c r="H128" s="294">
        <v>66.242000000000004</v>
      </c>
      <c r="I128" s="291">
        <f t="shared" si="13"/>
        <v>303.46699999999998</v>
      </c>
      <c r="J128" s="292">
        <f t="shared" si="14"/>
        <v>0.17917334985082864</v>
      </c>
      <c r="K128" s="140">
        <f t="shared" si="9"/>
        <v>1.1402277719872737E-2</v>
      </c>
      <c r="L128" s="172">
        <v>247.13</v>
      </c>
      <c r="M128" s="140">
        <f t="shared" si="10"/>
        <v>1.2279650386436287</v>
      </c>
      <c r="N128" s="140">
        <v>0</v>
      </c>
      <c r="O128" s="241" t="s">
        <v>106</v>
      </c>
      <c r="S128" s="228"/>
      <c r="U128" s="228"/>
      <c r="V128" s="12"/>
    </row>
    <row r="129" spans="2:22">
      <c r="B129" s="121" t="s">
        <v>423</v>
      </c>
      <c r="C129" s="121" t="s">
        <v>422</v>
      </c>
      <c r="D129" s="99">
        <v>1.94</v>
      </c>
      <c r="E129" s="290">
        <v>353.47800000000001</v>
      </c>
      <c r="F129" s="295">
        <v>6871</v>
      </c>
      <c r="G129" s="291">
        <f t="shared" si="8"/>
        <v>7224.4780000000001</v>
      </c>
      <c r="H129" s="294">
        <v>1275</v>
      </c>
      <c r="I129" s="291">
        <f t="shared" si="13"/>
        <v>5949.4780000000001</v>
      </c>
      <c r="J129" s="292">
        <f t="shared" si="14"/>
        <v>0.17648333900386989</v>
      </c>
      <c r="K129" s="140">
        <f t="shared" si="9"/>
        <v>19.438267728118863</v>
      </c>
      <c r="L129" s="172">
        <v>12106</v>
      </c>
      <c r="M129" s="140">
        <f t="shared" si="10"/>
        <v>0.49144870312241862</v>
      </c>
      <c r="N129" s="140">
        <v>0</v>
      </c>
      <c r="O129" s="241" t="s">
        <v>106</v>
      </c>
      <c r="S129" s="228"/>
      <c r="U129" s="228"/>
      <c r="V129" s="228"/>
    </row>
    <row r="130" spans="2:22">
      <c r="B130" s="121" t="s">
        <v>401</v>
      </c>
      <c r="C130" s="121" t="s">
        <v>400</v>
      </c>
      <c r="D130" s="99">
        <v>2.5499999999999998</v>
      </c>
      <c r="E130" s="290">
        <v>304.625</v>
      </c>
      <c r="F130" s="295">
        <v>13.847</v>
      </c>
      <c r="G130" s="291">
        <f t="shared" si="8"/>
        <v>318.47199999999998</v>
      </c>
      <c r="H130" s="294">
        <v>227.833</v>
      </c>
      <c r="I130" s="291">
        <f t="shared" si="13"/>
        <v>90.638999999999982</v>
      </c>
      <c r="J130" s="292">
        <f t="shared" si="14"/>
        <v>0.71539413198020552</v>
      </c>
      <c r="K130" s="140">
        <f t="shared" si="9"/>
        <v>4.5455888387361511E-2</v>
      </c>
      <c r="L130" s="172">
        <v>221.88200000000001</v>
      </c>
      <c r="M130" s="140">
        <f t="shared" si="10"/>
        <v>0.40850091490071289</v>
      </c>
      <c r="N130" s="140">
        <v>75.927000000000007</v>
      </c>
      <c r="O130" s="99">
        <f>L130/N130</f>
        <v>2.9223069527309122</v>
      </c>
      <c r="S130" s="228"/>
      <c r="U130" s="228"/>
      <c r="V130" s="12"/>
    </row>
    <row r="131" spans="2:22">
      <c r="B131" s="121" t="s">
        <v>646</v>
      </c>
      <c r="C131" s="121" t="s">
        <v>645</v>
      </c>
      <c r="D131" s="99">
        <v>0.81</v>
      </c>
      <c r="E131" s="290">
        <v>302.01</v>
      </c>
      <c r="F131" s="295">
        <v>29.85</v>
      </c>
      <c r="G131" s="291">
        <f t="shared" si="8"/>
        <v>331.86</v>
      </c>
      <c r="H131" s="294">
        <v>138.053</v>
      </c>
      <c r="I131" s="291">
        <f t="shared" si="13"/>
        <v>193.80700000000002</v>
      </c>
      <c r="J131" s="292">
        <f t="shared" si="14"/>
        <v>0.41599770987765922</v>
      </c>
      <c r="K131" s="140">
        <f t="shared" si="9"/>
        <v>9.8837786828250729E-2</v>
      </c>
      <c r="L131" s="172">
        <v>499.22199999999998</v>
      </c>
      <c r="M131" s="140">
        <f t="shared" si="10"/>
        <v>0.38821806731273867</v>
      </c>
      <c r="N131" s="140">
        <v>0</v>
      </c>
      <c r="O131" s="241" t="s">
        <v>106</v>
      </c>
      <c r="S131" s="228"/>
      <c r="U131" s="228"/>
    </row>
    <row r="132" spans="2:22">
      <c r="B132" s="121" t="s">
        <v>421</v>
      </c>
      <c r="C132" s="121" t="s">
        <v>420</v>
      </c>
      <c r="D132" s="99">
        <v>2.2000000000000002</v>
      </c>
      <c r="E132" s="290">
        <v>289.91699999999997</v>
      </c>
      <c r="F132" s="295">
        <v>46.652000000000001</v>
      </c>
      <c r="G132" s="291">
        <f t="shared" si="8"/>
        <v>336.56899999999996</v>
      </c>
      <c r="H132" s="294">
        <v>18.766999999999999</v>
      </c>
      <c r="I132" s="291">
        <f>G132-H132</f>
        <v>317.80199999999996</v>
      </c>
      <c r="J132" s="292">
        <f>H132/G132</f>
        <v>5.5759740201860544E-2</v>
      </c>
      <c r="K132" s="140">
        <f t="shared" si="9"/>
        <v>0.16091502050586895</v>
      </c>
      <c r="L132" s="172">
        <v>661.60400000000004</v>
      </c>
      <c r="M132" s="140">
        <f t="shared" si="10"/>
        <v>0.4803507838525764</v>
      </c>
      <c r="N132" s="140">
        <v>0</v>
      </c>
      <c r="O132" s="241" t="s">
        <v>106</v>
      </c>
      <c r="U132" s="228"/>
      <c r="V132" s="12"/>
    </row>
    <row r="133" spans="2:22">
      <c r="B133" s="121" t="s">
        <v>648</v>
      </c>
      <c r="C133" s="121" t="s">
        <v>647</v>
      </c>
      <c r="D133" s="99">
        <v>1.1599999999999999</v>
      </c>
      <c r="E133" s="290">
        <v>2.6059999999999999</v>
      </c>
      <c r="F133" s="295">
        <v>0</v>
      </c>
      <c r="G133" s="291">
        <f t="shared" si="8"/>
        <v>2.6059999999999999</v>
      </c>
      <c r="H133" s="294">
        <v>0</v>
      </c>
      <c r="I133" s="291">
        <f>G133-H133</f>
        <v>2.6059999999999999</v>
      </c>
      <c r="J133" s="292">
        <f>H133/G133</f>
        <v>0</v>
      </c>
      <c r="K133" s="140">
        <f t="shared" si="9"/>
        <v>0</v>
      </c>
      <c r="L133" s="172">
        <v>76.900000000000006</v>
      </c>
      <c r="M133" s="140">
        <f t="shared" si="10"/>
        <v>3.3888166449934976E-2</v>
      </c>
      <c r="N133" s="140">
        <v>0</v>
      </c>
      <c r="O133" s="241" t="s">
        <v>106</v>
      </c>
      <c r="S133" s="228"/>
      <c r="T133" s="228"/>
      <c r="U133" s="228"/>
      <c r="V133" s="228"/>
    </row>
    <row r="134" spans="2:22">
      <c r="B134" s="121" t="s">
        <v>431</v>
      </c>
      <c r="C134" s="121" t="s">
        <v>430</v>
      </c>
      <c r="D134" s="241" t="s">
        <v>106</v>
      </c>
      <c r="E134" s="290">
        <v>231.673</v>
      </c>
      <c r="F134" s="295">
        <v>84.807000000000002</v>
      </c>
      <c r="G134" s="291">
        <f t="shared" si="8"/>
        <v>316.48</v>
      </c>
      <c r="H134" s="294">
        <v>104.931</v>
      </c>
      <c r="I134" s="291">
        <f t="shared" ref="I134:I171" si="15">G134-H134</f>
        <v>211.54900000000004</v>
      </c>
      <c r="J134" s="292">
        <f t="shared" ref="J134:J170" si="16">H134/G134</f>
        <v>0.33155649646107177</v>
      </c>
      <c r="K134" s="140">
        <f t="shared" si="9"/>
        <v>0.36606337380704701</v>
      </c>
      <c r="L134" s="172">
        <v>288.37900000000002</v>
      </c>
      <c r="M134" s="140">
        <f t="shared" si="10"/>
        <v>0.73357976829103377</v>
      </c>
      <c r="N134" s="140">
        <v>64.369</v>
      </c>
      <c r="O134" s="99">
        <f>L134/N134</f>
        <v>4.4800913483198439</v>
      </c>
      <c r="S134" s="228"/>
      <c r="T134" s="228"/>
      <c r="U134" s="228"/>
      <c r="V134" s="228"/>
    </row>
    <row r="135" spans="2:22">
      <c r="B135" s="121" t="s">
        <v>650</v>
      </c>
      <c r="C135" s="121" t="s">
        <v>649</v>
      </c>
      <c r="D135" s="99">
        <v>3.51</v>
      </c>
      <c r="E135" s="290">
        <v>203.34899999999999</v>
      </c>
      <c r="F135" s="295">
        <v>1140.4000000000001</v>
      </c>
      <c r="G135" s="291">
        <f t="shared" ref="G135:G197" si="17">E135+F135</f>
        <v>1343.749</v>
      </c>
      <c r="H135" s="294">
        <v>162.19999999999999</v>
      </c>
      <c r="I135" s="291">
        <f t="shared" si="15"/>
        <v>1181.549</v>
      </c>
      <c r="J135" s="292">
        <f t="shared" si="16"/>
        <v>0.12070706657270069</v>
      </c>
      <c r="K135" s="140">
        <f t="shared" ref="K135:K197" si="18">F135/E135</f>
        <v>5.6080924912342827</v>
      </c>
      <c r="L135" s="172">
        <v>1002.2</v>
      </c>
      <c r="M135" s="140">
        <f t="shared" ref="M135:M196" si="19">I135/L135</f>
        <v>1.178955298343644</v>
      </c>
      <c r="N135" s="140">
        <v>599.70000000000005</v>
      </c>
      <c r="O135" s="99">
        <f t="shared" ref="O135:O198" si="20">L135/N135</f>
        <v>1.6711689177922293</v>
      </c>
      <c r="S135" s="228"/>
      <c r="T135" s="228"/>
      <c r="U135" s="228"/>
      <c r="V135" s="228"/>
    </row>
    <row r="136" spans="2:22">
      <c r="B136" s="121" t="s">
        <v>652</v>
      </c>
      <c r="C136" s="121" t="s">
        <v>651</v>
      </c>
      <c r="D136" s="99">
        <v>1.89</v>
      </c>
      <c r="E136" s="290">
        <v>198.1</v>
      </c>
      <c r="F136" s="172">
        <v>63.4</v>
      </c>
      <c r="G136" s="291">
        <f t="shared" si="17"/>
        <v>261.5</v>
      </c>
      <c r="H136" s="294">
        <v>131.1</v>
      </c>
      <c r="I136" s="291">
        <f t="shared" si="15"/>
        <v>130.4</v>
      </c>
      <c r="J136" s="292">
        <f t="shared" si="16"/>
        <v>0.50133843212237095</v>
      </c>
      <c r="K136" s="140">
        <f t="shared" si="18"/>
        <v>0.32004038364462395</v>
      </c>
      <c r="L136" s="172">
        <v>579.9</v>
      </c>
      <c r="M136" s="140">
        <f t="shared" si="19"/>
        <v>0.22486635626832213</v>
      </c>
      <c r="N136" s="140">
        <v>252.7</v>
      </c>
      <c r="O136" s="99">
        <f t="shared" si="20"/>
        <v>2.2948159873367628</v>
      </c>
      <c r="S136" s="228"/>
      <c r="T136" s="228"/>
      <c r="U136" s="228"/>
      <c r="V136" s="228"/>
    </row>
    <row r="137" spans="2:22">
      <c r="B137" s="121" t="s">
        <v>654</v>
      </c>
      <c r="C137" s="121" t="s">
        <v>653</v>
      </c>
      <c r="D137" s="241" t="s">
        <v>106</v>
      </c>
      <c r="E137" s="290">
        <v>197.98099999999999</v>
      </c>
      <c r="F137" s="172">
        <v>12.757999999999999</v>
      </c>
      <c r="G137" s="291">
        <f t="shared" si="17"/>
        <v>210.739</v>
      </c>
      <c r="H137" s="294">
        <v>36.465000000000003</v>
      </c>
      <c r="I137" s="291">
        <f t="shared" si="15"/>
        <v>174.274</v>
      </c>
      <c r="J137" s="292">
        <f t="shared" si="16"/>
        <v>0.17303394245963016</v>
      </c>
      <c r="K137" s="140">
        <f t="shared" si="18"/>
        <v>6.444052712128942E-2</v>
      </c>
      <c r="L137" s="172">
        <v>136.55500000000001</v>
      </c>
      <c r="M137" s="140">
        <f t="shared" si="19"/>
        <v>1.2762183735491193</v>
      </c>
      <c r="N137" s="140">
        <v>20.050999999999998</v>
      </c>
      <c r="O137" s="99">
        <f t="shared" si="20"/>
        <v>6.8103835220188529</v>
      </c>
      <c r="S137" s="12"/>
      <c r="T137" s="12"/>
      <c r="U137" s="228"/>
    </row>
    <row r="138" spans="2:22">
      <c r="B138" s="121" t="s">
        <v>656</v>
      </c>
      <c r="C138" s="121" t="s">
        <v>655</v>
      </c>
      <c r="D138" s="241" t="s">
        <v>106</v>
      </c>
      <c r="E138" s="290">
        <v>17.457999999999998</v>
      </c>
      <c r="F138" s="172">
        <v>0.11159999999999999</v>
      </c>
      <c r="G138" s="291">
        <f t="shared" si="17"/>
        <v>17.569599999999998</v>
      </c>
      <c r="H138" s="294">
        <v>5.6100000000000004E-2</v>
      </c>
      <c r="I138" s="291">
        <f t="shared" si="15"/>
        <v>17.513499999999997</v>
      </c>
      <c r="J138" s="292">
        <f t="shared" si="16"/>
        <v>3.1930152080866959E-3</v>
      </c>
      <c r="K138" s="140">
        <f t="shared" si="18"/>
        <v>6.3924848207125677E-3</v>
      </c>
      <c r="L138" s="172">
        <v>4.7089999999999996</v>
      </c>
      <c r="M138" s="140">
        <f t="shared" si="19"/>
        <v>3.7191548099384155</v>
      </c>
      <c r="N138" s="140">
        <v>0</v>
      </c>
      <c r="O138" s="241" t="s">
        <v>106</v>
      </c>
      <c r="S138" s="228"/>
      <c r="T138" s="228"/>
      <c r="U138" s="228"/>
      <c r="V138" s="228"/>
    </row>
    <row r="139" spans="2:22">
      <c r="B139" s="121" t="s">
        <v>658</v>
      </c>
      <c r="C139" s="121" t="s">
        <v>657</v>
      </c>
      <c r="D139" s="99">
        <v>1.76</v>
      </c>
      <c r="E139" s="290">
        <v>174.21100000000001</v>
      </c>
      <c r="F139" s="172">
        <v>7.7530000000000001</v>
      </c>
      <c r="G139" s="291">
        <f t="shared" si="17"/>
        <v>181.964</v>
      </c>
      <c r="H139" s="294">
        <v>391.73500000000001</v>
      </c>
      <c r="I139" s="291">
        <f t="shared" si="15"/>
        <v>-209.77100000000002</v>
      </c>
      <c r="J139" s="292">
        <f t="shared" si="16"/>
        <v>2.1528159416148251</v>
      </c>
      <c r="K139" s="140">
        <f t="shared" si="18"/>
        <v>4.4503504371136149E-2</v>
      </c>
      <c r="L139" s="172">
        <v>134.24299999999999</v>
      </c>
      <c r="M139" s="140">
        <f t="shared" si="19"/>
        <v>-1.5626215147158513</v>
      </c>
      <c r="N139" s="140">
        <v>53.767000000000003</v>
      </c>
      <c r="O139" s="99">
        <f t="shared" si="20"/>
        <v>2.4967545148511165</v>
      </c>
      <c r="S139" s="228"/>
      <c r="T139" s="228"/>
      <c r="U139" s="228"/>
      <c r="V139" s="228"/>
    </row>
    <row r="140" spans="2:22">
      <c r="B140" s="121" t="s">
        <v>405</v>
      </c>
      <c r="C140" s="121" t="s">
        <v>404</v>
      </c>
      <c r="D140" s="99">
        <v>0.4</v>
      </c>
      <c r="E140" s="290">
        <v>162.93</v>
      </c>
      <c r="F140" s="172">
        <v>11.569000000000001</v>
      </c>
      <c r="G140" s="291">
        <f t="shared" si="17"/>
        <v>174.499</v>
      </c>
      <c r="H140" s="294">
        <v>88.575000000000003</v>
      </c>
      <c r="I140" s="291">
        <f t="shared" si="15"/>
        <v>85.923999999999992</v>
      </c>
      <c r="J140" s="292">
        <f t="shared" si="16"/>
        <v>0.50759603206895176</v>
      </c>
      <c r="K140" s="140">
        <f t="shared" si="18"/>
        <v>7.1005953476953293E-2</v>
      </c>
      <c r="L140" s="172">
        <v>503.56799999999998</v>
      </c>
      <c r="M140" s="140">
        <f t="shared" si="19"/>
        <v>0.17063038159692434</v>
      </c>
      <c r="N140" s="140">
        <v>222.62899999999999</v>
      </c>
      <c r="O140" s="99">
        <f t="shared" si="20"/>
        <v>2.2619155635609016</v>
      </c>
      <c r="S140" s="228"/>
      <c r="T140" s="228"/>
      <c r="U140" s="228"/>
      <c r="V140" s="228"/>
    </row>
    <row r="141" spans="2:22">
      <c r="B141" s="121" t="s">
        <v>660</v>
      </c>
      <c r="C141" s="121" t="s">
        <v>659</v>
      </c>
      <c r="D141" s="99">
        <v>1.78</v>
      </c>
      <c r="E141" s="290">
        <v>159.03</v>
      </c>
      <c r="F141" s="172">
        <v>67.262</v>
      </c>
      <c r="G141" s="291">
        <f t="shared" si="17"/>
        <v>226.292</v>
      </c>
      <c r="H141" s="294">
        <v>99.551000000000002</v>
      </c>
      <c r="I141" s="291">
        <f t="shared" si="15"/>
        <v>126.741</v>
      </c>
      <c r="J141" s="292">
        <f t="shared" si="16"/>
        <v>0.4399227546709561</v>
      </c>
      <c r="K141" s="140">
        <f t="shared" si="18"/>
        <v>0.42295164434383448</v>
      </c>
      <c r="L141" s="172">
        <v>641.00199999999995</v>
      </c>
      <c r="M141" s="140">
        <f t="shared" si="19"/>
        <v>0.19772325203353502</v>
      </c>
      <c r="N141" s="140">
        <v>179.95699999999999</v>
      </c>
      <c r="O141" s="99">
        <f t="shared" si="20"/>
        <v>3.5619731380274176</v>
      </c>
      <c r="S141" s="228"/>
      <c r="T141" s="228"/>
      <c r="U141" s="228"/>
      <c r="V141" s="228"/>
    </row>
    <row r="142" spans="2:22">
      <c r="B142" s="121" t="s">
        <v>662</v>
      </c>
      <c r="C142" s="121" t="s">
        <v>661</v>
      </c>
      <c r="D142" s="241" t="s">
        <v>106</v>
      </c>
      <c r="E142" s="290">
        <v>156.03800000000001</v>
      </c>
      <c r="F142" s="172">
        <v>18.404</v>
      </c>
      <c r="G142" s="291">
        <f t="shared" si="17"/>
        <v>174.44200000000001</v>
      </c>
      <c r="H142" s="294">
        <v>11.43</v>
      </c>
      <c r="I142" s="291">
        <f t="shared" si="15"/>
        <v>163.012</v>
      </c>
      <c r="J142" s="292">
        <f t="shared" si="16"/>
        <v>6.5523211153277305E-2</v>
      </c>
      <c r="K142" s="140">
        <f t="shared" si="18"/>
        <v>0.11794562862892372</v>
      </c>
      <c r="L142" s="172">
        <v>168.43600000000001</v>
      </c>
      <c r="M142" s="140">
        <f t="shared" si="19"/>
        <v>0.96779785794010775</v>
      </c>
      <c r="N142" s="140">
        <v>96.807000000000002</v>
      </c>
      <c r="O142" s="99">
        <f t="shared" si="20"/>
        <v>1.7399155019781627</v>
      </c>
      <c r="S142" s="228"/>
      <c r="T142" s="228"/>
      <c r="U142" s="228"/>
      <c r="V142" s="228"/>
    </row>
    <row r="143" spans="2:22">
      <c r="B143" s="121" t="s">
        <v>385</v>
      </c>
      <c r="C143" s="121" t="s">
        <v>384</v>
      </c>
      <c r="D143" s="241" t="s">
        <v>106</v>
      </c>
      <c r="E143" s="290">
        <v>147.256</v>
      </c>
      <c r="F143" s="172">
        <v>24.448</v>
      </c>
      <c r="G143" s="291">
        <f t="shared" si="17"/>
        <v>171.70400000000001</v>
      </c>
      <c r="H143" s="294">
        <v>153.209</v>
      </c>
      <c r="I143" s="291">
        <f t="shared" si="15"/>
        <v>18.495000000000005</v>
      </c>
      <c r="J143" s="292">
        <f t="shared" si="16"/>
        <v>0.89228556119834135</v>
      </c>
      <c r="K143" s="140">
        <f t="shared" si="18"/>
        <v>0.16602379529526812</v>
      </c>
      <c r="L143" s="172">
        <v>96.849000000000004</v>
      </c>
      <c r="M143" s="140">
        <f t="shared" si="19"/>
        <v>0.19096738221354898</v>
      </c>
      <c r="N143" s="140">
        <v>44.776000000000003</v>
      </c>
      <c r="O143" s="99">
        <f t="shared" si="20"/>
        <v>2.1629667679113811</v>
      </c>
      <c r="S143" s="228"/>
      <c r="T143" s="228"/>
      <c r="U143" s="228"/>
    </row>
    <row r="144" spans="2:22">
      <c r="B144" s="121" t="s">
        <v>664</v>
      </c>
      <c r="C144" s="121" t="s">
        <v>663</v>
      </c>
      <c r="D144" s="241" t="s">
        <v>106</v>
      </c>
      <c r="E144" s="290">
        <v>150.82499999999999</v>
      </c>
      <c r="F144" s="172">
        <v>10.076000000000001</v>
      </c>
      <c r="G144" s="291">
        <f t="shared" si="17"/>
        <v>160.90099999999998</v>
      </c>
      <c r="H144" s="294">
        <v>10.086</v>
      </c>
      <c r="I144" s="291">
        <f t="shared" si="15"/>
        <v>150.81499999999997</v>
      </c>
      <c r="J144" s="292">
        <f t="shared" si="16"/>
        <v>6.2684507865084754E-2</v>
      </c>
      <c r="K144" s="140">
        <f t="shared" si="18"/>
        <v>6.6805900878501578E-2</v>
      </c>
      <c r="L144" s="172">
        <v>259.86399999999998</v>
      </c>
      <c r="M144" s="140">
        <f t="shared" si="19"/>
        <v>0.58036126589292858</v>
      </c>
      <c r="N144" s="140">
        <v>0</v>
      </c>
      <c r="O144" s="241" t="s">
        <v>106</v>
      </c>
      <c r="T144" s="228"/>
      <c r="U144" s="228"/>
      <c r="V144" s="12"/>
    </row>
    <row r="145" spans="2:22">
      <c r="B145" s="121" t="s">
        <v>750</v>
      </c>
      <c r="C145" s="121" t="s">
        <v>665</v>
      </c>
      <c r="D145" s="241" t="s">
        <v>106</v>
      </c>
      <c r="E145" s="290">
        <v>121.881</v>
      </c>
      <c r="F145" s="172">
        <v>0</v>
      </c>
      <c r="G145" s="291">
        <f t="shared" si="17"/>
        <v>121.881</v>
      </c>
      <c r="H145" s="294">
        <v>156.375</v>
      </c>
      <c r="I145" s="291">
        <f t="shared" si="15"/>
        <v>-34.494</v>
      </c>
      <c r="J145" s="292">
        <f t="shared" si="16"/>
        <v>1.2830137593226179</v>
      </c>
      <c r="K145" s="140">
        <f t="shared" si="18"/>
        <v>0</v>
      </c>
      <c r="L145" s="172">
        <v>438.61799999999999</v>
      </c>
      <c r="M145" s="140">
        <f t="shared" si="19"/>
        <v>-7.8642463373596164E-2</v>
      </c>
      <c r="N145" s="140">
        <v>0</v>
      </c>
      <c r="O145" s="241" t="s">
        <v>106</v>
      </c>
      <c r="S145" s="228"/>
      <c r="T145" s="228"/>
      <c r="U145" s="228"/>
      <c r="V145" s="228"/>
    </row>
    <row r="146" spans="2:22">
      <c r="B146" s="121" t="s">
        <v>667</v>
      </c>
      <c r="C146" s="121" t="s">
        <v>666</v>
      </c>
      <c r="D146" s="99">
        <v>0.81</v>
      </c>
      <c r="E146" s="290">
        <v>121.309</v>
      </c>
      <c r="F146" s="172">
        <v>40.954999999999998</v>
      </c>
      <c r="G146" s="291">
        <f t="shared" si="17"/>
        <v>162.26400000000001</v>
      </c>
      <c r="H146" s="294">
        <v>21.21</v>
      </c>
      <c r="I146" s="291">
        <f t="shared" si="15"/>
        <v>141.054</v>
      </c>
      <c r="J146" s="292">
        <f t="shared" si="16"/>
        <v>0.1307129122910812</v>
      </c>
      <c r="K146" s="140">
        <f t="shared" si="18"/>
        <v>0.33760891607382798</v>
      </c>
      <c r="L146" s="172">
        <v>538.60199999999998</v>
      </c>
      <c r="M146" s="140">
        <f t="shared" si="19"/>
        <v>0.2618891129256854</v>
      </c>
      <c r="N146" s="140">
        <v>7.6520000000000001</v>
      </c>
      <c r="O146" s="99">
        <f t="shared" si="20"/>
        <v>70.387088342916883</v>
      </c>
      <c r="S146" s="228"/>
      <c r="T146" s="228"/>
      <c r="U146" s="228"/>
      <c r="V146" s="228"/>
    </row>
    <row r="147" spans="2:22">
      <c r="B147" s="121" t="s">
        <v>669</v>
      </c>
      <c r="C147" s="121" t="s">
        <v>668</v>
      </c>
      <c r="D147" s="99">
        <v>1.62</v>
      </c>
      <c r="E147" s="290">
        <v>126.961</v>
      </c>
      <c r="F147" s="172">
        <v>9.625</v>
      </c>
      <c r="G147" s="291">
        <f t="shared" si="17"/>
        <v>136.58600000000001</v>
      </c>
      <c r="H147" s="294">
        <v>89.132999999999996</v>
      </c>
      <c r="I147" s="291">
        <f t="shared" si="15"/>
        <v>47.453000000000017</v>
      </c>
      <c r="J147" s="292">
        <f t="shared" si="16"/>
        <v>0.65257786303135012</v>
      </c>
      <c r="K147" s="140">
        <f t="shared" si="18"/>
        <v>7.5810682020462983E-2</v>
      </c>
      <c r="L147" s="172">
        <v>575.55600000000004</v>
      </c>
      <c r="M147" s="140">
        <f t="shared" si="19"/>
        <v>8.2447233631479849E-2</v>
      </c>
      <c r="N147" s="140">
        <v>91.266000000000005</v>
      </c>
      <c r="O147" s="99">
        <f t="shared" si="20"/>
        <v>6.3063572414699891</v>
      </c>
      <c r="S147" s="228"/>
      <c r="T147" s="228"/>
      <c r="U147" s="228"/>
      <c r="V147" s="228"/>
    </row>
    <row r="148" spans="2:22">
      <c r="B148" s="121" t="s">
        <v>671</v>
      </c>
      <c r="C148" s="121" t="s">
        <v>670</v>
      </c>
      <c r="D148" s="99">
        <v>0.72</v>
      </c>
      <c r="E148" s="290">
        <v>117.789</v>
      </c>
      <c r="F148" s="172">
        <v>2.919</v>
      </c>
      <c r="G148" s="291">
        <f t="shared" si="17"/>
        <v>120.708</v>
      </c>
      <c r="H148" s="294">
        <v>28.902999999999999</v>
      </c>
      <c r="I148" s="291">
        <f t="shared" si="15"/>
        <v>91.805000000000007</v>
      </c>
      <c r="J148" s="292">
        <f t="shared" si="16"/>
        <v>0.23944560426815123</v>
      </c>
      <c r="K148" s="140">
        <f t="shared" si="18"/>
        <v>2.4781600998395437E-2</v>
      </c>
      <c r="L148" s="172">
        <v>112.005</v>
      </c>
      <c r="M148" s="140">
        <f t="shared" si="19"/>
        <v>0.8196509084415875</v>
      </c>
      <c r="N148" s="140">
        <v>25.030999999999999</v>
      </c>
      <c r="O148" s="99">
        <f t="shared" si="20"/>
        <v>4.474651432224042</v>
      </c>
      <c r="S148" s="228"/>
      <c r="T148" s="228"/>
      <c r="U148" s="228"/>
      <c r="V148" s="228"/>
    </row>
    <row r="149" spans="2:22">
      <c r="B149" s="121" t="s">
        <v>673</v>
      </c>
      <c r="C149" s="121" t="s">
        <v>672</v>
      </c>
      <c r="D149" s="99">
        <v>1.1100000000000001</v>
      </c>
      <c r="E149" s="290">
        <v>101.566</v>
      </c>
      <c r="F149" s="172">
        <v>316.39999999999998</v>
      </c>
      <c r="G149" s="291">
        <f t="shared" si="17"/>
        <v>417.96600000000001</v>
      </c>
      <c r="H149" s="294">
        <v>197.5</v>
      </c>
      <c r="I149" s="291">
        <f t="shared" si="15"/>
        <v>220.46600000000001</v>
      </c>
      <c r="J149" s="292">
        <f t="shared" si="16"/>
        <v>0.47252647344520843</v>
      </c>
      <c r="K149" s="140">
        <f t="shared" si="18"/>
        <v>3.1152157217966638</v>
      </c>
      <c r="L149" s="172">
        <v>1319.1</v>
      </c>
      <c r="M149" s="140">
        <f t="shared" si="19"/>
        <v>0.16713365173224171</v>
      </c>
      <c r="N149" s="140">
        <v>363.7</v>
      </c>
      <c r="O149" s="99">
        <f t="shared" si="20"/>
        <v>3.6268902941985153</v>
      </c>
      <c r="S149" s="228"/>
      <c r="T149" s="228"/>
      <c r="U149" s="228"/>
      <c r="V149" s="12"/>
    </row>
    <row r="150" spans="2:22">
      <c r="B150" s="121" t="s">
        <v>675</v>
      </c>
      <c r="C150" s="121" t="s">
        <v>674</v>
      </c>
      <c r="D150" s="99">
        <v>1.2</v>
      </c>
      <c r="E150" s="290">
        <v>101.35899999999999</v>
      </c>
      <c r="F150" s="172">
        <v>2.262</v>
      </c>
      <c r="G150" s="291">
        <f t="shared" si="17"/>
        <v>103.621</v>
      </c>
      <c r="H150" s="294">
        <v>3.8719999999999999</v>
      </c>
      <c r="I150" s="291">
        <f t="shared" si="15"/>
        <v>99.748999999999995</v>
      </c>
      <c r="J150" s="292">
        <f t="shared" si="16"/>
        <v>3.7366942994180717E-2</v>
      </c>
      <c r="K150" s="140">
        <f t="shared" si="18"/>
        <v>2.2316715831845226E-2</v>
      </c>
      <c r="L150" s="172">
        <v>86.153999999999996</v>
      </c>
      <c r="M150" s="140">
        <f t="shared" si="19"/>
        <v>1.1577988253592404</v>
      </c>
      <c r="N150" s="140">
        <v>0</v>
      </c>
      <c r="O150" s="241" t="s">
        <v>106</v>
      </c>
      <c r="S150" s="228"/>
      <c r="T150" s="12"/>
      <c r="U150" s="228"/>
      <c r="V150" s="12"/>
    </row>
    <row r="151" spans="2:22">
      <c r="B151" s="121" t="s">
        <v>677</v>
      </c>
      <c r="C151" s="121" t="s">
        <v>676</v>
      </c>
      <c r="D151" s="241" t="s">
        <v>106</v>
      </c>
      <c r="E151" s="290">
        <v>86.402000000000001</v>
      </c>
      <c r="F151" s="172">
        <v>1.5369999999999999</v>
      </c>
      <c r="G151" s="291">
        <f t="shared" si="17"/>
        <v>87.939000000000007</v>
      </c>
      <c r="H151" s="294">
        <v>2.6818000000000002E-2</v>
      </c>
      <c r="I151" s="291">
        <f t="shared" si="15"/>
        <v>87.912182000000001</v>
      </c>
      <c r="J151" s="292">
        <f t="shared" si="16"/>
        <v>3.0496139369335561E-4</v>
      </c>
      <c r="K151" s="140">
        <f t="shared" si="18"/>
        <v>1.7788940070831694E-2</v>
      </c>
      <c r="L151" s="172">
        <v>1.679</v>
      </c>
      <c r="M151" s="140">
        <f t="shared" si="19"/>
        <v>52.359846337105417</v>
      </c>
      <c r="N151" s="140">
        <v>0</v>
      </c>
      <c r="O151" s="241" t="s">
        <v>106</v>
      </c>
      <c r="S151" s="228"/>
      <c r="T151" s="228"/>
      <c r="U151" s="228"/>
      <c r="V151" s="228"/>
    </row>
    <row r="152" spans="2:22">
      <c r="B152" s="121" t="s">
        <v>439</v>
      </c>
      <c r="C152" s="121" t="s">
        <v>438</v>
      </c>
      <c r="D152" s="99">
        <v>0.62</v>
      </c>
      <c r="E152" s="290">
        <v>83.724999999999994</v>
      </c>
      <c r="F152" s="172">
        <v>1.3069999999999999</v>
      </c>
      <c r="G152" s="291">
        <f t="shared" si="17"/>
        <v>85.031999999999996</v>
      </c>
      <c r="H152" s="294">
        <v>626.63699999999994</v>
      </c>
      <c r="I152" s="291">
        <f t="shared" si="15"/>
        <v>-541.6049999999999</v>
      </c>
      <c r="J152" s="292">
        <f t="shared" si="16"/>
        <v>7.3694256279988704</v>
      </c>
      <c r="K152" s="140">
        <f t="shared" si="18"/>
        <v>1.5610630038817557E-2</v>
      </c>
      <c r="L152" s="172">
        <v>1154.114</v>
      </c>
      <c r="M152" s="140">
        <f t="shared" si="19"/>
        <v>-0.46928206399021233</v>
      </c>
      <c r="N152" s="140">
        <v>214.78299999999999</v>
      </c>
      <c r="O152" s="99">
        <f t="shared" si="20"/>
        <v>5.3733954735709997</v>
      </c>
      <c r="S152" s="228"/>
      <c r="T152" s="228"/>
      <c r="U152" s="228"/>
      <c r="V152" s="228"/>
    </row>
    <row r="153" spans="2:22">
      <c r="B153" s="121" t="s">
        <v>679</v>
      </c>
      <c r="C153" s="121" t="s">
        <v>678</v>
      </c>
      <c r="D153" s="99">
        <v>1.66</v>
      </c>
      <c r="E153" s="290">
        <v>82.287999999999997</v>
      </c>
      <c r="F153" s="172">
        <v>1.4630000000000001</v>
      </c>
      <c r="G153" s="291">
        <f t="shared" si="17"/>
        <v>83.750999999999991</v>
      </c>
      <c r="H153" s="294">
        <v>18.885000000000002</v>
      </c>
      <c r="I153" s="291">
        <f t="shared" si="15"/>
        <v>64.865999999999985</v>
      </c>
      <c r="J153" s="292">
        <f t="shared" si="16"/>
        <v>0.22548984489737439</v>
      </c>
      <c r="K153" s="140">
        <f t="shared" si="18"/>
        <v>1.7779020027221468E-2</v>
      </c>
      <c r="L153" s="172">
        <v>143.40899999999999</v>
      </c>
      <c r="M153" s="140">
        <f t="shared" si="19"/>
        <v>0.4523147082819069</v>
      </c>
      <c r="N153" s="140">
        <v>36.737000000000002</v>
      </c>
      <c r="O153" s="99">
        <f t="shared" si="20"/>
        <v>3.9036666031521352</v>
      </c>
      <c r="S153" s="228"/>
      <c r="T153" s="228"/>
      <c r="U153" s="228"/>
      <c r="V153" s="228"/>
    </row>
    <row r="154" spans="2:22">
      <c r="B154" s="121" t="s">
        <v>681</v>
      </c>
      <c r="C154" s="121" t="s">
        <v>680</v>
      </c>
      <c r="D154" s="99">
        <v>1.42</v>
      </c>
      <c r="E154" s="290">
        <v>78.123000000000005</v>
      </c>
      <c r="F154" s="172">
        <v>1.1719999999999999</v>
      </c>
      <c r="G154" s="291">
        <f t="shared" si="17"/>
        <v>79.295000000000002</v>
      </c>
      <c r="H154" s="294">
        <v>29.765999999999998</v>
      </c>
      <c r="I154" s="291">
        <f t="shared" si="15"/>
        <v>49.529000000000003</v>
      </c>
      <c r="J154" s="292">
        <f t="shared" si="16"/>
        <v>0.37538306324484516</v>
      </c>
      <c r="K154" s="140">
        <f t="shared" si="18"/>
        <v>1.5001984050791698E-2</v>
      </c>
      <c r="L154" s="172">
        <v>180.13300000000001</v>
      </c>
      <c r="M154" s="140">
        <f t="shared" si="19"/>
        <v>0.27495794773861537</v>
      </c>
      <c r="N154" s="140">
        <v>26.353000000000002</v>
      </c>
      <c r="O154" s="99">
        <f t="shared" si="20"/>
        <v>6.835388760292946</v>
      </c>
      <c r="S154" s="228"/>
      <c r="T154" s="228"/>
      <c r="U154" s="228"/>
      <c r="V154" s="228"/>
    </row>
    <row r="155" spans="2:22">
      <c r="B155" s="121" t="s">
        <v>683</v>
      </c>
      <c r="C155" s="121" t="s">
        <v>682</v>
      </c>
      <c r="D155" s="99">
        <v>0.43</v>
      </c>
      <c r="E155" s="290">
        <v>77.180999999999997</v>
      </c>
      <c r="F155" s="172">
        <v>1.1679999999999999</v>
      </c>
      <c r="G155" s="291">
        <f t="shared" si="17"/>
        <v>78.349000000000004</v>
      </c>
      <c r="H155" s="294">
        <v>7.2370000000000001</v>
      </c>
      <c r="I155" s="291">
        <f t="shared" si="15"/>
        <v>71.112000000000009</v>
      </c>
      <c r="J155" s="292">
        <f t="shared" si="16"/>
        <v>9.2368760290495094E-2</v>
      </c>
      <c r="K155" s="140">
        <f t="shared" si="18"/>
        <v>1.5133258185304673E-2</v>
      </c>
      <c r="L155" s="172">
        <v>15.805</v>
      </c>
      <c r="M155" s="140">
        <f t="shared" si="19"/>
        <v>4.4993356532742812</v>
      </c>
      <c r="N155" s="140">
        <v>13.728999999999999</v>
      </c>
      <c r="O155" s="99">
        <f t="shared" si="20"/>
        <v>1.1512127613081797</v>
      </c>
      <c r="S155" s="228"/>
      <c r="T155" s="228"/>
    </row>
    <row r="156" spans="2:22">
      <c r="B156" s="121" t="s">
        <v>372</v>
      </c>
      <c r="C156" s="121" t="s">
        <v>371</v>
      </c>
      <c r="D156" s="241" t="s">
        <v>106</v>
      </c>
      <c r="E156" s="290">
        <v>76.286000000000001</v>
      </c>
      <c r="F156" s="172">
        <v>135.87299999999999</v>
      </c>
      <c r="G156" s="291">
        <f t="shared" si="17"/>
        <v>212.15899999999999</v>
      </c>
      <c r="H156" s="294">
        <v>38.832000000000001</v>
      </c>
      <c r="I156" s="291">
        <f t="shared" si="15"/>
        <v>173.327</v>
      </c>
      <c r="J156" s="292">
        <f t="shared" si="16"/>
        <v>0.18303253691806617</v>
      </c>
      <c r="K156" s="140">
        <f t="shared" si="18"/>
        <v>1.7811000707862517</v>
      </c>
      <c r="L156" s="172">
        <v>0</v>
      </c>
      <c r="M156" s="241" t="s">
        <v>106</v>
      </c>
      <c r="N156" s="140">
        <v>0</v>
      </c>
      <c r="O156" s="241" t="s">
        <v>106</v>
      </c>
      <c r="S156" s="12"/>
      <c r="T156" s="228"/>
      <c r="U156" s="228"/>
      <c r="V156" s="228"/>
    </row>
    <row r="157" spans="2:22">
      <c r="B157" s="121" t="s">
        <v>394</v>
      </c>
      <c r="C157" s="121" t="s">
        <v>393</v>
      </c>
      <c r="D157" s="241" t="s">
        <v>106</v>
      </c>
      <c r="E157" s="290">
        <v>76.042000000000002</v>
      </c>
      <c r="F157" s="172">
        <v>0</v>
      </c>
      <c r="G157" s="291">
        <f t="shared" si="17"/>
        <v>76.042000000000002</v>
      </c>
      <c r="H157" s="294">
        <v>10.593</v>
      </c>
      <c r="I157" s="291">
        <f t="shared" si="15"/>
        <v>65.448999999999998</v>
      </c>
      <c r="J157" s="292">
        <f t="shared" si="16"/>
        <v>0.13930459482917334</v>
      </c>
      <c r="K157" s="140">
        <f t="shared" si="18"/>
        <v>0</v>
      </c>
      <c r="L157" s="172">
        <v>76.111999999999995</v>
      </c>
      <c r="M157" s="140">
        <f t="shared" si="19"/>
        <v>0.85990382594071901</v>
      </c>
      <c r="N157" s="140">
        <v>31.890999999999998</v>
      </c>
      <c r="O157" s="99">
        <f t="shared" si="20"/>
        <v>2.3866294565864976</v>
      </c>
      <c r="S157" s="228"/>
      <c r="T157" s="228"/>
      <c r="U157" s="228"/>
      <c r="V157" s="228"/>
    </row>
    <row r="158" spans="2:22">
      <c r="B158" s="121" t="s">
        <v>685</v>
      </c>
      <c r="C158" s="121" t="s">
        <v>684</v>
      </c>
      <c r="D158" s="99">
        <v>-0.12</v>
      </c>
      <c r="E158" s="290">
        <v>53.335999999999999</v>
      </c>
      <c r="F158" s="172">
        <v>11.009</v>
      </c>
      <c r="G158" s="291">
        <f t="shared" si="17"/>
        <v>64.344999999999999</v>
      </c>
      <c r="H158" s="294">
        <v>5.9130000000000003</v>
      </c>
      <c r="I158" s="291">
        <f t="shared" si="15"/>
        <v>58.432000000000002</v>
      </c>
      <c r="J158" s="292">
        <f t="shared" si="16"/>
        <v>9.1895252156344712E-2</v>
      </c>
      <c r="K158" s="140">
        <f t="shared" si="18"/>
        <v>0.2064084295785211</v>
      </c>
      <c r="L158" s="172">
        <v>189.923</v>
      </c>
      <c r="M158" s="140">
        <f t="shared" si="19"/>
        <v>0.30766152598684732</v>
      </c>
      <c r="N158" s="140">
        <v>5.3529999999999998</v>
      </c>
      <c r="O158" s="99">
        <f t="shared" si="20"/>
        <v>35.479730991967124</v>
      </c>
      <c r="S158" s="228"/>
      <c r="T158" s="228"/>
      <c r="U158" s="228"/>
      <c r="V158" s="228"/>
    </row>
    <row r="159" spans="2:22">
      <c r="B159" s="121" t="s">
        <v>375</v>
      </c>
      <c r="C159" s="121" t="s">
        <v>374</v>
      </c>
      <c r="D159" s="99">
        <v>-2.82</v>
      </c>
      <c r="E159" s="290">
        <v>51.837000000000003</v>
      </c>
      <c r="F159" s="172">
        <v>65.272000000000006</v>
      </c>
      <c r="G159" s="291">
        <f t="shared" si="17"/>
        <v>117.10900000000001</v>
      </c>
      <c r="H159" s="294">
        <v>82.16</v>
      </c>
      <c r="I159" s="291">
        <f t="shared" si="15"/>
        <v>34.949000000000012</v>
      </c>
      <c r="J159" s="292">
        <f t="shared" si="16"/>
        <v>0.70156862410233189</v>
      </c>
      <c r="K159" s="140">
        <f t="shared" si="18"/>
        <v>1.2591778073576789</v>
      </c>
      <c r="L159" s="172">
        <v>458.66</v>
      </c>
      <c r="M159" s="140">
        <f t="shared" si="19"/>
        <v>7.6198055204290779E-2</v>
      </c>
      <c r="N159" s="140">
        <v>87.959000000000003</v>
      </c>
      <c r="O159" s="99">
        <f t="shared" si="20"/>
        <v>5.2144749258177105</v>
      </c>
      <c r="S159" s="228"/>
      <c r="T159" s="228"/>
      <c r="U159" s="228"/>
      <c r="V159" s="228"/>
    </row>
    <row r="160" spans="2:22">
      <c r="B160" s="121" t="s">
        <v>413</v>
      </c>
      <c r="C160" s="121" t="s">
        <v>412</v>
      </c>
      <c r="D160" s="99">
        <v>0.76</v>
      </c>
      <c r="E160" s="290">
        <v>52.994</v>
      </c>
      <c r="F160" s="172">
        <v>4.1239999999999997</v>
      </c>
      <c r="G160" s="291">
        <f t="shared" si="17"/>
        <v>57.118000000000002</v>
      </c>
      <c r="H160" s="294">
        <v>69.667000000000002</v>
      </c>
      <c r="I160" s="291">
        <f t="shared" si="15"/>
        <v>-12.548999999999999</v>
      </c>
      <c r="J160" s="292">
        <f t="shared" si="16"/>
        <v>1.2197030708358136</v>
      </c>
      <c r="K160" s="140">
        <f t="shared" si="18"/>
        <v>7.7820130580820462E-2</v>
      </c>
      <c r="L160" s="172">
        <v>49.134</v>
      </c>
      <c r="M160" s="140">
        <f t="shared" si="19"/>
        <v>-0.25540359018195141</v>
      </c>
      <c r="N160" s="140">
        <v>20.747</v>
      </c>
      <c r="O160" s="99">
        <f t="shared" si="20"/>
        <v>2.368246011471538</v>
      </c>
      <c r="S160" s="228"/>
      <c r="T160" s="228"/>
      <c r="U160" s="228"/>
      <c r="V160" s="12"/>
    </row>
    <row r="161" spans="2:22">
      <c r="B161" s="121" t="s">
        <v>687</v>
      </c>
      <c r="C161" s="121" t="s">
        <v>686</v>
      </c>
      <c r="D161" s="99">
        <v>-0.08</v>
      </c>
      <c r="E161" s="290">
        <v>45.43</v>
      </c>
      <c r="F161" s="172">
        <v>3.4660000000000002</v>
      </c>
      <c r="G161" s="291">
        <f t="shared" si="17"/>
        <v>48.896000000000001</v>
      </c>
      <c r="H161" s="294">
        <v>1.6759999999999999</v>
      </c>
      <c r="I161" s="291">
        <f t="shared" si="15"/>
        <v>47.22</v>
      </c>
      <c r="J161" s="292">
        <f t="shared" si="16"/>
        <v>3.427683246073298E-2</v>
      </c>
      <c r="K161" s="140">
        <f t="shared" si="18"/>
        <v>7.6293198327096634E-2</v>
      </c>
      <c r="L161" s="172">
        <v>2.8140000000000001</v>
      </c>
      <c r="M161" s="140">
        <f t="shared" si="19"/>
        <v>16.780383795309167</v>
      </c>
      <c r="N161" s="140">
        <v>0</v>
      </c>
      <c r="O161" s="241" t="s">
        <v>106</v>
      </c>
      <c r="S161" s="228"/>
      <c r="T161" s="12"/>
      <c r="U161" s="228"/>
      <c r="V161" s="228"/>
    </row>
    <row r="162" spans="2:22">
      <c r="B162" s="121" t="s">
        <v>689</v>
      </c>
      <c r="C162" s="121" t="s">
        <v>688</v>
      </c>
      <c r="D162" s="99">
        <v>1.27</v>
      </c>
      <c r="E162" s="290">
        <v>39.959000000000003</v>
      </c>
      <c r="F162" s="172">
        <v>1.86</v>
      </c>
      <c r="G162" s="291">
        <f t="shared" si="17"/>
        <v>41.819000000000003</v>
      </c>
      <c r="H162" s="294">
        <v>0.59296500000000008</v>
      </c>
      <c r="I162" s="291">
        <f t="shared" si="15"/>
        <v>41.226035000000003</v>
      </c>
      <c r="J162" s="292">
        <f t="shared" si="16"/>
        <v>1.417932040460078E-2</v>
      </c>
      <c r="K162" s="140">
        <f t="shared" si="18"/>
        <v>4.6547711404189292E-2</v>
      </c>
      <c r="L162" s="172">
        <v>22.797999999999998</v>
      </c>
      <c r="M162" s="140">
        <f t="shared" si="19"/>
        <v>1.8083180542152824</v>
      </c>
      <c r="N162" s="140">
        <v>7.008</v>
      </c>
      <c r="O162" s="99">
        <f t="shared" si="20"/>
        <v>3.2531392694063923</v>
      </c>
      <c r="S162" s="228"/>
      <c r="T162" s="228"/>
      <c r="U162" s="228"/>
      <c r="V162" s="12"/>
    </row>
    <row r="163" spans="2:22">
      <c r="B163" s="121" t="s">
        <v>691</v>
      </c>
      <c r="C163" s="121" t="s">
        <v>690</v>
      </c>
      <c r="D163" s="241" t="s">
        <v>106</v>
      </c>
      <c r="E163" s="290">
        <v>39.319000000000003</v>
      </c>
      <c r="F163" s="172">
        <v>2.5659999999999998</v>
      </c>
      <c r="G163" s="291">
        <f t="shared" si="17"/>
        <v>41.885000000000005</v>
      </c>
      <c r="H163" s="294">
        <v>14.65</v>
      </c>
      <c r="I163" s="291">
        <f t="shared" si="15"/>
        <v>27.235000000000007</v>
      </c>
      <c r="J163" s="292">
        <f t="shared" si="16"/>
        <v>0.34976721976841346</v>
      </c>
      <c r="K163" s="140">
        <f t="shared" si="18"/>
        <v>6.5261069711844144E-2</v>
      </c>
      <c r="L163" s="172">
        <v>45.472999999999999</v>
      </c>
      <c r="M163" s="140">
        <f t="shared" si="19"/>
        <v>0.59892683570470406</v>
      </c>
      <c r="N163" s="140">
        <v>0</v>
      </c>
      <c r="O163" s="241" t="s">
        <v>106</v>
      </c>
      <c r="U163" s="228"/>
      <c r="V163" s="228"/>
    </row>
    <row r="164" spans="2:22">
      <c r="B164" s="121" t="s">
        <v>693</v>
      </c>
      <c r="C164" s="121" t="s">
        <v>692</v>
      </c>
      <c r="D164" s="99">
        <v>-1.23</v>
      </c>
      <c r="E164" s="290">
        <v>38.860999999999997</v>
      </c>
      <c r="F164" s="241" t="s">
        <v>106</v>
      </c>
      <c r="G164" s="241" t="s">
        <v>106</v>
      </c>
      <c r="H164" s="242" t="s">
        <v>106</v>
      </c>
      <c r="I164" s="242" t="s">
        <v>106</v>
      </c>
      <c r="J164" s="241" t="s">
        <v>106</v>
      </c>
      <c r="K164" s="240" t="s">
        <v>106</v>
      </c>
      <c r="L164" s="172">
        <v>1835.02</v>
      </c>
      <c r="M164" s="241" t="s">
        <v>106</v>
      </c>
      <c r="N164" s="140">
        <v>463.19499999999999</v>
      </c>
      <c r="O164" s="99">
        <f t="shared" si="20"/>
        <v>3.9616576172022584</v>
      </c>
      <c r="S164" s="228"/>
      <c r="T164" s="228"/>
      <c r="U164" s="228"/>
      <c r="V164" s="12"/>
    </row>
    <row r="165" spans="2:22">
      <c r="B165" s="121" t="s">
        <v>695</v>
      </c>
      <c r="C165" s="121" t="s">
        <v>694</v>
      </c>
      <c r="D165" s="99">
        <v>1.06</v>
      </c>
      <c r="E165" s="290">
        <v>35.869999999999997</v>
      </c>
      <c r="F165" s="172">
        <v>6.5789999999999997</v>
      </c>
      <c r="G165" s="291">
        <f t="shared" si="17"/>
        <v>42.448999999999998</v>
      </c>
      <c r="H165" s="294">
        <v>2.254</v>
      </c>
      <c r="I165" s="291">
        <f t="shared" si="15"/>
        <v>40.195</v>
      </c>
      <c r="J165" s="292">
        <f t="shared" si="16"/>
        <v>5.3099012933166864E-2</v>
      </c>
      <c r="K165" s="140">
        <f t="shared" si="18"/>
        <v>0.18341232227488152</v>
      </c>
      <c r="L165" s="172">
        <v>304.93700000000001</v>
      </c>
      <c r="M165" s="140">
        <f t="shared" si="19"/>
        <v>0.13181411242322183</v>
      </c>
      <c r="N165" s="140">
        <v>0</v>
      </c>
      <c r="O165" s="241" t="s">
        <v>106</v>
      </c>
      <c r="U165" s="228"/>
      <c r="V165" s="12"/>
    </row>
    <row r="166" spans="2:22">
      <c r="B166" s="121" t="s">
        <v>697</v>
      </c>
      <c r="C166" s="121" t="s">
        <v>696</v>
      </c>
      <c r="D166" s="99">
        <v>0.78</v>
      </c>
      <c r="E166" s="290">
        <v>32.634999999999998</v>
      </c>
      <c r="F166" s="241" t="s">
        <v>106</v>
      </c>
      <c r="G166" s="241" t="s">
        <v>106</v>
      </c>
      <c r="H166" s="242" t="s">
        <v>106</v>
      </c>
      <c r="I166" s="242" t="s">
        <v>106</v>
      </c>
      <c r="J166" s="241" t="s">
        <v>106</v>
      </c>
      <c r="K166" s="240" t="s">
        <v>106</v>
      </c>
      <c r="L166" s="172">
        <v>67.715999999999994</v>
      </c>
      <c r="M166" s="240" t="s">
        <v>106</v>
      </c>
      <c r="N166" s="140">
        <v>0</v>
      </c>
      <c r="O166" s="241" t="s">
        <v>106</v>
      </c>
      <c r="S166" s="12"/>
      <c r="T166" s="12"/>
      <c r="U166" s="228"/>
      <c r="V166" s="12"/>
    </row>
    <row r="167" spans="2:22">
      <c r="B167" s="121" t="s">
        <v>699</v>
      </c>
      <c r="C167" s="121" t="s">
        <v>698</v>
      </c>
      <c r="D167" s="99">
        <v>-0.11</v>
      </c>
      <c r="E167" s="290">
        <v>32.524000000000001</v>
      </c>
      <c r="F167" s="172">
        <v>0.66300000000000003</v>
      </c>
      <c r="G167" s="291">
        <f t="shared" si="17"/>
        <v>33.186999999999998</v>
      </c>
      <c r="H167" s="294">
        <v>0.81699999999999995</v>
      </c>
      <c r="I167" s="291">
        <f t="shared" si="15"/>
        <v>32.369999999999997</v>
      </c>
      <c r="J167" s="292">
        <f t="shared" si="16"/>
        <v>2.4618073341971254E-2</v>
      </c>
      <c r="K167" s="140">
        <f t="shared" si="18"/>
        <v>2.0384946501045383E-2</v>
      </c>
      <c r="L167" s="172">
        <v>4.016</v>
      </c>
      <c r="M167" s="140">
        <f t="shared" si="19"/>
        <v>8.0602589641434257</v>
      </c>
      <c r="N167" s="140">
        <v>0</v>
      </c>
      <c r="O167" s="241" t="s">
        <v>106</v>
      </c>
      <c r="S167" s="228"/>
      <c r="T167" s="228"/>
      <c r="U167" s="228"/>
      <c r="V167" s="228"/>
    </row>
    <row r="168" spans="2:22">
      <c r="B168" s="121" t="s">
        <v>701</v>
      </c>
      <c r="C168" s="121" t="s">
        <v>700</v>
      </c>
      <c r="D168" s="99">
        <v>1.45</v>
      </c>
      <c r="E168" s="290">
        <v>32.279000000000003</v>
      </c>
      <c r="F168" s="172">
        <v>30.986000000000001</v>
      </c>
      <c r="G168" s="291">
        <f t="shared" si="17"/>
        <v>63.265000000000001</v>
      </c>
      <c r="H168" s="294">
        <v>8.5060000000000002</v>
      </c>
      <c r="I168" s="291">
        <f t="shared" si="15"/>
        <v>54.759</v>
      </c>
      <c r="J168" s="292">
        <f t="shared" si="16"/>
        <v>0.134450327985458</v>
      </c>
      <c r="K168" s="140">
        <f t="shared" si="18"/>
        <v>0.95994299699495023</v>
      </c>
      <c r="L168" s="172">
        <v>240.751</v>
      </c>
      <c r="M168" s="140">
        <f t="shared" si="19"/>
        <v>0.22745076863647504</v>
      </c>
      <c r="N168" s="140">
        <v>185.99100000000001</v>
      </c>
      <c r="O168" s="99">
        <f t="shared" si="20"/>
        <v>1.2944228484173965</v>
      </c>
      <c r="S168" s="12"/>
      <c r="T168" s="228"/>
      <c r="U168" s="228"/>
      <c r="V168" s="12"/>
    </row>
    <row r="169" spans="2:22">
      <c r="B169" s="121" t="s">
        <v>703</v>
      </c>
      <c r="C169" s="121" t="s">
        <v>702</v>
      </c>
      <c r="D169" s="99">
        <v>1.77</v>
      </c>
      <c r="E169" s="290">
        <v>28.475000000000001</v>
      </c>
      <c r="F169" s="172">
        <v>0.320992</v>
      </c>
      <c r="G169" s="291">
        <f t="shared" si="17"/>
        <v>28.795992000000002</v>
      </c>
      <c r="H169" s="294">
        <v>2.839</v>
      </c>
      <c r="I169" s="291">
        <f t="shared" si="15"/>
        <v>25.956992000000003</v>
      </c>
      <c r="J169" s="292">
        <f t="shared" si="16"/>
        <v>9.8590109345772836E-2</v>
      </c>
      <c r="K169" s="140">
        <f t="shared" si="18"/>
        <v>1.1272765583845478E-2</v>
      </c>
      <c r="L169" s="172">
        <v>42.906999999999996</v>
      </c>
      <c r="M169" s="140">
        <f t="shared" si="19"/>
        <v>0.60495937725779025</v>
      </c>
      <c r="N169" s="140">
        <v>0</v>
      </c>
      <c r="O169" s="241" t="s">
        <v>106</v>
      </c>
      <c r="S169" s="228"/>
      <c r="T169" s="228"/>
      <c r="U169" s="228"/>
      <c r="V169" s="228"/>
    </row>
    <row r="170" spans="2:22">
      <c r="B170" s="121" t="s">
        <v>378</v>
      </c>
      <c r="C170" s="121" t="s">
        <v>377</v>
      </c>
      <c r="D170" s="99">
        <v>2.83</v>
      </c>
      <c r="E170" s="290">
        <v>17.939</v>
      </c>
      <c r="F170" s="172">
        <v>120.334</v>
      </c>
      <c r="G170" s="291">
        <f t="shared" si="17"/>
        <v>138.273</v>
      </c>
      <c r="H170" s="294">
        <v>105.027</v>
      </c>
      <c r="I170" s="291">
        <f t="shared" si="15"/>
        <v>33.245999999999995</v>
      </c>
      <c r="J170" s="292">
        <f t="shared" si="16"/>
        <v>0.75956260441300905</v>
      </c>
      <c r="K170" s="140">
        <f t="shared" si="18"/>
        <v>6.7079547354925024</v>
      </c>
      <c r="L170" s="172">
        <v>176.994</v>
      </c>
      <c r="M170" s="140">
        <f t="shared" si="19"/>
        <v>0.18783687582629918</v>
      </c>
      <c r="N170" s="140">
        <v>29.486999999999998</v>
      </c>
      <c r="O170" s="99">
        <f t="shared" si="20"/>
        <v>6.0024417539932857</v>
      </c>
      <c r="S170" s="228"/>
      <c r="T170" s="228"/>
      <c r="U170" s="228"/>
      <c r="V170" s="228"/>
    </row>
    <row r="171" spans="2:22">
      <c r="B171" s="121" t="s">
        <v>410</v>
      </c>
      <c r="C171" s="121" t="s">
        <v>409</v>
      </c>
      <c r="D171" s="99">
        <v>0.42</v>
      </c>
      <c r="E171" s="290">
        <v>24.774999999999999</v>
      </c>
      <c r="F171" s="172">
        <v>10.064</v>
      </c>
      <c r="G171" s="291">
        <f t="shared" si="17"/>
        <v>34.838999999999999</v>
      </c>
      <c r="H171" s="294">
        <v>635.46100000000001</v>
      </c>
      <c r="I171" s="291">
        <f t="shared" si="15"/>
        <v>-600.62200000000007</v>
      </c>
      <c r="J171" s="292">
        <f>H171/G171</f>
        <v>18.23993225982376</v>
      </c>
      <c r="K171" s="140">
        <f>F171/E171</f>
        <v>0.40621594349142282</v>
      </c>
      <c r="L171" s="172">
        <v>282.84100000000001</v>
      </c>
      <c r="M171" s="140">
        <f t="shared" si="19"/>
        <v>-2.1235323026011081</v>
      </c>
      <c r="N171" s="140">
        <v>88.284000000000006</v>
      </c>
      <c r="O171" s="99">
        <f t="shared" si="20"/>
        <v>3.2037628562366907</v>
      </c>
      <c r="S171" s="12"/>
      <c r="U171" s="12"/>
      <c r="V171" s="12"/>
    </row>
    <row r="172" spans="2:22">
      <c r="B172" s="121" t="s">
        <v>705</v>
      </c>
      <c r="C172" s="121" t="s">
        <v>704</v>
      </c>
      <c r="D172" s="99">
        <v>-3.29</v>
      </c>
      <c r="E172" s="290">
        <v>21.849</v>
      </c>
      <c r="F172" s="172">
        <v>0.2</v>
      </c>
      <c r="G172" s="291">
        <f t="shared" si="17"/>
        <v>22.048999999999999</v>
      </c>
      <c r="H172" s="171">
        <v>2.4358000000000001E-2</v>
      </c>
      <c r="I172" s="291">
        <f t="shared" ref="I172:I179" si="21">G172-H172</f>
        <v>22.024642</v>
      </c>
      <c r="J172" s="292">
        <f t="shared" ref="J172:J179" si="22">H172/G172</f>
        <v>1.1047213025534039E-3</v>
      </c>
      <c r="K172" s="140">
        <f t="shared" si="18"/>
        <v>9.1537370131356127E-3</v>
      </c>
      <c r="L172" s="172">
        <v>4.5094999999999996E-2</v>
      </c>
      <c r="M172" s="140">
        <f t="shared" si="19"/>
        <v>488.40541079942346</v>
      </c>
      <c r="N172" s="140">
        <v>7.5420000000000001E-3</v>
      </c>
      <c r="O172" s="99">
        <f t="shared" si="20"/>
        <v>5.9791832405197551</v>
      </c>
      <c r="S172" s="228"/>
      <c r="U172" s="228"/>
      <c r="V172" s="12"/>
    </row>
    <row r="173" spans="2:22">
      <c r="B173" s="121" t="s">
        <v>707</v>
      </c>
      <c r="C173" s="121" t="s">
        <v>706</v>
      </c>
      <c r="D173" s="241" t="s">
        <v>106</v>
      </c>
      <c r="E173" s="290">
        <v>20.597000000000001</v>
      </c>
      <c r="F173" s="172">
        <v>5.1180000000000003</v>
      </c>
      <c r="G173" s="291">
        <f t="shared" si="17"/>
        <v>25.715000000000003</v>
      </c>
      <c r="H173" s="171">
        <v>1.89</v>
      </c>
      <c r="I173" s="291">
        <f t="shared" si="21"/>
        <v>23.825000000000003</v>
      </c>
      <c r="J173" s="292">
        <f t="shared" si="22"/>
        <v>7.3497958390044707E-2</v>
      </c>
      <c r="K173" s="140">
        <f t="shared" si="18"/>
        <v>0.24848278875564403</v>
      </c>
      <c r="L173" s="172">
        <v>39.161999999999999</v>
      </c>
      <c r="M173" s="140">
        <f t="shared" si="19"/>
        <v>0.6083703590215005</v>
      </c>
      <c r="N173" s="140">
        <v>0</v>
      </c>
      <c r="O173" s="241" t="s">
        <v>106</v>
      </c>
      <c r="U173" s="228"/>
      <c r="V173" s="12"/>
    </row>
    <row r="174" spans="2:22">
      <c r="B174" s="121" t="s">
        <v>433</v>
      </c>
      <c r="C174" s="121" t="s">
        <v>432</v>
      </c>
      <c r="D174" s="99">
        <v>2.9</v>
      </c>
      <c r="E174" s="290">
        <v>20.547000000000001</v>
      </c>
      <c r="F174" s="172">
        <v>0</v>
      </c>
      <c r="G174" s="291">
        <f t="shared" si="17"/>
        <v>20.547000000000001</v>
      </c>
      <c r="H174" s="171">
        <v>1.5029999999999999</v>
      </c>
      <c r="I174" s="291">
        <f t="shared" si="21"/>
        <v>19.044</v>
      </c>
      <c r="J174" s="292">
        <f t="shared" si="22"/>
        <v>7.314936487078405E-2</v>
      </c>
      <c r="K174" s="140">
        <f t="shared" si="18"/>
        <v>0</v>
      </c>
      <c r="L174" s="172">
        <v>2.4489999999999998</v>
      </c>
      <c r="M174" s="140">
        <f t="shared" si="19"/>
        <v>7.7762351980400171</v>
      </c>
      <c r="N174" s="140">
        <v>0</v>
      </c>
      <c r="O174" s="241" t="s">
        <v>106</v>
      </c>
      <c r="S174" s="228"/>
      <c r="U174" s="228"/>
      <c r="V174" s="12"/>
    </row>
    <row r="175" spans="2:22">
      <c r="B175" s="121" t="s">
        <v>709</v>
      </c>
      <c r="C175" s="121" t="s">
        <v>708</v>
      </c>
      <c r="D175" s="99">
        <v>0.61</v>
      </c>
      <c r="E175" s="290">
        <v>19.968</v>
      </c>
      <c r="F175" s="172">
        <v>4.1760000000000002</v>
      </c>
      <c r="G175" s="291">
        <f t="shared" si="17"/>
        <v>24.143999999999998</v>
      </c>
      <c r="H175" s="171">
        <v>1.8120000000000001</v>
      </c>
      <c r="I175" s="291">
        <f t="shared" si="21"/>
        <v>22.331999999999997</v>
      </c>
      <c r="J175" s="292">
        <f t="shared" si="22"/>
        <v>7.5049701789264414E-2</v>
      </c>
      <c r="K175" s="140">
        <f t="shared" si="18"/>
        <v>0.20913461538461539</v>
      </c>
      <c r="L175" s="172">
        <v>11.522</v>
      </c>
      <c r="M175" s="140">
        <f t="shared" si="19"/>
        <v>1.9382051727130705</v>
      </c>
      <c r="N175" s="140">
        <v>0</v>
      </c>
      <c r="O175" s="241" t="s">
        <v>106</v>
      </c>
      <c r="U175" s="228"/>
      <c r="V175" s="228"/>
    </row>
    <row r="176" spans="2:22">
      <c r="B176" s="121" t="s">
        <v>396</v>
      </c>
      <c r="C176" s="121" t="s">
        <v>395</v>
      </c>
      <c r="D176" s="241" t="s">
        <v>106</v>
      </c>
      <c r="E176" s="290">
        <v>19.535</v>
      </c>
      <c r="F176" s="172">
        <v>26.824000000000002</v>
      </c>
      <c r="G176" s="291">
        <f t="shared" si="17"/>
        <v>46.359000000000002</v>
      </c>
      <c r="H176" s="171">
        <v>1.8220000000000001</v>
      </c>
      <c r="I176" s="291">
        <f t="shared" si="21"/>
        <v>44.536999999999999</v>
      </c>
      <c r="J176" s="292">
        <f t="shared" si="22"/>
        <v>3.9301969412627535E-2</v>
      </c>
      <c r="K176" s="140">
        <f t="shared" si="18"/>
        <v>1.373125159969286</v>
      </c>
      <c r="L176" s="172">
        <v>90.203000000000003</v>
      </c>
      <c r="M176" s="140">
        <f t="shared" si="19"/>
        <v>0.49374189328514573</v>
      </c>
      <c r="N176" s="140">
        <v>29.63</v>
      </c>
      <c r="O176" s="99">
        <f t="shared" si="20"/>
        <v>3.0443131960850494</v>
      </c>
      <c r="U176" s="228"/>
      <c r="V176" s="228"/>
    </row>
    <row r="177" spans="2:22">
      <c r="B177" s="121" t="s">
        <v>711</v>
      </c>
      <c r="C177" s="121" t="s">
        <v>710</v>
      </c>
      <c r="D177" s="99">
        <v>-2.94</v>
      </c>
      <c r="E177" s="290">
        <v>19.440000000000001</v>
      </c>
      <c r="F177" s="172">
        <v>7.9481999999999997E-2</v>
      </c>
      <c r="G177" s="291">
        <f t="shared" si="17"/>
        <v>19.519482</v>
      </c>
      <c r="H177" s="171">
        <v>0.83884999999999998</v>
      </c>
      <c r="I177" s="291">
        <f t="shared" si="21"/>
        <v>18.680631999999999</v>
      </c>
      <c r="J177" s="292">
        <f t="shared" si="22"/>
        <v>4.2975013373818011E-2</v>
      </c>
      <c r="K177" s="140">
        <f t="shared" si="18"/>
        <v>4.0885802469135795E-3</v>
      </c>
      <c r="L177" s="172">
        <v>1.6659999999999999</v>
      </c>
      <c r="M177" s="140">
        <f t="shared" si="19"/>
        <v>11.212864345738295</v>
      </c>
      <c r="N177" s="140">
        <v>1.0680000000000001</v>
      </c>
      <c r="O177" s="99">
        <f t="shared" si="20"/>
        <v>1.5599250936329587</v>
      </c>
      <c r="U177" s="228"/>
      <c r="V177" s="228"/>
    </row>
    <row r="178" spans="2:22">
      <c r="B178" s="121" t="s">
        <v>713</v>
      </c>
      <c r="C178" s="121" t="s">
        <v>712</v>
      </c>
      <c r="D178" s="241" t="s">
        <v>106</v>
      </c>
      <c r="E178" s="290">
        <v>13.066000000000001</v>
      </c>
      <c r="F178" s="172">
        <v>24.172000000000001</v>
      </c>
      <c r="G178" s="291">
        <f t="shared" si="17"/>
        <v>37.238</v>
      </c>
      <c r="H178" s="171">
        <v>32.835000000000001</v>
      </c>
      <c r="I178" s="291">
        <f t="shared" si="21"/>
        <v>4.4029999999999987</v>
      </c>
      <c r="J178" s="292">
        <f t="shared" si="22"/>
        <v>0.88176056716257589</v>
      </c>
      <c r="K178" s="140">
        <f t="shared" si="18"/>
        <v>1.8499923465482933</v>
      </c>
      <c r="L178" s="172">
        <v>149.535</v>
      </c>
      <c r="M178" s="140">
        <f t="shared" si="19"/>
        <v>2.9444611629384419E-2</v>
      </c>
      <c r="N178" s="140">
        <v>20.183</v>
      </c>
      <c r="O178" s="99">
        <f t="shared" si="20"/>
        <v>7.4089580339890002</v>
      </c>
      <c r="U178" s="228"/>
      <c r="V178" s="12"/>
    </row>
    <row r="179" spans="2:22">
      <c r="B179" s="121" t="s">
        <v>715</v>
      </c>
      <c r="C179" s="121" t="s">
        <v>714</v>
      </c>
      <c r="D179" s="99">
        <v>3.87</v>
      </c>
      <c r="E179" s="290">
        <v>11.441000000000001</v>
      </c>
      <c r="F179" s="172">
        <v>12.637</v>
      </c>
      <c r="G179" s="291">
        <f t="shared" si="17"/>
        <v>24.078000000000003</v>
      </c>
      <c r="H179" s="171">
        <v>7.97</v>
      </c>
      <c r="I179" s="291">
        <f t="shared" si="21"/>
        <v>16.108000000000004</v>
      </c>
      <c r="J179" s="292">
        <f t="shared" si="22"/>
        <v>0.33100755876733945</v>
      </c>
      <c r="K179" s="140">
        <f t="shared" si="18"/>
        <v>1.1045363167555284</v>
      </c>
      <c r="L179" s="172">
        <v>52.911999999999999</v>
      </c>
      <c r="M179" s="140">
        <f t="shared" si="19"/>
        <v>0.30442999697611134</v>
      </c>
      <c r="N179" s="140">
        <v>0</v>
      </c>
      <c r="O179" s="241" t="s">
        <v>106</v>
      </c>
      <c r="U179" s="228"/>
      <c r="V179" s="12"/>
    </row>
    <row r="180" spans="2:22">
      <c r="B180" s="121" t="s">
        <v>717</v>
      </c>
      <c r="C180" s="121" t="s">
        <v>716</v>
      </c>
      <c r="D180" s="99">
        <v>-0.37</v>
      </c>
      <c r="E180" s="290">
        <v>10.741</v>
      </c>
      <c r="F180" s="241" t="s">
        <v>106</v>
      </c>
      <c r="G180" s="241" t="s">
        <v>106</v>
      </c>
      <c r="H180" s="241" t="s">
        <v>106</v>
      </c>
      <c r="I180" s="241" t="s">
        <v>106</v>
      </c>
      <c r="J180" s="241" t="s">
        <v>106</v>
      </c>
      <c r="K180" s="240" t="s">
        <v>106</v>
      </c>
      <c r="L180" s="172">
        <v>10.602</v>
      </c>
      <c r="M180" s="240" t="s">
        <v>106</v>
      </c>
      <c r="N180" s="140">
        <v>0</v>
      </c>
      <c r="O180" s="241" t="s">
        <v>106</v>
      </c>
      <c r="U180" s="228"/>
      <c r="V180" s="228"/>
    </row>
    <row r="181" spans="2:22">
      <c r="B181" s="121" t="s">
        <v>415</v>
      </c>
      <c r="C181" s="121" t="s">
        <v>414</v>
      </c>
      <c r="D181" s="99">
        <v>1.54</v>
      </c>
      <c r="E181" s="290">
        <v>9.1660000000000004</v>
      </c>
      <c r="F181" s="172">
        <v>1.1493999999999999E-2</v>
      </c>
      <c r="G181" s="291">
        <f t="shared" si="17"/>
        <v>9.1774940000000012</v>
      </c>
      <c r="H181" s="171">
        <v>33.146999999999998</v>
      </c>
      <c r="I181" s="291">
        <f>G181-H181</f>
        <v>-23.969505999999996</v>
      </c>
      <c r="J181" s="292">
        <f>H181/G181</f>
        <v>3.6117702719282621</v>
      </c>
      <c r="K181" s="140">
        <f t="shared" si="18"/>
        <v>1.2539821077896572E-3</v>
      </c>
      <c r="L181" s="172">
        <v>30.181999999999999</v>
      </c>
      <c r="M181" s="140">
        <f t="shared" si="19"/>
        <v>-0.79416559538797948</v>
      </c>
      <c r="N181" s="140">
        <v>13.113</v>
      </c>
      <c r="O181" s="99">
        <f t="shared" si="20"/>
        <v>2.3016853504156183</v>
      </c>
      <c r="U181" s="228"/>
      <c r="V181" s="228"/>
    </row>
    <row r="182" spans="2:22">
      <c r="B182" s="121" t="s">
        <v>719</v>
      </c>
      <c r="C182" s="121" t="s">
        <v>718</v>
      </c>
      <c r="D182" s="99">
        <v>0.92</v>
      </c>
      <c r="E182" s="290">
        <v>8.9949999999999992</v>
      </c>
      <c r="F182" s="172">
        <v>24.504000000000001</v>
      </c>
      <c r="G182" s="291">
        <f t="shared" si="17"/>
        <v>33.499000000000002</v>
      </c>
      <c r="H182" s="171">
        <v>7.7670000000000003</v>
      </c>
      <c r="I182" s="291">
        <f>G182-H182</f>
        <v>25.732000000000003</v>
      </c>
      <c r="J182" s="292">
        <f>H182/G182</f>
        <v>0.23185766739305649</v>
      </c>
      <c r="K182" s="140">
        <f>F182/E182</f>
        <v>2.724180100055587</v>
      </c>
      <c r="L182" s="172">
        <v>57.807000000000002</v>
      </c>
      <c r="M182" s="140">
        <f t="shared" si="19"/>
        <v>0.44513640216582773</v>
      </c>
      <c r="N182" s="140">
        <v>5.4340000000000002</v>
      </c>
      <c r="O182" s="99">
        <f t="shared" si="20"/>
        <v>10.63801987486198</v>
      </c>
      <c r="U182" s="228"/>
      <c r="V182" s="228"/>
    </row>
    <row r="183" spans="2:22">
      <c r="B183" s="121" t="s">
        <v>403</v>
      </c>
      <c r="C183" s="121" t="s">
        <v>402</v>
      </c>
      <c r="D183" s="99">
        <v>-0.17</v>
      </c>
      <c r="E183" s="290">
        <v>8.625</v>
      </c>
      <c r="F183" s="172">
        <v>7.9829999999999997</v>
      </c>
      <c r="G183" s="291">
        <f t="shared" si="17"/>
        <v>16.608000000000001</v>
      </c>
      <c r="H183" s="171">
        <v>18.25</v>
      </c>
      <c r="I183" s="291">
        <f>G183-H183</f>
        <v>-1.6419999999999995</v>
      </c>
      <c r="J183" s="292">
        <f>H183/G183</f>
        <v>1.098868015414258</v>
      </c>
      <c r="K183" s="140">
        <f t="shared" si="18"/>
        <v>0.92556521739130426</v>
      </c>
      <c r="L183" s="172">
        <v>203.244</v>
      </c>
      <c r="M183" s="140">
        <f t="shared" si="19"/>
        <v>-8.0789592804707613E-3</v>
      </c>
      <c r="N183" s="140">
        <v>13.13</v>
      </c>
      <c r="O183" s="99">
        <f t="shared" si="20"/>
        <v>15.479360243716679</v>
      </c>
      <c r="U183" s="228"/>
      <c r="V183" s="12"/>
    </row>
    <row r="184" spans="2:22">
      <c r="B184" s="121" t="s">
        <v>766</v>
      </c>
      <c r="C184" s="121" t="s">
        <v>437</v>
      </c>
      <c r="D184" s="99">
        <v>1.67</v>
      </c>
      <c r="E184" s="290">
        <v>8.468</v>
      </c>
      <c r="F184" s="172">
        <v>1.923</v>
      </c>
      <c r="G184" s="291">
        <f t="shared" si="17"/>
        <v>10.391</v>
      </c>
      <c r="H184" s="171">
        <v>26.634</v>
      </c>
      <c r="I184" s="291">
        <f>G184-H184</f>
        <v>-16.243000000000002</v>
      </c>
      <c r="J184" s="292">
        <f>H184/G184</f>
        <v>2.5631796747185063</v>
      </c>
      <c r="K184" s="140">
        <f t="shared" si="18"/>
        <v>0.22709022201228155</v>
      </c>
      <c r="L184" s="172">
        <v>5.9249999999999998</v>
      </c>
      <c r="M184" s="140">
        <f t="shared" si="19"/>
        <v>-2.7414345991561184</v>
      </c>
      <c r="N184" s="140">
        <v>0.36019099999999998</v>
      </c>
      <c r="O184" s="99">
        <f t="shared" si="20"/>
        <v>16.449605903534515</v>
      </c>
    </row>
    <row r="185" spans="2:22">
      <c r="B185" s="121" t="s">
        <v>765</v>
      </c>
      <c r="C185" s="121" t="s">
        <v>720</v>
      </c>
      <c r="D185" s="99">
        <v>-45.55</v>
      </c>
      <c r="E185" s="290">
        <v>8.1479999999999997</v>
      </c>
      <c r="F185" s="241" t="s">
        <v>106</v>
      </c>
      <c r="G185" s="241" t="s">
        <v>106</v>
      </c>
      <c r="H185" s="241" t="s">
        <v>106</v>
      </c>
      <c r="I185" s="241" t="s">
        <v>106</v>
      </c>
      <c r="J185" s="241" t="s">
        <v>106</v>
      </c>
      <c r="K185" s="240" t="s">
        <v>106</v>
      </c>
      <c r="L185" s="240" t="s">
        <v>106</v>
      </c>
      <c r="M185" s="240" t="s">
        <v>106</v>
      </c>
      <c r="N185" s="240" t="s">
        <v>106</v>
      </c>
      <c r="O185" s="241" t="s">
        <v>106</v>
      </c>
      <c r="U185" s="228"/>
      <c r="V185" s="12"/>
    </row>
    <row r="186" spans="2:22">
      <c r="B186" s="121" t="s">
        <v>722</v>
      </c>
      <c r="C186" s="121" t="s">
        <v>721</v>
      </c>
      <c r="D186" s="241" t="s">
        <v>106</v>
      </c>
      <c r="E186" s="290">
        <v>7.5090000000000003</v>
      </c>
      <c r="F186" s="172">
        <v>9.7000000000000003E-2</v>
      </c>
      <c r="G186" s="291">
        <f t="shared" si="17"/>
        <v>7.6060000000000008</v>
      </c>
      <c r="H186" s="171">
        <v>0.33300000000000002</v>
      </c>
      <c r="I186" s="291">
        <f t="shared" ref="I186:I193" si="23">G186-H186</f>
        <v>7.2730000000000006</v>
      </c>
      <c r="J186" s="292">
        <f t="shared" ref="J186:J193" si="24">H186/G186</f>
        <v>4.3781225348409149E-2</v>
      </c>
      <c r="K186" s="140">
        <f t="shared" si="18"/>
        <v>1.291783193501132E-2</v>
      </c>
      <c r="L186" s="172">
        <v>7.234</v>
      </c>
      <c r="M186" s="140">
        <f t="shared" si="19"/>
        <v>1.0053912081835776</v>
      </c>
      <c r="N186" s="140">
        <v>5.8999999999999997E-2</v>
      </c>
      <c r="O186" s="99">
        <f t="shared" si="20"/>
        <v>122.61016949152543</v>
      </c>
      <c r="U186" s="228"/>
      <c r="V186" s="12"/>
    </row>
    <row r="187" spans="2:22">
      <c r="B187" s="121" t="s">
        <v>724</v>
      </c>
      <c r="C187" s="121" t="s">
        <v>723</v>
      </c>
      <c r="D187" s="241" t="s">
        <v>106</v>
      </c>
      <c r="E187" s="290">
        <v>6.5019999999999998</v>
      </c>
      <c r="F187" s="172">
        <v>0.13300000000000001</v>
      </c>
      <c r="G187" s="291">
        <f t="shared" si="17"/>
        <v>6.6349999999999998</v>
      </c>
      <c r="H187" s="171">
        <v>0.17799999999999999</v>
      </c>
      <c r="I187" s="291">
        <f t="shared" si="23"/>
        <v>6.4569999999999999</v>
      </c>
      <c r="J187" s="292">
        <f t="shared" si="24"/>
        <v>2.6827430293896004E-2</v>
      </c>
      <c r="K187" s="140">
        <f t="shared" si="18"/>
        <v>2.0455244540141498E-2</v>
      </c>
      <c r="L187" s="172">
        <v>10.484999999999999</v>
      </c>
      <c r="M187" s="140">
        <f t="shared" si="19"/>
        <v>0.61583214115402962</v>
      </c>
      <c r="N187" s="140">
        <v>0</v>
      </c>
      <c r="O187" s="241" t="s">
        <v>106</v>
      </c>
      <c r="U187" s="228"/>
      <c r="V187" s="228"/>
    </row>
    <row r="188" spans="2:22">
      <c r="B188" s="121" t="s">
        <v>399</v>
      </c>
      <c r="C188" s="121" t="s">
        <v>398</v>
      </c>
      <c r="D188" s="241" t="s">
        <v>106</v>
      </c>
      <c r="E188" s="290">
        <v>5.8680000000000003</v>
      </c>
      <c r="F188" s="172">
        <v>4.5609999999999999</v>
      </c>
      <c r="G188" s="291">
        <f t="shared" si="17"/>
        <v>10.429</v>
      </c>
      <c r="H188" s="171">
        <v>0.39300000000000002</v>
      </c>
      <c r="I188" s="291">
        <f t="shared" si="23"/>
        <v>10.036</v>
      </c>
      <c r="J188" s="292">
        <f>H188/G188</f>
        <v>3.7683382874676381E-2</v>
      </c>
      <c r="K188" s="140">
        <f>F188/E188</f>
        <v>0.77726653033401494</v>
      </c>
      <c r="L188" s="172">
        <v>6.9420000000000002</v>
      </c>
      <c r="M188" s="140">
        <f t="shared" si="19"/>
        <v>1.4456928838951311</v>
      </c>
      <c r="N188" s="140">
        <v>1.3879999999999999</v>
      </c>
      <c r="O188" s="99">
        <f t="shared" si="20"/>
        <v>5.0014409221902021</v>
      </c>
      <c r="U188" s="228"/>
      <c r="V188" s="228"/>
    </row>
    <row r="189" spans="2:22">
      <c r="B189" s="121" t="s">
        <v>726</v>
      </c>
      <c r="C189" s="121" t="s">
        <v>725</v>
      </c>
      <c r="D189" s="99">
        <v>1.75</v>
      </c>
      <c r="E189" s="290">
        <v>4.6900000000000004</v>
      </c>
      <c r="F189" s="172">
        <v>1.028</v>
      </c>
      <c r="G189" s="291">
        <f t="shared" si="17"/>
        <v>5.718</v>
      </c>
      <c r="H189" s="171">
        <v>1.538</v>
      </c>
      <c r="I189" s="291">
        <f t="shared" si="23"/>
        <v>4.18</v>
      </c>
      <c r="J189" s="292">
        <f t="shared" si="24"/>
        <v>0.26897516614200773</v>
      </c>
      <c r="K189" s="140">
        <f t="shared" si="18"/>
        <v>0.21918976545842217</v>
      </c>
      <c r="L189" s="172">
        <v>24.396000000000001</v>
      </c>
      <c r="M189" s="140">
        <f t="shared" si="19"/>
        <v>0.17133956386292834</v>
      </c>
      <c r="N189" s="140">
        <v>7.7539999999999996</v>
      </c>
      <c r="O189" s="99">
        <f t="shared" si="20"/>
        <v>3.1462470982718598</v>
      </c>
      <c r="U189" s="228"/>
      <c r="V189" s="12"/>
    </row>
    <row r="190" spans="2:22">
      <c r="B190" s="121" t="s">
        <v>419</v>
      </c>
      <c r="C190" s="121" t="s">
        <v>418</v>
      </c>
      <c r="D190" s="241" t="s">
        <v>106</v>
      </c>
      <c r="E190" s="290">
        <v>4.6909999999999998</v>
      </c>
      <c r="F190" s="172">
        <v>2.2000000000000002</v>
      </c>
      <c r="G190" s="291">
        <f t="shared" si="17"/>
        <v>6.891</v>
      </c>
      <c r="H190" s="171">
        <v>8.4160000000000004</v>
      </c>
      <c r="I190" s="291">
        <f t="shared" si="23"/>
        <v>-1.5250000000000004</v>
      </c>
      <c r="J190" s="292">
        <f t="shared" si="24"/>
        <v>1.2213031490349733</v>
      </c>
      <c r="K190" s="140">
        <f t="shared" si="18"/>
        <v>0.46898315924110001</v>
      </c>
      <c r="L190" s="172">
        <v>17.006</v>
      </c>
      <c r="M190" s="140">
        <f t="shared" si="19"/>
        <v>-8.9674232623779868E-2</v>
      </c>
      <c r="N190" s="140">
        <v>0</v>
      </c>
      <c r="O190" s="241" t="s">
        <v>106</v>
      </c>
      <c r="U190" s="228"/>
      <c r="V190" s="12"/>
    </row>
    <row r="191" spans="2:22">
      <c r="B191" s="121" t="s">
        <v>728</v>
      </c>
      <c r="C191" s="121" t="s">
        <v>727</v>
      </c>
      <c r="D191" s="99">
        <v>0.23</v>
      </c>
      <c r="E191" s="290">
        <v>4.3869999999999996</v>
      </c>
      <c r="F191" s="172">
        <v>7.7990000000000004</v>
      </c>
      <c r="G191" s="291">
        <f t="shared" si="17"/>
        <v>12.186</v>
      </c>
      <c r="H191" s="171">
        <v>2.8090000000000002</v>
      </c>
      <c r="I191" s="291">
        <f t="shared" si="23"/>
        <v>9.3769999999999989</v>
      </c>
      <c r="J191" s="292">
        <f t="shared" si="24"/>
        <v>0.23051042179550305</v>
      </c>
      <c r="K191" s="140">
        <f t="shared" si="18"/>
        <v>1.7777524504217008</v>
      </c>
      <c r="L191" s="172">
        <v>87.013999999999996</v>
      </c>
      <c r="M191" s="140">
        <f t="shared" si="19"/>
        <v>0.10776426781897165</v>
      </c>
      <c r="N191" s="140">
        <v>0</v>
      </c>
      <c r="O191" s="241" t="s">
        <v>106</v>
      </c>
      <c r="U191" s="228"/>
      <c r="V191" s="12"/>
    </row>
    <row r="192" spans="2:22">
      <c r="B192" s="121" t="s">
        <v>730</v>
      </c>
      <c r="C192" s="121" t="s">
        <v>729</v>
      </c>
      <c r="D192" s="99">
        <v>1.35</v>
      </c>
      <c r="E192" s="290">
        <v>4.1760000000000002</v>
      </c>
      <c r="F192" s="172">
        <v>4.6909999999999998</v>
      </c>
      <c r="G192" s="291">
        <f t="shared" si="17"/>
        <v>8.8670000000000009</v>
      </c>
      <c r="H192" s="171">
        <v>2.3860000000000001</v>
      </c>
      <c r="I192" s="291">
        <f t="shared" si="23"/>
        <v>6.4810000000000008</v>
      </c>
      <c r="J192" s="292">
        <f t="shared" si="24"/>
        <v>0.26908762828465094</v>
      </c>
      <c r="K192" s="140">
        <f t="shared" si="18"/>
        <v>1.123323754789272</v>
      </c>
      <c r="L192" s="172">
        <v>37.093000000000004</v>
      </c>
      <c r="M192" s="140">
        <f t="shared" si="19"/>
        <v>0.17472299355673579</v>
      </c>
      <c r="N192" s="140">
        <v>0.78562199999999993</v>
      </c>
      <c r="O192" s="99">
        <f t="shared" si="20"/>
        <v>47.214818322297504</v>
      </c>
      <c r="U192" s="228"/>
      <c r="V192" s="228"/>
    </row>
    <row r="193" spans="2:23">
      <c r="B193" s="121" t="s">
        <v>429</v>
      </c>
      <c r="C193" s="121" t="s">
        <v>428</v>
      </c>
      <c r="D193" s="99">
        <v>0.56000000000000005</v>
      </c>
      <c r="E193" s="290">
        <v>3.9569999999999999</v>
      </c>
      <c r="F193" s="172">
        <v>1402.654</v>
      </c>
      <c r="G193" s="291">
        <f t="shared" si="17"/>
        <v>1406.6110000000001</v>
      </c>
      <c r="H193" s="171">
        <v>156.108</v>
      </c>
      <c r="I193" s="291">
        <f t="shared" si="23"/>
        <v>1250.5030000000002</v>
      </c>
      <c r="J193" s="292">
        <f t="shared" si="24"/>
        <v>0.110981643112417</v>
      </c>
      <c r="K193" s="140">
        <f t="shared" si="18"/>
        <v>354.47409653778118</v>
      </c>
      <c r="L193" s="172">
        <v>2770.2640000000001</v>
      </c>
      <c r="M193" s="140">
        <f t="shared" si="19"/>
        <v>0.45140210463695885</v>
      </c>
      <c r="N193" s="140">
        <v>135.36699999999999</v>
      </c>
      <c r="O193" s="99">
        <f t="shared" si="20"/>
        <v>20.46484002748085</v>
      </c>
    </row>
    <row r="194" spans="2:23">
      <c r="B194" s="121" t="s">
        <v>732</v>
      </c>
      <c r="C194" s="121" t="s">
        <v>731</v>
      </c>
      <c r="D194" s="99">
        <v>2.41</v>
      </c>
      <c r="E194" s="290">
        <v>1.071</v>
      </c>
      <c r="F194" s="241" t="s">
        <v>106</v>
      </c>
      <c r="G194" s="241" t="s">
        <v>106</v>
      </c>
      <c r="H194" s="241" t="s">
        <v>106</v>
      </c>
      <c r="I194" s="241" t="s">
        <v>106</v>
      </c>
      <c r="J194" s="241" t="s">
        <v>106</v>
      </c>
      <c r="K194" s="240" t="s">
        <v>106</v>
      </c>
      <c r="L194" s="240" t="s">
        <v>106</v>
      </c>
      <c r="M194" s="240" t="s">
        <v>106</v>
      </c>
      <c r="N194" s="240" t="s">
        <v>106</v>
      </c>
      <c r="O194" s="241" t="s">
        <v>106</v>
      </c>
      <c r="U194" s="228"/>
    </row>
    <row r="195" spans="2:23">
      <c r="B195" s="121" t="s">
        <v>734</v>
      </c>
      <c r="C195" s="121" t="s">
        <v>733</v>
      </c>
      <c r="D195" s="99">
        <v>-0.62</v>
      </c>
      <c r="E195" s="290">
        <v>0.82476899999999997</v>
      </c>
      <c r="F195" s="241" t="s">
        <v>106</v>
      </c>
      <c r="G195" s="241" t="s">
        <v>106</v>
      </c>
      <c r="H195" s="241" t="s">
        <v>106</v>
      </c>
      <c r="I195" s="241" t="s">
        <v>106</v>
      </c>
      <c r="J195" s="241" t="s">
        <v>106</v>
      </c>
      <c r="K195" s="240" t="s">
        <v>106</v>
      </c>
      <c r="L195" s="240" t="s">
        <v>106</v>
      </c>
      <c r="M195" s="240" t="s">
        <v>106</v>
      </c>
      <c r="N195" s="240" t="s">
        <v>106</v>
      </c>
      <c r="O195" s="241" t="s">
        <v>106</v>
      </c>
      <c r="U195" s="228"/>
      <c r="V195" s="228"/>
    </row>
    <row r="196" spans="2:23">
      <c r="B196" s="121" t="s">
        <v>736</v>
      </c>
      <c r="C196" s="121" t="s">
        <v>735</v>
      </c>
      <c r="D196" s="99">
        <v>-0.23</v>
      </c>
      <c r="E196" s="290">
        <v>0.42535499999999998</v>
      </c>
      <c r="F196" s="172">
        <v>8.0470000000000006</v>
      </c>
      <c r="G196" s="291">
        <f t="shared" si="17"/>
        <v>8.4723550000000003</v>
      </c>
      <c r="H196" s="171">
        <v>1.29</v>
      </c>
      <c r="I196" s="291">
        <f>G196-H196</f>
        <v>7.1823550000000003</v>
      </c>
      <c r="J196" s="292">
        <f>H196/G196</f>
        <v>0.15225990884470728</v>
      </c>
      <c r="K196" s="140">
        <f t="shared" si="18"/>
        <v>18.918315289581646</v>
      </c>
      <c r="L196" s="172">
        <v>16.146999999999998</v>
      </c>
      <c r="M196" s="140">
        <f t="shared" si="19"/>
        <v>0.44481049111290027</v>
      </c>
      <c r="N196" s="140">
        <v>3.8290000000000002</v>
      </c>
      <c r="O196" s="99">
        <f t="shared" si="20"/>
        <v>4.2170279446330632</v>
      </c>
      <c r="U196" s="228"/>
      <c r="V196" s="228"/>
    </row>
    <row r="197" spans="2:23">
      <c r="B197" s="121" t="s">
        <v>738</v>
      </c>
      <c r="C197" s="121" t="s">
        <v>737</v>
      </c>
      <c r="D197" s="99">
        <v>-0.73</v>
      </c>
      <c r="E197" s="290">
        <v>0.400841</v>
      </c>
      <c r="F197" s="172">
        <v>1.599</v>
      </c>
      <c r="G197" s="291">
        <f t="shared" si="17"/>
        <v>1.999841</v>
      </c>
      <c r="H197" s="171">
        <v>4.532</v>
      </c>
      <c r="I197" s="291">
        <f>G197-H197</f>
        <v>-2.532159</v>
      </c>
      <c r="J197" s="292">
        <f>H197/G197</f>
        <v>2.2661801613228252</v>
      </c>
      <c r="K197" s="140">
        <f t="shared" si="18"/>
        <v>3.9891128901484629</v>
      </c>
      <c r="L197" s="172">
        <v>50.225999999999999</v>
      </c>
      <c r="M197" s="140">
        <f>I197/L197</f>
        <v>-5.0415302831202963E-2</v>
      </c>
      <c r="N197" s="140">
        <v>6.4779999999999998</v>
      </c>
      <c r="O197" s="99">
        <f t="shared" si="20"/>
        <v>7.7533189255943196</v>
      </c>
      <c r="U197" s="12"/>
      <c r="V197" s="12"/>
    </row>
    <row r="198" spans="2:23">
      <c r="B198" s="121" t="s">
        <v>767</v>
      </c>
      <c r="C198" s="121" t="s">
        <v>739</v>
      </c>
      <c r="D198" s="241" t="s">
        <v>106</v>
      </c>
      <c r="E198" s="290">
        <v>8.8082999999999995E-2</v>
      </c>
      <c r="F198" s="241" t="s">
        <v>106</v>
      </c>
      <c r="G198" s="241" t="s">
        <v>106</v>
      </c>
      <c r="H198" s="241" t="s">
        <v>106</v>
      </c>
      <c r="I198" s="241" t="s">
        <v>106</v>
      </c>
      <c r="J198" s="241" t="s">
        <v>106</v>
      </c>
      <c r="K198" s="240" t="s">
        <v>106</v>
      </c>
      <c r="L198" s="172">
        <v>0</v>
      </c>
      <c r="M198" s="240" t="s">
        <v>106</v>
      </c>
      <c r="N198" s="140">
        <v>2.6484000000000001E-2</v>
      </c>
      <c r="O198" s="99">
        <f t="shared" si="20"/>
        <v>0</v>
      </c>
      <c r="U198" s="228"/>
    </row>
    <row r="199" spans="2:23">
      <c r="B199" s="121" t="s">
        <v>741</v>
      </c>
      <c r="C199" s="121" t="s">
        <v>740</v>
      </c>
      <c r="D199" s="99">
        <v>2.65</v>
      </c>
      <c r="E199" s="290">
        <v>5.5766000000000003E-2</v>
      </c>
      <c r="F199" s="241" t="s">
        <v>106</v>
      </c>
      <c r="G199" s="241" t="s">
        <v>106</v>
      </c>
      <c r="H199" s="241" t="s">
        <v>106</v>
      </c>
      <c r="I199" s="241" t="s">
        <v>106</v>
      </c>
      <c r="J199" s="241" t="s">
        <v>106</v>
      </c>
      <c r="K199" s="240" t="s">
        <v>106</v>
      </c>
      <c r="L199" s="240" t="s">
        <v>106</v>
      </c>
      <c r="M199" s="240" t="s">
        <v>106</v>
      </c>
      <c r="N199" s="240" t="s">
        <v>106</v>
      </c>
      <c r="O199" s="241" t="s">
        <v>106</v>
      </c>
      <c r="U199" s="228"/>
      <c r="V199" s="12"/>
    </row>
    <row r="200" spans="2:23">
      <c r="B200" s="121" t="s">
        <v>743</v>
      </c>
      <c r="C200" s="121" t="s">
        <v>742</v>
      </c>
      <c r="D200" s="99">
        <v>1.1299999999999999</v>
      </c>
      <c r="E200" s="290">
        <v>2.7376999999999999E-2</v>
      </c>
      <c r="F200" s="172">
        <v>7.8949999999999996</v>
      </c>
      <c r="G200" s="291">
        <f>E200+F200</f>
        <v>7.922377</v>
      </c>
      <c r="H200" s="171">
        <v>0</v>
      </c>
      <c r="I200" s="291">
        <f>G200-H200</f>
        <v>7.922377</v>
      </c>
      <c r="J200" s="292">
        <f>H200/G200</f>
        <v>0</v>
      </c>
      <c r="K200" s="140">
        <f>F200/E200</f>
        <v>288.38075757022318</v>
      </c>
      <c r="L200" s="172">
        <v>32.353000000000002</v>
      </c>
      <c r="M200" s="140">
        <f>I200/L200</f>
        <v>0.24487302568540784</v>
      </c>
      <c r="N200" s="140">
        <v>0</v>
      </c>
      <c r="O200" s="241" t="s">
        <v>106</v>
      </c>
      <c r="U200" s="12"/>
      <c r="V200" s="12"/>
    </row>
    <row r="201" spans="2:23">
      <c r="B201" s="121" t="s">
        <v>745</v>
      </c>
      <c r="C201" s="121" t="s">
        <v>744</v>
      </c>
      <c r="D201" s="99">
        <v>2.19</v>
      </c>
      <c r="E201" s="290">
        <v>2.9E-5</v>
      </c>
      <c r="F201" s="241" t="s">
        <v>106</v>
      </c>
      <c r="G201" s="241" t="s">
        <v>106</v>
      </c>
      <c r="H201" s="241" t="s">
        <v>106</v>
      </c>
      <c r="I201" s="241" t="s">
        <v>106</v>
      </c>
      <c r="J201" s="241" t="s">
        <v>106</v>
      </c>
      <c r="K201" s="240" t="s">
        <v>106</v>
      </c>
      <c r="L201" s="172">
        <v>0.49361549999999998</v>
      </c>
      <c r="M201" s="240" t="s">
        <v>106</v>
      </c>
      <c r="N201" s="140">
        <v>0</v>
      </c>
      <c r="O201" s="241" t="s">
        <v>106</v>
      </c>
      <c r="U201" s="228"/>
    </row>
    <row r="202" spans="2:23">
      <c r="B202" s="121" t="s">
        <v>747</v>
      </c>
      <c r="C202" s="121" t="s">
        <v>746</v>
      </c>
      <c r="D202" s="241" t="s">
        <v>106</v>
      </c>
      <c r="E202" s="239" t="s">
        <v>106</v>
      </c>
      <c r="F202" s="172">
        <v>12760.334000000001</v>
      </c>
      <c r="G202" s="241" t="s">
        <v>106</v>
      </c>
      <c r="H202" s="171">
        <v>92943.332999999999</v>
      </c>
      <c r="I202" s="241" t="s">
        <v>106</v>
      </c>
      <c r="J202" s="241" t="s">
        <v>106</v>
      </c>
      <c r="K202" s="240" t="s">
        <v>106</v>
      </c>
      <c r="L202" s="172">
        <v>0</v>
      </c>
      <c r="M202" s="240" t="s">
        <v>106</v>
      </c>
      <c r="N202" s="140">
        <v>0</v>
      </c>
      <c r="O202" s="241" t="s">
        <v>106</v>
      </c>
      <c r="U202" s="228"/>
      <c r="V202" s="12"/>
    </row>
    <row r="203" spans="2:23">
      <c r="B203" s="121" t="s">
        <v>749</v>
      </c>
      <c r="C203" s="121" t="s">
        <v>748</v>
      </c>
      <c r="D203" s="241" t="s">
        <v>106</v>
      </c>
      <c r="E203" s="239" t="s">
        <v>106</v>
      </c>
      <c r="F203" s="172">
        <v>8.6514999999999995E-2</v>
      </c>
      <c r="G203" s="241" t="s">
        <v>106</v>
      </c>
      <c r="H203" s="171">
        <v>76.543000000000006</v>
      </c>
      <c r="I203" s="241" t="s">
        <v>106</v>
      </c>
      <c r="J203" s="241" t="s">
        <v>106</v>
      </c>
      <c r="K203" s="240" t="s">
        <v>106</v>
      </c>
      <c r="L203" s="172">
        <v>4.1029999999999998</v>
      </c>
      <c r="M203" s="240" t="s">
        <v>106</v>
      </c>
      <c r="N203" s="140">
        <v>0</v>
      </c>
      <c r="O203" s="241" t="s">
        <v>106</v>
      </c>
      <c r="U203" s="228"/>
      <c r="V203" s="12"/>
    </row>
    <row r="204" spans="2:23">
      <c r="B204" s="121" t="s">
        <v>752</v>
      </c>
      <c r="C204" s="121" t="s">
        <v>751</v>
      </c>
      <c r="D204" s="241" t="s">
        <v>106</v>
      </c>
      <c r="E204" s="239" t="s">
        <v>106</v>
      </c>
      <c r="F204" s="172">
        <v>73.8</v>
      </c>
      <c r="G204" s="241" t="s">
        <v>106</v>
      </c>
      <c r="H204" s="171">
        <v>949.1</v>
      </c>
      <c r="I204" s="241" t="s">
        <v>106</v>
      </c>
      <c r="J204" s="241" t="s">
        <v>106</v>
      </c>
      <c r="K204" s="240" t="s">
        <v>106</v>
      </c>
      <c r="L204" s="172">
        <v>1930.5</v>
      </c>
      <c r="M204" s="240" t="s">
        <v>106</v>
      </c>
      <c r="N204" s="140">
        <v>0</v>
      </c>
      <c r="O204" s="241" t="s">
        <v>106</v>
      </c>
    </row>
    <row r="205" spans="2:23">
      <c r="D205" s="300">
        <f>MEDIAN(D6:D204)</f>
        <v>0.87</v>
      </c>
      <c r="E205" s="301"/>
      <c r="F205" s="233"/>
      <c r="G205" s="302"/>
      <c r="H205" s="303"/>
      <c r="I205" s="304"/>
      <c r="J205" s="265">
        <f>_xlfn.PERCENTILE.EXC(J6:J204,0.5)</f>
        <v>0.17046729104420966</v>
      </c>
      <c r="K205" s="305">
        <f>_xlfn.PERCENTILE.EXC(K6:K204,0.5)</f>
        <v>0.12557292688157629</v>
      </c>
      <c r="L205" s="38"/>
      <c r="M205" s="300">
        <f>_xlfn.PERCENTILE.EXC(M6:M204,0.5)</f>
        <v>0.67078052460744519</v>
      </c>
      <c r="N205" s="306"/>
      <c r="O205" s="300">
        <f>_xlfn.PERCENTILE.EXC(O6:O204,0.5)</f>
        <v>4.9019990007377015</v>
      </c>
      <c r="W205" s="2" t="str">
        <f>IF(COUNTIF($T$6:$T104, $T104)&gt;1, "Duplicate", "")</f>
        <v/>
      </c>
    </row>
    <row r="206" spans="2:23">
      <c r="W206" s="2" t="str">
        <f>IF(COUNTIF($T$6:$T105, $T105)&gt;1, "Duplicate", "")</f>
        <v/>
      </c>
    </row>
    <row r="207" spans="2:23">
      <c r="W207" s="2" t="str">
        <f>IF(COUNTIF($T$6:$T106, $T106)&gt;1, "Duplicate", "")</f>
        <v/>
      </c>
    </row>
    <row r="208" spans="2:23">
      <c r="W208" s="2" t="str">
        <f>IF(COUNTIF($T$6:$T107, $T107)&gt;1, "Duplicate", "")</f>
        <v/>
      </c>
    </row>
    <row r="210" spans="23:23">
      <c r="W210" s="2" t="str">
        <f>IF(COUNTIF($T$6:$T108, $T108)&gt;1, "Duplicate", "")</f>
        <v/>
      </c>
    </row>
    <row r="211" spans="23:23">
      <c r="W211" s="2" t="str">
        <f>IF(COUNTIF($T$6:$T109, $T109)&gt;1, "Duplicate", "")</f>
        <v/>
      </c>
    </row>
    <row r="213" spans="23:23">
      <c r="W213" s="2" t="str">
        <f>IF(COUNTIF($T$6:$T110, $T110)&gt;1, "Duplicate", "")</f>
        <v/>
      </c>
    </row>
    <row r="215" spans="23:23">
      <c r="W215" s="2" t="str">
        <f>IF(COUNTIF($T$6:$T111, $T111)&gt;1, "Duplicate", "")</f>
        <v/>
      </c>
    </row>
    <row r="216" spans="23:23">
      <c r="W216" s="2" t="str">
        <f>IF(COUNTIF($T$6:$T112, $T112)&gt;1, "Duplicate", "")</f>
        <v/>
      </c>
    </row>
    <row r="224" spans="23:23">
      <c r="W224" s="2" t="str">
        <f>IF(COUNTIF($T$6:$T113, $T113)&gt;1, "Duplicate", "")</f>
        <v/>
      </c>
    </row>
    <row r="225" spans="23:23">
      <c r="W225" s="2" t="str">
        <f>IF(COUNTIF($T$6:$T114, $T114)&gt;1, "Duplicate", "")</f>
        <v/>
      </c>
    </row>
    <row r="230" spans="23:23">
      <c r="W230" s="2" t="str">
        <f>IF(COUNTIF($T$6:$T115, $T115)&gt;1, "Duplicate", "")</f>
        <v/>
      </c>
    </row>
    <row r="232" spans="23:23">
      <c r="W232" s="2" t="str">
        <f>IF(COUNTIF($T$6:$T116, $T116)&gt;1, "Duplicate", "")</f>
        <v/>
      </c>
    </row>
    <row r="233" spans="23:23">
      <c r="W233" s="2" t="str">
        <f>IF(COUNTIF($T$6:$T117, $T117)&gt;1, "Duplicate", "")</f>
        <v/>
      </c>
    </row>
    <row r="234" spans="23:23">
      <c r="W234" s="2" t="str">
        <f>IF(COUNTIF($T$6:$T118, $T118)&gt;1, "Duplicate", "")</f>
        <v/>
      </c>
    </row>
    <row r="235" spans="23:23">
      <c r="W235" s="2" t="str">
        <f>IF(COUNTIF($T$6:$T119, $T119)&gt;1, "Duplicate", "")</f>
        <v/>
      </c>
    </row>
    <row r="238" spans="23:23">
      <c r="W238" s="2" t="str">
        <f>IF(COUNTIF($T$6:$T120, $T120)&gt;1, "Duplicate", "")</f>
        <v/>
      </c>
    </row>
    <row r="243" spans="23:23">
      <c r="W243" s="2" t="str">
        <f>IF(COUNTIF($T$6:$T121, $T121)&gt;1, "Duplicate", "")</f>
        <v/>
      </c>
    </row>
    <row r="246" spans="23:23">
      <c r="W246" s="2" t="str">
        <f>IF(COUNTIF($T$6:$T122, $T122)&gt;1, "Duplicate", "")</f>
        <v/>
      </c>
    </row>
    <row r="247" spans="23:23">
      <c r="W247" s="2" t="str">
        <f>IF(COUNTIF($T$6:$T123, $T123)&gt;1, "Duplicate", "")</f>
        <v/>
      </c>
    </row>
    <row r="248" spans="23:23">
      <c r="W248" s="2" t="str">
        <f>IF(COUNTIF($T$6:$T124, $T124)&gt;1, "Duplicate", "")</f>
        <v/>
      </c>
    </row>
    <row r="250" spans="23:23">
      <c r="W250" s="2" t="str">
        <f>IF(COUNTIF($T$6:$T125, $T125)&gt;1, "Duplicate", "")</f>
        <v/>
      </c>
    </row>
    <row r="251" spans="23:23">
      <c r="W251" s="2" t="str">
        <f>IF(COUNTIF($T$6:$T126, $T126)&gt;1, "Duplicate", "")</f>
        <v/>
      </c>
    </row>
    <row r="253" spans="23:23">
      <c r="W253" s="2" t="str">
        <f>IF(COUNTIF($T$6:$T127, $T127)&gt;1, "Duplicate", "")</f>
        <v/>
      </c>
    </row>
    <row r="254" spans="23:23">
      <c r="W254" s="2" t="str">
        <f>IF(COUNTIF($T$6:$T128, $T128)&gt;1, "Duplicate", "")</f>
        <v/>
      </c>
    </row>
    <row r="256" spans="23:23">
      <c r="W256" s="2" t="str">
        <f>IF(COUNTIF($T$6:$T129, $T129)&gt;1, "Duplicate", "")</f>
        <v/>
      </c>
    </row>
    <row r="257" spans="23:23">
      <c r="W257" s="2" t="str">
        <f>IF(COUNTIF($T$6:$T130, $T130)&gt;1, "Duplicate", "")</f>
        <v/>
      </c>
    </row>
    <row r="266" spans="23:23">
      <c r="W266" s="2" t="str">
        <f>IF(COUNTIF($T$6:$T131, $T131)&gt;1, "Duplicate", "")</f>
        <v/>
      </c>
    </row>
    <row r="267" spans="23:23">
      <c r="W267" s="2" t="str">
        <f>IF(COUNTIF($T$6:$T132, $T132)&gt;1, "Duplicate", "")</f>
        <v/>
      </c>
    </row>
    <row r="270" spans="23:23">
      <c r="W270" s="2" t="str">
        <f>IF(COUNTIF($T$6:$T133, $T133)&gt;1, "Duplicate", "")</f>
        <v/>
      </c>
    </row>
    <row r="278" spans="23:23">
      <c r="W278" s="2" t="str">
        <f>IF(COUNTIF($T$6:$T134, $T134)&gt;1, "Duplicate", "")</f>
        <v/>
      </c>
    </row>
    <row r="280" spans="23:23">
      <c r="W280" s="2" t="str">
        <f>IF(COUNTIF($T$6:$T135, $T135)&gt;1, "Duplicate", "")</f>
        <v/>
      </c>
    </row>
    <row r="281" spans="23:23">
      <c r="W281" s="2" t="str">
        <f>IF(COUNTIF($T$6:$T136, $T136)&gt;1, "Duplicate", "")</f>
        <v/>
      </c>
    </row>
    <row r="282" spans="23:23">
      <c r="W282" s="2" t="str">
        <f>IF(COUNTIF($T$6:$T137, $T137)&gt;1, "Duplicate", "")</f>
        <v/>
      </c>
    </row>
    <row r="283" spans="23:23">
      <c r="W283" s="2" t="str">
        <f>IF(COUNTIF($T$6:$T138, $T138)&gt;1, "Duplicate", "")</f>
        <v/>
      </c>
    </row>
    <row r="286" spans="23:23">
      <c r="W286" s="2" t="str">
        <f>IF(COUNTIF($T$6:$T139, $T139)&gt;1, "Duplicate", "")</f>
        <v/>
      </c>
    </row>
    <row r="287" spans="23:23">
      <c r="W287" s="2" t="str">
        <f>IF(COUNTIF($T$6:$T140, $T140)&gt;1, "Duplicate", "")</f>
        <v/>
      </c>
    </row>
    <row r="288" spans="23:23">
      <c r="W288" s="2" t="str">
        <f>IF(COUNTIF($T$6:$T141, $T141)&gt;1, "Duplicate", "")</f>
        <v/>
      </c>
    </row>
    <row r="290" spans="23:23">
      <c r="W290" s="2" t="str">
        <f>IF(COUNTIF($T$6:$T142, $T142)&gt;1, "Duplicate", "")</f>
        <v/>
      </c>
    </row>
    <row r="292" spans="23:23">
      <c r="W292" s="2" t="str">
        <f>IF(COUNTIF($T$6:$T143, $T143)&gt;1, "Duplicate", "")</f>
        <v/>
      </c>
    </row>
    <row r="293" spans="23:23">
      <c r="W293" s="2" t="str">
        <f>IF(COUNTIF($T$6:$T144, $T144)&gt;1, "Duplicate", "")</f>
        <v/>
      </c>
    </row>
    <row r="294" spans="23:23">
      <c r="W294" s="2" t="str">
        <f>IF(COUNTIF($T$6:$T145, $T145)&gt;1, "Duplicate", "")</f>
        <v/>
      </c>
    </row>
    <row r="299" spans="23:23">
      <c r="W299" s="2" t="str">
        <f>IF(COUNTIF($T$6:$T146, $T146)&gt;1, "Duplicate", "")</f>
        <v/>
      </c>
    </row>
    <row r="300" spans="23:23">
      <c r="W300" s="2" t="str">
        <f>IF(COUNTIF($T$6:$T147, $T147)&gt;1, "Duplicate", "")</f>
        <v/>
      </c>
    </row>
    <row r="303" spans="23:23">
      <c r="W303" s="2" t="str">
        <f>IF(COUNTIF($T$6:$T148, $T148)&gt;1, "Duplicate", "")</f>
        <v/>
      </c>
    </row>
    <row r="304" spans="23:23">
      <c r="W304" s="2" t="str">
        <f>IF(COUNTIF($T$6:$T149, $T149)&gt;1, "Duplicate", "")</f>
        <v/>
      </c>
    </row>
    <row r="307" spans="23:23">
      <c r="W307" s="2" t="str">
        <f>IF(COUNTIF($T$6:$T150, $T150)&gt;1, "Duplicate", "")</f>
        <v/>
      </c>
    </row>
    <row r="308" spans="23:23">
      <c r="W308" s="2" t="str">
        <f>IF(COUNTIF($T$6:$T151, $T151)&gt;1, "Duplicate", "")</f>
        <v/>
      </c>
    </row>
    <row r="312" spans="23:23">
      <c r="W312" s="2" t="str">
        <f>IF(COUNTIF($T$6:$T152, $T152)&gt;1, "Duplicate", "")</f>
        <v/>
      </c>
    </row>
    <row r="314" spans="23:23">
      <c r="W314" s="2" t="str">
        <f>IF(COUNTIF($T$6:$T153, $T153)&gt;1, "Duplicate", "")</f>
        <v/>
      </c>
    </row>
    <row r="315" spans="23:23">
      <c r="W315" s="2" t="str">
        <f>IF(COUNTIF($T$6:$T154, $T154)&gt;1, "Duplicate", "")</f>
        <v/>
      </c>
    </row>
    <row r="318" spans="23:23">
      <c r="W318" s="2" t="str">
        <f>IF(COUNTIF($T$6:$T155, $T155)&gt;1, "Duplicate", "")</f>
        <v/>
      </c>
    </row>
    <row r="319" spans="23:23">
      <c r="W319" s="2" t="str">
        <f>IF(COUNTIF($T$6:$T156, $T156)&gt;1, "Duplicate", "")</f>
        <v/>
      </c>
    </row>
    <row r="320" spans="23:23">
      <c r="W320" s="2" t="str">
        <f>IF(COUNTIF($T$6:$T157, $T157)&gt;1, "Duplicate", "")</f>
        <v/>
      </c>
    </row>
    <row r="321" spans="23:23">
      <c r="W321" s="2" t="str">
        <f>IF(COUNTIF($T$6:$T158, $T158)&gt;1, "Duplicate", "")</f>
        <v/>
      </c>
    </row>
    <row r="324" spans="23:23">
      <c r="W324" s="2" t="str">
        <f>IF(COUNTIF($T$6:$T159, $T159)&gt;1, "Duplicate", "")</f>
        <v/>
      </c>
    </row>
    <row r="325" spans="23:23">
      <c r="W325" s="2" t="str">
        <f>IF(COUNTIF($T$6:$T160, $T160)&gt;1, "Duplicate", "")</f>
        <v/>
      </c>
    </row>
    <row r="326" spans="23:23">
      <c r="W326" s="2" t="str">
        <f>IF(COUNTIF($T$6:$T161, $T161)&gt;1, "Duplicate", "")</f>
        <v/>
      </c>
    </row>
    <row r="330" spans="23:23">
      <c r="W330" s="2" t="str">
        <f>IF(COUNTIF($T$6:$T162, $T162)&gt;1, "Duplicate", "")</f>
        <v/>
      </c>
    </row>
    <row r="331" spans="23:23">
      <c r="W331" s="2" t="str">
        <f>IF(COUNTIF($T$6:$T163, $T163)&gt;1, "Duplicate", "")</f>
        <v/>
      </c>
    </row>
    <row r="333" spans="23:23">
      <c r="W333" s="2" t="str">
        <f>IF(COUNTIF($T$6:$T164, $T164)&gt;1, "Duplicate", "")</f>
        <v/>
      </c>
    </row>
    <row r="334" spans="23:23">
      <c r="W334" s="2" t="str">
        <f>IF(COUNTIF($T$6:$T165, $T165)&gt;1, "Duplicate", "")</f>
        <v/>
      </c>
    </row>
    <row r="335" spans="23:23">
      <c r="W335" s="2" t="str">
        <f>IF(COUNTIF($T$6:$T166, $T166)&gt;1, "Duplicate", "")</f>
        <v/>
      </c>
    </row>
    <row r="336" spans="23:23">
      <c r="W336" s="2" t="str">
        <f>IF(COUNTIF($T$6:$T167, $T167)&gt;1, "Duplicate", "")</f>
        <v/>
      </c>
    </row>
    <row r="337" spans="23:23">
      <c r="W337" s="2" t="str">
        <f>IF(COUNTIF($T$6:$T168, $T168)&gt;1, "Duplicate", "")</f>
        <v/>
      </c>
    </row>
    <row r="338" spans="23:23">
      <c r="W338" s="2" t="str">
        <f>IF(COUNTIF($T$6:$T169, $T169)&gt;1, "Duplicate", "")</f>
        <v/>
      </c>
    </row>
    <row r="339" spans="23:23">
      <c r="W339" s="2" t="str">
        <f>IF(COUNTIF($T$6:$T170, $T170)&gt;1, "Duplicate", "")</f>
        <v/>
      </c>
    </row>
    <row r="343" spans="23:23">
      <c r="W343" s="2" t="str">
        <f>IF(COUNTIF($T$6:$T171, $T171)&gt;1, "Duplicate", "")</f>
        <v/>
      </c>
    </row>
    <row r="344" spans="23:23">
      <c r="W344" s="2" t="str">
        <f>IF(COUNTIF($T$6:$T172, $T172)&gt;1, "Duplicate", "")</f>
        <v/>
      </c>
    </row>
    <row r="346" spans="23:23">
      <c r="W346" s="2" t="str">
        <f>IF(COUNTIF($T$6:$T173, $T173)&gt;1, "Duplicate", "")</f>
        <v/>
      </c>
    </row>
    <row r="348" spans="23:23">
      <c r="W348" s="2" t="str">
        <f>IF(COUNTIF($T$6:$T174, $T174)&gt;1, "Duplicate", "")</f>
        <v/>
      </c>
    </row>
    <row r="349" spans="23:23">
      <c r="W349" s="2" t="str">
        <f>IF(COUNTIF($T$6:$T175, $T175)&gt;1, "Duplicate", "")</f>
        <v/>
      </c>
    </row>
    <row r="351" spans="23:23">
      <c r="W351" s="2" t="str">
        <f>IF(COUNTIF($T$6:$T176, $T176)&gt;1, "Duplicate", "")</f>
        <v/>
      </c>
    </row>
    <row r="352" spans="23:23">
      <c r="W352" s="2" t="str">
        <f>IF(COUNTIF($T$6:$T177, $T177)&gt;1, "Duplicate", "")</f>
        <v/>
      </c>
    </row>
    <row r="354" spans="23:23">
      <c r="W354" s="2" t="str">
        <f>IF(COUNTIF($T$6:$T178, $T178)&gt;1, "Duplicate", "")</f>
        <v/>
      </c>
    </row>
    <row r="357" spans="23:23">
      <c r="W357" s="2" t="str">
        <f>IF(COUNTIF($T$6:$T179, $T179)&gt;1, "Duplicate", "")</f>
        <v/>
      </c>
    </row>
    <row r="359" spans="23:23">
      <c r="W359" s="2" t="str">
        <f>IF(COUNTIF($T$6:$T180, $T180)&gt;1, "Duplicate", "")</f>
        <v/>
      </c>
    </row>
    <row r="361" spans="23:23">
      <c r="W361" s="2" t="str">
        <f>IF(COUNTIF($T$6:$T181, $T181)&gt;1, "Duplicate", "")</f>
        <v/>
      </c>
    </row>
    <row r="362" spans="23:23">
      <c r="W362" s="2" t="str">
        <f>IF(COUNTIF($T$6:$T182, $T182)&gt;1, "Duplicate", "")</f>
        <v/>
      </c>
    </row>
    <row r="364" spans="23:23">
      <c r="W364" s="2" t="str">
        <f>IF(COUNTIF($T$6:$T183, $T183)&gt;1, "Duplicate", "")</f>
        <v/>
      </c>
    </row>
    <row r="365" spans="23:23">
      <c r="W365" s="2" t="str">
        <f>IF(COUNTIF($T$6:$T184, $T184)&gt;1, "Duplicate", "")</f>
        <v/>
      </c>
    </row>
    <row r="366" spans="23:23">
      <c r="W366" s="2" t="str">
        <f>IF(COUNTIF($T$6:$T185, $T185)&gt;1, "Duplicate", "")</f>
        <v/>
      </c>
    </row>
    <row r="367" spans="23:23">
      <c r="W367" s="2" t="str">
        <f>IF(COUNTIF($T$6:$T186, $T186)&gt;1, "Duplicate", "")</f>
        <v/>
      </c>
    </row>
    <row r="368" spans="23:23">
      <c r="W368" s="2" t="str">
        <f>IF(COUNTIF($T$6:$T187, $T187)&gt;1, "Duplicate", "")</f>
        <v/>
      </c>
    </row>
    <row r="369" spans="23:23">
      <c r="W369" s="2" t="str">
        <f>IF(COUNTIF($T$6:$T188, $T188)&gt;1, "Duplicate", "")</f>
        <v/>
      </c>
    </row>
    <row r="370" spans="23:23">
      <c r="W370" s="2" t="str">
        <f>IF(COUNTIF($T$6:$T189, $T189)&gt;1, "Duplicate", "")</f>
        <v/>
      </c>
    </row>
    <row r="371" spans="23:23">
      <c r="W371" s="2" t="str">
        <f>IF(COUNTIF($T$6:$T190, $T190)&gt;1, "Duplicate", "")</f>
        <v/>
      </c>
    </row>
    <row r="372" spans="23:23">
      <c r="W372" s="2" t="str">
        <f>IF(COUNTIF($T$6:$T191, $T191)&gt;1, "Duplicate", "")</f>
        <v/>
      </c>
    </row>
    <row r="373" spans="23:23">
      <c r="W373" s="2" t="str">
        <f>IF(COUNTIF($T$6:$T192, $T192)&gt;1, "Duplicate", "")</f>
        <v/>
      </c>
    </row>
    <row r="375" spans="23:23">
      <c r="W375" s="2" t="str">
        <f>IF(COUNTIF($T$6:$T193, $T193)&gt;1, "Duplicate", "")</f>
        <v/>
      </c>
    </row>
    <row r="376" spans="23:23">
      <c r="W376" s="2" t="str">
        <f>IF(COUNTIF($T$6:$T194, $T194)&gt;1, "Duplicate", "")</f>
        <v/>
      </c>
    </row>
    <row r="379" spans="23:23">
      <c r="W379" s="2" t="str">
        <f>IF(COUNTIF($T$6:$T195, $T195)&gt;1, "Duplicate", "")</f>
        <v/>
      </c>
    </row>
    <row r="380" spans="23:23">
      <c r="W380" s="2" t="str">
        <f>IF(COUNTIF($T$6:$T196, $T196)&gt;1, "Duplicate", "")</f>
        <v/>
      </c>
    </row>
    <row r="381" spans="23:23">
      <c r="W381" s="2" t="str">
        <f>IF(COUNTIF($T$6:$T197, $T197)&gt;1, "Duplicate", "")</f>
        <v/>
      </c>
    </row>
    <row r="382" spans="23:23">
      <c r="W382" s="2" t="str">
        <f>IF(COUNTIF($T$6:$T198, $T198)&gt;1, "Duplicate", "")</f>
        <v/>
      </c>
    </row>
    <row r="384" spans="23:23">
      <c r="W384" s="2" t="str">
        <f>IF(COUNTIF($T$6:$T199, $T199)&gt;1, "Duplicate", "")</f>
        <v/>
      </c>
    </row>
    <row r="385" spans="23:23">
      <c r="W385" s="2" t="str">
        <f>IF(COUNTIF($T$6:$T200, $T200)&gt;1, "Duplicate", "")</f>
        <v/>
      </c>
    </row>
    <row r="386" spans="23:23">
      <c r="W386" s="2" t="str">
        <f>IF(COUNTIF($T$6:$T201, $T201)&gt;1, "Duplicate", "")</f>
        <v/>
      </c>
    </row>
    <row r="389" spans="23:23">
      <c r="W389" s="2" t="str">
        <f>IF(COUNTIF($T$6:$T202, $T202)&gt;1, "Duplicate", "")</f>
        <v/>
      </c>
    </row>
    <row r="392" spans="23:23">
      <c r="W392" s="2" t="str">
        <f>IF(COUNTIF($T$6:$T203, $T203)&gt;1, "Duplicate", "")</f>
        <v/>
      </c>
    </row>
    <row r="393" spans="23:23">
      <c r="W393" s="2" t="str">
        <f>IF(COUNTIF($T$6:$T204, $T204)&gt;1, "Duplicate", "")</f>
        <v/>
      </c>
    </row>
    <row r="394" spans="23:23">
      <c r="W394" s="2" t="str">
        <f>IF(COUNTIF($T$6:$T205, $T205)&gt;1, "Duplicate", "")</f>
        <v/>
      </c>
    </row>
    <row r="396" spans="23:23">
      <c r="W396" s="2" t="str">
        <f>IF(COUNTIF($T$6:$T206, $T206)&gt;1, "Duplicate", "")</f>
        <v/>
      </c>
    </row>
    <row r="401" spans="23:23">
      <c r="W401" s="2" t="str">
        <f>IF(COUNTIF($T$6:$T207, $T207)&gt;1, "Duplicate", "")</f>
        <v/>
      </c>
    </row>
    <row r="403" spans="23:23">
      <c r="W403" s="2" t="str">
        <f>IF(COUNTIF($T$6:$T208, $T208)&gt;1, "Duplicate", "")</f>
        <v/>
      </c>
    </row>
    <row r="404" spans="23:23">
      <c r="W404" s="2" t="str">
        <f>IF(COUNTIF($T$6:$T209, $T209)&gt;1, "Duplicate", "")</f>
        <v/>
      </c>
    </row>
    <row r="406" spans="23:23">
      <c r="W406" s="2" t="str">
        <f>IF(COUNTIF($T$6:$T210, $T210)&gt;1, "Duplicate", "")</f>
        <v/>
      </c>
    </row>
    <row r="407" spans="23:23">
      <c r="W407" s="2" t="str">
        <f>IF(COUNTIF($T$6:$T211, $T211)&gt;1, "Duplicate", "")</f>
        <v/>
      </c>
    </row>
    <row r="408" spans="23:23">
      <c r="W408" s="2" t="str">
        <f>IF(COUNTIF($T$6:$T212, $T212)&gt;1, "Duplicate", "")</f>
        <v/>
      </c>
    </row>
    <row r="409" spans="23:23">
      <c r="W409" s="2" t="str">
        <f>IF(COUNTIF($T$6:$T213, $T213)&gt;1, "Duplicate", "")</f>
        <v/>
      </c>
    </row>
    <row r="411" spans="23:23">
      <c r="W411" s="2" t="str">
        <f>IF(COUNTIF($T$6:$T214, $T214)&gt;1, "Duplicate", "")</f>
        <v/>
      </c>
    </row>
    <row r="412" spans="23:23">
      <c r="W412" s="2" t="str">
        <f>IF(COUNTIF($T$6:$T215, $T215)&gt;1, "Duplicate", "")</f>
        <v/>
      </c>
    </row>
    <row r="414" spans="23:23">
      <c r="W414" s="2" t="str">
        <f>IF(COUNTIF($T$6:$T216, $T216)&gt;1, "Duplicate", "")</f>
        <v/>
      </c>
    </row>
    <row r="418" spans="23:23">
      <c r="W418" s="2" t="str">
        <f>IF(COUNTIF($T$6:$T217, $T217)&gt;1, "Duplicate", "")</f>
        <v/>
      </c>
    </row>
    <row r="424" spans="23:23">
      <c r="W424" s="2" t="str">
        <f>IF(COUNTIF($T$6:$T218, $T218)&gt;1, "Duplicate", "")</f>
        <v/>
      </c>
    </row>
    <row r="426" spans="23:23">
      <c r="W426" s="2" t="str">
        <f>IF(COUNTIF($T$6:$T219, $T219)&gt;1, "Duplicate", "")</f>
        <v/>
      </c>
    </row>
    <row r="429" spans="23:23">
      <c r="W429" s="2" t="str">
        <f>IF(COUNTIF($T$6:$T220, $T220)&gt;1, "Duplicate", "")</f>
        <v/>
      </c>
    </row>
    <row r="430" spans="23:23">
      <c r="W430" s="2" t="str">
        <f>IF(COUNTIF($T$6:$T221, $T221)&gt;1, "Duplicate", "")</f>
        <v/>
      </c>
    </row>
    <row r="431" spans="23:23">
      <c r="W431" s="2" t="str">
        <f>IF(COUNTIF($T$6:$T222, $T222)&gt;1, "Duplicate", "")</f>
        <v/>
      </c>
    </row>
    <row r="433" spans="23:23">
      <c r="W433" s="2" t="str">
        <f>IF(COUNTIF($T$6:$T223, $T223)&gt;1, "Duplicate", "")</f>
        <v/>
      </c>
    </row>
    <row r="434" spans="23:23">
      <c r="W434" s="2" t="str">
        <f>IF(COUNTIF($T$6:$T224, $T224)&gt;1, "Duplicate", "")</f>
        <v/>
      </c>
    </row>
    <row r="439" spans="23:23">
      <c r="W439" s="2" t="str">
        <f>IF(COUNTIF($T$6:$T225, $T225)&gt;1, "Duplicate", "")</f>
        <v/>
      </c>
    </row>
    <row r="440" spans="23:23">
      <c r="W440" s="2" t="str">
        <f>IF(COUNTIF($T$6:$T226, $T226)&gt;1, "Duplicate", "")</f>
        <v/>
      </c>
    </row>
    <row r="442" spans="23:23">
      <c r="W442" s="2" t="str">
        <f>IF(COUNTIF($T$6:$T227, $T227)&gt;1, "Duplicate", "")</f>
        <v/>
      </c>
    </row>
    <row r="443" spans="23:23">
      <c r="W443" s="2" t="str">
        <f>IF(COUNTIF($T$6:$T228, $T228)&gt;1, "Duplicate", "")</f>
        <v/>
      </c>
    </row>
    <row r="445" spans="23:23">
      <c r="W445" s="2" t="str">
        <f>IF(COUNTIF($T$6:$T229, $T229)&gt;1, "Duplicate", "")</f>
        <v/>
      </c>
    </row>
    <row r="447" spans="23:23">
      <c r="W447" s="2" t="str">
        <f>IF(COUNTIF($T$6:$T230, $T230)&gt;1, "Duplicate", "")</f>
        <v/>
      </c>
    </row>
    <row r="448" spans="23:23">
      <c r="W448" s="2" t="str">
        <f>IF(COUNTIF($T$6:$T231, $T231)&gt;1, "Duplicate", "")</f>
        <v/>
      </c>
    </row>
    <row r="451" spans="23:23">
      <c r="W451" s="2" t="str">
        <f>IF(COUNTIF($T$6:$T232, $T232)&gt;1, "Duplicate", "")</f>
        <v/>
      </c>
    </row>
    <row r="452" spans="23:23">
      <c r="W452" s="2" t="str">
        <f>IF(COUNTIF($T$6:$T233, $T233)&gt;1, "Duplicate", "")</f>
        <v/>
      </c>
    </row>
    <row r="454" spans="23:23">
      <c r="W454" s="2" t="str">
        <f>IF(COUNTIF($T$6:$T234, $T234)&gt;1, "Duplicate", "")</f>
        <v/>
      </c>
    </row>
    <row r="461" spans="23:23">
      <c r="W461" s="2" t="str">
        <f>IF(COUNTIF($T$6:$T235, $T235)&gt;1, "Duplicate", "")</f>
        <v/>
      </c>
    </row>
    <row r="462" spans="23:23">
      <c r="W462" s="2" t="str">
        <f>IF(COUNTIF($T$6:$T236, $T236)&gt;1, "Duplicate", "")</f>
        <v/>
      </c>
    </row>
    <row r="469" spans="23:23">
      <c r="W469" s="2" t="str">
        <f>IF(COUNTIF($T$6:$T237, $T237)&gt;1, "Duplicate", "")</f>
        <v/>
      </c>
    </row>
    <row r="470" spans="23:23">
      <c r="W470" s="2" t="str">
        <f>IF(COUNTIF($T$6:$T238, $T238)&gt;1, "Duplicate", "")</f>
        <v/>
      </c>
    </row>
    <row r="471" spans="23:23">
      <c r="W471" s="2" t="str">
        <f>IF(COUNTIF($T$6:$T239, $T239)&gt;1, "Duplicate", "")</f>
        <v/>
      </c>
    </row>
    <row r="474" spans="23:23">
      <c r="W474" s="2" t="str">
        <f>IF(COUNTIF($T$6:$T240, $T240)&gt;1, "Duplicate", "")</f>
        <v/>
      </c>
    </row>
    <row r="479" spans="23:23">
      <c r="W479" s="2" t="str">
        <f>IF(COUNTIF($T$6:$T241, $T241)&gt;1, "Duplicate", "")</f>
        <v/>
      </c>
    </row>
    <row r="480" spans="23:23">
      <c r="W480" s="2" t="str">
        <f>IF(COUNTIF($T$6:$T242, $T242)&gt;1, "Duplicate", "")</f>
        <v/>
      </c>
    </row>
    <row r="485" spans="23:23">
      <c r="W485" s="2" t="str">
        <f>IF(COUNTIF($T$6:$T243, $T243)&gt;1, "Duplicate", "")</f>
        <v/>
      </c>
    </row>
    <row r="486" spans="23:23">
      <c r="W486" s="2" t="str">
        <f>IF(COUNTIF($T$6:$T244, $T244)&gt;1, "Duplicate", "")</f>
        <v/>
      </c>
    </row>
    <row r="491" spans="23:23">
      <c r="W491" s="2" t="str">
        <f>IF(COUNTIF($T$6:$T245, $T245)&gt;1, "Duplicate", "")</f>
        <v/>
      </c>
    </row>
    <row r="500" spans="23:23">
      <c r="W500" s="2" t="str">
        <f>IF(COUNTIF($T$6:$T246, $T246)&gt;1, "Duplicate", "")</f>
        <v/>
      </c>
    </row>
    <row r="502" spans="23:23">
      <c r="W502" s="2" t="str">
        <f>IF(COUNTIF($T$6:$T247, $T247)&gt;1, "Duplicate", "")</f>
        <v/>
      </c>
    </row>
    <row r="503" spans="23:23">
      <c r="W503" s="2" t="str">
        <f>IF(COUNTIF($T$6:$T248, $T248)&gt;1, "Duplicate", "")</f>
        <v/>
      </c>
    </row>
    <row r="504" spans="23:23">
      <c r="W504" s="2" t="str">
        <f>IF(COUNTIF($T$6:$T249, $T249)&gt;1, "Duplicate", "")</f>
        <v/>
      </c>
    </row>
    <row r="516" spans="23:23">
      <c r="W516" s="2" t="str">
        <f>IF(COUNTIF($T$6:$T250, $T250)&gt;1, "Duplicate", "")</f>
        <v/>
      </c>
    </row>
    <row r="546" spans="23:23">
      <c r="W546" s="2" t="str">
        <f>IF(COUNTIF($T$6:$T251, $T251)&gt;1, "Duplicate", "")</f>
        <v/>
      </c>
    </row>
    <row r="549" spans="23:23">
      <c r="W549" s="2" t="str">
        <f>IF(COUNTIF($T$6:$T252, $T252)&gt;1, "Duplicate", "")</f>
        <v/>
      </c>
    </row>
    <row r="556" spans="23:23">
      <c r="W556" s="2" t="str">
        <f>IF(COUNTIF($T$6:$T253, $T253)&gt;1, "Duplicate", "")</f>
        <v/>
      </c>
    </row>
    <row r="561" spans="23:23">
      <c r="W561" s="2" t="str">
        <f>IF(COUNTIF($T$6:$T254, $T254)&gt;1, "Duplicate", "")</f>
        <v/>
      </c>
    </row>
    <row r="581" spans="23:23">
      <c r="W581" s="2" t="str">
        <f>IF(COUNTIF($T$6:$T255, $T255)&gt;1, "Duplicate", "")</f>
        <v/>
      </c>
    </row>
    <row r="622" spans="23:23">
      <c r="W622" s="2" t="str">
        <f>IF(COUNTIF($T$6:$T256, $T256)&gt;1, "Duplicate", "")</f>
        <v/>
      </c>
    </row>
    <row r="623" spans="23:23">
      <c r="W623" s="2" t="str">
        <f>IF(COUNTIF($T$6:$T257, $T257)&gt;1, "Duplicate", "")</f>
        <v/>
      </c>
    </row>
    <row r="624" spans="23:23">
      <c r="W624" s="2" t="str">
        <f>IF(COUNTIF($T$6:$T258, $T258)&gt;1, "Duplicate", "")</f>
        <v/>
      </c>
    </row>
    <row r="625" spans="23:23">
      <c r="W625" s="2" t="str">
        <f>IF(COUNTIF($T$6:$T259, $T259)&gt;1, "Duplicate", "")</f>
        <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117"/>
  <sheetViews>
    <sheetView zoomScaleNormal="100" workbookViewId="0"/>
  </sheetViews>
  <sheetFormatPr defaultRowHeight="12"/>
  <cols>
    <col min="1" max="1" width="2" style="2" customWidth="1"/>
    <col min="2" max="2" width="25.42578125" style="2" customWidth="1"/>
    <col min="3" max="3" width="16.42578125" style="2" customWidth="1"/>
    <col min="4" max="4" width="6.85546875" style="2" customWidth="1"/>
    <col min="5" max="5" width="25.28515625" style="2" customWidth="1"/>
    <col min="6" max="6" width="12.7109375" style="2" customWidth="1"/>
    <col min="7" max="7" width="12.7109375" style="12" customWidth="1"/>
    <col min="8" max="10" width="12.7109375" style="2" customWidth="1"/>
    <col min="11" max="11" width="7.42578125" style="2" customWidth="1"/>
    <col min="12" max="12" width="18.42578125" style="2" customWidth="1"/>
    <col min="13" max="13" width="9" style="2" customWidth="1"/>
    <col min="14" max="14" width="12.140625" style="2" customWidth="1"/>
    <col min="15" max="15" width="9.7109375" style="2" customWidth="1"/>
    <col min="16" max="16384" width="9.140625" style="2"/>
  </cols>
  <sheetData>
    <row r="1" spans="2:16" ht="15.75">
      <c r="B1" s="15" t="s">
        <v>35</v>
      </c>
      <c r="E1" s="3"/>
      <c r="F1" s="3"/>
      <c r="G1" s="45"/>
      <c r="H1" s="3"/>
      <c r="I1" s="3"/>
      <c r="J1" s="3"/>
      <c r="K1" s="3"/>
      <c r="L1" s="3"/>
      <c r="M1" s="3"/>
      <c r="N1" s="3"/>
      <c r="O1" s="3"/>
      <c r="P1" s="3"/>
    </row>
    <row r="2" spans="2:16">
      <c r="M2" s="73"/>
      <c r="N2" s="73"/>
      <c r="O2" s="73"/>
      <c r="P2" s="73"/>
    </row>
    <row r="3" spans="2:16">
      <c r="B3" s="3" t="str">
        <f>"Sector of "&amp;Drivers!$C$10</f>
        <v>Sector of Etsy Inc.</v>
      </c>
      <c r="C3" s="54" t="str">
        <f>Drivers!C13</f>
        <v>Consumer Cyclical</v>
      </c>
      <c r="D3" s="18"/>
      <c r="E3" s="307" t="s">
        <v>808</v>
      </c>
      <c r="F3" s="307" t="s">
        <v>810</v>
      </c>
      <c r="G3" s="308" t="s">
        <v>124</v>
      </c>
      <c r="H3" s="308" t="s">
        <v>125</v>
      </c>
      <c r="I3" s="308" t="s">
        <v>807</v>
      </c>
      <c r="J3" s="309"/>
      <c r="K3" s="165"/>
      <c r="L3" s="162"/>
      <c r="M3" s="73"/>
      <c r="N3" s="73"/>
      <c r="O3" s="73"/>
    </row>
    <row r="4" spans="2:16" ht="12.75" thickBot="1">
      <c r="B4" s="3" t="str">
        <f>"Industry of "&amp;Drivers!C10</f>
        <v>Industry of Etsy Inc.</v>
      </c>
      <c r="C4" s="128" t="str">
        <f>Drivers!C14</f>
        <v>Internet Retail</v>
      </c>
      <c r="D4" s="5"/>
      <c r="E4" s="313" t="s">
        <v>794</v>
      </c>
      <c r="F4" s="313"/>
      <c r="G4" s="314" t="s">
        <v>809</v>
      </c>
      <c r="H4" s="259"/>
      <c r="I4" s="313" t="s">
        <v>803</v>
      </c>
      <c r="J4" s="315" t="s">
        <v>123</v>
      </c>
      <c r="L4" s="162"/>
      <c r="M4" s="146"/>
      <c r="N4" s="47"/>
      <c r="O4" s="47"/>
    </row>
    <row r="5" spans="2:16">
      <c r="D5" s="5"/>
      <c r="E5" s="121" t="s">
        <v>768</v>
      </c>
      <c r="F5" s="311">
        <v>4.7300000000000002E-2</v>
      </c>
      <c r="G5" s="312">
        <v>50982</v>
      </c>
      <c r="H5" s="99">
        <f ca="1">YEARFRAC(TODAY(),G5)</f>
        <v>16.324999999999999</v>
      </c>
      <c r="I5" s="462">
        <f>4.731+105.699</f>
        <v>110.42999999999999</v>
      </c>
      <c r="J5" s="47"/>
      <c r="K5" s="243">
        <f>I5/$I$13</f>
        <v>4.620366767500534E-2</v>
      </c>
      <c r="L5" s="162"/>
      <c r="M5" s="99"/>
      <c r="N5" s="163"/>
      <c r="O5" s="163"/>
    </row>
    <row r="6" spans="2:16">
      <c r="B6" s="256" t="s">
        <v>150</v>
      </c>
      <c r="C6" s="330">
        <f>'Beta Calculation Data'!D205</f>
        <v>0.87</v>
      </c>
      <c r="D6" s="20"/>
      <c r="I6" s="463"/>
      <c r="L6" s="147"/>
      <c r="M6" s="99"/>
      <c r="N6" s="161"/>
      <c r="O6" s="161"/>
    </row>
    <row r="7" spans="2:16">
      <c r="B7" s="256" t="s">
        <v>151</v>
      </c>
      <c r="C7" s="330">
        <f>'Beta Calculation Data'!K205</f>
        <v>0.12557292688157629</v>
      </c>
      <c r="D7" s="5"/>
      <c r="E7" s="121" t="s">
        <v>770</v>
      </c>
      <c r="F7" s="311">
        <v>4.0000000000000001E-3</v>
      </c>
      <c r="G7" s="312">
        <v>46919</v>
      </c>
      <c r="H7" s="99">
        <f ca="1">YEARFRAC(TODAY(),G7)</f>
        <v>5.197222222222222</v>
      </c>
      <c r="I7" s="462">
        <v>989.62900000000002</v>
      </c>
      <c r="J7" s="63">
        <f>I7/$I$11</f>
        <v>0.43411635170465518</v>
      </c>
      <c r="K7" s="243"/>
      <c r="M7" s="99"/>
      <c r="N7" s="127"/>
      <c r="O7" s="127"/>
    </row>
    <row r="8" spans="2:16">
      <c r="B8" s="256" t="s">
        <v>157</v>
      </c>
      <c r="C8" s="276">
        <f>'Risk Free Rate &amp; ERP'!H15</f>
        <v>0.22534235144895792</v>
      </c>
      <c r="D8" s="5"/>
      <c r="E8" s="121" t="s">
        <v>771</v>
      </c>
      <c r="F8" s="311">
        <v>3.0000000000000001E-3</v>
      </c>
      <c r="G8" s="312">
        <v>46569</v>
      </c>
      <c r="H8" s="99">
        <f ca="1">YEARFRAC(TODAY(),G8)</f>
        <v>4.2416666666666663</v>
      </c>
      <c r="I8" s="462">
        <v>644.43100000000004</v>
      </c>
      <c r="J8" s="63">
        <f>I8/$I$11</f>
        <v>0.2826898106718605</v>
      </c>
      <c r="K8" s="244"/>
      <c r="L8" s="62"/>
      <c r="M8" s="99"/>
      <c r="N8" s="127"/>
      <c r="O8" s="127"/>
    </row>
    <row r="9" spans="2:16">
      <c r="B9" s="256" t="s">
        <v>112</v>
      </c>
      <c r="C9" s="330">
        <f>C6/(1+(C7*(1-C8)))</f>
        <v>0.79287251119464752</v>
      </c>
      <c r="D9" s="16"/>
      <c r="E9" s="121" t="s">
        <v>772</v>
      </c>
      <c r="F9" s="311">
        <v>3.0000000000000001E-3</v>
      </c>
      <c r="G9" s="312">
        <v>46235</v>
      </c>
      <c r="H9" s="99">
        <f ca="1">YEARFRAC(TODAY(),G9)</f>
        <v>3.3250000000000002</v>
      </c>
      <c r="I9" s="462">
        <v>645.53599999999994</v>
      </c>
      <c r="J9" s="63">
        <f>I9/$I$11</f>
        <v>0.28317453633029777</v>
      </c>
      <c r="K9" s="207"/>
      <c r="L9" s="147"/>
      <c r="M9" s="99"/>
      <c r="N9" s="127"/>
      <c r="O9" s="127"/>
    </row>
    <row r="10" spans="2:16">
      <c r="B10" s="256" t="s">
        <v>152</v>
      </c>
      <c r="C10" s="276">
        <f>'Beta Calculation Data'!J205</f>
        <v>0.17046729104420966</v>
      </c>
      <c r="D10" s="16"/>
      <c r="E10" s="121" t="s">
        <v>773</v>
      </c>
      <c r="F10" s="311">
        <v>0</v>
      </c>
      <c r="G10" s="312">
        <v>44986</v>
      </c>
      <c r="H10" s="99">
        <f ca="1">YEARFRAC(TODAY(),G10)</f>
        <v>9.166666666666666E-2</v>
      </c>
      <c r="I10" s="462">
        <v>4.3999999999999997E-2</v>
      </c>
      <c r="J10" s="63">
        <f>I10/$I$11</f>
        <v>1.9301293186643505E-5</v>
      </c>
      <c r="K10" s="244"/>
      <c r="L10" s="59"/>
      <c r="M10" s="99"/>
      <c r="N10" s="127"/>
      <c r="O10" s="127"/>
    </row>
    <row r="11" spans="2:16">
      <c r="B11" s="266" t="s">
        <v>319</v>
      </c>
      <c r="C11" s="333">
        <f>C9/(1-C10)</f>
        <v>0.95580620587307474</v>
      </c>
      <c r="D11" s="16"/>
      <c r="E11" s="316" t="s">
        <v>769</v>
      </c>
      <c r="F11" s="317">
        <f>(F7*J7)+(F8*J8)+(F9*J9)+(F10*J10)</f>
        <v>3.4340584478250954E-3</v>
      </c>
      <c r="G11" s="318"/>
      <c r="H11" s="319">
        <f ca="1">(H7*J7)+(H8*J8)+(H9*J9)+(H10*J10)</f>
        <v>4.3968321996260622</v>
      </c>
      <c r="I11" s="464">
        <f>SUM(I7:I10)</f>
        <v>2279.64</v>
      </c>
      <c r="J11" s="320">
        <f>SUM(J7:J10)</f>
        <v>1</v>
      </c>
      <c r="K11" s="243">
        <f>I11/$I$13</f>
        <v>0.95379633232499472</v>
      </c>
      <c r="L11" s="6"/>
      <c r="M11" s="99"/>
      <c r="N11" s="162"/>
      <c r="O11" s="162"/>
    </row>
    <row r="12" spans="2:16">
      <c r="D12" s="132"/>
      <c r="I12" s="463"/>
      <c r="L12" s="6"/>
      <c r="M12" s="99"/>
      <c r="N12" s="162"/>
      <c r="O12" s="162"/>
    </row>
    <row r="13" spans="2:16">
      <c r="B13" s="256" t="s">
        <v>39</v>
      </c>
      <c r="C13" s="458">
        <f>Drivers!C16*Drivers!C17</f>
        <v>13650.25466142</v>
      </c>
      <c r="D13" s="5"/>
      <c r="E13" s="321" t="s">
        <v>128</v>
      </c>
      <c r="F13" s="323">
        <f>(F5*K5)+(F11*K11)</f>
        <v>5.460825833552993E-3</v>
      </c>
      <c r="G13" s="322"/>
      <c r="H13" s="324">
        <f ca="1">(H5*K5)+(H11*K11)</f>
        <v>4.9479573006462392</v>
      </c>
      <c r="I13" s="465">
        <f>I5+I11</f>
        <v>2390.0699999999997</v>
      </c>
      <c r="J13" s="323">
        <f>SUM(K11,K5)</f>
        <v>1</v>
      </c>
      <c r="L13" s="6"/>
      <c r="M13" s="99"/>
      <c r="N13" s="118"/>
      <c r="O13" s="118"/>
    </row>
    <row r="14" spans="2:16">
      <c r="B14" s="256" t="s">
        <v>37</v>
      </c>
      <c r="C14" s="459">
        <f ca="1">I5+F22</f>
        <v>1975.6654974908643</v>
      </c>
      <c r="D14" s="5"/>
      <c r="G14" s="150"/>
      <c r="K14" s="62"/>
      <c r="L14" s="6"/>
      <c r="M14" s="99"/>
      <c r="N14" s="162"/>
      <c r="O14" s="162"/>
    </row>
    <row r="15" spans="2:16">
      <c r="B15" s="256" t="s">
        <v>153</v>
      </c>
      <c r="C15" s="332">
        <f ca="1">C14/C13</f>
        <v>0.14473469883860327</v>
      </c>
      <c r="D15" s="5"/>
      <c r="E15" s="310" t="s">
        <v>37</v>
      </c>
      <c r="F15" s="307"/>
      <c r="G15" s="150"/>
      <c r="K15" s="6"/>
      <c r="L15" s="6"/>
      <c r="M15" s="99"/>
      <c r="N15" s="118"/>
      <c r="O15" s="118"/>
    </row>
    <row r="16" spans="2:16" ht="12.75" thickBot="1">
      <c r="B16" s="256" t="s">
        <v>309</v>
      </c>
      <c r="C16" s="276">
        <f ca="1">C15/(C15+1)</f>
        <v>0.12643514605213296</v>
      </c>
      <c r="D16" s="5"/>
      <c r="E16" s="325" t="str">
        <f>"in mil "&amp;Drivers!C5</f>
        <v>in mil $</v>
      </c>
      <c r="F16" s="259"/>
      <c r="G16" s="99"/>
      <c r="L16" s="6"/>
      <c r="M16" s="99"/>
      <c r="N16" s="141"/>
      <c r="O16" s="141"/>
    </row>
    <row r="17" spans="2:15">
      <c r="D17" s="20"/>
      <c r="E17" s="350" t="s">
        <v>181</v>
      </c>
      <c r="F17" s="460">
        <f>I11</f>
        <v>2279.64</v>
      </c>
      <c r="K17" s="6"/>
      <c r="L17" s="6"/>
      <c r="M17" s="99"/>
      <c r="N17" s="127"/>
      <c r="O17" s="127"/>
    </row>
    <row r="18" spans="2:15">
      <c r="B18" s="335" t="s">
        <v>141</v>
      </c>
      <c r="C18" s="333">
        <f ca="1">C11*(1+(C15*(1-C8)))</f>
        <v>1.0629710461478359</v>
      </c>
      <c r="D18" s="5"/>
      <c r="E18" s="350" t="s">
        <v>774</v>
      </c>
      <c r="F18" s="326">
        <v>14.167999999999999</v>
      </c>
      <c r="I18" s="140"/>
      <c r="K18" s="6"/>
      <c r="L18" s="62"/>
      <c r="M18" s="99"/>
      <c r="N18" s="99"/>
      <c r="O18" s="99"/>
    </row>
    <row r="19" spans="2:15">
      <c r="D19" s="5"/>
      <c r="E19" s="350" t="s">
        <v>777</v>
      </c>
      <c r="F19" s="327">
        <f>'Cost of Equity, Debt &amp; WACC'!C16</f>
        <v>5.3731579704595508E-2</v>
      </c>
      <c r="H19" s="140"/>
      <c r="K19" s="6"/>
      <c r="L19" s="147"/>
      <c r="M19" s="99"/>
      <c r="N19" s="99"/>
      <c r="O19" s="99"/>
    </row>
    <row r="20" spans="2:15">
      <c r="D20" s="5"/>
      <c r="E20" s="350" t="s">
        <v>775</v>
      </c>
      <c r="F20" s="328">
        <f ca="1">H11</f>
        <v>4.3968321996260622</v>
      </c>
      <c r="H20" s="140"/>
      <c r="K20" s="62"/>
      <c r="L20" s="147"/>
      <c r="M20" s="99"/>
      <c r="N20" s="127"/>
      <c r="O20" s="127"/>
    </row>
    <row r="21" spans="2:15" ht="12" customHeight="1">
      <c r="D21" s="5"/>
      <c r="E21" s="6"/>
      <c r="F21" s="329"/>
      <c r="G21" s="99"/>
      <c r="H21" s="162"/>
      <c r="I21" s="162"/>
      <c r="K21" s="162"/>
      <c r="L21" s="147"/>
      <c r="M21" s="99"/>
      <c r="N21" s="99"/>
      <c r="O21" s="99"/>
    </row>
    <row r="22" spans="2:15">
      <c r="D22" s="20"/>
      <c r="E22" s="351" t="s">
        <v>776</v>
      </c>
      <c r="F22" s="461">
        <f ca="1">F18*((1-(1+F19)^(-F20))/F19)+F17/(1+F19)^F20</f>
        <v>1865.2354974908642</v>
      </c>
      <c r="G22" s="99"/>
      <c r="H22" s="118"/>
      <c r="I22" s="118"/>
      <c r="K22" s="162"/>
      <c r="L22" s="147"/>
      <c r="M22" s="99"/>
      <c r="N22" s="127"/>
      <c r="O22" s="127"/>
    </row>
    <row r="23" spans="2:15">
      <c r="D23" s="5"/>
      <c r="G23" s="99"/>
      <c r="H23" s="162"/>
      <c r="I23" s="162"/>
      <c r="K23" s="62"/>
      <c r="L23" s="62"/>
      <c r="M23" s="99"/>
      <c r="N23" s="99"/>
      <c r="O23" s="99"/>
    </row>
    <row r="24" spans="2:15">
      <c r="D24" s="5"/>
      <c r="G24" s="99"/>
      <c r="H24" s="118"/>
      <c r="I24" s="118"/>
      <c r="K24" s="62"/>
      <c r="L24" s="62"/>
      <c r="M24" s="99"/>
      <c r="N24" s="127"/>
      <c r="O24" s="127"/>
    </row>
    <row r="25" spans="2:15">
      <c r="D25" s="5"/>
      <c r="G25" s="99"/>
      <c r="H25" s="141"/>
      <c r="K25" s="62"/>
      <c r="L25" s="62"/>
      <c r="M25" s="99"/>
      <c r="N25" s="127"/>
      <c r="O25" s="127"/>
    </row>
    <row r="26" spans="2:15">
      <c r="D26" s="20"/>
      <c r="G26" s="99"/>
      <c r="H26" s="127"/>
      <c r="K26" s="62"/>
      <c r="L26" s="147"/>
      <c r="M26" s="99"/>
      <c r="N26" s="127"/>
      <c r="O26" s="127"/>
    </row>
    <row r="27" spans="2:15">
      <c r="D27" s="6"/>
      <c r="G27" s="99"/>
      <c r="H27" s="99"/>
      <c r="K27" s="62"/>
      <c r="L27" s="147"/>
      <c r="M27" s="99"/>
      <c r="N27" s="163"/>
      <c r="O27" s="163"/>
    </row>
    <row r="28" spans="2:15">
      <c r="D28" s="3"/>
      <c r="E28" s="136"/>
      <c r="F28" s="136"/>
      <c r="G28" s="99"/>
      <c r="H28" s="99"/>
      <c r="K28" s="62"/>
      <c r="L28" s="62"/>
      <c r="M28" s="99"/>
      <c r="N28" s="161"/>
      <c r="O28" s="161"/>
    </row>
    <row r="29" spans="2:15">
      <c r="D29" s="3"/>
      <c r="E29" s="136"/>
      <c r="F29" s="136"/>
      <c r="G29" s="99"/>
      <c r="H29" s="127"/>
      <c r="K29" s="62"/>
      <c r="L29" s="3"/>
      <c r="M29" s="99"/>
      <c r="N29" s="127"/>
      <c r="O29" s="127"/>
    </row>
    <row r="30" spans="2:15">
      <c r="D30" s="3"/>
      <c r="E30" s="136"/>
      <c r="F30" s="136"/>
      <c r="G30" s="99"/>
      <c r="H30" s="99"/>
      <c r="K30" s="62"/>
      <c r="L30" s="3"/>
      <c r="M30" s="140"/>
      <c r="O30" s="127"/>
    </row>
    <row r="31" spans="2:15">
      <c r="D31" s="3"/>
      <c r="E31" s="136"/>
      <c r="F31" s="136"/>
      <c r="G31" s="99"/>
      <c r="H31" s="140"/>
      <c r="K31" s="62"/>
      <c r="L31" s="3"/>
      <c r="M31" s="140"/>
      <c r="O31" s="127"/>
    </row>
    <row r="32" spans="2:15">
      <c r="D32" s="3"/>
      <c r="G32" s="99"/>
      <c r="H32" s="99"/>
      <c r="K32" s="62"/>
      <c r="L32" s="3"/>
      <c r="M32" s="99"/>
      <c r="N32" s="127"/>
      <c r="O32" s="127"/>
    </row>
    <row r="33" spans="4:15">
      <c r="D33" s="3"/>
      <c r="G33" s="99"/>
      <c r="H33" s="140"/>
      <c r="K33" s="6"/>
      <c r="L33" s="3"/>
      <c r="M33" s="99"/>
      <c r="N33" s="162"/>
      <c r="O33" s="162"/>
    </row>
    <row r="34" spans="4:15">
      <c r="D34" s="60"/>
      <c r="G34" s="137"/>
      <c r="H34" s="140"/>
      <c r="K34" s="6"/>
      <c r="L34" s="3"/>
      <c r="M34" s="99"/>
      <c r="N34" s="162"/>
      <c r="O34" s="162"/>
    </row>
    <row r="35" spans="4:15">
      <c r="D35" s="148"/>
      <c r="G35" s="137"/>
      <c r="H35" s="140"/>
      <c r="K35" s="6"/>
      <c r="L35" s="3"/>
      <c r="M35" s="99"/>
      <c r="N35" s="118"/>
      <c r="O35" s="118"/>
    </row>
    <row r="36" spans="4:15" ht="12" customHeight="1">
      <c r="D36" s="148"/>
      <c r="G36" s="137"/>
      <c r="H36" s="138"/>
      <c r="K36" s="62"/>
      <c r="L36" s="3"/>
      <c r="M36" s="99"/>
      <c r="N36" s="162"/>
      <c r="O36" s="162"/>
    </row>
    <row r="37" spans="4:15">
      <c r="D37" s="149"/>
      <c r="G37" s="137"/>
      <c r="H37" s="138"/>
      <c r="K37" s="6"/>
      <c r="L37" s="3"/>
      <c r="M37" s="99"/>
      <c r="N37" s="118"/>
      <c r="O37" s="118"/>
    </row>
    <row r="38" spans="4:15">
      <c r="D38" s="3"/>
      <c r="G38" s="137"/>
      <c r="H38" s="139"/>
      <c r="K38" s="6"/>
      <c r="L38" s="3"/>
      <c r="M38" s="3"/>
      <c r="N38" s="3"/>
      <c r="O38" s="3"/>
    </row>
    <row r="39" spans="4:15" ht="12" customHeight="1">
      <c r="H39" s="138"/>
      <c r="K39" s="6"/>
      <c r="M39" s="3"/>
      <c r="N39" s="3"/>
      <c r="O39" s="164"/>
    </row>
    <row r="40" spans="4:15">
      <c r="H40" s="138"/>
      <c r="K40" s="3"/>
      <c r="M40" s="3"/>
      <c r="N40" s="3"/>
      <c r="O40" s="3"/>
    </row>
    <row r="41" spans="4:15">
      <c r="K41" s="62"/>
      <c r="M41" s="3"/>
      <c r="N41" s="3"/>
      <c r="O41" s="3"/>
    </row>
    <row r="42" spans="4:15">
      <c r="K42" s="62"/>
      <c r="M42" s="3"/>
      <c r="N42" s="3"/>
      <c r="O42" s="3"/>
    </row>
    <row r="43" spans="4:15">
      <c r="K43" s="62"/>
      <c r="M43" s="3"/>
      <c r="N43" s="3"/>
      <c r="O43" s="3"/>
    </row>
    <row r="44" spans="4:15">
      <c r="K44" s="62"/>
      <c r="M44" s="3"/>
      <c r="N44" s="3"/>
      <c r="O44" s="3"/>
    </row>
    <row r="45" spans="4:15">
      <c r="K45" s="62"/>
      <c r="M45" s="3"/>
      <c r="N45" s="3"/>
      <c r="O45" s="3"/>
    </row>
    <row r="46" spans="4:15">
      <c r="K46" s="62"/>
      <c r="M46" s="3"/>
      <c r="N46" s="3"/>
      <c r="O46" s="3"/>
    </row>
    <row r="47" spans="4:15">
      <c r="K47" s="62"/>
      <c r="M47" s="3"/>
      <c r="N47" s="3"/>
      <c r="O47" s="3"/>
    </row>
    <row r="48" spans="4:15">
      <c r="K48" s="62"/>
    </row>
    <row r="49" spans="11:11">
      <c r="K49" s="62"/>
    </row>
    <row r="57" spans="11:11" ht="12" customHeight="1"/>
    <row r="63" spans="11:11" ht="12" customHeight="1"/>
    <row r="117" spans="15:15">
      <c r="O117" s="133"/>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5.7109375" style="2" customWidth="1"/>
    <col min="3" max="3" width="12" style="2" bestFit="1" customWidth="1"/>
    <col min="4" max="4" width="5.85546875" style="2" customWidth="1"/>
    <col min="5" max="5" width="11.5703125" style="2" customWidth="1"/>
    <col min="6" max="6" width="11.28515625" style="2" customWidth="1"/>
    <col min="7" max="7" width="12.28515625" style="2" customWidth="1"/>
    <col min="8" max="8" width="9.85546875" style="2" bestFit="1" customWidth="1"/>
    <col min="9" max="9" width="11" style="2" bestFit="1" customWidth="1"/>
    <col min="10" max="12" width="10.5703125" style="2" bestFit="1" customWidth="1"/>
    <col min="13" max="16384" width="9.140625" style="2"/>
  </cols>
  <sheetData>
    <row r="1" spans="2:13" ht="15.75">
      <c r="B1" s="15" t="s">
        <v>158</v>
      </c>
    </row>
    <row r="3" spans="2:13" ht="12" customHeight="1">
      <c r="B3" s="336" t="s">
        <v>7</v>
      </c>
      <c r="C3" s="254"/>
      <c r="L3" s="245"/>
      <c r="M3" s="7"/>
    </row>
    <row r="4" spans="2:13" ht="12.75" thickBot="1">
      <c r="B4" s="259"/>
      <c r="C4" s="259"/>
    </row>
    <row r="5" spans="2:13">
      <c r="B5" s="35" t="str">
        <f>Drivers!$C$5&amp;" Risk Free Rate"</f>
        <v>$ Risk Free Rate</v>
      </c>
      <c r="C5" s="92">
        <f>'Risk Free Rate &amp; ERP'!C6</f>
        <v>3.372E-2</v>
      </c>
      <c r="D5" s="5"/>
    </row>
    <row r="6" spans="2:13">
      <c r="B6" s="35" t="str">
        <f>Drivers!$C$11&amp;"'s Equity Risk Premium"</f>
        <v>ETSY's Equity Risk Premium</v>
      </c>
      <c r="C6" s="92">
        <f>'Risk Free Rate &amp; ERP'!C8</f>
        <v>5.4897267203722205E-2</v>
      </c>
      <c r="D6" s="20"/>
    </row>
    <row r="7" spans="2:13">
      <c r="B7" s="35" t="str">
        <f>Drivers!$C$11&amp;"'s Bottom Up Beta"</f>
        <v>ETSY's Bottom Up Beta</v>
      </c>
      <c r="C7" s="100">
        <f ca="1">'Bottom Up Beta'!C18</f>
        <v>1.0629710461478359</v>
      </c>
      <c r="D7" s="5"/>
    </row>
    <row r="8" spans="2:13">
      <c r="B8" s="335" t="s">
        <v>7</v>
      </c>
      <c r="C8" s="275">
        <f ca="1">C5+C7*C6</f>
        <v>9.207420555019788E-2</v>
      </c>
      <c r="D8" s="5"/>
    </row>
    <row r="9" spans="2:13">
      <c r="B9" s="3"/>
      <c r="C9" s="3"/>
      <c r="D9" s="5"/>
    </row>
    <row r="10" spans="2:13">
      <c r="B10" s="336" t="s">
        <v>36</v>
      </c>
      <c r="C10" s="254"/>
      <c r="D10" s="5"/>
      <c r="E10" s="5"/>
      <c r="F10" s="5"/>
    </row>
    <row r="11" spans="2:13" ht="12.75" thickBot="1">
      <c r="B11" s="259"/>
      <c r="C11" s="259"/>
      <c r="D11" s="5"/>
      <c r="E11" s="20"/>
      <c r="F11" s="5"/>
    </row>
    <row r="12" spans="2:13">
      <c r="B12" s="35" t="str">
        <f>Drivers!$C$5&amp;" Risk Free Rate"</f>
        <v>$ Risk Free Rate</v>
      </c>
      <c r="C12" s="63">
        <f>'Risk Free Rate &amp; ERP'!$C$6</f>
        <v>3.372E-2</v>
      </c>
      <c r="F12" s="20"/>
    </row>
    <row r="13" spans="2:13">
      <c r="B13" s="35" t="s">
        <v>304</v>
      </c>
      <c r="C13" s="63">
        <f>'Risk Free Rate &amp; ERP'!G15</f>
        <v>1.0011579704595505E-2</v>
      </c>
      <c r="D13" s="5"/>
      <c r="E13" s="5"/>
      <c r="F13" s="5"/>
    </row>
    <row r="14" spans="2:13">
      <c r="B14" s="256" t="s">
        <v>182</v>
      </c>
      <c r="C14" s="63" t="s">
        <v>258</v>
      </c>
      <c r="D14" s="5"/>
      <c r="E14" s="5"/>
      <c r="F14" s="5"/>
    </row>
    <row r="15" spans="2:13">
      <c r="B15" s="35" t="str">
        <f>Drivers!$C$11&amp;"'s Default Spread"</f>
        <v>ETSY's Default Spread</v>
      </c>
      <c r="C15" s="92">
        <v>0.01</v>
      </c>
      <c r="D15" s="5"/>
      <c r="E15" s="5"/>
      <c r="F15" s="5"/>
    </row>
    <row r="16" spans="2:13">
      <c r="B16" s="335" t="s">
        <v>36</v>
      </c>
      <c r="C16" s="275">
        <f>C12+C13+C15</f>
        <v>5.3731579704595508E-2</v>
      </c>
      <c r="D16" s="5"/>
      <c r="E16" s="5"/>
      <c r="F16" s="20"/>
    </row>
    <row r="17" spans="2:12">
      <c r="D17" s="20"/>
      <c r="E17" s="20"/>
      <c r="G17" s="5"/>
      <c r="H17" s="5"/>
      <c r="I17" s="5"/>
    </row>
    <row r="18" spans="2:12">
      <c r="B18" s="336" t="s">
        <v>6</v>
      </c>
      <c r="C18" s="254"/>
      <c r="D18" s="5"/>
      <c r="E18" s="5"/>
      <c r="F18" s="20"/>
      <c r="G18" s="5"/>
      <c r="H18" s="5"/>
      <c r="I18" s="5"/>
    </row>
    <row r="19" spans="2:12" ht="12.75" thickBot="1">
      <c r="B19" s="259"/>
      <c r="C19" s="259"/>
      <c r="D19" s="5"/>
    </row>
    <row r="20" spans="2:12">
      <c r="B20" s="352" t="s">
        <v>7</v>
      </c>
      <c r="C20" s="346">
        <f ca="1">C8</f>
        <v>9.207420555019788E-2</v>
      </c>
      <c r="D20" s="5"/>
    </row>
    <row r="21" spans="2:12">
      <c r="B21" s="352" t="str">
        <f>"Market Value of Equity ("&amp;Drivers!$C$5&amp;"m)"</f>
        <v>Market Value of Equity ($m)</v>
      </c>
      <c r="C21" s="334">
        <f>'Bottom Up Beta'!C13</f>
        <v>13650.25466142</v>
      </c>
      <c r="D21" s="20"/>
    </row>
    <row r="22" spans="2:12">
      <c r="B22" s="352" t="s">
        <v>154</v>
      </c>
      <c r="C22" s="346">
        <f>C16</f>
        <v>5.3731579704595508E-2</v>
      </c>
    </row>
    <row r="23" spans="2:12">
      <c r="B23" s="352" t="str">
        <f>"Market Value of Debt ("&amp;Drivers!$C$5&amp;"m)"</f>
        <v>Market Value of Debt ($m)</v>
      </c>
      <c r="C23" s="334">
        <f ca="1">'Bottom Up Beta'!C14</f>
        <v>1975.6654974908643</v>
      </c>
    </row>
    <row r="24" spans="2:12">
      <c r="B24" s="352" t="s">
        <v>157</v>
      </c>
      <c r="C24" s="346">
        <f>'Risk Free Rate &amp; ERP'!H15</f>
        <v>0.22534235144895792</v>
      </c>
      <c r="F24" s="5"/>
      <c r="G24" s="38"/>
      <c r="H24" s="35"/>
      <c r="I24" s="35"/>
      <c r="J24" s="35"/>
      <c r="K24" s="35"/>
      <c r="L24" s="35"/>
    </row>
    <row r="25" spans="2:12">
      <c r="B25" s="353"/>
      <c r="C25" s="353"/>
      <c r="D25" s="3"/>
      <c r="F25" s="20"/>
      <c r="G25" s="38"/>
      <c r="H25" s="35"/>
      <c r="I25" s="35"/>
      <c r="J25" s="35"/>
      <c r="K25" s="35"/>
      <c r="L25" s="35"/>
    </row>
    <row r="26" spans="2:12">
      <c r="B26" s="352" t="s">
        <v>155</v>
      </c>
      <c r="C26" s="346">
        <f ca="1">C21/(C21+C23)</f>
        <v>0.87356485394786709</v>
      </c>
      <c r="F26" s="3"/>
      <c r="G26" s="74"/>
      <c r="H26" s="74"/>
      <c r="I26" s="74"/>
      <c r="J26" s="74"/>
      <c r="K26" s="74"/>
      <c r="L26" s="19"/>
    </row>
    <row r="27" spans="2:12">
      <c r="B27" s="352" t="s">
        <v>156</v>
      </c>
      <c r="C27" s="346">
        <f ca="1">C23/(C21+C23)</f>
        <v>0.12643514605213299</v>
      </c>
      <c r="F27" s="3"/>
    </row>
    <row r="28" spans="2:12">
      <c r="B28" s="353"/>
      <c r="C28" s="353"/>
      <c r="D28" s="3"/>
      <c r="E28" s="3"/>
      <c r="F28" s="3"/>
    </row>
    <row r="29" spans="2:12">
      <c r="B29" s="335" t="s">
        <v>5</v>
      </c>
      <c r="C29" s="275">
        <f ca="1">(C20*C26)+(C22*(1-C24)*C27)</f>
        <v>8.5695473237532085E-2</v>
      </c>
      <c r="D29" s="3"/>
      <c r="E29" s="3"/>
      <c r="F29" s="3"/>
    </row>
    <row r="30" spans="2:12">
      <c r="D30" s="3"/>
      <c r="E30" s="3"/>
      <c r="F30" s="3"/>
    </row>
    <row r="31" spans="2:12">
      <c r="D31" s="3"/>
      <c r="E31" s="3"/>
      <c r="F31" s="3"/>
    </row>
    <row r="32" spans="2:12">
      <c r="D32" s="3"/>
      <c r="E32" s="3"/>
      <c r="F32" s="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29" t="s">
        <v>40</v>
      </c>
    </row>
    <row r="3" spans="2:2">
      <c r="B3" s="83"/>
    </row>
    <row r="4" spans="2:2">
      <c r="B4" s="8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56"/>
  <sheetViews>
    <sheetView workbookViewId="0"/>
  </sheetViews>
  <sheetFormatPr defaultRowHeight="12"/>
  <cols>
    <col min="1" max="1" width="2" style="77" customWidth="1"/>
    <col min="2" max="2" width="25.42578125" style="77" customWidth="1"/>
    <col min="3" max="7" width="11.7109375" style="77" customWidth="1"/>
    <col min="8" max="8" width="12.28515625" style="77" customWidth="1"/>
    <col min="9" max="9" width="23" style="77" customWidth="1"/>
    <col min="10" max="10" width="10.7109375" style="77" customWidth="1" collapsed="1"/>
    <col min="11" max="15" width="10.7109375" style="77" customWidth="1"/>
    <col min="16" max="16" width="11.140625" style="77" customWidth="1"/>
    <col min="17" max="29" width="9.140625" style="77" customWidth="1"/>
    <col min="30" max="30" width="9.28515625" style="77" customWidth="1"/>
    <col min="31" max="31" width="9.42578125" style="77" customWidth="1"/>
    <col min="32" max="32" width="10" style="77" customWidth="1"/>
    <col min="33" max="33" width="11.42578125" style="77" customWidth="1"/>
    <col min="34" max="34" width="9.42578125" style="77" bestFit="1" customWidth="1" collapsed="1"/>
    <col min="35" max="16384" width="9.140625" style="77"/>
  </cols>
  <sheetData>
    <row r="1" spans="1:35" s="76" customFormat="1" ht="15" customHeight="1">
      <c r="B1" s="15" t="s">
        <v>176</v>
      </c>
      <c r="C1" s="15"/>
      <c r="D1" s="15"/>
      <c r="E1" s="15"/>
      <c r="F1" s="15"/>
      <c r="G1" s="75"/>
      <c r="H1" s="75"/>
      <c r="I1" s="75"/>
      <c r="J1" s="75"/>
      <c r="K1" s="75"/>
      <c r="L1" s="75"/>
      <c r="M1" s="75"/>
      <c r="N1" s="75"/>
      <c r="O1" s="75"/>
    </row>
    <row r="2" spans="1:35" ht="12" customHeight="1"/>
    <row r="3" spans="1:35" s="79" customFormat="1" ht="12" customHeight="1">
      <c r="A3" s="77"/>
      <c r="B3" s="359" t="s">
        <v>827</v>
      </c>
      <c r="C3" s="358"/>
      <c r="D3" s="358"/>
      <c r="E3" s="358"/>
      <c r="F3" s="358"/>
      <c r="G3" s="358"/>
      <c r="H3" s="77"/>
      <c r="I3" s="379" t="s">
        <v>830</v>
      </c>
      <c r="J3" s="358"/>
      <c r="K3" s="358"/>
      <c r="L3" s="358"/>
      <c r="M3" s="358"/>
      <c r="N3" s="358"/>
      <c r="O3" s="382"/>
      <c r="P3" s="175"/>
      <c r="Q3" s="78"/>
      <c r="R3" s="78"/>
      <c r="S3" s="78"/>
      <c r="T3" s="78"/>
      <c r="U3" s="78"/>
      <c r="V3" s="78"/>
      <c r="W3" s="78"/>
      <c r="X3" s="78"/>
      <c r="Y3" s="78"/>
      <c r="Z3" s="78"/>
      <c r="AA3" s="78"/>
      <c r="AB3" s="78"/>
      <c r="AC3" s="78"/>
      <c r="AD3" s="78"/>
    </row>
    <row r="4" spans="1:35" ht="12" customHeight="1" thickBot="1">
      <c r="B4" s="360" t="str">
        <f>Drivers!$C$5&amp;" in mil"</f>
        <v>$ in mil</v>
      </c>
      <c r="C4" s="378">
        <v>43101</v>
      </c>
      <c r="D4" s="378">
        <f>EDATE(C4,12)</f>
        <v>43466</v>
      </c>
      <c r="E4" s="378">
        <f>EDATE(D4,12)</f>
        <v>43831</v>
      </c>
      <c r="F4" s="378">
        <f>EDATE(E4,12)</f>
        <v>44197</v>
      </c>
      <c r="G4" s="378">
        <f>EDATE(F4,12)</f>
        <v>44562</v>
      </c>
      <c r="H4" s="78"/>
      <c r="I4" s="360" t="str">
        <f>Drivers!$C$5&amp;" in mil"</f>
        <v>$ in mil</v>
      </c>
      <c r="J4" s="378">
        <v>43101</v>
      </c>
      <c r="K4" s="378">
        <f>EDATE(J4,12)</f>
        <v>43466</v>
      </c>
      <c r="L4" s="378">
        <f>EDATE(K4,12)</f>
        <v>43831</v>
      </c>
      <c r="M4" s="378">
        <f>EDATE(L4,12)</f>
        <v>44197</v>
      </c>
      <c r="N4" s="378">
        <f>EDATE(M4,12)</f>
        <v>44562</v>
      </c>
      <c r="O4" s="383"/>
    </row>
    <row r="5" spans="1:35" ht="12" customHeight="1">
      <c r="A5" s="79"/>
      <c r="B5" s="369" t="s">
        <v>4</v>
      </c>
      <c r="C5" s="370">
        <f>'Income Statement'!C5</f>
        <v>603.69299999999998</v>
      </c>
      <c r="D5" s="370">
        <f>'Income Statement'!D5</f>
        <v>818.37900000000002</v>
      </c>
      <c r="E5" s="370">
        <f>'Income Statement'!E5</f>
        <v>1725.625</v>
      </c>
      <c r="F5" s="370">
        <f>'Income Statement'!F5</f>
        <v>2329.114</v>
      </c>
      <c r="G5" s="370">
        <f>'Income Statement'!G5</f>
        <v>2566.1109999999999</v>
      </c>
      <c r="H5" s="97"/>
      <c r="I5" s="82" t="s">
        <v>832</v>
      </c>
      <c r="J5" s="371">
        <f>-C8</f>
        <v>97.248999999999995</v>
      </c>
      <c r="K5" s="371">
        <f>-D8</f>
        <v>121.878</v>
      </c>
      <c r="L5" s="371">
        <f>-E8</f>
        <v>180.08</v>
      </c>
      <c r="M5" s="371">
        <f>-F8</f>
        <v>271.53500000000003</v>
      </c>
      <c r="N5" s="371">
        <f>-G8</f>
        <v>412.39800000000002</v>
      </c>
      <c r="O5" s="134"/>
    </row>
    <row r="6" spans="1:35" ht="12" customHeight="1">
      <c r="A6" s="84"/>
      <c r="B6" s="367" t="s">
        <v>227</v>
      </c>
      <c r="C6" s="388">
        <f>'Income Statement'!C6</f>
        <v>-190.762</v>
      </c>
      <c r="D6" s="388">
        <f>'Income Statement'!D6</f>
        <v>-271.036</v>
      </c>
      <c r="E6" s="388">
        <f>'Income Statement'!E6</f>
        <v>-464.745</v>
      </c>
      <c r="F6" s="388">
        <f>'Income Statement'!F6</f>
        <v>-654.51199999999994</v>
      </c>
      <c r="G6" s="388">
        <f>'Income Statement'!G6</f>
        <v>-744.59199999999998</v>
      </c>
      <c r="H6" s="380">
        <f t="shared" ref="H6:H11" si="0">G6/$G$5</f>
        <v>-0.29016359775551409</v>
      </c>
      <c r="Q6" s="81"/>
      <c r="R6" s="81"/>
      <c r="S6" s="81"/>
      <c r="T6" s="81"/>
      <c r="U6" s="81"/>
      <c r="V6" s="81"/>
      <c r="AA6" s="81"/>
    </row>
    <row r="7" spans="1:35" ht="12" customHeight="1">
      <c r="B7" s="361" t="s">
        <v>162</v>
      </c>
      <c r="C7" s="372">
        <f>SUM(C5:C6)</f>
        <v>412.93099999999998</v>
      </c>
      <c r="D7" s="372">
        <f>SUM(D5:D6)</f>
        <v>547.34300000000007</v>
      </c>
      <c r="E7" s="372">
        <f>SUM(E5:E6)</f>
        <v>1260.8800000000001</v>
      </c>
      <c r="F7" s="372">
        <f>SUM(F5:F6)</f>
        <v>1674.6020000000001</v>
      </c>
      <c r="G7" s="372">
        <f>SUM(G5:G6)</f>
        <v>1821.5189999999998</v>
      </c>
      <c r="H7" s="381">
        <f t="shared" si="0"/>
        <v>0.70983640224448585</v>
      </c>
      <c r="I7" s="82" t="s">
        <v>195</v>
      </c>
      <c r="J7" s="45">
        <v>0</v>
      </c>
      <c r="K7" s="117">
        <f>1/4</f>
        <v>0.25</v>
      </c>
      <c r="L7" s="117">
        <f>2/4</f>
        <v>0.5</v>
      </c>
      <c r="M7" s="45">
        <f>3/4</f>
        <v>0.75</v>
      </c>
      <c r="N7" s="45">
        <v>1</v>
      </c>
      <c r="O7" s="134"/>
      <c r="P7" s="82"/>
      <c r="Q7" s="82"/>
      <c r="R7" s="82"/>
      <c r="S7" s="82"/>
      <c r="T7" s="82"/>
      <c r="U7" s="82"/>
      <c r="V7" s="82"/>
      <c r="W7" s="82"/>
      <c r="X7" s="82"/>
      <c r="Y7" s="82"/>
      <c r="Z7" s="82"/>
      <c r="AA7" s="82"/>
      <c r="AB7" s="82"/>
      <c r="AC7" s="82"/>
      <c r="AD7" s="82"/>
      <c r="AE7" s="82"/>
      <c r="AF7" s="82"/>
    </row>
    <row r="8" spans="1:35" ht="12" customHeight="1">
      <c r="A8" s="84"/>
      <c r="B8" s="368" t="s">
        <v>224</v>
      </c>
      <c r="C8" s="388">
        <f>'Income Statement'!C9</f>
        <v>-97.248999999999995</v>
      </c>
      <c r="D8" s="388">
        <f>'Income Statement'!D9</f>
        <v>-121.878</v>
      </c>
      <c r="E8" s="388">
        <f>'Income Statement'!E9</f>
        <v>-180.08</v>
      </c>
      <c r="F8" s="388">
        <f>'Income Statement'!F9</f>
        <v>-271.53500000000003</v>
      </c>
      <c r="G8" s="388">
        <f>'Income Statement'!G9</f>
        <v>-412.39800000000002</v>
      </c>
      <c r="H8" s="380">
        <f t="shared" si="0"/>
        <v>-0.16070933798265158</v>
      </c>
      <c r="I8" s="82" t="s">
        <v>191</v>
      </c>
      <c r="J8" s="45">
        <v>0</v>
      </c>
      <c r="K8" s="117">
        <f>1/3</f>
        <v>0.33333333333333331</v>
      </c>
      <c r="L8" s="117">
        <f>2/3</f>
        <v>0.66666666666666663</v>
      </c>
      <c r="M8" s="81">
        <v>1</v>
      </c>
      <c r="N8" s="45"/>
      <c r="P8" s="82"/>
      <c r="Q8" s="82"/>
      <c r="R8" s="82"/>
      <c r="S8" s="82"/>
      <c r="T8" s="82"/>
      <c r="U8" s="82"/>
      <c r="V8" s="82"/>
      <c r="W8" s="82"/>
      <c r="X8" s="82"/>
      <c r="Y8" s="82"/>
      <c r="Z8" s="82"/>
      <c r="AA8" s="82"/>
      <c r="AB8" s="82"/>
      <c r="AC8" s="82"/>
      <c r="AD8" s="82"/>
      <c r="AE8" s="82"/>
      <c r="AF8" s="82"/>
    </row>
    <row r="9" spans="1:35" ht="12" customHeight="1">
      <c r="A9" s="84"/>
      <c r="B9" s="368" t="s">
        <v>225</v>
      </c>
      <c r="C9" s="388">
        <f>'Income Statement'!C10</f>
        <v>-158.01300000000001</v>
      </c>
      <c r="D9" s="388">
        <f>'Income Statement'!D10</f>
        <v>-215.57</v>
      </c>
      <c r="E9" s="388">
        <f>'Income Statement'!E10</f>
        <v>-500.75599999999997</v>
      </c>
      <c r="F9" s="388">
        <f>'Income Statement'!F10</f>
        <v>-654.80399999999997</v>
      </c>
      <c r="G9" s="388">
        <f>'Income Statement'!G10</f>
        <v>-710.399</v>
      </c>
      <c r="H9" s="380">
        <f t="shared" si="0"/>
        <v>-0.27683876496379151</v>
      </c>
      <c r="I9" s="82" t="s">
        <v>192</v>
      </c>
      <c r="J9" s="45">
        <v>0</v>
      </c>
      <c r="K9" s="117">
        <f>2/4</f>
        <v>0.5</v>
      </c>
      <c r="L9" s="81">
        <v>1</v>
      </c>
      <c r="M9" s="117"/>
      <c r="N9" s="45"/>
      <c r="P9" s="82"/>
      <c r="Q9" s="82"/>
      <c r="R9" s="82"/>
      <c r="S9" s="82"/>
      <c r="T9" s="82"/>
      <c r="U9" s="82"/>
      <c r="V9" s="82"/>
      <c r="W9" s="82"/>
      <c r="X9" s="82"/>
      <c r="Y9" s="82"/>
      <c r="Z9" s="82"/>
      <c r="AA9" s="82"/>
      <c r="AB9" s="82"/>
      <c r="AC9" s="82"/>
      <c r="AD9" s="82"/>
      <c r="AE9" s="82"/>
      <c r="AF9" s="82"/>
      <c r="AG9" s="82"/>
      <c r="AH9" s="82"/>
      <c r="AI9" s="82"/>
    </row>
    <row r="10" spans="1:35">
      <c r="A10" s="84"/>
      <c r="B10" s="367" t="s">
        <v>226</v>
      </c>
      <c r="C10" s="388">
        <f>'Income Statement'!C11</f>
        <v>-82.882999999999996</v>
      </c>
      <c r="D10" s="388">
        <f>'Income Statement'!D11</f>
        <v>-121.134</v>
      </c>
      <c r="E10" s="388">
        <f>'Income Statement'!E11</f>
        <v>-156.035</v>
      </c>
      <c r="F10" s="388">
        <f>'Income Statement'!F11</f>
        <v>-282.53100000000001</v>
      </c>
      <c r="G10" s="388">
        <f>'Income Statement'!G11</f>
        <v>-312.26</v>
      </c>
      <c r="H10" s="380">
        <f t="shared" si="0"/>
        <v>-0.12168608450686662</v>
      </c>
      <c r="I10" s="82" t="s">
        <v>193</v>
      </c>
      <c r="J10" s="45">
        <v>0</v>
      </c>
      <c r="K10" s="81">
        <v>1</v>
      </c>
      <c r="L10" s="117"/>
      <c r="M10" s="81"/>
      <c r="N10" s="45"/>
      <c r="P10" s="82"/>
      <c r="Q10" s="92"/>
      <c r="R10" s="82"/>
      <c r="S10" s="82"/>
      <c r="T10" s="82"/>
      <c r="U10" s="82"/>
      <c r="V10" s="82"/>
      <c r="W10" s="82"/>
      <c r="X10" s="82"/>
      <c r="Y10" s="82"/>
      <c r="Z10" s="82"/>
      <c r="AA10" s="82"/>
      <c r="AB10" s="82"/>
      <c r="AC10" s="82"/>
      <c r="AD10" s="82"/>
      <c r="AE10" s="82"/>
      <c r="AF10" s="82"/>
      <c r="AG10" s="82"/>
      <c r="AH10" s="82"/>
      <c r="AI10" s="82"/>
    </row>
    <row r="11" spans="1:35">
      <c r="B11" s="362" t="s">
        <v>3</v>
      </c>
      <c r="C11" s="373">
        <f>SUM(C7:C10)</f>
        <v>74.786000000000016</v>
      </c>
      <c r="D11" s="373">
        <f>SUM(D7:D10)</f>
        <v>88.761000000000095</v>
      </c>
      <c r="E11" s="373">
        <f>SUM(E7:E10)</f>
        <v>424.00900000000024</v>
      </c>
      <c r="F11" s="373">
        <f>SUM(F7:F10)</f>
        <v>465.73200000000003</v>
      </c>
      <c r="G11" s="373">
        <f>SUM(G7:G10)</f>
        <v>386.46199999999965</v>
      </c>
      <c r="H11" s="381">
        <f t="shared" si="0"/>
        <v>0.15060221479117608</v>
      </c>
      <c r="I11" s="82" t="s">
        <v>194</v>
      </c>
      <c r="J11" s="45">
        <v>1</v>
      </c>
      <c r="K11" s="81"/>
      <c r="L11" s="117"/>
      <c r="M11" s="81"/>
      <c r="N11" s="45"/>
      <c r="P11" s="82"/>
      <c r="Q11" s="82"/>
      <c r="R11" s="82"/>
      <c r="S11" s="82"/>
      <c r="T11" s="82"/>
      <c r="U11" s="82"/>
      <c r="V11" s="82"/>
      <c r="W11" s="82"/>
      <c r="X11" s="82"/>
      <c r="Y11" s="82"/>
      <c r="Z11" s="82"/>
      <c r="AA11" s="82"/>
      <c r="AB11" s="82"/>
      <c r="AC11" s="82"/>
      <c r="AD11" s="82"/>
      <c r="AE11" s="82"/>
      <c r="AF11" s="82"/>
      <c r="AG11" s="82"/>
      <c r="AH11" s="82"/>
      <c r="AI11" s="82"/>
    </row>
    <row r="12" spans="1:35">
      <c r="A12" s="84"/>
      <c r="B12" s="173"/>
      <c r="C12" s="246"/>
      <c r="D12" s="246"/>
      <c r="E12" s="246"/>
      <c r="F12" s="246"/>
      <c r="G12" s="246"/>
      <c r="H12" s="16"/>
      <c r="P12" s="82"/>
      <c r="Q12" s="82"/>
      <c r="R12" s="82"/>
      <c r="S12" s="82"/>
      <c r="T12" s="82"/>
      <c r="U12" s="82"/>
      <c r="V12" s="82"/>
      <c r="W12" s="82"/>
      <c r="X12" s="82"/>
      <c r="Y12" s="82"/>
      <c r="Z12" s="82"/>
      <c r="AA12" s="82"/>
      <c r="AB12" s="82"/>
      <c r="AC12" s="82"/>
      <c r="AD12" s="82"/>
      <c r="AE12" s="82"/>
      <c r="AF12" s="82"/>
      <c r="AG12" s="82"/>
      <c r="AH12" s="82"/>
    </row>
    <row r="13" spans="1:35">
      <c r="A13" s="79"/>
      <c r="B13" s="77" t="s">
        <v>163</v>
      </c>
      <c r="C13" s="371">
        <f>O17</f>
        <v>97.248999999999995</v>
      </c>
      <c r="D13" s="371">
        <f>O16</f>
        <v>121.878</v>
      </c>
      <c r="E13" s="371">
        <f>O15</f>
        <v>241.01900000000001</v>
      </c>
      <c r="F13" s="371">
        <f>O14</f>
        <v>432.21433333333334</v>
      </c>
      <c r="G13" s="371">
        <f>O13</f>
        <v>736.55875000000003</v>
      </c>
      <c r="I13" s="82" t="s">
        <v>196</v>
      </c>
      <c r="J13" s="371">
        <f>J$5*J7</f>
        <v>0</v>
      </c>
      <c r="K13" s="371">
        <f>K$5*K7</f>
        <v>30.4695</v>
      </c>
      <c r="L13" s="371">
        <f>L$5*L7</f>
        <v>90.04</v>
      </c>
      <c r="M13" s="371">
        <f>M$5*M7</f>
        <v>203.65125</v>
      </c>
      <c r="N13" s="371">
        <f>N$5*N7</f>
        <v>412.39800000000002</v>
      </c>
      <c r="O13" s="387">
        <f>SUM(J13:N13)</f>
        <v>736.55875000000003</v>
      </c>
      <c r="P13" s="82"/>
      <c r="Q13" s="82"/>
      <c r="R13" s="82"/>
      <c r="S13" s="82"/>
      <c r="T13" s="82"/>
      <c r="U13" s="82"/>
      <c r="V13" s="82"/>
      <c r="W13" s="82"/>
      <c r="X13" s="82"/>
      <c r="Y13" s="82"/>
      <c r="Z13" s="82"/>
      <c r="AA13" s="82"/>
      <c r="AB13" s="82"/>
      <c r="AC13" s="82"/>
      <c r="AD13" s="82"/>
      <c r="AE13" s="82"/>
      <c r="AF13" s="82"/>
      <c r="AG13" s="82"/>
      <c r="AH13" s="82"/>
    </row>
    <row r="14" spans="1:35">
      <c r="B14" s="77" t="s">
        <v>113</v>
      </c>
      <c r="C14" s="371">
        <f>O23</f>
        <v>0</v>
      </c>
      <c r="D14" s="371">
        <f>O22</f>
        <v>97.248999999999995</v>
      </c>
      <c r="E14" s="371">
        <f>O21</f>
        <v>109.5635</v>
      </c>
      <c r="F14" s="371">
        <f>O20</f>
        <v>133.06900000000002</v>
      </c>
      <c r="G14" s="371">
        <f>O19</f>
        <v>167.68549999999999</v>
      </c>
      <c r="I14" s="82" t="s">
        <v>197</v>
      </c>
      <c r="J14" s="371">
        <f>J$5*J8</f>
        <v>0</v>
      </c>
      <c r="K14" s="371">
        <f>K$5*K8</f>
        <v>40.625999999999998</v>
      </c>
      <c r="L14" s="371">
        <f>L$5*L8</f>
        <v>120.05333333333334</v>
      </c>
      <c r="M14" s="371">
        <f>M$5*M8</f>
        <v>271.53500000000003</v>
      </c>
      <c r="N14" s="371"/>
      <c r="O14" s="387">
        <f>SUM(J14:N14)</f>
        <v>432.21433333333334</v>
      </c>
      <c r="P14" s="82"/>
      <c r="Q14" s="82"/>
      <c r="R14" s="82"/>
      <c r="S14" s="82"/>
      <c r="T14" s="82"/>
      <c r="U14" s="82"/>
      <c r="V14" s="82"/>
      <c r="W14" s="82"/>
      <c r="X14" s="82"/>
      <c r="Y14" s="82"/>
      <c r="Z14" s="82"/>
      <c r="AA14" s="82"/>
      <c r="AB14" s="82"/>
      <c r="AC14" s="82"/>
      <c r="AD14" s="82"/>
      <c r="AE14" s="82"/>
      <c r="AF14" s="82"/>
      <c r="AG14" s="82"/>
      <c r="AH14" s="82"/>
    </row>
    <row r="15" spans="1:35">
      <c r="A15" s="84"/>
      <c r="B15" s="77" t="s">
        <v>164</v>
      </c>
      <c r="C15" s="371">
        <f>-C8</f>
        <v>97.248999999999995</v>
      </c>
      <c r="D15" s="371">
        <f>-D8</f>
        <v>121.878</v>
      </c>
      <c r="E15" s="371">
        <f>-E8</f>
        <v>180.08</v>
      </c>
      <c r="F15" s="371">
        <f>-F8</f>
        <v>271.53500000000003</v>
      </c>
      <c r="G15" s="371">
        <f>-G8</f>
        <v>412.39800000000002</v>
      </c>
      <c r="H15" s="82"/>
      <c r="I15" s="82" t="s">
        <v>198</v>
      </c>
      <c r="J15" s="371">
        <f>J$5*J9</f>
        <v>0</v>
      </c>
      <c r="K15" s="371">
        <f>K$5*K9</f>
        <v>60.939</v>
      </c>
      <c r="L15" s="371">
        <f>L$5*L9</f>
        <v>180.08</v>
      </c>
      <c r="M15" s="371"/>
      <c r="N15" s="371"/>
      <c r="O15" s="387">
        <f>SUM(J15:N15)</f>
        <v>241.01900000000001</v>
      </c>
      <c r="P15" s="82"/>
      <c r="Q15" s="82"/>
      <c r="R15" s="82"/>
      <c r="S15" s="82"/>
      <c r="T15" s="82"/>
      <c r="U15" s="82"/>
      <c r="V15" s="82"/>
      <c r="W15" s="82"/>
      <c r="X15" s="82"/>
      <c r="Y15" s="82"/>
      <c r="Z15" s="82"/>
      <c r="AA15" s="82"/>
      <c r="AB15" s="82"/>
      <c r="AC15" s="82"/>
      <c r="AD15" s="82"/>
      <c r="AE15" s="82"/>
      <c r="AF15" s="82"/>
      <c r="AG15" s="82"/>
      <c r="AH15" s="82"/>
    </row>
    <row r="16" spans="1:35">
      <c r="A16" s="84"/>
      <c r="C16" s="247"/>
      <c r="D16" s="247"/>
      <c r="E16" s="247"/>
      <c r="F16" s="247"/>
      <c r="G16" s="247"/>
      <c r="H16" s="87"/>
      <c r="I16" s="82" t="s">
        <v>199</v>
      </c>
      <c r="J16" s="371">
        <f>J$5*J10</f>
        <v>0</v>
      </c>
      <c r="K16" s="371">
        <f>K$5*K10</f>
        <v>121.878</v>
      </c>
      <c r="L16" s="371"/>
      <c r="M16" s="371"/>
      <c r="N16" s="371"/>
      <c r="O16" s="387">
        <f>SUM(J16:N16)</f>
        <v>121.878</v>
      </c>
      <c r="R16" s="82"/>
      <c r="S16" s="82"/>
      <c r="T16" s="82"/>
      <c r="U16" s="82"/>
      <c r="V16" s="82"/>
      <c r="W16" s="82"/>
      <c r="X16" s="82"/>
      <c r="Y16" s="82"/>
      <c r="Z16" s="82"/>
      <c r="AA16" s="82"/>
      <c r="AB16" s="82"/>
      <c r="AC16" s="82"/>
      <c r="AD16" s="82"/>
      <c r="AE16" s="82"/>
      <c r="AF16" s="82"/>
      <c r="AG16" s="82"/>
      <c r="AH16" s="82"/>
      <c r="AI16" s="82"/>
    </row>
    <row r="17" spans="1:35">
      <c r="B17" s="77" t="s">
        <v>183</v>
      </c>
      <c r="C17" s="371">
        <f>O39</f>
        <v>158.01300000000001</v>
      </c>
      <c r="D17" s="371">
        <f>O38</f>
        <v>215.57</v>
      </c>
      <c r="E17" s="371">
        <f>O37</f>
        <v>608.54099999999994</v>
      </c>
      <c r="F17" s="371">
        <f>O36</f>
        <v>1060.498</v>
      </c>
      <c r="G17" s="371">
        <f>O35</f>
        <v>1505.7725</v>
      </c>
      <c r="H17" s="52"/>
      <c r="I17" s="82" t="s">
        <v>200</v>
      </c>
      <c r="J17" s="371">
        <f>J$5*J11</f>
        <v>97.248999999999995</v>
      </c>
      <c r="K17" s="371"/>
      <c r="L17" s="371"/>
      <c r="M17" s="371"/>
      <c r="N17" s="371"/>
      <c r="O17" s="387">
        <f>SUM(J17:N17)</f>
        <v>97.248999999999995</v>
      </c>
      <c r="R17" s="82"/>
      <c r="S17" s="82"/>
      <c r="T17" s="82"/>
      <c r="U17" s="82"/>
      <c r="V17" s="82"/>
      <c r="W17" s="82"/>
      <c r="X17" s="82"/>
      <c r="Y17" s="82"/>
      <c r="Z17" s="82"/>
      <c r="AA17" s="82"/>
      <c r="AB17" s="82"/>
      <c r="AC17" s="82"/>
      <c r="AD17" s="82"/>
      <c r="AE17" s="82"/>
      <c r="AF17" s="82"/>
      <c r="AG17" s="82"/>
      <c r="AH17" s="82"/>
      <c r="AI17" s="82"/>
    </row>
    <row r="18" spans="1:35">
      <c r="B18" s="77" t="s">
        <v>113</v>
      </c>
      <c r="C18" s="371">
        <f>O45</f>
        <v>0</v>
      </c>
      <c r="D18" s="371">
        <f>O44</f>
        <v>158.01300000000001</v>
      </c>
      <c r="E18" s="371">
        <f>O43</f>
        <v>186.79149999999998</v>
      </c>
      <c r="F18" s="371">
        <f>O42</f>
        <v>291.44633333333331</v>
      </c>
      <c r="G18" s="371">
        <f>O41</f>
        <v>382.28575000000001</v>
      </c>
      <c r="H18" s="52"/>
      <c r="I18" s="80"/>
      <c r="J18" s="628"/>
      <c r="K18" s="628"/>
      <c r="L18" s="628"/>
      <c r="M18" s="628"/>
      <c r="N18" s="628"/>
      <c r="O18" s="398"/>
      <c r="P18" s="82"/>
      <c r="Q18" s="82"/>
      <c r="R18" s="82"/>
      <c r="S18" s="82"/>
      <c r="T18" s="82"/>
      <c r="U18" s="82"/>
      <c r="V18" s="82"/>
      <c r="W18" s="82"/>
      <c r="X18" s="82"/>
      <c r="Y18" s="82"/>
      <c r="Z18" s="82"/>
      <c r="AA18" s="82"/>
      <c r="AB18" s="82"/>
      <c r="AC18" s="82"/>
      <c r="AD18" s="82"/>
      <c r="AE18" s="82"/>
      <c r="AF18" s="82"/>
      <c r="AG18" s="82"/>
      <c r="AH18" s="82"/>
      <c r="AI18" s="82"/>
    </row>
    <row r="19" spans="1:35">
      <c r="B19" s="77" t="s">
        <v>186</v>
      </c>
      <c r="C19" s="371">
        <f>-C9</f>
        <v>158.01300000000001</v>
      </c>
      <c r="D19" s="371">
        <f>-D9</f>
        <v>215.57</v>
      </c>
      <c r="E19" s="371">
        <f>-E9</f>
        <v>500.75599999999997</v>
      </c>
      <c r="F19" s="371">
        <f>-F9</f>
        <v>654.80399999999997</v>
      </c>
      <c r="G19" s="371">
        <f>-G9</f>
        <v>710.399</v>
      </c>
      <c r="H19" s="88"/>
      <c r="I19" s="82" t="s">
        <v>201</v>
      </c>
      <c r="J19" s="474">
        <f>J$5/4</f>
        <v>24.312249999999999</v>
      </c>
      <c r="K19" s="474">
        <f>K$5/4</f>
        <v>30.4695</v>
      </c>
      <c r="L19" s="474">
        <f>L$5/4</f>
        <v>45.02</v>
      </c>
      <c r="M19" s="474">
        <f>M$5/4</f>
        <v>67.883750000000006</v>
      </c>
      <c r="N19" s="474">
        <v>0</v>
      </c>
      <c r="O19" s="387">
        <f>SUM(J19:N19)</f>
        <v>167.68549999999999</v>
      </c>
      <c r="P19" s="82"/>
      <c r="Q19" s="82"/>
      <c r="R19" s="82"/>
      <c r="S19" s="82"/>
      <c r="T19" s="82"/>
      <c r="U19" s="82"/>
      <c r="V19" s="82"/>
      <c r="W19" s="82"/>
      <c r="X19" s="82"/>
      <c r="Y19" s="82"/>
      <c r="Z19" s="82"/>
      <c r="AA19" s="82"/>
      <c r="AB19" s="82"/>
      <c r="AC19" s="82"/>
      <c r="AD19" s="82"/>
      <c r="AE19" s="82"/>
      <c r="AF19" s="82"/>
      <c r="AG19" s="82"/>
      <c r="AH19" s="82"/>
      <c r="AI19" s="82"/>
    </row>
    <row r="20" spans="1:35">
      <c r="C20" s="247"/>
      <c r="D20" s="247"/>
      <c r="E20" s="247"/>
      <c r="F20" s="247"/>
      <c r="G20" s="247"/>
      <c r="I20" s="82" t="s">
        <v>202</v>
      </c>
      <c r="J20" s="474">
        <f>J$5/3</f>
        <v>32.416333333333334</v>
      </c>
      <c r="K20" s="474">
        <f>K$5/3</f>
        <v>40.625999999999998</v>
      </c>
      <c r="L20" s="474">
        <f>L$5/3</f>
        <v>60.026666666666671</v>
      </c>
      <c r="M20" s="474">
        <v>0</v>
      </c>
      <c r="N20" s="474"/>
      <c r="O20" s="387">
        <f>SUM(J20:N20)</f>
        <v>133.06900000000002</v>
      </c>
      <c r="P20" s="82"/>
      <c r="Q20" s="82"/>
      <c r="R20" s="82"/>
      <c r="S20" s="82"/>
      <c r="T20" s="82"/>
      <c r="U20" s="82"/>
      <c r="V20" s="82"/>
      <c r="W20" s="82"/>
      <c r="X20" s="82"/>
      <c r="Y20" s="82"/>
      <c r="Z20" s="82"/>
      <c r="AA20" s="82"/>
      <c r="AB20" s="82"/>
      <c r="AC20" s="82"/>
      <c r="AD20" s="82"/>
      <c r="AE20" s="82"/>
      <c r="AF20" s="82"/>
      <c r="AG20" s="82"/>
      <c r="AH20" s="82"/>
      <c r="AI20" s="82"/>
    </row>
    <row r="21" spans="1:35">
      <c r="B21" s="77" t="s">
        <v>184</v>
      </c>
      <c r="C21" s="371">
        <f>C11+C15+C19</f>
        <v>330.048</v>
      </c>
      <c r="D21" s="371">
        <f>D11+D15+D19</f>
        <v>426.20900000000006</v>
      </c>
      <c r="E21" s="371">
        <f>E11+E15+E19</f>
        <v>1104.8450000000003</v>
      </c>
      <c r="F21" s="371">
        <f>F11+F15+F19</f>
        <v>1392.0709999999999</v>
      </c>
      <c r="G21" s="371">
        <f>G11+G15+G19</f>
        <v>1509.2589999999996</v>
      </c>
      <c r="I21" s="82" t="s">
        <v>203</v>
      </c>
      <c r="J21" s="474">
        <f>J$5/2</f>
        <v>48.624499999999998</v>
      </c>
      <c r="K21" s="474">
        <f>K$5/2</f>
        <v>60.939</v>
      </c>
      <c r="L21" s="474">
        <f>L6/3</f>
        <v>0</v>
      </c>
      <c r="M21" s="474"/>
      <c r="N21" s="474"/>
      <c r="O21" s="387">
        <f>SUM(J21:N21)</f>
        <v>109.5635</v>
      </c>
      <c r="P21" s="82"/>
      <c r="Q21" s="82"/>
      <c r="R21" s="82"/>
      <c r="S21" s="82"/>
      <c r="T21" s="82"/>
      <c r="U21" s="82"/>
      <c r="V21" s="82"/>
      <c r="W21" s="82"/>
      <c r="X21" s="82"/>
      <c r="Y21" s="82"/>
      <c r="Z21" s="82"/>
      <c r="AA21" s="82"/>
      <c r="AB21" s="82"/>
      <c r="AC21" s="82"/>
      <c r="AD21" s="82"/>
      <c r="AE21" s="82"/>
      <c r="AF21" s="82"/>
      <c r="AG21" s="82"/>
      <c r="AH21" s="82"/>
      <c r="AI21" s="82"/>
    </row>
    <row r="22" spans="1:35">
      <c r="A22" s="84" t="s">
        <v>32</v>
      </c>
      <c r="B22" s="77" t="s">
        <v>165</v>
      </c>
      <c r="C22" s="371">
        <f>-C14</f>
        <v>0</v>
      </c>
      <c r="D22" s="371">
        <f>-D14</f>
        <v>-97.248999999999995</v>
      </c>
      <c r="E22" s="371">
        <f>-E14</f>
        <v>-109.5635</v>
      </c>
      <c r="F22" s="371">
        <f>-F14</f>
        <v>-133.06900000000002</v>
      </c>
      <c r="G22" s="371">
        <f>-G14</f>
        <v>-167.68549999999999</v>
      </c>
      <c r="H22" s="176"/>
      <c r="I22" s="82" t="s">
        <v>204</v>
      </c>
      <c r="J22" s="371">
        <f>J$5/1</f>
        <v>97.248999999999995</v>
      </c>
      <c r="K22" s="474">
        <v>0</v>
      </c>
      <c r="L22" s="474"/>
      <c r="M22" s="474"/>
      <c r="N22" s="474"/>
      <c r="O22" s="387">
        <f>SUM(J22:N22)</f>
        <v>97.248999999999995</v>
      </c>
      <c r="P22" s="82"/>
      <c r="Q22" s="82"/>
      <c r="R22" s="82"/>
      <c r="S22" s="82"/>
      <c r="T22" s="82"/>
      <c r="U22" s="82"/>
      <c r="V22" s="82"/>
      <c r="W22" s="82"/>
      <c r="X22" s="82"/>
      <c r="Y22" s="82"/>
      <c r="Z22" s="82"/>
      <c r="AA22" s="82"/>
      <c r="AB22" s="82"/>
      <c r="AC22" s="82"/>
      <c r="AD22" s="82"/>
      <c r="AE22" s="82"/>
      <c r="AF22" s="82"/>
      <c r="AG22" s="82"/>
      <c r="AH22" s="82"/>
      <c r="AI22" s="82"/>
    </row>
    <row r="23" spans="1:35">
      <c r="A23" s="84" t="s">
        <v>32</v>
      </c>
      <c r="B23" s="77" t="s">
        <v>185</v>
      </c>
      <c r="C23" s="371">
        <f>-C18</f>
        <v>0</v>
      </c>
      <c r="D23" s="371">
        <f>-D18</f>
        <v>-158.01300000000001</v>
      </c>
      <c r="E23" s="371">
        <f>-E18</f>
        <v>-186.79149999999998</v>
      </c>
      <c r="F23" s="371">
        <f>-F18</f>
        <v>-291.44633333333331</v>
      </c>
      <c r="G23" s="371">
        <f>-G18</f>
        <v>-382.28575000000001</v>
      </c>
      <c r="I23" s="82" t="s">
        <v>205</v>
      </c>
      <c r="J23" s="371">
        <v>0</v>
      </c>
      <c r="K23" s="474"/>
      <c r="L23" s="474"/>
      <c r="M23" s="474"/>
      <c r="N23" s="474"/>
      <c r="O23" s="387">
        <f>SUM(J23:N23)</f>
        <v>0</v>
      </c>
      <c r="P23" s="82"/>
      <c r="Q23" s="82"/>
      <c r="R23" s="82"/>
      <c r="S23" s="82"/>
      <c r="T23" s="82"/>
      <c r="U23" s="82"/>
      <c r="V23" s="82"/>
      <c r="W23" s="82"/>
      <c r="X23" s="82"/>
      <c r="Y23" s="82"/>
      <c r="Z23" s="82"/>
      <c r="AA23" s="82"/>
      <c r="AB23" s="82"/>
      <c r="AC23" s="82"/>
      <c r="AD23" s="82"/>
      <c r="AE23" s="82"/>
      <c r="AF23" s="82"/>
      <c r="AG23" s="82"/>
      <c r="AH23" s="82"/>
      <c r="AI23" s="82"/>
    </row>
    <row r="24" spans="1:35">
      <c r="B24" s="364" t="s">
        <v>43</v>
      </c>
      <c r="C24" s="374">
        <f>SUM(C21:C23)</f>
        <v>330.048</v>
      </c>
      <c r="D24" s="374">
        <f>SUM(D21:D23)</f>
        <v>170.94700000000003</v>
      </c>
      <c r="E24" s="374">
        <f>SUM(E21:E23)</f>
        <v>808.49000000000024</v>
      </c>
      <c r="F24" s="374">
        <f>SUM(F21:F23)</f>
        <v>967.55566666666664</v>
      </c>
      <c r="G24" s="374">
        <f>SUM(G21:G23)</f>
        <v>959.28774999999951</v>
      </c>
      <c r="H24" s="174"/>
      <c r="P24" s="82"/>
      <c r="Q24" s="82"/>
      <c r="R24" s="82"/>
      <c r="S24" s="82"/>
      <c r="T24" s="82"/>
      <c r="U24" s="82"/>
      <c r="V24" s="82"/>
      <c r="W24" s="82"/>
      <c r="X24" s="82"/>
      <c r="Y24" s="82"/>
      <c r="Z24" s="82"/>
      <c r="AA24" s="82"/>
      <c r="AB24" s="82"/>
      <c r="AC24" s="82"/>
      <c r="AD24" s="82"/>
      <c r="AE24" s="82"/>
      <c r="AF24" s="82"/>
      <c r="AG24" s="82"/>
      <c r="AH24" s="82"/>
      <c r="AI24" s="82"/>
    </row>
    <row r="25" spans="1:35">
      <c r="B25" s="77" t="s">
        <v>157</v>
      </c>
      <c r="C25" s="375">
        <f>'Risk Free Rate &amp; ERP'!$H$15</f>
        <v>0.22534235144895792</v>
      </c>
      <c r="D25" s="375">
        <f>'Risk Free Rate &amp; ERP'!$H$15</f>
        <v>0.22534235144895792</v>
      </c>
      <c r="E25" s="375">
        <f>'Risk Free Rate &amp; ERP'!$H$15</f>
        <v>0.22534235144895792</v>
      </c>
      <c r="F25" s="375">
        <f>'Risk Free Rate &amp; ERP'!$H$15</f>
        <v>0.22534235144895792</v>
      </c>
      <c r="G25" s="375">
        <f>'Risk Free Rate &amp; ERP'!$H$15</f>
        <v>0.22534235144895792</v>
      </c>
      <c r="I25" s="379" t="s">
        <v>831</v>
      </c>
      <c r="J25" s="358"/>
      <c r="K25" s="358"/>
      <c r="L25" s="358"/>
      <c r="M25" s="358"/>
      <c r="N25" s="358"/>
      <c r="O25" s="382"/>
      <c r="P25" s="82"/>
      <c r="Q25" s="82"/>
      <c r="R25" s="82"/>
      <c r="S25" s="82"/>
      <c r="T25" s="82"/>
      <c r="U25" s="82"/>
      <c r="V25" s="82"/>
      <c r="W25" s="82"/>
      <c r="X25" s="82"/>
      <c r="Y25" s="82"/>
      <c r="Z25" s="82"/>
      <c r="AA25" s="82"/>
      <c r="AB25" s="82"/>
      <c r="AC25" s="82"/>
      <c r="AD25" s="82"/>
      <c r="AE25" s="82"/>
      <c r="AF25" s="82"/>
      <c r="AG25" s="82"/>
      <c r="AH25" s="82"/>
      <c r="AI25" s="82"/>
    </row>
    <row r="26" spans="1:35" ht="12.75" thickBot="1">
      <c r="B26" s="362" t="s">
        <v>321</v>
      </c>
      <c r="C26" s="373">
        <f>C24*(1-C25)</f>
        <v>255.67420758897435</v>
      </c>
      <c r="D26" s="373">
        <f>D24*(1-D25)</f>
        <v>132.42540104685503</v>
      </c>
      <c r="E26" s="373">
        <f>E24*(1-E25)</f>
        <v>626.30296227703229</v>
      </c>
      <c r="F26" s="373">
        <f>F24*(1-F25)</f>
        <v>749.52439758223591</v>
      </c>
      <c r="G26" s="373">
        <f>G24*(1-G25)</f>
        <v>743.11959269881959</v>
      </c>
      <c r="I26" s="360" t="str">
        <f>Drivers!$C$5&amp;" in mil"</f>
        <v>$ in mil</v>
      </c>
      <c r="J26" s="378">
        <v>43101</v>
      </c>
      <c r="K26" s="378">
        <f>EDATE(J26,12)</f>
        <v>43466</v>
      </c>
      <c r="L26" s="378">
        <f>EDATE(K26,12)</f>
        <v>43831</v>
      </c>
      <c r="M26" s="378">
        <f>EDATE(L26,12)</f>
        <v>44197</v>
      </c>
      <c r="N26" s="378">
        <f>EDATE(M26,12)</f>
        <v>44562</v>
      </c>
      <c r="O26" s="383"/>
      <c r="P26" s="82"/>
      <c r="Q26" s="82"/>
      <c r="R26" s="82"/>
      <c r="S26" s="82"/>
      <c r="T26" s="82"/>
      <c r="U26" s="82"/>
      <c r="V26" s="82"/>
      <c r="W26" s="82"/>
      <c r="X26" s="82"/>
      <c r="Y26" s="82"/>
      <c r="Z26" s="82"/>
      <c r="AA26" s="82"/>
      <c r="AB26" s="82"/>
      <c r="AC26" s="82"/>
      <c r="AD26" s="82"/>
      <c r="AE26" s="82"/>
      <c r="AF26" s="82"/>
      <c r="AG26" s="82"/>
      <c r="AH26" s="82"/>
      <c r="AI26" s="82"/>
    </row>
    <row r="27" spans="1:35">
      <c r="C27" s="247"/>
      <c r="D27" s="247"/>
      <c r="E27" s="247"/>
      <c r="F27" s="247"/>
      <c r="G27" s="247"/>
      <c r="I27" s="82" t="s">
        <v>105</v>
      </c>
      <c r="J27" s="371">
        <f>-C9</f>
        <v>158.01300000000001</v>
      </c>
      <c r="K27" s="371">
        <f>-D9</f>
        <v>215.57</v>
      </c>
      <c r="L27" s="371">
        <f>-E9</f>
        <v>500.75599999999997</v>
      </c>
      <c r="M27" s="371">
        <f>-F9</f>
        <v>654.80399999999997</v>
      </c>
      <c r="N27" s="371">
        <f>-G9</f>
        <v>710.399</v>
      </c>
      <c r="O27" s="134"/>
      <c r="P27" s="82"/>
      <c r="Q27" s="82"/>
      <c r="R27" s="82"/>
      <c r="S27" s="82"/>
      <c r="T27" s="82"/>
      <c r="U27" s="82"/>
      <c r="V27" s="82"/>
      <c r="W27" s="82"/>
      <c r="X27" s="82"/>
      <c r="Y27" s="82"/>
      <c r="Z27" s="82"/>
      <c r="AA27" s="82"/>
      <c r="AB27" s="82"/>
      <c r="AC27" s="82"/>
      <c r="AD27" s="82"/>
      <c r="AE27" s="82"/>
      <c r="AF27" s="82"/>
      <c r="AG27" s="82"/>
      <c r="AH27" s="82"/>
      <c r="AI27" s="82"/>
    </row>
    <row r="28" spans="1:35">
      <c r="B28" s="359" t="s">
        <v>828</v>
      </c>
      <c r="C28" s="358"/>
      <c r="D28" s="358"/>
      <c r="E28" s="358"/>
      <c r="F28" s="358"/>
      <c r="G28" s="358"/>
      <c r="J28" s="401"/>
      <c r="K28" s="401"/>
      <c r="L28" s="401"/>
      <c r="M28" s="401"/>
      <c r="N28" s="401"/>
      <c r="P28" s="82"/>
      <c r="Q28" s="82"/>
      <c r="R28" s="82"/>
      <c r="S28" s="82"/>
      <c r="T28" s="82"/>
      <c r="U28" s="82"/>
      <c r="V28" s="82"/>
      <c r="W28" s="82"/>
      <c r="X28" s="82"/>
      <c r="Y28" s="82"/>
      <c r="Z28" s="82"/>
      <c r="AA28" s="82"/>
      <c r="AB28" s="82"/>
      <c r="AC28" s="82"/>
      <c r="AD28" s="82"/>
      <c r="AE28" s="82"/>
      <c r="AF28" s="82"/>
      <c r="AG28" s="82"/>
      <c r="AH28" s="82"/>
      <c r="AI28" s="82"/>
    </row>
    <row r="29" spans="1:35" ht="12.75" thickBot="1">
      <c r="B29" s="360" t="str">
        <f>Drivers!$C$5&amp;" in mil"</f>
        <v>$ in mil</v>
      </c>
      <c r="C29" s="378">
        <v>43101</v>
      </c>
      <c r="D29" s="378">
        <f>EDATE(C29,12)</f>
        <v>43466</v>
      </c>
      <c r="E29" s="378">
        <f>EDATE(D29,12)</f>
        <v>43831</v>
      </c>
      <c r="F29" s="378">
        <f>EDATE(E29,12)</f>
        <v>44197</v>
      </c>
      <c r="G29" s="378">
        <f>EDATE(F29,12)</f>
        <v>44562</v>
      </c>
      <c r="I29" s="82" t="s">
        <v>195</v>
      </c>
      <c r="J29" s="45">
        <v>0</v>
      </c>
      <c r="K29" s="117">
        <f>1/4</f>
        <v>0.25</v>
      </c>
      <c r="L29" s="117">
        <f>2/4</f>
        <v>0.5</v>
      </c>
      <c r="M29" s="45">
        <f>3/4</f>
        <v>0.75</v>
      </c>
      <c r="N29" s="45">
        <v>1</v>
      </c>
      <c r="O29" s="134"/>
      <c r="P29" s="82"/>
      <c r="Q29" s="82"/>
      <c r="R29" s="82"/>
      <c r="S29" s="82"/>
      <c r="T29" s="82"/>
      <c r="U29" s="82"/>
      <c r="V29" s="82"/>
      <c r="W29" s="82"/>
      <c r="X29" s="82"/>
      <c r="Y29" s="82"/>
      <c r="Z29" s="82"/>
      <c r="AA29" s="82"/>
      <c r="AB29" s="82"/>
      <c r="AC29" s="82"/>
      <c r="AD29" s="82"/>
      <c r="AE29" s="82"/>
      <c r="AF29" s="82"/>
      <c r="AG29" s="82"/>
      <c r="AH29" s="82"/>
      <c r="AI29" s="82"/>
    </row>
    <row r="30" spans="1:35">
      <c r="B30" s="77" t="s">
        <v>782</v>
      </c>
      <c r="C30" s="370">
        <f>Reinvestment!F23</f>
        <v>-52.176000000000016</v>
      </c>
      <c r="D30" s="370">
        <f>Reinvestment!G23</f>
        <v>-76.467000000000013</v>
      </c>
      <c r="E30" s="370">
        <f>Reinvestment!H23</f>
        <v>-220.56400000000005</v>
      </c>
      <c r="F30" s="370">
        <f>Reinvestment!I23</f>
        <v>-256.28099999999995</v>
      </c>
      <c r="G30" s="370">
        <f>Reinvestment!J23</f>
        <v>-284.97199999999998</v>
      </c>
      <c r="I30" s="82" t="s">
        <v>191</v>
      </c>
      <c r="J30" s="45">
        <v>0</v>
      </c>
      <c r="K30" s="117">
        <f>1/3</f>
        <v>0.33333333333333331</v>
      </c>
      <c r="L30" s="117">
        <f>2/3</f>
        <v>0.66666666666666663</v>
      </c>
      <c r="M30" s="81">
        <v>1</v>
      </c>
      <c r="N30" s="45"/>
      <c r="P30" s="82"/>
      <c r="Q30" s="82"/>
      <c r="R30" s="82"/>
      <c r="S30" s="82"/>
      <c r="T30" s="82"/>
      <c r="U30" s="82"/>
      <c r="V30" s="82"/>
      <c r="W30" s="82"/>
      <c r="X30" s="82"/>
      <c r="Y30" s="82"/>
      <c r="Z30" s="82"/>
      <c r="AA30" s="82"/>
      <c r="AB30" s="82"/>
      <c r="AC30" s="82"/>
      <c r="AD30" s="82"/>
      <c r="AE30" s="82"/>
      <c r="AF30" s="82"/>
      <c r="AG30" s="82"/>
      <c r="AH30" s="82"/>
      <c r="AI30" s="82"/>
    </row>
    <row r="31" spans="1:35">
      <c r="B31" s="77" t="s">
        <v>785</v>
      </c>
      <c r="C31" s="370">
        <f>'Balance Sheet'!C13</f>
        <v>120.179</v>
      </c>
      <c r="D31" s="370">
        <f>'Balance Sheet'!D13</f>
        <v>144.864</v>
      </c>
      <c r="E31" s="370">
        <f>'Balance Sheet'!E13</f>
        <v>112.495</v>
      </c>
      <c r="F31" s="370">
        <f>'Balance Sheet'!F13</f>
        <v>275.06200000000001</v>
      </c>
      <c r="G31" s="370">
        <f>'Balance Sheet'!G13</f>
        <v>249.744</v>
      </c>
      <c r="I31" s="82" t="s">
        <v>192</v>
      </c>
      <c r="J31" s="45">
        <v>0</v>
      </c>
      <c r="K31" s="117">
        <f>2/4</f>
        <v>0.5</v>
      </c>
      <c r="L31" s="81">
        <v>1</v>
      </c>
      <c r="M31" s="117"/>
      <c r="N31" s="45"/>
      <c r="P31" s="82"/>
      <c r="Q31" s="82"/>
      <c r="R31" s="82"/>
      <c r="S31" s="82"/>
      <c r="T31" s="82"/>
      <c r="U31" s="82"/>
      <c r="V31" s="82"/>
      <c r="W31" s="82"/>
      <c r="X31" s="82"/>
      <c r="Y31" s="82"/>
      <c r="Z31" s="82"/>
      <c r="AA31" s="82"/>
      <c r="AB31" s="82"/>
      <c r="AC31" s="82"/>
      <c r="AD31" s="82"/>
      <c r="AE31" s="82"/>
      <c r="AF31" s="82"/>
      <c r="AG31" s="82"/>
      <c r="AH31" s="82"/>
      <c r="AI31" s="82"/>
    </row>
    <row r="32" spans="1:35">
      <c r="B32" s="77" t="s">
        <v>783</v>
      </c>
      <c r="C32" s="370">
        <f>'Balance Sheet'!C14</f>
        <v>37.481999999999999</v>
      </c>
      <c r="D32" s="370">
        <f>'Balance Sheet'!D14</f>
        <v>138.73099999999999</v>
      </c>
      <c r="E32" s="370">
        <f>'Balance Sheet'!E14</f>
        <v>140.81</v>
      </c>
      <c r="F32" s="370">
        <f>'Balance Sheet'!F14</f>
        <v>1371.0640000000001</v>
      </c>
      <c r="G32" s="370">
        <f>'Balance Sheet'!G14</f>
        <v>137.72399999999999</v>
      </c>
      <c r="I32" s="82" t="s">
        <v>193</v>
      </c>
      <c r="J32" s="45">
        <v>0</v>
      </c>
      <c r="K32" s="81">
        <v>1</v>
      </c>
      <c r="L32" s="117"/>
      <c r="M32" s="81"/>
      <c r="N32" s="45"/>
      <c r="O32" s="82"/>
      <c r="P32" s="82"/>
      <c r="Q32" s="82"/>
      <c r="R32" s="82"/>
      <c r="S32" s="82"/>
      <c r="T32" s="82"/>
      <c r="U32" s="82"/>
      <c r="V32" s="82"/>
      <c r="W32" s="82"/>
      <c r="X32" s="82"/>
      <c r="Y32" s="82"/>
      <c r="Z32" s="82"/>
      <c r="AA32" s="82"/>
      <c r="AB32" s="82"/>
      <c r="AC32" s="82"/>
      <c r="AD32" s="82"/>
      <c r="AE32" s="82"/>
      <c r="AF32" s="82"/>
      <c r="AG32" s="82"/>
      <c r="AH32" s="82"/>
      <c r="AI32" s="82"/>
    </row>
    <row r="33" spans="2:35" ht="12.75" customHeight="1">
      <c r="B33" s="77" t="s">
        <v>784</v>
      </c>
      <c r="C33" s="370">
        <f>'Balance Sheet'!C15</f>
        <v>34.588999999999999</v>
      </c>
      <c r="D33" s="370">
        <f>'Balance Sheet'!D15</f>
        <v>199.23599999999999</v>
      </c>
      <c r="E33" s="370">
        <f>'Balance Sheet'!E15</f>
        <v>187.44900000000001</v>
      </c>
      <c r="F33" s="370">
        <f>'Balance Sheet'!F15</f>
        <v>607.16999999999996</v>
      </c>
      <c r="G33" s="370">
        <f>'Balance Sheet'!G15</f>
        <v>535.40599999999995</v>
      </c>
      <c r="I33" s="82" t="s">
        <v>194</v>
      </c>
      <c r="J33" s="45">
        <v>1</v>
      </c>
      <c r="K33" s="81"/>
      <c r="L33" s="117"/>
      <c r="M33" s="81"/>
      <c r="N33" s="45"/>
      <c r="O33" s="82"/>
      <c r="P33" s="82"/>
      <c r="Q33" s="82"/>
      <c r="R33" s="82"/>
      <c r="S33" s="82"/>
      <c r="T33" s="82"/>
      <c r="U33" s="82"/>
      <c r="V33" s="82"/>
      <c r="W33" s="82"/>
      <c r="X33" s="82"/>
      <c r="Y33" s="82"/>
      <c r="Z33" s="82"/>
      <c r="AA33" s="82"/>
      <c r="AB33" s="82"/>
      <c r="AC33" s="82"/>
      <c r="AD33" s="82"/>
      <c r="AE33" s="82"/>
      <c r="AF33" s="82"/>
      <c r="AG33" s="82"/>
      <c r="AH33" s="82"/>
      <c r="AI33" s="82"/>
    </row>
    <row r="34" spans="2:35">
      <c r="B34" s="420" t="s">
        <v>791</v>
      </c>
      <c r="C34" s="370">
        <f>'Balance Sheet'!C18</f>
        <v>0.50700000000000001</v>
      </c>
      <c r="D34" s="370">
        <f>'Balance Sheet'!D18</f>
        <v>29.542000000000002</v>
      </c>
      <c r="E34" s="370">
        <f>'Balance Sheet'!E18</f>
        <v>24.404</v>
      </c>
      <c r="F34" s="370">
        <f>'Balance Sheet'!F18</f>
        <v>50.774000000000001</v>
      </c>
      <c r="G34" s="370">
        <f>'Balance Sheet'!G18</f>
        <v>42.36</v>
      </c>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row>
    <row r="35" spans="2:35">
      <c r="B35" s="77" t="s">
        <v>170</v>
      </c>
      <c r="C35" s="370">
        <f>C15</f>
        <v>97.248999999999995</v>
      </c>
      <c r="D35" s="370">
        <f>D15</f>
        <v>121.878</v>
      </c>
      <c r="E35" s="370">
        <f>E15</f>
        <v>180.08</v>
      </c>
      <c r="F35" s="370">
        <f>F15</f>
        <v>271.53500000000003</v>
      </c>
      <c r="G35" s="370">
        <f>G15</f>
        <v>412.39800000000002</v>
      </c>
      <c r="I35" s="82" t="s">
        <v>196</v>
      </c>
      <c r="J35" s="371">
        <f>J$27*J29</f>
        <v>0</v>
      </c>
      <c r="K35" s="371">
        <f>K$27*K29</f>
        <v>53.892499999999998</v>
      </c>
      <c r="L35" s="371">
        <f>L$27*L29</f>
        <v>250.37799999999999</v>
      </c>
      <c r="M35" s="371">
        <f>M$27*M29</f>
        <v>491.10299999999995</v>
      </c>
      <c r="N35" s="371">
        <f>N$27*N29</f>
        <v>710.399</v>
      </c>
      <c r="O35" s="387">
        <f>SUM(J35:N35)</f>
        <v>1505.7725</v>
      </c>
      <c r="P35" s="82"/>
      <c r="Q35" s="82"/>
      <c r="R35" s="82"/>
      <c r="S35" s="82"/>
      <c r="T35" s="82"/>
      <c r="U35" s="82"/>
      <c r="V35" s="82"/>
      <c r="W35" s="82"/>
      <c r="X35" s="82"/>
      <c r="Y35" s="82"/>
      <c r="Z35" s="82"/>
      <c r="AA35" s="82"/>
      <c r="AB35" s="82"/>
      <c r="AC35" s="82"/>
      <c r="AD35" s="82"/>
      <c r="AE35" s="82"/>
      <c r="AF35" s="82"/>
      <c r="AG35" s="82"/>
      <c r="AH35" s="82"/>
      <c r="AI35" s="82"/>
    </row>
    <row r="36" spans="2:35">
      <c r="B36" s="367" t="s">
        <v>788</v>
      </c>
      <c r="C36" s="370">
        <f>-C14</f>
        <v>0</v>
      </c>
      <c r="D36" s="370">
        <f>-D14</f>
        <v>-97.248999999999995</v>
      </c>
      <c r="E36" s="370">
        <f>-E14</f>
        <v>-109.5635</v>
      </c>
      <c r="F36" s="370">
        <f>-F14</f>
        <v>-133.06900000000002</v>
      </c>
      <c r="G36" s="370">
        <f>-G14</f>
        <v>-167.68549999999999</v>
      </c>
      <c r="I36" s="82" t="s">
        <v>197</v>
      </c>
      <c r="J36" s="371">
        <f>J$27*J30</f>
        <v>0</v>
      </c>
      <c r="K36" s="371">
        <f>K$27*K30</f>
        <v>71.856666666666655</v>
      </c>
      <c r="L36" s="371">
        <f>L$27*L30</f>
        <v>333.83733333333328</v>
      </c>
      <c r="M36" s="629">
        <f>M$27*M30</f>
        <v>654.80399999999997</v>
      </c>
      <c r="N36" s="371"/>
      <c r="O36" s="387">
        <f t="shared" ref="O36:O45" si="1">SUM(J36:N36)</f>
        <v>1060.498</v>
      </c>
      <c r="P36" s="82"/>
      <c r="Q36" s="82"/>
      <c r="R36" s="82"/>
      <c r="S36" s="82"/>
      <c r="T36" s="82"/>
      <c r="U36" s="82"/>
      <c r="V36" s="82"/>
      <c r="W36" s="82"/>
      <c r="X36" s="82"/>
      <c r="Y36" s="82"/>
      <c r="Z36" s="82"/>
      <c r="AA36" s="82"/>
      <c r="AB36" s="82"/>
      <c r="AC36" s="82"/>
      <c r="AD36" s="82"/>
      <c r="AE36" s="82"/>
      <c r="AF36" s="82"/>
      <c r="AG36" s="82"/>
      <c r="AH36" s="82"/>
      <c r="AI36" s="82"/>
    </row>
    <row r="37" spans="2:35">
      <c r="B37" s="77" t="s">
        <v>187</v>
      </c>
      <c r="C37" s="370">
        <f>C19</f>
        <v>158.01300000000001</v>
      </c>
      <c r="D37" s="370">
        <f>D19</f>
        <v>215.57</v>
      </c>
      <c r="E37" s="370">
        <f>E19</f>
        <v>500.75599999999997</v>
      </c>
      <c r="F37" s="370">
        <f>F19</f>
        <v>654.80399999999997</v>
      </c>
      <c r="G37" s="370">
        <f>G19</f>
        <v>710.399</v>
      </c>
      <c r="I37" s="82" t="s">
        <v>198</v>
      </c>
      <c r="J37" s="371">
        <f>J$27*J31</f>
        <v>0</v>
      </c>
      <c r="K37" s="371">
        <f>K$27*K31</f>
        <v>107.785</v>
      </c>
      <c r="L37" s="371">
        <f>L$27*L31</f>
        <v>500.75599999999997</v>
      </c>
      <c r="M37" s="371"/>
      <c r="N37" s="371"/>
      <c r="O37" s="387">
        <f t="shared" si="1"/>
        <v>608.54099999999994</v>
      </c>
      <c r="P37" s="82"/>
      <c r="Q37" s="82"/>
      <c r="R37" s="82"/>
      <c r="S37" s="82"/>
      <c r="T37" s="82"/>
      <c r="U37" s="82"/>
      <c r="V37" s="82"/>
      <c r="W37" s="82"/>
      <c r="X37" s="82"/>
      <c r="Y37" s="82"/>
      <c r="Z37" s="82"/>
      <c r="AA37" s="82"/>
      <c r="AB37" s="82"/>
      <c r="AC37" s="82"/>
      <c r="AD37" s="82"/>
      <c r="AE37" s="82"/>
      <c r="AF37" s="82"/>
      <c r="AG37" s="82"/>
      <c r="AH37" s="82"/>
      <c r="AI37" s="82"/>
    </row>
    <row r="38" spans="2:35">
      <c r="B38" s="367" t="s">
        <v>789</v>
      </c>
      <c r="C38" s="370">
        <f>-C18</f>
        <v>0</v>
      </c>
      <c r="D38" s="370">
        <f>-D18</f>
        <v>-158.01300000000001</v>
      </c>
      <c r="E38" s="370">
        <f>-E18</f>
        <v>-186.79149999999998</v>
      </c>
      <c r="F38" s="370">
        <f>-F18</f>
        <v>-291.44633333333331</v>
      </c>
      <c r="G38" s="370">
        <f>-G18</f>
        <v>-382.28575000000001</v>
      </c>
      <c r="I38" s="82" t="s">
        <v>199</v>
      </c>
      <c r="J38" s="371">
        <f>J$27*J32</f>
        <v>0</v>
      </c>
      <c r="K38" s="371">
        <f>K$27*K32</f>
        <v>215.57</v>
      </c>
      <c r="L38" s="371"/>
      <c r="M38" s="371"/>
      <c r="N38" s="371"/>
      <c r="O38" s="387">
        <f t="shared" si="1"/>
        <v>215.57</v>
      </c>
      <c r="P38" s="82"/>
      <c r="Q38" s="82"/>
      <c r="R38" s="82"/>
      <c r="S38" s="82"/>
      <c r="T38" s="82"/>
      <c r="U38" s="82"/>
      <c r="V38" s="82"/>
      <c r="W38" s="82"/>
      <c r="X38" s="82"/>
      <c r="Y38" s="82"/>
      <c r="Z38" s="82"/>
      <c r="AA38" s="82"/>
      <c r="AB38" s="82"/>
      <c r="AC38" s="82"/>
      <c r="AD38" s="82"/>
      <c r="AE38" s="82"/>
      <c r="AF38" s="82"/>
      <c r="AG38" s="82"/>
      <c r="AH38" s="82"/>
      <c r="AI38" s="82"/>
    </row>
    <row r="39" spans="2:35">
      <c r="B39" s="365" t="s">
        <v>73</v>
      </c>
      <c r="C39" s="376">
        <f>SUM(C30:C38)</f>
        <v>395.84299999999996</v>
      </c>
      <c r="D39" s="376">
        <f>SUM(D30:D38)</f>
        <v>518.09199999999998</v>
      </c>
      <c r="E39" s="376">
        <f>SUM(E30:E38)</f>
        <v>629.07500000000005</v>
      </c>
      <c r="F39" s="376">
        <f>SUM(F30:F38)</f>
        <v>2549.6126666666669</v>
      </c>
      <c r="G39" s="376">
        <f>SUM(G30:G38)</f>
        <v>1253.0877499999997</v>
      </c>
      <c r="I39" s="82" t="s">
        <v>200</v>
      </c>
      <c r="J39" s="371">
        <f>J$27*J33</f>
        <v>158.01300000000001</v>
      </c>
      <c r="K39" s="371"/>
      <c r="L39" s="371"/>
      <c r="M39" s="371"/>
      <c r="N39" s="371"/>
      <c r="O39" s="387">
        <f t="shared" si="1"/>
        <v>158.01300000000001</v>
      </c>
      <c r="P39" s="82"/>
      <c r="Q39" s="82"/>
      <c r="R39" s="82"/>
      <c r="S39" s="82"/>
      <c r="T39" s="82"/>
      <c r="U39" s="82"/>
      <c r="V39" s="82"/>
      <c r="W39" s="82"/>
      <c r="X39" s="82"/>
      <c r="Y39" s="82"/>
      <c r="Z39" s="82"/>
      <c r="AA39" s="82"/>
      <c r="AB39" s="82"/>
      <c r="AC39" s="82"/>
      <c r="AD39" s="82"/>
      <c r="AE39" s="82"/>
      <c r="AF39" s="82"/>
      <c r="AG39" s="82"/>
      <c r="AH39" s="82"/>
      <c r="AI39" s="82"/>
    </row>
    <row r="40" spans="2:35">
      <c r="J40" s="398"/>
      <c r="K40" s="398"/>
      <c r="L40" s="398"/>
      <c r="M40" s="398"/>
      <c r="N40" s="398"/>
      <c r="O40" s="398"/>
      <c r="P40" s="82"/>
      <c r="Q40" s="82"/>
      <c r="R40" s="82"/>
      <c r="S40" s="82"/>
      <c r="T40" s="82"/>
      <c r="U40" s="82"/>
      <c r="V40" s="82"/>
      <c r="W40" s="82"/>
      <c r="X40" s="82"/>
      <c r="Y40" s="82"/>
      <c r="Z40" s="82"/>
      <c r="AA40" s="82"/>
      <c r="AB40" s="82"/>
      <c r="AC40" s="82"/>
      <c r="AD40" s="82"/>
      <c r="AE40" s="82"/>
      <c r="AF40" s="82"/>
      <c r="AG40" s="82"/>
      <c r="AH40" s="82"/>
      <c r="AI40" s="82"/>
    </row>
    <row r="41" spans="2:35">
      <c r="I41" s="82" t="s">
        <v>201</v>
      </c>
      <c r="J41" s="474">
        <f>J$27/4</f>
        <v>39.503250000000001</v>
      </c>
      <c r="K41" s="474">
        <f>K$27/4</f>
        <v>53.892499999999998</v>
      </c>
      <c r="L41" s="474">
        <f>L$27/4</f>
        <v>125.18899999999999</v>
      </c>
      <c r="M41" s="474">
        <f>M$27/4</f>
        <v>163.70099999999999</v>
      </c>
      <c r="N41" s="474">
        <v>0</v>
      </c>
      <c r="O41" s="387">
        <f t="shared" si="1"/>
        <v>382.28575000000001</v>
      </c>
      <c r="P41" s="82"/>
      <c r="Q41" s="82"/>
      <c r="R41" s="82"/>
      <c r="S41" s="82"/>
      <c r="T41" s="82"/>
      <c r="U41" s="82"/>
      <c r="V41" s="82"/>
      <c r="W41" s="82"/>
      <c r="X41" s="82"/>
      <c r="Y41" s="82"/>
      <c r="Z41" s="82"/>
      <c r="AA41" s="82"/>
      <c r="AB41" s="82"/>
      <c r="AC41" s="82"/>
      <c r="AD41" s="82"/>
      <c r="AE41" s="82"/>
      <c r="AF41" s="82"/>
      <c r="AG41" s="82"/>
      <c r="AH41" s="82"/>
      <c r="AI41" s="82"/>
    </row>
    <row r="42" spans="2:35">
      <c r="B42" s="359" t="s">
        <v>829</v>
      </c>
      <c r="C42" s="358"/>
      <c r="D42" s="358"/>
      <c r="E42" s="358"/>
      <c r="F42" s="358"/>
      <c r="G42" s="358"/>
      <c r="I42" s="82" t="s">
        <v>202</v>
      </c>
      <c r="J42" s="474">
        <f>J$27/3</f>
        <v>52.670999999999999</v>
      </c>
      <c r="K42" s="474">
        <f>K$27/3</f>
        <v>71.856666666666669</v>
      </c>
      <c r="L42" s="474">
        <f>L$27/3</f>
        <v>166.91866666666667</v>
      </c>
      <c r="M42" s="474">
        <v>0</v>
      </c>
      <c r="N42" s="474"/>
      <c r="O42" s="387">
        <f t="shared" si="1"/>
        <v>291.44633333333331</v>
      </c>
    </row>
    <row r="43" spans="2:35" ht="12.75" thickBot="1">
      <c r="B43" s="360" t="str">
        <f>Drivers!$C$5&amp;" in mil"</f>
        <v>$ in mil</v>
      </c>
      <c r="C43" s="378">
        <v>43101</v>
      </c>
      <c r="D43" s="378">
        <f>EDATE(C43,12)</f>
        <v>43466</v>
      </c>
      <c r="E43" s="378">
        <f>EDATE(D43,12)</f>
        <v>43831</v>
      </c>
      <c r="F43" s="378">
        <f>EDATE(E43,12)</f>
        <v>44197</v>
      </c>
      <c r="G43" s="378">
        <f>EDATE(F43,12)</f>
        <v>44562</v>
      </c>
      <c r="I43" s="82" t="s">
        <v>203</v>
      </c>
      <c r="J43" s="474">
        <f>J$27/2</f>
        <v>79.006500000000003</v>
      </c>
      <c r="K43" s="474">
        <f>K$27/2</f>
        <v>107.785</v>
      </c>
      <c r="L43" s="474">
        <f>L28/3</f>
        <v>0</v>
      </c>
      <c r="M43" s="474"/>
      <c r="N43" s="474"/>
      <c r="O43" s="387">
        <f t="shared" si="1"/>
        <v>186.79149999999998</v>
      </c>
    </row>
    <row r="44" spans="2:35">
      <c r="B44" s="77" t="s">
        <v>786</v>
      </c>
      <c r="C44" s="370">
        <f>'Balance Sheet'!C31</f>
        <v>276.48599999999999</v>
      </c>
      <c r="D44" s="370">
        <f>'Balance Sheet'!D31</f>
        <v>785.12599999999998</v>
      </c>
      <c r="E44" s="370">
        <f>'Balance Sheet'!E31</f>
        <v>1062.299</v>
      </c>
      <c r="F44" s="370">
        <f>'Balance Sheet'!F31</f>
        <v>2275.4180000000001</v>
      </c>
      <c r="G44" s="370">
        <f>'Balance Sheet'!G31</f>
        <v>2279.64</v>
      </c>
      <c r="I44" s="82" t="s">
        <v>204</v>
      </c>
      <c r="J44" s="371">
        <f>J$27/1</f>
        <v>158.01300000000001</v>
      </c>
      <c r="K44" s="474">
        <v>0</v>
      </c>
      <c r="L44" s="474"/>
      <c r="M44" s="474"/>
      <c r="N44" s="474"/>
      <c r="O44" s="387">
        <f t="shared" si="1"/>
        <v>158.01300000000001</v>
      </c>
    </row>
    <row r="45" spans="2:35">
      <c r="B45" s="77" t="s">
        <v>792</v>
      </c>
      <c r="C45" s="370">
        <f>'Balance Sheet'!C28+'Balance Sheet'!C23</f>
        <v>5.9790000000000001</v>
      </c>
      <c r="D45" s="370">
        <f>'Balance Sheet'!D28+'Balance Sheet'!D23</f>
        <v>61.885999999999996</v>
      </c>
      <c r="E45" s="370">
        <f>'Balance Sheet'!E28+'Balance Sheet'!E23</f>
        <v>53.515999999999998</v>
      </c>
      <c r="F45" s="370">
        <f>'Balance Sheet'!F28+'Balance Sheet'!F23</f>
        <v>112.70100000000001</v>
      </c>
      <c r="G45" s="370">
        <f>'Balance Sheet'!G28+'Balance Sheet'!G23</f>
        <v>110.42999999999999</v>
      </c>
      <c r="I45" s="82" t="s">
        <v>205</v>
      </c>
      <c r="J45" s="371">
        <v>0</v>
      </c>
      <c r="K45" s="474"/>
      <c r="L45" s="474"/>
      <c r="M45" s="474"/>
      <c r="N45" s="474"/>
      <c r="O45" s="387">
        <f t="shared" si="1"/>
        <v>0</v>
      </c>
    </row>
    <row r="46" spans="2:35">
      <c r="B46" s="77" t="s">
        <v>790</v>
      </c>
      <c r="C46" s="370">
        <f>'Balance Sheet'!C32</f>
        <v>19.864000000000001</v>
      </c>
      <c r="D46" s="370">
        <f>'Balance Sheet'!D32</f>
        <v>43.956000000000003</v>
      </c>
      <c r="E46" s="370">
        <f>'Balance Sheet'!E32</f>
        <v>41.642000000000003</v>
      </c>
      <c r="F46" s="370">
        <f>'Balance Sheet'!F32</f>
        <v>122.417</v>
      </c>
      <c r="G46" s="370">
        <f>'Balance Sheet'!G32</f>
        <v>120.40600000000001</v>
      </c>
    </row>
    <row r="47" spans="2:35">
      <c r="B47" s="77" t="s">
        <v>787</v>
      </c>
      <c r="C47" s="370">
        <f>'Balance Sheet'!C41</f>
        <v>400.89800000000002</v>
      </c>
      <c r="D47" s="370">
        <f>'Balance Sheet'!D41</f>
        <v>406.63400000000007</v>
      </c>
      <c r="E47" s="370">
        <f>'Balance Sheet'!E41</f>
        <v>742.42400000000009</v>
      </c>
      <c r="F47" s="370">
        <f>'Balance Sheet'!F41</f>
        <v>628.61899999999991</v>
      </c>
      <c r="G47" s="370">
        <f>'Balance Sheet'!G41</f>
        <v>-547.274</v>
      </c>
    </row>
    <row r="48" spans="2:35">
      <c r="B48" s="365" t="s">
        <v>73</v>
      </c>
      <c r="C48" s="376">
        <f>SUM(C44:C47)</f>
        <v>703.22699999999998</v>
      </c>
      <c r="D48" s="376">
        <f>SUM(D44:D47)</f>
        <v>1297.6020000000001</v>
      </c>
      <c r="E48" s="376">
        <f>SUM(E44:E47)</f>
        <v>1899.8810000000003</v>
      </c>
      <c r="F48" s="376">
        <f>SUM(F44:F47)</f>
        <v>3139.1549999999997</v>
      </c>
      <c r="G48" s="376">
        <f>SUM(G44:G47)</f>
        <v>1963.2019999999998</v>
      </c>
    </row>
    <row r="50" spans="2:7">
      <c r="B50" s="102" t="s">
        <v>190</v>
      </c>
      <c r="C50" s="234">
        <f>C24/C5</f>
        <v>0.54671496936356723</v>
      </c>
      <c r="D50" s="234">
        <f>D24/D5</f>
        <v>0.20888488096590946</v>
      </c>
      <c r="E50" s="234">
        <f>E24/E5</f>
        <v>0.46852010141253181</v>
      </c>
      <c r="F50" s="234">
        <f>F24/F5</f>
        <v>0.4154179085552131</v>
      </c>
      <c r="G50" s="234">
        <f>G24/G5</f>
        <v>0.37382940566483663</v>
      </c>
    </row>
    <row r="51" spans="2:7">
      <c r="B51" s="102" t="s">
        <v>206</v>
      </c>
      <c r="C51" s="234">
        <f>C26/C39</f>
        <v>0.64589801408380187</v>
      </c>
      <c r="D51" s="234">
        <f>D26/D39</f>
        <v>0.25560209585721266</v>
      </c>
      <c r="E51" s="234">
        <f>E26/E39</f>
        <v>0.99559347021743394</v>
      </c>
      <c r="F51" s="234">
        <f>F26/F39</f>
        <v>0.29397578988425532</v>
      </c>
      <c r="G51" s="234">
        <f>G26/G39</f>
        <v>0.59303076955210821</v>
      </c>
    </row>
    <row r="52" spans="2:7">
      <c r="B52" s="102" t="s">
        <v>305</v>
      </c>
      <c r="C52" s="198">
        <f>(C44+C45)/C47</f>
        <v>0.70458071629192454</v>
      </c>
      <c r="D52" s="198">
        <f>(D44+D45)/D47</f>
        <v>2.0829837150853097</v>
      </c>
      <c r="E52" s="198">
        <f>(E44+E45)/E47</f>
        <v>1.5029349805501977</v>
      </c>
      <c r="F52" s="198">
        <f>(F44+F45)/F47</f>
        <v>3.7989927125969793</v>
      </c>
      <c r="G52" s="198">
        <f>(G44+G45)/G47</f>
        <v>-4.3672273851854824</v>
      </c>
    </row>
    <row r="53" spans="2:7">
      <c r="B53" s="102" t="s">
        <v>71</v>
      </c>
      <c r="C53" s="198">
        <f>C5/C39</f>
        <v>1.5250819137890528</v>
      </c>
      <c r="D53" s="198">
        <f>D5/D39</f>
        <v>1.5796016923635186</v>
      </c>
      <c r="E53" s="198">
        <f>E5/E39</f>
        <v>2.7431148909112584</v>
      </c>
      <c r="F53" s="198">
        <f>F5/F39</f>
        <v>0.91351679823784993</v>
      </c>
      <c r="G53" s="198">
        <f>G5/G39</f>
        <v>2.047830249717149</v>
      </c>
    </row>
    <row r="55" spans="2:7">
      <c r="B55" s="82" t="s">
        <v>207</v>
      </c>
      <c r="C55" s="366">
        <f>MEDIAN(D50:G50)</f>
        <v>0.39462365711002489</v>
      </c>
    </row>
    <row r="56" spans="2:7">
      <c r="B56" s="362" t="s">
        <v>208</v>
      </c>
      <c r="C56" s="363">
        <f>G5*C55</f>
        <v>1012.648107370263</v>
      </c>
      <c r="D56" s="117"/>
      <c r="F56" s="117"/>
      <c r="G56" s="11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77" customWidth="1"/>
    <col min="2" max="2" width="30.42578125" style="77" customWidth="1"/>
    <col min="3" max="3" width="12" style="77" customWidth="1"/>
    <col min="4" max="4" width="9.85546875" style="77" customWidth="1"/>
    <col min="5" max="5" width="29.28515625" style="77" customWidth="1"/>
    <col min="6" max="6" width="11.7109375" style="77" customWidth="1" collapsed="1"/>
    <col min="7" max="10" width="11.7109375" style="77" customWidth="1"/>
    <col min="11" max="11" width="10.85546875" style="77" customWidth="1"/>
    <col min="12" max="12" width="9.5703125" style="77" customWidth="1"/>
    <col min="13" max="25" width="9.140625" style="77" customWidth="1"/>
    <col min="26" max="26" width="9.28515625" style="77" customWidth="1"/>
    <col min="27" max="27" width="9.42578125" style="77" customWidth="1"/>
    <col min="28" max="28" width="10" style="77" customWidth="1"/>
    <col min="29" max="29" width="11.42578125" style="77" customWidth="1"/>
    <col min="30" max="30" width="9.42578125" style="77" bestFit="1" customWidth="1" collapsed="1"/>
    <col min="31" max="16384" width="9.140625" style="77"/>
  </cols>
  <sheetData>
    <row r="1" spans="1:31" s="76" customFormat="1" ht="15" customHeight="1">
      <c r="B1" s="15" t="s">
        <v>50</v>
      </c>
      <c r="C1" s="75"/>
      <c r="D1" s="75"/>
      <c r="E1" s="75"/>
      <c r="F1" s="75"/>
      <c r="G1" s="75"/>
      <c r="H1" s="75"/>
      <c r="I1" s="75"/>
      <c r="J1" s="75"/>
      <c r="K1" s="75"/>
    </row>
    <row r="2" spans="1:31" ht="12.75" customHeight="1">
      <c r="C2" s="89"/>
    </row>
    <row r="3" spans="1:31">
      <c r="B3" s="359" t="s">
        <v>833</v>
      </c>
      <c r="C3" s="358"/>
      <c r="E3" s="359" t="s">
        <v>834</v>
      </c>
      <c r="F3" s="358"/>
      <c r="G3" s="358"/>
      <c r="H3" s="358"/>
      <c r="I3" s="358"/>
      <c r="J3" s="358"/>
      <c r="K3" s="358"/>
      <c r="L3" s="175"/>
    </row>
    <row r="4" spans="1:31" ht="12.75" thickBot="1">
      <c r="B4" s="360" t="str">
        <f>Drivers!$C$5&amp;" in mil"</f>
        <v>$ in mil</v>
      </c>
      <c r="C4" s="378"/>
      <c r="E4" s="360" t="str">
        <f>Drivers!$C$5&amp;" in mil"</f>
        <v>$ in mil</v>
      </c>
      <c r="F4" s="378">
        <v>43101</v>
      </c>
      <c r="G4" s="378">
        <f>EDATE(F4,12)</f>
        <v>43466</v>
      </c>
      <c r="H4" s="378">
        <f>EDATE(G4,12)</f>
        <v>43831</v>
      </c>
      <c r="I4" s="378">
        <f>EDATE(H4,12)</f>
        <v>44197</v>
      </c>
      <c r="J4" s="378">
        <f>EDATE(I4,12)</f>
        <v>44562</v>
      </c>
      <c r="K4" s="378"/>
      <c r="L4" s="81"/>
      <c r="N4" s="81"/>
      <c r="O4" s="81"/>
      <c r="P4" s="81"/>
      <c r="Q4" s="81"/>
      <c r="R4" s="81"/>
      <c r="S4" s="81"/>
      <c r="X4" s="81"/>
    </row>
    <row r="5" spans="1:31">
      <c r="A5" s="79"/>
      <c r="B5" s="77" t="s">
        <v>45</v>
      </c>
      <c r="C5" s="390">
        <f>K5</f>
        <v>20.555999999999997</v>
      </c>
      <c r="E5" s="84" t="s">
        <v>166</v>
      </c>
      <c r="F5" s="388">
        <f>-('Cash Flow Statement'!C35+'Cash Flow Statement'!C36)</f>
        <v>20.555999999999997</v>
      </c>
      <c r="G5" s="388">
        <f>-('Cash Flow Statement'!D35+'Cash Flow Statement'!D36)</f>
        <v>15.277999999999999</v>
      </c>
      <c r="H5" s="388">
        <f>-('Cash Flow Statement'!E35+'Cash Flow Statement'!E36)</f>
        <v>7.11</v>
      </c>
      <c r="I5" s="388">
        <f>-('Cash Flow Statement'!F35+'Cash Flow Statement'!F36)</f>
        <v>28.17</v>
      </c>
      <c r="J5" s="388">
        <f>-('Cash Flow Statement'!G35+'Cash Flow Statement'!G36)</f>
        <v>30.743000000000002</v>
      </c>
      <c r="K5" s="402">
        <f>MEDIAN(F5:J5)</f>
        <v>20.555999999999997</v>
      </c>
      <c r="L5" s="82"/>
      <c r="M5" s="82"/>
      <c r="N5" s="82"/>
      <c r="O5" s="82"/>
      <c r="P5" s="82"/>
      <c r="Q5" s="82"/>
      <c r="R5" s="82"/>
      <c r="S5" s="82"/>
      <c r="T5" s="82"/>
      <c r="U5" s="82"/>
      <c r="V5" s="82"/>
      <c r="W5" s="82"/>
      <c r="X5" s="82"/>
      <c r="Y5" s="82"/>
      <c r="Z5" s="82"/>
      <c r="AA5" s="82"/>
      <c r="AB5" s="82"/>
      <c r="AC5" s="82"/>
    </row>
    <row r="6" spans="1:31">
      <c r="A6" s="84"/>
      <c r="B6" s="369" t="s">
        <v>2</v>
      </c>
      <c r="C6" s="370">
        <f>-K6</f>
        <v>-58.189</v>
      </c>
      <c r="D6" s="85"/>
      <c r="E6" s="84" t="s">
        <v>167</v>
      </c>
      <c r="F6" s="388">
        <f>'Cash Flow Statement'!C9</f>
        <v>26.742000000000001</v>
      </c>
      <c r="G6" s="388">
        <f>'Cash Flow Statement'!D9</f>
        <v>48.030999999999999</v>
      </c>
      <c r="H6" s="388">
        <f>'Cash Flow Statement'!E9</f>
        <v>58.189</v>
      </c>
      <c r="I6" s="388">
        <f>'Cash Flow Statement'!F9</f>
        <v>74.266999999999996</v>
      </c>
      <c r="J6" s="388">
        <f>'Cash Flow Statement'!G9</f>
        <v>96.701999999999998</v>
      </c>
      <c r="K6" s="402">
        <f>MEDIAN(F6:J6)</f>
        <v>58.189</v>
      </c>
      <c r="L6" s="248"/>
      <c r="M6" s="82"/>
      <c r="N6" s="82"/>
      <c r="O6" s="82"/>
      <c r="P6" s="82"/>
      <c r="Q6" s="82"/>
      <c r="R6" s="82"/>
      <c r="S6" s="82"/>
      <c r="T6" s="82"/>
      <c r="U6" s="82"/>
      <c r="V6" s="82"/>
      <c r="W6" s="82"/>
      <c r="X6" s="82"/>
      <c r="Y6" s="82"/>
      <c r="Z6" s="82"/>
      <c r="AA6" s="82"/>
      <c r="AB6" s="82"/>
      <c r="AC6" s="82"/>
    </row>
    <row r="7" spans="1:31">
      <c r="A7" s="84"/>
      <c r="B7" s="391" t="s">
        <v>44</v>
      </c>
      <c r="C7" s="392">
        <f>C5+C6</f>
        <v>-37.633000000000003</v>
      </c>
      <c r="E7" s="84" t="s">
        <v>168</v>
      </c>
      <c r="F7" s="375">
        <f>F6/F5</f>
        <v>1.3009340338587276</v>
      </c>
      <c r="G7" s="375">
        <f>G6/G5</f>
        <v>3.1438015447048047</v>
      </c>
      <c r="H7" s="375">
        <f>H6/H5</f>
        <v>8.1841068917018287</v>
      </c>
      <c r="I7" s="375">
        <f>I6/I5</f>
        <v>2.636386226482073</v>
      </c>
      <c r="J7" s="375">
        <f>J6/J5</f>
        <v>3.1454965357967666</v>
      </c>
      <c r="K7" s="51"/>
      <c r="L7" s="82"/>
      <c r="M7" s="82"/>
      <c r="N7" s="82"/>
      <c r="O7" s="82"/>
      <c r="P7" s="82"/>
      <c r="Q7" s="82"/>
      <c r="R7" s="82"/>
      <c r="S7" s="82"/>
      <c r="T7" s="82"/>
      <c r="U7" s="82"/>
      <c r="V7" s="82"/>
      <c r="W7" s="82"/>
      <c r="X7" s="82"/>
      <c r="Y7" s="82"/>
      <c r="Z7" s="82"/>
      <c r="AA7" s="82"/>
      <c r="AB7" s="82"/>
      <c r="AC7" s="82"/>
    </row>
    <row r="8" spans="1:31">
      <c r="A8" s="84"/>
      <c r="B8" s="77" t="s">
        <v>169</v>
      </c>
      <c r="C8" s="390">
        <f>K8</f>
        <v>403.42259999999993</v>
      </c>
      <c r="E8" s="84" t="s">
        <v>169</v>
      </c>
      <c r="F8" s="388">
        <f>-('Cash Flow Statement'!C33+'Cash Flow Statement'!C34)</f>
        <v>35.494</v>
      </c>
      <c r="G8" s="388">
        <f>-('Cash Flow Statement'!D33+'Cash Flow Statement'!D34)</f>
        <v>272.37200000000001</v>
      </c>
      <c r="H8" s="388">
        <f>-('Cash Flow Statement'!E33+'Cash Flow Statement'!E34)</f>
        <v>0.88</v>
      </c>
      <c r="I8" s="388">
        <f>-('Cash Flow Statement'!F33+'Cash Flow Statement'!F34)</f>
        <v>1701.9109999999998</v>
      </c>
      <c r="J8" s="388">
        <f>-('Cash Flow Statement'!G33+'Cash Flow Statement'!G34)</f>
        <v>6.4560000000000004</v>
      </c>
      <c r="K8" s="403">
        <f>AVERAGE(F8:J8)</f>
        <v>403.42259999999993</v>
      </c>
      <c r="L8" s="82"/>
      <c r="M8" s="82"/>
      <c r="N8" s="82"/>
      <c r="O8" s="82"/>
      <c r="P8" s="82"/>
      <c r="Q8" s="82"/>
      <c r="R8" s="82"/>
      <c r="S8" s="82"/>
      <c r="T8" s="82"/>
      <c r="U8" s="82"/>
      <c r="V8" s="82"/>
      <c r="W8" s="82"/>
      <c r="X8" s="82"/>
      <c r="Y8" s="82"/>
      <c r="Z8" s="82"/>
      <c r="AA8" s="82"/>
      <c r="AB8" s="82"/>
      <c r="AC8" s="82"/>
    </row>
    <row r="9" spans="1:31">
      <c r="A9" s="84"/>
      <c r="B9" s="77" t="s">
        <v>170</v>
      </c>
      <c r="C9" s="390">
        <f>'Accounting Adjustments'!G15</f>
        <v>412.39800000000002</v>
      </c>
      <c r="F9" s="247"/>
      <c r="G9" s="247"/>
      <c r="H9" s="398"/>
      <c r="I9" s="398"/>
      <c r="J9" s="398"/>
      <c r="L9" s="82"/>
      <c r="M9" s="82"/>
      <c r="N9" s="82"/>
      <c r="O9" s="82"/>
      <c r="P9" s="82"/>
      <c r="Q9" s="82"/>
      <c r="R9" s="82"/>
      <c r="S9" s="82"/>
      <c r="T9" s="82"/>
      <c r="U9" s="82"/>
      <c r="V9" s="82"/>
      <c r="W9" s="82"/>
      <c r="X9" s="82"/>
      <c r="Y9" s="82"/>
      <c r="Z9" s="82"/>
      <c r="AA9" s="82"/>
      <c r="AB9" s="82"/>
      <c r="AC9" s="82"/>
      <c r="AD9" s="82"/>
      <c r="AE9" s="82"/>
    </row>
    <row r="10" spans="1:31">
      <c r="A10" s="86"/>
      <c r="B10" s="367" t="s">
        <v>171</v>
      </c>
      <c r="C10" s="390">
        <f>-'Accounting Adjustments'!G14</f>
        <v>-167.68549999999999</v>
      </c>
      <c r="E10" s="359" t="s">
        <v>835</v>
      </c>
      <c r="F10" s="358"/>
      <c r="G10" s="358"/>
      <c r="H10" s="358"/>
      <c r="I10" s="358"/>
      <c r="J10" s="358"/>
      <c r="K10" s="82"/>
      <c r="L10" s="82"/>
      <c r="M10" s="82"/>
      <c r="N10" s="82"/>
      <c r="O10" s="82"/>
      <c r="P10" s="82"/>
      <c r="Q10" s="82"/>
      <c r="R10" s="82"/>
      <c r="S10" s="82"/>
      <c r="T10" s="82"/>
      <c r="U10" s="82"/>
      <c r="V10" s="82"/>
      <c r="W10" s="82"/>
      <c r="X10" s="82"/>
      <c r="Y10" s="82"/>
      <c r="Z10" s="82"/>
      <c r="AA10" s="82"/>
      <c r="AB10" s="82"/>
      <c r="AC10" s="82"/>
    </row>
    <row r="11" spans="1:31" ht="12.75" thickBot="1">
      <c r="A11" s="84"/>
      <c r="B11" s="77" t="s">
        <v>187</v>
      </c>
      <c r="C11" s="390">
        <f>'Accounting Adjustments'!G19</f>
        <v>710.399</v>
      </c>
      <c r="E11" s="360" t="str">
        <f>Drivers!$C$5&amp;" in mil"</f>
        <v>$ in mil</v>
      </c>
      <c r="F11" s="378">
        <v>43101</v>
      </c>
      <c r="G11" s="378">
        <f>EDATE(F11,12)</f>
        <v>43466</v>
      </c>
      <c r="H11" s="378">
        <f>EDATE(G11,12)</f>
        <v>43831</v>
      </c>
      <c r="I11" s="378">
        <f>EDATE(H11,12)</f>
        <v>44197</v>
      </c>
      <c r="J11" s="378">
        <f>EDATE(I11,12)</f>
        <v>44562</v>
      </c>
      <c r="K11" s="82"/>
      <c r="L11" s="82"/>
      <c r="M11" s="82"/>
      <c r="N11" s="82"/>
      <c r="O11" s="82"/>
      <c r="P11" s="82"/>
      <c r="Q11" s="82"/>
      <c r="R11" s="82"/>
      <c r="S11" s="82"/>
      <c r="T11" s="82"/>
      <c r="U11" s="82"/>
      <c r="V11" s="82"/>
      <c r="W11" s="82"/>
      <c r="X11" s="82"/>
      <c r="Y11" s="82"/>
      <c r="Z11" s="82"/>
      <c r="AA11" s="82"/>
      <c r="AB11" s="82"/>
      <c r="AC11" s="82"/>
    </row>
    <row r="12" spans="1:31">
      <c r="A12" s="86"/>
      <c r="B12" s="367" t="s">
        <v>188</v>
      </c>
      <c r="C12" s="390">
        <f>-'Accounting Adjustments'!G18</f>
        <v>-382.28575000000001</v>
      </c>
      <c r="E12" s="84" t="s">
        <v>59</v>
      </c>
      <c r="F12" s="388">
        <f>'Balance Sheet'!C8</f>
        <v>12.244</v>
      </c>
      <c r="G12" s="388">
        <f>'Balance Sheet'!D8</f>
        <v>15.385999999999999</v>
      </c>
      <c r="H12" s="388">
        <f>'Balance Sheet'!E8</f>
        <v>22.605</v>
      </c>
      <c r="I12" s="388">
        <f>'Balance Sheet'!F8</f>
        <v>27.265999999999998</v>
      </c>
      <c r="J12" s="388">
        <f>'Balance Sheet'!G8</f>
        <v>27.888000000000002</v>
      </c>
      <c r="K12" s="82"/>
      <c r="L12" s="82"/>
      <c r="M12" s="82"/>
      <c r="N12" s="82"/>
      <c r="O12" s="82"/>
      <c r="P12" s="82"/>
      <c r="Q12" s="82"/>
      <c r="R12" s="82"/>
      <c r="S12" s="82"/>
      <c r="T12" s="82"/>
      <c r="U12" s="82"/>
      <c r="V12" s="82"/>
      <c r="W12" s="82"/>
      <c r="X12" s="82"/>
      <c r="Y12" s="82"/>
      <c r="Z12" s="82"/>
      <c r="AA12" s="82"/>
      <c r="AB12" s="82"/>
      <c r="AC12" s="82"/>
    </row>
    <row r="13" spans="1:31">
      <c r="A13" s="84"/>
      <c r="B13" s="362" t="s">
        <v>189</v>
      </c>
      <c r="C13" s="385">
        <f>SUM(C7:C12)</f>
        <v>938.61535000000003</v>
      </c>
      <c r="E13" s="84" t="s">
        <v>322</v>
      </c>
      <c r="F13" s="388">
        <f>'Balance Sheet'!C9</f>
        <v>22.686</v>
      </c>
      <c r="G13" s="388">
        <f>'Balance Sheet'!D9</f>
        <v>38.613999999999997</v>
      </c>
      <c r="H13" s="388">
        <f>'Balance Sheet'!E9</f>
        <v>56.152000000000001</v>
      </c>
      <c r="I13" s="388">
        <f>'Balance Sheet'!F9</f>
        <v>109.417</v>
      </c>
      <c r="J13" s="388">
        <f>'Balance Sheet'!G9</f>
        <v>80.203000000000003</v>
      </c>
      <c r="K13" s="82"/>
      <c r="L13" s="82"/>
      <c r="M13" s="82"/>
      <c r="N13" s="82"/>
      <c r="O13" s="82"/>
      <c r="P13" s="82"/>
      <c r="Q13" s="82"/>
      <c r="R13" s="82"/>
      <c r="S13" s="82"/>
      <c r="T13" s="82"/>
      <c r="U13" s="82"/>
      <c r="V13" s="82"/>
      <c r="W13" s="82"/>
      <c r="X13" s="82"/>
      <c r="Y13" s="82"/>
      <c r="Z13" s="82"/>
      <c r="AA13" s="82"/>
      <c r="AB13" s="82"/>
      <c r="AC13" s="82"/>
    </row>
    <row r="14" spans="1:31">
      <c r="D14" s="82"/>
      <c r="E14" s="84" t="s">
        <v>778</v>
      </c>
      <c r="F14" s="388">
        <f>'Balance Sheet'!C10</f>
        <v>21.071999999999999</v>
      </c>
      <c r="G14" s="388">
        <f>'Balance Sheet'!D10</f>
        <v>49.786000000000001</v>
      </c>
      <c r="H14" s="388">
        <f>'Balance Sheet'!E10</f>
        <v>146.80600000000001</v>
      </c>
      <c r="I14" s="388">
        <f>'Balance Sheet'!F10</f>
        <v>220.20599999999999</v>
      </c>
      <c r="J14" s="388">
        <f>'Balance Sheet'!G10</f>
        <v>233.96100000000001</v>
      </c>
      <c r="K14" s="82"/>
      <c r="L14" s="82"/>
      <c r="M14" s="82"/>
      <c r="N14" s="82"/>
      <c r="O14" s="82"/>
      <c r="P14" s="82"/>
      <c r="Q14" s="82"/>
      <c r="R14" s="82"/>
      <c r="S14" s="82"/>
      <c r="T14" s="82"/>
      <c r="U14" s="82"/>
      <c r="V14" s="82"/>
      <c r="W14" s="82"/>
      <c r="X14" s="82"/>
      <c r="Y14" s="82"/>
      <c r="Z14" s="82"/>
      <c r="AA14" s="82"/>
      <c r="AB14" s="82"/>
      <c r="AC14" s="82"/>
    </row>
    <row r="15" spans="1:31">
      <c r="B15" s="359" t="s">
        <v>47</v>
      </c>
      <c r="C15" s="358"/>
      <c r="D15" s="87"/>
      <c r="E15" s="399" t="s">
        <v>61</v>
      </c>
      <c r="F15" s="387">
        <f>SUM(F12:F14)</f>
        <v>56.001999999999995</v>
      </c>
      <c r="G15" s="387">
        <f>SUM(G12:G14)</f>
        <v>103.786</v>
      </c>
      <c r="H15" s="387">
        <f>SUM(H12:H14)</f>
        <v>225.56300000000002</v>
      </c>
      <c r="I15" s="387">
        <f>SUM(I12:I14)</f>
        <v>356.88900000000001</v>
      </c>
      <c r="J15" s="387">
        <f>SUM(J12:J14)</f>
        <v>342.05200000000002</v>
      </c>
      <c r="L15" s="82"/>
      <c r="M15" s="82"/>
      <c r="N15" s="82"/>
      <c r="O15" s="82"/>
      <c r="P15" s="82"/>
      <c r="Q15" s="82"/>
      <c r="R15" s="82"/>
      <c r="S15" s="82"/>
      <c r="T15" s="82"/>
      <c r="U15" s="82"/>
      <c r="V15" s="82"/>
      <c r="W15" s="82"/>
      <c r="X15" s="82"/>
      <c r="Y15" s="82"/>
      <c r="Z15" s="82"/>
      <c r="AA15" s="82"/>
      <c r="AB15" s="82"/>
      <c r="AC15" s="82"/>
    </row>
    <row r="16" spans="1:31" ht="12.75" thickBot="1">
      <c r="B16" s="360" t="str">
        <f>Drivers!$C$5&amp;" in mil"</f>
        <v>$ in mil</v>
      </c>
      <c r="C16" s="378"/>
      <c r="D16" s="52"/>
      <c r="E16" s="400" t="s">
        <v>46</v>
      </c>
      <c r="F16" s="388">
        <f>'Balance Sheet'!C21</f>
        <v>26.545000000000002</v>
      </c>
      <c r="G16" s="388">
        <f>'Balance Sheet'!D21</f>
        <v>26.324000000000002</v>
      </c>
      <c r="H16" s="388">
        <f>'Balance Sheet'!E21</f>
        <v>40.883000000000003</v>
      </c>
      <c r="I16" s="388">
        <f>'Balance Sheet'!F21</f>
        <v>28.007000000000001</v>
      </c>
      <c r="J16" s="388">
        <f>'Balance Sheet'!G21</f>
        <v>28.757000000000001</v>
      </c>
      <c r="L16" s="82"/>
      <c r="M16" s="82"/>
      <c r="N16" s="82"/>
      <c r="O16" s="82"/>
      <c r="P16" s="82"/>
      <c r="Q16" s="82"/>
      <c r="R16" s="82"/>
      <c r="S16" s="82"/>
      <c r="T16" s="82"/>
      <c r="U16" s="82"/>
      <c r="V16" s="82"/>
      <c r="W16" s="82"/>
      <c r="X16" s="82"/>
      <c r="Y16" s="82"/>
      <c r="Z16" s="82"/>
      <c r="AA16" s="82"/>
      <c r="AB16" s="82"/>
      <c r="AC16" s="82"/>
    </row>
    <row r="17" spans="2:31">
      <c r="B17" s="397" t="s">
        <v>63</v>
      </c>
      <c r="C17" s="396">
        <f>Reinvestment!J29</f>
        <v>-0.11003368662933628</v>
      </c>
      <c r="D17" s="88"/>
      <c r="E17" s="84" t="s">
        <v>323</v>
      </c>
      <c r="F17" s="388">
        <f>'Balance Sheet'!C25</f>
        <v>7.4779999999999998</v>
      </c>
      <c r="G17" s="388">
        <f>'Balance Sheet'!D25</f>
        <v>7.617</v>
      </c>
      <c r="H17" s="388">
        <f>'Balance Sheet'!E25</f>
        <v>11.263999999999999</v>
      </c>
      <c r="I17" s="388">
        <f>'Balance Sheet'!F25</f>
        <v>12.339</v>
      </c>
      <c r="J17" s="388">
        <f>'Balance Sheet'!G25</f>
        <v>14.007999999999999</v>
      </c>
      <c r="K17" s="82"/>
      <c r="L17" s="82"/>
      <c r="M17" s="82"/>
      <c r="N17" s="82"/>
      <c r="O17" s="82"/>
      <c r="P17" s="82"/>
      <c r="Q17" s="82"/>
      <c r="R17" s="82"/>
      <c r="S17" s="82"/>
      <c r="T17" s="82"/>
      <c r="U17" s="82"/>
      <c r="V17" s="82"/>
      <c r="W17" s="82"/>
      <c r="X17" s="82"/>
      <c r="Y17" s="82"/>
      <c r="Z17" s="82"/>
      <c r="AA17" s="82"/>
      <c r="AB17" s="82"/>
      <c r="AC17" s="82"/>
    </row>
    <row r="18" spans="2:31">
      <c r="E18" s="84" t="s">
        <v>781</v>
      </c>
      <c r="F18" s="388">
        <f>'Balance Sheet'!C22</f>
        <v>49.158000000000001</v>
      </c>
      <c r="G18" s="388">
        <f>'Balance Sheet'!D22</f>
        <v>88.344999999999999</v>
      </c>
      <c r="H18" s="388">
        <f>'Balance Sheet'!E22</f>
        <v>232.352</v>
      </c>
      <c r="I18" s="388">
        <f>'Balance Sheet'!F22</f>
        <v>328.11799999999999</v>
      </c>
      <c r="J18" s="388">
        <f>'Balance Sheet'!G22</f>
        <v>331.23399999999998</v>
      </c>
      <c r="K18" s="82"/>
      <c r="L18" s="82"/>
      <c r="M18" s="82"/>
      <c r="N18" s="82"/>
      <c r="O18" s="82"/>
      <c r="P18" s="82"/>
      <c r="Q18" s="82"/>
      <c r="R18" s="82"/>
      <c r="S18" s="82"/>
      <c r="T18" s="82"/>
      <c r="U18" s="82"/>
      <c r="V18" s="82"/>
      <c r="W18" s="82"/>
      <c r="X18" s="82"/>
      <c r="Y18" s="82"/>
      <c r="Z18" s="82"/>
      <c r="AA18" s="82"/>
      <c r="AB18" s="82"/>
      <c r="AC18" s="82"/>
    </row>
    <row r="19" spans="2:31">
      <c r="B19" s="77" t="s">
        <v>306</v>
      </c>
      <c r="C19" s="371">
        <f>J27</f>
        <v>2566.1109999999999</v>
      </c>
      <c r="E19" s="84" t="s">
        <v>779</v>
      </c>
      <c r="F19" s="388">
        <f>'Balance Sheet'!C24</f>
        <v>21.071999999999999</v>
      </c>
      <c r="G19" s="388">
        <f>'Balance Sheet'!D24</f>
        <v>49.786000000000001</v>
      </c>
      <c r="H19" s="388">
        <f>'Balance Sheet'!E24</f>
        <v>146.80600000000001</v>
      </c>
      <c r="I19" s="388">
        <f>'Balance Sheet'!F24</f>
        <v>220.20599999999999</v>
      </c>
      <c r="J19" s="388">
        <f>'Balance Sheet'!G24</f>
        <v>233.96100000000001</v>
      </c>
      <c r="K19" s="82"/>
      <c r="L19" s="82"/>
      <c r="M19" s="82"/>
      <c r="N19" s="82"/>
      <c r="O19" s="82"/>
      <c r="P19" s="82"/>
      <c r="Q19" s="82"/>
      <c r="R19" s="82"/>
      <c r="S19" s="82"/>
      <c r="T19" s="82"/>
      <c r="U19" s="82"/>
      <c r="V19" s="82"/>
      <c r="W19" s="82"/>
      <c r="X19" s="82"/>
      <c r="Y19" s="82"/>
      <c r="Z19" s="82"/>
      <c r="AA19" s="82"/>
      <c r="AB19" s="82"/>
      <c r="AC19" s="82"/>
    </row>
    <row r="20" spans="2:31">
      <c r="B20" s="393" t="s">
        <v>307</v>
      </c>
      <c r="C20" s="394">
        <f>C19*C17</f>
        <v>-282.35865363009276</v>
      </c>
      <c r="E20" s="84" t="s">
        <v>780</v>
      </c>
      <c r="F20" s="388">
        <f>'Balance Sheet'!C26</f>
        <v>3.9249999999999998</v>
      </c>
      <c r="G20" s="388">
        <f>'Balance Sheet'!D26</f>
        <v>8.1809999999999992</v>
      </c>
      <c r="H20" s="388">
        <f>'Balance Sheet'!E26</f>
        <v>14.821999999999999</v>
      </c>
      <c r="I20" s="388">
        <f>'Balance Sheet'!F26</f>
        <v>24.5</v>
      </c>
      <c r="J20" s="388">
        <f>'Balance Sheet'!G26</f>
        <v>19.064</v>
      </c>
      <c r="K20" s="82"/>
      <c r="L20" s="82"/>
      <c r="M20" s="82"/>
      <c r="N20" s="82"/>
      <c r="O20" s="82"/>
      <c r="P20" s="82"/>
      <c r="Q20" s="82"/>
      <c r="R20" s="82"/>
      <c r="S20" s="82"/>
      <c r="T20" s="82"/>
      <c r="U20" s="82"/>
      <c r="V20" s="82"/>
      <c r="W20" s="82"/>
      <c r="X20" s="82"/>
      <c r="Y20" s="82"/>
      <c r="Z20" s="82"/>
      <c r="AA20" s="82"/>
      <c r="AB20" s="82"/>
      <c r="AC20" s="82"/>
    </row>
    <row r="21" spans="2:31">
      <c r="C21" s="384"/>
      <c r="E21" s="399" t="s">
        <v>62</v>
      </c>
      <c r="F21" s="387">
        <f>SUM(F16:F20)</f>
        <v>108.17800000000001</v>
      </c>
      <c r="G21" s="387">
        <f>SUM(G16:G20)</f>
        <v>180.25300000000001</v>
      </c>
      <c r="H21" s="387">
        <f>SUM(H16:H20)</f>
        <v>446.12700000000007</v>
      </c>
      <c r="I21" s="387">
        <f>SUM(I16:I20)</f>
        <v>613.16999999999996</v>
      </c>
      <c r="J21" s="387">
        <f>SUM(J16:J20)</f>
        <v>627.024</v>
      </c>
      <c r="K21" s="82"/>
      <c r="L21" s="82"/>
      <c r="M21" s="82"/>
      <c r="N21" s="82"/>
      <c r="O21" s="82"/>
      <c r="P21" s="82"/>
      <c r="Q21" s="82"/>
      <c r="R21" s="82"/>
      <c r="S21" s="82"/>
      <c r="T21" s="82"/>
      <c r="U21" s="82"/>
      <c r="V21" s="82"/>
      <c r="W21" s="82"/>
      <c r="X21" s="82"/>
      <c r="Y21" s="82"/>
      <c r="Z21" s="82"/>
      <c r="AA21" s="82"/>
      <c r="AB21" s="82"/>
      <c r="AC21" s="82"/>
    </row>
    <row r="22" spans="2:31">
      <c r="B22" s="77" t="s">
        <v>65</v>
      </c>
      <c r="C22" s="371">
        <f>I27</f>
        <v>2329.114</v>
      </c>
      <c r="F22" s="401"/>
      <c r="G22" s="401"/>
      <c r="H22" s="401"/>
      <c r="I22" s="401"/>
      <c r="J22" s="401"/>
      <c r="K22" s="82"/>
      <c r="L22" s="82"/>
      <c r="M22" s="82"/>
      <c r="N22" s="82"/>
      <c r="O22" s="82"/>
      <c r="P22" s="82"/>
      <c r="Q22" s="82"/>
      <c r="R22" s="82"/>
      <c r="S22" s="82"/>
      <c r="T22" s="82"/>
      <c r="U22" s="82"/>
      <c r="V22" s="82"/>
      <c r="W22" s="82"/>
      <c r="X22" s="82"/>
      <c r="Y22" s="82"/>
      <c r="Z22" s="82"/>
      <c r="AA22" s="82"/>
      <c r="AB22" s="82"/>
      <c r="AC22" s="82"/>
    </row>
    <row r="23" spans="2:31">
      <c r="B23" s="393" t="s">
        <v>64</v>
      </c>
      <c r="C23" s="395">
        <f>C22*C17</f>
        <v>-256.28099999999995</v>
      </c>
      <c r="E23" s="399" t="s">
        <v>47</v>
      </c>
      <c r="F23" s="387">
        <f>F15-F21</f>
        <v>-52.176000000000016</v>
      </c>
      <c r="G23" s="387">
        <f>G15-G21</f>
        <v>-76.467000000000013</v>
      </c>
      <c r="H23" s="387">
        <f>H15-H21</f>
        <v>-220.56400000000005</v>
      </c>
      <c r="I23" s="387">
        <f>I15-I21</f>
        <v>-256.28099999999995</v>
      </c>
      <c r="J23" s="387">
        <f>J15-J21</f>
        <v>-284.97199999999998</v>
      </c>
      <c r="K23" s="82"/>
      <c r="L23" s="82"/>
      <c r="M23" s="82"/>
      <c r="N23" s="82"/>
      <c r="O23" s="82"/>
      <c r="P23" s="82"/>
      <c r="Q23" s="82"/>
      <c r="R23" s="82"/>
      <c r="S23" s="82"/>
      <c r="T23" s="82"/>
      <c r="U23" s="82"/>
      <c r="V23" s="82"/>
      <c r="W23" s="82"/>
      <c r="X23" s="82"/>
      <c r="Y23" s="82"/>
      <c r="Z23" s="82"/>
      <c r="AA23" s="82"/>
      <c r="AB23" s="82"/>
      <c r="AC23" s="82"/>
    </row>
    <row r="24" spans="2:31">
      <c r="C24" s="384"/>
      <c r="F24" s="371"/>
      <c r="G24" s="371"/>
      <c r="H24" s="371"/>
      <c r="I24" s="371"/>
      <c r="J24" s="371"/>
      <c r="K24" s="82"/>
      <c r="L24" s="82"/>
      <c r="M24" s="82"/>
      <c r="N24" s="82"/>
      <c r="O24" s="82"/>
      <c r="P24" s="82"/>
      <c r="Q24" s="82"/>
      <c r="R24" s="82"/>
      <c r="S24" s="82"/>
      <c r="T24" s="82"/>
      <c r="U24" s="82"/>
      <c r="V24" s="82"/>
      <c r="W24" s="82"/>
      <c r="X24" s="82"/>
      <c r="Y24" s="82"/>
      <c r="Z24" s="82"/>
      <c r="AA24" s="82"/>
      <c r="AB24" s="82"/>
      <c r="AC24" s="82"/>
    </row>
    <row r="25" spans="2:31">
      <c r="B25" s="362" t="s">
        <v>324</v>
      </c>
      <c r="C25" s="373">
        <f>C20-C23</f>
        <v>-26.077653630092811</v>
      </c>
      <c r="E25" s="86" t="s">
        <v>177</v>
      </c>
      <c r="F25" s="386"/>
      <c r="G25" s="386">
        <f>G23-F23</f>
        <v>-24.290999999999997</v>
      </c>
      <c r="H25" s="386">
        <f>H23-G23</f>
        <v>-144.09700000000004</v>
      </c>
      <c r="I25" s="386">
        <f>I23-H23</f>
        <v>-35.716999999999899</v>
      </c>
      <c r="J25" s="386">
        <f>J23-I23</f>
        <v>-28.691000000000031</v>
      </c>
      <c r="K25" s="82"/>
      <c r="L25" s="82"/>
      <c r="M25" s="82"/>
      <c r="N25" s="82"/>
      <c r="O25" s="82"/>
      <c r="P25" s="82"/>
      <c r="Q25" s="82"/>
      <c r="R25" s="82"/>
      <c r="S25" s="82"/>
      <c r="T25" s="82"/>
      <c r="U25" s="82"/>
      <c r="V25" s="82"/>
      <c r="W25" s="82"/>
      <c r="X25" s="82"/>
      <c r="Y25" s="82"/>
      <c r="Z25" s="82"/>
      <c r="AA25" s="82"/>
      <c r="AB25" s="82"/>
      <c r="AC25" s="82"/>
    </row>
    <row r="26" spans="2:31">
      <c r="K26" s="82"/>
      <c r="L26" s="82"/>
      <c r="M26" s="82"/>
      <c r="N26" s="82"/>
      <c r="O26" s="82"/>
      <c r="P26" s="82"/>
      <c r="Q26" s="82"/>
      <c r="R26" s="82"/>
      <c r="S26" s="82"/>
      <c r="T26" s="82"/>
      <c r="U26" s="82"/>
      <c r="V26" s="82"/>
      <c r="W26" s="82"/>
      <c r="X26" s="82"/>
      <c r="Y26" s="82"/>
      <c r="Z26" s="82"/>
      <c r="AA26" s="82"/>
      <c r="AB26" s="82"/>
      <c r="AC26" s="82"/>
    </row>
    <row r="27" spans="2:31">
      <c r="B27" s="359" t="s">
        <v>50</v>
      </c>
      <c r="C27" s="358"/>
      <c r="E27" s="84" t="s">
        <v>4</v>
      </c>
      <c r="F27" s="371">
        <f>'Income Statement'!C5</f>
        <v>603.69299999999998</v>
      </c>
      <c r="G27" s="371">
        <f>'Income Statement'!D5</f>
        <v>818.37900000000002</v>
      </c>
      <c r="H27" s="371">
        <f>'Income Statement'!E5</f>
        <v>1725.625</v>
      </c>
      <c r="I27" s="371">
        <f>'Income Statement'!F5</f>
        <v>2329.114</v>
      </c>
      <c r="J27" s="371">
        <f>'Income Statement'!G5</f>
        <v>2566.1109999999999</v>
      </c>
      <c r="K27" s="82"/>
      <c r="L27" s="82"/>
      <c r="M27" s="82"/>
      <c r="N27" s="82"/>
      <c r="O27" s="82"/>
      <c r="P27" s="82"/>
      <c r="Q27" s="82"/>
      <c r="R27" s="82"/>
      <c r="S27" s="82"/>
      <c r="T27" s="82"/>
      <c r="U27" s="82"/>
      <c r="V27" s="82"/>
      <c r="W27" s="82"/>
      <c r="X27" s="82"/>
      <c r="Y27" s="82"/>
      <c r="Z27" s="82"/>
      <c r="AA27" s="82"/>
      <c r="AB27" s="82"/>
      <c r="AC27" s="82"/>
    </row>
    <row r="28" spans="2:31" ht="12.75" thickBot="1">
      <c r="B28" s="360" t="str">
        <f>Drivers!$C$5&amp;" in mil"</f>
        <v>$ in mil</v>
      </c>
      <c r="C28" s="378"/>
      <c r="E28" s="89" t="s">
        <v>60</v>
      </c>
      <c r="F28" s="377">
        <f>F23/F27</f>
        <v>-8.6428035441855414E-2</v>
      </c>
      <c r="G28" s="377">
        <f>G23/G27</f>
        <v>-9.3437148313923024E-2</v>
      </c>
      <c r="H28" s="377">
        <f>H23/H27</f>
        <v>-0.12781687794277438</v>
      </c>
      <c r="I28" s="377">
        <f>I23/I27</f>
        <v>-0.11003368662933628</v>
      </c>
      <c r="J28" s="377">
        <f>J23/J27</f>
        <v>-0.11105209400528659</v>
      </c>
      <c r="K28" s="82"/>
      <c r="L28" s="82"/>
      <c r="M28" s="82"/>
      <c r="N28" s="82"/>
      <c r="O28" s="82"/>
      <c r="P28" s="82"/>
      <c r="Q28" s="82"/>
      <c r="R28" s="82"/>
      <c r="S28" s="82"/>
      <c r="T28" s="82"/>
      <c r="U28" s="82"/>
      <c r="V28" s="82"/>
      <c r="W28" s="82"/>
      <c r="X28" s="82"/>
      <c r="Y28" s="82"/>
      <c r="Z28" s="82"/>
      <c r="AA28" s="82"/>
      <c r="AB28" s="82"/>
      <c r="AC28" s="82"/>
    </row>
    <row r="29" spans="2:31">
      <c r="B29" s="362" t="s">
        <v>50</v>
      </c>
      <c r="C29" s="373">
        <f>C13+C25</f>
        <v>912.53769636990728</v>
      </c>
      <c r="I29" s="89" t="s">
        <v>114</v>
      </c>
      <c r="J29" s="404">
        <f>MEDIAN(F28:J28)</f>
        <v>-0.11003368662933628</v>
      </c>
      <c r="K29" s="82"/>
      <c r="L29" s="82"/>
      <c r="M29" s="82"/>
      <c r="N29" s="82"/>
      <c r="O29" s="82"/>
      <c r="P29" s="82"/>
      <c r="Q29" s="82"/>
      <c r="R29" s="82"/>
      <c r="S29" s="82"/>
      <c r="T29" s="82"/>
      <c r="U29" s="82"/>
      <c r="V29" s="82"/>
      <c r="W29" s="82"/>
      <c r="X29" s="82"/>
      <c r="Y29" s="82"/>
      <c r="Z29" s="82"/>
      <c r="AA29" s="82"/>
      <c r="AB29" s="82"/>
      <c r="AC29" s="82"/>
      <c r="AD29" s="82"/>
      <c r="AE29" s="82"/>
    </row>
    <row r="30" spans="2:31" ht="14.25" customHeight="1">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row>
    <row r="31" spans="2:31">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row>
    <row r="32" spans="2:31">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row>
    <row r="33" spans="6:31">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row>
    <row r="34" spans="6:31">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row>
    <row r="35" spans="6:31">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row>
    <row r="36" spans="6:31">
      <c r="I36" s="82"/>
      <c r="J36" s="82"/>
      <c r="K36" s="82"/>
      <c r="L36" s="82"/>
      <c r="M36" s="82"/>
      <c r="N36" s="82"/>
      <c r="O36" s="82"/>
      <c r="P36" s="82"/>
      <c r="Q36" s="82"/>
      <c r="R36" s="82"/>
      <c r="S36" s="82"/>
      <c r="T36" s="82"/>
      <c r="U36" s="82"/>
      <c r="V36" s="82"/>
      <c r="W36" s="82"/>
      <c r="X36" s="82"/>
      <c r="Y36" s="82"/>
      <c r="Z36" s="82"/>
      <c r="AA36" s="82"/>
      <c r="AB36" s="82"/>
      <c r="AC36" s="82"/>
      <c r="AD36" s="82"/>
      <c r="AE36" s="82"/>
    </row>
    <row r="37" spans="6:31">
      <c r="I37" s="82"/>
      <c r="J37" s="82"/>
      <c r="K37" s="82"/>
      <c r="L37" s="82"/>
      <c r="M37" s="82"/>
      <c r="N37" s="82"/>
      <c r="O37" s="82"/>
      <c r="P37" s="82"/>
      <c r="Q37" s="82"/>
      <c r="R37" s="82"/>
      <c r="S37" s="82"/>
      <c r="T37" s="82"/>
      <c r="U37" s="82"/>
      <c r="V37" s="82"/>
      <c r="W37" s="82"/>
      <c r="X37" s="82"/>
      <c r="Y37" s="82"/>
      <c r="Z37" s="82"/>
      <c r="AA37" s="82"/>
      <c r="AB37" s="82"/>
      <c r="AC37" s="82"/>
      <c r="AD37" s="82"/>
      <c r="AE37" s="82"/>
    </row>
    <row r="38" spans="6:31">
      <c r="K38" s="82"/>
      <c r="L38" s="82"/>
      <c r="M38" s="82"/>
      <c r="N38" s="82"/>
      <c r="O38" s="82"/>
      <c r="P38" s="82"/>
      <c r="Q38" s="82"/>
      <c r="R38" s="82"/>
      <c r="S38" s="82"/>
      <c r="T38" s="82"/>
      <c r="U38" s="82"/>
      <c r="V38" s="82"/>
      <c r="W38" s="82"/>
      <c r="X38" s="82"/>
      <c r="Y38" s="82"/>
      <c r="Z38" s="82"/>
      <c r="AA38" s="82"/>
      <c r="AB38" s="82"/>
      <c r="AC38" s="82"/>
      <c r="AD38" s="82"/>
      <c r="AE38" s="82"/>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38"/>
  <sheetViews>
    <sheetView workbookViewId="0"/>
  </sheetViews>
  <sheetFormatPr defaultRowHeight="12"/>
  <cols>
    <col min="1" max="1" width="2" style="77" customWidth="1"/>
    <col min="2" max="2" width="29.28515625" style="77" customWidth="1"/>
    <col min="3" max="3" width="11.7109375" style="77" customWidth="1"/>
    <col min="4" max="4" width="10.7109375" style="77" customWidth="1"/>
    <col min="5" max="5" width="24.140625" style="77" customWidth="1"/>
    <col min="6" max="6" width="11.7109375" style="77" customWidth="1" collapsed="1"/>
    <col min="7" max="11" width="11.7109375" style="77" customWidth="1"/>
    <col min="12" max="24" width="9.140625" style="77" customWidth="1"/>
    <col min="25" max="25" width="9.28515625" style="77" customWidth="1"/>
    <col min="26" max="26" width="9.42578125" style="77" customWidth="1"/>
    <col min="27" max="27" width="10" style="77" customWidth="1"/>
    <col min="28" max="28" width="11.42578125" style="77" customWidth="1"/>
    <col min="29" max="29" width="9.42578125" style="77" bestFit="1" customWidth="1" collapsed="1"/>
    <col min="30" max="16384" width="9.140625" style="77"/>
  </cols>
  <sheetData>
    <row r="1" spans="1:30" s="76" customFormat="1" ht="15" customHeight="1">
      <c r="B1" s="15" t="s">
        <v>58</v>
      </c>
      <c r="C1" s="75"/>
      <c r="D1" s="75"/>
      <c r="E1" s="75"/>
      <c r="F1" s="75"/>
      <c r="G1" s="75"/>
      <c r="H1" s="75"/>
      <c r="I1" s="75"/>
      <c r="J1" s="75"/>
    </row>
    <row r="2" spans="1:30" ht="12.75" customHeight="1">
      <c r="C2" s="89"/>
    </row>
    <row r="3" spans="1:30">
      <c r="A3" s="79"/>
      <c r="B3" s="359" t="s">
        <v>49</v>
      </c>
      <c r="C3" s="358"/>
      <c r="E3" s="359" t="s">
        <v>836</v>
      </c>
      <c r="F3" s="358"/>
      <c r="G3" s="358"/>
      <c r="H3" s="358"/>
      <c r="I3" s="358"/>
      <c r="J3" s="358"/>
      <c r="K3" s="358"/>
    </row>
    <row r="4" spans="1:30" ht="12.75" customHeight="1" thickBot="1">
      <c r="A4" s="84"/>
      <c r="B4" s="360" t="str">
        <f>Drivers!$C$5&amp;" in mil"</f>
        <v>$ in mil</v>
      </c>
      <c r="C4" s="378"/>
      <c r="E4" s="360" t="str">
        <f>Drivers!$C$5&amp;" in mil"</f>
        <v>$ in mil</v>
      </c>
      <c r="F4" s="378">
        <v>43101</v>
      </c>
      <c r="G4" s="378">
        <f>EDATE(F4,12)</f>
        <v>43466</v>
      </c>
      <c r="H4" s="378">
        <f>EDATE(G4,12)</f>
        <v>43831</v>
      </c>
      <c r="I4" s="378">
        <f>EDATE(H4,12)</f>
        <v>44197</v>
      </c>
      <c r="J4" s="378">
        <f>EDATE(I4,12)</f>
        <v>44562</v>
      </c>
      <c r="K4" s="378"/>
      <c r="M4" s="81"/>
      <c r="O4" s="81"/>
      <c r="P4" s="81"/>
      <c r="Q4" s="81"/>
      <c r="R4" s="81"/>
      <c r="S4" s="81"/>
      <c r="T4" s="81"/>
      <c r="Y4" s="81"/>
    </row>
    <row r="5" spans="1:30">
      <c r="A5" s="84"/>
      <c r="B5" s="77" t="s">
        <v>208</v>
      </c>
      <c r="C5" s="390">
        <f>'Accounting Adjustments'!C56</f>
        <v>1012.648107370263</v>
      </c>
      <c r="E5" s="89" t="s">
        <v>55</v>
      </c>
      <c r="F5" s="388">
        <f>'Cash Flow Statement'!C45</f>
        <v>345</v>
      </c>
      <c r="G5" s="388">
        <f>'Cash Flow Statement'!D45</f>
        <v>650</v>
      </c>
      <c r="H5" s="388">
        <f>'Cash Flow Statement'!E45</f>
        <v>650</v>
      </c>
      <c r="I5" s="388">
        <f>'Cash Flow Statement'!F45</f>
        <v>1000</v>
      </c>
      <c r="J5" s="388">
        <f>'Cash Flow Statement'!G45</f>
        <v>0</v>
      </c>
      <c r="K5" s="402">
        <f>AVERAGE(F5:J5)</f>
        <v>529</v>
      </c>
      <c r="M5" s="82"/>
      <c r="N5" s="82"/>
      <c r="O5" s="82"/>
      <c r="P5" s="82"/>
      <c r="Q5" s="82"/>
      <c r="R5" s="82"/>
      <c r="S5" s="82"/>
      <c r="T5" s="82"/>
      <c r="U5" s="82"/>
      <c r="V5" s="82"/>
      <c r="W5" s="82"/>
      <c r="X5" s="82"/>
      <c r="Y5" s="82"/>
      <c r="Z5" s="82"/>
      <c r="AA5" s="82"/>
      <c r="AB5" s="82"/>
      <c r="AC5" s="82"/>
      <c r="AD5" s="82"/>
    </row>
    <row r="6" spans="1:30" ht="12" customHeight="1">
      <c r="A6" s="84"/>
      <c r="B6" s="367" t="s">
        <v>79</v>
      </c>
      <c r="C6" s="63">
        <f>'Risk Free Rate &amp; ERP'!H15</f>
        <v>0.22534235144895792</v>
      </c>
      <c r="E6" s="89" t="s">
        <v>793</v>
      </c>
      <c r="F6" s="388">
        <f>'Cash Flow Statement'!C46+'Cash Flow Statement'!C49+'Cash Flow Statement'!C50+'Cash Flow Statement'!C48+'Cash Flow Statement'!C47</f>
        <v>-60.406999999999996</v>
      </c>
      <c r="G6" s="388">
        <f>'Cash Flow Statement'!D46+'Cash Flow Statement'!D49+'Cash Flow Statement'!D50+'Cash Flow Statement'!D48+'Cash Flow Statement'!D47</f>
        <v>-98.917000000000002</v>
      </c>
      <c r="H6" s="388">
        <f>'Cash Flow Statement'!E46+'Cash Flow Statement'!E49+'Cash Flow Statement'!E50+'Cash Flow Statement'!E48+'Cash Flow Statement'!E47</f>
        <v>-231.595</v>
      </c>
      <c r="I6" s="388">
        <f>'Cash Flow Statement'!F46+'Cash Flow Statement'!F49+'Cash Flow Statement'!F50+'Cash Flow Statement'!F48+'Cash Flow Statement'!F47</f>
        <v>-151.06399999999999</v>
      </c>
      <c r="J6" s="388">
        <f>'Cash Flow Statement'!G46+'Cash Flow Statement'!G49+'Cash Flow Statement'!G50+'Cash Flow Statement'!G48+'Cash Flow Statement'!G47</f>
        <v>-6.3760000000000003</v>
      </c>
      <c r="K6" s="402">
        <f>AVERAGE(F6:J6)</f>
        <v>-109.67179999999999</v>
      </c>
      <c r="M6" s="82"/>
      <c r="N6" s="82"/>
      <c r="O6" s="82"/>
      <c r="P6" s="82"/>
      <c r="Q6" s="82"/>
      <c r="R6" s="82"/>
      <c r="S6" s="82"/>
      <c r="T6" s="82"/>
      <c r="U6" s="82"/>
      <c r="V6" s="82"/>
      <c r="W6" s="82"/>
      <c r="X6" s="82"/>
      <c r="Y6" s="82"/>
      <c r="Z6" s="82"/>
      <c r="AA6" s="82"/>
      <c r="AB6" s="82"/>
      <c r="AC6" s="82"/>
      <c r="AD6" s="82"/>
    </row>
    <row r="7" spans="1:30" ht="12" customHeight="1">
      <c r="B7" s="77" t="s">
        <v>48</v>
      </c>
      <c r="C7" s="371">
        <f>C5*(1-C6)</f>
        <v>784.4556016651112</v>
      </c>
      <c r="M7" s="82"/>
      <c r="N7" s="82"/>
      <c r="O7" s="82"/>
      <c r="P7" s="82"/>
      <c r="Q7" s="82"/>
      <c r="R7" s="82"/>
      <c r="S7" s="82"/>
      <c r="T7" s="82"/>
      <c r="U7" s="82"/>
      <c r="V7" s="82"/>
      <c r="W7" s="82"/>
      <c r="X7" s="82"/>
      <c r="Y7" s="82"/>
      <c r="Z7" s="82"/>
      <c r="AA7" s="82"/>
      <c r="AB7" s="82"/>
      <c r="AC7" s="82"/>
      <c r="AD7" s="82"/>
    </row>
    <row r="8" spans="1:30">
      <c r="A8" s="84"/>
      <c r="B8" s="405"/>
      <c r="C8" s="406"/>
      <c r="F8" s="247"/>
      <c r="G8" s="247"/>
      <c r="H8" s="247"/>
      <c r="I8" s="247"/>
      <c r="J8" s="247"/>
      <c r="M8" s="82"/>
      <c r="N8" s="82"/>
      <c r="O8" s="82"/>
      <c r="P8" s="82"/>
      <c r="Q8" s="82"/>
      <c r="R8" s="82"/>
      <c r="S8" s="82"/>
      <c r="T8" s="82"/>
      <c r="U8" s="82"/>
      <c r="V8" s="82"/>
      <c r="W8" s="82"/>
      <c r="X8" s="82"/>
      <c r="Y8" s="82"/>
      <c r="Z8" s="82"/>
      <c r="AA8" s="82"/>
      <c r="AB8" s="82"/>
      <c r="AC8" s="82"/>
      <c r="AD8" s="82"/>
    </row>
    <row r="9" spans="1:30">
      <c r="A9" s="84"/>
      <c r="B9" s="77" t="s">
        <v>50</v>
      </c>
      <c r="C9" s="388">
        <f>Reinvestment!C29</f>
        <v>912.53769636990728</v>
      </c>
      <c r="M9" s="82"/>
      <c r="N9" s="82"/>
      <c r="O9" s="82"/>
      <c r="P9" s="82"/>
      <c r="Q9" s="82"/>
      <c r="R9" s="82"/>
      <c r="S9" s="82"/>
      <c r="T9" s="82"/>
      <c r="U9" s="82"/>
      <c r="V9" s="82"/>
      <c r="W9" s="82"/>
      <c r="X9" s="82"/>
      <c r="Y9" s="82"/>
      <c r="Z9" s="82"/>
      <c r="AA9" s="82"/>
      <c r="AB9" s="82"/>
      <c r="AC9" s="82"/>
      <c r="AD9" s="82"/>
    </row>
    <row r="10" spans="1:30">
      <c r="A10" s="80"/>
      <c r="M10" s="82"/>
      <c r="N10" s="82"/>
      <c r="O10" s="82"/>
      <c r="P10" s="82"/>
      <c r="Q10" s="82"/>
      <c r="R10" s="82"/>
      <c r="S10" s="82"/>
      <c r="T10" s="82"/>
      <c r="U10" s="82"/>
      <c r="V10" s="82"/>
      <c r="W10" s="82"/>
      <c r="X10" s="82"/>
      <c r="Y10" s="82"/>
      <c r="Z10" s="82"/>
      <c r="AA10" s="82"/>
      <c r="AB10" s="82"/>
      <c r="AC10" s="82"/>
      <c r="AD10" s="82"/>
    </row>
    <row r="11" spans="1:30">
      <c r="A11" s="84"/>
      <c r="B11" s="365" t="s">
        <v>49</v>
      </c>
      <c r="C11" s="373">
        <f>C7-C9</f>
        <v>-128.08209470479608</v>
      </c>
      <c r="M11" s="82"/>
      <c r="N11" s="82"/>
      <c r="O11" s="82"/>
      <c r="P11" s="82"/>
      <c r="Q11" s="82"/>
      <c r="R11" s="82"/>
      <c r="S11" s="82"/>
      <c r="T11" s="82"/>
      <c r="U11" s="82"/>
      <c r="V11" s="82"/>
      <c r="W11" s="82"/>
      <c r="X11" s="82"/>
      <c r="Y11" s="82"/>
      <c r="Z11" s="82"/>
      <c r="AA11" s="82"/>
      <c r="AB11" s="82"/>
      <c r="AC11" s="82"/>
      <c r="AD11" s="82"/>
    </row>
    <row r="12" spans="1:30">
      <c r="M12" s="82"/>
      <c r="N12" s="82"/>
      <c r="O12" s="82"/>
      <c r="P12" s="82"/>
      <c r="Q12" s="82"/>
      <c r="R12" s="82"/>
      <c r="S12" s="82"/>
      <c r="T12" s="82"/>
      <c r="U12" s="82"/>
      <c r="V12" s="82"/>
      <c r="W12" s="82"/>
      <c r="X12" s="82"/>
      <c r="Y12" s="82"/>
      <c r="Z12" s="82"/>
      <c r="AA12" s="82"/>
      <c r="AB12" s="82"/>
      <c r="AC12" s="82"/>
      <c r="AD12" s="82"/>
    </row>
    <row r="13" spans="1:30">
      <c r="A13" s="84"/>
      <c r="M13" s="82"/>
      <c r="N13" s="82"/>
      <c r="O13" s="82"/>
      <c r="P13" s="82"/>
      <c r="Q13" s="82"/>
      <c r="R13" s="82"/>
      <c r="S13" s="82"/>
      <c r="T13" s="82"/>
      <c r="U13" s="82"/>
      <c r="V13" s="82"/>
      <c r="W13" s="82"/>
      <c r="X13" s="82"/>
      <c r="Y13" s="82"/>
      <c r="Z13" s="82"/>
      <c r="AA13" s="82"/>
      <c r="AB13" s="82"/>
      <c r="AC13" s="82"/>
      <c r="AD13" s="82"/>
    </row>
    <row r="14" spans="1:30">
      <c r="B14" s="359" t="s">
        <v>56</v>
      </c>
      <c r="C14" s="358"/>
      <c r="D14" s="82"/>
      <c r="G14" s="82"/>
      <c r="M14" s="82"/>
      <c r="N14" s="82"/>
      <c r="O14" s="82"/>
      <c r="P14" s="82"/>
      <c r="Q14" s="82"/>
      <c r="R14" s="82"/>
      <c r="S14" s="82"/>
      <c r="T14" s="82"/>
      <c r="U14" s="82"/>
      <c r="V14" s="82"/>
      <c r="W14" s="82"/>
      <c r="X14" s="82"/>
      <c r="Y14" s="82"/>
      <c r="Z14" s="82"/>
      <c r="AA14" s="82"/>
      <c r="AB14" s="82"/>
      <c r="AC14" s="82"/>
      <c r="AD14" s="82"/>
    </row>
    <row r="15" spans="1:30" ht="12.75" thickBot="1">
      <c r="B15" s="360" t="str">
        <f>Drivers!$C$5&amp;" in mil"</f>
        <v>$ in mil</v>
      </c>
      <c r="C15" s="378"/>
      <c r="E15" s="87"/>
      <c r="M15" s="82"/>
      <c r="N15" s="82"/>
      <c r="O15" s="82"/>
      <c r="P15" s="82"/>
      <c r="Q15" s="82"/>
      <c r="R15" s="82"/>
      <c r="S15" s="82"/>
      <c r="T15" s="82"/>
      <c r="U15" s="82"/>
      <c r="V15" s="82"/>
      <c r="W15" s="82"/>
      <c r="X15" s="82"/>
      <c r="Y15" s="82"/>
      <c r="Z15" s="82"/>
      <c r="AA15" s="82"/>
      <c r="AB15" s="82"/>
      <c r="AC15" s="82"/>
      <c r="AD15" s="82"/>
    </row>
    <row r="16" spans="1:30">
      <c r="B16" s="77" t="str">
        <f>B5</f>
        <v>Normalized EBIT</v>
      </c>
      <c r="C16" s="371">
        <f>C5</f>
        <v>1012.648107370263</v>
      </c>
      <c r="E16" s="52"/>
      <c r="F16" s="36"/>
      <c r="M16" s="82"/>
      <c r="N16" s="82"/>
      <c r="O16" s="82"/>
      <c r="P16" s="82"/>
      <c r="Q16" s="82"/>
      <c r="R16" s="82"/>
      <c r="S16" s="82"/>
      <c r="T16" s="82"/>
      <c r="U16" s="82"/>
      <c r="V16" s="82"/>
      <c r="W16" s="82"/>
      <c r="X16" s="82"/>
      <c r="Y16" s="82"/>
      <c r="Z16" s="82"/>
      <c r="AA16" s="82"/>
      <c r="AB16" s="82"/>
      <c r="AC16" s="82"/>
      <c r="AD16" s="82"/>
    </row>
    <row r="17" spans="1:30">
      <c r="B17" s="369" t="s">
        <v>51</v>
      </c>
      <c r="C17" s="371">
        <f>Drivers!N16</f>
        <v>14.167999999999999</v>
      </c>
      <c r="E17" s="88"/>
      <c r="J17" s="82"/>
      <c r="M17" s="82"/>
      <c r="N17" s="82"/>
      <c r="O17" s="82"/>
      <c r="P17" s="82"/>
      <c r="Q17" s="82"/>
      <c r="R17" s="82"/>
      <c r="S17" s="82"/>
      <c r="T17" s="82"/>
      <c r="U17" s="82"/>
      <c r="V17" s="82"/>
      <c r="W17" s="82"/>
      <c r="X17" s="82"/>
      <c r="Y17" s="82"/>
      <c r="Z17" s="82"/>
      <c r="AA17" s="82"/>
      <c r="AB17" s="82"/>
      <c r="AC17" s="82"/>
      <c r="AD17" s="82"/>
    </row>
    <row r="18" spans="1:30">
      <c r="A18" s="84"/>
      <c r="B18" s="361" t="s">
        <v>52</v>
      </c>
      <c r="C18" s="372">
        <f>C16-C17</f>
        <v>998.480107370263</v>
      </c>
      <c r="F18" s="95"/>
      <c r="G18" s="96"/>
      <c r="H18" s="96"/>
      <c r="I18" s="82"/>
      <c r="J18" s="82"/>
      <c r="K18" s="82"/>
      <c r="L18" s="82"/>
      <c r="M18" s="82"/>
      <c r="N18" s="82"/>
      <c r="O18" s="82"/>
      <c r="P18" s="82"/>
      <c r="Q18" s="82"/>
      <c r="R18" s="82"/>
      <c r="S18" s="82"/>
      <c r="T18" s="82"/>
      <c r="U18" s="82"/>
      <c r="V18" s="82"/>
      <c r="W18" s="82"/>
      <c r="X18" s="82"/>
      <c r="Y18" s="82"/>
      <c r="Z18" s="82"/>
      <c r="AA18" s="82"/>
      <c r="AB18" s="82"/>
      <c r="AC18" s="82"/>
      <c r="AD18" s="82"/>
    </row>
    <row r="19" spans="1:30" ht="12" customHeight="1">
      <c r="B19" s="592" t="s">
        <v>79</v>
      </c>
      <c r="C19" s="593">
        <f>'FCFF &amp; FCFE'!C6</f>
        <v>0.22534235144895792</v>
      </c>
      <c r="F19" s="37"/>
      <c r="G19" s="37"/>
      <c r="H19" s="86"/>
      <c r="I19" s="82"/>
      <c r="J19" s="82"/>
      <c r="K19" s="82"/>
      <c r="L19" s="82"/>
      <c r="M19" s="82"/>
      <c r="N19" s="82"/>
      <c r="O19" s="82"/>
      <c r="P19" s="82"/>
      <c r="Q19" s="82"/>
      <c r="R19" s="82"/>
      <c r="S19" s="82"/>
      <c r="T19" s="82"/>
      <c r="U19" s="82"/>
      <c r="V19" s="82"/>
      <c r="W19" s="82"/>
      <c r="X19" s="82"/>
      <c r="Y19" s="82"/>
      <c r="Z19" s="82"/>
      <c r="AA19" s="82"/>
      <c r="AB19" s="82"/>
      <c r="AC19" s="82"/>
      <c r="AD19" s="82"/>
    </row>
    <row r="20" spans="1:30" ht="12" customHeight="1">
      <c r="A20" s="84"/>
      <c r="B20" s="110" t="s">
        <v>53</v>
      </c>
      <c r="C20" s="387">
        <f>C18*(1-C19)</f>
        <v>773.48025210044</v>
      </c>
      <c r="R20" s="82"/>
      <c r="S20" s="82"/>
      <c r="T20" s="82"/>
      <c r="U20" s="82"/>
      <c r="V20" s="82"/>
      <c r="W20" s="82"/>
      <c r="X20" s="82"/>
      <c r="Y20" s="82"/>
      <c r="Z20" s="82"/>
      <c r="AA20" s="82"/>
      <c r="AB20" s="82"/>
      <c r="AC20" s="82"/>
      <c r="AD20" s="82"/>
    </row>
    <row r="21" spans="1:30">
      <c r="C21" s="371"/>
      <c r="R21" s="82"/>
      <c r="S21" s="82"/>
      <c r="T21" s="82"/>
      <c r="U21" s="82"/>
      <c r="V21" s="82"/>
      <c r="W21" s="82"/>
      <c r="X21" s="82"/>
      <c r="Y21" s="82"/>
      <c r="Z21" s="82"/>
      <c r="AA21" s="82"/>
      <c r="AB21" s="82"/>
      <c r="AC21" s="82"/>
      <c r="AD21" s="82"/>
    </row>
    <row r="22" spans="1:30">
      <c r="B22" s="77" t="s">
        <v>50</v>
      </c>
      <c r="C22" s="371">
        <f>C9</f>
        <v>912.53769636990728</v>
      </c>
      <c r="R22" s="82"/>
      <c r="S22" s="82"/>
      <c r="T22" s="82"/>
      <c r="U22" s="82"/>
      <c r="V22" s="82"/>
      <c r="W22" s="82"/>
      <c r="X22" s="82"/>
      <c r="Y22" s="82"/>
      <c r="Z22" s="82"/>
      <c r="AA22" s="82"/>
      <c r="AB22" s="82"/>
      <c r="AC22" s="82"/>
      <c r="AD22" s="82"/>
    </row>
    <row r="23" spans="1:30">
      <c r="B23" s="80"/>
      <c r="C23" s="386"/>
      <c r="E23" s="97"/>
      <c r="F23" s="62"/>
      <c r="G23" s="62"/>
      <c r="H23" s="92"/>
      <c r="I23" s="82"/>
      <c r="J23" s="82"/>
      <c r="K23" s="82"/>
      <c r="L23" s="82"/>
      <c r="M23" s="82"/>
      <c r="N23" s="82"/>
      <c r="O23" s="82"/>
      <c r="P23" s="82"/>
      <c r="Q23" s="82"/>
      <c r="R23" s="82"/>
      <c r="S23" s="82"/>
      <c r="T23" s="82"/>
      <c r="U23" s="82"/>
      <c r="V23" s="82"/>
      <c r="W23" s="82"/>
      <c r="X23" s="82"/>
      <c r="Y23" s="82"/>
      <c r="Z23" s="82"/>
      <c r="AA23" s="82"/>
      <c r="AB23" s="82"/>
      <c r="AC23" s="82"/>
      <c r="AD23" s="82"/>
    </row>
    <row r="24" spans="1:30">
      <c r="B24" s="77" t="s">
        <v>54</v>
      </c>
      <c r="C24" s="371">
        <f>K6</f>
        <v>-109.67179999999999</v>
      </c>
      <c r="F24" s="62"/>
      <c r="G24" s="62"/>
      <c r="H24" s="92"/>
      <c r="I24" s="82"/>
      <c r="J24" s="82"/>
      <c r="K24" s="82"/>
      <c r="L24" s="82"/>
      <c r="M24" s="82"/>
      <c r="N24" s="82"/>
      <c r="O24" s="82"/>
      <c r="P24" s="82"/>
      <c r="Q24" s="82"/>
      <c r="R24" s="82"/>
      <c r="S24" s="82"/>
      <c r="T24" s="82"/>
      <c r="U24" s="82"/>
      <c r="V24" s="82"/>
      <c r="W24" s="82"/>
      <c r="X24" s="82"/>
      <c r="Y24" s="82"/>
      <c r="Z24" s="82"/>
      <c r="AA24" s="82"/>
      <c r="AB24" s="82"/>
      <c r="AC24" s="82"/>
      <c r="AD24" s="82"/>
    </row>
    <row r="25" spans="1:30">
      <c r="B25" s="77" t="s">
        <v>55</v>
      </c>
      <c r="C25" s="371">
        <f>K5</f>
        <v>529</v>
      </c>
      <c r="F25" s="62"/>
      <c r="G25" s="62"/>
      <c r="H25" s="92"/>
      <c r="I25" s="82"/>
      <c r="J25" s="82"/>
      <c r="K25" s="82"/>
      <c r="L25" s="82"/>
      <c r="M25" s="82"/>
      <c r="N25" s="82"/>
      <c r="O25" s="82"/>
      <c r="P25" s="82"/>
      <c r="Q25" s="82"/>
      <c r="R25" s="82"/>
      <c r="S25" s="82"/>
      <c r="T25" s="82"/>
      <c r="U25" s="82"/>
      <c r="V25" s="82"/>
      <c r="W25" s="82"/>
      <c r="X25" s="82"/>
      <c r="Y25" s="82"/>
      <c r="Z25" s="82"/>
      <c r="AA25" s="82"/>
      <c r="AB25" s="82"/>
      <c r="AC25" s="82"/>
      <c r="AD25" s="82"/>
    </row>
    <row r="26" spans="1:30">
      <c r="B26" s="110" t="s">
        <v>325</v>
      </c>
      <c r="C26" s="387">
        <f>SUM(C24:C25)</f>
        <v>419.32820000000004</v>
      </c>
      <c r="F26" s="62"/>
      <c r="G26" s="62"/>
      <c r="H26" s="92"/>
      <c r="I26" s="82"/>
      <c r="J26" s="82"/>
      <c r="K26" s="82"/>
      <c r="L26" s="82"/>
      <c r="M26" s="82"/>
      <c r="N26" s="82"/>
      <c r="O26" s="82"/>
      <c r="P26" s="82"/>
      <c r="Q26" s="82"/>
      <c r="R26" s="82"/>
      <c r="S26" s="82"/>
      <c r="T26" s="82"/>
      <c r="U26" s="82"/>
      <c r="V26" s="82"/>
      <c r="W26" s="82"/>
      <c r="X26" s="82"/>
      <c r="Y26" s="82"/>
      <c r="Z26" s="82"/>
      <c r="AA26" s="82"/>
      <c r="AB26" s="82"/>
      <c r="AC26" s="82"/>
      <c r="AD26" s="82"/>
    </row>
    <row r="27" spans="1:30">
      <c r="C27" s="371"/>
      <c r="F27" s="62"/>
      <c r="G27" s="62"/>
      <c r="H27" s="92"/>
      <c r="I27" s="82"/>
      <c r="J27" s="82"/>
      <c r="K27" s="82"/>
      <c r="L27" s="82"/>
      <c r="M27" s="82"/>
      <c r="N27" s="82"/>
      <c r="O27" s="82"/>
      <c r="P27" s="82"/>
      <c r="Q27" s="82"/>
      <c r="R27" s="82"/>
      <c r="S27" s="82"/>
      <c r="T27" s="82"/>
      <c r="U27" s="82"/>
      <c r="V27" s="82"/>
      <c r="W27" s="82"/>
      <c r="X27" s="82"/>
      <c r="Y27" s="82"/>
      <c r="Z27" s="82"/>
      <c r="AA27" s="82"/>
      <c r="AB27" s="82"/>
      <c r="AC27" s="82"/>
      <c r="AD27" s="82"/>
    </row>
    <row r="28" spans="1:30">
      <c r="B28" s="365" t="s">
        <v>56</v>
      </c>
      <c r="C28" s="373">
        <f>C20-C22+C26</f>
        <v>280.27075573053276</v>
      </c>
      <c r="F28" s="94"/>
      <c r="G28" s="94"/>
      <c r="H28" s="93"/>
      <c r="I28" s="82"/>
      <c r="J28" s="82"/>
      <c r="K28" s="82"/>
      <c r="L28" s="82"/>
      <c r="M28" s="82"/>
      <c r="N28" s="82"/>
      <c r="O28" s="82"/>
      <c r="P28" s="82"/>
      <c r="Q28" s="82"/>
      <c r="R28" s="82"/>
      <c r="S28" s="82"/>
      <c r="T28" s="82"/>
      <c r="U28" s="82"/>
      <c r="V28" s="82"/>
      <c r="W28" s="82"/>
      <c r="X28" s="82"/>
      <c r="Y28" s="82"/>
      <c r="Z28" s="82"/>
      <c r="AA28" s="82"/>
      <c r="AB28" s="82"/>
      <c r="AC28" s="82"/>
      <c r="AD28" s="82"/>
    </row>
    <row r="29" spans="1:30">
      <c r="I29" s="82"/>
      <c r="J29" s="82"/>
      <c r="K29" s="82"/>
      <c r="L29" s="82"/>
      <c r="M29" s="82"/>
      <c r="N29" s="82"/>
      <c r="O29" s="82"/>
      <c r="P29" s="82"/>
      <c r="Q29" s="82"/>
      <c r="R29" s="82"/>
      <c r="S29" s="82"/>
      <c r="T29" s="82"/>
      <c r="U29" s="82"/>
      <c r="V29" s="82"/>
      <c r="W29" s="82"/>
      <c r="X29" s="82"/>
      <c r="Y29" s="82"/>
      <c r="Z29" s="82"/>
      <c r="AA29" s="82"/>
      <c r="AB29" s="82"/>
      <c r="AC29" s="82"/>
      <c r="AD29" s="82"/>
    </row>
    <row r="30" spans="1:30" ht="12" customHeight="1">
      <c r="I30" s="82"/>
      <c r="J30" s="82"/>
      <c r="K30" s="82"/>
      <c r="L30" s="82"/>
      <c r="M30" s="82"/>
      <c r="N30" s="82"/>
      <c r="O30" s="82"/>
      <c r="P30" s="82"/>
      <c r="Q30" s="82"/>
      <c r="R30" s="82"/>
      <c r="S30" s="82"/>
      <c r="T30" s="82"/>
      <c r="U30" s="82"/>
      <c r="V30" s="82"/>
      <c r="W30" s="82"/>
      <c r="X30" s="82"/>
      <c r="Y30" s="82"/>
      <c r="Z30" s="82"/>
      <c r="AA30" s="82"/>
      <c r="AB30" s="82"/>
      <c r="AC30" s="82"/>
      <c r="AD30" s="82"/>
    </row>
    <row r="31" spans="1:30">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row>
    <row r="32" spans="1:30">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row>
    <row r="33" spans="6:30">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row>
    <row r="34" spans="6:30">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row>
    <row r="35" spans="6:30">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row>
    <row r="36" spans="6:30">
      <c r="F36" s="82"/>
      <c r="G36" s="82"/>
      <c r="H36" s="82"/>
      <c r="I36" s="82"/>
      <c r="J36" s="82"/>
      <c r="K36" s="82"/>
      <c r="L36" s="82"/>
      <c r="M36" s="82"/>
      <c r="N36" s="82"/>
      <c r="O36" s="82"/>
      <c r="P36" s="82"/>
      <c r="Q36" s="82"/>
      <c r="R36" s="82"/>
      <c r="S36" s="82"/>
      <c r="T36" s="82"/>
      <c r="U36" s="82"/>
      <c r="V36" s="82"/>
      <c r="W36" s="82"/>
      <c r="X36" s="82"/>
      <c r="Y36" s="82"/>
      <c r="Z36" s="82"/>
      <c r="AA36" s="82"/>
      <c r="AB36" s="82"/>
      <c r="AC36" s="82"/>
      <c r="AD36" s="82"/>
    </row>
    <row r="37" spans="6:30">
      <c r="F37" s="82"/>
      <c r="G37" s="82"/>
      <c r="H37" s="82"/>
      <c r="I37" s="82"/>
      <c r="J37" s="82"/>
      <c r="K37" s="82"/>
      <c r="L37" s="82"/>
      <c r="M37" s="82"/>
      <c r="N37" s="82"/>
      <c r="O37" s="82"/>
      <c r="P37" s="82"/>
      <c r="Q37" s="82"/>
      <c r="R37" s="82"/>
      <c r="S37" s="82"/>
      <c r="T37" s="82"/>
      <c r="U37" s="82"/>
      <c r="V37" s="82"/>
      <c r="W37" s="82"/>
      <c r="X37" s="82"/>
      <c r="Y37" s="82"/>
      <c r="Z37" s="82"/>
      <c r="AA37" s="82"/>
      <c r="AB37" s="82"/>
      <c r="AC37" s="82"/>
      <c r="AD37" s="82"/>
    </row>
    <row r="38" spans="6:30">
      <c r="F38" s="82"/>
      <c r="G38" s="82"/>
      <c r="H38" s="82"/>
      <c r="I38" s="82"/>
      <c r="J38" s="82"/>
      <c r="K38" s="82"/>
      <c r="L38" s="82"/>
      <c r="M38" s="82"/>
      <c r="N38" s="82"/>
      <c r="O38" s="82"/>
      <c r="P38" s="82"/>
      <c r="Q38" s="82"/>
      <c r="R38" s="82"/>
      <c r="S38" s="82"/>
      <c r="T38" s="82"/>
      <c r="U38" s="82"/>
      <c r="V38" s="82"/>
      <c r="W38" s="82"/>
      <c r="X38" s="82"/>
      <c r="Y38" s="82"/>
      <c r="Z38" s="82"/>
      <c r="AA38" s="82"/>
      <c r="AB38" s="82"/>
      <c r="AC38" s="82"/>
      <c r="AD38" s="82"/>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75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05"/>
  <sheetViews>
    <sheetView workbookViewId="0"/>
  </sheetViews>
  <sheetFormatPr defaultRowHeight="12"/>
  <cols>
    <col min="1" max="1" width="2" style="77" customWidth="1"/>
    <col min="2" max="2" width="26.140625" style="77" customWidth="1"/>
    <col min="3" max="3" width="12" style="77" bestFit="1" customWidth="1"/>
    <col min="4" max="4" width="10.28515625" style="77" customWidth="1"/>
    <col min="5" max="5" width="31.5703125" style="77" customWidth="1"/>
    <col min="6" max="6" width="11.85546875" style="77" bestFit="1" customWidth="1" collapsed="1"/>
    <col min="7" max="7" width="11.42578125" style="77" customWidth="1"/>
    <col min="8" max="8" width="13.5703125" style="77" customWidth="1"/>
    <col min="9" max="9" width="12.5703125" style="77" customWidth="1"/>
    <col min="10" max="10" width="9.28515625" style="77" customWidth="1"/>
    <col min="11" max="11" width="9.7109375" style="77" customWidth="1"/>
    <col min="12" max="12" width="3.5703125" style="77" customWidth="1"/>
    <col min="13" max="13" width="22.85546875" style="77" customWidth="1"/>
    <col min="14" max="14" width="14.5703125" style="77" customWidth="1"/>
    <col min="15" max="15" width="11.28515625" style="77" customWidth="1"/>
    <col min="16" max="16" width="13.28515625" style="77" customWidth="1"/>
    <col min="17" max="17" width="12.28515625" style="77" customWidth="1"/>
    <col min="18" max="18" width="13.28515625" style="77" customWidth="1"/>
    <col min="19" max="19" width="11.42578125" style="77" customWidth="1"/>
    <col min="20" max="25" width="9.140625" style="77" customWidth="1"/>
    <col min="26" max="26" width="9.28515625" style="77" customWidth="1"/>
    <col min="27" max="27" width="9.42578125" style="77" customWidth="1"/>
    <col min="28" max="28" width="10" style="77" customWidth="1"/>
    <col min="29" max="29" width="11.42578125" style="77" customWidth="1"/>
    <col min="30" max="30" width="9.42578125" style="77" bestFit="1" customWidth="1" collapsed="1"/>
    <col min="31" max="16384" width="9.140625" style="77"/>
  </cols>
  <sheetData>
    <row r="1" spans="1:31" s="76" customFormat="1" ht="15" customHeight="1">
      <c r="B1" s="15" t="s">
        <v>66</v>
      </c>
      <c r="C1" s="75"/>
      <c r="D1" s="75"/>
      <c r="E1" s="75"/>
      <c r="F1" s="75"/>
      <c r="G1" s="75"/>
      <c r="H1" s="75"/>
      <c r="I1" s="75"/>
      <c r="J1" s="75"/>
      <c r="K1" s="75"/>
    </row>
    <row r="2" spans="1:31" ht="12" customHeight="1">
      <c r="C2" s="89"/>
    </row>
    <row r="3" spans="1:31" ht="12" customHeight="1">
      <c r="A3" s="79"/>
      <c r="B3" s="405" t="s">
        <v>50</v>
      </c>
      <c r="C3" s="371">
        <f>'FCFF &amp; FCFE'!C9</f>
        <v>912.53769636990728</v>
      </c>
      <c r="E3" s="253" t="str">
        <f>CONCATENATE("Industry: ",Drivers!$C$14)</f>
        <v>Industry: Internet Retail</v>
      </c>
      <c r="F3" s="358"/>
      <c r="G3" s="358"/>
      <c r="H3" s="358"/>
      <c r="I3" s="358"/>
      <c r="J3" s="358"/>
      <c r="K3" s="73"/>
      <c r="L3" s="73"/>
      <c r="M3" s="73"/>
      <c r="N3" s="73"/>
      <c r="O3" s="73"/>
      <c r="P3" s="73"/>
      <c r="Q3" s="73"/>
      <c r="R3" s="73"/>
      <c r="S3" s="73"/>
    </row>
    <row r="4" spans="1:31" ht="12" customHeight="1" thickBot="1">
      <c r="A4" s="84"/>
      <c r="B4" s="77" t="s">
        <v>107</v>
      </c>
      <c r="C4" s="371">
        <f>'FCFF &amp; FCFE'!C7</f>
        <v>784.4556016651112</v>
      </c>
      <c r="E4" s="299" t="s">
        <v>806</v>
      </c>
      <c r="F4" s="378"/>
      <c r="G4" s="378"/>
      <c r="H4" s="378"/>
      <c r="I4" s="378"/>
      <c r="J4" s="378"/>
      <c r="K4" s="146"/>
      <c r="L4" s="37"/>
      <c r="M4" s="37"/>
      <c r="N4" s="37"/>
      <c r="O4" s="146"/>
      <c r="P4" s="146"/>
      <c r="Q4" s="146"/>
      <c r="R4" s="146"/>
      <c r="S4" s="146"/>
      <c r="T4" s="81"/>
      <c r="U4" s="81"/>
      <c r="Z4" s="81"/>
    </row>
    <row r="5" spans="1:31" ht="12" customHeight="1">
      <c r="A5" s="84"/>
      <c r="B5" s="407" t="s">
        <v>70</v>
      </c>
      <c r="C5" s="408">
        <f>C3/C4</f>
        <v>1.1632751355627071</v>
      </c>
      <c r="E5" s="413" t="s">
        <v>111</v>
      </c>
      <c r="F5" s="413" t="s">
        <v>33</v>
      </c>
      <c r="G5" s="414" t="s">
        <v>147</v>
      </c>
      <c r="H5" s="414" t="s">
        <v>172</v>
      </c>
      <c r="I5" s="414" t="s">
        <v>86</v>
      </c>
      <c r="J5" s="414" t="s">
        <v>108</v>
      </c>
      <c r="K5" s="99"/>
      <c r="L5" s="151"/>
      <c r="M5" s="151"/>
      <c r="N5" s="62"/>
      <c r="O5" s="177"/>
      <c r="P5" s="177"/>
      <c r="Q5" s="101"/>
      <c r="R5" s="63"/>
      <c r="S5" s="99"/>
      <c r="T5" s="82"/>
      <c r="U5" s="143"/>
      <c r="V5" s="82"/>
      <c r="W5" s="82"/>
      <c r="X5" s="82"/>
      <c r="Y5" s="82"/>
      <c r="Z5" s="82"/>
      <c r="AA5" s="82"/>
      <c r="AB5" s="82"/>
      <c r="AC5" s="82"/>
    </row>
    <row r="6" spans="1:31" ht="12" customHeight="1">
      <c r="A6" s="84"/>
      <c r="E6" s="62" t="s">
        <v>376</v>
      </c>
      <c r="F6" s="62" t="s">
        <v>440</v>
      </c>
      <c r="G6" s="294">
        <f>'Beta Calculation Data'!L6</f>
        <v>864539</v>
      </c>
      <c r="H6" s="411">
        <v>1089823</v>
      </c>
      <c r="I6" s="101">
        <f>G6/H6</f>
        <v>0.79328386352646252</v>
      </c>
      <c r="J6" s="63">
        <v>0.1229</v>
      </c>
      <c r="K6" s="179"/>
      <c r="L6" s="151"/>
      <c r="M6" s="151"/>
      <c r="N6" s="62"/>
      <c r="O6" s="177"/>
      <c r="P6" s="171"/>
      <c r="Q6" s="101"/>
      <c r="R6" s="178"/>
      <c r="S6" s="179"/>
      <c r="T6" s="82"/>
      <c r="U6" s="143"/>
      <c r="V6" s="82"/>
      <c r="W6" s="82"/>
      <c r="X6" s="82"/>
      <c r="Y6" s="82"/>
      <c r="Z6" s="82"/>
      <c r="AA6" s="82"/>
      <c r="AB6" s="82"/>
      <c r="AC6" s="82"/>
    </row>
    <row r="7" spans="1:31" ht="12" customHeight="1">
      <c r="B7" s="77" t="s">
        <v>107</v>
      </c>
      <c r="C7" s="371">
        <f>'FCFF &amp; FCFE'!C7</f>
        <v>784.4556016651112</v>
      </c>
      <c r="E7" s="62" t="s">
        <v>373</v>
      </c>
      <c r="F7" s="147" t="s">
        <v>441</v>
      </c>
      <c r="G7" s="294">
        <f>'Beta Calculation Data'!L7</f>
        <v>513983</v>
      </c>
      <c r="H7" s="294">
        <v>213193</v>
      </c>
      <c r="I7" s="101">
        <f t="shared" ref="I7:I70" si="0">G7/H7</f>
        <v>2.4108812203027306</v>
      </c>
      <c r="J7" s="178">
        <v>2.3800000000000002E-2</v>
      </c>
      <c r="K7" s="99"/>
      <c r="L7" s="151"/>
      <c r="M7" s="151"/>
      <c r="N7" s="62"/>
      <c r="O7" s="177"/>
      <c r="P7" s="177"/>
      <c r="Q7" s="101"/>
      <c r="R7" s="63"/>
      <c r="S7" s="99"/>
      <c r="T7" s="82"/>
      <c r="U7" s="143"/>
      <c r="V7" s="82"/>
      <c r="W7" s="82"/>
      <c r="X7" s="82"/>
      <c r="Y7" s="82"/>
      <c r="Z7" s="82"/>
      <c r="AA7" s="82"/>
      <c r="AB7" s="82"/>
      <c r="AC7" s="82"/>
    </row>
    <row r="8" spans="1:31" ht="12" customHeight="1">
      <c r="A8" s="84"/>
      <c r="B8" s="77" t="s">
        <v>73</v>
      </c>
      <c r="C8" s="371">
        <f>'Accounting Adjustments'!G39</f>
        <v>1253.0877499999997</v>
      </c>
      <c r="E8" s="62" t="s">
        <v>443</v>
      </c>
      <c r="F8" s="147" t="s">
        <v>442</v>
      </c>
      <c r="G8" s="294">
        <f>'Beta Calculation Data'!L8</f>
        <v>12570024</v>
      </c>
      <c r="H8" s="411">
        <v>14812203</v>
      </c>
      <c r="I8" s="101">
        <f t="shared" si="0"/>
        <v>0.84862623068290377</v>
      </c>
      <c r="J8" s="415" t="s">
        <v>106</v>
      </c>
      <c r="K8" s="181"/>
      <c r="L8" s="151"/>
      <c r="M8" s="151"/>
      <c r="N8" s="62"/>
      <c r="O8" s="177"/>
      <c r="P8" s="171"/>
      <c r="Q8" s="101"/>
      <c r="R8" s="180"/>
      <c r="S8" s="181"/>
      <c r="T8" s="82"/>
      <c r="U8" s="143"/>
      <c r="V8" s="82"/>
      <c r="W8" s="82"/>
      <c r="X8" s="82"/>
      <c r="Y8" s="82"/>
      <c r="Z8" s="82"/>
      <c r="AA8" s="82"/>
      <c r="AB8" s="82"/>
      <c r="AC8" s="82"/>
    </row>
    <row r="9" spans="1:31" ht="12" customHeight="1">
      <c r="A9" s="84"/>
      <c r="B9" s="409" t="s">
        <v>341</v>
      </c>
      <c r="C9" s="130">
        <f>C7/C8</f>
        <v>0.62601809144260756</v>
      </c>
      <c r="E9" s="62" t="s">
        <v>397</v>
      </c>
      <c r="F9" s="147" t="s">
        <v>444</v>
      </c>
      <c r="G9" s="294">
        <f>'Beta Calculation Data'!L9</f>
        <v>1046236</v>
      </c>
      <c r="H9" s="294">
        <v>255745</v>
      </c>
      <c r="I9" s="101">
        <f t="shared" si="0"/>
        <v>4.0909343291168936</v>
      </c>
      <c r="J9" s="180">
        <v>1.7500000000000002E-2</v>
      </c>
      <c r="K9" s="99"/>
      <c r="L9" s="151"/>
      <c r="M9" s="151"/>
      <c r="N9" s="62"/>
      <c r="O9" s="177"/>
      <c r="P9" s="171"/>
      <c r="Q9" s="101"/>
      <c r="R9" s="63"/>
      <c r="S9" s="99"/>
      <c r="T9" s="82"/>
      <c r="U9" s="143"/>
      <c r="V9" s="82"/>
      <c r="W9" s="82"/>
      <c r="X9" s="82"/>
      <c r="Y9" s="82"/>
      <c r="Z9" s="82"/>
      <c r="AA9" s="82"/>
      <c r="AB9" s="82"/>
      <c r="AC9" s="82"/>
    </row>
    <row r="10" spans="1:31">
      <c r="A10" s="80"/>
      <c r="E10" s="62" t="s">
        <v>446</v>
      </c>
      <c r="F10" s="147" t="s">
        <v>445</v>
      </c>
      <c r="G10" s="294">
        <f>'Beta Calculation Data'!L10</f>
        <v>3110916.1869999999</v>
      </c>
      <c r="H10" s="294">
        <v>25469657.285999998</v>
      </c>
      <c r="I10" s="101">
        <f t="shared" si="0"/>
        <v>0.12214205130706603</v>
      </c>
      <c r="J10" s="63">
        <v>0</v>
      </c>
      <c r="K10" s="99"/>
      <c r="L10" s="151"/>
      <c r="M10" s="151"/>
      <c r="N10" s="62"/>
      <c r="O10" s="177"/>
      <c r="P10" s="171"/>
      <c r="Q10" s="101"/>
      <c r="R10" s="63"/>
      <c r="S10" s="99"/>
      <c r="T10" s="82"/>
      <c r="U10" s="143"/>
      <c r="V10" s="82"/>
      <c r="W10" s="82"/>
      <c r="X10" s="82"/>
      <c r="Y10" s="82"/>
      <c r="Z10" s="82"/>
      <c r="AA10" s="82"/>
      <c r="AB10" s="82"/>
      <c r="AC10" s="82"/>
    </row>
    <row r="11" spans="1:31">
      <c r="A11" s="84"/>
      <c r="B11" s="365" t="s">
        <v>66</v>
      </c>
      <c r="C11" s="275">
        <f>C5*C9</f>
        <v>0.72823128018760652</v>
      </c>
      <c r="E11" s="62" t="s">
        <v>408</v>
      </c>
      <c r="F11" s="62" t="s">
        <v>447</v>
      </c>
      <c r="G11" s="294">
        <f>'Beta Calculation Data'!L11</f>
        <v>10537</v>
      </c>
      <c r="H11" s="294">
        <v>6534</v>
      </c>
      <c r="I11" s="101">
        <f t="shared" si="0"/>
        <v>1.6126415671870218</v>
      </c>
      <c r="J11" s="63">
        <v>9.9299999999999999E-2</v>
      </c>
      <c r="K11" s="99"/>
      <c r="L11" s="151"/>
      <c r="M11" s="151"/>
      <c r="N11" s="62"/>
      <c r="O11" s="177"/>
      <c r="P11" s="171"/>
      <c r="Q11" s="101"/>
      <c r="R11" s="63"/>
      <c r="S11" s="99"/>
      <c r="T11" s="82"/>
      <c r="U11" s="143"/>
      <c r="V11" s="82"/>
      <c r="W11" s="82"/>
      <c r="X11" s="82"/>
      <c r="Y11" s="82"/>
      <c r="Z11" s="82"/>
      <c r="AA11" s="82"/>
      <c r="AB11" s="82"/>
      <c r="AC11" s="82"/>
    </row>
    <row r="12" spans="1:31">
      <c r="B12" s="82"/>
      <c r="E12" s="62" t="s">
        <v>388</v>
      </c>
      <c r="F12" s="62" t="s">
        <v>448</v>
      </c>
      <c r="G12" s="294">
        <f>'Beta Calculation Data'!L12</f>
        <v>9795</v>
      </c>
      <c r="H12" s="294">
        <v>14024</v>
      </c>
      <c r="I12" s="101">
        <f t="shared" si="0"/>
        <v>0.69844552196235021</v>
      </c>
      <c r="J12" s="63">
        <v>0.24840000000000001</v>
      </c>
      <c r="K12" s="99"/>
      <c r="L12" s="151"/>
      <c r="M12" s="151"/>
      <c r="N12" s="62"/>
      <c r="O12" s="177"/>
      <c r="P12" s="171"/>
      <c r="Q12" s="101"/>
      <c r="R12" s="63"/>
      <c r="S12" s="99"/>
      <c r="T12" s="82"/>
      <c r="U12" s="143"/>
      <c r="V12" s="82"/>
      <c r="W12" s="82"/>
      <c r="X12" s="82"/>
      <c r="Y12" s="82"/>
      <c r="Z12" s="82"/>
      <c r="AA12" s="82"/>
      <c r="AB12" s="82"/>
      <c r="AC12" s="82"/>
    </row>
    <row r="13" spans="1:31">
      <c r="A13" s="84"/>
      <c r="B13" s="359" t="s">
        <v>173</v>
      </c>
      <c r="C13" s="358"/>
      <c r="E13" s="62" t="s">
        <v>450</v>
      </c>
      <c r="F13" s="147" t="s">
        <v>449</v>
      </c>
      <c r="G13" s="294">
        <f>'Beta Calculation Data'!L13</f>
        <v>1645881</v>
      </c>
      <c r="H13" s="294">
        <v>4350880</v>
      </c>
      <c r="I13" s="101">
        <f t="shared" si="0"/>
        <v>0.37828692126650243</v>
      </c>
      <c r="J13" s="63">
        <v>9.5600000000000004E-2</v>
      </c>
      <c r="K13" s="99"/>
      <c r="L13" s="151"/>
      <c r="M13" s="151"/>
      <c r="N13" s="62"/>
      <c r="O13" s="177"/>
      <c r="P13" s="172"/>
      <c r="Q13" s="101"/>
      <c r="R13" s="63"/>
      <c r="S13" s="99"/>
      <c r="T13" s="82"/>
      <c r="U13" s="143"/>
      <c r="V13" s="82"/>
      <c r="W13" s="82"/>
      <c r="X13" s="82"/>
      <c r="Y13" s="82"/>
      <c r="Z13" s="82"/>
      <c r="AA13" s="82"/>
      <c r="AB13" s="82"/>
      <c r="AC13" s="82"/>
    </row>
    <row r="14" spans="1:31" ht="12.75" thickBot="1">
      <c r="B14" s="360"/>
      <c r="C14" s="378"/>
      <c r="D14" s="82"/>
      <c r="E14" s="62" t="s">
        <v>452</v>
      </c>
      <c r="F14" s="147" t="s">
        <v>451</v>
      </c>
      <c r="G14" s="294">
        <f>'Beta Calculation Data'!L14</f>
        <v>1845891</v>
      </c>
      <c r="H14" s="295">
        <v>4496631</v>
      </c>
      <c r="I14" s="101">
        <f t="shared" si="0"/>
        <v>0.4105053316583015</v>
      </c>
      <c r="J14" s="63">
        <v>-0.15989999999999999</v>
      </c>
      <c r="K14" s="99"/>
      <c r="L14" s="151"/>
      <c r="M14" s="151"/>
      <c r="N14" s="62"/>
      <c r="O14" s="177"/>
      <c r="P14" s="171"/>
      <c r="Q14" s="101"/>
      <c r="R14" s="63"/>
      <c r="S14" s="99"/>
      <c r="T14" s="82"/>
      <c r="U14" s="143"/>
      <c r="V14" s="82"/>
      <c r="W14" s="82"/>
      <c r="X14" s="82"/>
      <c r="Y14" s="82"/>
      <c r="Z14" s="82"/>
      <c r="AA14" s="82"/>
      <c r="AB14" s="82"/>
      <c r="AC14" s="82"/>
    </row>
    <row r="15" spans="1:31">
      <c r="B15" s="77" t="s">
        <v>209</v>
      </c>
      <c r="C15" s="410">
        <f>_xlfn.PERCENTILE.EXC(I6:I204,0.9)</f>
        <v>6.5504405836049218</v>
      </c>
      <c r="E15" s="62" t="s">
        <v>454</v>
      </c>
      <c r="F15" s="147" t="s">
        <v>453</v>
      </c>
      <c r="G15" s="294">
        <f>'Beta Calculation Data'!L15</f>
        <v>178888</v>
      </c>
      <c r="H15" s="294">
        <v>75153</v>
      </c>
      <c r="I15" s="101">
        <f t="shared" si="0"/>
        <v>2.3803174856625815</v>
      </c>
      <c r="J15" s="63">
        <v>0.31019999999999998</v>
      </c>
      <c r="K15" s="99"/>
      <c r="L15" s="151"/>
      <c r="M15" s="151"/>
      <c r="N15" s="62"/>
      <c r="O15" s="177"/>
      <c r="P15" s="172"/>
      <c r="Q15" s="101"/>
      <c r="R15" s="63"/>
      <c r="S15" s="99"/>
      <c r="T15" s="82"/>
      <c r="U15" s="143"/>
      <c r="V15" s="82"/>
      <c r="W15" s="82"/>
      <c r="X15" s="82"/>
      <c r="Y15" s="82"/>
      <c r="Z15" s="82"/>
      <c r="AA15" s="82"/>
      <c r="AB15" s="82"/>
      <c r="AC15" s="82"/>
    </row>
    <row r="16" spans="1:31">
      <c r="B16" s="77" t="s">
        <v>210</v>
      </c>
      <c r="C16" s="410">
        <f>_xlfn.PERCENTILE.EXC(I6:I204,0.75)</f>
        <v>3.8679357120646767</v>
      </c>
      <c r="E16" s="62" t="s">
        <v>456</v>
      </c>
      <c r="F16" s="62" t="s">
        <v>455</v>
      </c>
      <c r="G16" s="294">
        <f>'Beta Calculation Data'!L16</f>
        <v>195559.62</v>
      </c>
      <c r="H16" s="295">
        <v>179781.68700000001</v>
      </c>
      <c r="I16" s="101">
        <f t="shared" si="0"/>
        <v>1.0877616250202391</v>
      </c>
      <c r="J16" s="63">
        <v>-3.1E-2</v>
      </c>
      <c r="K16" s="99"/>
      <c r="L16" s="151"/>
      <c r="M16" s="151"/>
      <c r="N16" s="62"/>
      <c r="O16" s="177"/>
      <c r="P16" s="171"/>
      <c r="Q16" s="101"/>
      <c r="R16" s="63"/>
      <c r="S16" s="99"/>
      <c r="T16" s="82"/>
      <c r="U16" s="143"/>
      <c r="V16" s="82"/>
      <c r="W16" s="82"/>
      <c r="X16" s="82"/>
      <c r="Y16" s="82"/>
      <c r="Z16" s="82"/>
      <c r="AA16" s="82"/>
      <c r="AB16" s="82"/>
      <c r="AC16" s="82"/>
      <c r="AD16" s="82"/>
      <c r="AE16" s="82"/>
    </row>
    <row r="17" spans="1:31">
      <c r="B17" s="77" t="s">
        <v>211</v>
      </c>
      <c r="C17" s="410">
        <f>_xlfn.PERCENTILE.EXC(I6:I204,0.5)</f>
        <v>1.9135084705202416</v>
      </c>
      <c r="E17" s="6" t="s">
        <v>458</v>
      </c>
      <c r="F17" s="147" t="s">
        <v>457</v>
      </c>
      <c r="G17" s="294">
        <f>'Beta Calculation Data'!L17</f>
        <v>217274</v>
      </c>
      <c r="H17" s="294">
        <v>68383</v>
      </c>
      <c r="I17" s="101">
        <f t="shared" si="0"/>
        <v>3.177310150183525</v>
      </c>
      <c r="J17" s="63">
        <v>0.11600000000000001</v>
      </c>
      <c r="K17" s="99"/>
      <c r="L17" s="151"/>
      <c r="M17" s="151"/>
      <c r="N17" s="62"/>
      <c r="O17" s="177"/>
      <c r="P17" s="171"/>
      <c r="Q17" s="101"/>
      <c r="R17" s="63"/>
      <c r="S17" s="99"/>
      <c r="T17" s="82"/>
      <c r="U17" s="143"/>
      <c r="V17" s="82"/>
      <c r="W17" s="82"/>
      <c r="X17" s="82"/>
      <c r="Y17" s="82"/>
      <c r="Z17" s="82"/>
      <c r="AA17" s="82"/>
      <c r="AB17" s="82"/>
      <c r="AC17" s="82"/>
      <c r="AD17" s="82"/>
      <c r="AE17" s="82"/>
    </row>
    <row r="18" spans="1:31">
      <c r="A18" s="84"/>
      <c r="B18" s="77" t="s">
        <v>212</v>
      </c>
      <c r="C18" s="410">
        <f>_xlfn.PERCENTILE.EXC(I6:I204,0.25)</f>
        <v>0.84862623068290377</v>
      </c>
      <c r="E18" s="121" t="s">
        <v>753</v>
      </c>
      <c r="F18" s="59" t="s">
        <v>459</v>
      </c>
      <c r="G18" s="294">
        <f>'Beta Calculation Data'!L18</f>
        <v>2251956.4900000002</v>
      </c>
      <c r="H18" s="294">
        <v>2028068.9129999999</v>
      </c>
      <c r="I18" s="101">
        <f t="shared" si="0"/>
        <v>1.1103944622221031</v>
      </c>
      <c r="J18" s="63">
        <v>5.2499999999999998E-2</v>
      </c>
      <c r="K18" s="99"/>
      <c r="L18" s="151"/>
      <c r="M18" s="151"/>
      <c r="N18" s="62"/>
      <c r="O18" s="177"/>
      <c r="P18" s="171"/>
      <c r="Q18" s="101"/>
      <c r="R18" s="63"/>
      <c r="S18" s="99"/>
      <c r="T18" s="82"/>
      <c r="U18" s="143"/>
      <c r="V18" s="82"/>
      <c r="W18" s="82"/>
      <c r="X18" s="82"/>
      <c r="Y18" s="82"/>
      <c r="Z18" s="82"/>
      <c r="AA18" s="82"/>
      <c r="AB18" s="82"/>
      <c r="AC18" s="82"/>
      <c r="AD18" s="82"/>
      <c r="AE18" s="82"/>
    </row>
    <row r="19" spans="1:31">
      <c r="E19" s="121" t="s">
        <v>461</v>
      </c>
      <c r="F19" s="121" t="s">
        <v>460</v>
      </c>
      <c r="G19" s="294">
        <f>'Beta Calculation Data'!L19</f>
        <v>0</v>
      </c>
      <c r="H19" s="294">
        <v>86903.453999999998</v>
      </c>
      <c r="I19" s="101">
        <f t="shared" si="0"/>
        <v>0</v>
      </c>
      <c r="J19" s="63">
        <v>0.2329</v>
      </c>
      <c r="K19" s="127"/>
      <c r="L19" s="145"/>
      <c r="M19" s="151"/>
      <c r="N19" s="62"/>
      <c r="O19" s="177"/>
      <c r="P19" s="171"/>
      <c r="Q19" s="101"/>
      <c r="R19" s="63"/>
      <c r="S19" s="127"/>
      <c r="T19" s="82"/>
      <c r="U19" s="143"/>
      <c r="V19" s="82"/>
      <c r="W19" s="82"/>
      <c r="X19" s="82"/>
      <c r="Y19" s="82"/>
      <c r="Z19" s="82"/>
      <c r="AA19" s="82"/>
      <c r="AB19" s="82"/>
      <c r="AC19" s="82"/>
      <c r="AD19" s="82"/>
      <c r="AE19" s="82"/>
    </row>
    <row r="20" spans="1:31">
      <c r="A20" s="84"/>
      <c r="B20" s="359" t="s">
        <v>837</v>
      </c>
      <c r="C20" s="358"/>
      <c r="E20" s="121" t="s">
        <v>463</v>
      </c>
      <c r="F20" s="121" t="s">
        <v>462</v>
      </c>
      <c r="G20" s="294">
        <f>'Beta Calculation Data'!L20</f>
        <v>62352</v>
      </c>
      <c r="H20" s="294">
        <v>165055</v>
      </c>
      <c r="I20" s="101">
        <f t="shared" si="0"/>
        <v>0.37776498742843295</v>
      </c>
      <c r="J20" s="63">
        <v>-0.28320000000000001</v>
      </c>
      <c r="K20" s="99"/>
      <c r="L20" s="145"/>
      <c r="M20" s="151"/>
      <c r="N20" s="62"/>
      <c r="O20" s="177"/>
      <c r="P20" s="171"/>
      <c r="Q20" s="101"/>
      <c r="R20" s="63"/>
      <c r="S20" s="99"/>
      <c r="T20" s="82"/>
      <c r="U20" s="143"/>
      <c r="V20" s="82"/>
      <c r="W20" s="82"/>
      <c r="X20" s="82"/>
      <c r="Y20" s="82"/>
      <c r="Z20" s="82"/>
      <c r="AA20" s="82"/>
      <c r="AB20" s="82"/>
      <c r="AC20" s="82"/>
      <c r="AD20" s="82"/>
      <c r="AE20" s="82"/>
    </row>
    <row r="21" spans="1:31" ht="12.75" thickBot="1">
      <c r="B21" s="360"/>
      <c r="C21" s="378"/>
      <c r="E21" s="121" t="s">
        <v>754</v>
      </c>
      <c r="F21" s="121" t="s">
        <v>464</v>
      </c>
      <c r="G21" s="294">
        <f>'Beta Calculation Data'!L21</f>
        <v>48153.96</v>
      </c>
      <c r="H21" s="294">
        <v>16729.34</v>
      </c>
      <c r="I21" s="101">
        <f t="shared" si="0"/>
        <v>2.8784136134479903</v>
      </c>
      <c r="J21" s="63">
        <v>1.52E-2</v>
      </c>
      <c r="K21" s="99"/>
      <c r="L21" s="145"/>
      <c r="M21" s="151"/>
      <c r="N21" s="62"/>
      <c r="O21" s="177"/>
      <c r="P21" s="171"/>
      <c r="Q21" s="101"/>
      <c r="R21" s="182"/>
      <c r="S21" s="99"/>
      <c r="T21" s="82"/>
      <c r="U21" s="143"/>
      <c r="V21" s="82"/>
      <c r="W21" s="82"/>
      <c r="X21" s="82"/>
      <c r="Y21" s="82"/>
      <c r="Z21" s="82"/>
      <c r="AA21" s="82"/>
      <c r="AB21" s="82"/>
      <c r="AC21" s="82"/>
      <c r="AD21" s="82"/>
      <c r="AE21" s="82"/>
    </row>
    <row r="22" spans="1:31">
      <c r="B22" s="77" t="s">
        <v>209</v>
      </c>
      <c r="C22" s="226">
        <f>_xlfn.PERCENTILE.EXC(J6:J204,0.9)</f>
        <v>0.11275</v>
      </c>
      <c r="E22" s="121" t="s">
        <v>466</v>
      </c>
      <c r="F22" s="121" t="s">
        <v>465</v>
      </c>
      <c r="G22" s="294">
        <f>'Beta Calculation Data'!L22</f>
        <v>160143</v>
      </c>
      <c r="H22" s="294">
        <v>169033</v>
      </c>
      <c r="I22" s="101">
        <f t="shared" si="0"/>
        <v>0.94740671939798737</v>
      </c>
      <c r="J22" s="63">
        <v>2.4299999999999999E-2</v>
      </c>
      <c r="K22" s="99"/>
      <c r="L22" s="145"/>
      <c r="M22" s="151"/>
      <c r="N22" s="62"/>
      <c r="O22" s="177"/>
      <c r="P22" s="171"/>
      <c r="Q22" s="101"/>
      <c r="R22" s="63"/>
      <c r="S22" s="99"/>
      <c r="T22" s="82"/>
      <c r="U22" s="143"/>
      <c r="V22" s="82"/>
      <c r="W22" s="82"/>
      <c r="X22" s="82"/>
      <c r="Y22" s="82"/>
      <c r="Z22" s="82"/>
      <c r="AA22" s="82"/>
      <c r="AB22" s="82"/>
      <c r="AC22" s="82"/>
      <c r="AD22" s="82"/>
      <c r="AE22" s="82"/>
    </row>
    <row r="23" spans="1:31">
      <c r="B23" s="77" t="s">
        <v>210</v>
      </c>
      <c r="C23" s="226">
        <f>_xlfn.PERCENTILE.EXC(J6:J204,0.75)</f>
        <v>4.7375E-2</v>
      </c>
      <c r="E23" s="121" t="s">
        <v>468</v>
      </c>
      <c r="F23" s="121" t="s">
        <v>467</v>
      </c>
      <c r="G23" s="294">
        <f>'Beta Calculation Data'!L23</f>
        <v>5508</v>
      </c>
      <c r="H23" s="294">
        <v>9908</v>
      </c>
      <c r="I23" s="101">
        <f t="shared" si="0"/>
        <v>0.55591441259588215</v>
      </c>
      <c r="J23" s="63">
        <v>-0.14580000000000001</v>
      </c>
      <c r="K23" s="127"/>
      <c r="L23" s="145"/>
      <c r="M23" s="151"/>
      <c r="N23" s="62"/>
      <c r="O23" s="177"/>
      <c r="P23" s="171"/>
      <c r="Q23" s="101"/>
      <c r="R23" s="63"/>
      <c r="S23" s="99"/>
      <c r="T23" s="82"/>
      <c r="U23" s="143"/>
      <c r="V23" s="82"/>
      <c r="W23" s="82"/>
      <c r="X23" s="82"/>
      <c r="Y23" s="82"/>
      <c r="Z23" s="82"/>
      <c r="AA23" s="82"/>
      <c r="AB23" s="82"/>
      <c r="AC23" s="82"/>
      <c r="AD23" s="82"/>
      <c r="AE23" s="82"/>
    </row>
    <row r="24" spans="1:31">
      <c r="B24" s="77" t="s">
        <v>211</v>
      </c>
      <c r="C24" s="226">
        <f>_xlfn.PERCENTILE.EXC(J6:J204,0.5)</f>
        <v>0</v>
      </c>
      <c r="E24" s="412" t="s">
        <v>317</v>
      </c>
      <c r="F24" s="121" t="s">
        <v>469</v>
      </c>
      <c r="G24" s="294">
        <f>'Beta Calculation Data'!L24</f>
        <v>0</v>
      </c>
      <c r="H24" s="294">
        <v>14.736000000000001</v>
      </c>
      <c r="I24" s="101">
        <f t="shared" si="0"/>
        <v>0</v>
      </c>
      <c r="J24" s="63">
        <v>5.4999999999999997E-3</v>
      </c>
      <c r="K24" s="99"/>
      <c r="L24" s="145"/>
      <c r="M24" s="151"/>
      <c r="N24" s="62"/>
      <c r="O24" s="177"/>
      <c r="P24" s="171"/>
      <c r="Q24" s="101"/>
      <c r="R24" s="63"/>
      <c r="S24" s="99"/>
      <c r="T24" s="82"/>
      <c r="U24" s="143"/>
      <c r="V24" s="82"/>
      <c r="W24" s="82"/>
      <c r="X24" s="82"/>
      <c r="Y24" s="82"/>
      <c r="Z24" s="82"/>
      <c r="AA24" s="82"/>
      <c r="AB24" s="82"/>
      <c r="AC24" s="82"/>
      <c r="AD24" s="82"/>
      <c r="AE24" s="82"/>
    </row>
    <row r="25" spans="1:31">
      <c r="B25" s="77" t="s">
        <v>212</v>
      </c>
      <c r="C25" s="226">
        <f>_xlfn.PERCENTILE.EXC(J6:J204,0.25)</f>
        <v>-9.1225000000000001E-2</v>
      </c>
      <c r="E25" s="412" t="s">
        <v>427</v>
      </c>
      <c r="F25" s="121" t="s">
        <v>470</v>
      </c>
      <c r="G25" s="294">
        <f>'Beta Calculation Data'!L25</f>
        <v>12449.705</v>
      </c>
      <c r="H25" s="294">
        <v>9174.1020000000008</v>
      </c>
      <c r="I25" s="101">
        <f t="shared" si="0"/>
        <v>1.3570488969928609</v>
      </c>
      <c r="J25" s="63">
        <v>-9.0999999999999998E-2</v>
      </c>
      <c r="K25" s="99"/>
      <c r="L25" s="145"/>
      <c r="M25" s="151"/>
      <c r="N25" s="62"/>
      <c r="O25" s="177"/>
      <c r="P25" s="87"/>
      <c r="Q25" s="101"/>
      <c r="R25" s="182"/>
      <c r="S25" s="127"/>
      <c r="T25" s="82"/>
      <c r="U25" s="143"/>
      <c r="V25" s="82"/>
      <c r="W25" s="82"/>
      <c r="X25" s="82"/>
      <c r="Y25" s="82"/>
      <c r="Z25" s="82"/>
      <c r="AA25" s="82"/>
      <c r="AB25" s="82"/>
      <c r="AC25" s="82"/>
      <c r="AD25" s="82"/>
      <c r="AE25" s="82"/>
    </row>
    <row r="26" spans="1:31">
      <c r="E26" s="84" t="s">
        <v>472</v>
      </c>
      <c r="F26" s="84" t="s">
        <v>471</v>
      </c>
      <c r="G26" s="294">
        <f>'Beta Calculation Data'!L26</f>
        <v>103436.435</v>
      </c>
      <c r="H26" s="294">
        <v>9815.375</v>
      </c>
      <c r="I26" s="101">
        <f t="shared" si="0"/>
        <v>10.538205111878048</v>
      </c>
      <c r="J26" s="63">
        <v>4.1399999999999999E-2</v>
      </c>
      <c r="K26" s="99"/>
      <c r="L26" s="145"/>
      <c r="M26" s="151"/>
      <c r="N26" s="62"/>
      <c r="O26" s="177"/>
      <c r="P26" s="171"/>
      <c r="Q26" s="101"/>
      <c r="R26" s="63"/>
      <c r="S26" s="127"/>
      <c r="T26" s="82"/>
      <c r="U26" s="143"/>
      <c r="V26" s="82"/>
      <c r="W26" s="82"/>
      <c r="X26" s="82"/>
      <c r="Y26" s="82"/>
      <c r="Z26" s="82"/>
      <c r="AA26" s="82"/>
      <c r="AB26" s="82"/>
      <c r="AC26" s="82"/>
      <c r="AD26" s="82"/>
      <c r="AE26" s="82"/>
    </row>
    <row r="27" spans="1:31">
      <c r="E27" s="84" t="s">
        <v>434</v>
      </c>
      <c r="F27" s="84" t="s">
        <v>473</v>
      </c>
      <c r="G27" s="294">
        <f>'Beta Calculation Data'!L27</f>
        <v>103152.489</v>
      </c>
      <c r="H27" s="294">
        <v>35439.474999999999</v>
      </c>
      <c r="I27" s="101">
        <f t="shared" si="0"/>
        <v>2.9106663967228634</v>
      </c>
      <c r="J27" s="63">
        <v>6.0100000000000001E-2</v>
      </c>
      <c r="K27" s="99"/>
      <c r="L27" s="167"/>
      <c r="M27" s="151"/>
      <c r="N27" s="62"/>
      <c r="O27" s="177"/>
      <c r="P27" s="88"/>
      <c r="Q27" s="101"/>
      <c r="R27" s="36"/>
      <c r="S27" s="118"/>
      <c r="T27" s="82"/>
      <c r="U27" s="143"/>
      <c r="V27" s="82"/>
      <c r="W27" s="82"/>
      <c r="X27" s="82"/>
      <c r="Y27" s="82"/>
      <c r="Z27" s="82"/>
      <c r="AA27" s="82"/>
      <c r="AB27" s="82"/>
      <c r="AC27" s="82"/>
      <c r="AD27" s="82"/>
      <c r="AE27" s="82"/>
    </row>
    <row r="28" spans="1:31">
      <c r="E28" s="84" t="s">
        <v>475</v>
      </c>
      <c r="F28" s="84" t="s">
        <v>474</v>
      </c>
      <c r="G28" s="294">
        <f>'Beta Calculation Data'!L28</f>
        <v>1930.5</v>
      </c>
      <c r="H28" s="294">
        <v>804.1</v>
      </c>
      <c r="I28" s="101">
        <f t="shared" si="0"/>
        <v>2.4008207934336525</v>
      </c>
      <c r="J28" s="63">
        <v>-8.8700000000000001E-2</v>
      </c>
      <c r="K28" s="99"/>
      <c r="L28" s="168"/>
      <c r="M28" s="249"/>
      <c r="N28" s="62"/>
      <c r="O28" s="177"/>
      <c r="P28" s="99"/>
      <c r="Q28" s="99"/>
      <c r="R28" s="63"/>
      <c r="S28" s="99"/>
      <c r="T28" s="82"/>
      <c r="U28" s="82"/>
      <c r="V28" s="82"/>
      <c r="W28" s="82"/>
      <c r="X28" s="82"/>
      <c r="Y28" s="82"/>
      <c r="Z28" s="82"/>
      <c r="AA28" s="82"/>
      <c r="AB28" s="82"/>
      <c r="AC28" s="82"/>
      <c r="AD28" s="82"/>
      <c r="AE28" s="82"/>
    </row>
    <row r="29" spans="1:31">
      <c r="E29" s="84" t="s">
        <v>477</v>
      </c>
      <c r="F29" s="84" t="s">
        <v>476</v>
      </c>
      <c r="G29" s="294">
        <f>'Beta Calculation Data'!L29</f>
        <v>439730</v>
      </c>
      <c r="H29" s="294">
        <v>69391</v>
      </c>
      <c r="I29" s="101">
        <f t="shared" si="0"/>
        <v>6.3369889466933751</v>
      </c>
      <c r="J29" s="63">
        <v>3.1600000000000003E-2</v>
      </c>
      <c r="K29" s="99"/>
      <c r="L29" s="151"/>
      <c r="M29" s="250"/>
      <c r="N29" s="62"/>
      <c r="O29" s="177"/>
      <c r="Q29" s="144"/>
      <c r="R29" s="145"/>
      <c r="S29" s="82"/>
      <c r="T29" s="82"/>
      <c r="U29" s="82"/>
      <c r="V29" s="82"/>
      <c r="W29" s="82"/>
      <c r="X29" s="82"/>
      <c r="Y29" s="82"/>
      <c r="Z29" s="82"/>
      <c r="AA29" s="82"/>
      <c r="AB29" s="82"/>
      <c r="AC29" s="82"/>
      <c r="AD29" s="82"/>
      <c r="AE29" s="82"/>
    </row>
    <row r="30" spans="1:31" ht="12" customHeight="1">
      <c r="E30" s="84" t="s">
        <v>479</v>
      </c>
      <c r="F30" s="84" t="s">
        <v>478</v>
      </c>
      <c r="G30" s="294">
        <f>'Beta Calculation Data'!L30</f>
        <v>2297.8420000000001</v>
      </c>
      <c r="H30" s="294">
        <v>2245.6190000000001</v>
      </c>
      <c r="I30" s="101">
        <f t="shared" si="0"/>
        <v>1.0232555032710358</v>
      </c>
      <c r="J30" s="63">
        <v>-4.4900000000000002E-2</v>
      </c>
      <c r="K30" s="99"/>
      <c r="L30" s="151"/>
      <c r="M30" s="167"/>
      <c r="N30" s="62"/>
      <c r="O30" s="177"/>
      <c r="P30" s="73"/>
      <c r="Q30" s="73"/>
      <c r="R30" s="73"/>
      <c r="S30" s="73"/>
      <c r="T30" s="82"/>
      <c r="U30" s="82"/>
      <c r="V30" s="82"/>
      <c r="W30" s="82"/>
      <c r="X30" s="82"/>
      <c r="Y30" s="82"/>
      <c r="Z30" s="82"/>
      <c r="AA30" s="82"/>
      <c r="AB30" s="82"/>
      <c r="AC30" s="82"/>
      <c r="AD30" s="82"/>
      <c r="AE30" s="82"/>
    </row>
    <row r="31" spans="1:31">
      <c r="E31" s="84" t="s">
        <v>481</v>
      </c>
      <c r="F31" s="84" t="s">
        <v>480</v>
      </c>
      <c r="G31" s="294">
        <f>'Beta Calculation Data'!L31</f>
        <v>30817.644</v>
      </c>
      <c r="H31" s="294">
        <v>7708.085</v>
      </c>
      <c r="I31" s="101">
        <f t="shared" si="0"/>
        <v>3.9980934304694355</v>
      </c>
      <c r="J31" s="63">
        <v>0.1095</v>
      </c>
      <c r="K31" s="99"/>
      <c r="L31" s="151"/>
      <c r="M31" s="168"/>
      <c r="N31" s="62"/>
      <c r="O31" s="177"/>
      <c r="P31" s="146"/>
      <c r="Q31" s="146"/>
      <c r="R31" s="146"/>
      <c r="S31" s="146"/>
      <c r="T31" s="82"/>
      <c r="U31" s="82"/>
      <c r="V31" s="82"/>
      <c r="W31" s="82"/>
      <c r="X31" s="82"/>
      <c r="Y31" s="82"/>
      <c r="Z31" s="82"/>
      <c r="AA31" s="82"/>
      <c r="AB31" s="82"/>
      <c r="AC31" s="82"/>
      <c r="AD31" s="82"/>
      <c r="AE31" s="82"/>
    </row>
    <row r="32" spans="1:31">
      <c r="E32" s="84" t="s">
        <v>483</v>
      </c>
      <c r="F32" s="84" t="s">
        <v>482</v>
      </c>
      <c r="G32" s="294">
        <f>'Beta Calculation Data'!L32</f>
        <v>3936.5</v>
      </c>
      <c r="H32" s="294">
        <v>1490.8</v>
      </c>
      <c r="I32" s="101">
        <f t="shared" si="0"/>
        <v>2.6405285752616048</v>
      </c>
      <c r="J32" s="63">
        <v>-2.7000000000000001E-3</v>
      </c>
      <c r="K32" s="99"/>
      <c r="L32" s="151"/>
      <c r="M32" s="151"/>
      <c r="N32" s="62"/>
      <c r="O32" s="177"/>
      <c r="P32" s="177"/>
      <c r="Q32" s="101"/>
      <c r="R32" s="63"/>
      <c r="S32" s="99"/>
      <c r="T32" s="82"/>
      <c r="U32" s="143"/>
      <c r="V32" s="82"/>
      <c r="W32" s="82"/>
      <c r="X32" s="82"/>
      <c r="Y32" s="82"/>
      <c r="Z32" s="82"/>
      <c r="AA32" s="82"/>
      <c r="AB32" s="82"/>
      <c r="AC32" s="82"/>
      <c r="AD32" s="82"/>
      <c r="AE32" s="82"/>
    </row>
    <row r="33" spans="5:31">
      <c r="E33" s="84" t="s">
        <v>485</v>
      </c>
      <c r="F33" s="84" t="s">
        <v>484</v>
      </c>
      <c r="G33" s="294">
        <f>'Beta Calculation Data'!L33</f>
        <v>13963.388000000001</v>
      </c>
      <c r="H33" s="294">
        <v>17006.187000000002</v>
      </c>
      <c r="I33" s="101">
        <f t="shared" si="0"/>
        <v>0.82107694099800266</v>
      </c>
      <c r="J33" s="63">
        <v>0.12559999999999999</v>
      </c>
      <c r="K33" s="99"/>
      <c r="L33" s="151"/>
      <c r="M33" s="151"/>
      <c r="N33" s="62"/>
      <c r="O33" s="177"/>
      <c r="P33" s="171"/>
      <c r="Q33" s="101"/>
      <c r="R33" s="178"/>
      <c r="S33" s="179"/>
      <c r="T33" s="82"/>
      <c r="U33" s="143"/>
      <c r="V33" s="82"/>
      <c r="W33" s="82"/>
      <c r="X33" s="82"/>
      <c r="Y33" s="82"/>
      <c r="Z33" s="82"/>
      <c r="AA33" s="82"/>
      <c r="AB33" s="82"/>
      <c r="AC33" s="82"/>
      <c r="AD33" s="82"/>
      <c r="AE33" s="82"/>
    </row>
    <row r="34" spans="5:31">
      <c r="E34" s="84" t="s">
        <v>487</v>
      </c>
      <c r="F34" s="84" t="s">
        <v>486</v>
      </c>
      <c r="G34" s="294">
        <f>'Beta Calculation Data'!L34</f>
        <v>53622</v>
      </c>
      <c r="H34" s="294">
        <v>18085</v>
      </c>
      <c r="I34" s="101">
        <f t="shared" si="0"/>
        <v>2.9649986176389271</v>
      </c>
      <c r="J34" s="63">
        <v>0.12189999999999999</v>
      </c>
      <c r="K34" s="99"/>
      <c r="L34" s="151"/>
      <c r="M34" s="249"/>
      <c r="N34" s="62"/>
      <c r="O34" s="177"/>
      <c r="P34" s="99"/>
      <c r="Q34" s="99"/>
      <c r="R34" s="63"/>
      <c r="S34" s="99"/>
      <c r="T34" s="82"/>
      <c r="U34" s="82"/>
      <c r="V34" s="82"/>
      <c r="W34" s="82"/>
      <c r="X34" s="82"/>
      <c r="Y34" s="82"/>
      <c r="Z34" s="82"/>
      <c r="AA34" s="82"/>
      <c r="AB34" s="82"/>
      <c r="AC34" s="82"/>
      <c r="AD34" s="82"/>
      <c r="AE34" s="82"/>
    </row>
    <row r="35" spans="5:31">
      <c r="E35" s="84" t="s">
        <v>489</v>
      </c>
      <c r="F35" s="84" t="s">
        <v>488</v>
      </c>
      <c r="G35" s="294">
        <f>'Beta Calculation Data'!L35</f>
        <v>1889.3</v>
      </c>
      <c r="H35" s="294">
        <v>564.29999999999995</v>
      </c>
      <c r="I35" s="101">
        <f t="shared" si="0"/>
        <v>3.3480418217260324</v>
      </c>
      <c r="J35" s="63">
        <v>-4.8999999999999998E-3</v>
      </c>
      <c r="K35" s="99"/>
      <c r="L35" s="151"/>
      <c r="M35" s="144"/>
      <c r="N35" s="62"/>
      <c r="O35" s="177"/>
      <c r="T35" s="82"/>
      <c r="U35" s="82"/>
      <c r="V35" s="82"/>
      <c r="W35" s="82"/>
      <c r="X35" s="82"/>
      <c r="Y35" s="82"/>
      <c r="Z35" s="82"/>
      <c r="AA35" s="82"/>
      <c r="AB35" s="82"/>
      <c r="AC35" s="82"/>
      <c r="AD35" s="82"/>
      <c r="AE35" s="82"/>
    </row>
    <row r="36" spans="5:31">
      <c r="E36" s="84" t="s">
        <v>491</v>
      </c>
      <c r="F36" s="84" t="s">
        <v>490</v>
      </c>
      <c r="G36" s="294">
        <f>'Beta Calculation Data'!L36</f>
        <v>4479.6620000000003</v>
      </c>
      <c r="H36" s="294">
        <v>16156.25</v>
      </c>
      <c r="I36" s="101">
        <f t="shared" si="0"/>
        <v>0.27727114893617022</v>
      </c>
      <c r="J36" s="63">
        <v>7.7100000000000002E-2</v>
      </c>
      <c r="K36" s="99"/>
      <c r="L36" s="151"/>
      <c r="M36" s="168"/>
      <c r="N36" s="62"/>
      <c r="O36" s="177"/>
      <c r="P36" s="146"/>
      <c r="Q36" s="47"/>
      <c r="R36" s="146"/>
      <c r="S36" s="146"/>
      <c r="T36" s="82"/>
      <c r="U36" s="82"/>
      <c r="V36" s="82"/>
      <c r="W36" s="82"/>
      <c r="X36" s="82"/>
      <c r="Y36" s="82"/>
      <c r="Z36" s="82"/>
      <c r="AA36" s="82"/>
      <c r="AB36" s="82"/>
      <c r="AC36" s="82"/>
      <c r="AD36" s="82"/>
      <c r="AE36" s="82"/>
    </row>
    <row r="37" spans="5:31">
      <c r="E37" s="84" t="s">
        <v>493</v>
      </c>
      <c r="F37" s="84" t="s">
        <v>492</v>
      </c>
      <c r="G37" s="294">
        <f>'Beta Calculation Data'!L37</f>
        <v>211955</v>
      </c>
      <c r="H37" s="294">
        <v>201819</v>
      </c>
      <c r="I37" s="101">
        <f t="shared" si="0"/>
        <v>1.0502232198157755</v>
      </c>
      <c r="J37" s="63">
        <v>5.4100000000000002E-2</v>
      </c>
      <c r="K37" s="99"/>
      <c r="L37" s="151"/>
      <c r="M37" s="251"/>
      <c r="N37" s="62"/>
      <c r="O37" s="177"/>
      <c r="P37" s="185"/>
      <c r="Q37" s="63"/>
      <c r="R37" s="186"/>
      <c r="S37" s="56"/>
      <c r="T37" s="82"/>
      <c r="U37" s="82"/>
      <c r="V37" s="82"/>
      <c r="W37" s="82"/>
      <c r="X37" s="82"/>
      <c r="Y37" s="82"/>
      <c r="Z37" s="82"/>
      <c r="AA37" s="82"/>
      <c r="AB37" s="82"/>
      <c r="AC37" s="82"/>
      <c r="AD37" s="82"/>
      <c r="AE37" s="82"/>
    </row>
    <row r="38" spans="5:31">
      <c r="E38" s="84" t="s">
        <v>495</v>
      </c>
      <c r="F38" s="84" t="s">
        <v>494</v>
      </c>
      <c r="G38" s="294">
        <f>'Beta Calculation Data'!L38</f>
        <v>49165.714999999997</v>
      </c>
      <c r="H38" s="294">
        <v>54225.404000000002</v>
      </c>
      <c r="I38" s="101">
        <f t="shared" si="0"/>
        <v>0.90669153889568055</v>
      </c>
      <c r="J38" s="63">
        <v>-0.64500000000000002</v>
      </c>
      <c r="K38" s="99"/>
      <c r="L38" s="147"/>
      <c r="M38" s="251"/>
      <c r="N38" s="62"/>
      <c r="O38" s="177"/>
      <c r="P38" s="185"/>
      <c r="Q38" s="63"/>
      <c r="R38" s="186"/>
      <c r="S38" s="56"/>
      <c r="T38" s="82"/>
      <c r="U38" s="82"/>
      <c r="V38" s="82"/>
      <c r="W38" s="82"/>
      <c r="X38" s="82"/>
      <c r="Y38" s="82"/>
      <c r="Z38" s="82"/>
      <c r="AA38" s="82"/>
      <c r="AB38" s="82"/>
      <c r="AC38" s="82"/>
      <c r="AD38" s="82"/>
      <c r="AE38" s="82"/>
    </row>
    <row r="39" spans="5:31">
      <c r="E39" s="84" t="s">
        <v>497</v>
      </c>
      <c r="F39" s="84" t="s">
        <v>496</v>
      </c>
      <c r="G39" s="294">
        <f>'Beta Calculation Data'!L39</f>
        <v>30298.149000000001</v>
      </c>
      <c r="H39" s="294">
        <v>8176.375</v>
      </c>
      <c r="I39" s="101">
        <f t="shared" si="0"/>
        <v>3.7055723349283762</v>
      </c>
      <c r="J39" s="63">
        <v>0.01</v>
      </c>
      <c r="K39" s="99"/>
      <c r="L39" s="62"/>
      <c r="M39" s="251"/>
      <c r="N39" s="62"/>
      <c r="O39" s="177"/>
      <c r="P39" s="185"/>
      <c r="Q39" s="63"/>
      <c r="R39" s="186"/>
      <c r="S39" s="56"/>
    </row>
    <row r="40" spans="5:31">
      <c r="E40" s="84" t="s">
        <v>499</v>
      </c>
      <c r="F40" s="84" t="s">
        <v>498</v>
      </c>
      <c r="G40" s="294">
        <f>'Beta Calculation Data'!L40</f>
        <v>375.01</v>
      </c>
      <c r="H40" s="294">
        <v>252.73099999999999</v>
      </c>
      <c r="I40" s="101">
        <f t="shared" si="0"/>
        <v>1.4838306341525178</v>
      </c>
      <c r="J40" s="63">
        <v>0</v>
      </c>
      <c r="K40" s="99"/>
      <c r="L40" s="147"/>
      <c r="M40" s="251"/>
      <c r="N40" s="62"/>
      <c r="O40" s="177"/>
      <c r="P40" s="185"/>
      <c r="Q40" s="63"/>
      <c r="R40" s="186"/>
      <c r="S40" s="56"/>
    </row>
    <row r="41" spans="5:31">
      <c r="E41" s="84" t="s">
        <v>501</v>
      </c>
      <c r="F41" s="84" t="s">
        <v>500</v>
      </c>
      <c r="G41" s="294">
        <f>'Beta Calculation Data'!L41</f>
        <v>37650</v>
      </c>
      <c r="H41" s="294">
        <v>18111</v>
      </c>
      <c r="I41" s="101">
        <f t="shared" si="0"/>
        <v>2.0788471094914693</v>
      </c>
      <c r="J41" s="63">
        <v>1.15E-2</v>
      </c>
      <c r="K41" s="99"/>
      <c r="L41" s="62"/>
      <c r="M41" s="151"/>
      <c r="N41" s="62"/>
      <c r="O41" s="177"/>
      <c r="P41" s="185"/>
      <c r="Q41" s="63"/>
      <c r="R41" s="183"/>
      <c r="S41" s="184"/>
    </row>
    <row r="42" spans="5:31">
      <c r="E42" s="84" t="s">
        <v>503</v>
      </c>
      <c r="F42" s="84" t="s">
        <v>502</v>
      </c>
      <c r="G42" s="294">
        <f>'Beta Calculation Data'!L42</f>
        <v>39932.629999999997</v>
      </c>
      <c r="H42" s="294">
        <v>22319.357</v>
      </c>
      <c r="I42" s="101">
        <f t="shared" si="0"/>
        <v>1.7891478683727313</v>
      </c>
      <c r="J42" s="63">
        <v>0.16320000000000001</v>
      </c>
      <c r="K42" s="99"/>
      <c r="L42" s="151"/>
      <c r="M42" s="144"/>
      <c r="N42" s="62"/>
      <c r="O42" s="177"/>
    </row>
    <row r="43" spans="5:31">
      <c r="E43" s="84" t="s">
        <v>505</v>
      </c>
      <c r="F43" s="84" t="s">
        <v>504</v>
      </c>
      <c r="G43" s="294">
        <f>'Beta Calculation Data'!L43</f>
        <v>1443.1</v>
      </c>
      <c r="H43" s="294">
        <v>118.4</v>
      </c>
      <c r="I43" s="101">
        <f t="shared" si="0"/>
        <v>12.188344594594593</v>
      </c>
      <c r="J43" s="63">
        <v>-1.8599999999999998E-2</v>
      </c>
      <c r="K43" s="99"/>
      <c r="L43" s="145"/>
      <c r="M43" s="144"/>
      <c r="N43" s="62"/>
      <c r="O43" s="177"/>
    </row>
    <row r="44" spans="5:31">
      <c r="E44" s="84" t="s">
        <v>426</v>
      </c>
      <c r="F44" s="84" t="s">
        <v>506</v>
      </c>
      <c r="G44" s="294">
        <f>'Beta Calculation Data'!L44</f>
        <v>1101.4159999999999</v>
      </c>
      <c r="H44" s="294">
        <v>379.57299999999998</v>
      </c>
      <c r="I44" s="101">
        <f t="shared" si="0"/>
        <v>2.9017237790886075</v>
      </c>
      <c r="J44" s="63">
        <v>7.2099999999999997E-2</v>
      </c>
      <c r="K44" s="99"/>
      <c r="L44" s="145"/>
      <c r="M44" s="144"/>
      <c r="N44" s="62"/>
      <c r="O44" s="177"/>
    </row>
    <row r="45" spans="5:31">
      <c r="E45" s="84" t="s">
        <v>508</v>
      </c>
      <c r="F45" s="84" t="s">
        <v>507</v>
      </c>
      <c r="G45" s="294">
        <f>'Beta Calculation Data'!L45</f>
        <v>80818</v>
      </c>
      <c r="H45" s="294">
        <v>36111</v>
      </c>
      <c r="I45" s="101">
        <f t="shared" si="0"/>
        <v>2.2380438093655672</v>
      </c>
      <c r="J45" s="63">
        <v>7.1300000000000002E-2</v>
      </c>
      <c r="K45" s="99"/>
      <c r="L45" s="145"/>
      <c r="M45" s="144"/>
    </row>
    <row r="46" spans="5:31">
      <c r="E46" s="84" t="s">
        <v>510</v>
      </c>
      <c r="F46" s="84" t="s">
        <v>509</v>
      </c>
      <c r="G46" s="294">
        <f>'Beta Calculation Data'!L46</f>
        <v>7522.7920000000004</v>
      </c>
      <c r="H46" s="171">
        <v>14820.362999999999</v>
      </c>
      <c r="I46" s="101">
        <f t="shared" si="0"/>
        <v>0.50759836314400675</v>
      </c>
      <c r="J46" s="63">
        <v>0.1525</v>
      </c>
      <c r="K46" s="99"/>
      <c r="L46" s="145"/>
      <c r="M46" s="144"/>
    </row>
    <row r="47" spans="5:31">
      <c r="E47" s="84" t="s">
        <v>381</v>
      </c>
      <c r="F47" s="84" t="s">
        <v>380</v>
      </c>
      <c r="G47" s="294">
        <f>'Beta Calculation Data'!L47</f>
        <v>20582.615000000002</v>
      </c>
      <c r="H47" s="171">
        <v>3256.1320000000001</v>
      </c>
      <c r="I47" s="101">
        <f t="shared" si="0"/>
        <v>6.3211856890322631</v>
      </c>
      <c r="J47" s="63">
        <v>-5.4000000000000003E-3</v>
      </c>
      <c r="K47" s="99"/>
      <c r="L47" s="145"/>
      <c r="M47" s="144"/>
    </row>
    <row r="48" spans="5:31">
      <c r="E48" s="84" t="s">
        <v>512</v>
      </c>
      <c r="F48" s="84" t="s">
        <v>511</v>
      </c>
      <c r="G48" s="294">
        <f>'Beta Calculation Data'!L48</f>
        <v>30005</v>
      </c>
      <c r="H48" s="171">
        <v>23497</v>
      </c>
      <c r="I48" s="101">
        <f t="shared" si="0"/>
        <v>1.2769715282802059</v>
      </c>
      <c r="J48" s="63">
        <v>3.3399999999999999E-2</v>
      </c>
      <c r="K48" s="99"/>
      <c r="L48" s="6"/>
      <c r="M48" s="144"/>
    </row>
    <row r="49" spans="5:13">
      <c r="E49" s="84" t="s">
        <v>514</v>
      </c>
      <c r="F49" s="84" t="s">
        <v>513</v>
      </c>
      <c r="G49" s="294">
        <f>'Beta Calculation Data'!L49</f>
        <v>69148.990000000005</v>
      </c>
      <c r="H49" s="171">
        <v>11901.52</v>
      </c>
      <c r="I49" s="101">
        <f t="shared" si="0"/>
        <v>5.8100973657146318</v>
      </c>
      <c r="J49" s="63">
        <v>4.7199999999999999E-2</v>
      </c>
      <c r="K49" s="99"/>
      <c r="L49" s="6"/>
      <c r="M49" s="144"/>
    </row>
    <row r="50" spans="5:13">
      <c r="E50" s="84" t="s">
        <v>435</v>
      </c>
      <c r="F50" s="84" t="s">
        <v>515</v>
      </c>
      <c r="G50" s="294">
        <f>'Beta Calculation Data'!L50</f>
        <v>12218</v>
      </c>
      <c r="H50" s="171">
        <v>587</v>
      </c>
      <c r="I50" s="101">
        <f t="shared" si="0"/>
        <v>20.814310051107327</v>
      </c>
      <c r="J50" s="63">
        <v>-0.1076</v>
      </c>
      <c r="K50" s="99"/>
      <c r="M50" s="144"/>
    </row>
    <row r="51" spans="5:13">
      <c r="E51" s="84" t="s">
        <v>517</v>
      </c>
      <c r="F51" s="84" t="s">
        <v>516</v>
      </c>
      <c r="G51" s="294">
        <f>'Beta Calculation Data'!L51</f>
        <v>2568.79</v>
      </c>
      <c r="H51" s="171">
        <v>1489.8409999999999</v>
      </c>
      <c r="I51" s="101">
        <f t="shared" si="0"/>
        <v>1.7242041264806112</v>
      </c>
      <c r="J51" s="63">
        <v>0.29049999999999998</v>
      </c>
      <c r="K51" s="99"/>
      <c r="M51" s="144"/>
    </row>
    <row r="52" spans="5:13">
      <c r="E52" s="84" t="s">
        <v>519</v>
      </c>
      <c r="F52" s="84" t="s">
        <v>518</v>
      </c>
      <c r="G52" s="294">
        <f>'Beta Calculation Data'!L52</f>
        <v>61449</v>
      </c>
      <c r="H52" s="171">
        <v>36758</v>
      </c>
      <c r="I52" s="101">
        <f t="shared" si="0"/>
        <v>1.6717177213123673</v>
      </c>
      <c r="J52" s="63">
        <v>-0.1368</v>
      </c>
      <c r="K52" s="99"/>
      <c r="M52" s="144"/>
    </row>
    <row r="53" spans="5:13">
      <c r="E53" s="84" t="s">
        <v>521</v>
      </c>
      <c r="F53" s="84" t="s">
        <v>520</v>
      </c>
      <c r="G53" s="294">
        <f>'Beta Calculation Data'!L53</f>
        <v>5183.67</v>
      </c>
      <c r="H53" s="171">
        <v>6562.9229999999998</v>
      </c>
      <c r="I53" s="101">
        <f t="shared" si="0"/>
        <v>0.78984166049182658</v>
      </c>
      <c r="J53" s="63">
        <v>0.2286</v>
      </c>
      <c r="K53" s="99"/>
      <c r="M53" s="144"/>
    </row>
    <row r="54" spans="5:13">
      <c r="E54" s="84" t="s">
        <v>523</v>
      </c>
      <c r="F54" s="84" t="s">
        <v>522</v>
      </c>
      <c r="G54" s="294">
        <f>'Beta Calculation Data'!L54</f>
        <v>46985.212</v>
      </c>
      <c r="H54" s="171">
        <v>11030.081</v>
      </c>
      <c r="I54" s="101">
        <f t="shared" si="0"/>
        <v>4.2597340853616581</v>
      </c>
      <c r="J54" s="63">
        <v>6.4899999999999999E-2</v>
      </c>
      <c r="K54" s="99"/>
      <c r="M54" s="144"/>
    </row>
    <row r="55" spans="5:13">
      <c r="E55" s="84" t="s">
        <v>525</v>
      </c>
      <c r="F55" s="84" t="s">
        <v>524</v>
      </c>
      <c r="G55" s="294">
        <f>'Beta Calculation Data'!L55</f>
        <v>43613.114000000001</v>
      </c>
      <c r="H55" s="171">
        <v>9437.0849999999991</v>
      </c>
      <c r="I55" s="101">
        <f t="shared" si="0"/>
        <v>4.6214603344147056</v>
      </c>
      <c r="J55" s="63">
        <v>2.58E-2</v>
      </c>
      <c r="K55" s="99"/>
      <c r="M55" s="144"/>
    </row>
    <row r="56" spans="5:13">
      <c r="E56" s="84" t="s">
        <v>527</v>
      </c>
      <c r="F56" s="84" t="s">
        <v>526</v>
      </c>
      <c r="G56" s="294">
        <f>'Beta Calculation Data'!L56</f>
        <v>13976.423000000001</v>
      </c>
      <c r="H56" s="171">
        <v>8796.768</v>
      </c>
      <c r="I56" s="101">
        <f t="shared" si="0"/>
        <v>1.588813414199397</v>
      </c>
      <c r="J56" s="63">
        <v>0.10680000000000001</v>
      </c>
      <c r="K56" s="99"/>
      <c r="M56" s="144"/>
    </row>
    <row r="57" spans="5:13">
      <c r="E57" s="84" t="s">
        <v>529</v>
      </c>
      <c r="F57" s="84" t="s">
        <v>528</v>
      </c>
      <c r="G57" s="294">
        <f>'Beta Calculation Data'!L57</f>
        <v>699.8</v>
      </c>
      <c r="H57" s="171">
        <v>744.8</v>
      </c>
      <c r="I57" s="101">
        <f t="shared" si="0"/>
        <v>0.93958109559613323</v>
      </c>
      <c r="J57" s="63">
        <v>1.03E-2</v>
      </c>
      <c r="K57" s="99"/>
      <c r="M57" s="144"/>
    </row>
    <row r="58" spans="5:13">
      <c r="E58" s="84" t="s">
        <v>531</v>
      </c>
      <c r="F58" s="84" t="s">
        <v>530</v>
      </c>
      <c r="G58" s="294">
        <f>'Beta Calculation Data'!L58</f>
        <v>9638.8539999999994</v>
      </c>
      <c r="H58" s="171">
        <v>4750.0770000000002</v>
      </c>
      <c r="I58" s="101">
        <f t="shared" si="0"/>
        <v>2.0291995266603045</v>
      </c>
      <c r="J58" s="63">
        <v>-8.72E-2</v>
      </c>
      <c r="K58" s="99"/>
      <c r="M58" s="144"/>
    </row>
    <row r="59" spans="5:13">
      <c r="E59" s="84" t="s">
        <v>755</v>
      </c>
      <c r="F59" s="84" t="s">
        <v>532</v>
      </c>
      <c r="G59" s="294">
        <f>'Beta Calculation Data'!L59</f>
        <v>25461.505000000001</v>
      </c>
      <c r="H59" s="171">
        <v>7746.6459999999997</v>
      </c>
      <c r="I59" s="101">
        <f t="shared" si="0"/>
        <v>3.2867779165331683</v>
      </c>
      <c r="J59" s="63">
        <v>4.53E-2</v>
      </c>
      <c r="K59" s="99"/>
      <c r="M59" s="144"/>
    </row>
    <row r="60" spans="5:13">
      <c r="E60" s="84" t="s">
        <v>534</v>
      </c>
      <c r="F60" s="84" t="s">
        <v>533</v>
      </c>
      <c r="G60" s="294">
        <f>'Beta Calculation Data'!L60</f>
        <v>10344.799999999999</v>
      </c>
      <c r="H60" s="171">
        <v>3116.1</v>
      </c>
      <c r="I60" s="101">
        <f t="shared" si="0"/>
        <v>3.3197907640961457</v>
      </c>
      <c r="J60" s="63">
        <v>7.7999999999999996E-3</v>
      </c>
      <c r="K60" s="99"/>
      <c r="M60" s="144"/>
    </row>
    <row r="61" spans="5:13">
      <c r="E61" s="84" t="s">
        <v>536</v>
      </c>
      <c r="F61" s="84" t="s">
        <v>535</v>
      </c>
      <c r="G61" s="294">
        <f>'Beta Calculation Data'!L61</f>
        <v>11219.46</v>
      </c>
      <c r="H61" s="171">
        <v>14823.664000000001</v>
      </c>
      <c r="I61" s="101">
        <f t="shared" si="0"/>
        <v>0.75686146151180966</v>
      </c>
      <c r="J61" s="63">
        <v>8.4599999999999995E-2</v>
      </c>
      <c r="K61" s="99"/>
      <c r="M61" s="144"/>
    </row>
    <row r="62" spans="5:13">
      <c r="E62" s="84" t="s">
        <v>538</v>
      </c>
      <c r="F62" s="84" t="s">
        <v>537</v>
      </c>
      <c r="G62" s="294">
        <f>'Beta Calculation Data'!L62</f>
        <v>86.153999999999996</v>
      </c>
      <c r="H62" s="171">
        <v>9.41</v>
      </c>
      <c r="I62" s="101">
        <f t="shared" si="0"/>
        <v>9.1555791710945797</v>
      </c>
      <c r="J62" s="63">
        <v>6.6299999999999998E-2</v>
      </c>
      <c r="K62" s="99"/>
      <c r="M62" s="144"/>
    </row>
    <row r="63" spans="5:13">
      <c r="E63" s="84" t="s">
        <v>540</v>
      </c>
      <c r="F63" s="84" t="s">
        <v>539</v>
      </c>
      <c r="G63" s="294">
        <f>'Beta Calculation Data'!L63</f>
        <v>7213.7</v>
      </c>
      <c r="H63" s="171">
        <v>9654.4</v>
      </c>
      <c r="I63" s="101">
        <f t="shared" si="0"/>
        <v>0.74719298972489223</v>
      </c>
      <c r="J63" s="63">
        <v>-0.21709999999999999</v>
      </c>
      <c r="K63" s="99"/>
      <c r="M63" s="144"/>
    </row>
    <row r="64" spans="5:13">
      <c r="E64" s="84" t="s">
        <v>542</v>
      </c>
      <c r="F64" s="84" t="s">
        <v>541</v>
      </c>
      <c r="G64" s="294">
        <f>'Beta Calculation Data'!L64</f>
        <v>1421.1310000000001</v>
      </c>
      <c r="H64" s="171">
        <v>2733.759</v>
      </c>
      <c r="I64" s="101">
        <f t="shared" si="0"/>
        <v>0.51984501925736692</v>
      </c>
      <c r="J64" s="63">
        <v>0.17169999999999999</v>
      </c>
      <c r="K64" s="99"/>
      <c r="M64" s="144"/>
    </row>
    <row r="65" spans="5:13">
      <c r="E65" s="84" t="s">
        <v>544</v>
      </c>
      <c r="F65" s="84" t="s">
        <v>543</v>
      </c>
      <c r="G65" s="294">
        <f>'Beta Calculation Data'!L65</f>
        <v>5163.1360000000004</v>
      </c>
      <c r="H65" s="171">
        <v>2493.998</v>
      </c>
      <c r="I65" s="101">
        <f t="shared" si="0"/>
        <v>2.0702245952081757</v>
      </c>
      <c r="J65" s="63">
        <v>0.16300000000000001</v>
      </c>
      <c r="K65" s="99"/>
      <c r="M65" s="144"/>
    </row>
    <row r="66" spans="5:13">
      <c r="E66" s="84" t="s">
        <v>546</v>
      </c>
      <c r="F66" s="84" t="s">
        <v>545</v>
      </c>
      <c r="G66" s="294">
        <f>'Beta Calculation Data'!L66</f>
        <v>46849.497000000003</v>
      </c>
      <c r="H66" s="171">
        <v>11397.977000000001</v>
      </c>
      <c r="I66" s="101">
        <f t="shared" si="0"/>
        <v>4.1103344040788992</v>
      </c>
      <c r="J66" s="63">
        <v>-1.2999999999999999E-3</v>
      </c>
      <c r="K66" s="99"/>
      <c r="M66" s="144"/>
    </row>
    <row r="67" spans="5:13">
      <c r="E67" s="84" t="s">
        <v>548</v>
      </c>
      <c r="F67" s="84" t="s">
        <v>547</v>
      </c>
      <c r="G67" s="294">
        <f>'Beta Calculation Data'!L67</f>
        <v>8882.991</v>
      </c>
      <c r="H67" s="171">
        <v>8296.83</v>
      </c>
      <c r="I67" s="101">
        <f t="shared" si="0"/>
        <v>1.0706487899595387</v>
      </c>
      <c r="J67" s="63">
        <v>4.82E-2</v>
      </c>
      <c r="K67" s="99"/>
      <c r="M67" s="144"/>
    </row>
    <row r="68" spans="5:13">
      <c r="E68" s="84" t="s">
        <v>550</v>
      </c>
      <c r="F68" s="84" t="s">
        <v>549</v>
      </c>
      <c r="G68" s="294">
        <f>'Beta Calculation Data'!L68</f>
        <v>178888</v>
      </c>
      <c r="H68" s="171">
        <v>75153</v>
      </c>
      <c r="I68" s="101">
        <f t="shared" si="0"/>
        <v>2.3803174856625815</v>
      </c>
      <c r="J68" s="415" t="s">
        <v>106</v>
      </c>
      <c r="K68" s="99"/>
      <c r="M68" s="144"/>
    </row>
    <row r="69" spans="5:13">
      <c r="E69" s="84" t="s">
        <v>552</v>
      </c>
      <c r="F69" s="84" t="s">
        <v>551</v>
      </c>
      <c r="G69" s="294">
        <f>'Beta Calculation Data'!L69</f>
        <v>6896.8329999999996</v>
      </c>
      <c r="H69" s="171">
        <v>1484.7190000000001</v>
      </c>
      <c r="I69" s="101">
        <f t="shared" si="0"/>
        <v>4.6452109793166247</v>
      </c>
      <c r="J69" s="63">
        <v>-1.9699999999999999E-2</v>
      </c>
      <c r="K69" s="99"/>
      <c r="M69" s="144"/>
    </row>
    <row r="70" spans="5:13">
      <c r="E70" s="84" t="s">
        <v>554</v>
      </c>
      <c r="F70" s="84" t="s">
        <v>553</v>
      </c>
      <c r="G70" s="294">
        <f>'Beta Calculation Data'!L70</f>
        <v>5644.973</v>
      </c>
      <c r="H70" s="171">
        <v>953.97500000000002</v>
      </c>
      <c r="I70" s="101">
        <f t="shared" si="0"/>
        <v>5.9173175397678133</v>
      </c>
      <c r="J70" s="63">
        <v>0.05</v>
      </c>
      <c r="K70" s="99"/>
    </row>
    <row r="71" spans="5:13">
      <c r="E71" s="84" t="s">
        <v>756</v>
      </c>
      <c r="F71" s="84" t="s">
        <v>555</v>
      </c>
      <c r="G71" s="415" t="s">
        <v>106</v>
      </c>
      <c r="H71" s="415" t="s">
        <v>106</v>
      </c>
      <c r="I71" s="415" t="s">
        <v>106</v>
      </c>
      <c r="J71" s="63">
        <v>3.9899999999999998E-2</v>
      </c>
      <c r="K71" s="99"/>
    </row>
    <row r="72" spans="5:13">
      <c r="E72" s="84" t="s">
        <v>557</v>
      </c>
      <c r="F72" s="84" t="s">
        <v>556</v>
      </c>
      <c r="G72" s="415" t="s">
        <v>106</v>
      </c>
      <c r="H72" s="415" t="s">
        <v>106</v>
      </c>
      <c r="I72" s="415" t="s">
        <v>106</v>
      </c>
      <c r="J72" s="415" t="s">
        <v>106</v>
      </c>
      <c r="K72" s="99"/>
      <c r="M72" s="144"/>
    </row>
    <row r="73" spans="5:13">
      <c r="E73" s="84" t="s">
        <v>559</v>
      </c>
      <c r="F73" s="84" t="s">
        <v>558</v>
      </c>
      <c r="G73" s="294">
        <f>'Beta Calculation Data'!L73</f>
        <v>32594</v>
      </c>
      <c r="H73" s="171">
        <v>19548</v>
      </c>
      <c r="I73" s="101">
        <f t="shared" ref="I73:I134" si="1">G73/H73</f>
        <v>1.6673828524657255</v>
      </c>
      <c r="J73" s="63">
        <v>1.8200000000000001E-2</v>
      </c>
      <c r="K73" s="99"/>
      <c r="M73" s="144"/>
    </row>
    <row r="74" spans="5:13">
      <c r="E74" s="84" t="s">
        <v>561</v>
      </c>
      <c r="F74" s="84" t="s">
        <v>560</v>
      </c>
      <c r="G74" s="294">
        <f>'Beta Calculation Data'!L74</f>
        <v>13880.087</v>
      </c>
      <c r="H74" s="171">
        <v>2246.1840000000002</v>
      </c>
      <c r="I74" s="101">
        <f t="shared" si="1"/>
        <v>6.1794078312373335</v>
      </c>
      <c r="J74" s="63">
        <v>-1.14E-2</v>
      </c>
      <c r="K74" s="99"/>
      <c r="M74" s="144"/>
    </row>
    <row r="75" spans="5:13">
      <c r="E75" s="84" t="s">
        <v>563</v>
      </c>
      <c r="F75" s="84" t="s">
        <v>562</v>
      </c>
      <c r="G75" s="294">
        <f>'Beta Calculation Data'!L75</f>
        <v>16844.828000000001</v>
      </c>
      <c r="H75" s="171">
        <v>6269.5889999999999</v>
      </c>
      <c r="I75" s="101">
        <f t="shared" si="1"/>
        <v>2.6867515558037378</v>
      </c>
      <c r="J75" s="63">
        <v>6.3899999999999998E-2</v>
      </c>
      <c r="K75" s="99"/>
      <c r="M75" s="144"/>
    </row>
    <row r="76" spans="5:13">
      <c r="E76" s="84" t="s">
        <v>757</v>
      </c>
      <c r="F76" s="84" t="s">
        <v>564</v>
      </c>
      <c r="G76" s="294">
        <f>'Beta Calculation Data'!L76</f>
        <v>3752.2</v>
      </c>
      <c r="H76" s="171">
        <v>2722.9140000000002</v>
      </c>
      <c r="I76" s="101">
        <f t="shared" si="1"/>
        <v>1.3780090006515078</v>
      </c>
      <c r="J76" s="63">
        <v>2.98E-2</v>
      </c>
      <c r="K76" s="99"/>
      <c r="M76" s="144"/>
    </row>
    <row r="77" spans="5:13">
      <c r="E77" s="84" t="s">
        <v>566</v>
      </c>
      <c r="F77" s="84" t="s">
        <v>565</v>
      </c>
      <c r="G77" s="294">
        <f>'Beta Calculation Data'!L77</f>
        <v>38.231000000000002</v>
      </c>
      <c r="H77" s="171">
        <v>10.62</v>
      </c>
      <c r="I77" s="101">
        <f t="shared" si="1"/>
        <v>3.5999058380414315</v>
      </c>
      <c r="J77" s="63">
        <v>1.6400000000000001E-2</v>
      </c>
      <c r="K77" s="99"/>
      <c r="M77" s="144"/>
    </row>
    <row r="78" spans="5:13">
      <c r="E78" s="84" t="s">
        <v>568</v>
      </c>
      <c r="F78" s="84" t="s">
        <v>567</v>
      </c>
      <c r="G78" s="294">
        <f>'Beta Calculation Data'!L78</f>
        <v>13167</v>
      </c>
      <c r="H78" s="171">
        <v>6604</v>
      </c>
      <c r="I78" s="101">
        <f t="shared" si="1"/>
        <v>1.9937916414294368</v>
      </c>
      <c r="J78" s="63">
        <v>5.4199999999999998E-2</v>
      </c>
      <c r="K78" s="99"/>
      <c r="M78" s="144"/>
    </row>
    <row r="79" spans="5:13">
      <c r="E79" s="84" t="s">
        <v>570</v>
      </c>
      <c r="F79" s="84" t="s">
        <v>569</v>
      </c>
      <c r="G79" s="294">
        <f>'Beta Calculation Data'!L79</f>
        <v>5040.1549999999997</v>
      </c>
      <c r="H79" s="171">
        <v>2251.3319999999999</v>
      </c>
      <c r="I79" s="101">
        <f t="shared" si="1"/>
        <v>2.2387435527056869</v>
      </c>
      <c r="J79" s="63">
        <v>6.08E-2</v>
      </c>
      <c r="K79" s="99"/>
      <c r="M79" s="144"/>
    </row>
    <row r="80" spans="5:13">
      <c r="E80" s="84" t="s">
        <v>436</v>
      </c>
      <c r="F80" s="84" t="s">
        <v>571</v>
      </c>
      <c r="G80" s="294">
        <f>'Beta Calculation Data'!L80</f>
        <v>571</v>
      </c>
      <c r="H80" s="171">
        <v>477</v>
      </c>
      <c r="I80" s="101">
        <f t="shared" si="1"/>
        <v>1.1970649895178198</v>
      </c>
      <c r="J80" s="63">
        <v>-0.65149999999999997</v>
      </c>
      <c r="K80" s="99"/>
      <c r="M80" s="144"/>
    </row>
    <row r="81" spans="5:13">
      <c r="E81" s="84" t="s">
        <v>572</v>
      </c>
      <c r="F81" s="84" t="s">
        <v>391</v>
      </c>
      <c r="G81" s="294">
        <f>'Beta Calculation Data'!L81</f>
        <v>409.04899999999998</v>
      </c>
      <c r="H81" s="171">
        <v>928.12099999999998</v>
      </c>
      <c r="I81" s="101">
        <f t="shared" si="1"/>
        <v>0.44072809472040819</v>
      </c>
      <c r="J81" s="63">
        <v>-0.46279999999999999</v>
      </c>
      <c r="K81" s="99"/>
      <c r="M81" s="144"/>
    </row>
    <row r="82" spans="5:13">
      <c r="E82" s="84" t="s">
        <v>758</v>
      </c>
      <c r="F82" s="84" t="s">
        <v>573</v>
      </c>
      <c r="G82" s="294">
        <f>'Beta Calculation Data'!L82</f>
        <v>3534.181</v>
      </c>
      <c r="H82" s="171">
        <v>2061.7829999999999</v>
      </c>
      <c r="I82" s="101">
        <f t="shared" si="1"/>
        <v>1.714138199800852</v>
      </c>
      <c r="J82" s="415" t="s">
        <v>106</v>
      </c>
      <c r="K82" s="99"/>
      <c r="M82" s="144"/>
    </row>
    <row r="83" spans="5:13">
      <c r="E83" s="84" t="s">
        <v>575</v>
      </c>
      <c r="F83" s="84" t="s">
        <v>574</v>
      </c>
      <c r="G83" s="294">
        <f>'Beta Calculation Data'!L83</f>
        <v>3390.3389999999999</v>
      </c>
      <c r="H83" s="171">
        <v>1771.7919999999999</v>
      </c>
      <c r="I83" s="101">
        <f t="shared" si="1"/>
        <v>1.9135084705202416</v>
      </c>
      <c r="J83" s="415" t="s">
        <v>106</v>
      </c>
      <c r="K83" s="99"/>
      <c r="M83" s="144"/>
    </row>
    <row r="84" spans="5:13">
      <c r="E84" s="84" t="s">
        <v>577</v>
      </c>
      <c r="F84" s="84" t="s">
        <v>576</v>
      </c>
      <c r="G84" s="294">
        <f>'Beta Calculation Data'!L84</f>
        <v>478.25700000000001</v>
      </c>
      <c r="H84" s="171">
        <v>349.53800000000001</v>
      </c>
      <c r="I84" s="101">
        <f t="shared" si="1"/>
        <v>1.36825466758979</v>
      </c>
      <c r="J84" s="415" t="s">
        <v>106</v>
      </c>
      <c r="K84" s="99"/>
    </row>
    <row r="85" spans="5:13">
      <c r="E85" s="84" t="s">
        <v>759</v>
      </c>
      <c r="F85" s="84" t="s">
        <v>578</v>
      </c>
      <c r="G85" s="415" t="s">
        <v>106</v>
      </c>
      <c r="H85" s="415" t="s">
        <v>106</v>
      </c>
      <c r="I85" s="415" t="s">
        <v>106</v>
      </c>
      <c r="J85" s="415" t="s">
        <v>106</v>
      </c>
      <c r="K85" s="99"/>
      <c r="M85" s="144"/>
    </row>
    <row r="86" spans="5:13">
      <c r="E86" s="84" t="s">
        <v>580</v>
      </c>
      <c r="F86" s="84" t="s">
        <v>579</v>
      </c>
      <c r="G86" s="294">
        <f>'Beta Calculation Data'!L86</f>
        <v>2408.8939999999998</v>
      </c>
      <c r="H86" s="171">
        <v>1878.82</v>
      </c>
      <c r="I86" s="101">
        <f t="shared" si="1"/>
        <v>1.282131337754548</v>
      </c>
      <c r="J86" s="63">
        <v>-9.7199999999999995E-2</v>
      </c>
      <c r="K86" s="99"/>
      <c r="M86" s="144"/>
    </row>
    <row r="87" spans="5:13">
      <c r="E87" s="84" t="s">
        <v>582</v>
      </c>
      <c r="F87" s="84" t="s">
        <v>581</v>
      </c>
      <c r="G87" s="294">
        <f>'Beta Calculation Data'!L87</f>
        <v>2135.451</v>
      </c>
      <c r="H87" s="171">
        <v>1103.3130000000001</v>
      </c>
      <c r="I87" s="101">
        <f t="shared" si="1"/>
        <v>1.9354897476962565</v>
      </c>
      <c r="J87" s="63">
        <v>-6.3700000000000007E-2</v>
      </c>
      <c r="K87" s="99"/>
      <c r="M87" s="144"/>
    </row>
    <row r="88" spans="5:13">
      <c r="E88" s="84" t="s">
        <v>584</v>
      </c>
      <c r="F88" s="84" t="s">
        <v>583</v>
      </c>
      <c r="G88" s="294">
        <f>'Beta Calculation Data'!L88</f>
        <v>31759.478999999999</v>
      </c>
      <c r="H88" s="171">
        <v>4008.9270000000001</v>
      </c>
      <c r="I88" s="101">
        <f t="shared" si="1"/>
        <v>7.9221894037980736</v>
      </c>
      <c r="J88" s="63">
        <v>1.2699999999999999E-2</v>
      </c>
      <c r="K88" s="99"/>
      <c r="M88" s="144"/>
    </row>
    <row r="89" spans="5:13">
      <c r="E89" s="84" t="s">
        <v>586</v>
      </c>
      <c r="F89" s="84" t="s">
        <v>585</v>
      </c>
      <c r="G89" s="294">
        <f>'Beta Calculation Data'!L89</f>
        <v>0</v>
      </c>
      <c r="H89" s="171">
        <v>1413</v>
      </c>
      <c r="I89" s="101">
        <f t="shared" si="1"/>
        <v>0</v>
      </c>
      <c r="J89" s="63">
        <v>4.0000000000000002E-4</v>
      </c>
      <c r="K89" s="99"/>
      <c r="M89" s="144"/>
    </row>
    <row r="90" spans="5:13">
      <c r="E90" s="84" t="s">
        <v>588</v>
      </c>
      <c r="F90" s="84" t="s">
        <v>587</v>
      </c>
      <c r="G90" s="294">
        <f>'Beta Calculation Data'!L90</f>
        <v>2414.212</v>
      </c>
      <c r="H90" s="171">
        <v>1388.171</v>
      </c>
      <c r="I90" s="101">
        <f t="shared" si="1"/>
        <v>1.739131562321933</v>
      </c>
      <c r="J90" s="63">
        <v>-1.47E-2</v>
      </c>
      <c r="K90" s="99"/>
      <c r="M90" s="144"/>
    </row>
    <row r="91" spans="5:13">
      <c r="E91" s="84" t="s">
        <v>590</v>
      </c>
      <c r="F91" s="84" t="s">
        <v>589</v>
      </c>
      <c r="G91" s="294">
        <f>'Beta Calculation Data'!L91</f>
        <v>3332.2240000000002</v>
      </c>
      <c r="H91" s="171">
        <v>597.346</v>
      </c>
      <c r="I91" s="101">
        <f t="shared" si="1"/>
        <v>5.5783817084235938</v>
      </c>
      <c r="J91" s="415" t="s">
        <v>106</v>
      </c>
      <c r="K91" s="99"/>
      <c r="M91" s="144"/>
    </row>
    <row r="92" spans="5:13">
      <c r="E92" s="84" t="s">
        <v>592</v>
      </c>
      <c r="F92" s="84" t="s">
        <v>591</v>
      </c>
      <c r="G92" s="294">
        <f>'Beta Calculation Data'!L92</f>
        <v>5201.7240000000002</v>
      </c>
      <c r="H92" s="171">
        <v>2356.67</v>
      </c>
      <c r="I92" s="101">
        <f t="shared" si="1"/>
        <v>2.2072347846749865</v>
      </c>
      <c r="J92" s="63">
        <v>-5.4000000000000003E-3</v>
      </c>
      <c r="K92" s="99"/>
      <c r="M92" s="144"/>
    </row>
    <row r="93" spans="5:13">
      <c r="E93" s="84" t="s">
        <v>379</v>
      </c>
      <c r="F93" s="84" t="s">
        <v>593</v>
      </c>
      <c r="G93" s="294">
        <f>'Beta Calculation Data'!L93</f>
        <v>0</v>
      </c>
      <c r="H93" s="171">
        <v>7714.4269999999997</v>
      </c>
      <c r="I93" s="101">
        <f t="shared" si="1"/>
        <v>0</v>
      </c>
      <c r="J93" s="63">
        <v>5.4999999999999997E-3</v>
      </c>
      <c r="K93" s="99"/>
      <c r="M93" s="144"/>
    </row>
    <row r="94" spans="5:13">
      <c r="E94" s="84" t="s">
        <v>595</v>
      </c>
      <c r="F94" s="84" t="s">
        <v>594</v>
      </c>
      <c r="G94" s="294">
        <f>'Beta Calculation Data'!L94</f>
        <v>6001.9589999999998</v>
      </c>
      <c r="H94" s="171">
        <v>2394.4879999999998</v>
      </c>
      <c r="I94" s="101">
        <f t="shared" si="1"/>
        <v>2.5065730126858017</v>
      </c>
      <c r="J94" s="63">
        <v>7.4399999999999994E-2</v>
      </c>
      <c r="K94" s="99"/>
      <c r="M94" s="144"/>
    </row>
    <row r="95" spans="5:13">
      <c r="E95" s="84" t="s">
        <v>597</v>
      </c>
      <c r="F95" s="84" t="s">
        <v>596</v>
      </c>
      <c r="G95" s="294">
        <f>'Beta Calculation Data'!L95</f>
        <v>15979.755999999999</v>
      </c>
      <c r="H95" s="171">
        <v>2982.4270000000001</v>
      </c>
      <c r="I95" s="101">
        <f t="shared" si="1"/>
        <v>5.3579705387592051</v>
      </c>
      <c r="J95" s="63">
        <v>6.7000000000000002E-3</v>
      </c>
      <c r="K95" s="99"/>
      <c r="M95" s="144"/>
    </row>
    <row r="96" spans="5:13">
      <c r="E96" s="84" t="s">
        <v>599</v>
      </c>
      <c r="F96" s="84" t="s">
        <v>598</v>
      </c>
      <c r="G96" s="294">
        <f>'Beta Calculation Data'!L96</f>
        <v>249787</v>
      </c>
      <c r="H96" s="171">
        <v>92724</v>
      </c>
      <c r="I96" s="101">
        <f t="shared" si="1"/>
        <v>2.6938764505413917</v>
      </c>
      <c r="J96" s="63">
        <v>-0.20860000000000001</v>
      </c>
      <c r="K96" s="99"/>
      <c r="M96" s="144"/>
    </row>
    <row r="97" spans="5:13">
      <c r="E97" s="84" t="s">
        <v>601</v>
      </c>
      <c r="F97" s="84" t="s">
        <v>600</v>
      </c>
      <c r="G97" s="294">
        <f>'Beta Calculation Data'!L97</f>
        <v>774.63699999999994</v>
      </c>
      <c r="H97" s="171">
        <v>868.78800000000001</v>
      </c>
      <c r="I97" s="101">
        <f t="shared" si="1"/>
        <v>0.89162948843676471</v>
      </c>
      <c r="J97" s="63">
        <v>-2.01E-2</v>
      </c>
      <c r="K97" s="99"/>
      <c r="M97" s="144"/>
    </row>
    <row r="98" spans="5:13">
      <c r="E98" s="84" t="s">
        <v>603</v>
      </c>
      <c r="F98" s="84" t="s">
        <v>602</v>
      </c>
      <c r="G98" s="294">
        <f>'Beta Calculation Data'!L98</f>
        <v>395.14499999999998</v>
      </c>
      <c r="H98" s="171">
        <v>1173.9290000000001</v>
      </c>
      <c r="I98" s="101">
        <f t="shared" si="1"/>
        <v>0.33660042472756013</v>
      </c>
      <c r="J98" s="415" t="s">
        <v>106</v>
      </c>
      <c r="K98" s="99"/>
      <c r="M98" s="144"/>
    </row>
    <row r="99" spans="5:13">
      <c r="E99" s="84" t="s">
        <v>605</v>
      </c>
      <c r="F99" s="84" t="s">
        <v>604</v>
      </c>
      <c r="G99" s="294">
        <f>'Beta Calculation Data'!L99</f>
        <v>2523.384</v>
      </c>
      <c r="H99" s="171">
        <v>583.21500000000003</v>
      </c>
      <c r="I99" s="101">
        <f t="shared" si="1"/>
        <v>4.3266788405648002</v>
      </c>
      <c r="J99" s="63">
        <v>4.6399999999999997E-2</v>
      </c>
      <c r="K99" s="99"/>
      <c r="M99" s="144"/>
    </row>
    <row r="100" spans="5:13">
      <c r="E100" s="84" t="s">
        <v>383</v>
      </c>
      <c r="F100" s="84" t="s">
        <v>382</v>
      </c>
      <c r="G100" s="294">
        <f>'Beta Calculation Data'!L100</f>
        <v>0</v>
      </c>
      <c r="H100" s="171">
        <v>3888.6289999999999</v>
      </c>
      <c r="I100" s="101">
        <f t="shared" si="1"/>
        <v>0</v>
      </c>
      <c r="J100" s="63">
        <v>-0.2263</v>
      </c>
      <c r="K100" s="99"/>
      <c r="M100" s="144"/>
    </row>
    <row r="101" spans="5:13">
      <c r="E101" s="84" t="s">
        <v>607</v>
      </c>
      <c r="F101" s="84" t="s">
        <v>606</v>
      </c>
      <c r="G101" s="294">
        <f>'Beta Calculation Data'!L101</f>
        <v>6372.1559999999999</v>
      </c>
      <c r="H101" s="171">
        <v>5523.5159999999996</v>
      </c>
      <c r="I101" s="101">
        <f t="shared" si="1"/>
        <v>1.1536412676273591</v>
      </c>
      <c r="J101" s="63">
        <v>7.4999999999999997E-3</v>
      </c>
      <c r="K101" s="99"/>
      <c r="M101" s="144"/>
    </row>
    <row r="102" spans="5:13">
      <c r="E102" s="84" t="s">
        <v>609</v>
      </c>
      <c r="F102" s="84" t="s">
        <v>608</v>
      </c>
      <c r="G102" s="294">
        <f>'Beta Calculation Data'!L102</f>
        <v>149.24100000000001</v>
      </c>
      <c r="H102" s="171">
        <v>66.036000000000001</v>
      </c>
      <c r="I102" s="101">
        <f t="shared" si="1"/>
        <v>2.2599945484281303</v>
      </c>
      <c r="J102" s="63">
        <v>2.2800000000000001E-2</v>
      </c>
      <c r="K102" s="99"/>
      <c r="M102" s="144"/>
    </row>
    <row r="103" spans="5:13">
      <c r="E103" s="84" t="s">
        <v>611</v>
      </c>
      <c r="F103" s="84" t="s">
        <v>610</v>
      </c>
      <c r="G103" s="294">
        <f>'Beta Calculation Data'!L103</f>
        <v>2808.1109999999999</v>
      </c>
      <c r="H103" s="171">
        <v>1096.05</v>
      </c>
      <c r="I103" s="101">
        <f t="shared" si="1"/>
        <v>2.5620281921445192</v>
      </c>
      <c r="J103" s="63">
        <v>6.3899999999999998E-2</v>
      </c>
      <c r="K103" s="99"/>
      <c r="M103" s="144"/>
    </row>
    <row r="104" spans="5:13">
      <c r="E104" s="84" t="s">
        <v>390</v>
      </c>
      <c r="F104" s="84" t="s">
        <v>389</v>
      </c>
      <c r="G104" s="294">
        <f>'Beta Calculation Data'!L104</f>
        <v>2316.6799999999998</v>
      </c>
      <c r="H104" s="171">
        <v>1640.914</v>
      </c>
      <c r="I104" s="101">
        <f t="shared" si="1"/>
        <v>1.4118229230782355</v>
      </c>
      <c r="J104" s="63">
        <v>-0.30380000000000001</v>
      </c>
      <c r="K104" s="99"/>
      <c r="M104" s="144"/>
    </row>
    <row r="105" spans="5:13">
      <c r="E105" s="84" t="s">
        <v>613</v>
      </c>
      <c r="F105" s="84" t="s">
        <v>612</v>
      </c>
      <c r="G105" s="294">
        <f>'Beta Calculation Data'!L105</f>
        <v>4423.7510000000002</v>
      </c>
      <c r="H105" s="171">
        <v>2793.915</v>
      </c>
      <c r="I105" s="101">
        <f t="shared" si="1"/>
        <v>1.5833520346896739</v>
      </c>
      <c r="J105" s="63">
        <v>2.9600000000000001E-2</v>
      </c>
      <c r="K105" s="99"/>
      <c r="M105" s="144"/>
    </row>
    <row r="106" spans="5:13">
      <c r="E106" s="84" t="s">
        <v>615</v>
      </c>
      <c r="F106" s="84" t="s">
        <v>614</v>
      </c>
      <c r="G106" s="294">
        <f>'Beta Calculation Data'!L106</f>
        <v>13612.9</v>
      </c>
      <c r="H106" s="171">
        <v>7729.1</v>
      </c>
      <c r="I106" s="101">
        <f t="shared" si="1"/>
        <v>1.7612529272489681</v>
      </c>
      <c r="J106" s="63">
        <v>1.3899999999999999E-2</v>
      </c>
      <c r="K106" s="99"/>
      <c r="M106" s="144"/>
    </row>
    <row r="107" spans="5:13">
      <c r="E107" s="84" t="s">
        <v>617</v>
      </c>
      <c r="F107" s="84" t="s">
        <v>616</v>
      </c>
      <c r="G107" s="294">
        <f>'Beta Calculation Data'!L107</f>
        <v>2038.3420000000001</v>
      </c>
      <c r="H107" s="171">
        <v>30.361999999999998</v>
      </c>
      <c r="I107" s="101">
        <f t="shared" si="1"/>
        <v>67.134641986693907</v>
      </c>
      <c r="J107" s="63">
        <v>-2.9600000000000001E-2</v>
      </c>
      <c r="K107" s="99"/>
      <c r="M107" s="144"/>
    </row>
    <row r="108" spans="5:13">
      <c r="E108" s="84" t="s">
        <v>619</v>
      </c>
      <c r="F108" s="84" t="s">
        <v>618</v>
      </c>
      <c r="G108" s="294">
        <f>'Beta Calculation Data'!L108</f>
        <v>1222.462</v>
      </c>
      <c r="H108" s="171">
        <v>372.24</v>
      </c>
      <c r="I108" s="101">
        <f t="shared" si="1"/>
        <v>3.2840694175800555</v>
      </c>
      <c r="J108" s="63">
        <v>-4.4999999999999998E-2</v>
      </c>
      <c r="K108" s="99"/>
      <c r="M108" s="144"/>
    </row>
    <row r="109" spans="5:13">
      <c r="E109" s="84" t="s">
        <v>760</v>
      </c>
      <c r="F109" s="84" t="s">
        <v>620</v>
      </c>
      <c r="G109" s="294">
        <f>'Beta Calculation Data'!L109</f>
        <v>2119.7159999999999</v>
      </c>
      <c r="H109" s="171">
        <v>1442.7619999999999</v>
      </c>
      <c r="I109" s="101">
        <f t="shared" si="1"/>
        <v>1.4692069793909182</v>
      </c>
      <c r="J109" s="63">
        <v>-0.22950000000000001</v>
      </c>
      <c r="K109" s="99"/>
      <c r="M109" s="144"/>
    </row>
    <row r="110" spans="5:13">
      <c r="E110" s="84" t="s">
        <v>622</v>
      </c>
      <c r="F110" s="84" t="s">
        <v>621</v>
      </c>
      <c r="G110" s="294">
        <f>'Beta Calculation Data'!L110</f>
        <v>487.9</v>
      </c>
      <c r="H110" s="171">
        <v>189.9</v>
      </c>
      <c r="I110" s="101">
        <f t="shared" si="1"/>
        <v>2.569246972090574</v>
      </c>
      <c r="J110" s="63">
        <v>-0.29530000000000001</v>
      </c>
      <c r="K110" s="99"/>
      <c r="M110" s="144"/>
    </row>
    <row r="111" spans="5:13">
      <c r="E111" s="84" t="s">
        <v>624</v>
      </c>
      <c r="F111" s="84" t="s">
        <v>623</v>
      </c>
      <c r="G111" s="294">
        <f>'Beta Calculation Data'!L111</f>
        <v>341.83800000000002</v>
      </c>
      <c r="H111" s="171">
        <v>3237.7460000000001</v>
      </c>
      <c r="I111" s="101">
        <f t="shared" si="1"/>
        <v>0.10557900465323716</v>
      </c>
      <c r="J111" s="63">
        <v>-5.28E-2</v>
      </c>
      <c r="K111" s="99"/>
      <c r="M111" s="144"/>
    </row>
    <row r="112" spans="5:13">
      <c r="E112" s="84" t="s">
        <v>417</v>
      </c>
      <c r="F112" s="84" t="s">
        <v>416</v>
      </c>
      <c r="G112" s="294">
        <f>'Beta Calculation Data'!L112</f>
        <v>1929.3340000000001</v>
      </c>
      <c r="H112" s="171">
        <v>680.30200000000002</v>
      </c>
      <c r="I112" s="101">
        <f t="shared" si="1"/>
        <v>2.8359963663196641</v>
      </c>
      <c r="J112" s="63">
        <v>1.4E-2</v>
      </c>
      <c r="K112" s="99"/>
      <c r="M112" s="144"/>
    </row>
    <row r="113" spans="5:13">
      <c r="E113" s="84" t="s">
        <v>626</v>
      </c>
      <c r="F113" s="84" t="s">
        <v>625</v>
      </c>
      <c r="G113" s="294">
        <f>'Beta Calculation Data'!L113</f>
        <v>1891.1</v>
      </c>
      <c r="H113" s="171">
        <v>583.6</v>
      </c>
      <c r="I113" s="101">
        <f t="shared" si="1"/>
        <v>3.2404043865661407</v>
      </c>
      <c r="J113" s="63">
        <v>-0.1002</v>
      </c>
      <c r="K113" s="99"/>
      <c r="M113" s="144"/>
    </row>
    <row r="114" spans="5:13">
      <c r="E114" s="84" t="s">
        <v>628</v>
      </c>
      <c r="F114" s="84" t="s">
        <v>627</v>
      </c>
      <c r="G114" s="294">
        <f>'Beta Calculation Data'!L114</f>
        <v>318.113</v>
      </c>
      <c r="H114" s="171">
        <v>524.428</v>
      </c>
      <c r="I114" s="101">
        <f t="shared" si="1"/>
        <v>0.6065904185131229</v>
      </c>
      <c r="J114" s="63">
        <v>-0.1636</v>
      </c>
      <c r="K114" s="99"/>
      <c r="M114" s="144"/>
    </row>
    <row r="115" spans="5:13">
      <c r="E115" s="84" t="s">
        <v>764</v>
      </c>
      <c r="F115" s="84" t="s">
        <v>629</v>
      </c>
      <c r="G115" s="294">
        <f>'Beta Calculation Data'!L115</f>
        <v>419.339</v>
      </c>
      <c r="H115" s="171">
        <v>211.93700000000001</v>
      </c>
      <c r="I115" s="101">
        <f t="shared" si="1"/>
        <v>1.9786021317655718</v>
      </c>
      <c r="J115" s="63">
        <v>6.7400000000000002E-2</v>
      </c>
      <c r="K115" s="99"/>
      <c r="M115" s="144"/>
    </row>
    <row r="116" spans="5:13">
      <c r="E116" s="84" t="s">
        <v>425</v>
      </c>
      <c r="F116" s="84" t="s">
        <v>424</v>
      </c>
      <c r="G116" s="294">
        <f>'Beta Calculation Data'!L116</f>
        <v>9324.0789999999997</v>
      </c>
      <c r="H116" s="171">
        <v>123.983</v>
      </c>
      <c r="I116" s="101">
        <f t="shared" si="1"/>
        <v>75.204495777646926</v>
      </c>
      <c r="J116" s="63">
        <v>-8.14E-2</v>
      </c>
      <c r="K116" s="99"/>
      <c r="M116" s="144"/>
    </row>
    <row r="117" spans="5:13">
      <c r="E117" s="84" t="s">
        <v>631</v>
      </c>
      <c r="F117" s="84" t="s">
        <v>630</v>
      </c>
      <c r="G117" s="294">
        <f>'Beta Calculation Data'!L117</f>
        <v>1656</v>
      </c>
      <c r="H117" s="171">
        <v>619</v>
      </c>
      <c r="I117" s="101">
        <f t="shared" si="1"/>
        <v>2.6752827140549273</v>
      </c>
      <c r="J117" s="63">
        <v>-4.1300000000000003E-2</v>
      </c>
      <c r="K117" s="99"/>
      <c r="M117" s="144"/>
    </row>
    <row r="118" spans="5:13">
      <c r="E118" s="84" t="s">
        <v>633</v>
      </c>
      <c r="F118" s="84" t="s">
        <v>632</v>
      </c>
      <c r="G118" s="294">
        <f>'Beta Calculation Data'!L118</f>
        <v>2353.0709999999999</v>
      </c>
      <c r="H118" s="171">
        <v>327.74099999999999</v>
      </c>
      <c r="I118" s="101">
        <f t="shared" si="1"/>
        <v>7.1796662608584221</v>
      </c>
      <c r="J118" s="63">
        <v>-5.4800000000000001E-2</v>
      </c>
      <c r="K118" s="99"/>
      <c r="M118" s="144"/>
    </row>
    <row r="119" spans="5:13">
      <c r="E119" s="84" t="s">
        <v>635</v>
      </c>
      <c r="F119" s="84" t="s">
        <v>634</v>
      </c>
      <c r="G119" s="294">
        <f>'Beta Calculation Data'!L119</f>
        <v>868.33100000000002</v>
      </c>
      <c r="H119" s="171">
        <v>169.15</v>
      </c>
      <c r="I119" s="101">
        <f t="shared" si="1"/>
        <v>5.1334968962459353</v>
      </c>
      <c r="J119" s="415" t="s">
        <v>106</v>
      </c>
      <c r="K119" s="99"/>
      <c r="M119" s="144"/>
    </row>
    <row r="120" spans="5:13">
      <c r="E120" s="84" t="s">
        <v>411</v>
      </c>
      <c r="F120" s="84" t="s">
        <v>636</v>
      </c>
      <c r="G120" s="294">
        <f>'Beta Calculation Data'!L120</f>
        <v>1868.153</v>
      </c>
      <c r="H120" s="171">
        <v>190.6</v>
      </c>
      <c r="I120" s="101">
        <f t="shared" si="1"/>
        <v>9.8014323189926547</v>
      </c>
      <c r="J120" s="63">
        <v>-2.06E-2</v>
      </c>
      <c r="K120" s="99"/>
      <c r="M120" s="144"/>
    </row>
    <row r="121" spans="5:13">
      <c r="E121" s="84" t="s">
        <v>761</v>
      </c>
      <c r="F121" s="84" t="s">
        <v>637</v>
      </c>
      <c r="G121" s="294">
        <f>'Beta Calculation Data'!L121</f>
        <v>76.192999999999998</v>
      </c>
      <c r="H121" s="171">
        <v>299.18</v>
      </c>
      <c r="I121" s="101">
        <f t="shared" si="1"/>
        <v>0.25467277224413393</v>
      </c>
      <c r="J121" s="63">
        <v>-0.222</v>
      </c>
      <c r="K121" s="99"/>
      <c r="M121" s="144"/>
    </row>
    <row r="122" spans="5:13">
      <c r="E122" s="84" t="s">
        <v>639</v>
      </c>
      <c r="F122" s="84" t="s">
        <v>638</v>
      </c>
      <c r="G122" s="294">
        <f>'Beta Calculation Data'!L122</f>
        <v>398.05700000000002</v>
      </c>
      <c r="H122" s="171">
        <v>102.91200000000001</v>
      </c>
      <c r="I122" s="101">
        <f t="shared" si="1"/>
        <v>3.8679357120646767</v>
      </c>
      <c r="J122" s="63">
        <v>1.9900000000000001E-2</v>
      </c>
      <c r="K122" s="99"/>
      <c r="M122" s="144"/>
    </row>
    <row r="123" spans="5:13">
      <c r="E123" s="84" t="s">
        <v>641</v>
      </c>
      <c r="F123" s="84" t="s">
        <v>640</v>
      </c>
      <c r="G123" s="294">
        <f>'Beta Calculation Data'!L123</f>
        <v>575.80600000000004</v>
      </c>
      <c r="H123" s="171">
        <v>207.505</v>
      </c>
      <c r="I123" s="101">
        <f t="shared" si="1"/>
        <v>2.7749018095949496</v>
      </c>
      <c r="J123" s="63">
        <v>-0.10340000000000001</v>
      </c>
      <c r="K123" s="99"/>
      <c r="M123" s="144"/>
    </row>
    <row r="124" spans="5:13">
      <c r="E124" s="84" t="s">
        <v>387</v>
      </c>
      <c r="F124" s="84" t="s">
        <v>386</v>
      </c>
      <c r="G124" s="294">
        <f>'Beta Calculation Data'!L124</f>
        <v>0</v>
      </c>
      <c r="H124" s="171">
        <v>489.02699999999999</v>
      </c>
      <c r="I124" s="101">
        <f t="shared" si="1"/>
        <v>0</v>
      </c>
      <c r="J124" s="63">
        <v>6.1100000000000002E-2</v>
      </c>
      <c r="K124" s="99"/>
      <c r="M124" s="144"/>
    </row>
    <row r="125" spans="5:13">
      <c r="E125" s="84" t="s">
        <v>762</v>
      </c>
      <c r="F125" s="84" t="s">
        <v>642</v>
      </c>
      <c r="G125" s="294">
        <f>'Beta Calculation Data'!L125</f>
        <v>593.07799999999997</v>
      </c>
      <c r="H125" s="171">
        <v>2807.1260000000002</v>
      </c>
      <c r="I125" s="101">
        <f t="shared" si="1"/>
        <v>0.21127587432840561</v>
      </c>
      <c r="J125" s="63">
        <v>0.39950000000000002</v>
      </c>
      <c r="K125" s="99"/>
      <c r="M125" s="144"/>
    </row>
    <row r="126" spans="5:13">
      <c r="E126" s="84" t="s">
        <v>407</v>
      </c>
      <c r="F126" s="84" t="s">
        <v>406</v>
      </c>
      <c r="G126" s="294">
        <f>'Beta Calculation Data'!L126</f>
        <v>285.625</v>
      </c>
      <c r="H126" s="171">
        <v>154.536</v>
      </c>
      <c r="I126" s="101">
        <f t="shared" si="1"/>
        <v>1.8482748356370036</v>
      </c>
      <c r="J126" s="63">
        <v>8.3900000000000002E-2</v>
      </c>
      <c r="K126" s="99"/>
      <c r="M126" s="144"/>
    </row>
    <row r="127" spans="5:13">
      <c r="E127" s="84" t="s">
        <v>763</v>
      </c>
      <c r="F127" s="84" t="s">
        <v>392</v>
      </c>
      <c r="G127" s="294">
        <f>'Beta Calculation Data'!L127</f>
        <v>0</v>
      </c>
      <c r="H127" s="171">
        <v>2869.36</v>
      </c>
      <c r="I127" s="101">
        <f t="shared" si="1"/>
        <v>0</v>
      </c>
      <c r="J127" s="415" t="s">
        <v>106</v>
      </c>
      <c r="K127" s="99"/>
      <c r="M127" s="144"/>
    </row>
    <row r="128" spans="5:13">
      <c r="E128" s="84" t="s">
        <v>644</v>
      </c>
      <c r="F128" s="84" t="s">
        <v>643</v>
      </c>
      <c r="G128" s="294">
        <f>'Beta Calculation Data'!L128</f>
        <v>247.13</v>
      </c>
      <c r="H128" s="171">
        <v>133.005</v>
      </c>
      <c r="I128" s="101">
        <f t="shared" si="1"/>
        <v>1.858050449231232</v>
      </c>
      <c r="J128" s="63">
        <v>-0.90529999999999999</v>
      </c>
      <c r="K128" s="99"/>
      <c r="M128" s="144"/>
    </row>
    <row r="129" spans="5:13">
      <c r="E129" s="84" t="s">
        <v>423</v>
      </c>
      <c r="F129" s="84" t="s">
        <v>422</v>
      </c>
      <c r="G129" s="294">
        <f>'Beta Calculation Data'!L129</f>
        <v>12106</v>
      </c>
      <c r="H129" s="171">
        <v>6765</v>
      </c>
      <c r="I129" s="101">
        <f t="shared" si="1"/>
        <v>1.7895048041389505</v>
      </c>
      <c r="J129" s="63">
        <v>3.5400000000000001E-2</v>
      </c>
      <c r="K129" s="99"/>
      <c r="M129" s="144"/>
    </row>
    <row r="130" spans="5:13">
      <c r="E130" s="84" t="s">
        <v>401</v>
      </c>
      <c r="F130" s="84" t="s">
        <v>400</v>
      </c>
      <c r="G130" s="294">
        <f>'Beta Calculation Data'!L130</f>
        <v>221.88200000000001</v>
      </c>
      <c r="H130" s="171">
        <v>189.02</v>
      </c>
      <c r="I130" s="101">
        <f t="shared" si="1"/>
        <v>1.1738546185588825</v>
      </c>
      <c r="J130" s="63">
        <v>-1.0235000000000001</v>
      </c>
      <c r="K130" s="99"/>
      <c r="M130" s="144"/>
    </row>
    <row r="131" spans="5:13">
      <c r="E131" s="84" t="s">
        <v>646</v>
      </c>
      <c r="F131" s="84" t="s">
        <v>645</v>
      </c>
      <c r="G131" s="294">
        <f>'Beta Calculation Data'!L131</f>
        <v>499.22199999999998</v>
      </c>
      <c r="H131" s="171">
        <v>430.98500000000001</v>
      </c>
      <c r="I131" s="101">
        <f t="shared" si="1"/>
        <v>1.1583280160562432</v>
      </c>
      <c r="J131" s="63">
        <v>-0.16880000000000001</v>
      </c>
      <c r="K131" s="99"/>
      <c r="M131" s="144"/>
    </row>
    <row r="132" spans="5:13">
      <c r="E132" s="84" t="s">
        <v>421</v>
      </c>
      <c r="F132" s="84" t="s">
        <v>420</v>
      </c>
      <c r="G132" s="294">
        <f>'Beta Calculation Data'!L132</f>
        <v>661.60400000000004</v>
      </c>
      <c r="H132" s="171">
        <v>110.072</v>
      </c>
      <c r="I132" s="101">
        <f t="shared" si="1"/>
        <v>6.0106475761319862</v>
      </c>
      <c r="J132" s="63">
        <v>1E-3</v>
      </c>
      <c r="K132" s="99"/>
      <c r="M132" s="144"/>
    </row>
    <row r="133" spans="5:13">
      <c r="E133" s="84" t="s">
        <v>648</v>
      </c>
      <c r="F133" s="84" t="s">
        <v>647</v>
      </c>
      <c r="G133" s="294">
        <f>'Beta Calculation Data'!L133</f>
        <v>76.900000000000006</v>
      </c>
      <c r="H133" s="171">
        <v>205</v>
      </c>
      <c r="I133" s="101">
        <f t="shared" si="1"/>
        <v>0.3751219512195122</v>
      </c>
      <c r="J133" s="63">
        <v>0.7762</v>
      </c>
      <c r="K133" s="99"/>
      <c r="M133" s="144"/>
    </row>
    <row r="134" spans="5:13">
      <c r="E134" s="84" t="s">
        <v>431</v>
      </c>
      <c r="F134" s="84" t="s">
        <v>430</v>
      </c>
      <c r="G134" s="294">
        <f>'Beta Calculation Data'!L134</f>
        <v>288.37900000000002</v>
      </c>
      <c r="H134" s="171">
        <v>169.66800000000001</v>
      </c>
      <c r="I134" s="101">
        <f t="shared" si="1"/>
        <v>1.6996664073366812</v>
      </c>
      <c r="J134" s="63">
        <v>-0.31030000000000002</v>
      </c>
      <c r="K134" s="99"/>
      <c r="M134" s="144"/>
    </row>
    <row r="135" spans="5:13">
      <c r="E135" s="84" t="s">
        <v>650</v>
      </c>
      <c r="F135" s="84" t="s">
        <v>649</v>
      </c>
      <c r="G135" s="294">
        <f>'Beta Calculation Data'!L135</f>
        <v>1002.2</v>
      </c>
      <c r="H135" s="171">
        <v>1335</v>
      </c>
      <c r="I135" s="101">
        <f t="shared" ref="I135:I197" si="2">G135/H135</f>
        <v>0.75071161048689139</v>
      </c>
      <c r="J135" s="63">
        <v>5.4699999999999999E-2</v>
      </c>
      <c r="K135" s="99"/>
      <c r="M135" s="144"/>
    </row>
    <row r="136" spans="5:13">
      <c r="E136" s="84" t="s">
        <v>652</v>
      </c>
      <c r="F136" s="84" t="s">
        <v>651</v>
      </c>
      <c r="G136" s="294">
        <f>'Beta Calculation Data'!L136</f>
        <v>579.9</v>
      </c>
      <c r="H136" s="171">
        <v>170.6</v>
      </c>
      <c r="I136" s="101">
        <f t="shared" si="2"/>
        <v>3.3991793669402108</v>
      </c>
      <c r="J136" s="63">
        <v>-9.1899999999999996E-2</v>
      </c>
      <c r="K136" s="99"/>
      <c r="M136" s="144"/>
    </row>
    <row r="137" spans="5:13">
      <c r="E137" s="84" t="s">
        <v>654</v>
      </c>
      <c r="F137" s="84" t="s">
        <v>653</v>
      </c>
      <c r="G137" s="294">
        <f>'Beta Calculation Data'!L137</f>
        <v>136.55500000000001</v>
      </c>
      <c r="H137" s="171">
        <v>36.286999999999999</v>
      </c>
      <c r="I137" s="101">
        <f t="shared" si="2"/>
        <v>3.7631934301540499</v>
      </c>
      <c r="J137" s="63">
        <v>-3.6999999999999998E-2</v>
      </c>
      <c r="K137" s="99"/>
      <c r="M137" s="144"/>
    </row>
    <row r="138" spans="5:13">
      <c r="E138" s="84" t="s">
        <v>656</v>
      </c>
      <c r="F138" s="84" t="s">
        <v>655</v>
      </c>
      <c r="G138" s="294">
        <f>'Beta Calculation Data'!L138</f>
        <v>4.7089999999999996</v>
      </c>
      <c r="H138" s="171">
        <v>75.992000000000004</v>
      </c>
      <c r="I138" s="101">
        <f t="shared" si="2"/>
        <v>6.196704916306979E-2</v>
      </c>
      <c r="J138" s="415" t="s">
        <v>106</v>
      </c>
      <c r="K138" s="99"/>
      <c r="M138" s="144"/>
    </row>
    <row r="139" spans="5:13">
      <c r="E139" s="84" t="s">
        <v>658</v>
      </c>
      <c r="F139" s="84" t="s">
        <v>657</v>
      </c>
      <c r="G139" s="294">
        <f>'Beta Calculation Data'!L139</f>
        <v>134.24299999999999</v>
      </c>
      <c r="H139" s="171">
        <v>424.56099999999998</v>
      </c>
      <c r="I139" s="101">
        <f t="shared" si="2"/>
        <v>0.31619249059616877</v>
      </c>
      <c r="J139" s="63">
        <v>-0.68940000000000001</v>
      </c>
      <c r="K139" s="99"/>
      <c r="M139" s="144"/>
    </row>
    <row r="140" spans="5:13">
      <c r="E140" s="84" t="s">
        <v>405</v>
      </c>
      <c r="F140" s="84" t="s">
        <v>404</v>
      </c>
      <c r="G140" s="294">
        <f>'Beta Calculation Data'!L140</f>
        <v>503.56799999999998</v>
      </c>
      <c r="H140" s="171">
        <v>3.8759999999999999</v>
      </c>
      <c r="I140" s="101">
        <f t="shared" si="2"/>
        <v>129.91950464396285</v>
      </c>
      <c r="J140" s="63">
        <v>-2.8299999999999999E-2</v>
      </c>
      <c r="K140" s="99"/>
      <c r="M140" s="144"/>
    </row>
    <row r="141" spans="5:13">
      <c r="E141" s="84" t="s">
        <v>660</v>
      </c>
      <c r="F141" s="84" t="s">
        <v>659</v>
      </c>
      <c r="G141" s="294">
        <f>'Beta Calculation Data'!L141</f>
        <v>641.00199999999995</v>
      </c>
      <c r="H141" s="171">
        <v>255.17500000000001</v>
      </c>
      <c r="I141" s="101">
        <f t="shared" si="2"/>
        <v>2.512009405310081</v>
      </c>
      <c r="J141" s="63">
        <v>2.5999999999999999E-3</v>
      </c>
      <c r="K141" s="99"/>
      <c r="M141" s="144"/>
    </row>
    <row r="142" spans="5:13">
      <c r="E142" s="84" t="s">
        <v>662</v>
      </c>
      <c r="F142" s="84" t="s">
        <v>661</v>
      </c>
      <c r="G142" s="294">
        <f>'Beta Calculation Data'!L142</f>
        <v>168.43600000000001</v>
      </c>
      <c r="H142" s="171">
        <v>56.805999999999997</v>
      </c>
      <c r="I142" s="101">
        <f t="shared" si="2"/>
        <v>2.965109319438088</v>
      </c>
      <c r="J142" s="415" t="s">
        <v>106</v>
      </c>
      <c r="K142" s="99"/>
      <c r="M142" s="144"/>
    </row>
    <row r="143" spans="5:13">
      <c r="E143" s="84" t="s">
        <v>385</v>
      </c>
      <c r="F143" s="84" t="s">
        <v>384</v>
      </c>
      <c r="G143" s="294">
        <f>'Beta Calculation Data'!L143</f>
        <v>96.849000000000004</v>
      </c>
      <c r="H143" s="171">
        <v>148.02199999999999</v>
      </c>
      <c r="I143" s="101">
        <f t="shared" si="2"/>
        <v>0.65428787612652184</v>
      </c>
      <c r="J143" s="63">
        <v>-0.3604</v>
      </c>
      <c r="K143" s="99"/>
      <c r="M143" s="144"/>
    </row>
    <row r="144" spans="5:13">
      <c r="E144" s="84" t="s">
        <v>664</v>
      </c>
      <c r="F144" s="84" t="s">
        <v>663</v>
      </c>
      <c r="G144" s="294">
        <f>'Beta Calculation Data'!L144</f>
        <v>259.86399999999998</v>
      </c>
      <c r="H144" s="171">
        <v>224.26</v>
      </c>
      <c r="I144" s="101">
        <f t="shared" si="2"/>
        <v>1.1587621510746455</v>
      </c>
      <c r="J144" s="63">
        <v>-1.6199999999999999E-2</v>
      </c>
      <c r="K144" s="99"/>
      <c r="M144" s="144"/>
    </row>
    <row r="145" spans="5:13">
      <c r="E145" s="84" t="s">
        <v>750</v>
      </c>
      <c r="F145" s="84" t="s">
        <v>665</v>
      </c>
      <c r="G145" s="294">
        <f>'Beta Calculation Data'!L145</f>
        <v>438.61799999999999</v>
      </c>
      <c r="H145" s="171">
        <v>168.72499999999999</v>
      </c>
      <c r="I145" s="101">
        <f t="shared" si="2"/>
        <v>2.5996029041339459</v>
      </c>
      <c r="J145" s="63">
        <v>-5.6000000000000001E-2</v>
      </c>
      <c r="K145" s="99"/>
      <c r="M145" s="144"/>
    </row>
    <row r="146" spans="5:13">
      <c r="E146" s="84" t="s">
        <v>667</v>
      </c>
      <c r="F146" s="84" t="s">
        <v>666</v>
      </c>
      <c r="G146" s="294">
        <f>'Beta Calculation Data'!L146</f>
        <v>538.60199999999998</v>
      </c>
      <c r="H146" s="171">
        <v>50.613999999999997</v>
      </c>
      <c r="I146" s="101">
        <f t="shared" si="2"/>
        <v>10.641364049472479</v>
      </c>
      <c r="J146" s="63">
        <v>4.1999999999999997E-3</v>
      </c>
      <c r="K146" s="99"/>
      <c r="M146" s="144"/>
    </row>
    <row r="147" spans="5:13">
      <c r="E147" s="84" t="s">
        <v>669</v>
      </c>
      <c r="F147" s="84" t="s">
        <v>668</v>
      </c>
      <c r="G147" s="294">
        <f>'Beta Calculation Data'!L147</f>
        <v>575.55600000000004</v>
      </c>
      <c r="H147" s="171">
        <v>103.95699999999999</v>
      </c>
      <c r="I147" s="101">
        <f t="shared" si="2"/>
        <v>5.5364814298219462</v>
      </c>
      <c r="J147" s="63">
        <v>-8.7300000000000003E-2</v>
      </c>
      <c r="K147" s="99"/>
      <c r="M147" s="144"/>
    </row>
    <row r="148" spans="5:13">
      <c r="E148" s="84" t="s">
        <v>671</v>
      </c>
      <c r="F148" s="84" t="s">
        <v>670</v>
      </c>
      <c r="G148" s="294">
        <f>'Beta Calculation Data'!L148</f>
        <v>112.005</v>
      </c>
      <c r="H148" s="171">
        <v>103.729</v>
      </c>
      <c r="I148" s="101">
        <f t="shared" si="2"/>
        <v>1.079784823916166</v>
      </c>
      <c r="J148" s="63">
        <v>4.1099999999999998E-2</v>
      </c>
      <c r="K148" s="99"/>
      <c r="M148" s="144"/>
    </row>
    <row r="149" spans="5:13">
      <c r="E149" s="84" t="s">
        <v>673</v>
      </c>
      <c r="F149" s="84" t="s">
        <v>672</v>
      </c>
      <c r="G149" s="294">
        <f>'Beta Calculation Data'!L149</f>
        <v>1319.1</v>
      </c>
      <c r="H149" s="171">
        <v>204.4</v>
      </c>
      <c r="I149" s="101">
        <f t="shared" si="2"/>
        <v>6.4535225048923675</v>
      </c>
      <c r="J149" s="63">
        <v>-4.3099999999999999E-2</v>
      </c>
      <c r="K149" s="99"/>
      <c r="M149" s="144"/>
    </row>
    <row r="150" spans="5:13">
      <c r="E150" s="84" t="s">
        <v>675</v>
      </c>
      <c r="F150" s="84" t="s">
        <v>674</v>
      </c>
      <c r="G150" s="294">
        <f>'Beta Calculation Data'!L150</f>
        <v>86.153999999999996</v>
      </c>
      <c r="H150" s="171">
        <v>9.41</v>
      </c>
      <c r="I150" s="101">
        <f t="shared" si="2"/>
        <v>9.1555791710945797</v>
      </c>
      <c r="J150" s="63">
        <v>1.7399999999999999E-2</v>
      </c>
      <c r="K150" s="99"/>
      <c r="M150" s="144"/>
    </row>
    <row r="151" spans="5:13">
      <c r="E151" s="84" t="s">
        <v>677</v>
      </c>
      <c r="F151" s="84" t="s">
        <v>676</v>
      </c>
      <c r="G151" s="294">
        <f>'Beta Calculation Data'!L151</f>
        <v>1.679</v>
      </c>
      <c r="H151" s="171">
        <v>19.643000000000001</v>
      </c>
      <c r="I151" s="101">
        <f t="shared" si="2"/>
        <v>8.5475741994603671E-2</v>
      </c>
      <c r="J151" s="63">
        <v>-0.71250000000000002</v>
      </c>
      <c r="K151" s="99"/>
      <c r="M151" s="144"/>
    </row>
    <row r="152" spans="5:13">
      <c r="E152" s="84" t="s">
        <v>439</v>
      </c>
      <c r="F152" s="84" t="s">
        <v>438</v>
      </c>
      <c r="G152" s="294">
        <f>'Beta Calculation Data'!L152</f>
        <v>1154.114</v>
      </c>
      <c r="H152" s="171">
        <v>1355.03</v>
      </c>
      <c r="I152" s="101">
        <f t="shared" si="2"/>
        <v>0.85172579204888454</v>
      </c>
      <c r="J152" s="63">
        <v>-6.8099999999999994E-2</v>
      </c>
      <c r="K152" s="99"/>
      <c r="M152" s="144"/>
    </row>
    <row r="153" spans="5:13">
      <c r="E153" s="84" t="s">
        <v>679</v>
      </c>
      <c r="F153" s="84" t="s">
        <v>678</v>
      </c>
      <c r="G153" s="294">
        <f>'Beta Calculation Data'!L153</f>
        <v>143.40899999999999</v>
      </c>
      <c r="H153" s="171">
        <v>34.326000000000001</v>
      </c>
      <c r="I153" s="101">
        <f t="shared" si="2"/>
        <v>4.1778535221115183</v>
      </c>
      <c r="J153" s="63">
        <v>3.3300000000000003E-2</v>
      </c>
      <c r="K153" s="99"/>
      <c r="M153" s="144"/>
    </row>
    <row r="154" spans="5:13">
      <c r="E154" s="84" t="s">
        <v>681</v>
      </c>
      <c r="F154" s="84" t="s">
        <v>680</v>
      </c>
      <c r="G154" s="294">
        <f>'Beta Calculation Data'!L154</f>
        <v>180.13300000000001</v>
      </c>
      <c r="H154" s="171">
        <v>37.317999999999998</v>
      </c>
      <c r="I154" s="101">
        <f t="shared" si="2"/>
        <v>4.826973578434</v>
      </c>
      <c r="J154" s="63">
        <v>-2.0000000000000001E-4</v>
      </c>
      <c r="K154" s="99"/>
      <c r="M154" s="144"/>
    </row>
    <row r="155" spans="5:13">
      <c r="E155" s="84" t="s">
        <v>683</v>
      </c>
      <c r="F155" s="84" t="s">
        <v>682</v>
      </c>
      <c r="G155" s="294">
        <f>'Beta Calculation Data'!L155</f>
        <v>15.805</v>
      </c>
      <c r="H155" s="171">
        <v>24.353000000000002</v>
      </c>
      <c r="I155" s="101">
        <f t="shared" si="2"/>
        <v>0.64899601691783348</v>
      </c>
      <c r="J155" s="63">
        <v>-1.9239999999999999</v>
      </c>
      <c r="K155" s="99"/>
      <c r="M155" s="144"/>
    </row>
    <row r="156" spans="5:13">
      <c r="E156" s="84" t="s">
        <v>372</v>
      </c>
      <c r="F156" s="84" t="s">
        <v>371</v>
      </c>
      <c r="G156" s="294">
        <f>'Beta Calculation Data'!L156</f>
        <v>0</v>
      </c>
      <c r="H156" s="171">
        <v>559.80799999999999</v>
      </c>
      <c r="I156" s="101">
        <f t="shared" si="2"/>
        <v>0</v>
      </c>
      <c r="J156" s="63">
        <v>6.1000000000000004E-3</v>
      </c>
      <c r="K156" s="99"/>
      <c r="M156" s="144"/>
    </row>
    <row r="157" spans="5:13">
      <c r="E157" s="84" t="s">
        <v>394</v>
      </c>
      <c r="F157" s="84" t="s">
        <v>393</v>
      </c>
      <c r="G157" s="294">
        <f>'Beta Calculation Data'!L157</f>
        <v>76.111999999999995</v>
      </c>
      <c r="H157" s="171">
        <v>2.6539999999999999</v>
      </c>
      <c r="I157" s="101">
        <f t="shared" si="2"/>
        <v>28.678221552373774</v>
      </c>
      <c r="J157" s="63">
        <v>2.9499999999999998E-2</v>
      </c>
      <c r="K157" s="99"/>
      <c r="M157" s="144"/>
    </row>
    <row r="158" spans="5:13">
      <c r="E158" s="84" t="s">
        <v>685</v>
      </c>
      <c r="F158" s="84" t="s">
        <v>684</v>
      </c>
      <c r="G158" s="294">
        <f>'Beta Calculation Data'!L158</f>
        <v>189.923</v>
      </c>
      <c r="H158" s="171">
        <v>70.320999999999998</v>
      </c>
      <c r="I158" s="101">
        <f t="shared" si="2"/>
        <v>2.7008006143257348</v>
      </c>
      <c r="J158" s="63">
        <v>0.12590000000000001</v>
      </c>
      <c r="K158" s="99"/>
      <c r="M158" s="144"/>
    </row>
    <row r="159" spans="5:13">
      <c r="E159" s="84" t="s">
        <v>375</v>
      </c>
      <c r="F159" s="84" t="s">
        <v>374</v>
      </c>
      <c r="G159" s="294">
        <f>'Beta Calculation Data'!L159</f>
        <v>458.66</v>
      </c>
      <c r="H159" s="171">
        <v>109.43899999999999</v>
      </c>
      <c r="I159" s="101">
        <f t="shared" si="2"/>
        <v>4.1910105172744636</v>
      </c>
      <c r="J159" s="63">
        <v>-0.23710000000000001</v>
      </c>
      <c r="K159" s="99"/>
      <c r="M159" s="144"/>
    </row>
    <row r="160" spans="5:13">
      <c r="E160" s="84" t="s">
        <v>413</v>
      </c>
      <c r="F160" s="84" t="s">
        <v>412</v>
      </c>
      <c r="G160" s="294">
        <f>'Beta Calculation Data'!L160</f>
        <v>49.134</v>
      </c>
      <c r="H160" s="171">
        <v>50.151000000000003</v>
      </c>
      <c r="I160" s="101">
        <f t="shared" si="2"/>
        <v>0.97972124184961407</v>
      </c>
      <c r="J160" s="63">
        <v>-5.4999999999999997E-3</v>
      </c>
      <c r="K160" s="99"/>
      <c r="M160" s="144"/>
    </row>
    <row r="161" spans="5:13">
      <c r="E161" s="84" t="s">
        <v>687</v>
      </c>
      <c r="F161" s="84" t="s">
        <v>686</v>
      </c>
      <c r="G161" s="294">
        <f>'Beta Calculation Data'!L161</f>
        <v>2.8140000000000001</v>
      </c>
      <c r="H161" s="171">
        <v>9.1219999999999999</v>
      </c>
      <c r="I161" s="101">
        <f t="shared" si="2"/>
        <v>0.30848498136373603</v>
      </c>
      <c r="J161" s="415" t="s">
        <v>106</v>
      </c>
      <c r="K161" s="99"/>
      <c r="M161" s="144"/>
    </row>
    <row r="162" spans="5:13">
      <c r="E162" s="84" t="s">
        <v>689</v>
      </c>
      <c r="F162" s="84" t="s">
        <v>688</v>
      </c>
      <c r="G162" s="294">
        <f>'Beta Calculation Data'!L162</f>
        <v>22.797999999999998</v>
      </c>
      <c r="H162" s="171">
        <v>4.4029999999999996</v>
      </c>
      <c r="I162" s="101">
        <f t="shared" si="2"/>
        <v>5.1778332954803545</v>
      </c>
      <c r="J162" s="63">
        <v>-7.0199999999999999E-2</v>
      </c>
      <c r="K162" s="99"/>
      <c r="M162" s="144"/>
    </row>
    <row r="163" spans="5:13">
      <c r="E163" s="84" t="s">
        <v>691</v>
      </c>
      <c r="F163" s="84" t="s">
        <v>690</v>
      </c>
      <c r="G163" s="294">
        <f>'Beta Calculation Data'!L163</f>
        <v>45.472999999999999</v>
      </c>
      <c r="H163" s="171">
        <v>15.952</v>
      </c>
      <c r="I163" s="101">
        <f t="shared" si="2"/>
        <v>2.8506143430290871</v>
      </c>
      <c r="J163" s="63">
        <v>-4.3999999999999997E-2</v>
      </c>
      <c r="K163" s="99"/>
    </row>
    <row r="164" spans="5:13">
      <c r="E164" s="84" t="s">
        <v>693</v>
      </c>
      <c r="F164" s="84" t="s">
        <v>692</v>
      </c>
      <c r="G164" s="294">
        <f>'Beta Calculation Data'!L164</f>
        <v>1835.02</v>
      </c>
      <c r="H164" s="415" t="s">
        <v>106</v>
      </c>
      <c r="I164" s="242" t="s">
        <v>106</v>
      </c>
      <c r="J164" s="63">
        <v>3.39E-2</v>
      </c>
      <c r="K164" s="99"/>
      <c r="M164" s="144"/>
    </row>
    <row r="165" spans="5:13">
      <c r="E165" s="84" t="s">
        <v>695</v>
      </c>
      <c r="F165" s="84" t="s">
        <v>694</v>
      </c>
      <c r="G165" s="294">
        <f>'Beta Calculation Data'!L165</f>
        <v>304.93700000000001</v>
      </c>
      <c r="H165" s="171">
        <v>43.951000000000001</v>
      </c>
      <c r="I165" s="101">
        <f t="shared" si="2"/>
        <v>6.9381128984550982</v>
      </c>
      <c r="J165" s="415" t="s">
        <v>106</v>
      </c>
      <c r="K165" s="99"/>
    </row>
    <row r="166" spans="5:13">
      <c r="E166" s="84" t="s">
        <v>697</v>
      </c>
      <c r="F166" s="84" t="s">
        <v>696</v>
      </c>
      <c r="G166" s="294">
        <f>'Beta Calculation Data'!L166</f>
        <v>67.715999999999994</v>
      </c>
      <c r="H166" s="415" t="s">
        <v>106</v>
      </c>
      <c r="I166" s="242" t="s">
        <v>106</v>
      </c>
      <c r="J166" s="63">
        <v>-4.9200000000000001E-2</v>
      </c>
      <c r="K166" s="99"/>
      <c r="M166" s="144"/>
    </row>
    <row r="167" spans="5:13">
      <c r="E167" s="84" t="s">
        <v>699</v>
      </c>
      <c r="F167" s="84" t="s">
        <v>698</v>
      </c>
      <c r="G167" s="294">
        <f>'Beta Calculation Data'!L167</f>
        <v>4.016</v>
      </c>
      <c r="H167" s="171">
        <v>-4.6360000000000001</v>
      </c>
      <c r="I167" s="101">
        <f t="shared" si="2"/>
        <v>-0.86626402070750641</v>
      </c>
      <c r="J167" s="63">
        <v>6.8000000000000005E-2</v>
      </c>
      <c r="K167" s="99"/>
      <c r="M167" s="144"/>
    </row>
    <row r="168" spans="5:13">
      <c r="E168" s="84" t="s">
        <v>701</v>
      </c>
      <c r="F168" s="84" t="s">
        <v>700</v>
      </c>
      <c r="G168" s="294">
        <f>'Beta Calculation Data'!L168</f>
        <v>240.751</v>
      </c>
      <c r="H168" s="171">
        <v>14.548</v>
      </c>
      <c r="I168" s="101">
        <f t="shared" si="2"/>
        <v>16.548735221336266</v>
      </c>
      <c r="J168" s="63">
        <v>-8.4500000000000006E-2</v>
      </c>
      <c r="K168" s="99"/>
      <c r="M168" s="144"/>
    </row>
    <row r="169" spans="5:13">
      <c r="E169" s="84" t="s">
        <v>703</v>
      </c>
      <c r="F169" s="84" t="s">
        <v>702</v>
      </c>
      <c r="G169" s="294">
        <f>'Beta Calculation Data'!L169</f>
        <v>42.906999999999996</v>
      </c>
      <c r="H169" s="171">
        <v>9.61</v>
      </c>
      <c r="I169" s="101">
        <f t="shared" si="2"/>
        <v>4.4648283038501564</v>
      </c>
      <c r="J169" s="63">
        <v>4.7899999999999998E-2</v>
      </c>
      <c r="K169" s="99"/>
      <c r="M169" s="144"/>
    </row>
    <row r="170" spans="5:13">
      <c r="E170" s="84" t="s">
        <v>378</v>
      </c>
      <c r="F170" s="84" t="s">
        <v>377</v>
      </c>
      <c r="G170" s="294">
        <f>'Beta Calculation Data'!L170</f>
        <v>176.994</v>
      </c>
      <c r="H170" s="171">
        <v>118.759</v>
      </c>
      <c r="I170" s="101">
        <f t="shared" si="2"/>
        <v>1.490362835658771</v>
      </c>
      <c r="J170" s="63">
        <v>-0.49959999999999999</v>
      </c>
      <c r="K170" s="99"/>
      <c r="M170" s="144"/>
    </row>
    <row r="171" spans="5:13">
      <c r="E171" s="84" t="s">
        <v>410</v>
      </c>
      <c r="F171" s="84" t="s">
        <v>409</v>
      </c>
      <c r="G171" s="294">
        <f>'Beta Calculation Data'!L171</f>
        <v>282.84100000000001</v>
      </c>
      <c r="H171" s="171">
        <v>799.8</v>
      </c>
      <c r="I171" s="101">
        <f t="shared" si="2"/>
        <v>0.35363965991497875</v>
      </c>
      <c r="J171" s="63">
        <v>-0.84950000000000003</v>
      </c>
      <c r="K171" s="99"/>
      <c r="M171" s="45"/>
    </row>
    <row r="172" spans="5:13">
      <c r="E172" s="84" t="s">
        <v>705</v>
      </c>
      <c r="F172" s="84" t="s">
        <v>704</v>
      </c>
      <c r="G172" s="294">
        <f>'Beta Calculation Data'!L172</f>
        <v>4.5094999999999996E-2</v>
      </c>
      <c r="H172" s="171">
        <v>0.103703</v>
      </c>
      <c r="I172" s="101">
        <f t="shared" si="2"/>
        <v>0.43484759360867087</v>
      </c>
      <c r="J172" s="63">
        <v>-2.9028999999999998</v>
      </c>
      <c r="K172" s="99"/>
      <c r="M172" s="144"/>
    </row>
    <row r="173" spans="5:13">
      <c r="E173" s="84" t="s">
        <v>707</v>
      </c>
      <c r="F173" s="84" t="s">
        <v>706</v>
      </c>
      <c r="G173" s="294">
        <f>'Beta Calculation Data'!L173</f>
        <v>39.161999999999999</v>
      </c>
      <c r="H173" s="171">
        <v>13.574</v>
      </c>
      <c r="I173" s="101">
        <f t="shared" si="2"/>
        <v>2.8850744069544718</v>
      </c>
      <c r="J173" s="415" t="s">
        <v>106</v>
      </c>
      <c r="K173" s="99"/>
      <c r="M173" s="144"/>
    </row>
    <row r="174" spans="5:13">
      <c r="E174" s="84" t="s">
        <v>433</v>
      </c>
      <c r="F174" s="84" t="s">
        <v>432</v>
      </c>
      <c r="G174" s="294">
        <f>'Beta Calculation Data'!L174</f>
        <v>2.4489999999999998</v>
      </c>
      <c r="H174" s="171">
        <v>2.7770000000000001</v>
      </c>
      <c r="I174" s="101">
        <f t="shared" si="2"/>
        <v>0.88188692833993509</v>
      </c>
      <c r="J174" s="63">
        <v>-4.5620000000000003</v>
      </c>
      <c r="K174" s="99"/>
      <c r="M174" s="144"/>
    </row>
    <row r="175" spans="5:13">
      <c r="E175" s="84" t="s">
        <v>709</v>
      </c>
      <c r="F175" s="84" t="s">
        <v>708</v>
      </c>
      <c r="G175" s="294">
        <f>'Beta Calculation Data'!L175</f>
        <v>11.522</v>
      </c>
      <c r="H175" s="171">
        <v>44.625</v>
      </c>
      <c r="I175" s="101">
        <f t="shared" si="2"/>
        <v>0.25819607843137254</v>
      </c>
      <c r="J175" s="63">
        <v>-7.7600000000000002E-2</v>
      </c>
      <c r="K175" s="99"/>
      <c r="M175" s="144"/>
    </row>
    <row r="176" spans="5:13">
      <c r="E176" s="84" t="s">
        <v>396</v>
      </c>
      <c r="F176" s="84" t="s">
        <v>395</v>
      </c>
      <c r="G176" s="294">
        <f>'Beta Calculation Data'!L176</f>
        <v>90.203000000000003</v>
      </c>
      <c r="H176" s="171">
        <v>48.384999999999998</v>
      </c>
      <c r="I176" s="101">
        <f t="shared" si="2"/>
        <v>1.8642761186318075</v>
      </c>
      <c r="J176" s="63">
        <v>-6.3500000000000001E-2</v>
      </c>
      <c r="K176" s="99"/>
      <c r="M176" s="144"/>
    </row>
    <row r="177" spans="5:13">
      <c r="E177" s="84" t="s">
        <v>711</v>
      </c>
      <c r="F177" s="84" t="s">
        <v>710</v>
      </c>
      <c r="G177" s="294">
        <f>'Beta Calculation Data'!L177</f>
        <v>1.6659999999999999</v>
      </c>
      <c r="H177" s="171">
        <v>-12.394</v>
      </c>
      <c r="I177" s="101">
        <f t="shared" si="2"/>
        <v>-0.134419880587381</v>
      </c>
      <c r="J177" s="63">
        <v>-1.7571000000000001</v>
      </c>
      <c r="K177" s="99"/>
      <c r="M177" s="144"/>
    </row>
    <row r="178" spans="5:13">
      <c r="E178" s="84" t="s">
        <v>713</v>
      </c>
      <c r="F178" s="84" t="s">
        <v>712</v>
      </c>
      <c r="G178" s="294">
        <f>'Beta Calculation Data'!L178</f>
        <v>149.535</v>
      </c>
      <c r="H178" s="171">
        <v>62.554000000000002</v>
      </c>
      <c r="I178" s="101">
        <f t="shared" si="2"/>
        <v>2.3904946126546665</v>
      </c>
      <c r="J178" s="63">
        <v>-2.2499999999999999E-2</v>
      </c>
      <c r="K178" s="99"/>
      <c r="M178" s="144"/>
    </row>
    <row r="179" spans="5:13">
      <c r="E179" s="84" t="s">
        <v>715</v>
      </c>
      <c r="F179" s="84" t="s">
        <v>714</v>
      </c>
      <c r="G179" s="294">
        <f>'Beta Calculation Data'!L179</f>
        <v>52.911999999999999</v>
      </c>
      <c r="H179" s="171">
        <v>132.81200000000001</v>
      </c>
      <c r="I179" s="101">
        <f t="shared" si="2"/>
        <v>0.39839773514441462</v>
      </c>
      <c r="J179" s="415" t="s">
        <v>106</v>
      </c>
      <c r="K179" s="99"/>
    </row>
    <row r="180" spans="5:13">
      <c r="E180" s="84" t="s">
        <v>717</v>
      </c>
      <c r="F180" s="84" t="s">
        <v>716</v>
      </c>
      <c r="G180" s="294">
        <f>'Beta Calculation Data'!L180</f>
        <v>10.602</v>
      </c>
      <c r="H180" s="294" t="str">
        <f>'Beta Calculation Data'!M180</f>
        <v>N/A</v>
      </c>
      <c r="I180" s="241" t="s">
        <v>106</v>
      </c>
      <c r="J180" s="63">
        <v>-0.51070000000000004</v>
      </c>
      <c r="K180" s="99"/>
      <c r="M180" s="144"/>
    </row>
    <row r="181" spans="5:13">
      <c r="E181" s="84" t="s">
        <v>415</v>
      </c>
      <c r="F181" s="84" t="s">
        <v>414</v>
      </c>
      <c r="G181" s="294">
        <f>'Beta Calculation Data'!L181</f>
        <v>30.181999999999999</v>
      </c>
      <c r="H181" s="171">
        <v>47.188000000000002</v>
      </c>
      <c r="I181" s="101">
        <f t="shared" si="2"/>
        <v>0.63961176570314482</v>
      </c>
      <c r="J181" s="63">
        <v>0.20660000000000001</v>
      </c>
      <c r="K181" s="99"/>
      <c r="M181" s="144"/>
    </row>
    <row r="182" spans="5:13">
      <c r="E182" s="84" t="s">
        <v>719</v>
      </c>
      <c r="F182" s="84" t="s">
        <v>718</v>
      </c>
      <c r="G182" s="294">
        <f>'Beta Calculation Data'!L182</f>
        <v>57.807000000000002</v>
      </c>
      <c r="H182" s="171">
        <v>51.328000000000003</v>
      </c>
      <c r="I182" s="101">
        <f t="shared" si="2"/>
        <v>1.1262274002493766</v>
      </c>
      <c r="J182" s="63">
        <v>-5.7200000000000001E-2</v>
      </c>
      <c r="K182" s="99"/>
      <c r="M182" s="144"/>
    </row>
    <row r="183" spans="5:13">
      <c r="E183" s="84" t="s">
        <v>403</v>
      </c>
      <c r="F183" s="84" t="s">
        <v>402</v>
      </c>
      <c r="G183" s="294">
        <f>'Beta Calculation Data'!L183</f>
        <v>203.244</v>
      </c>
      <c r="H183" s="171">
        <v>42.356000000000002</v>
      </c>
      <c r="I183" s="101">
        <f t="shared" si="2"/>
        <v>4.79847011049202</v>
      </c>
      <c r="J183" s="63">
        <v>-7.3200000000000001E-2</v>
      </c>
      <c r="K183" s="99"/>
      <c r="M183" s="144"/>
    </row>
    <row r="184" spans="5:13">
      <c r="E184" s="84" t="s">
        <v>766</v>
      </c>
      <c r="F184" s="84" t="s">
        <v>437</v>
      </c>
      <c r="G184" s="294">
        <f>'Beta Calculation Data'!L184</f>
        <v>5.9249999999999998</v>
      </c>
      <c r="H184" s="171">
        <v>19.533999999999999</v>
      </c>
      <c r="I184" s="101">
        <f t="shared" si="2"/>
        <v>0.30331729292515613</v>
      </c>
      <c r="J184" s="63">
        <v>-0.91690000000000005</v>
      </c>
      <c r="K184" s="99"/>
    </row>
    <row r="185" spans="5:13">
      <c r="E185" s="84" t="s">
        <v>765</v>
      </c>
      <c r="F185" s="84" t="s">
        <v>720</v>
      </c>
      <c r="G185" s="294" t="str">
        <f>'Beta Calculation Data'!L185</f>
        <v>N/A</v>
      </c>
      <c r="H185" s="294" t="str">
        <f>'Beta Calculation Data'!M185</f>
        <v>N/A</v>
      </c>
      <c r="I185" s="241" t="s">
        <v>106</v>
      </c>
      <c r="J185" s="415" t="s">
        <v>106</v>
      </c>
      <c r="K185" s="99"/>
      <c r="M185" s="144"/>
    </row>
    <row r="186" spans="5:13">
      <c r="E186" s="84" t="s">
        <v>722</v>
      </c>
      <c r="F186" s="84" t="s">
        <v>721</v>
      </c>
      <c r="G186" s="294">
        <f>'Beta Calculation Data'!L186</f>
        <v>7.234</v>
      </c>
      <c r="H186" s="171">
        <v>1.3029999999999999</v>
      </c>
      <c r="I186" s="101">
        <f t="shared" si="2"/>
        <v>5.5518035303146585</v>
      </c>
      <c r="J186" s="63">
        <v>2.1399999999999999E-2</v>
      </c>
      <c r="K186" s="99"/>
      <c r="M186" s="144"/>
    </row>
    <row r="187" spans="5:13">
      <c r="E187" s="84" t="s">
        <v>724</v>
      </c>
      <c r="F187" s="84" t="s">
        <v>723</v>
      </c>
      <c r="G187" s="294">
        <f>'Beta Calculation Data'!L187</f>
        <v>10.484999999999999</v>
      </c>
      <c r="H187" s="171">
        <v>1.925</v>
      </c>
      <c r="I187" s="101">
        <f t="shared" si="2"/>
        <v>5.4467532467532465</v>
      </c>
      <c r="J187" s="415" t="s">
        <v>106</v>
      </c>
      <c r="K187" s="99"/>
      <c r="M187" s="144"/>
    </row>
    <row r="188" spans="5:13">
      <c r="E188" s="84" t="s">
        <v>399</v>
      </c>
      <c r="F188" s="84" t="s">
        <v>398</v>
      </c>
      <c r="G188" s="294">
        <f>'Beta Calculation Data'!L188</f>
        <v>6.9420000000000002</v>
      </c>
      <c r="H188" s="171">
        <v>5.8140000000000001</v>
      </c>
      <c r="I188" s="101">
        <f t="shared" si="2"/>
        <v>1.194014447884417</v>
      </c>
      <c r="J188" s="63">
        <v>-0.20580000000000001</v>
      </c>
      <c r="K188" s="99"/>
      <c r="M188" s="144"/>
    </row>
    <row r="189" spans="5:13">
      <c r="E189" s="84" t="s">
        <v>726</v>
      </c>
      <c r="F189" s="84" t="s">
        <v>725</v>
      </c>
      <c r="G189" s="294">
        <f>'Beta Calculation Data'!L189</f>
        <v>24.396000000000001</v>
      </c>
      <c r="H189" s="171">
        <v>4.1020000000000003</v>
      </c>
      <c r="I189" s="101">
        <f t="shared" si="2"/>
        <v>5.947342759629449</v>
      </c>
      <c r="J189" s="63">
        <v>-5.67E-2</v>
      </c>
      <c r="K189" s="99"/>
      <c r="M189" s="144"/>
    </row>
    <row r="190" spans="5:13">
      <c r="E190" s="84" t="s">
        <v>419</v>
      </c>
      <c r="F190" s="84" t="s">
        <v>418</v>
      </c>
      <c r="G190" s="294">
        <f>'Beta Calculation Data'!L190</f>
        <v>17.006</v>
      </c>
      <c r="H190" s="171">
        <v>16.948</v>
      </c>
      <c r="I190" s="101">
        <f t="shared" si="2"/>
        <v>1.0034222327118243</v>
      </c>
      <c r="J190" s="63">
        <v>-0.45789999999999997</v>
      </c>
      <c r="K190" s="99"/>
      <c r="M190" s="144"/>
    </row>
    <row r="191" spans="5:13">
      <c r="E191" s="84" t="s">
        <v>728</v>
      </c>
      <c r="F191" s="84" t="s">
        <v>727</v>
      </c>
      <c r="G191" s="294">
        <f>'Beta Calculation Data'!L191</f>
        <v>87.013999999999996</v>
      </c>
      <c r="H191" s="171">
        <v>1.0069999999999999</v>
      </c>
      <c r="I191" s="101">
        <f t="shared" si="2"/>
        <v>86.409136047666337</v>
      </c>
      <c r="J191" s="63">
        <v>-0.33129999999999998</v>
      </c>
      <c r="K191" s="99"/>
      <c r="M191" s="144"/>
    </row>
    <row r="192" spans="5:13">
      <c r="E192" s="84" t="s">
        <v>730</v>
      </c>
      <c r="F192" s="84" t="s">
        <v>729</v>
      </c>
      <c r="G192" s="294">
        <f>'Beta Calculation Data'!L192</f>
        <v>37.093000000000004</v>
      </c>
      <c r="H192" s="171">
        <v>9.3620000000000001</v>
      </c>
      <c r="I192" s="101">
        <f t="shared" si="2"/>
        <v>3.9620807519760737</v>
      </c>
      <c r="J192" s="63">
        <v>2.7300000000000001E-2</v>
      </c>
      <c r="K192" s="99"/>
      <c r="M192" s="144"/>
    </row>
    <row r="193" spans="5:13">
      <c r="E193" s="84" t="s">
        <v>429</v>
      </c>
      <c r="F193" s="84" t="s">
        <v>428</v>
      </c>
      <c r="G193" s="294">
        <f>'Beta Calculation Data'!L193</f>
        <v>2770.2640000000001</v>
      </c>
      <c r="H193" s="171">
        <v>3161.5790000000002</v>
      </c>
      <c r="I193" s="101">
        <f t="shared" si="2"/>
        <v>0.8762279860791079</v>
      </c>
      <c r="J193" s="63">
        <v>-0.4965</v>
      </c>
      <c r="K193" s="99"/>
    </row>
    <row r="194" spans="5:13">
      <c r="E194" s="84" t="s">
        <v>732</v>
      </c>
      <c r="F194" s="84" t="s">
        <v>731</v>
      </c>
      <c r="G194" s="415" t="s">
        <v>106</v>
      </c>
      <c r="H194" s="415" t="s">
        <v>106</v>
      </c>
      <c r="I194" s="241" t="s">
        <v>106</v>
      </c>
      <c r="J194" s="63">
        <v>-5.9700000000000003E-2</v>
      </c>
      <c r="K194" s="99"/>
    </row>
    <row r="195" spans="5:13">
      <c r="E195" s="84" t="s">
        <v>734</v>
      </c>
      <c r="F195" s="84" t="s">
        <v>733</v>
      </c>
      <c r="G195" s="415" t="s">
        <v>106</v>
      </c>
      <c r="H195" s="415" t="s">
        <v>106</v>
      </c>
      <c r="I195" s="241" t="s">
        <v>106</v>
      </c>
      <c r="J195" s="241" t="s">
        <v>106</v>
      </c>
      <c r="K195" s="99"/>
      <c r="M195" s="45"/>
    </row>
    <row r="196" spans="5:13">
      <c r="E196" s="84" t="s">
        <v>736</v>
      </c>
      <c r="F196" s="84" t="s">
        <v>735</v>
      </c>
      <c r="G196" s="294">
        <f>'Beta Calculation Data'!L196</f>
        <v>16.146999999999998</v>
      </c>
      <c r="H196" s="171">
        <v>0.103336</v>
      </c>
      <c r="I196" s="101">
        <f t="shared" si="2"/>
        <v>156.25725787721606</v>
      </c>
      <c r="J196" s="63">
        <v>-1.1997</v>
      </c>
      <c r="K196" s="99"/>
      <c r="M196" s="144"/>
    </row>
    <row r="197" spans="5:13">
      <c r="E197" s="84" t="s">
        <v>738</v>
      </c>
      <c r="F197" s="84" t="s">
        <v>737</v>
      </c>
      <c r="G197" s="294">
        <f>'Beta Calculation Data'!L197</f>
        <v>50.225999999999999</v>
      </c>
      <c r="H197" s="171">
        <v>3.4009999999999998</v>
      </c>
      <c r="I197" s="101">
        <f t="shared" si="2"/>
        <v>14.768009408997354</v>
      </c>
      <c r="J197" s="63">
        <v>-0.16039999999999999</v>
      </c>
      <c r="K197" s="99"/>
    </row>
    <row r="198" spans="5:13">
      <c r="E198" s="84" t="s">
        <v>767</v>
      </c>
      <c r="F198" s="84" t="s">
        <v>739</v>
      </c>
      <c r="G198" s="294">
        <f>'Beta Calculation Data'!L198</f>
        <v>0</v>
      </c>
      <c r="H198" s="415" t="s">
        <v>106</v>
      </c>
      <c r="I198" s="241" t="s">
        <v>106</v>
      </c>
      <c r="J198" s="241" t="s">
        <v>106</v>
      </c>
      <c r="K198" s="99"/>
    </row>
    <row r="199" spans="5:13">
      <c r="E199" s="84" t="s">
        <v>741</v>
      </c>
      <c r="F199" s="84" t="s">
        <v>740</v>
      </c>
      <c r="G199" s="415" t="s">
        <v>106</v>
      </c>
      <c r="H199" s="415" t="s">
        <v>106</v>
      </c>
      <c r="I199" s="241" t="s">
        <v>106</v>
      </c>
      <c r="J199" s="241" t="s">
        <v>106</v>
      </c>
      <c r="K199" s="99"/>
      <c r="M199" s="144"/>
    </row>
    <row r="200" spans="5:13">
      <c r="E200" s="84" t="s">
        <v>743</v>
      </c>
      <c r="F200" s="84" t="s">
        <v>742</v>
      </c>
      <c r="G200" s="294">
        <f>'Beta Calculation Data'!L200</f>
        <v>32.353000000000002</v>
      </c>
      <c r="H200" s="171">
        <v>13.308999999999999</v>
      </c>
      <c r="I200" s="101">
        <f>G200/H200</f>
        <v>2.4309114133293264</v>
      </c>
      <c r="J200" s="63">
        <v>-0.14460000000000001</v>
      </c>
      <c r="K200" s="99"/>
    </row>
    <row r="201" spans="5:13">
      <c r="E201" s="84" t="s">
        <v>745</v>
      </c>
      <c r="F201" s="84" t="s">
        <v>744</v>
      </c>
      <c r="G201" s="294">
        <f>'Beta Calculation Data'!L201</f>
        <v>0.49361549999999998</v>
      </c>
      <c r="H201" s="415" t="s">
        <v>106</v>
      </c>
      <c r="I201" s="241" t="s">
        <v>106</v>
      </c>
      <c r="J201" s="63">
        <v>1.01E-2</v>
      </c>
      <c r="K201" s="99"/>
      <c r="M201" s="144"/>
    </row>
    <row r="202" spans="5:13">
      <c r="E202" s="84" t="s">
        <v>747</v>
      </c>
      <c r="F202" s="84" t="s">
        <v>746</v>
      </c>
      <c r="G202" s="294">
        <f>'Beta Calculation Data'!L202</f>
        <v>0</v>
      </c>
      <c r="H202" s="171">
        <v>86903.453999999998</v>
      </c>
      <c r="I202" s="101">
        <f>G202/H202</f>
        <v>0</v>
      </c>
      <c r="J202" s="415" t="s">
        <v>106</v>
      </c>
      <c r="K202" s="99"/>
      <c r="M202" s="144"/>
    </row>
    <row r="203" spans="5:13">
      <c r="E203" s="84" t="s">
        <v>749</v>
      </c>
      <c r="F203" s="84" t="s">
        <v>748</v>
      </c>
      <c r="G203" s="294">
        <f>'Beta Calculation Data'!L203</f>
        <v>4.1029999999999998</v>
      </c>
      <c r="H203" s="171">
        <v>118.764</v>
      </c>
      <c r="I203" s="101">
        <f>G203/H203</f>
        <v>3.4547505978242563E-2</v>
      </c>
      <c r="J203" s="415" t="s">
        <v>106</v>
      </c>
      <c r="K203" s="99"/>
      <c r="M203" s="144"/>
    </row>
    <row r="204" spans="5:13">
      <c r="E204" s="84" t="s">
        <v>752</v>
      </c>
      <c r="F204" s="84" t="s">
        <v>751</v>
      </c>
      <c r="G204" s="294">
        <f>'Beta Calculation Data'!L204</f>
        <v>1930.5</v>
      </c>
      <c r="H204" s="171">
        <v>804.1</v>
      </c>
      <c r="I204" s="101">
        <f>G204/H204</f>
        <v>2.4008207934336525</v>
      </c>
      <c r="J204" s="415" t="s">
        <v>106</v>
      </c>
      <c r="K204" s="99"/>
    </row>
    <row r="205" spans="5:13">
      <c r="G205" s="99"/>
      <c r="H205" s="99"/>
      <c r="I205" s="72">
        <f>_xlfn.PERCENTILE.EXC(I6:I204,0.5)</f>
        <v>1.9135084705202416</v>
      </c>
      <c r="J205" s="129">
        <f>_xlfn.PERCENTILE.EXC(J6:J204,0.5)</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41"/>
  <sheetViews>
    <sheetView zoomScaleNormal="100" workbookViewId="0"/>
  </sheetViews>
  <sheetFormatPr defaultRowHeight="12"/>
  <cols>
    <col min="1" max="1" width="2" style="77" customWidth="1"/>
    <col min="2" max="2" width="24.28515625" style="77" customWidth="1"/>
    <col min="3" max="6" width="11.7109375" style="77" customWidth="1"/>
    <col min="7" max="7" width="11.7109375" style="77" customWidth="1" collapsed="1"/>
    <col min="8" max="17" width="11.7109375" style="77" customWidth="1"/>
    <col min="18" max="18" width="13.140625" style="77" customWidth="1"/>
    <col min="19" max="28" width="9.140625" style="77" customWidth="1"/>
    <col min="29" max="29" width="9.28515625" style="77" customWidth="1"/>
    <col min="30" max="30" width="9.42578125" style="77" customWidth="1"/>
    <col min="31" max="31" width="10" style="77" customWidth="1"/>
    <col min="32" max="32" width="11.42578125" style="77" customWidth="1"/>
    <col min="33" max="33" width="9.42578125" style="77" bestFit="1" customWidth="1" collapsed="1"/>
    <col min="34" max="16384" width="9.140625" style="77"/>
  </cols>
  <sheetData>
    <row r="1" spans="1:32" s="76" customFormat="1" ht="15" customHeight="1">
      <c r="B1" s="15" t="s">
        <v>327</v>
      </c>
      <c r="C1" s="75"/>
      <c r="D1" s="75"/>
      <c r="E1" s="75"/>
      <c r="F1" s="75"/>
      <c r="G1" s="75"/>
      <c r="H1" s="75"/>
      <c r="I1" s="75"/>
      <c r="J1" s="75"/>
      <c r="K1" s="75"/>
      <c r="L1" s="75"/>
      <c r="M1" s="75"/>
      <c r="N1" s="75"/>
    </row>
    <row r="2" spans="1:32" ht="12" customHeight="1"/>
    <row r="3" spans="1:32" ht="12" customHeight="1">
      <c r="A3" s="79"/>
      <c r="B3" s="253" t="s">
        <v>847</v>
      </c>
      <c r="C3" s="253"/>
      <c r="D3" s="253"/>
      <c r="E3" s="253"/>
      <c r="F3" s="253"/>
      <c r="G3" s="253"/>
      <c r="H3" s="253"/>
      <c r="I3" s="253"/>
      <c r="J3" s="253"/>
      <c r="K3" s="253"/>
      <c r="L3" s="253"/>
      <c r="M3" s="253"/>
      <c r="N3" s="421"/>
    </row>
    <row r="4" spans="1:32" ht="12" customHeight="1" thickBot="1">
      <c r="A4" s="84"/>
      <c r="B4" s="360" t="str">
        <f>Drivers!$C$5&amp;" in billion"</f>
        <v>$ in billion</v>
      </c>
      <c r="C4" s="426">
        <v>42736</v>
      </c>
      <c r="D4" s="426">
        <f t="shared" ref="D4:M4" si="0">EDATE(C4,12)</f>
        <v>43101</v>
      </c>
      <c r="E4" s="426">
        <f t="shared" si="0"/>
        <v>43466</v>
      </c>
      <c r="F4" s="426">
        <f t="shared" si="0"/>
        <v>43831</v>
      </c>
      <c r="G4" s="426">
        <f t="shared" si="0"/>
        <v>44197</v>
      </c>
      <c r="H4" s="426">
        <f t="shared" si="0"/>
        <v>44562</v>
      </c>
      <c r="I4" s="427">
        <f t="shared" si="0"/>
        <v>44927</v>
      </c>
      <c r="J4" s="427">
        <f t="shared" si="0"/>
        <v>45292</v>
      </c>
      <c r="K4" s="427">
        <f t="shared" si="0"/>
        <v>45658</v>
      </c>
      <c r="L4" s="427">
        <f t="shared" si="0"/>
        <v>46023</v>
      </c>
      <c r="M4" s="427">
        <f t="shared" si="0"/>
        <v>46388</v>
      </c>
      <c r="N4" s="424"/>
      <c r="P4" s="227"/>
      <c r="Q4" s="227"/>
      <c r="R4" s="227"/>
    </row>
    <row r="5" spans="1:32" ht="12" customHeight="1">
      <c r="A5" s="84"/>
      <c r="B5" s="420" t="s">
        <v>855</v>
      </c>
      <c r="D5" s="428"/>
      <c r="E5" s="428"/>
      <c r="F5" s="428"/>
      <c r="G5" s="428"/>
      <c r="H5" s="428"/>
      <c r="I5" s="428"/>
      <c r="J5" s="428"/>
      <c r="K5" s="428"/>
      <c r="L5" s="428"/>
      <c r="M5" s="428"/>
      <c r="N5" s="231"/>
      <c r="O5" s="229"/>
      <c r="P5" s="229"/>
      <c r="Q5" s="229"/>
      <c r="R5" s="229"/>
      <c r="S5" s="82"/>
      <c r="T5" s="82"/>
    </row>
    <row r="6" spans="1:32" ht="12" customHeight="1">
      <c r="A6" s="84"/>
      <c r="B6" s="368" t="s">
        <v>846</v>
      </c>
      <c r="C6" s="539">
        <v>150</v>
      </c>
      <c r="D6" s="540">
        <v>180</v>
      </c>
      <c r="E6" s="539">
        <v>210</v>
      </c>
      <c r="F6" s="539">
        <v>270</v>
      </c>
      <c r="G6" s="540">
        <v>340</v>
      </c>
      <c r="H6" s="540">
        <v>350</v>
      </c>
      <c r="I6" s="541">
        <v>400</v>
      </c>
      <c r="J6" s="541">
        <v>460</v>
      </c>
      <c r="K6" s="542">
        <v>530</v>
      </c>
      <c r="L6" s="541">
        <v>570</v>
      </c>
      <c r="M6" s="541">
        <v>610</v>
      </c>
      <c r="N6" s="231"/>
      <c r="O6" s="230"/>
      <c r="P6" s="422"/>
      <c r="Q6" s="51"/>
      <c r="R6" s="423"/>
      <c r="S6" s="82"/>
      <c r="T6" s="82"/>
    </row>
    <row r="7" spans="1:32" ht="12" customHeight="1">
      <c r="B7" s="368" t="s">
        <v>839</v>
      </c>
      <c r="C7" s="539">
        <v>60</v>
      </c>
      <c r="D7" s="542">
        <v>70</v>
      </c>
      <c r="E7" s="541">
        <v>90</v>
      </c>
      <c r="F7" s="542">
        <v>130</v>
      </c>
      <c r="G7" s="543">
        <v>180</v>
      </c>
      <c r="H7" s="541">
        <v>200</v>
      </c>
      <c r="I7" s="541">
        <v>240</v>
      </c>
      <c r="J7" s="541">
        <v>280</v>
      </c>
      <c r="K7" s="542">
        <v>330</v>
      </c>
      <c r="L7" s="541">
        <v>350</v>
      </c>
      <c r="M7" s="541">
        <v>380</v>
      </c>
      <c r="N7" s="231"/>
      <c r="O7" s="231"/>
      <c r="P7" s="422"/>
      <c r="Q7" s="51"/>
      <c r="R7" s="423"/>
      <c r="S7" s="82"/>
      <c r="T7" s="82"/>
    </row>
    <row r="8" spans="1:32" ht="12" customHeight="1">
      <c r="A8" s="84"/>
      <c r="B8" s="368" t="s">
        <v>841</v>
      </c>
      <c r="C8" s="541">
        <v>350</v>
      </c>
      <c r="D8" s="542">
        <v>430</v>
      </c>
      <c r="E8" s="541">
        <v>500</v>
      </c>
      <c r="F8" s="542">
        <v>630</v>
      </c>
      <c r="G8" s="543">
        <v>800</v>
      </c>
      <c r="H8" s="541">
        <v>760</v>
      </c>
      <c r="I8" s="541">
        <v>910</v>
      </c>
      <c r="J8" s="541">
        <v>1080</v>
      </c>
      <c r="K8" s="542">
        <v>1300</v>
      </c>
      <c r="L8" s="541">
        <v>1380</v>
      </c>
      <c r="M8" s="541">
        <v>1500</v>
      </c>
      <c r="N8" s="231"/>
      <c r="O8" s="231"/>
      <c r="P8" s="422"/>
      <c r="Q8" s="51"/>
      <c r="R8" s="423"/>
      <c r="S8" s="82"/>
      <c r="T8" s="82"/>
    </row>
    <row r="9" spans="1:32" ht="12" customHeight="1">
      <c r="A9" s="84"/>
      <c r="B9" s="368" t="s">
        <v>840</v>
      </c>
      <c r="C9" s="541">
        <v>440</v>
      </c>
      <c r="D9" s="542">
        <v>530</v>
      </c>
      <c r="E9" s="541">
        <v>600</v>
      </c>
      <c r="F9" s="542">
        <v>750</v>
      </c>
      <c r="G9" s="543">
        <v>900</v>
      </c>
      <c r="H9" s="541">
        <v>840</v>
      </c>
      <c r="I9" s="541">
        <v>990</v>
      </c>
      <c r="J9" s="541">
        <v>1120</v>
      </c>
      <c r="K9" s="542">
        <v>1270</v>
      </c>
      <c r="L9" s="541">
        <v>1350</v>
      </c>
      <c r="M9" s="541">
        <v>1450</v>
      </c>
      <c r="N9" s="231"/>
      <c r="O9" s="231"/>
      <c r="P9" s="422"/>
      <c r="Q9" s="51"/>
      <c r="R9" s="423"/>
      <c r="S9" s="82"/>
      <c r="T9" s="82"/>
    </row>
    <row r="10" spans="1:32">
      <c r="A10" s="80"/>
      <c r="B10" s="368" t="s">
        <v>842</v>
      </c>
      <c r="C10" s="541">
        <v>70</v>
      </c>
      <c r="D10" s="542">
        <v>90</v>
      </c>
      <c r="E10" s="541">
        <v>110</v>
      </c>
      <c r="F10" s="542">
        <v>170</v>
      </c>
      <c r="G10" s="543">
        <v>250</v>
      </c>
      <c r="H10" s="541">
        <v>280</v>
      </c>
      <c r="I10" s="541">
        <v>350</v>
      </c>
      <c r="J10" s="541">
        <v>440</v>
      </c>
      <c r="K10" s="542">
        <v>550</v>
      </c>
      <c r="L10" s="541">
        <v>600</v>
      </c>
      <c r="M10" s="541">
        <v>650</v>
      </c>
      <c r="N10" s="231"/>
      <c r="O10" s="231"/>
      <c r="P10" s="422"/>
      <c r="Q10" s="51"/>
      <c r="R10" s="423"/>
      <c r="S10" s="82"/>
      <c r="T10" s="82"/>
    </row>
    <row r="11" spans="1:32" ht="12" customHeight="1">
      <c r="A11" s="84"/>
      <c r="B11" s="368" t="s">
        <v>843</v>
      </c>
      <c r="C11" s="541">
        <v>120</v>
      </c>
      <c r="D11" s="542">
        <v>130</v>
      </c>
      <c r="E11" s="541">
        <v>150</v>
      </c>
      <c r="F11" s="542">
        <v>180</v>
      </c>
      <c r="G11" s="543">
        <v>210</v>
      </c>
      <c r="H11" s="541">
        <v>200</v>
      </c>
      <c r="I11" s="541">
        <v>240</v>
      </c>
      <c r="J11" s="541">
        <v>290</v>
      </c>
      <c r="K11" s="542">
        <v>330</v>
      </c>
      <c r="L11" s="541">
        <v>350</v>
      </c>
      <c r="M11" s="541">
        <v>380</v>
      </c>
      <c r="N11" s="231"/>
      <c r="O11" s="231"/>
      <c r="P11" s="422"/>
      <c r="Q11" s="51"/>
      <c r="R11" s="423"/>
      <c r="S11" s="82"/>
      <c r="T11" s="82"/>
    </row>
    <row r="12" spans="1:32">
      <c r="B12" s="368" t="s">
        <v>844</v>
      </c>
      <c r="C12" s="541">
        <v>80</v>
      </c>
      <c r="D12" s="542">
        <v>100</v>
      </c>
      <c r="E12" s="541">
        <v>120</v>
      </c>
      <c r="F12" s="542">
        <v>150</v>
      </c>
      <c r="G12" s="543">
        <v>180</v>
      </c>
      <c r="H12" s="541">
        <v>180</v>
      </c>
      <c r="I12" s="541">
        <v>190</v>
      </c>
      <c r="J12" s="541">
        <v>200</v>
      </c>
      <c r="K12" s="542">
        <v>220</v>
      </c>
      <c r="L12" s="541">
        <v>230</v>
      </c>
      <c r="M12" s="541">
        <v>240</v>
      </c>
      <c r="N12" s="231"/>
      <c r="O12" s="231"/>
      <c r="P12" s="422"/>
      <c r="Q12" s="51"/>
      <c r="R12" s="423"/>
      <c r="S12" s="82"/>
      <c r="T12" s="82"/>
    </row>
    <row r="13" spans="1:32">
      <c r="A13" s="84"/>
      <c r="B13" s="368" t="s">
        <v>845</v>
      </c>
      <c r="C13" s="541">
        <v>280</v>
      </c>
      <c r="D13" s="542">
        <v>340</v>
      </c>
      <c r="E13" s="541">
        <v>400</v>
      </c>
      <c r="F13" s="542">
        <v>530</v>
      </c>
      <c r="G13" s="543">
        <v>670</v>
      </c>
      <c r="H13" s="541">
        <v>700</v>
      </c>
      <c r="I13" s="541">
        <v>780</v>
      </c>
      <c r="J13" s="541">
        <v>880</v>
      </c>
      <c r="K13" s="542">
        <v>980</v>
      </c>
      <c r="L13" s="541">
        <v>1060</v>
      </c>
      <c r="M13" s="541">
        <v>1130</v>
      </c>
      <c r="N13" s="231"/>
      <c r="O13" s="231"/>
      <c r="P13" s="422"/>
      <c r="Q13" s="51"/>
      <c r="R13" s="423"/>
      <c r="S13" s="82"/>
      <c r="T13" s="82"/>
    </row>
    <row r="14" spans="1:32">
      <c r="B14" s="362" t="s">
        <v>856</v>
      </c>
      <c r="C14" s="431">
        <f>SUM(C6:C13)</f>
        <v>1550</v>
      </c>
      <c r="D14" s="431">
        <f t="shared" ref="D14:M14" si="1">SUM(D6:D13)</f>
        <v>1870</v>
      </c>
      <c r="E14" s="431">
        <f t="shared" si="1"/>
        <v>2180</v>
      </c>
      <c r="F14" s="431">
        <f t="shared" si="1"/>
        <v>2810</v>
      </c>
      <c r="G14" s="431">
        <f t="shared" si="1"/>
        <v>3530</v>
      </c>
      <c r="H14" s="431">
        <f t="shared" si="1"/>
        <v>3510</v>
      </c>
      <c r="I14" s="431">
        <f t="shared" si="1"/>
        <v>4100</v>
      </c>
      <c r="J14" s="431">
        <f t="shared" si="1"/>
        <v>4750</v>
      </c>
      <c r="K14" s="431">
        <f t="shared" si="1"/>
        <v>5510</v>
      </c>
      <c r="L14" s="431">
        <f t="shared" si="1"/>
        <v>5890</v>
      </c>
      <c r="M14" s="431">
        <f t="shared" si="1"/>
        <v>6340</v>
      </c>
      <c r="N14" s="231"/>
      <c r="O14" s="231"/>
      <c r="P14" s="422"/>
      <c r="Q14" s="51"/>
      <c r="R14" s="423"/>
      <c r="S14" s="82"/>
      <c r="T14" s="82"/>
    </row>
    <row r="15" spans="1:32">
      <c r="B15" s="420" t="s">
        <v>848</v>
      </c>
      <c r="C15" s="417"/>
      <c r="D15" s="417"/>
      <c r="E15" s="417"/>
      <c r="F15" s="417"/>
      <c r="G15" s="417"/>
      <c r="H15" s="417"/>
      <c r="I15" s="417"/>
      <c r="J15" s="417"/>
      <c r="K15" s="417"/>
      <c r="L15" s="417"/>
      <c r="M15" s="417"/>
      <c r="N15" s="231"/>
      <c r="O15" s="231"/>
      <c r="P15" s="422"/>
      <c r="Q15" s="51"/>
      <c r="R15" s="423"/>
      <c r="S15" s="82"/>
      <c r="T15" s="82"/>
      <c r="U15" s="82"/>
      <c r="V15" s="82"/>
      <c r="W15" s="82"/>
      <c r="X15" s="82"/>
      <c r="Y15" s="82"/>
      <c r="Z15" s="82"/>
    </row>
    <row r="16" spans="1:32">
      <c r="B16" s="368" t="s">
        <v>846</v>
      </c>
      <c r="C16" s="544">
        <v>200</v>
      </c>
      <c r="D16" s="544">
        <v>200</v>
      </c>
      <c r="E16" s="544">
        <v>200</v>
      </c>
      <c r="F16" s="544">
        <v>220</v>
      </c>
      <c r="G16" s="545">
        <v>230</v>
      </c>
      <c r="H16" s="544">
        <v>220</v>
      </c>
      <c r="I16" s="544">
        <v>220</v>
      </c>
      <c r="J16" s="544">
        <v>240</v>
      </c>
      <c r="K16" s="544">
        <v>250</v>
      </c>
      <c r="L16" s="544">
        <v>250</v>
      </c>
      <c r="M16" s="544">
        <v>260</v>
      </c>
      <c r="N16" s="252"/>
      <c r="O16" s="231"/>
      <c r="P16" s="422"/>
      <c r="Q16" s="51"/>
      <c r="R16" s="423"/>
      <c r="S16" s="82"/>
      <c r="T16" s="82"/>
      <c r="U16" s="82"/>
      <c r="V16" s="82"/>
      <c r="W16" s="82"/>
      <c r="X16" s="82"/>
      <c r="Y16" s="82"/>
      <c r="Z16" s="82"/>
      <c r="AA16" s="82"/>
      <c r="AB16" s="82"/>
      <c r="AC16" s="82"/>
      <c r="AD16" s="82"/>
      <c r="AE16" s="82"/>
      <c r="AF16" s="82"/>
    </row>
    <row r="17" spans="1:34">
      <c r="B17" s="368" t="s">
        <v>839</v>
      </c>
      <c r="C17" s="544">
        <v>140</v>
      </c>
      <c r="D17" s="544">
        <v>150</v>
      </c>
      <c r="E17" s="544">
        <v>160</v>
      </c>
      <c r="F17" s="544">
        <v>190</v>
      </c>
      <c r="G17" s="544">
        <v>220</v>
      </c>
      <c r="H17" s="544">
        <v>210</v>
      </c>
      <c r="I17" s="544">
        <v>220</v>
      </c>
      <c r="J17" s="544">
        <v>230</v>
      </c>
      <c r="K17" s="544">
        <v>250</v>
      </c>
      <c r="L17" s="544">
        <v>250</v>
      </c>
      <c r="M17" s="546">
        <v>260</v>
      </c>
      <c r="N17" s="47"/>
      <c r="O17" s="231"/>
      <c r="P17" s="422"/>
      <c r="Q17" s="51"/>
      <c r="R17" s="423"/>
      <c r="S17" s="82"/>
      <c r="T17" s="82"/>
      <c r="U17" s="82"/>
      <c r="V17" s="82"/>
      <c r="W17" s="82"/>
      <c r="X17" s="82"/>
      <c r="Y17" s="82"/>
      <c r="Z17" s="82"/>
      <c r="AA17" s="82"/>
      <c r="AB17" s="82"/>
      <c r="AC17" s="82"/>
      <c r="AD17" s="82"/>
      <c r="AE17" s="82"/>
      <c r="AF17" s="82"/>
    </row>
    <row r="18" spans="1:34">
      <c r="A18" s="84"/>
      <c r="B18" s="368" t="s">
        <v>841</v>
      </c>
      <c r="C18" s="544">
        <v>310</v>
      </c>
      <c r="D18" s="544">
        <v>320</v>
      </c>
      <c r="E18" s="544">
        <v>300</v>
      </c>
      <c r="F18" s="544">
        <v>330</v>
      </c>
      <c r="G18" s="544">
        <v>350</v>
      </c>
      <c r="H18" s="544">
        <v>290</v>
      </c>
      <c r="I18" s="544">
        <v>320</v>
      </c>
      <c r="J18" s="544">
        <v>340</v>
      </c>
      <c r="K18" s="544">
        <v>380</v>
      </c>
      <c r="L18" s="544">
        <v>380</v>
      </c>
      <c r="M18" s="546">
        <v>390</v>
      </c>
      <c r="N18" s="232"/>
      <c r="R18" s="82"/>
      <c r="S18" s="82"/>
      <c r="T18" s="82"/>
      <c r="U18" s="82"/>
      <c r="V18" s="82"/>
      <c r="W18" s="82"/>
      <c r="X18" s="82"/>
      <c r="Y18" s="82"/>
      <c r="Z18" s="82"/>
      <c r="AA18" s="82"/>
      <c r="AB18" s="82"/>
      <c r="AC18" s="82"/>
      <c r="AD18" s="82"/>
      <c r="AE18" s="82"/>
      <c r="AF18" s="82"/>
    </row>
    <row r="19" spans="1:34">
      <c r="B19" s="368" t="s">
        <v>840</v>
      </c>
      <c r="C19" s="544">
        <v>380</v>
      </c>
      <c r="D19" s="544">
        <v>380</v>
      </c>
      <c r="E19" s="544">
        <v>370</v>
      </c>
      <c r="F19" s="544">
        <v>400</v>
      </c>
      <c r="G19" s="544">
        <v>420</v>
      </c>
      <c r="H19" s="544">
        <v>350</v>
      </c>
      <c r="I19" s="544">
        <v>370</v>
      </c>
      <c r="J19" s="544">
        <v>390</v>
      </c>
      <c r="K19" s="544">
        <v>410</v>
      </c>
      <c r="L19" s="544">
        <v>420</v>
      </c>
      <c r="M19" s="547">
        <v>430</v>
      </c>
      <c r="N19" s="232"/>
      <c r="O19" s="47"/>
      <c r="R19" s="82"/>
      <c r="S19" s="82"/>
      <c r="T19" s="82"/>
      <c r="U19" s="82"/>
      <c r="V19" s="82"/>
      <c r="W19" s="82"/>
      <c r="X19" s="82"/>
      <c r="Y19" s="82"/>
      <c r="Z19" s="82"/>
      <c r="AA19" s="82"/>
      <c r="AB19" s="82"/>
      <c r="AC19" s="82"/>
      <c r="AD19" s="82"/>
      <c r="AE19" s="82"/>
      <c r="AF19" s="82"/>
    </row>
    <row r="20" spans="1:34" ht="12" customHeight="1">
      <c r="A20" s="84"/>
      <c r="B20" s="368" t="s">
        <v>842</v>
      </c>
      <c r="C20" s="544">
        <v>170</v>
      </c>
      <c r="D20" s="544">
        <v>190</v>
      </c>
      <c r="E20" s="544">
        <v>200</v>
      </c>
      <c r="F20" s="544">
        <v>260</v>
      </c>
      <c r="G20" s="544">
        <v>320</v>
      </c>
      <c r="H20" s="544">
        <v>310</v>
      </c>
      <c r="I20" s="544">
        <v>340</v>
      </c>
      <c r="J20" s="544">
        <v>390</v>
      </c>
      <c r="K20" s="544">
        <v>450</v>
      </c>
      <c r="L20" s="547">
        <v>450</v>
      </c>
      <c r="M20" s="547">
        <v>450</v>
      </c>
      <c r="N20" s="98"/>
      <c r="O20" s="232"/>
      <c r="R20" s="82"/>
      <c r="S20" s="82"/>
      <c r="T20" s="82"/>
      <c r="U20" s="82"/>
      <c r="V20" s="82"/>
      <c r="W20" s="82"/>
      <c r="X20" s="82"/>
      <c r="Y20" s="82"/>
      <c r="Z20" s="82"/>
      <c r="AA20" s="82"/>
      <c r="AB20" s="82"/>
      <c r="AC20" s="82"/>
      <c r="AD20" s="82"/>
      <c r="AE20" s="82"/>
      <c r="AF20" s="82"/>
    </row>
    <row r="21" spans="1:34">
      <c r="B21" s="368" t="s">
        <v>843</v>
      </c>
      <c r="C21" s="544">
        <v>250</v>
      </c>
      <c r="D21" s="544">
        <v>230</v>
      </c>
      <c r="E21" s="544">
        <v>200</v>
      </c>
      <c r="F21" s="544">
        <v>210</v>
      </c>
      <c r="G21" s="544">
        <v>200</v>
      </c>
      <c r="H21" s="544">
        <v>160</v>
      </c>
      <c r="I21" s="544">
        <v>170</v>
      </c>
      <c r="J21" s="544">
        <v>180</v>
      </c>
      <c r="K21" s="544">
        <v>190</v>
      </c>
      <c r="L21" s="544">
        <v>180</v>
      </c>
      <c r="M21" s="544">
        <v>180</v>
      </c>
      <c r="N21" s="98"/>
      <c r="O21" s="82"/>
      <c r="R21" s="82"/>
      <c r="S21" s="82"/>
      <c r="T21" s="82"/>
      <c r="U21" s="82"/>
      <c r="V21" s="82"/>
      <c r="W21" s="82"/>
      <c r="X21" s="82"/>
      <c r="Y21" s="82"/>
      <c r="Z21" s="82"/>
      <c r="AA21" s="82"/>
      <c r="AB21" s="82"/>
      <c r="AC21" s="82"/>
      <c r="AD21" s="82"/>
      <c r="AE21" s="82"/>
      <c r="AF21" s="82"/>
    </row>
    <row r="22" spans="1:34">
      <c r="B22" s="368" t="s">
        <v>844</v>
      </c>
      <c r="C22" s="544">
        <v>90</v>
      </c>
      <c r="D22" s="544">
        <v>100</v>
      </c>
      <c r="E22" s="544">
        <v>100</v>
      </c>
      <c r="F22" s="544">
        <v>110</v>
      </c>
      <c r="G22" s="544">
        <v>110</v>
      </c>
      <c r="H22" s="544">
        <v>100</v>
      </c>
      <c r="I22" s="544">
        <v>90</v>
      </c>
      <c r="J22" s="544">
        <v>90</v>
      </c>
      <c r="K22" s="544">
        <v>90</v>
      </c>
      <c r="L22" s="544">
        <v>90</v>
      </c>
      <c r="M22" s="544">
        <v>90</v>
      </c>
      <c r="N22" s="98"/>
      <c r="O22" s="82"/>
      <c r="P22" s="82"/>
      <c r="Q22" s="82"/>
      <c r="R22" s="82"/>
      <c r="S22" s="82"/>
      <c r="T22" s="82"/>
      <c r="U22" s="82"/>
      <c r="V22" s="82"/>
      <c r="W22" s="82"/>
      <c r="X22" s="82"/>
      <c r="Y22" s="82"/>
      <c r="Z22" s="82"/>
      <c r="AA22" s="82"/>
      <c r="AB22" s="82"/>
      <c r="AC22" s="82"/>
      <c r="AD22" s="82"/>
      <c r="AE22" s="82"/>
      <c r="AF22" s="82"/>
      <c r="AG22" s="82"/>
    </row>
    <row r="23" spans="1:34">
      <c r="B23" s="368" t="s">
        <v>845</v>
      </c>
      <c r="C23" s="544">
        <v>330</v>
      </c>
      <c r="D23" s="544">
        <v>330</v>
      </c>
      <c r="E23" s="544">
        <v>310</v>
      </c>
      <c r="F23" s="544">
        <v>350</v>
      </c>
      <c r="G23" s="544">
        <v>370</v>
      </c>
      <c r="H23" s="544">
        <v>330</v>
      </c>
      <c r="I23" s="544">
        <v>330</v>
      </c>
      <c r="J23" s="544">
        <v>330</v>
      </c>
      <c r="K23" s="544">
        <v>340</v>
      </c>
      <c r="L23" s="544">
        <v>340</v>
      </c>
      <c r="M23" s="544">
        <v>340</v>
      </c>
      <c r="N23" s="99"/>
      <c r="O23" s="82"/>
      <c r="P23" s="82"/>
      <c r="Q23" s="82"/>
      <c r="R23" s="82"/>
      <c r="S23" s="82"/>
      <c r="T23" s="82"/>
      <c r="U23" s="82"/>
      <c r="V23" s="82"/>
      <c r="W23" s="82"/>
      <c r="X23" s="82"/>
      <c r="Y23" s="82"/>
      <c r="Z23" s="82"/>
      <c r="AA23" s="82"/>
      <c r="AB23" s="82"/>
      <c r="AC23" s="82"/>
      <c r="AD23" s="82"/>
      <c r="AE23" s="82"/>
      <c r="AF23" s="82"/>
      <c r="AG23" s="82"/>
      <c r="AH23" s="82"/>
    </row>
    <row r="24" spans="1:34">
      <c r="B24" s="362" t="s">
        <v>849</v>
      </c>
      <c r="C24" s="431">
        <v>750</v>
      </c>
      <c r="D24" s="431">
        <v>770</v>
      </c>
      <c r="E24" s="431">
        <v>720</v>
      </c>
      <c r="F24" s="431">
        <v>820</v>
      </c>
      <c r="G24" s="431">
        <v>930</v>
      </c>
      <c r="H24" s="431">
        <v>850</v>
      </c>
      <c r="I24" s="431">
        <v>930</v>
      </c>
      <c r="J24" s="431">
        <v>1020</v>
      </c>
      <c r="K24" s="431">
        <v>1130</v>
      </c>
      <c r="L24" s="431">
        <v>1160</v>
      </c>
      <c r="M24" s="431">
        <v>1200</v>
      </c>
      <c r="N24" s="82"/>
      <c r="O24" s="82"/>
      <c r="P24" s="82"/>
      <c r="Q24" s="82"/>
      <c r="R24" s="82"/>
      <c r="S24" s="82"/>
      <c r="T24" s="82"/>
      <c r="U24" s="82"/>
      <c r="V24" s="82"/>
      <c r="W24" s="82"/>
      <c r="X24" s="82"/>
      <c r="Y24" s="82"/>
      <c r="Z24" s="82"/>
      <c r="AA24" s="82"/>
      <c r="AB24" s="82"/>
      <c r="AC24" s="82"/>
      <c r="AD24" s="82"/>
      <c r="AE24" s="82"/>
      <c r="AF24" s="82"/>
    </row>
    <row r="25" spans="1:34">
      <c r="O25" s="82"/>
      <c r="P25" s="82"/>
      <c r="Q25" s="82"/>
      <c r="R25" s="82"/>
      <c r="S25" s="82"/>
      <c r="T25" s="82"/>
      <c r="U25" s="82"/>
      <c r="V25" s="82"/>
      <c r="W25" s="82"/>
      <c r="X25" s="82"/>
      <c r="Y25" s="82"/>
      <c r="Z25" s="82"/>
      <c r="AA25" s="82"/>
      <c r="AB25" s="82"/>
      <c r="AC25" s="82"/>
      <c r="AD25" s="82"/>
      <c r="AE25" s="82"/>
      <c r="AF25" s="82"/>
    </row>
    <row r="26" spans="1:34">
      <c r="B26" s="77" t="s">
        <v>852</v>
      </c>
      <c r="C26" s="429"/>
      <c r="D26" s="429"/>
      <c r="E26" s="429"/>
      <c r="F26" s="429"/>
      <c r="G26" s="429"/>
      <c r="H26" s="429"/>
      <c r="I26" s="429"/>
      <c r="J26" s="429"/>
      <c r="K26" s="429"/>
      <c r="L26" s="429"/>
      <c r="M26" s="429"/>
      <c r="O26" s="82"/>
      <c r="P26" s="82"/>
      <c r="Q26" s="82"/>
      <c r="R26" s="82"/>
      <c r="S26" s="82"/>
      <c r="T26" s="82"/>
      <c r="U26" s="82"/>
      <c r="V26" s="82"/>
      <c r="W26" s="82"/>
      <c r="X26" s="82"/>
      <c r="Y26" s="82"/>
      <c r="Z26" s="82"/>
      <c r="AA26" s="82"/>
      <c r="AB26" s="82"/>
      <c r="AC26" s="82"/>
      <c r="AD26" s="82"/>
      <c r="AE26" s="82"/>
      <c r="AF26" s="82"/>
    </row>
    <row r="27" spans="1:34">
      <c r="B27" s="367" t="s">
        <v>850</v>
      </c>
      <c r="C27" s="548">
        <f t="shared" ref="C27:M27" si="2">100%-C30</f>
        <v>8.5999999999999965E-2</v>
      </c>
      <c r="D27" s="548">
        <f t="shared" si="2"/>
        <v>9.9999999999999978E-2</v>
      </c>
      <c r="E27" s="548">
        <f t="shared" si="2"/>
        <v>0.11199999999999999</v>
      </c>
      <c r="F27" s="548">
        <f t="shared" si="2"/>
        <v>0.14400000000000002</v>
      </c>
      <c r="G27" s="548">
        <f t="shared" si="2"/>
        <v>0.16400000000000003</v>
      </c>
      <c r="H27" s="548">
        <f t="shared" si="2"/>
        <v>0.16200000000000003</v>
      </c>
      <c r="I27" s="548">
        <f t="shared" si="2"/>
        <v>0.17300000000000004</v>
      </c>
      <c r="J27" s="548">
        <f t="shared" si="2"/>
        <v>0.18700000000000006</v>
      </c>
      <c r="K27" s="548">
        <f t="shared" si="2"/>
        <v>0.20399999999999996</v>
      </c>
      <c r="L27" s="548">
        <f t="shared" si="2"/>
        <v>0.20699999999999996</v>
      </c>
      <c r="M27" s="548">
        <f t="shared" si="2"/>
        <v>0.21599999999999997</v>
      </c>
      <c r="O27" s="82"/>
      <c r="P27" s="82"/>
      <c r="Q27" s="82"/>
      <c r="R27" s="82"/>
      <c r="S27" s="82"/>
      <c r="T27" s="82"/>
      <c r="U27" s="82"/>
      <c r="V27" s="82"/>
      <c r="W27" s="82"/>
      <c r="X27" s="82"/>
      <c r="Y27" s="82"/>
      <c r="Z27" s="82"/>
      <c r="AA27" s="82"/>
      <c r="AB27" s="82"/>
      <c r="AC27" s="82"/>
      <c r="AD27" s="82"/>
      <c r="AE27" s="82"/>
      <c r="AF27" s="82"/>
      <c r="AG27" s="82"/>
      <c r="AH27" s="82"/>
    </row>
    <row r="28" spans="1:34">
      <c r="B28" s="434" t="s">
        <v>853</v>
      </c>
      <c r="C28" s="549">
        <v>0.53400000000000003</v>
      </c>
      <c r="D28" s="549">
        <v>0.55500000000000005</v>
      </c>
      <c r="E28" s="549">
        <v>0.56899999999999995</v>
      </c>
      <c r="F28" s="549">
        <v>0.57299999999999995</v>
      </c>
      <c r="G28" s="549">
        <v>0.57799999999999996</v>
      </c>
      <c r="H28" s="549">
        <v>0.58599999999999997</v>
      </c>
      <c r="I28" s="549">
        <v>0.59499999999999997</v>
      </c>
      <c r="J28" s="549">
        <v>0.60199999999999998</v>
      </c>
      <c r="K28" s="549">
        <v>0.61099999999999999</v>
      </c>
      <c r="L28" s="549">
        <v>0.61399999999999999</v>
      </c>
      <c r="M28" s="549">
        <v>0.61799999999999999</v>
      </c>
      <c r="O28" s="82"/>
      <c r="P28" s="82"/>
      <c r="Q28" s="82"/>
      <c r="R28" s="82"/>
      <c r="S28" s="82"/>
      <c r="T28" s="82"/>
      <c r="U28" s="82"/>
      <c r="V28" s="82"/>
      <c r="W28" s="82"/>
      <c r="X28" s="82"/>
      <c r="Y28" s="82"/>
      <c r="Z28" s="82"/>
      <c r="AA28" s="82"/>
      <c r="AB28" s="82"/>
      <c r="AC28" s="82"/>
      <c r="AD28" s="82"/>
      <c r="AE28" s="82"/>
      <c r="AF28" s="82"/>
      <c r="AG28" s="82"/>
      <c r="AH28" s="82"/>
    </row>
    <row r="29" spans="1:34">
      <c r="B29" s="434" t="s">
        <v>854</v>
      </c>
      <c r="C29" s="549">
        <f>100%-C28</f>
        <v>0.46599999999999997</v>
      </c>
      <c r="D29" s="549">
        <f t="shared" ref="D29:M29" si="3">100%-D28</f>
        <v>0.44499999999999995</v>
      </c>
      <c r="E29" s="549">
        <f t="shared" si="3"/>
        <v>0.43100000000000005</v>
      </c>
      <c r="F29" s="549">
        <f t="shared" si="3"/>
        <v>0.42700000000000005</v>
      </c>
      <c r="G29" s="549">
        <f t="shared" si="3"/>
        <v>0.42200000000000004</v>
      </c>
      <c r="H29" s="549">
        <f t="shared" si="3"/>
        <v>0.41400000000000003</v>
      </c>
      <c r="I29" s="549">
        <f t="shared" si="3"/>
        <v>0.40500000000000003</v>
      </c>
      <c r="J29" s="549">
        <f t="shared" si="3"/>
        <v>0.39800000000000002</v>
      </c>
      <c r="K29" s="549">
        <f t="shared" si="3"/>
        <v>0.38900000000000001</v>
      </c>
      <c r="L29" s="549">
        <f t="shared" si="3"/>
        <v>0.38600000000000001</v>
      </c>
      <c r="M29" s="549">
        <f t="shared" si="3"/>
        <v>0.38200000000000001</v>
      </c>
      <c r="N29" s="82"/>
      <c r="O29" s="82"/>
      <c r="P29" s="82"/>
      <c r="Q29" s="82"/>
      <c r="R29" s="82"/>
      <c r="S29" s="82"/>
      <c r="T29" s="82"/>
      <c r="U29" s="82"/>
      <c r="V29" s="82"/>
      <c r="W29" s="82"/>
      <c r="X29" s="82"/>
      <c r="Y29" s="82"/>
      <c r="Z29" s="82"/>
      <c r="AA29" s="82"/>
      <c r="AB29" s="82"/>
      <c r="AC29" s="82"/>
      <c r="AD29" s="82"/>
      <c r="AE29" s="82"/>
      <c r="AF29" s="82"/>
      <c r="AG29" s="82"/>
      <c r="AH29" s="82"/>
    </row>
    <row r="30" spans="1:34" ht="14.25" customHeight="1">
      <c r="B30" s="367" t="s">
        <v>851</v>
      </c>
      <c r="C30" s="548">
        <v>0.91400000000000003</v>
      </c>
      <c r="D30" s="548">
        <v>0.9</v>
      </c>
      <c r="E30" s="548">
        <v>0.88800000000000001</v>
      </c>
      <c r="F30" s="548">
        <v>0.85599999999999998</v>
      </c>
      <c r="G30" s="548">
        <v>0.83599999999999997</v>
      </c>
      <c r="H30" s="548">
        <v>0.83799999999999997</v>
      </c>
      <c r="I30" s="548">
        <v>0.82699999999999996</v>
      </c>
      <c r="J30" s="548">
        <v>0.81299999999999994</v>
      </c>
      <c r="K30" s="548">
        <v>0.79600000000000004</v>
      </c>
      <c r="L30" s="548">
        <v>0.79300000000000004</v>
      </c>
      <c r="M30" s="548">
        <v>0.78400000000000003</v>
      </c>
      <c r="N30" s="82"/>
      <c r="P30" s="82"/>
      <c r="Q30" s="82"/>
      <c r="R30" s="82"/>
      <c r="S30" s="82"/>
      <c r="T30" s="82"/>
      <c r="U30" s="82"/>
      <c r="V30" s="82"/>
      <c r="W30" s="82"/>
      <c r="X30" s="82"/>
      <c r="Y30" s="82"/>
      <c r="Z30" s="82"/>
      <c r="AA30" s="82"/>
      <c r="AB30" s="82"/>
      <c r="AC30" s="82"/>
      <c r="AD30" s="82"/>
      <c r="AE30" s="82"/>
      <c r="AF30" s="82"/>
      <c r="AG30" s="82"/>
      <c r="AH30" s="82"/>
    </row>
    <row r="31" spans="1:34">
      <c r="C31" s="429"/>
      <c r="D31" s="429"/>
      <c r="E31" s="429"/>
      <c r="F31" s="429"/>
      <c r="G31" s="429"/>
      <c r="H31" s="429"/>
      <c r="I31" s="429"/>
      <c r="J31" s="429"/>
      <c r="K31" s="429"/>
      <c r="L31" s="429"/>
      <c r="M31" s="429"/>
      <c r="N31" s="82"/>
      <c r="P31" s="82"/>
      <c r="Q31" s="82"/>
      <c r="R31" s="82"/>
      <c r="S31" s="82"/>
      <c r="T31" s="82"/>
      <c r="U31" s="82"/>
      <c r="V31" s="82"/>
      <c r="W31" s="82"/>
      <c r="X31" s="82"/>
      <c r="Y31" s="82"/>
      <c r="Z31" s="82"/>
      <c r="AA31" s="82"/>
      <c r="AB31" s="82"/>
      <c r="AC31" s="82"/>
      <c r="AD31" s="82"/>
      <c r="AE31" s="82"/>
      <c r="AF31" s="82"/>
      <c r="AG31" s="82"/>
      <c r="AH31" s="82"/>
    </row>
    <row r="32" spans="1:34">
      <c r="C32" s="429"/>
      <c r="D32" s="429"/>
      <c r="E32" s="429"/>
      <c r="F32" s="429"/>
      <c r="G32" s="429"/>
      <c r="H32" s="429"/>
      <c r="I32" s="429"/>
      <c r="J32" s="429"/>
      <c r="K32" s="429"/>
      <c r="L32" s="429"/>
      <c r="M32" s="429"/>
      <c r="N32" s="82"/>
      <c r="O32" s="82"/>
      <c r="P32" s="82"/>
      <c r="Q32" s="82"/>
      <c r="R32" s="82"/>
      <c r="S32" s="82"/>
      <c r="T32" s="82"/>
      <c r="U32" s="82"/>
      <c r="V32" s="82"/>
      <c r="W32" s="82"/>
      <c r="X32" s="82"/>
      <c r="Y32" s="82"/>
      <c r="Z32" s="82"/>
      <c r="AA32" s="82"/>
      <c r="AB32" s="82"/>
      <c r="AC32" s="82"/>
      <c r="AD32" s="82"/>
      <c r="AE32" s="82"/>
      <c r="AF32" s="82"/>
      <c r="AG32" s="82"/>
      <c r="AH32" s="82"/>
    </row>
    <row r="33" spans="3:34">
      <c r="C33" s="429"/>
      <c r="D33" s="429"/>
      <c r="E33" s="429"/>
      <c r="F33" s="429"/>
      <c r="G33" s="429"/>
      <c r="H33" s="429"/>
      <c r="I33" s="429"/>
      <c r="J33" s="429"/>
      <c r="K33" s="429"/>
      <c r="L33" s="429"/>
      <c r="M33" s="429"/>
      <c r="N33" s="82"/>
      <c r="O33" s="82"/>
      <c r="P33" s="82"/>
      <c r="Q33" s="82"/>
      <c r="R33" s="82"/>
      <c r="S33" s="82"/>
      <c r="T33" s="82"/>
      <c r="U33" s="82"/>
      <c r="V33" s="82"/>
      <c r="W33" s="82"/>
      <c r="X33" s="82"/>
      <c r="Y33" s="82"/>
      <c r="Z33" s="82"/>
      <c r="AA33" s="82"/>
      <c r="AB33" s="82"/>
      <c r="AC33" s="82"/>
      <c r="AD33" s="82"/>
      <c r="AE33" s="82"/>
      <c r="AF33" s="82"/>
      <c r="AG33" s="82"/>
      <c r="AH33" s="82"/>
    </row>
    <row r="34" spans="3:34">
      <c r="C34" s="429"/>
      <c r="D34" s="429"/>
      <c r="E34" s="429"/>
      <c r="F34" s="429"/>
      <c r="G34" s="429"/>
      <c r="H34" s="429"/>
      <c r="I34" s="429"/>
      <c r="J34" s="429"/>
      <c r="K34" s="429"/>
      <c r="L34" s="429"/>
      <c r="M34" s="429"/>
      <c r="N34" s="82"/>
      <c r="O34" s="82"/>
      <c r="P34" s="82"/>
      <c r="Q34" s="82"/>
      <c r="R34" s="82"/>
      <c r="S34" s="82"/>
      <c r="T34" s="82"/>
      <c r="U34" s="82"/>
      <c r="V34" s="82"/>
      <c r="W34" s="82"/>
      <c r="X34" s="82"/>
      <c r="Y34" s="82"/>
      <c r="Z34" s="82"/>
      <c r="AA34" s="82"/>
      <c r="AB34" s="82"/>
      <c r="AC34" s="82"/>
      <c r="AD34" s="82"/>
      <c r="AE34" s="82"/>
      <c r="AF34" s="82"/>
      <c r="AG34" s="82"/>
      <c r="AH34" s="82"/>
    </row>
    <row r="35" spans="3:34">
      <c r="C35" s="429"/>
      <c r="D35" s="429"/>
      <c r="E35" s="429"/>
      <c r="F35" s="429"/>
      <c r="G35" s="429"/>
      <c r="H35" s="429"/>
      <c r="I35" s="429"/>
      <c r="J35" s="429"/>
      <c r="K35" s="429"/>
      <c r="L35" s="429"/>
      <c r="M35" s="429"/>
      <c r="N35" s="82"/>
      <c r="O35" s="82"/>
      <c r="P35" s="82"/>
      <c r="Q35" s="82"/>
      <c r="R35" s="82"/>
      <c r="S35" s="82"/>
      <c r="T35" s="82"/>
      <c r="U35" s="82"/>
      <c r="V35" s="82"/>
      <c r="W35" s="82"/>
      <c r="X35" s="82"/>
      <c r="Y35" s="82"/>
      <c r="Z35" s="82"/>
      <c r="AA35" s="82"/>
      <c r="AB35" s="82"/>
      <c r="AC35" s="82"/>
      <c r="AD35" s="82"/>
      <c r="AE35" s="82"/>
      <c r="AF35" s="82"/>
      <c r="AG35" s="82"/>
      <c r="AH35" s="82"/>
    </row>
    <row r="36" spans="3:34">
      <c r="C36" s="429"/>
      <c r="D36" s="429"/>
      <c r="E36" s="429"/>
      <c r="F36" s="429"/>
      <c r="G36" s="429"/>
      <c r="H36" s="429"/>
      <c r="I36" s="429"/>
      <c r="J36" s="429"/>
      <c r="K36" s="429"/>
      <c r="L36" s="429"/>
      <c r="M36" s="429"/>
      <c r="O36" s="82"/>
      <c r="P36" s="82"/>
      <c r="Q36" s="82"/>
      <c r="R36" s="82"/>
      <c r="S36" s="82"/>
      <c r="T36" s="82"/>
      <c r="U36" s="82"/>
      <c r="V36" s="82"/>
      <c r="W36" s="82"/>
      <c r="X36" s="82"/>
      <c r="Y36" s="82"/>
      <c r="Z36" s="82"/>
      <c r="AA36" s="82"/>
      <c r="AB36" s="82"/>
      <c r="AC36" s="82"/>
      <c r="AD36" s="82"/>
      <c r="AE36" s="82"/>
      <c r="AF36" s="82"/>
      <c r="AG36" s="82"/>
      <c r="AH36" s="82"/>
    </row>
    <row r="37" spans="3:34">
      <c r="C37" s="429"/>
      <c r="D37" s="429"/>
      <c r="E37" s="429"/>
      <c r="F37" s="429"/>
      <c r="G37" s="429"/>
      <c r="H37" s="429"/>
      <c r="I37" s="429"/>
      <c r="J37" s="429"/>
      <c r="K37" s="429"/>
      <c r="L37" s="429"/>
      <c r="M37" s="429"/>
      <c r="O37" s="82"/>
      <c r="P37" s="82"/>
      <c r="Q37" s="82"/>
      <c r="R37" s="82"/>
      <c r="S37" s="82"/>
      <c r="T37" s="82"/>
      <c r="U37" s="82"/>
      <c r="V37" s="82"/>
      <c r="W37" s="82"/>
      <c r="X37" s="82"/>
      <c r="Y37" s="82"/>
      <c r="Z37" s="82"/>
      <c r="AA37" s="82"/>
      <c r="AB37" s="82"/>
      <c r="AC37" s="82"/>
      <c r="AD37" s="82"/>
      <c r="AE37" s="82"/>
      <c r="AF37" s="82"/>
      <c r="AG37" s="82"/>
      <c r="AH37" s="82"/>
    </row>
    <row r="38" spans="3:34">
      <c r="C38" s="429"/>
      <c r="D38" s="429"/>
      <c r="E38" s="429"/>
      <c r="F38" s="429"/>
      <c r="G38" s="429"/>
      <c r="H38" s="429"/>
      <c r="I38" s="429"/>
      <c r="J38" s="429"/>
      <c r="K38" s="429"/>
      <c r="L38" s="429"/>
      <c r="M38" s="429"/>
      <c r="O38" s="82"/>
      <c r="P38" s="82"/>
      <c r="Q38" s="82"/>
      <c r="R38" s="82"/>
      <c r="S38" s="82"/>
      <c r="T38" s="82"/>
      <c r="U38" s="82"/>
      <c r="V38" s="82"/>
      <c r="W38" s="82"/>
      <c r="X38" s="82"/>
      <c r="Y38" s="82"/>
      <c r="Z38" s="82"/>
      <c r="AA38" s="82"/>
      <c r="AB38" s="82"/>
      <c r="AC38" s="82"/>
      <c r="AD38" s="82"/>
      <c r="AE38" s="82"/>
      <c r="AF38" s="82"/>
      <c r="AG38" s="82"/>
      <c r="AH38" s="82"/>
    </row>
    <row r="39" spans="3:34">
      <c r="C39" s="429"/>
      <c r="D39" s="429"/>
      <c r="E39" s="429"/>
      <c r="F39" s="429"/>
      <c r="G39" s="429"/>
      <c r="H39" s="429"/>
      <c r="I39" s="429"/>
      <c r="L39" s="429"/>
      <c r="M39" s="429"/>
    </row>
    <row r="40" spans="3:34">
      <c r="L40" s="429"/>
      <c r="M40" s="429"/>
    </row>
    <row r="41" spans="3:34">
      <c r="L41" s="429"/>
      <c r="M41" s="429"/>
    </row>
  </sheetData>
  <pageMargins left="0.7" right="0.7" top="0.75" bottom="0.75" header="0.3" footer="0.3"/>
  <pageSetup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77" customWidth="1"/>
    <col min="2" max="2" width="27" style="77" customWidth="1"/>
    <col min="3" max="6" width="11.7109375" style="77" customWidth="1"/>
    <col min="7" max="7" width="11.7109375" style="77" customWidth="1" collapsed="1"/>
    <col min="8" max="13" width="11.7109375" style="77" customWidth="1"/>
    <col min="14" max="14" width="2.85546875" style="77" customWidth="1"/>
    <col min="15" max="17" width="11.7109375" style="77" customWidth="1"/>
    <col min="18" max="18" width="13.140625" style="77" customWidth="1"/>
    <col min="19" max="28" width="9.140625" style="77" customWidth="1"/>
    <col min="29" max="29" width="9.28515625" style="77" customWidth="1"/>
    <col min="30" max="30" width="9.42578125" style="77" customWidth="1"/>
    <col min="31" max="31" width="10" style="77" customWidth="1"/>
    <col min="32" max="32" width="11.42578125" style="77" customWidth="1"/>
    <col min="33" max="33" width="9.42578125" style="77" bestFit="1" customWidth="1" collapsed="1"/>
    <col min="34" max="16384" width="9.140625" style="77"/>
  </cols>
  <sheetData>
    <row r="1" spans="1:32" s="76" customFormat="1" ht="15" customHeight="1">
      <c r="B1" s="15" t="s">
        <v>871</v>
      </c>
      <c r="C1" s="75"/>
      <c r="D1" s="75"/>
      <c r="E1" s="75"/>
      <c r="F1" s="75"/>
      <c r="G1" s="75"/>
      <c r="H1" s="75"/>
      <c r="I1" s="75"/>
      <c r="J1" s="75"/>
      <c r="K1" s="75"/>
      <c r="L1" s="75"/>
      <c r="M1" s="75"/>
      <c r="N1" s="75"/>
    </row>
    <row r="2" spans="1:32" ht="12" customHeight="1"/>
    <row r="3" spans="1:32" ht="12" customHeight="1">
      <c r="A3" s="79"/>
      <c r="B3" s="253" t="s">
        <v>838</v>
      </c>
      <c r="C3" s="253"/>
      <c r="D3" s="253"/>
      <c r="E3" s="253"/>
      <c r="F3" s="253"/>
      <c r="G3" s="253"/>
      <c r="H3" s="253"/>
      <c r="I3" s="253"/>
      <c r="J3" s="253"/>
      <c r="K3" s="253"/>
      <c r="L3" s="253"/>
      <c r="M3" s="253"/>
      <c r="O3" s="443" t="s">
        <v>857</v>
      </c>
      <c r="P3" s="440"/>
    </row>
    <row r="4" spans="1:32" ht="12" customHeight="1" thickBot="1">
      <c r="A4" s="84"/>
      <c r="B4" s="360" t="str">
        <f>Drivers!$C$5&amp;" in mil"</f>
        <v>$ in mil</v>
      </c>
      <c r="C4" s="426">
        <v>44562</v>
      </c>
      <c r="D4" s="427">
        <v>44927</v>
      </c>
      <c r="E4" s="427">
        <v>45292</v>
      </c>
      <c r="F4" s="427">
        <v>45658</v>
      </c>
      <c r="G4" s="427">
        <v>46023</v>
      </c>
      <c r="H4" s="427">
        <v>46388</v>
      </c>
      <c r="I4" s="427">
        <v>46753</v>
      </c>
      <c r="J4" s="427">
        <v>47119</v>
      </c>
      <c r="K4" s="427">
        <v>47484</v>
      </c>
      <c r="L4" s="427">
        <v>47849</v>
      </c>
      <c r="M4" s="427">
        <v>48214</v>
      </c>
      <c r="O4" s="441"/>
      <c r="P4" s="442"/>
      <c r="Q4" s="227"/>
    </row>
    <row r="5" spans="1:32" ht="12" customHeight="1">
      <c r="A5" s="84"/>
      <c r="B5" s="420" t="s">
        <v>857</v>
      </c>
      <c r="C5" s="370">
        <f>'Key Performance Indicators'!H6*1000</f>
        <v>350000</v>
      </c>
      <c r="D5" s="370">
        <f>'Key Performance Indicators'!I6*1000</f>
        <v>400000</v>
      </c>
      <c r="E5" s="370">
        <f>'Key Performance Indicators'!J6*1000</f>
        <v>460000</v>
      </c>
      <c r="F5" s="370">
        <f>'Key Performance Indicators'!K6*1000</f>
        <v>530000</v>
      </c>
      <c r="G5" s="370">
        <f>'Key Performance Indicators'!L6*1000</f>
        <v>570000</v>
      </c>
      <c r="H5" s="370">
        <f>'Key Performance Indicators'!M6*1000</f>
        <v>610000</v>
      </c>
      <c r="I5" s="370">
        <f>H5*(1+$P$6)</f>
        <v>630569.19999999995</v>
      </c>
      <c r="J5" s="370">
        <f>I5*(1+$P$6)</f>
        <v>651831.99342399999</v>
      </c>
      <c r="K5" s="370">
        <f>J5*(1+$P$6)</f>
        <v>673811.7682422573</v>
      </c>
      <c r="L5" s="370">
        <f>K5*(1+$P$6)</f>
        <v>696532.7010673862</v>
      </c>
      <c r="M5" s="370">
        <f>L5*(1+$P$6)</f>
        <v>720019.78374737839</v>
      </c>
      <c r="N5" s="421"/>
      <c r="O5" s="595" t="s">
        <v>860</v>
      </c>
      <c r="P5" s="226">
        <f>Drivers!I7</f>
        <v>0.11509999999999999</v>
      </c>
      <c r="Q5" s="229"/>
      <c r="R5" s="229"/>
      <c r="S5" s="82"/>
      <c r="T5" s="82"/>
    </row>
    <row r="6" spans="1:32" ht="12" customHeight="1">
      <c r="A6" s="84"/>
      <c r="B6" s="439" t="s">
        <v>859</v>
      </c>
      <c r="C6" s="347">
        <f>C7/C5</f>
        <v>7.3317457142857137E-3</v>
      </c>
      <c r="D6" s="347">
        <f>D7/D5</f>
        <v>1.1087083246583748E-2</v>
      </c>
      <c r="E6" s="347">
        <f t="shared" ref="E6:L6" si="0">E7/E5</f>
        <v>1.2533224539616411E-2</v>
      </c>
      <c r="F6" s="347">
        <f t="shared" si="0"/>
        <v>1.2835913736044882E-2</v>
      </c>
      <c r="G6" s="347">
        <f t="shared" si="0"/>
        <v>1.3367365603010953E-2</v>
      </c>
      <c r="H6" s="347">
        <f t="shared" si="0"/>
        <v>1.3490082401989416E-2</v>
      </c>
      <c r="I6" s="347">
        <f t="shared" si="0"/>
        <v>1.4018543578002805E-2</v>
      </c>
      <c r="J6" s="347">
        <f t="shared" si="0"/>
        <v>1.448925484178069E-2</v>
      </c>
      <c r="K6" s="347">
        <f t="shared" si="0"/>
        <v>1.4813599303568025E-2</v>
      </c>
      <c r="L6" s="347">
        <f t="shared" si="0"/>
        <v>1.4979401787743898E-2</v>
      </c>
      <c r="M6" s="347">
        <f>M7/M5</f>
        <v>1.4979401787743898E-2</v>
      </c>
      <c r="N6" s="424"/>
      <c r="O6" s="595" t="s">
        <v>328</v>
      </c>
      <c r="P6" s="226">
        <f>Drivers!I8</f>
        <v>3.372E-2</v>
      </c>
      <c r="Q6" s="51"/>
      <c r="R6" s="423"/>
      <c r="S6" s="82"/>
      <c r="T6" s="82"/>
    </row>
    <row r="7" spans="1:32" ht="12" customHeight="1">
      <c r="B7" s="437" t="s">
        <v>4</v>
      </c>
      <c r="C7" s="374">
        <f>'Accounting Adjustments'!G5</f>
        <v>2566.1109999999999</v>
      </c>
      <c r="D7" s="374">
        <f>C7*(1+D8)</f>
        <v>4434.833298633499</v>
      </c>
      <c r="E7" s="374">
        <f t="shared" ref="E7:M7" si="1">D7*(1+E8)</f>
        <v>5765.2832882235489</v>
      </c>
      <c r="F7" s="374">
        <f>E7*(1+F8)</f>
        <v>6803.0342801037878</v>
      </c>
      <c r="G7" s="374">
        <f t="shared" si="1"/>
        <v>7619.3983937162429</v>
      </c>
      <c r="H7" s="374">
        <f t="shared" si="1"/>
        <v>8228.9502652135434</v>
      </c>
      <c r="I7" s="374">
        <f t="shared" si="1"/>
        <v>8839.6618091463661</v>
      </c>
      <c r="J7" s="374">
        <f t="shared" si="1"/>
        <v>9444.5598667462509</v>
      </c>
      <c r="K7" s="374">
        <f t="shared" si="1"/>
        <v>9981.5775407694418</v>
      </c>
      <c r="L7" s="374">
        <f t="shared" si="1"/>
        <v>10433.643187590891</v>
      </c>
      <c r="M7" s="374">
        <f t="shared" si="1"/>
        <v>10785.465635876455</v>
      </c>
      <c r="N7" s="231"/>
      <c r="Q7" s="51"/>
      <c r="R7" s="423"/>
      <c r="S7" s="82"/>
      <c r="T7" s="82"/>
    </row>
    <row r="8" spans="1:32" ht="12" customHeight="1">
      <c r="A8" s="84"/>
      <c r="B8" s="439" t="s">
        <v>858</v>
      </c>
      <c r="C8" s="226"/>
      <c r="D8" s="226">
        <f>'Expected Growth Rate'!$C$11</f>
        <v>0.72823128018760652</v>
      </c>
      <c r="E8" s="226">
        <v>0.3</v>
      </c>
      <c r="F8" s="226">
        <v>0.18</v>
      </c>
      <c r="G8" s="226">
        <v>0.12</v>
      </c>
      <c r="H8" s="226">
        <v>0.08</v>
      </c>
      <c r="I8" s="226">
        <f>AVERAGE(H8,J8)</f>
        <v>7.4215000000000003E-2</v>
      </c>
      <c r="J8" s="226">
        <f>AVERAGE(H8,K8)</f>
        <v>6.8430000000000005E-2</v>
      </c>
      <c r="K8" s="226">
        <f>AVERAGE(H8,M8)</f>
        <v>5.6860000000000001E-2</v>
      </c>
      <c r="L8" s="226">
        <f>AVERAGE(K8,M8)</f>
        <v>4.5289999999999997E-2</v>
      </c>
      <c r="M8" s="366">
        <f>P6</f>
        <v>3.372E-2</v>
      </c>
      <c r="N8" s="231"/>
      <c r="Q8" s="51"/>
      <c r="R8" s="423"/>
      <c r="S8" s="82"/>
      <c r="T8" s="82"/>
    </row>
    <row r="9" spans="1:32" ht="12" customHeight="1">
      <c r="A9" s="84"/>
      <c r="B9" s="435" t="s">
        <v>861</v>
      </c>
      <c r="C9" s="388">
        <f>-C7*(1-C10)</f>
        <v>-1553.4628926297369</v>
      </c>
      <c r="D9" s="388">
        <f t="shared" ref="D9:M9" si="2">-D7*(1-D10)</f>
        <v>-2762.8720811883786</v>
      </c>
      <c r="E9" s="388">
        <f t="shared" si="2"/>
        <v>-3693.3012983403228</v>
      </c>
      <c r="F9" s="388">
        <f t="shared" si="2"/>
        <v>-4597.7950510387955</v>
      </c>
      <c r="G9" s="388">
        <f t="shared" si="2"/>
        <v>-5417.993918440332</v>
      </c>
      <c r="H9" s="388">
        <f t="shared" si="2"/>
        <v>-6141.3739700945907</v>
      </c>
      <c r="I9" s="388">
        <f t="shared" si="2"/>
        <v>-6908.6145145051487</v>
      </c>
      <c r="J9" s="388">
        <f t="shared" si="2"/>
        <v>-7714.1425844120276</v>
      </c>
      <c r="K9" s="388">
        <f t="shared" si="2"/>
        <v>-8328.615217083192</v>
      </c>
      <c r="L9" s="388">
        <f t="shared" si="2"/>
        <v>-8889.6287729066007</v>
      </c>
      <c r="M9" s="388">
        <f t="shared" si="2"/>
        <v>-9569.4043854313841</v>
      </c>
      <c r="N9" s="231"/>
      <c r="O9" s="231"/>
      <c r="P9" s="422"/>
      <c r="Q9" s="51"/>
      <c r="R9" s="423"/>
      <c r="S9" s="82"/>
      <c r="T9" s="82"/>
    </row>
    <row r="10" spans="1:32">
      <c r="A10" s="80"/>
      <c r="B10" s="439" t="s">
        <v>862</v>
      </c>
      <c r="C10" s="226">
        <f>'Accounting Adjustments'!C55</f>
        <v>0.39462365711002489</v>
      </c>
      <c r="D10" s="226">
        <f>AVERAGE(C10,E10)</f>
        <v>0.37700655354064833</v>
      </c>
      <c r="E10" s="226">
        <f>AVERAGE(C10,F10)</f>
        <v>0.35938944997127176</v>
      </c>
      <c r="F10" s="226">
        <f>AVERAGE(C10,H10)</f>
        <v>0.32415524283251868</v>
      </c>
      <c r="G10" s="438">
        <f>AVERAGE(F10,H10)</f>
        <v>0.28892103569376559</v>
      </c>
      <c r="H10" s="226">
        <f>AVERAGE(C10,M10)</f>
        <v>0.25368682855501246</v>
      </c>
      <c r="I10" s="92">
        <f>AVERAGE(H10,J10)</f>
        <v>0.21845262141625935</v>
      </c>
      <c r="J10" s="92">
        <f>AVERAGE(H10,M10)</f>
        <v>0.18321841427750624</v>
      </c>
      <c r="K10" s="92">
        <f>AVERAGE(J10,L10)</f>
        <v>0.16560131070812967</v>
      </c>
      <c r="L10" s="92">
        <f>AVERAGE(J10,M10)</f>
        <v>0.14798420713875313</v>
      </c>
      <c r="M10" s="366">
        <f>'Expected Growth Rate'!C22</f>
        <v>0.11275</v>
      </c>
      <c r="N10" s="231"/>
      <c r="O10" s="231"/>
      <c r="P10" s="422"/>
      <c r="Q10" s="51"/>
      <c r="R10" s="423"/>
      <c r="S10" s="82"/>
      <c r="T10" s="82"/>
    </row>
    <row r="11" spans="1:32" ht="12" customHeight="1">
      <c r="B11" s="435" t="s">
        <v>881</v>
      </c>
      <c r="C11" s="388"/>
      <c r="D11" s="388">
        <f>-'Future Value (Equity Options)'!D15</f>
        <v>-665.22499479502483</v>
      </c>
      <c r="E11" s="388">
        <f>-'Future Value (Equity Options)'!E15</f>
        <v>-691.83399458682584</v>
      </c>
      <c r="F11" s="388">
        <f>-'Future Value (Equity Options)'!F15</f>
        <v>-544.242742408303</v>
      </c>
      <c r="G11" s="388">
        <f>-'Future Value (Equity Options)'!G15</f>
        <v>-380.96991968581216</v>
      </c>
      <c r="H11" s="388">
        <f>-'Future Value (Equity Options)'!H15</f>
        <v>-329.15801060854176</v>
      </c>
      <c r="I11" s="388">
        <f>-'Future Value (Equity Options)'!I15</f>
        <v>-265.189854274391</v>
      </c>
      <c r="J11" s="388">
        <f>-'Future Value (Equity Options)'!J15</f>
        <v>-188.89119733492501</v>
      </c>
      <c r="K11" s="388">
        <f>-'Future Value (Equity Options)'!K15</f>
        <v>-199.63155081538883</v>
      </c>
      <c r="L11" s="388">
        <f>-'Future Value (Equity Options)'!L15</f>
        <v>-104.33643187590891</v>
      </c>
      <c r="M11" s="388">
        <f>-'Future Value (Equity Options)'!M15</f>
        <v>-107.85465635876456</v>
      </c>
      <c r="N11" s="231"/>
      <c r="O11" s="231"/>
      <c r="P11" s="422"/>
      <c r="Q11" s="51"/>
      <c r="R11" s="423"/>
      <c r="S11" s="82"/>
      <c r="T11" s="82"/>
    </row>
    <row r="12" spans="1:32">
      <c r="A12" s="84"/>
      <c r="B12" s="437" t="s">
        <v>863</v>
      </c>
      <c r="C12" s="374">
        <f>C7+C9+C11</f>
        <v>1012.648107370263</v>
      </c>
      <c r="D12" s="374">
        <f t="shared" ref="D12:M12" si="3">D7+D9+D11</f>
        <v>1006.7362226500956</v>
      </c>
      <c r="E12" s="374">
        <f t="shared" si="3"/>
        <v>1380.1479952964003</v>
      </c>
      <c r="F12" s="374">
        <f t="shared" si="3"/>
        <v>1660.9964866566893</v>
      </c>
      <c r="G12" s="374">
        <f t="shared" si="3"/>
        <v>1820.4345555900989</v>
      </c>
      <c r="H12" s="374">
        <f t="shared" si="3"/>
        <v>1758.418284510411</v>
      </c>
      <c r="I12" s="374">
        <f t="shared" si="3"/>
        <v>1665.8574403668263</v>
      </c>
      <c r="J12" s="374">
        <f t="shared" si="3"/>
        <v>1541.5260849992983</v>
      </c>
      <c r="K12" s="374">
        <f t="shared" si="3"/>
        <v>1453.330772870861</v>
      </c>
      <c r="L12" s="374">
        <f t="shared" si="3"/>
        <v>1439.6779828083816</v>
      </c>
      <c r="M12" s="374">
        <f t="shared" si="3"/>
        <v>1108.2065940863065</v>
      </c>
      <c r="N12" s="231"/>
      <c r="O12" s="231"/>
      <c r="P12" s="422"/>
      <c r="Q12" s="51"/>
      <c r="R12" s="423"/>
      <c r="S12" s="82"/>
      <c r="T12" s="82"/>
    </row>
    <row r="13" spans="1:32">
      <c r="B13" s="439" t="s">
        <v>864</v>
      </c>
      <c r="C13" s="388">
        <f>-C12*C14</f>
        <v>-228.19250570515189</v>
      </c>
      <c r="D13" s="388">
        <f t="shared" ref="D13:M13" si="4">-D12*D14</f>
        <v>-226.86030770081419</v>
      </c>
      <c r="E13" s="388">
        <f t="shared" si="4"/>
        <v>-311.00579460765613</v>
      </c>
      <c r="F13" s="388">
        <f t="shared" si="4"/>
        <v>-374.29285405167604</v>
      </c>
      <c r="G13" s="388">
        <f t="shared" si="4"/>
        <v>-410.22100341561156</v>
      </c>
      <c r="H13" s="388">
        <f t="shared" si="4"/>
        <v>-396.24611106241872</v>
      </c>
      <c r="I13" s="388">
        <f t="shared" si="4"/>
        <v>-375.38823279100285</v>
      </c>
      <c r="J13" s="388">
        <f t="shared" si="4"/>
        <v>-347.37111281364804</v>
      </c>
      <c r="K13" s="388">
        <f t="shared" si="4"/>
        <v>-327.49697379185119</v>
      </c>
      <c r="L13" s="388">
        <f t="shared" si="4"/>
        <v>-324.42042197533311</v>
      </c>
      <c r="M13" s="388">
        <f t="shared" si="4"/>
        <v>-249.72587980264913</v>
      </c>
      <c r="N13" s="231"/>
      <c r="O13" s="231"/>
      <c r="P13" s="422"/>
      <c r="Q13" s="51"/>
      <c r="R13" s="423"/>
      <c r="S13" s="82"/>
      <c r="T13" s="82"/>
    </row>
    <row r="14" spans="1:32">
      <c r="A14" s="84"/>
      <c r="B14" s="439" t="s">
        <v>865</v>
      </c>
      <c r="C14" s="226">
        <f>'Risk Free Rate &amp; ERP'!$H$15</f>
        <v>0.22534235144895792</v>
      </c>
      <c r="D14" s="226">
        <f>'Risk Free Rate &amp; ERP'!$H$15</f>
        <v>0.22534235144895792</v>
      </c>
      <c r="E14" s="226">
        <f>'Risk Free Rate &amp; ERP'!$H$15</f>
        <v>0.22534235144895792</v>
      </c>
      <c r="F14" s="226">
        <f>'Risk Free Rate &amp; ERP'!$H$15</f>
        <v>0.22534235144895792</v>
      </c>
      <c r="G14" s="226">
        <f>'Risk Free Rate &amp; ERP'!$H$15</f>
        <v>0.22534235144895792</v>
      </c>
      <c r="H14" s="226">
        <f>'Risk Free Rate &amp; ERP'!$H$15</f>
        <v>0.22534235144895792</v>
      </c>
      <c r="I14" s="226">
        <f>'Risk Free Rate &amp; ERP'!$H$15</f>
        <v>0.22534235144895792</v>
      </c>
      <c r="J14" s="226">
        <f>'Risk Free Rate &amp; ERP'!$H$15</f>
        <v>0.22534235144895792</v>
      </c>
      <c r="K14" s="226">
        <f>'Risk Free Rate &amp; ERP'!$H$15</f>
        <v>0.22534235144895792</v>
      </c>
      <c r="L14" s="226">
        <f>'Risk Free Rate &amp; ERP'!$H$15</f>
        <v>0.22534235144895792</v>
      </c>
      <c r="M14" s="226">
        <f>'Risk Free Rate &amp; ERP'!$H$15</f>
        <v>0.22534235144895792</v>
      </c>
      <c r="N14" s="231"/>
      <c r="O14" s="231"/>
      <c r="P14" s="422"/>
      <c r="Q14" s="51"/>
      <c r="R14" s="423"/>
      <c r="S14" s="82"/>
      <c r="T14" s="82"/>
    </row>
    <row r="15" spans="1:32">
      <c r="B15" s="437" t="s">
        <v>866</v>
      </c>
      <c r="C15" s="444">
        <f>C12+C13</f>
        <v>784.45560166511109</v>
      </c>
      <c r="D15" s="444">
        <f t="shared" ref="D15:M15" si="5">D12+D13</f>
        <v>779.87591494928142</v>
      </c>
      <c r="E15" s="444">
        <f t="shared" si="5"/>
        <v>1069.1422006887442</v>
      </c>
      <c r="F15" s="444">
        <f t="shared" si="5"/>
        <v>1286.7036326050134</v>
      </c>
      <c r="G15" s="444">
        <f t="shared" si="5"/>
        <v>1410.2135521744872</v>
      </c>
      <c r="H15" s="444">
        <f t="shared" si="5"/>
        <v>1362.1721734479922</v>
      </c>
      <c r="I15" s="444">
        <f t="shared" si="5"/>
        <v>1290.4692075758235</v>
      </c>
      <c r="J15" s="444">
        <f t="shared" si="5"/>
        <v>1194.1549721856502</v>
      </c>
      <c r="K15" s="444">
        <f t="shared" si="5"/>
        <v>1125.8337990790099</v>
      </c>
      <c r="L15" s="444">
        <f t="shared" si="5"/>
        <v>1115.2575608330485</v>
      </c>
      <c r="M15" s="444">
        <f t="shared" si="5"/>
        <v>858.48071428365733</v>
      </c>
      <c r="N15" s="231"/>
      <c r="O15" s="231"/>
      <c r="P15" s="422"/>
      <c r="Q15" s="51"/>
      <c r="R15" s="423"/>
      <c r="S15" s="82"/>
      <c r="T15" s="82"/>
      <c r="U15" s="82"/>
      <c r="V15" s="82"/>
      <c r="W15" s="82"/>
      <c r="X15" s="82"/>
      <c r="Y15" s="82"/>
      <c r="Z15" s="82"/>
    </row>
    <row r="16" spans="1:32">
      <c r="B16" s="146"/>
      <c r="C16" s="417"/>
      <c r="D16" s="50"/>
      <c r="E16" s="417"/>
      <c r="F16" s="226"/>
      <c r="G16" s="418"/>
      <c r="H16" s="419"/>
      <c r="J16" s="416"/>
      <c r="K16" s="51"/>
      <c r="L16" s="425"/>
      <c r="N16" s="231"/>
      <c r="O16" s="231"/>
      <c r="P16" s="422"/>
      <c r="Q16" s="51"/>
      <c r="R16" s="423"/>
      <c r="S16" s="82"/>
      <c r="T16" s="82"/>
      <c r="U16" s="82"/>
      <c r="V16" s="82"/>
      <c r="W16" s="82"/>
      <c r="X16" s="82"/>
      <c r="Y16" s="82"/>
      <c r="Z16" s="82"/>
      <c r="AA16" s="82"/>
      <c r="AB16" s="82"/>
      <c r="AC16" s="82"/>
      <c r="AD16" s="82"/>
      <c r="AE16" s="82"/>
      <c r="AF16" s="82"/>
    </row>
    <row r="17" spans="1:34">
      <c r="B17" s="435" t="s">
        <v>867</v>
      </c>
      <c r="C17" s="417"/>
      <c r="D17" s="445">
        <f t="shared" ref="D17:M17" si="6">D7-C7</f>
        <v>1868.7222986334991</v>
      </c>
      <c r="E17" s="445">
        <f t="shared" si="6"/>
        <v>1330.4499895900499</v>
      </c>
      <c r="F17" s="445">
        <f t="shared" si="6"/>
        <v>1037.7509918802389</v>
      </c>
      <c r="G17" s="445">
        <f t="shared" si="6"/>
        <v>816.36411361245518</v>
      </c>
      <c r="H17" s="445">
        <f t="shared" si="6"/>
        <v>609.55187149730045</v>
      </c>
      <c r="I17" s="445">
        <f t="shared" si="6"/>
        <v>610.71154393282268</v>
      </c>
      <c r="J17" s="445">
        <f t="shared" si="6"/>
        <v>604.89805759988485</v>
      </c>
      <c r="K17" s="445">
        <f t="shared" si="6"/>
        <v>537.01767402319092</v>
      </c>
      <c r="L17" s="445">
        <f t="shared" si="6"/>
        <v>452.06564682144926</v>
      </c>
      <c r="M17" s="445">
        <f t="shared" si="6"/>
        <v>351.82244828556395</v>
      </c>
      <c r="N17" s="231"/>
      <c r="O17" s="231"/>
      <c r="P17" s="422"/>
      <c r="Q17" s="51"/>
      <c r="R17" s="423"/>
      <c r="S17" s="82"/>
      <c r="T17" s="82"/>
      <c r="U17" s="82"/>
      <c r="V17" s="82"/>
      <c r="W17" s="82"/>
      <c r="X17" s="82"/>
      <c r="Y17" s="82"/>
      <c r="Z17" s="82"/>
      <c r="AA17" s="82"/>
      <c r="AB17" s="82"/>
      <c r="AC17" s="82"/>
      <c r="AD17" s="82"/>
      <c r="AE17" s="82"/>
      <c r="AF17" s="82"/>
    </row>
    <row r="18" spans="1:34">
      <c r="B18" s="436" t="s">
        <v>868</v>
      </c>
      <c r="C18" s="98">
        <f>C7/C22</f>
        <v>2.047830249717149</v>
      </c>
      <c r="D18" s="98">
        <f>'Expected Growth Rate'!$C$17</f>
        <v>1.9135084705202416</v>
      </c>
      <c r="E18" s="98">
        <f>'Expected Growth Rate'!$C$17</f>
        <v>1.9135084705202416</v>
      </c>
      <c r="F18" s="98">
        <f>'Expected Growth Rate'!$C$17</f>
        <v>1.9135084705202416</v>
      </c>
      <c r="G18" s="98">
        <f>'Expected Growth Rate'!$C$17</f>
        <v>1.9135084705202416</v>
      </c>
      <c r="H18" s="98">
        <f>'Expected Growth Rate'!$C$17</f>
        <v>1.9135084705202416</v>
      </c>
      <c r="I18" s="98">
        <f>'Expected Growth Rate'!$C$17</f>
        <v>1.9135084705202416</v>
      </c>
      <c r="J18" s="98">
        <f>'Expected Growth Rate'!$C$17</f>
        <v>1.9135084705202416</v>
      </c>
      <c r="K18" s="98">
        <f>'Expected Growth Rate'!$C$17</f>
        <v>1.9135084705202416</v>
      </c>
      <c r="L18" s="98">
        <f>'Expected Growth Rate'!$C$17</f>
        <v>1.9135084705202416</v>
      </c>
      <c r="M18" s="98">
        <f>'Expected Growth Rate'!$C$17</f>
        <v>1.9135084705202416</v>
      </c>
      <c r="N18" s="252"/>
      <c r="R18" s="82"/>
      <c r="S18" s="82"/>
      <c r="T18" s="82"/>
      <c r="U18" s="82"/>
      <c r="V18" s="82"/>
      <c r="W18" s="82"/>
      <c r="X18" s="82"/>
      <c r="Y18" s="82"/>
      <c r="Z18" s="82"/>
      <c r="AA18" s="82"/>
      <c r="AB18" s="82"/>
      <c r="AC18" s="82"/>
      <c r="AD18" s="82"/>
      <c r="AE18" s="82"/>
      <c r="AF18" s="82"/>
    </row>
    <row r="19" spans="1:34">
      <c r="A19" s="84"/>
      <c r="B19" s="364" t="s">
        <v>50</v>
      </c>
      <c r="C19" s="372">
        <f>'FCFF &amp; FCFE'!C9</f>
        <v>912.53769636990728</v>
      </c>
      <c r="D19" s="446">
        <f t="shared" ref="D19:M19" si="7">D17/D18</f>
        <v>976.59473549413337</v>
      </c>
      <c r="E19" s="446">
        <f t="shared" si="7"/>
        <v>695.29349364642701</v>
      </c>
      <c r="F19" s="446">
        <f t="shared" si="7"/>
        <v>542.32892504421307</v>
      </c>
      <c r="G19" s="446">
        <f t="shared" si="7"/>
        <v>426.63208770144792</v>
      </c>
      <c r="H19" s="446">
        <f t="shared" si="7"/>
        <v>318.55195881708141</v>
      </c>
      <c r="I19" s="446">
        <f t="shared" si="7"/>
        <v>319.15800391873017</v>
      </c>
      <c r="J19" s="446">
        <f t="shared" si="7"/>
        <v>316.11987452317163</v>
      </c>
      <c r="K19" s="446">
        <f t="shared" si="7"/>
        <v>280.64556927578553</v>
      </c>
      <c r="L19" s="446">
        <f t="shared" si="7"/>
        <v>236.24961884728023</v>
      </c>
      <c r="M19" s="446">
        <f t="shared" si="7"/>
        <v>183.86249849728182</v>
      </c>
      <c r="N19" s="47"/>
      <c r="O19" s="47"/>
      <c r="R19" s="82"/>
      <c r="S19" s="82"/>
      <c r="T19" s="82"/>
      <c r="U19" s="82"/>
      <c r="V19" s="82"/>
      <c r="W19" s="82"/>
      <c r="X19" s="82"/>
      <c r="Y19" s="82"/>
      <c r="Z19" s="82"/>
      <c r="AA19" s="82"/>
      <c r="AB19" s="82"/>
      <c r="AC19" s="82"/>
      <c r="AD19" s="82"/>
      <c r="AE19" s="82"/>
      <c r="AF19" s="82"/>
    </row>
    <row r="20" spans="1:34" ht="12" customHeight="1">
      <c r="N20" s="232"/>
      <c r="O20" s="232"/>
      <c r="R20" s="82"/>
      <c r="S20" s="82"/>
      <c r="T20" s="82"/>
      <c r="U20" s="82"/>
      <c r="V20" s="82"/>
      <c r="W20" s="82"/>
      <c r="X20" s="82"/>
      <c r="Y20" s="82"/>
      <c r="Z20" s="82"/>
      <c r="AA20" s="82"/>
      <c r="AB20" s="82"/>
      <c r="AC20" s="82"/>
      <c r="AD20" s="82"/>
      <c r="AE20" s="82"/>
      <c r="AF20" s="82"/>
    </row>
    <row r="21" spans="1:34">
      <c r="A21" s="84"/>
      <c r="B21" s="82" t="s">
        <v>872</v>
      </c>
      <c r="C21" s="375">
        <f>C19/C15</f>
        <v>1.1632751355627073</v>
      </c>
      <c r="D21" s="375">
        <f t="shared" ref="D21:M21" si="8">D19/D15</f>
        <v>1.2522437438751335</v>
      </c>
      <c r="E21" s="375">
        <f t="shared" si="8"/>
        <v>0.65032835968734293</v>
      </c>
      <c r="F21" s="375">
        <f t="shared" si="8"/>
        <v>0.42148705521739582</v>
      </c>
      <c r="G21" s="375">
        <f t="shared" si="8"/>
        <v>0.30253012888976993</v>
      </c>
      <c r="H21" s="375">
        <f t="shared" si="8"/>
        <v>0.23385587007753078</v>
      </c>
      <c r="I21" s="375">
        <f t="shared" si="8"/>
        <v>0.24731934868734756</v>
      </c>
      <c r="J21" s="375">
        <f t="shared" si="8"/>
        <v>0.26472265483648283</v>
      </c>
      <c r="K21" s="375">
        <f t="shared" si="8"/>
        <v>0.24927797469339444</v>
      </c>
      <c r="L21" s="375">
        <f t="shared" si="8"/>
        <v>0.21183413333760509</v>
      </c>
      <c r="M21" s="375">
        <f t="shared" si="8"/>
        <v>0.21417196151075138</v>
      </c>
      <c r="N21" s="232"/>
      <c r="O21" s="82"/>
      <c r="R21" s="82"/>
      <c r="S21" s="82"/>
      <c r="T21" s="82"/>
      <c r="U21" s="82"/>
      <c r="V21" s="82"/>
      <c r="W21" s="82"/>
      <c r="X21" s="82"/>
      <c r="Y21" s="82"/>
      <c r="Z21" s="82"/>
      <c r="AA21" s="82"/>
      <c r="AB21" s="82"/>
      <c r="AC21" s="82"/>
      <c r="AD21" s="82"/>
      <c r="AE21" s="82"/>
      <c r="AF21" s="82"/>
    </row>
    <row r="22" spans="1:34">
      <c r="B22" s="435" t="s">
        <v>73</v>
      </c>
      <c r="C22" s="388">
        <f>'Expected Growth Rate'!C8</f>
        <v>1253.0877499999997</v>
      </c>
      <c r="D22" s="401">
        <f t="shared" ref="D22:M22" si="9">C22+D19</f>
        <v>2229.6824854941333</v>
      </c>
      <c r="E22" s="401">
        <f t="shared" si="9"/>
        <v>2924.9759791405604</v>
      </c>
      <c r="F22" s="401">
        <f t="shared" si="9"/>
        <v>3467.3049041847735</v>
      </c>
      <c r="G22" s="401">
        <f t="shared" si="9"/>
        <v>3893.9369918862212</v>
      </c>
      <c r="H22" s="401">
        <f t="shared" si="9"/>
        <v>4212.4889507033022</v>
      </c>
      <c r="I22" s="401">
        <f t="shared" si="9"/>
        <v>4531.6469546220324</v>
      </c>
      <c r="J22" s="401">
        <f t="shared" si="9"/>
        <v>4847.7668291452037</v>
      </c>
      <c r="K22" s="401">
        <f t="shared" si="9"/>
        <v>5128.4123984209891</v>
      </c>
      <c r="L22" s="401">
        <f t="shared" si="9"/>
        <v>5364.6620172682697</v>
      </c>
      <c r="M22" s="401">
        <f t="shared" si="9"/>
        <v>5548.5245157655518</v>
      </c>
      <c r="N22" s="98"/>
      <c r="O22" s="82"/>
      <c r="P22" s="82"/>
      <c r="Q22" s="82"/>
      <c r="R22" s="82"/>
      <c r="S22" s="82"/>
      <c r="T22" s="82"/>
      <c r="U22" s="82"/>
      <c r="V22" s="82"/>
      <c r="W22" s="82"/>
      <c r="X22" s="82"/>
      <c r="Y22" s="82"/>
      <c r="Z22" s="82"/>
      <c r="AA22" s="82"/>
      <c r="AB22" s="82"/>
      <c r="AC22" s="82"/>
      <c r="AD22" s="82"/>
      <c r="AE22" s="82"/>
      <c r="AF22" s="82"/>
      <c r="AG22" s="82"/>
    </row>
    <row r="23" spans="1:34">
      <c r="B23" s="82" t="s">
        <v>869</v>
      </c>
      <c r="C23" s="92">
        <f t="shared" ref="C23:M23" si="10">C15/C22</f>
        <v>0.62601809144260745</v>
      </c>
      <c r="D23" s="92">
        <f t="shared" si="10"/>
        <v>0.34976994259182531</v>
      </c>
      <c r="E23" s="92">
        <f t="shared" si="10"/>
        <v>0.36552170284929586</v>
      </c>
      <c r="F23" s="92">
        <f t="shared" si="10"/>
        <v>0.37109618800817312</v>
      </c>
      <c r="G23" s="92">
        <f t="shared" si="10"/>
        <v>0.36215623291104676</v>
      </c>
      <c r="H23" s="92">
        <f t="shared" si="10"/>
        <v>0.32336516235148077</v>
      </c>
      <c r="I23" s="92">
        <f t="shared" si="10"/>
        <v>0.28476825765511488</v>
      </c>
      <c r="J23" s="92">
        <f t="shared" si="10"/>
        <v>0.24633094252930746</v>
      </c>
      <c r="K23" s="92">
        <f t="shared" si="10"/>
        <v>0.21952871797627821</v>
      </c>
      <c r="L23" s="92">
        <f t="shared" si="10"/>
        <v>0.20788962235517436</v>
      </c>
      <c r="M23" s="92">
        <f t="shared" si="10"/>
        <v>0.15472234318229544</v>
      </c>
      <c r="N23" s="98"/>
      <c r="O23" s="82"/>
      <c r="P23" s="82"/>
      <c r="Q23" s="82"/>
      <c r="R23" s="82"/>
      <c r="S23" s="82"/>
      <c r="T23" s="82"/>
      <c r="U23" s="82"/>
      <c r="V23" s="82"/>
      <c r="W23" s="82"/>
      <c r="X23" s="82"/>
      <c r="Y23" s="82"/>
      <c r="Z23" s="82"/>
      <c r="AA23" s="82"/>
      <c r="AB23" s="82"/>
      <c r="AC23" s="82"/>
      <c r="AD23" s="82"/>
      <c r="AE23" s="82"/>
      <c r="AF23" s="82"/>
      <c r="AG23" s="82"/>
      <c r="AH23" s="82"/>
    </row>
    <row r="24" spans="1:34">
      <c r="N24" s="98"/>
      <c r="O24" s="82"/>
      <c r="P24" s="82"/>
      <c r="Q24" s="82"/>
      <c r="R24" s="82"/>
      <c r="S24" s="82"/>
      <c r="T24" s="82"/>
      <c r="U24" s="82"/>
      <c r="V24" s="82"/>
      <c r="W24" s="82"/>
      <c r="X24" s="82"/>
      <c r="Y24" s="82"/>
      <c r="Z24" s="82"/>
      <c r="AA24" s="82"/>
      <c r="AB24" s="82"/>
      <c r="AC24" s="82"/>
      <c r="AD24" s="82"/>
      <c r="AE24" s="82"/>
      <c r="AF24" s="82"/>
    </row>
    <row r="25" spans="1:34">
      <c r="B25" s="365" t="s">
        <v>870</v>
      </c>
      <c r="C25" s="448">
        <f t="shared" ref="C25:M25" si="11">C15-C19</f>
        <v>-128.08209470479619</v>
      </c>
      <c r="D25" s="448">
        <f t="shared" si="11"/>
        <v>-196.71882054485195</v>
      </c>
      <c r="E25" s="448">
        <f t="shared" si="11"/>
        <v>373.84870704231719</v>
      </c>
      <c r="F25" s="448">
        <f t="shared" si="11"/>
        <v>744.37470756080029</v>
      </c>
      <c r="G25" s="448">
        <f t="shared" si="11"/>
        <v>983.5814644730392</v>
      </c>
      <c r="H25" s="448">
        <f t="shared" si="11"/>
        <v>1043.6202146309108</v>
      </c>
      <c r="I25" s="448">
        <f t="shared" si="11"/>
        <v>971.3112036570933</v>
      </c>
      <c r="J25" s="448">
        <f t="shared" si="11"/>
        <v>878.03509766247862</v>
      </c>
      <c r="K25" s="448">
        <f t="shared" si="11"/>
        <v>845.18822980322432</v>
      </c>
      <c r="L25" s="448">
        <f t="shared" si="11"/>
        <v>879.0079419857683</v>
      </c>
      <c r="M25" s="448">
        <f t="shared" si="11"/>
        <v>674.61821578637546</v>
      </c>
      <c r="N25" s="99"/>
      <c r="O25" s="82"/>
      <c r="P25" s="82"/>
      <c r="Q25" s="82"/>
      <c r="R25" s="82"/>
      <c r="S25" s="82"/>
      <c r="T25" s="82"/>
      <c r="U25" s="82"/>
      <c r="V25" s="82"/>
      <c r="W25" s="82"/>
      <c r="X25" s="82"/>
      <c r="Y25" s="82"/>
      <c r="Z25" s="82"/>
      <c r="AA25" s="82"/>
      <c r="AB25" s="82"/>
      <c r="AC25" s="82"/>
      <c r="AD25" s="82"/>
      <c r="AE25" s="82"/>
      <c r="AF25" s="82"/>
    </row>
    <row r="26" spans="1:34">
      <c r="L26" s="82"/>
      <c r="N26" s="82"/>
      <c r="O26" s="82"/>
      <c r="P26" s="82"/>
      <c r="Q26" s="82"/>
      <c r="R26" s="82"/>
      <c r="S26" s="82"/>
      <c r="T26" s="82"/>
      <c r="U26" s="82"/>
      <c r="V26" s="82"/>
      <c r="W26" s="82"/>
      <c r="X26" s="82"/>
      <c r="Y26" s="82"/>
      <c r="Z26" s="82"/>
      <c r="AA26" s="82"/>
      <c r="AB26" s="82"/>
      <c r="AC26" s="82"/>
      <c r="AD26" s="82"/>
      <c r="AE26" s="82"/>
      <c r="AF26" s="82"/>
    </row>
    <row r="27" spans="1:34">
      <c r="D27" s="36"/>
      <c r="L27" s="82"/>
      <c r="O27" s="82"/>
      <c r="P27" s="82"/>
      <c r="Q27" s="82"/>
      <c r="R27" s="82"/>
      <c r="S27" s="82"/>
      <c r="T27" s="82"/>
      <c r="U27" s="82"/>
      <c r="V27" s="82"/>
      <c r="W27" s="82"/>
      <c r="X27" s="82"/>
      <c r="Y27" s="82"/>
      <c r="Z27" s="82"/>
      <c r="AA27" s="82"/>
      <c r="AB27" s="82"/>
      <c r="AC27" s="82"/>
      <c r="AD27" s="82"/>
      <c r="AE27" s="82"/>
      <c r="AF27" s="82"/>
      <c r="AG27" s="82"/>
      <c r="AH27" s="82"/>
    </row>
    <row r="28" spans="1:34">
      <c r="L28" s="82"/>
      <c r="O28" s="82"/>
      <c r="P28" s="82"/>
      <c r="Q28" s="82"/>
      <c r="R28" s="82"/>
      <c r="S28" s="82"/>
      <c r="T28" s="82"/>
      <c r="U28" s="82"/>
      <c r="V28" s="82"/>
      <c r="W28" s="82"/>
      <c r="X28" s="82"/>
      <c r="Y28" s="82"/>
      <c r="Z28" s="82"/>
      <c r="AA28" s="82"/>
      <c r="AB28" s="82"/>
      <c r="AC28" s="82"/>
      <c r="AD28" s="82"/>
      <c r="AE28" s="82"/>
      <c r="AF28" s="82"/>
      <c r="AG28" s="82"/>
      <c r="AH28" s="82"/>
    </row>
    <row r="29" spans="1:34">
      <c r="L29" s="82"/>
      <c r="M29" s="82"/>
      <c r="O29" s="82"/>
      <c r="P29" s="82"/>
      <c r="Q29" s="82"/>
      <c r="R29" s="82"/>
      <c r="S29" s="82"/>
      <c r="T29" s="82"/>
      <c r="U29" s="82"/>
      <c r="V29" s="82"/>
      <c r="W29" s="82"/>
      <c r="X29" s="82"/>
      <c r="Y29" s="82"/>
      <c r="Z29" s="82"/>
      <c r="AA29" s="82"/>
      <c r="AB29" s="82"/>
      <c r="AC29" s="82"/>
      <c r="AD29" s="82"/>
      <c r="AE29" s="82"/>
      <c r="AF29" s="82"/>
      <c r="AG29" s="82"/>
      <c r="AH29" s="82"/>
    </row>
    <row r="30" spans="1:34" ht="14.25" customHeight="1">
      <c r="L30" s="82"/>
      <c r="M30" s="82"/>
      <c r="P30" s="82"/>
      <c r="Q30" s="82"/>
      <c r="R30" s="82"/>
      <c r="S30" s="82"/>
      <c r="T30" s="82"/>
      <c r="U30" s="82"/>
      <c r="V30" s="82"/>
      <c r="W30" s="82"/>
      <c r="X30" s="82"/>
      <c r="Y30" s="82"/>
      <c r="Z30" s="82"/>
      <c r="AA30" s="82"/>
      <c r="AB30" s="82"/>
      <c r="AC30" s="82"/>
      <c r="AD30" s="82"/>
      <c r="AE30" s="82"/>
      <c r="AF30" s="82"/>
      <c r="AG30" s="82"/>
      <c r="AH30" s="82"/>
    </row>
    <row r="31" spans="1:34">
      <c r="L31" s="82"/>
      <c r="M31" s="82"/>
      <c r="N31" s="82"/>
      <c r="P31" s="82"/>
      <c r="Q31" s="82"/>
      <c r="R31" s="82"/>
      <c r="S31" s="82"/>
      <c r="T31" s="82"/>
      <c r="U31" s="82"/>
      <c r="V31" s="82"/>
      <c r="W31" s="82"/>
      <c r="X31" s="82"/>
      <c r="Y31" s="82"/>
      <c r="Z31" s="82"/>
      <c r="AA31" s="82"/>
      <c r="AB31" s="82"/>
      <c r="AC31" s="82"/>
      <c r="AD31" s="82"/>
      <c r="AE31" s="82"/>
      <c r="AF31" s="82"/>
      <c r="AG31" s="82"/>
      <c r="AH31" s="82"/>
    </row>
    <row r="32" spans="1:34">
      <c r="L32" s="82"/>
      <c r="M32" s="82"/>
      <c r="N32" s="82"/>
      <c r="O32" s="82"/>
      <c r="P32" s="82"/>
      <c r="Q32" s="82"/>
      <c r="R32" s="82"/>
      <c r="S32" s="82"/>
      <c r="T32" s="82"/>
      <c r="U32" s="82"/>
      <c r="V32" s="82"/>
      <c r="W32" s="82"/>
      <c r="X32" s="82"/>
      <c r="Y32" s="82"/>
      <c r="Z32" s="82"/>
      <c r="AA32" s="82"/>
      <c r="AB32" s="82"/>
      <c r="AC32" s="82"/>
      <c r="AD32" s="82"/>
      <c r="AE32" s="82"/>
      <c r="AF32" s="82"/>
      <c r="AG32" s="82"/>
      <c r="AH32" s="82"/>
    </row>
    <row r="33" spans="12:34">
      <c r="L33" s="82"/>
      <c r="M33" s="82"/>
      <c r="N33" s="82"/>
      <c r="O33" s="82"/>
      <c r="P33" s="82"/>
      <c r="Q33" s="82"/>
      <c r="R33" s="82"/>
      <c r="S33" s="82"/>
      <c r="T33" s="82"/>
      <c r="U33" s="82"/>
      <c r="V33" s="82"/>
      <c r="W33" s="82"/>
      <c r="X33" s="82"/>
      <c r="Y33" s="82"/>
      <c r="Z33" s="82"/>
      <c r="AA33" s="82"/>
      <c r="AB33" s="82"/>
      <c r="AC33" s="82"/>
      <c r="AD33" s="82"/>
      <c r="AE33" s="82"/>
      <c r="AF33" s="82"/>
      <c r="AG33" s="82"/>
      <c r="AH33" s="82"/>
    </row>
    <row r="34" spans="12:34">
      <c r="L34" s="82"/>
      <c r="M34" s="82"/>
      <c r="N34" s="82"/>
      <c r="O34" s="82"/>
      <c r="P34" s="82"/>
      <c r="Q34" s="82"/>
      <c r="R34" s="82"/>
      <c r="S34" s="82"/>
      <c r="T34" s="82"/>
      <c r="U34" s="82"/>
      <c r="V34" s="82"/>
      <c r="W34" s="82"/>
      <c r="X34" s="82"/>
      <c r="Y34" s="82"/>
      <c r="Z34" s="82"/>
      <c r="AA34" s="82"/>
      <c r="AB34" s="82"/>
      <c r="AC34" s="82"/>
      <c r="AD34" s="82"/>
      <c r="AE34" s="82"/>
      <c r="AF34" s="82"/>
      <c r="AG34" s="82"/>
      <c r="AH34" s="82"/>
    </row>
    <row r="35" spans="12:34">
      <c r="L35" s="82"/>
      <c r="M35" s="82"/>
      <c r="N35" s="82"/>
      <c r="O35" s="82"/>
      <c r="P35" s="82"/>
      <c r="Q35" s="82"/>
      <c r="R35" s="82"/>
      <c r="S35" s="82"/>
      <c r="T35" s="82"/>
      <c r="U35" s="82"/>
      <c r="V35" s="82"/>
      <c r="W35" s="82"/>
      <c r="X35" s="82"/>
      <c r="Y35" s="82"/>
      <c r="Z35" s="82"/>
      <c r="AA35" s="82"/>
      <c r="AB35" s="82"/>
      <c r="AC35" s="82"/>
      <c r="AD35" s="82"/>
      <c r="AE35" s="82"/>
      <c r="AF35" s="82"/>
      <c r="AG35" s="82"/>
      <c r="AH35" s="82"/>
    </row>
    <row r="36" spans="12:34">
      <c r="L36" s="82"/>
      <c r="N36" s="82"/>
      <c r="O36" s="82"/>
      <c r="P36" s="82"/>
      <c r="Q36" s="82"/>
      <c r="R36" s="82"/>
      <c r="S36" s="82"/>
      <c r="T36" s="82"/>
      <c r="U36" s="82"/>
      <c r="V36" s="82"/>
      <c r="W36" s="82"/>
      <c r="X36" s="82"/>
      <c r="Y36" s="82"/>
      <c r="Z36" s="82"/>
      <c r="AA36" s="82"/>
      <c r="AB36" s="82"/>
      <c r="AC36" s="82"/>
      <c r="AD36" s="82"/>
      <c r="AE36" s="82"/>
      <c r="AF36" s="82"/>
      <c r="AG36" s="82"/>
      <c r="AH36" s="82"/>
    </row>
    <row r="37" spans="12:34">
      <c r="N37" s="82"/>
      <c r="O37" s="82"/>
      <c r="P37" s="82"/>
      <c r="Q37" s="82"/>
      <c r="R37" s="82"/>
      <c r="S37" s="82"/>
      <c r="T37" s="82"/>
      <c r="U37" s="82"/>
      <c r="V37" s="82"/>
      <c r="W37" s="82"/>
      <c r="X37" s="82"/>
      <c r="Y37" s="82"/>
      <c r="Z37" s="82"/>
      <c r="AA37" s="82"/>
      <c r="AB37" s="82"/>
      <c r="AC37" s="82"/>
      <c r="AD37" s="82"/>
      <c r="AE37" s="82"/>
      <c r="AF37" s="82"/>
      <c r="AG37" s="82"/>
      <c r="AH37" s="82"/>
    </row>
    <row r="38" spans="12:34">
      <c r="O38" s="82"/>
      <c r="P38" s="82"/>
      <c r="Q38" s="82"/>
      <c r="R38" s="82"/>
      <c r="S38" s="82"/>
      <c r="T38" s="82"/>
      <c r="U38" s="82"/>
      <c r="V38" s="82"/>
      <c r="W38" s="82"/>
      <c r="X38" s="82"/>
      <c r="Y38" s="82"/>
      <c r="Z38" s="82"/>
      <c r="AA38" s="82"/>
      <c r="AB38" s="82"/>
      <c r="AC38" s="82"/>
      <c r="AD38" s="82"/>
      <c r="AE38" s="82"/>
      <c r="AF38" s="82"/>
      <c r="AG38" s="82"/>
      <c r="AH38" s="82"/>
    </row>
  </sheetData>
  <pageMargins left="0.7" right="0.7" top="0.75" bottom="0.75" header="0.3" footer="0.3"/>
  <pageSetup orientation="landscape" r:id="rId1"/>
  <ignoredErrors>
    <ignoredError sqref="H10 G9 I9"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77" customWidth="1"/>
    <col min="2" max="2" width="23.140625" style="77" customWidth="1"/>
    <col min="3" max="3" width="13.140625" style="77" customWidth="1"/>
    <col min="4" max="4" width="9.42578125" style="77" customWidth="1"/>
    <col min="5" max="5" width="21.5703125" style="77" customWidth="1"/>
    <col min="6" max="6" width="10.140625" style="77" customWidth="1" collapsed="1"/>
    <col min="7" max="8" width="10.42578125" style="77" customWidth="1"/>
    <col min="9" max="9" width="9.140625" style="77" customWidth="1"/>
    <col min="10" max="10" width="9" style="77" customWidth="1"/>
    <col min="11" max="11" width="9.85546875" style="77" customWidth="1"/>
    <col min="12" max="25" width="9.140625" style="77" customWidth="1"/>
    <col min="26" max="26" width="9.28515625" style="77" customWidth="1"/>
    <col min="27" max="27" width="9.42578125" style="77" customWidth="1"/>
    <col min="28" max="28" width="10" style="77" customWidth="1"/>
    <col min="29" max="29" width="11.42578125" style="77" customWidth="1"/>
    <col min="30" max="30" width="9.42578125" style="77" bestFit="1" customWidth="1" collapsed="1"/>
    <col min="31" max="16384" width="9.140625" style="77"/>
  </cols>
  <sheetData>
    <row r="1" spans="1:31" s="76" customFormat="1" ht="15" customHeight="1">
      <c r="B1" s="15" t="s">
        <v>68</v>
      </c>
      <c r="C1" s="75"/>
      <c r="D1" s="75"/>
      <c r="E1" s="75"/>
      <c r="F1" s="75"/>
      <c r="G1" s="75"/>
      <c r="H1" s="75"/>
      <c r="I1" s="75"/>
      <c r="J1" s="75"/>
      <c r="K1" s="75"/>
    </row>
    <row r="2" spans="1:31" ht="12" customHeight="1">
      <c r="C2" s="89"/>
    </row>
    <row r="3" spans="1:31" ht="12" customHeight="1">
      <c r="A3" s="79"/>
      <c r="B3" s="253" t="s">
        <v>68</v>
      </c>
      <c r="C3" s="253"/>
      <c r="E3" s="253" t="s">
        <v>873</v>
      </c>
      <c r="F3" s="253"/>
      <c r="G3" s="142"/>
      <c r="H3" s="142"/>
      <c r="I3" s="142"/>
      <c r="J3" s="142"/>
      <c r="K3" s="95"/>
      <c r="L3" s="95"/>
      <c r="M3" s="95"/>
      <c r="N3" s="95"/>
      <c r="O3" s="95"/>
      <c r="P3" s="95"/>
    </row>
    <row r="4" spans="1:31" ht="12" customHeight="1" thickBot="1">
      <c r="A4" s="84"/>
      <c r="B4" s="360" t="str">
        <f>Drivers!$C$5&amp;" in mil"</f>
        <v>$ in mil</v>
      </c>
      <c r="C4" s="426"/>
      <c r="E4" s="360"/>
      <c r="F4" s="426"/>
      <c r="G4" s="453"/>
      <c r="H4" s="453"/>
      <c r="I4" s="453"/>
      <c r="J4" s="453"/>
      <c r="K4" s="112"/>
      <c r="L4" s="112"/>
      <c r="M4" s="112"/>
      <c r="N4" s="112"/>
      <c r="O4" s="112"/>
      <c r="P4" s="78"/>
      <c r="R4" s="81"/>
      <c r="S4" s="81"/>
      <c r="T4" s="81"/>
      <c r="U4" s="81"/>
      <c r="Z4" s="81"/>
    </row>
    <row r="5" spans="1:31" ht="12" customHeight="1">
      <c r="A5" s="84"/>
      <c r="B5" s="77" t="s">
        <v>78</v>
      </c>
      <c r="C5" s="371">
        <f>('Future CashFlows (10Y)'!M7*(1+'Future CashFlows (10Y)'!$P$6))*'Future CashFlows (10Y)'!$M$10</f>
        <v>1257.0668358100781</v>
      </c>
      <c r="E5" s="35" t="s">
        <v>239</v>
      </c>
      <c r="F5" s="92">
        <f>'Risk Free Rate &amp; ERP'!C6</f>
        <v>3.372E-2</v>
      </c>
      <c r="J5" s="90"/>
      <c r="K5" s="36"/>
      <c r="L5" s="36"/>
      <c r="M5" s="36"/>
      <c r="N5" s="36"/>
      <c r="O5" s="36"/>
      <c r="P5" s="36"/>
      <c r="R5" s="82"/>
      <c r="S5" s="82"/>
      <c r="T5" s="82"/>
      <c r="U5" s="82"/>
      <c r="V5" s="82"/>
      <c r="W5" s="82"/>
      <c r="X5" s="82"/>
      <c r="Y5" s="82"/>
      <c r="Z5" s="82"/>
      <c r="AA5" s="82"/>
      <c r="AB5" s="82"/>
      <c r="AC5" s="82"/>
      <c r="AD5" s="82"/>
      <c r="AE5" s="82"/>
    </row>
    <row r="6" spans="1:31" ht="12" customHeight="1">
      <c r="A6" s="84"/>
      <c r="B6" s="452" t="s">
        <v>79</v>
      </c>
      <c r="C6" s="92">
        <f>'Future CashFlows (10Y)'!M14</f>
        <v>0.22534235144895792</v>
      </c>
      <c r="E6" s="35" t="s">
        <v>8</v>
      </c>
      <c r="F6" s="92">
        <f>'Risk Free Rate &amp; ERP'!C8</f>
        <v>5.4897267203722205E-2</v>
      </c>
      <c r="J6" s="90"/>
      <c r="K6" s="92"/>
      <c r="L6" s="92"/>
      <c r="M6" s="92"/>
      <c r="N6" s="92"/>
      <c r="O6" s="92"/>
      <c r="P6" s="92"/>
      <c r="R6" s="82"/>
      <c r="S6" s="82"/>
      <c r="T6" s="82"/>
      <c r="U6" s="82"/>
      <c r="V6" s="82"/>
      <c r="W6" s="82"/>
      <c r="X6" s="82"/>
      <c r="Y6" s="82"/>
      <c r="Z6" s="82"/>
      <c r="AA6" s="82"/>
      <c r="AB6" s="82"/>
      <c r="AC6" s="82"/>
      <c r="AD6" s="82"/>
      <c r="AE6" s="82"/>
    </row>
    <row r="7" spans="1:31" ht="12" customHeight="1">
      <c r="B7" s="391" t="s">
        <v>48</v>
      </c>
      <c r="C7" s="392">
        <f>C5*(1-C6)</f>
        <v>973.79643910013408</v>
      </c>
      <c r="E7" s="35" t="s">
        <v>87</v>
      </c>
      <c r="F7" s="100">
        <f ca="1">((_xlfn.PERCENTILE.EXC('Beta Calculation Data'!D6:D26,0.25)/(1+(_xlfn.PERCENTILE.EXC('Beta Calculation Data'!K6:K26,0.25)*(1-'Bottom Up Beta'!C8))))/(1-_xlfn.PERCENTILE.EXC('Beta Calculation Data'!J6:J26,0.25)))*(1+('Bottom Up Beta'!C15*(1-'Bottom Up Beta'!C8)))</f>
        <v>0.86550469135705066</v>
      </c>
      <c r="G7" s="85" t="s">
        <v>175</v>
      </c>
      <c r="J7" s="90"/>
      <c r="M7" s="82"/>
      <c r="N7" s="82"/>
      <c r="O7" s="89"/>
      <c r="P7" s="92"/>
      <c r="R7" s="82"/>
      <c r="S7" s="82"/>
      <c r="T7" s="82"/>
      <c r="U7" s="82"/>
      <c r="V7" s="82"/>
      <c r="W7" s="82"/>
      <c r="X7" s="82"/>
      <c r="Y7" s="82"/>
      <c r="Z7" s="82"/>
      <c r="AA7" s="82"/>
      <c r="AB7" s="82"/>
      <c r="AC7" s="82"/>
      <c r="AD7" s="82"/>
      <c r="AE7" s="82"/>
    </row>
    <row r="8" spans="1:31" ht="12" customHeight="1">
      <c r="A8" s="84"/>
      <c r="B8" s="405" t="s">
        <v>76</v>
      </c>
      <c r="C8" s="594">
        <f>Drivers!C30</f>
        <v>0.02</v>
      </c>
      <c r="E8" s="267" t="s">
        <v>7</v>
      </c>
      <c r="F8" s="349">
        <f ca="1">F5+F7*F6</f>
        <v>8.1233842307503135E-2</v>
      </c>
      <c r="N8" s="82"/>
      <c r="O8" s="82"/>
      <c r="P8" s="82"/>
      <c r="Q8" s="82"/>
      <c r="R8" s="82"/>
      <c r="S8" s="82"/>
      <c r="T8" s="82"/>
      <c r="U8" s="82"/>
      <c r="V8" s="82"/>
      <c r="W8" s="82"/>
      <c r="X8" s="82"/>
      <c r="Y8" s="82"/>
      <c r="Z8" s="82"/>
      <c r="AA8" s="82"/>
      <c r="AB8" s="82"/>
      <c r="AC8" s="82"/>
      <c r="AD8" s="82"/>
      <c r="AE8" s="82"/>
    </row>
    <row r="9" spans="1:31" ht="12" customHeight="1">
      <c r="A9" s="84"/>
      <c r="B9" s="77" t="s">
        <v>77</v>
      </c>
      <c r="C9" s="36">
        <f>'Future CashFlows (10Y)'!M23</f>
        <v>0.15472234318229544</v>
      </c>
      <c r="E9" s="82"/>
      <c r="F9" s="82"/>
      <c r="J9" s="106"/>
      <c r="N9" s="82"/>
      <c r="O9" s="82"/>
      <c r="P9" s="82"/>
      <c r="Q9" s="82"/>
      <c r="R9" s="82"/>
      <c r="S9" s="82"/>
      <c r="T9" s="82"/>
      <c r="U9" s="82"/>
      <c r="V9" s="82"/>
      <c r="W9" s="82"/>
      <c r="X9" s="82"/>
      <c r="Y9" s="82"/>
      <c r="Z9" s="82"/>
      <c r="AA9" s="82"/>
      <c r="AB9" s="82"/>
      <c r="AC9" s="82"/>
      <c r="AD9" s="82"/>
      <c r="AE9" s="82"/>
    </row>
    <row r="10" spans="1:31">
      <c r="A10" s="80"/>
      <c r="B10" s="391" t="s">
        <v>70</v>
      </c>
      <c r="C10" s="451">
        <f>C8/C9</f>
        <v>0.12926381276707913</v>
      </c>
      <c r="E10" s="35" t="s">
        <v>239</v>
      </c>
      <c r="F10" s="63">
        <f>'Cost of Equity, Debt &amp; WACC'!C12</f>
        <v>3.372E-2</v>
      </c>
      <c r="J10" s="82"/>
      <c r="N10" s="82"/>
      <c r="O10" s="82"/>
      <c r="P10" s="82"/>
      <c r="Q10" s="82"/>
      <c r="R10" s="82"/>
      <c r="S10" s="82"/>
      <c r="T10" s="82"/>
      <c r="U10" s="82"/>
      <c r="V10" s="82"/>
      <c r="W10" s="82"/>
      <c r="X10" s="82"/>
      <c r="Y10" s="82"/>
      <c r="Z10" s="82"/>
      <c r="AA10" s="82"/>
      <c r="AB10" s="82"/>
      <c r="AC10" s="82"/>
      <c r="AD10" s="82"/>
      <c r="AE10" s="82"/>
    </row>
    <row r="11" spans="1:31" ht="12.75" customHeight="1">
      <c r="A11" s="84"/>
      <c r="B11" s="77" t="s">
        <v>80</v>
      </c>
      <c r="C11" s="388">
        <f>C7*(1-C10)</f>
        <v>847.91979852304598</v>
      </c>
      <c r="E11" s="35" t="s">
        <v>308</v>
      </c>
      <c r="F11" s="92">
        <f>'Risk Free Rate &amp; ERP'!G15</f>
        <v>1.0011579704595505E-2</v>
      </c>
      <c r="I11" s="86"/>
      <c r="J11" s="82"/>
      <c r="N11" s="82"/>
      <c r="O11" s="82"/>
      <c r="P11" s="82"/>
      <c r="Q11" s="82"/>
      <c r="R11" s="82"/>
      <c r="S11" s="82"/>
      <c r="T11" s="82"/>
      <c r="U11" s="82"/>
      <c r="V11" s="82"/>
      <c r="W11" s="82"/>
      <c r="X11" s="82"/>
      <c r="Y11" s="82"/>
      <c r="Z11" s="82"/>
      <c r="AA11" s="82"/>
      <c r="AB11" s="82"/>
      <c r="AC11" s="82"/>
      <c r="AD11" s="82"/>
      <c r="AE11" s="82"/>
    </row>
    <row r="12" spans="1:31">
      <c r="B12" s="266" t="s">
        <v>68</v>
      </c>
      <c r="C12" s="373">
        <f ca="1">C11/(F19-C8)</f>
        <v>14981.253629033252</v>
      </c>
      <c r="E12" s="256" t="s">
        <v>109</v>
      </c>
      <c r="F12" s="92">
        <v>7.4999999999999997E-3</v>
      </c>
      <c r="G12" s="85" t="s">
        <v>214</v>
      </c>
      <c r="I12" s="92"/>
      <c r="J12" s="82"/>
      <c r="K12" s="95"/>
      <c r="L12" s="95"/>
      <c r="M12" s="95"/>
      <c r="N12" s="95"/>
      <c r="O12" s="95"/>
      <c r="P12" s="95"/>
      <c r="Q12" s="82"/>
      <c r="R12" s="82"/>
      <c r="S12" s="82"/>
      <c r="T12" s="82"/>
      <c r="U12" s="82"/>
      <c r="V12" s="82"/>
      <c r="W12" s="82"/>
      <c r="X12" s="82"/>
      <c r="Y12" s="82"/>
      <c r="Z12" s="82"/>
      <c r="AA12" s="82"/>
      <c r="AB12" s="82"/>
      <c r="AC12" s="82"/>
      <c r="AD12" s="82"/>
      <c r="AE12" s="82"/>
    </row>
    <row r="13" spans="1:31" ht="12" customHeight="1">
      <c r="A13" s="84"/>
      <c r="D13" s="2"/>
      <c r="E13" s="267" t="s">
        <v>154</v>
      </c>
      <c r="F13" s="349">
        <f>F10+F11+F12</f>
        <v>5.1231579704595506E-2</v>
      </c>
      <c r="I13" s="92"/>
      <c r="J13" s="82"/>
      <c r="N13" s="82"/>
      <c r="O13" s="82"/>
      <c r="P13" s="82"/>
      <c r="Q13" s="82"/>
      <c r="R13" s="82"/>
      <c r="S13" s="82"/>
      <c r="T13" s="82"/>
      <c r="U13" s="82"/>
      <c r="V13" s="82"/>
      <c r="W13" s="82"/>
      <c r="X13" s="82"/>
      <c r="Y13" s="82"/>
      <c r="Z13" s="82"/>
      <c r="AA13" s="82"/>
      <c r="AB13" s="82"/>
      <c r="AC13" s="82"/>
      <c r="AD13" s="82"/>
      <c r="AE13" s="82"/>
    </row>
    <row r="14" spans="1:31">
      <c r="D14" s="2"/>
      <c r="E14" s="2"/>
      <c r="F14" s="3"/>
      <c r="I14" s="92"/>
      <c r="J14" s="82"/>
      <c r="N14" s="82"/>
      <c r="O14" s="82"/>
      <c r="P14" s="82"/>
      <c r="Q14" s="82"/>
      <c r="R14" s="82"/>
      <c r="S14" s="82"/>
      <c r="T14" s="82"/>
      <c r="U14" s="82"/>
      <c r="V14" s="82"/>
      <c r="W14" s="82"/>
      <c r="X14" s="82"/>
      <c r="Y14" s="82"/>
      <c r="Z14" s="82"/>
      <c r="AA14" s="82"/>
      <c r="AB14" s="82"/>
      <c r="AC14" s="82"/>
      <c r="AD14" s="82"/>
      <c r="AE14" s="82"/>
    </row>
    <row r="15" spans="1:31">
      <c r="D15" s="5"/>
      <c r="E15" s="80" t="s">
        <v>174</v>
      </c>
      <c r="F15" s="454">
        <f>'Beta Calculation Data'!K205</f>
        <v>0.12557292688157629</v>
      </c>
      <c r="I15" s="92"/>
      <c r="J15" s="82"/>
      <c r="N15" s="82"/>
      <c r="O15" s="82"/>
      <c r="P15" s="82"/>
      <c r="Q15" s="82"/>
      <c r="R15" s="82"/>
      <c r="S15" s="82"/>
      <c r="T15" s="82"/>
      <c r="U15" s="82"/>
      <c r="V15" s="82"/>
      <c r="W15" s="82"/>
      <c r="X15" s="82"/>
      <c r="Y15" s="82"/>
      <c r="Z15" s="82"/>
      <c r="AA15" s="82"/>
      <c r="AB15" s="82"/>
      <c r="AC15" s="82"/>
      <c r="AD15" s="82"/>
      <c r="AE15" s="82"/>
    </row>
    <row r="16" spans="1:31">
      <c r="D16" s="20"/>
      <c r="I16" s="92"/>
      <c r="J16" s="82"/>
      <c r="N16" s="82"/>
      <c r="O16" s="82"/>
      <c r="P16" s="82"/>
      <c r="Q16" s="82"/>
      <c r="R16" s="82"/>
      <c r="S16" s="82"/>
      <c r="T16" s="82"/>
      <c r="U16" s="82"/>
      <c r="V16" s="82"/>
      <c r="W16" s="82"/>
      <c r="X16" s="82"/>
      <c r="Y16" s="82"/>
      <c r="Z16" s="82"/>
      <c r="AA16" s="82"/>
      <c r="AB16" s="82"/>
      <c r="AC16" s="82"/>
      <c r="AD16" s="82"/>
      <c r="AE16" s="82"/>
    </row>
    <row r="17" spans="1:31">
      <c r="D17" s="5"/>
      <c r="E17" s="80" t="s">
        <v>81</v>
      </c>
      <c r="F17" s="16">
        <f>F15/(1+F15)</f>
        <v>0.11156356365951225</v>
      </c>
      <c r="G17" s="85" t="s">
        <v>126</v>
      </c>
      <c r="K17" s="82"/>
      <c r="N17" s="82"/>
      <c r="O17" s="82"/>
      <c r="P17" s="82"/>
      <c r="Q17" s="82"/>
      <c r="R17" s="82"/>
      <c r="S17" s="82"/>
      <c r="T17" s="82"/>
      <c r="U17" s="82"/>
      <c r="V17" s="82"/>
      <c r="W17" s="82"/>
      <c r="X17" s="82"/>
      <c r="Y17" s="82"/>
      <c r="Z17" s="82"/>
      <c r="AA17" s="82"/>
      <c r="AB17" s="82"/>
      <c r="AC17" s="82"/>
      <c r="AD17" s="82"/>
      <c r="AE17" s="82"/>
    </row>
    <row r="18" spans="1:31">
      <c r="A18" s="84"/>
      <c r="D18" s="5"/>
      <c r="E18" s="80" t="s">
        <v>82</v>
      </c>
      <c r="F18" s="113">
        <f>1-F17</f>
        <v>0.88843643634048775</v>
      </c>
      <c r="G18" s="70"/>
      <c r="K18" s="82"/>
      <c r="L18" s="82"/>
      <c r="M18" s="82"/>
      <c r="N18" s="82"/>
      <c r="O18" s="82"/>
      <c r="P18" s="82"/>
      <c r="Q18" s="82"/>
      <c r="R18" s="82"/>
      <c r="S18" s="82"/>
      <c r="T18" s="82"/>
      <c r="U18" s="82"/>
      <c r="V18" s="82"/>
      <c r="W18" s="82"/>
      <c r="X18" s="82"/>
      <c r="Y18" s="82"/>
      <c r="Z18" s="82"/>
      <c r="AA18" s="82"/>
      <c r="AB18" s="82"/>
      <c r="AC18" s="82"/>
      <c r="AD18" s="82"/>
      <c r="AE18" s="82"/>
    </row>
    <row r="19" spans="1:31">
      <c r="B19" s="19"/>
      <c r="C19" s="39"/>
      <c r="D19" s="5"/>
      <c r="E19" s="110" t="s">
        <v>83</v>
      </c>
      <c r="F19" s="109">
        <f ca="1">(F8*F18)+(F13*(1-C6)*F17)</f>
        <v>7.6598721276555995E-2</v>
      </c>
      <c r="I19" s="92"/>
      <c r="J19" s="82"/>
      <c r="K19" s="82"/>
      <c r="L19" s="82"/>
      <c r="M19" s="82"/>
      <c r="N19" s="82"/>
      <c r="O19" s="82"/>
      <c r="P19" s="82"/>
      <c r="Q19" s="82"/>
      <c r="R19" s="82"/>
      <c r="S19" s="82"/>
      <c r="T19" s="82"/>
      <c r="U19" s="82"/>
      <c r="V19" s="82"/>
      <c r="W19" s="82"/>
      <c r="X19" s="82"/>
      <c r="Y19" s="82"/>
      <c r="Z19" s="82"/>
      <c r="AA19" s="82"/>
      <c r="AB19" s="82"/>
      <c r="AC19" s="82"/>
      <c r="AD19" s="82"/>
      <c r="AE19" s="82"/>
    </row>
    <row r="20" spans="1:31">
      <c r="A20" s="84"/>
      <c r="B20" s="3"/>
      <c r="C20" s="3"/>
      <c r="D20" s="5"/>
      <c r="I20" s="92"/>
      <c r="J20" s="82"/>
      <c r="K20" s="82"/>
      <c r="L20" s="82"/>
      <c r="M20" s="82"/>
      <c r="N20" s="82"/>
      <c r="O20" s="82"/>
      <c r="P20" s="82"/>
      <c r="Q20" s="82"/>
      <c r="R20" s="82"/>
      <c r="S20" s="82"/>
      <c r="T20" s="82"/>
      <c r="U20" s="82"/>
      <c r="V20" s="82"/>
      <c r="W20" s="82"/>
      <c r="X20" s="82"/>
      <c r="Y20" s="82"/>
      <c r="Z20" s="82"/>
      <c r="AA20" s="82"/>
      <c r="AB20" s="82"/>
      <c r="AC20" s="82"/>
      <c r="AD20" s="82"/>
      <c r="AE20" s="82"/>
    </row>
    <row r="21" spans="1:31">
      <c r="B21" s="38"/>
      <c r="C21" s="3"/>
      <c r="D21" s="5"/>
      <c r="I21" s="93"/>
      <c r="J21" s="82"/>
      <c r="K21" s="82"/>
      <c r="L21" s="82"/>
      <c r="M21" s="82"/>
      <c r="N21" s="82"/>
      <c r="O21" s="82"/>
      <c r="P21" s="82"/>
      <c r="Q21" s="82"/>
      <c r="R21" s="82"/>
      <c r="S21" s="82"/>
      <c r="T21" s="82"/>
      <c r="U21" s="82"/>
      <c r="V21" s="82"/>
      <c r="W21" s="82"/>
      <c r="X21" s="82"/>
      <c r="Y21" s="82"/>
      <c r="Z21" s="82"/>
      <c r="AA21" s="82"/>
      <c r="AB21" s="82"/>
      <c r="AC21" s="82"/>
      <c r="AD21" s="82"/>
      <c r="AE21" s="82"/>
    </row>
    <row r="22" spans="1:31">
      <c r="B22" s="2"/>
      <c r="C22" s="2"/>
      <c r="D22" s="2"/>
      <c r="K22" s="82"/>
      <c r="L22" s="82"/>
      <c r="M22" s="82"/>
      <c r="N22" s="82"/>
      <c r="O22" s="82"/>
      <c r="P22" s="82"/>
      <c r="Q22" s="82"/>
      <c r="R22" s="82"/>
      <c r="S22" s="82"/>
      <c r="T22" s="82"/>
      <c r="U22" s="82"/>
      <c r="V22" s="82"/>
      <c r="W22" s="82"/>
      <c r="X22" s="82"/>
      <c r="Y22" s="82"/>
      <c r="Z22" s="82"/>
      <c r="AA22" s="82"/>
      <c r="AB22" s="82"/>
      <c r="AC22" s="82"/>
      <c r="AD22" s="82"/>
      <c r="AE22" s="82"/>
    </row>
    <row r="23" spans="1:31" ht="12" customHeight="1">
      <c r="B23" s="15"/>
      <c r="C23" s="3"/>
      <c r="D23" s="5"/>
      <c r="K23" s="82"/>
      <c r="L23" s="82"/>
      <c r="M23" s="82"/>
      <c r="N23" s="82"/>
      <c r="O23" s="82"/>
      <c r="P23" s="82"/>
      <c r="Q23" s="82"/>
      <c r="R23" s="82"/>
      <c r="S23" s="82"/>
      <c r="T23" s="82"/>
      <c r="U23" s="82"/>
      <c r="V23" s="82"/>
      <c r="W23" s="82"/>
      <c r="X23" s="82"/>
      <c r="Y23" s="82"/>
      <c r="Z23" s="82"/>
      <c r="AA23" s="82"/>
      <c r="AB23" s="82"/>
      <c r="AC23" s="82"/>
      <c r="AD23" s="82"/>
      <c r="AE23" s="82"/>
    </row>
    <row r="24" spans="1:31">
      <c r="B24" s="3"/>
      <c r="C24" s="3"/>
      <c r="D24" s="5"/>
      <c r="K24" s="82"/>
      <c r="L24" s="82"/>
      <c r="M24" s="82"/>
      <c r="N24" s="82"/>
      <c r="O24" s="82"/>
      <c r="P24" s="82"/>
      <c r="Q24" s="82"/>
      <c r="R24" s="82"/>
      <c r="S24" s="82"/>
      <c r="T24" s="82"/>
      <c r="U24" s="82"/>
      <c r="V24" s="82"/>
      <c r="W24" s="82"/>
      <c r="X24" s="82"/>
      <c r="Y24" s="82"/>
      <c r="Z24" s="82"/>
      <c r="AA24" s="82"/>
      <c r="AB24" s="82"/>
      <c r="AC24" s="82"/>
      <c r="AD24" s="82"/>
      <c r="AE24" s="82"/>
    </row>
    <row r="25" spans="1:31">
      <c r="D25" s="5"/>
      <c r="K25" s="82"/>
      <c r="L25" s="82"/>
      <c r="M25" s="82"/>
      <c r="N25" s="82"/>
      <c r="O25" s="82"/>
      <c r="P25" s="82"/>
      <c r="Q25" s="82"/>
      <c r="R25" s="82"/>
      <c r="S25" s="82"/>
      <c r="T25" s="82"/>
      <c r="U25" s="82"/>
      <c r="V25" s="82"/>
      <c r="W25" s="82"/>
      <c r="X25" s="82"/>
      <c r="Y25" s="82"/>
      <c r="Z25" s="82"/>
      <c r="AA25" s="82"/>
      <c r="AB25" s="82"/>
      <c r="AC25" s="82"/>
      <c r="AD25" s="82"/>
      <c r="AE25" s="82"/>
    </row>
    <row r="26" spans="1:31">
      <c r="D26" s="5"/>
      <c r="K26" s="82"/>
      <c r="L26" s="82"/>
      <c r="M26" s="82"/>
      <c r="N26" s="82"/>
      <c r="O26" s="82"/>
      <c r="P26" s="82"/>
      <c r="Q26" s="82"/>
      <c r="R26" s="82"/>
      <c r="S26" s="82"/>
      <c r="T26" s="82"/>
      <c r="U26" s="82"/>
      <c r="V26" s="82"/>
      <c r="W26" s="82"/>
      <c r="X26" s="82"/>
      <c r="Y26" s="82"/>
      <c r="Z26" s="82"/>
      <c r="AA26" s="82"/>
      <c r="AB26" s="82"/>
      <c r="AC26" s="82"/>
      <c r="AD26" s="82"/>
      <c r="AE26" s="82"/>
    </row>
    <row r="27" spans="1:31">
      <c r="D27" s="20"/>
      <c r="K27" s="82"/>
      <c r="L27" s="82"/>
      <c r="M27" s="82"/>
      <c r="N27" s="82"/>
      <c r="O27" s="82"/>
      <c r="P27" s="82"/>
      <c r="Q27" s="82"/>
      <c r="R27" s="82"/>
      <c r="S27" s="82"/>
      <c r="T27" s="82"/>
      <c r="U27" s="82"/>
      <c r="V27" s="82"/>
      <c r="W27" s="82"/>
      <c r="X27" s="82"/>
      <c r="Y27" s="82"/>
      <c r="Z27" s="82"/>
      <c r="AA27" s="82"/>
      <c r="AB27" s="82"/>
      <c r="AC27" s="82"/>
      <c r="AD27" s="82"/>
      <c r="AE27" s="82"/>
    </row>
    <row r="28" spans="1:31">
      <c r="D28" s="5"/>
      <c r="K28" s="82"/>
      <c r="L28" s="82"/>
      <c r="M28" s="82"/>
      <c r="N28" s="82"/>
      <c r="O28" s="82"/>
      <c r="P28" s="82"/>
      <c r="Q28" s="82"/>
      <c r="R28" s="82"/>
      <c r="S28" s="82"/>
      <c r="T28" s="82"/>
      <c r="U28" s="82"/>
      <c r="V28" s="82"/>
      <c r="W28" s="82"/>
      <c r="X28" s="82"/>
      <c r="Y28" s="82"/>
      <c r="Z28" s="82"/>
      <c r="AA28" s="82"/>
      <c r="AB28" s="82"/>
      <c r="AC28" s="82"/>
      <c r="AD28" s="82"/>
      <c r="AE28" s="82"/>
    </row>
    <row r="29" spans="1:31">
      <c r="D29" s="5"/>
      <c r="J29" s="82"/>
      <c r="K29" s="82"/>
      <c r="L29" s="82"/>
      <c r="M29" s="82"/>
      <c r="N29" s="82"/>
      <c r="O29" s="82"/>
      <c r="P29" s="82"/>
      <c r="Q29" s="82"/>
      <c r="R29" s="82"/>
      <c r="S29" s="82"/>
      <c r="T29" s="82"/>
      <c r="U29" s="82"/>
      <c r="V29" s="82"/>
      <c r="W29" s="82"/>
      <c r="X29" s="82"/>
      <c r="Y29" s="82"/>
      <c r="Z29" s="82"/>
      <c r="AA29" s="82"/>
      <c r="AB29" s="82"/>
      <c r="AC29" s="82"/>
      <c r="AD29" s="82"/>
      <c r="AE29" s="82"/>
    </row>
    <row r="30" spans="1:31" ht="14.25" customHeight="1">
      <c r="D30" s="5"/>
      <c r="J30" s="82"/>
      <c r="K30" s="82"/>
      <c r="L30" s="82"/>
      <c r="M30" s="82"/>
      <c r="N30" s="82"/>
      <c r="O30" s="82"/>
      <c r="P30" s="82"/>
      <c r="Q30" s="82"/>
      <c r="R30" s="82"/>
      <c r="S30" s="82"/>
      <c r="T30" s="82"/>
      <c r="U30" s="82"/>
      <c r="V30" s="82"/>
      <c r="W30" s="82"/>
      <c r="X30" s="82"/>
      <c r="Y30" s="82"/>
      <c r="Z30" s="82"/>
      <c r="AA30" s="82"/>
      <c r="AB30" s="82"/>
      <c r="AC30" s="82"/>
      <c r="AD30" s="82"/>
      <c r="AE30" s="82"/>
    </row>
    <row r="31" spans="1:31">
      <c r="B31" s="19"/>
      <c r="C31" s="19"/>
      <c r="D31" s="20"/>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row>
    <row r="32" spans="1:31">
      <c r="B32" s="38"/>
      <c r="C32" s="3"/>
      <c r="D32" s="3"/>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row>
    <row r="33" spans="6:31">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row>
    <row r="34" spans="6:31">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row>
    <row r="35" spans="6:31">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row>
    <row r="36" spans="6:31">
      <c r="F36" s="8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row>
    <row r="37" spans="6:31">
      <c r="F37" s="8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row>
    <row r="38" spans="6:31">
      <c r="F38" s="8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104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77" customWidth="1"/>
    <col min="2" max="2" width="31.140625" style="77" customWidth="1"/>
    <col min="3" max="3" width="13.140625" style="77" customWidth="1"/>
    <col min="4" max="4" width="4.28515625" style="77" customWidth="1"/>
    <col min="5" max="5" width="10.7109375" style="77" customWidth="1"/>
    <col min="6" max="6" width="16.85546875" style="77" customWidth="1"/>
    <col min="7" max="7" width="10.140625" style="77" customWidth="1" collapsed="1"/>
    <col min="8" max="9" width="10.42578125" style="77" customWidth="1"/>
    <col min="10" max="10" width="9.140625" style="77" customWidth="1"/>
    <col min="11" max="11" width="9" style="77" customWidth="1"/>
    <col min="12" max="12" width="9.85546875" style="77" customWidth="1"/>
    <col min="13" max="26" width="9.140625" style="77" customWidth="1"/>
    <col min="27" max="27" width="9.28515625" style="77" customWidth="1"/>
    <col min="28" max="28" width="9.42578125" style="77" customWidth="1"/>
    <col min="29" max="29" width="10" style="77" customWidth="1"/>
    <col min="30" max="30" width="11.42578125" style="77" customWidth="1"/>
    <col min="31" max="31" width="9.42578125" style="77" bestFit="1" customWidth="1" collapsed="1"/>
    <col min="32" max="16384" width="9.140625" style="77"/>
  </cols>
  <sheetData>
    <row r="1" spans="1:32" s="76" customFormat="1" ht="15" customHeight="1">
      <c r="B1" s="15" t="s">
        <v>84</v>
      </c>
      <c r="C1" s="75"/>
      <c r="D1" s="75"/>
      <c r="E1" s="75"/>
      <c r="F1" s="75"/>
      <c r="G1" s="75"/>
      <c r="H1" s="75"/>
      <c r="I1" s="75"/>
      <c r="J1" s="75"/>
      <c r="K1" s="75"/>
      <c r="L1" s="75"/>
    </row>
    <row r="2" spans="1:32" ht="12" customHeight="1">
      <c r="C2" s="89"/>
    </row>
    <row r="3" spans="1:32" ht="12" customHeight="1">
      <c r="A3" s="79"/>
      <c r="B3" s="253" t="s">
        <v>89</v>
      </c>
      <c r="C3" s="253"/>
      <c r="D3" s="111"/>
      <c r="E3" s="86"/>
      <c r="F3" s="78"/>
      <c r="G3" s="95"/>
      <c r="H3" s="95"/>
      <c r="I3" s="95"/>
      <c r="J3" s="95"/>
      <c r="K3" s="95"/>
      <c r="L3" s="95"/>
      <c r="M3" s="95"/>
      <c r="N3" s="95"/>
      <c r="O3" s="95"/>
      <c r="P3" s="95"/>
      <c r="Q3" s="95"/>
    </row>
    <row r="4" spans="1:32" ht="12" customHeight="1" thickBot="1">
      <c r="A4" s="84"/>
      <c r="B4" s="360" t="str">
        <f>Drivers!$C$5&amp;" in mil"</f>
        <v>$ in mil</v>
      </c>
      <c r="C4" s="426"/>
      <c r="D4" s="114"/>
      <c r="E4" s="116"/>
      <c r="F4" s="115"/>
      <c r="G4" s="112"/>
      <c r="H4" s="112"/>
      <c r="I4" s="112"/>
      <c r="J4" s="112"/>
      <c r="K4" s="112"/>
      <c r="L4" s="112"/>
      <c r="M4" s="112"/>
      <c r="N4" s="112"/>
      <c r="O4" s="112"/>
      <c r="P4" s="112"/>
      <c r="Q4" s="78"/>
      <c r="S4" s="81"/>
      <c r="T4" s="81"/>
      <c r="U4" s="81"/>
      <c r="V4" s="81"/>
      <c r="AA4" s="81"/>
    </row>
    <row r="5" spans="1:32" ht="12" customHeight="1">
      <c r="A5" s="84"/>
      <c r="B5" s="77" t="s">
        <v>85</v>
      </c>
      <c r="C5" s="370">
        <f>'Balance Sheet'!G6</f>
        <v>921.27800000000002</v>
      </c>
      <c r="D5" s="114"/>
      <c r="E5" s="114"/>
      <c r="F5" s="114"/>
      <c r="G5" s="36"/>
      <c r="H5" s="36"/>
      <c r="I5" s="36"/>
      <c r="J5" s="92"/>
      <c r="K5" s="36"/>
      <c r="L5" s="36"/>
      <c r="M5" s="36"/>
      <c r="N5" s="36"/>
      <c r="O5" s="36"/>
      <c r="P5" s="36"/>
      <c r="Q5" s="36"/>
      <c r="S5" s="82"/>
      <c r="T5" s="82"/>
      <c r="U5" s="82"/>
      <c r="V5" s="82"/>
      <c r="W5" s="82"/>
      <c r="X5" s="82"/>
      <c r="Y5" s="82"/>
      <c r="Z5" s="82"/>
      <c r="AA5" s="82"/>
      <c r="AB5" s="82"/>
      <c r="AC5" s="82"/>
      <c r="AD5" s="82"/>
      <c r="AE5" s="82"/>
      <c r="AF5" s="82"/>
    </row>
    <row r="6" spans="1:32" ht="12" customHeight="1">
      <c r="A6" s="84"/>
      <c r="B6" s="77" t="s">
        <v>329</v>
      </c>
      <c r="C6" s="370">
        <f>'Balance Sheet'!G7</f>
        <v>250.41300000000001</v>
      </c>
      <c r="D6" s="114"/>
      <c r="E6" s="114"/>
      <c r="F6" s="114"/>
      <c r="G6" s="92"/>
      <c r="H6" s="92"/>
      <c r="I6" s="92"/>
      <c r="J6" s="92"/>
      <c r="K6" s="92"/>
      <c r="L6" s="92"/>
      <c r="M6" s="92"/>
      <c r="N6" s="92"/>
      <c r="O6" s="92"/>
      <c r="P6" s="92"/>
      <c r="Q6" s="92"/>
      <c r="S6" s="82"/>
      <c r="T6" s="82"/>
      <c r="U6" s="82"/>
      <c r="V6" s="82"/>
      <c r="W6" s="82"/>
      <c r="X6" s="82"/>
      <c r="Y6" s="82"/>
      <c r="Z6" s="82"/>
      <c r="AA6" s="82"/>
      <c r="AB6" s="82"/>
      <c r="AC6" s="82"/>
      <c r="AD6" s="82"/>
      <c r="AE6" s="82"/>
      <c r="AF6" s="82"/>
    </row>
    <row r="7" spans="1:32" ht="12" customHeight="1">
      <c r="B7" s="393" t="s">
        <v>89</v>
      </c>
      <c r="C7" s="395">
        <f>SUM(C5:C6)</f>
        <v>1171.691</v>
      </c>
      <c r="D7" s="114"/>
      <c r="E7" s="114"/>
      <c r="F7" s="114"/>
      <c r="G7" s="92"/>
      <c r="I7" s="80"/>
      <c r="J7" s="90"/>
      <c r="N7" s="82"/>
      <c r="O7" s="82"/>
      <c r="P7" s="89"/>
      <c r="Q7" s="92"/>
      <c r="S7" s="82"/>
      <c r="T7" s="82"/>
      <c r="U7" s="82"/>
      <c r="V7" s="82"/>
      <c r="W7" s="82"/>
      <c r="X7" s="82"/>
      <c r="Y7" s="82"/>
      <c r="Z7" s="82"/>
      <c r="AA7" s="82"/>
      <c r="AB7" s="82"/>
      <c r="AC7" s="82"/>
      <c r="AD7" s="82"/>
      <c r="AE7" s="82"/>
      <c r="AF7" s="82"/>
    </row>
    <row r="8" spans="1:32" ht="12" customHeight="1">
      <c r="A8" s="84"/>
      <c r="B8" s="80"/>
      <c r="C8" s="114"/>
      <c r="D8" s="114"/>
      <c r="E8" s="114"/>
      <c r="F8" s="114"/>
      <c r="G8" s="107"/>
      <c r="H8" s="92"/>
      <c r="J8" s="104"/>
      <c r="K8" s="105"/>
      <c r="O8" s="82"/>
      <c r="P8" s="82"/>
      <c r="Q8" s="82"/>
      <c r="R8" s="82"/>
      <c r="S8" s="82"/>
      <c r="T8" s="82"/>
      <c r="U8" s="82"/>
      <c r="V8" s="82"/>
      <c r="W8" s="82"/>
      <c r="X8" s="82"/>
      <c r="Y8" s="82"/>
      <c r="Z8" s="82"/>
      <c r="AA8" s="82"/>
      <c r="AB8" s="82"/>
      <c r="AC8" s="82"/>
      <c r="AD8" s="82"/>
      <c r="AE8" s="82"/>
      <c r="AF8" s="82"/>
    </row>
    <row r="9" spans="1:32" ht="12" customHeight="1">
      <c r="A9" s="84"/>
      <c r="B9" s="77" t="s">
        <v>341</v>
      </c>
      <c r="C9" s="70">
        <f>'Expected Growth Rate'!C9</f>
        <v>0.62601809144260756</v>
      </c>
      <c r="D9" s="114"/>
      <c r="E9" s="114"/>
      <c r="F9" s="114"/>
      <c r="G9" s="107"/>
      <c r="H9" s="92"/>
      <c r="J9" s="80"/>
      <c r="K9" s="90"/>
      <c r="O9" s="82"/>
      <c r="P9" s="82"/>
      <c r="Q9" s="82"/>
      <c r="R9" s="82"/>
      <c r="S9" s="82"/>
      <c r="T9" s="82"/>
      <c r="U9" s="82"/>
      <c r="V9" s="82"/>
      <c r="W9" s="82"/>
      <c r="X9" s="82"/>
      <c r="Y9" s="82"/>
      <c r="Z9" s="82"/>
      <c r="AA9" s="82"/>
      <c r="AB9" s="82"/>
      <c r="AC9" s="82"/>
      <c r="AD9" s="82"/>
      <c r="AE9" s="82"/>
      <c r="AF9" s="82"/>
    </row>
    <row r="10" spans="1:32">
      <c r="A10" s="80"/>
      <c r="B10" s="77" t="s">
        <v>6</v>
      </c>
      <c r="C10" s="70">
        <f ca="1">'Cost of Equity, Debt &amp; WACC'!C29</f>
        <v>8.5695473237532085E-2</v>
      </c>
      <c r="D10" s="114"/>
      <c r="E10" s="114"/>
      <c r="F10" s="114"/>
      <c r="G10" s="95"/>
      <c r="H10" s="95"/>
      <c r="I10" s="95"/>
      <c r="J10" s="95"/>
      <c r="K10" s="95"/>
      <c r="O10" s="82"/>
      <c r="P10" s="82"/>
      <c r="Q10" s="82"/>
      <c r="R10" s="82"/>
      <c r="S10" s="82"/>
      <c r="T10" s="82"/>
      <c r="U10" s="82"/>
      <c r="V10" s="82"/>
      <c r="W10" s="82"/>
      <c r="X10" s="82"/>
      <c r="Y10" s="82"/>
      <c r="Z10" s="82"/>
      <c r="AA10" s="82"/>
      <c r="AB10" s="82"/>
      <c r="AC10" s="82"/>
      <c r="AD10" s="82"/>
      <c r="AE10" s="82"/>
      <c r="AF10" s="82"/>
    </row>
    <row r="11" spans="1:32" ht="12.75" customHeight="1">
      <c r="A11" s="84"/>
      <c r="B11" s="430" t="s">
        <v>874</v>
      </c>
      <c r="C11" s="455">
        <f ca="1">C9-C10</f>
        <v>0.54032261820507543</v>
      </c>
      <c r="D11" s="114"/>
      <c r="E11" s="114"/>
      <c r="F11" s="114"/>
      <c r="G11" s="51"/>
      <c r="K11" s="90"/>
      <c r="O11" s="82"/>
      <c r="P11" s="82"/>
      <c r="Q11" s="82"/>
      <c r="R11" s="82"/>
      <c r="S11" s="82"/>
      <c r="T11" s="82"/>
      <c r="U11" s="82"/>
      <c r="V11" s="82"/>
      <c r="W11" s="82"/>
      <c r="X11" s="82"/>
      <c r="Y11" s="82"/>
      <c r="Z11" s="82"/>
      <c r="AA11" s="82"/>
      <c r="AB11" s="82"/>
      <c r="AC11" s="82"/>
      <c r="AD11" s="82"/>
      <c r="AE11" s="82"/>
      <c r="AF11" s="82"/>
    </row>
    <row r="12" spans="1:32">
      <c r="B12" s="80"/>
      <c r="C12" s="114"/>
      <c r="D12" s="114"/>
      <c r="E12" s="114"/>
      <c r="F12" s="114"/>
      <c r="G12" s="51"/>
      <c r="K12" s="90"/>
      <c r="L12" s="95"/>
      <c r="M12" s="95"/>
      <c r="N12" s="95"/>
      <c r="O12" s="95"/>
      <c r="P12" s="95"/>
      <c r="Q12" s="95"/>
      <c r="R12" s="82"/>
      <c r="S12" s="82"/>
      <c r="T12" s="82"/>
      <c r="U12" s="82"/>
      <c r="V12" s="82"/>
      <c r="W12" s="82"/>
      <c r="X12" s="82"/>
      <c r="Y12" s="82"/>
      <c r="Z12" s="82"/>
      <c r="AA12" s="82"/>
      <c r="AB12" s="82"/>
      <c r="AC12" s="82"/>
      <c r="AD12" s="82"/>
      <c r="AE12" s="82"/>
      <c r="AF12" s="82"/>
    </row>
    <row r="13" spans="1:32" ht="12" customHeight="1">
      <c r="A13" s="84"/>
      <c r="B13" s="365" t="s">
        <v>875</v>
      </c>
      <c r="C13" s="376">
        <f ca="1">C7*(1+C11)</f>
        <v>1804.782148847323</v>
      </c>
      <c r="D13" s="114"/>
      <c r="E13" s="114"/>
      <c r="F13" s="114"/>
      <c r="G13" s="108"/>
      <c r="H13" s="85"/>
      <c r="K13" s="90"/>
      <c r="O13" s="82"/>
      <c r="P13" s="82"/>
      <c r="Q13" s="82"/>
      <c r="R13" s="82"/>
      <c r="S13" s="82"/>
      <c r="T13" s="82"/>
      <c r="U13" s="82"/>
      <c r="V13" s="82"/>
      <c r="W13" s="82"/>
      <c r="X13" s="82"/>
      <c r="Y13" s="82"/>
      <c r="Z13" s="82"/>
      <c r="AA13" s="82"/>
      <c r="AB13" s="82"/>
      <c r="AC13" s="82"/>
      <c r="AD13" s="82"/>
      <c r="AE13" s="82"/>
      <c r="AF13" s="82"/>
    </row>
    <row r="14" spans="1:32">
      <c r="C14" s="114"/>
      <c r="D14" s="114"/>
      <c r="E14" s="114"/>
      <c r="F14" s="114"/>
      <c r="G14" s="3"/>
      <c r="O14" s="82"/>
      <c r="P14" s="82"/>
      <c r="Q14" s="82"/>
      <c r="R14" s="82"/>
      <c r="S14" s="82"/>
      <c r="T14" s="82"/>
      <c r="U14" s="82"/>
      <c r="V14" s="82"/>
      <c r="W14" s="82"/>
      <c r="X14" s="82"/>
      <c r="Y14" s="82"/>
      <c r="Z14" s="82"/>
      <c r="AA14" s="82"/>
      <c r="AB14" s="82"/>
      <c r="AC14" s="82"/>
      <c r="AD14" s="82"/>
      <c r="AE14" s="82"/>
      <c r="AF14" s="82"/>
    </row>
    <row r="15" spans="1:32">
      <c r="C15" s="114"/>
      <c r="D15" s="114"/>
      <c r="E15" s="114"/>
      <c r="F15" s="114"/>
      <c r="G15" s="39"/>
      <c r="K15" s="106"/>
      <c r="O15" s="82"/>
      <c r="P15" s="82"/>
      <c r="Q15" s="82"/>
      <c r="R15" s="82"/>
      <c r="S15" s="82"/>
      <c r="T15" s="82"/>
      <c r="U15" s="82"/>
      <c r="V15" s="82"/>
      <c r="W15" s="82"/>
      <c r="X15" s="82"/>
      <c r="Y15" s="82"/>
      <c r="Z15" s="82"/>
      <c r="AA15" s="82"/>
      <c r="AB15" s="82"/>
      <c r="AC15" s="82"/>
      <c r="AD15" s="82"/>
      <c r="AE15" s="82"/>
      <c r="AF15" s="82"/>
    </row>
    <row r="16" spans="1:32">
      <c r="D16" s="114"/>
      <c r="E16" s="114"/>
      <c r="F16" s="114"/>
      <c r="K16" s="82"/>
      <c r="O16" s="82"/>
      <c r="P16" s="82"/>
      <c r="Q16" s="82"/>
      <c r="R16" s="82"/>
      <c r="S16" s="82"/>
      <c r="T16" s="82"/>
      <c r="U16" s="82"/>
      <c r="V16" s="82"/>
      <c r="W16" s="82"/>
      <c r="X16" s="82"/>
      <c r="Y16" s="82"/>
      <c r="Z16" s="82"/>
      <c r="AA16" s="82"/>
      <c r="AB16" s="82"/>
      <c r="AC16" s="82"/>
      <c r="AD16" s="82"/>
      <c r="AE16" s="82"/>
      <c r="AF16" s="82"/>
    </row>
    <row r="17" spans="1:32">
      <c r="D17" s="114"/>
      <c r="E17" s="114"/>
      <c r="F17" s="114"/>
      <c r="G17" s="55"/>
      <c r="J17" s="86"/>
      <c r="K17" s="82"/>
      <c r="L17" s="82"/>
      <c r="O17" s="82"/>
      <c r="P17" s="82"/>
      <c r="Q17" s="82"/>
      <c r="R17" s="82"/>
      <c r="S17" s="82"/>
      <c r="T17" s="82"/>
      <c r="U17" s="82"/>
      <c r="V17" s="82"/>
      <c r="W17" s="82"/>
      <c r="X17" s="82"/>
      <c r="Y17" s="82"/>
      <c r="Z17" s="82"/>
      <c r="AA17" s="82"/>
      <c r="AB17" s="82"/>
      <c r="AC17" s="82"/>
      <c r="AD17" s="82"/>
      <c r="AE17" s="82"/>
      <c r="AF17" s="82"/>
    </row>
    <row r="18" spans="1:32">
      <c r="A18" s="84"/>
      <c r="D18" s="114"/>
      <c r="E18" s="114"/>
      <c r="F18" s="114"/>
      <c r="G18" s="108"/>
      <c r="J18" s="92"/>
      <c r="K18" s="82"/>
      <c r="L18" s="82"/>
      <c r="M18" s="82"/>
      <c r="N18" s="82"/>
      <c r="O18" s="82"/>
      <c r="P18" s="82"/>
      <c r="Q18" s="82"/>
      <c r="R18" s="82"/>
      <c r="S18" s="82"/>
      <c r="T18" s="82"/>
      <c r="U18" s="82"/>
      <c r="V18" s="82"/>
      <c r="W18" s="82"/>
      <c r="X18" s="82"/>
      <c r="Y18" s="82"/>
      <c r="Z18" s="82"/>
      <c r="AA18" s="82"/>
      <c r="AB18" s="82"/>
      <c r="AC18" s="82"/>
      <c r="AD18" s="82"/>
      <c r="AE18" s="82"/>
      <c r="AF18" s="82"/>
    </row>
    <row r="19" spans="1:32">
      <c r="D19" s="114"/>
      <c r="E19" s="114"/>
      <c r="F19" s="114"/>
      <c r="G19" s="51"/>
      <c r="H19" s="85"/>
      <c r="J19" s="92"/>
      <c r="K19" s="82"/>
      <c r="L19" s="82"/>
      <c r="M19" s="82"/>
      <c r="N19" s="82"/>
      <c r="O19" s="82"/>
      <c r="P19" s="82"/>
      <c r="Q19" s="82"/>
      <c r="R19" s="82"/>
      <c r="S19" s="82"/>
      <c r="T19" s="82"/>
      <c r="U19" s="82"/>
      <c r="V19" s="82"/>
      <c r="W19" s="82"/>
      <c r="X19" s="82"/>
      <c r="Y19" s="82"/>
      <c r="Z19" s="82"/>
      <c r="AA19" s="82"/>
      <c r="AB19" s="82"/>
      <c r="AC19" s="82"/>
      <c r="AD19" s="82"/>
      <c r="AE19" s="82"/>
      <c r="AF19" s="82"/>
    </row>
    <row r="20" spans="1:32">
      <c r="A20" s="84"/>
      <c r="D20" s="114"/>
      <c r="E20" s="114"/>
      <c r="F20" s="114"/>
      <c r="G20" s="51"/>
      <c r="H20" s="85"/>
      <c r="J20" s="92"/>
      <c r="K20" s="82"/>
      <c r="L20" s="82"/>
      <c r="M20" s="82"/>
      <c r="N20" s="82"/>
      <c r="O20" s="82"/>
      <c r="P20" s="82"/>
      <c r="Q20" s="82"/>
      <c r="R20" s="82"/>
      <c r="S20" s="82"/>
      <c r="T20" s="82"/>
      <c r="U20" s="82"/>
      <c r="V20" s="82"/>
      <c r="W20" s="82"/>
      <c r="X20" s="82"/>
      <c r="Y20" s="82"/>
      <c r="Z20" s="82"/>
      <c r="AA20" s="82"/>
      <c r="AB20" s="82"/>
      <c r="AC20" s="82"/>
      <c r="AD20" s="82"/>
      <c r="AE20" s="82"/>
      <c r="AF20" s="82"/>
    </row>
    <row r="21" spans="1:32">
      <c r="D21" s="114"/>
      <c r="E21" s="114"/>
      <c r="F21" s="114"/>
      <c r="G21" s="3"/>
      <c r="J21" s="92"/>
      <c r="K21" s="82"/>
      <c r="L21" s="82"/>
      <c r="M21" s="82"/>
      <c r="N21" s="82"/>
      <c r="O21" s="82"/>
      <c r="P21" s="82"/>
      <c r="Q21" s="82"/>
      <c r="R21" s="82"/>
      <c r="S21" s="82"/>
      <c r="T21" s="82"/>
      <c r="U21" s="82"/>
      <c r="V21" s="82"/>
      <c r="W21" s="82"/>
      <c r="X21" s="82"/>
      <c r="Y21" s="82"/>
      <c r="Z21" s="82"/>
      <c r="AA21" s="82"/>
      <c r="AB21" s="82"/>
      <c r="AC21" s="82"/>
      <c r="AD21" s="82"/>
      <c r="AE21" s="82"/>
      <c r="AF21" s="82"/>
    </row>
    <row r="22" spans="1:32">
      <c r="E22" s="3"/>
      <c r="F22" s="19"/>
      <c r="G22" s="39"/>
      <c r="J22" s="92"/>
      <c r="K22" s="82"/>
      <c r="L22" s="82"/>
      <c r="M22" s="82"/>
      <c r="N22" s="82"/>
      <c r="O22" s="82"/>
      <c r="P22" s="82"/>
      <c r="Q22" s="82"/>
      <c r="R22" s="82"/>
      <c r="S22" s="82"/>
      <c r="T22" s="82"/>
      <c r="U22" s="82"/>
      <c r="V22" s="82"/>
      <c r="W22" s="82"/>
      <c r="X22" s="82"/>
      <c r="Y22" s="82"/>
      <c r="Z22" s="82"/>
      <c r="AA22" s="82"/>
      <c r="AB22" s="82"/>
      <c r="AC22" s="82"/>
      <c r="AD22" s="82"/>
      <c r="AE22" s="82"/>
      <c r="AF22" s="82"/>
    </row>
    <row r="23" spans="1:32" ht="12" customHeight="1">
      <c r="E23" s="5"/>
      <c r="J23" s="92"/>
      <c r="K23" s="82"/>
      <c r="L23" s="82"/>
      <c r="M23" s="82"/>
      <c r="N23" s="82"/>
      <c r="O23" s="82"/>
      <c r="P23" s="82"/>
      <c r="Q23" s="82"/>
      <c r="R23" s="82"/>
      <c r="S23" s="82"/>
      <c r="T23" s="82"/>
      <c r="U23" s="82"/>
      <c r="V23" s="82"/>
      <c r="W23" s="82"/>
      <c r="X23" s="82"/>
      <c r="Y23" s="82"/>
      <c r="Z23" s="82"/>
      <c r="AA23" s="82"/>
      <c r="AB23" s="82"/>
      <c r="AC23" s="82"/>
      <c r="AD23" s="82"/>
      <c r="AE23" s="82"/>
      <c r="AF23" s="82"/>
    </row>
    <row r="24" spans="1:32">
      <c r="E24" s="5"/>
      <c r="F24" s="80"/>
      <c r="G24" s="16"/>
      <c r="J24" s="92"/>
      <c r="K24" s="82"/>
      <c r="L24" s="82"/>
      <c r="M24" s="82"/>
      <c r="N24" s="82"/>
      <c r="O24" s="82"/>
      <c r="P24" s="82"/>
      <c r="Q24" s="82"/>
      <c r="R24" s="82"/>
      <c r="S24" s="82"/>
      <c r="T24" s="82"/>
      <c r="U24" s="82"/>
      <c r="V24" s="82"/>
      <c r="W24" s="82"/>
      <c r="X24" s="82"/>
      <c r="Y24" s="82"/>
      <c r="Z24" s="82"/>
      <c r="AA24" s="82"/>
      <c r="AB24" s="82"/>
      <c r="AC24" s="82"/>
      <c r="AD24" s="82"/>
      <c r="AE24" s="82"/>
      <c r="AF24" s="82"/>
    </row>
    <row r="25" spans="1:32">
      <c r="E25" s="5"/>
      <c r="F25" s="80"/>
      <c r="G25" s="113"/>
      <c r="J25" s="92"/>
      <c r="K25" s="82"/>
      <c r="L25" s="82"/>
      <c r="M25" s="82"/>
      <c r="N25" s="82"/>
      <c r="O25" s="82"/>
      <c r="P25" s="82"/>
      <c r="Q25" s="82"/>
      <c r="R25" s="82"/>
      <c r="S25" s="82"/>
      <c r="T25" s="82"/>
      <c r="U25" s="82"/>
      <c r="V25" s="82"/>
      <c r="W25" s="82"/>
      <c r="X25" s="82"/>
      <c r="Y25" s="82"/>
      <c r="Z25" s="82"/>
      <c r="AA25" s="82"/>
      <c r="AB25" s="82"/>
      <c r="AC25" s="82"/>
      <c r="AD25" s="82"/>
      <c r="AE25" s="82"/>
      <c r="AF25" s="82"/>
    </row>
    <row r="26" spans="1:32">
      <c r="D26" s="5"/>
      <c r="E26" s="5"/>
      <c r="F26" s="80"/>
      <c r="G26" s="51"/>
      <c r="J26" s="93"/>
      <c r="K26" s="82"/>
      <c r="L26" s="82"/>
      <c r="M26" s="82"/>
      <c r="N26" s="82"/>
      <c r="O26" s="82"/>
      <c r="P26" s="82"/>
      <c r="Q26" s="82"/>
      <c r="R26" s="82"/>
      <c r="S26" s="82"/>
      <c r="T26" s="82"/>
      <c r="U26" s="82"/>
      <c r="V26" s="82"/>
      <c r="W26" s="82"/>
      <c r="X26" s="82"/>
      <c r="Y26" s="82"/>
      <c r="Z26" s="82"/>
      <c r="AA26" s="82"/>
      <c r="AB26" s="82"/>
      <c r="AC26" s="82"/>
      <c r="AD26" s="82"/>
      <c r="AE26" s="82"/>
      <c r="AF26" s="82"/>
    </row>
    <row r="27" spans="1:32">
      <c r="D27" s="20"/>
      <c r="E27" s="20"/>
      <c r="L27" s="82"/>
      <c r="M27" s="82"/>
      <c r="N27" s="82"/>
      <c r="O27" s="82"/>
      <c r="P27" s="82"/>
      <c r="Q27" s="82"/>
      <c r="R27" s="82"/>
      <c r="S27" s="82"/>
      <c r="T27" s="82"/>
      <c r="U27" s="82"/>
      <c r="V27" s="82"/>
      <c r="W27" s="82"/>
      <c r="X27" s="82"/>
      <c r="Y27" s="82"/>
      <c r="Z27" s="82"/>
      <c r="AA27" s="82"/>
      <c r="AB27" s="82"/>
      <c r="AC27" s="82"/>
      <c r="AD27" s="82"/>
      <c r="AE27" s="82"/>
      <c r="AF27" s="82"/>
    </row>
    <row r="28" spans="1:32">
      <c r="D28" s="5"/>
      <c r="E28" s="5"/>
      <c r="L28" s="82"/>
      <c r="M28" s="82"/>
      <c r="N28" s="82"/>
      <c r="O28" s="82"/>
      <c r="P28" s="82"/>
      <c r="Q28" s="82"/>
      <c r="R28" s="82"/>
      <c r="S28" s="82"/>
      <c r="T28" s="82"/>
      <c r="U28" s="82"/>
      <c r="V28" s="82"/>
      <c r="W28" s="82"/>
      <c r="X28" s="82"/>
      <c r="Y28" s="82"/>
      <c r="Z28" s="82"/>
      <c r="AA28" s="82"/>
      <c r="AB28" s="82"/>
      <c r="AC28" s="82"/>
      <c r="AD28" s="82"/>
      <c r="AE28" s="82"/>
      <c r="AF28" s="82"/>
    </row>
    <row r="29" spans="1:32">
      <c r="D29" s="5"/>
      <c r="E29" s="5"/>
      <c r="K29" s="82"/>
      <c r="L29" s="82"/>
      <c r="M29" s="82"/>
      <c r="N29" s="82"/>
      <c r="O29" s="82"/>
      <c r="P29" s="82"/>
      <c r="Q29" s="82"/>
      <c r="R29" s="82"/>
      <c r="S29" s="82"/>
      <c r="T29" s="82"/>
      <c r="U29" s="82"/>
      <c r="V29" s="82"/>
      <c r="W29" s="82"/>
      <c r="X29" s="82"/>
      <c r="Y29" s="82"/>
      <c r="Z29" s="82"/>
      <c r="AA29" s="82"/>
      <c r="AB29" s="82"/>
      <c r="AC29" s="82"/>
      <c r="AD29" s="82"/>
      <c r="AE29" s="82"/>
      <c r="AF29" s="82"/>
    </row>
    <row r="30" spans="1:32" ht="14.25" customHeight="1">
      <c r="D30" s="5"/>
      <c r="E30" s="5"/>
      <c r="K30" s="82"/>
      <c r="L30" s="82"/>
      <c r="M30" s="82"/>
      <c r="N30" s="82"/>
      <c r="O30" s="82"/>
      <c r="P30" s="82"/>
      <c r="Q30" s="82"/>
      <c r="R30" s="82"/>
      <c r="S30" s="82"/>
      <c r="T30" s="82"/>
      <c r="U30" s="82"/>
      <c r="V30" s="82"/>
      <c r="W30" s="82"/>
      <c r="X30" s="82"/>
      <c r="Y30" s="82"/>
      <c r="Z30" s="82"/>
      <c r="AA30" s="82"/>
      <c r="AB30" s="82"/>
      <c r="AC30" s="82"/>
      <c r="AD30" s="82"/>
      <c r="AE30" s="82"/>
      <c r="AF30" s="82"/>
    </row>
    <row r="31" spans="1:32">
      <c r="D31" s="20"/>
      <c r="E31" s="20"/>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row>
    <row r="32" spans="1:32">
      <c r="D32" s="3"/>
      <c r="E32" s="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row>
    <row r="33" spans="4:3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row>
    <row r="34" spans="4:32">
      <c r="D34" s="19"/>
      <c r="E34" s="19"/>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row>
    <row r="35" spans="4:32">
      <c r="D35" s="38"/>
      <c r="E35" s="3"/>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row>
    <row r="36" spans="4:3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row>
    <row r="37" spans="4:3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row>
    <row r="38" spans="4:3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77" customWidth="1"/>
    <col min="2" max="2" width="27" style="77" customWidth="1"/>
    <col min="3" max="6" width="11.7109375" style="77" customWidth="1"/>
    <col min="7" max="7" width="11.7109375" style="77" customWidth="1" collapsed="1"/>
    <col min="8" max="13" width="11.7109375" style="77" customWidth="1"/>
    <col min="14" max="26" width="9.140625" style="77" customWidth="1"/>
    <col min="27" max="27" width="9.28515625" style="77" customWidth="1"/>
    <col min="28" max="28" width="9.42578125" style="77" customWidth="1"/>
    <col min="29" max="29" width="10" style="77" customWidth="1"/>
    <col min="30" max="30" width="11.42578125" style="77" customWidth="1"/>
    <col min="31" max="31" width="9.42578125" style="77" bestFit="1" customWidth="1" collapsed="1"/>
    <col min="32" max="16384" width="9.140625" style="77"/>
  </cols>
  <sheetData>
    <row r="1" spans="1:32" s="76" customFormat="1" ht="15" customHeight="1">
      <c r="B1" s="15" t="s">
        <v>118</v>
      </c>
      <c r="C1" s="75"/>
      <c r="D1" s="75"/>
      <c r="E1" s="75"/>
      <c r="F1" s="75"/>
      <c r="G1" s="75"/>
      <c r="H1" s="75"/>
      <c r="I1" s="75"/>
      <c r="J1" s="75"/>
      <c r="K1" s="75"/>
      <c r="L1" s="75"/>
    </row>
    <row r="2" spans="1:32" ht="12" customHeight="1">
      <c r="C2" s="89"/>
    </row>
    <row r="3" spans="1:32" ht="12" customHeight="1">
      <c r="A3" s="79"/>
      <c r="G3" s="95"/>
      <c r="H3" s="95"/>
      <c r="I3" s="96"/>
      <c r="J3" s="95"/>
      <c r="K3" s="95"/>
      <c r="L3" s="95"/>
      <c r="M3" s="95"/>
      <c r="N3" s="95"/>
      <c r="O3" s="95"/>
      <c r="P3" s="95"/>
      <c r="Q3" s="95"/>
    </row>
    <row r="4" spans="1:32" ht="12" customHeight="1">
      <c r="A4" s="84"/>
      <c r="B4" s="253" t="s">
        <v>877</v>
      </c>
      <c r="C4" s="253"/>
      <c r="D4" s="253"/>
      <c r="E4" s="253"/>
      <c r="F4" s="253"/>
      <c r="G4" s="473"/>
      <c r="H4" s="134"/>
      <c r="I4" s="112"/>
      <c r="J4" s="112"/>
      <c r="K4" s="112"/>
      <c r="L4" s="112"/>
      <c r="M4" s="112"/>
      <c r="N4" s="112"/>
      <c r="O4" s="112"/>
      <c r="P4" s="78"/>
      <c r="R4" s="81"/>
      <c r="S4" s="81"/>
      <c r="T4" s="81"/>
      <c r="U4" s="81"/>
      <c r="Z4" s="81"/>
    </row>
    <row r="5" spans="1:32" ht="12" customHeight="1" thickBot="1">
      <c r="A5" s="84"/>
      <c r="B5" s="360" t="str">
        <f>Drivers!$C$5&amp;" in mil"</f>
        <v>$ in mil</v>
      </c>
      <c r="C5" s="378">
        <v>43101</v>
      </c>
      <c r="D5" s="378">
        <f>EDATE(C5,12)</f>
        <v>43466</v>
      </c>
      <c r="E5" s="378">
        <f>EDATE(D5,12)</f>
        <v>43831</v>
      </c>
      <c r="F5" s="378">
        <f>EDATE(E5,12)</f>
        <v>44197</v>
      </c>
      <c r="G5" s="378">
        <f>EDATE(F5,12)</f>
        <v>44562</v>
      </c>
      <c r="H5" s="134"/>
      <c r="I5" s="92"/>
      <c r="J5" s="36"/>
      <c r="K5" s="36"/>
      <c r="L5" s="36"/>
      <c r="M5" s="36"/>
      <c r="N5" s="36"/>
      <c r="O5" s="36"/>
      <c r="P5" s="36"/>
      <c r="R5" s="82"/>
      <c r="S5" s="82"/>
      <c r="T5" s="82"/>
      <c r="U5" s="82"/>
      <c r="V5" s="82"/>
      <c r="W5" s="82"/>
      <c r="X5" s="82"/>
      <c r="Y5" s="82"/>
      <c r="Z5" s="82"/>
      <c r="AA5" s="82"/>
      <c r="AB5" s="82"/>
      <c r="AC5" s="82"/>
      <c r="AD5" s="82"/>
      <c r="AE5" s="82"/>
    </row>
    <row r="6" spans="1:32" ht="12" customHeight="1">
      <c r="A6" s="84"/>
      <c r="B6" s="82" t="s">
        <v>116</v>
      </c>
      <c r="C6" s="389">
        <v>239.17699999999999</v>
      </c>
      <c r="D6" s="389">
        <f>185.9</f>
        <v>185.9</v>
      </c>
      <c r="E6" s="389">
        <v>800.45299999999997</v>
      </c>
      <c r="F6" s="389">
        <f>810.321</f>
        <v>810.32100000000003</v>
      </c>
      <c r="G6" s="389">
        <v>322.23</v>
      </c>
      <c r="I6" s="92"/>
      <c r="J6" s="92"/>
      <c r="K6" s="92"/>
      <c r="L6" s="92"/>
      <c r="M6" s="92"/>
      <c r="N6" s="92"/>
      <c r="O6" s="92"/>
      <c r="P6" s="92"/>
      <c r="R6" s="82"/>
      <c r="S6" s="82"/>
      <c r="T6" s="82"/>
      <c r="U6" s="82"/>
      <c r="V6" s="82"/>
      <c r="W6" s="82"/>
      <c r="X6" s="82"/>
      <c r="Y6" s="82"/>
      <c r="Z6" s="82"/>
      <c r="AA6" s="82"/>
      <c r="AB6" s="82"/>
      <c r="AC6" s="82"/>
      <c r="AD6" s="82"/>
      <c r="AE6" s="82"/>
    </row>
    <row r="7" spans="1:32" ht="12" customHeight="1">
      <c r="B7" s="82" t="s">
        <v>4</v>
      </c>
      <c r="C7" s="474">
        <f>'Accounting Adjustments'!C5</f>
        <v>603.69299999999998</v>
      </c>
      <c r="D7" s="474">
        <f>'Accounting Adjustments'!D5</f>
        <v>818.37900000000002</v>
      </c>
      <c r="E7" s="474">
        <f>'Accounting Adjustments'!E5</f>
        <v>1725.625</v>
      </c>
      <c r="F7" s="474">
        <f>'Accounting Adjustments'!F5</f>
        <v>2329.114</v>
      </c>
      <c r="G7" s="474">
        <f>'Accounting Adjustments'!G5</f>
        <v>2566.1109999999999</v>
      </c>
      <c r="H7" s="90"/>
      <c r="I7" s="90"/>
      <c r="M7" s="82"/>
      <c r="N7" s="82"/>
      <c r="O7" s="89"/>
      <c r="P7" s="92"/>
      <c r="R7" s="82"/>
      <c r="S7" s="82"/>
      <c r="T7" s="82"/>
      <c r="U7" s="82"/>
      <c r="V7" s="82"/>
      <c r="W7" s="82"/>
      <c r="X7" s="82"/>
      <c r="Y7" s="82"/>
      <c r="Z7" s="82"/>
      <c r="AA7" s="82"/>
      <c r="AB7" s="82"/>
      <c r="AC7" s="82"/>
      <c r="AD7" s="82"/>
      <c r="AE7" s="82"/>
    </row>
    <row r="8" spans="1:32" ht="12" customHeight="1">
      <c r="A8" s="84"/>
      <c r="B8" s="82" t="s">
        <v>117</v>
      </c>
      <c r="C8" s="92">
        <f>C6/C7</f>
        <v>0.39618978520539411</v>
      </c>
      <c r="D8" s="92">
        <f>D6/D7</f>
        <v>0.22715636642680226</v>
      </c>
      <c r="E8" s="92">
        <f>E6/E7</f>
        <v>0.46386265845708075</v>
      </c>
      <c r="F8" s="92">
        <f>F6/F7</f>
        <v>0.34790954843773214</v>
      </c>
      <c r="G8" s="92">
        <f>G6/G7</f>
        <v>0.12557134122413255</v>
      </c>
      <c r="H8" s="51"/>
      <c r="J8" s="104"/>
      <c r="K8" s="105"/>
      <c r="O8" s="82"/>
      <c r="P8" s="82"/>
      <c r="Q8" s="82"/>
      <c r="R8" s="82"/>
      <c r="S8" s="82"/>
      <c r="T8" s="82"/>
      <c r="U8" s="82"/>
      <c r="V8" s="82"/>
      <c r="W8" s="82"/>
      <c r="X8" s="82"/>
      <c r="Y8" s="82"/>
      <c r="Z8" s="82"/>
      <c r="AA8" s="82"/>
      <c r="AB8" s="82"/>
      <c r="AC8" s="82"/>
      <c r="AD8" s="82"/>
      <c r="AE8" s="82"/>
      <c r="AF8" s="82"/>
    </row>
    <row r="9" spans="1:32" ht="12" customHeight="1">
      <c r="A9" s="84"/>
      <c r="B9" s="82"/>
      <c r="C9" s="97"/>
      <c r="D9" s="91"/>
      <c r="F9" s="135" t="s">
        <v>127</v>
      </c>
      <c r="G9" s="130">
        <f>MEDIAN(C8:G8)</f>
        <v>0.34790954843773214</v>
      </c>
      <c r="J9" s="80"/>
      <c r="K9" s="90"/>
      <c r="O9" s="82"/>
      <c r="P9" s="82"/>
      <c r="Q9" s="82"/>
      <c r="R9" s="82"/>
      <c r="S9" s="82"/>
      <c r="T9" s="82"/>
      <c r="U9" s="82"/>
      <c r="V9" s="82"/>
      <c r="W9" s="82"/>
      <c r="X9" s="82"/>
      <c r="Y9" s="82"/>
      <c r="Z9" s="82"/>
      <c r="AA9" s="82"/>
      <c r="AB9" s="82"/>
      <c r="AC9" s="82"/>
      <c r="AD9" s="82"/>
      <c r="AE9" s="82"/>
      <c r="AF9" s="82"/>
    </row>
    <row r="10" spans="1:32">
      <c r="A10" s="80"/>
      <c r="O10" s="82"/>
      <c r="P10" s="82"/>
      <c r="Q10" s="82"/>
      <c r="R10" s="82"/>
      <c r="S10" s="82"/>
      <c r="T10" s="82"/>
      <c r="U10" s="82"/>
      <c r="V10" s="82"/>
      <c r="W10" s="82"/>
      <c r="X10" s="82"/>
      <c r="Y10" s="82"/>
      <c r="Z10" s="82"/>
      <c r="AA10" s="82"/>
      <c r="AB10" s="82"/>
      <c r="AC10" s="82"/>
      <c r="AD10" s="82"/>
      <c r="AE10" s="82"/>
      <c r="AF10" s="82"/>
    </row>
    <row r="11" spans="1:32" ht="12.75" customHeight="1">
      <c r="A11" s="84"/>
      <c r="B11" s="253" t="s">
        <v>880</v>
      </c>
      <c r="C11" s="253"/>
      <c r="D11" s="253"/>
      <c r="E11" s="253"/>
      <c r="F11" s="253"/>
      <c r="G11" s="473"/>
      <c r="H11" s="253"/>
      <c r="I11" s="253"/>
      <c r="J11" s="253"/>
      <c r="K11" s="253"/>
      <c r="L11" s="473"/>
      <c r="M11" s="473"/>
      <c r="N11" s="97"/>
      <c r="O11" s="82"/>
      <c r="P11" s="82"/>
      <c r="Q11" s="82"/>
      <c r="R11" s="82"/>
      <c r="S11" s="82"/>
      <c r="T11" s="82"/>
      <c r="U11" s="82"/>
      <c r="V11" s="82"/>
      <c r="W11" s="82"/>
      <c r="X11" s="82"/>
      <c r="Y11" s="82"/>
      <c r="Z11" s="82"/>
      <c r="AA11" s="82"/>
      <c r="AB11" s="82"/>
      <c r="AC11" s="82"/>
      <c r="AD11" s="82"/>
      <c r="AE11" s="82"/>
      <c r="AF11" s="82"/>
    </row>
    <row r="12" spans="1:32" ht="12.75" thickBot="1">
      <c r="B12" s="360" t="str">
        <f>Drivers!$C$5&amp;" in mil"</f>
        <v>$ in mil</v>
      </c>
      <c r="C12" s="378">
        <v>44562</v>
      </c>
      <c r="D12" s="475">
        <f>EDATE(C12,12)</f>
        <v>44927</v>
      </c>
      <c r="E12" s="475">
        <f t="shared" ref="E12:M12" si="0">EDATE(D12,12)</f>
        <v>45292</v>
      </c>
      <c r="F12" s="475">
        <f t="shared" si="0"/>
        <v>45658</v>
      </c>
      <c r="G12" s="475">
        <f t="shared" si="0"/>
        <v>46023</v>
      </c>
      <c r="H12" s="475">
        <f t="shared" si="0"/>
        <v>46388</v>
      </c>
      <c r="I12" s="475">
        <f t="shared" si="0"/>
        <v>46753</v>
      </c>
      <c r="J12" s="475">
        <f t="shared" si="0"/>
        <v>47119</v>
      </c>
      <c r="K12" s="475">
        <f t="shared" si="0"/>
        <v>47484</v>
      </c>
      <c r="L12" s="475">
        <f t="shared" si="0"/>
        <v>47849</v>
      </c>
      <c r="M12" s="475">
        <f t="shared" si="0"/>
        <v>48214</v>
      </c>
      <c r="N12" s="97"/>
      <c r="O12" s="95"/>
      <c r="P12" s="95"/>
      <c r="Q12" s="95"/>
      <c r="R12" s="82"/>
      <c r="S12" s="82"/>
      <c r="T12" s="82"/>
      <c r="U12" s="82"/>
      <c r="V12" s="82"/>
      <c r="W12" s="82"/>
      <c r="X12" s="82"/>
      <c r="Y12" s="82"/>
      <c r="Z12" s="82"/>
      <c r="AA12" s="82"/>
      <c r="AB12" s="82"/>
      <c r="AC12" s="82"/>
      <c r="AD12" s="82"/>
      <c r="AE12" s="82"/>
      <c r="AF12" s="82"/>
    </row>
    <row r="13" spans="1:32" ht="12" customHeight="1">
      <c r="A13" s="84"/>
      <c r="B13" s="82" t="s">
        <v>117</v>
      </c>
      <c r="C13" s="92">
        <f>G8</f>
        <v>0.12557134122413255</v>
      </c>
      <c r="D13" s="92">
        <v>0.15</v>
      </c>
      <c r="E13" s="92">
        <v>0.12</v>
      </c>
      <c r="F13" s="92">
        <v>0.08</v>
      </c>
      <c r="G13" s="92">
        <v>0.05</v>
      </c>
      <c r="H13" s="92">
        <v>0.04</v>
      </c>
      <c r="I13" s="92">
        <v>0.03</v>
      </c>
      <c r="J13" s="92">
        <v>0.02</v>
      </c>
      <c r="K13" s="92">
        <v>0.02</v>
      </c>
      <c r="L13" s="92">
        <v>0.01</v>
      </c>
      <c r="M13" s="92">
        <v>0.01</v>
      </c>
      <c r="O13" s="82"/>
      <c r="P13" s="82"/>
      <c r="Q13" s="82"/>
      <c r="R13" s="82"/>
      <c r="S13" s="82"/>
      <c r="T13" s="82"/>
      <c r="U13" s="82"/>
      <c r="V13" s="82"/>
      <c r="W13" s="82"/>
      <c r="X13" s="82"/>
      <c r="Y13" s="82"/>
      <c r="Z13" s="82"/>
      <c r="AA13" s="82"/>
      <c r="AB13" s="82"/>
      <c r="AC13" s="82"/>
      <c r="AD13" s="82"/>
      <c r="AE13" s="82"/>
      <c r="AF13" s="82"/>
    </row>
    <row r="14" spans="1:32">
      <c r="B14" s="82" t="s">
        <v>4</v>
      </c>
      <c r="C14" s="371">
        <f>'Future CashFlows (10Y)'!C7</f>
        <v>2566.1109999999999</v>
      </c>
      <c r="D14" s="371">
        <f>'Future CashFlows (10Y)'!D7</f>
        <v>4434.833298633499</v>
      </c>
      <c r="E14" s="371">
        <f>'Future CashFlows (10Y)'!E7</f>
        <v>5765.2832882235489</v>
      </c>
      <c r="F14" s="371">
        <f>'Future CashFlows (10Y)'!F7</f>
        <v>6803.0342801037878</v>
      </c>
      <c r="G14" s="371">
        <f>'Future CashFlows (10Y)'!G7</f>
        <v>7619.3983937162429</v>
      </c>
      <c r="H14" s="371">
        <f>'Future CashFlows (10Y)'!H7</f>
        <v>8228.9502652135434</v>
      </c>
      <c r="I14" s="371">
        <f>'Future CashFlows (10Y)'!I7</f>
        <v>8839.6618091463661</v>
      </c>
      <c r="J14" s="371">
        <f>'Future CashFlows (10Y)'!J7</f>
        <v>9444.5598667462509</v>
      </c>
      <c r="K14" s="371">
        <f>'Future CashFlows (10Y)'!K7</f>
        <v>9981.5775407694418</v>
      </c>
      <c r="L14" s="371">
        <f>'Future CashFlows (10Y)'!L7</f>
        <v>10433.643187590891</v>
      </c>
      <c r="M14" s="371">
        <f>'Future CashFlows (10Y)'!M7</f>
        <v>10785.465635876455</v>
      </c>
      <c r="O14" s="82"/>
      <c r="P14" s="82"/>
      <c r="Q14" s="82"/>
      <c r="R14" s="82"/>
      <c r="S14" s="82"/>
      <c r="T14" s="82"/>
      <c r="U14" s="82"/>
      <c r="V14" s="82"/>
      <c r="W14" s="82"/>
      <c r="X14" s="82"/>
      <c r="Y14" s="82"/>
      <c r="Z14" s="82"/>
      <c r="AA14" s="82"/>
      <c r="AB14" s="82"/>
      <c r="AC14" s="82"/>
      <c r="AD14" s="82"/>
      <c r="AE14" s="82"/>
      <c r="AF14" s="82"/>
    </row>
    <row r="15" spans="1:32">
      <c r="B15" s="477" t="s">
        <v>879</v>
      </c>
      <c r="C15" s="478">
        <f>C14*C13</f>
        <v>322.22999999999996</v>
      </c>
      <c r="D15" s="478">
        <f t="shared" ref="D15:M15" si="1">D14*D13</f>
        <v>665.22499479502483</v>
      </c>
      <c r="E15" s="478">
        <f t="shared" si="1"/>
        <v>691.83399458682584</v>
      </c>
      <c r="F15" s="478">
        <f t="shared" si="1"/>
        <v>544.242742408303</v>
      </c>
      <c r="G15" s="478">
        <f t="shared" si="1"/>
        <v>380.96991968581216</v>
      </c>
      <c r="H15" s="478">
        <f t="shared" si="1"/>
        <v>329.15801060854176</v>
      </c>
      <c r="I15" s="478">
        <f t="shared" si="1"/>
        <v>265.189854274391</v>
      </c>
      <c r="J15" s="478">
        <f t="shared" si="1"/>
        <v>188.89119733492501</v>
      </c>
      <c r="K15" s="478">
        <f>K14*K13</f>
        <v>199.63155081538883</v>
      </c>
      <c r="L15" s="478">
        <f t="shared" si="1"/>
        <v>104.33643187590891</v>
      </c>
      <c r="M15" s="478">
        <f t="shared" si="1"/>
        <v>107.85465635876456</v>
      </c>
      <c r="O15" s="82"/>
      <c r="P15" s="82"/>
      <c r="Q15" s="82"/>
      <c r="R15" s="82"/>
      <c r="S15" s="82"/>
      <c r="T15" s="82"/>
      <c r="U15" s="82"/>
      <c r="V15" s="82"/>
      <c r="W15" s="82"/>
      <c r="X15" s="82"/>
      <c r="Y15" s="82"/>
      <c r="Z15" s="82"/>
      <c r="AA15" s="82"/>
      <c r="AB15" s="82"/>
      <c r="AC15" s="82"/>
      <c r="AD15" s="82"/>
      <c r="AE15" s="82"/>
      <c r="AF15" s="82"/>
    </row>
    <row r="16" spans="1:32">
      <c r="O16" s="82"/>
      <c r="P16" s="82"/>
      <c r="Q16" s="82"/>
      <c r="R16" s="82"/>
      <c r="S16" s="82"/>
      <c r="T16" s="82"/>
      <c r="U16" s="82"/>
      <c r="V16" s="82"/>
      <c r="W16" s="82"/>
      <c r="X16" s="82"/>
      <c r="Y16" s="82"/>
      <c r="Z16" s="82"/>
      <c r="AA16" s="82"/>
      <c r="AB16" s="82"/>
      <c r="AC16" s="82"/>
      <c r="AD16" s="82"/>
      <c r="AE16" s="82"/>
      <c r="AF16" s="82"/>
    </row>
    <row r="17" spans="1:32">
      <c r="O17" s="82"/>
      <c r="P17" s="82"/>
      <c r="Q17" s="82"/>
      <c r="R17" s="82"/>
      <c r="S17" s="82"/>
      <c r="T17" s="82"/>
      <c r="U17" s="82"/>
      <c r="V17" s="82"/>
      <c r="W17" s="82"/>
      <c r="X17" s="82"/>
      <c r="Y17" s="82"/>
      <c r="Z17" s="82"/>
      <c r="AA17" s="82"/>
      <c r="AB17" s="82"/>
      <c r="AC17" s="82"/>
      <c r="AD17" s="82"/>
      <c r="AE17" s="82"/>
      <c r="AF17" s="82"/>
    </row>
    <row r="18" spans="1:32">
      <c r="A18" s="84"/>
      <c r="N18" s="82"/>
      <c r="O18" s="82"/>
      <c r="P18" s="82"/>
      <c r="Q18" s="82"/>
      <c r="R18" s="82"/>
      <c r="S18" s="82"/>
      <c r="T18" s="82"/>
      <c r="U18" s="82"/>
      <c r="V18" s="82"/>
      <c r="W18" s="82"/>
      <c r="X18" s="82"/>
      <c r="Y18" s="82"/>
      <c r="Z18" s="82"/>
      <c r="AA18" s="82"/>
      <c r="AB18" s="82"/>
      <c r="AC18" s="82"/>
      <c r="AD18" s="82"/>
      <c r="AE18" s="82"/>
      <c r="AF18" s="82"/>
    </row>
    <row r="19" spans="1:32">
      <c r="J19" s="93"/>
      <c r="K19" s="82"/>
      <c r="L19" s="82"/>
      <c r="M19" s="82"/>
      <c r="N19" s="82"/>
      <c r="O19" s="82"/>
      <c r="P19" s="82"/>
      <c r="Q19" s="82"/>
      <c r="R19" s="82"/>
      <c r="S19" s="82"/>
      <c r="T19" s="82"/>
      <c r="U19" s="82"/>
      <c r="V19" s="82"/>
      <c r="W19" s="82"/>
      <c r="X19" s="82"/>
      <c r="Y19" s="82"/>
      <c r="Z19" s="82"/>
      <c r="AA19" s="82"/>
      <c r="AB19" s="82"/>
      <c r="AC19" s="82"/>
      <c r="AD19" s="82"/>
      <c r="AE19" s="82"/>
      <c r="AF19" s="82"/>
    </row>
    <row r="20" spans="1:32">
      <c r="A20" s="84"/>
      <c r="B20" s="233"/>
      <c r="C20" s="347"/>
      <c r="D20" s="476"/>
      <c r="E20" s="449"/>
      <c r="F20" s="476"/>
      <c r="G20" s="92"/>
      <c r="L20" s="82"/>
      <c r="M20" s="82"/>
      <c r="N20" s="82"/>
      <c r="O20" s="82"/>
      <c r="P20" s="82"/>
      <c r="Q20" s="82"/>
      <c r="R20" s="82"/>
      <c r="S20" s="82"/>
      <c r="T20" s="82"/>
      <c r="U20" s="82"/>
      <c r="V20" s="82"/>
      <c r="W20" s="82"/>
      <c r="X20" s="82"/>
      <c r="Y20" s="82"/>
      <c r="Z20" s="82"/>
      <c r="AA20" s="82"/>
      <c r="AB20" s="82"/>
      <c r="AC20" s="82"/>
      <c r="AD20" s="82"/>
      <c r="AE20" s="82"/>
      <c r="AF20" s="82"/>
    </row>
    <row r="21" spans="1:32">
      <c r="B21" s="233"/>
      <c r="C21" s="347"/>
      <c r="D21" s="476"/>
      <c r="E21" s="449"/>
      <c r="F21" s="476"/>
      <c r="G21" s="92"/>
      <c r="L21" s="82"/>
      <c r="M21" s="82"/>
      <c r="N21" s="82"/>
      <c r="O21" s="82"/>
      <c r="P21" s="82"/>
      <c r="Q21" s="82"/>
      <c r="R21" s="82"/>
      <c r="S21" s="82"/>
      <c r="T21" s="82"/>
      <c r="U21" s="82"/>
      <c r="V21" s="82"/>
      <c r="W21" s="82"/>
      <c r="X21" s="82"/>
      <c r="Y21" s="82"/>
      <c r="Z21" s="82"/>
      <c r="AA21" s="82"/>
      <c r="AB21" s="82"/>
      <c r="AC21" s="82"/>
      <c r="AD21" s="82"/>
      <c r="AE21" s="82"/>
      <c r="AF21" s="82"/>
    </row>
    <row r="22" spans="1:32">
      <c r="B22" s="233"/>
      <c r="C22" s="347"/>
      <c r="D22" s="476"/>
      <c r="E22" s="449"/>
      <c r="F22" s="476"/>
      <c r="G22" s="92"/>
      <c r="K22" s="82"/>
      <c r="L22" s="82"/>
      <c r="M22" s="82"/>
      <c r="N22" s="82"/>
      <c r="O22" s="82"/>
      <c r="P22" s="82"/>
      <c r="Q22" s="82"/>
      <c r="R22" s="82"/>
      <c r="S22" s="82"/>
      <c r="T22" s="82"/>
      <c r="U22" s="82"/>
      <c r="V22" s="82"/>
      <c r="W22" s="82"/>
      <c r="X22" s="82"/>
      <c r="Y22" s="82"/>
      <c r="Z22" s="82"/>
      <c r="AA22" s="82"/>
      <c r="AB22" s="82"/>
      <c r="AC22" s="82"/>
      <c r="AD22" s="82"/>
      <c r="AE22" s="82"/>
      <c r="AF22" s="82"/>
    </row>
    <row r="23" spans="1:32" ht="12" customHeight="1">
      <c r="B23" s="233"/>
      <c r="C23" s="347"/>
      <c r="D23" s="476"/>
      <c r="E23" s="449"/>
      <c r="F23" s="476"/>
      <c r="G23" s="92"/>
      <c r="K23" s="82"/>
      <c r="L23" s="82"/>
      <c r="M23" s="82"/>
      <c r="N23" s="82"/>
      <c r="O23" s="82"/>
      <c r="P23" s="82"/>
      <c r="Q23" s="82"/>
      <c r="R23" s="82"/>
      <c r="S23" s="82"/>
      <c r="T23" s="82"/>
      <c r="U23" s="82"/>
      <c r="V23" s="82"/>
      <c r="W23" s="82"/>
      <c r="X23" s="82"/>
      <c r="Y23" s="82"/>
      <c r="Z23" s="82"/>
      <c r="AA23" s="82"/>
      <c r="AB23" s="82"/>
      <c r="AC23" s="82"/>
      <c r="AD23" s="82"/>
      <c r="AE23" s="82"/>
      <c r="AF23" s="82"/>
    </row>
    <row r="24" spans="1:32">
      <c r="B24" s="233"/>
      <c r="C24" s="347"/>
      <c r="D24" s="476"/>
      <c r="E24" s="449"/>
      <c r="F24" s="476"/>
      <c r="G24" s="92"/>
      <c r="H24" s="82"/>
      <c r="I24" s="82"/>
      <c r="J24" s="82"/>
      <c r="K24" s="82"/>
      <c r="L24" s="82"/>
      <c r="M24" s="82"/>
      <c r="N24" s="82"/>
      <c r="O24" s="82"/>
      <c r="P24" s="82"/>
      <c r="Q24" s="82"/>
      <c r="R24" s="82"/>
      <c r="S24" s="82"/>
      <c r="T24" s="82"/>
      <c r="U24" s="82"/>
      <c r="V24" s="82"/>
      <c r="W24" s="82"/>
      <c r="X24" s="82"/>
      <c r="Y24" s="82"/>
      <c r="Z24" s="82"/>
      <c r="AA24" s="82"/>
      <c r="AB24" s="82"/>
      <c r="AC24" s="82"/>
      <c r="AD24" s="82"/>
      <c r="AE24" s="82"/>
      <c r="AF24" s="82"/>
    </row>
    <row r="25" spans="1:32">
      <c r="B25" s="233"/>
      <c r="C25" s="347"/>
      <c r="D25" s="476"/>
      <c r="E25" s="449"/>
      <c r="F25" s="476"/>
      <c r="G25" s="92"/>
      <c r="H25" s="82"/>
      <c r="I25" s="82"/>
      <c r="J25" s="82"/>
      <c r="K25" s="82"/>
      <c r="L25" s="82"/>
      <c r="M25" s="82"/>
      <c r="N25" s="82"/>
      <c r="O25" s="82"/>
      <c r="P25" s="82"/>
      <c r="Q25" s="82"/>
      <c r="R25" s="82"/>
      <c r="S25" s="82"/>
      <c r="T25" s="82"/>
      <c r="U25" s="82"/>
      <c r="V25" s="82"/>
      <c r="W25" s="82"/>
      <c r="X25" s="82"/>
      <c r="Y25" s="82"/>
      <c r="Z25" s="82"/>
      <c r="AA25" s="82"/>
      <c r="AB25" s="82"/>
      <c r="AC25" s="82"/>
      <c r="AD25" s="82"/>
      <c r="AE25" s="82"/>
      <c r="AF25" s="82"/>
    </row>
    <row r="26" spans="1:32">
      <c r="G26" s="82"/>
      <c r="H26" s="82"/>
      <c r="I26" s="82"/>
      <c r="J26" s="82"/>
      <c r="K26" s="82"/>
      <c r="L26" s="82"/>
      <c r="M26" s="82"/>
      <c r="N26" s="82"/>
      <c r="O26" s="82"/>
      <c r="P26" s="82"/>
      <c r="Q26" s="82"/>
      <c r="R26" s="82"/>
      <c r="S26" s="82"/>
      <c r="T26" s="82"/>
      <c r="U26" s="82"/>
      <c r="V26" s="82"/>
      <c r="W26" s="82"/>
      <c r="X26" s="82"/>
      <c r="Y26" s="82"/>
      <c r="Z26" s="82"/>
      <c r="AA26" s="82"/>
      <c r="AB26" s="82"/>
      <c r="AC26" s="82"/>
      <c r="AD26" s="82"/>
      <c r="AE26" s="82"/>
      <c r="AF26" s="82"/>
    </row>
    <row r="27" spans="1:32">
      <c r="D27" s="19"/>
      <c r="E27" s="19"/>
      <c r="G27" s="82"/>
      <c r="H27" s="82"/>
      <c r="I27" s="82"/>
      <c r="J27" s="82"/>
      <c r="K27" s="82"/>
      <c r="L27" s="82"/>
      <c r="M27" s="82"/>
      <c r="N27" s="82"/>
      <c r="O27" s="82"/>
      <c r="P27" s="82"/>
      <c r="Q27" s="82"/>
      <c r="R27" s="82"/>
      <c r="S27" s="82"/>
      <c r="T27" s="82"/>
      <c r="U27" s="82"/>
      <c r="V27" s="82"/>
      <c r="W27" s="82"/>
      <c r="X27" s="82"/>
      <c r="Y27" s="82"/>
      <c r="Z27" s="82"/>
      <c r="AA27" s="82"/>
      <c r="AB27" s="82"/>
      <c r="AC27" s="82"/>
      <c r="AD27" s="82"/>
      <c r="AE27" s="82"/>
      <c r="AF27" s="82"/>
    </row>
    <row r="28" spans="1:32">
      <c r="D28" s="38"/>
      <c r="E28" s="3"/>
      <c r="G28" s="82"/>
      <c r="H28" s="82"/>
      <c r="I28" s="82"/>
      <c r="J28" s="82"/>
      <c r="K28" s="82"/>
      <c r="L28" s="82"/>
      <c r="M28" s="82"/>
      <c r="N28" s="82"/>
      <c r="O28" s="82"/>
      <c r="P28" s="82"/>
      <c r="Q28" s="82"/>
      <c r="R28" s="82"/>
      <c r="S28" s="82"/>
      <c r="T28" s="82"/>
      <c r="U28" s="82"/>
      <c r="V28" s="82"/>
      <c r="W28" s="82"/>
      <c r="X28" s="82"/>
      <c r="Y28" s="82"/>
      <c r="Z28" s="82"/>
      <c r="AA28" s="82"/>
      <c r="AB28" s="82"/>
      <c r="AC28" s="82"/>
      <c r="AD28" s="82"/>
      <c r="AE28" s="82"/>
      <c r="AF28" s="82"/>
    </row>
    <row r="29" spans="1:3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row>
    <row r="30" spans="1:32" ht="14.25" customHeight="1">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row>
    <row r="31" spans="1:3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row>
    <row r="32" spans="1:32">
      <c r="N32" s="82"/>
      <c r="O32" s="82"/>
      <c r="P32" s="82"/>
      <c r="Q32" s="82"/>
      <c r="R32" s="82"/>
      <c r="S32" s="82"/>
      <c r="T32" s="82"/>
      <c r="U32" s="82"/>
      <c r="V32" s="82"/>
      <c r="W32" s="82"/>
      <c r="X32" s="82"/>
      <c r="Y32" s="82"/>
      <c r="Z32" s="82"/>
      <c r="AA32" s="82"/>
      <c r="AB32" s="82"/>
      <c r="AC32" s="82"/>
      <c r="AD32" s="82"/>
      <c r="AE32" s="82"/>
      <c r="AF32" s="82"/>
    </row>
    <row r="33" spans="14:32">
      <c r="N33" s="82"/>
      <c r="O33" s="82"/>
      <c r="P33" s="82"/>
      <c r="Q33" s="82"/>
      <c r="R33" s="82"/>
      <c r="S33" s="82"/>
      <c r="T33" s="82"/>
      <c r="U33" s="82"/>
      <c r="V33" s="82"/>
      <c r="W33" s="82"/>
      <c r="X33" s="82"/>
      <c r="Y33" s="82"/>
      <c r="Z33" s="82"/>
      <c r="AA33" s="82"/>
      <c r="AB33" s="82"/>
      <c r="AC33" s="82"/>
      <c r="AD33" s="82"/>
      <c r="AE33" s="82"/>
      <c r="AF33" s="82"/>
    </row>
    <row r="34" spans="14:32">
      <c r="N34" s="82"/>
      <c r="O34" s="82"/>
      <c r="P34" s="82"/>
      <c r="Q34" s="82"/>
      <c r="R34" s="82"/>
      <c r="S34" s="82"/>
      <c r="T34" s="82"/>
      <c r="U34" s="82"/>
      <c r="V34" s="82"/>
      <c r="W34" s="82"/>
      <c r="X34" s="82"/>
      <c r="Y34" s="82"/>
      <c r="Z34" s="82"/>
      <c r="AA34" s="82"/>
      <c r="AB34" s="82"/>
      <c r="AC34" s="82"/>
      <c r="AD34" s="82"/>
      <c r="AE34" s="82"/>
      <c r="AF34" s="82"/>
    </row>
    <row r="35" spans="14:32">
      <c r="N35" s="82"/>
      <c r="O35" s="82"/>
      <c r="P35" s="82"/>
      <c r="Q35" s="82"/>
      <c r="R35" s="82"/>
      <c r="S35" s="82"/>
      <c r="T35" s="82"/>
      <c r="U35" s="82"/>
      <c r="V35" s="82"/>
      <c r="W35" s="82"/>
      <c r="X35" s="82"/>
      <c r="Y35" s="82"/>
      <c r="Z35" s="82"/>
      <c r="AA35" s="82"/>
      <c r="AB35" s="82"/>
      <c r="AC35" s="82"/>
      <c r="AD35" s="82"/>
      <c r="AE35" s="82"/>
      <c r="AF35" s="82"/>
    </row>
    <row r="36" spans="14:32">
      <c r="N36" s="82"/>
      <c r="O36" s="82"/>
      <c r="P36" s="82"/>
      <c r="Q36" s="82"/>
      <c r="R36" s="82"/>
      <c r="S36" s="82"/>
      <c r="T36" s="82"/>
      <c r="U36" s="82"/>
      <c r="V36" s="82"/>
      <c r="W36" s="82"/>
      <c r="X36" s="82"/>
      <c r="Y36" s="82"/>
      <c r="Z36" s="82"/>
      <c r="AA36" s="82"/>
      <c r="AB36" s="82"/>
      <c r="AC36" s="82"/>
      <c r="AD36" s="82"/>
      <c r="AE36" s="82"/>
      <c r="AF36" s="82"/>
    </row>
    <row r="37" spans="14:32">
      <c r="N37" s="82"/>
      <c r="O37" s="82"/>
      <c r="P37" s="82"/>
      <c r="Q37" s="82"/>
      <c r="R37" s="82"/>
      <c r="S37" s="82"/>
      <c r="T37" s="82"/>
      <c r="U37" s="82"/>
      <c r="V37" s="82"/>
      <c r="W37" s="82"/>
      <c r="X37" s="82"/>
      <c r="Y37" s="82"/>
      <c r="Z37" s="82"/>
      <c r="AA37" s="82"/>
      <c r="AB37" s="82"/>
      <c r="AC37" s="82"/>
      <c r="AD37" s="82"/>
      <c r="AE37" s="82"/>
      <c r="AF37" s="82"/>
    </row>
    <row r="38" spans="14:32">
      <c r="N38" s="82"/>
      <c r="O38" s="82"/>
      <c r="P38" s="82"/>
      <c r="Q38" s="82"/>
      <c r="R38" s="82"/>
      <c r="S38" s="82"/>
      <c r="T38" s="82"/>
      <c r="U38" s="82"/>
      <c r="V38" s="82"/>
      <c r="W38" s="82"/>
      <c r="X38" s="82"/>
      <c r="Y38" s="82"/>
      <c r="Z38" s="82"/>
      <c r="AA38" s="82"/>
      <c r="AB38" s="82"/>
      <c r="AC38" s="82"/>
      <c r="AD38" s="82"/>
      <c r="AE38" s="82"/>
      <c r="AF38" s="82"/>
    </row>
  </sheetData>
  <pageMargins left="0.7" right="0.7" top="0.75" bottom="0.75" header="0.3" footer="0.3"/>
  <pageSetup paperSize="8"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12" width="11.7109375" style="2" customWidth="1"/>
    <col min="13" max="13" width="10" style="2" bestFit="1" customWidth="1"/>
    <col min="14" max="14" width="11" style="2" customWidth="1"/>
    <col min="15" max="16" width="10" style="2" bestFit="1" customWidth="1"/>
    <col min="17" max="19" width="9.140625" style="2"/>
    <col min="20" max="20" width="10.140625" style="2" bestFit="1" customWidth="1"/>
    <col min="21" max="16384" width="9.140625" style="2"/>
  </cols>
  <sheetData>
    <row r="1" spans="1:20" ht="16.5" customHeight="1">
      <c r="B1" s="15" t="s">
        <v>95</v>
      </c>
    </row>
    <row r="3" spans="1:20" ht="12" customHeight="1">
      <c r="B3" s="253" t="s">
        <v>96</v>
      </c>
      <c r="C3" s="456">
        <v>1</v>
      </c>
      <c r="D3" s="456">
        <v>2</v>
      </c>
      <c r="E3" s="456">
        <v>3</v>
      </c>
      <c r="F3" s="456">
        <v>4</v>
      </c>
      <c r="G3" s="456">
        <v>5</v>
      </c>
      <c r="H3" s="456">
        <v>6</v>
      </c>
      <c r="I3" s="456">
        <v>7</v>
      </c>
      <c r="J3" s="456">
        <v>8</v>
      </c>
      <c r="K3" s="456">
        <v>9</v>
      </c>
      <c r="L3" s="456">
        <v>10</v>
      </c>
      <c r="M3" s="3"/>
      <c r="N3" s="3"/>
      <c r="O3" s="3"/>
      <c r="P3" s="3"/>
      <c r="Q3" s="3"/>
      <c r="R3" s="3"/>
      <c r="S3" s="3"/>
      <c r="T3" s="3"/>
    </row>
    <row r="4" spans="1:20" ht="12" customHeight="1" thickBot="1">
      <c r="B4" s="360" t="str">
        <f>Drivers!$C$5&amp;" in mil"</f>
        <v>$ in mil</v>
      </c>
      <c r="C4" s="427">
        <v>44927</v>
      </c>
      <c r="D4" s="427">
        <v>45292</v>
      </c>
      <c r="E4" s="427">
        <v>45658</v>
      </c>
      <c r="F4" s="427">
        <v>46023</v>
      </c>
      <c r="G4" s="427">
        <v>46388</v>
      </c>
      <c r="H4" s="427">
        <v>46753</v>
      </c>
      <c r="I4" s="427">
        <v>47119</v>
      </c>
      <c r="J4" s="427">
        <v>47484</v>
      </c>
      <c r="K4" s="427">
        <v>47849</v>
      </c>
      <c r="L4" s="427">
        <v>48214</v>
      </c>
      <c r="M4" s="3"/>
      <c r="N4" s="3"/>
      <c r="O4" s="3"/>
      <c r="P4" s="3"/>
      <c r="Q4" s="3"/>
      <c r="R4" s="3"/>
      <c r="S4" s="3"/>
      <c r="T4" s="3"/>
    </row>
    <row r="5" spans="1:20" ht="12" customHeight="1">
      <c r="B5" s="3" t="s">
        <v>97</v>
      </c>
      <c r="C5" s="371">
        <f>'Future CashFlows (10Y)'!D25</f>
        <v>-196.71882054485195</v>
      </c>
      <c r="D5" s="371">
        <f>'Future CashFlows (10Y)'!E25</f>
        <v>373.84870704231719</v>
      </c>
      <c r="E5" s="371">
        <f>'Future CashFlows (10Y)'!F25</f>
        <v>744.37470756080029</v>
      </c>
      <c r="F5" s="371">
        <f>'Future CashFlows (10Y)'!G25</f>
        <v>983.5814644730392</v>
      </c>
      <c r="G5" s="371">
        <f>'Future CashFlows (10Y)'!H25</f>
        <v>1043.6202146309108</v>
      </c>
      <c r="H5" s="371">
        <f>'Future CashFlows (10Y)'!I25</f>
        <v>971.3112036570933</v>
      </c>
      <c r="I5" s="371">
        <f>'Future CashFlows (10Y)'!J25</f>
        <v>878.03509766247862</v>
      </c>
      <c r="J5" s="371">
        <f>'Future CashFlows (10Y)'!K25</f>
        <v>845.18822980322432</v>
      </c>
      <c r="K5" s="371">
        <f>'Future CashFlows (10Y)'!L25</f>
        <v>879.0079419857683</v>
      </c>
      <c r="L5" s="371">
        <f>'Future CashFlows (10Y)'!M25</f>
        <v>674.61821578637546</v>
      </c>
      <c r="M5" s="3"/>
      <c r="N5" s="3"/>
      <c r="O5" s="3"/>
      <c r="P5" s="3"/>
      <c r="Q5" s="3"/>
      <c r="R5" s="3"/>
      <c r="S5" s="3"/>
      <c r="T5" s="3"/>
    </row>
    <row r="6" spans="1:20" ht="12" customHeight="1">
      <c r="B6" s="256" t="s">
        <v>98</v>
      </c>
      <c r="C6" s="276">
        <f ca="1">'Cost of Equity, Debt &amp; WACC'!C29</f>
        <v>8.5695473237532085E-2</v>
      </c>
      <c r="D6" s="276">
        <f ca="1">C6</f>
        <v>8.5695473237532085E-2</v>
      </c>
      <c r="E6" s="276">
        <f ca="1">AVERAGE(F6,C6)</f>
        <v>8.4558379242410081E-2</v>
      </c>
      <c r="F6" s="226">
        <f ca="1">AVERAGE(C6,H6)</f>
        <v>8.3421285247288063E-2</v>
      </c>
      <c r="G6" s="226">
        <f ca="1">AVERAGE(F6,H6)</f>
        <v>8.2284191252166045E-2</v>
      </c>
      <c r="H6" s="226">
        <f ca="1">AVERAGE(C6,L6)</f>
        <v>8.114709725704404E-2</v>
      </c>
      <c r="I6" s="276">
        <f ca="1">AVERAGE(H6,J6)</f>
        <v>8.0010003261922036E-2</v>
      </c>
      <c r="J6" s="276">
        <f ca="1">AVERAGE(H6,L6)</f>
        <v>7.8872909266800018E-2</v>
      </c>
      <c r="K6" s="276">
        <f ca="1">AVERAGE(J6,L6)</f>
        <v>7.7735815271677999E-2</v>
      </c>
      <c r="L6" s="276">
        <f ca="1">'Terminal Value'!$F$19</f>
        <v>7.6598721276555995E-2</v>
      </c>
      <c r="M6" s="3"/>
      <c r="N6" s="3"/>
      <c r="O6" s="3"/>
      <c r="P6" s="3"/>
      <c r="Q6" s="3"/>
      <c r="R6" s="3"/>
      <c r="S6" s="3"/>
      <c r="T6" s="3"/>
    </row>
    <row r="7" spans="1:20" ht="12" customHeight="1">
      <c r="B7" s="457" t="s">
        <v>96</v>
      </c>
      <c r="C7" s="387">
        <f ca="1">C5/(1+C6)^C3</f>
        <v>-181.19152690048395</v>
      </c>
      <c r="D7" s="387">
        <f t="shared" ref="D7:L7" ca="1" si="0">D5/(1+D6)^D3</f>
        <v>317.16103677593958</v>
      </c>
      <c r="E7" s="387">
        <f t="shared" ca="1" si="0"/>
        <v>583.48917870147102</v>
      </c>
      <c r="F7" s="387">
        <f t="shared" ca="1" si="0"/>
        <v>713.87287662520168</v>
      </c>
      <c r="G7" s="387">
        <f t="shared" ca="1" si="0"/>
        <v>702.80672506161613</v>
      </c>
      <c r="H7" s="387">
        <f t="shared" ca="1" si="0"/>
        <v>608.20456905460651</v>
      </c>
      <c r="I7" s="387">
        <f t="shared" ca="1" si="0"/>
        <v>512.29183033512129</v>
      </c>
      <c r="J7" s="387">
        <f t="shared" ca="1" si="0"/>
        <v>460.45918061814245</v>
      </c>
      <c r="K7" s="387">
        <f t="shared" ca="1" si="0"/>
        <v>448.10723818329143</v>
      </c>
      <c r="L7" s="387">
        <f t="shared" ca="1" si="0"/>
        <v>322.49238727171928</v>
      </c>
      <c r="M7" s="17"/>
      <c r="N7" s="3"/>
      <c r="O7" s="3"/>
      <c r="P7" s="3"/>
      <c r="Q7" s="3"/>
      <c r="R7" s="3"/>
      <c r="S7" s="3"/>
      <c r="T7" s="3"/>
    </row>
    <row r="8" spans="1:20" ht="12" customHeight="1">
      <c r="M8" s="3"/>
      <c r="N8" s="3"/>
      <c r="O8" s="3"/>
      <c r="P8" s="3"/>
      <c r="Q8" s="3"/>
      <c r="R8" s="3"/>
      <c r="S8" s="3"/>
      <c r="T8" s="3"/>
    </row>
    <row r="9" spans="1:20" ht="12" customHeight="1">
      <c r="M9" s="3"/>
      <c r="N9" s="3"/>
      <c r="O9" s="3"/>
      <c r="P9" s="3"/>
      <c r="Q9" s="3"/>
      <c r="R9" s="3"/>
      <c r="S9" s="3"/>
      <c r="T9" s="3"/>
    </row>
    <row r="10" spans="1:20" ht="12" customHeight="1">
      <c r="B10" s="253" t="s">
        <v>103</v>
      </c>
      <c r="C10" s="456"/>
      <c r="E10" s="25"/>
      <c r="F10" s="25"/>
      <c r="G10" s="25"/>
      <c r="H10" s="25"/>
      <c r="M10" s="3"/>
      <c r="N10" s="3"/>
      <c r="O10" s="3"/>
      <c r="P10" s="3"/>
      <c r="Q10" s="3"/>
      <c r="R10" s="3"/>
      <c r="S10" s="3"/>
      <c r="T10" s="3"/>
    </row>
    <row r="11" spans="1:20" ht="12" customHeight="1" thickBot="1">
      <c r="A11" s="3"/>
      <c r="B11" s="360" t="str">
        <f>Drivers!$C$5&amp;" in mil"</f>
        <v>$ in mil</v>
      </c>
      <c r="C11" s="427"/>
      <c r="E11" s="28"/>
      <c r="F11" s="28"/>
      <c r="G11" s="28"/>
      <c r="H11" s="28"/>
      <c r="L11" s="126"/>
      <c r="N11" s="3"/>
      <c r="O11" s="3"/>
      <c r="P11" s="3"/>
      <c r="Q11" s="3"/>
      <c r="R11" s="3"/>
      <c r="S11" s="3"/>
      <c r="T11" s="3"/>
    </row>
    <row r="12" spans="1:20" ht="12" customHeight="1">
      <c r="A12" s="3"/>
      <c r="B12" s="25" t="s">
        <v>94</v>
      </c>
      <c r="C12" s="388">
        <f ca="1">SUM(C7:L7)</f>
        <v>4487.6934957266249</v>
      </c>
      <c r="E12" s="60"/>
      <c r="F12" s="60"/>
      <c r="G12" s="60"/>
      <c r="H12" s="60"/>
      <c r="I12" s="25"/>
      <c r="J12" s="25"/>
      <c r="K12" s="25"/>
      <c r="L12" s="3"/>
      <c r="M12" s="3"/>
      <c r="N12" s="3"/>
      <c r="O12" s="3"/>
      <c r="P12" s="3"/>
      <c r="Q12" s="3"/>
      <c r="R12" s="3"/>
      <c r="S12" s="3"/>
      <c r="T12" s="3"/>
    </row>
    <row r="13" spans="1:20" ht="12" customHeight="1">
      <c r="A13" s="3"/>
      <c r="B13" s="25" t="s">
        <v>68</v>
      </c>
      <c r="C13" s="388">
        <f ca="1">'Terminal Value'!$C$12</f>
        <v>14981.253629033252</v>
      </c>
      <c r="D13" s="25"/>
      <c r="E13" s="20"/>
      <c r="F13" s="156"/>
      <c r="G13" s="459"/>
      <c r="H13" s="125"/>
      <c r="I13" s="125"/>
      <c r="J13" s="125"/>
      <c r="K13" s="125"/>
      <c r="L13" s="125"/>
      <c r="M13" s="125"/>
      <c r="N13" s="125"/>
      <c r="O13" s="125"/>
      <c r="P13" s="125"/>
      <c r="Q13" s="3"/>
      <c r="R13" s="3"/>
      <c r="S13" s="3"/>
      <c r="T13" s="3"/>
    </row>
    <row r="14" spans="1:20" s="22" customFormat="1" ht="12" customHeight="1">
      <c r="A14" s="21"/>
      <c r="B14" s="25" t="s">
        <v>88</v>
      </c>
      <c r="C14" s="388">
        <f ca="1">C13/(1+L6)^L3</f>
        <v>7161.5917478871233</v>
      </c>
      <c r="D14" s="34"/>
      <c r="E14" s="20"/>
      <c r="F14" s="156"/>
      <c r="G14" s="481"/>
      <c r="H14" s="472"/>
      <c r="I14" s="371"/>
      <c r="J14" s="472"/>
      <c r="K14" s="472"/>
      <c r="L14" s="371"/>
      <c r="M14" s="371"/>
      <c r="N14" s="371"/>
      <c r="O14" s="371"/>
      <c r="P14" s="371"/>
      <c r="Q14" s="21"/>
      <c r="R14" s="21"/>
      <c r="S14" s="21"/>
      <c r="T14" s="21"/>
    </row>
    <row r="15" spans="1:20" ht="12" customHeight="1">
      <c r="A15" s="3"/>
      <c r="B15" s="466" t="s">
        <v>99</v>
      </c>
      <c r="C15" s="467">
        <f ca="1">C14+C12</f>
        <v>11649.285243613747</v>
      </c>
      <c r="E15" s="157"/>
      <c r="F15" s="156"/>
      <c r="G15" s="481"/>
      <c r="H15" s="472"/>
      <c r="I15" s="472"/>
      <c r="J15" s="472"/>
      <c r="K15" s="472"/>
      <c r="L15" s="472"/>
      <c r="M15" s="472"/>
      <c r="N15" s="472"/>
      <c r="O15" s="472"/>
      <c r="P15" s="472"/>
    </row>
    <row r="16" spans="1:20" ht="12" customHeight="1">
      <c r="A16" s="120"/>
      <c r="B16" s="468" t="s">
        <v>84</v>
      </c>
      <c r="C16" s="388">
        <f ca="1">'Cash &amp; Marketable Securities'!C13</f>
        <v>1804.782148847323</v>
      </c>
      <c r="E16" s="157"/>
      <c r="F16" s="156"/>
      <c r="G16" s="481"/>
      <c r="H16" s="472"/>
      <c r="I16" s="472"/>
      <c r="J16" s="472"/>
      <c r="K16" s="472"/>
      <c r="L16" s="472"/>
      <c r="M16" s="472"/>
      <c r="N16" s="472"/>
      <c r="O16" s="472"/>
      <c r="P16" s="472"/>
    </row>
    <row r="17" spans="1:20" ht="12" customHeight="1">
      <c r="A17" s="120"/>
      <c r="B17" s="469" t="s">
        <v>93</v>
      </c>
      <c r="C17" s="388">
        <v>0</v>
      </c>
      <c r="E17" s="157"/>
      <c r="F17" s="156"/>
      <c r="G17" s="481"/>
      <c r="H17" s="472"/>
      <c r="I17" s="472"/>
      <c r="J17" s="472"/>
      <c r="K17" s="472"/>
      <c r="L17" s="472"/>
      <c r="M17" s="472"/>
      <c r="N17" s="472"/>
      <c r="O17" s="472"/>
      <c r="P17" s="472"/>
    </row>
    <row r="18" spans="1:20" ht="12" customHeight="1">
      <c r="A18" s="120"/>
      <c r="B18" s="2" t="s">
        <v>100</v>
      </c>
      <c r="C18" s="472">
        <v>0</v>
      </c>
      <c r="D18" s="25"/>
      <c r="E18" s="157"/>
      <c r="F18" s="156"/>
      <c r="G18" s="481"/>
      <c r="H18" s="472"/>
      <c r="I18" s="472"/>
      <c r="J18" s="472"/>
      <c r="K18" s="472"/>
      <c r="L18" s="472"/>
      <c r="M18" s="472"/>
      <c r="N18" s="472"/>
      <c r="O18" s="472"/>
      <c r="P18" s="472"/>
    </row>
    <row r="19" spans="1:20" ht="12" customHeight="1">
      <c r="A19" s="6"/>
      <c r="B19" s="466" t="s">
        <v>91</v>
      </c>
      <c r="C19" s="467">
        <f ca="1">SUM(C15:C18)</f>
        <v>13454.067392461071</v>
      </c>
      <c r="D19" s="25"/>
      <c r="E19" s="20"/>
      <c r="F19" s="158"/>
      <c r="G19" s="481"/>
      <c r="H19" s="472"/>
      <c r="I19" s="472"/>
      <c r="J19" s="472"/>
      <c r="K19" s="472"/>
      <c r="L19" s="472"/>
      <c r="M19" s="472"/>
      <c r="N19" s="472"/>
      <c r="O19" s="472"/>
      <c r="P19" s="472"/>
      <c r="Q19" s="25"/>
      <c r="R19" s="3"/>
      <c r="S19" s="3"/>
      <c r="T19" s="3"/>
    </row>
    <row r="20" spans="1:20" ht="12" customHeight="1">
      <c r="A20" s="6"/>
      <c r="B20" s="25" t="s">
        <v>90</v>
      </c>
      <c r="C20" s="450">
        <f ca="1">-'Bottom Up Beta'!C14</f>
        <v>-1975.6654974908643</v>
      </c>
      <c r="D20" s="25"/>
      <c r="E20" s="20"/>
      <c r="F20" s="158"/>
      <c r="G20" s="481"/>
      <c r="H20" s="472"/>
      <c r="I20" s="472"/>
      <c r="J20" s="472"/>
      <c r="K20" s="472"/>
      <c r="L20" s="472"/>
      <c r="M20" s="472"/>
      <c r="N20" s="472"/>
      <c r="O20" s="472"/>
      <c r="P20" s="472"/>
      <c r="Q20" s="3"/>
      <c r="R20" s="3"/>
      <c r="S20" s="3"/>
      <c r="T20" s="3"/>
    </row>
    <row r="21" spans="1:20" ht="12" customHeight="1">
      <c r="A21" s="6"/>
      <c r="B21" s="25" t="s">
        <v>876</v>
      </c>
      <c r="C21" s="450">
        <f>Drivers!I10</f>
        <v>-388.33600000000001</v>
      </c>
      <c r="D21" s="27"/>
      <c r="E21" s="20"/>
      <c r="F21" s="158"/>
      <c r="G21" s="481"/>
      <c r="H21" s="472"/>
      <c r="I21" s="472"/>
      <c r="J21" s="472"/>
      <c r="K21" s="472"/>
      <c r="L21" s="472"/>
      <c r="M21" s="472"/>
      <c r="N21" s="472"/>
      <c r="O21" s="472"/>
      <c r="P21" s="472"/>
      <c r="Q21" s="3"/>
      <c r="R21" s="3"/>
      <c r="S21" s="3"/>
      <c r="T21" s="3"/>
    </row>
    <row r="22" spans="1:20" ht="12" customHeight="1">
      <c r="A22" s="6"/>
      <c r="B22" s="466" t="s">
        <v>92</v>
      </c>
      <c r="C22" s="372">
        <f ca="1">SUM(C19:C21)</f>
        <v>11090.065894970208</v>
      </c>
      <c r="D22" s="25"/>
      <c r="E22" s="20"/>
      <c r="F22" s="158"/>
      <c r="G22" s="481"/>
      <c r="H22" s="472"/>
      <c r="I22" s="472"/>
      <c r="J22" s="472"/>
      <c r="K22" s="472"/>
      <c r="L22" s="472"/>
      <c r="M22" s="472"/>
      <c r="N22" s="472"/>
      <c r="O22" s="472"/>
      <c r="P22" s="472"/>
      <c r="Q22" s="3"/>
      <c r="R22" s="3"/>
      <c r="S22" s="3"/>
      <c r="T22" s="3"/>
    </row>
    <row r="23" spans="1:20" s="24" customFormat="1" ht="12" customHeight="1">
      <c r="A23" s="121"/>
      <c r="B23" s="2" t="s">
        <v>101</v>
      </c>
      <c r="C23" s="450">
        <f>Drivers!I11</f>
        <v>322.23</v>
      </c>
      <c r="D23" s="25"/>
      <c r="E23" s="23"/>
      <c r="F23" s="23"/>
      <c r="G23" s="23"/>
      <c r="H23" s="159"/>
      <c r="I23" s="28"/>
      <c r="J23" s="28"/>
      <c r="K23" s="28"/>
      <c r="L23" s="23"/>
      <c r="M23" s="23"/>
      <c r="N23" s="23"/>
      <c r="O23" s="23"/>
      <c r="P23" s="23"/>
      <c r="Q23" s="23"/>
      <c r="R23" s="23"/>
      <c r="S23" s="23"/>
      <c r="T23" s="23"/>
    </row>
    <row r="24" spans="1:20" ht="12" customHeight="1">
      <c r="A24" s="24"/>
      <c r="B24" s="466" t="s">
        <v>102</v>
      </c>
      <c r="C24" s="470">
        <f ca="1">C22-C23</f>
        <v>10767.835894970209</v>
      </c>
      <c r="D24" s="169"/>
      <c r="I24" s="3"/>
      <c r="J24" s="3"/>
      <c r="K24" s="3"/>
      <c r="L24" s="3"/>
      <c r="M24" s="3"/>
      <c r="N24" s="3"/>
      <c r="O24" s="3"/>
      <c r="P24" s="3"/>
      <c r="Q24" s="3"/>
      <c r="R24" s="3"/>
      <c r="S24" s="3"/>
      <c r="T24" s="3"/>
    </row>
    <row r="25" spans="1:20" ht="12" customHeight="1">
      <c r="B25" s="2" t="s">
        <v>38</v>
      </c>
      <c r="C25" s="479">
        <f>Drivers!C17</f>
        <v>126.778626</v>
      </c>
      <c r="D25" s="154"/>
      <c r="I25" s="25"/>
      <c r="J25" s="25"/>
      <c r="K25" s="13"/>
      <c r="L25" s="3"/>
      <c r="M25" s="3"/>
      <c r="N25" s="3"/>
      <c r="O25" s="3"/>
      <c r="P25" s="3"/>
      <c r="Q25" s="3"/>
      <c r="R25" s="3"/>
      <c r="S25" s="3"/>
      <c r="T25" s="3"/>
    </row>
    <row r="26" spans="1:20" ht="12" customHeight="1">
      <c r="B26" s="335" t="s">
        <v>103</v>
      </c>
      <c r="C26" s="471">
        <f ca="1">C24/C25</f>
        <v>84.93415834125075</v>
      </c>
      <c r="D26" s="28"/>
      <c r="I26" s="25"/>
      <c r="J26" s="25"/>
      <c r="K26" s="5"/>
      <c r="L26" s="3"/>
      <c r="M26" s="3"/>
      <c r="N26" s="3"/>
      <c r="O26" s="3"/>
      <c r="P26" s="3"/>
      <c r="Q26" s="3"/>
      <c r="R26" s="3"/>
      <c r="S26" s="3"/>
      <c r="T26" s="3"/>
    </row>
    <row r="27" spans="1:20" ht="12" customHeight="1">
      <c r="D27" s="3"/>
      <c r="I27" s="25"/>
      <c r="J27" s="25"/>
      <c r="K27" s="5"/>
      <c r="L27" s="3"/>
      <c r="M27" s="3"/>
      <c r="N27" s="3"/>
      <c r="O27" s="3"/>
      <c r="P27" s="3"/>
      <c r="Q27" s="3"/>
      <c r="R27" s="3"/>
      <c r="S27" s="3"/>
      <c r="T27" s="3"/>
    </row>
    <row r="28" spans="1:20" ht="12" customHeight="1">
      <c r="D28" s="3"/>
      <c r="E28" s="124"/>
      <c r="F28" s="125"/>
      <c r="G28" s="13"/>
      <c r="H28" s="5"/>
      <c r="I28" s="5"/>
      <c r="J28" s="5"/>
      <c r="K28" s="5"/>
      <c r="L28" s="3"/>
      <c r="M28" s="3"/>
      <c r="N28" s="3"/>
      <c r="O28" s="3"/>
      <c r="P28" s="3"/>
      <c r="Q28" s="3"/>
      <c r="R28" s="3"/>
      <c r="S28" s="3"/>
      <c r="T28" s="3"/>
    </row>
    <row r="29" spans="1:20" ht="12" customHeight="1">
      <c r="D29" s="3"/>
      <c r="E29" s="35"/>
      <c r="F29" s="98"/>
      <c r="G29" s="13"/>
      <c r="H29" s="5"/>
      <c r="I29" s="5"/>
      <c r="J29" s="5"/>
      <c r="K29" s="5"/>
      <c r="L29" s="3"/>
      <c r="M29" s="3"/>
      <c r="N29" s="3"/>
      <c r="O29" s="3"/>
      <c r="P29" s="3"/>
      <c r="Q29" s="3"/>
      <c r="R29" s="3"/>
      <c r="S29" s="3"/>
      <c r="T29" s="3"/>
    </row>
    <row r="30" spans="1:20" ht="12" customHeight="1">
      <c r="D30" s="3"/>
      <c r="E30" s="35"/>
      <c r="F30" s="92"/>
      <c r="G30" s="3"/>
      <c r="H30" s="3"/>
      <c r="I30" s="3"/>
      <c r="J30" s="3"/>
      <c r="K30" s="3"/>
      <c r="L30" s="3"/>
      <c r="M30" s="3"/>
      <c r="N30" s="3"/>
      <c r="O30" s="3"/>
      <c r="P30" s="3"/>
      <c r="Q30" s="3"/>
      <c r="R30" s="3"/>
      <c r="S30" s="3"/>
      <c r="T30" s="3"/>
    </row>
    <row r="31" spans="1:20" ht="12" customHeight="1">
      <c r="E31" s="27"/>
      <c r="F31" s="90"/>
      <c r="G31" s="3"/>
      <c r="H31" s="3"/>
      <c r="I31" s="3"/>
      <c r="J31" s="3"/>
      <c r="K31" s="3"/>
      <c r="L31" s="3"/>
      <c r="M31" s="3"/>
    </row>
    <row r="32" spans="1:20" ht="12" customHeight="1">
      <c r="E32" s="3"/>
      <c r="F32" s="90"/>
      <c r="G32" s="3"/>
      <c r="H32" s="3"/>
      <c r="I32" s="3"/>
      <c r="J32" s="3"/>
      <c r="K32" s="3"/>
      <c r="L32" s="3"/>
      <c r="M32" s="3"/>
    </row>
    <row r="33" spans="5:13" ht="12" customHeight="1">
      <c r="E33" s="3"/>
      <c r="F33" s="123"/>
    </row>
    <row r="34" spans="5:13" ht="12" customHeight="1">
      <c r="E34" s="3"/>
      <c r="F34" s="51"/>
      <c r="G34" s="7"/>
      <c r="K34" s="9"/>
    </row>
    <row r="35" spans="5:13" ht="12" customHeight="1">
      <c r="E35" s="25"/>
      <c r="F35" s="122"/>
      <c r="G35" s="10"/>
      <c r="K35" s="7"/>
      <c r="M35" s="7"/>
    </row>
    <row r="36" spans="5:13" ht="12" customHeight="1">
      <c r="E36" s="25"/>
      <c r="M36" s="7"/>
    </row>
    <row r="37" spans="5:13" ht="12" customHeight="1">
      <c r="E37" s="25"/>
      <c r="F37" s="5"/>
      <c r="G37" s="14"/>
      <c r="K37" s="4"/>
    </row>
    <row r="40" spans="5:13" ht="12" customHeight="1">
      <c r="G40" s="11"/>
    </row>
    <row r="41" spans="5:13" ht="12" customHeight="1">
      <c r="G41" s="7"/>
    </row>
    <row r="42" spans="5:13" ht="12" customHeight="1">
      <c r="G42" s="11"/>
    </row>
    <row r="44" spans="5:13" ht="12" customHeight="1">
      <c r="G44" s="14"/>
    </row>
  </sheetData>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889</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12" width="11.7109375" style="2" customWidth="1"/>
    <col min="13" max="13" width="10" style="2" bestFit="1" customWidth="1"/>
    <col min="14" max="14" width="11" style="2" customWidth="1"/>
    <col min="15" max="15" width="11.28515625" style="2" customWidth="1"/>
    <col min="16" max="16" width="10" style="2" bestFit="1" customWidth="1"/>
    <col min="17" max="19" width="9.140625" style="2"/>
    <col min="20" max="20" width="10.140625" style="2" bestFit="1" customWidth="1"/>
    <col min="21" max="16384" width="9.140625" style="2"/>
  </cols>
  <sheetData>
    <row r="1" spans="1:20" ht="16.5" customHeight="1">
      <c r="B1" s="15" t="s">
        <v>882</v>
      </c>
    </row>
    <row r="3" spans="1:20" ht="12" customHeight="1">
      <c r="B3" s="253" t="s">
        <v>882</v>
      </c>
      <c r="C3" s="456">
        <v>1</v>
      </c>
      <c r="D3" s="456">
        <v>1</v>
      </c>
      <c r="E3" s="456">
        <v>2</v>
      </c>
      <c r="F3" s="456">
        <v>3</v>
      </c>
      <c r="G3" s="456">
        <v>4</v>
      </c>
      <c r="H3" s="456">
        <v>5</v>
      </c>
      <c r="I3" s="456">
        <v>6</v>
      </c>
      <c r="J3" s="456">
        <v>7</v>
      </c>
      <c r="K3" s="456">
        <v>8</v>
      </c>
      <c r="L3" s="456">
        <v>9</v>
      </c>
      <c r="M3" s="456">
        <v>10</v>
      </c>
      <c r="N3" s="3"/>
      <c r="O3" s="488" t="s">
        <v>886</v>
      </c>
      <c r="P3" s="456">
        <v>10</v>
      </c>
      <c r="Q3" s="3"/>
      <c r="R3" s="3"/>
      <c r="S3" s="3"/>
      <c r="T3" s="3"/>
    </row>
    <row r="4" spans="1:20" ht="12" customHeight="1" thickBot="1">
      <c r="B4" s="360" t="str">
        <f>Drivers!$C$5&amp;" in mil"</f>
        <v>$ in mil</v>
      </c>
      <c r="C4" s="426">
        <v>44562</v>
      </c>
      <c r="D4" s="427">
        <v>44927</v>
      </c>
      <c r="E4" s="427">
        <v>45292</v>
      </c>
      <c r="F4" s="427">
        <v>45658</v>
      </c>
      <c r="G4" s="427">
        <v>46023</v>
      </c>
      <c r="H4" s="427">
        <v>46388</v>
      </c>
      <c r="I4" s="427">
        <v>46753</v>
      </c>
      <c r="J4" s="427">
        <v>47119</v>
      </c>
      <c r="K4" s="427">
        <v>47484</v>
      </c>
      <c r="L4" s="427">
        <v>47849</v>
      </c>
      <c r="M4" s="427">
        <v>48214</v>
      </c>
      <c r="O4" s="427"/>
      <c r="P4" s="427"/>
      <c r="Q4" s="3"/>
      <c r="R4" s="3"/>
      <c r="S4" s="3"/>
      <c r="T4" s="3"/>
    </row>
    <row r="5" spans="1:20" ht="12" customHeight="1">
      <c r="B5" s="3" t="s">
        <v>4</v>
      </c>
      <c r="C5" s="371">
        <v>2566.11</v>
      </c>
      <c r="D5" s="371">
        <f>C5*(1+D6)</f>
        <v>2963.8570500000001</v>
      </c>
      <c r="E5" s="371">
        <f t="shared" ref="E5:M5" si="0">D5*(1+E6)</f>
        <v>3423.2548927500002</v>
      </c>
      <c r="F5" s="371">
        <f t="shared" si="0"/>
        <v>3953.8594011262503</v>
      </c>
      <c r="G5" s="371">
        <f t="shared" si="0"/>
        <v>4566.7076083008196</v>
      </c>
      <c r="H5" s="371">
        <f t="shared" si="0"/>
        <v>5274.5472875874466</v>
      </c>
      <c r="I5" s="371">
        <f t="shared" si="0"/>
        <v>6092.1021171635011</v>
      </c>
      <c r="J5" s="371">
        <f t="shared" si="0"/>
        <v>7036.377945323844</v>
      </c>
      <c r="K5" s="371">
        <f t="shared" si="0"/>
        <v>8127.01652684904</v>
      </c>
      <c r="L5" s="371">
        <f t="shared" si="0"/>
        <v>9386.7040885106417</v>
      </c>
      <c r="M5" s="371">
        <f t="shared" si="0"/>
        <v>10841.643222229792</v>
      </c>
      <c r="O5" s="92" t="s">
        <v>888</v>
      </c>
      <c r="P5" s="92">
        <v>0.155</v>
      </c>
      <c r="Q5" s="3"/>
      <c r="R5" s="3"/>
      <c r="S5" s="3"/>
      <c r="T5" s="3"/>
    </row>
    <row r="6" spans="1:20" ht="12" customHeight="1">
      <c r="B6" s="482" t="s">
        <v>218</v>
      </c>
      <c r="C6" s="276"/>
      <c r="D6" s="276">
        <f t="shared" ref="D6:M6" si="1">$P$5</f>
        <v>0.155</v>
      </c>
      <c r="E6" s="276">
        <f t="shared" si="1"/>
        <v>0.155</v>
      </c>
      <c r="F6" s="276">
        <f t="shared" si="1"/>
        <v>0.155</v>
      </c>
      <c r="G6" s="276">
        <f t="shared" si="1"/>
        <v>0.155</v>
      </c>
      <c r="H6" s="276">
        <f t="shared" si="1"/>
        <v>0.155</v>
      </c>
      <c r="I6" s="276">
        <f t="shared" si="1"/>
        <v>0.155</v>
      </c>
      <c r="J6" s="276">
        <f t="shared" si="1"/>
        <v>0.155</v>
      </c>
      <c r="K6" s="276">
        <f t="shared" si="1"/>
        <v>0.155</v>
      </c>
      <c r="L6" s="276">
        <f t="shared" si="1"/>
        <v>0.155</v>
      </c>
      <c r="M6" s="276">
        <f t="shared" si="1"/>
        <v>0.155</v>
      </c>
      <c r="N6" s="3"/>
      <c r="O6" s="92" t="s">
        <v>115</v>
      </c>
      <c r="P6" s="92">
        <v>0.12864999999999999</v>
      </c>
      <c r="Q6" s="3"/>
      <c r="R6" s="3"/>
      <c r="S6" s="3"/>
      <c r="T6" s="3"/>
    </row>
    <row r="7" spans="1:20" ht="12" customHeight="1">
      <c r="B7" s="2" t="s">
        <v>878</v>
      </c>
      <c r="C7" s="11">
        <f>'Future CashFlows (10Y)'!C10</f>
        <v>0.39462365711002489</v>
      </c>
      <c r="D7" s="11">
        <f>AVERAGE(C7,E7)</f>
        <v>0.37800030354064834</v>
      </c>
      <c r="E7" s="11">
        <f>AVERAGE(C7,F7)</f>
        <v>0.36137694997127179</v>
      </c>
      <c r="F7" s="11">
        <f>AVERAGE(C7,H7)</f>
        <v>0.32813024283251868</v>
      </c>
      <c r="G7" s="11">
        <f>AVERAGE(F7,H7)</f>
        <v>0.29488353569376557</v>
      </c>
      <c r="H7" s="11">
        <f>AVERAGE(C7,M7)</f>
        <v>0.26163682855501247</v>
      </c>
      <c r="I7" s="11">
        <f>AVERAGE(H7,J7)</f>
        <v>0.22839012141625936</v>
      </c>
      <c r="J7" s="11">
        <f>AVERAGE(H7,M7)</f>
        <v>0.19514341427750623</v>
      </c>
      <c r="K7" s="11">
        <f>AVERAGE(J7,L7)</f>
        <v>0.17852006070812965</v>
      </c>
      <c r="L7" s="11">
        <f>AVERAGE(J7,M7)</f>
        <v>0.16189670713875309</v>
      </c>
      <c r="M7" s="483">
        <f>P6</f>
        <v>0.12864999999999999</v>
      </c>
      <c r="N7" s="3"/>
      <c r="O7" s="256" t="s">
        <v>86</v>
      </c>
      <c r="P7" s="256">
        <f>'Expected Growth Rate'!C17</f>
        <v>1.9135084705202416</v>
      </c>
      <c r="Q7" s="3"/>
      <c r="R7" s="3"/>
      <c r="S7" s="3"/>
      <c r="T7" s="3"/>
    </row>
    <row r="8" spans="1:20" ht="12" customHeight="1">
      <c r="B8" s="484" t="s">
        <v>883</v>
      </c>
      <c r="C8" s="392">
        <f t="shared" ref="C8:M8" si="2">(C5*C7)*(1-$P$10)</f>
        <v>784.45529596687709</v>
      </c>
      <c r="D8" s="392">
        <f t="shared" si="2"/>
        <v>867.87907039349238</v>
      </c>
      <c r="E8" s="392">
        <f t="shared" si="2"/>
        <v>958.31767640675412</v>
      </c>
      <c r="F8" s="392">
        <f t="shared" si="2"/>
        <v>1005.025994986046</v>
      </c>
      <c r="G8" s="392">
        <f t="shared" si="2"/>
        <v>1043.1903101492462</v>
      </c>
      <c r="H8" s="392">
        <f t="shared" si="2"/>
        <v>1069.0398134834986</v>
      </c>
      <c r="I8" s="392">
        <f t="shared" si="2"/>
        <v>1077.8400156500338</v>
      </c>
      <c r="J8" s="392">
        <f t="shared" si="2"/>
        <v>1063.6845989692536</v>
      </c>
      <c r="K8" s="392">
        <f t="shared" si="2"/>
        <v>1123.9008042754633</v>
      </c>
      <c r="L8" s="392">
        <f t="shared" si="2"/>
        <v>1177.2290107363622</v>
      </c>
      <c r="M8" s="392">
        <f t="shared" si="2"/>
        <v>1080.4749813543449</v>
      </c>
      <c r="N8" s="3"/>
      <c r="O8" s="35" t="s">
        <v>5</v>
      </c>
      <c r="P8" s="92">
        <f ca="1">'Cost of Equity, Debt &amp; WACC'!C29</f>
        <v>8.5695473237532085E-2</v>
      </c>
      <c r="Q8" s="3"/>
      <c r="R8" s="3"/>
      <c r="S8" s="3"/>
      <c r="T8" s="3"/>
    </row>
    <row r="9" spans="1:20" ht="12" customHeight="1">
      <c r="B9" s="256" t="s">
        <v>71</v>
      </c>
      <c r="C9" s="276"/>
      <c r="D9" s="486">
        <f>$P$7</f>
        <v>1.9135084705202416</v>
      </c>
      <c r="E9" s="486">
        <f t="shared" ref="E9:M9" si="3">$P$7</f>
        <v>1.9135084705202416</v>
      </c>
      <c r="F9" s="486">
        <f t="shared" si="3"/>
        <v>1.9135084705202416</v>
      </c>
      <c r="G9" s="486">
        <f t="shared" si="3"/>
        <v>1.9135084705202416</v>
      </c>
      <c r="H9" s="486">
        <f t="shared" si="3"/>
        <v>1.9135084705202416</v>
      </c>
      <c r="I9" s="486">
        <f t="shared" si="3"/>
        <v>1.9135084705202416</v>
      </c>
      <c r="J9" s="486">
        <f t="shared" si="3"/>
        <v>1.9135084705202416</v>
      </c>
      <c r="K9" s="486">
        <f t="shared" si="3"/>
        <v>1.9135084705202416</v>
      </c>
      <c r="L9" s="486">
        <f t="shared" si="3"/>
        <v>1.9135084705202416</v>
      </c>
      <c r="M9" s="486">
        <f t="shared" si="3"/>
        <v>1.9135084705202416</v>
      </c>
      <c r="N9" s="3"/>
      <c r="O9" s="35"/>
      <c r="P9" s="35"/>
      <c r="Q9" s="3"/>
      <c r="R9" s="3"/>
      <c r="S9" s="3"/>
      <c r="T9" s="3"/>
    </row>
    <row r="10" spans="1:20" ht="12" customHeight="1">
      <c r="B10" s="3" t="s">
        <v>50</v>
      </c>
      <c r="C10" s="386"/>
      <c r="D10" s="371">
        <f>(D5-C5)/D9</f>
        <v>207.86270671269153</v>
      </c>
      <c r="E10" s="371">
        <f t="shared" ref="E10:M10" si="4">(E5-D5)/E9</f>
        <v>240.08142625315881</v>
      </c>
      <c r="F10" s="371">
        <f t="shared" si="4"/>
        <v>277.29404732239846</v>
      </c>
      <c r="G10" s="371">
        <f t="shared" si="4"/>
        <v>320.2746246573704</v>
      </c>
      <c r="H10" s="371">
        <f t="shared" si="4"/>
        <v>369.9171914792625</v>
      </c>
      <c r="I10" s="371">
        <f t="shared" si="4"/>
        <v>427.25435615854843</v>
      </c>
      <c r="J10" s="371">
        <f t="shared" si="4"/>
        <v>493.47878136312329</v>
      </c>
      <c r="K10" s="371">
        <f t="shared" si="4"/>
        <v>569.96799247440754</v>
      </c>
      <c r="L10" s="371">
        <f t="shared" si="4"/>
        <v>658.31303130794072</v>
      </c>
      <c r="M10" s="371">
        <f t="shared" si="4"/>
        <v>760.35155116067165</v>
      </c>
      <c r="N10" s="3"/>
      <c r="O10" s="35" t="s">
        <v>865</v>
      </c>
      <c r="P10" s="92">
        <f>'Risk Free Rate &amp; ERP'!H15</f>
        <v>0.22534235144895792</v>
      </c>
      <c r="Q10" s="3"/>
      <c r="R10" s="3"/>
      <c r="S10" s="3"/>
      <c r="T10" s="3"/>
    </row>
    <row r="11" spans="1:20" ht="12" customHeight="1">
      <c r="A11" s="3"/>
      <c r="B11" s="2" t="s">
        <v>73</v>
      </c>
      <c r="C11" s="472">
        <f>'Expected Growth Rate'!C8</f>
        <v>1253.0877499999997</v>
      </c>
      <c r="D11" s="472">
        <f>C11+D10</f>
        <v>1460.9504567126912</v>
      </c>
      <c r="E11" s="472">
        <f t="shared" ref="E11:M11" si="5">D11+E10</f>
        <v>1701.0318829658499</v>
      </c>
      <c r="F11" s="472">
        <f t="shared" si="5"/>
        <v>1978.3259302882484</v>
      </c>
      <c r="G11" s="472">
        <f t="shared" si="5"/>
        <v>2298.6005549456186</v>
      </c>
      <c r="H11" s="472">
        <f t="shared" si="5"/>
        <v>2668.5177464248809</v>
      </c>
      <c r="I11" s="472">
        <f t="shared" si="5"/>
        <v>3095.7721025834294</v>
      </c>
      <c r="J11" s="472">
        <f t="shared" si="5"/>
        <v>3589.2508839465527</v>
      </c>
      <c r="K11" s="472">
        <f t="shared" si="5"/>
        <v>4159.2188764209604</v>
      </c>
      <c r="L11" s="472">
        <f t="shared" si="5"/>
        <v>4817.5319077289014</v>
      </c>
      <c r="M11" s="472">
        <f t="shared" si="5"/>
        <v>5577.8834588895734</v>
      </c>
      <c r="N11" s="3"/>
      <c r="O11" s="3"/>
      <c r="P11" s="3"/>
      <c r="Q11" s="3"/>
      <c r="R11" s="3"/>
      <c r="S11" s="3"/>
      <c r="T11" s="3"/>
    </row>
    <row r="12" spans="1:20" ht="12" customHeight="1">
      <c r="A12" s="3"/>
      <c r="B12" s="2" t="s">
        <v>97</v>
      </c>
      <c r="D12" s="472">
        <f t="shared" ref="D12:M12" si="6">D8-D10</f>
        <v>660.01636368080085</v>
      </c>
      <c r="E12" s="472">
        <f t="shared" si="6"/>
        <v>718.23625015359528</v>
      </c>
      <c r="F12" s="472">
        <f t="shared" si="6"/>
        <v>727.73194766364759</v>
      </c>
      <c r="G12" s="472">
        <f t="shared" si="6"/>
        <v>722.91568549187582</v>
      </c>
      <c r="H12" s="472">
        <f t="shared" si="6"/>
        <v>699.12262200423606</v>
      </c>
      <c r="I12" s="472">
        <f t="shared" si="6"/>
        <v>650.58565949148533</v>
      </c>
      <c r="J12" s="472">
        <f t="shared" si="6"/>
        <v>570.20581760613027</v>
      </c>
      <c r="K12" s="472">
        <f t="shared" si="6"/>
        <v>553.93281180105578</v>
      </c>
      <c r="L12" s="472">
        <f t="shared" si="6"/>
        <v>518.91597942842145</v>
      </c>
      <c r="M12" s="472">
        <f t="shared" si="6"/>
        <v>320.12343019367324</v>
      </c>
      <c r="N12" s="3"/>
      <c r="O12" s="3" t="s">
        <v>887</v>
      </c>
      <c r="P12" s="447">
        <f>2%</f>
        <v>0.02</v>
      </c>
      <c r="Q12" s="3"/>
      <c r="R12" s="3"/>
      <c r="S12" s="3"/>
      <c r="T12" s="3"/>
    </row>
    <row r="13" spans="1:20" ht="12" customHeight="1">
      <c r="A13" s="3"/>
      <c r="B13" s="2" t="s">
        <v>884</v>
      </c>
      <c r="D13" s="11">
        <f ca="1">$P$8</f>
        <v>8.5695473237532085E-2</v>
      </c>
      <c r="E13" s="11">
        <f t="shared" ref="E13:M13" ca="1" si="7">$P$8</f>
        <v>8.5695473237532085E-2</v>
      </c>
      <c r="F13" s="11">
        <f t="shared" ca="1" si="7"/>
        <v>8.5695473237532085E-2</v>
      </c>
      <c r="G13" s="11">
        <f t="shared" ca="1" si="7"/>
        <v>8.5695473237532085E-2</v>
      </c>
      <c r="H13" s="11">
        <f t="shared" ca="1" si="7"/>
        <v>8.5695473237532085E-2</v>
      </c>
      <c r="I13" s="11">
        <f t="shared" ca="1" si="7"/>
        <v>8.5695473237532085E-2</v>
      </c>
      <c r="J13" s="11">
        <f t="shared" ca="1" si="7"/>
        <v>8.5695473237532085E-2</v>
      </c>
      <c r="K13" s="11">
        <f t="shared" ca="1" si="7"/>
        <v>8.5695473237532085E-2</v>
      </c>
      <c r="L13" s="11">
        <f t="shared" ca="1" si="7"/>
        <v>8.5695473237532085E-2</v>
      </c>
      <c r="M13" s="11">
        <f t="shared" ca="1" si="7"/>
        <v>8.5695473237532085E-2</v>
      </c>
      <c r="N13" s="125"/>
      <c r="O13" s="125" t="s">
        <v>74</v>
      </c>
      <c r="P13" s="125">
        <f>M8/M11</f>
        <v>0.19370698389769553</v>
      </c>
      <c r="Q13" s="3"/>
      <c r="R13" s="3"/>
      <c r="S13" s="3"/>
      <c r="T13" s="3"/>
    </row>
    <row r="14" spans="1:20" s="22" customFormat="1" ht="12" customHeight="1">
      <c r="A14" s="21"/>
      <c r="B14" s="266" t="s">
        <v>885</v>
      </c>
      <c r="C14" s="266"/>
      <c r="D14" s="373">
        <f t="shared" ref="D14:M14" ca="1" si="8">D12/(1+D13)^D3</f>
        <v>607.92034226009912</v>
      </c>
      <c r="E14" s="373">
        <f t="shared" ca="1" si="8"/>
        <v>609.32818398912445</v>
      </c>
      <c r="F14" s="373">
        <f t="shared" ca="1" si="8"/>
        <v>568.65303295231342</v>
      </c>
      <c r="G14" s="373">
        <f t="shared" ca="1" si="8"/>
        <v>520.30205324452527</v>
      </c>
      <c r="H14" s="373">
        <f t="shared" ca="1" si="8"/>
        <v>463.46102718122148</v>
      </c>
      <c r="I14" s="373">
        <f t="shared" ca="1" si="8"/>
        <v>397.24306469975807</v>
      </c>
      <c r="J14" s="373">
        <f t="shared" ca="1" si="8"/>
        <v>320.68264317057009</v>
      </c>
      <c r="K14" s="373">
        <f t="shared" ca="1" si="8"/>
        <v>286.94117643911568</v>
      </c>
      <c r="L14" s="373">
        <f t="shared" ca="1" si="8"/>
        <v>247.58526889470301</v>
      </c>
      <c r="M14" s="373">
        <f t="shared" ca="1" si="8"/>
        <v>140.68156509006789</v>
      </c>
      <c r="N14" s="371"/>
      <c r="O14" s="125"/>
      <c r="P14" s="371"/>
      <c r="Q14" s="21"/>
      <c r="R14" s="21"/>
      <c r="S14" s="21"/>
      <c r="T14" s="21"/>
    </row>
    <row r="15" spans="1:20" ht="12" customHeight="1">
      <c r="A15" s="3"/>
      <c r="B15" s="22"/>
      <c r="C15" s="22"/>
      <c r="D15" s="34"/>
      <c r="E15" s="20"/>
      <c r="F15" s="156"/>
      <c r="G15" s="481"/>
      <c r="H15" s="472"/>
      <c r="I15" s="371"/>
      <c r="J15" s="472"/>
      <c r="K15" s="472"/>
      <c r="L15" s="371"/>
      <c r="M15" s="371"/>
      <c r="N15" s="472"/>
      <c r="O15" s="472"/>
      <c r="P15" s="472"/>
    </row>
    <row r="16" spans="1:20" ht="12" customHeight="1">
      <c r="A16" s="120"/>
      <c r="B16" s="253" t="s">
        <v>103</v>
      </c>
      <c r="C16" s="456"/>
      <c r="E16" s="157"/>
      <c r="F16" s="156"/>
      <c r="G16" s="481"/>
      <c r="H16" s="472"/>
      <c r="I16" s="472"/>
      <c r="J16" s="472"/>
      <c r="K16" s="472"/>
      <c r="L16" s="472"/>
      <c r="M16" s="472"/>
      <c r="N16" s="472"/>
      <c r="O16" s="472"/>
      <c r="P16" s="472"/>
    </row>
    <row r="17" spans="1:20" ht="12" customHeight="1">
      <c r="A17" s="120"/>
      <c r="B17" s="25" t="s">
        <v>94</v>
      </c>
      <c r="C17" s="388">
        <f ca="1">SUM(D14:M14)</f>
        <v>4162.7983579214988</v>
      </c>
      <c r="J17" s="472"/>
      <c r="K17" s="472"/>
      <c r="L17" s="472"/>
      <c r="M17" s="472"/>
      <c r="N17" s="472"/>
      <c r="O17" s="472"/>
      <c r="P17" s="472"/>
    </row>
    <row r="18" spans="1:20" ht="12" customHeight="1">
      <c r="A18" s="120"/>
      <c r="B18" s="25" t="s">
        <v>68</v>
      </c>
      <c r="C18" s="388">
        <f ca="1">(((((M5*(1+$P$5))*$P$6)*(1-P10)))*(1-(P12/P13)))/(P8-P12)</f>
        <v>17034.651558375153</v>
      </c>
      <c r="P18" s="472"/>
    </row>
    <row r="19" spans="1:20" ht="12" customHeight="1">
      <c r="A19" s="6"/>
      <c r="B19" s="25" t="s">
        <v>88</v>
      </c>
      <c r="C19" s="388">
        <f ca="1">C18/(1+M13)^M3</f>
        <v>7486.054490126925</v>
      </c>
      <c r="D19" s="25"/>
      <c r="P19" s="472"/>
      <c r="Q19" s="25"/>
      <c r="R19" s="3"/>
      <c r="S19" s="3"/>
      <c r="T19" s="3"/>
    </row>
    <row r="20" spans="1:20" ht="12" customHeight="1">
      <c r="A20" s="6"/>
      <c r="B20" s="466" t="s">
        <v>99</v>
      </c>
      <c r="C20" s="467">
        <f ca="1">C19+C17</f>
        <v>11648.852848048424</v>
      </c>
      <c r="D20" s="25"/>
      <c r="E20" s="433">
        <f ca="1">$C$29</f>
        <v>84.930747706674822</v>
      </c>
      <c r="F20" s="493">
        <v>0.09</v>
      </c>
      <c r="G20" s="493">
        <v>0.12</v>
      </c>
      <c r="H20" s="495">
        <v>0.155</v>
      </c>
      <c r="I20" s="494">
        <v>0.18</v>
      </c>
      <c r="J20" s="472"/>
      <c r="K20" s="433">
        <f ca="1">$C$29</f>
        <v>84.930747706674822</v>
      </c>
      <c r="L20" s="493">
        <v>0.09</v>
      </c>
      <c r="M20" s="493">
        <v>0.12</v>
      </c>
      <c r="N20" s="495">
        <v>0.155</v>
      </c>
      <c r="O20" s="494">
        <v>0.18</v>
      </c>
      <c r="P20" s="472"/>
      <c r="Q20" s="3"/>
      <c r="R20" s="3"/>
      <c r="S20" s="3"/>
      <c r="T20" s="3"/>
    </row>
    <row r="21" spans="1:20" ht="12" customHeight="1">
      <c r="A21" s="6"/>
      <c r="B21" s="468" t="s">
        <v>84</v>
      </c>
      <c r="C21" s="388">
        <f ca="1">'Cash &amp; Marketable Securities'!C13</f>
        <v>1804.782148847323</v>
      </c>
      <c r="D21" s="25"/>
      <c r="E21" s="511">
        <v>4.7399999999999998E-2</v>
      </c>
      <c r="F21" s="514">
        <f t="dataTable" ref="F21:I25" dt2D="1" dtr="1" r1="P5" r2="P6" ca="1"/>
        <v>26.535744290954508</v>
      </c>
      <c r="G21" s="515">
        <v>29.089098749778749</v>
      </c>
      <c r="H21" s="485">
        <v>32.579594443464593</v>
      </c>
      <c r="I21" s="485">
        <v>35.488526737641919</v>
      </c>
      <c r="J21" s="472"/>
      <c r="K21" s="511">
        <v>0.09</v>
      </c>
      <c r="L21" s="513">
        <f t="dataTable" ref="L21:O25" dt2D="1" dtr="1" r1="P5" r2="P8" ca="1"/>
        <v>51.981087279788284</v>
      </c>
      <c r="M21" s="513">
        <v>62.632723747037808</v>
      </c>
      <c r="N21" s="513">
        <v>78.57935321362983</v>
      </c>
      <c r="O21" s="513">
        <v>92.878645441995175</v>
      </c>
      <c r="P21" s="472"/>
      <c r="Q21" s="3"/>
      <c r="R21" s="3"/>
      <c r="S21" s="3"/>
      <c r="T21" s="3"/>
    </row>
    <row r="22" spans="1:20" ht="12" customHeight="1">
      <c r="A22" s="6"/>
      <c r="B22" s="466" t="s">
        <v>91</v>
      </c>
      <c r="C22" s="467">
        <f ca="1">SUM(C20:C21)</f>
        <v>13453.634996895747</v>
      </c>
      <c r="D22" s="27"/>
      <c r="E22" s="512">
        <v>0.1</v>
      </c>
      <c r="F22" s="432">
        <v>45.332634170817293</v>
      </c>
      <c r="G22" s="491">
        <v>53.832106792447711</v>
      </c>
      <c r="H22" s="480">
        <v>66.470925663709011</v>
      </c>
      <c r="I22" s="480">
        <v>77.747911074132915</v>
      </c>
      <c r="J22" s="472"/>
      <c r="K22" s="512">
        <v>0.1</v>
      </c>
      <c r="L22" s="496">
        <v>45.127482972081026</v>
      </c>
      <c r="M22" s="496">
        <v>53.75460816965046</v>
      </c>
      <c r="N22" s="496">
        <v>66.586800963507542</v>
      </c>
      <c r="O22" s="496">
        <v>78.035591438105811</v>
      </c>
      <c r="P22" s="472"/>
      <c r="Q22" s="3"/>
      <c r="R22" s="3"/>
      <c r="S22" s="3"/>
      <c r="T22" s="3"/>
    </row>
    <row r="23" spans="1:20" s="24" customFormat="1" ht="12" customHeight="1">
      <c r="A23" s="121"/>
      <c r="B23" s="25" t="s">
        <v>90</v>
      </c>
      <c r="C23" s="450">
        <f ca="1">-'Bottom Up Beta'!C14</f>
        <v>-1975.6654974908643</v>
      </c>
      <c r="D23" s="25"/>
      <c r="E23" s="512">
        <v>0.13</v>
      </c>
      <c r="F23" s="384">
        <v>56.053293798115455</v>
      </c>
      <c r="G23" s="491">
        <v>67.944088565833056</v>
      </c>
      <c r="H23" s="480">
        <v>85.800582253202023</v>
      </c>
      <c r="I23" s="480">
        <v>101.85022153220758</v>
      </c>
      <c r="J23" s="472"/>
      <c r="K23" s="512">
        <v>0.11</v>
      </c>
      <c r="L23" s="496">
        <v>39.789264221836952</v>
      </c>
      <c r="M23" s="496">
        <v>46.896828960785029</v>
      </c>
      <c r="N23" s="496">
        <v>57.399000049389628</v>
      </c>
      <c r="O23" s="496">
        <v>66.720488783116792</v>
      </c>
      <c r="P23" s="23"/>
      <c r="Q23" s="23"/>
      <c r="R23" s="23"/>
      <c r="S23" s="23"/>
      <c r="T23" s="23"/>
    </row>
    <row r="24" spans="1:20" ht="12" customHeight="1">
      <c r="A24" s="24"/>
      <c r="B24" s="25" t="s">
        <v>876</v>
      </c>
      <c r="C24" s="450">
        <f>'Fair Value of Share'!C21</f>
        <v>-388.33600000000001</v>
      </c>
      <c r="D24" s="25"/>
      <c r="E24" s="512">
        <v>0.15</v>
      </c>
      <c r="F24" s="384">
        <v>63.200400216314257</v>
      </c>
      <c r="G24" s="491">
        <v>77.352076414756596</v>
      </c>
      <c r="H24" s="480">
        <v>98.687019979530689</v>
      </c>
      <c r="I24" s="480">
        <v>117.91842850425736</v>
      </c>
      <c r="J24" s="472"/>
      <c r="K24" s="512">
        <v>0.12</v>
      </c>
      <c r="L24" s="496">
        <v>35.510781415866767</v>
      </c>
      <c r="M24" s="496">
        <v>41.447205721784194</v>
      </c>
      <c r="N24" s="496">
        <v>50.15986131594385</v>
      </c>
      <c r="O24" s="496">
        <v>57.851854201223311</v>
      </c>
      <c r="P24" s="3"/>
      <c r="Q24" s="3"/>
      <c r="R24" s="3"/>
      <c r="S24" s="3"/>
      <c r="T24" s="3"/>
    </row>
    <row r="25" spans="1:20" ht="12" customHeight="1">
      <c r="B25" s="466" t="s">
        <v>92</v>
      </c>
      <c r="C25" s="372">
        <f ca="1">SUM(C22:C24)</f>
        <v>11089.633499404885</v>
      </c>
      <c r="D25" s="169"/>
      <c r="E25" s="511">
        <v>0.18099999999999999</v>
      </c>
      <c r="F25" s="384">
        <v>74.278415164522329</v>
      </c>
      <c r="G25" s="491">
        <v>91.934457580588102</v>
      </c>
      <c r="H25" s="480">
        <v>118.66099845534009</v>
      </c>
      <c r="I25" s="480">
        <v>142.82414931093456</v>
      </c>
      <c r="J25" s="472"/>
      <c r="K25" s="511">
        <v>0.13</v>
      </c>
      <c r="L25" s="496">
        <v>32.002285720344176</v>
      </c>
      <c r="M25" s="496">
        <v>37.016887297887813</v>
      </c>
      <c r="N25" s="497">
        <v>44.326189873961972</v>
      </c>
      <c r="O25" s="497">
        <v>50.743920602136093</v>
      </c>
      <c r="P25" s="3"/>
      <c r="Q25" s="3"/>
      <c r="R25" s="3"/>
      <c r="S25" s="3"/>
      <c r="T25" s="3"/>
    </row>
    <row r="26" spans="1:20" ht="12" customHeight="1">
      <c r="B26" s="2" t="s">
        <v>101</v>
      </c>
      <c r="C26" s="472">
        <f>'Fair Value of Share'!C23</f>
        <v>322.23</v>
      </c>
      <c r="D26" s="154"/>
      <c r="I26" s="25"/>
      <c r="J26" s="25"/>
      <c r="K26" s="13"/>
      <c r="L26" s="3"/>
      <c r="M26" s="3"/>
      <c r="N26" s="3"/>
      <c r="O26" s="3"/>
      <c r="P26" s="3"/>
      <c r="Q26" s="3"/>
      <c r="R26" s="3"/>
      <c r="S26" s="3"/>
      <c r="T26" s="3"/>
    </row>
    <row r="27" spans="1:20" ht="12" customHeight="1">
      <c r="B27" s="466" t="s">
        <v>102</v>
      </c>
      <c r="C27" s="470">
        <f ca="1">C25-C26</f>
        <v>10767.403499404885</v>
      </c>
      <c r="D27" s="28"/>
      <c r="I27" s="25"/>
      <c r="J27" s="25"/>
      <c r="K27" s="5"/>
      <c r="L27" s="3"/>
      <c r="M27" s="3"/>
      <c r="N27" s="3"/>
      <c r="O27" s="3"/>
      <c r="P27" s="3"/>
      <c r="Q27" s="3"/>
      <c r="R27" s="3"/>
      <c r="S27" s="3"/>
      <c r="T27" s="3"/>
    </row>
    <row r="28" spans="1:20" ht="12" customHeight="1">
      <c r="B28" s="2" t="s">
        <v>38</v>
      </c>
      <c r="C28" s="479">
        <f>Drivers!C17</f>
        <v>126.778626</v>
      </c>
      <c r="D28" s="3"/>
      <c r="I28" s="25"/>
      <c r="J28" s="25"/>
      <c r="K28" s="5"/>
      <c r="L28" s="3"/>
      <c r="M28" s="3"/>
      <c r="N28" s="3"/>
      <c r="O28" s="3"/>
      <c r="P28" s="3"/>
      <c r="Q28" s="3"/>
      <c r="R28" s="3"/>
      <c r="S28" s="3"/>
      <c r="T28" s="3"/>
    </row>
    <row r="29" spans="1:20" ht="12" customHeight="1">
      <c r="B29" s="335" t="s">
        <v>103</v>
      </c>
      <c r="C29" s="471">
        <f ca="1">C27/C28</f>
        <v>84.930747706674822</v>
      </c>
      <c r="D29" s="6"/>
      <c r="E29" s="124"/>
      <c r="F29" s="125"/>
      <c r="G29" s="13"/>
      <c r="H29" s="5"/>
      <c r="I29" s="5"/>
      <c r="J29" s="5"/>
      <c r="K29" s="5"/>
      <c r="L29" s="3"/>
      <c r="M29" s="3"/>
      <c r="N29" s="3"/>
      <c r="O29" s="3"/>
      <c r="P29" s="3"/>
      <c r="Q29" s="3"/>
      <c r="R29" s="3"/>
      <c r="S29" s="3"/>
      <c r="T29" s="3"/>
    </row>
    <row r="30" spans="1:20" ht="12" customHeight="1">
      <c r="D30" s="3"/>
      <c r="E30" s="35"/>
      <c r="F30" s="98"/>
      <c r="G30" s="13"/>
      <c r="H30" s="5"/>
      <c r="I30" s="5"/>
      <c r="J30" s="5"/>
      <c r="K30" s="5"/>
      <c r="L30" s="3"/>
      <c r="M30" s="3"/>
      <c r="N30" s="3"/>
      <c r="O30" s="3"/>
      <c r="P30" s="3"/>
      <c r="Q30" s="3"/>
      <c r="R30" s="3"/>
      <c r="S30" s="3"/>
      <c r="T30" s="3"/>
    </row>
    <row r="31" spans="1:20" ht="12" customHeight="1">
      <c r="D31" s="3"/>
      <c r="E31" s="35"/>
      <c r="F31" s="92"/>
      <c r="G31" s="3"/>
      <c r="H31" s="3"/>
      <c r="I31" s="3"/>
      <c r="J31" s="3"/>
      <c r="K31" s="3"/>
      <c r="L31" s="3"/>
      <c r="M31" s="3"/>
    </row>
    <row r="32" spans="1:20" ht="12" customHeight="1">
      <c r="E32" s="3"/>
      <c r="F32" s="90"/>
      <c r="G32" s="3"/>
      <c r="H32" s="3"/>
      <c r="I32" s="3"/>
      <c r="J32" s="3"/>
      <c r="K32" s="3"/>
      <c r="L32" s="3"/>
      <c r="M32" s="3"/>
    </row>
    <row r="33" spans="5:13" ht="12" customHeight="1">
      <c r="E33" s="3"/>
      <c r="F33" s="123"/>
    </row>
    <row r="34" spans="5:13" ht="12" customHeight="1">
      <c r="E34" s="3"/>
      <c r="F34" s="51"/>
      <c r="G34" s="7"/>
      <c r="K34" s="9"/>
    </row>
    <row r="35" spans="5:13" ht="12" customHeight="1">
      <c r="E35" s="25"/>
      <c r="F35" s="122"/>
      <c r="G35" s="10"/>
      <c r="K35" s="7"/>
      <c r="M35" s="7"/>
    </row>
    <row r="36" spans="5:13" ht="12" customHeight="1">
      <c r="E36" s="25"/>
      <c r="M36" s="7"/>
    </row>
    <row r="37" spans="5:13" ht="12" customHeight="1">
      <c r="E37" s="25"/>
      <c r="F37" s="5"/>
      <c r="G37" s="14"/>
      <c r="K37" s="4"/>
    </row>
    <row r="40" spans="5:13" ht="12" customHeight="1">
      <c r="G40" s="11"/>
    </row>
    <row r="41" spans="5:13" ht="12" customHeight="1">
      <c r="G41" s="7"/>
    </row>
    <row r="42" spans="5:13" ht="12" customHeight="1">
      <c r="G42" s="11"/>
    </row>
    <row r="44" spans="5:13" ht="12" customHeight="1">
      <c r="G44" s="14"/>
    </row>
  </sheetData>
  <pageMargins left="0.7" right="0.7" top="0.75" bottom="0.75" header="0.3" footer="0.3"/>
  <pageSetup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0"/>
  <sheetViews>
    <sheetView workbookViewId="0"/>
  </sheetViews>
  <sheetFormatPr defaultRowHeight="12" customHeight="1"/>
  <cols>
    <col min="1" max="1" width="2" style="2" customWidth="1"/>
    <col min="2" max="2" width="14.85546875" style="2" customWidth="1"/>
    <col min="3" max="9" width="11.7109375" style="2" customWidth="1"/>
    <col min="10" max="10" width="5" style="2" customWidth="1"/>
    <col min="11" max="12" width="11.7109375" style="2" customWidth="1"/>
    <col min="13" max="13" width="10" style="2" bestFit="1" customWidth="1"/>
    <col min="14" max="14" width="11" style="2" customWidth="1"/>
    <col min="15" max="15" width="11.28515625" style="2" customWidth="1"/>
    <col min="16" max="16" width="10" style="2" bestFit="1" customWidth="1"/>
    <col min="17" max="19" width="9.140625" style="2"/>
    <col min="20" max="20" width="10.140625" style="2" bestFit="1" customWidth="1"/>
    <col min="21" max="16384" width="9.140625" style="2"/>
  </cols>
  <sheetData>
    <row r="1" spans="1:20" ht="16.5" customHeight="1">
      <c r="B1" s="15" t="s">
        <v>890</v>
      </c>
    </row>
    <row r="3" spans="1:20" ht="12" customHeight="1" thickBot="1">
      <c r="B3" s="499" t="s">
        <v>891</v>
      </c>
      <c r="C3" s="500"/>
      <c r="D3" s="500"/>
      <c r="E3" s="499"/>
      <c r="F3" s="501"/>
      <c r="G3" s="502"/>
      <c r="H3" s="503"/>
      <c r="I3" s="503"/>
      <c r="J3" s="503"/>
      <c r="K3" s="5"/>
      <c r="L3" s="3"/>
      <c r="M3" s="3"/>
      <c r="N3" s="3"/>
      <c r="O3" s="3"/>
      <c r="P3" s="3"/>
      <c r="Q3" s="3"/>
      <c r="R3" s="3"/>
      <c r="S3" s="3"/>
      <c r="T3" s="3"/>
    </row>
    <row r="4" spans="1:20" ht="12" customHeight="1">
      <c r="D4" s="3"/>
      <c r="E4" s="35"/>
      <c r="F4" s="92"/>
      <c r="G4" s="3"/>
      <c r="H4" s="3"/>
      <c r="I4" s="3"/>
      <c r="J4" s="3"/>
      <c r="K4" s="3"/>
      <c r="L4" s="3"/>
      <c r="M4" s="3"/>
      <c r="Q4" s="3"/>
      <c r="R4" s="3"/>
      <c r="S4" s="3"/>
      <c r="T4" s="3"/>
    </row>
    <row r="5" spans="1:20" ht="12" customHeight="1">
      <c r="E5" s="3"/>
      <c r="F5" s="90"/>
      <c r="G5" s="3"/>
      <c r="H5" s="3"/>
      <c r="I5" s="3"/>
      <c r="J5" s="3"/>
      <c r="K5" s="3"/>
      <c r="L5" s="3"/>
      <c r="M5" s="3"/>
      <c r="Q5" s="3"/>
      <c r="R5" s="3"/>
      <c r="S5" s="3"/>
      <c r="T5" s="3"/>
    </row>
    <row r="6" spans="1:20" ht="12" customHeight="1">
      <c r="E6" s="3"/>
      <c r="F6" s="123"/>
      <c r="Q6" s="3"/>
      <c r="R6" s="3"/>
      <c r="S6" s="3"/>
      <c r="T6" s="3"/>
    </row>
    <row r="7" spans="1:20" ht="12" customHeight="1">
      <c r="B7" s="256" t="s">
        <v>888</v>
      </c>
      <c r="C7" s="498">
        <v>0.155</v>
      </c>
      <c r="E7" s="3"/>
      <c r="F7" s="51"/>
      <c r="G7" s="7"/>
      <c r="K7" s="9"/>
      <c r="Q7" s="3"/>
      <c r="R7" s="3"/>
      <c r="S7" s="3"/>
      <c r="T7" s="3"/>
    </row>
    <row r="8" spans="1:20" ht="12" customHeight="1">
      <c r="B8" s="256" t="s">
        <v>115</v>
      </c>
      <c r="C8" s="492">
        <f>'Expected Growth Rate'!$C$23</f>
        <v>4.7375E-2</v>
      </c>
      <c r="E8" s="25"/>
      <c r="F8" s="122"/>
      <c r="G8" s="10"/>
      <c r="K8" s="7"/>
      <c r="M8" s="7"/>
      <c r="Q8" s="3"/>
      <c r="R8" s="3"/>
      <c r="S8" s="3"/>
      <c r="T8" s="3"/>
    </row>
    <row r="9" spans="1:20" ht="12" customHeight="1">
      <c r="B9" s="256" t="s">
        <v>86</v>
      </c>
      <c r="C9" s="330">
        <v>1.9135084705202416</v>
      </c>
      <c r="E9" s="25"/>
      <c r="M9" s="7"/>
      <c r="Q9" s="3"/>
      <c r="R9" s="3"/>
      <c r="S9" s="3"/>
      <c r="T9" s="3"/>
    </row>
    <row r="10" spans="1:20" ht="12" customHeight="1">
      <c r="B10" s="256" t="s">
        <v>5</v>
      </c>
      <c r="C10" s="498">
        <v>8.5444503302382305E-2</v>
      </c>
      <c r="E10" s="25"/>
      <c r="F10" s="5"/>
      <c r="G10" s="14"/>
      <c r="K10" s="4"/>
      <c r="Q10" s="3"/>
      <c r="R10" s="3"/>
      <c r="S10" s="3"/>
      <c r="T10" s="3"/>
    </row>
    <row r="11" spans="1:20" ht="12" customHeight="1">
      <c r="A11" s="3"/>
      <c r="Q11" s="3"/>
      <c r="R11" s="3"/>
      <c r="S11" s="3"/>
      <c r="T11" s="3"/>
    </row>
    <row r="12" spans="1:20" ht="12" customHeight="1" thickBot="1">
      <c r="A12" s="3"/>
      <c r="B12" s="499" t="s">
        <v>892</v>
      </c>
      <c r="C12" s="500"/>
      <c r="D12" s="500"/>
      <c r="E12" s="500"/>
      <c r="F12" s="500"/>
      <c r="G12" s="500"/>
      <c r="H12" s="500"/>
      <c r="I12" s="500"/>
      <c r="J12" s="500"/>
      <c r="Q12" s="3"/>
      <c r="R12" s="3"/>
      <c r="S12" s="3"/>
      <c r="T12" s="3"/>
    </row>
    <row r="13" spans="1:20" ht="12" customHeight="1">
      <c r="A13" s="3"/>
      <c r="G13" s="11"/>
      <c r="Q13" s="3"/>
      <c r="R13" s="3"/>
      <c r="S13" s="3"/>
      <c r="T13" s="3"/>
    </row>
    <row r="14" spans="1:20" s="22" customFormat="1" ht="12" customHeight="1">
      <c r="A14" s="21"/>
      <c r="B14" s="2"/>
      <c r="C14" s="2"/>
      <c r="D14" s="2"/>
      <c r="E14" s="2"/>
      <c r="F14" s="2"/>
      <c r="G14" s="7"/>
      <c r="H14" s="2"/>
      <c r="I14" s="2"/>
      <c r="J14" s="2"/>
      <c r="K14" s="2"/>
      <c r="L14" s="2"/>
      <c r="M14" s="2"/>
      <c r="N14" s="2"/>
      <c r="O14" s="2"/>
      <c r="P14" s="2"/>
      <c r="Q14" s="21"/>
      <c r="R14" s="21"/>
      <c r="S14" s="21"/>
      <c r="T14" s="21"/>
    </row>
    <row r="15" spans="1:20" ht="12" customHeight="1">
      <c r="A15" s="3"/>
      <c r="G15" s="11"/>
    </row>
    <row r="16" spans="1:20" ht="12" customHeight="1">
      <c r="A16" s="120"/>
      <c r="B16" s="256" t="s">
        <v>888</v>
      </c>
      <c r="C16" s="498">
        <v>0.155</v>
      </c>
    </row>
    <row r="17" spans="1:20" ht="12" customHeight="1">
      <c r="A17" s="120"/>
      <c r="B17" s="256" t="s">
        <v>115</v>
      </c>
      <c r="C17" s="498">
        <v>0.128</v>
      </c>
      <c r="G17" s="14"/>
    </row>
    <row r="18" spans="1:20" ht="12" customHeight="1">
      <c r="A18" s="120"/>
      <c r="B18" s="256" t="s">
        <v>86</v>
      </c>
      <c r="C18" s="330">
        <v>1.9135084705202416</v>
      </c>
    </row>
    <row r="19" spans="1:20" ht="12" customHeight="1">
      <c r="A19" s="6"/>
      <c r="B19" s="256" t="s">
        <v>5</v>
      </c>
      <c r="C19" s="492">
        <v>0.13</v>
      </c>
      <c r="Q19" s="25"/>
      <c r="R19" s="3"/>
      <c r="S19" s="3"/>
      <c r="T19" s="3"/>
    </row>
    <row r="20" spans="1:20" ht="12" customHeight="1">
      <c r="A20" s="6"/>
      <c r="Q20" s="3"/>
      <c r="R20" s="3"/>
      <c r="S20" s="3"/>
      <c r="T20" s="3"/>
    </row>
    <row r="21" spans="1:20" ht="12" customHeight="1" thickBot="1">
      <c r="A21" s="6"/>
      <c r="B21" s="499" t="s">
        <v>893</v>
      </c>
      <c r="C21" s="500"/>
      <c r="D21" s="500"/>
      <c r="E21" s="500"/>
      <c r="F21" s="500"/>
      <c r="G21" s="500"/>
      <c r="H21" s="500"/>
      <c r="I21" s="500"/>
      <c r="J21" s="500"/>
      <c r="Q21" s="3"/>
      <c r="R21" s="3"/>
      <c r="S21" s="3"/>
      <c r="T21" s="3"/>
    </row>
    <row r="22" spans="1:20" ht="12" customHeight="1">
      <c r="A22" s="6"/>
      <c r="Q22" s="3"/>
      <c r="R22" s="3"/>
      <c r="S22" s="3"/>
      <c r="T22" s="3"/>
    </row>
    <row r="23" spans="1:20" s="24" customFormat="1" ht="12" customHeight="1">
      <c r="A23" s="121"/>
      <c r="B23" s="2"/>
      <c r="C23" s="2"/>
      <c r="D23" s="2"/>
      <c r="E23" s="2"/>
      <c r="F23" s="2"/>
      <c r="G23" s="2"/>
      <c r="H23" s="2"/>
      <c r="I23" s="2"/>
      <c r="J23" s="2"/>
      <c r="K23" s="2"/>
      <c r="L23" s="2"/>
      <c r="M23" s="2"/>
      <c r="N23" s="2"/>
      <c r="O23" s="2"/>
      <c r="P23" s="2"/>
      <c r="Q23" s="23"/>
      <c r="R23" s="23"/>
      <c r="S23" s="23"/>
      <c r="T23" s="23"/>
    </row>
    <row r="24" spans="1:20" ht="12" customHeight="1">
      <c r="A24" s="24"/>
      <c r="Q24" s="3"/>
      <c r="R24" s="3"/>
      <c r="S24" s="3"/>
      <c r="T24" s="3"/>
    </row>
    <row r="25" spans="1:20" ht="12" customHeight="1">
      <c r="B25" s="256" t="s">
        <v>888</v>
      </c>
      <c r="C25" s="492">
        <v>0.12</v>
      </c>
      <c r="Q25" s="3"/>
      <c r="R25" s="3"/>
      <c r="S25" s="3"/>
      <c r="T25" s="3"/>
    </row>
    <row r="26" spans="1:20" ht="12" customHeight="1">
      <c r="B26" s="256" t="s">
        <v>115</v>
      </c>
      <c r="C26" s="498">
        <v>0.128</v>
      </c>
      <c r="Q26" s="3"/>
      <c r="R26" s="3"/>
      <c r="S26" s="3"/>
      <c r="T26" s="3"/>
    </row>
    <row r="27" spans="1:20" ht="12" customHeight="1">
      <c r="B27" s="256" t="s">
        <v>86</v>
      </c>
      <c r="C27" s="330">
        <v>1.9135084705202416</v>
      </c>
      <c r="Q27" s="3"/>
      <c r="R27" s="3"/>
      <c r="S27" s="3"/>
      <c r="T27" s="3"/>
    </row>
    <row r="28" spans="1:20" ht="12" customHeight="1">
      <c r="B28" s="256" t="s">
        <v>5</v>
      </c>
      <c r="C28" s="498">
        <v>0.13</v>
      </c>
      <c r="Q28" s="3"/>
      <c r="R28" s="3"/>
      <c r="S28" s="3"/>
      <c r="T28" s="3"/>
    </row>
    <row r="29" spans="1:20" ht="12" customHeight="1">
      <c r="Q29" s="3"/>
      <c r="R29" s="3"/>
      <c r="S29" s="3"/>
      <c r="T29" s="3"/>
    </row>
    <row r="30" spans="1:20" ht="12" customHeight="1">
      <c r="Q30" s="3"/>
      <c r="R30" s="3"/>
      <c r="S30" s="3"/>
      <c r="T30" s="3"/>
    </row>
  </sheetData>
  <pageMargins left="0.7" right="0.7" top="0.75" bottom="0.75" header="0.3" footer="0.3"/>
  <pageSetup orientation="landscape"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268</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9"/>
  <sheetViews>
    <sheetView workbookViewId="0"/>
  </sheetViews>
  <sheetFormatPr defaultRowHeight="12" customHeight="1"/>
  <cols>
    <col min="1" max="1" width="2" style="2" customWidth="1"/>
    <col min="2" max="2" width="31" style="2" customWidth="1"/>
    <col min="3" max="3" width="13.5703125" style="2" customWidth="1"/>
    <col min="4" max="4" width="8.140625" style="2" customWidth="1"/>
    <col min="5" max="5" width="27" style="2" customWidth="1"/>
    <col min="6" max="6" width="14.5703125" style="2" customWidth="1"/>
    <col min="7" max="7" width="11.140625" style="2" customWidth="1"/>
    <col min="8" max="8" width="11.5703125" style="2" customWidth="1"/>
    <col min="9" max="9" width="12.85546875" style="2" customWidth="1"/>
    <col min="10" max="10" width="10.42578125" style="2" customWidth="1"/>
    <col min="11" max="11" width="11" style="2" customWidth="1"/>
    <col min="12" max="12" width="16" style="2" customWidth="1"/>
    <col min="13" max="13" width="12.2851562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5" t="s">
        <v>287</v>
      </c>
    </row>
    <row r="3" spans="1:16" ht="12" customHeight="1">
      <c r="B3" s="2" t="s">
        <v>269</v>
      </c>
      <c r="C3" s="331">
        <f>I11</f>
        <v>2279.64</v>
      </c>
      <c r="D3" s="28"/>
      <c r="E3" s="307" t="s">
        <v>808</v>
      </c>
      <c r="F3" s="307" t="s">
        <v>810</v>
      </c>
      <c r="G3" s="308" t="s">
        <v>124</v>
      </c>
      <c r="H3" s="308" t="s">
        <v>125</v>
      </c>
      <c r="I3" s="308" t="s">
        <v>807</v>
      </c>
      <c r="J3" s="309"/>
      <c r="K3" s="165"/>
    </row>
    <row r="4" spans="1:16" ht="12" customHeight="1" thickBot="1">
      <c r="B4" s="2" t="s">
        <v>270</v>
      </c>
      <c r="C4" s="331">
        <f ca="1">'Bottom Up Beta'!F22</f>
        <v>1865.2354974908642</v>
      </c>
      <c r="D4" s="3"/>
      <c r="E4" s="313" t="s">
        <v>794</v>
      </c>
      <c r="F4" s="313"/>
      <c r="G4" s="314" t="s">
        <v>809</v>
      </c>
      <c r="H4" s="259"/>
      <c r="I4" s="313" t="s">
        <v>803</v>
      </c>
      <c r="J4" s="315" t="s">
        <v>123</v>
      </c>
    </row>
    <row r="5" spans="1:16" ht="12" customHeight="1">
      <c r="B5" s="2" t="s">
        <v>271</v>
      </c>
      <c r="C5" s="331">
        <f>I5</f>
        <v>110.42999999999999</v>
      </c>
      <c r="D5" s="3"/>
      <c r="E5" s="121" t="s">
        <v>768</v>
      </c>
      <c r="F5" s="311">
        <v>4.7300000000000002E-2</v>
      </c>
      <c r="G5" s="312">
        <v>50982</v>
      </c>
      <c r="H5" s="99">
        <f ca="1">YEARFRAC(TODAY(),G5)</f>
        <v>16.324999999999999</v>
      </c>
      <c r="I5" s="462">
        <f>4.731+105.699</f>
        <v>110.42999999999999</v>
      </c>
      <c r="J5" s="47"/>
      <c r="K5" s="243">
        <f>I5/$I$13</f>
        <v>4.620366767500534E-2</v>
      </c>
    </row>
    <row r="6" spans="1:16" ht="12" customHeight="1">
      <c r="B6" s="217"/>
      <c r="C6" s="3"/>
      <c r="D6" s="3"/>
      <c r="G6" s="12"/>
      <c r="I6" s="463"/>
    </row>
    <row r="7" spans="1:16" ht="12" customHeight="1" thickBot="1">
      <c r="B7" s="298" t="s">
        <v>272</v>
      </c>
      <c r="C7" s="298"/>
      <c r="D7" s="3"/>
      <c r="E7" s="121" t="s">
        <v>770</v>
      </c>
      <c r="F7" s="311">
        <v>4.0000000000000001E-3</v>
      </c>
      <c r="G7" s="312">
        <v>46919</v>
      </c>
      <c r="H7" s="99">
        <f ca="1">YEARFRAC(TODAY(),G7)</f>
        <v>5.197222222222222</v>
      </c>
      <c r="I7" s="462">
        <v>989.62900000000002</v>
      </c>
      <c r="J7" s="63">
        <f>I7/$I$11</f>
        <v>0.43411635170465518</v>
      </c>
      <c r="K7" s="243"/>
    </row>
    <row r="8" spans="1:16" ht="12" customHeight="1">
      <c r="B8" s="2" t="s">
        <v>273</v>
      </c>
      <c r="C8" s="224">
        <v>0</v>
      </c>
      <c r="E8" s="121" t="s">
        <v>771</v>
      </c>
      <c r="F8" s="311">
        <v>3.0000000000000001E-3</v>
      </c>
      <c r="G8" s="312">
        <v>46569</v>
      </c>
      <c r="H8" s="99">
        <f ca="1">YEARFRAC(TODAY(),G8)</f>
        <v>4.2416666666666663</v>
      </c>
      <c r="I8" s="462">
        <v>644.43100000000004</v>
      </c>
      <c r="J8" s="63">
        <f>I8/$I$11</f>
        <v>0.2826898106718605</v>
      </c>
      <c r="K8" s="244"/>
      <c r="L8" s="3"/>
    </row>
    <row r="9" spans="1:16" ht="12" customHeight="1">
      <c r="B9" s="2" t="s">
        <v>274</v>
      </c>
      <c r="C9" s="224">
        <v>1</v>
      </c>
      <c r="E9" s="121" t="s">
        <v>772</v>
      </c>
      <c r="F9" s="311">
        <v>3.0000000000000001E-3</v>
      </c>
      <c r="G9" s="312">
        <v>46235</v>
      </c>
      <c r="H9" s="99">
        <f ca="1">YEARFRAC(TODAY(),G9)</f>
        <v>3.3250000000000002</v>
      </c>
      <c r="I9" s="462">
        <v>645.53599999999994</v>
      </c>
      <c r="J9" s="63">
        <f>I9/$I$11</f>
        <v>0.28317453633029777</v>
      </c>
      <c r="K9" s="207"/>
      <c r="L9" s="3"/>
    </row>
    <row r="10" spans="1:16" ht="12" customHeight="1">
      <c r="A10" s="3"/>
      <c r="B10" s="221"/>
      <c r="C10" s="103"/>
      <c r="E10" s="121" t="s">
        <v>773</v>
      </c>
      <c r="F10" s="311">
        <v>0</v>
      </c>
      <c r="G10" s="312">
        <v>44986</v>
      </c>
      <c r="H10" s="99">
        <f ca="1">YEARFRAC(TODAY(),G10)</f>
        <v>9.166666666666666E-2</v>
      </c>
      <c r="I10" s="462">
        <v>4.3999999999999997E-2</v>
      </c>
      <c r="J10" s="63">
        <f>I10/$I$11</f>
        <v>1.9301293186643505E-5</v>
      </c>
      <c r="K10" s="244"/>
    </row>
    <row r="11" spans="1:16" ht="12" customHeight="1" thickBot="1">
      <c r="A11" s="3"/>
      <c r="B11" s="298" t="s">
        <v>280</v>
      </c>
      <c r="C11" s="504"/>
      <c r="D11" s="218"/>
      <c r="E11" s="316" t="s">
        <v>769</v>
      </c>
      <c r="F11" s="317">
        <f>(F7*J7)+(F8*J8)+(F9*J9)+(F10*J10)</f>
        <v>3.4340584478250954E-3</v>
      </c>
      <c r="G11" s="318"/>
      <c r="H11" s="319">
        <f ca="1">(H7*J7)+(H8*J8)+(H9*J9)+(H10*J10)</f>
        <v>4.3968321996260622</v>
      </c>
      <c r="I11" s="464">
        <f>SUM(I7:I10)</f>
        <v>2279.64</v>
      </c>
      <c r="J11" s="320">
        <f>SUM(J7:J10)</f>
        <v>1</v>
      </c>
      <c r="K11" s="243">
        <f>I11/$I$13</f>
        <v>0.95379633232499472</v>
      </c>
      <c r="L11" s="33"/>
      <c r="M11" s="219"/>
      <c r="N11" s="219"/>
      <c r="O11" s="219"/>
    </row>
    <row r="12" spans="1:16" ht="12" customHeight="1">
      <c r="A12" s="3"/>
      <c r="B12" s="2" t="s">
        <v>275</v>
      </c>
      <c r="C12" s="224">
        <f>0</f>
        <v>0</v>
      </c>
      <c r="D12" s="201"/>
      <c r="G12" s="12"/>
      <c r="I12" s="463"/>
      <c r="L12" s="215"/>
      <c r="M12" s="215"/>
      <c r="N12" s="215"/>
      <c r="O12" s="216"/>
    </row>
    <row r="13" spans="1:16" ht="12" customHeight="1">
      <c r="A13" s="3"/>
      <c r="B13" s="2" t="s">
        <v>278</v>
      </c>
      <c r="C13" s="224">
        <f>(I8+I9+I10)/I13</f>
        <v>0.53973774826678733</v>
      </c>
      <c r="D13" s="201"/>
      <c r="E13" s="321" t="s">
        <v>128</v>
      </c>
      <c r="F13" s="323">
        <f>(F5*K5)+(F11*K11)</f>
        <v>5.460825833552993E-3</v>
      </c>
      <c r="G13" s="322"/>
      <c r="H13" s="324">
        <f ca="1">(H5*K5)+(H11*K11)</f>
        <v>4.9479573006462392</v>
      </c>
      <c r="I13" s="465">
        <f>I5+I11</f>
        <v>2390.0699999999997</v>
      </c>
      <c r="J13" s="323">
        <f>SUM(K11,K5)</f>
        <v>1</v>
      </c>
      <c r="N13" s="215"/>
      <c r="O13" s="223"/>
    </row>
    <row r="14" spans="1:16" s="22" customFormat="1" ht="12" customHeight="1">
      <c r="A14" s="21"/>
      <c r="B14" s="2" t="s">
        <v>277</v>
      </c>
      <c r="C14" s="224">
        <f>I7/I13</f>
        <v>0.41405858405820756</v>
      </c>
      <c r="D14" s="2"/>
      <c r="E14" s="25"/>
      <c r="F14" s="2"/>
      <c r="G14" s="2"/>
      <c r="H14" s="2"/>
      <c r="N14" s="2"/>
      <c r="O14" s="2"/>
      <c r="P14" s="2"/>
    </row>
    <row r="15" spans="1:16" ht="12" customHeight="1">
      <c r="A15" s="3"/>
      <c r="B15" s="2" t="s">
        <v>276</v>
      </c>
      <c r="C15" s="224">
        <f>I5/I13</f>
        <v>4.620366767500534E-2</v>
      </c>
      <c r="E15" s="103"/>
      <c r="N15" s="11"/>
      <c r="O15" s="223"/>
    </row>
    <row r="16" spans="1:16" ht="12" customHeight="1" thickBot="1">
      <c r="A16" s="120"/>
      <c r="B16" s="2" t="s">
        <v>279</v>
      </c>
      <c r="C16" s="224">
        <v>0</v>
      </c>
      <c r="I16" s="506" t="s">
        <v>31</v>
      </c>
      <c r="J16" s="506" t="s">
        <v>72</v>
      </c>
      <c r="K16" s="506" t="s">
        <v>5</v>
      </c>
      <c r="L16" s="507" t="s">
        <v>310</v>
      </c>
      <c r="M16" s="507" t="s">
        <v>311</v>
      </c>
    </row>
    <row r="17" spans="1:16" ht="12" customHeight="1">
      <c r="A17" s="120"/>
      <c r="C17" s="11"/>
      <c r="G17" s="11"/>
      <c r="I17" s="5">
        <v>1</v>
      </c>
      <c r="J17" s="371">
        <f>'Fair Value of Share'!C5</f>
        <v>-196.71882054485195</v>
      </c>
      <c r="K17" s="11">
        <f ca="1">'Fair Value of Share'!C6</f>
        <v>8.5695473237532085E-2</v>
      </c>
      <c r="L17" s="510">
        <f ca="1">J17/(1+K17)^I17</f>
        <v>-181.19152690048395</v>
      </c>
      <c r="M17" s="510">
        <f ca="1">L17*I17</f>
        <v>-181.19152690048395</v>
      </c>
    </row>
    <row r="18" spans="1:16" ht="12" customHeight="1" thickBot="1">
      <c r="A18" s="120"/>
      <c r="B18" s="298" t="s">
        <v>281</v>
      </c>
      <c r="C18" s="504"/>
      <c r="G18" s="7"/>
      <c r="I18" s="5">
        <v>2</v>
      </c>
      <c r="J18" s="371">
        <f>'Fair Value of Share'!D5</f>
        <v>373.84870704231719</v>
      </c>
      <c r="K18" s="11">
        <f ca="1">'Fair Value of Share'!D6</f>
        <v>8.5695473237532085E-2</v>
      </c>
      <c r="L18" s="510">
        <f t="shared" ref="L18:L25" ca="1" si="0">J18/(1+K18)^I18</f>
        <v>317.16103677593958</v>
      </c>
      <c r="M18" s="510">
        <f t="shared" ref="M18:M25" ca="1" si="1">L18*I18</f>
        <v>634.32207355187916</v>
      </c>
    </row>
    <row r="19" spans="1:16" ht="12" customHeight="1">
      <c r="A19" s="6"/>
      <c r="B19" s="2" t="s">
        <v>282</v>
      </c>
      <c r="C19" s="224">
        <v>1</v>
      </c>
      <c r="G19" s="11"/>
      <c r="I19" s="5">
        <v>3</v>
      </c>
      <c r="J19" s="371">
        <f>'Fair Value of Share'!E5</f>
        <v>744.37470756080029</v>
      </c>
      <c r="K19" s="11">
        <f ca="1">'Fair Value of Share'!E6</f>
        <v>8.4558379242410081E-2</v>
      </c>
      <c r="L19" s="510">
        <f t="shared" ca="1" si="0"/>
        <v>583.48917870147102</v>
      </c>
      <c r="M19" s="510">
        <f t="shared" ca="1" si="1"/>
        <v>1750.4675361044131</v>
      </c>
    </row>
    <row r="20" spans="1:16" ht="12" customHeight="1">
      <c r="A20" s="6"/>
      <c r="B20" s="2" t="s">
        <v>283</v>
      </c>
      <c r="C20" s="224">
        <v>0</v>
      </c>
      <c r="I20" s="487">
        <v>4</v>
      </c>
      <c r="J20" s="472">
        <f>'Fair Value of Share'!F5</f>
        <v>983.5814644730392</v>
      </c>
      <c r="K20" s="11">
        <f ca="1">'Fair Value of Share'!F6</f>
        <v>8.3421285247288063E-2</v>
      </c>
      <c r="L20" s="510">
        <f t="shared" ca="1" si="0"/>
        <v>713.87287662520168</v>
      </c>
      <c r="M20" s="510">
        <f t="shared" ca="1" si="1"/>
        <v>2855.4915065008067</v>
      </c>
    </row>
    <row r="21" spans="1:16" ht="12" customHeight="1">
      <c r="A21" s="6"/>
      <c r="C21" s="224"/>
      <c r="G21" s="14"/>
      <c r="I21" s="487">
        <v>5</v>
      </c>
      <c r="J21" s="472">
        <f>'Fair Value of Share'!G5</f>
        <v>1043.6202146309108</v>
      </c>
      <c r="K21" s="11">
        <f ca="1">'Fair Value of Share'!G6</f>
        <v>8.2284191252166045E-2</v>
      </c>
      <c r="L21" s="510">
        <f t="shared" ca="1" si="0"/>
        <v>702.80672506161613</v>
      </c>
      <c r="M21" s="510">
        <f ca="1">L21*I21</f>
        <v>3514.0336253080804</v>
      </c>
    </row>
    <row r="22" spans="1:16" ht="12" customHeight="1" thickBot="1">
      <c r="A22" s="121"/>
      <c r="B22" s="298" t="s">
        <v>284</v>
      </c>
      <c r="C22" s="504"/>
      <c r="I22" s="487">
        <v>6</v>
      </c>
      <c r="J22" s="472">
        <f>'Fair Value of Share'!H5</f>
        <v>971.3112036570933</v>
      </c>
      <c r="K22" s="11">
        <f ca="1">'Fair Value of Share'!H6</f>
        <v>8.114709725704404E-2</v>
      </c>
      <c r="L22" s="510">
        <f t="shared" ca="1" si="0"/>
        <v>608.20456905460651</v>
      </c>
      <c r="M22" s="510">
        <f t="shared" ca="1" si="1"/>
        <v>3649.2274143276391</v>
      </c>
    </row>
    <row r="23" spans="1:16" s="24" customFormat="1" ht="12" customHeight="1">
      <c r="B23" s="2" t="s">
        <v>285</v>
      </c>
      <c r="C23" s="224">
        <v>1</v>
      </c>
      <c r="D23" s="2"/>
      <c r="E23" s="2"/>
      <c r="F23" s="2"/>
      <c r="G23" s="2"/>
      <c r="H23" s="2"/>
      <c r="I23" s="487">
        <v>7</v>
      </c>
      <c r="J23" s="472">
        <f>'Fair Value of Share'!I5</f>
        <v>878.03509766247862</v>
      </c>
      <c r="K23" s="11">
        <f ca="1">'Fair Value of Share'!I6</f>
        <v>8.0010003261922036E-2</v>
      </c>
      <c r="L23" s="510">
        <f t="shared" ca="1" si="0"/>
        <v>512.29183033512129</v>
      </c>
      <c r="M23" s="510">
        <f t="shared" ca="1" si="1"/>
        <v>3586.0428123458491</v>
      </c>
      <c r="N23" s="2"/>
      <c r="O23" s="2"/>
      <c r="P23" s="2"/>
    </row>
    <row r="24" spans="1:16" ht="12" customHeight="1">
      <c r="B24" s="2" t="s">
        <v>286</v>
      </c>
      <c r="C24" s="224">
        <v>0</v>
      </c>
      <c r="I24" s="487">
        <v>8</v>
      </c>
      <c r="J24" s="472">
        <f>'Fair Value of Share'!J5</f>
        <v>845.18822980322432</v>
      </c>
      <c r="K24" s="11">
        <f ca="1">'Fair Value of Share'!J6</f>
        <v>7.8872909266800018E-2</v>
      </c>
      <c r="L24" s="510">
        <f t="shared" ca="1" si="0"/>
        <v>460.45918061814245</v>
      </c>
      <c r="M24" s="510">
        <f t="shared" ca="1" si="1"/>
        <v>3683.6734449451396</v>
      </c>
    </row>
    <row r="25" spans="1:16" ht="12" customHeight="1">
      <c r="I25" s="487">
        <v>9</v>
      </c>
      <c r="J25" s="472">
        <f>'Fair Value of Share'!K5</f>
        <v>879.0079419857683</v>
      </c>
      <c r="K25" s="11">
        <f ca="1">'Fair Value of Share'!K6</f>
        <v>7.7735815271677999E-2</v>
      </c>
      <c r="L25" s="510">
        <f t="shared" ca="1" si="0"/>
        <v>448.10723818329143</v>
      </c>
      <c r="M25" s="510">
        <f t="shared" ca="1" si="1"/>
        <v>4032.9651436496229</v>
      </c>
    </row>
    <row r="26" spans="1:16" ht="12" customHeight="1">
      <c r="I26" s="487">
        <v>10</v>
      </c>
      <c r="J26" s="472">
        <f>'Fair Value of Share'!L5</f>
        <v>674.61821578637546</v>
      </c>
      <c r="K26" s="11">
        <f ca="1">'Fair Value of Share'!L6</f>
        <v>7.6598721276555995E-2</v>
      </c>
      <c r="L26" s="510">
        <f ca="1">(J26/(1+K26)^I26)+'Fair Value of Share'!C14</f>
        <v>7484.0841351588424</v>
      </c>
      <c r="M26" s="510">
        <f ca="1">L26*I26</f>
        <v>74840.841351588431</v>
      </c>
    </row>
    <row r="27" spans="1:16" ht="12" customHeight="1">
      <c r="L27" s="403">
        <f ca="1">SUM(L17:L26)</f>
        <v>11649.285243613747</v>
      </c>
      <c r="M27" s="403">
        <f ca="1">SUM(M17:M26)</f>
        <v>98365.873381421377</v>
      </c>
    </row>
    <row r="29" spans="1:16" ht="12" customHeight="1">
      <c r="L29" s="160" t="s">
        <v>312</v>
      </c>
      <c r="M29" s="508" t="str">
        <f ca="1">CONCATENATE(ROUND(M27/L27,2)," years")</f>
        <v>8.44 years</v>
      </c>
    </row>
  </sheetData>
  <pageMargins left="0.7" right="0.7" top="0.75" bottom="0.75" header="0.3" footer="0.3"/>
  <pageSetup orientation="landscape"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8"/>
  <sheetViews>
    <sheetView workbookViewId="0"/>
  </sheetViews>
  <sheetFormatPr defaultRowHeight="12" customHeight="1"/>
  <cols>
    <col min="1" max="1" width="2" style="2" customWidth="1"/>
    <col min="2" max="2" width="14.42578125" style="2" customWidth="1"/>
    <col min="3" max="3" width="13.5703125" style="2" customWidth="1"/>
    <col min="4" max="4" width="8.7109375" style="2" customWidth="1"/>
    <col min="5" max="5" width="13.140625" style="2" customWidth="1"/>
    <col min="6" max="6" width="11.7109375" style="2" customWidth="1"/>
    <col min="7" max="7" width="11.42578125" style="2" customWidth="1"/>
    <col min="8" max="8" width="11.85546875" style="2" customWidth="1"/>
    <col min="9" max="9" width="7" style="2" customWidth="1"/>
    <col min="10" max="10" width="9.85546875" style="2" customWidth="1"/>
    <col min="11" max="11" width="11"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5" t="s">
        <v>266</v>
      </c>
    </row>
    <row r="3" spans="1:16" ht="12" customHeight="1">
      <c r="B3" s="274" t="s">
        <v>238</v>
      </c>
      <c r="C3" s="274" t="s">
        <v>153</v>
      </c>
      <c r="D3" s="274" t="s">
        <v>219</v>
      </c>
      <c r="E3" s="505" t="s">
        <v>7</v>
      </c>
      <c r="F3" s="505" t="s">
        <v>330</v>
      </c>
      <c r="G3" s="505" t="s">
        <v>3</v>
      </c>
      <c r="H3" s="505" t="s">
        <v>120</v>
      </c>
      <c r="I3" s="505" t="s">
        <v>267</v>
      </c>
      <c r="J3" s="516" t="s">
        <v>261</v>
      </c>
      <c r="K3" s="505" t="s">
        <v>240</v>
      </c>
      <c r="L3" s="505" t="s">
        <v>246</v>
      </c>
      <c r="M3" s="505" t="s">
        <v>264</v>
      </c>
      <c r="N3" s="505" t="s">
        <v>263</v>
      </c>
      <c r="O3" s="505" t="s">
        <v>5</v>
      </c>
    </row>
    <row r="4" spans="1:16" ht="12" customHeight="1">
      <c r="B4" s="520">
        <v>0</v>
      </c>
      <c r="C4" s="490">
        <f>B4/(100%-B4)</f>
        <v>0</v>
      </c>
      <c r="D4" s="521">
        <f t="shared" ref="D4:D13" si="0">$C$16*(1+(1-$C$15)*C4)</f>
        <v>0.95580620587307474</v>
      </c>
      <c r="E4" s="489">
        <f t="shared" ref="E4:E13" si="1">$C$17+($C$18*D4)</f>
        <v>8.6191148678790103E-2</v>
      </c>
      <c r="F4" s="522">
        <f t="shared" ref="F4:F13" ca="1" si="2">B4*$C$19</f>
        <v>0</v>
      </c>
      <c r="G4" s="522">
        <f t="shared" ref="G4:G13" si="3">$C$20</f>
        <v>1012.648107370263</v>
      </c>
      <c r="H4" s="522">
        <f ca="1">F4*$C$21</f>
        <v>0</v>
      </c>
      <c r="I4" s="509" t="s">
        <v>106</v>
      </c>
      <c r="J4" s="518" t="s">
        <v>161</v>
      </c>
      <c r="K4" s="523">
        <v>7.4999999999999997E-3</v>
      </c>
      <c r="L4" s="524">
        <f t="shared" ref="L4:L13" si="4">$C$17+K4</f>
        <v>4.122E-2</v>
      </c>
      <c r="M4" s="524">
        <f t="shared" ref="M4:M13" ca="1" si="5">IF(H4&lt;G4,$C$15,$C$15*(G4/H4))</f>
        <v>0.22534235144895792</v>
      </c>
      <c r="N4" s="524">
        <f t="shared" ref="N4:N13" ca="1" si="6">L4*(1-M4)</f>
        <v>3.1931388273273957E-2</v>
      </c>
      <c r="O4" s="347">
        <f t="shared" ref="O4:O13" ca="1" si="7">(E4*(100%-B4))+(N4*B4)</f>
        <v>8.6191148678790103E-2</v>
      </c>
      <c r="P4" s="207"/>
    </row>
    <row r="5" spans="1:16" ht="12" customHeight="1">
      <c r="B5" s="526">
        <v>0.1</v>
      </c>
      <c r="C5" s="527">
        <f t="shared" ref="C5:C13" si="8">B5/(100%-B5)</f>
        <v>0.11111111111111112</v>
      </c>
      <c r="D5" s="528">
        <f t="shared" si="0"/>
        <v>1.0380753823077558</v>
      </c>
      <c r="E5" s="529">
        <f t="shared" si="1"/>
        <v>9.0707501640154953E-2</v>
      </c>
      <c r="F5" s="530">
        <f ca="1">B5*$C$19</f>
        <v>1562.5920158910865</v>
      </c>
      <c r="G5" s="530">
        <f t="shared" si="3"/>
        <v>1012.648107370263</v>
      </c>
      <c r="H5" s="530">
        <f t="shared" ref="H5:H13" ca="1" si="9">F5*L5</f>
        <v>64.410042895030585</v>
      </c>
      <c r="I5" s="531">
        <f t="shared" ref="I5:I13" ca="1" si="10">G5/H5</f>
        <v>15.721897732944868</v>
      </c>
      <c r="J5" s="532" t="str">
        <f ca="1">IF($C$21=1,VLOOKUP(I5,$J$17:$M$30,3),(IF($C$21=0,VLOOKUP(I5,$E$17:$H$30,3),VLOOKUP(I5,#REF!,3))))</f>
        <v>AAA</v>
      </c>
      <c r="K5" s="533">
        <v>7.4999999999999997E-3</v>
      </c>
      <c r="L5" s="534">
        <f t="shared" si="4"/>
        <v>4.122E-2</v>
      </c>
      <c r="M5" s="534">
        <f t="shared" ca="1" si="5"/>
        <v>0.22534235144895792</v>
      </c>
      <c r="N5" s="534">
        <f t="shared" ca="1" si="6"/>
        <v>3.1931388273273957E-2</v>
      </c>
      <c r="O5" s="535">
        <f t="shared" ca="1" si="7"/>
        <v>8.4829890303466854E-2</v>
      </c>
      <c r="P5" s="207" t="s">
        <v>265</v>
      </c>
    </row>
    <row r="6" spans="1:16" ht="12" customHeight="1">
      <c r="B6" s="119">
        <v>0.2</v>
      </c>
      <c r="C6" s="490">
        <f t="shared" si="8"/>
        <v>0.25</v>
      </c>
      <c r="D6" s="521">
        <f t="shared" si="0"/>
        <v>1.1409118528511071</v>
      </c>
      <c r="E6" s="489">
        <f t="shared" si="1"/>
        <v>9.6352942841861008E-2</v>
      </c>
      <c r="F6" s="522">
        <f t="shared" ca="1" si="2"/>
        <v>3125.184031782173</v>
      </c>
      <c r="G6" s="522">
        <f t="shared" si="3"/>
        <v>1012.648107370263</v>
      </c>
      <c r="H6" s="522">
        <f t="shared" ca="1" si="9"/>
        <v>161.634518123774</v>
      </c>
      <c r="I6" s="525">
        <f t="shared" ca="1" si="10"/>
        <v>6.2650485745551761</v>
      </c>
      <c r="J6" s="519" t="str">
        <f ca="1">IF($C$21=1,VLOOKUP(I6,$J$17:$M$30,3),(IF($C$21=0,VLOOKUP(I6,$E$17:$H$30,3),VLOOKUP(I6,#REF!,3))))</f>
        <v>A</v>
      </c>
      <c r="K6" s="523">
        <v>1.7999999999999999E-2</v>
      </c>
      <c r="L6" s="524">
        <f t="shared" si="4"/>
        <v>5.1720000000000002E-2</v>
      </c>
      <c r="M6" s="524">
        <f t="shared" ca="1" si="5"/>
        <v>0.22534235144895792</v>
      </c>
      <c r="N6" s="524">
        <f t="shared" ca="1" si="6"/>
        <v>4.0065293583059901E-2</v>
      </c>
      <c r="O6" s="347">
        <f t="shared" ca="1" si="7"/>
        <v>8.5095412990100788E-2</v>
      </c>
    </row>
    <row r="7" spans="1:16" ht="12" customHeight="1">
      <c r="B7" s="119">
        <v>0.3</v>
      </c>
      <c r="C7" s="490">
        <f t="shared" si="8"/>
        <v>0.4285714285714286</v>
      </c>
      <c r="D7" s="521">
        <f t="shared" si="0"/>
        <v>1.2731301721211303</v>
      </c>
      <c r="E7" s="489">
        <f t="shared" si="1"/>
        <v>0.10361136724405454</v>
      </c>
      <c r="F7" s="522">
        <f t="shared" ca="1" si="2"/>
        <v>4687.7760476732592</v>
      </c>
      <c r="G7" s="522">
        <f t="shared" si="3"/>
        <v>1012.648107370263</v>
      </c>
      <c r="H7" s="522">
        <f t="shared" ca="1" si="9"/>
        <v>263.54676940019061</v>
      </c>
      <c r="I7" s="525">
        <f t="shared" ca="1" si="10"/>
        <v>3.8423848248072305</v>
      </c>
      <c r="J7" s="519" t="str">
        <f ca="1">IF($C$21=1,VLOOKUP(I7,$J$17:$M$30,3),(IF($C$21=0,VLOOKUP(I7,$E$17:$H$30,3),VLOOKUP(I7,#REF!,3))))</f>
        <v>BBB</v>
      </c>
      <c r="K7" s="523">
        <v>2.2499999999999999E-2</v>
      </c>
      <c r="L7" s="524">
        <f t="shared" si="4"/>
        <v>5.6219999999999999E-2</v>
      </c>
      <c r="M7" s="524">
        <f t="shared" ca="1" si="5"/>
        <v>0.22534235144895792</v>
      </c>
      <c r="N7" s="524">
        <f t="shared" ca="1" si="6"/>
        <v>4.3551253001539586E-2</v>
      </c>
      <c r="O7" s="347">
        <f t="shared" ca="1" si="7"/>
        <v>8.5593332971300048E-2</v>
      </c>
    </row>
    <row r="8" spans="1:16" ht="12" customHeight="1">
      <c r="B8" s="119">
        <v>0.4</v>
      </c>
      <c r="C8" s="490">
        <f t="shared" si="8"/>
        <v>0.66666666666666674</v>
      </c>
      <c r="D8" s="521">
        <f t="shared" si="0"/>
        <v>1.449421264481161</v>
      </c>
      <c r="E8" s="489">
        <f t="shared" si="1"/>
        <v>0.11328926644697922</v>
      </c>
      <c r="F8" s="522">
        <f t="shared" ca="1" si="2"/>
        <v>6250.3680635643459</v>
      </c>
      <c r="G8" s="522">
        <f t="shared" si="3"/>
        <v>1012.648107370263</v>
      </c>
      <c r="H8" s="522">
        <f t="shared" ca="1" si="9"/>
        <v>929.55473841328967</v>
      </c>
      <c r="I8" s="525">
        <f t="shared" ca="1" si="10"/>
        <v>1.0893905065760949</v>
      </c>
      <c r="J8" s="519" t="str">
        <f ca="1">IF($C$21=1,VLOOKUP(I8,$J$17:$M$30,3),(IF($C$21=0,VLOOKUP(I8,$E$17:$H$30,3),VLOOKUP(I8,#REF!,3))))</f>
        <v>CC</v>
      </c>
      <c r="K8" s="523">
        <v>0.115</v>
      </c>
      <c r="L8" s="524">
        <f t="shared" si="4"/>
        <v>0.14872000000000002</v>
      </c>
      <c r="M8" s="524">
        <f t="shared" ca="1" si="5"/>
        <v>0.22534235144895792</v>
      </c>
      <c r="N8" s="524">
        <f t="shared" ca="1" si="6"/>
        <v>0.115207085492511</v>
      </c>
      <c r="O8" s="347">
        <f t="shared" ca="1" si="7"/>
        <v>0.11405639406519193</v>
      </c>
    </row>
    <row r="9" spans="1:16" ht="12" customHeight="1">
      <c r="B9" s="119">
        <v>0.5</v>
      </c>
      <c r="C9" s="490">
        <f t="shared" si="8"/>
        <v>1</v>
      </c>
      <c r="D9" s="521">
        <f t="shared" si="0"/>
        <v>1.6962287937852041</v>
      </c>
      <c r="E9" s="489">
        <f t="shared" si="1"/>
        <v>0.12683832533107375</v>
      </c>
      <c r="F9" s="522">
        <f ca="1">B9*$C$19</f>
        <v>7812.9600794554317</v>
      </c>
      <c r="G9" s="522">
        <f t="shared" si="3"/>
        <v>1012.648107370263</v>
      </c>
      <c r="H9" s="522">
        <f t="shared" ca="1" si="9"/>
        <v>1161.9434230166119</v>
      </c>
      <c r="I9" s="525">
        <f t="shared" ca="1" si="10"/>
        <v>0.87151240526087603</v>
      </c>
      <c r="J9" s="519" t="str">
        <f ca="1">IF($C$21=1,VLOOKUP(I9,$J$17:$M$30,3),(IF($C$21=0,VLOOKUP(I9,$E$17:$H$30,3),VLOOKUP(I9,#REF!,3))))</f>
        <v>CC</v>
      </c>
      <c r="K9" s="523">
        <v>0.115</v>
      </c>
      <c r="L9" s="524">
        <f t="shared" si="4"/>
        <v>0.14872000000000002</v>
      </c>
      <c r="M9" s="524">
        <f t="shared" ca="1" si="5"/>
        <v>0.19638865471842298</v>
      </c>
      <c r="N9" s="524">
        <f t="shared" ca="1" si="6"/>
        <v>0.11951307927027614</v>
      </c>
      <c r="O9" s="347">
        <f t="shared" ca="1" si="7"/>
        <v>0.12317570230067496</v>
      </c>
    </row>
    <row r="10" spans="1:16" ht="12" customHeight="1">
      <c r="A10" s="3"/>
      <c r="B10" s="119">
        <v>0.6</v>
      </c>
      <c r="C10" s="490">
        <f t="shared" si="8"/>
        <v>1.4999999999999998</v>
      </c>
      <c r="D10" s="521">
        <f t="shared" si="0"/>
        <v>2.0664400877412685</v>
      </c>
      <c r="E10" s="489">
        <f t="shared" si="1"/>
        <v>0.14716191365721559</v>
      </c>
      <c r="F10" s="522">
        <f t="shared" ca="1" si="2"/>
        <v>9375.5520953465184</v>
      </c>
      <c r="G10" s="522">
        <f t="shared" si="3"/>
        <v>1012.648107370263</v>
      </c>
      <c r="H10" s="522">
        <f t="shared" ca="1" si="9"/>
        <v>1506.8387327640924</v>
      </c>
      <c r="I10" s="525">
        <f t="shared" ca="1" si="10"/>
        <v>0.6720348271859834</v>
      </c>
      <c r="J10" s="519" t="str">
        <f ca="1">IF($C$21=1,VLOOKUP(I10,$J$17:$M$30,3),(IF($C$21=0,VLOOKUP(I10,$E$17:$H$30,3),VLOOKUP(I10,#REF!,3))))</f>
        <v>C</v>
      </c>
      <c r="K10" s="523">
        <v>0.127</v>
      </c>
      <c r="L10" s="524">
        <f t="shared" si="4"/>
        <v>0.16072</v>
      </c>
      <c r="M10" s="524">
        <f t="shared" ca="1" si="5"/>
        <v>0.15143790821368358</v>
      </c>
      <c r="N10" s="524">
        <f t="shared" ca="1" si="6"/>
        <v>0.13638089939189676</v>
      </c>
      <c r="O10" s="347">
        <f t="shared" ca="1" si="7"/>
        <v>0.1406933050980243</v>
      </c>
    </row>
    <row r="11" spans="1:16" ht="12" customHeight="1">
      <c r="A11" s="3"/>
      <c r="B11" s="119">
        <v>0.7</v>
      </c>
      <c r="C11" s="490">
        <f t="shared" si="8"/>
        <v>2.333333333333333</v>
      </c>
      <c r="D11" s="521">
        <f t="shared" si="0"/>
        <v>2.683458911001376</v>
      </c>
      <c r="E11" s="489">
        <f t="shared" si="1"/>
        <v>0.18103456086745195</v>
      </c>
      <c r="F11" s="522">
        <f t="shared" ca="1" si="2"/>
        <v>10938.144111237603</v>
      </c>
      <c r="G11" s="522">
        <f t="shared" si="3"/>
        <v>1012.648107370263</v>
      </c>
      <c r="H11" s="522">
        <f t="shared" ca="1" si="9"/>
        <v>1757.9785215581076</v>
      </c>
      <c r="I11" s="525">
        <f t="shared" ca="1" si="10"/>
        <v>0.57602985187370015</v>
      </c>
      <c r="J11" s="519" t="str">
        <f ca="1">IF($C$21=1,VLOOKUP(I11,$J$17:$M$30,3),(IF($C$21=0,VLOOKUP(I11,$E$17:$H$30,3),VLOOKUP(I11,#REF!,3))))</f>
        <v>C</v>
      </c>
      <c r="K11" s="523">
        <v>0.127</v>
      </c>
      <c r="L11" s="524">
        <f t="shared" si="4"/>
        <v>0.16072</v>
      </c>
      <c r="M11" s="524">
        <f t="shared" ca="1" si="5"/>
        <v>0.12980392132601451</v>
      </c>
      <c r="N11" s="524">
        <f t="shared" ca="1" si="6"/>
        <v>0.13985791376448295</v>
      </c>
      <c r="O11" s="347">
        <f t="shared" ca="1" si="7"/>
        <v>0.15221090789537367</v>
      </c>
    </row>
    <row r="12" spans="1:16" ht="12" customHeight="1">
      <c r="A12" s="3"/>
      <c r="B12" s="119">
        <v>0.8</v>
      </c>
      <c r="C12" s="490">
        <f t="shared" si="8"/>
        <v>4.0000000000000009</v>
      </c>
      <c r="D12" s="521">
        <f t="shared" si="0"/>
        <v>3.9174965575215932</v>
      </c>
      <c r="E12" s="489">
        <f t="shared" si="1"/>
        <v>0.24877985528792479</v>
      </c>
      <c r="F12" s="522">
        <f t="shared" ca="1" si="2"/>
        <v>12500.736127128692</v>
      </c>
      <c r="G12" s="522">
        <f t="shared" si="3"/>
        <v>1012.648107370263</v>
      </c>
      <c r="H12" s="522">
        <f t="shared" ca="1" si="9"/>
        <v>2009.1183103521234</v>
      </c>
      <c r="I12" s="525">
        <f t="shared" ca="1" si="10"/>
        <v>0.50402612038948746</v>
      </c>
      <c r="J12" s="519" t="str">
        <f ca="1">IF($C$21=1,VLOOKUP(I12,$J$17:$M$30,3),(IF($C$21=0,VLOOKUP(I12,$E$17:$H$30,3),VLOOKUP(I12,#REF!,3))))</f>
        <v>C</v>
      </c>
      <c r="K12" s="523">
        <v>0.127</v>
      </c>
      <c r="L12" s="524">
        <f t="shared" si="4"/>
        <v>0.16072</v>
      </c>
      <c r="M12" s="524">
        <f t="shared" ca="1" si="5"/>
        <v>0.11357843116026266</v>
      </c>
      <c r="N12" s="524">
        <f t="shared" ca="1" si="6"/>
        <v>0.14246567454392259</v>
      </c>
      <c r="O12" s="347">
        <f t="shared" ca="1" si="7"/>
        <v>0.16372851069272304</v>
      </c>
    </row>
    <row r="13" spans="1:16" ht="12" customHeight="1">
      <c r="A13" s="3"/>
      <c r="B13" s="119">
        <v>0.9</v>
      </c>
      <c r="C13" s="490">
        <f t="shared" si="8"/>
        <v>9.0000000000000018</v>
      </c>
      <c r="D13" s="521">
        <f t="shared" si="0"/>
        <v>7.6196094970822399</v>
      </c>
      <c r="E13" s="489">
        <f t="shared" si="1"/>
        <v>0.45201573854934307</v>
      </c>
      <c r="F13" s="522">
        <f t="shared" ca="1" si="2"/>
        <v>14063.328143019777</v>
      </c>
      <c r="G13" s="522">
        <f t="shared" si="3"/>
        <v>1012.648107370263</v>
      </c>
      <c r="H13" s="522">
        <f t="shared" ca="1" si="9"/>
        <v>2443.0813650053956</v>
      </c>
      <c r="I13" s="525">
        <f t="shared" ca="1" si="10"/>
        <v>0.41449626765419928</v>
      </c>
      <c r="J13" s="519" t="str">
        <f ca="1">IF($C$21=1,VLOOKUP(I13,$J$17:$M$30,3),(IF($C$21=0,VLOOKUP(I13,$E$17:$H$30,3),VLOOKUP(I13,#REF!,3))))</f>
        <v>D</v>
      </c>
      <c r="K13" s="523">
        <v>0.14000000000000001</v>
      </c>
      <c r="L13" s="524">
        <f t="shared" si="4"/>
        <v>0.17372000000000001</v>
      </c>
      <c r="M13" s="524">
        <f t="shared" ca="1" si="5"/>
        <v>9.340356362001391E-2</v>
      </c>
      <c r="N13" s="524">
        <f t="shared" ca="1" si="6"/>
        <v>0.15749393292793121</v>
      </c>
      <c r="O13" s="347">
        <f t="shared" ca="1" si="7"/>
        <v>0.1869461134900724</v>
      </c>
    </row>
    <row r="14" spans="1:16" s="22" customFormat="1" ht="12" customHeight="1">
      <c r="A14" s="21"/>
    </row>
    <row r="15" spans="1:16" ht="12" customHeight="1">
      <c r="A15" s="3"/>
      <c r="B15" s="598" t="s">
        <v>213</v>
      </c>
      <c r="C15" s="599">
        <f>'Risk Free Rate &amp; ERP'!H15</f>
        <v>0.22534235144895792</v>
      </c>
      <c r="D15" s="3"/>
      <c r="E15" s="625" t="s">
        <v>244</v>
      </c>
      <c r="F15" s="626"/>
      <c r="G15" s="626"/>
      <c r="H15" s="627"/>
      <c r="J15" s="625" t="s">
        <v>245</v>
      </c>
      <c r="K15" s="626"/>
      <c r="L15" s="626"/>
      <c r="M15" s="627"/>
    </row>
    <row r="16" spans="1:16" ht="12" customHeight="1">
      <c r="A16" s="120"/>
      <c r="B16" s="598" t="s">
        <v>112</v>
      </c>
      <c r="C16" s="600">
        <f>'Bottom Up Beta'!C11</f>
        <v>0.95580620587307474</v>
      </c>
      <c r="D16" s="3"/>
      <c r="E16" s="208" t="s">
        <v>242</v>
      </c>
      <c r="F16" s="209"/>
      <c r="G16" s="210" t="s">
        <v>243</v>
      </c>
      <c r="H16" s="211" t="s">
        <v>240</v>
      </c>
      <c r="J16" s="208" t="s">
        <v>242</v>
      </c>
      <c r="K16" s="209"/>
      <c r="L16" s="210" t="s">
        <v>243</v>
      </c>
      <c r="M16" s="211" t="s">
        <v>240</v>
      </c>
    </row>
    <row r="17" spans="1:15" ht="12" customHeight="1">
      <c r="A17" s="120"/>
      <c r="B17" s="598" t="s">
        <v>239</v>
      </c>
      <c r="C17" s="348">
        <f>'Risk Free Rate &amp; ERP'!C6</f>
        <v>3.372E-2</v>
      </c>
      <c r="D17" s="3"/>
      <c r="E17" s="210">
        <v>-10000000</v>
      </c>
      <c r="F17" s="210">
        <v>0.4999999</v>
      </c>
      <c r="G17" s="210" t="s">
        <v>241</v>
      </c>
      <c r="H17" s="212">
        <v>0.14000000000000001</v>
      </c>
      <c r="J17" s="210">
        <v>-10000000</v>
      </c>
      <c r="K17" s="210">
        <v>0.19999990000000001</v>
      </c>
      <c r="L17" s="210" t="s">
        <v>241</v>
      </c>
      <c r="M17" s="212">
        <v>0.14000000000000001</v>
      </c>
    </row>
    <row r="18" spans="1:15" ht="12" customHeight="1">
      <c r="A18" s="120"/>
      <c r="B18" s="598" t="s">
        <v>110</v>
      </c>
      <c r="C18" s="348">
        <f>'Risk Free Rate &amp; ERP'!C8</f>
        <v>5.4897267203722205E-2</v>
      </c>
      <c r="D18" s="25"/>
      <c r="E18" s="210">
        <v>0.5</v>
      </c>
      <c r="F18" s="213">
        <v>0.79999989999999999</v>
      </c>
      <c r="G18" s="210" t="s">
        <v>29</v>
      </c>
      <c r="H18" s="212">
        <v>0.127</v>
      </c>
      <c r="I18" s="90"/>
      <c r="J18" s="213">
        <v>0.2</v>
      </c>
      <c r="K18" s="213">
        <v>0.64999989999999996</v>
      </c>
      <c r="L18" s="210" t="s">
        <v>29</v>
      </c>
      <c r="M18" s="212">
        <v>0.127</v>
      </c>
    </row>
    <row r="19" spans="1:15" ht="12" customHeight="1">
      <c r="A19" s="6"/>
      <c r="B19" s="598" t="s">
        <v>262</v>
      </c>
      <c r="C19" s="388">
        <f ca="1">'Bottom Up Beta'!C13+'Bottom Up Beta'!C14</f>
        <v>15625.920158910863</v>
      </c>
      <c r="D19" s="25"/>
      <c r="E19" s="213">
        <v>0.8</v>
      </c>
      <c r="F19" s="213">
        <v>1.2499998999999999</v>
      </c>
      <c r="G19" s="210" t="s">
        <v>250</v>
      </c>
      <c r="H19" s="212">
        <v>0.115</v>
      </c>
      <c r="I19" s="205"/>
      <c r="J19" s="213">
        <v>0.65</v>
      </c>
      <c r="K19" s="213">
        <v>0.79999989999999999</v>
      </c>
      <c r="L19" s="210" t="s">
        <v>250</v>
      </c>
      <c r="M19" s="212">
        <v>0.115</v>
      </c>
    </row>
    <row r="20" spans="1:15" ht="12" customHeight="1">
      <c r="A20" s="6"/>
      <c r="B20" s="598" t="s">
        <v>247</v>
      </c>
      <c r="C20" s="388">
        <f>'Accounting Adjustments'!C56</f>
        <v>1012.648107370263</v>
      </c>
      <c r="D20" s="25"/>
      <c r="E20" s="213">
        <v>1.25</v>
      </c>
      <c r="F20" s="213">
        <v>1.4999998999999999</v>
      </c>
      <c r="G20" s="210" t="s">
        <v>251</v>
      </c>
      <c r="H20" s="212">
        <v>0.1</v>
      </c>
      <c r="I20" s="204"/>
      <c r="J20" s="213">
        <v>0.8</v>
      </c>
      <c r="K20" s="213">
        <v>1.2499998999999999</v>
      </c>
      <c r="L20" s="210" t="s">
        <v>251</v>
      </c>
      <c r="M20" s="212">
        <v>0.1</v>
      </c>
    </row>
    <row r="21" spans="1:15" ht="12" customHeight="1">
      <c r="A21" s="6"/>
      <c r="B21" s="598" t="s">
        <v>260</v>
      </c>
      <c r="C21" s="517">
        <v>0</v>
      </c>
      <c r="E21" s="213">
        <v>1.5</v>
      </c>
      <c r="F21" s="213">
        <v>1.9999998999999999</v>
      </c>
      <c r="G21" s="210" t="s">
        <v>252</v>
      </c>
      <c r="H21" s="212">
        <v>0.08</v>
      </c>
      <c r="I21" s="55"/>
      <c r="J21" s="213">
        <v>1.25</v>
      </c>
      <c r="K21" s="213">
        <v>1.4999998999999999</v>
      </c>
      <c r="L21" s="210" t="s">
        <v>252</v>
      </c>
      <c r="M21" s="212">
        <v>0.08</v>
      </c>
    </row>
    <row r="22" spans="1:15" ht="12" customHeight="1">
      <c r="A22" s="121"/>
      <c r="B22" s="206" t="s">
        <v>259</v>
      </c>
      <c r="C22" s="170"/>
      <c r="D22" s="25"/>
      <c r="E22" s="213">
        <v>2</v>
      </c>
      <c r="F22" s="213">
        <v>2.4999999000000002</v>
      </c>
      <c r="G22" s="210" t="s">
        <v>253</v>
      </c>
      <c r="H22" s="212">
        <v>6.5000000000000002E-2</v>
      </c>
      <c r="I22" s="202"/>
      <c r="J22" s="213">
        <v>1.5</v>
      </c>
      <c r="K22" s="213">
        <v>1.7499998999999999</v>
      </c>
      <c r="L22" s="210" t="s">
        <v>253</v>
      </c>
      <c r="M22" s="212">
        <v>6.5000000000000002E-2</v>
      </c>
    </row>
    <row r="23" spans="1:15" s="24" customFormat="1" ht="12" customHeight="1">
      <c r="B23" s="200"/>
      <c r="C23" s="153"/>
      <c r="D23" s="25"/>
      <c r="E23" s="213">
        <v>2.5</v>
      </c>
      <c r="F23" s="213">
        <v>2.9999999000000002</v>
      </c>
      <c r="G23" s="210" t="s">
        <v>254</v>
      </c>
      <c r="H23" s="212">
        <v>4.7500000000000001E-2</v>
      </c>
      <c r="I23" s="205"/>
      <c r="J23" s="213">
        <v>1.75</v>
      </c>
      <c r="K23" s="213">
        <v>1.9999998999999999</v>
      </c>
      <c r="L23" s="210" t="s">
        <v>254</v>
      </c>
      <c r="M23" s="212">
        <v>4.7500000000000001E-2</v>
      </c>
    </row>
    <row r="24" spans="1:15" ht="12" customHeight="1">
      <c r="B24" s="214"/>
      <c r="C24" s="155"/>
      <c r="D24" s="169"/>
      <c r="E24" s="213">
        <v>3</v>
      </c>
      <c r="F24" s="213">
        <v>3.4999999000000002</v>
      </c>
      <c r="G24" s="210" t="s">
        <v>255</v>
      </c>
      <c r="H24" s="212">
        <v>3.5000000000000003E-2</v>
      </c>
      <c r="I24" s="204"/>
      <c r="J24" s="213">
        <v>2</v>
      </c>
      <c r="K24" s="213">
        <v>2.4999999000000002</v>
      </c>
      <c r="L24" s="210" t="s">
        <v>255</v>
      </c>
      <c r="M24" s="212">
        <v>3.5000000000000003E-2</v>
      </c>
    </row>
    <row r="25" spans="1:15" ht="12" customHeight="1">
      <c r="B25" s="214"/>
      <c r="C25" s="155"/>
      <c r="E25" s="213">
        <v>3.5</v>
      </c>
      <c r="F25" s="213">
        <v>4.4999998999999997</v>
      </c>
      <c r="G25" s="210" t="s">
        <v>249</v>
      </c>
      <c r="H25" s="212">
        <v>2.2499999999999999E-2</v>
      </c>
      <c r="I25" s="55"/>
      <c r="J25" s="213">
        <v>2.5</v>
      </c>
      <c r="K25" s="213">
        <v>2.9999999000000002</v>
      </c>
      <c r="L25" s="210" t="s">
        <v>249</v>
      </c>
      <c r="M25" s="212">
        <v>2.2499999999999999E-2</v>
      </c>
    </row>
    <row r="26" spans="1:15" ht="12" customHeight="1">
      <c r="B26" s="207"/>
      <c r="D26" s="28"/>
      <c r="E26" s="213">
        <v>4.5</v>
      </c>
      <c r="F26" s="213">
        <v>5.9999998999999997</v>
      </c>
      <c r="G26" s="210" t="s">
        <v>248</v>
      </c>
      <c r="H26" s="212">
        <v>0.02</v>
      </c>
      <c r="I26" s="202"/>
      <c r="J26" s="213">
        <v>3</v>
      </c>
      <c r="K26" s="213">
        <v>4.2499998999999997</v>
      </c>
      <c r="L26" s="210" t="s">
        <v>248</v>
      </c>
      <c r="M26" s="212">
        <v>0.02</v>
      </c>
    </row>
    <row r="27" spans="1:15" ht="12" customHeight="1">
      <c r="B27" s="214"/>
      <c r="D27" s="3"/>
      <c r="E27" s="213">
        <v>6</v>
      </c>
      <c r="F27" s="213">
        <v>7.4999998999999997</v>
      </c>
      <c r="G27" s="210" t="s">
        <v>256</v>
      </c>
      <c r="H27" s="212">
        <v>1.7999999999999999E-2</v>
      </c>
      <c r="I27" s="25"/>
      <c r="J27" s="213">
        <v>4.25</v>
      </c>
      <c r="K27" s="213">
        <v>5.4999998999999997</v>
      </c>
      <c r="L27" s="210" t="s">
        <v>256</v>
      </c>
      <c r="M27" s="212">
        <v>1.7999999999999999E-2</v>
      </c>
    </row>
    <row r="28" spans="1:15" ht="12" customHeight="1">
      <c r="B28" s="207"/>
      <c r="D28" s="3"/>
      <c r="E28" s="213">
        <v>7.5</v>
      </c>
      <c r="F28" s="213">
        <v>9.4999999000000006</v>
      </c>
      <c r="G28" s="210" t="s">
        <v>257</v>
      </c>
      <c r="H28" s="212">
        <v>1.4999999999999999E-2</v>
      </c>
      <c r="I28" s="5"/>
      <c r="J28" s="213">
        <v>5.5</v>
      </c>
      <c r="K28" s="213">
        <v>6.4999998999999997</v>
      </c>
      <c r="L28" s="210" t="s">
        <v>257</v>
      </c>
      <c r="M28" s="212">
        <v>1.4999999999999999E-2</v>
      </c>
    </row>
    <row r="29" spans="1:15" ht="12" customHeight="1">
      <c r="B29" s="3"/>
      <c r="C29" s="3"/>
      <c r="D29" s="3"/>
      <c r="E29" s="213">
        <v>9.5</v>
      </c>
      <c r="F29" s="213">
        <v>12.499999000000001</v>
      </c>
      <c r="G29" s="210" t="s">
        <v>258</v>
      </c>
      <c r="H29" s="212">
        <v>0.01</v>
      </c>
      <c r="I29" s="5"/>
      <c r="J29" s="213">
        <v>6.5</v>
      </c>
      <c r="K29" s="213">
        <v>8.4999999000000006</v>
      </c>
      <c r="L29" s="210" t="s">
        <v>258</v>
      </c>
      <c r="M29" s="212">
        <v>0.01</v>
      </c>
    </row>
    <row r="30" spans="1:15" ht="12" customHeight="1">
      <c r="B30" s="217"/>
      <c r="C30" s="3"/>
      <c r="D30" s="3"/>
      <c r="E30" s="213">
        <v>12.5</v>
      </c>
      <c r="F30" s="213">
        <v>100000000</v>
      </c>
      <c r="G30" s="210" t="s">
        <v>161</v>
      </c>
      <c r="H30" s="212">
        <v>7.4999999999999997E-3</v>
      </c>
      <c r="I30" s="3"/>
      <c r="J30" s="213">
        <v>8.5</v>
      </c>
      <c r="K30" s="213">
        <v>100000000</v>
      </c>
      <c r="L30" s="210" t="s">
        <v>161</v>
      </c>
      <c r="M30" s="212">
        <v>7.4999999999999997E-3</v>
      </c>
    </row>
    <row r="31" spans="1:15" ht="12" customHeight="1">
      <c r="E31" s="27"/>
      <c r="F31" s="90"/>
      <c r="G31" s="3"/>
      <c r="H31" s="3"/>
      <c r="I31" s="3"/>
      <c r="J31" s="3"/>
      <c r="K31" s="3"/>
      <c r="L31" s="3"/>
    </row>
    <row r="32" spans="1:15" ht="12" customHeight="1">
      <c r="B32" s="218"/>
      <c r="C32" s="218"/>
      <c r="D32" s="218"/>
      <c r="E32" s="219"/>
      <c r="F32" s="219"/>
      <c r="G32" s="219"/>
      <c r="H32" s="219"/>
      <c r="I32" s="219"/>
      <c r="J32" s="220"/>
      <c r="K32" s="219"/>
      <c r="L32" s="219"/>
      <c r="M32" s="219"/>
      <c r="N32" s="219"/>
      <c r="O32" s="219"/>
    </row>
    <row r="34" spans="2:16" ht="12" customHeight="1">
      <c r="B34" s="274" t="s">
        <v>238</v>
      </c>
      <c r="C34" s="274" t="s">
        <v>153</v>
      </c>
      <c r="D34" s="274" t="s">
        <v>219</v>
      </c>
      <c r="E34" s="505" t="s">
        <v>7</v>
      </c>
      <c r="F34" s="505" t="s">
        <v>330</v>
      </c>
      <c r="G34" s="505" t="s">
        <v>3</v>
      </c>
      <c r="H34" s="505" t="s">
        <v>120</v>
      </c>
      <c r="I34" s="505" t="s">
        <v>267</v>
      </c>
      <c r="J34" s="516" t="s">
        <v>261</v>
      </c>
      <c r="K34" s="505" t="s">
        <v>240</v>
      </c>
      <c r="L34" s="505" t="s">
        <v>246</v>
      </c>
      <c r="M34" s="505" t="s">
        <v>264</v>
      </c>
      <c r="N34" s="505" t="s">
        <v>263</v>
      </c>
      <c r="O34" s="505" t="s">
        <v>5</v>
      </c>
    </row>
    <row r="35" spans="2:16" ht="12" customHeight="1">
      <c r="B35" s="119">
        <v>0.1</v>
      </c>
      <c r="C35" s="490">
        <f>B35/(100%-B35)</f>
        <v>0.11111111111111112</v>
      </c>
      <c r="D35" s="521">
        <f>$C$16*(1+(1-$C$15)*C35)</f>
        <v>1.0380753823077558</v>
      </c>
      <c r="E35" s="489">
        <f>$C$17+($C$18*D35)</f>
        <v>9.0707501640154953E-2</v>
      </c>
      <c r="F35" s="522">
        <f ca="1">B35*$C$19</f>
        <v>1562.5920158910865</v>
      </c>
      <c r="G35" s="522">
        <f t="shared" ref="G35:G45" si="11">$C$20</f>
        <v>1012.648107370263</v>
      </c>
      <c r="H35" s="522">
        <f ca="1">F35*L35</f>
        <v>64.410042895030585</v>
      </c>
      <c r="I35" s="525">
        <f ca="1">G35/H35</f>
        <v>15.721897732944868</v>
      </c>
      <c r="J35" s="519" t="str">
        <f ca="1">IF($C$21=1,VLOOKUP(I35,$J$17:$M$30,3),(IF($C$21=0,VLOOKUP(I35,$E$17:$H$30,3),VLOOKUP(I35,#REF!,3))))</f>
        <v>AAA</v>
      </c>
      <c r="K35" s="523">
        <v>7.4999999999999997E-3</v>
      </c>
      <c r="L35" s="524">
        <f>$C$17+K35</f>
        <v>4.122E-2</v>
      </c>
      <c r="M35" s="524">
        <f ca="1">IF(H35&lt;G35,$C$15,$C$15*(G35/H35))</f>
        <v>0.22534235144895792</v>
      </c>
      <c r="N35" s="524">
        <f ca="1">L35*(1-M35)</f>
        <v>3.1931388273273957E-2</v>
      </c>
      <c r="O35" s="537">
        <f ca="1">(E35*(100%-B35))+(N35*B35)</f>
        <v>8.4829890303466854E-2</v>
      </c>
    </row>
    <row r="36" spans="2:16" ht="12" customHeight="1">
      <c r="B36" s="119">
        <v>0.11</v>
      </c>
      <c r="C36" s="490">
        <f>B36/(100%-B36)</f>
        <v>0.12359550561797752</v>
      </c>
      <c r="D36" s="521">
        <f>$C$16*(1+(1-$C$15)*C36)</f>
        <v>1.0473191099970458</v>
      </c>
      <c r="E36" s="489">
        <f>$C$17+($C$18*D36)</f>
        <v>9.1214957029072355E-2</v>
      </c>
      <c r="F36" s="522">
        <f ca="1">B36*$C$19</f>
        <v>1718.8512174801949</v>
      </c>
      <c r="G36" s="522">
        <f t="shared" si="11"/>
        <v>1012.648107370263</v>
      </c>
      <c r="H36" s="522">
        <f ca="1">F36*L36</f>
        <v>70.851047184533627</v>
      </c>
      <c r="I36" s="525">
        <f ca="1">G36/H36</f>
        <v>14.292634302677156</v>
      </c>
      <c r="J36" s="519" t="str">
        <f ca="1">IF($C$21=1,VLOOKUP(I36,$J$17:$M$30,3),(IF($C$21=0,VLOOKUP(I36,$E$17:$H$30,3),VLOOKUP(I36,#REF!,3))))</f>
        <v>AAA</v>
      </c>
      <c r="K36" s="523">
        <v>7.4999999999999997E-3</v>
      </c>
      <c r="L36" s="524">
        <f>$C$17+K36</f>
        <v>4.122E-2</v>
      </c>
      <c r="M36" s="524">
        <f ca="1">IF(H36&lt;G36,$C$15,$C$15*(G36/H36))</f>
        <v>0.22534235144895792</v>
      </c>
      <c r="N36" s="524">
        <f ca="1">L36*(1-M36)</f>
        <v>3.1931388273273957E-2</v>
      </c>
      <c r="O36" s="537">
        <f ca="1">(E36*(100%-B36))+(N36*B36)</f>
        <v>8.4693764465934532E-2</v>
      </c>
    </row>
    <row r="37" spans="2:16" ht="12" customHeight="1">
      <c r="B37" s="119">
        <v>0.12</v>
      </c>
      <c r="C37" s="490">
        <f>B37/(100%-B37)</f>
        <v>0.13636363636363635</v>
      </c>
      <c r="D37" s="521">
        <f t="shared" ref="D37:D45" si="12">$C$16*(1+(1-$C$15)*C37)</f>
        <v>1.056772922406547</v>
      </c>
      <c r="E37" s="489">
        <f t="shared" ref="E37:E45" si="13">$C$17+($C$18*D37)</f>
        <v>9.1733945495010599E-2</v>
      </c>
      <c r="F37" s="522">
        <f t="shared" ref="F37:F45" ca="1" si="14">B37*$C$19</f>
        <v>1875.1104190693036</v>
      </c>
      <c r="G37" s="522">
        <f t="shared" si="11"/>
        <v>1012.648107370263</v>
      </c>
      <c r="H37" s="522">
        <f t="shared" ref="H37:H45" ca="1" si="15">F37*L37</f>
        <v>77.292051474036697</v>
      </c>
      <c r="I37" s="525">
        <f t="shared" ref="I37:I45" ca="1" si="16">G37/H37</f>
        <v>13.101581444120724</v>
      </c>
      <c r="J37" s="519" t="str">
        <f ca="1">IF($C$21=1,VLOOKUP(I37,$J$17:$M$30,3),(IF($C$21=0,VLOOKUP(I37,$E$17:$H$30,3),VLOOKUP(I37,#REF!,3))))</f>
        <v>AAA</v>
      </c>
      <c r="K37" s="523">
        <v>7.4999999999999997E-3</v>
      </c>
      <c r="L37" s="524">
        <f t="shared" ref="L37:L45" si="17">$C$17+K37</f>
        <v>4.122E-2</v>
      </c>
      <c r="M37" s="524">
        <f t="shared" ref="M37:M45" ca="1" si="18">IF(H37&lt;G37,$C$15,$C$15*(G37/H37))</f>
        <v>0.22534235144895792</v>
      </c>
      <c r="N37" s="524">
        <f t="shared" ref="N37:N45" ca="1" si="19">L37*(1-M37)</f>
        <v>3.1931388273273957E-2</v>
      </c>
      <c r="O37" s="537">
        <f t="shared" ref="O37:O45" ca="1" si="20">(E37*(100%-B37))+(N37*B37)</f>
        <v>8.4557638628402196E-2</v>
      </c>
    </row>
    <row r="38" spans="2:16" ht="12" customHeight="1">
      <c r="B38" s="119">
        <v>0.13</v>
      </c>
      <c r="C38" s="490">
        <f>B38/(100%-B38)</f>
        <v>0.14942528735632185</v>
      </c>
      <c r="D38" s="521">
        <f t="shared" si="12"/>
        <v>1.0664440638369561</v>
      </c>
      <c r="E38" s="489">
        <f t="shared" si="13"/>
        <v>9.2264864730280755E-2</v>
      </c>
      <c r="F38" s="522">
        <f t="shared" ca="1" si="14"/>
        <v>2031.3696206584123</v>
      </c>
      <c r="G38" s="522">
        <f t="shared" si="11"/>
        <v>1012.648107370263</v>
      </c>
      <c r="H38" s="522">
        <f t="shared" ca="1" si="15"/>
        <v>88.811479815185791</v>
      </c>
      <c r="I38" s="525">
        <f t="shared" ca="1" si="16"/>
        <v>11.402220855654646</v>
      </c>
      <c r="J38" s="519" t="str">
        <f ca="1">IF($C$21=1,VLOOKUP(I38,$J$17:$M$30,3),(IF($C$21=0,VLOOKUP(I38,$E$17:$H$30,3),VLOOKUP(I38,#REF!,3))))</f>
        <v>AA</v>
      </c>
      <c r="K38" s="523">
        <v>0.01</v>
      </c>
      <c r="L38" s="524">
        <f t="shared" si="17"/>
        <v>4.3720000000000002E-2</v>
      </c>
      <c r="M38" s="524">
        <f t="shared" ca="1" si="18"/>
        <v>0.22534235144895792</v>
      </c>
      <c r="N38" s="524">
        <f t="shared" ca="1" si="19"/>
        <v>3.3868032394651561E-2</v>
      </c>
      <c r="O38" s="537">
        <f t="shared" ca="1" si="20"/>
        <v>8.4673276526648952E-2</v>
      </c>
    </row>
    <row r="39" spans="2:16" ht="12" customHeight="1">
      <c r="B39" s="119">
        <v>0.14000000000000001</v>
      </c>
      <c r="C39" s="490">
        <f t="shared" ref="C39:C45" si="21">B39/(100%-B39)</f>
        <v>0.16279069767441862</v>
      </c>
      <c r="D39" s="521">
        <f t="shared" si="12"/>
        <v>1.0763401155331889</v>
      </c>
      <c r="E39" s="489">
        <f t="shared" si="13"/>
        <v>9.2808130924510707E-2</v>
      </c>
      <c r="F39" s="522">
        <f t="shared" ca="1" si="14"/>
        <v>2187.6288222475209</v>
      </c>
      <c r="G39" s="522">
        <f t="shared" si="11"/>
        <v>1012.648107370263</v>
      </c>
      <c r="H39" s="522">
        <f t="shared" ca="1" si="15"/>
        <v>95.643132108661618</v>
      </c>
      <c r="I39" s="525">
        <f t="shared" ca="1" si="16"/>
        <v>10.587776508822172</v>
      </c>
      <c r="J39" s="519" t="str">
        <f ca="1">IF($C$21=1,VLOOKUP(I39,$J$17:$M$30,3),(IF($C$21=0,VLOOKUP(I39,$E$17:$H$30,3),VLOOKUP(I39,#REF!,3))))</f>
        <v>AA</v>
      </c>
      <c r="K39" s="523">
        <v>0.01</v>
      </c>
      <c r="L39" s="524">
        <f t="shared" si="17"/>
        <v>4.3720000000000002E-2</v>
      </c>
      <c r="M39" s="524">
        <f t="shared" ca="1" si="18"/>
        <v>0.22534235144895792</v>
      </c>
      <c r="N39" s="524">
        <f t="shared" ca="1" si="19"/>
        <v>3.3868032394651561E-2</v>
      </c>
      <c r="O39" s="537">
        <f t="shared" ca="1" si="20"/>
        <v>8.4556517130330425E-2</v>
      </c>
      <c r="P39" s="207"/>
    </row>
    <row r="40" spans="2:16" ht="12" customHeight="1">
      <c r="B40" s="526">
        <v>0.15</v>
      </c>
      <c r="C40" s="527">
        <f t="shared" si="21"/>
        <v>0.17647058823529413</v>
      </c>
      <c r="D40" s="528">
        <f t="shared" si="12"/>
        <v>1.0864690155046268</v>
      </c>
      <c r="E40" s="529">
        <f t="shared" si="13"/>
        <v>9.3364179852722495E-2</v>
      </c>
      <c r="F40" s="530">
        <f t="shared" ca="1" si="14"/>
        <v>2343.8880238366296</v>
      </c>
      <c r="G40" s="530">
        <f t="shared" si="11"/>
        <v>1012.648107370263</v>
      </c>
      <c r="H40" s="530">
        <f t="shared" ca="1" si="15"/>
        <v>102.47478440213744</v>
      </c>
      <c r="I40" s="531">
        <f t="shared" ca="1" si="16"/>
        <v>9.8819247415673601</v>
      </c>
      <c r="J40" s="532" t="str">
        <f ca="1">IF($C$21=1,VLOOKUP(I40,$J$17:$M$30,3),(IF($C$21=0,VLOOKUP(I40,$E$17:$H$30,3),VLOOKUP(I40,#REF!,3))))</f>
        <v>AA</v>
      </c>
      <c r="K40" s="533">
        <v>0.01</v>
      </c>
      <c r="L40" s="534">
        <f t="shared" si="17"/>
        <v>4.3720000000000002E-2</v>
      </c>
      <c r="M40" s="534">
        <f t="shared" ca="1" si="18"/>
        <v>0.22534235144895792</v>
      </c>
      <c r="N40" s="534">
        <f t="shared" ca="1" si="19"/>
        <v>3.3868032394651561E-2</v>
      </c>
      <c r="O40" s="538">
        <f t="shared" ca="1" si="20"/>
        <v>8.4439757734011855E-2</v>
      </c>
      <c r="P40" s="207" t="s">
        <v>265</v>
      </c>
    </row>
    <row r="41" spans="2:16" ht="12" customHeight="1">
      <c r="B41" s="119">
        <v>0.16</v>
      </c>
      <c r="C41" s="490">
        <f t="shared" si="21"/>
        <v>0.19047619047619049</v>
      </c>
      <c r="D41" s="521">
        <f t="shared" si="12"/>
        <v>1.0968390797610994</v>
      </c>
      <c r="E41" s="489">
        <f t="shared" si="13"/>
        <v>9.3933468041129842E-2</v>
      </c>
      <c r="F41" s="522">
        <f t="shared" ca="1" si="14"/>
        <v>2500.1472254257383</v>
      </c>
      <c r="G41" s="522">
        <f t="shared" si="11"/>
        <v>1012.648107370263</v>
      </c>
      <c r="H41" s="522">
        <f t="shared" ca="1" si="15"/>
        <v>121.80717282274196</v>
      </c>
      <c r="I41" s="525">
        <f t="shared" ca="1" si="16"/>
        <v>8.3135342845852254</v>
      </c>
      <c r="J41" s="519" t="str">
        <f ca="1">IF($C$21=1,VLOOKUP(I41,$J$17:$M$30,3),(IF($C$21=0,VLOOKUP(I41,$E$17:$H$30,3),VLOOKUP(I41,#REF!,3))))</f>
        <v>A+</v>
      </c>
      <c r="K41" s="523">
        <v>1.4999999999999999E-2</v>
      </c>
      <c r="L41" s="524">
        <f t="shared" si="17"/>
        <v>4.8719999999999999E-2</v>
      </c>
      <c r="M41" s="524">
        <f t="shared" ca="1" si="18"/>
        <v>0.22534235144895792</v>
      </c>
      <c r="N41" s="524">
        <f t="shared" ca="1" si="19"/>
        <v>3.7741320637406775E-2</v>
      </c>
      <c r="O41" s="537">
        <f t="shared" ca="1" si="20"/>
        <v>8.4942724456534155E-2</v>
      </c>
    </row>
    <row r="42" spans="2:16" ht="12" customHeight="1">
      <c r="B42" s="119">
        <v>0.17</v>
      </c>
      <c r="C42" s="490">
        <f t="shared" si="21"/>
        <v>0.20481927710843376</v>
      </c>
      <c r="D42" s="521">
        <f t="shared" si="12"/>
        <v>1.1074590250839929</v>
      </c>
      <c r="E42" s="489">
        <f t="shared" si="13"/>
        <v>9.451647401720964E-2</v>
      </c>
      <c r="F42" s="522">
        <f t="shared" ca="1" si="14"/>
        <v>2656.4064270148469</v>
      </c>
      <c r="G42" s="522">
        <f t="shared" si="11"/>
        <v>1012.648107370263</v>
      </c>
      <c r="H42" s="522">
        <f t="shared" ca="1" si="15"/>
        <v>129.42012112416333</v>
      </c>
      <c r="I42" s="525">
        <f t="shared" ca="1" si="16"/>
        <v>7.8245028560802128</v>
      </c>
      <c r="J42" s="519" t="str">
        <f ca="1">IF($C$21=1,VLOOKUP(I42,$J$17:$M$30,3),(IF($C$21=0,VLOOKUP(I42,$E$17:$H$30,3),VLOOKUP(I42,#REF!,3))))</f>
        <v>A+</v>
      </c>
      <c r="K42" s="523">
        <v>1.4999999999999999E-2</v>
      </c>
      <c r="L42" s="524">
        <f t="shared" si="17"/>
        <v>4.8719999999999999E-2</v>
      </c>
      <c r="M42" s="524">
        <f t="shared" ca="1" si="18"/>
        <v>0.22534235144895792</v>
      </c>
      <c r="N42" s="524">
        <f t="shared" ca="1" si="19"/>
        <v>3.7741320637406775E-2</v>
      </c>
      <c r="O42" s="537">
        <f t="shared" ca="1" si="20"/>
        <v>8.4864697942643147E-2</v>
      </c>
    </row>
    <row r="43" spans="2:16" ht="12" customHeight="1">
      <c r="B43" s="119">
        <v>0.18</v>
      </c>
      <c r="C43" s="490">
        <f t="shared" si="21"/>
        <v>0.21951219512195119</v>
      </c>
      <c r="D43" s="521">
        <f t="shared" si="12"/>
        <v>1.118337993463542</v>
      </c>
      <c r="E43" s="489">
        <f t="shared" si="13"/>
        <v>9.5113699651242611E-2</v>
      </c>
      <c r="F43" s="522">
        <f t="shared" ca="1" si="14"/>
        <v>2812.6656286039552</v>
      </c>
      <c r="G43" s="522">
        <f t="shared" si="11"/>
        <v>1012.648107370263</v>
      </c>
      <c r="H43" s="522">
        <f t="shared" ca="1" si="15"/>
        <v>145.47106631139656</v>
      </c>
      <c r="I43" s="525">
        <f t="shared" ca="1" si="16"/>
        <v>6.9611650828390861</v>
      </c>
      <c r="J43" s="519" t="str">
        <f ca="1">IF($C$21=1,VLOOKUP(I43,$J$17:$M$30,3),(IF($C$21=0,VLOOKUP(I43,$E$17:$H$30,3),VLOOKUP(I43,#REF!,3))))</f>
        <v>A</v>
      </c>
      <c r="K43" s="523">
        <v>1.7999999999999999E-2</v>
      </c>
      <c r="L43" s="524">
        <f t="shared" si="17"/>
        <v>5.1720000000000002E-2</v>
      </c>
      <c r="M43" s="524">
        <f t="shared" ca="1" si="18"/>
        <v>0.22534235144895792</v>
      </c>
      <c r="N43" s="524">
        <f t="shared" ca="1" si="19"/>
        <v>4.0065293583059901E-2</v>
      </c>
      <c r="O43" s="537">
        <f t="shared" ca="1" si="20"/>
        <v>8.5204986558969728E-2</v>
      </c>
    </row>
    <row r="44" spans="2:16" ht="12" customHeight="1">
      <c r="B44" s="119">
        <v>0.19</v>
      </c>
      <c r="C44" s="490">
        <f t="shared" si="21"/>
        <v>0.23456790123456789</v>
      </c>
      <c r="D44" s="521">
        <f t="shared" si="12"/>
        <v>1.1294855783462903</v>
      </c>
      <c r="E44" s="489">
        <f t="shared" si="13"/>
        <v>9.5725671597227002E-2</v>
      </c>
      <c r="F44" s="522">
        <f t="shared" ca="1" si="14"/>
        <v>2968.9248301930643</v>
      </c>
      <c r="G44" s="522">
        <f t="shared" si="11"/>
        <v>1012.648107370263</v>
      </c>
      <c r="H44" s="522">
        <f t="shared" ca="1" si="15"/>
        <v>153.55279221758528</v>
      </c>
      <c r="I44" s="525">
        <f t="shared" ca="1" si="16"/>
        <v>6.5947879732159755</v>
      </c>
      <c r="J44" s="519" t="str">
        <f ca="1">IF($C$21=1,VLOOKUP(I44,$J$17:$M$30,3),(IF($C$21=0,VLOOKUP(I44,$E$17:$H$30,3),VLOOKUP(I44,#REF!,3))))</f>
        <v>A</v>
      </c>
      <c r="K44" s="523">
        <v>1.7999999999999999E-2</v>
      </c>
      <c r="L44" s="524">
        <f t="shared" si="17"/>
        <v>5.1720000000000002E-2</v>
      </c>
      <c r="M44" s="524">
        <f t="shared" ca="1" si="18"/>
        <v>0.22534235144895792</v>
      </c>
      <c r="N44" s="524">
        <f t="shared" ca="1" si="19"/>
        <v>4.0065293583059901E-2</v>
      </c>
      <c r="O44" s="537">
        <f t="shared" ca="1" si="20"/>
        <v>8.5150199774535265E-2</v>
      </c>
    </row>
    <row r="45" spans="2:16" ht="12" customHeight="1">
      <c r="B45" s="119">
        <v>0.2</v>
      </c>
      <c r="C45" s="490">
        <f t="shared" si="21"/>
        <v>0.25</v>
      </c>
      <c r="D45" s="521">
        <f t="shared" si="12"/>
        <v>1.1409118528511071</v>
      </c>
      <c r="E45" s="489">
        <f t="shared" si="13"/>
        <v>9.6352942841861008E-2</v>
      </c>
      <c r="F45" s="522">
        <f t="shared" ca="1" si="14"/>
        <v>3125.184031782173</v>
      </c>
      <c r="G45" s="522">
        <f t="shared" si="11"/>
        <v>1012.648107370263</v>
      </c>
      <c r="H45" s="522">
        <f t="shared" ca="1" si="15"/>
        <v>161.634518123774</v>
      </c>
      <c r="I45" s="525">
        <f t="shared" ca="1" si="16"/>
        <v>6.2650485745551761</v>
      </c>
      <c r="J45" s="519" t="str">
        <f ca="1">IF($C$21=1,VLOOKUP(I45,$J$17:$M$30,3),(IF($C$21=0,VLOOKUP(I45,$E$17:$H$30,3),VLOOKUP(I45,#REF!,3))))</f>
        <v>A</v>
      </c>
      <c r="K45" s="523">
        <v>1.7999999999999999E-2</v>
      </c>
      <c r="L45" s="524">
        <f t="shared" si="17"/>
        <v>5.1720000000000002E-2</v>
      </c>
      <c r="M45" s="524">
        <f t="shared" ca="1" si="18"/>
        <v>0.22534235144895792</v>
      </c>
      <c r="N45" s="524">
        <f t="shared" ca="1" si="19"/>
        <v>4.0065293583059901E-2</v>
      </c>
      <c r="O45" s="537">
        <f t="shared" ca="1" si="20"/>
        <v>8.5095412990100788E-2</v>
      </c>
    </row>
    <row r="46" spans="2:16" ht="12" customHeight="1">
      <c r="B46" s="119"/>
      <c r="C46" s="490"/>
    </row>
    <row r="47" spans="2:16" ht="12" customHeight="1">
      <c r="B47" s="119"/>
      <c r="C47" s="490"/>
    </row>
    <row r="48" spans="2:16" ht="12" customHeight="1">
      <c r="B48" s="119">
        <v>0.25</v>
      </c>
      <c r="C48" s="490">
        <f t="shared" ref="C48:C57" si="22">B48/(100%-B48)</f>
        <v>0.33333333333333331</v>
      </c>
      <c r="D48" s="521">
        <f t="shared" ref="D48:D57" si="23">$C$16*(1+(1-$C$15)*C48)</f>
        <v>1.2026137351771178</v>
      </c>
      <c r="E48" s="489">
        <f t="shared" ref="E48:E57" si="24">$C$17+($C$18*D48)</f>
        <v>9.9740207562884653E-2</v>
      </c>
      <c r="F48" s="522">
        <f ca="1">B48*$C$19</f>
        <v>3906.4800397277158</v>
      </c>
      <c r="G48" s="522">
        <f t="shared" ref="G48:G57" si="25">$C$20</f>
        <v>1012.648107370263</v>
      </c>
      <c r="H48" s="522">
        <f ca="1">F48*L48</f>
        <v>209.85610773417292</v>
      </c>
      <c r="I48" s="525">
        <f ca="1">G48/H48</f>
        <v>4.8254402423826317</v>
      </c>
      <c r="J48" s="519" t="str">
        <f ca="1">IF($C$21=1,VLOOKUP(I48,$J$17:$M$30,3),(IF($C$21=0,VLOOKUP(I48,$E$17:$H$30,3),VLOOKUP(I48,#REF!,3))))</f>
        <v>A-</v>
      </c>
      <c r="K48" s="523">
        <v>0.02</v>
      </c>
      <c r="L48" s="524">
        <f>$C$17+K48</f>
        <v>5.3720000000000004E-2</v>
      </c>
      <c r="M48" s="524">
        <f ca="1">IF(H48&lt;G48,$C$15,$C$15*(G48/H48))</f>
        <v>0.22534235144895792</v>
      </c>
      <c r="N48" s="524">
        <f ca="1">L48*(1-M48)</f>
        <v>4.1614608880161989E-2</v>
      </c>
      <c r="O48" s="537">
        <f ca="1">(E48*(100%-B48))+(N48*B48)</f>
        <v>8.5208807892203989E-2</v>
      </c>
    </row>
    <row r="49" spans="2:15" ht="12" customHeight="1">
      <c r="B49" s="119">
        <v>0.26</v>
      </c>
      <c r="C49" s="490">
        <f t="shared" si="22"/>
        <v>0.35135135135135137</v>
      </c>
      <c r="D49" s="521">
        <f t="shared" si="23"/>
        <v>1.2159546827070662</v>
      </c>
      <c r="E49" s="489">
        <f t="shared" si="24"/>
        <v>0.10047258912418706</v>
      </c>
      <c r="F49" s="522">
        <f ca="1">B49*$C$19</f>
        <v>4062.7392413168245</v>
      </c>
      <c r="G49" s="522">
        <f t="shared" si="25"/>
        <v>1012.648107370263</v>
      </c>
      <c r="H49" s="522">
        <f ca="1">F49*L49</f>
        <v>218.25035204353983</v>
      </c>
      <c r="I49" s="525">
        <f ca="1">G49/H49</f>
        <v>4.6398463869063766</v>
      </c>
      <c r="J49" s="519" t="str">
        <f ca="1">IF($C$21=1,VLOOKUP(I49,$J$17:$M$30,3),(IF($C$21=0,VLOOKUP(I49,$E$17:$H$30,3),VLOOKUP(I49,#REF!,3))))</f>
        <v>A-</v>
      </c>
      <c r="K49" s="523">
        <v>0.02</v>
      </c>
      <c r="L49" s="524">
        <f>$C$17+K49</f>
        <v>5.3720000000000004E-2</v>
      </c>
      <c r="M49" s="524">
        <f ca="1">IF(H49&lt;G49,$C$15,$C$15*(G49/H49))</f>
        <v>0.22534235144895792</v>
      </c>
      <c r="N49" s="524">
        <f ca="1">L49*(1-M49)</f>
        <v>4.1614608880161989E-2</v>
      </c>
      <c r="O49" s="537">
        <f ca="1">(E49*(100%-B49))+(N49*B49)</f>
        <v>8.5169514260740542E-2</v>
      </c>
    </row>
    <row r="50" spans="2:15" ht="12" customHeight="1">
      <c r="B50" s="119">
        <v>0.27</v>
      </c>
      <c r="C50" s="490">
        <f t="shared" si="22"/>
        <v>0.36986301369863017</v>
      </c>
      <c r="D50" s="521">
        <f t="shared" si="23"/>
        <v>1.2296611356487939</v>
      </c>
      <c r="E50" s="489">
        <f t="shared" si="24"/>
        <v>0.10122503593374434</v>
      </c>
      <c r="F50" s="522">
        <f t="shared" ref="F50:F57" ca="1" si="26">B50*$C$19</f>
        <v>4218.9984429059332</v>
      </c>
      <c r="G50" s="522">
        <f t="shared" si="25"/>
        <v>1012.648107370263</v>
      </c>
      <c r="H50" s="522">
        <f t="shared" ref="H50:H57" ca="1" si="27">F50*L50</f>
        <v>237.19209246017155</v>
      </c>
      <c r="I50" s="525">
        <f t="shared" ref="I50:I57" ca="1" si="28">G50/H50</f>
        <v>4.2693164720080343</v>
      </c>
      <c r="J50" s="519" t="str">
        <f ca="1">IF($C$21=1,VLOOKUP(I50,$J$17:$M$30,3),(IF($C$21=0,VLOOKUP(I50,$E$17:$H$30,3),VLOOKUP(I50,#REF!,3))))</f>
        <v>BBB</v>
      </c>
      <c r="K50" s="523">
        <v>2.2499999999999999E-2</v>
      </c>
      <c r="L50" s="524">
        <f t="shared" ref="L50:L57" si="29">$C$17+K50</f>
        <v>5.6219999999999999E-2</v>
      </c>
      <c r="M50" s="524">
        <f t="shared" ref="M50:M57" ca="1" si="30">IF(H50&lt;G50,$C$15,$C$15*(G50/H50))</f>
        <v>0.22534235144895792</v>
      </c>
      <c r="N50" s="524">
        <f t="shared" ref="N50:N57" ca="1" si="31">L50*(1-M50)</f>
        <v>4.3551253001539586E-2</v>
      </c>
      <c r="O50" s="537">
        <f t="shared" ref="O50:O57" ca="1" si="32">(E50*(100%-B50))+(N50*B50)</f>
        <v>8.5653114542049047E-2</v>
      </c>
    </row>
    <row r="51" spans="2:15" ht="12" customHeight="1">
      <c r="B51" s="119">
        <v>0.28000000000000003</v>
      </c>
      <c r="C51" s="490">
        <f t="shared" si="22"/>
        <v>0.38888888888888895</v>
      </c>
      <c r="D51" s="521">
        <f t="shared" si="23"/>
        <v>1.2437483233944584</v>
      </c>
      <c r="E51" s="489">
        <f t="shared" si="24"/>
        <v>0.10199838404356708</v>
      </c>
      <c r="F51" s="522">
        <f t="shared" ca="1" si="26"/>
        <v>4375.2576444950419</v>
      </c>
      <c r="G51" s="522">
        <f t="shared" si="25"/>
        <v>1012.648107370263</v>
      </c>
      <c r="H51" s="522">
        <f t="shared" ca="1" si="27"/>
        <v>245.97698477351125</v>
      </c>
      <c r="I51" s="525">
        <f t="shared" ca="1" si="28"/>
        <v>4.1168408837220323</v>
      </c>
      <c r="J51" s="519" t="str">
        <f ca="1">IF($C$21=1,VLOOKUP(I51,$J$17:$M$30,3),(IF($C$21=0,VLOOKUP(I51,$E$17:$H$30,3),VLOOKUP(I51,#REF!,3))))</f>
        <v>BBB</v>
      </c>
      <c r="K51" s="523">
        <v>2.2499999999999999E-2</v>
      </c>
      <c r="L51" s="524">
        <f t="shared" si="29"/>
        <v>5.6219999999999999E-2</v>
      </c>
      <c r="M51" s="524">
        <f t="shared" ca="1" si="30"/>
        <v>0.22534235144895792</v>
      </c>
      <c r="N51" s="524">
        <f t="shared" ca="1" si="31"/>
        <v>4.3551253001539586E-2</v>
      </c>
      <c r="O51" s="537">
        <f t="shared" ca="1" si="32"/>
        <v>8.5633187351799367E-2</v>
      </c>
    </row>
    <row r="52" spans="2:15" ht="12" customHeight="1">
      <c r="B52" s="119">
        <v>0.28999999999999998</v>
      </c>
      <c r="C52" s="490">
        <f t="shared" si="22"/>
        <v>0.40845070422535212</v>
      </c>
      <c r="D52" s="521">
        <f t="shared" si="23"/>
        <v>1.2582323333301415</v>
      </c>
      <c r="E52" s="489">
        <f t="shared" si="24"/>
        <v>0.10279351660718765</v>
      </c>
      <c r="F52" s="522">
        <f t="shared" ca="1" si="26"/>
        <v>4531.5168460841496</v>
      </c>
      <c r="G52" s="522">
        <f t="shared" si="25"/>
        <v>1012.648107370263</v>
      </c>
      <c r="H52" s="522">
        <f t="shared" ca="1" si="27"/>
        <v>254.76187708685089</v>
      </c>
      <c r="I52" s="525">
        <f t="shared" ca="1" si="28"/>
        <v>3.9748808532488598</v>
      </c>
      <c r="J52" s="519" t="str">
        <f ca="1">IF($C$21=1,VLOOKUP(I52,$J$17:$M$30,3),(IF($C$21=0,VLOOKUP(I52,$E$17:$H$30,3),VLOOKUP(I52,#REF!,3))))</f>
        <v>BBB</v>
      </c>
      <c r="K52" s="523">
        <v>2.2499999999999999E-2</v>
      </c>
      <c r="L52" s="524">
        <f t="shared" si="29"/>
        <v>5.6219999999999999E-2</v>
      </c>
      <c r="M52" s="524">
        <f t="shared" ca="1" si="30"/>
        <v>0.22534235144895792</v>
      </c>
      <c r="N52" s="524">
        <f t="shared" ca="1" si="31"/>
        <v>4.3551253001539586E-2</v>
      </c>
      <c r="O52" s="537">
        <f t="shared" ca="1" si="32"/>
        <v>8.5613260161549715E-2</v>
      </c>
    </row>
    <row r="53" spans="2:15" ht="12" customHeight="1">
      <c r="B53" s="119">
        <v>0.3</v>
      </c>
      <c r="C53" s="490">
        <f t="shared" si="22"/>
        <v>0.4285714285714286</v>
      </c>
      <c r="D53" s="521">
        <f t="shared" si="23"/>
        <v>1.2731301721211303</v>
      </c>
      <c r="E53" s="489">
        <f t="shared" si="24"/>
        <v>0.10361136724405454</v>
      </c>
      <c r="F53" s="522">
        <f t="shared" ca="1" si="26"/>
        <v>4687.7760476732592</v>
      </c>
      <c r="G53" s="522">
        <f t="shared" si="25"/>
        <v>1012.648107370263</v>
      </c>
      <c r="H53" s="522">
        <f t="shared" ca="1" si="27"/>
        <v>263.54676940019061</v>
      </c>
      <c r="I53" s="525">
        <f t="shared" ca="1" si="28"/>
        <v>3.8423848248072305</v>
      </c>
      <c r="J53" s="519" t="str">
        <f ca="1">IF($C$21=1,VLOOKUP(I53,$J$17:$M$30,3),(IF($C$21=0,VLOOKUP(I53,$E$17:$H$30,3),VLOOKUP(I53,#REF!,3))))</f>
        <v>BBB</v>
      </c>
      <c r="K53" s="523">
        <v>2.2499999999999999E-2</v>
      </c>
      <c r="L53" s="524">
        <f t="shared" si="29"/>
        <v>5.6219999999999999E-2</v>
      </c>
      <c r="M53" s="524">
        <f t="shared" ca="1" si="30"/>
        <v>0.22534235144895792</v>
      </c>
      <c r="N53" s="524">
        <f t="shared" ca="1" si="31"/>
        <v>4.3551253001539586E-2</v>
      </c>
      <c r="O53" s="537">
        <f t="shared" ca="1" si="32"/>
        <v>8.5593332971300048E-2</v>
      </c>
    </row>
    <row r="54" spans="2:15" ht="12" customHeight="1">
      <c r="B54" s="119">
        <v>0.31</v>
      </c>
      <c r="C54" s="490">
        <f t="shared" si="22"/>
        <v>0.44927536231884063</v>
      </c>
      <c r="D54" s="521">
        <f t="shared" si="23"/>
        <v>1.2884598323263503</v>
      </c>
      <c r="E54" s="489">
        <f t="shared" si="24"/>
        <v>0.10445292369648276</v>
      </c>
      <c r="F54" s="522">
        <f t="shared" ca="1" si="26"/>
        <v>4844.0352492623679</v>
      </c>
      <c r="G54" s="522">
        <f t="shared" si="25"/>
        <v>1012.648107370263</v>
      </c>
      <c r="H54" s="522">
        <f t="shared" ca="1" si="27"/>
        <v>272.33166171353031</v>
      </c>
      <c r="I54" s="525">
        <f t="shared" ca="1" si="28"/>
        <v>3.7184369272328035</v>
      </c>
      <c r="J54" s="519" t="str">
        <f ca="1">IF($C$21=1,VLOOKUP(I54,$J$17:$M$30,3),(IF($C$21=0,VLOOKUP(I54,$E$17:$H$30,3),VLOOKUP(I54,#REF!,3))))</f>
        <v>BBB</v>
      </c>
      <c r="K54" s="523">
        <v>2.2499999999999999E-2</v>
      </c>
      <c r="L54" s="524">
        <f t="shared" si="29"/>
        <v>5.6219999999999999E-2</v>
      </c>
      <c r="M54" s="524">
        <f t="shared" ca="1" si="30"/>
        <v>0.22534235144895792</v>
      </c>
      <c r="N54" s="524">
        <f t="shared" ca="1" si="31"/>
        <v>4.3551253001539586E-2</v>
      </c>
      <c r="O54" s="537">
        <f t="shared" ca="1" si="32"/>
        <v>8.5573405781050368E-2</v>
      </c>
    </row>
    <row r="55" spans="2:15" ht="12" customHeight="1">
      <c r="B55" s="119">
        <v>0.32</v>
      </c>
      <c r="C55" s="490">
        <f t="shared" si="22"/>
        <v>0.4705882352941177</v>
      </c>
      <c r="D55" s="521">
        <f t="shared" si="23"/>
        <v>1.3042403648905474</v>
      </c>
      <c r="E55" s="489">
        <f t="shared" si="24"/>
        <v>0.10531923180927653</v>
      </c>
      <c r="F55" s="522">
        <f t="shared" ca="1" si="26"/>
        <v>5000.2944508514765</v>
      </c>
      <c r="G55" s="522">
        <f t="shared" si="25"/>
        <v>1012.648107370263</v>
      </c>
      <c r="H55" s="522">
        <f t="shared" ca="1" si="27"/>
        <v>281.11655402687001</v>
      </c>
      <c r="I55" s="525">
        <f t="shared" ca="1" si="28"/>
        <v>3.6022357732567785</v>
      </c>
      <c r="J55" s="519" t="str">
        <f ca="1">IF($C$21=1,VLOOKUP(I55,$J$17:$M$30,3),(IF($C$21=0,VLOOKUP(I55,$E$17:$H$30,3),VLOOKUP(I55,#REF!,3))))</f>
        <v>BBB</v>
      </c>
      <c r="K55" s="523">
        <v>2.2499999999999999E-2</v>
      </c>
      <c r="L55" s="524">
        <f t="shared" si="29"/>
        <v>5.6219999999999999E-2</v>
      </c>
      <c r="M55" s="524">
        <f t="shared" ca="1" si="30"/>
        <v>0.22534235144895792</v>
      </c>
      <c r="N55" s="524">
        <f t="shared" ca="1" si="31"/>
        <v>4.3551253001539586E-2</v>
      </c>
      <c r="O55" s="537">
        <f t="shared" ca="1" si="32"/>
        <v>8.5553478590800716E-2</v>
      </c>
    </row>
    <row r="56" spans="2:15" ht="12" customHeight="1">
      <c r="B56" s="119">
        <v>0.33</v>
      </c>
      <c r="C56" s="490">
        <f t="shared" si="22"/>
        <v>0.49253731343283591</v>
      </c>
      <c r="D56" s="521">
        <f t="shared" si="23"/>
        <v>1.3204919581283028</v>
      </c>
      <c r="E56" s="489">
        <f t="shared" si="24"/>
        <v>0.10621139986573579</v>
      </c>
      <c r="F56" s="522">
        <f t="shared" ca="1" si="26"/>
        <v>5156.5536524405852</v>
      </c>
      <c r="G56" s="522">
        <f t="shared" si="25"/>
        <v>1012.648107370263</v>
      </c>
      <c r="H56" s="522">
        <f t="shared" ca="1" si="27"/>
        <v>586.40328135554341</v>
      </c>
      <c r="I56" s="525">
        <f t="shared" ca="1" si="28"/>
        <v>1.7268800151141757</v>
      </c>
      <c r="J56" s="519" t="str">
        <f ca="1">IF($C$21=1,VLOOKUP(I56,$J$17:$M$30,3),(IF($C$21=0,VLOOKUP(I56,$E$17:$H$30,3),VLOOKUP(I56,#REF!,3))))</f>
        <v>B-</v>
      </c>
      <c r="K56" s="523">
        <v>0.08</v>
      </c>
      <c r="L56" s="524">
        <f t="shared" si="29"/>
        <v>0.11372</v>
      </c>
      <c r="M56" s="524">
        <f t="shared" ca="1" si="30"/>
        <v>0.22534235144895792</v>
      </c>
      <c r="N56" s="524">
        <f t="shared" ca="1" si="31"/>
        <v>8.8094067793224512E-2</v>
      </c>
      <c r="O56" s="537">
        <f t="shared" ca="1" si="32"/>
        <v>0.10023268028180707</v>
      </c>
    </row>
    <row r="57" spans="2:15" ht="12" customHeight="1">
      <c r="B57" s="119">
        <v>0.34</v>
      </c>
      <c r="C57" s="490">
        <f t="shared" si="22"/>
        <v>0.51515151515151525</v>
      </c>
      <c r="D57" s="521">
        <f t="shared" si="23"/>
        <v>1.3372360238884142</v>
      </c>
      <c r="E57" s="489">
        <f t="shared" si="24"/>
        <v>0.10713060331784532</v>
      </c>
      <c r="F57" s="522">
        <f t="shared" ca="1" si="26"/>
        <v>5312.8128540296939</v>
      </c>
      <c r="G57" s="522">
        <f t="shared" si="25"/>
        <v>1012.648107370263</v>
      </c>
      <c r="H57" s="522">
        <f t="shared" ca="1" si="27"/>
        <v>604.17307776025677</v>
      </c>
      <c r="I57" s="525">
        <f t="shared" ca="1" si="28"/>
        <v>1.6760894264343471</v>
      </c>
      <c r="J57" s="519" t="str">
        <f ca="1">IF($C$21=1,VLOOKUP(I57,$J$17:$M$30,3),(IF($C$21=0,VLOOKUP(I57,$E$17:$H$30,3),VLOOKUP(I57,#REF!,3))))</f>
        <v>B-</v>
      </c>
      <c r="K57" s="523">
        <v>0.08</v>
      </c>
      <c r="L57" s="524">
        <f t="shared" si="29"/>
        <v>0.11372</v>
      </c>
      <c r="M57" s="524">
        <f t="shared" ca="1" si="30"/>
        <v>0.22534235144895792</v>
      </c>
      <c r="N57" s="524">
        <f t="shared" ca="1" si="31"/>
        <v>8.8094067793224512E-2</v>
      </c>
      <c r="O57" s="537">
        <f t="shared" ca="1" si="32"/>
        <v>0.10065818123947423</v>
      </c>
    </row>
    <row r="58" spans="2:15" ht="12" customHeight="1">
      <c r="B58" s="119"/>
      <c r="C58" s="490"/>
      <c r="D58" s="521"/>
      <c r="E58" s="489"/>
      <c r="F58" s="522"/>
      <c r="G58" s="522"/>
      <c r="H58" s="522"/>
      <c r="I58" s="525"/>
      <c r="J58" s="519"/>
      <c r="K58" s="523"/>
      <c r="L58" s="524"/>
      <c r="M58" s="524"/>
      <c r="N58" s="524"/>
      <c r="O58" s="537"/>
    </row>
  </sheetData>
  <mergeCells count="2">
    <mergeCell ref="E15:H15"/>
    <mergeCell ref="J15:M15"/>
  </mergeCells>
  <pageMargins left="0.7" right="0.7" top="0.75" bottom="0.75" header="0.3" footer="0.3"/>
  <pageSetup orientation="landscape"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2"/>
  <sheetViews>
    <sheetView workbookViewId="0"/>
  </sheetViews>
  <sheetFormatPr defaultRowHeight="12" customHeight="1"/>
  <cols>
    <col min="1" max="1" width="2" style="2" customWidth="1"/>
    <col min="2" max="2" width="18.5703125" style="2" customWidth="1"/>
    <col min="3" max="3" width="13.5703125" style="2" customWidth="1"/>
    <col min="4" max="4" width="11.28515625" style="2" customWidth="1"/>
    <col min="5" max="5" width="14.28515625" style="2" customWidth="1"/>
    <col min="6" max="6" width="17" style="2" customWidth="1"/>
    <col min="7" max="7" width="9.5703125" style="2" customWidth="1"/>
    <col min="8" max="8" width="14.42578125" style="2" customWidth="1"/>
    <col min="9" max="9" width="16" style="2" customWidth="1"/>
    <col min="10" max="10" width="23.85546875" style="2" customWidth="1"/>
    <col min="11" max="11" width="15.140625"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3" ht="16.5" customHeight="1">
      <c r="B1" s="15" t="s">
        <v>288</v>
      </c>
    </row>
    <row r="3" spans="1:13" ht="12" customHeight="1">
      <c r="B3" s="274" t="s">
        <v>238</v>
      </c>
      <c r="C3" s="505" t="s">
        <v>330</v>
      </c>
      <c r="D3" s="505" t="s">
        <v>264</v>
      </c>
      <c r="E3" s="505" t="s">
        <v>298</v>
      </c>
      <c r="F3" s="505" t="s">
        <v>289</v>
      </c>
      <c r="G3" s="516" t="s">
        <v>261</v>
      </c>
      <c r="H3" s="505" t="s">
        <v>292</v>
      </c>
      <c r="I3" s="505" t="s">
        <v>290</v>
      </c>
      <c r="J3" s="505" t="s">
        <v>301</v>
      </c>
      <c r="K3" s="22"/>
      <c r="L3" s="22"/>
    </row>
    <row r="4" spans="1:13" ht="12" customHeight="1">
      <c r="B4" s="520">
        <v>0</v>
      </c>
      <c r="C4" s="522">
        <f t="shared" ref="C4:C13" ca="1" si="0">B4*$C$19</f>
        <v>0</v>
      </c>
      <c r="D4" s="536">
        <f ca="1">'Optimal Cost of Capital'!M4</f>
        <v>0.22534235144895792</v>
      </c>
      <c r="E4" s="522">
        <f ca="1">$C$22</f>
        <v>15200.642098232307</v>
      </c>
      <c r="F4" s="370">
        <f ca="1">C4*D4</f>
        <v>0</v>
      </c>
      <c r="G4" s="518" t="str">
        <f>'Optimal Cost of Capital'!J4</f>
        <v>AAA</v>
      </c>
      <c r="H4" s="550">
        <f t="shared" ref="H4:H13" si="1">VLOOKUP(G4,$H$16:$I$29,2,)</f>
        <v>6.9999999999999999E-4</v>
      </c>
      <c r="I4" s="370">
        <f t="shared" ref="I4:I13" ca="1" si="2">H4*VLOOKUP($C$16,$E$16:$F$18,2,)*E4</f>
        <v>2.6601123671906537</v>
      </c>
      <c r="J4" s="370">
        <f ca="1">E4+F4-I4</f>
        <v>15197.981985865117</v>
      </c>
      <c r="M4" s="207"/>
    </row>
    <row r="5" spans="1:13" ht="12" customHeight="1">
      <c r="B5" s="119">
        <v>0.1</v>
      </c>
      <c r="C5" s="522">
        <f t="shared" ca="1" si="0"/>
        <v>1562.5920158910865</v>
      </c>
      <c r="D5" s="536">
        <f ca="1">'Optimal Cost of Capital'!M5</f>
        <v>0.22534235144895792</v>
      </c>
      <c r="E5" s="522">
        <f t="shared" ref="E5:E13" ca="1" si="3">$C$22</f>
        <v>15200.642098232307</v>
      </c>
      <c r="F5" s="370">
        <f t="shared" ref="F5:F13" ca="1" si="4">C5*D5</f>
        <v>352.11815921626487</v>
      </c>
      <c r="G5" s="518" t="str">
        <f ca="1">'Optimal Cost of Capital'!J5</f>
        <v>AAA</v>
      </c>
      <c r="H5" s="550">
        <f t="shared" ca="1" si="1"/>
        <v>6.9999999999999999E-4</v>
      </c>
      <c r="I5" s="370">
        <f t="shared" ca="1" si="2"/>
        <v>2.6601123671906537</v>
      </c>
      <c r="J5" s="370">
        <f ca="1">E5+F5-I5</f>
        <v>15550.100145081382</v>
      </c>
    </row>
    <row r="6" spans="1:13" ht="12" customHeight="1">
      <c r="B6" s="119">
        <v>0.2</v>
      </c>
      <c r="C6" s="522">
        <f t="shared" ca="1" si="0"/>
        <v>3125.184031782173</v>
      </c>
      <c r="D6" s="536">
        <f ca="1">'Optimal Cost of Capital'!M6</f>
        <v>0.22534235144895792</v>
      </c>
      <c r="E6" s="522">
        <f t="shared" ca="1" si="3"/>
        <v>15200.642098232307</v>
      </c>
      <c r="F6" s="370">
        <f t="shared" ca="1" si="4"/>
        <v>704.23631843252974</v>
      </c>
      <c r="G6" s="518" t="str">
        <f ca="1">'Optimal Cost of Capital'!J6</f>
        <v>A</v>
      </c>
      <c r="H6" s="550">
        <f t="shared" ca="1" si="1"/>
        <v>6.6E-3</v>
      </c>
      <c r="I6" s="370">
        <f t="shared" ca="1" si="2"/>
        <v>25.081059462083306</v>
      </c>
      <c r="J6" s="370">
        <f t="shared" ref="J6:J13" ca="1" si="5">E6+F6-I6</f>
        <v>15879.797357202753</v>
      </c>
    </row>
    <row r="7" spans="1:13" ht="12" customHeight="1">
      <c r="B7" s="526">
        <v>0.3</v>
      </c>
      <c r="C7" s="530">
        <f t="shared" ca="1" si="0"/>
        <v>4687.7760476732592</v>
      </c>
      <c r="D7" s="551">
        <f ca="1">'Optimal Cost of Capital'!M7</f>
        <v>0.22534235144895792</v>
      </c>
      <c r="E7" s="530">
        <f t="shared" ca="1" si="3"/>
        <v>15200.642098232307</v>
      </c>
      <c r="F7" s="552">
        <f t="shared" ca="1" si="4"/>
        <v>1056.3544776487945</v>
      </c>
      <c r="G7" s="553" t="str">
        <f ca="1">'Optimal Cost of Capital'!J7</f>
        <v>BBB</v>
      </c>
      <c r="H7" s="554">
        <f t="shared" ca="1" si="1"/>
        <v>7.5399999999999995E-2</v>
      </c>
      <c r="I7" s="552">
        <f t="shared" ca="1" si="2"/>
        <v>286.53210355167897</v>
      </c>
      <c r="J7" s="552">
        <f ca="1">E7+F7-I7</f>
        <v>15970.464472329422</v>
      </c>
      <c r="K7" s="207" t="s">
        <v>265</v>
      </c>
    </row>
    <row r="8" spans="1:13" ht="12" customHeight="1">
      <c r="B8" s="119">
        <v>0.4</v>
      </c>
      <c r="C8" s="522">
        <f t="shared" ca="1" si="0"/>
        <v>6250.3680635643459</v>
      </c>
      <c r="D8" s="536">
        <f ca="1">'Optimal Cost of Capital'!M8</f>
        <v>0.22534235144895792</v>
      </c>
      <c r="E8" s="522">
        <f t="shared" ca="1" si="3"/>
        <v>15200.642098232307</v>
      </c>
      <c r="F8" s="370">
        <f ca="1">C8*D8</f>
        <v>1408.4726368650595</v>
      </c>
      <c r="G8" s="518" t="str">
        <f ca="1">'Optimal Cost of Capital'!J8</f>
        <v>CC</v>
      </c>
      <c r="H8" s="550">
        <f t="shared" ca="1" si="1"/>
        <v>0.7</v>
      </c>
      <c r="I8" s="370">
        <f t="shared" ca="1" si="2"/>
        <v>2660.1123671906535</v>
      </c>
      <c r="J8" s="370">
        <f t="shared" ca="1" si="5"/>
        <v>13949.002367906713</v>
      </c>
    </row>
    <row r="9" spans="1:13" ht="12" customHeight="1">
      <c r="B9" s="119">
        <v>0.5</v>
      </c>
      <c r="C9" s="522">
        <f t="shared" ca="1" si="0"/>
        <v>7812.9600794554317</v>
      </c>
      <c r="D9" s="536">
        <f ca="1">'Optimal Cost of Capital'!M9</f>
        <v>0.19638865471842298</v>
      </c>
      <c r="E9" s="522">
        <f t="shared" ca="1" si="3"/>
        <v>15200.642098232307</v>
      </c>
      <c r="F9" s="370">
        <f ca="1">C9*D9</f>
        <v>1534.3767193729955</v>
      </c>
      <c r="G9" s="518" t="str">
        <f ca="1">'Optimal Cost of Capital'!J9</f>
        <v>CC</v>
      </c>
      <c r="H9" s="550">
        <f t="shared" ca="1" si="1"/>
        <v>0.7</v>
      </c>
      <c r="I9" s="370">
        <f t="shared" ca="1" si="2"/>
        <v>2660.1123671906535</v>
      </c>
      <c r="J9" s="370">
        <f t="shared" ca="1" si="5"/>
        <v>14074.906450414648</v>
      </c>
    </row>
    <row r="10" spans="1:13" ht="12" customHeight="1">
      <c r="A10" s="3"/>
      <c r="B10" s="119">
        <v>0.6</v>
      </c>
      <c r="C10" s="522">
        <f t="shared" ca="1" si="0"/>
        <v>9375.5520953465184</v>
      </c>
      <c r="D10" s="536">
        <f ca="1">'Optimal Cost of Capital'!M10</f>
        <v>0.15143790821368358</v>
      </c>
      <c r="E10" s="522">
        <f t="shared" ca="1" si="3"/>
        <v>15200.642098232307</v>
      </c>
      <c r="F10" s="370">
        <f t="shared" ca="1" si="4"/>
        <v>1419.8139976676948</v>
      </c>
      <c r="G10" s="518" t="str">
        <f ca="1">'Optimal Cost of Capital'!J10</f>
        <v>C</v>
      </c>
      <c r="H10" s="550">
        <f t="shared" ca="1" si="1"/>
        <v>0.85</v>
      </c>
      <c r="I10" s="370">
        <f t="shared" ca="1" si="2"/>
        <v>3230.1364458743651</v>
      </c>
      <c r="J10" s="370">
        <f t="shared" ca="1" si="5"/>
        <v>13390.319650025636</v>
      </c>
    </row>
    <row r="11" spans="1:13" ht="12" customHeight="1">
      <c r="A11" s="3"/>
      <c r="B11" s="119">
        <v>0.7</v>
      </c>
      <c r="C11" s="522">
        <f t="shared" ca="1" si="0"/>
        <v>10938.144111237603</v>
      </c>
      <c r="D11" s="536">
        <f ca="1">'Optimal Cost of Capital'!M11</f>
        <v>0.12980392132601451</v>
      </c>
      <c r="E11" s="522">
        <f t="shared" ca="1" si="3"/>
        <v>15200.642098232307</v>
      </c>
      <c r="F11" s="370">
        <f t="shared" ca="1" si="4"/>
        <v>1419.8139976676948</v>
      </c>
      <c r="G11" s="518" t="str">
        <f ca="1">'Optimal Cost of Capital'!J11</f>
        <v>C</v>
      </c>
      <c r="H11" s="550">
        <f t="shared" ca="1" si="1"/>
        <v>0.85</v>
      </c>
      <c r="I11" s="370">
        <f t="shared" ca="1" si="2"/>
        <v>3230.1364458743651</v>
      </c>
      <c r="J11" s="370">
        <f t="shared" ca="1" si="5"/>
        <v>13390.319650025636</v>
      </c>
    </row>
    <row r="12" spans="1:13" ht="12" customHeight="1">
      <c r="A12" s="3"/>
      <c r="B12" s="119">
        <v>0.8</v>
      </c>
      <c r="C12" s="522">
        <f t="shared" ca="1" si="0"/>
        <v>12500.736127128692</v>
      </c>
      <c r="D12" s="536">
        <f ca="1">'Optimal Cost of Capital'!M12</f>
        <v>0.11357843116026266</v>
      </c>
      <c r="E12" s="522">
        <f t="shared" ca="1" si="3"/>
        <v>15200.642098232307</v>
      </c>
      <c r="F12" s="370">
        <f t="shared" ca="1" si="4"/>
        <v>1419.8139976676946</v>
      </c>
      <c r="G12" s="518" t="str">
        <f ca="1">'Optimal Cost of Capital'!J12</f>
        <v>C</v>
      </c>
      <c r="H12" s="550">
        <f t="shared" ca="1" si="1"/>
        <v>0.85</v>
      </c>
      <c r="I12" s="370">
        <f t="shared" ca="1" si="2"/>
        <v>3230.1364458743651</v>
      </c>
      <c r="J12" s="370">
        <f t="shared" ca="1" si="5"/>
        <v>13390.319650025636</v>
      </c>
      <c r="K12" s="24"/>
      <c r="L12" s="24"/>
    </row>
    <row r="13" spans="1:13" ht="12" customHeight="1">
      <c r="A13" s="3"/>
      <c r="B13" s="119">
        <v>0.9</v>
      </c>
      <c r="C13" s="522">
        <f t="shared" ca="1" si="0"/>
        <v>14063.328143019777</v>
      </c>
      <c r="D13" s="536">
        <f ca="1">'Optimal Cost of Capital'!M13</f>
        <v>9.340356362001391E-2</v>
      </c>
      <c r="E13" s="522">
        <f t="shared" ca="1" si="3"/>
        <v>15200.642098232307</v>
      </c>
      <c r="F13" s="370">
        <f t="shared" ca="1" si="4"/>
        <v>1313.5649649156799</v>
      </c>
      <c r="G13" s="518" t="str">
        <f ca="1">'Optimal Cost of Capital'!J13</f>
        <v>D</v>
      </c>
      <c r="H13" s="550">
        <f t="shared" ca="1" si="1"/>
        <v>1</v>
      </c>
      <c r="I13" s="370">
        <f t="shared" ca="1" si="2"/>
        <v>3800.1605245580768</v>
      </c>
      <c r="J13" s="370">
        <f t="shared" ca="1" si="5"/>
        <v>12714.046538589912</v>
      </c>
    </row>
    <row r="14" spans="1:13" s="22" customFormat="1" ht="12" customHeight="1">
      <c r="A14" s="21"/>
      <c r="K14" s="2"/>
      <c r="L14" s="2"/>
    </row>
    <row r="15" spans="1:13" ht="12" customHeight="1">
      <c r="B15" s="598" t="s">
        <v>302</v>
      </c>
      <c r="C15" s="517" t="str">
        <f>'Cost of Equity, Debt &amp; WACC'!C14</f>
        <v>AA</v>
      </c>
      <c r="D15" s="3"/>
      <c r="E15" s="210"/>
      <c r="F15" s="211" t="s">
        <v>296</v>
      </c>
      <c r="H15" s="210" t="s">
        <v>243</v>
      </c>
      <c r="I15" s="211" t="s">
        <v>292</v>
      </c>
    </row>
    <row r="16" spans="1:13" ht="12" customHeight="1">
      <c r="B16" s="598" t="s">
        <v>300</v>
      </c>
      <c r="C16" s="517" t="s">
        <v>294</v>
      </c>
      <c r="D16" s="3"/>
      <c r="E16" s="210" t="s">
        <v>293</v>
      </c>
      <c r="F16" s="212">
        <v>0.4</v>
      </c>
      <c r="H16" s="210" t="s">
        <v>241</v>
      </c>
      <c r="I16" s="212">
        <v>1</v>
      </c>
    </row>
    <row r="17" spans="1:12" ht="12" customHeight="1">
      <c r="B17" s="206" t="s">
        <v>299</v>
      </c>
      <c r="C17" s="170"/>
      <c r="D17" s="3"/>
      <c r="E17" s="210" t="s">
        <v>294</v>
      </c>
      <c r="F17" s="212">
        <v>0.25</v>
      </c>
      <c r="H17" s="210" t="s">
        <v>29</v>
      </c>
      <c r="I17" s="212">
        <v>0.85</v>
      </c>
    </row>
    <row r="18" spans="1:12" ht="12" customHeight="1">
      <c r="D18" s="25"/>
      <c r="E18" s="210" t="s">
        <v>295</v>
      </c>
      <c r="F18" s="212">
        <v>0.1</v>
      </c>
      <c r="G18" s="90"/>
      <c r="H18" s="210" t="s">
        <v>250</v>
      </c>
      <c r="I18" s="212">
        <v>0.7</v>
      </c>
    </row>
    <row r="19" spans="1:12" ht="12" customHeight="1">
      <c r="A19" s="3"/>
      <c r="B19" s="598" t="s">
        <v>262</v>
      </c>
      <c r="C19" s="388">
        <f ca="1">'Bottom Up Beta'!C13+'Bottom Up Beta'!C14</f>
        <v>15625.920158910863</v>
      </c>
      <c r="D19" s="25"/>
      <c r="E19" s="203"/>
      <c r="F19" s="203"/>
      <c r="G19" s="205"/>
      <c r="H19" s="210" t="s">
        <v>251</v>
      </c>
      <c r="I19" s="212">
        <v>0.59009999999999996</v>
      </c>
      <c r="K19" s="3"/>
      <c r="L19" s="3"/>
    </row>
    <row r="20" spans="1:12" ht="12" customHeight="1">
      <c r="A20" s="6" t="s">
        <v>32</v>
      </c>
      <c r="B20" s="598" t="s">
        <v>289</v>
      </c>
      <c r="C20" s="388">
        <f ca="1">-'Bottom Up Beta'!C14*C24</f>
        <v>-445.20110888116665</v>
      </c>
      <c r="D20" s="25"/>
      <c r="E20" s="203"/>
      <c r="F20" s="203"/>
      <c r="G20" s="204"/>
      <c r="H20" s="210" t="s">
        <v>252</v>
      </c>
      <c r="I20" s="212">
        <v>0.45</v>
      </c>
      <c r="K20" s="3"/>
      <c r="L20" s="3"/>
    </row>
    <row r="21" spans="1:12" ht="12" customHeight="1">
      <c r="A21" s="120" t="s">
        <v>42</v>
      </c>
      <c r="B21" s="598" t="s">
        <v>291</v>
      </c>
      <c r="C21" s="388">
        <f ca="1">VLOOKUP($C$16,$E$16:$F$18,2,)*C19*VLOOKUP($C$15,$H$16:$I$29,2,)</f>
        <v>19.923048202611351</v>
      </c>
      <c r="G21" s="55"/>
      <c r="H21" s="210" t="s">
        <v>253</v>
      </c>
      <c r="I21" s="212">
        <v>0.36799999999999999</v>
      </c>
    </row>
    <row r="22" spans="1:12" ht="12" customHeight="1">
      <c r="A22" s="120"/>
      <c r="B22" s="597" t="s">
        <v>297</v>
      </c>
      <c r="C22" s="373">
        <f ca="1">C19+C20+C21</f>
        <v>15200.642098232307</v>
      </c>
      <c r="D22" s="25"/>
      <c r="G22" s="202"/>
      <c r="H22" s="210" t="s">
        <v>254</v>
      </c>
      <c r="I22" s="212">
        <v>0.25</v>
      </c>
      <c r="K22" s="219"/>
      <c r="L22" s="219"/>
    </row>
    <row r="23" spans="1:12" s="24" customFormat="1" ht="12" customHeight="1">
      <c r="A23" s="121"/>
      <c r="B23" s="2"/>
      <c r="C23" s="2"/>
      <c r="D23" s="25"/>
      <c r="E23" s="2"/>
      <c r="F23" s="2"/>
      <c r="G23" s="205"/>
      <c r="H23" s="210" t="s">
        <v>255</v>
      </c>
      <c r="I23" s="212">
        <v>0.1663</v>
      </c>
      <c r="K23" s="215"/>
      <c r="L23" s="215"/>
    </row>
    <row r="24" spans="1:12" ht="12" customHeight="1">
      <c r="A24" s="24"/>
      <c r="B24" s="225" t="s">
        <v>213</v>
      </c>
      <c r="C24" s="226">
        <f>'Risk Free Rate &amp; ERP'!H15</f>
        <v>0.22534235144895792</v>
      </c>
      <c r="D24" s="169"/>
      <c r="E24" s="11"/>
      <c r="G24" s="204"/>
      <c r="H24" s="210" t="s">
        <v>249</v>
      </c>
      <c r="I24" s="212">
        <v>7.5399999999999995E-2</v>
      </c>
      <c r="K24" s="215"/>
      <c r="L24" s="215"/>
    </row>
    <row r="25" spans="1:12" ht="12" customHeight="1">
      <c r="E25" s="7"/>
      <c r="G25" s="55"/>
      <c r="H25" s="210" t="s">
        <v>248</v>
      </c>
      <c r="I25" s="212">
        <v>2.5000000000000001E-2</v>
      </c>
      <c r="K25" s="11"/>
      <c r="L25" s="11"/>
    </row>
    <row r="26" spans="1:12" ht="12" customHeight="1">
      <c r="D26" s="28"/>
      <c r="E26" s="11"/>
      <c r="G26" s="202"/>
      <c r="H26" s="210" t="s">
        <v>256</v>
      </c>
      <c r="I26" s="212">
        <v>6.6E-3</v>
      </c>
      <c r="K26" s="11"/>
      <c r="L26" s="11"/>
    </row>
    <row r="27" spans="1:12" ht="12" customHeight="1">
      <c r="C27" s="12"/>
      <c r="D27" s="3"/>
      <c r="G27" s="25"/>
      <c r="H27" s="210" t="s">
        <v>257</v>
      </c>
      <c r="I27" s="212">
        <v>6.0000000000000001E-3</v>
      </c>
    </row>
    <row r="28" spans="1:12" ht="12" customHeight="1">
      <c r="D28" s="3"/>
      <c r="E28" s="14"/>
      <c r="G28" s="5"/>
      <c r="H28" s="210" t="s">
        <v>258</v>
      </c>
      <c r="I28" s="212">
        <v>5.1000000000000004E-3</v>
      </c>
    </row>
    <row r="29" spans="1:12" ht="12" customHeight="1">
      <c r="B29" s="218"/>
      <c r="C29" s="218"/>
      <c r="D29" s="3"/>
      <c r="G29" s="5"/>
      <c r="H29" s="210" t="s">
        <v>161</v>
      </c>
      <c r="I29" s="212">
        <v>6.9999999999999999E-4</v>
      </c>
    </row>
    <row r="30" spans="1:12" ht="12" customHeight="1">
      <c r="B30" s="221"/>
      <c r="C30" s="103"/>
      <c r="D30" s="3"/>
      <c r="I30" s="3"/>
      <c r="J30" s="3"/>
    </row>
    <row r="31" spans="1:12" ht="12" customHeight="1">
      <c r="B31" s="214"/>
      <c r="C31" s="103"/>
      <c r="I31" s="3"/>
      <c r="J31" s="3"/>
    </row>
    <row r="32" spans="1:12" ht="12" customHeight="1">
      <c r="B32" s="274" t="s">
        <v>238</v>
      </c>
      <c r="C32" s="505" t="s">
        <v>330</v>
      </c>
      <c r="D32" s="505" t="s">
        <v>264</v>
      </c>
      <c r="E32" s="505" t="s">
        <v>298</v>
      </c>
      <c r="F32" s="505" t="s">
        <v>289</v>
      </c>
      <c r="G32" s="516" t="s">
        <v>261</v>
      </c>
      <c r="H32" s="505" t="s">
        <v>292</v>
      </c>
      <c r="I32" s="505" t="s">
        <v>290</v>
      </c>
      <c r="J32" s="505" t="s">
        <v>301</v>
      </c>
    </row>
    <row r="33" spans="2:15" ht="12" customHeight="1">
      <c r="B33" s="119">
        <v>0.25</v>
      </c>
      <c r="C33" s="522">
        <f t="shared" ref="C33:C42" ca="1" si="6">B33*$C$19</f>
        <v>3906.4800397277158</v>
      </c>
      <c r="D33" s="536">
        <f ca="1">'Optimal Cost of Capital'!M35</f>
        <v>0.22534235144895792</v>
      </c>
      <c r="E33" s="522">
        <f t="shared" ref="E33:E42" ca="1" si="7">$C$22</f>
        <v>15200.642098232307</v>
      </c>
      <c r="F33" s="370">
        <f t="shared" ref="F33:F42" ca="1" si="8">C33*D33</f>
        <v>880.29539804066201</v>
      </c>
      <c r="G33" s="518" t="str">
        <f ca="1">'Optimal Cost of Capital'!J48</f>
        <v>A-</v>
      </c>
      <c r="H33" s="550">
        <f t="shared" ref="H33:H42" ca="1" si="9">VLOOKUP(G33,$H$16:$I$29,2,)</f>
        <v>2.5000000000000001E-2</v>
      </c>
      <c r="I33" s="370">
        <f t="shared" ref="I33:I42" ca="1" si="10">H33*VLOOKUP($C$16,$E$16:$F$18,2,)*E33</f>
        <v>95.004013113951927</v>
      </c>
      <c r="J33" s="370">
        <f t="shared" ref="J33:J42" ca="1" si="11">E33+F33-I33</f>
        <v>15985.933483159017</v>
      </c>
      <c r="M33" s="219"/>
    </row>
    <row r="34" spans="2:15" ht="12" customHeight="1">
      <c r="B34" s="119">
        <v>0.26</v>
      </c>
      <c r="C34" s="522">
        <f t="shared" ca="1" si="6"/>
        <v>4062.7392413168245</v>
      </c>
      <c r="D34" s="536">
        <f ca="1">'Optimal Cost of Capital'!M36</f>
        <v>0.22534235144895792</v>
      </c>
      <c r="E34" s="522">
        <f t="shared" ca="1" si="7"/>
        <v>15200.642098232307</v>
      </c>
      <c r="F34" s="370">
        <f t="shared" ca="1" si="8"/>
        <v>915.50721396228857</v>
      </c>
      <c r="G34" s="518" t="str">
        <f ca="1">'Optimal Cost of Capital'!J49</f>
        <v>A-</v>
      </c>
      <c r="H34" s="550">
        <f t="shared" ca="1" si="9"/>
        <v>2.5000000000000001E-2</v>
      </c>
      <c r="I34" s="370">
        <f t="shared" ca="1" si="10"/>
        <v>95.004013113951927</v>
      </c>
      <c r="J34" s="370">
        <f t="shared" ca="1" si="11"/>
        <v>16021.145299080643</v>
      </c>
      <c r="M34" s="215"/>
      <c r="N34" s="219"/>
      <c r="O34" s="219"/>
    </row>
    <row r="35" spans="2:15" ht="12" customHeight="1">
      <c r="B35" s="119">
        <v>0.27</v>
      </c>
      <c r="C35" s="522">
        <f t="shared" ca="1" si="6"/>
        <v>4218.9984429059332</v>
      </c>
      <c r="D35" s="536">
        <f ca="1">'Optimal Cost of Capital'!M37</f>
        <v>0.22534235144895792</v>
      </c>
      <c r="E35" s="522">
        <f t="shared" ca="1" si="7"/>
        <v>15200.642098232307</v>
      </c>
      <c r="F35" s="370">
        <f t="shared" ca="1" si="8"/>
        <v>950.71902988391503</v>
      </c>
      <c r="G35" s="518" t="str">
        <f ca="1">'Optimal Cost of Capital'!J50</f>
        <v>BBB</v>
      </c>
      <c r="H35" s="550">
        <f t="shared" ca="1" si="9"/>
        <v>7.5399999999999995E-2</v>
      </c>
      <c r="I35" s="370">
        <f t="shared" ca="1" si="10"/>
        <v>286.53210355167897</v>
      </c>
      <c r="J35" s="370">
        <f t="shared" ca="1" si="11"/>
        <v>15864.829024564544</v>
      </c>
      <c r="M35" s="215"/>
      <c r="N35" s="215"/>
      <c r="O35" s="216"/>
    </row>
    <row r="36" spans="2:15" ht="12" customHeight="1">
      <c r="B36" s="119">
        <v>0.28000000000000003</v>
      </c>
      <c r="C36" s="522">
        <f t="shared" ca="1" si="6"/>
        <v>4375.2576444950419</v>
      </c>
      <c r="D36" s="536">
        <f ca="1">'Optimal Cost of Capital'!M38</f>
        <v>0.22534235144895792</v>
      </c>
      <c r="E36" s="522">
        <f t="shared" ca="1" si="7"/>
        <v>15200.642098232307</v>
      </c>
      <c r="F36" s="370">
        <f t="shared" ca="1" si="8"/>
        <v>985.93084580554148</v>
      </c>
      <c r="G36" s="518" t="str">
        <f ca="1">'Optimal Cost of Capital'!J51</f>
        <v>BBB</v>
      </c>
      <c r="H36" s="550">
        <f t="shared" ca="1" si="9"/>
        <v>7.5399999999999995E-2</v>
      </c>
      <c r="I36" s="370">
        <f t="shared" ca="1" si="10"/>
        <v>286.53210355167897</v>
      </c>
      <c r="J36" s="370">
        <f t="shared" ca="1" si="11"/>
        <v>15900.04084048617</v>
      </c>
      <c r="N36" s="215"/>
      <c r="O36" s="223"/>
    </row>
    <row r="37" spans="2:15" ht="12" customHeight="1">
      <c r="B37" s="119">
        <v>0.28999999999999998</v>
      </c>
      <c r="C37" s="522">
        <f t="shared" ca="1" si="6"/>
        <v>4531.5168460841496</v>
      </c>
      <c r="D37" s="536">
        <f ca="1">'Optimal Cost of Capital'!M39</f>
        <v>0.22534235144895792</v>
      </c>
      <c r="E37" s="522">
        <f t="shared" ca="1" si="7"/>
        <v>15200.642098232307</v>
      </c>
      <c r="F37" s="370">
        <f t="shared" ca="1" si="8"/>
        <v>1021.1426617271678</v>
      </c>
      <c r="G37" s="518" t="str">
        <f ca="1">'Optimal Cost of Capital'!J52</f>
        <v>BBB</v>
      </c>
      <c r="H37" s="550">
        <f t="shared" ca="1" si="9"/>
        <v>7.5399999999999995E-2</v>
      </c>
      <c r="I37" s="370">
        <f t="shared" ca="1" si="10"/>
        <v>286.53210355167897</v>
      </c>
      <c r="J37" s="370">
        <f t="shared" ca="1" si="11"/>
        <v>15935.252656407796</v>
      </c>
      <c r="M37" s="215"/>
    </row>
    <row r="38" spans="2:15" ht="12" customHeight="1">
      <c r="B38" s="119">
        <v>0.3</v>
      </c>
      <c r="C38" s="522">
        <f t="shared" ca="1" si="6"/>
        <v>4687.7760476732592</v>
      </c>
      <c r="D38" s="536">
        <f ca="1">'Optimal Cost of Capital'!M40</f>
        <v>0.22534235144895792</v>
      </c>
      <c r="E38" s="522">
        <f t="shared" ca="1" si="7"/>
        <v>15200.642098232307</v>
      </c>
      <c r="F38" s="370">
        <f t="shared" ca="1" si="8"/>
        <v>1056.3544776487945</v>
      </c>
      <c r="G38" s="518" t="str">
        <f ca="1">'Optimal Cost of Capital'!J53</f>
        <v>BBB</v>
      </c>
      <c r="H38" s="550">
        <f t="shared" ca="1" si="9"/>
        <v>7.5399999999999995E-2</v>
      </c>
      <c r="I38" s="370">
        <f t="shared" ca="1" si="10"/>
        <v>286.53210355167897</v>
      </c>
      <c r="J38" s="370">
        <f t="shared" ca="1" si="11"/>
        <v>15970.464472329422</v>
      </c>
      <c r="N38" s="11"/>
      <c r="O38" s="223"/>
    </row>
    <row r="39" spans="2:15" ht="12" customHeight="1">
      <c r="B39" s="119">
        <v>0.31</v>
      </c>
      <c r="C39" s="522">
        <f t="shared" ca="1" si="6"/>
        <v>4844.0352492623679</v>
      </c>
      <c r="D39" s="536">
        <f ca="1">'Optimal Cost of Capital'!M41</f>
        <v>0.22534235144895792</v>
      </c>
      <c r="E39" s="522">
        <f t="shared" ca="1" si="7"/>
        <v>15200.642098232307</v>
      </c>
      <c r="F39" s="370">
        <f t="shared" ca="1" si="8"/>
        <v>1091.5662935704211</v>
      </c>
      <c r="G39" s="518" t="str">
        <f ca="1">'Optimal Cost of Capital'!J54</f>
        <v>BBB</v>
      </c>
      <c r="H39" s="550">
        <f t="shared" ca="1" si="9"/>
        <v>7.5399999999999995E-2</v>
      </c>
      <c r="I39" s="370">
        <f t="shared" ca="1" si="10"/>
        <v>286.53210355167897</v>
      </c>
      <c r="J39" s="370">
        <f t="shared" ca="1" si="11"/>
        <v>16005.676288251048</v>
      </c>
    </row>
    <row r="40" spans="2:15" ht="12" customHeight="1">
      <c r="B40" s="526">
        <v>0.32</v>
      </c>
      <c r="C40" s="530">
        <f t="shared" ca="1" si="6"/>
        <v>5000.2944508514765</v>
      </c>
      <c r="D40" s="551">
        <f ca="1">'Optimal Cost of Capital'!M42</f>
        <v>0.22534235144895792</v>
      </c>
      <c r="E40" s="530">
        <f t="shared" ca="1" si="7"/>
        <v>15200.642098232307</v>
      </c>
      <c r="F40" s="552">
        <f t="shared" ca="1" si="8"/>
        <v>1126.7781094920474</v>
      </c>
      <c r="G40" s="553" t="str">
        <f ca="1">'Optimal Cost of Capital'!J55</f>
        <v>BBB</v>
      </c>
      <c r="H40" s="554">
        <f t="shared" ca="1" si="9"/>
        <v>7.5399999999999995E-2</v>
      </c>
      <c r="I40" s="552">
        <f t="shared" ca="1" si="10"/>
        <v>286.53210355167897</v>
      </c>
      <c r="J40" s="552">
        <f t="shared" ca="1" si="11"/>
        <v>16040.888104172675</v>
      </c>
      <c r="K40" s="207" t="s">
        <v>265</v>
      </c>
    </row>
    <row r="41" spans="2:15" ht="12" customHeight="1">
      <c r="B41" s="119">
        <v>0.33</v>
      </c>
      <c r="C41" s="522">
        <f t="shared" ca="1" si="6"/>
        <v>5156.5536524405852</v>
      </c>
      <c r="D41" s="536">
        <f ca="1">'Optimal Cost of Capital'!M43</f>
        <v>0.22534235144895792</v>
      </c>
      <c r="E41" s="522">
        <f t="shared" ca="1" si="7"/>
        <v>15200.642098232307</v>
      </c>
      <c r="F41" s="370">
        <f t="shared" ca="1" si="8"/>
        <v>1161.989925413674</v>
      </c>
      <c r="G41" s="518" t="str">
        <f ca="1">'Optimal Cost of Capital'!J56</f>
        <v>B-</v>
      </c>
      <c r="H41" s="550">
        <f t="shared" ca="1" si="9"/>
        <v>0.45</v>
      </c>
      <c r="I41" s="370">
        <f t="shared" ca="1" si="10"/>
        <v>1710.0722360511345</v>
      </c>
      <c r="J41" s="370">
        <f t="shared" ca="1" si="11"/>
        <v>14652.559787594848</v>
      </c>
    </row>
    <row r="42" spans="2:15" ht="12" customHeight="1">
      <c r="B42" s="119">
        <v>0.34</v>
      </c>
      <c r="C42" s="522">
        <f t="shared" ca="1" si="6"/>
        <v>5312.8128540296939</v>
      </c>
      <c r="D42" s="536">
        <f ca="1">'Optimal Cost of Capital'!M44</f>
        <v>0.22534235144895792</v>
      </c>
      <c r="E42" s="522">
        <f t="shared" ca="1" si="7"/>
        <v>15200.642098232307</v>
      </c>
      <c r="F42" s="370">
        <f t="shared" ca="1" si="8"/>
        <v>1197.2017413353005</v>
      </c>
      <c r="G42" s="518" t="str">
        <f ca="1">'Optimal Cost of Capital'!J57</f>
        <v>B-</v>
      </c>
      <c r="H42" s="550">
        <f t="shared" ca="1" si="9"/>
        <v>0.45</v>
      </c>
      <c r="I42" s="370">
        <f t="shared" ca="1" si="10"/>
        <v>1710.0722360511345</v>
      </c>
      <c r="J42" s="370">
        <f t="shared" ca="1" si="11"/>
        <v>14687.77160351647</v>
      </c>
    </row>
  </sheetData>
  <pageMargins left="0.7" right="0.7" top="0.75" bottom="0.75" header="0.3" footer="0.3"/>
  <pageSetup orientation="landscape"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331</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6"/>
  <sheetViews>
    <sheetView workbookViewId="0"/>
  </sheetViews>
  <sheetFormatPr defaultRowHeight="12" customHeight="1"/>
  <cols>
    <col min="1" max="1" width="2" style="2" customWidth="1"/>
    <col min="2" max="2" width="21.5703125" style="2" customWidth="1"/>
    <col min="3" max="7" width="11.7109375" style="2" customWidth="1"/>
    <col min="8" max="8" width="12.140625" style="2" customWidth="1"/>
    <col min="9" max="9" width="25.140625" style="2" customWidth="1"/>
    <col min="10" max="10" width="11" style="2" customWidth="1"/>
    <col min="11" max="11" width="10.28515625" style="2" customWidth="1"/>
    <col min="12" max="12" width="12.28515625" style="2" customWidth="1"/>
    <col min="13" max="13" width="11.5703125" style="2" customWidth="1"/>
    <col min="14" max="14" width="11.85546875" style="2" customWidth="1"/>
    <col min="15" max="16" width="9.140625" style="2"/>
    <col min="17" max="17" width="11.5703125" style="2" customWidth="1"/>
    <col min="18" max="18" width="12.7109375" style="2" customWidth="1"/>
    <col min="19" max="19" width="10.140625" style="2" bestFit="1" customWidth="1"/>
    <col min="20" max="16384" width="9.140625" style="2"/>
  </cols>
  <sheetData>
    <row r="1" spans="1:14" ht="16.5" customHeight="1">
      <c r="B1" s="15" t="s">
        <v>333</v>
      </c>
    </row>
    <row r="3" spans="1:14" ht="12" customHeight="1">
      <c r="B3" s="253" t="s">
        <v>998</v>
      </c>
      <c r="C3" s="456">
        <v>1</v>
      </c>
      <c r="D3" s="456">
        <v>2</v>
      </c>
      <c r="E3" s="456"/>
      <c r="F3" s="456">
        <v>3</v>
      </c>
      <c r="G3" s="456">
        <v>3</v>
      </c>
    </row>
    <row r="4" spans="1:14" ht="12" customHeight="1" thickBot="1">
      <c r="B4" s="360" t="str">
        <f>Drivers!$C$5&amp;" in mil"</f>
        <v>$ in mil</v>
      </c>
      <c r="C4" s="426">
        <v>43101</v>
      </c>
      <c r="D4" s="426">
        <f>EDATE(C4,12)</f>
        <v>43466</v>
      </c>
      <c r="E4" s="426">
        <f t="shared" ref="E4:G4" si="0">EDATE(D4,12)</f>
        <v>43831</v>
      </c>
      <c r="F4" s="426">
        <f t="shared" si="0"/>
        <v>44197</v>
      </c>
      <c r="G4" s="426">
        <f t="shared" si="0"/>
        <v>44562</v>
      </c>
    </row>
    <row r="5" spans="1:14" ht="12" customHeight="1">
      <c r="B5" s="603" t="s">
        <v>332</v>
      </c>
      <c r="C5" s="604">
        <v>0</v>
      </c>
      <c r="D5" s="604">
        <v>0</v>
      </c>
      <c r="E5" s="604">
        <v>0</v>
      </c>
      <c r="F5" s="604">
        <v>0</v>
      </c>
      <c r="G5" s="604">
        <v>0</v>
      </c>
    </row>
    <row r="6" spans="1:14" ht="12" customHeight="1">
      <c r="B6" s="605" t="s">
        <v>996</v>
      </c>
      <c r="C6" s="604">
        <f>-'Cash Flow Statement'!C43</f>
        <v>134.64699999999999</v>
      </c>
      <c r="D6" s="604">
        <f>-'Cash Flow Statement'!D43</f>
        <v>176.98500000000001</v>
      </c>
      <c r="E6" s="604">
        <f>-'Cash Flow Statement'!E43</f>
        <v>268.65300000000002</v>
      </c>
      <c r="F6" s="604">
        <f>-'Cash Flow Statement'!F43</f>
        <v>302.774</v>
      </c>
      <c r="G6" s="604">
        <f>-'Cash Flow Statement'!G43</f>
        <v>425.72699999999998</v>
      </c>
      <c r="H6" s="3"/>
    </row>
    <row r="7" spans="1:14" ht="12" customHeight="1">
      <c r="B7" s="606" t="s">
        <v>997</v>
      </c>
      <c r="C7" s="403">
        <f>SUM(C5:C6)</f>
        <v>134.64699999999999</v>
      </c>
      <c r="D7" s="403">
        <f t="shared" ref="D7:F7" si="1">SUM(D5:D6)</f>
        <v>176.98500000000001</v>
      </c>
      <c r="E7" s="403">
        <f t="shared" si="1"/>
        <v>268.65300000000002</v>
      </c>
      <c r="F7" s="403">
        <f t="shared" si="1"/>
        <v>302.774</v>
      </c>
      <c r="G7" s="403">
        <f>SUM(G5:G6)</f>
        <v>425.72699999999998</v>
      </c>
      <c r="H7" s="3"/>
      <c r="I7" s="612" t="s">
        <v>342</v>
      </c>
      <c r="J7" s="612"/>
    </row>
    <row r="8" spans="1:14" ht="12" customHeight="1">
      <c r="B8" s="601"/>
      <c r="C8" s="602"/>
      <c r="D8" s="602"/>
      <c r="E8" s="103"/>
      <c r="F8" s="203"/>
      <c r="G8" s="402">
        <f>SUM(C7:G7)</f>
        <v>1308.7860000000001</v>
      </c>
      <c r="I8" s="614" t="s">
        <v>341</v>
      </c>
      <c r="J8" s="36">
        <f>'Expected Growth Rate'!C9</f>
        <v>0.62601809144260756</v>
      </c>
      <c r="K8" s="3"/>
    </row>
    <row r="9" spans="1:14" ht="12" customHeight="1">
      <c r="H9" s="220"/>
      <c r="I9" s="614" t="s">
        <v>6</v>
      </c>
      <c r="J9" s="36">
        <f ca="1">'Cost of Equity, Debt &amp; WACC'!C29</f>
        <v>8.5695473237532085E-2</v>
      </c>
      <c r="K9" s="3"/>
    </row>
    <row r="10" spans="1:14" ht="12" customHeight="1">
      <c r="A10" s="3"/>
      <c r="B10" s="253" t="s">
        <v>999</v>
      </c>
      <c r="C10" s="456">
        <v>1</v>
      </c>
      <c r="D10" s="456">
        <v>2</v>
      </c>
      <c r="E10" s="456"/>
      <c r="F10" s="456">
        <v>3</v>
      </c>
      <c r="G10" s="456">
        <v>3</v>
      </c>
      <c r="H10" s="222"/>
      <c r="I10" s="613" t="s">
        <v>343</v>
      </c>
      <c r="J10" s="235" t="str">
        <f ca="1">IF(J8&gt;J9,"Yes","No")</f>
        <v>Yes</v>
      </c>
    </row>
    <row r="11" spans="1:14" ht="12" customHeight="1" thickBot="1">
      <c r="A11" s="3"/>
      <c r="B11" s="360" t="str">
        <f>Drivers!$C$5&amp;" in mil"</f>
        <v>$ in mil</v>
      </c>
      <c r="C11" s="426">
        <v>43466</v>
      </c>
      <c r="D11" s="426">
        <f>EDATE(C11,12)</f>
        <v>43831</v>
      </c>
      <c r="E11" s="426">
        <f t="shared" ref="E11:F11" si="2">EDATE(D11,12)</f>
        <v>44197</v>
      </c>
      <c r="F11" s="426">
        <f t="shared" si="2"/>
        <v>44562</v>
      </c>
      <c r="G11" s="607" t="s">
        <v>334</v>
      </c>
      <c r="K11" s="219"/>
      <c r="L11" s="219"/>
      <c r="M11" s="219"/>
    </row>
    <row r="12" spans="1:14" ht="12" customHeight="1">
      <c r="B12" s="603" t="s">
        <v>335</v>
      </c>
      <c r="C12" s="371">
        <f>'Income Statement'!D23</f>
        <v>95.894000000000091</v>
      </c>
      <c r="D12" s="371">
        <f>'Income Statement'!E23</f>
        <v>349.24600000000009</v>
      </c>
      <c r="E12" s="371">
        <f>'Income Statement'!F23</f>
        <v>493.50700000000023</v>
      </c>
      <c r="F12" s="371">
        <f>'Income Statement'!G23</f>
        <v>-694.28800000000001</v>
      </c>
      <c r="G12" s="371">
        <f>SUM(C12:F12)</f>
        <v>244.35900000000038</v>
      </c>
      <c r="K12" s="215"/>
      <c r="L12" s="215"/>
      <c r="M12" s="216"/>
    </row>
    <row r="13" spans="1:14" ht="12" customHeight="1">
      <c r="B13" s="605"/>
      <c r="C13" s="604"/>
      <c r="D13" s="604"/>
      <c r="E13" s="604"/>
      <c r="F13" s="604"/>
      <c r="G13" s="604"/>
      <c r="M13" s="223"/>
    </row>
    <row r="14" spans="1:14" s="22" customFormat="1" ht="12" customHeight="1">
      <c r="B14" s="603" t="s">
        <v>336</v>
      </c>
      <c r="C14" s="371">
        <f>Reinvestment!G5</f>
        <v>15.277999999999999</v>
      </c>
      <c r="D14" s="371">
        <f>Reinvestment!H5</f>
        <v>7.11</v>
      </c>
      <c r="E14" s="371">
        <f>Reinvestment!I5</f>
        <v>28.17</v>
      </c>
      <c r="F14" s="371">
        <f>Reinvestment!J5</f>
        <v>30.743000000000002</v>
      </c>
      <c r="G14" s="371">
        <f>SUM(C14:F14)</f>
        <v>81.301000000000002</v>
      </c>
      <c r="H14" s="2"/>
      <c r="K14" s="2"/>
      <c r="L14" s="2"/>
      <c r="M14" s="2"/>
      <c r="N14" s="2"/>
    </row>
    <row r="15" spans="1:14" ht="12" customHeight="1">
      <c r="B15" s="603" t="s">
        <v>167</v>
      </c>
      <c r="C15" s="371">
        <f>Reinvestment!G6</f>
        <v>48.030999999999999</v>
      </c>
      <c r="D15" s="371">
        <f>Reinvestment!H6</f>
        <v>58.189</v>
      </c>
      <c r="E15" s="371">
        <f>Reinvestment!I6</f>
        <v>74.266999999999996</v>
      </c>
      <c r="F15" s="371">
        <f>Reinvestment!J6</f>
        <v>96.701999999999998</v>
      </c>
      <c r="G15" s="371">
        <f>SUM(C15:F15)</f>
        <v>277.18899999999996</v>
      </c>
      <c r="M15" s="223"/>
    </row>
    <row r="16" spans="1:14" ht="12" customHeight="1">
      <c r="A16" s="6" t="s">
        <v>32</v>
      </c>
      <c r="B16" s="608" t="s">
        <v>44</v>
      </c>
      <c r="C16" s="609">
        <f>C14-C15</f>
        <v>-32.753</v>
      </c>
      <c r="D16" s="609">
        <f>D14-D15</f>
        <v>-51.079000000000001</v>
      </c>
      <c r="E16" s="609">
        <f>E14-E15</f>
        <v>-46.096999999999994</v>
      </c>
      <c r="F16" s="609">
        <f>F14-F15</f>
        <v>-65.959000000000003</v>
      </c>
      <c r="G16" s="372">
        <f>SUM(C16:F16)</f>
        <v>-195.88799999999998</v>
      </c>
    </row>
    <row r="17" spans="1:15" ht="12" customHeight="1">
      <c r="C17" s="472"/>
      <c r="D17" s="472"/>
      <c r="E17" s="472"/>
      <c r="F17" s="472"/>
      <c r="G17" s="472"/>
    </row>
    <row r="18" spans="1:15" ht="12" customHeight="1">
      <c r="A18" s="2" t="s">
        <v>32</v>
      </c>
      <c r="B18" s="608" t="s">
        <v>337</v>
      </c>
      <c r="C18" s="372">
        <f>Reinvestment!G25</f>
        <v>-24.290999999999997</v>
      </c>
      <c r="D18" s="372">
        <f>Reinvestment!H25</f>
        <v>-144.09700000000004</v>
      </c>
      <c r="E18" s="372">
        <f>Reinvestment!I25</f>
        <v>-35.716999999999899</v>
      </c>
      <c r="F18" s="372">
        <f>Reinvestment!J25</f>
        <v>-28.691000000000031</v>
      </c>
      <c r="G18" s="372">
        <f>SUM(C18:F18)</f>
        <v>-232.79599999999996</v>
      </c>
    </row>
    <row r="19" spans="1:15" ht="12" customHeight="1">
      <c r="C19" s="472"/>
      <c r="D19" s="472"/>
      <c r="E19" s="472"/>
      <c r="F19" s="472"/>
      <c r="G19" s="472"/>
    </row>
    <row r="20" spans="1:15" ht="12" customHeight="1">
      <c r="A20" s="24"/>
      <c r="B20" s="603" t="s">
        <v>338</v>
      </c>
      <c r="C20" s="371">
        <f>'FCFF &amp; FCFE'!G6</f>
        <v>-98.917000000000002</v>
      </c>
      <c r="D20" s="371">
        <f>'FCFF &amp; FCFE'!H6</f>
        <v>-231.595</v>
      </c>
      <c r="E20" s="371">
        <f>'FCFF &amp; FCFE'!I6</f>
        <v>-151.06399999999999</v>
      </c>
      <c r="F20" s="371">
        <f>'FCFF &amp; FCFE'!J6</f>
        <v>-6.3760000000000003</v>
      </c>
      <c r="G20" s="371">
        <f>SUM(C20:F20)</f>
        <v>-487.952</v>
      </c>
    </row>
    <row r="21" spans="1:15" ht="12" customHeight="1">
      <c r="A21" s="6"/>
      <c r="B21" s="603" t="s">
        <v>55</v>
      </c>
      <c r="C21" s="371">
        <f>'FCFF &amp; FCFE'!G5</f>
        <v>650</v>
      </c>
      <c r="D21" s="371">
        <f>'FCFF &amp; FCFE'!H5</f>
        <v>650</v>
      </c>
      <c r="E21" s="371">
        <f>'FCFF &amp; FCFE'!I5</f>
        <v>1000</v>
      </c>
      <c r="F21" s="371">
        <f>'FCFF &amp; FCFE'!J5</f>
        <v>0</v>
      </c>
      <c r="G21" s="371">
        <f>SUM(C21:F21)</f>
        <v>2300</v>
      </c>
    </row>
    <row r="22" spans="1:15" ht="12" customHeight="1">
      <c r="A22" s="24" t="s">
        <v>42</v>
      </c>
      <c r="B22" s="608" t="s">
        <v>325</v>
      </c>
      <c r="C22" s="372">
        <f t="shared" ref="C22:E22" si="3">C21+C20</f>
        <v>551.08299999999997</v>
      </c>
      <c r="D22" s="372">
        <f t="shared" si="3"/>
        <v>418.40499999999997</v>
      </c>
      <c r="E22" s="372">
        <f t="shared" si="3"/>
        <v>848.93600000000004</v>
      </c>
      <c r="F22" s="372">
        <f>F21+F20</f>
        <v>-6.3760000000000003</v>
      </c>
      <c r="G22" s="372">
        <f>SUM(C22:F22)</f>
        <v>1812.048</v>
      </c>
    </row>
    <row r="23" spans="1:15" s="24" customFormat="1" ht="12" customHeight="1">
      <c r="B23" s="2"/>
      <c r="C23" s="472"/>
      <c r="D23" s="472"/>
      <c r="E23" s="472"/>
      <c r="F23" s="472"/>
      <c r="G23" s="472"/>
      <c r="H23" s="2"/>
      <c r="I23" s="2"/>
      <c r="J23" s="2"/>
      <c r="K23" s="2"/>
      <c r="L23" s="2"/>
      <c r="M23" s="2"/>
      <c r="N23" s="2"/>
      <c r="O23" s="2"/>
    </row>
    <row r="24" spans="1:15" ht="12" customHeight="1">
      <c r="B24" s="606" t="s">
        <v>339</v>
      </c>
      <c r="C24" s="403">
        <f>C12-C16-C18+C22</f>
        <v>704.02100000000007</v>
      </c>
      <c r="D24" s="403">
        <f>D12-D16-D18+D22</f>
        <v>962.82700000000011</v>
      </c>
      <c r="E24" s="403">
        <f>E12-E16-E18+E22</f>
        <v>1424.2570000000001</v>
      </c>
      <c r="F24" s="403">
        <f>F12-F16-F18+F22</f>
        <v>-606.0139999999999</v>
      </c>
      <c r="G24" s="403">
        <f>SUM(C24:F24)</f>
        <v>2485.0910000000003</v>
      </c>
    </row>
    <row r="26" spans="1:15" ht="12" customHeight="1">
      <c r="A26" s="353"/>
      <c r="B26" s="610" t="s">
        <v>340</v>
      </c>
      <c r="C26" s="611">
        <f>G8/G24</f>
        <v>0.52665516071644858</v>
      </c>
    </row>
  </sheetData>
  <pageMargins left="0.7" right="0.7" top="0.75" bottom="0.75" header="0.3" footer="0.3"/>
  <pageSetup orientation="landscape"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29" t="s">
        <v>948</v>
      </c>
    </row>
    <row r="3" spans="2:2">
      <c r="B3" s="83"/>
    </row>
    <row r="4" spans="2:2">
      <c r="B4" s="83"/>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K29"/>
  <sheetViews>
    <sheetView workbookViewId="0"/>
  </sheetViews>
  <sheetFormatPr defaultColWidth="9.140625" defaultRowHeight="12.95" customHeight="1"/>
  <cols>
    <col min="1" max="1" width="2" style="237" customWidth="1"/>
    <col min="2" max="2" width="35.140625" style="237" customWidth="1"/>
    <col min="3" max="13" width="11.7109375" style="237" customWidth="1"/>
    <col min="14" max="16384" width="9.140625" style="237"/>
  </cols>
  <sheetData>
    <row r="1" spans="2:7" ht="16.5" customHeight="1">
      <c r="B1" s="236" t="s">
        <v>827</v>
      </c>
    </row>
    <row r="3" spans="2:7" ht="12.95" customHeight="1">
      <c r="B3" s="253" t="s">
        <v>827</v>
      </c>
      <c r="C3" s="253"/>
      <c r="D3" s="253"/>
      <c r="E3" s="253"/>
      <c r="F3" s="253"/>
      <c r="G3" s="253"/>
    </row>
    <row r="4" spans="2:7" ht="12.95" customHeight="1" thickBot="1">
      <c r="B4" s="360" t="str">
        <f>Drivers!$C$5&amp;" in mil"</f>
        <v>$ in mil</v>
      </c>
      <c r="C4" s="426">
        <v>43101</v>
      </c>
      <c r="D4" s="426">
        <f>EDATE(C4,12)</f>
        <v>43466</v>
      </c>
      <c r="E4" s="426">
        <f t="shared" ref="E4:G4" si="0">EDATE(D4,12)</f>
        <v>43831</v>
      </c>
      <c r="F4" s="426">
        <f t="shared" si="0"/>
        <v>44197</v>
      </c>
      <c r="G4" s="426">
        <f t="shared" si="0"/>
        <v>44562</v>
      </c>
    </row>
    <row r="5" spans="2:7" ht="12.95" customHeight="1">
      <c r="B5" s="557" t="s">
        <v>894</v>
      </c>
      <c r="C5" s="570">
        <v>603.69299999999998</v>
      </c>
      <c r="D5" s="570">
        <v>818.37900000000002</v>
      </c>
      <c r="E5" s="570">
        <v>1725.625</v>
      </c>
      <c r="F5" s="570">
        <v>2329.114</v>
      </c>
      <c r="G5" s="570">
        <v>2566.1109999999999</v>
      </c>
    </row>
    <row r="6" spans="2:7" ht="12.95" customHeight="1">
      <c r="B6" s="557" t="s">
        <v>895</v>
      </c>
      <c r="C6" s="570">
        <v>-190.762</v>
      </c>
      <c r="D6" s="570">
        <v>-271.036</v>
      </c>
      <c r="E6" s="570">
        <v>-464.745</v>
      </c>
      <c r="F6" s="570">
        <v>-654.51199999999994</v>
      </c>
      <c r="G6" s="570">
        <v>-744.59199999999998</v>
      </c>
    </row>
    <row r="7" spans="2:7" ht="12.95" customHeight="1">
      <c r="B7" s="560" t="s">
        <v>896</v>
      </c>
      <c r="C7" s="561">
        <f>SUM(C5:C6)</f>
        <v>412.93099999999998</v>
      </c>
      <c r="D7" s="561">
        <f>SUM(D5:D6)</f>
        <v>547.34300000000007</v>
      </c>
      <c r="E7" s="561">
        <f>SUM(E5:E6)</f>
        <v>1260.8800000000001</v>
      </c>
      <c r="F7" s="561">
        <f t="shared" ref="F7:G7" si="1">SUM(F5:F6)</f>
        <v>1674.6020000000001</v>
      </c>
      <c r="G7" s="561">
        <f t="shared" si="1"/>
        <v>1821.5189999999998</v>
      </c>
    </row>
    <row r="8" spans="2:7" ht="12.95" customHeight="1">
      <c r="B8" s="557" t="s">
        <v>897</v>
      </c>
      <c r="C8" s="558"/>
      <c r="D8" s="558"/>
      <c r="E8" s="558"/>
      <c r="F8" s="558"/>
      <c r="G8" s="558"/>
    </row>
    <row r="9" spans="2:7" ht="12.95" customHeight="1">
      <c r="B9" s="562" t="s">
        <v>900</v>
      </c>
      <c r="C9" s="570">
        <v>-97.248999999999995</v>
      </c>
      <c r="D9" s="570">
        <v>-121.878</v>
      </c>
      <c r="E9" s="570">
        <v>-180.08</v>
      </c>
      <c r="F9" s="570">
        <v>-271.53500000000003</v>
      </c>
      <c r="G9" s="570">
        <v>-412.39800000000002</v>
      </c>
    </row>
    <row r="10" spans="2:7" ht="12.95" customHeight="1">
      <c r="B10" s="562" t="s">
        <v>899</v>
      </c>
      <c r="C10" s="570">
        <v>-158.01300000000001</v>
      </c>
      <c r="D10" s="570">
        <v>-215.57</v>
      </c>
      <c r="E10" s="570">
        <v>-500.75599999999997</v>
      </c>
      <c r="F10" s="570">
        <v>-654.80399999999997</v>
      </c>
      <c r="G10" s="570">
        <v>-710.399</v>
      </c>
    </row>
    <row r="11" spans="2:7" ht="12.95" customHeight="1">
      <c r="B11" s="562" t="s">
        <v>901</v>
      </c>
      <c r="C11" s="570">
        <v>-82.882999999999996</v>
      </c>
      <c r="D11" s="570">
        <v>-121.134</v>
      </c>
      <c r="E11" s="570">
        <v>-156.035</v>
      </c>
      <c r="F11" s="570">
        <v>-282.53100000000001</v>
      </c>
      <c r="G11" s="570">
        <v>-312.26</v>
      </c>
    </row>
    <row r="12" spans="2:7" ht="12.95" customHeight="1">
      <c r="B12" s="565" t="s">
        <v>902</v>
      </c>
      <c r="C12" s="571">
        <v>0</v>
      </c>
      <c r="D12" s="571">
        <v>0</v>
      </c>
      <c r="E12" s="571">
        <v>0</v>
      </c>
      <c r="F12" s="571">
        <v>0</v>
      </c>
      <c r="G12" s="571">
        <v>-1045.0219999999999</v>
      </c>
    </row>
    <row r="13" spans="2:7" ht="12.95" customHeight="1">
      <c r="B13" s="572" t="s">
        <v>903</v>
      </c>
      <c r="C13" s="564">
        <f>SUM(C9:C12)</f>
        <v>-338.14499999999998</v>
      </c>
      <c r="D13" s="564">
        <f>SUM(D9:D12)</f>
        <v>-458.58199999999999</v>
      </c>
      <c r="E13" s="564">
        <f>SUM(E9:E12)</f>
        <v>-836.87099999999998</v>
      </c>
      <c r="F13" s="564">
        <f t="shared" ref="F13:G13" si="2">SUM(F9:F12)</f>
        <v>-1208.8699999999999</v>
      </c>
      <c r="G13" s="564">
        <f t="shared" si="2"/>
        <v>-2480.0789999999997</v>
      </c>
    </row>
    <row r="14" spans="2:7" ht="12.95" customHeight="1">
      <c r="B14" s="560" t="s">
        <v>863</v>
      </c>
      <c r="C14" s="561">
        <f>C7+C13</f>
        <v>74.786000000000001</v>
      </c>
      <c r="D14" s="561">
        <f>D7+D13</f>
        <v>88.761000000000081</v>
      </c>
      <c r="E14" s="561">
        <f>E7+E13</f>
        <v>424.00900000000013</v>
      </c>
      <c r="F14" s="561">
        <f t="shared" ref="F14:G14" si="3">F7+F13</f>
        <v>465.7320000000002</v>
      </c>
      <c r="G14" s="561">
        <f t="shared" si="3"/>
        <v>-658.56</v>
      </c>
    </row>
    <row r="15" spans="2:7" ht="12.95" customHeight="1">
      <c r="B15" s="557" t="s">
        <v>904</v>
      </c>
      <c r="C15" s="557"/>
      <c r="D15" s="557"/>
      <c r="E15" s="558"/>
      <c r="F15" s="558"/>
      <c r="G15" s="558"/>
    </row>
    <row r="16" spans="2:7" ht="12.95" customHeight="1">
      <c r="B16" s="562" t="s">
        <v>905</v>
      </c>
      <c r="C16" s="570">
        <v>0</v>
      </c>
      <c r="D16" s="570">
        <v>0</v>
      </c>
      <c r="E16" s="570">
        <v>-16.855</v>
      </c>
      <c r="F16" s="570">
        <v>0</v>
      </c>
      <c r="G16" s="570">
        <v>0</v>
      </c>
    </row>
    <row r="17" spans="2:11" ht="12.95" customHeight="1">
      <c r="B17" s="562" t="s">
        <v>906</v>
      </c>
      <c r="C17" s="570">
        <v>-22.178000000000001</v>
      </c>
      <c r="D17" s="570">
        <v>-24.32</v>
      </c>
      <c r="E17" s="570">
        <v>-42.024999999999999</v>
      </c>
      <c r="F17" s="570">
        <v>-9.8849999999999998</v>
      </c>
      <c r="G17" s="570">
        <v>-14.167999999999999</v>
      </c>
    </row>
    <row r="18" spans="2:11" ht="12.95" customHeight="1">
      <c r="B18" s="562" t="s">
        <v>907</v>
      </c>
      <c r="C18" s="570">
        <v>8.9570000000000007</v>
      </c>
      <c r="D18" s="570">
        <v>13.199</v>
      </c>
      <c r="E18" s="570">
        <v>7.1020000000000003</v>
      </c>
      <c r="F18" s="570">
        <v>2.137</v>
      </c>
      <c r="G18" s="570">
        <v>10.956</v>
      </c>
    </row>
    <row r="19" spans="2:11" ht="12.95" customHeight="1">
      <c r="B19" s="562" t="s">
        <v>908</v>
      </c>
      <c r="C19" s="570">
        <v>-6.4870000000000001</v>
      </c>
      <c r="D19" s="570">
        <v>3.0059999999999998</v>
      </c>
      <c r="E19" s="570">
        <v>-6.5220000000000002</v>
      </c>
      <c r="F19" s="570">
        <v>13.67</v>
      </c>
      <c r="G19" s="570">
        <v>-0.20599999999999999</v>
      </c>
    </row>
    <row r="20" spans="2:11" ht="12.95" customHeight="1">
      <c r="B20" s="563" t="s">
        <v>909</v>
      </c>
      <c r="C20" s="564">
        <f>SUM(C16:C19)</f>
        <v>-19.707999999999998</v>
      </c>
      <c r="D20" s="564">
        <f>SUM(D16:D19)</f>
        <v>-8.1150000000000002</v>
      </c>
      <c r="E20" s="564">
        <f>SUM(E16:E19)</f>
        <v>-58.29999999999999</v>
      </c>
      <c r="F20" s="564">
        <f t="shared" ref="F20:G20" si="4">SUM(F16:F19)</f>
        <v>5.9220000000000006</v>
      </c>
      <c r="G20" s="564">
        <f t="shared" si="4"/>
        <v>-3.4179999999999997</v>
      </c>
      <c r="H20" s="566"/>
    </row>
    <row r="21" spans="2:11" ht="12.95" customHeight="1">
      <c r="B21" s="560" t="s">
        <v>914</v>
      </c>
      <c r="C21" s="561">
        <f>C14+C20</f>
        <v>55.078000000000003</v>
      </c>
      <c r="D21" s="561">
        <f>D14+D20</f>
        <v>80.646000000000086</v>
      </c>
      <c r="E21" s="561">
        <f>E14+E20</f>
        <v>365.70900000000012</v>
      </c>
      <c r="F21" s="561">
        <f t="shared" ref="F21:G21" si="5">F14+F20</f>
        <v>471.65400000000022</v>
      </c>
      <c r="G21" s="561">
        <f t="shared" si="5"/>
        <v>-661.97799999999995</v>
      </c>
      <c r="H21" s="566"/>
    </row>
    <row r="22" spans="2:11" ht="12.95" customHeight="1">
      <c r="B22" s="557" t="s">
        <v>910</v>
      </c>
      <c r="C22" s="571">
        <v>22.413</v>
      </c>
      <c r="D22" s="571">
        <v>15.247999999999999</v>
      </c>
      <c r="E22" s="570">
        <v>-16.463000000000001</v>
      </c>
      <c r="F22" s="570">
        <v>21.853000000000002</v>
      </c>
      <c r="G22" s="570">
        <v>-32.31</v>
      </c>
    </row>
    <row r="23" spans="2:11" ht="12.95" customHeight="1">
      <c r="B23" s="567" t="s">
        <v>335</v>
      </c>
      <c r="C23" s="568">
        <f>SUM(C21:C22)</f>
        <v>77.491</v>
      </c>
      <c r="D23" s="568">
        <f>SUM(D21:D22)</f>
        <v>95.894000000000091</v>
      </c>
      <c r="E23" s="568">
        <f>SUM(E21:E22)</f>
        <v>349.24600000000009</v>
      </c>
      <c r="F23" s="568">
        <f t="shared" ref="F23:G23" si="6">SUM(F21:F22)</f>
        <v>493.50700000000023</v>
      </c>
      <c r="G23" s="568">
        <f t="shared" si="6"/>
        <v>-694.28800000000001</v>
      </c>
    </row>
    <row r="24" spans="2:11" ht="12.95" customHeight="1">
      <c r="B24" s="557"/>
      <c r="C24" s="557"/>
      <c r="D24" s="557"/>
      <c r="E24" s="557" t="s">
        <v>898</v>
      </c>
      <c r="F24" s="557" t="s">
        <v>898</v>
      </c>
      <c r="G24" s="557" t="s">
        <v>898</v>
      </c>
    </row>
    <row r="25" spans="2:11" ht="12.95" customHeight="1">
      <c r="B25" s="573" t="s">
        <v>912</v>
      </c>
      <c r="C25" s="577">
        <v>0.64</v>
      </c>
      <c r="D25" s="577">
        <v>0.8</v>
      </c>
      <c r="E25" s="575">
        <v>2.88</v>
      </c>
      <c r="F25" s="575">
        <v>3.88</v>
      </c>
      <c r="G25" s="575">
        <v>-5.48</v>
      </c>
    </row>
    <row r="26" spans="2:11" ht="12.95" customHeight="1">
      <c r="B26" s="573" t="s">
        <v>913</v>
      </c>
      <c r="C26" s="576">
        <v>120.14607599999999</v>
      </c>
      <c r="D26" s="576">
        <v>119.66524800000001</v>
      </c>
      <c r="E26" s="576">
        <v>121.251588</v>
      </c>
      <c r="F26" s="576">
        <v>127.224974</v>
      </c>
      <c r="G26" s="576">
        <v>126.778626</v>
      </c>
    </row>
    <row r="28" spans="2:11" ht="12.95" customHeight="1">
      <c r="I28" s="555"/>
      <c r="J28" s="555"/>
      <c r="K28" s="555"/>
    </row>
    <row r="29" spans="2:11" ht="12.95" customHeight="1">
      <c r="I29" s="555"/>
      <c r="J29" s="555"/>
      <c r="K29" s="555"/>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44"/>
  <sheetViews>
    <sheetView workbookViewId="0"/>
  </sheetViews>
  <sheetFormatPr defaultColWidth="9.140625" defaultRowHeight="12.95" customHeight="1"/>
  <cols>
    <col min="1" max="1" width="2" style="237" customWidth="1"/>
    <col min="2" max="2" width="35.140625" style="237" customWidth="1"/>
    <col min="3" max="8" width="11.7109375" style="237" customWidth="1"/>
    <col min="9" max="9" width="11" style="237" customWidth="1"/>
    <col min="10" max="13" width="11.7109375" style="237" customWidth="1"/>
    <col min="14" max="16384" width="9.140625" style="237"/>
  </cols>
  <sheetData>
    <row r="1" spans="2:7" ht="16.5" customHeight="1">
      <c r="B1" s="236" t="s">
        <v>915</v>
      </c>
    </row>
    <row r="3" spans="2:7" ht="12.95" customHeight="1">
      <c r="B3" s="253" t="s">
        <v>915</v>
      </c>
      <c r="C3" s="253"/>
      <c r="D3" s="253"/>
      <c r="E3" s="253"/>
      <c r="F3" s="253"/>
      <c r="G3" s="253"/>
    </row>
    <row r="4" spans="2:7" ht="12.95" customHeight="1" thickBot="1">
      <c r="B4" s="360" t="str">
        <f>Drivers!$C$5&amp;" in mil"</f>
        <v>$ in mil</v>
      </c>
      <c r="C4" s="581">
        <v>43465</v>
      </c>
      <c r="D4" s="581">
        <f>EDATE(C4,12)</f>
        <v>43830</v>
      </c>
      <c r="E4" s="581">
        <f t="shared" ref="E4:G4" si="0">EDATE(D4,12)</f>
        <v>44196</v>
      </c>
      <c r="F4" s="581">
        <f t="shared" si="0"/>
        <v>44561</v>
      </c>
      <c r="G4" s="581">
        <f t="shared" si="0"/>
        <v>44926</v>
      </c>
    </row>
    <row r="5" spans="2:7" ht="12.95" customHeight="1">
      <c r="B5" s="557" t="s">
        <v>916</v>
      </c>
      <c r="C5" s="557" t="s">
        <v>898</v>
      </c>
      <c r="D5" s="557" t="s">
        <v>898</v>
      </c>
      <c r="E5" s="557"/>
      <c r="F5" s="557"/>
      <c r="G5" s="557"/>
    </row>
    <row r="6" spans="2:7" ht="12.95" customHeight="1">
      <c r="B6" s="562" t="s">
        <v>85</v>
      </c>
      <c r="C6" s="570">
        <v>366.98500000000001</v>
      </c>
      <c r="D6" s="570">
        <v>443.29300000000001</v>
      </c>
      <c r="E6" s="570">
        <v>1244.0989999999999</v>
      </c>
      <c r="F6" s="570">
        <v>780.19600000000003</v>
      </c>
      <c r="G6" s="570">
        <v>921.27800000000002</v>
      </c>
    </row>
    <row r="7" spans="2:7" ht="12.95" customHeight="1">
      <c r="B7" s="562" t="s">
        <v>917</v>
      </c>
      <c r="C7" s="570">
        <v>257.30200000000002</v>
      </c>
      <c r="D7" s="570">
        <v>373.959</v>
      </c>
      <c r="E7" s="570">
        <v>425.11900000000003</v>
      </c>
      <c r="F7" s="570">
        <v>204.416</v>
      </c>
      <c r="G7" s="570">
        <v>250.41300000000001</v>
      </c>
    </row>
    <row r="8" spans="2:7" ht="12.95" customHeight="1">
      <c r="B8" s="562" t="s">
        <v>918</v>
      </c>
      <c r="C8" s="570">
        <v>12.244</v>
      </c>
      <c r="D8" s="570">
        <v>15.385999999999999</v>
      </c>
      <c r="E8" s="570">
        <v>22.605</v>
      </c>
      <c r="F8" s="570">
        <v>27.265999999999998</v>
      </c>
      <c r="G8" s="570">
        <v>27.888000000000002</v>
      </c>
    </row>
    <row r="9" spans="2:7" ht="12.95" customHeight="1">
      <c r="B9" s="562" t="s">
        <v>919</v>
      </c>
      <c r="C9" s="570">
        <v>22.686</v>
      </c>
      <c r="D9" s="570">
        <v>38.613999999999997</v>
      </c>
      <c r="E9" s="570">
        <v>56.152000000000001</v>
      </c>
      <c r="F9" s="570">
        <v>109.417</v>
      </c>
      <c r="G9" s="570">
        <v>80.203000000000003</v>
      </c>
    </row>
    <row r="10" spans="2:7" ht="12.95" customHeight="1">
      <c r="B10" s="562" t="s">
        <v>920</v>
      </c>
      <c r="C10" s="570">
        <v>21.071999999999999</v>
      </c>
      <c r="D10" s="570">
        <v>49.786000000000001</v>
      </c>
      <c r="E10" s="570">
        <v>146.80600000000001</v>
      </c>
      <c r="F10" s="570">
        <v>220.20599999999999</v>
      </c>
      <c r="G10" s="570">
        <v>233.96100000000001</v>
      </c>
    </row>
    <row r="11" spans="2:7" ht="12.95" customHeight="1">
      <c r="B11" s="567" t="s">
        <v>921</v>
      </c>
      <c r="C11" s="568">
        <f t="shared" ref="C11:D11" si="1">SUM(C6:C10)</f>
        <v>680.2890000000001</v>
      </c>
      <c r="D11" s="568">
        <f t="shared" si="1"/>
        <v>921.03800000000001</v>
      </c>
      <c r="E11" s="568">
        <f>SUM(E6:E10)</f>
        <v>1894.7809999999999</v>
      </c>
      <c r="F11" s="568">
        <f>SUM(F6:F10)</f>
        <v>1341.501</v>
      </c>
      <c r="G11" s="568">
        <f>SUM(G6:G10)</f>
        <v>1513.7429999999999</v>
      </c>
    </row>
    <row r="12" spans="2:7" ht="12.95" customHeight="1">
      <c r="B12" s="562" t="s">
        <v>922</v>
      </c>
      <c r="C12" s="570">
        <v>5.3410000000000002</v>
      </c>
      <c r="D12" s="570">
        <v>5.3410000000000002</v>
      </c>
      <c r="E12" s="570">
        <v>5.3410000000000002</v>
      </c>
      <c r="F12" s="570">
        <v>5.3410000000000002</v>
      </c>
      <c r="G12" s="570">
        <v>5.3410000000000002</v>
      </c>
    </row>
    <row r="13" spans="2:7" ht="12.95" customHeight="1">
      <c r="B13" s="562" t="s">
        <v>923</v>
      </c>
      <c r="C13" s="570">
        <v>120.179</v>
      </c>
      <c r="D13" s="570">
        <v>144.864</v>
      </c>
      <c r="E13" s="570">
        <v>112.495</v>
      </c>
      <c r="F13" s="570">
        <v>275.06200000000001</v>
      </c>
      <c r="G13" s="570">
        <v>249.744</v>
      </c>
    </row>
    <row r="14" spans="2:7" ht="12.95" customHeight="1">
      <c r="B14" s="562" t="s">
        <v>783</v>
      </c>
      <c r="C14" s="570">
        <v>37.481999999999999</v>
      </c>
      <c r="D14" s="570">
        <v>138.73099999999999</v>
      </c>
      <c r="E14" s="570">
        <v>140.81</v>
      </c>
      <c r="F14" s="570">
        <v>1371.0640000000001</v>
      </c>
      <c r="G14" s="570">
        <v>137.72399999999999</v>
      </c>
    </row>
    <row r="15" spans="2:7" ht="12.95" customHeight="1">
      <c r="B15" s="562" t="s">
        <v>784</v>
      </c>
      <c r="C15" s="570">
        <v>34.588999999999999</v>
      </c>
      <c r="D15" s="570">
        <v>199.23599999999999</v>
      </c>
      <c r="E15" s="570">
        <v>187.44900000000001</v>
      </c>
      <c r="F15" s="570">
        <v>607.16999999999996</v>
      </c>
      <c r="G15" s="570">
        <v>535.40599999999995</v>
      </c>
    </row>
    <row r="16" spans="2:7" ht="12.95" customHeight="1">
      <c r="B16" s="562" t="s">
        <v>924</v>
      </c>
      <c r="C16" s="570">
        <v>23.463999999999999</v>
      </c>
      <c r="D16" s="570">
        <v>14.257</v>
      </c>
      <c r="E16" s="570">
        <v>0.115</v>
      </c>
      <c r="F16" s="570">
        <v>95.863</v>
      </c>
      <c r="G16" s="570">
        <v>121.506</v>
      </c>
    </row>
    <row r="17" spans="2:8" ht="12.95" customHeight="1">
      <c r="B17" s="562" t="s">
        <v>925</v>
      </c>
      <c r="C17" s="570">
        <v>0</v>
      </c>
      <c r="D17" s="570">
        <v>89.343000000000004</v>
      </c>
      <c r="E17" s="570">
        <v>39.094000000000001</v>
      </c>
      <c r="F17" s="570">
        <v>85.034000000000006</v>
      </c>
      <c r="G17" s="570">
        <v>29.137</v>
      </c>
    </row>
    <row r="18" spans="2:8" ht="12.95" customHeight="1">
      <c r="B18" s="562" t="s">
        <v>926</v>
      </c>
      <c r="C18" s="570">
        <v>0.50700000000000001</v>
      </c>
      <c r="D18" s="570">
        <v>29.542000000000002</v>
      </c>
      <c r="E18" s="570">
        <v>24.404</v>
      </c>
      <c r="F18" s="570">
        <v>50.774000000000001</v>
      </c>
      <c r="G18" s="570">
        <v>42.36</v>
      </c>
    </row>
    <row r="19" spans="2:8" ht="12.95" customHeight="1">
      <c r="B19" s="567" t="s">
        <v>927</v>
      </c>
      <c r="C19" s="568">
        <f t="shared" ref="C19:D19" si="2">SUM(C11:C18)</f>
        <v>901.851</v>
      </c>
      <c r="D19" s="568">
        <f t="shared" si="2"/>
        <v>1542.3520000000001</v>
      </c>
      <c r="E19" s="568">
        <f>SUM(E11:E18)</f>
        <v>2404.4889999999996</v>
      </c>
      <c r="F19" s="568">
        <f>SUM(F11:F18)</f>
        <v>3831.8089999999997</v>
      </c>
      <c r="G19" s="568">
        <f>SUM(G11:G18)</f>
        <v>2634.9609999999998</v>
      </c>
    </row>
    <row r="20" spans="2:8" ht="12.95" customHeight="1">
      <c r="B20" s="557" t="s">
        <v>928</v>
      </c>
      <c r="C20" s="558"/>
      <c r="D20" s="558"/>
      <c r="E20" s="558"/>
      <c r="F20" s="558"/>
      <c r="G20" s="558"/>
      <c r="H20" s="566"/>
    </row>
    <row r="21" spans="2:8" ht="12.95" customHeight="1">
      <c r="B21" s="562" t="s">
        <v>929</v>
      </c>
      <c r="C21" s="570">
        <v>26.545000000000002</v>
      </c>
      <c r="D21" s="570">
        <v>26.324000000000002</v>
      </c>
      <c r="E21" s="570">
        <v>40.883000000000003</v>
      </c>
      <c r="F21" s="570">
        <v>28.007000000000001</v>
      </c>
      <c r="G21" s="570">
        <v>28.757000000000001</v>
      </c>
      <c r="H21" s="566"/>
    </row>
    <row r="22" spans="2:8" ht="12.95" customHeight="1">
      <c r="B22" s="562" t="s">
        <v>930</v>
      </c>
      <c r="C22" s="570">
        <v>49.158000000000001</v>
      </c>
      <c r="D22" s="570">
        <v>88.344999999999999</v>
      </c>
      <c r="E22" s="570">
        <v>232.352</v>
      </c>
      <c r="F22" s="570">
        <v>328.11799999999999</v>
      </c>
      <c r="G22" s="570">
        <v>331.23399999999998</v>
      </c>
    </row>
    <row r="23" spans="2:8" ht="12.95" customHeight="1">
      <c r="B23" s="562" t="s">
        <v>931</v>
      </c>
      <c r="C23" s="570">
        <v>3.8839999999999999</v>
      </c>
      <c r="D23" s="570">
        <v>8.2750000000000004</v>
      </c>
      <c r="E23" s="570">
        <v>8.5370000000000008</v>
      </c>
      <c r="F23" s="570">
        <v>2.4180000000000001</v>
      </c>
      <c r="G23" s="570">
        <v>4.7309999999999999</v>
      </c>
    </row>
    <row r="24" spans="2:8" ht="12.95" customHeight="1">
      <c r="B24" s="562" t="s">
        <v>932</v>
      </c>
      <c r="C24" s="570">
        <v>21.071999999999999</v>
      </c>
      <c r="D24" s="570">
        <v>49.786000000000001</v>
      </c>
      <c r="E24" s="570">
        <v>146.80600000000001</v>
      </c>
      <c r="F24" s="570">
        <v>220.20599999999999</v>
      </c>
      <c r="G24" s="389">
        <v>233.96100000000001</v>
      </c>
    </row>
    <row r="25" spans="2:8" ht="12.95" customHeight="1">
      <c r="B25" s="562" t="s">
        <v>933</v>
      </c>
      <c r="C25" s="570">
        <v>7.4779999999999998</v>
      </c>
      <c r="D25" s="570">
        <v>7.617</v>
      </c>
      <c r="E25" s="570">
        <v>11.263999999999999</v>
      </c>
      <c r="F25" s="570">
        <v>12.339</v>
      </c>
      <c r="G25" s="570">
        <v>14.007999999999999</v>
      </c>
    </row>
    <row r="26" spans="2:8" ht="12.95" customHeight="1">
      <c r="B26" s="562" t="s">
        <v>780</v>
      </c>
      <c r="C26" s="570">
        <v>3.9249999999999998</v>
      </c>
      <c r="D26" s="570">
        <v>8.1809999999999992</v>
      </c>
      <c r="E26" s="570">
        <v>14.821999999999999</v>
      </c>
      <c r="F26" s="570">
        <v>24.5</v>
      </c>
      <c r="G26" s="570">
        <v>19.064</v>
      </c>
    </row>
    <row r="27" spans="2:8" ht="12.95" customHeight="1">
      <c r="B27" s="567" t="s">
        <v>934</v>
      </c>
      <c r="C27" s="568">
        <f t="shared" ref="C27:D27" si="3">SUM(C21:C26)</f>
        <v>112.062</v>
      </c>
      <c r="D27" s="568">
        <f t="shared" si="3"/>
        <v>188.52800000000002</v>
      </c>
      <c r="E27" s="568">
        <f>SUM(E21:E26)</f>
        <v>454.66399999999999</v>
      </c>
      <c r="F27" s="568">
        <f>SUM(F21:F26)</f>
        <v>615.58800000000008</v>
      </c>
      <c r="G27" s="568">
        <v>631.755</v>
      </c>
    </row>
    <row r="28" spans="2:8" ht="12.95" customHeight="1">
      <c r="B28" s="562" t="s">
        <v>768</v>
      </c>
      <c r="C28" s="570">
        <v>2.0950000000000002</v>
      </c>
      <c r="D28" s="570">
        <v>53.610999999999997</v>
      </c>
      <c r="E28" s="570">
        <v>44.978999999999999</v>
      </c>
      <c r="F28" s="570">
        <v>110.283</v>
      </c>
      <c r="G28" s="570">
        <v>105.699</v>
      </c>
    </row>
    <row r="29" spans="2:8" ht="12.95" customHeight="1">
      <c r="B29" s="562" t="s">
        <v>935</v>
      </c>
      <c r="C29" s="570">
        <v>30.454999999999998</v>
      </c>
      <c r="D29" s="570">
        <v>64.497</v>
      </c>
      <c r="E29" s="570">
        <v>58.481000000000002</v>
      </c>
      <c r="F29" s="570">
        <v>79.483999999999995</v>
      </c>
      <c r="G29" s="570">
        <v>44.734999999999999</v>
      </c>
    </row>
    <row r="30" spans="2:8" ht="12.95" customHeight="1">
      <c r="B30" s="562" t="s">
        <v>946</v>
      </c>
      <c r="C30" s="570">
        <v>59.991</v>
      </c>
      <c r="D30" s="570">
        <v>0</v>
      </c>
      <c r="E30" s="570">
        <v>0</v>
      </c>
      <c r="F30" s="570">
        <v>0</v>
      </c>
      <c r="G30" s="570">
        <v>0</v>
      </c>
    </row>
    <row r="31" spans="2:8" ht="12.95" customHeight="1">
      <c r="B31" s="562" t="s">
        <v>769</v>
      </c>
      <c r="C31" s="570">
        <v>276.48599999999999</v>
      </c>
      <c r="D31" s="570">
        <v>785.12599999999998</v>
      </c>
      <c r="E31" s="570">
        <v>1062.299</v>
      </c>
      <c r="F31" s="570">
        <v>2275.4180000000001</v>
      </c>
      <c r="G31" s="570">
        <v>2279.64</v>
      </c>
    </row>
    <row r="32" spans="2:8" ht="12.95" customHeight="1">
      <c r="B32" s="562" t="s">
        <v>936</v>
      </c>
      <c r="C32" s="570">
        <v>19.864000000000001</v>
      </c>
      <c r="D32" s="570">
        <v>43.956000000000003</v>
      </c>
      <c r="E32" s="570">
        <v>41.642000000000003</v>
      </c>
      <c r="F32" s="570">
        <v>122.417</v>
      </c>
      <c r="G32" s="570">
        <v>120.40600000000001</v>
      </c>
    </row>
    <row r="33" spans="2:7" ht="12.95" customHeight="1">
      <c r="B33" s="567" t="s">
        <v>937</v>
      </c>
      <c r="C33" s="568">
        <f t="shared" ref="C33:D33" si="4">SUM(C27:C32)</f>
        <v>500.95299999999997</v>
      </c>
      <c r="D33" s="568">
        <f t="shared" si="4"/>
        <v>1135.7179999999998</v>
      </c>
      <c r="E33" s="568">
        <f>SUM(E27:E32)</f>
        <v>1662.0650000000001</v>
      </c>
      <c r="F33" s="568">
        <f>SUM(F27:F32)</f>
        <v>3203.19</v>
      </c>
      <c r="G33" s="568">
        <f>SUM(G27:G32)</f>
        <v>3182.2349999999997</v>
      </c>
    </row>
    <row r="34" spans="2:7" ht="12.95" customHeight="1">
      <c r="B34" s="557" t="s">
        <v>949</v>
      </c>
      <c r="C34" s="558"/>
      <c r="D34" s="558"/>
      <c r="E34" s="558"/>
      <c r="F34" s="558"/>
      <c r="G34" s="558"/>
    </row>
    <row r="35" spans="2:7" ht="12.95" customHeight="1">
      <c r="B35" s="557" t="s">
        <v>938</v>
      </c>
      <c r="C35" s="558"/>
      <c r="D35" s="558"/>
      <c r="E35" s="558"/>
      <c r="F35" s="558"/>
      <c r="G35" s="558"/>
    </row>
    <row r="36" spans="2:7" ht="12.95" customHeight="1">
      <c r="B36" s="562" t="s">
        <v>942</v>
      </c>
      <c r="C36" s="570">
        <v>0.12</v>
      </c>
      <c r="D36" s="570">
        <v>0.11899999999999999</v>
      </c>
      <c r="E36" s="570">
        <v>0.126</v>
      </c>
      <c r="F36" s="570">
        <v>0.127</v>
      </c>
      <c r="G36" s="570">
        <v>0.125</v>
      </c>
    </row>
    <row r="37" spans="2:7" ht="12.95" customHeight="1">
      <c r="B37" s="562" t="s">
        <v>943</v>
      </c>
      <c r="C37" s="570">
        <v>0</v>
      </c>
      <c r="D37" s="570">
        <v>0</v>
      </c>
      <c r="E37" s="570">
        <v>0</v>
      </c>
      <c r="F37" s="570">
        <v>0</v>
      </c>
      <c r="G37" s="570">
        <v>0</v>
      </c>
    </row>
    <row r="38" spans="2:7" ht="12.95" customHeight="1">
      <c r="B38" s="562" t="s">
        <v>939</v>
      </c>
      <c r="C38" s="570">
        <v>562.03300000000002</v>
      </c>
      <c r="D38" s="570">
        <v>642.62800000000004</v>
      </c>
      <c r="E38" s="570">
        <v>883.16600000000005</v>
      </c>
      <c r="F38" s="570">
        <v>631.76199999999994</v>
      </c>
      <c r="G38" s="570">
        <v>815.08500000000004</v>
      </c>
    </row>
    <row r="39" spans="2:7" ht="12.95" customHeight="1">
      <c r="B39" s="562" t="s">
        <v>940</v>
      </c>
      <c r="C39" s="570">
        <v>-153.44200000000001</v>
      </c>
      <c r="D39" s="570">
        <v>-227.41399999999999</v>
      </c>
      <c r="E39" s="570">
        <v>-146.81899999999999</v>
      </c>
      <c r="F39" s="570">
        <v>71.744</v>
      </c>
      <c r="G39" s="570">
        <v>-1048.2670000000001</v>
      </c>
    </row>
    <row r="40" spans="2:7" ht="12.95" customHeight="1">
      <c r="B40" s="562" t="s">
        <v>941</v>
      </c>
      <c r="C40" s="570">
        <v>-7.8129999999999997</v>
      </c>
      <c r="D40" s="570">
        <v>-8.6989999999999998</v>
      </c>
      <c r="E40" s="570">
        <v>5.9509999999999996</v>
      </c>
      <c r="F40" s="570">
        <v>-75.013999999999996</v>
      </c>
      <c r="G40" s="570">
        <v>-314.21699999999998</v>
      </c>
    </row>
    <row r="41" spans="2:7" ht="12.95" customHeight="1">
      <c r="B41" s="567" t="s">
        <v>944</v>
      </c>
      <c r="C41" s="568">
        <f t="shared" ref="C41:D41" si="5">SUM(C36:C40)</f>
        <v>400.89800000000002</v>
      </c>
      <c r="D41" s="568">
        <f t="shared" si="5"/>
        <v>406.63400000000007</v>
      </c>
      <c r="E41" s="568">
        <f>SUM(E36:E40)</f>
        <v>742.42400000000009</v>
      </c>
      <c r="F41" s="568">
        <f>SUM(F36:F40)</f>
        <v>628.61899999999991</v>
      </c>
      <c r="G41" s="568">
        <f>SUM(G36:G40)</f>
        <v>-547.274</v>
      </c>
    </row>
    <row r="42" spans="2:7" ht="12.95" customHeight="1">
      <c r="B42" s="567" t="s">
        <v>945</v>
      </c>
      <c r="C42" s="568">
        <f t="shared" ref="C42:D42" si="6">C33+C41</f>
        <v>901.851</v>
      </c>
      <c r="D42" s="568">
        <f t="shared" si="6"/>
        <v>1542.3519999999999</v>
      </c>
      <c r="E42" s="568">
        <f>E33+E41</f>
        <v>2404.489</v>
      </c>
      <c r="F42" s="568">
        <f>F33+F41</f>
        <v>3831.8090000000002</v>
      </c>
      <c r="G42" s="568">
        <f>G33+G41</f>
        <v>2634.9609999999998</v>
      </c>
    </row>
    <row r="43" spans="2:7" ht="12.95" customHeight="1">
      <c r="C43" s="556"/>
    </row>
    <row r="44" spans="2:7" ht="12.95" customHeight="1">
      <c r="B44" s="578" t="s">
        <v>947</v>
      </c>
      <c r="C44" s="579">
        <f t="shared" ref="C44:F44" si="7">C42-C19</f>
        <v>0</v>
      </c>
      <c r="D44" s="580">
        <f t="shared" si="7"/>
        <v>0</v>
      </c>
      <c r="E44" s="580">
        <f>E42-E19</f>
        <v>0</v>
      </c>
      <c r="F44" s="580">
        <f t="shared" si="7"/>
        <v>0</v>
      </c>
      <c r="G44" s="580">
        <f>G42-G19</f>
        <v>0</v>
      </c>
    </row>
  </sheetData>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68"/>
  <sheetViews>
    <sheetView workbookViewId="0"/>
  </sheetViews>
  <sheetFormatPr defaultColWidth="9.140625" defaultRowHeight="12.95" customHeight="1"/>
  <cols>
    <col min="1" max="1" width="2" style="237" customWidth="1"/>
    <col min="2" max="2" width="35.140625" style="237" customWidth="1"/>
    <col min="3" max="8" width="11.7109375" style="237" customWidth="1"/>
    <col min="9" max="9" width="11.28515625" style="237" customWidth="1"/>
    <col min="10" max="12" width="12.5703125" style="237" bestFit="1" customWidth="1"/>
    <col min="13" max="13" width="11.7109375" style="237" customWidth="1"/>
    <col min="14" max="16384" width="9.140625" style="237"/>
  </cols>
  <sheetData>
    <row r="1" spans="2:12" ht="16.5" customHeight="1">
      <c r="B1" s="236" t="s">
        <v>950</v>
      </c>
    </row>
    <row r="3" spans="2:12" ht="12.95" customHeight="1">
      <c r="B3" s="253" t="s">
        <v>950</v>
      </c>
      <c r="C3" s="253"/>
      <c r="D3" s="253"/>
      <c r="E3" s="253"/>
      <c r="F3" s="253"/>
      <c r="G3" s="253"/>
    </row>
    <row r="4" spans="2:12" ht="12.95" customHeight="1" thickBot="1">
      <c r="B4" s="360" t="str">
        <f>Drivers!$C$5&amp;" in mil"</f>
        <v>$ in mil</v>
      </c>
      <c r="C4" s="581">
        <v>43465</v>
      </c>
      <c r="D4" s="581">
        <f>EDATE(C4,12)</f>
        <v>43830</v>
      </c>
      <c r="E4" s="581">
        <f t="shared" ref="E4:G4" si="0">EDATE(D4,12)</f>
        <v>44196</v>
      </c>
      <c r="F4" s="581">
        <f t="shared" si="0"/>
        <v>44561</v>
      </c>
      <c r="G4" s="581">
        <f t="shared" si="0"/>
        <v>44926</v>
      </c>
      <c r="K4" s="582"/>
      <c r="L4" s="582"/>
    </row>
    <row r="5" spans="2:12" ht="12.95" customHeight="1">
      <c r="B5" s="574" t="s">
        <v>951</v>
      </c>
      <c r="C5" s="557"/>
      <c r="D5" s="557"/>
      <c r="E5" s="557"/>
      <c r="F5" s="557"/>
      <c r="G5" s="557"/>
    </row>
    <row r="6" spans="2:12" ht="12.95" customHeight="1">
      <c r="B6" s="559" t="s">
        <v>911</v>
      </c>
      <c r="C6" s="584">
        <v>77.491</v>
      </c>
      <c r="D6" s="584">
        <f>'Income Statement'!D23</f>
        <v>95.894000000000091</v>
      </c>
      <c r="E6" s="584">
        <f>'Income Statement'!E23</f>
        <v>349.24600000000009</v>
      </c>
      <c r="F6" s="584">
        <f>'Income Statement'!F23</f>
        <v>493.50700000000023</v>
      </c>
      <c r="G6" s="584">
        <f>'Income Statement'!G23</f>
        <v>-694.28800000000001</v>
      </c>
    </row>
    <row r="7" spans="2:12" ht="12.95" customHeight="1">
      <c r="B7" s="574" t="s">
        <v>974</v>
      </c>
      <c r="C7" s="585"/>
      <c r="D7" s="585"/>
      <c r="E7" s="585"/>
      <c r="F7" s="585"/>
      <c r="G7" s="585"/>
    </row>
    <row r="8" spans="2:12" ht="12.95" customHeight="1">
      <c r="B8" s="562" t="s">
        <v>975</v>
      </c>
      <c r="C8" s="585">
        <v>38.231000000000002</v>
      </c>
      <c r="D8" s="585">
        <v>44.395000000000003</v>
      </c>
      <c r="E8" s="585">
        <v>65.114000000000004</v>
      </c>
      <c r="F8" s="585">
        <v>139.91</v>
      </c>
      <c r="G8" s="585">
        <v>230.88800000000001</v>
      </c>
    </row>
    <row r="9" spans="2:12" ht="12.95" customHeight="1">
      <c r="B9" s="562" t="s">
        <v>976</v>
      </c>
      <c r="C9" s="585">
        <v>26.742000000000001</v>
      </c>
      <c r="D9" s="585">
        <v>48.030999999999999</v>
      </c>
      <c r="E9" s="585">
        <v>58.189</v>
      </c>
      <c r="F9" s="585">
        <v>74.266999999999996</v>
      </c>
      <c r="G9" s="585">
        <v>96.701999999999998</v>
      </c>
    </row>
    <row r="10" spans="2:12" ht="12.95" customHeight="1">
      <c r="B10" s="562" t="s">
        <v>952</v>
      </c>
      <c r="C10" s="585">
        <v>4.1239999999999997</v>
      </c>
      <c r="D10" s="585">
        <v>10.962999999999999</v>
      </c>
      <c r="E10" s="585">
        <v>15.032999999999999</v>
      </c>
      <c r="F10" s="585">
        <v>16.030999999999999</v>
      </c>
      <c r="G10" s="585">
        <v>12.464</v>
      </c>
    </row>
    <row r="11" spans="2:12" ht="12.95" customHeight="1">
      <c r="B11" s="562" t="s">
        <v>953</v>
      </c>
      <c r="C11" s="585">
        <v>5.9969999999999999</v>
      </c>
      <c r="D11" s="585">
        <v>-5.7080000000000002</v>
      </c>
      <c r="E11" s="585">
        <v>7.3490000000000002</v>
      </c>
      <c r="F11" s="585">
        <v>-14.071</v>
      </c>
      <c r="G11" s="585">
        <v>1.238</v>
      </c>
    </row>
    <row r="12" spans="2:12" ht="12.95" customHeight="1">
      <c r="B12" s="562" t="s">
        <v>988</v>
      </c>
      <c r="C12" s="585">
        <v>1.1910000000000001</v>
      </c>
      <c r="D12" s="585">
        <v>2.0059999999999998</v>
      </c>
      <c r="E12" s="586">
        <v>0</v>
      </c>
      <c r="F12" s="586">
        <v>0</v>
      </c>
      <c r="G12" s="586">
        <v>0</v>
      </c>
    </row>
    <row r="13" spans="2:12" ht="12.95" customHeight="1">
      <c r="B13" s="562" t="s">
        <v>954</v>
      </c>
      <c r="C13" s="585">
        <v>10.968</v>
      </c>
      <c r="D13" s="585">
        <v>19.108000000000001</v>
      </c>
      <c r="E13" s="585">
        <v>36.085999999999999</v>
      </c>
      <c r="F13" s="585">
        <v>0.57799999999999996</v>
      </c>
      <c r="G13" s="585">
        <v>0.57799999999999996</v>
      </c>
    </row>
    <row r="14" spans="2:12" ht="12.95" customHeight="1">
      <c r="B14" s="562" t="s">
        <v>955</v>
      </c>
      <c r="C14" s="585">
        <v>-2.887</v>
      </c>
      <c r="D14" s="585">
        <v>-4.1820000000000004</v>
      </c>
      <c r="E14" s="585">
        <v>2.7290000000000001</v>
      </c>
      <c r="F14" s="585">
        <v>3.1539999999999999</v>
      </c>
      <c r="G14" s="585">
        <v>0.65200000000000002</v>
      </c>
    </row>
    <row r="15" spans="2:12" ht="12.95" customHeight="1">
      <c r="B15" s="562" t="s">
        <v>989</v>
      </c>
      <c r="C15" s="585">
        <v>0.13600000000000001</v>
      </c>
      <c r="D15" s="585">
        <v>1.667</v>
      </c>
      <c r="E15" s="586"/>
      <c r="F15" s="586"/>
      <c r="G15" s="586"/>
    </row>
    <row r="16" spans="2:12" ht="12.95" customHeight="1">
      <c r="B16" s="562" t="s">
        <v>902</v>
      </c>
      <c r="C16" s="585">
        <v>0</v>
      </c>
      <c r="D16" s="585">
        <v>0</v>
      </c>
      <c r="E16" s="585">
        <v>0</v>
      </c>
      <c r="F16" s="585">
        <v>0</v>
      </c>
      <c r="G16" s="585">
        <v>1045.0219999999999</v>
      </c>
    </row>
    <row r="17" spans="2:9" ht="12.95" customHeight="1">
      <c r="B17" s="562" t="s">
        <v>977</v>
      </c>
      <c r="C17" s="585">
        <v>-22.414000000000001</v>
      </c>
      <c r="D17" s="585">
        <v>-15.247999999999999</v>
      </c>
      <c r="E17" s="585">
        <v>2.202</v>
      </c>
      <c r="F17" s="585">
        <v>-88.951999999999998</v>
      </c>
      <c r="G17" s="585">
        <v>-55.302999999999997</v>
      </c>
    </row>
    <row r="18" spans="2:9" ht="12.95" customHeight="1">
      <c r="B18" s="562" t="s">
        <v>905</v>
      </c>
      <c r="C18" s="585">
        <v>0</v>
      </c>
      <c r="D18" s="585">
        <v>0</v>
      </c>
      <c r="E18" s="585">
        <v>16.855</v>
      </c>
      <c r="F18" s="585">
        <v>0</v>
      </c>
      <c r="G18" s="585">
        <v>0</v>
      </c>
      <c r="I18" s="557"/>
    </row>
    <row r="19" spans="2:9" ht="12.95" customHeight="1">
      <c r="B19" s="562" t="s">
        <v>956</v>
      </c>
      <c r="C19" s="585">
        <v>0</v>
      </c>
      <c r="D19" s="585">
        <v>0</v>
      </c>
      <c r="E19" s="585">
        <v>1.956</v>
      </c>
      <c r="F19" s="585">
        <v>3.2440000000000002</v>
      </c>
      <c r="G19" s="585">
        <v>5.1929999999999996</v>
      </c>
      <c r="I19" s="557"/>
    </row>
    <row r="20" spans="2:9" ht="12.95" customHeight="1">
      <c r="B20" s="574" t="s">
        <v>978</v>
      </c>
      <c r="C20" s="585"/>
      <c r="D20" s="585"/>
      <c r="E20" s="585"/>
      <c r="F20" s="585"/>
      <c r="G20" s="585"/>
      <c r="H20" s="566"/>
    </row>
    <row r="21" spans="2:9" ht="12.95" customHeight="1">
      <c r="B21" s="562" t="s">
        <v>957</v>
      </c>
      <c r="C21" s="585">
        <v>17.215</v>
      </c>
      <c r="D21" s="585">
        <v>-12.656000000000001</v>
      </c>
      <c r="E21" s="585">
        <v>-22.54</v>
      </c>
      <c r="F21" s="585">
        <v>-19.256</v>
      </c>
      <c r="G21" s="585">
        <v>-14.055999999999999</v>
      </c>
      <c r="H21" s="566"/>
    </row>
    <row r="22" spans="2:9" ht="12.95" customHeight="1">
      <c r="B22" s="562" t="s">
        <v>920</v>
      </c>
      <c r="C22" s="585">
        <v>23.436</v>
      </c>
      <c r="D22" s="585">
        <v>-23.177</v>
      </c>
      <c r="E22" s="585">
        <v>-90.141000000000005</v>
      </c>
      <c r="F22" s="585">
        <v>-83.941000000000003</v>
      </c>
      <c r="G22" s="585">
        <v>-20.57</v>
      </c>
    </row>
    <row r="23" spans="2:9" ht="12.95" customHeight="1">
      <c r="B23" s="562" t="s">
        <v>958</v>
      </c>
      <c r="C23" s="585">
        <v>-4.7850000000000001</v>
      </c>
      <c r="D23" s="585">
        <v>-14.156000000000001</v>
      </c>
      <c r="E23" s="585">
        <v>-16.963000000000001</v>
      </c>
      <c r="F23" s="585">
        <v>-44.186</v>
      </c>
      <c r="G23" s="585">
        <v>23.84</v>
      </c>
    </row>
    <row r="24" spans="2:9" ht="12.95" customHeight="1">
      <c r="B24" s="562" t="s">
        <v>926</v>
      </c>
      <c r="C24" s="585">
        <v>4.2999999999999997E-2</v>
      </c>
      <c r="D24" s="585">
        <v>4.0449999999999999</v>
      </c>
      <c r="E24" s="585">
        <v>4.8159999999999998</v>
      </c>
      <c r="F24" s="585">
        <v>-25.158999999999999</v>
      </c>
      <c r="G24" s="585">
        <v>7.39</v>
      </c>
    </row>
    <row r="25" spans="2:9" ht="12.95" customHeight="1">
      <c r="B25" s="562" t="s">
        <v>929</v>
      </c>
      <c r="C25" s="585">
        <v>13.364000000000001</v>
      </c>
      <c r="D25" s="585">
        <v>-0.95299999999999996</v>
      </c>
      <c r="E25" s="585">
        <v>14.55</v>
      </c>
      <c r="F25" s="585">
        <v>-14.169</v>
      </c>
      <c r="G25" s="585">
        <v>0.53200000000000003</v>
      </c>
    </row>
    <row r="26" spans="2:9" ht="12.95" customHeight="1">
      <c r="B26" s="562" t="s">
        <v>959</v>
      </c>
      <c r="C26" s="585">
        <v>23.079000000000001</v>
      </c>
      <c r="D26" s="585">
        <v>37.409999999999997</v>
      </c>
      <c r="E26" s="585">
        <v>146.63399999999999</v>
      </c>
      <c r="F26" s="585">
        <v>84.789000000000001</v>
      </c>
      <c r="G26" s="585">
        <v>6.4390000000000001</v>
      </c>
    </row>
    <row r="27" spans="2:9" ht="12.95" customHeight="1">
      <c r="B27" s="562" t="s">
        <v>932</v>
      </c>
      <c r="C27" s="585">
        <v>-23.436</v>
      </c>
      <c r="D27" s="585">
        <v>23.177</v>
      </c>
      <c r="E27" s="585">
        <v>90.141000000000005</v>
      </c>
      <c r="F27" s="585">
        <v>83.941000000000003</v>
      </c>
      <c r="G27" s="585">
        <v>20.57</v>
      </c>
    </row>
    <row r="28" spans="2:9" ht="12.95" customHeight="1">
      <c r="B28" s="562" t="s">
        <v>933</v>
      </c>
      <c r="C28" s="585">
        <v>1.331</v>
      </c>
      <c r="D28" s="585">
        <v>0.191</v>
      </c>
      <c r="E28" s="585">
        <v>3.3119999999999998</v>
      </c>
      <c r="F28" s="585">
        <v>1.4410000000000001</v>
      </c>
      <c r="G28" s="585">
        <v>1.905</v>
      </c>
    </row>
    <row r="29" spans="2:9" ht="12.95" customHeight="1">
      <c r="B29" s="562" t="s">
        <v>936</v>
      </c>
      <c r="C29" s="585">
        <v>9.0990000000000002</v>
      </c>
      <c r="D29" s="585">
        <v>-3.887</v>
      </c>
      <c r="E29" s="585">
        <v>-5.6120000000000001</v>
      </c>
      <c r="F29" s="585">
        <v>40.423000000000002</v>
      </c>
      <c r="G29" s="585">
        <v>14.416</v>
      </c>
    </row>
    <row r="30" spans="2:9" ht="12.95" customHeight="1">
      <c r="B30" s="560" t="s">
        <v>991</v>
      </c>
      <c r="C30" s="587">
        <f>SUM(C21:C29)+SUM(C8:C19)+C6</f>
        <v>198.92500000000001</v>
      </c>
      <c r="D30" s="587">
        <f t="shared" ref="D30:G30" si="1">SUM(D21:D29)+SUM(D8:D19)+D6</f>
        <v>206.92000000000007</v>
      </c>
      <c r="E30" s="587">
        <f t="shared" si="1"/>
        <v>678.95600000000002</v>
      </c>
      <c r="F30" s="587">
        <f t="shared" si="1"/>
        <v>651.55100000000016</v>
      </c>
      <c r="G30" s="587">
        <f t="shared" si="1"/>
        <v>683.61200000000008</v>
      </c>
      <c r="H30" s="583"/>
    </row>
    <row r="31" spans="2:9" ht="12.95" customHeight="1">
      <c r="C31" s="588"/>
      <c r="D31" s="589"/>
      <c r="E31" s="589"/>
      <c r="F31" s="589"/>
      <c r="G31" s="589"/>
    </row>
    <row r="32" spans="2:9" ht="12.95" customHeight="1">
      <c r="B32" s="574" t="s">
        <v>960</v>
      </c>
      <c r="C32" s="585"/>
      <c r="D32" s="585"/>
      <c r="E32" s="585"/>
      <c r="F32" s="585"/>
      <c r="G32" s="585"/>
    </row>
    <row r="33" spans="2:9" ht="12.95" customHeight="1">
      <c r="B33" s="557" t="s">
        <v>979</v>
      </c>
      <c r="C33" s="585">
        <v>0</v>
      </c>
      <c r="D33" s="585">
        <v>-270.40899999999999</v>
      </c>
      <c r="E33" s="585">
        <v>0</v>
      </c>
      <c r="F33" s="585">
        <v>-1699.9739999999999</v>
      </c>
      <c r="G33" s="585">
        <v>0</v>
      </c>
    </row>
    <row r="34" spans="2:9" ht="12.95" customHeight="1">
      <c r="B34" s="557" t="s">
        <v>980</v>
      </c>
      <c r="C34" s="585">
        <v>-35.494</v>
      </c>
      <c r="D34" s="585">
        <v>-1.9630000000000001</v>
      </c>
      <c r="E34" s="585">
        <v>-0.88</v>
      </c>
      <c r="F34" s="585">
        <v>-1.9370000000000001</v>
      </c>
      <c r="G34" s="585">
        <v>-6.4560000000000004</v>
      </c>
    </row>
    <row r="35" spans="2:9" ht="12.95" customHeight="1">
      <c r="B35" s="557" t="s">
        <v>961</v>
      </c>
      <c r="C35" s="585">
        <v>-1.0189999999999999</v>
      </c>
      <c r="D35" s="585">
        <v>-7.5279999999999996</v>
      </c>
      <c r="E35" s="585">
        <v>-1.4450000000000001</v>
      </c>
      <c r="F35" s="585">
        <v>-11.247999999999999</v>
      </c>
      <c r="G35" s="585">
        <v>-10.237</v>
      </c>
    </row>
    <row r="36" spans="2:9" ht="12.95" customHeight="1">
      <c r="B36" s="557" t="s">
        <v>962</v>
      </c>
      <c r="C36" s="585">
        <v>-19.536999999999999</v>
      </c>
      <c r="D36" s="585">
        <v>-7.75</v>
      </c>
      <c r="E36" s="585">
        <v>-5.665</v>
      </c>
      <c r="F36" s="585">
        <v>-16.922000000000001</v>
      </c>
      <c r="G36" s="585">
        <v>-20.506</v>
      </c>
    </row>
    <row r="37" spans="2:9" ht="12.95" customHeight="1">
      <c r="B37" s="557" t="s">
        <v>963</v>
      </c>
      <c r="C37" s="585">
        <v>-514.28599999999994</v>
      </c>
      <c r="D37" s="585">
        <v>-661.82100000000003</v>
      </c>
      <c r="E37" s="585">
        <v>-499.23700000000002</v>
      </c>
      <c r="F37" s="585">
        <v>-418.51799999999997</v>
      </c>
      <c r="G37" s="585">
        <v>-270.34500000000003</v>
      </c>
    </row>
    <row r="38" spans="2:9" ht="12.95" customHeight="1">
      <c r="B38" s="557" t="s">
        <v>981</v>
      </c>
      <c r="C38" s="585">
        <v>284.94299999999998</v>
      </c>
      <c r="D38" s="585">
        <v>461.09800000000001</v>
      </c>
      <c r="E38" s="585">
        <v>495.84800000000001</v>
      </c>
      <c r="F38" s="585">
        <v>590.63</v>
      </c>
      <c r="G38" s="585">
        <v>277.52</v>
      </c>
      <c r="H38" s="566"/>
    </row>
    <row r="39" spans="2:9" ht="12.95" customHeight="1">
      <c r="B39" s="560" t="s">
        <v>964</v>
      </c>
      <c r="C39" s="587">
        <f>SUM(C33:C38)</f>
        <v>-285.39299999999992</v>
      </c>
      <c r="D39" s="587">
        <f t="shared" ref="D39:G39" si="2">SUM(D33:D38)</f>
        <v>-488.37299999999999</v>
      </c>
      <c r="E39" s="587">
        <f t="shared" si="2"/>
        <v>-11.379000000000019</v>
      </c>
      <c r="F39" s="587">
        <f t="shared" si="2"/>
        <v>-1557.9689999999996</v>
      </c>
      <c r="G39" s="587">
        <f t="shared" si="2"/>
        <v>-30.024000000000058</v>
      </c>
    </row>
    <row r="40" spans="2:9" ht="12.95" customHeight="1">
      <c r="C40" s="588"/>
      <c r="D40" s="589"/>
      <c r="E40" s="589"/>
      <c r="F40" s="589"/>
      <c r="G40" s="589"/>
    </row>
    <row r="41" spans="2:9" ht="12.95" customHeight="1">
      <c r="B41" s="574" t="s">
        <v>965</v>
      </c>
      <c r="C41" s="585"/>
      <c r="D41" s="585"/>
      <c r="E41" s="585"/>
      <c r="F41" s="585"/>
      <c r="G41" s="585"/>
    </row>
    <row r="42" spans="2:9" ht="12.95" customHeight="1">
      <c r="B42" s="557" t="s">
        <v>982</v>
      </c>
      <c r="C42" s="585">
        <v>-24.065000000000001</v>
      </c>
      <c r="D42" s="585">
        <v>-32.546999999999997</v>
      </c>
      <c r="E42" s="585">
        <v>-47.716000000000001</v>
      </c>
      <c r="F42" s="585">
        <v>-118.167</v>
      </c>
      <c r="G42" s="585">
        <v>-79.162999999999997</v>
      </c>
    </row>
    <row r="43" spans="2:9" ht="12.95" customHeight="1">
      <c r="B43" s="557" t="s">
        <v>966</v>
      </c>
      <c r="C43" s="585">
        <v>-134.64699999999999</v>
      </c>
      <c r="D43" s="585">
        <v>-176.98500000000001</v>
      </c>
      <c r="E43" s="585">
        <v>-268.65300000000002</v>
      </c>
      <c r="F43" s="585">
        <v>-302.774</v>
      </c>
      <c r="G43" s="585">
        <v>-425.72699999999998</v>
      </c>
    </row>
    <row r="44" spans="2:9" ht="12.95" customHeight="1">
      <c r="B44" s="557" t="s">
        <v>967</v>
      </c>
      <c r="C44" s="585">
        <v>18.253</v>
      </c>
      <c r="D44" s="585">
        <v>9.7910000000000004</v>
      </c>
      <c r="E44" s="585">
        <v>25.318999999999999</v>
      </c>
      <c r="F44" s="585">
        <v>22.706</v>
      </c>
      <c r="G44" s="585">
        <v>15.023999999999999</v>
      </c>
    </row>
    <row r="45" spans="2:9" ht="12.95" customHeight="1">
      <c r="B45" s="557" t="s">
        <v>983</v>
      </c>
      <c r="C45" s="585">
        <v>345</v>
      </c>
      <c r="D45" s="585">
        <v>650</v>
      </c>
      <c r="E45" s="585">
        <v>650</v>
      </c>
      <c r="F45" s="585">
        <v>1000</v>
      </c>
      <c r="G45" s="585">
        <v>0</v>
      </c>
    </row>
    <row r="46" spans="2:9" ht="12.95" customHeight="1">
      <c r="B46" s="557" t="s">
        <v>968</v>
      </c>
      <c r="C46" s="585">
        <v>-9.9619999999999997</v>
      </c>
      <c r="D46" s="585">
        <v>-11.904</v>
      </c>
      <c r="E46" s="585">
        <v>-10.531000000000001</v>
      </c>
      <c r="F46" s="585">
        <v>-13.3</v>
      </c>
      <c r="G46" s="585">
        <v>-2.5000000000000001E-2</v>
      </c>
      <c r="I46" s="557"/>
    </row>
    <row r="47" spans="2:9" ht="12.95" customHeight="1">
      <c r="B47" s="557" t="s">
        <v>969</v>
      </c>
      <c r="C47" s="585">
        <v>-34.223999999999997</v>
      </c>
      <c r="D47" s="585">
        <v>-76.180000000000007</v>
      </c>
      <c r="E47" s="585">
        <v>-74.685000000000002</v>
      </c>
      <c r="F47" s="585">
        <v>-85</v>
      </c>
      <c r="G47" s="585">
        <v>0</v>
      </c>
    </row>
    <row r="48" spans="2:9" ht="12.95" customHeight="1">
      <c r="B48" s="557" t="s">
        <v>970</v>
      </c>
      <c r="C48" s="585">
        <v>0</v>
      </c>
      <c r="D48" s="585">
        <v>0</v>
      </c>
      <c r="E48" s="585">
        <v>-137.16800000000001</v>
      </c>
      <c r="F48" s="585">
        <v>-43.9</v>
      </c>
      <c r="G48" s="585">
        <v>-4.3999999999999997E-2</v>
      </c>
    </row>
    <row r="49" spans="2:9" ht="12.95" customHeight="1">
      <c r="B49" s="557" t="s">
        <v>971</v>
      </c>
      <c r="C49" s="585">
        <v>-6.0570000000000004</v>
      </c>
      <c r="D49" s="585">
        <v>-10.833</v>
      </c>
      <c r="E49" s="585">
        <v>-9.2110000000000003</v>
      </c>
      <c r="F49" s="585">
        <v>-8.8640000000000008</v>
      </c>
      <c r="G49" s="585">
        <v>-6.3070000000000004</v>
      </c>
    </row>
    <row r="50" spans="2:9" ht="12.95" customHeight="1">
      <c r="B50" s="557" t="s">
        <v>990</v>
      </c>
      <c r="C50" s="585">
        <v>-10.164</v>
      </c>
      <c r="D50" s="585">
        <v>0</v>
      </c>
      <c r="E50" s="590">
        <v>0</v>
      </c>
      <c r="F50" s="590">
        <v>0</v>
      </c>
      <c r="G50" s="590">
        <v>0</v>
      </c>
    </row>
    <row r="51" spans="2:9" ht="12.95" customHeight="1">
      <c r="B51" s="557" t="s">
        <v>972</v>
      </c>
      <c r="C51" s="585">
        <v>-0.128</v>
      </c>
      <c r="D51" s="585">
        <v>8.2650000000000006</v>
      </c>
      <c r="E51" s="585">
        <v>-8.0730000000000004</v>
      </c>
      <c r="F51" s="585">
        <v>2.048</v>
      </c>
      <c r="G51" s="585">
        <v>-10.242000000000001</v>
      </c>
    </row>
    <row r="52" spans="2:9" ht="12.95" customHeight="1">
      <c r="B52" s="560" t="s">
        <v>984</v>
      </c>
      <c r="C52" s="587">
        <f>SUM(C42:C51)</f>
        <v>144.00600000000006</v>
      </c>
      <c r="D52" s="587">
        <f t="shared" ref="D52:G52" si="3">SUM(D42:D51)</f>
        <v>359.60699999999997</v>
      </c>
      <c r="E52" s="587">
        <f t="shared" si="3"/>
        <v>119.28199999999998</v>
      </c>
      <c r="F52" s="587">
        <f t="shared" si="3"/>
        <v>452.74900000000008</v>
      </c>
      <c r="G52" s="587">
        <f t="shared" si="3"/>
        <v>-506.48399999999998</v>
      </c>
    </row>
    <row r="53" spans="2:9" ht="12.95" customHeight="1">
      <c r="B53" s="557"/>
      <c r="C53" s="586"/>
      <c r="D53" s="586"/>
      <c r="E53" s="586"/>
      <c r="F53" s="586"/>
      <c r="G53" s="586"/>
    </row>
    <row r="54" spans="2:9" ht="12.95" customHeight="1">
      <c r="B54" s="557" t="s">
        <v>973</v>
      </c>
      <c r="C54" s="585">
        <v>-5.9950000000000001</v>
      </c>
      <c r="D54" s="585">
        <v>-1.8460000000000001</v>
      </c>
      <c r="E54" s="585">
        <v>13.946999999999999</v>
      </c>
      <c r="F54" s="585">
        <v>-10.234</v>
      </c>
      <c r="G54" s="585">
        <v>-6.0220000000000002</v>
      </c>
    </row>
    <row r="55" spans="2:9" ht="12.95" customHeight="1">
      <c r="C55" s="588"/>
      <c r="D55" s="589"/>
      <c r="E55" s="589"/>
      <c r="F55" s="589"/>
      <c r="G55" s="589"/>
    </row>
    <row r="56" spans="2:9" ht="12.95" customHeight="1">
      <c r="B56" s="560" t="s">
        <v>985</v>
      </c>
      <c r="C56" s="587">
        <f>C30+C39+C52+C54</f>
        <v>51.543000000000156</v>
      </c>
      <c r="D56" s="587">
        <f t="shared" ref="D56:G56" si="4">D30+D39+D52+D54</f>
        <v>76.30800000000005</v>
      </c>
      <c r="E56" s="587">
        <f t="shared" si="4"/>
        <v>800.80599999999993</v>
      </c>
      <c r="F56" s="587">
        <f t="shared" si="4"/>
        <v>-463.90299999999934</v>
      </c>
      <c r="G56" s="587">
        <f t="shared" si="4"/>
        <v>141.08199999999999</v>
      </c>
    </row>
    <row r="57" spans="2:9" ht="12.95" customHeight="1">
      <c r="B57" s="557" t="s">
        <v>987</v>
      </c>
      <c r="C57" s="585">
        <v>320.78300000000002</v>
      </c>
      <c r="D57" s="585">
        <f>'Balance Sheet'!C6+'Balance Sheet'!C12</f>
        <v>372.32600000000002</v>
      </c>
      <c r="E57" s="585">
        <f>'Balance Sheet'!D6+'Balance Sheet'!D12</f>
        <v>448.63400000000001</v>
      </c>
      <c r="F57" s="585">
        <f>'Balance Sheet'!E6+'Balance Sheet'!E12</f>
        <v>1249.4399999999998</v>
      </c>
      <c r="G57" s="585">
        <f>'Balance Sheet'!F6+'Balance Sheet'!F12</f>
        <v>785.53700000000003</v>
      </c>
      <c r="H57" s="566"/>
    </row>
    <row r="58" spans="2:9" ht="12.95" customHeight="1">
      <c r="B58" s="557" t="s">
        <v>986</v>
      </c>
      <c r="C58" s="585">
        <f t="shared" ref="C58:F58" si="5">C57+C56</f>
        <v>372.32600000000019</v>
      </c>
      <c r="D58" s="585">
        <f t="shared" si="5"/>
        <v>448.63400000000007</v>
      </c>
      <c r="E58" s="585">
        <f t="shared" si="5"/>
        <v>1249.44</v>
      </c>
      <c r="F58" s="585">
        <f t="shared" si="5"/>
        <v>785.53700000000049</v>
      </c>
      <c r="G58" s="585">
        <f>G57+G56</f>
        <v>926.61900000000003</v>
      </c>
      <c r="H58" s="566"/>
    </row>
    <row r="59" spans="2:9" ht="12.95" customHeight="1">
      <c r="B59" s="574" t="s">
        <v>992</v>
      </c>
      <c r="C59" s="585">
        <f t="shared" ref="C59:F59" si="6">-(C58-C60)</f>
        <v>-1.7053025658242404E-13</v>
      </c>
      <c r="D59" s="585">
        <f t="shared" si="6"/>
        <v>-76.30800000000005</v>
      </c>
      <c r="E59" s="585">
        <f t="shared" si="6"/>
        <v>-5.3410000000001219</v>
      </c>
      <c r="F59" s="585">
        <f t="shared" si="6"/>
        <v>-5.3410000000004629</v>
      </c>
      <c r="G59" s="585">
        <f>-(G58-G60)</f>
        <v>-5.3410000000000082</v>
      </c>
      <c r="I59" s="557"/>
    </row>
    <row r="60" spans="2:9" ht="12.95" customHeight="1">
      <c r="B60" s="567" t="s">
        <v>85</v>
      </c>
      <c r="C60" s="591">
        <v>372.32600000000002</v>
      </c>
      <c r="D60" s="591">
        <v>372.32600000000002</v>
      </c>
      <c r="E60" s="591">
        <v>1244.0989999999999</v>
      </c>
      <c r="F60" s="591">
        <v>780.19600000000003</v>
      </c>
      <c r="G60" s="591">
        <v>921.27800000000002</v>
      </c>
    </row>
    <row r="61" spans="2:9" ht="12.95" customHeight="1">
      <c r="B61" s="562"/>
      <c r="C61" s="570"/>
      <c r="D61" s="558"/>
      <c r="E61" s="558"/>
      <c r="F61" s="558"/>
      <c r="G61" s="558"/>
    </row>
    <row r="62" spans="2:9" ht="12.95" customHeight="1">
      <c r="B62" s="574"/>
      <c r="C62" s="570"/>
      <c r="D62" s="558"/>
      <c r="E62" s="558"/>
      <c r="F62" s="558"/>
      <c r="G62" s="558"/>
      <c r="I62" s="557"/>
    </row>
    <row r="63" spans="2:9" ht="12.95" customHeight="1">
      <c r="B63" s="562"/>
      <c r="C63" s="570"/>
      <c r="D63" s="558"/>
      <c r="E63" s="558"/>
      <c r="F63" s="558"/>
      <c r="G63" s="558"/>
      <c r="I63" s="557"/>
    </row>
    <row r="64" spans="2:9" ht="12.95" customHeight="1">
      <c r="B64" s="562"/>
      <c r="C64" s="570"/>
      <c r="D64" s="558"/>
      <c r="E64" s="558"/>
      <c r="F64" s="558"/>
      <c r="G64" s="558"/>
      <c r="I64" s="557"/>
    </row>
    <row r="65" spans="2:12" ht="12.95" customHeight="1">
      <c r="B65" s="562"/>
      <c r="C65" s="570"/>
      <c r="D65" s="558"/>
      <c r="E65" s="569"/>
      <c r="F65" s="569"/>
      <c r="G65" s="569"/>
    </row>
    <row r="66" spans="2:12" ht="12.95" customHeight="1">
      <c r="B66" s="562"/>
      <c r="C66" s="570"/>
      <c r="D66" s="558"/>
      <c r="E66" s="558"/>
      <c r="F66" s="558"/>
      <c r="G66" s="558"/>
    </row>
    <row r="67" spans="2:12" ht="12.95" customHeight="1">
      <c r="B67" s="562"/>
      <c r="C67" s="570"/>
      <c r="D67" s="558"/>
      <c r="E67" s="558"/>
      <c r="F67" s="558"/>
      <c r="G67" s="558"/>
      <c r="H67" s="566"/>
      <c r="I67" s="566"/>
      <c r="J67" s="566"/>
      <c r="K67" s="566"/>
      <c r="L67" s="566"/>
    </row>
    <row r="68" spans="2:12" ht="12.95" customHeight="1">
      <c r="H68" s="566"/>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9</vt:i4>
      </vt:variant>
    </vt:vector>
  </HeadingPairs>
  <TitlesOfParts>
    <vt:vector size="44" baseType="lpstr">
      <vt:lpstr>Dashboard</vt:lpstr>
      <vt:lpstr>Drivers</vt:lpstr>
      <vt:lpstr>About</vt:lpstr>
      <vt:lpstr>Corporate Governance</vt:lpstr>
      <vt:lpstr>Index</vt:lpstr>
      <vt:lpstr>Risk Free Rate &amp; ERP</vt:lpstr>
      <vt:lpstr>Beta Calculation Data</vt:lpstr>
      <vt:lpstr>Bottom Up Beta</vt:lpstr>
      <vt:lpstr>Cost of Equity, Debt &amp; WACC</vt:lpstr>
      <vt:lpstr>Cash Flows</vt:lpstr>
      <vt:lpstr>Accounting Adjustments</vt:lpstr>
      <vt:lpstr>Reinvestment</vt:lpstr>
      <vt:lpstr>FCFF &amp; FCFE</vt:lpstr>
      <vt:lpstr>Growth Rate &amp; TV</vt:lpstr>
      <vt:lpstr>Expected Growth Rate</vt:lpstr>
      <vt:lpstr>Key Performance Indicators</vt:lpstr>
      <vt:lpstr>Future CashFlows (10Y)</vt:lpstr>
      <vt:lpstr>Terminal Value</vt:lpstr>
      <vt:lpstr>Road to Fair Value of Share</vt:lpstr>
      <vt:lpstr>Cash &amp; Marketable Securities</vt:lpstr>
      <vt:lpstr>Future Value (Equity Options)</vt:lpstr>
      <vt:lpstr>Fair Value of Share</vt:lpstr>
      <vt:lpstr>What If Analysis</vt:lpstr>
      <vt:lpstr>Sensitivity Analysis</vt:lpstr>
      <vt:lpstr>Scenario Analysis</vt:lpstr>
      <vt:lpstr>Financing Decision</vt:lpstr>
      <vt:lpstr>Debt Design Explained</vt:lpstr>
      <vt:lpstr>Optimal Cost of Capital</vt:lpstr>
      <vt:lpstr>Adjusted Present Value</vt:lpstr>
      <vt:lpstr>Dividend Decision</vt:lpstr>
      <vt:lpstr>Dividend-Buyback Explained</vt:lpstr>
      <vt:lpstr>Resources</vt:lpstr>
      <vt:lpstr>Income Statement</vt:lpstr>
      <vt:lpstr>Balance Sheet</vt:lpstr>
      <vt:lpstr>Cash Flow Statement</vt:lpstr>
      <vt:lpstr>'Adjusted Present Value'!Print_Area</vt:lpstr>
      <vt:lpstr>Dashboard!Print_Area</vt:lpstr>
      <vt:lpstr>'Debt Design Explained'!Print_Area</vt:lpstr>
      <vt:lpstr>'Dividend-Buyback Explained'!Print_Area</vt:lpstr>
      <vt:lpstr>'Fair Value of Share'!Print_Area</vt:lpstr>
      <vt:lpstr>'Future Value (Equity Options)'!Print_Area</vt:lpstr>
      <vt:lpstr>'Optimal Cost of Capital'!Print_Area</vt:lpstr>
      <vt:lpstr>'Scenario Analysis'!Print_Area</vt:lpstr>
      <vt:lpstr>'Sensitivity 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2023-04-04T17:57:58Z</dcterms:modified>
</cp:coreProperties>
</file>