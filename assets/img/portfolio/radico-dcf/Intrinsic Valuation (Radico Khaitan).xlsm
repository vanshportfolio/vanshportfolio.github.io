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24226"/>
  <bookViews>
    <workbookView xWindow="240" yWindow="585" windowWidth="14805" windowHeight="7530"/>
  </bookViews>
  <sheets>
    <sheet name="Cover" sheetId="28" r:id="rId1"/>
    <sheet name="About" sheetId="29" r:id="rId2"/>
    <sheet name="Corporate Governance" sheetId="59" r:id="rId3"/>
    <sheet name="Narrative" sheetId="50" r:id="rId4"/>
    <sheet name="Index" sheetId="4" r:id="rId5"/>
    <sheet name="Risk Free Rate" sheetId="24" r:id="rId6"/>
    <sheet name="Equity Risk Premium - India" sheetId="26" r:id="rId7"/>
    <sheet name="Radico Khaitan ERP" sheetId="54" r:id="rId8"/>
    <sheet name="Beta" sheetId="30" r:id="rId9"/>
    <sheet name="Cost of Equity &amp; Debt" sheetId="23" r:id="rId10"/>
    <sheet name="WACC" sheetId="31" r:id="rId11"/>
    <sheet name="Cash Flows" sheetId="17" r:id="rId12"/>
    <sheet name="Numbers" sheetId="49" r:id="rId13"/>
    <sheet name="EBIT &amp; Advertising Expense" sheetId="55" r:id="rId14"/>
    <sheet name="EBIT &amp; Operating Leases" sheetId="56" r:id="rId15"/>
    <sheet name="Net CapEx" sheetId="32" r:id="rId16"/>
    <sheet name="Working Capital Changes" sheetId="34" r:id="rId17"/>
    <sheet name="FCFF &amp; FCFE" sheetId="35" r:id="rId18"/>
    <sheet name="Growth Rate &amp; TV" sheetId="36" r:id="rId19"/>
    <sheet name="Expected Growth Rate" sheetId="39" r:id="rId20"/>
    <sheet name="Future Cashflows (10 Yrs)" sheetId="37" r:id="rId21"/>
    <sheet name="Terminal Value" sheetId="40" r:id="rId22"/>
    <sheet name="Road to Fair Value of Share" sheetId="42" r:id="rId23"/>
    <sheet name="Cash &amp; Marketable Securities" sheetId="43" r:id="rId24"/>
    <sheet name="Value of Cross Holdings" sheetId="41" r:id="rId25"/>
    <sheet name="Future Value of Equity Options" sheetId="57" r:id="rId26"/>
    <sheet name="Fair Value of Share" sheetId="48" r:id="rId27"/>
  </sheets>
  <definedNames>
    <definedName name="_xlnm.Print_Area" localSheetId="25">'Future Value of Equity Options'!$B$3:$M$29</definedName>
  </definedNames>
  <calcPr calcId="162913" iterate="1"/>
</workbook>
</file>

<file path=xl/calcChain.xml><?xml version="1.0" encoding="utf-8"?>
<calcChain xmlns="http://schemas.openxmlformats.org/spreadsheetml/2006/main">
  <c r="H18" i="37" l="1"/>
  <c r="G59" i="39"/>
  <c r="D20" i="37" s="1"/>
  <c r="C23" i="57"/>
  <c r="C21" i="57"/>
  <c r="C20" i="57"/>
  <c r="C22" i="57"/>
  <c r="C28" i="57"/>
  <c r="C26" i="57"/>
  <c r="C25" i="57"/>
  <c r="C27" i="57"/>
  <c r="C24" i="57"/>
  <c r="C29" i="57"/>
  <c r="D4" i="37"/>
  <c r="C6" i="49"/>
  <c r="C5" i="49"/>
  <c r="C10" i="49"/>
  <c r="C4" i="49"/>
  <c r="C8" i="49"/>
  <c r="D27" i="37" l="1"/>
  <c r="D23" i="37"/>
  <c r="D26" i="37"/>
  <c r="D22" i="37"/>
  <c r="D19" i="37"/>
  <c r="D25" i="37"/>
  <c r="D21" i="37"/>
  <c r="D28" i="37"/>
  <c r="D24" i="37"/>
  <c r="F9" i="56"/>
  <c r="F8" i="56"/>
  <c r="F7" i="56"/>
  <c r="F6" i="56"/>
  <c r="C17" i="59"/>
  <c r="D17" i="59"/>
  <c r="C8" i="59"/>
  <c r="D8" i="59"/>
  <c r="B8" i="4" l="1"/>
  <c r="B9" i="4" s="1"/>
  <c r="B10" i="4" s="1"/>
  <c r="B11" i="4" s="1"/>
  <c r="B12" i="4" s="1"/>
  <c r="B13" i="4" s="1"/>
  <c r="B14" i="4" s="1"/>
  <c r="B15" i="4" s="1"/>
  <c r="B16" i="4" s="1"/>
  <c r="B17" i="4" s="1"/>
  <c r="B18" i="4" s="1"/>
  <c r="B19" i="4" s="1"/>
  <c r="B20" i="4" s="1"/>
  <c r="B21" i="4" s="1"/>
  <c r="B22" i="4" s="1"/>
  <c r="B23" i="4" s="1"/>
  <c r="B24" i="4" s="1"/>
  <c r="B25" i="4" s="1"/>
  <c r="B26" i="4" s="1"/>
  <c r="B27" i="4" s="1"/>
  <c r="H5" i="57" l="1"/>
  <c r="G5" i="57"/>
  <c r="F5" i="57"/>
  <c r="E5" i="57"/>
  <c r="D5" i="57"/>
  <c r="C5" i="57"/>
  <c r="H6" i="57"/>
  <c r="H7" i="57" s="1"/>
  <c r="G6" i="57"/>
  <c r="F6" i="57"/>
  <c r="E6" i="57"/>
  <c r="D6" i="57"/>
  <c r="D7" i="57" s="1"/>
  <c r="E7" i="57"/>
  <c r="F7" i="57"/>
  <c r="G7" i="57"/>
  <c r="B21" i="57"/>
  <c r="B22" i="57"/>
  <c r="B23" i="57" s="1"/>
  <c r="B24" i="57" s="1"/>
  <c r="B25" i="57" s="1"/>
  <c r="B26" i="57" s="1"/>
  <c r="B27" i="57" s="1"/>
  <c r="B28" i="57" s="1"/>
  <c r="B29" i="57" s="1"/>
  <c r="G14" i="41" l="1"/>
  <c r="H14" i="41" s="1"/>
  <c r="H16" i="41" s="1"/>
  <c r="J19" i="39"/>
  <c r="C22" i="48" l="1"/>
  <c r="C24" i="48"/>
  <c r="C6" i="43"/>
  <c r="G10" i="40"/>
  <c r="E14" i="37"/>
  <c r="C5" i="37"/>
  <c r="C6" i="37" s="1"/>
  <c r="C7" i="37" s="1"/>
  <c r="C8" i="37" s="1"/>
  <c r="C9" i="37" s="1"/>
  <c r="C10" i="37" s="1"/>
  <c r="C11" i="37" s="1"/>
  <c r="C12" i="37" s="1"/>
  <c r="C13" i="37" s="1"/>
  <c r="C14" i="37" s="1"/>
  <c r="C4" i="37"/>
  <c r="H59" i="39"/>
  <c r="G58" i="39"/>
  <c r="G57" i="39"/>
  <c r="G56" i="39"/>
  <c r="G55" i="39"/>
  <c r="G54" i="39"/>
  <c r="G53" i="39"/>
  <c r="G52" i="39"/>
  <c r="G51" i="39"/>
  <c r="G50" i="39"/>
  <c r="G49" i="39"/>
  <c r="G48" i="39"/>
  <c r="G47" i="39"/>
  <c r="G46" i="39"/>
  <c r="G45" i="39"/>
  <c r="G44" i="39"/>
  <c r="G43" i="39"/>
  <c r="G42" i="39"/>
  <c r="G41" i="39"/>
  <c r="G40" i="39"/>
  <c r="G39" i="39"/>
  <c r="G38" i="39"/>
  <c r="G37" i="39"/>
  <c r="G36" i="39"/>
  <c r="G35" i="39"/>
  <c r="G34" i="39"/>
  <c r="G33" i="39"/>
  <c r="G32" i="39"/>
  <c r="G31" i="39"/>
  <c r="G30" i="39"/>
  <c r="G29" i="39"/>
  <c r="G28" i="39"/>
  <c r="G27" i="39"/>
  <c r="G26" i="39"/>
  <c r="G25" i="39"/>
  <c r="G24" i="39"/>
  <c r="G23" i="39"/>
  <c r="G22" i="39"/>
  <c r="G21" i="39"/>
  <c r="G20" i="39"/>
  <c r="G19" i="39"/>
  <c r="G17" i="39"/>
  <c r="H17" i="39"/>
  <c r="G16" i="39"/>
  <c r="G14" i="39"/>
  <c r="G13" i="39"/>
  <c r="G12" i="39"/>
  <c r="G11" i="39"/>
  <c r="G10" i="39"/>
  <c r="G9" i="39"/>
  <c r="G8" i="39"/>
  <c r="G7" i="39"/>
  <c r="G6" i="39"/>
  <c r="G5" i="39"/>
  <c r="J15" i="35"/>
  <c r="J13" i="35"/>
  <c r="J14" i="35"/>
  <c r="G6" i="35"/>
  <c r="G16" i="34"/>
  <c r="G18" i="34"/>
  <c r="C11" i="34"/>
  <c r="C8" i="34"/>
  <c r="C5" i="34"/>
  <c r="F21" i="34"/>
  <c r="I18" i="34"/>
  <c r="H18" i="34"/>
  <c r="F14" i="34"/>
  <c r="F9" i="34"/>
  <c r="H11" i="34"/>
  <c r="I11" i="34"/>
  <c r="J11" i="34"/>
  <c r="K11" i="34"/>
  <c r="J9" i="34"/>
  <c r="K9" i="34"/>
  <c r="H14" i="34"/>
  <c r="G14" i="34"/>
  <c r="H9" i="34"/>
  <c r="G9" i="34"/>
  <c r="C8" i="32"/>
  <c r="C7" i="32"/>
  <c r="C6" i="32"/>
  <c r="C3" i="32"/>
  <c r="C16" i="56"/>
  <c r="C9" i="56"/>
  <c r="C5" i="56"/>
  <c r="E6" i="56"/>
  <c r="E7" i="56" s="1"/>
  <c r="E8" i="56" s="1"/>
  <c r="E9" i="56" s="1"/>
  <c r="E10" i="56" s="1"/>
  <c r="I8" i="55"/>
  <c r="H8" i="55"/>
  <c r="J8" i="55"/>
  <c r="K8" i="55"/>
  <c r="L8" i="55"/>
  <c r="C7" i="55"/>
  <c r="C5" i="55"/>
  <c r="M8" i="55"/>
  <c r="C6" i="55" s="1"/>
  <c r="M7" i="55"/>
  <c r="J7" i="55"/>
  <c r="L7" i="55"/>
  <c r="L5" i="55"/>
  <c r="K5" i="55"/>
  <c r="K6" i="55"/>
  <c r="J6" i="55"/>
  <c r="I6" i="55"/>
  <c r="H6" i="55"/>
  <c r="G9" i="56" l="1"/>
  <c r="F16" i="34"/>
  <c r="G21" i="34"/>
  <c r="H16" i="34"/>
  <c r="H21" i="34" s="1"/>
  <c r="G6" i="56"/>
  <c r="G8" i="56"/>
  <c r="G10" i="56"/>
  <c r="G7" i="56"/>
  <c r="G5" i="56"/>
  <c r="G11" i="56" l="1"/>
  <c r="J5" i="55"/>
  <c r="I5" i="55"/>
  <c r="H5" i="55"/>
  <c r="G5" i="55"/>
  <c r="K7" i="55"/>
  <c r="C9" i="49"/>
  <c r="C7" i="49"/>
  <c r="C10" i="55"/>
  <c r="I7" i="55"/>
  <c r="H7" i="55"/>
  <c r="G7" i="55"/>
  <c r="C21" i="23"/>
  <c r="C7" i="56" l="1"/>
  <c r="C10" i="56"/>
  <c r="F9" i="31" l="1"/>
  <c r="F10" i="31" s="1"/>
  <c r="C13" i="56"/>
  <c r="C9" i="32"/>
  <c r="C4" i="30"/>
  <c r="C8" i="39" l="1"/>
  <c r="F13" i="31"/>
  <c r="C8" i="56"/>
  <c r="C15" i="54"/>
  <c r="C14" i="54"/>
  <c r="D5" i="54"/>
  <c r="D4" i="54"/>
  <c r="D6" i="54"/>
  <c r="C6" i="54"/>
  <c r="C16" i="54" l="1"/>
  <c r="L22" i="26"/>
  <c r="K21" i="26"/>
  <c r="F23" i="26" s="1"/>
  <c r="L21" i="26"/>
  <c r="G5" i="40" l="1"/>
  <c r="C6" i="23"/>
  <c r="M8" i="26"/>
  <c r="C11" i="26"/>
  <c r="I14" i="26"/>
  <c r="J14" i="26"/>
  <c r="I9" i="34" l="1"/>
  <c r="K14" i="34"/>
  <c r="C6" i="57"/>
  <c r="C4" i="32"/>
  <c r="C5" i="32" s="1"/>
  <c r="C10" i="32" s="1"/>
  <c r="G18" i="37"/>
  <c r="C13" i="57" l="1"/>
  <c r="C7" i="57"/>
  <c r="H8" i="57" s="1"/>
  <c r="C12" i="57" s="1"/>
  <c r="D18" i="37"/>
  <c r="F17" i="31"/>
  <c r="F22" i="31" s="1"/>
  <c r="C20" i="48" s="1"/>
  <c r="C4" i="55"/>
  <c r="C9" i="55" s="1"/>
  <c r="C11" i="55" s="1"/>
  <c r="C4" i="56" s="1"/>
  <c r="C12" i="56" s="1"/>
  <c r="C14" i="56" s="1"/>
  <c r="C14" i="57" l="1"/>
  <c r="G5" i="35"/>
  <c r="C17" i="56"/>
  <c r="G12" i="40"/>
  <c r="G15" i="40" s="1"/>
  <c r="G11" i="40"/>
  <c r="G4" i="37" l="1"/>
  <c r="G8" i="35"/>
  <c r="J5" i="35"/>
  <c r="J7" i="35" s="1"/>
  <c r="J9" i="35" s="1"/>
  <c r="B20" i="37"/>
  <c r="B21" i="37" s="1"/>
  <c r="B22" i="37" s="1"/>
  <c r="B23" i="37" s="1"/>
  <c r="B24" i="37" s="1"/>
  <c r="B25" i="37" s="1"/>
  <c r="B26" i="37" s="1"/>
  <c r="B27" i="37" s="1"/>
  <c r="B28" i="37" s="1"/>
  <c r="K3" i="37"/>
  <c r="H4" i="37" s="1"/>
  <c r="B6" i="37"/>
  <c r="B7" i="37" s="1"/>
  <c r="B8" i="37" s="1"/>
  <c r="B9" i="37" s="1"/>
  <c r="B10" i="37" s="1"/>
  <c r="B11" i="37" s="1"/>
  <c r="B12" i="37" s="1"/>
  <c r="B13" i="37" s="1"/>
  <c r="B14" i="37" s="1"/>
  <c r="C19" i="57" l="1"/>
  <c r="G19" i="57" s="1"/>
  <c r="F4" i="37"/>
  <c r="D19" i="57" s="1"/>
  <c r="C8" i="40"/>
  <c r="F11" i="35" l="1"/>
  <c r="I14" i="34"/>
  <c r="I16" i="34" s="1"/>
  <c r="J14" i="34"/>
  <c r="B5" i="35"/>
  <c r="B4" i="35"/>
  <c r="K16" i="34" l="1"/>
  <c r="K21" i="34" s="1"/>
  <c r="I21" i="34"/>
  <c r="J16" i="34"/>
  <c r="F10" i="35"/>
  <c r="J8" i="35"/>
  <c r="I5" i="35"/>
  <c r="J18" i="34" l="1"/>
  <c r="J21" i="34"/>
  <c r="K22" i="34" s="1"/>
  <c r="K18" i="34"/>
  <c r="C3" i="34" l="1"/>
  <c r="C9" i="34" s="1"/>
  <c r="C11" i="31"/>
  <c r="B11" i="31"/>
  <c r="B9" i="31"/>
  <c r="B8" i="31"/>
  <c r="B6" i="31"/>
  <c r="B5" i="31"/>
  <c r="F28" i="31"/>
  <c r="C6" i="31" s="1"/>
  <c r="C6" i="34" l="1"/>
  <c r="C17" i="23"/>
  <c r="C16" i="23"/>
  <c r="C3" i="30"/>
  <c r="G11" i="35" l="1"/>
  <c r="F19" i="31"/>
  <c r="J13" i="26"/>
  <c r="J12" i="26"/>
  <c r="J11" i="26"/>
  <c r="E21" i="26"/>
  <c r="M4" i="26"/>
  <c r="J9" i="26"/>
  <c r="J10" i="26"/>
  <c r="C7" i="26"/>
  <c r="C6" i="26"/>
  <c r="C3" i="26"/>
  <c r="B6" i="4"/>
  <c r="B7" i="4" s="1"/>
  <c r="C8" i="31" l="1"/>
  <c r="M6" i="26"/>
  <c r="M7" i="26" s="1"/>
  <c r="C4" i="26"/>
  <c r="F21" i="26" s="1"/>
  <c r="C8" i="24"/>
  <c r="C4" i="24" s="1"/>
  <c r="F24" i="26" l="1"/>
  <c r="G4" i="40"/>
  <c r="C5" i="23"/>
  <c r="M5" i="26"/>
  <c r="M9" i="26" s="1"/>
  <c r="C13" i="26" s="1"/>
  <c r="G21" i="26" l="1"/>
  <c r="H21" i="26" s="1"/>
  <c r="I21" i="26" l="1"/>
  <c r="J21" i="26" s="1"/>
  <c r="F25" i="26" l="1"/>
  <c r="C9" i="31" l="1"/>
  <c r="G17" i="40" s="1"/>
  <c r="G18" i="40" s="1"/>
  <c r="G10" i="35" l="1"/>
  <c r="G12" i="35" s="1"/>
  <c r="G14" i="35" s="1"/>
  <c r="C7" i="39" l="1"/>
  <c r="C4" i="39"/>
  <c r="C3" i="39"/>
  <c r="C9" i="39" l="1"/>
  <c r="C8" i="43" s="1"/>
  <c r="C5" i="39"/>
  <c r="J11" i="35"/>
  <c r="C4" i="35"/>
  <c r="F18" i="37" s="1"/>
  <c r="C11" i="39" l="1"/>
  <c r="E5" i="37" s="1"/>
  <c r="E10" i="37" s="1"/>
  <c r="J17" i="35"/>
  <c r="C5" i="35" s="1"/>
  <c r="D5" i="37" l="1"/>
  <c r="C19" i="37" s="1"/>
  <c r="E12" i="37"/>
  <c r="E13" i="37" s="1"/>
  <c r="D13" i="57" l="1"/>
  <c r="D14" i="57" s="1"/>
  <c r="E20" i="57" s="1"/>
  <c r="D20" i="57"/>
  <c r="E11" i="37"/>
  <c r="E19" i="37" l="1"/>
  <c r="G19" i="37" l="1"/>
  <c r="F20" i="57"/>
  <c r="G20" i="57" s="1"/>
  <c r="F5" i="37" s="1"/>
  <c r="G5" i="37" s="1"/>
  <c r="H5" i="37" s="1"/>
  <c r="H19" i="37" l="1"/>
  <c r="F19" i="37"/>
  <c r="C6" i="48" s="1"/>
  <c r="C9" i="30" l="1"/>
  <c r="C10" i="30"/>
  <c r="H59" i="30"/>
  <c r="I59" i="30"/>
  <c r="C9" i="43"/>
  <c r="C10" i="43"/>
  <c r="C12" i="43"/>
  <c r="C7" i="23"/>
  <c r="C9" i="23"/>
  <c r="D6" i="48"/>
  <c r="E6" i="48"/>
  <c r="F6" i="48"/>
  <c r="G6" i="48"/>
  <c r="H6" i="48"/>
  <c r="I6" i="48"/>
  <c r="J6" i="48"/>
  <c r="K6" i="48"/>
  <c r="L6" i="48"/>
  <c r="C7" i="48"/>
  <c r="D7" i="48"/>
  <c r="E7" i="48"/>
  <c r="F7" i="48"/>
  <c r="G7" i="48"/>
  <c r="H7" i="48"/>
  <c r="I7" i="48"/>
  <c r="J7" i="48"/>
  <c r="K7" i="48"/>
  <c r="L7" i="48"/>
  <c r="C8" i="48"/>
  <c r="D8" i="48"/>
  <c r="E8" i="48"/>
  <c r="F8" i="48"/>
  <c r="G8" i="48"/>
  <c r="H8" i="48"/>
  <c r="I8" i="48"/>
  <c r="J8" i="48"/>
  <c r="K8" i="48"/>
  <c r="L8" i="48"/>
  <c r="C12" i="48"/>
  <c r="C13" i="48"/>
  <c r="C14" i="48"/>
  <c r="C15" i="48"/>
  <c r="C16" i="48"/>
  <c r="C19" i="48"/>
  <c r="C21" i="48"/>
  <c r="C23" i="48"/>
  <c r="C25" i="48"/>
  <c r="D6" i="37"/>
  <c r="E6" i="37"/>
  <c r="F6" i="37"/>
  <c r="G6" i="37"/>
  <c r="H6" i="37"/>
  <c r="D7" i="37"/>
  <c r="E7" i="37"/>
  <c r="F7" i="37"/>
  <c r="G7" i="37"/>
  <c r="H7" i="37"/>
  <c r="D8" i="37"/>
  <c r="E8" i="37"/>
  <c r="F8" i="37"/>
  <c r="G8" i="37"/>
  <c r="H8" i="37"/>
  <c r="D9" i="37"/>
  <c r="E9" i="37"/>
  <c r="F9" i="37"/>
  <c r="G9" i="37"/>
  <c r="H9" i="37"/>
  <c r="D10" i="37"/>
  <c r="F10" i="37"/>
  <c r="G10" i="37"/>
  <c r="H10" i="37"/>
  <c r="D11" i="37"/>
  <c r="F11" i="37"/>
  <c r="G11" i="37"/>
  <c r="H11" i="37"/>
  <c r="D12" i="37"/>
  <c r="F12" i="37"/>
  <c r="G12" i="37"/>
  <c r="H12" i="37"/>
  <c r="D13" i="37"/>
  <c r="F13" i="37"/>
  <c r="G13" i="37"/>
  <c r="H13" i="37"/>
  <c r="D14" i="37"/>
  <c r="F14" i="37"/>
  <c r="G14" i="37"/>
  <c r="H14" i="37"/>
  <c r="C20" i="37"/>
  <c r="E20" i="37"/>
  <c r="F20" i="37"/>
  <c r="G20" i="37"/>
  <c r="H20" i="37"/>
  <c r="C21" i="37"/>
  <c r="E21" i="37"/>
  <c r="F21" i="37"/>
  <c r="G21" i="37"/>
  <c r="H21" i="37"/>
  <c r="C22" i="37"/>
  <c r="E22" i="37"/>
  <c r="F22" i="37"/>
  <c r="G22" i="37"/>
  <c r="H22" i="37"/>
  <c r="C23" i="37"/>
  <c r="E23" i="37"/>
  <c r="F23" i="37"/>
  <c r="G23" i="37"/>
  <c r="H23" i="37"/>
  <c r="C24" i="37"/>
  <c r="E24" i="37"/>
  <c r="F24" i="37"/>
  <c r="G24" i="37"/>
  <c r="H24" i="37"/>
  <c r="C25" i="37"/>
  <c r="E25" i="37"/>
  <c r="F25" i="37"/>
  <c r="G25" i="37"/>
  <c r="H25" i="37"/>
  <c r="C26" i="37"/>
  <c r="E26" i="37"/>
  <c r="F26" i="37"/>
  <c r="G26" i="37"/>
  <c r="H26" i="37"/>
  <c r="C27" i="37"/>
  <c r="E27" i="37"/>
  <c r="F27" i="37"/>
  <c r="G27" i="37"/>
  <c r="H27" i="37"/>
  <c r="C28" i="37"/>
  <c r="E28" i="37"/>
  <c r="F28" i="37"/>
  <c r="G28" i="37"/>
  <c r="H28" i="37"/>
  <c r="E13" i="57"/>
  <c r="F13" i="57"/>
  <c r="G13" i="57"/>
  <c r="H13" i="57"/>
  <c r="I13" i="57"/>
  <c r="J13" i="57"/>
  <c r="K13" i="57"/>
  <c r="L13" i="57"/>
  <c r="M13" i="57"/>
  <c r="E14" i="57"/>
  <c r="F14" i="57"/>
  <c r="G14" i="57"/>
  <c r="H14" i="57"/>
  <c r="I14" i="57"/>
  <c r="J14" i="57"/>
  <c r="K14" i="57"/>
  <c r="L14" i="57"/>
  <c r="M14" i="57"/>
  <c r="D21" i="57"/>
  <c r="E21" i="57"/>
  <c r="F21" i="57"/>
  <c r="G21" i="57"/>
  <c r="D22" i="57"/>
  <c r="E22" i="57"/>
  <c r="F22" i="57"/>
  <c r="G22" i="57"/>
  <c r="D23" i="57"/>
  <c r="E23" i="57"/>
  <c r="F23" i="57"/>
  <c r="G23" i="57"/>
  <c r="D24" i="57"/>
  <c r="E24" i="57"/>
  <c r="F24" i="57"/>
  <c r="G24" i="57"/>
  <c r="D25" i="57"/>
  <c r="E25" i="57"/>
  <c r="F25" i="57"/>
  <c r="G25" i="57"/>
  <c r="D26" i="57"/>
  <c r="E26" i="57"/>
  <c r="F26" i="57"/>
  <c r="G26" i="57"/>
  <c r="D27" i="57"/>
  <c r="E27" i="57"/>
  <c r="F27" i="57"/>
  <c r="G27" i="57"/>
  <c r="D28" i="57"/>
  <c r="E28" i="57"/>
  <c r="F28" i="57"/>
  <c r="G28" i="57"/>
  <c r="D29" i="57"/>
  <c r="E29" i="57"/>
  <c r="F29" i="57"/>
  <c r="G29" i="57"/>
  <c r="C4" i="40"/>
  <c r="C5" i="40"/>
  <c r="G6" i="40"/>
  <c r="C7" i="40"/>
  <c r="G8" i="40"/>
  <c r="C9" i="40"/>
  <c r="C11" i="40"/>
  <c r="C13" i="40"/>
  <c r="G19" i="40"/>
  <c r="C5" i="31"/>
  <c r="C13" i="31"/>
</calcChain>
</file>

<file path=xl/sharedStrings.xml><?xml version="1.0" encoding="utf-8"?>
<sst xmlns="http://schemas.openxmlformats.org/spreadsheetml/2006/main" count="702" uniqueCount="450">
  <si>
    <t xml:space="preserve">#                </t>
  </si>
  <si>
    <t>Worksheet</t>
  </si>
  <si>
    <t>D&amp;A</t>
  </si>
  <si>
    <t>EBIT</t>
  </si>
  <si>
    <t>Inventory</t>
  </si>
  <si>
    <t>Total Equity</t>
  </si>
  <si>
    <t>Revenues</t>
  </si>
  <si>
    <t>WACC</t>
  </si>
  <si>
    <t>Other Financial Assets</t>
  </si>
  <si>
    <t>Beta</t>
  </si>
  <si>
    <t>Cost of Capital</t>
  </si>
  <si>
    <t>Cost of Equity</t>
  </si>
  <si>
    <t>Cost of Debt</t>
  </si>
  <si>
    <t>Risk Free Rate</t>
  </si>
  <si>
    <t>Equity Risk Premium</t>
  </si>
  <si>
    <t>India 10-Year Government Bond Yield</t>
  </si>
  <si>
    <t>India Credit Rating (Fitch - 06/10/2022)</t>
  </si>
  <si>
    <t>India's Default Spread</t>
  </si>
  <si>
    <t>Cyprus</t>
  </si>
  <si>
    <t>Mexico</t>
  </si>
  <si>
    <t>Panama</t>
  </si>
  <si>
    <t>Romania</t>
  </si>
  <si>
    <t>Uruguay</t>
  </si>
  <si>
    <t>Croatia</t>
  </si>
  <si>
    <t>Kazakhstan</t>
  </si>
  <si>
    <t>Montserrat</t>
  </si>
  <si>
    <t>Trinidad and Tobago</t>
  </si>
  <si>
    <t>Aa2</t>
  </si>
  <si>
    <t>B1</t>
  </si>
  <si>
    <t>Baa2</t>
  </si>
  <si>
    <t>B3</t>
  </si>
  <si>
    <t>Ca</t>
  </si>
  <si>
    <t>Ba3</t>
  </si>
  <si>
    <t>Aaa</t>
  </si>
  <si>
    <t>Aa1</t>
  </si>
  <si>
    <t>Ba2</t>
  </si>
  <si>
    <t>B2</t>
  </si>
  <si>
    <t>Caa1</t>
  </si>
  <si>
    <t>Aa3</t>
  </si>
  <si>
    <t>Caa3</t>
  </si>
  <si>
    <t>A2</t>
  </si>
  <si>
    <t>A3</t>
  </si>
  <si>
    <t>Baa1</t>
  </si>
  <si>
    <t>A1</t>
  </si>
  <si>
    <t>Caa2</t>
  </si>
  <si>
    <t>Ba1</t>
  </si>
  <si>
    <t>Baa3</t>
  </si>
  <si>
    <t>C</t>
  </si>
  <si>
    <t>Credit Rating</t>
  </si>
  <si>
    <t>Avg Default Spread (%)</t>
  </si>
  <si>
    <t>Countries credit rating same as India</t>
  </si>
  <si>
    <t>(Risk Free Rate = 10 Year Gov Bond - Default Spread)</t>
  </si>
  <si>
    <t>Year</t>
  </si>
  <si>
    <t>Dividends from Nifty50 in 2021</t>
  </si>
  <si>
    <t>Dividend Cf</t>
  </si>
  <si>
    <t>Avg Div Yield</t>
  </si>
  <si>
    <t>Adj Avg Div Yield (Last 10 Years)</t>
  </si>
  <si>
    <t>Dividend Yield (as on March 31, 2022)</t>
  </si>
  <si>
    <t>Weights</t>
  </si>
  <si>
    <t>Adj Avg Dividend Cash Flows in 2021</t>
  </si>
  <si>
    <t>Source:</t>
  </si>
  <si>
    <t>Nifty 50 Dividend Yield(DIV) on Trendlyne.com</t>
  </si>
  <si>
    <t>Nifty50 Dividend Points Index Ticker: NIFTYDIVID</t>
  </si>
  <si>
    <t>FY13</t>
  </si>
  <si>
    <t>FY14</t>
  </si>
  <si>
    <t>FY15</t>
  </si>
  <si>
    <t>FY16</t>
  </si>
  <si>
    <t>FY17</t>
  </si>
  <si>
    <t>FY18</t>
  </si>
  <si>
    <t>FY19</t>
  </si>
  <si>
    <t>FY20</t>
  </si>
  <si>
    <t>FY21</t>
  </si>
  <si>
    <t>FY22</t>
  </si>
  <si>
    <t>FY23</t>
  </si>
  <si>
    <t>FY24</t>
  </si>
  <si>
    <t>FY25</t>
  </si>
  <si>
    <t>FY26</t>
  </si>
  <si>
    <t>FY27</t>
  </si>
  <si>
    <t>EPS of Nifty50 (31st Mar 2012)</t>
  </si>
  <si>
    <t>EPS of Nifty50 (31st Mar 2022)</t>
  </si>
  <si>
    <t>Avg EPS growth Nifty50 (Last 10 Years)</t>
  </si>
  <si>
    <t>Exp Growth %</t>
  </si>
  <si>
    <t>Expected Growth % in Nifty50 (Next 5 Years)</t>
  </si>
  <si>
    <t>Nifty 50 Earnings Per share (EPS)</t>
  </si>
  <si>
    <t>India 10-Year Bond Yield</t>
  </si>
  <si>
    <t>Wght Div Cf</t>
  </si>
  <si>
    <t>Investment Outflow</t>
  </si>
  <si>
    <t>Exp Return on Stocks</t>
  </si>
  <si>
    <t>-</t>
  </si>
  <si>
    <t>Ticker</t>
  </si>
  <si>
    <t>Regression Beta using Python (skLearn.LinearModel)</t>
  </si>
  <si>
    <t>D/E Ratio</t>
  </si>
  <si>
    <t>Yahoo Finance (yahoofinancials module)</t>
  </si>
  <si>
    <t>EV/Sales</t>
  </si>
  <si>
    <t>Annual Report 2022</t>
  </si>
  <si>
    <t>Bottom-Up Beta</t>
  </si>
  <si>
    <t>Marginal Corporate Tax Rate (%)</t>
  </si>
  <si>
    <t>India Corporate Tax Rate</t>
  </si>
  <si>
    <t>Levered Bottom-Up Beta</t>
  </si>
  <si>
    <t>Risk Free Rate - Rf</t>
  </si>
  <si>
    <t>(Cost of Equity = Risk Free Rate + Beta * Equity Risk Premium)</t>
  </si>
  <si>
    <t>Lambda (λ)</t>
  </si>
  <si>
    <t>US Risk Free Rate - Rf</t>
  </si>
  <si>
    <t>(Cost of Debt = Rf + λ* India's Default Spread + Co. Risk Premium)</t>
  </si>
  <si>
    <t>10 Year Bond Yield Historical Data (Investing.com)</t>
  </si>
  <si>
    <t>Standard Deviation with Python</t>
  </si>
  <si>
    <t>Cost of Equity &amp; Debt</t>
  </si>
  <si>
    <t>Pre-Tax Cost of Debt</t>
  </si>
  <si>
    <t>Market Value of Debt</t>
  </si>
  <si>
    <t>Book Value of Debt</t>
  </si>
  <si>
    <t>Interest Expense</t>
  </si>
  <si>
    <t>Est. Market Value of Debt</t>
  </si>
  <si>
    <t>Average Maturity of Debt (Yrs)</t>
  </si>
  <si>
    <t>Market Value of Equity</t>
  </si>
  <si>
    <t>Number of Shares Outstanding</t>
  </si>
  <si>
    <t>Market Capitalization</t>
  </si>
  <si>
    <t>Long Term Financial Lease</t>
  </si>
  <si>
    <t>Short Term Financial Lease</t>
  </si>
  <si>
    <t>Cash Flows</t>
  </si>
  <si>
    <t>Valuation Index</t>
  </si>
  <si>
    <t>COGS</t>
  </si>
  <si>
    <t>Operating Expenses</t>
  </si>
  <si>
    <t>+</t>
  </si>
  <si>
    <t>Adjusted EBIT</t>
  </si>
  <si>
    <t>Net CapEx</t>
  </si>
  <si>
    <t>Capital Expenditures (CapEx)</t>
  </si>
  <si>
    <t>Adjusted Net Capital Expenditures</t>
  </si>
  <si>
    <t>Working Capital Changes</t>
  </si>
  <si>
    <t>Account Payables</t>
  </si>
  <si>
    <t>Non Cash Working Capital</t>
  </si>
  <si>
    <t>Cash Flows - FCFF</t>
  </si>
  <si>
    <t>EBIT * (1 - Tax Rate)</t>
  </si>
  <si>
    <t>Free Cash Flow to Firm (FCFF)</t>
  </si>
  <si>
    <t>Reinvestment</t>
  </si>
  <si>
    <t>Cash Flows - FCFE</t>
  </si>
  <si>
    <t>Finance Cost</t>
  </si>
  <si>
    <t>Adjusted EBT</t>
  </si>
  <si>
    <t>Adjusted Net Income</t>
  </si>
  <si>
    <t>Principle Repayments</t>
  </si>
  <si>
    <t>New Debt Issue</t>
  </si>
  <si>
    <t>Free Cash Flow to Equity (FCFE)</t>
  </si>
  <si>
    <t>Net Borrowing (2022)</t>
  </si>
  <si>
    <t>FCFE = Net Income - Net CapEx - Change in non cash working capital + Net Borrowings - Preferred Stock</t>
  </si>
  <si>
    <t>FCFF = EBIT * (1 - tax rate) - Net CapEx - Change in non cash working capital</t>
  </si>
  <si>
    <t>FCFE &amp; FCFF</t>
  </si>
  <si>
    <t>FCFF &amp; FCFE</t>
  </si>
  <si>
    <t>Account Recievables</t>
  </si>
  <si>
    <t>Working capital as % of revenues</t>
  </si>
  <si>
    <t>Other Current Liabilities</t>
  </si>
  <si>
    <t>Other Current Assets</t>
  </si>
  <si>
    <t>Other Financial Liabilties</t>
  </si>
  <si>
    <t>Non Cash Current Assets</t>
  </si>
  <si>
    <t>Non Debt Current Liabilities</t>
  </si>
  <si>
    <t>Change in Non Cash Working Capital</t>
  </si>
  <si>
    <t>Average WC as % of revenues</t>
  </si>
  <si>
    <t>Revenues (2022)</t>
  </si>
  <si>
    <t>Non Cash Working Capital (2022)</t>
  </si>
  <si>
    <t>Non Cash Working Capital (2021)</t>
  </si>
  <si>
    <t>Revenues (2021)</t>
  </si>
  <si>
    <t>Adj Change in Non Cash WC</t>
  </si>
  <si>
    <t>Expected Growth Rate</t>
  </si>
  <si>
    <t>Future Cash Flows (10 Yrs)</t>
  </si>
  <si>
    <t>Terminal Value</t>
  </si>
  <si>
    <t>Growth &amp; TV</t>
  </si>
  <si>
    <t>Reinvestment Rate</t>
  </si>
  <si>
    <t>Return on Invested Capital (ROIC)</t>
  </si>
  <si>
    <t>LTM</t>
  </si>
  <si>
    <t>Rev. Growth</t>
  </si>
  <si>
    <t>Op. Margin</t>
  </si>
  <si>
    <t>Change in Sales</t>
  </si>
  <si>
    <t>Sales to Capital</t>
  </si>
  <si>
    <t>FCFF</t>
  </si>
  <si>
    <t>Invested Capital</t>
  </si>
  <si>
    <t>ROIC</t>
  </si>
  <si>
    <t>Growth Rate &amp; TV</t>
  </si>
  <si>
    <t>Risk Free Rate - India</t>
  </si>
  <si>
    <t>Growth Rate in perpetuity</t>
  </si>
  <si>
    <t>ROIC in perpetuity</t>
  </si>
  <si>
    <t>EBIT (11th Year)</t>
  </si>
  <si>
    <t>Marginal Tax Rate (%)</t>
  </si>
  <si>
    <t>Mature Company Cost of Capital Estimation</t>
  </si>
  <si>
    <t>FCFF (11th Year)</t>
  </si>
  <si>
    <t>Mature Company's Beta</t>
  </si>
  <si>
    <t>% of Debt</t>
  </si>
  <si>
    <t>% of Equity</t>
  </si>
  <si>
    <t>Mature WACC</t>
  </si>
  <si>
    <t>Interest Coverage Ratio will be above 12.5</t>
  </si>
  <si>
    <t>Cross Holdings</t>
  </si>
  <si>
    <t>Holding Type</t>
  </si>
  <si>
    <t>% Owner</t>
  </si>
  <si>
    <t>Fully Owned</t>
  </si>
  <si>
    <t>How to Deal?</t>
  </si>
  <si>
    <t>Cash &amp; Marketable Securities</t>
  </si>
  <si>
    <t>Cash and cash equivalents</t>
  </si>
  <si>
    <t>Other Bank Balances</t>
  </si>
  <si>
    <t>Return on Capital</t>
  </si>
  <si>
    <t>Adjusted Cash &amp; Marketable Securities</t>
  </si>
  <si>
    <t>Sales to Cap</t>
  </si>
  <si>
    <t>Mature Beta</t>
  </si>
  <si>
    <t>Present Value of TV</t>
  </si>
  <si>
    <t>Cash and Marketable Securities</t>
  </si>
  <si>
    <t>Value of Debt</t>
  </si>
  <si>
    <t>Value of Firm</t>
  </si>
  <si>
    <t>Value of Equity</t>
  </si>
  <si>
    <t>Value of Cross Holdings</t>
  </si>
  <si>
    <t>Present Vaue of FCFF</t>
  </si>
  <si>
    <t>Fair Value of the Share</t>
  </si>
  <si>
    <t>Present Value of Cash Flows</t>
  </si>
  <si>
    <t>Free Cash Flows to Firm</t>
  </si>
  <si>
    <t>Discount Rate (WACC)</t>
  </si>
  <si>
    <t>Discounting Future Cash Flows to Present Value</t>
  </si>
  <si>
    <t>Value of Operating Assets</t>
  </si>
  <si>
    <t>Value of Other Assets</t>
  </si>
  <si>
    <t>Value of Equity Options</t>
  </si>
  <si>
    <t>Fair value of share</t>
  </si>
  <si>
    <t>Value of Common Stock</t>
  </si>
  <si>
    <t>Fair Value of Share</t>
  </si>
  <si>
    <t>Road to Fair Value of Share</t>
  </si>
  <si>
    <t>Net Capital Expenditure</t>
  </si>
  <si>
    <t>EBIT &amp; Advertising Expense</t>
  </si>
  <si>
    <t xml:space="preserve">Current </t>
  </si>
  <si>
    <t>Amortization (This Year)</t>
  </si>
  <si>
    <t>Advertising Expense</t>
  </si>
  <si>
    <t>Amortization (weights)</t>
  </si>
  <si>
    <t>Amortized Value</t>
  </si>
  <si>
    <t>Capitalizing Advertising Expense as Asset</t>
  </si>
  <si>
    <t>Value of Advertising Asset</t>
  </si>
  <si>
    <t>Advertising Expense (Current)</t>
  </si>
  <si>
    <t>Amortization: Ad Expense</t>
  </si>
  <si>
    <t>EBIT (1 - Tax)</t>
  </si>
  <si>
    <t>Advertising Expense (Current Year)</t>
  </si>
  <si>
    <t>N/A</t>
  </si>
  <si>
    <t>Long Term Borrowings</t>
  </si>
  <si>
    <t>Short Term Borrowings</t>
  </si>
  <si>
    <t>Amortization Asset: Ad Expense</t>
  </si>
  <si>
    <t>Total Revenues</t>
  </si>
  <si>
    <t>Effective Tax Rate</t>
  </si>
  <si>
    <t>EBIT * (1 - Tax)</t>
  </si>
  <si>
    <t>EBIT*(1-Tax)</t>
  </si>
  <si>
    <t>%</t>
  </si>
  <si>
    <t>OPM %</t>
  </si>
  <si>
    <t>Mature Risk Premium</t>
  </si>
  <si>
    <t>Total Cash &amp; Cash Equivalents</t>
  </si>
  <si>
    <t>Premium for Getting Good Returns on Projects</t>
  </si>
  <si>
    <t>Radico Khaitan Company Analysis</t>
  </si>
  <si>
    <t>Radico Khaitan</t>
  </si>
  <si>
    <t>Sector of Radico Khaitan</t>
  </si>
  <si>
    <t>Industry of Radico Khaitan</t>
  </si>
  <si>
    <t>Alcoholic Beverages</t>
  </si>
  <si>
    <t>Breweries &amp; Distilleries</t>
  </si>
  <si>
    <t>Radico Khaitan Narrative</t>
  </si>
  <si>
    <t>Nifty50 (as on 14th September 2022)</t>
  </si>
  <si>
    <t>TV</t>
  </si>
  <si>
    <t>Revenue by Geographical Market</t>
  </si>
  <si>
    <t>ERP</t>
  </si>
  <si>
    <t>Radico Khaitan ERP</t>
  </si>
  <si>
    <t>Domestic - India</t>
  </si>
  <si>
    <t>Overseas - 85 countries</t>
  </si>
  <si>
    <t>(in lakhs)</t>
  </si>
  <si>
    <t>India Equity Risk Premium</t>
  </si>
  <si>
    <t>India Country Risk Premium</t>
  </si>
  <si>
    <t>Sector of Radico</t>
  </si>
  <si>
    <t>Industry of Radico</t>
  </si>
  <si>
    <t>Sector - Alcoholic Beverages</t>
  </si>
  <si>
    <t>Companies</t>
  </si>
  <si>
    <t>United Spirits</t>
  </si>
  <si>
    <t>United Breweries</t>
  </si>
  <si>
    <t>Globus Spirits</t>
  </si>
  <si>
    <t>Tilaknagar Inds.</t>
  </si>
  <si>
    <t>G M Breweries</t>
  </si>
  <si>
    <t>Assoc.Alcohols</t>
  </si>
  <si>
    <t>Som Distilleries</t>
  </si>
  <si>
    <t>IFB Agro Inds.</t>
  </si>
  <si>
    <t>Piccadily Agro</t>
  </si>
  <si>
    <t>Jagatjit Inds.</t>
  </si>
  <si>
    <t>Aurangabad Dist.</t>
  </si>
  <si>
    <t>Comfort Intech</t>
  </si>
  <si>
    <t>Ravikumar Distll</t>
  </si>
  <si>
    <t>Winsome Brew.</t>
  </si>
  <si>
    <t>Silver Oak (I)</t>
  </si>
  <si>
    <t>Kweichow Moutai</t>
  </si>
  <si>
    <t>600519.SS</t>
  </si>
  <si>
    <t>Anheuser-Busch Inbev</t>
  </si>
  <si>
    <t>BUD</t>
  </si>
  <si>
    <t>Diageo</t>
  </si>
  <si>
    <t>DEO</t>
  </si>
  <si>
    <t>Wuliangye Yibin</t>
  </si>
  <si>
    <t>000858.SZ</t>
  </si>
  <si>
    <t>Heineken</t>
  </si>
  <si>
    <t>HEIA.AS</t>
  </si>
  <si>
    <t>Ambev</t>
  </si>
  <si>
    <t>ABEV</t>
  </si>
  <si>
    <t>Pernod Ricard</t>
  </si>
  <si>
    <t>RI.PA</t>
  </si>
  <si>
    <t>Constellation Brands</t>
  </si>
  <si>
    <t>STZ</t>
  </si>
  <si>
    <t>Budweiser APAC</t>
  </si>
  <si>
    <t>1876.HK</t>
  </si>
  <si>
    <t>Brown Forman</t>
  </si>
  <si>
    <t>BF-A</t>
  </si>
  <si>
    <t>YANGHE</t>
  </si>
  <si>
    <t>002304.SZ</t>
  </si>
  <si>
    <t>China Resources Beer</t>
  </si>
  <si>
    <t>0291.HK</t>
  </si>
  <si>
    <t>Carlsberg</t>
  </si>
  <si>
    <t>CBGA.F</t>
  </si>
  <si>
    <t>Asahi Group</t>
  </si>
  <si>
    <t>2502.T</t>
  </si>
  <si>
    <t>Tsingtao</t>
  </si>
  <si>
    <t>600600.SS</t>
  </si>
  <si>
    <t>Molson Coors</t>
  </si>
  <si>
    <t>TAP</t>
  </si>
  <si>
    <t>Suntory</t>
  </si>
  <si>
    <t>2587.T</t>
  </si>
  <si>
    <t>Campari</t>
  </si>
  <si>
    <t>CPR.MI</t>
  </si>
  <si>
    <t>Becle</t>
  </si>
  <si>
    <t>CUERVO.MX</t>
  </si>
  <si>
    <t>Treasury Wine Estates</t>
  </si>
  <si>
    <t>TWE.AX</t>
  </si>
  <si>
    <t>Emperador Brandy</t>
  </si>
  <si>
    <t>EMI.SI</t>
  </si>
  <si>
    <t>Boston Beer Company</t>
  </si>
  <si>
    <t>SAM</t>
  </si>
  <si>
    <t>Royal Unibrew</t>
  </si>
  <si>
    <t>0R1.F</t>
  </si>
  <si>
    <t>MGP Ingredients</t>
  </si>
  <si>
    <t>MGPI</t>
  </si>
  <si>
    <t>Distell Group</t>
  </si>
  <si>
    <t>DGH.JO</t>
  </si>
  <si>
    <t>Compañía Cervecerías Unidas</t>
  </si>
  <si>
    <t>CCU</t>
  </si>
  <si>
    <t>Efes Beverage Group</t>
  </si>
  <si>
    <t>AEFES.IS</t>
  </si>
  <si>
    <t>HiteJinro</t>
  </si>
  <si>
    <t>000080.KS</t>
  </si>
  <si>
    <t>Fever-Tree Drinks</t>
  </si>
  <si>
    <t>FEVR.L</t>
  </si>
  <si>
    <t>Grupa Zywiec</t>
  </si>
  <si>
    <t>ZWC.WA</t>
  </si>
  <si>
    <t>Delegat</t>
  </si>
  <si>
    <t>DGL.NZ</t>
  </si>
  <si>
    <t>Olvi plc</t>
  </si>
  <si>
    <t>OLVAS.HE</t>
  </si>
  <si>
    <t>Anora Group</t>
  </si>
  <si>
    <t>ANORA.HE</t>
  </si>
  <si>
    <t>Corby Spirit and Wine</t>
  </si>
  <si>
    <t>CSW-A.TO</t>
  </si>
  <si>
    <t>Vintage Wine Estates</t>
  </si>
  <si>
    <t>VWE</t>
  </si>
  <si>
    <t>Andrew Peller</t>
  </si>
  <si>
    <t>ADW-A.TO</t>
  </si>
  <si>
    <t>Fresh Vine Wine</t>
  </si>
  <si>
    <t>VINE</t>
  </si>
  <si>
    <t>Winc</t>
  </si>
  <si>
    <t>WBEV</t>
  </si>
  <si>
    <t>Eastside Distilling</t>
  </si>
  <si>
    <t>EAST</t>
  </si>
  <si>
    <t>MCDOWELL-N</t>
  </si>
  <si>
    <t>UBL</t>
  </si>
  <si>
    <t>GLOBUSSPR</t>
  </si>
  <si>
    <t>TI</t>
  </si>
  <si>
    <t>GMBREW</t>
  </si>
  <si>
    <t>ASALCBR</t>
  </si>
  <si>
    <t>SDBL</t>
  </si>
  <si>
    <t>IFBAGRO</t>
  </si>
  <si>
    <t>SM : AURDIS</t>
  </si>
  <si>
    <t>RKDL</t>
  </si>
  <si>
    <t>PICCADIL.BO</t>
  </si>
  <si>
    <t>JAGAJITIND.BO</t>
  </si>
  <si>
    <t>COMFINTE.BO</t>
  </si>
  <si>
    <t>WINSOMBR.BO</t>
  </si>
  <si>
    <t>SILVOAK.BO</t>
  </si>
  <si>
    <t>Beta (5Y, Monthly)</t>
  </si>
  <si>
    <t>Unlevered Beta</t>
  </si>
  <si>
    <t>Debt to Equity (Radico Khaitan)</t>
  </si>
  <si>
    <t>Beta (Radico Khaitan)</t>
  </si>
  <si>
    <t>CARE Ratings</t>
  </si>
  <si>
    <t>Radico's CARE Rating</t>
  </si>
  <si>
    <t>AA-</t>
  </si>
  <si>
    <t>Radico Risk Premium</t>
  </si>
  <si>
    <t>Stock Price (as on 09/14/2022)</t>
  </si>
  <si>
    <t>Numbers</t>
  </si>
  <si>
    <t>EBIT &amp; Advertising Expenses</t>
  </si>
  <si>
    <t>Amortization</t>
  </si>
  <si>
    <t>EBIT &amp; Operating Lease</t>
  </si>
  <si>
    <t>PV at Cost of Debt</t>
  </si>
  <si>
    <t>Operating Lease</t>
  </si>
  <si>
    <t>Value of Lease Debt</t>
  </si>
  <si>
    <t>Debt Outstanding</t>
  </si>
  <si>
    <t>Operating Lease (Current)</t>
  </si>
  <si>
    <t>Depreciation on OL</t>
  </si>
  <si>
    <t>Depreciation: Operating Lease</t>
  </si>
  <si>
    <t>Operating Lease (Current Year)</t>
  </si>
  <si>
    <t>Loans</t>
  </si>
  <si>
    <t>Median WC as % of Revenues</t>
  </si>
  <si>
    <t>Sector: Alcoholic Beverages</t>
  </si>
  <si>
    <t xml:space="preserve">10.08%
10.08%
</t>
  </si>
  <si>
    <t>Alcohol Industry</t>
  </si>
  <si>
    <t>Industry Growth %</t>
  </si>
  <si>
    <t>5 years</t>
  </si>
  <si>
    <t>Next 5 years</t>
  </si>
  <si>
    <t>Operating Lease*</t>
  </si>
  <si>
    <t>Radico Spiritz India Private Limited</t>
  </si>
  <si>
    <t>Accomreal Builders Private Limited</t>
  </si>
  <si>
    <t>Compaqt Era Builders Private Limited</t>
  </si>
  <si>
    <t>Destihomz Buildwell Private Limited</t>
  </si>
  <si>
    <t>Equibuild Realtors Private Limited</t>
  </si>
  <si>
    <t>Proprent Era Estates Private Limited</t>
  </si>
  <si>
    <t>Binayah Builders Private Limited</t>
  </si>
  <si>
    <t>Firstcode Reality Private Limited</t>
  </si>
  <si>
    <t>Radico NV Distilleries Maharashtra Ltd</t>
  </si>
  <si>
    <t>Minority Active</t>
  </si>
  <si>
    <t>Value of JV/Assoc.</t>
  </si>
  <si>
    <t>EV to Sales (Ind. Avg)</t>
  </si>
  <si>
    <t>Revenues TTM</t>
  </si>
  <si>
    <t>Adj OPM</t>
  </si>
  <si>
    <t>Adj OpEx</t>
  </si>
  <si>
    <t>Exp. Options</t>
  </si>
  <si>
    <t>OpEx</t>
  </si>
  <si>
    <t>OPM</t>
  </si>
  <si>
    <t>Adjusting Operating Margin with Expected Value of Options</t>
  </si>
  <si>
    <t>Options Value</t>
  </si>
  <si>
    <t>Options as a % Revenues</t>
  </si>
  <si>
    <t>Forecasting Future Option Value (Treating as OpEx)</t>
  </si>
  <si>
    <t>Average option as a % of revenues</t>
  </si>
  <si>
    <t>Estimating average option value as a % of revenues</t>
  </si>
  <si>
    <t>Future Value of Equity Options</t>
  </si>
  <si>
    <t>Radico Khaitan's ERP</t>
  </si>
  <si>
    <t>Equity Risk Premium - India</t>
  </si>
  <si>
    <t>Corporate Governance</t>
  </si>
  <si>
    <t>Shares Held</t>
  </si>
  <si>
    <t>Khaitan's HUF</t>
  </si>
  <si>
    <t>% (Voting Rights)</t>
  </si>
  <si>
    <t>Other</t>
  </si>
  <si>
    <t>**</t>
  </si>
  <si>
    <t>Classic Fintrex Pvt Ltd</t>
  </si>
  <si>
    <t>Elkay Fiscal Services Pvt Ltd</t>
  </si>
  <si>
    <t>Rampur International Ltd</t>
  </si>
  <si>
    <t>Abhishek Fiscal Services Pvt Ltd</t>
  </si>
  <si>
    <t>Sapphire Intrex Ltd</t>
  </si>
  <si>
    <t>Smita Fiscal Pvt Ltd</t>
  </si>
  <si>
    <t>Lalit Kumar Khaitan</t>
  </si>
  <si>
    <t>Deepshikha Khaitan</t>
  </si>
  <si>
    <t>Lalit Kumar Khaitan HUF</t>
  </si>
  <si>
    <t>Abhishek Khaitan</t>
  </si>
  <si>
    <t>Radico Khaitan Ltd</t>
  </si>
  <si>
    <t>Excise Duty</t>
  </si>
  <si>
    <t>Gross Revenues (TTM)</t>
  </si>
  <si>
    <t>Net Revenues (TTM)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</si>
</sst>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9">
    <numFmt numFmtId="42" formatCode="_(&quot;$&quot;* #,##0_);_(&quot;$&quot;* \(#,##0\);_(&quot;$&quot;* &quot;-&quot;_);_(@_)"/>
    <numFmt numFmtId="44" formatCode="_(&quot;$&quot;* #,##0.00_);_(&quot;$&quot;* \(#,##0.00\);_(&quot;$&quot;* &quot;-&quot;??_);_(@_)"/>
    <numFmt numFmtId="43" formatCode="_(* #,##0.00_);_(* \(#,##0.00\);_(* &quot;-&quot;??_);_(@_)"/>
    <numFmt numFmtId="164" formatCode="_(* #,##0.0_);_(* \(#,##0.0\);_(* &quot;-&quot;?_);@_)"/>
    <numFmt numFmtId="165" formatCode="_(* #,##0_);_(* \(#,##0\);_(* &quot;-&quot;?_);@_)"/>
    <numFmt numFmtId="166" formatCode="0.0%"/>
    <numFmt numFmtId="167" formatCode="_(* #,##0_);_(* \(#,##0\);_(* &quot;-&quot;?_);@_l"/>
    <numFmt numFmtId="168" formatCode="_-* #,##0.00\ &quot;€&quot;_-;\-* #,##0.00\ &quot;€&quot;_-;_-* &quot;-&quot;??\ &quot;€&quot;_-;_-@_-"/>
    <numFmt numFmtId="169" formatCode="_-* #,##0.00\ _€_-;\-* #,##0.00\ _€_-;_-* &quot;-&quot;??\ _€_-;_-@_-"/>
    <numFmt numFmtId="170" formatCode="_-* #,##0\ _D_M_-;\-* #,##0\ _D_M_-;_-* &quot;-&quot;\ _D_M_-;_-@_-"/>
    <numFmt numFmtId="171" formatCode="_-* #,##0.00\ &quot;Kc&quot;_-;\-* #,##0.00\ &quot;Kc&quot;_-;_-* &quot;-&quot;??\ &quot;Kc&quot;_-;_-@_-"/>
    <numFmt numFmtId="172" formatCode="\(0\'\)"/>
    <numFmt numFmtId="173" formatCode="0.00_)"/>
    <numFmt numFmtId="174" formatCode="#,##0;\(#,##0\);&quot;-&quot;"/>
    <numFmt numFmtId="175" formatCode="_-* #,##0_-;\-* #,##0_-;_-* &quot;-&quot;_-;_-@_-"/>
    <numFmt numFmtId="176" formatCode="#,##0_);\(#,##0\);&quot; - &quot;_);@_)"/>
    <numFmt numFmtId="177" formatCode="\ #,##0.0_);\(#,##0.0\);&quot; - &quot;_);@_)"/>
    <numFmt numFmtId="178" formatCode="_(* #,##0.00_);_(* \(#,##0.00\);_(* &quot;-&quot;?_);@_)"/>
    <numFmt numFmtId="179" formatCode="0.0"/>
    <numFmt numFmtId="180" formatCode="_ [$₹-4009]\ * #,##0.00_ ;_ [$₹-4009]\ * \-#,##0.00_ ;_ [$₹-4009]\ * &quot;-&quot;??_ ;_ @_ "/>
    <numFmt numFmtId="181" formatCode="_ [$₹-4009]\ * #,##0_ ;_ [$₹-4009]\ * \-#,##0_ ;_ [$₹-4009]\ * &quot;-&quot;??_ ;_ @_ "/>
    <numFmt numFmtId="182" formatCode="[$₹-4009]\ #,##0.00;[$₹-4009]\ \-#,##0.00"/>
    <numFmt numFmtId="183" formatCode="_(* #,##0.000_);_(* \(#,##0.000\);_(* &quot;-&quot;?_);@_)"/>
    <numFmt numFmtId="184" formatCode="[$₹-4009]\ #,##0.00"/>
    <numFmt numFmtId="185" formatCode="[$₹-4009]\ #,##0.00;[Red][$₹-4009]\ \-#,##0.00"/>
    <numFmt numFmtId="186" formatCode="[$₹-4009]\ #,##0.0;[$₹-4009]\ \-#,##0.0"/>
    <numFmt numFmtId="187" formatCode="[$₹-4009]\ #,##0.0;[Red][$₹-4009]\ \-#,##0.0"/>
    <numFmt numFmtId="188" formatCode="[$₹-4009]\ #,##0"/>
    <numFmt numFmtId="189" formatCode="_ [$₹-4009]\ * #,##0.0_ ;_ [$₹-4009]\ * \-#,##0.0_ ;_ [$₹-4009]\ * &quot;-&quot;?_ ;_ @_ "/>
  </numFmts>
  <fonts count="75">
    <font>
      <sz val="11"/>
      <color theme="1"/>
      <name val="Calibri"/>
      <family val="2"/>
      <scheme val="minor"/>
    </font>
    <font>
      <sz val="9"/>
      <color theme="1"/>
      <name val="Arial"/>
      <family val="2"/>
    </font>
    <font>
      <b/>
      <sz val="9"/>
      <color theme="1"/>
      <name val="Arial"/>
      <family val="2"/>
    </font>
    <font>
      <b/>
      <sz val="9"/>
      <color theme="3"/>
      <name val="Calibri"/>
      <family val="2"/>
      <scheme val="minor"/>
    </font>
    <font>
      <b/>
      <sz val="9"/>
      <color rgb="FF002060"/>
      <name val="Arial"/>
      <family val="2"/>
    </font>
    <font>
      <sz val="11"/>
      <color theme="1"/>
      <name val="Calibri"/>
      <family val="2"/>
      <scheme val="minor"/>
    </font>
    <font>
      <i/>
      <sz val="8"/>
      <color theme="1"/>
      <name val="Arial"/>
      <family val="2"/>
    </font>
    <font>
      <sz val="9"/>
      <color theme="0"/>
      <name val="Arial"/>
      <family val="2"/>
    </font>
    <font>
      <b/>
      <sz val="9"/>
      <color theme="0"/>
      <name val="Arial"/>
      <family val="2"/>
    </font>
    <font>
      <sz val="10"/>
      <name val="Arial"/>
      <family val="2"/>
    </font>
    <font>
      <sz val="8"/>
      <name val="Arial"/>
      <family val="2"/>
    </font>
    <font>
      <sz val="10"/>
      <color indexed="10"/>
      <name val="Arial"/>
      <family val="2"/>
    </font>
    <font>
      <sz val="10"/>
      <name val="Helv"/>
      <family val="2"/>
    </font>
    <font>
      <sz val="12"/>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0"/>
      <name val="Arial CE"/>
      <charset val="238"/>
    </font>
    <font>
      <sz val="10"/>
      <name val="Helv"/>
    </font>
    <font>
      <sz val="11"/>
      <color indexed="60"/>
      <name val="Calibri"/>
      <family val="2"/>
    </font>
    <font>
      <b/>
      <i/>
      <sz val="16"/>
      <name val="Helv"/>
    </font>
    <font>
      <sz val="10"/>
      <name val="MS Sans Serif"/>
      <family val="2"/>
    </font>
    <font>
      <b/>
      <sz val="11"/>
      <color indexed="63"/>
      <name val="Calibri"/>
      <family val="2"/>
    </font>
    <font>
      <b/>
      <sz val="10"/>
      <name val="MS Sans Serif"/>
      <family val="2"/>
    </font>
    <font>
      <sz val="10"/>
      <color indexed="8"/>
      <name val="Arial"/>
      <family val="2"/>
    </font>
    <font>
      <sz val="10"/>
      <color indexed="39"/>
      <name val="Arial"/>
      <family val="2"/>
    </font>
    <font>
      <b/>
      <sz val="10"/>
      <color indexed="8"/>
      <name val="Arial"/>
      <family val="2"/>
    </font>
    <font>
      <b/>
      <sz val="12"/>
      <color indexed="8"/>
      <name val="Arial"/>
      <family val="2"/>
    </font>
    <font>
      <b/>
      <sz val="16"/>
      <color indexed="23"/>
      <name val="Arial"/>
      <family val="2"/>
    </font>
    <font>
      <b/>
      <sz val="18"/>
      <color indexed="56"/>
      <name val="Cambria"/>
      <family val="2"/>
    </font>
    <font>
      <b/>
      <sz val="11"/>
      <color indexed="8"/>
      <name val="Calibri"/>
      <family val="2"/>
    </font>
    <font>
      <b/>
      <sz val="9"/>
      <name val="Arial"/>
      <family val="2"/>
    </font>
    <font>
      <sz val="11"/>
      <color indexed="10"/>
      <name val="Calibri"/>
      <family val="2"/>
    </font>
    <font>
      <sz val="8"/>
      <name val="Verdana"/>
      <family val="2"/>
    </font>
    <font>
      <sz val="10"/>
      <name val="Garamond"/>
      <family val="1"/>
    </font>
    <font>
      <sz val="10"/>
      <color indexed="8"/>
      <name val="MS Sans Serif"/>
      <family val="2"/>
    </font>
    <font>
      <sz val="10"/>
      <name val="Verdana"/>
      <family val="2"/>
    </font>
    <font>
      <sz val="7"/>
      <color indexed="10"/>
      <name val="Arial"/>
      <family val="2"/>
    </font>
    <font>
      <sz val="12"/>
      <name val="Arial"/>
      <family val="2"/>
    </font>
    <font>
      <sz val="10"/>
      <name val="Arial Narrow"/>
      <family val="2"/>
    </font>
    <font>
      <b/>
      <sz val="14"/>
      <color indexed="25"/>
      <name val="Arial"/>
      <family val="2"/>
    </font>
    <font>
      <b/>
      <sz val="10"/>
      <color indexed="25"/>
      <name val="Arial Narrow"/>
      <family val="2"/>
    </font>
    <font>
      <i/>
      <sz val="10"/>
      <color indexed="25"/>
      <name val="Arial Narrow"/>
      <family val="2"/>
    </font>
    <font>
      <sz val="8"/>
      <color indexed="25"/>
      <name val="Arial Narrow"/>
      <family val="2"/>
    </font>
    <font>
      <sz val="10"/>
      <name val="Tahoma"/>
      <family val="2"/>
    </font>
    <font>
      <sz val="12"/>
      <name val="Arial Narrow"/>
      <family val="2"/>
    </font>
    <font>
      <b/>
      <sz val="12"/>
      <color theme="1"/>
      <name val="Tahoma                        "/>
    </font>
    <font>
      <sz val="8"/>
      <color theme="1"/>
      <name val="Tahoma                        "/>
    </font>
    <font>
      <b/>
      <sz val="8"/>
      <color theme="1"/>
      <name val="Tahoma                        "/>
    </font>
    <font>
      <b/>
      <sz val="10"/>
      <color theme="1"/>
      <name val="Tahoma                        "/>
    </font>
    <font>
      <b/>
      <sz val="8"/>
      <color theme="0"/>
      <name val="Arial"/>
      <family val="2"/>
    </font>
    <font>
      <sz val="9"/>
      <name val="Arial"/>
      <family val="2"/>
    </font>
    <font>
      <u/>
      <sz val="11"/>
      <color theme="10"/>
      <name val="Calibri"/>
      <family val="2"/>
      <scheme val="minor"/>
    </font>
    <font>
      <b/>
      <sz val="12"/>
      <name val="Arial"/>
      <family val="2"/>
    </font>
    <font>
      <b/>
      <sz val="12"/>
      <color theme="1"/>
      <name val="Arial"/>
      <family val="2"/>
    </font>
    <font>
      <i/>
      <sz val="9"/>
      <color theme="1"/>
      <name val="Arial"/>
      <family val="2"/>
    </font>
    <font>
      <b/>
      <i/>
      <sz val="9"/>
      <color theme="1"/>
      <name val="Arial"/>
      <family val="2"/>
    </font>
    <font>
      <i/>
      <sz val="9"/>
      <name val="Arial"/>
      <family val="2"/>
    </font>
    <font>
      <b/>
      <i/>
      <sz val="9"/>
      <color theme="0"/>
      <name val="Arial"/>
      <family val="2"/>
    </font>
    <font>
      <b/>
      <sz val="32"/>
      <name val="Arial"/>
      <family val="2"/>
    </font>
    <font>
      <b/>
      <sz val="9"/>
      <name val="Calibri"/>
      <family val="2"/>
      <scheme val="minor"/>
    </font>
    <font>
      <sz val="10"/>
      <name val="Arial"/>
      <family val="2"/>
    </font>
    <font>
      <sz val="10"/>
      <name val="Arial"/>
      <family val="2"/>
      <charset val="204"/>
    </font>
    <font>
      <b/>
      <sz val="40"/>
      <color theme="1" tint="4.9989318521683403E-2"/>
      <name val="Arial"/>
      <family val="2"/>
      <charset val="204"/>
    </font>
    <font>
      <sz val="10"/>
      <color rgb="FF002060"/>
      <name val="Arial"/>
      <family val="2"/>
      <charset val="204"/>
    </font>
    <font>
      <b/>
      <sz val="11"/>
      <color theme="1"/>
      <name val="Arial"/>
      <family val="2"/>
    </font>
  </fonts>
  <fills count="50">
    <fill>
      <patternFill patternType="none"/>
    </fill>
    <fill>
      <patternFill patternType="gray125"/>
    </fill>
    <fill>
      <patternFill patternType="solid">
        <fgColor theme="0"/>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43"/>
      </patternFill>
    </fill>
    <fill>
      <patternFill patternType="solid">
        <fgColor indexed="26"/>
      </patternFill>
    </fill>
    <fill>
      <patternFill patternType="mediumGray">
        <fgColor indexed="22"/>
      </patternFill>
    </fill>
    <fill>
      <patternFill patternType="solid">
        <fgColor indexed="46"/>
        <bgColor indexed="64"/>
      </patternFill>
    </fill>
    <fill>
      <patternFill patternType="solid">
        <fgColor indexed="43"/>
        <bgColor indexed="64"/>
      </patternFill>
    </fill>
    <fill>
      <patternFill patternType="solid">
        <fgColor indexed="31"/>
        <bgColor indexed="64"/>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22"/>
        <bgColor indexed="35"/>
      </patternFill>
    </fill>
    <fill>
      <patternFill patternType="solid">
        <fgColor indexed="35"/>
        <bgColor indexed="64"/>
      </patternFill>
    </fill>
    <fill>
      <patternFill patternType="solid">
        <fgColor indexed="54"/>
        <bgColor indexed="64"/>
      </patternFill>
    </fill>
    <fill>
      <patternFill patternType="solid">
        <fgColor indexed="23"/>
        <bgColor indexed="64"/>
      </patternFill>
    </fill>
    <fill>
      <patternFill patternType="solid">
        <fgColor indexed="55"/>
        <bgColor indexed="64"/>
      </patternFill>
    </fill>
    <fill>
      <patternFill patternType="solid">
        <fgColor theme="1"/>
        <bgColor indexed="64"/>
      </patternFill>
    </fill>
    <fill>
      <patternFill patternType="solid">
        <fgColor rgb="FFF8F8F8"/>
        <bgColor indexed="64"/>
      </patternFill>
    </fill>
    <fill>
      <patternFill patternType="solid">
        <fgColor theme="0" tint="-4.9989318521683403E-2"/>
        <bgColor indexed="64"/>
      </patternFill>
    </fill>
    <fill>
      <patternFill patternType="solid">
        <fgColor theme="2"/>
        <bgColor indexed="64"/>
      </patternFill>
    </fill>
    <fill>
      <patternFill patternType="solid">
        <fgColor theme="2" tint="-9.9978637043366805E-2"/>
        <bgColor indexed="64"/>
      </patternFill>
    </fill>
  </fills>
  <borders count="21">
    <border>
      <left/>
      <right/>
      <top/>
      <bottom/>
      <diagonal/>
    </border>
    <border>
      <left/>
      <right/>
      <top/>
      <bottom style="medium">
        <color theme="4"/>
      </bottom>
      <diagonal/>
    </border>
    <border>
      <left/>
      <right/>
      <top/>
      <bottom style="thin">
        <color indexed="64"/>
      </bottom>
      <diagonal/>
    </border>
    <border>
      <left/>
      <right/>
      <top/>
      <bottom style="hair">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63"/>
      </left>
      <right style="thin">
        <color indexed="63"/>
      </right>
      <top style="thin">
        <color indexed="64"/>
      </top>
      <bottom style="thin">
        <color indexed="63"/>
      </bottom>
      <diagonal/>
    </border>
    <border>
      <left/>
      <right/>
      <top style="thin">
        <color indexed="62"/>
      </top>
      <bottom style="double">
        <color indexed="62"/>
      </bottom>
      <diagonal/>
    </border>
    <border>
      <left/>
      <right/>
      <top style="thin">
        <color indexed="25"/>
      </top>
      <bottom style="thin">
        <color indexed="25"/>
      </bottom>
      <diagonal/>
    </border>
    <border>
      <left/>
      <right/>
      <top style="thin">
        <color indexed="64"/>
      </top>
      <bottom/>
      <diagonal/>
    </border>
    <border>
      <left/>
      <right/>
      <top style="thin">
        <color auto="1"/>
      </top>
      <bottom style="thin">
        <color auto="1"/>
      </bottom>
      <diagonal/>
    </border>
    <border>
      <left/>
      <right/>
      <top style="thin">
        <color indexed="64"/>
      </top>
      <bottom/>
      <diagonal/>
    </border>
    <border>
      <left/>
      <right/>
      <top style="thin">
        <color auto="1"/>
      </top>
      <bottom style="thin">
        <color auto="1"/>
      </bottom>
      <diagonal/>
    </border>
  </borders>
  <cellStyleXfs count="169">
    <xf numFmtId="0" fontId="0" fillId="0" borderId="0"/>
    <xf numFmtId="0" fontId="3" fillId="0" borderId="1" applyFill="0" applyProtection="0">
      <alignment horizontal="right" wrapText="1"/>
    </xf>
    <xf numFmtId="9" fontId="5" fillId="0" borderId="0" applyFont="0" applyFill="0" applyBorder="0" applyAlignment="0" applyProtection="0"/>
    <xf numFmtId="0" fontId="9" fillId="0" borderId="0"/>
    <xf numFmtId="0" fontId="9" fillId="0" borderId="0"/>
    <xf numFmtId="0" fontId="12" fillId="0" borderId="0"/>
    <xf numFmtId="0" fontId="9"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9" fillId="0" borderId="0"/>
    <xf numFmtId="0" fontId="9" fillId="0" borderId="0"/>
    <xf numFmtId="0" fontId="9" fillId="0" borderId="0"/>
    <xf numFmtId="0" fontId="9" fillId="0" borderId="0"/>
    <xf numFmtId="0" fontId="9" fillId="3" borderId="3"/>
    <xf numFmtId="0" fontId="12" fillId="0" borderId="0"/>
    <xf numFmtId="0" fontId="9" fillId="0" borderId="0"/>
    <xf numFmtId="0" fontId="9" fillId="0" borderId="0"/>
    <xf numFmtId="0" fontId="12" fillId="0" borderId="0"/>
    <xf numFmtId="0" fontId="12" fillId="0" borderId="0"/>
    <xf numFmtId="0" fontId="13" fillId="0" borderId="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7"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5" fillId="14" borderId="0" applyNumberFormat="0" applyBorder="0" applyAlignment="0" applyProtection="0"/>
    <xf numFmtId="0" fontId="15" fillId="11" borderId="0" applyNumberFormat="0" applyBorder="0" applyAlignment="0" applyProtection="0"/>
    <xf numFmtId="0" fontId="15" fillId="12"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9" borderId="0" applyNumberFormat="0" applyBorder="0" applyAlignment="0" applyProtection="0"/>
    <xf numFmtId="0" fontId="15" fillId="20"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21" borderId="0" applyNumberFormat="0" applyBorder="0" applyAlignment="0" applyProtection="0"/>
    <xf numFmtId="0" fontId="9" fillId="0" borderId="0"/>
    <xf numFmtId="0" fontId="16" fillId="5" borderId="0" applyNumberFormat="0" applyBorder="0" applyAlignment="0" applyProtection="0"/>
    <xf numFmtId="0" fontId="17" fillId="22" borderId="4" applyNumberFormat="0" applyAlignment="0" applyProtection="0"/>
    <xf numFmtId="0" fontId="18" fillId="23" borderId="5" applyNumberFormat="0" applyAlignment="0" applyProtection="0"/>
    <xf numFmtId="49" fontId="10" fillId="0" borderId="0">
      <alignment horizontal="left" vertical="top" wrapText="1"/>
    </xf>
    <xf numFmtId="168" fontId="9" fillId="0" borderId="0" applyFont="0" applyFill="0" applyBorder="0" applyAlignment="0" applyProtection="0"/>
    <xf numFmtId="0" fontId="19" fillId="0" borderId="0" applyNumberFormat="0" applyFill="0" applyBorder="0" applyAlignment="0" applyProtection="0"/>
    <xf numFmtId="0" fontId="20" fillId="6" borderId="0" applyNumberFormat="0" applyBorder="0" applyAlignment="0" applyProtection="0"/>
    <xf numFmtId="38" fontId="10" fillId="24" borderId="0" applyNumberFormat="0" applyBorder="0" applyAlignment="0" applyProtection="0"/>
    <xf numFmtId="0" fontId="21" fillId="0" borderId="6" applyNumberFormat="0" applyFill="0" applyAlignment="0" applyProtection="0"/>
    <xf numFmtId="0" fontId="22" fillId="0" borderId="7" applyNumberFormat="0" applyFill="0" applyAlignment="0" applyProtection="0"/>
    <xf numFmtId="0" fontId="23" fillId="0" borderId="8" applyNumberFormat="0" applyFill="0" applyAlignment="0" applyProtection="0"/>
    <xf numFmtId="0" fontId="23" fillId="0" borderId="0" applyNumberFormat="0" applyFill="0" applyBorder="0" applyAlignment="0" applyProtection="0"/>
    <xf numFmtId="0" fontId="24" fillId="9" borderId="4" applyNumberFormat="0" applyAlignment="0" applyProtection="0"/>
    <xf numFmtId="10" fontId="10" fillId="3" borderId="9" applyNumberFormat="0" applyBorder="0" applyAlignment="0" applyProtection="0"/>
    <xf numFmtId="0" fontId="25" fillId="0" borderId="10" applyNumberFormat="0" applyFill="0" applyAlignment="0" applyProtection="0"/>
    <xf numFmtId="171" fontId="26" fillId="0" borderId="0" applyFont="0" applyFill="0" applyBorder="0" applyAlignment="0" applyProtection="0"/>
    <xf numFmtId="170" fontId="9" fillId="0" borderId="0" applyFont="0" applyFill="0" applyBorder="0" applyAlignment="0" applyProtection="0"/>
    <xf numFmtId="4" fontId="27" fillId="0" borderId="0" applyFont="0" applyFill="0" applyBorder="0" applyAlignment="0" applyProtection="0"/>
    <xf numFmtId="42" fontId="9" fillId="0" borderId="0" applyFont="0" applyFill="0" applyBorder="0" applyAlignment="0" applyProtection="0"/>
    <xf numFmtId="172" fontId="9" fillId="0" borderId="0" applyFont="0" applyFill="0" applyBorder="0" applyAlignment="0" applyProtection="0"/>
    <xf numFmtId="0" fontId="28" fillId="25" borderId="0" applyNumberFormat="0" applyBorder="0" applyAlignment="0" applyProtection="0"/>
    <xf numFmtId="173" fontId="29" fillId="0" borderId="0"/>
    <xf numFmtId="0" fontId="26" fillId="0" borderId="0"/>
    <xf numFmtId="0" fontId="14" fillId="26" borderId="11" applyNumberFormat="0" applyFont="0" applyAlignment="0" applyProtection="0"/>
    <xf numFmtId="0" fontId="9" fillId="0" borderId="0" applyFont="0" applyFill="0" applyBorder="0" applyAlignment="0" applyProtection="0"/>
    <xf numFmtId="0" fontId="9" fillId="0" borderId="0" applyFont="0" applyFill="0" applyBorder="0" applyAlignment="0" applyProtection="0"/>
    <xf numFmtId="0" fontId="31" fillId="22" borderId="12" applyNumberFormat="0" applyAlignment="0" applyProtection="0"/>
    <xf numFmtId="9" fontId="9" fillId="0" borderId="0" applyFont="0" applyFill="0" applyBorder="0" applyAlignment="0" applyProtection="0"/>
    <xf numFmtId="10" fontId="9" fillId="0" borderId="0" applyFont="0" applyFill="0" applyBorder="0" applyAlignment="0" applyProtection="0"/>
    <xf numFmtId="9" fontId="14" fillId="0" borderId="0" applyFont="0" applyFill="0" applyBorder="0" applyAlignment="0" applyProtection="0"/>
    <xf numFmtId="0" fontId="30" fillId="0" borderId="0" applyNumberFormat="0" applyFont="0" applyFill="0" applyBorder="0" applyAlignment="0" applyProtection="0">
      <alignment horizontal="left"/>
    </xf>
    <xf numFmtId="15" fontId="30" fillId="0" borderId="0" applyFont="0" applyFill="0" applyBorder="0" applyAlignment="0" applyProtection="0"/>
    <xf numFmtId="4" fontId="30" fillId="0" borderId="0" applyFont="0" applyFill="0" applyBorder="0" applyAlignment="0" applyProtection="0"/>
    <xf numFmtId="0" fontId="32" fillId="0" borderId="13">
      <alignment horizontal="center"/>
    </xf>
    <xf numFmtId="3" fontId="30" fillId="0" borderId="0" applyFont="0" applyFill="0" applyBorder="0" applyAlignment="0" applyProtection="0"/>
    <xf numFmtId="0" fontId="30" fillId="27" borderId="0" applyNumberFormat="0" applyFont="0" applyBorder="0" applyAlignment="0" applyProtection="0"/>
    <xf numFmtId="3" fontId="42" fillId="28" borderId="0" applyFont="0" applyFill="0" applyBorder="0" applyAlignment="0" applyProtection="0"/>
    <xf numFmtId="4" fontId="33" fillId="29" borderId="12" applyNumberFormat="0" applyProtection="0">
      <alignment vertical="center"/>
    </xf>
    <xf numFmtId="4" fontId="34" fillId="29" borderId="12" applyNumberFormat="0" applyProtection="0">
      <alignment vertical="center"/>
    </xf>
    <xf numFmtId="4" fontId="33" fillId="29" borderId="12" applyNumberFormat="0" applyProtection="0">
      <alignment horizontal="left" vertical="center" indent="1"/>
    </xf>
    <xf numFmtId="4" fontId="33" fillId="29" borderId="12" applyNumberFormat="0" applyProtection="0">
      <alignment horizontal="left" vertical="center" indent="1"/>
    </xf>
    <xf numFmtId="0" fontId="9" fillId="30" borderId="12" applyNumberFormat="0" applyProtection="0">
      <alignment horizontal="left" vertical="center" indent="1"/>
    </xf>
    <xf numFmtId="4" fontId="33" fillId="31" borderId="12" applyNumberFormat="0" applyProtection="0">
      <alignment horizontal="right" vertical="center"/>
    </xf>
    <xf numFmtId="4" fontId="33" fillId="32" borderId="12" applyNumberFormat="0" applyProtection="0">
      <alignment horizontal="right" vertical="center"/>
    </xf>
    <xf numFmtId="4" fontId="33" fillId="33" borderId="12" applyNumberFormat="0" applyProtection="0">
      <alignment horizontal="right" vertical="center"/>
    </xf>
    <xf numFmtId="4" fontId="33" fillId="34" borderId="12" applyNumberFormat="0" applyProtection="0">
      <alignment horizontal="right" vertical="center"/>
    </xf>
    <xf numFmtId="4" fontId="33" fillId="35" borderId="12" applyNumberFormat="0" applyProtection="0">
      <alignment horizontal="right" vertical="center"/>
    </xf>
    <xf numFmtId="4" fontId="33" fillId="36" borderId="12" applyNumberFormat="0" applyProtection="0">
      <alignment horizontal="right" vertical="center"/>
    </xf>
    <xf numFmtId="4" fontId="33" fillId="37" borderId="12" applyNumberFormat="0" applyProtection="0">
      <alignment horizontal="right" vertical="center"/>
    </xf>
    <xf numFmtId="4" fontId="33" fillId="38" borderId="12" applyNumberFormat="0" applyProtection="0">
      <alignment horizontal="right" vertical="center"/>
    </xf>
    <xf numFmtId="4" fontId="33" fillId="39" borderId="12" applyNumberFormat="0" applyProtection="0">
      <alignment horizontal="right" vertical="center"/>
    </xf>
    <xf numFmtId="4" fontId="35" fillId="40" borderId="12" applyNumberFormat="0" applyProtection="0">
      <alignment horizontal="left" vertical="center" indent="1"/>
    </xf>
    <xf numFmtId="4" fontId="33" fillId="41" borderId="14" applyNumberFormat="0" applyProtection="0">
      <alignment horizontal="left" vertical="center" indent="1"/>
    </xf>
    <xf numFmtId="4" fontId="36" fillId="42" borderId="0" applyNumberFormat="0" applyProtection="0">
      <alignment horizontal="left" vertical="center" indent="1"/>
    </xf>
    <xf numFmtId="0" fontId="9" fillId="30" borderId="12" applyNumberFormat="0" applyProtection="0">
      <alignment horizontal="left" vertical="center" indent="1"/>
    </xf>
    <xf numFmtId="4" fontId="33" fillId="41" borderId="12" applyNumberFormat="0" applyProtection="0">
      <alignment horizontal="left" vertical="center" indent="1"/>
    </xf>
    <xf numFmtId="4" fontId="33" fillId="43" borderId="12" applyNumberFormat="0" applyProtection="0">
      <alignment horizontal="left" vertical="center" indent="1"/>
    </xf>
    <xf numFmtId="0" fontId="9" fillId="43" borderId="12" applyNumberFormat="0" applyProtection="0">
      <alignment horizontal="left" vertical="center" indent="1"/>
    </xf>
    <xf numFmtId="0" fontId="9" fillId="43" borderId="12" applyNumberFormat="0" applyProtection="0">
      <alignment horizontal="left" vertical="center" indent="1"/>
    </xf>
    <xf numFmtId="0" fontId="9" fillId="44" borderId="12" applyNumberFormat="0" applyProtection="0">
      <alignment horizontal="left" vertical="center" indent="1"/>
    </xf>
    <xf numFmtId="0" fontId="9" fillId="44" borderId="12" applyNumberFormat="0" applyProtection="0">
      <alignment horizontal="left" vertical="center" indent="1"/>
    </xf>
    <xf numFmtId="0" fontId="9" fillId="24" borderId="12" applyNumberFormat="0" applyProtection="0">
      <alignment horizontal="left" vertical="center" indent="1"/>
    </xf>
    <xf numFmtId="0" fontId="9" fillId="24" borderId="12" applyNumberFormat="0" applyProtection="0">
      <alignment horizontal="left" vertical="center" indent="1"/>
    </xf>
    <xf numFmtId="0" fontId="9" fillId="30" borderId="12" applyNumberFormat="0" applyProtection="0">
      <alignment horizontal="left" vertical="center" indent="1"/>
    </xf>
    <xf numFmtId="0" fontId="9" fillId="30" borderId="12" applyNumberFormat="0" applyProtection="0">
      <alignment horizontal="left" vertical="center" indent="1"/>
    </xf>
    <xf numFmtId="4" fontId="33" fillId="3" borderId="12" applyNumberFormat="0" applyProtection="0">
      <alignment vertical="center"/>
    </xf>
    <xf numFmtId="4" fontId="34" fillId="3" borderId="12" applyNumberFormat="0" applyProtection="0">
      <alignment vertical="center"/>
    </xf>
    <xf numFmtId="4" fontId="33" fillId="3" borderId="12" applyNumberFormat="0" applyProtection="0">
      <alignment horizontal="left" vertical="center" indent="1"/>
    </xf>
    <xf numFmtId="4" fontId="33" fillId="3" borderId="12" applyNumberFormat="0" applyProtection="0">
      <alignment horizontal="left" vertical="center" indent="1"/>
    </xf>
    <xf numFmtId="4" fontId="33" fillId="41" borderId="12" applyNumberFormat="0" applyProtection="0">
      <alignment horizontal="right" vertical="center"/>
    </xf>
    <xf numFmtId="4" fontId="34" fillId="41" borderId="12" applyNumberFormat="0" applyProtection="0">
      <alignment horizontal="right" vertical="center"/>
    </xf>
    <xf numFmtId="0" fontId="9" fillId="30" borderId="12" applyNumberFormat="0" applyProtection="0">
      <alignment horizontal="left" vertical="center" indent="1"/>
    </xf>
    <xf numFmtId="0" fontId="9" fillId="30" borderId="12" applyNumberFormat="0" applyProtection="0">
      <alignment horizontal="left" vertical="center" indent="1"/>
    </xf>
    <xf numFmtId="0" fontId="37" fillId="0" borderId="0"/>
    <xf numFmtId="4" fontId="11" fillId="41" borderId="12" applyNumberFormat="0" applyProtection="0">
      <alignment horizontal="right" vertical="center"/>
    </xf>
    <xf numFmtId="0" fontId="9" fillId="0" borderId="0"/>
    <xf numFmtId="0" fontId="38" fillId="0" borderId="0" applyNumberFormat="0" applyFill="0" applyBorder="0" applyAlignment="0" applyProtection="0"/>
    <xf numFmtId="0" fontId="39" fillId="0" borderId="15" applyNumberFormat="0" applyFill="0" applyAlignment="0" applyProtection="0"/>
    <xf numFmtId="3" fontId="40" fillId="0" borderId="2" applyNumberFormat="0"/>
    <xf numFmtId="0" fontId="41" fillId="0" borderId="0" applyNumberFormat="0" applyFill="0" applyBorder="0" applyAlignment="0" applyProtection="0"/>
    <xf numFmtId="0" fontId="9" fillId="0" borderId="0" applyNumberFormat="0" applyFill="0" applyBorder="0" applyAlignment="0" applyProtection="0"/>
    <xf numFmtId="0" fontId="5" fillId="0" borderId="0"/>
    <xf numFmtId="0" fontId="43" fillId="0" borderId="0"/>
    <xf numFmtId="0" fontId="9" fillId="0" borderId="0" applyNumberFormat="0" applyFill="0" applyBorder="0" applyAlignment="0" applyProtection="0"/>
    <xf numFmtId="9" fontId="5" fillId="0" borderId="0" applyFont="0" applyFill="0" applyBorder="0" applyAlignment="0" applyProtection="0"/>
    <xf numFmtId="0" fontId="44" fillId="0" borderId="0" applyNumberFormat="0" applyFont="0" applyFill="0" applyBorder="0" applyAlignment="0" applyProtection="0"/>
    <xf numFmtId="0" fontId="45" fillId="0" borderId="0"/>
    <xf numFmtId="0" fontId="46" fillId="0" borderId="0"/>
    <xf numFmtId="174" fontId="47" fillId="0" borderId="0"/>
    <xf numFmtId="174" fontId="9" fillId="0" borderId="0"/>
    <xf numFmtId="174" fontId="49" fillId="0" borderId="0"/>
    <xf numFmtId="0" fontId="50" fillId="0" borderId="0">
      <alignment horizontal="left"/>
    </xf>
    <xf numFmtId="175" fontId="48" fillId="0" borderId="16" applyFill="0" applyBorder="0" applyProtection="0">
      <alignment horizontal="right" vertical="top"/>
    </xf>
    <xf numFmtId="174" fontId="51" fillId="0" borderId="16">
      <alignment horizontal="left"/>
    </xf>
    <xf numFmtId="0" fontId="50" fillId="0" borderId="16">
      <alignment horizontal="right" wrapText="1"/>
    </xf>
    <xf numFmtId="0" fontId="48" fillId="0" borderId="0" applyFill="0" applyBorder="0">
      <alignment horizontal="left" vertical="top" wrapText="1"/>
    </xf>
    <xf numFmtId="176" fontId="48" fillId="0" borderId="0" applyFill="0" applyBorder="0">
      <alignment horizontal="right" vertical="top"/>
    </xf>
    <xf numFmtId="177" fontId="48" fillId="0" borderId="0" applyFill="0" applyBorder="0">
      <alignment horizontal="right" vertical="top"/>
    </xf>
    <xf numFmtId="49" fontId="48" fillId="0" borderId="0" applyNumberFormat="0" applyFill="0" applyBorder="0" applyProtection="0">
      <alignment horizontal="center" vertical="top"/>
    </xf>
    <xf numFmtId="174" fontId="52" fillId="0" borderId="0">
      <alignment horizontal="left" vertical="top"/>
    </xf>
    <xf numFmtId="0" fontId="53" fillId="0" borderId="0"/>
    <xf numFmtId="0" fontId="5" fillId="0" borderId="0"/>
    <xf numFmtId="0" fontId="54" fillId="0" borderId="0"/>
    <xf numFmtId="0" fontId="5" fillId="0" borderId="0"/>
    <xf numFmtId="169" fontId="5" fillId="0" borderId="0" applyFont="0" applyFill="0" applyBorder="0" applyAlignment="0" applyProtection="0"/>
    <xf numFmtId="9" fontId="5" fillId="0" borderId="0" applyFont="0" applyFill="0" applyBorder="0" applyAlignment="0" applyProtection="0"/>
    <xf numFmtId="0" fontId="5" fillId="0" borderId="0"/>
    <xf numFmtId="0" fontId="55" fillId="0" borderId="0"/>
    <xf numFmtId="0" fontId="56" fillId="0" borderId="0"/>
    <xf numFmtId="0" fontId="57" fillId="0" borderId="0"/>
    <xf numFmtId="0" fontId="58" fillId="0" borderId="0"/>
    <xf numFmtId="0" fontId="58" fillId="0" borderId="0"/>
    <xf numFmtId="0" fontId="55" fillId="0" borderId="0"/>
    <xf numFmtId="0" fontId="56" fillId="0" borderId="0"/>
    <xf numFmtId="0" fontId="57" fillId="0" borderId="0"/>
    <xf numFmtId="0" fontId="61" fillId="0" borderId="0" applyNumberFormat="0" applyFill="0" applyBorder="0" applyAlignment="0" applyProtection="0"/>
    <xf numFmtId="44" fontId="9" fillId="0" borderId="0" applyFont="0" applyFill="0" applyBorder="0" applyAlignment="0" applyProtection="0"/>
    <xf numFmtId="0" fontId="70" fillId="0" borderId="0">
      <alignment vertical="top"/>
    </xf>
    <xf numFmtId="43" fontId="71" fillId="0" borderId="0">
      <alignment vertical="top"/>
    </xf>
  </cellStyleXfs>
  <cellXfs count="443">
    <xf numFmtId="0" fontId="0" fillId="0" borderId="0" xfId="0"/>
    <xf numFmtId="0" fontId="1" fillId="2" borderId="0" xfId="0" applyFont="1" applyFill="1"/>
    <xf numFmtId="164" fontId="1" fillId="2" borderId="0" xfId="0" applyNumberFormat="1" applyFont="1" applyFill="1"/>
    <xf numFmtId="164" fontId="1" fillId="2" borderId="0" xfId="0" applyNumberFormat="1" applyFont="1" applyFill="1" applyBorder="1"/>
    <xf numFmtId="9" fontId="1" fillId="2" borderId="0" xfId="2" applyFont="1" applyFill="1"/>
    <xf numFmtId="167" fontId="1" fillId="2" borderId="0" xfId="0" applyNumberFormat="1" applyFont="1" applyFill="1"/>
    <xf numFmtId="165" fontId="1" fillId="2" borderId="0" xfId="0" applyNumberFormat="1" applyFont="1" applyFill="1" applyBorder="1"/>
    <xf numFmtId="164" fontId="7" fillId="2" borderId="0" xfId="0" applyNumberFormat="1" applyFont="1" applyFill="1" applyBorder="1"/>
    <xf numFmtId="164" fontId="1" fillId="2" borderId="0" xfId="0" applyNumberFormat="1" applyFont="1" applyFill="1" applyBorder="1" applyAlignment="1">
      <alignment horizontal="right"/>
    </xf>
    <xf numFmtId="178" fontId="1" fillId="2" borderId="0" xfId="0" applyNumberFormat="1" applyFont="1" applyFill="1"/>
    <xf numFmtId="0" fontId="60" fillId="2" borderId="0" xfId="0" applyFont="1" applyFill="1"/>
    <xf numFmtId="2" fontId="1" fillId="2" borderId="0" xfId="0" applyNumberFormat="1" applyFont="1" applyFill="1"/>
    <xf numFmtId="178" fontId="1" fillId="2" borderId="0" xfId="0" applyNumberFormat="1" applyFont="1" applyFill="1" applyBorder="1"/>
    <xf numFmtId="10" fontId="1" fillId="2" borderId="0" xfId="2" applyNumberFormat="1" applyFont="1" applyFill="1"/>
    <xf numFmtId="0" fontId="1" fillId="2" borderId="0" xfId="0" applyNumberFormat="1" applyFont="1" applyFill="1"/>
    <xf numFmtId="9" fontId="4" fillId="2" borderId="0" xfId="2" applyFont="1" applyFill="1" applyBorder="1"/>
    <xf numFmtId="10" fontId="8" fillId="2" borderId="0" xfId="2" applyNumberFormat="1" applyFont="1" applyFill="1"/>
    <xf numFmtId="164" fontId="63" fillId="2" borderId="0" xfId="0" applyNumberFormat="1" applyFont="1" applyFill="1"/>
    <xf numFmtId="165" fontId="1" fillId="46" borderId="0" xfId="0" applyNumberFormat="1" applyFont="1" applyFill="1" applyBorder="1"/>
    <xf numFmtId="164" fontId="1" fillId="46" borderId="0" xfId="0" applyNumberFormat="1" applyFont="1" applyFill="1" applyBorder="1"/>
    <xf numFmtId="10" fontId="6" fillId="2" borderId="0" xfId="2" applyNumberFormat="1" applyFont="1" applyFill="1" applyBorder="1"/>
    <xf numFmtId="10" fontId="6" fillId="46" borderId="0" xfId="2" applyNumberFormat="1" applyFont="1" applyFill="1" applyBorder="1"/>
    <xf numFmtId="164" fontId="4" fillId="2" borderId="0" xfId="0" applyNumberFormat="1" applyFont="1" applyFill="1" applyBorder="1" applyAlignment="1">
      <alignment wrapText="1"/>
    </xf>
    <xf numFmtId="164" fontId="2" fillId="2" borderId="0" xfId="0" applyNumberFormat="1" applyFont="1" applyFill="1" applyBorder="1" applyAlignment="1">
      <alignment horizontal="right" wrapText="1"/>
    </xf>
    <xf numFmtId="164" fontId="2" fillId="2" borderId="0" xfId="0" applyNumberFormat="1" applyFont="1" applyFill="1" applyBorder="1"/>
    <xf numFmtId="165" fontId="2" fillId="2" borderId="0" xfId="0" applyNumberFormat="1" applyFont="1" applyFill="1" applyBorder="1"/>
    <xf numFmtId="164" fontId="1" fillId="2" borderId="0" xfId="0" applyNumberFormat="1" applyFont="1" applyFill="1" applyBorder="1" applyAlignment="1">
      <alignment vertical="center"/>
    </xf>
    <xf numFmtId="164" fontId="1" fillId="2" borderId="0" xfId="0" applyNumberFormat="1" applyFont="1" applyFill="1" applyAlignment="1">
      <alignment vertical="center"/>
    </xf>
    <xf numFmtId="164" fontId="8" fillId="45" borderId="0" xfId="0" applyNumberFormat="1" applyFont="1" applyFill="1" applyBorder="1" applyAlignment="1">
      <alignment horizontal="left" vertical="center"/>
    </xf>
    <xf numFmtId="164" fontId="1" fillId="2" borderId="0" xfId="0" applyNumberFormat="1" applyFont="1" applyFill="1" applyBorder="1" applyAlignment="1">
      <alignment horizontal="left" vertical="center"/>
    </xf>
    <xf numFmtId="164" fontId="1" fillId="2" borderId="0" xfId="0" applyNumberFormat="1" applyFont="1" applyFill="1" applyAlignment="1">
      <alignment horizontal="left" vertical="center"/>
    </xf>
    <xf numFmtId="164" fontId="1" fillId="46" borderId="0" xfId="0" applyNumberFormat="1" applyFont="1" applyFill="1"/>
    <xf numFmtId="164" fontId="60" fillId="2" borderId="0" xfId="0" applyNumberFormat="1" applyFont="1" applyFill="1" applyBorder="1"/>
    <xf numFmtId="164" fontId="60" fillId="2" borderId="0" xfId="0" applyNumberFormat="1" applyFont="1" applyFill="1" applyBorder="1" applyAlignment="1">
      <alignment horizontal="right"/>
    </xf>
    <xf numFmtId="164" fontId="40" fillId="2" borderId="0" xfId="0" applyNumberFormat="1" applyFont="1" applyFill="1" applyBorder="1"/>
    <xf numFmtId="164" fontId="60" fillId="2" borderId="0" xfId="0" applyNumberFormat="1" applyFont="1" applyFill="1" applyBorder="1" applyAlignment="1">
      <alignment horizontal="left" vertical="center"/>
    </xf>
    <xf numFmtId="0" fontId="68" fillId="2" borderId="0" xfId="0" applyFont="1" applyFill="1"/>
    <xf numFmtId="0" fontId="62" fillId="2" borderId="0" xfId="0" applyFont="1" applyFill="1"/>
    <xf numFmtId="0" fontId="40" fillId="2" borderId="0" xfId="0" applyFont="1" applyFill="1"/>
    <xf numFmtId="0" fontId="10" fillId="2" borderId="0" xfId="0" applyFont="1" applyFill="1" applyAlignment="1">
      <alignment horizontal="left"/>
    </xf>
    <xf numFmtId="0" fontId="60" fillId="2" borderId="0" xfId="165" applyFont="1" applyFill="1"/>
    <xf numFmtId="0" fontId="59" fillId="45" borderId="0" xfId="0" applyFont="1" applyFill="1" applyAlignment="1">
      <alignment horizontal="left"/>
    </xf>
    <xf numFmtId="0" fontId="8" fillId="45" borderId="0" xfId="0" applyFont="1" applyFill="1"/>
    <xf numFmtId="165" fontId="2" fillId="46" borderId="0" xfId="0" applyNumberFormat="1" applyFont="1" applyFill="1" applyBorder="1"/>
    <xf numFmtId="9" fontId="40" fillId="2" borderId="0" xfId="2" applyFont="1" applyFill="1" applyBorder="1" applyAlignment="1">
      <alignment horizontal="right"/>
    </xf>
    <xf numFmtId="0" fontId="8" fillId="2" borderId="0" xfId="133" applyNumberFormat="1" applyFont="1" applyFill="1" applyBorder="1" applyAlignment="1">
      <alignment vertical="center"/>
    </xf>
    <xf numFmtId="164" fontId="64" fillId="2" borderId="0" xfId="0" applyNumberFormat="1" applyFont="1" applyFill="1" applyBorder="1"/>
    <xf numFmtId="10" fontId="1" fillId="2" borderId="0" xfId="2" applyNumberFormat="1" applyFont="1" applyFill="1" applyBorder="1"/>
    <xf numFmtId="165" fontId="2" fillId="2" borderId="0" xfId="0" applyNumberFormat="1" applyFont="1" applyFill="1" applyBorder="1" applyAlignment="1">
      <alignment horizontal="right"/>
    </xf>
    <xf numFmtId="164" fontId="2" fillId="46" borderId="2" xfId="0" applyNumberFormat="1" applyFont="1" applyFill="1" applyBorder="1"/>
    <xf numFmtId="165" fontId="2" fillId="46" borderId="0" xfId="0" applyNumberFormat="1" applyFont="1" applyFill="1" applyBorder="1" applyAlignment="1">
      <alignment horizontal="right"/>
    </xf>
    <xf numFmtId="164" fontId="2" fillId="46" borderId="0" xfId="0" applyNumberFormat="1" applyFont="1" applyFill="1"/>
    <xf numFmtId="164" fontId="64" fillId="46" borderId="0" xfId="0" applyNumberFormat="1" applyFont="1" applyFill="1"/>
    <xf numFmtId="164" fontId="65" fillId="2" borderId="0" xfId="0" applyNumberFormat="1" applyFont="1" applyFill="1" applyBorder="1"/>
    <xf numFmtId="10" fontId="1" fillId="46" borderId="0" xfId="2" applyNumberFormat="1" applyFont="1" applyFill="1" applyBorder="1"/>
    <xf numFmtId="10" fontId="8" fillId="45" borderId="0" xfId="2" applyNumberFormat="1" applyFont="1" applyFill="1" applyBorder="1"/>
    <xf numFmtId="166" fontId="1" fillId="46" borderId="0" xfId="2" applyNumberFormat="1" applyFont="1" applyFill="1" applyBorder="1"/>
    <xf numFmtId="164" fontId="1" fillId="46" borderId="0" xfId="0" applyNumberFormat="1" applyFont="1" applyFill="1" applyBorder="1" applyAlignment="1">
      <alignment horizontal="right"/>
    </xf>
    <xf numFmtId="10" fontId="8" fillId="2" borderId="0" xfId="2" applyNumberFormat="1" applyFont="1" applyFill="1" applyBorder="1"/>
    <xf numFmtId="0" fontId="70" fillId="2" borderId="0" xfId="167" applyFill="1">
      <alignment vertical="top"/>
    </xf>
    <xf numFmtId="0" fontId="72" fillId="2" borderId="0" xfId="167" applyFont="1" applyFill="1">
      <alignment vertical="top"/>
    </xf>
    <xf numFmtId="0" fontId="73" fillId="2" borderId="0" xfId="167" applyFont="1" applyFill="1">
      <alignment vertical="top"/>
    </xf>
    <xf numFmtId="0" fontId="70" fillId="0" borderId="0" xfId="167">
      <alignment vertical="top"/>
    </xf>
    <xf numFmtId="0" fontId="69" fillId="2" borderId="0" xfId="1" applyFont="1" applyFill="1" applyBorder="1" applyAlignment="1">
      <alignment horizontal="left" wrapText="1"/>
    </xf>
    <xf numFmtId="0" fontId="1" fillId="2" borderId="0" xfId="2" applyNumberFormat="1" applyFont="1" applyFill="1" applyBorder="1"/>
    <xf numFmtId="0" fontId="1" fillId="2" borderId="0" xfId="0" applyNumberFormat="1" applyFont="1" applyFill="1" applyBorder="1"/>
    <xf numFmtId="0" fontId="2" fillId="2" borderId="0" xfId="0" applyNumberFormat="1" applyFont="1" applyFill="1" applyBorder="1"/>
    <xf numFmtId="164" fontId="2" fillId="2" borderId="0" xfId="0" applyNumberFormat="1" applyFont="1" applyFill="1" applyBorder="1" applyAlignment="1">
      <alignment horizontal="right"/>
    </xf>
    <xf numFmtId="0" fontId="1" fillId="2" borderId="0" xfId="2" applyNumberFormat="1" applyFont="1" applyFill="1" applyBorder="1" applyAlignment="1">
      <alignment horizontal="right"/>
    </xf>
    <xf numFmtId="0" fontId="1" fillId="2" borderId="0" xfId="2" applyNumberFormat="1" applyFont="1" applyFill="1" applyBorder="1" applyAlignment="1">
      <alignment horizontal="right" vertical="center"/>
    </xf>
    <xf numFmtId="0" fontId="1" fillId="46" borderId="0" xfId="2" applyNumberFormat="1" applyFont="1" applyFill="1" applyBorder="1" applyAlignment="1">
      <alignment horizontal="right" vertical="center"/>
    </xf>
    <xf numFmtId="0" fontId="8" fillId="45" borderId="0" xfId="0" applyNumberFormat="1" applyFont="1" applyFill="1" applyAlignment="1">
      <alignment horizontal="right" vertical="center"/>
    </xf>
    <xf numFmtId="164" fontId="8" fillId="45" borderId="0" xfId="0" applyNumberFormat="1" applyFont="1" applyFill="1" applyBorder="1" applyAlignment="1">
      <alignment horizontal="right" vertical="center"/>
    </xf>
    <xf numFmtId="182" fontId="1" fillId="46" borderId="0" xfId="0" applyNumberFormat="1" applyFont="1" applyFill="1" applyBorder="1" applyAlignment="1">
      <alignment horizontal="right" vertical="center"/>
    </xf>
    <xf numFmtId="164" fontId="8" fillId="45" borderId="0" xfId="0" applyNumberFormat="1" applyFont="1" applyFill="1" applyBorder="1" applyAlignment="1">
      <alignment horizontal="right"/>
    </xf>
    <xf numFmtId="10" fontId="64" fillId="46" borderId="0" xfId="2" applyNumberFormat="1" applyFont="1" applyFill="1" applyBorder="1" applyAlignment="1">
      <alignment horizontal="right"/>
    </xf>
    <xf numFmtId="10" fontId="40" fillId="2" borderId="0" xfId="2" applyNumberFormat="1" applyFont="1" applyFill="1" applyBorder="1"/>
    <xf numFmtId="10" fontId="2" fillId="2" borderId="0" xfId="2" applyNumberFormat="1" applyFont="1" applyFill="1" applyBorder="1"/>
    <xf numFmtId="165" fontId="2" fillId="2" borderId="18" xfId="0" applyNumberFormat="1" applyFont="1" applyFill="1" applyBorder="1" applyAlignment="1">
      <alignment horizontal="right"/>
    </xf>
    <xf numFmtId="164" fontId="2" fillId="46" borderId="0" xfId="0" applyNumberFormat="1" applyFont="1" applyFill="1" applyBorder="1" applyAlignment="1">
      <alignment horizontal="right"/>
    </xf>
    <xf numFmtId="164" fontId="2" fillId="2" borderId="18" xfId="0" applyNumberFormat="1" applyFont="1" applyFill="1" applyBorder="1"/>
    <xf numFmtId="0" fontId="64" fillId="2" borderId="0" xfId="2" applyNumberFormat="1" applyFont="1" applyFill="1" applyBorder="1"/>
    <xf numFmtId="164" fontId="66" fillId="2" borderId="0" xfId="165" applyNumberFormat="1" applyFont="1" applyFill="1" applyBorder="1"/>
    <xf numFmtId="182" fontId="2" fillId="2" borderId="0" xfId="0" applyNumberFormat="1" applyFont="1" applyFill="1" applyBorder="1" applyAlignment="1">
      <alignment horizontal="right"/>
    </xf>
    <xf numFmtId="10" fontId="2" fillId="2" borderId="0" xfId="2" applyNumberFormat="1" applyFont="1" applyFill="1" applyBorder="1" applyAlignment="1">
      <alignment horizontal="right"/>
    </xf>
    <xf numFmtId="10" fontId="1" fillId="2" borderId="0" xfId="2" applyNumberFormat="1" applyFont="1" applyFill="1" applyBorder="1" applyAlignment="1">
      <alignment horizontal="right"/>
    </xf>
    <xf numFmtId="0" fontId="1" fillId="46" borderId="0" xfId="2" applyNumberFormat="1" applyFont="1" applyFill="1" applyBorder="1" applyAlignment="1">
      <alignment horizontal="right"/>
    </xf>
    <xf numFmtId="10" fontId="1" fillId="46" borderId="0" xfId="2" applyNumberFormat="1" applyFont="1" applyFill="1" applyBorder="1" applyAlignment="1">
      <alignment horizontal="right"/>
    </xf>
    <xf numFmtId="0" fontId="8" fillId="45" borderId="0" xfId="0" applyNumberFormat="1" applyFont="1" applyFill="1" applyAlignment="1">
      <alignment horizontal="right"/>
    </xf>
    <xf numFmtId="10" fontId="1" fillId="2" borderId="18" xfId="2" applyNumberFormat="1" applyFont="1" applyFill="1" applyBorder="1" applyAlignment="1">
      <alignment horizontal="right"/>
    </xf>
    <xf numFmtId="164" fontId="64" fillId="2" borderId="0" xfId="165" applyNumberFormat="1" applyFont="1" applyFill="1" applyBorder="1"/>
    <xf numFmtId="182" fontId="2" fillId="46" borderId="0" xfId="0" applyNumberFormat="1" applyFont="1" applyFill="1" applyBorder="1"/>
    <xf numFmtId="10" fontId="40" fillId="46" borderId="0" xfId="2" applyNumberFormat="1" applyFont="1" applyFill="1" applyBorder="1"/>
    <xf numFmtId="10" fontId="2" fillId="46" borderId="0" xfId="2" applyNumberFormat="1" applyFont="1" applyFill="1" applyBorder="1"/>
    <xf numFmtId="182" fontId="2" fillId="46" borderId="0" xfId="0" applyNumberFormat="1" applyFont="1" applyFill="1" applyBorder="1" applyAlignment="1">
      <alignment horizontal="right"/>
    </xf>
    <xf numFmtId="10" fontId="2" fillId="46" borderId="0" xfId="2" applyNumberFormat="1" applyFont="1" applyFill="1" applyBorder="1" applyAlignment="1">
      <alignment horizontal="right"/>
    </xf>
    <xf numFmtId="182" fontId="8" fillId="45" borderId="0" xfId="0" applyNumberFormat="1" applyFont="1" applyFill="1" applyBorder="1"/>
    <xf numFmtId="182" fontId="1" fillId="46" borderId="0" xfId="0" applyNumberFormat="1" applyFont="1" applyFill="1" applyAlignment="1">
      <alignment horizontal="right"/>
    </xf>
    <xf numFmtId="164" fontId="1" fillId="46" borderId="0" xfId="0" applyNumberFormat="1" applyFont="1" applyFill="1" applyAlignment="1">
      <alignment horizontal="right"/>
    </xf>
    <xf numFmtId="178" fontId="8" fillId="45" borderId="0" xfId="0" applyNumberFormat="1" applyFont="1" applyFill="1" applyBorder="1" applyAlignment="1">
      <alignment horizontal="right"/>
    </xf>
    <xf numFmtId="165" fontId="8" fillId="45" borderId="0" xfId="0" applyNumberFormat="1" applyFont="1" applyFill="1" applyBorder="1" applyAlignment="1">
      <alignment horizontal="right"/>
    </xf>
    <xf numFmtId="178" fontId="2" fillId="2" borderId="0" xfId="0" applyNumberFormat="1" applyFont="1" applyFill="1" applyBorder="1" applyAlignment="1">
      <alignment horizontal="right"/>
    </xf>
    <xf numFmtId="0" fontId="1" fillId="2" borderId="0" xfId="0" applyNumberFormat="1" applyFont="1" applyFill="1" applyBorder="1" applyAlignment="1">
      <alignment horizontal="right"/>
    </xf>
    <xf numFmtId="183" fontId="1" fillId="2" borderId="0" xfId="0" applyNumberFormat="1" applyFont="1" applyFill="1"/>
    <xf numFmtId="164" fontId="8" fillId="2" borderId="0" xfId="0" applyNumberFormat="1" applyFont="1" applyFill="1" applyBorder="1" applyAlignment="1">
      <alignment horizontal="right"/>
    </xf>
    <xf numFmtId="178" fontId="2" fillId="46" borderId="0" xfId="0" applyNumberFormat="1" applyFont="1" applyFill="1" applyBorder="1" applyAlignment="1">
      <alignment horizontal="right"/>
    </xf>
    <xf numFmtId="0" fontId="1" fillId="46" borderId="0" xfId="0" applyNumberFormat="1" applyFont="1" applyFill="1"/>
    <xf numFmtId="0" fontId="1" fillId="46" borderId="0" xfId="0" applyNumberFormat="1" applyFont="1" applyFill="1" applyBorder="1" applyAlignment="1">
      <alignment horizontal="right"/>
    </xf>
    <xf numFmtId="10" fontId="1" fillId="46" borderId="0" xfId="2" applyNumberFormat="1" applyFont="1" applyFill="1"/>
    <xf numFmtId="164" fontId="2" fillId="46" borderId="0" xfId="0" applyNumberFormat="1" applyFont="1" applyFill="1" applyBorder="1"/>
    <xf numFmtId="10" fontId="1" fillId="46" borderId="0" xfId="0" applyNumberFormat="1" applyFont="1" applyFill="1"/>
    <xf numFmtId="164" fontId="2" fillId="46" borderId="18" xfId="0" applyNumberFormat="1" applyFont="1" applyFill="1" applyBorder="1"/>
    <xf numFmtId="10" fontId="1" fillId="46" borderId="18" xfId="0" applyNumberFormat="1" applyFont="1" applyFill="1" applyBorder="1"/>
    <xf numFmtId="164" fontId="66" fillId="46" borderId="0" xfId="165" applyNumberFormat="1" applyFont="1" applyFill="1" applyBorder="1"/>
    <xf numFmtId="0" fontId="1" fillId="46" borderId="0" xfId="2" applyNumberFormat="1" applyFont="1" applyFill="1" applyBorder="1"/>
    <xf numFmtId="164" fontId="8" fillId="2" borderId="0" xfId="0" applyNumberFormat="1" applyFont="1" applyFill="1" applyBorder="1" applyAlignment="1">
      <alignment horizontal="right" vertical="center"/>
    </xf>
    <xf numFmtId="182" fontId="1" fillId="2" borderId="0" xfId="0" applyNumberFormat="1" applyFont="1" applyFill="1" applyBorder="1" applyAlignment="1">
      <alignment horizontal="right" vertical="center"/>
    </xf>
    <xf numFmtId="10" fontId="64" fillId="2" borderId="0" xfId="2" applyNumberFormat="1" applyFont="1" applyFill="1" applyBorder="1" applyAlignment="1">
      <alignment horizontal="right"/>
    </xf>
    <xf numFmtId="165" fontId="8" fillId="2" borderId="0" xfId="0" applyNumberFormat="1" applyFont="1" applyFill="1" applyBorder="1" applyAlignment="1">
      <alignment horizontal="right"/>
    </xf>
    <xf numFmtId="0" fontId="8" fillId="2" borderId="0" xfId="0" applyNumberFormat="1" applyFont="1" applyFill="1" applyBorder="1" applyAlignment="1">
      <alignment horizontal="right" vertical="center"/>
    </xf>
    <xf numFmtId="0" fontId="8" fillId="2" borderId="0" xfId="0" applyNumberFormat="1" applyFont="1" applyFill="1" applyBorder="1" applyAlignment="1">
      <alignment horizontal="right"/>
    </xf>
    <xf numFmtId="182" fontId="1" fillId="2" borderId="0" xfId="0" applyNumberFormat="1" applyFont="1" applyFill="1" applyBorder="1" applyAlignment="1">
      <alignment horizontal="right"/>
    </xf>
    <xf numFmtId="179" fontId="1" fillId="2" borderId="0" xfId="2" applyNumberFormat="1" applyFont="1" applyFill="1" applyBorder="1"/>
    <xf numFmtId="183" fontId="1" fillId="2" borderId="0" xfId="0" applyNumberFormat="1" applyFont="1" applyFill="1" applyBorder="1"/>
    <xf numFmtId="10" fontId="1" fillId="2" borderId="0" xfId="0" applyNumberFormat="1" applyFont="1" applyFill="1" applyBorder="1"/>
    <xf numFmtId="178" fontId="8" fillId="2" borderId="0" xfId="0" applyNumberFormat="1" applyFont="1" applyFill="1" applyBorder="1" applyAlignment="1">
      <alignment horizontal="right"/>
    </xf>
    <xf numFmtId="182" fontId="40" fillId="2" borderId="0" xfId="0" applyNumberFormat="1" applyFont="1" applyFill="1" applyBorder="1"/>
    <xf numFmtId="165" fontId="6" fillId="2" borderId="0" xfId="0" applyNumberFormat="1" applyFont="1" applyFill="1" applyBorder="1" applyAlignment="1">
      <alignment horizontal="left"/>
    </xf>
    <xf numFmtId="0" fontId="1" fillId="46" borderId="0" xfId="0" applyNumberFormat="1" applyFont="1" applyFill="1" applyBorder="1"/>
    <xf numFmtId="164" fontId="64" fillId="2" borderId="0" xfId="0" applyNumberFormat="1" applyFont="1" applyFill="1" applyBorder="1" applyAlignment="1">
      <alignment horizontal="left"/>
    </xf>
    <xf numFmtId="178" fontId="1" fillId="46" borderId="0" xfId="0" applyNumberFormat="1" applyFont="1" applyFill="1"/>
    <xf numFmtId="2" fontId="64" fillId="46" borderId="0" xfId="2" applyNumberFormat="1" applyFont="1" applyFill="1" applyBorder="1" applyAlignment="1">
      <alignment horizontal="right"/>
    </xf>
    <xf numFmtId="2" fontId="64" fillId="2" borderId="18" xfId="2" applyNumberFormat="1" applyFont="1" applyFill="1" applyBorder="1" applyAlignment="1">
      <alignment horizontal="right"/>
    </xf>
    <xf numFmtId="182" fontId="64" fillId="2" borderId="0" xfId="0" applyNumberFormat="1" applyFont="1" applyFill="1" applyBorder="1" applyAlignment="1">
      <alignment horizontal="left" vertical="center"/>
    </xf>
    <xf numFmtId="10" fontId="2" fillId="46" borderId="0" xfId="2" applyNumberFormat="1" applyFont="1" applyFill="1"/>
    <xf numFmtId="178" fontId="1" fillId="46" borderId="0" xfId="0" applyNumberFormat="1" applyFont="1" applyFill="1" applyBorder="1"/>
    <xf numFmtId="178" fontId="8" fillId="45" borderId="0" xfId="0" applyNumberFormat="1" applyFont="1" applyFill="1" applyBorder="1"/>
    <xf numFmtId="2" fontId="40" fillId="46" borderId="0" xfId="0" applyNumberFormat="1" applyFont="1" applyFill="1" applyBorder="1" applyAlignment="1">
      <alignment horizontal="right"/>
    </xf>
    <xf numFmtId="178" fontId="2" fillId="46" borderId="0" xfId="0" applyNumberFormat="1" applyFont="1" applyFill="1" applyBorder="1"/>
    <xf numFmtId="164" fontId="63" fillId="46" borderId="0" xfId="0" applyNumberFormat="1" applyFont="1" applyFill="1"/>
    <xf numFmtId="164" fontId="65" fillId="46" borderId="0" xfId="0" applyNumberFormat="1" applyFont="1" applyFill="1" applyBorder="1"/>
    <xf numFmtId="182" fontId="66" fillId="2" borderId="0" xfId="165" applyNumberFormat="1" applyFont="1" applyFill="1" applyBorder="1" applyAlignment="1">
      <alignment horizontal="left" vertical="center"/>
    </xf>
    <xf numFmtId="164" fontId="8" fillId="2" borderId="0" xfId="0" applyNumberFormat="1" applyFont="1" applyFill="1" applyBorder="1" applyAlignment="1"/>
    <xf numFmtId="164" fontId="64" fillId="2" borderId="0" xfId="0" applyNumberFormat="1" applyFont="1" applyFill="1" applyBorder="1" applyAlignment="1"/>
    <xf numFmtId="180" fontId="2" fillId="2" borderId="0" xfId="2" applyNumberFormat="1" applyFont="1" applyFill="1" applyBorder="1"/>
    <xf numFmtId="2" fontId="8" fillId="45" borderId="0" xfId="2" applyNumberFormat="1" applyFont="1" applyFill="1" applyBorder="1"/>
    <xf numFmtId="180" fontId="2" fillId="46" borderId="0" xfId="2" applyNumberFormat="1" applyFont="1" applyFill="1" applyBorder="1"/>
    <xf numFmtId="180" fontId="2" fillId="46" borderId="18" xfId="2" applyNumberFormat="1" applyFont="1" applyFill="1" applyBorder="1"/>
    <xf numFmtId="164" fontId="64" fillId="46" borderId="0" xfId="0" applyNumberFormat="1" applyFont="1" applyFill="1" applyAlignment="1">
      <alignment horizontal="right"/>
    </xf>
    <xf numFmtId="0" fontId="2" fillId="46" borderId="0" xfId="2" applyNumberFormat="1" applyFont="1" applyFill="1" applyBorder="1"/>
    <xf numFmtId="185" fontId="8" fillId="45" borderId="0" xfId="2" applyNumberFormat="1" applyFont="1" applyFill="1" applyBorder="1" applyAlignment="1">
      <alignment horizontal="right"/>
    </xf>
    <xf numFmtId="186" fontId="2" fillId="46" borderId="0" xfId="0" applyNumberFormat="1" applyFont="1" applyFill="1"/>
    <xf numFmtId="187" fontId="8" fillId="45" borderId="0" xfId="2" applyNumberFormat="1" applyFont="1" applyFill="1" applyBorder="1" applyAlignment="1">
      <alignment horizontal="right"/>
    </xf>
    <xf numFmtId="10" fontId="8" fillId="45" borderId="0" xfId="2" applyNumberFormat="1" applyFont="1" applyFill="1"/>
    <xf numFmtId="0" fontId="62" fillId="2" borderId="0" xfId="0" applyFont="1" applyFill="1" applyBorder="1" applyAlignment="1">
      <alignment vertical="center"/>
    </xf>
    <xf numFmtId="0" fontId="1" fillId="2" borderId="0" xfId="0" applyFont="1" applyFill="1" applyBorder="1" applyAlignment="1">
      <alignment vertical="center"/>
    </xf>
    <xf numFmtId="0" fontId="1" fillId="2" borderId="0" xfId="0" applyFont="1" applyFill="1" applyBorder="1"/>
    <xf numFmtId="0" fontId="40" fillId="2" borderId="0" xfId="0" applyFont="1" applyFill="1" applyBorder="1" applyAlignment="1">
      <alignment horizontal="right"/>
    </xf>
    <xf numFmtId="0" fontId="1" fillId="2" borderId="0" xfId="0" applyFont="1" applyFill="1" applyBorder="1" applyAlignment="1">
      <alignment horizontal="right" vertical="center"/>
    </xf>
    <xf numFmtId="0" fontId="2" fillId="2" borderId="0" xfId="0" applyFont="1" applyFill="1" applyBorder="1"/>
    <xf numFmtId="1" fontId="1" fillId="2" borderId="0" xfId="0" applyNumberFormat="1" applyFont="1" applyFill="1" applyBorder="1"/>
    <xf numFmtId="0" fontId="64" fillId="2" borderId="0" xfId="0" applyFont="1" applyFill="1" applyBorder="1"/>
    <xf numFmtId="0" fontId="65" fillId="2" borderId="0" xfId="0" applyFont="1" applyFill="1"/>
    <xf numFmtId="0" fontId="1" fillId="2" borderId="0" xfId="0" applyFont="1" applyFill="1" applyBorder="1" applyAlignment="1">
      <alignment horizontal="right"/>
    </xf>
    <xf numFmtId="0" fontId="6" fillId="2" borderId="0" xfId="0" applyFont="1" applyFill="1" applyBorder="1"/>
    <xf numFmtId="0" fontId="2" fillId="2" borderId="0" xfId="0" applyFont="1" applyFill="1" applyBorder="1" applyAlignment="1">
      <alignment horizontal="right"/>
    </xf>
    <xf numFmtId="179" fontId="64" fillId="2" borderId="0" xfId="0" applyNumberFormat="1" applyFont="1" applyFill="1" applyBorder="1"/>
    <xf numFmtId="1" fontId="64" fillId="2" borderId="0" xfId="0" applyNumberFormat="1" applyFont="1" applyFill="1" applyBorder="1"/>
    <xf numFmtId="179" fontId="1" fillId="2" borderId="0" xfId="0" applyNumberFormat="1" applyFont="1" applyFill="1" applyBorder="1"/>
    <xf numFmtId="0" fontId="1" fillId="46" borderId="0" xfId="0" applyFont="1" applyFill="1" applyBorder="1"/>
    <xf numFmtId="0" fontId="64" fillId="46" borderId="0" xfId="0" applyFont="1" applyFill="1" applyBorder="1" applyAlignment="1">
      <alignment horizontal="right"/>
    </xf>
    <xf numFmtId="0" fontId="40" fillId="46" borderId="0" xfId="0" applyFont="1" applyFill="1" applyBorder="1" applyAlignment="1">
      <alignment horizontal="left"/>
    </xf>
    <xf numFmtId="180" fontId="40" fillId="46" borderId="0" xfId="0" applyNumberFormat="1" applyFont="1" applyFill="1" applyBorder="1" applyAlignment="1">
      <alignment horizontal="right"/>
    </xf>
    <xf numFmtId="0" fontId="2" fillId="46" borderId="0" xfId="0" applyFont="1" applyFill="1" applyBorder="1"/>
    <xf numFmtId="180" fontId="2" fillId="46" borderId="0" xfId="0" applyNumberFormat="1" applyFont="1" applyFill="1" applyBorder="1"/>
    <xf numFmtId="0" fontId="2" fillId="46" borderId="19" xfId="0" applyFont="1" applyFill="1" applyBorder="1"/>
    <xf numFmtId="180" fontId="2" fillId="46" borderId="19" xfId="0" applyNumberFormat="1" applyFont="1" applyFill="1" applyBorder="1"/>
    <xf numFmtId="0" fontId="2" fillId="46" borderId="18" xfId="0" applyFont="1" applyFill="1" applyBorder="1"/>
    <xf numFmtId="180" fontId="2" fillId="46" borderId="18" xfId="0" applyNumberFormat="1" applyFont="1" applyFill="1" applyBorder="1"/>
    <xf numFmtId="0" fontId="74" fillId="46" borderId="0" xfId="0" applyFont="1" applyFill="1" applyBorder="1"/>
    <xf numFmtId="180" fontId="8" fillId="45" borderId="0" xfId="0" applyNumberFormat="1" applyFont="1" applyFill="1" applyBorder="1"/>
    <xf numFmtId="0" fontId="74" fillId="2" borderId="0" xfId="0" applyFont="1" applyFill="1" applyBorder="1"/>
    <xf numFmtId="0" fontId="64" fillId="2" borderId="0" xfId="0" applyFont="1" applyFill="1" applyBorder="1" applyAlignment="1">
      <alignment horizontal="right"/>
    </xf>
    <xf numFmtId="180" fontId="2" fillId="2" borderId="0" xfId="0" applyNumberFormat="1" applyFont="1" applyFill="1" applyBorder="1"/>
    <xf numFmtId="1" fontId="2" fillId="2" borderId="0" xfId="2" applyNumberFormat="1" applyFont="1" applyFill="1" applyBorder="1"/>
    <xf numFmtId="0" fontId="2" fillId="46" borderId="0" xfId="0" applyFont="1" applyFill="1" applyBorder="1" applyAlignment="1">
      <alignment horizontal="left" vertical="center"/>
    </xf>
    <xf numFmtId="180" fontId="2" fillId="46" borderId="0" xfId="0" applyNumberFormat="1" applyFont="1" applyFill="1" applyBorder="1" applyAlignment="1">
      <alignment horizontal="right" vertical="center"/>
    </xf>
    <xf numFmtId="180" fontId="2" fillId="46" borderId="18" xfId="0" applyNumberFormat="1" applyFont="1" applyFill="1" applyBorder="1" applyAlignment="1">
      <alignment horizontal="right" vertical="center"/>
    </xf>
    <xf numFmtId="180" fontId="64" fillId="2" borderId="0" xfId="0" applyNumberFormat="1" applyFont="1" applyFill="1" applyBorder="1"/>
    <xf numFmtId="0" fontId="2" fillId="46" borderId="0" xfId="0" applyFont="1" applyFill="1" applyBorder="1" applyAlignment="1">
      <alignment horizontal="right"/>
    </xf>
    <xf numFmtId="10" fontId="64" fillId="2" borderId="0" xfId="2" applyNumberFormat="1" applyFont="1" applyFill="1" applyBorder="1"/>
    <xf numFmtId="10" fontId="64" fillId="46" borderId="0" xfId="2" applyNumberFormat="1" applyFont="1" applyFill="1" applyBorder="1"/>
    <xf numFmtId="181" fontId="40" fillId="46" borderId="0" xfId="0" applyNumberFormat="1" applyFont="1" applyFill="1" applyBorder="1" applyAlignment="1">
      <alignment horizontal="right"/>
    </xf>
    <xf numFmtId="181" fontId="2" fillId="46" borderId="0" xfId="0" applyNumberFormat="1" applyFont="1" applyFill="1" applyBorder="1" applyAlignment="1">
      <alignment horizontal="right" vertical="center"/>
    </xf>
    <xf numFmtId="181" fontId="1" fillId="2" borderId="0" xfId="0" applyNumberFormat="1" applyFont="1" applyFill="1" applyBorder="1"/>
    <xf numFmtId="10" fontId="65" fillId="2" borderId="0" xfId="0" applyNumberFormat="1" applyFont="1" applyFill="1" applyBorder="1"/>
    <xf numFmtId="0" fontId="65" fillId="2" borderId="0" xfId="0" applyFont="1" applyFill="1" applyBorder="1" applyAlignment="1"/>
    <xf numFmtId="0" fontId="8" fillId="2" borderId="0" xfId="0" applyFont="1" applyFill="1" applyBorder="1" applyAlignment="1"/>
    <xf numFmtId="0" fontId="2" fillId="2" borderId="0" xfId="0" applyFont="1" applyFill="1" applyBorder="1" applyAlignment="1"/>
    <xf numFmtId="181" fontId="8" fillId="2" borderId="0" xfId="0" applyNumberFormat="1" applyFont="1" applyFill="1" applyBorder="1"/>
    <xf numFmtId="10" fontId="65" fillId="46" borderId="0" xfId="0" applyNumberFormat="1" applyFont="1" applyFill="1" applyBorder="1" applyAlignment="1">
      <alignment horizontal="right"/>
    </xf>
    <xf numFmtId="180" fontId="1" fillId="2" borderId="0" xfId="0" applyNumberFormat="1" applyFont="1" applyFill="1" applyBorder="1"/>
    <xf numFmtId="180" fontId="40" fillId="46" borderId="18" xfId="2" applyNumberFormat="1" applyFont="1" applyFill="1" applyBorder="1"/>
    <xf numFmtId="10" fontId="2" fillId="46" borderId="0" xfId="2" applyNumberFormat="1" applyFont="1" applyFill="1" applyBorder="1" applyAlignment="1">
      <alignment horizontal="right" vertical="center"/>
    </xf>
    <xf numFmtId="0" fontId="2" fillId="46" borderId="0" xfId="0" applyFont="1" applyFill="1" applyBorder="1" applyAlignment="1">
      <alignment vertical="center"/>
    </xf>
    <xf numFmtId="180" fontId="8" fillId="45" borderId="0" xfId="0" applyNumberFormat="1" applyFont="1" applyFill="1" applyBorder="1" applyAlignment="1">
      <alignment horizontal="left" vertical="center"/>
    </xf>
    <xf numFmtId="180" fontId="8" fillId="45" borderId="0" xfId="0" applyNumberFormat="1" applyFont="1" applyFill="1" applyBorder="1" applyAlignment="1">
      <alignment vertical="center"/>
    </xf>
    <xf numFmtId="180" fontId="64" fillId="46" borderId="0" xfId="0" applyNumberFormat="1" applyFont="1" applyFill="1" applyBorder="1" applyAlignment="1">
      <alignment horizontal="right" vertical="center"/>
    </xf>
    <xf numFmtId="0" fontId="1" fillId="46" borderId="0" xfId="0" applyFont="1" applyFill="1" applyBorder="1" applyAlignment="1">
      <alignment horizontal="right"/>
    </xf>
    <xf numFmtId="179" fontId="1" fillId="46" borderId="0" xfId="0" applyNumberFormat="1" applyFont="1" applyFill="1" applyBorder="1" applyAlignment="1">
      <alignment horizontal="right"/>
    </xf>
    <xf numFmtId="0" fontId="2" fillId="46" borderId="18" xfId="0" applyFont="1" applyFill="1" applyBorder="1" applyAlignment="1">
      <alignment horizontal="right"/>
    </xf>
    <xf numFmtId="2" fontId="2" fillId="46" borderId="18" xfId="0" applyNumberFormat="1" applyFont="1" applyFill="1" applyBorder="1"/>
    <xf numFmtId="0" fontId="8" fillId="45" borderId="0" xfId="0" applyFont="1" applyFill="1" applyBorder="1" applyAlignment="1">
      <alignment horizontal="right"/>
    </xf>
    <xf numFmtId="0" fontId="8" fillId="45" borderId="0" xfId="0" applyFont="1" applyFill="1" applyBorder="1"/>
    <xf numFmtId="2" fontId="1" fillId="46" borderId="0" xfId="0" applyNumberFormat="1" applyFont="1" applyFill="1" applyBorder="1"/>
    <xf numFmtId="10" fontId="64" fillId="2" borderId="18" xfId="0" applyNumberFormat="1" applyFont="1" applyFill="1" applyBorder="1"/>
    <xf numFmtId="10" fontId="40" fillId="46" borderId="0" xfId="2" applyNumberFormat="1" applyFont="1" applyFill="1" applyBorder="1" applyAlignment="1">
      <alignment horizontal="right"/>
    </xf>
    <xf numFmtId="181" fontId="2" fillId="2" borderId="0" xfId="0" applyNumberFormat="1" applyFont="1" applyFill="1" applyBorder="1"/>
    <xf numFmtId="2" fontId="64" fillId="2" borderId="0" xfId="0" applyNumberFormat="1" applyFont="1" applyFill="1" applyBorder="1"/>
    <xf numFmtId="10" fontId="40" fillId="46" borderId="0" xfId="2" applyNumberFormat="1" applyFont="1" applyFill="1" applyBorder="1" applyAlignment="1">
      <alignment horizontal="right" vertical="center"/>
    </xf>
    <xf numFmtId="164" fontId="40" fillId="2" borderId="0" xfId="0" applyNumberFormat="1" applyFont="1" applyFill="1" applyBorder="1" applyAlignment="1">
      <alignment horizontal="center"/>
    </xf>
    <xf numFmtId="2" fontId="64" fillId="2" borderId="0" xfId="2" applyNumberFormat="1" applyFont="1" applyFill="1" applyBorder="1" applyAlignment="1">
      <alignment horizontal="right"/>
    </xf>
    <xf numFmtId="178" fontId="64" fillId="2" borderId="0" xfId="0" applyNumberFormat="1" applyFont="1" applyFill="1" applyBorder="1"/>
    <xf numFmtId="178" fontId="64" fillId="2" borderId="0" xfId="0" applyNumberFormat="1" applyFont="1" applyFill="1" applyBorder="1" applyAlignment="1">
      <alignment horizontal="right"/>
    </xf>
    <xf numFmtId="164" fontId="8" fillId="2" borderId="0" xfId="0" applyNumberFormat="1" applyFont="1" applyFill="1" applyBorder="1" applyAlignment="1">
      <alignment horizontal="center"/>
    </xf>
    <xf numFmtId="0" fontId="40" fillId="2" borderId="0" xfId="0" applyNumberFormat="1" applyFont="1" applyFill="1" applyBorder="1" applyAlignment="1">
      <alignment horizontal="right"/>
    </xf>
    <xf numFmtId="2" fontId="64" fillId="2" borderId="0" xfId="2" applyNumberFormat="1" applyFont="1" applyFill="1" applyBorder="1" applyAlignment="1"/>
    <xf numFmtId="182" fontId="1" fillId="2" borderId="0" xfId="0" applyNumberFormat="1" applyFont="1" applyFill="1" applyBorder="1"/>
    <xf numFmtId="182" fontId="2" fillId="48" borderId="0" xfId="0" applyNumberFormat="1" applyFont="1" applyFill="1" applyBorder="1"/>
    <xf numFmtId="0" fontId="1" fillId="48" borderId="0" xfId="0" applyFont="1" applyFill="1" applyBorder="1"/>
    <xf numFmtId="182" fontId="1" fillId="46" borderId="0" xfId="0" applyNumberFormat="1" applyFont="1" applyFill="1" applyBorder="1"/>
    <xf numFmtId="0" fontId="2" fillId="46" borderId="0" xfId="0" applyNumberFormat="1" applyFont="1" applyFill="1" applyBorder="1" applyAlignment="1">
      <alignment horizontal="right" vertical="center"/>
    </xf>
    <xf numFmtId="0" fontId="64" fillId="46" borderId="0" xfId="0" applyFont="1" applyFill="1" applyBorder="1"/>
    <xf numFmtId="184" fontId="2" fillId="48" borderId="0" xfId="0" applyNumberFormat="1" applyFont="1" applyFill="1" applyBorder="1"/>
    <xf numFmtId="184" fontId="2" fillId="46" borderId="0" xfId="0" applyNumberFormat="1" applyFont="1" applyFill="1" applyBorder="1"/>
    <xf numFmtId="184" fontId="1" fillId="46" borderId="0" xfId="0" applyNumberFormat="1" applyFont="1" applyFill="1" applyBorder="1"/>
    <xf numFmtId="10" fontId="40" fillId="2" borderId="0" xfId="2" applyNumberFormat="1" applyFont="1" applyFill="1" applyBorder="1" applyAlignment="1"/>
    <xf numFmtId="0" fontId="2" fillId="48" borderId="0" xfId="0" applyNumberFormat="1" applyFont="1" applyFill="1" applyBorder="1" applyAlignment="1">
      <alignment horizontal="right"/>
    </xf>
    <xf numFmtId="180" fontId="1" fillId="48" borderId="0" xfId="0" applyNumberFormat="1" applyFont="1" applyFill="1" applyBorder="1"/>
    <xf numFmtId="180" fontId="1" fillId="46" borderId="0" xfId="0" applyNumberFormat="1" applyFont="1" applyFill="1" applyBorder="1"/>
    <xf numFmtId="180" fontId="2" fillId="48" borderId="0" xfId="0" applyNumberFormat="1" applyFont="1" applyFill="1" applyBorder="1"/>
    <xf numFmtId="2" fontId="2" fillId="48" borderId="0" xfId="0" applyNumberFormat="1" applyFont="1" applyFill="1" applyBorder="1"/>
    <xf numFmtId="182" fontId="2" fillId="48" borderId="0" xfId="0" applyNumberFormat="1" applyFont="1" applyFill="1" applyBorder="1" applyAlignment="1">
      <alignment horizontal="right" vertical="center"/>
    </xf>
    <xf numFmtId="10" fontId="65" fillId="48" borderId="0" xfId="2" applyNumberFormat="1" applyFont="1" applyFill="1" applyBorder="1" applyAlignment="1">
      <alignment horizontal="right"/>
    </xf>
    <xf numFmtId="10" fontId="67" fillId="45" borderId="0" xfId="0" applyNumberFormat="1" applyFont="1" applyFill="1" applyBorder="1"/>
    <xf numFmtId="0" fontId="2" fillId="2" borderId="0" xfId="0" applyFont="1" applyFill="1" applyBorder="1" applyAlignment="1">
      <alignment horizontal="left" vertical="center"/>
    </xf>
    <xf numFmtId="10" fontId="2" fillId="2" borderId="0" xfId="2" applyNumberFormat="1" applyFont="1" applyFill="1" applyBorder="1" applyAlignment="1">
      <alignment horizontal="right" vertical="center"/>
    </xf>
    <xf numFmtId="180" fontId="8" fillId="2" borderId="0" xfId="0" applyNumberFormat="1" applyFont="1" applyFill="1" applyBorder="1"/>
    <xf numFmtId="0" fontId="7" fillId="45" borderId="0" xfId="0" applyFont="1" applyFill="1" applyBorder="1"/>
    <xf numFmtId="0" fontId="64" fillId="2" borderId="0" xfId="0" applyNumberFormat="1" applyFont="1" applyFill="1" applyBorder="1"/>
    <xf numFmtId="10" fontId="65" fillId="48" borderId="0" xfId="0" applyNumberFormat="1" applyFont="1" applyFill="1" applyBorder="1"/>
    <xf numFmtId="10" fontId="2" fillId="46" borderId="18" xfId="2" applyNumberFormat="1" applyFont="1" applyFill="1" applyBorder="1"/>
    <xf numFmtId="178" fontId="2" fillId="2" borderId="0" xfId="0" applyNumberFormat="1" applyFont="1" applyFill="1" applyBorder="1"/>
    <xf numFmtId="164" fontId="64" fillId="46" borderId="0" xfId="0" applyNumberFormat="1" applyFont="1" applyFill="1" applyBorder="1"/>
    <xf numFmtId="0" fontId="6" fillId="46" borderId="0" xfId="0" applyFont="1" applyFill="1" applyBorder="1"/>
    <xf numFmtId="180" fontId="8" fillId="46" borderId="0" xfId="0" applyNumberFormat="1" applyFont="1" applyFill="1" applyBorder="1"/>
    <xf numFmtId="10" fontId="6" fillId="46" borderId="0" xfId="0" applyNumberFormat="1" applyFont="1" applyFill="1" applyBorder="1"/>
    <xf numFmtId="10" fontId="2" fillId="2" borderId="18" xfId="2" applyNumberFormat="1" applyFont="1" applyFill="1" applyBorder="1"/>
    <xf numFmtId="0" fontId="2" fillId="2" borderId="18" xfId="0" applyFont="1" applyFill="1" applyBorder="1"/>
    <xf numFmtId="10" fontId="8" fillId="46" borderId="0" xfId="0" applyNumberFormat="1" applyFont="1" applyFill="1" applyBorder="1"/>
    <xf numFmtId="180" fontId="40" fillId="46" borderId="0" xfId="0" applyNumberFormat="1" applyFont="1" applyFill="1" applyBorder="1"/>
    <xf numFmtId="180" fontId="8" fillId="45" borderId="0" xfId="2" applyNumberFormat="1" applyFont="1" applyFill="1"/>
    <xf numFmtId="10" fontId="40" fillId="2" borderId="0" xfId="2" applyNumberFormat="1" applyFont="1" applyFill="1" applyBorder="1" applyAlignment="1">
      <alignment horizontal="right" vertical="center"/>
    </xf>
    <xf numFmtId="0" fontId="40" fillId="2" borderId="0" xfId="0" applyFont="1" applyFill="1" applyBorder="1"/>
    <xf numFmtId="10" fontId="6" fillId="2" borderId="0" xfId="0" applyNumberFormat="1" applyFont="1" applyFill="1" applyBorder="1"/>
    <xf numFmtId="9" fontId="64" fillId="46" borderId="0" xfId="0" applyNumberFormat="1" applyFont="1" applyFill="1" applyBorder="1"/>
    <xf numFmtId="10" fontId="8" fillId="45" borderId="0" xfId="2" applyNumberFormat="1" applyFont="1" applyFill="1" applyBorder="1" applyAlignment="1">
      <alignment horizontal="right"/>
    </xf>
    <xf numFmtId="0" fontId="40" fillId="2" borderId="0" xfId="2" applyNumberFormat="1" applyFont="1" applyFill="1" applyBorder="1" applyAlignment="1">
      <alignment horizontal="right"/>
    </xf>
    <xf numFmtId="2" fontId="40" fillId="2" borderId="0" xfId="2" applyNumberFormat="1" applyFont="1" applyFill="1" applyBorder="1" applyAlignment="1">
      <alignment horizontal="right"/>
    </xf>
    <xf numFmtId="179" fontId="40" fillId="2" borderId="0" xfId="2" applyNumberFormat="1" applyFont="1" applyFill="1" applyBorder="1" applyAlignment="1">
      <alignment horizontal="right"/>
    </xf>
    <xf numFmtId="0" fontId="40" fillId="46" borderId="0" xfId="2" applyNumberFormat="1" applyFont="1" applyFill="1" applyBorder="1" applyAlignment="1">
      <alignment horizontal="right"/>
    </xf>
    <xf numFmtId="180" fontId="40" fillId="46" borderId="0" xfId="2" applyNumberFormat="1" applyFont="1" applyFill="1" applyBorder="1" applyAlignment="1">
      <alignment horizontal="right"/>
    </xf>
    <xf numFmtId="10" fontId="66" fillId="46" borderId="0" xfId="2" applyNumberFormat="1" applyFont="1" applyFill="1" applyBorder="1" applyAlignment="1">
      <alignment horizontal="right" vertical="center"/>
    </xf>
    <xf numFmtId="10" fontId="2" fillId="46" borderId="18" xfId="0" applyNumberFormat="1" applyFont="1" applyFill="1" applyBorder="1"/>
    <xf numFmtId="9" fontId="64" fillId="2" borderId="0" xfId="0" applyNumberFormat="1" applyFont="1" applyFill="1" applyBorder="1"/>
    <xf numFmtId="10" fontId="64" fillId="2" borderId="0" xfId="0" applyNumberFormat="1" applyFont="1" applyFill="1" applyBorder="1"/>
    <xf numFmtId="2" fontId="1" fillId="2" borderId="0" xfId="0" applyNumberFormat="1" applyFont="1" applyFill="1" applyBorder="1"/>
    <xf numFmtId="184" fontId="1" fillId="2" borderId="0" xfId="0" applyNumberFormat="1" applyFont="1" applyFill="1" applyBorder="1"/>
    <xf numFmtId="2" fontId="1" fillId="2" borderId="0" xfId="0" applyNumberFormat="1" applyFont="1" applyFill="1" applyBorder="1" applyAlignment="1">
      <alignment horizontal="right"/>
    </xf>
    <xf numFmtId="164" fontId="2" fillId="48" borderId="0" xfId="0" applyNumberFormat="1" applyFont="1" applyFill="1"/>
    <xf numFmtId="9" fontId="60" fillId="2" borderId="0" xfId="2" applyFont="1" applyFill="1" applyBorder="1"/>
    <xf numFmtId="180" fontId="2" fillId="46" borderId="0" xfId="0" applyNumberFormat="1" applyFont="1" applyFill="1"/>
    <xf numFmtId="0" fontId="2" fillId="48" borderId="0" xfId="0" applyNumberFormat="1" applyFont="1" applyFill="1"/>
    <xf numFmtId="0" fontId="40" fillId="48" borderId="0" xfId="2" applyNumberFormat="1" applyFont="1" applyFill="1" applyBorder="1" applyAlignment="1">
      <alignment horizontal="right"/>
    </xf>
    <xf numFmtId="0" fontId="40" fillId="48" borderId="0" xfId="0" applyNumberFormat="1" applyFont="1" applyFill="1" applyBorder="1" applyAlignment="1">
      <alignment horizontal="right"/>
    </xf>
    <xf numFmtId="0" fontId="40" fillId="48" borderId="0" xfId="2" applyNumberFormat="1" applyFont="1" applyFill="1" applyBorder="1"/>
    <xf numFmtId="0" fontId="40" fillId="48" borderId="0" xfId="0" applyNumberFormat="1" applyFont="1" applyFill="1" applyBorder="1"/>
    <xf numFmtId="164" fontId="1" fillId="2" borderId="0" xfId="0" applyNumberFormat="1" applyFont="1" applyFill="1" applyBorder="1" applyAlignment="1">
      <alignment horizontal="left"/>
    </xf>
    <xf numFmtId="2" fontId="64" fillId="46" borderId="0" xfId="0" applyNumberFormat="1" applyFont="1" applyFill="1" applyBorder="1"/>
    <xf numFmtId="0" fontId="40" fillId="46" borderId="0" xfId="0" applyFont="1" applyFill="1" applyBorder="1" applyAlignment="1"/>
    <xf numFmtId="0" fontId="40" fillId="46" borderId="2" xfId="0" applyFont="1" applyFill="1" applyBorder="1" applyAlignment="1"/>
    <xf numFmtId="0" fontId="2" fillId="48" borderId="0" xfId="0" applyFont="1" applyFill="1" applyBorder="1"/>
    <xf numFmtId="0" fontId="2" fillId="48" borderId="0" xfId="0" applyFont="1" applyFill="1" applyBorder="1" applyAlignment="1">
      <alignment horizontal="right"/>
    </xf>
    <xf numFmtId="0" fontId="2" fillId="48" borderId="0" xfId="0" applyFont="1" applyFill="1" applyBorder="1" applyAlignment="1"/>
    <xf numFmtId="164" fontId="1" fillId="2" borderId="0" xfId="0" applyNumberFormat="1" applyFont="1" applyFill="1" applyAlignment="1">
      <alignment horizontal="right"/>
    </xf>
    <xf numFmtId="164" fontId="60" fillId="46" borderId="0" xfId="0" applyNumberFormat="1" applyFont="1" applyFill="1" applyBorder="1"/>
    <xf numFmtId="164" fontId="40" fillId="46" borderId="17" xfId="0" applyNumberFormat="1" applyFont="1" applyFill="1" applyBorder="1"/>
    <xf numFmtId="180" fontId="40" fillId="46" borderId="17" xfId="0" applyNumberFormat="1" applyFont="1" applyFill="1" applyBorder="1"/>
    <xf numFmtId="49" fontId="60" fillId="46" borderId="0" xfId="0" quotePrefix="1" applyNumberFormat="1" applyFont="1" applyFill="1" applyBorder="1"/>
    <xf numFmtId="49" fontId="60" fillId="46" borderId="0" xfId="0" applyNumberFormat="1" applyFont="1" applyFill="1" applyBorder="1"/>
    <xf numFmtId="180" fontId="40" fillId="46" borderId="0" xfId="0" applyNumberFormat="1" applyFont="1" applyFill="1"/>
    <xf numFmtId="180" fontId="2" fillId="46" borderId="19" xfId="0" applyNumberFormat="1" applyFont="1" applyFill="1" applyBorder="1" applyAlignment="1">
      <alignment horizontal="left" vertical="center"/>
    </xf>
    <xf numFmtId="43" fontId="1" fillId="2" borderId="0" xfId="0" applyNumberFormat="1" applyFont="1" applyFill="1" applyBorder="1"/>
    <xf numFmtId="0" fontId="2" fillId="47" borderId="0" xfId="0" applyFont="1" applyFill="1" applyBorder="1"/>
    <xf numFmtId="10" fontId="2" fillId="47" borderId="0" xfId="2" applyNumberFormat="1" applyFont="1" applyFill="1" applyBorder="1" applyAlignment="1">
      <alignment horizontal="right"/>
    </xf>
    <xf numFmtId="9" fontId="64" fillId="47" borderId="0" xfId="0" applyNumberFormat="1" applyFont="1" applyFill="1" applyBorder="1"/>
    <xf numFmtId="0" fontId="1" fillId="47" borderId="0" xfId="0" applyFont="1" applyFill="1" applyBorder="1" applyAlignment="1">
      <alignment horizontal="right"/>
    </xf>
    <xf numFmtId="0" fontId="1" fillId="47" borderId="0" xfId="0" applyFont="1" applyFill="1" applyBorder="1"/>
    <xf numFmtId="188" fontId="2" fillId="48" borderId="0" xfId="0" applyNumberFormat="1" applyFont="1" applyFill="1" applyBorder="1"/>
    <xf numFmtId="188" fontId="1" fillId="46" borderId="0" xfId="0" applyNumberFormat="1" applyFont="1" applyFill="1" applyBorder="1"/>
    <xf numFmtId="180" fontId="8" fillId="2" borderId="0" xfId="0" applyNumberFormat="1" applyFont="1" applyFill="1" applyBorder="1" applyAlignment="1">
      <alignment horizontal="left" vertical="center"/>
    </xf>
    <xf numFmtId="180" fontId="2" fillId="2" borderId="0" xfId="0" applyNumberFormat="1" applyFont="1" applyFill="1" applyBorder="1" applyAlignment="1">
      <alignment horizontal="left" vertical="center"/>
    </xf>
    <xf numFmtId="164" fontId="60" fillId="2" borderId="0" xfId="0" applyNumberFormat="1" applyFont="1" applyFill="1" applyBorder="1" applyAlignment="1"/>
    <xf numFmtId="10" fontId="1" fillId="2" borderId="0" xfId="0" applyNumberFormat="1" applyFont="1" applyFill="1"/>
    <xf numFmtId="166" fontId="60" fillId="2" borderId="0" xfId="2" applyNumberFormat="1" applyFont="1" applyFill="1" applyBorder="1" applyAlignment="1"/>
    <xf numFmtId="164" fontId="64" fillId="2" borderId="0" xfId="0" applyNumberFormat="1" applyFont="1" applyFill="1"/>
    <xf numFmtId="166" fontId="64" fillId="2" borderId="0" xfId="2" applyNumberFormat="1" applyFont="1" applyFill="1"/>
    <xf numFmtId="164" fontId="66" fillId="2" borderId="0" xfId="0" applyNumberFormat="1" applyFont="1" applyFill="1" applyBorder="1" applyAlignment="1"/>
    <xf numFmtId="166" fontId="66" fillId="2" borderId="0" xfId="2" applyNumberFormat="1" applyFont="1" applyFill="1" applyBorder="1" applyAlignment="1"/>
    <xf numFmtId="0" fontId="60" fillId="2" borderId="0" xfId="2" applyNumberFormat="1" applyFont="1" applyFill="1" applyBorder="1"/>
    <xf numFmtId="180" fontId="60" fillId="2" borderId="0" xfId="0" applyNumberFormat="1" applyFont="1" applyFill="1" applyBorder="1"/>
    <xf numFmtId="10" fontId="60" fillId="2" borderId="0" xfId="2" applyNumberFormat="1" applyFont="1" applyFill="1" applyBorder="1"/>
    <xf numFmtId="0" fontId="1" fillId="2" borderId="0" xfId="2" applyNumberFormat="1" applyFont="1" applyFill="1"/>
    <xf numFmtId="2" fontId="2" fillId="46" borderId="0" xfId="0" applyNumberFormat="1" applyFont="1" applyFill="1"/>
    <xf numFmtId="9" fontId="8" fillId="2" borderId="0" xfId="2" applyFont="1" applyFill="1" applyBorder="1" applyAlignment="1">
      <alignment horizontal="right"/>
    </xf>
    <xf numFmtId="164" fontId="8" fillId="2" borderId="0" xfId="0" applyNumberFormat="1" applyFont="1" applyFill="1"/>
    <xf numFmtId="2" fontId="64" fillId="46" borderId="0" xfId="2" applyNumberFormat="1" applyFont="1" applyFill="1" applyBorder="1" applyAlignment="1"/>
    <xf numFmtId="165" fontId="2" fillId="48" borderId="0" xfId="0" applyNumberFormat="1" applyFont="1" applyFill="1" applyBorder="1" applyAlignment="1">
      <alignment horizontal="right"/>
    </xf>
    <xf numFmtId="2" fontId="64" fillId="2" borderId="20" xfId="2" applyNumberFormat="1" applyFont="1" applyFill="1" applyBorder="1" applyAlignment="1">
      <alignment horizontal="right"/>
    </xf>
    <xf numFmtId="183" fontId="7" fillId="2" borderId="0" xfId="0" applyNumberFormat="1" applyFont="1" applyFill="1"/>
    <xf numFmtId="2" fontId="64" fillId="46" borderId="0" xfId="0" applyNumberFormat="1" applyFont="1" applyFill="1" applyAlignment="1">
      <alignment horizontal="right"/>
    </xf>
    <xf numFmtId="183" fontId="8" fillId="2" borderId="0" xfId="0" applyNumberFormat="1" applyFont="1" applyFill="1" applyBorder="1" applyAlignment="1">
      <alignment horizontal="right"/>
    </xf>
    <xf numFmtId="165" fontId="64" fillId="2" borderId="0" xfId="0" applyNumberFormat="1" applyFont="1" applyFill="1" applyBorder="1"/>
    <xf numFmtId="0" fontId="2" fillId="46" borderId="20" xfId="0" applyFont="1" applyFill="1" applyBorder="1"/>
    <xf numFmtId="180" fontId="2" fillId="46" borderId="20" xfId="0" applyNumberFormat="1" applyFont="1" applyFill="1" applyBorder="1"/>
    <xf numFmtId="4" fontId="1" fillId="46" borderId="0" xfId="0" applyNumberFormat="1" applyFont="1" applyFill="1" applyBorder="1"/>
    <xf numFmtId="0" fontId="8" fillId="2" borderId="0" xfId="0" applyFont="1" applyFill="1" applyBorder="1" applyAlignment="1">
      <alignment vertical="center"/>
    </xf>
    <xf numFmtId="184" fontId="2" fillId="46" borderId="18" xfId="0" applyNumberFormat="1" applyFont="1" applyFill="1" applyBorder="1"/>
    <xf numFmtId="184" fontId="1" fillId="46" borderId="0" xfId="0" applyNumberFormat="1" applyFont="1" applyFill="1" applyBorder="1" applyAlignment="1">
      <alignment horizontal="right"/>
    </xf>
    <xf numFmtId="0" fontId="2" fillId="46" borderId="20" xfId="0" applyFont="1" applyFill="1" applyBorder="1" applyAlignment="1">
      <alignment horizontal="left" vertical="center"/>
    </xf>
    <xf numFmtId="10" fontId="40" fillId="46" borderId="20" xfId="2" applyNumberFormat="1" applyFont="1" applyFill="1" applyBorder="1" applyAlignment="1">
      <alignment horizontal="right" vertical="center"/>
    </xf>
    <xf numFmtId="10" fontId="2" fillId="46" borderId="20" xfId="2" applyNumberFormat="1" applyFont="1" applyFill="1" applyBorder="1"/>
    <xf numFmtId="2" fontId="64" fillId="2" borderId="0" xfId="0" applyNumberFormat="1" applyFont="1" applyFill="1" applyBorder="1" applyAlignment="1">
      <alignment horizontal="right"/>
    </xf>
    <xf numFmtId="2" fontId="2" fillId="2" borderId="0" xfId="0" applyNumberFormat="1" applyFont="1" applyFill="1" applyBorder="1" applyAlignment="1">
      <alignment horizontal="right"/>
    </xf>
    <xf numFmtId="178" fontId="64" fillId="46" borderId="0" xfId="0" applyNumberFormat="1" applyFont="1" applyFill="1" applyBorder="1"/>
    <xf numFmtId="43" fontId="64" fillId="2" borderId="0" xfId="0" applyNumberFormat="1" applyFont="1" applyFill="1" applyBorder="1"/>
    <xf numFmtId="182" fontId="40" fillId="2" borderId="0" xfId="0" applyNumberFormat="1" applyFont="1" applyFill="1" applyBorder="1" applyAlignment="1">
      <alignment horizontal="right"/>
    </xf>
    <xf numFmtId="2" fontId="2" fillId="2" borderId="0" xfId="0" applyNumberFormat="1" applyFont="1" applyFill="1" applyBorder="1"/>
    <xf numFmtId="182" fontId="2" fillId="2" borderId="0" xfId="0" applyNumberFormat="1" applyFont="1" applyFill="1" applyBorder="1"/>
    <xf numFmtId="10" fontId="1" fillId="2" borderId="0" xfId="2" applyNumberFormat="1" applyFont="1" applyFill="1" applyBorder="1" applyAlignment="1">
      <alignment horizontal="right" vertical="center"/>
    </xf>
    <xf numFmtId="10" fontId="64" fillId="46" borderId="0" xfId="0" applyNumberFormat="1" applyFont="1" applyFill="1" applyBorder="1" applyAlignment="1">
      <alignment horizontal="right" vertical="center"/>
    </xf>
    <xf numFmtId="10" fontId="64" fillId="46" borderId="0" xfId="2" applyNumberFormat="1" applyFont="1" applyFill="1" applyBorder="1" applyAlignment="1">
      <alignment horizontal="right" vertical="center"/>
    </xf>
    <xf numFmtId="10" fontId="64" fillId="46" borderId="0" xfId="2" applyNumberFormat="1" applyFont="1" applyFill="1" applyBorder="1" applyAlignment="1"/>
    <xf numFmtId="10" fontId="64" fillId="2" borderId="18" xfId="2" applyNumberFormat="1" applyFont="1" applyFill="1" applyBorder="1" applyAlignment="1">
      <alignment horizontal="right"/>
    </xf>
    <xf numFmtId="179" fontId="2" fillId="46" borderId="0" xfId="2" applyNumberFormat="1" applyFont="1" applyFill="1" applyBorder="1"/>
    <xf numFmtId="180" fontId="40" fillId="2" borderId="0" xfId="0" applyNumberFormat="1" applyFont="1" applyFill="1" applyBorder="1" applyAlignment="1"/>
    <xf numFmtId="0" fontId="64" fillId="47" borderId="0" xfId="0" applyFont="1" applyFill="1" applyBorder="1" applyAlignment="1">
      <alignment horizontal="right"/>
    </xf>
    <xf numFmtId="180" fontId="2" fillId="2" borderId="20" xfId="0" applyNumberFormat="1" applyFont="1" applyFill="1" applyBorder="1"/>
    <xf numFmtId="178" fontId="1" fillId="2" borderId="0" xfId="0" applyNumberFormat="1" applyFont="1" applyFill="1" applyBorder="1" applyAlignment="1">
      <alignment horizontal="right"/>
    </xf>
    <xf numFmtId="179" fontId="1" fillId="46" borderId="0" xfId="2" applyNumberFormat="1" applyFont="1" applyFill="1"/>
    <xf numFmtId="164" fontId="8" fillId="45" borderId="0" xfId="0" applyNumberFormat="1" applyFont="1" applyFill="1" applyAlignment="1">
      <alignment horizontal="right"/>
    </xf>
    <xf numFmtId="184" fontId="1" fillId="46" borderId="0" xfId="0" applyNumberFormat="1" applyFont="1" applyFill="1" applyAlignment="1">
      <alignment horizontal="right"/>
    </xf>
    <xf numFmtId="184" fontId="1" fillId="46" borderId="0" xfId="0" applyNumberFormat="1" applyFont="1" applyFill="1"/>
    <xf numFmtId="184" fontId="1" fillId="46" borderId="0" xfId="2" applyNumberFormat="1" applyFont="1" applyFill="1"/>
    <xf numFmtId="164" fontId="2" fillId="48" borderId="0" xfId="0" applyNumberFormat="1" applyFont="1" applyFill="1" applyBorder="1"/>
    <xf numFmtId="182" fontId="64" fillId="48" borderId="0" xfId="0" applyNumberFormat="1" applyFont="1" applyFill="1" applyBorder="1" applyAlignment="1">
      <alignment horizontal="right"/>
    </xf>
    <xf numFmtId="164" fontId="2" fillId="46" borderId="20" xfId="0" applyNumberFormat="1" applyFont="1" applyFill="1" applyBorder="1"/>
    <xf numFmtId="182" fontId="2" fillId="46" borderId="20" xfId="0" applyNumberFormat="1" applyFont="1" applyFill="1" applyBorder="1"/>
    <xf numFmtId="10" fontId="64" fillId="46" borderId="20" xfId="2" applyNumberFormat="1" applyFont="1" applyFill="1" applyBorder="1"/>
    <xf numFmtId="164" fontId="2" fillId="48" borderId="0" xfId="0" applyNumberFormat="1" applyFont="1" applyFill="1" applyAlignment="1">
      <alignment horizontal="right"/>
    </xf>
    <xf numFmtId="2" fontId="2" fillId="2" borderId="0" xfId="2" applyNumberFormat="1" applyFont="1" applyFill="1" applyBorder="1" applyAlignment="1">
      <alignment horizontal="right"/>
    </xf>
    <xf numFmtId="9" fontId="2" fillId="2" borderId="0" xfId="2" applyFont="1" applyFill="1" applyBorder="1"/>
    <xf numFmtId="10" fontId="2" fillId="2" borderId="20" xfId="2" applyNumberFormat="1" applyFont="1" applyFill="1" applyBorder="1"/>
    <xf numFmtId="189" fontId="1" fillId="2" borderId="0" xfId="0" applyNumberFormat="1" applyFont="1" applyFill="1" applyBorder="1" applyAlignment="1">
      <alignment horizontal="right"/>
    </xf>
    <xf numFmtId="189" fontId="1" fillId="2" borderId="0" xfId="0" applyNumberFormat="1" applyFont="1" applyFill="1" applyBorder="1"/>
    <xf numFmtId="164" fontId="2" fillId="46" borderId="0" xfId="0" applyNumberFormat="1" applyFont="1" applyFill="1" applyAlignment="1">
      <alignment horizontal="right"/>
    </xf>
    <xf numFmtId="10" fontId="2" fillId="2" borderId="20" xfId="2" applyNumberFormat="1" applyFont="1" applyFill="1" applyBorder="1" applyAlignment="1">
      <alignment horizontal="right"/>
    </xf>
    <xf numFmtId="0" fontId="40" fillId="46" borderId="0" xfId="0" applyNumberFormat="1" applyFont="1" applyFill="1" applyBorder="1" applyAlignment="1">
      <alignment horizontal="right"/>
    </xf>
    <xf numFmtId="0" fontId="1" fillId="46" borderId="0" xfId="0" applyNumberFormat="1" applyFont="1" applyFill="1" applyBorder="1" applyAlignment="1">
      <alignment horizontal="right" vertical="center"/>
    </xf>
    <xf numFmtId="0" fontId="8" fillId="2" borderId="0" xfId="2" applyNumberFormat="1" applyFont="1" applyFill="1" applyBorder="1" applyAlignment="1">
      <alignment horizontal="right"/>
    </xf>
    <xf numFmtId="178" fontId="64" fillId="2" borderId="0" xfId="2" applyNumberFormat="1" applyFont="1" applyFill="1" applyBorder="1" applyAlignment="1">
      <alignment horizontal="right"/>
    </xf>
    <xf numFmtId="178" fontId="8" fillId="2" borderId="0" xfId="0" applyNumberFormat="1" applyFont="1" applyFill="1" applyBorder="1"/>
    <xf numFmtId="9" fontId="6" fillId="2" borderId="0" xfId="2" applyFont="1" applyFill="1" applyBorder="1"/>
    <xf numFmtId="183" fontId="40" fillId="2" borderId="0" xfId="0" applyNumberFormat="1" applyFont="1" applyFill="1" applyBorder="1" applyAlignment="1">
      <alignment horizontal="right"/>
    </xf>
    <xf numFmtId="164" fontId="1" fillId="2" borderId="0" xfId="0" applyNumberFormat="1" applyFont="1" applyFill="1" applyAlignment="1">
      <alignment wrapText="1"/>
    </xf>
    <xf numFmtId="164" fontId="60" fillId="46" borderId="0" xfId="0" applyNumberFormat="1" applyFont="1" applyFill="1" applyAlignment="1">
      <alignment horizontal="right"/>
    </xf>
    <xf numFmtId="2" fontId="64" fillId="49" borderId="0" xfId="2" applyNumberFormat="1" applyFont="1" applyFill="1" applyBorder="1" applyAlignment="1">
      <alignment horizontal="right"/>
    </xf>
    <xf numFmtId="178" fontId="64" fillId="46" borderId="0" xfId="0" applyNumberFormat="1" applyFont="1" applyFill="1"/>
    <xf numFmtId="178" fontId="64" fillId="46" borderId="0" xfId="0" applyNumberFormat="1" applyFont="1" applyFill="1" applyBorder="1" applyAlignment="1">
      <alignment horizontal="right"/>
    </xf>
    <xf numFmtId="178" fontId="1" fillId="46" borderId="0" xfId="0" applyNumberFormat="1" applyFont="1" applyFill="1" applyBorder="1" applyAlignment="1">
      <alignment horizontal="right" vertical="center"/>
    </xf>
    <xf numFmtId="178" fontId="1" fillId="46" borderId="0" xfId="2" applyNumberFormat="1" applyFont="1" applyFill="1" applyBorder="1" applyAlignment="1">
      <alignment horizontal="right"/>
    </xf>
    <xf numFmtId="178" fontId="64" fillId="49" borderId="0" xfId="2" applyNumberFormat="1" applyFont="1" applyFill="1" applyBorder="1" applyAlignment="1">
      <alignment horizontal="right"/>
    </xf>
    <xf numFmtId="182" fontId="40" fillId="46" borderId="0" xfId="0" applyNumberFormat="1" applyFont="1" applyFill="1" applyBorder="1" applyAlignment="1">
      <alignment horizontal="right"/>
    </xf>
    <xf numFmtId="4" fontId="1" fillId="2" borderId="0" xfId="0" applyNumberFormat="1" applyFont="1" applyFill="1" applyBorder="1"/>
    <xf numFmtId="0" fontId="40" fillId="2" borderId="0" xfId="0" applyFont="1" applyFill="1" applyBorder="1" applyAlignment="1"/>
    <xf numFmtId="10" fontId="2" fillId="2" borderId="0" xfId="2" applyNumberFormat="1" applyFont="1" applyFill="1"/>
    <xf numFmtId="0" fontId="64" fillId="2" borderId="0" xfId="0" applyFont="1" applyFill="1" applyBorder="1" applyAlignment="1">
      <alignment horizontal="right" vertical="center"/>
    </xf>
    <xf numFmtId="184" fontId="64" fillId="2" borderId="20" xfId="0" applyNumberFormat="1" applyFont="1" applyFill="1" applyBorder="1"/>
    <xf numFmtId="10" fontId="64" fillId="2" borderId="0" xfId="2" applyNumberFormat="1" applyFont="1" applyFill="1" applyBorder="1" applyAlignment="1"/>
    <xf numFmtId="2" fontId="64" fillId="46" borderId="0" xfId="2" applyNumberFormat="1" applyFont="1" applyFill="1" applyBorder="1" applyAlignment="1">
      <alignment horizontal="right" wrapText="1"/>
    </xf>
    <xf numFmtId="2" fontId="66" fillId="46" borderId="0" xfId="2" applyNumberFormat="1" applyFont="1" applyFill="1" applyBorder="1" applyAlignment="1">
      <alignment horizontal="right" wrapText="1"/>
    </xf>
    <xf numFmtId="10" fontId="66" fillId="46" borderId="0" xfId="2" applyNumberFormat="1" applyFont="1" applyFill="1" applyBorder="1" applyAlignment="1">
      <alignment horizontal="right" wrapText="1"/>
    </xf>
    <xf numFmtId="10" fontId="64" fillId="46" borderId="0" xfId="2" applyNumberFormat="1" applyFont="1" applyFill="1" applyBorder="1" applyAlignment="1">
      <alignment horizontal="right" wrapText="1"/>
    </xf>
    <xf numFmtId="2" fontId="64" fillId="48" borderId="0" xfId="0" applyNumberFormat="1" applyFont="1" applyFill="1" applyAlignment="1">
      <alignment horizontal="right"/>
    </xf>
    <xf numFmtId="10" fontId="64" fillId="48" borderId="0" xfId="2" applyNumberFormat="1" applyFont="1" applyFill="1" applyBorder="1" applyAlignment="1">
      <alignment horizontal="right"/>
    </xf>
    <xf numFmtId="10" fontId="64" fillId="46" borderId="0" xfId="0" applyNumberFormat="1" applyFont="1" applyFill="1" applyBorder="1"/>
    <xf numFmtId="2" fontId="6" fillId="2" borderId="0" xfId="2" applyNumberFormat="1" applyFont="1" applyFill="1" applyBorder="1" applyAlignment="1">
      <alignment horizontal="left"/>
    </xf>
    <xf numFmtId="2" fontId="1" fillId="2" borderId="0" xfId="2" applyNumberFormat="1" applyFont="1" applyFill="1"/>
    <xf numFmtId="10" fontId="64" fillId="2" borderId="0" xfId="2" applyNumberFormat="1" applyFont="1" applyFill="1" applyBorder="1" applyAlignment="1">
      <alignment horizontal="right" vertical="center"/>
    </xf>
    <xf numFmtId="0" fontId="2" fillId="47" borderId="0" xfId="0" applyFont="1" applyFill="1" applyBorder="1" applyAlignment="1">
      <alignment wrapText="1"/>
    </xf>
    <xf numFmtId="178" fontId="2" fillId="47" borderId="0" xfId="0" applyNumberFormat="1" applyFont="1" applyFill="1" applyBorder="1"/>
    <xf numFmtId="0" fontId="6" fillId="47" borderId="0" xfId="0" applyFont="1" applyFill="1" applyBorder="1"/>
    <xf numFmtId="10" fontId="8" fillId="47" borderId="0" xfId="2" applyNumberFormat="1" applyFont="1" applyFill="1" applyBorder="1"/>
    <xf numFmtId="0" fontId="64" fillId="46" borderId="0" xfId="0" applyNumberFormat="1" applyFont="1" applyFill="1" applyBorder="1"/>
    <xf numFmtId="0" fontId="8" fillId="46" borderId="0" xfId="0" applyFont="1" applyFill="1" applyBorder="1" applyAlignment="1"/>
    <xf numFmtId="9" fontId="1" fillId="46" borderId="0" xfId="0" applyNumberFormat="1" applyFont="1" applyFill="1" applyBorder="1"/>
    <xf numFmtId="186" fontId="2" fillId="47" borderId="0" xfId="0" applyNumberFormat="1" applyFont="1" applyFill="1" applyBorder="1"/>
    <xf numFmtId="164" fontId="40" fillId="2" borderId="20" xfId="0" applyNumberFormat="1" applyFont="1" applyFill="1" applyBorder="1" applyAlignment="1"/>
    <xf numFmtId="184" fontId="2" fillId="47" borderId="0" xfId="0" applyNumberFormat="1" applyFont="1" applyFill="1" applyBorder="1"/>
    <xf numFmtId="180" fontId="60" fillId="46" borderId="0" xfId="2" applyNumberFormat="1" applyFont="1" applyFill="1" applyBorder="1" applyAlignment="1">
      <alignment horizontal="right"/>
    </xf>
    <xf numFmtId="10" fontId="66" fillId="46" borderId="0" xfId="2" applyNumberFormat="1" applyFont="1" applyFill="1" applyBorder="1" applyAlignment="1">
      <alignment horizontal="right"/>
    </xf>
    <xf numFmtId="0" fontId="60" fillId="46" borderId="0" xfId="2" applyNumberFormat="1" applyFont="1" applyFill="1" applyBorder="1" applyAlignment="1">
      <alignment horizontal="right"/>
    </xf>
    <xf numFmtId="0" fontId="2" fillId="46" borderId="0" xfId="0" applyNumberFormat="1" applyFont="1" applyFill="1" applyBorder="1" applyAlignment="1">
      <alignment horizontal="right"/>
    </xf>
    <xf numFmtId="10" fontId="40" fillId="48" borderId="0" xfId="2" applyNumberFormat="1" applyFont="1" applyFill="1" applyBorder="1" applyAlignment="1">
      <alignment horizontal="right"/>
    </xf>
    <xf numFmtId="0" fontId="40" fillId="48" borderId="0" xfId="0" applyFont="1" applyFill="1" applyBorder="1" applyAlignment="1">
      <alignment horizontal="right"/>
    </xf>
    <xf numFmtId="0" fontId="60" fillId="48" borderId="0" xfId="0" applyFont="1" applyFill="1" applyBorder="1"/>
    <xf numFmtId="0" fontId="40" fillId="48" borderId="0" xfId="0" applyFont="1" applyFill="1" applyBorder="1"/>
    <xf numFmtId="0" fontId="40" fillId="48" borderId="0" xfId="0" applyFont="1" applyFill="1" applyBorder="1" applyAlignment="1"/>
    <xf numFmtId="180" fontId="64" fillId="2" borderId="0" xfId="0" applyNumberFormat="1" applyFont="1" applyFill="1" applyBorder="1" applyAlignment="1">
      <alignment horizontal="right"/>
    </xf>
    <xf numFmtId="1" fontId="2" fillId="2" borderId="0" xfId="0" applyNumberFormat="1" applyFont="1" applyFill="1" applyBorder="1" applyAlignment="1">
      <alignment horizontal="right"/>
    </xf>
    <xf numFmtId="1" fontId="2" fillId="2" borderId="20" xfId="0" applyNumberFormat="1" applyFont="1" applyFill="1" applyBorder="1" applyAlignment="1">
      <alignment horizontal="right"/>
    </xf>
    <xf numFmtId="10" fontId="64" fillId="2" borderId="20" xfId="2" applyNumberFormat="1" applyFont="1" applyFill="1" applyBorder="1"/>
    <xf numFmtId="1" fontId="2" fillId="46" borderId="0" xfId="0" applyNumberFormat="1" applyFont="1" applyFill="1" applyBorder="1" applyAlignment="1">
      <alignment horizontal="right"/>
    </xf>
    <xf numFmtId="1" fontId="2" fillId="46" borderId="0" xfId="2" applyNumberFormat="1" applyFont="1" applyFill="1" applyBorder="1"/>
    <xf numFmtId="164" fontId="67" fillId="45" borderId="0" xfId="0" applyNumberFormat="1" applyFont="1" applyFill="1"/>
    <xf numFmtId="164" fontId="67" fillId="2" borderId="0" xfId="0" applyNumberFormat="1" applyFont="1" applyFill="1" applyBorder="1"/>
    <xf numFmtId="164" fontId="2" fillId="2" borderId="0" xfId="0" applyNumberFormat="1" applyFont="1" applyFill="1" applyBorder="1" applyAlignment="1">
      <alignment horizontal="left"/>
    </xf>
    <xf numFmtId="184" fontId="64" fillId="2" borderId="0" xfId="0" applyNumberFormat="1" applyFont="1" applyFill="1" applyBorder="1"/>
    <xf numFmtId="164" fontId="8" fillId="45" borderId="0" xfId="0" applyNumberFormat="1" applyFont="1" applyFill="1" applyBorder="1" applyAlignment="1">
      <alignment horizontal="center"/>
    </xf>
    <xf numFmtId="0" fontId="8" fillId="45" borderId="0" xfId="0" applyFont="1" applyFill="1" applyBorder="1" applyAlignment="1">
      <alignment horizontal="center" vertical="center"/>
    </xf>
    <xf numFmtId="164" fontId="8" fillId="2" borderId="0" xfId="0" applyNumberFormat="1" applyFont="1" applyFill="1" applyBorder="1" applyAlignment="1">
      <alignment horizontal="center"/>
    </xf>
    <xf numFmtId="0" fontId="8" fillId="45" borderId="0" xfId="0" applyFont="1" applyFill="1" applyBorder="1" applyAlignment="1">
      <alignment horizontal="center"/>
    </xf>
    <xf numFmtId="164" fontId="8" fillId="45" borderId="0" xfId="0" applyNumberFormat="1" applyFont="1" applyFill="1" applyAlignment="1">
      <alignment horizontal="center"/>
    </xf>
  </cellXfs>
  <cellStyles count="169">
    <cellStyle name="%" xfId="135"/>
    <cellStyle name="_x0002_._x0011__x0002_._x001b__x0002_ _x0015_%_x0018__x0001_" xfId="4"/>
    <cellStyle name="_060510 Goal Setting CNV" xfId="5"/>
    <cellStyle name="_2008-08-18 WC SRL" xfId="6"/>
    <cellStyle name="_2008-10-06 Goodwill Test KPMG incl PL 19 (2)" xfId="7"/>
    <cellStyle name="_2008-10-06 Goodwill Test KPMG incl PL 19 (3)" xfId="8"/>
    <cellStyle name="_2009-03-17 Version für 53-19" xfId="9"/>
    <cellStyle name="_Access Bluebook 2007 DCL V7" xfId="10"/>
    <cellStyle name="_AL_cost_outlook_070405_Bluebook2007" xfId="11"/>
    <cellStyle name="_BB_08_BG_COM" xfId="12"/>
    <cellStyle name="_Bluebook-2005-PL-Projections-COM-SR2" xfId="13"/>
    <cellStyle name="_COM Cash Flow Bluebook 2008" xfId="14"/>
    <cellStyle name="_Cordless_Bizcase_070524" xfId="15"/>
    <cellStyle name="_Cordless_Bizcase_Bluebook (2)" xfId="16"/>
    <cellStyle name="_Cordless_Bizcase_Master" xfId="17"/>
    <cellStyle name="_Data" xfId="18"/>
    <cellStyle name="_Foundry Wafer Price Database - BU" xfId="19"/>
    <cellStyle name="_Segment_DCL_FRFC_2007_03" xfId="20"/>
    <cellStyle name="_SR_CSP_Segments" xfId="21"/>
    <cellStyle name="_Wireless_MPP_FRFC0810_V3" xfId="22"/>
    <cellStyle name="_WLS_MPP_BB2008_vs_VRFC0904_bw (2)" xfId="23"/>
    <cellStyle name="0,0_x000d__x000a_NA_x000d__x000a_" xfId="24"/>
    <cellStyle name="20% - Accent1 2" xfId="25"/>
    <cellStyle name="20% - Accent2 2" xfId="26"/>
    <cellStyle name="20% - Accent3 2" xfId="27"/>
    <cellStyle name="20% - Accent4 2" xfId="28"/>
    <cellStyle name="20% - Accent5 2" xfId="29"/>
    <cellStyle name="20% - Accent6 2" xfId="30"/>
    <cellStyle name="40% - Accent1 2" xfId="31"/>
    <cellStyle name="40% - Accent2 2" xfId="32"/>
    <cellStyle name="40% - Accent3 2" xfId="33"/>
    <cellStyle name="40% - Accent4 2" xfId="34"/>
    <cellStyle name="40% - Accent5 2" xfId="35"/>
    <cellStyle name="40% - Accent6 2" xfId="36"/>
    <cellStyle name="60% - Accent1 2" xfId="37"/>
    <cellStyle name="60% - Accent2 2" xfId="38"/>
    <cellStyle name="60% - Accent3 2" xfId="39"/>
    <cellStyle name="60% - Accent4 2" xfId="40"/>
    <cellStyle name="60% - Accent5 2" xfId="41"/>
    <cellStyle name="60% - Accent6 2" xfId="42"/>
    <cellStyle name="Accent1 2" xfId="43"/>
    <cellStyle name="Accent2 2" xfId="44"/>
    <cellStyle name="Accent3 2" xfId="45"/>
    <cellStyle name="Accent4 2" xfId="46"/>
    <cellStyle name="Accent5 2" xfId="47"/>
    <cellStyle name="Accent6 2" xfId="48"/>
    <cellStyle name="AFE" xfId="49"/>
    <cellStyle name="AFE 2" xfId="132"/>
    <cellStyle name="Bad 2" xfId="50"/>
    <cellStyle name="Calculation 2" xfId="51"/>
    <cellStyle name="Check Cell 2" xfId="52"/>
    <cellStyle name="Comma 2" xfId="154"/>
    <cellStyle name="Comma 3" xfId="168"/>
    <cellStyle name="Currency 2" xfId="166"/>
    <cellStyle name="Detail" xfId="53"/>
    <cellStyle name="Euro" xfId="54"/>
    <cellStyle name="Explanatory Text 2" xfId="55"/>
    <cellStyle name="EY Narrative text" xfId="148"/>
    <cellStyle name="EY0dp" xfId="146"/>
    <cellStyle name="EY1dp" xfId="147"/>
    <cellStyle name="EYChartTitle" xfId="141"/>
    <cellStyle name="EYColumnHeading" xfId="144"/>
    <cellStyle name="EYCurrency" xfId="143"/>
    <cellStyle name="EYnumber" xfId="142"/>
    <cellStyle name="EYSectionHeading" xfId="138"/>
    <cellStyle name="EYSheetHeading" xfId="140"/>
    <cellStyle name="EYsmallheading" xfId="139"/>
    <cellStyle name="EYSource" xfId="149"/>
    <cellStyle name="EYtext" xfId="145"/>
    <cellStyle name="Good 2" xfId="56"/>
    <cellStyle name="Grey" xfId="57"/>
    <cellStyle name="Heading 1 2" xfId="58"/>
    <cellStyle name="Heading 2 2" xfId="59"/>
    <cellStyle name="Heading 3 2" xfId="60"/>
    <cellStyle name="Heading 4 2" xfId="61"/>
    <cellStyle name="Hyperlink" xfId="165" builtinId="8"/>
    <cellStyle name="Input [yellow]" xfId="63"/>
    <cellStyle name="Input 2" xfId="62"/>
    <cellStyle name="Linked Cell 2" xfId="64"/>
    <cellStyle name="meny_33-34" xfId="65"/>
    <cellStyle name="Milliers [0]_foxz" xfId="66"/>
    <cellStyle name="Milliers_foxz" xfId="67"/>
    <cellStyle name="Monétaire [0]_foxz" xfId="68"/>
    <cellStyle name="Monétaire_foxz" xfId="69"/>
    <cellStyle name="Neutral 2" xfId="70"/>
    <cellStyle name="Normal" xfId="0" builtinId="0"/>
    <cellStyle name="Normal - Style1" xfId="71"/>
    <cellStyle name="Normal 2" xfId="150"/>
    <cellStyle name="Normal 2 2" xfId="152"/>
    <cellStyle name="Normal 3" xfId="151"/>
    <cellStyle name="Normal 4" xfId="153"/>
    <cellStyle name="Normal 5" xfId="3"/>
    <cellStyle name="Normal 6" xfId="167"/>
    <cellStyle name="Normal_Project Accel Valuation v56" xfId="133"/>
    <cellStyle name="normální_33-34" xfId="72"/>
    <cellStyle name="Note 2" xfId="73"/>
    <cellStyle name="Œ…‹æØ‚è [0.00]_laroux" xfId="74"/>
    <cellStyle name="Œ…‹æØ‚è_laroux" xfId="75"/>
    <cellStyle name="Output 2" xfId="76"/>
    <cellStyle name="Percent" xfId="2" builtinId="5"/>
    <cellStyle name="Percent [2]" xfId="78"/>
    <cellStyle name="Percent 2" xfId="155"/>
    <cellStyle name="Percent 3" xfId="77"/>
    <cellStyle name="Percent 5" xfId="79"/>
    <cellStyle name="Prozent 2" xfId="134"/>
    <cellStyle name="PSChar" xfId="80"/>
    <cellStyle name="PSDate" xfId="81"/>
    <cellStyle name="PSDec" xfId="82"/>
    <cellStyle name="PSHeading" xfId="83"/>
    <cellStyle name="PSInt" xfId="84"/>
    <cellStyle name="PSSpacer" xfId="85"/>
    <cellStyle name="Revenue" xfId="86"/>
    <cellStyle name="SAPBEXaggData" xfId="87"/>
    <cellStyle name="SAPBEXaggDataEmph" xfId="88"/>
    <cellStyle name="SAPBEXaggItem" xfId="89"/>
    <cellStyle name="SAPBEXaggItemX" xfId="90"/>
    <cellStyle name="SAPBEXchaText" xfId="91"/>
    <cellStyle name="SAPBEXexcBad7" xfId="92"/>
    <cellStyle name="SAPBEXexcBad8" xfId="93"/>
    <cellStyle name="SAPBEXexcBad9" xfId="94"/>
    <cellStyle name="SAPBEXexcCritical4" xfId="95"/>
    <cellStyle name="SAPBEXexcCritical5" xfId="96"/>
    <cellStyle name="SAPBEXexcCritical6" xfId="97"/>
    <cellStyle name="SAPBEXexcGood1" xfId="98"/>
    <cellStyle name="SAPBEXexcGood2" xfId="99"/>
    <cellStyle name="SAPBEXexcGood3" xfId="100"/>
    <cellStyle name="SAPBEXfilterDrill" xfId="101"/>
    <cellStyle name="SAPBEXfilterItem" xfId="102"/>
    <cellStyle name="SAPBEXfilterText" xfId="103"/>
    <cellStyle name="SAPBEXformats" xfId="104"/>
    <cellStyle name="SAPBEXheaderItem" xfId="105"/>
    <cellStyle name="SAPBEXheaderText" xfId="106"/>
    <cellStyle name="SAPBEXHLevel0" xfId="107"/>
    <cellStyle name="SAPBEXHLevel0X" xfId="108"/>
    <cellStyle name="SAPBEXHLevel1" xfId="109"/>
    <cellStyle name="SAPBEXHLevel1X" xfId="110"/>
    <cellStyle name="SAPBEXHLevel2" xfId="111"/>
    <cellStyle name="SAPBEXHLevel2X" xfId="112"/>
    <cellStyle name="SAPBEXHLevel3" xfId="113"/>
    <cellStyle name="SAPBEXHLevel3X" xfId="114"/>
    <cellStyle name="SAPBEXresData" xfId="115"/>
    <cellStyle name="SAPBEXresDataEmph" xfId="116"/>
    <cellStyle name="SAPBEXresItem" xfId="117"/>
    <cellStyle name="SAPBEXresItemX" xfId="118"/>
    <cellStyle name="SAPBEXstdData" xfId="119"/>
    <cellStyle name="SAPBEXstdDataEmph" xfId="120"/>
    <cellStyle name="SAPBEXstdItem" xfId="121"/>
    <cellStyle name="SAPBEXstdItemX" xfId="122"/>
    <cellStyle name="SAPBEXtitle" xfId="123"/>
    <cellStyle name="SAPBEXundefined" xfId="124"/>
    <cellStyle name="Smart Subtitle 1" xfId="1"/>
    <cellStyle name="Standard 2" xfId="131"/>
    <cellStyle name="Standard 3" xfId="136"/>
    <cellStyle name="Standard 4" xfId="156"/>
    <cellStyle name="Stil 1" xfId="130"/>
    <cellStyle name="Style 1" xfId="125"/>
    <cellStyle name="Tahoma:10:1" xfId="160"/>
    <cellStyle name="Tahoma:10:129" xfId="161"/>
    <cellStyle name="Tahoma:12:1" xfId="157"/>
    <cellStyle name="Tahoma:12:129" xfId="162"/>
    <cellStyle name="Tahoma:8:0" xfId="158"/>
    <cellStyle name="Tahoma:8:1" xfId="159"/>
    <cellStyle name="Tahoma:8:128" xfId="163"/>
    <cellStyle name="Tahoma:8:129" xfId="164"/>
    <cellStyle name="Title 2" xfId="126"/>
    <cellStyle name="Total 2" xfId="127"/>
    <cellStyle name="Total Row" xfId="128"/>
    <cellStyle name="TTS" xfId="137"/>
    <cellStyle name="Warning Text 2" xfId="129"/>
  </cellStyles>
  <dxfs count="0"/>
  <tableStyles count="0" defaultTableStyle="TableStyleMedium2" defaultPivotStyle="PivotStyleMedium9"/>
  <colors>
    <mruColors>
      <color rgb="FFF8F8F8"/>
      <color rgb="FF6600CC"/>
      <color rgb="FFFFCC66"/>
      <color rgb="FFFF33CC"/>
      <color rgb="FFCC0099"/>
      <color rgb="FFEC2E79"/>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3.jpg"/><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3" Type="http://schemas.openxmlformats.org/officeDocument/2006/relationships/image" Target="../media/image6.jpg"/><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466725</xdr:colOff>
      <xdr:row>3</xdr:row>
      <xdr:rowOff>84520</xdr:rowOff>
    </xdr:from>
    <xdr:to>
      <xdr:col>7</xdr:col>
      <xdr:colOff>561975</xdr:colOff>
      <xdr:row>19</xdr:row>
      <xdr:rowOff>133350</xdr:rowOff>
    </xdr:to>
    <xdr:pic>
      <xdr:nvPicPr>
        <xdr:cNvPr id="3" name="Picture 2" descr="Radico Khaitan assigns creative duties of 3 brands to ADK-Fortun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0075" y="1056070"/>
          <a:ext cx="3752850" cy="27539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28577</xdr:colOff>
      <xdr:row>4</xdr:row>
      <xdr:rowOff>95250</xdr:rowOff>
    </xdr:from>
    <xdr:to>
      <xdr:col>6</xdr:col>
      <xdr:colOff>323850</xdr:colOff>
      <xdr:row>10</xdr:row>
      <xdr:rowOff>104775</xdr:rowOff>
    </xdr:to>
    <xdr:sp macro="" textlink="">
      <xdr:nvSpPr>
        <xdr:cNvPr id="2" name="TextBox 1"/>
        <xdr:cNvSpPr txBox="1"/>
      </xdr:nvSpPr>
      <xdr:spPr>
        <a:xfrm>
          <a:off x="161927" y="752475"/>
          <a:ext cx="5219698" cy="923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About Radico Khaitan Ltd:</a:t>
          </a:r>
        </a:p>
        <a:p>
          <a:endParaRPr lang="en-US" sz="900">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Radico Khaitan is one of the most recognised IMFL (Indian Made Foreign Liquor) brands in India.</a:t>
          </a:r>
          <a:r>
            <a:rPr lang="en-US" sz="900" baseline="0">
              <a:latin typeface="Arial" panose="020B0604020202020204" pitchFamily="34" charset="0"/>
              <a:cs typeface="Arial" panose="020B0604020202020204" pitchFamily="34" charset="0"/>
            </a:rPr>
            <a:t> It </a:t>
          </a:r>
          <a:r>
            <a:rPr lang="en-US" sz="900">
              <a:latin typeface="Arial" panose="020B0604020202020204" pitchFamily="34" charset="0"/>
              <a:cs typeface="Arial" panose="020B0604020202020204" pitchFamily="34" charset="0"/>
            </a:rPr>
            <a:t>focusses on distillation and bottling for branded players and canteen stores of armed forces.</a:t>
          </a:r>
          <a:r>
            <a:rPr lang="en-US" sz="900" baseline="0">
              <a:latin typeface="Arial" panose="020B0604020202020204" pitchFamily="34" charset="0"/>
              <a:cs typeface="Arial" panose="020B0604020202020204" pitchFamily="34" charset="0"/>
            </a:rPr>
            <a:t> </a:t>
          </a:r>
          <a:r>
            <a:rPr lang="en-US" sz="900">
              <a:latin typeface="Arial" panose="020B0604020202020204" pitchFamily="34" charset="0"/>
              <a:cs typeface="Arial" panose="020B0604020202020204" pitchFamily="34" charset="0"/>
            </a:rPr>
            <a:t>Radico Khaitan ventured into its own branded IMFL products and launched its first brand 8PM whisky which became its millionarie brand within a year of its launch.</a:t>
          </a:r>
        </a:p>
      </xdr:txBody>
    </xdr:sp>
    <xdr:clientData/>
  </xdr:twoCellAnchor>
  <xdr:twoCellAnchor>
    <xdr:from>
      <xdr:col>1</xdr:col>
      <xdr:colOff>28573</xdr:colOff>
      <xdr:row>11</xdr:row>
      <xdr:rowOff>28573</xdr:rowOff>
    </xdr:from>
    <xdr:to>
      <xdr:col>6</xdr:col>
      <xdr:colOff>323850</xdr:colOff>
      <xdr:row>30</xdr:row>
      <xdr:rowOff>19050</xdr:rowOff>
    </xdr:to>
    <xdr:sp macro="" textlink="">
      <xdr:nvSpPr>
        <xdr:cNvPr id="6" name="TextBox 5"/>
        <xdr:cNvSpPr txBox="1"/>
      </xdr:nvSpPr>
      <xdr:spPr>
        <a:xfrm>
          <a:off x="161923" y="1752598"/>
          <a:ext cx="5219702" cy="2886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Strong portfolio of Branded products</a:t>
          </a:r>
          <a:r>
            <a:rPr lang="en-US" sz="900" b="1" baseline="0">
              <a:latin typeface="Arial" panose="020B0604020202020204" pitchFamily="34" charset="0"/>
              <a:cs typeface="Arial" panose="020B0604020202020204" pitchFamily="34" charset="0"/>
            </a:rPr>
            <a:t> - </a:t>
          </a:r>
          <a:r>
            <a:rPr lang="en-US" sz="900" b="0">
              <a:latin typeface="Arial" panose="020B0604020202020204" pitchFamily="34" charset="0"/>
              <a:cs typeface="Arial" panose="020B0604020202020204" pitchFamily="34" charset="0"/>
            </a:rPr>
            <a:t>Radico Khaitan is one of the largest and oldest manufacturer of IMFL(Indian Made Foreign Liquor). Company has wide range of branded portfolio across IMFL categories of Whisky, Brandy, Rum and White spirits. Currently it has four milloniare brands which are 8 PM Whisky, Contessa Rum, Old Admiral Brandy and Magic Moments Vodka.</a:t>
          </a:r>
        </a:p>
        <a:p>
          <a:endParaRPr lang="en-US" sz="900" b="0">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Corporate Governance</a:t>
          </a:r>
          <a:r>
            <a:rPr lang="en-US" sz="900" b="1" baseline="0">
              <a:latin typeface="Arial" panose="020B0604020202020204" pitchFamily="34" charset="0"/>
              <a:cs typeface="Arial" panose="020B0604020202020204" pitchFamily="34" charset="0"/>
            </a:rPr>
            <a:t> </a:t>
          </a:r>
          <a:r>
            <a:rPr lang="en-US" sz="900" b="0" baseline="0">
              <a:latin typeface="Arial" panose="020B0604020202020204" pitchFamily="34" charset="0"/>
              <a:cs typeface="Arial" panose="020B0604020202020204" pitchFamily="34" charset="0"/>
            </a:rPr>
            <a:t>- Khaitan Family, the Promoters and Management of Radico Khaitan have been in the liquor industry since 1943 i.e.. for more than 7 decades.</a:t>
          </a:r>
          <a:endParaRPr lang="en-US" sz="900" b="0">
            <a:latin typeface="Arial" panose="020B0604020202020204" pitchFamily="34" charset="0"/>
            <a:cs typeface="Arial" panose="020B0604020202020204" pitchFamily="34" charset="0"/>
          </a:endParaRPr>
        </a:p>
        <a:p>
          <a:endParaRPr lang="en-US" sz="900" b="0">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Market leader-</a:t>
          </a:r>
          <a:r>
            <a:rPr lang="en-US" sz="900" b="1" baseline="0">
              <a:latin typeface="Arial" panose="020B0604020202020204" pitchFamily="34" charset="0"/>
              <a:cs typeface="Arial" panose="020B0604020202020204" pitchFamily="34" charset="0"/>
            </a:rPr>
            <a:t> </a:t>
          </a:r>
          <a:r>
            <a:rPr lang="en-US" sz="900" b="0">
              <a:latin typeface="Arial" panose="020B0604020202020204" pitchFamily="34" charset="0"/>
              <a:cs typeface="Arial" panose="020B0604020202020204" pitchFamily="34" charset="0"/>
            </a:rPr>
            <a:t>Magic Moments leads the vodka Industry in India with over 58% market share whereas Morphues Brandy leads the premium brandy category with over 56% market share. During last decade, Company has launched 12 new brands of which 11 are in premium category. Radico Khaitan is one of the major supplier of branded IMFL to Canteen stores department(CSD) in Defence segment.</a:t>
          </a:r>
          <a:r>
            <a:rPr lang="en-US" sz="900" b="0" baseline="0">
              <a:latin typeface="Arial" panose="020B0604020202020204" pitchFamily="34" charset="0"/>
              <a:cs typeface="Arial" panose="020B0604020202020204" pitchFamily="34" charset="0"/>
            </a:rPr>
            <a:t> </a:t>
          </a:r>
          <a:r>
            <a:rPr lang="en-US" sz="900" b="0">
              <a:latin typeface="Arial" panose="020B0604020202020204" pitchFamily="34" charset="0"/>
              <a:cs typeface="Arial" panose="020B0604020202020204" pitchFamily="34" charset="0"/>
            </a:rPr>
            <a:t>The company's brands are well recognised and has built a brand equity for itself in international markets.</a:t>
          </a:r>
          <a:r>
            <a:rPr lang="en-US" sz="900" b="0" baseline="0">
              <a:latin typeface="Arial" panose="020B0604020202020204" pitchFamily="34" charset="0"/>
              <a:cs typeface="Arial" panose="020B0604020202020204" pitchFamily="34" charset="0"/>
            </a:rPr>
            <a:t> </a:t>
          </a:r>
          <a:r>
            <a:rPr lang="en-US" sz="900" b="0">
              <a:latin typeface="Arial" panose="020B0604020202020204" pitchFamily="34" charset="0"/>
              <a:cs typeface="Arial" panose="020B0604020202020204" pitchFamily="34" charset="0"/>
            </a:rPr>
            <a:t>Contessa Rum is the highest selling brand in defence segment making Radico a leader in the market.</a:t>
          </a:r>
        </a:p>
        <a:p>
          <a:endParaRPr lang="en-US" sz="900" b="0">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Khaitan Family HUF: </a:t>
          </a:r>
          <a:r>
            <a:rPr lang="en-US" sz="900" b="0">
              <a:latin typeface="Arial" panose="020B0604020202020204" pitchFamily="34" charset="0"/>
              <a:cs typeface="Arial" panose="020B0604020202020204" pitchFamily="34" charset="0"/>
            </a:rPr>
            <a:t>RKL, promoted and managed by the Khaitan family, has been in the business of liquor manufacturing since 1943 (by the name of Rampur Distillery). In 1998, RKL entered the branded liquor segment with the launch of ‘8PM Whisky’. Since then, the company has launched various successful brands, and at present, RKL is one of the leading players in the Indian liquor industry.</a:t>
          </a:r>
        </a:p>
      </xdr:txBody>
    </xdr:sp>
    <xdr:clientData/>
  </xdr:twoCellAnchor>
  <xdr:twoCellAnchor editAs="oneCell">
    <xdr:from>
      <xdr:col>6</xdr:col>
      <xdr:colOff>485775</xdr:colOff>
      <xdr:row>0</xdr:row>
      <xdr:rowOff>76201</xdr:rowOff>
    </xdr:from>
    <xdr:to>
      <xdr:col>16</xdr:col>
      <xdr:colOff>228600</xdr:colOff>
      <xdr:row>20</xdr:row>
      <xdr:rowOff>57932</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543550" y="76201"/>
          <a:ext cx="6829425" cy="3077356"/>
        </a:xfrm>
        <a:prstGeom prst="rect">
          <a:avLst/>
        </a:prstGeom>
      </xdr:spPr>
    </xdr:pic>
    <xdr:clientData/>
  </xdr:twoCellAnchor>
  <xdr:twoCellAnchor editAs="oneCell">
    <xdr:from>
      <xdr:col>6</xdr:col>
      <xdr:colOff>485777</xdr:colOff>
      <xdr:row>21</xdr:row>
      <xdr:rowOff>28576</xdr:rowOff>
    </xdr:from>
    <xdr:to>
      <xdr:col>16</xdr:col>
      <xdr:colOff>323850</xdr:colOff>
      <xdr:row>30</xdr:row>
      <xdr:rowOff>83587</xdr:rowOff>
    </xdr:to>
    <xdr:pic>
      <xdr:nvPicPr>
        <xdr:cNvPr id="4" name="Picture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543552" y="3276601"/>
          <a:ext cx="6924673" cy="142661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47625</xdr:colOff>
      <xdr:row>18</xdr:row>
      <xdr:rowOff>19050</xdr:rowOff>
    </xdr:from>
    <xdr:to>
      <xdr:col>4</xdr:col>
      <xdr:colOff>0</xdr:colOff>
      <xdr:row>29</xdr:row>
      <xdr:rowOff>9525</xdr:rowOff>
    </xdr:to>
    <xdr:sp macro="" textlink="">
      <xdr:nvSpPr>
        <xdr:cNvPr id="3" name="TextBox 2"/>
        <xdr:cNvSpPr txBox="1"/>
      </xdr:nvSpPr>
      <xdr:spPr>
        <a:xfrm>
          <a:off x="180975" y="2809875"/>
          <a:ext cx="3952875" cy="1666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t>** Dr. Lalit Kumar Khaitan holds directly 0.18% in Radico Khaitan and 33.95% indirectly through Sapphire Intrex Limited. Mr. Abhishek Khaitan holds directly 0.06% in Radico Khaitan</a:t>
          </a:r>
          <a:r>
            <a:rPr lang="en-US" baseline="0"/>
            <a:t> </a:t>
          </a:r>
          <a:r>
            <a:rPr lang="en-US"/>
            <a:t>and 33.95% indirectly through Sapphire Intrex Limited.</a:t>
          </a:r>
        </a:p>
        <a:p>
          <a:endParaRPr lang="en-US" sz="1100"/>
        </a:p>
        <a:p>
          <a:r>
            <a:rPr lang="en-US" sz="1100"/>
            <a:t>Although, Khaitan Family doesn't have more than 50% of the voting rights.</a:t>
          </a:r>
          <a:r>
            <a:rPr lang="en-US" sz="1100" baseline="0"/>
            <a:t> The Family has 1/3rd stake in the company making them the only </a:t>
          </a:r>
          <a:r>
            <a:rPr lang="en-US" sz="1100" i="1" baseline="0"/>
            <a:t>"significant shareholder"</a:t>
          </a:r>
          <a:r>
            <a:rPr lang="en-US" sz="1100" baseline="0"/>
            <a:t>. Bottom Line is, it's a family-run business and probability of change is difficult.</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2</xdr:row>
      <xdr:rowOff>0</xdr:rowOff>
    </xdr:from>
    <xdr:to>
      <xdr:col>17</xdr:col>
      <xdr:colOff>9525</xdr:colOff>
      <xdr:row>49</xdr:row>
      <xdr:rowOff>76200</xdr:rowOff>
    </xdr:to>
    <xdr:sp macro="" textlink="">
      <xdr:nvSpPr>
        <xdr:cNvPr id="9" name="TextBox 8"/>
        <xdr:cNvSpPr txBox="1"/>
      </xdr:nvSpPr>
      <xdr:spPr>
        <a:xfrm>
          <a:off x="133350" y="352425"/>
          <a:ext cx="12106275" cy="7239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Radico Khaitan Products : </a:t>
          </a:r>
          <a:r>
            <a:rPr lang="en-US" sz="900" b="0">
              <a:latin typeface="Arial" panose="020B0604020202020204" pitchFamily="34" charset="0"/>
              <a:cs typeface="Arial" panose="020B0604020202020204" pitchFamily="34" charset="0"/>
            </a:rPr>
            <a:t>RKL’s portfolio, at present, includes five millionaire brands, namely, ‘8PM Whisky’, ‘Contessa Rum’, ‘Old Admiral Brandy’, ‘Magic Moments Vodka’ and ‘8 PM Premium Black Whiskey’. This apart, it distributes other successful brands like ‘Whytehall’ whisky and the ‘Brihans’ range of brands acquired inorganically. RKL has continuously launched several brands over the past decade. In FY22, it launched Magic Moments Dazzle Vodka and Royal Ranthambore Blended Malt Scotch. However, the revenue of the company appears to be concentrated within Uttar Pradesh, accounting for around 27% of IMFL sales in FY22. The company has 28 bottling units spanning across the entire country, of which five are owned and 23 are contract-bottling units. RKL’s products are sold through over 75,000 retail and 8,000 on-premises outlets. 8PM name was unique</a:t>
          </a:r>
          <a:r>
            <a:rPr lang="en-US" sz="900" b="0" baseline="0">
              <a:latin typeface="Arial" panose="020B0604020202020204" pitchFamily="34" charset="0"/>
              <a:cs typeface="Arial" panose="020B0604020202020204" pitchFamily="34" charset="0"/>
            </a:rPr>
            <a:t> as</a:t>
          </a:r>
          <a:r>
            <a:rPr lang="en-US" sz="900" b="0">
              <a:latin typeface="Arial" panose="020B0604020202020204" pitchFamily="34" charset="0"/>
              <a:cs typeface="Arial" panose="020B0604020202020204" pitchFamily="34" charset="0"/>
            </a:rPr>
            <a:t> Indians usually drink at 8. Did 1 million case 1 year and came in limca book of records.</a:t>
          </a:r>
        </a:p>
        <a:p>
          <a:endParaRPr lang="en-US" sz="900" b="0">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Family Nature/Habits/Personality: </a:t>
          </a:r>
          <a:r>
            <a:rPr lang="en-US" sz="900" b="0">
              <a:latin typeface="Arial" panose="020B0604020202020204" pitchFamily="34" charset="0"/>
              <a:cs typeface="Arial" panose="020B0604020202020204" pitchFamily="34" charset="0"/>
            </a:rPr>
            <a:t>The Son and Daughter of Mr Kaithan (during college time) are just same as the average Indian family they peep in to the price in the menu then they look for the associated items when they went out in Caunaught place. The family lives in Friends Market, New Delhi. They took the path for secure customers so initially they target selling through the Defence canteens and now they have large base in the canteen revenue. In the time of PONTY CHADDA Lala ji has set their share and Ponty was selling his brand as a contractor. There was time when one can find everywhere 8PM in UP created a Brand. The son (Abhishek Khaitan) is more in taking risk and which results the new premier products. Lala ji is very happy and least bother about the expansion. They want to preserve the quality.</a:t>
          </a:r>
        </a:p>
        <a:p>
          <a:endParaRPr lang="en-US" sz="900" b="0">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Strong position in the defence segment: </a:t>
          </a:r>
          <a:r>
            <a:rPr lang="en-US" sz="900" b="0">
              <a:latin typeface="Arial" panose="020B0604020202020204" pitchFamily="34" charset="0"/>
              <a:cs typeface="Arial" panose="020B0604020202020204" pitchFamily="34" charset="0"/>
            </a:rPr>
            <a:t>RKL is one of the largest players in the defence market, where its most famous brand is ‘Contessa’ rum. Two more brands – ‘After Dark Whisky’ and ‘Morpheus Brandy’ – have been approved to supply to the canteen store department (CSD). The company derives around 10%-11% of IMFL sales income from the CSD. There are stringent conditions for entering into the CSD segment, leading to entry barriers for new players</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Problems in the Industry (Highly regulated industry): </a:t>
          </a:r>
          <a:r>
            <a:rPr lang="en-US" sz="900" b="0" baseline="0">
              <a:solidFill>
                <a:schemeClr val="dk1"/>
              </a:solidFill>
              <a:effectLst/>
              <a:latin typeface="Arial" panose="020B0604020202020204" pitchFamily="34" charset="0"/>
              <a:ea typeface="+mn-ea"/>
              <a:cs typeface="Arial" panose="020B0604020202020204" pitchFamily="34" charset="0"/>
            </a:rPr>
            <a:t>The liquor industry is highly regulated in India, with each state controlling the production, sales, and duty structure, independently. As a result, there are difficulties in the transfer of production from one state to another along with the huge burden of duties and taxes. The states control the licenses for production, distributorship, and retailing as well. Furthermore, there is also the risk of the introduction of prohibition laws in states, with negative connotations associated with the liquor industry in India.</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Corporate Governance: </a:t>
          </a:r>
          <a:r>
            <a:rPr lang="en-US" sz="900" b="0" baseline="0">
              <a:solidFill>
                <a:schemeClr val="dk1"/>
              </a:solidFill>
              <a:effectLst/>
              <a:latin typeface="Arial" panose="020B0604020202020204" pitchFamily="34" charset="0"/>
              <a:ea typeface="+mn-ea"/>
              <a:cs typeface="Arial" panose="020B0604020202020204" pitchFamily="34" charset="0"/>
            </a:rPr>
            <a:t>Although, Khaitan Family HUF doesn't have more than 50% of the voting rights. The Family has 1/3rd stake in the company making them the only "significant shareholder". Dr. Lalit Kumar Khaitan holds directly 0.18% in Radico Khaitan and 33.95% indirectly through Sapphire Intrex Limited. Mr. Abhishek Khaitan holds directly 0.06% in Radico Khaitan and 33.95% indirectly through Sapphire Intrex Limited. Bottom Line is, it's a family-run business and probability of change is difficult.</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Cyclicality in raw material prices</a:t>
          </a:r>
          <a:r>
            <a:rPr lang="en-US" sz="900" b="0" baseline="0">
              <a:solidFill>
                <a:schemeClr val="dk1"/>
              </a:solidFill>
              <a:effectLst/>
              <a:latin typeface="Arial" panose="020B0604020202020204" pitchFamily="34" charset="0"/>
              <a:ea typeface="+mn-ea"/>
              <a:cs typeface="Arial" panose="020B0604020202020204" pitchFamily="34" charset="0"/>
            </a:rPr>
            <a:t>: ENA forms a major component of the raw materials required for the company’s product portfolio, and hence, commodity price volatility remains one of the key considerations. ENA is produced from the molasses, a byproduct, in the sugar manufacturing process, or from grains. Lower-than-anticipated sugarcane production or any sharp rise in the prices of molasses or ENA will have an impact on the company’s profitability. The prices of ENA and molasses are likely to increase, with the government encouraging its alternative use in the EBP, offering attractive returns. However, RKL produces more of its alcohol through the grain-based route and has adequate capacity to shift to more grain-based distillation, which insulates it against any significant increase in the prices of molasses. The company also has the advantage of backward-integrated distillation capacities, which insulates the company to a certain extent from any significant movement in the ENA prices. The margins are susceptible to volatility in the prices of molasses and grains. However, the company maintains a sizeable inventory of molasses, which insulates it against short- and medium-term fluctuations in the prices of molasses.</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Potential in the Industry: </a:t>
          </a:r>
          <a:r>
            <a:rPr lang="en-US" sz="900" b="0" baseline="0">
              <a:solidFill>
                <a:schemeClr val="dk1"/>
              </a:solidFill>
              <a:effectLst/>
              <a:latin typeface="Arial" panose="020B0604020202020204" pitchFamily="34" charset="0"/>
              <a:ea typeface="+mn-ea"/>
              <a:cs typeface="Arial" panose="020B0604020202020204" pitchFamily="34" charset="0"/>
            </a:rPr>
            <a:t>The key demand drivers of the industry have been growing disposable incomes, increasing rural consumption, rapid urbanisation, greater acceptance of social drinking, and a higher proportion of the young population entering the drinking age, which has a cumulative favourable effect on liquor manufacturers. India has a young demographic profile, with a median age of 28 years, and around 67% of the population is within the legal drinking age. These two indicators represent significant growth opportunities for the industry. Liquor policies governing its production and sale are entirely controlled by the respective state governments. With all the alcohol-consuming states/Union Territories having their own regulations and entry-exit restrictions, it is difficult for new entrants to procure licenses, thus providing a competitive advantage to the existing players.</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Competitive Advantages (Premiumization &amp; Market Share):</a:t>
          </a:r>
          <a:r>
            <a:rPr lang="en-US" sz="900" b="0" baseline="0">
              <a:solidFill>
                <a:schemeClr val="dk1"/>
              </a:solidFill>
              <a:effectLst/>
              <a:latin typeface="Arial" panose="020B0604020202020204" pitchFamily="34" charset="0"/>
              <a:ea typeface="+mn-ea"/>
              <a:cs typeface="Arial" panose="020B0604020202020204" pitchFamily="34" charset="0"/>
            </a:rPr>
            <a:t> Radico has aggressively spent behind its brands to drive premiumisation and gain market share. Radico aims to leverage brand equity of </a:t>
          </a:r>
          <a:r>
            <a:rPr lang="en-US" sz="900" b="0" i="1" baseline="0">
              <a:solidFill>
                <a:schemeClr val="dk1"/>
              </a:solidFill>
              <a:effectLst/>
              <a:latin typeface="Arial" panose="020B0604020202020204" pitchFamily="34" charset="0"/>
              <a:ea typeface="+mn-ea"/>
              <a:cs typeface="Arial" panose="020B0604020202020204" pitchFamily="34" charset="0"/>
            </a:rPr>
            <a:t>Magic Moments </a:t>
          </a:r>
          <a:r>
            <a:rPr lang="en-US" sz="900" b="0" baseline="0">
              <a:solidFill>
                <a:schemeClr val="dk1"/>
              </a:solidFill>
              <a:effectLst/>
              <a:latin typeface="Arial" panose="020B0604020202020204" pitchFamily="34" charset="0"/>
              <a:ea typeface="+mn-ea"/>
              <a:cs typeface="Arial" panose="020B0604020202020204" pitchFamily="34" charset="0"/>
            </a:rPr>
            <a:t>by launching more variants (GM accretive) and gaining share in super-premium segment. With internet culture and middle class emerging, drinking is not a taboo. With income level rising, premiumization is happening and it would beneift Radico. It's not a strong and sustainable competitive advantage in my opinion, as it's easier for Alcoholic Beverages to yield higher margins. With good market leadership, Radico has attained good price leadership too.</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0" i="1" baseline="0">
              <a:solidFill>
                <a:schemeClr val="dk1"/>
              </a:solidFill>
              <a:effectLst/>
              <a:latin typeface="Arial" panose="020B0604020202020204" pitchFamily="34" charset="0"/>
              <a:ea typeface="+mn-ea"/>
              <a:cs typeface="Arial" panose="020B0604020202020204" pitchFamily="34" charset="0"/>
            </a:rPr>
            <a:t>"I love Morpheus brandy. After drinking it a few months back, I have never had any other alcohol. I have introduced it to a few of my friends recently and they all have shifted their preference towards Morpheus. The brandy is a bit expensive though as compared to other local alcohol but its really one of the best among Indian liquors." ~ An occasional drinker review</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Pricing &amp; Market Share: </a:t>
          </a:r>
          <a:r>
            <a:rPr lang="en-US" sz="900" b="0" baseline="0">
              <a:solidFill>
                <a:schemeClr val="dk1"/>
              </a:solidFill>
              <a:effectLst/>
              <a:latin typeface="Arial" panose="020B0604020202020204" pitchFamily="34" charset="0"/>
              <a:ea typeface="+mn-ea"/>
              <a:cs typeface="Arial" panose="020B0604020202020204" pitchFamily="34" charset="0"/>
            </a:rPr>
            <a:t>Radico Khaitan Products starts at "Regular" range of Rs.300 to Rs.400, "Deluxe" range of Rs.400 to Rs.500, "Semi Premium" range of Rs.500 to Rs.700, "Super Premium" range of Rs.700 to Rs.1,000, "Semi Luxury" range of Rs.1,000 to Rs.2,000 and "Luxury" range of over Rs.4000. Radico has attained price and market share leadership in Magic Moments - Vodka (Market Share: 90%) and Verve - Vodka (Market Share: 20%). Market leadership with Contessa (Rum) and 1965 Victory along with price premium. Market leadership in Brandy with Morpheus Brandy at 58%.</a:t>
          </a:r>
        </a:p>
        <a:p>
          <a:endParaRPr lang="en-US" sz="900" b="1" baseline="0">
            <a:solidFill>
              <a:schemeClr val="dk1"/>
            </a:solidFill>
            <a:effectLst/>
            <a:latin typeface="Arial" panose="020B0604020202020204" pitchFamily="34" charset="0"/>
            <a:ea typeface="+mn-ea"/>
            <a:cs typeface="Arial" panose="020B0604020202020204" pitchFamily="34" charset="0"/>
          </a:endParaRPr>
        </a:p>
        <a:p>
          <a:r>
            <a:rPr lang="en-US" sz="900" b="1" baseline="0">
              <a:latin typeface="Arial" panose="020B0604020202020204" pitchFamily="34" charset="0"/>
              <a:cs typeface="Arial" panose="020B0604020202020204" pitchFamily="34" charset="0"/>
            </a:rPr>
            <a:t>Revenues to Profits: </a:t>
          </a:r>
          <a:r>
            <a:rPr lang="en-US" sz="900" b="0" baseline="0">
              <a:latin typeface="Arial" panose="020B0604020202020204" pitchFamily="34" charset="0"/>
              <a:cs typeface="Arial" panose="020B0604020202020204" pitchFamily="34" charset="0"/>
            </a:rPr>
            <a:t>The major slice of revenues is churned out by Excise Duty (76.2% of revenues in FY22) and Cost of goods sold (13.2% of revenues in FY22), which is controlled by ENA and molasses prices. ENA prices are projected to increase at a CAGR of 4.32% during 2022-2027.</a:t>
          </a:r>
          <a:endParaRPr lang="en-US" sz="900" b="1" baseline="0">
            <a:latin typeface="Arial" panose="020B0604020202020204" pitchFamily="34" charset="0"/>
            <a:cs typeface="Arial" panose="020B0604020202020204" pitchFamily="34" charset="0"/>
          </a:endParaRPr>
        </a:p>
        <a:p>
          <a:endParaRPr lang="en-US" sz="900" b="0"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Competition: </a:t>
          </a:r>
          <a:r>
            <a:rPr lang="en-US" sz="900" b="0" baseline="0">
              <a:latin typeface="Arial" panose="020B0604020202020204" pitchFamily="34" charset="0"/>
              <a:cs typeface="Arial" panose="020B0604020202020204" pitchFamily="34" charset="0"/>
            </a:rPr>
            <a:t>Competition comes from United Spirits Ltd, United Breweries Ltd and Global Spirits Ltd. They also follow similar competitive strategies of "Premiumization and Market Share" to build a strong customer brand loyalty and offers better-quality products across price points with a value for money proposition.</a:t>
          </a:r>
        </a:p>
        <a:p>
          <a:endParaRPr lang="en-US" sz="900" b="1"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How Much Capital Intensive?: </a:t>
          </a:r>
          <a:r>
            <a:rPr lang="en-US" sz="900" b="0" baseline="0">
              <a:latin typeface="Arial" panose="020B0604020202020204" pitchFamily="34" charset="0"/>
              <a:cs typeface="Arial" panose="020B0604020202020204" pitchFamily="34" charset="0"/>
            </a:rPr>
            <a:t>Radico Khaitan makes Rs. 1.43 for every Rs. 1 of Invested Capital in FY22. However, the 75th percentile of gross industry makes Rs. 1.51 for every Rs. 1 of Invested Capital in FY22. I projected Radico Khaitan to reinvest roughly Rs.248.90 crores on average for the next 10 years to achieve a Sales CAGR of 8.36% in next 10 years. Radico has a reinvestment rate of 97.79% in FY22 which is mostly due to their huge working capital needs.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647699</xdr:colOff>
      <xdr:row>32</xdr:row>
      <xdr:rowOff>114300</xdr:rowOff>
    </xdr:from>
    <xdr:to>
      <xdr:col>5</xdr:col>
      <xdr:colOff>266699</xdr:colOff>
      <xdr:row>37</xdr:row>
      <xdr:rowOff>0</xdr:rowOff>
    </xdr:to>
    <xdr:sp macro="" textlink="">
      <xdr:nvSpPr>
        <xdr:cNvPr id="2" name="TextBox 1"/>
        <xdr:cNvSpPr txBox="1"/>
      </xdr:nvSpPr>
      <xdr:spPr>
        <a:xfrm>
          <a:off x="3714749" y="5038725"/>
          <a:ext cx="1076325"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Risk Free Rate:</a:t>
          </a:r>
        </a:p>
        <a:p>
          <a:r>
            <a:rPr lang="en-US" sz="2400" b="1"/>
            <a:t>5.43%</a:t>
          </a:r>
          <a:endParaRPr lang="en-US" sz="1100" b="1"/>
        </a:p>
      </xdr:txBody>
    </xdr:sp>
    <xdr:clientData/>
  </xdr:twoCellAnchor>
  <xdr:twoCellAnchor>
    <xdr:from>
      <xdr:col>5</xdr:col>
      <xdr:colOff>371474</xdr:colOff>
      <xdr:row>32</xdr:row>
      <xdr:rowOff>114300</xdr:rowOff>
    </xdr:from>
    <xdr:to>
      <xdr:col>6</xdr:col>
      <xdr:colOff>104775</xdr:colOff>
      <xdr:row>37</xdr:row>
      <xdr:rowOff>0</xdr:rowOff>
    </xdr:to>
    <xdr:sp macro="" textlink="">
      <xdr:nvSpPr>
        <xdr:cNvPr id="3" name="TextBox 2"/>
        <xdr:cNvSpPr txBox="1"/>
      </xdr:nvSpPr>
      <xdr:spPr>
        <a:xfrm>
          <a:off x="4895849" y="5038725"/>
          <a:ext cx="990601"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India </a:t>
          </a:r>
          <a:r>
            <a:rPr lang="en-US" sz="1100" baseline="0"/>
            <a:t>ERP</a:t>
          </a:r>
          <a:r>
            <a:rPr lang="en-US" sz="1100"/>
            <a:t>:</a:t>
          </a:r>
        </a:p>
        <a:p>
          <a:r>
            <a:rPr lang="en-US" sz="2400" b="1"/>
            <a:t>3.96%</a:t>
          </a:r>
          <a:endParaRPr lang="en-US" sz="1100" b="1"/>
        </a:p>
      </xdr:txBody>
    </xdr:sp>
    <xdr:clientData/>
  </xdr:twoCellAnchor>
  <xdr:twoCellAnchor>
    <xdr:from>
      <xdr:col>7</xdr:col>
      <xdr:colOff>9525</xdr:colOff>
      <xdr:row>32</xdr:row>
      <xdr:rowOff>114300</xdr:rowOff>
    </xdr:from>
    <xdr:to>
      <xdr:col>7</xdr:col>
      <xdr:colOff>781051</xdr:colOff>
      <xdr:row>37</xdr:row>
      <xdr:rowOff>0</xdr:rowOff>
    </xdr:to>
    <xdr:sp macro="" textlink="">
      <xdr:nvSpPr>
        <xdr:cNvPr id="4" name="TextBox 3"/>
        <xdr:cNvSpPr txBox="1"/>
      </xdr:nvSpPr>
      <xdr:spPr>
        <a:xfrm>
          <a:off x="5972175" y="5038725"/>
          <a:ext cx="771526"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Beta:</a:t>
          </a:r>
        </a:p>
        <a:p>
          <a:r>
            <a:rPr lang="en-US" sz="2400" b="1"/>
            <a:t>0.88</a:t>
          </a:r>
          <a:endParaRPr lang="en-US" sz="1100" b="1"/>
        </a:p>
      </xdr:txBody>
    </xdr:sp>
    <xdr:clientData/>
  </xdr:twoCellAnchor>
  <xdr:twoCellAnchor>
    <xdr:from>
      <xdr:col>7</xdr:col>
      <xdr:colOff>876299</xdr:colOff>
      <xdr:row>32</xdr:row>
      <xdr:rowOff>114300</xdr:rowOff>
    </xdr:from>
    <xdr:to>
      <xdr:col>7</xdr:col>
      <xdr:colOff>1952624</xdr:colOff>
      <xdr:row>37</xdr:row>
      <xdr:rowOff>0</xdr:rowOff>
    </xdr:to>
    <xdr:sp macro="" textlink="">
      <xdr:nvSpPr>
        <xdr:cNvPr id="5" name="TextBox 4"/>
        <xdr:cNvSpPr txBox="1"/>
      </xdr:nvSpPr>
      <xdr:spPr>
        <a:xfrm>
          <a:off x="6838949" y="5038725"/>
          <a:ext cx="1076325"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 Risk Free:</a:t>
          </a:r>
        </a:p>
        <a:p>
          <a:r>
            <a:rPr lang="en-US" sz="2400" b="1"/>
            <a:t>2.83%</a:t>
          </a:r>
          <a:endParaRPr lang="en-US" sz="1100" b="1"/>
        </a:p>
      </xdr:txBody>
    </xdr:sp>
    <xdr:clientData/>
  </xdr:twoCellAnchor>
  <xdr:twoCellAnchor>
    <xdr:from>
      <xdr:col>8</xdr:col>
      <xdr:colOff>28574</xdr:colOff>
      <xdr:row>32</xdr:row>
      <xdr:rowOff>114300</xdr:rowOff>
    </xdr:from>
    <xdr:to>
      <xdr:col>9</xdr:col>
      <xdr:colOff>409575</xdr:colOff>
      <xdr:row>37</xdr:row>
      <xdr:rowOff>0</xdr:rowOff>
    </xdr:to>
    <xdr:sp macro="" textlink="">
      <xdr:nvSpPr>
        <xdr:cNvPr id="6" name="TextBox 5"/>
        <xdr:cNvSpPr txBox="1"/>
      </xdr:nvSpPr>
      <xdr:spPr>
        <a:xfrm>
          <a:off x="8020049" y="5038725"/>
          <a:ext cx="990601"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India's Risk:</a:t>
          </a:r>
        </a:p>
        <a:p>
          <a:r>
            <a:rPr lang="en-US" sz="2400" b="1"/>
            <a:t>3.01%</a:t>
          </a:r>
          <a:endParaRPr lang="en-US" sz="1100" b="1"/>
        </a:p>
      </xdr:txBody>
    </xdr:sp>
    <xdr:clientData/>
  </xdr:twoCellAnchor>
  <xdr:twoCellAnchor>
    <xdr:from>
      <xdr:col>9</xdr:col>
      <xdr:colOff>495300</xdr:colOff>
      <xdr:row>32</xdr:row>
      <xdr:rowOff>114300</xdr:rowOff>
    </xdr:from>
    <xdr:to>
      <xdr:col>11</xdr:col>
      <xdr:colOff>266700</xdr:colOff>
      <xdr:row>37</xdr:row>
      <xdr:rowOff>0</xdr:rowOff>
    </xdr:to>
    <xdr:sp macro="" textlink="">
      <xdr:nvSpPr>
        <xdr:cNvPr id="7" name="TextBox 6"/>
        <xdr:cNvSpPr txBox="1"/>
      </xdr:nvSpPr>
      <xdr:spPr>
        <a:xfrm>
          <a:off x="9096375" y="5038725"/>
          <a:ext cx="990600"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Nykaa's Risk:</a:t>
          </a:r>
        </a:p>
        <a:p>
          <a:r>
            <a:rPr lang="en-US" sz="2400" b="1"/>
            <a:t>7.78%</a:t>
          </a:r>
          <a:endParaRPr lang="en-US" sz="1100" b="1"/>
        </a:p>
      </xdr:txBody>
    </xdr:sp>
    <xdr:clientData/>
  </xdr:twoCellAnchor>
  <xdr:twoCellAnchor>
    <xdr:from>
      <xdr:col>5</xdr:col>
      <xdr:colOff>352424</xdr:colOff>
      <xdr:row>38</xdr:row>
      <xdr:rowOff>38100</xdr:rowOff>
    </xdr:from>
    <xdr:to>
      <xdr:col>6</xdr:col>
      <xdr:colOff>171450</xdr:colOff>
      <xdr:row>42</xdr:row>
      <xdr:rowOff>76200</xdr:rowOff>
    </xdr:to>
    <xdr:sp macro="" textlink="">
      <xdr:nvSpPr>
        <xdr:cNvPr id="8" name="TextBox 7"/>
        <xdr:cNvSpPr txBox="1"/>
      </xdr:nvSpPr>
      <xdr:spPr>
        <a:xfrm>
          <a:off x="4876799" y="5876925"/>
          <a:ext cx="1076326"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Cost of Equity:</a:t>
          </a:r>
        </a:p>
        <a:p>
          <a:r>
            <a:rPr lang="en-US" sz="2400" b="1"/>
            <a:t>8.93%</a:t>
          </a:r>
          <a:endParaRPr lang="en-US" sz="1100" b="1"/>
        </a:p>
      </xdr:txBody>
    </xdr:sp>
    <xdr:clientData/>
  </xdr:twoCellAnchor>
  <xdr:twoCellAnchor>
    <xdr:from>
      <xdr:col>7</xdr:col>
      <xdr:colOff>2028823</xdr:colOff>
      <xdr:row>38</xdr:row>
      <xdr:rowOff>38100</xdr:rowOff>
    </xdr:from>
    <xdr:to>
      <xdr:col>9</xdr:col>
      <xdr:colOff>514349</xdr:colOff>
      <xdr:row>42</xdr:row>
      <xdr:rowOff>76200</xdr:rowOff>
    </xdr:to>
    <xdr:sp macro="" textlink="">
      <xdr:nvSpPr>
        <xdr:cNvPr id="9" name="TextBox 8"/>
        <xdr:cNvSpPr txBox="1"/>
      </xdr:nvSpPr>
      <xdr:spPr>
        <a:xfrm>
          <a:off x="7991473" y="5876925"/>
          <a:ext cx="1123951"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Cost of Debt:</a:t>
          </a:r>
        </a:p>
        <a:p>
          <a:r>
            <a:rPr lang="en-US" sz="2400" b="1"/>
            <a:t>13.62%</a:t>
          </a:r>
          <a:endParaRPr lang="en-US" sz="1100" b="1"/>
        </a:p>
      </xdr:txBody>
    </xdr:sp>
    <xdr:clientData/>
  </xdr:twoCellAnchor>
  <xdr:twoCellAnchor>
    <xdr:from>
      <xdr:col>7</xdr:col>
      <xdr:colOff>438148</xdr:colOff>
      <xdr:row>38</xdr:row>
      <xdr:rowOff>38100</xdr:rowOff>
    </xdr:from>
    <xdr:to>
      <xdr:col>7</xdr:col>
      <xdr:colOff>1457325</xdr:colOff>
      <xdr:row>42</xdr:row>
      <xdr:rowOff>76200</xdr:rowOff>
    </xdr:to>
    <xdr:sp macro="" textlink="">
      <xdr:nvSpPr>
        <xdr:cNvPr id="10" name="TextBox 9"/>
        <xdr:cNvSpPr txBox="1"/>
      </xdr:nvSpPr>
      <xdr:spPr>
        <a:xfrm>
          <a:off x="6400798" y="5876925"/>
          <a:ext cx="1019177" cy="64770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WACC:</a:t>
          </a:r>
        </a:p>
        <a:p>
          <a:r>
            <a:rPr lang="en-US" sz="2400" b="1">
              <a:solidFill>
                <a:schemeClr val="bg1"/>
              </a:solidFill>
            </a:rPr>
            <a:t>8.94%</a:t>
          </a:r>
          <a:endParaRPr lang="en-US" sz="1100" b="1">
            <a:solidFill>
              <a:schemeClr val="bg1"/>
            </a:solidFill>
          </a:endParaRPr>
        </a:p>
      </xdr:txBody>
    </xdr:sp>
    <xdr:clientData/>
  </xdr:twoCellAnchor>
  <xdr:twoCellAnchor>
    <xdr:from>
      <xdr:col>4</xdr:col>
      <xdr:colOff>500062</xdr:colOff>
      <xdr:row>37</xdr:row>
      <xdr:rowOff>0</xdr:rowOff>
    </xdr:from>
    <xdr:to>
      <xdr:col>5</xdr:col>
      <xdr:colOff>352424</xdr:colOff>
      <xdr:row>40</xdr:row>
      <xdr:rowOff>57150</xdr:rowOff>
    </xdr:to>
    <xdr:cxnSp macro="">
      <xdr:nvCxnSpPr>
        <xdr:cNvPr id="12" name="Straight Connector 11"/>
        <xdr:cNvCxnSpPr>
          <a:stCxn id="2" idx="2"/>
          <a:endCxn id="8" idx="1"/>
        </xdr:cNvCxnSpPr>
      </xdr:nvCxnSpPr>
      <xdr:spPr>
        <a:xfrm>
          <a:off x="4252912" y="5686425"/>
          <a:ext cx="623887" cy="51435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866775</xdr:colOff>
      <xdr:row>37</xdr:row>
      <xdr:rowOff>0</xdr:rowOff>
    </xdr:from>
    <xdr:to>
      <xdr:col>5</xdr:col>
      <xdr:colOff>890587</xdr:colOff>
      <xdr:row>38</xdr:row>
      <xdr:rowOff>38100</xdr:rowOff>
    </xdr:to>
    <xdr:cxnSp macro="">
      <xdr:nvCxnSpPr>
        <xdr:cNvPr id="14" name="Straight Connector 13"/>
        <xdr:cNvCxnSpPr>
          <a:stCxn id="3" idx="2"/>
          <a:endCxn id="8" idx="0"/>
        </xdr:cNvCxnSpPr>
      </xdr:nvCxnSpPr>
      <xdr:spPr>
        <a:xfrm>
          <a:off x="5391150" y="5686425"/>
          <a:ext cx="23812" cy="19050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171450</xdr:colOff>
      <xdr:row>37</xdr:row>
      <xdr:rowOff>0</xdr:rowOff>
    </xdr:from>
    <xdr:to>
      <xdr:col>7</xdr:col>
      <xdr:colOff>395288</xdr:colOff>
      <xdr:row>40</xdr:row>
      <xdr:rowOff>57150</xdr:rowOff>
    </xdr:to>
    <xdr:cxnSp macro="">
      <xdr:nvCxnSpPr>
        <xdr:cNvPr id="16" name="Straight Connector 15"/>
        <xdr:cNvCxnSpPr>
          <a:stCxn id="4" idx="2"/>
          <a:endCxn id="8" idx="3"/>
        </xdr:cNvCxnSpPr>
      </xdr:nvCxnSpPr>
      <xdr:spPr>
        <a:xfrm flipH="1">
          <a:off x="5953125" y="5686425"/>
          <a:ext cx="404813" cy="51435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1414462</xdr:colOff>
      <xdr:row>37</xdr:row>
      <xdr:rowOff>0</xdr:rowOff>
    </xdr:from>
    <xdr:to>
      <xdr:col>7</xdr:col>
      <xdr:colOff>2028823</xdr:colOff>
      <xdr:row>40</xdr:row>
      <xdr:rowOff>57150</xdr:rowOff>
    </xdr:to>
    <xdr:cxnSp macro="">
      <xdr:nvCxnSpPr>
        <xdr:cNvPr id="18" name="Straight Connector 17"/>
        <xdr:cNvCxnSpPr>
          <a:stCxn id="5" idx="2"/>
          <a:endCxn id="9" idx="1"/>
        </xdr:cNvCxnSpPr>
      </xdr:nvCxnSpPr>
      <xdr:spPr>
        <a:xfrm>
          <a:off x="7377112" y="5686425"/>
          <a:ext cx="614361" cy="51435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523875</xdr:colOff>
      <xdr:row>37</xdr:row>
      <xdr:rowOff>0</xdr:rowOff>
    </xdr:from>
    <xdr:to>
      <xdr:col>8</xdr:col>
      <xdr:colOff>561974</xdr:colOff>
      <xdr:row>38</xdr:row>
      <xdr:rowOff>38100</xdr:rowOff>
    </xdr:to>
    <xdr:cxnSp macro="">
      <xdr:nvCxnSpPr>
        <xdr:cNvPr id="20" name="Straight Connector 19"/>
        <xdr:cNvCxnSpPr>
          <a:stCxn id="6" idx="2"/>
          <a:endCxn id="9" idx="0"/>
        </xdr:cNvCxnSpPr>
      </xdr:nvCxnSpPr>
      <xdr:spPr>
        <a:xfrm>
          <a:off x="8515350" y="5686425"/>
          <a:ext cx="38099" cy="19050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514349</xdr:colOff>
      <xdr:row>37</xdr:row>
      <xdr:rowOff>0</xdr:rowOff>
    </xdr:from>
    <xdr:to>
      <xdr:col>10</xdr:col>
      <xdr:colOff>381000</xdr:colOff>
      <xdr:row>40</xdr:row>
      <xdr:rowOff>57150</xdr:rowOff>
    </xdr:to>
    <xdr:cxnSp macro="">
      <xdr:nvCxnSpPr>
        <xdr:cNvPr id="22" name="Straight Connector 21"/>
        <xdr:cNvCxnSpPr>
          <a:stCxn id="7" idx="2"/>
          <a:endCxn id="9" idx="3"/>
        </xdr:cNvCxnSpPr>
      </xdr:nvCxnSpPr>
      <xdr:spPr>
        <a:xfrm flipH="1">
          <a:off x="9115424" y="5686425"/>
          <a:ext cx="476251" cy="51435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171450</xdr:colOff>
      <xdr:row>40</xdr:row>
      <xdr:rowOff>57150</xdr:rowOff>
    </xdr:from>
    <xdr:to>
      <xdr:col>7</xdr:col>
      <xdr:colOff>438148</xdr:colOff>
      <xdr:row>40</xdr:row>
      <xdr:rowOff>57150</xdr:rowOff>
    </xdr:to>
    <xdr:cxnSp macro="">
      <xdr:nvCxnSpPr>
        <xdr:cNvPr id="24" name="Straight Connector 23"/>
        <xdr:cNvCxnSpPr>
          <a:stCxn id="8" idx="3"/>
          <a:endCxn id="10" idx="1"/>
        </xdr:cNvCxnSpPr>
      </xdr:nvCxnSpPr>
      <xdr:spPr>
        <a:xfrm>
          <a:off x="5953125" y="6200775"/>
          <a:ext cx="447673"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1457325</xdr:colOff>
      <xdr:row>40</xdr:row>
      <xdr:rowOff>57150</xdr:rowOff>
    </xdr:from>
    <xdr:to>
      <xdr:col>7</xdr:col>
      <xdr:colOff>2028823</xdr:colOff>
      <xdr:row>40</xdr:row>
      <xdr:rowOff>57150</xdr:rowOff>
    </xdr:to>
    <xdr:cxnSp macro="">
      <xdr:nvCxnSpPr>
        <xdr:cNvPr id="26" name="Straight Connector 25"/>
        <xdr:cNvCxnSpPr>
          <a:stCxn id="10" idx="3"/>
          <a:endCxn id="9" idx="1"/>
        </xdr:cNvCxnSpPr>
      </xdr:nvCxnSpPr>
      <xdr:spPr>
        <a:xfrm>
          <a:off x="7419975" y="6200775"/>
          <a:ext cx="571498"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123824</xdr:colOff>
      <xdr:row>6</xdr:row>
      <xdr:rowOff>142876</xdr:rowOff>
    </xdr:from>
    <xdr:to>
      <xdr:col>3</xdr:col>
      <xdr:colOff>600075</xdr:colOff>
      <xdr:row>11</xdr:row>
      <xdr:rowOff>19050</xdr:rowOff>
    </xdr:to>
    <xdr:sp macro="" textlink="">
      <xdr:nvSpPr>
        <xdr:cNvPr id="2" name="TextBox 1"/>
        <xdr:cNvSpPr txBox="1"/>
      </xdr:nvSpPr>
      <xdr:spPr>
        <a:xfrm>
          <a:off x="123824" y="1104901"/>
          <a:ext cx="3238501" cy="6381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u="none" strike="noStrike">
              <a:solidFill>
                <a:schemeClr val="dk1"/>
              </a:solidFill>
              <a:effectLst/>
              <a:latin typeface="+mn-lt"/>
              <a:ea typeface="+mn-ea"/>
              <a:cs typeface="+mn-cs"/>
            </a:rPr>
            <a:t>Note: India constitutes 93.72% of Radico's Revenues.</a:t>
          </a:r>
          <a:r>
            <a:rPr lang="en-US" sz="1100" b="0" i="1"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So, I'm gonna ignore overseas</a:t>
          </a:r>
          <a:r>
            <a:rPr lang="en-US" sz="1100" b="0" i="0" u="none" strike="noStrike" baseline="0">
              <a:solidFill>
                <a:schemeClr val="dk1"/>
              </a:solidFill>
              <a:effectLst/>
              <a:latin typeface="+mn-lt"/>
              <a:ea typeface="+mn-ea"/>
              <a:cs typeface="+mn-cs"/>
            </a:rPr>
            <a:t> revenues (Middle East, North and South America, Africa, Asia and Europe)</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342900</xdr:colOff>
      <xdr:row>1</xdr:row>
      <xdr:rowOff>0</xdr:rowOff>
    </xdr:from>
    <xdr:to>
      <xdr:col>18</xdr:col>
      <xdr:colOff>27398</xdr:colOff>
      <xdr:row>14</xdr:row>
      <xdr:rowOff>43891</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91575" y="200025"/>
          <a:ext cx="3342098" cy="2120341"/>
        </a:xfrm>
        <a:prstGeom prst="rect">
          <a:avLst/>
        </a:prstGeom>
      </xdr:spPr>
    </xdr:pic>
    <xdr:clientData/>
  </xdr:twoCellAnchor>
  <xdr:twoCellAnchor editAs="oneCell">
    <xdr:from>
      <xdr:col>7</xdr:col>
      <xdr:colOff>114301</xdr:colOff>
      <xdr:row>0</xdr:row>
      <xdr:rowOff>190501</xdr:rowOff>
    </xdr:from>
    <xdr:to>
      <xdr:col>12</xdr:col>
      <xdr:colOff>400051</xdr:colOff>
      <xdr:row>14</xdr:row>
      <xdr:rowOff>91971</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514976" y="190501"/>
          <a:ext cx="3333750" cy="2177945"/>
        </a:xfrm>
        <a:prstGeom prst="rect">
          <a:avLst/>
        </a:prstGeom>
      </xdr:spPr>
    </xdr:pic>
    <xdr:clientData/>
  </xdr:twoCellAnchor>
  <xdr:twoCellAnchor editAs="oneCell">
    <xdr:from>
      <xdr:col>5</xdr:col>
      <xdr:colOff>266700</xdr:colOff>
      <xdr:row>15</xdr:row>
      <xdr:rowOff>9525</xdr:rowOff>
    </xdr:from>
    <xdr:to>
      <xdr:col>18</xdr:col>
      <xdr:colOff>86297</xdr:colOff>
      <xdr:row>23</xdr:row>
      <xdr:rowOff>27119</xdr:rowOff>
    </xdr:to>
    <xdr:pic>
      <xdr:nvPicPr>
        <xdr:cNvPr id="5" name="Picture 4"/>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86250" y="2438400"/>
          <a:ext cx="7906322" cy="123679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381000</xdr:colOff>
      <xdr:row>2</xdr:row>
      <xdr:rowOff>76200</xdr:rowOff>
    </xdr:from>
    <xdr:to>
      <xdr:col>15</xdr:col>
      <xdr:colOff>285750</xdr:colOff>
      <xdr:row>11</xdr:row>
      <xdr:rowOff>104775</xdr:rowOff>
    </xdr:to>
    <xdr:sp macro="" textlink="">
      <xdr:nvSpPr>
        <xdr:cNvPr id="2" name="TextBox 1"/>
        <xdr:cNvSpPr txBox="1"/>
      </xdr:nvSpPr>
      <xdr:spPr>
        <a:xfrm>
          <a:off x="6638925" y="428625"/>
          <a:ext cx="4781550" cy="1400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t>During the year 2017-18, Government of Maharashtra had enhanced transport fees from Rs.1 per MT to Rs.500 per MT and Import fees from Rs.50 Per Permit to Rs.5000 per permit on transport of molasses. The industry has obtained stay on enhancing this fees from Honourable High Court Bombay. In the meantime, the Joint Venture has deposited an amount of Rs.108.70 Lakhs under protest. Based on legal advise obtained by the Joint Venture, the management is of the view that this liabilities will not arise on the group, hence shown as recoverable.</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171450</xdr:colOff>
      <xdr:row>1</xdr:row>
      <xdr:rowOff>47626</xdr:rowOff>
    </xdr:from>
    <xdr:to>
      <xdr:col>16</xdr:col>
      <xdr:colOff>304800</xdr:colOff>
      <xdr:row>17</xdr:row>
      <xdr:rowOff>0</xdr:rowOff>
    </xdr:to>
    <xdr:sp macro="" textlink="">
      <xdr:nvSpPr>
        <xdr:cNvPr id="2" name="TextBox 1"/>
        <xdr:cNvSpPr txBox="1"/>
      </xdr:nvSpPr>
      <xdr:spPr>
        <a:xfrm>
          <a:off x="3286125" y="238126"/>
          <a:ext cx="9124950" cy="23907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Cyclicity of Raw Material Prices (ENA)</a:t>
          </a:r>
          <a:r>
            <a:rPr lang="en-US" sz="1100"/>
            <a:t>:</a:t>
          </a:r>
        </a:p>
        <a:p>
          <a:endParaRPr lang="en-US" sz="1100"/>
        </a:p>
        <a:p>
          <a:r>
            <a:rPr lang="en-US" sz="1100"/>
            <a:t>ENA forms a major component of the raw materials required for the company’s product portfolio, and hence, commodity price volatility remains one of the key considerations. ENA is produced from the molasses, a byproduct, in the sugar manufacturing process, or from grains.</a:t>
          </a:r>
          <a:r>
            <a:rPr lang="en-US" sz="1100" baseline="0"/>
            <a:t> </a:t>
          </a:r>
          <a:r>
            <a:rPr lang="en-US" sz="1100"/>
            <a:t>Lower-than-anticipated sugarcane production or any sharp rise in the prices of molasses or ENA will have an impact on the company’s profitability. </a:t>
          </a:r>
        </a:p>
        <a:p>
          <a:endParaRPr lang="en-US" sz="1100"/>
        </a:p>
        <a:p>
          <a:r>
            <a:rPr lang="en-US" sz="1100"/>
            <a:t>The prices of ENA and molasses are likely to increase, with the government encouraging its alternative use in the EBP, offering attractive returns. However, RKL produces more of its alcohol through the grain-based route and has adequate capacity to shift to more grain-based distillation, which insulates it against any significant increase in the prices of molasses. </a:t>
          </a:r>
        </a:p>
        <a:p>
          <a:endParaRPr lang="en-US" sz="1100"/>
        </a:p>
        <a:p>
          <a:r>
            <a:rPr lang="en-US" sz="1100"/>
            <a:t>The company also has the advantage of backward-integrated distillation capacities, which insulates the company to a certain extent from any significant movement in the ENA prices. The margins are susceptible to volatility in the prices of molasses and grains. However, the company maintains a sizeable inventory of molasses, which insulates it against short and medium-term fluctuations in the prices of molasses. </a:t>
          </a:r>
        </a:p>
      </xdr:txBody>
    </xdr:sp>
    <xdr:clientData/>
  </xdr:twoCellAnchor>
  <xdr:twoCellAnchor>
    <xdr:from>
      <xdr:col>3</xdr:col>
      <xdr:colOff>180975</xdr:colOff>
      <xdr:row>17</xdr:row>
      <xdr:rowOff>85726</xdr:rowOff>
    </xdr:from>
    <xdr:to>
      <xdr:col>16</xdr:col>
      <xdr:colOff>314325</xdr:colOff>
      <xdr:row>29</xdr:row>
      <xdr:rowOff>95250</xdr:rowOff>
    </xdr:to>
    <xdr:sp macro="" textlink="">
      <xdr:nvSpPr>
        <xdr:cNvPr id="3" name="TextBox 2"/>
        <xdr:cNvSpPr txBox="1"/>
      </xdr:nvSpPr>
      <xdr:spPr>
        <a:xfrm>
          <a:off x="3295650" y="2714626"/>
          <a:ext cx="9124950" cy="18383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Industry Prospects</a:t>
          </a:r>
          <a:r>
            <a:rPr lang="en-US" sz="1100"/>
            <a:t>:</a:t>
          </a:r>
        </a:p>
        <a:p>
          <a:endParaRPr lang="en-US" sz="1100"/>
        </a:p>
        <a:p>
          <a:r>
            <a:rPr lang="en-US" sz="1100"/>
            <a:t>Industry prospects: ENA mainly finds application in potable alcohol manufacturing. However, absolute ethanol can also be used as ethanol to blend in fuel. Moreover, India’s alcohol industry is the third-largest in the world, with an estimated retail market size of US$ 35 billion. Furthermore, India produces 2.7 billion litre of ENA, of which 90% of the produce is utilised for manufacturing potable alcohol. </a:t>
          </a:r>
        </a:p>
        <a:p>
          <a:endParaRPr lang="en-US" sz="1100"/>
        </a:p>
        <a:p>
          <a:r>
            <a:rPr lang="en-US" sz="1100"/>
            <a:t>The key demand drivers of the industry have been growing disposable incomes, increasing rural consumption, rapid urbanisation, greater acceptance of social drinking, and a higher proportion of the young population entering the drinking age, which has a cumulative favourable effect on liquor manufacturers. India has a young demographic profile, with a median age of 28 years, and around 67% of the population is within the legal drinking age. These two indicators represent significant growth opportunities for the industry.</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133349</xdr:colOff>
      <xdr:row>11</xdr:row>
      <xdr:rowOff>142876</xdr:rowOff>
    </xdr:from>
    <xdr:to>
      <xdr:col>4</xdr:col>
      <xdr:colOff>1609725</xdr:colOff>
      <xdr:row>14</xdr:row>
      <xdr:rowOff>114300</xdr:rowOff>
    </xdr:to>
    <xdr:sp macro="" textlink="">
      <xdr:nvSpPr>
        <xdr:cNvPr id="4" name="TextBox 3"/>
        <xdr:cNvSpPr txBox="1"/>
      </xdr:nvSpPr>
      <xdr:spPr>
        <a:xfrm>
          <a:off x="4486274" y="1866901"/>
          <a:ext cx="1476376" cy="4286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a:solidFill>
                <a:schemeClr val="dk1"/>
              </a:solidFill>
              <a:effectLst/>
              <a:latin typeface="+mn-lt"/>
              <a:ea typeface="+mn-ea"/>
              <a:cs typeface="+mn-cs"/>
            </a:rPr>
            <a:t>Value Company</a:t>
          </a:r>
          <a:r>
            <a:rPr lang="en-US" sz="1050" baseline="0">
              <a:solidFill>
                <a:schemeClr val="dk1"/>
              </a:solidFill>
              <a:effectLst/>
              <a:latin typeface="+mn-lt"/>
              <a:ea typeface="+mn-ea"/>
              <a:cs typeface="+mn-cs"/>
            </a:rPr>
            <a:t> and </a:t>
          </a:r>
          <a:r>
            <a:rPr lang="en-US" sz="1050">
              <a:solidFill>
                <a:schemeClr val="dk1"/>
              </a:solidFill>
              <a:effectLst/>
              <a:latin typeface="+mn-lt"/>
              <a:ea typeface="+mn-ea"/>
              <a:cs typeface="+mn-cs"/>
            </a:rPr>
            <a:t>Substract</a:t>
          </a:r>
          <a:r>
            <a:rPr lang="en-US" sz="1050" baseline="0">
              <a:solidFill>
                <a:schemeClr val="dk1"/>
              </a:solidFill>
              <a:effectLst/>
              <a:latin typeface="+mn-lt"/>
              <a:ea typeface="+mn-ea"/>
              <a:cs typeface="+mn-cs"/>
            </a:rPr>
            <a:t> Non Owner.</a:t>
          </a:r>
          <a:endParaRPr lang="en-US" sz="1050">
            <a:effectLst/>
          </a:endParaRPr>
        </a:p>
        <a:p>
          <a:endParaRPr lang="en-US" sz="1050"/>
        </a:p>
      </xdr:txBody>
    </xdr:sp>
    <xdr:clientData/>
  </xdr:twoCellAnchor>
  <xdr:twoCellAnchor>
    <xdr:from>
      <xdr:col>4</xdr:col>
      <xdr:colOff>133349</xdr:colOff>
      <xdr:row>4</xdr:row>
      <xdr:rowOff>57150</xdr:rowOff>
    </xdr:from>
    <xdr:to>
      <xdr:col>4</xdr:col>
      <xdr:colOff>1609724</xdr:colOff>
      <xdr:row>11</xdr:row>
      <xdr:rowOff>85725</xdr:rowOff>
    </xdr:to>
    <xdr:sp macro="" textlink="">
      <xdr:nvSpPr>
        <xdr:cNvPr id="6" name="TextBox 5"/>
        <xdr:cNvSpPr txBox="1"/>
      </xdr:nvSpPr>
      <xdr:spPr>
        <a:xfrm>
          <a:off x="4486274" y="704850"/>
          <a:ext cx="1476375" cy="110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a:solidFill>
                <a:schemeClr val="dk1"/>
              </a:solidFill>
              <a:effectLst/>
              <a:latin typeface="+mn-lt"/>
              <a:ea typeface="+mn-ea"/>
              <a:cs typeface="+mn-cs"/>
            </a:rPr>
            <a:t>Do Nothing!</a:t>
          </a:r>
          <a:r>
            <a:rPr lang="en-US" sz="1050" baseline="0">
              <a:solidFill>
                <a:schemeClr val="dk1"/>
              </a:solidFill>
              <a:effectLst/>
              <a:latin typeface="+mn-lt"/>
              <a:ea typeface="+mn-ea"/>
              <a:cs typeface="+mn-cs"/>
            </a:rPr>
            <a:t> It's a</a:t>
          </a:r>
          <a:r>
            <a:rPr lang="en-US" sz="1050">
              <a:solidFill>
                <a:schemeClr val="dk1"/>
              </a:solidFill>
              <a:effectLst/>
              <a:latin typeface="+mn-lt"/>
              <a:ea typeface="+mn-ea"/>
              <a:cs typeface="+mn-cs"/>
            </a:rPr>
            <a:t>lready 100% part of the company.</a:t>
          </a:r>
          <a:endParaRPr lang="en-US" sz="1050">
            <a:effectLst/>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hyperlink" Target="https://trendlyne.com/equity/EPS/NIFTY50/1887/nifty-50-earnings-per-share/" TargetMode="External"/><Relationship Id="rId2" Type="http://schemas.openxmlformats.org/officeDocument/2006/relationships/hyperlink" Target="https://trendlyne.com/equity/DIV/NIFTY50/1887/nifty-50-dividend-yield/" TargetMode="External"/><Relationship Id="rId1" Type="http://schemas.openxmlformats.org/officeDocument/2006/relationships/hyperlink" Target="https://www.google.co.in/search?ie=UTF-8&amp;oe=UTF-8&amp;sourceid=navclient&amp;gfns=1&amp;q=Nifty50+Dividend+Points&amp;gws_rd=ssl" TargetMode="External"/><Relationship Id="rId5" Type="http://schemas.openxmlformats.org/officeDocument/2006/relationships/printerSettings" Target="../printerSettings/printerSettings7.bin"/><Relationship Id="rId4" Type="http://schemas.openxmlformats.org/officeDocument/2006/relationships/hyperlink" Target="https://in.investing.com/rates-bonds/india-10-year-bond-yield-historical-data"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s://tradingeconomics.com/india/corporate-tax-rate"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www.careratings.com/upload/CompanyFiles/PR/21062022065728_Radico_Khaitan_Limited.pdf"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00000"/>
  </sheetPr>
  <dimension ref="B1:O15"/>
  <sheetViews>
    <sheetView tabSelected="1" workbookViewId="0"/>
  </sheetViews>
  <sheetFormatPr defaultColWidth="9.140625" defaultRowHeight="12.75"/>
  <cols>
    <col min="1" max="1" width="2" style="59" customWidth="1"/>
    <col min="2" max="8" width="9.140625" style="59"/>
    <col min="9" max="9" width="11.42578125" style="59" customWidth="1"/>
    <col min="10" max="16384" width="9.140625" style="59"/>
  </cols>
  <sheetData>
    <row r="1" spans="2:15" ht="50.25">
      <c r="B1" s="60" t="s">
        <v>244</v>
      </c>
    </row>
    <row r="3" spans="2:15" ht="13.5" customHeight="1">
      <c r="F3" s="60"/>
      <c r="H3" s="60"/>
    </row>
    <row r="9" spans="2:15" ht="15">
      <c r="C9" s="61"/>
      <c r="F9"/>
    </row>
    <row r="10" spans="2:15" ht="15">
      <c r="C10" s="61"/>
      <c r="F10"/>
    </row>
    <row r="12" spans="2:15" ht="15">
      <c r="J12"/>
    </row>
    <row r="13" spans="2:15">
      <c r="O13" s="62"/>
    </row>
    <row r="15" spans="2:15" ht="15">
      <c r="J15"/>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2.85546875" style="2" customWidth="1"/>
    <col min="3" max="3" width="20.5703125" style="2" customWidth="1"/>
    <col min="4" max="4" width="2.85546875" style="2" customWidth="1"/>
    <col min="5" max="5" width="17.5703125" style="2" customWidth="1"/>
    <col min="6" max="6" width="10" style="14"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7" t="s">
        <v>446</v>
      </c>
      <c r="E1" s="3"/>
      <c r="F1" s="65"/>
      <c r="G1" s="3"/>
      <c r="H1" s="3"/>
      <c r="I1" s="3"/>
      <c r="J1" s="3"/>
      <c r="K1" s="3"/>
      <c r="L1" s="3"/>
      <c r="M1" s="3"/>
      <c r="N1" s="3"/>
    </row>
    <row r="2" spans="2:14">
      <c r="E2" s="3"/>
      <c r="F2" s="65"/>
      <c r="G2" s="3"/>
      <c r="H2" s="3"/>
      <c r="I2" s="3"/>
      <c r="J2" s="3"/>
      <c r="K2" s="3"/>
      <c r="L2" s="3"/>
      <c r="M2" s="3"/>
      <c r="N2" s="3"/>
    </row>
    <row r="3" spans="2:14">
      <c r="B3" s="3" t="s">
        <v>246</v>
      </c>
      <c r="C3" s="83" t="s">
        <v>248</v>
      </c>
      <c r="D3" s="23"/>
      <c r="E3" s="48"/>
      <c r="F3" s="119"/>
      <c r="G3" s="115"/>
      <c r="H3" s="104"/>
      <c r="I3" s="104"/>
      <c r="J3" s="104"/>
      <c r="K3" s="3"/>
      <c r="L3" s="120"/>
      <c r="M3" s="104"/>
      <c r="N3" s="3"/>
    </row>
    <row r="4" spans="2:14">
      <c r="B4" s="2" t="s">
        <v>247</v>
      </c>
      <c r="C4" s="346" t="s">
        <v>249</v>
      </c>
      <c r="D4" s="6"/>
      <c r="E4" s="3"/>
      <c r="F4" s="69"/>
      <c r="G4" s="116"/>
      <c r="H4" s="117"/>
      <c r="I4" s="48"/>
      <c r="J4" s="67"/>
      <c r="K4" s="3"/>
      <c r="L4" s="68"/>
      <c r="M4" s="85"/>
      <c r="N4" s="3"/>
    </row>
    <row r="5" spans="2:14">
      <c r="D5" s="6"/>
      <c r="E5" s="3"/>
      <c r="F5" s="69"/>
      <c r="G5" s="116"/>
      <c r="H5" s="117"/>
      <c r="I5" s="48"/>
      <c r="J5" s="67"/>
      <c r="K5" s="3"/>
      <c r="L5" s="68"/>
      <c r="M5" s="85"/>
      <c r="N5" s="3"/>
    </row>
    <row r="6" spans="2:14">
      <c r="C6" s="76"/>
      <c r="D6" s="25"/>
      <c r="E6" s="3"/>
      <c r="F6" s="69"/>
      <c r="G6" s="116"/>
      <c r="H6" s="117"/>
      <c r="I6" s="48"/>
      <c r="J6" s="67"/>
      <c r="K6" s="3"/>
      <c r="L6" s="68"/>
      <c r="M6" s="85"/>
      <c r="N6" s="3"/>
    </row>
    <row r="7" spans="2:14">
      <c r="C7" s="77"/>
      <c r="D7" s="6"/>
      <c r="E7" s="3"/>
      <c r="F7" s="69"/>
      <c r="G7" s="116"/>
      <c r="H7" s="117"/>
      <c r="I7" s="48"/>
      <c r="J7" s="67"/>
      <c r="K7" s="3"/>
      <c r="L7" s="68"/>
      <c r="M7" s="85"/>
      <c r="N7" s="3"/>
    </row>
    <row r="8" spans="2:14">
      <c r="C8" s="47"/>
      <c r="D8" s="6"/>
      <c r="E8" s="3"/>
      <c r="F8" s="69"/>
      <c r="G8" s="116"/>
      <c r="H8" s="117"/>
      <c r="I8" s="48"/>
      <c r="J8" s="67"/>
      <c r="K8" s="3"/>
      <c r="L8" s="68"/>
      <c r="M8" s="85"/>
      <c r="N8" s="3"/>
    </row>
    <row r="9" spans="2:14">
      <c r="B9" s="3"/>
      <c r="C9" s="83"/>
      <c r="D9" s="6"/>
      <c r="E9" s="3"/>
      <c r="F9" s="69"/>
      <c r="G9" s="116"/>
      <c r="H9" s="117"/>
      <c r="I9" s="48"/>
      <c r="J9" s="67"/>
      <c r="K9" s="3"/>
      <c r="L9" s="68"/>
      <c r="M9" s="85"/>
      <c r="N9" s="3"/>
    </row>
    <row r="10" spans="2:14">
      <c r="B10" s="3"/>
      <c r="C10" s="83"/>
      <c r="D10" s="6"/>
      <c r="E10" s="3"/>
      <c r="F10" s="69"/>
      <c r="G10" s="116"/>
      <c r="H10" s="117"/>
      <c r="I10" s="48"/>
      <c r="J10" s="67"/>
      <c r="K10" s="3"/>
      <c r="L10" s="66"/>
      <c r="M10" s="3"/>
      <c r="N10" s="3"/>
    </row>
    <row r="11" spans="2:14">
      <c r="B11" s="3"/>
      <c r="C11" s="84"/>
      <c r="D11" s="6"/>
      <c r="E11" s="3"/>
      <c r="F11" s="69"/>
      <c r="G11" s="116"/>
      <c r="H11" s="117"/>
      <c r="I11" s="48"/>
      <c r="J11" s="67"/>
      <c r="K11" s="3"/>
      <c r="L11" s="81"/>
      <c r="M11" s="90"/>
      <c r="N11" s="3"/>
    </row>
    <row r="12" spans="2:14">
      <c r="B12" s="3"/>
      <c r="C12" s="3"/>
      <c r="D12" s="6"/>
      <c r="E12" s="3"/>
      <c r="F12" s="69"/>
      <c r="G12" s="116"/>
      <c r="H12" s="117"/>
      <c r="I12" s="48"/>
      <c r="J12" s="67"/>
      <c r="K12" s="3"/>
      <c r="L12" s="64"/>
      <c r="M12" s="90"/>
      <c r="N12" s="3"/>
    </row>
    <row r="13" spans="2:14">
      <c r="B13" s="3"/>
      <c r="C13" s="58"/>
      <c r="D13" s="6"/>
      <c r="E13" s="3"/>
      <c r="F13" s="69"/>
      <c r="G13" s="116"/>
      <c r="H13" s="117"/>
      <c r="I13" s="48"/>
      <c r="J13" s="67"/>
      <c r="K13" s="3"/>
      <c r="L13" s="3"/>
      <c r="M13" s="3"/>
      <c r="N13" s="3"/>
    </row>
    <row r="14" spans="2:14">
      <c r="B14" s="24"/>
      <c r="C14" s="24"/>
      <c r="D14" s="25"/>
      <c r="E14" s="3"/>
      <c r="F14" s="68"/>
      <c r="G14" s="8"/>
      <c r="H14" s="3"/>
      <c r="I14" s="48"/>
      <c r="J14" s="24"/>
      <c r="K14" s="3"/>
      <c r="L14" s="3"/>
      <c r="M14" s="3"/>
      <c r="N14" s="3"/>
    </row>
    <row r="15" spans="2:14">
      <c r="B15" s="3"/>
      <c r="C15" s="125"/>
      <c r="D15" s="6"/>
      <c r="E15" s="48"/>
      <c r="F15" s="64"/>
      <c r="G15" s="3"/>
      <c r="H15" s="3"/>
      <c r="I15" s="3"/>
      <c r="J15" s="3"/>
      <c r="K15" s="3"/>
      <c r="L15" s="3"/>
      <c r="M15" s="3"/>
      <c r="N15" s="3"/>
    </row>
    <row r="16" spans="2:14">
      <c r="B16" s="3"/>
      <c r="C16" s="3"/>
      <c r="D16" s="6"/>
      <c r="E16" s="48"/>
      <c r="F16" s="81"/>
      <c r="G16" s="82"/>
      <c r="H16" s="46"/>
      <c r="I16" s="3"/>
      <c r="J16" s="3"/>
      <c r="K16" s="3"/>
      <c r="L16" s="3"/>
      <c r="M16" s="3"/>
      <c r="N16" s="3"/>
    </row>
    <row r="17" spans="2:14">
      <c r="B17" s="3"/>
      <c r="C17" s="77"/>
      <c r="D17" s="6"/>
      <c r="E17" s="48"/>
      <c r="F17" s="64"/>
      <c r="G17" s="82"/>
      <c r="H17" s="3"/>
      <c r="I17" s="3"/>
      <c r="J17" s="3"/>
      <c r="K17" s="3"/>
      <c r="L17" s="3"/>
      <c r="M17" s="3"/>
      <c r="N17" s="3"/>
    </row>
    <row r="18" spans="2:14">
      <c r="B18" s="3"/>
      <c r="C18" s="3"/>
      <c r="D18" s="25"/>
      <c r="E18" s="48"/>
      <c r="F18" s="64"/>
      <c r="G18" s="3"/>
      <c r="H18" s="3"/>
      <c r="I18" s="3"/>
      <c r="J18" s="3"/>
      <c r="K18" s="3"/>
      <c r="L18" s="3"/>
      <c r="M18" s="3"/>
      <c r="N18" s="3"/>
    </row>
    <row r="19" spans="2:14">
      <c r="B19" s="24"/>
      <c r="C19" s="24"/>
      <c r="D19" s="6"/>
      <c r="E19" s="48"/>
      <c r="F19" s="64"/>
      <c r="G19" s="3"/>
      <c r="H19" s="3"/>
      <c r="I19" s="3"/>
      <c r="J19" s="3"/>
      <c r="K19" s="3"/>
      <c r="L19" s="3"/>
      <c r="M19" s="3"/>
      <c r="N19" s="3"/>
    </row>
    <row r="20" spans="2:14">
      <c r="B20" s="3"/>
      <c r="C20" s="3"/>
      <c r="D20" s="6"/>
      <c r="E20" s="118"/>
      <c r="F20" s="120"/>
      <c r="G20" s="120"/>
      <c r="H20" s="120"/>
      <c r="I20" s="120"/>
      <c r="J20" s="120"/>
      <c r="K20" s="120"/>
      <c r="L20" s="3"/>
      <c r="M20" s="3"/>
      <c r="N20" s="3"/>
    </row>
    <row r="21" spans="2:14">
      <c r="B21" s="3"/>
      <c r="C21" s="3"/>
      <c r="D21" s="6"/>
      <c r="E21" s="101"/>
      <c r="F21" s="121"/>
      <c r="G21" s="8"/>
      <c r="H21" s="8"/>
      <c r="I21" s="8"/>
      <c r="J21" s="8"/>
      <c r="K21" s="8"/>
      <c r="L21" s="3"/>
      <c r="M21" s="3"/>
      <c r="N21" s="3"/>
    </row>
    <row r="22" spans="2:14">
      <c r="B22" s="3"/>
      <c r="C22" s="3"/>
      <c r="D22" s="6"/>
      <c r="E22" s="48"/>
      <c r="F22" s="65"/>
      <c r="G22" s="65"/>
      <c r="H22" s="65"/>
      <c r="I22" s="102"/>
      <c r="J22" s="64"/>
      <c r="K22" s="65"/>
      <c r="L22" s="3"/>
      <c r="M22" s="3"/>
      <c r="N22" s="3"/>
    </row>
    <row r="23" spans="2:14">
      <c r="B23" s="24"/>
      <c r="C23" s="24"/>
      <c r="D23" s="25"/>
      <c r="E23" s="48"/>
      <c r="F23" s="3"/>
      <c r="G23" s="3"/>
      <c r="H23" s="3"/>
      <c r="I23" s="3"/>
      <c r="J23" s="3"/>
      <c r="K23" s="3"/>
      <c r="L23" s="122"/>
      <c r="M23" s="3"/>
      <c r="N23" s="3"/>
    </row>
    <row r="24" spans="2:14">
      <c r="B24" s="3"/>
      <c r="C24" s="3"/>
      <c r="D24" s="6"/>
      <c r="E24" s="48"/>
      <c r="F24" s="3"/>
      <c r="G24" s="3"/>
      <c r="H24" s="3"/>
      <c r="I24" s="3"/>
      <c r="J24" s="3"/>
      <c r="K24" s="3"/>
      <c r="L24" s="3"/>
      <c r="M24" s="3"/>
      <c r="N24" s="3"/>
    </row>
    <row r="25" spans="2:14">
      <c r="B25" s="3"/>
      <c r="C25" s="3"/>
      <c r="D25" s="6"/>
      <c r="E25" s="6"/>
      <c r="F25" s="65"/>
      <c r="G25" s="3"/>
      <c r="H25" s="81"/>
      <c r="I25" s="82"/>
      <c r="J25" s="3"/>
      <c r="K25" s="3"/>
      <c r="L25" s="3"/>
      <c r="M25" s="3"/>
      <c r="N25" s="3"/>
    </row>
    <row r="26" spans="2:14">
      <c r="B26" s="3"/>
      <c r="C26" s="3"/>
      <c r="D26" s="6"/>
      <c r="E26" s="25"/>
      <c r="F26" s="47"/>
      <c r="G26" s="3"/>
      <c r="H26" s="64"/>
      <c r="I26" s="82"/>
      <c r="J26" s="3"/>
      <c r="K26" s="3"/>
      <c r="L26" s="123"/>
      <c r="M26" s="3"/>
      <c r="N26" s="3"/>
    </row>
    <row r="27" spans="2:14">
      <c r="B27" s="3"/>
      <c r="C27" s="3"/>
      <c r="D27" s="25"/>
      <c r="E27" s="24"/>
      <c r="F27" s="124"/>
      <c r="G27" s="3"/>
      <c r="H27" s="3"/>
      <c r="I27" s="3"/>
      <c r="J27" s="3"/>
      <c r="K27" s="3"/>
      <c r="L27" s="3"/>
      <c r="M27" s="3"/>
      <c r="N27" s="3"/>
    </row>
    <row r="28" spans="2:14">
      <c r="B28" s="3"/>
      <c r="C28" s="3"/>
      <c r="D28" s="8"/>
      <c r="E28" s="24"/>
      <c r="F28" s="124"/>
      <c r="G28" s="3"/>
      <c r="H28" s="3"/>
      <c r="I28" s="3"/>
      <c r="J28" s="3"/>
      <c r="K28" s="3"/>
      <c r="L28" s="3"/>
      <c r="M28" s="3"/>
      <c r="N28" s="3"/>
    </row>
    <row r="29" spans="2:14">
      <c r="B29" s="3"/>
      <c r="C29" s="3"/>
      <c r="D29" s="3"/>
      <c r="E29" s="3"/>
      <c r="F29" s="65"/>
      <c r="G29" s="3"/>
      <c r="H29" s="3"/>
      <c r="I29" s="3"/>
      <c r="J29" s="3"/>
      <c r="K29" s="3"/>
      <c r="L29" s="3"/>
      <c r="M29" s="3"/>
      <c r="N29" s="3"/>
    </row>
    <row r="30" spans="2:14">
      <c r="B30" s="3"/>
      <c r="C30" s="3"/>
      <c r="D30" s="3"/>
      <c r="E30" s="3"/>
      <c r="F30" s="65"/>
    </row>
    <row r="31" spans="2:14">
      <c r="D31" s="3"/>
      <c r="E31" s="3"/>
      <c r="F31" s="65"/>
    </row>
    <row r="32" spans="2:14">
      <c r="D32" s="3"/>
      <c r="E32" s="3"/>
      <c r="F32" s="65"/>
    </row>
    <row r="33" spans="4:6">
      <c r="D33" s="3"/>
      <c r="E33" s="3"/>
      <c r="F33" s="65"/>
    </row>
    <row r="34" spans="4:6">
      <c r="D34" s="3"/>
      <c r="E34" s="3"/>
      <c r="F34" s="65"/>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30.85546875" style="2" customWidth="1"/>
    <col min="3" max="3" width="12.7109375" style="2" customWidth="1"/>
    <col min="4" max="4" width="16.42578125" style="2" customWidth="1"/>
    <col min="5" max="5" width="17.5703125" style="2" customWidth="1"/>
    <col min="6" max="6" width="10" style="14"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7" t="s">
        <v>430</v>
      </c>
      <c r="E1" s="3"/>
      <c r="F1" s="65"/>
      <c r="G1" s="3"/>
      <c r="H1" s="3"/>
      <c r="I1" s="3"/>
      <c r="J1" s="3"/>
      <c r="K1" s="3"/>
      <c r="L1" s="3"/>
      <c r="M1" s="3"/>
      <c r="N1" s="3"/>
    </row>
    <row r="2" spans="2:14">
      <c r="E2" s="3"/>
      <c r="F2" s="65"/>
      <c r="G2" s="3"/>
      <c r="H2" s="3"/>
      <c r="I2" s="3"/>
      <c r="J2" s="3"/>
      <c r="K2" s="3"/>
      <c r="L2" s="3"/>
      <c r="M2" s="3"/>
      <c r="N2" s="3"/>
    </row>
    <row r="3" spans="2:14">
      <c r="B3" s="434" t="s">
        <v>432</v>
      </c>
      <c r="C3" s="360" t="s">
        <v>431</v>
      </c>
      <c r="D3" s="360" t="s">
        <v>433</v>
      </c>
      <c r="E3" s="48"/>
      <c r="F3" s="119"/>
      <c r="G3" s="115"/>
      <c r="H3" s="104"/>
      <c r="I3" s="104"/>
      <c r="J3" s="104"/>
      <c r="K3" s="3"/>
      <c r="L3" s="120"/>
      <c r="M3" s="104"/>
      <c r="N3" s="3"/>
    </row>
    <row r="4" spans="2:14">
      <c r="B4" s="109" t="s">
        <v>444</v>
      </c>
      <c r="C4" s="432">
        <v>41850</v>
      </c>
      <c r="D4" s="191">
        <v>2.9999999999999997E-4</v>
      </c>
      <c r="E4" s="3"/>
      <c r="F4" s="69"/>
      <c r="G4" s="116"/>
      <c r="H4" s="117"/>
      <c r="I4" s="48"/>
      <c r="J4" s="67"/>
      <c r="K4" s="3"/>
      <c r="L4" s="68"/>
      <c r="M4" s="85"/>
      <c r="N4" s="3"/>
    </row>
    <row r="5" spans="2:14">
      <c r="B5" s="51" t="s">
        <v>443</v>
      </c>
      <c r="C5" s="432">
        <v>50000</v>
      </c>
      <c r="D5" s="191">
        <v>4.0000000000000002E-4</v>
      </c>
      <c r="E5" s="3"/>
      <c r="F5" s="69"/>
      <c r="G5" s="116"/>
      <c r="H5" s="117"/>
      <c r="I5" s="48"/>
      <c r="J5" s="67"/>
      <c r="K5" s="3"/>
      <c r="L5" s="68"/>
      <c r="M5" s="85"/>
      <c r="N5" s="3"/>
    </row>
    <row r="6" spans="2:14">
      <c r="B6" s="51" t="s">
        <v>442</v>
      </c>
      <c r="C6" s="433">
        <v>234295</v>
      </c>
      <c r="D6" s="191">
        <v>1.8E-3</v>
      </c>
      <c r="E6" s="3"/>
      <c r="F6" s="69"/>
      <c r="G6" s="116"/>
      <c r="H6" s="117"/>
      <c r="I6" s="48"/>
      <c r="J6" s="67"/>
      <c r="K6" s="3"/>
      <c r="L6" s="68"/>
      <c r="M6" s="85"/>
      <c r="N6" s="3"/>
    </row>
    <row r="7" spans="2:14">
      <c r="B7" s="51" t="s">
        <v>445</v>
      </c>
      <c r="C7" s="433">
        <v>86065</v>
      </c>
      <c r="D7" s="191">
        <v>5.9999999999999995E-4</v>
      </c>
      <c r="E7" s="3"/>
      <c r="F7" s="69"/>
      <c r="G7" s="116"/>
      <c r="H7" s="117"/>
      <c r="I7" s="48"/>
      <c r="J7" s="67"/>
      <c r="K7" s="3"/>
      <c r="L7" s="68"/>
      <c r="M7" s="85"/>
      <c r="N7" s="3"/>
    </row>
    <row r="8" spans="2:14">
      <c r="B8" s="3"/>
      <c r="C8" s="430">
        <f>SUM(C4:C7)</f>
        <v>412210</v>
      </c>
      <c r="D8" s="431">
        <f>SUM(D4:D7)</f>
        <v>3.0999999999999999E-3</v>
      </c>
      <c r="E8" s="3"/>
      <c r="F8" s="69"/>
      <c r="G8" s="116"/>
      <c r="H8" s="117"/>
      <c r="I8" s="48"/>
      <c r="J8" s="67"/>
      <c r="K8" s="3"/>
      <c r="L8" s="68"/>
      <c r="M8" s="85"/>
      <c r="N8" s="3"/>
    </row>
    <row r="9" spans="2:14">
      <c r="E9" s="3"/>
      <c r="F9" s="69"/>
      <c r="G9" s="116"/>
      <c r="H9" s="117"/>
      <c r="I9" s="48"/>
      <c r="J9" s="67"/>
      <c r="K9" s="3"/>
      <c r="L9" s="68"/>
      <c r="M9" s="85"/>
      <c r="N9" s="3"/>
    </row>
    <row r="10" spans="2:14">
      <c r="B10" s="434" t="s">
        <v>434</v>
      </c>
      <c r="C10" s="360" t="s">
        <v>431</v>
      </c>
      <c r="D10" s="360" t="s">
        <v>433</v>
      </c>
      <c r="E10" s="3"/>
      <c r="F10" s="69"/>
      <c r="G10" s="116"/>
      <c r="H10" s="117"/>
      <c r="I10" s="48"/>
      <c r="J10" s="67"/>
      <c r="K10" s="3"/>
      <c r="L10" s="66"/>
      <c r="M10" s="3"/>
      <c r="N10" s="3"/>
    </row>
    <row r="11" spans="2:14">
      <c r="B11" s="109" t="s">
        <v>436</v>
      </c>
      <c r="C11" s="432">
        <v>2576100</v>
      </c>
      <c r="D11" s="191">
        <v>1.9300000000000001E-2</v>
      </c>
      <c r="E11" s="3"/>
      <c r="F11" s="69"/>
      <c r="G11" s="116"/>
      <c r="H11" s="117"/>
      <c r="I11" s="48"/>
      <c r="J11" s="67"/>
      <c r="K11" s="3"/>
      <c r="L11" s="81"/>
      <c r="M11" s="90"/>
      <c r="N11" s="3"/>
    </row>
    <row r="12" spans="2:14">
      <c r="B12" s="51" t="s">
        <v>437</v>
      </c>
      <c r="C12" s="432">
        <v>66000</v>
      </c>
      <c r="D12" s="191">
        <v>5.0000000000000001E-4</v>
      </c>
      <c r="E12" s="3"/>
      <c r="F12" s="69"/>
      <c r="G12" s="116"/>
      <c r="H12" s="117"/>
      <c r="I12" s="48"/>
      <c r="J12" s="67"/>
      <c r="K12" s="3"/>
      <c r="L12" s="64"/>
      <c r="M12" s="90"/>
      <c r="N12" s="3"/>
    </row>
    <row r="13" spans="2:14">
      <c r="B13" s="51" t="s">
        <v>438</v>
      </c>
      <c r="C13" s="433">
        <v>5254085</v>
      </c>
      <c r="D13" s="191">
        <v>3.9300000000000002E-2</v>
      </c>
      <c r="E13" s="3"/>
      <c r="F13" s="69"/>
      <c r="G13" s="116"/>
      <c r="H13" s="117"/>
      <c r="I13" s="48"/>
      <c r="J13" s="67"/>
      <c r="K13" s="3"/>
      <c r="L13" s="3"/>
      <c r="M13" s="3"/>
      <c r="N13" s="3"/>
    </row>
    <row r="14" spans="2:14">
      <c r="B14" s="51" t="s">
        <v>439</v>
      </c>
      <c r="C14" s="433">
        <v>99050</v>
      </c>
      <c r="D14" s="191">
        <v>6.9999999999999999E-4</v>
      </c>
      <c r="E14" s="3"/>
      <c r="F14" s="68"/>
      <c r="G14" s="8"/>
      <c r="H14" s="3"/>
      <c r="I14" s="48"/>
      <c r="J14" s="24"/>
      <c r="K14" s="3"/>
      <c r="L14" s="3"/>
      <c r="M14" s="3"/>
      <c r="N14" s="3"/>
    </row>
    <row r="15" spans="2:14">
      <c r="B15" s="51" t="s">
        <v>440</v>
      </c>
      <c r="C15" s="433">
        <v>45379098</v>
      </c>
      <c r="D15" s="191">
        <v>0.33950000000000002</v>
      </c>
      <c r="E15" s="436" t="s">
        <v>435</v>
      </c>
      <c r="F15" s="64"/>
      <c r="G15" s="3"/>
      <c r="H15" s="3"/>
      <c r="I15" s="3"/>
      <c r="J15" s="3"/>
      <c r="K15" s="3"/>
      <c r="L15" s="3"/>
      <c r="M15" s="3"/>
      <c r="N15" s="3"/>
    </row>
    <row r="16" spans="2:14">
      <c r="B16" s="51" t="s">
        <v>441</v>
      </c>
      <c r="C16" s="433">
        <v>43275</v>
      </c>
      <c r="D16" s="191">
        <v>2.9999999999999997E-4</v>
      </c>
      <c r="E16" s="48"/>
      <c r="F16" s="81"/>
      <c r="G16" s="82"/>
      <c r="H16" s="46"/>
      <c r="I16" s="3"/>
      <c r="J16" s="3"/>
      <c r="K16" s="3"/>
      <c r="L16" s="3"/>
      <c r="M16" s="3"/>
      <c r="N16" s="3"/>
    </row>
    <row r="17" spans="2:14">
      <c r="B17" s="3"/>
      <c r="C17" s="430">
        <f>SUM(C11:C16)</f>
        <v>53417608</v>
      </c>
      <c r="D17" s="431">
        <f>SUM(D11:D16)</f>
        <v>0.39960000000000007</v>
      </c>
      <c r="E17" s="48"/>
      <c r="F17" s="64"/>
      <c r="G17" s="82"/>
      <c r="H17" s="3"/>
      <c r="I17" s="3"/>
      <c r="J17" s="3"/>
      <c r="K17" s="3"/>
      <c r="L17" s="3"/>
      <c r="M17" s="3"/>
      <c r="N17" s="3"/>
    </row>
    <row r="18" spans="2:14">
      <c r="B18" s="3"/>
      <c r="C18" s="3"/>
      <c r="D18" s="25"/>
      <c r="E18" s="48"/>
      <c r="F18" s="64"/>
      <c r="G18" s="3"/>
      <c r="H18" s="3"/>
      <c r="I18" s="3"/>
      <c r="J18" s="3"/>
      <c r="K18" s="3"/>
      <c r="L18" s="3"/>
      <c r="M18" s="3"/>
      <c r="N18" s="3"/>
    </row>
    <row r="19" spans="2:14">
      <c r="B19" s="435"/>
      <c r="C19" s="104"/>
      <c r="D19" s="104"/>
      <c r="E19" s="48"/>
      <c r="F19" s="64"/>
      <c r="G19" s="3"/>
      <c r="H19" s="3"/>
      <c r="I19" s="3"/>
      <c r="J19" s="3"/>
      <c r="K19" s="3"/>
      <c r="L19" s="3"/>
      <c r="M19" s="3"/>
      <c r="N19" s="3"/>
    </row>
    <row r="20" spans="2:14">
      <c r="B20" s="24"/>
      <c r="C20" s="429"/>
      <c r="D20" s="190"/>
      <c r="E20" s="118"/>
      <c r="F20" s="120"/>
      <c r="G20" s="120"/>
      <c r="H20" s="120"/>
      <c r="I20" s="120"/>
      <c r="J20" s="120"/>
      <c r="K20" s="120"/>
      <c r="L20" s="3"/>
      <c r="M20" s="3"/>
      <c r="N20" s="3"/>
    </row>
    <row r="21" spans="2:14">
      <c r="B21" s="24"/>
      <c r="C21" s="429"/>
      <c r="D21" s="190"/>
      <c r="E21" s="101"/>
      <c r="F21" s="121"/>
      <c r="G21" s="8"/>
      <c r="H21" s="8"/>
      <c r="I21" s="8"/>
      <c r="J21" s="8"/>
      <c r="K21" s="8"/>
      <c r="L21" s="3"/>
      <c r="M21" s="3"/>
      <c r="N21" s="3"/>
    </row>
    <row r="22" spans="2:14">
      <c r="B22" s="24"/>
      <c r="C22" s="184"/>
      <c r="D22" s="190"/>
      <c r="E22" s="48"/>
      <c r="F22" s="65"/>
      <c r="G22" s="65"/>
      <c r="H22" s="65"/>
      <c r="I22" s="102"/>
      <c r="J22" s="64"/>
      <c r="K22" s="65"/>
      <c r="L22" s="3"/>
      <c r="M22" s="3"/>
      <c r="N22" s="3"/>
    </row>
    <row r="23" spans="2:14">
      <c r="B23" s="24"/>
      <c r="C23" s="184"/>
      <c r="D23" s="190"/>
      <c r="E23" s="48"/>
      <c r="F23" s="3"/>
      <c r="G23" s="3"/>
      <c r="H23" s="3"/>
      <c r="I23" s="3"/>
      <c r="J23" s="3"/>
      <c r="K23" s="3"/>
      <c r="L23" s="122"/>
      <c r="M23" s="3"/>
      <c r="N23" s="3"/>
    </row>
    <row r="24" spans="2:14">
      <c r="B24" s="24"/>
      <c r="C24" s="184"/>
      <c r="D24" s="190"/>
      <c r="E24" s="48"/>
      <c r="F24" s="3"/>
      <c r="G24" s="3"/>
      <c r="H24" s="3"/>
      <c r="I24" s="3"/>
      <c r="J24" s="3"/>
      <c r="K24" s="3"/>
      <c r="L24" s="3"/>
      <c r="M24" s="3"/>
      <c r="N24" s="3"/>
    </row>
    <row r="25" spans="2:14">
      <c r="B25" s="24"/>
      <c r="C25" s="184"/>
      <c r="D25" s="190"/>
      <c r="E25" s="6"/>
      <c r="F25" s="65"/>
      <c r="G25" s="3"/>
      <c r="H25" s="81"/>
      <c r="I25" s="82"/>
      <c r="J25" s="3"/>
      <c r="K25" s="3"/>
      <c r="L25" s="3"/>
      <c r="M25" s="3"/>
      <c r="N25" s="3"/>
    </row>
    <row r="26" spans="2:14">
      <c r="B26" s="3"/>
      <c r="C26" s="429"/>
      <c r="D26" s="190"/>
      <c r="E26" s="25"/>
      <c r="F26" s="47"/>
      <c r="G26" s="3"/>
      <c r="H26" s="64"/>
      <c r="I26" s="82"/>
      <c r="J26" s="3"/>
      <c r="K26" s="3"/>
      <c r="L26" s="123"/>
      <c r="M26" s="3"/>
      <c r="N26" s="3"/>
    </row>
    <row r="27" spans="2:14">
      <c r="B27" s="3"/>
      <c r="C27" s="3"/>
      <c r="D27" s="25"/>
      <c r="E27" s="24"/>
      <c r="F27" s="124"/>
      <c r="G27" s="3"/>
      <c r="H27" s="3"/>
      <c r="I27" s="3"/>
      <c r="J27" s="3"/>
      <c r="K27" s="3"/>
      <c r="L27" s="3"/>
      <c r="M27" s="3"/>
      <c r="N27" s="3"/>
    </row>
    <row r="28" spans="2:14">
      <c r="B28" s="3"/>
      <c r="C28" s="3"/>
      <c r="D28" s="8"/>
      <c r="E28" s="24"/>
      <c r="F28" s="124"/>
      <c r="G28" s="3"/>
      <c r="H28" s="3"/>
      <c r="I28" s="3"/>
      <c r="J28" s="3"/>
      <c r="K28" s="3"/>
      <c r="L28" s="3"/>
      <c r="M28" s="3"/>
      <c r="N28" s="3"/>
    </row>
    <row r="29" spans="2:14">
      <c r="B29" s="3"/>
      <c r="C29" s="3"/>
      <c r="D29" s="3"/>
      <c r="E29" s="3"/>
      <c r="F29" s="65"/>
      <c r="G29" s="3"/>
      <c r="H29" s="3"/>
      <c r="I29" s="3"/>
      <c r="J29" s="3"/>
      <c r="K29" s="3"/>
      <c r="L29" s="3"/>
      <c r="M29" s="3"/>
      <c r="N29" s="3"/>
    </row>
    <row r="30" spans="2:14">
      <c r="B30" s="3"/>
      <c r="C30" s="3"/>
      <c r="D30" s="3"/>
      <c r="E30" s="3"/>
      <c r="F30" s="65"/>
    </row>
    <row r="31" spans="2:14">
      <c r="D31" s="3"/>
      <c r="E31" s="3"/>
      <c r="F31" s="65"/>
    </row>
    <row r="32" spans="2:14">
      <c r="D32" s="3"/>
      <c r="E32" s="3"/>
      <c r="F32" s="65"/>
    </row>
    <row r="33" spans="4:6">
      <c r="D33" s="3"/>
      <c r="E33" s="3"/>
      <c r="F33" s="65"/>
    </row>
    <row r="34" spans="4:6">
      <c r="D34" s="3"/>
      <c r="E34" s="3"/>
      <c r="F34" s="65"/>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2.85546875" style="2" customWidth="1"/>
    <col min="3" max="3" width="12.7109375" style="2" customWidth="1"/>
    <col min="4" max="4" width="2.85546875" style="2" customWidth="1"/>
    <col min="5" max="5" width="17.5703125" style="2" customWidth="1"/>
    <col min="6" max="6" width="10" style="14"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7" t="s">
        <v>250</v>
      </c>
      <c r="E1" s="3"/>
      <c r="F1" s="65"/>
      <c r="G1" s="3"/>
      <c r="H1" s="3"/>
      <c r="I1" s="3"/>
      <c r="J1" s="3"/>
      <c r="K1" s="3"/>
      <c r="L1" s="3"/>
      <c r="M1" s="3"/>
      <c r="N1" s="3"/>
    </row>
    <row r="2" spans="2:14">
      <c r="E2" s="3"/>
      <c r="F2" s="65"/>
      <c r="G2" s="3"/>
      <c r="H2" s="3"/>
      <c r="I2" s="3"/>
      <c r="J2" s="3"/>
      <c r="K2" s="3"/>
      <c r="L2" s="3"/>
      <c r="M2" s="3"/>
      <c r="N2" s="3"/>
    </row>
    <row r="3" spans="2:14">
      <c r="B3" s="3"/>
      <c r="C3" s="83"/>
      <c r="D3" s="23"/>
      <c r="E3" s="48"/>
      <c r="F3" s="119"/>
      <c r="G3" s="115"/>
      <c r="H3" s="104"/>
      <c r="I3" s="104"/>
      <c r="J3" s="104"/>
      <c r="K3" s="3"/>
      <c r="L3" s="120"/>
      <c r="M3" s="104"/>
      <c r="N3" s="3"/>
    </row>
    <row r="4" spans="2:14">
      <c r="C4" s="126"/>
      <c r="D4" s="6"/>
      <c r="E4" s="3"/>
      <c r="F4" s="69"/>
      <c r="G4" s="116"/>
      <c r="H4" s="117"/>
      <c r="I4" s="48"/>
      <c r="J4" s="67"/>
      <c r="K4" s="3"/>
      <c r="L4" s="68"/>
      <c r="M4" s="85"/>
      <c r="N4" s="3"/>
    </row>
    <row r="5" spans="2:14">
      <c r="D5" s="6"/>
      <c r="E5" s="3"/>
      <c r="F5" s="69"/>
      <c r="G5" s="116"/>
      <c r="H5" s="117"/>
      <c r="I5" s="48"/>
      <c r="J5" s="67"/>
      <c r="K5" s="3"/>
      <c r="L5" s="68"/>
      <c r="M5" s="85"/>
      <c r="N5" s="3"/>
    </row>
    <row r="6" spans="2:14">
      <c r="C6" s="76"/>
      <c r="D6" s="25"/>
      <c r="E6" s="3"/>
      <c r="F6" s="69"/>
      <c r="G6" s="116"/>
      <c r="H6" s="117"/>
      <c r="I6" s="48"/>
      <c r="J6" s="67"/>
      <c r="K6" s="3"/>
      <c r="L6" s="68"/>
      <c r="M6" s="85"/>
      <c r="N6" s="3"/>
    </row>
    <row r="7" spans="2:14">
      <c r="C7" s="77"/>
      <c r="D7" s="6"/>
      <c r="E7" s="3"/>
      <c r="F7" s="69"/>
      <c r="G7" s="116"/>
      <c r="H7" s="117"/>
      <c r="I7" s="48"/>
      <c r="J7" s="67"/>
      <c r="K7" s="3"/>
      <c r="L7" s="68"/>
      <c r="M7" s="85"/>
      <c r="N7" s="3"/>
    </row>
    <row r="8" spans="2:14">
      <c r="C8" s="47"/>
      <c r="D8" s="6"/>
      <c r="E8" s="3"/>
      <c r="F8" s="69"/>
      <c r="G8" s="116"/>
      <c r="H8" s="117"/>
      <c r="I8" s="48"/>
      <c r="J8" s="67"/>
      <c r="K8" s="3"/>
      <c r="L8" s="68"/>
      <c r="M8" s="85"/>
      <c r="N8" s="3"/>
    </row>
    <row r="9" spans="2:14">
      <c r="B9" s="3"/>
      <c r="C9" s="83"/>
      <c r="D9" s="6"/>
      <c r="E9" s="3"/>
      <c r="F9" s="69"/>
      <c r="G9" s="116"/>
      <c r="H9" s="117"/>
      <c r="I9" s="48"/>
      <c r="J9" s="67"/>
      <c r="K9" s="3"/>
      <c r="L9" s="68"/>
      <c r="M9" s="85"/>
      <c r="N9" s="3"/>
    </row>
    <row r="10" spans="2:14">
      <c r="B10" s="3"/>
      <c r="C10" s="83"/>
      <c r="D10" s="6"/>
      <c r="E10" s="3"/>
      <c r="F10" s="69"/>
      <c r="G10" s="116"/>
      <c r="H10" s="117"/>
      <c r="I10" s="48"/>
      <c r="J10" s="67"/>
      <c r="K10" s="3"/>
      <c r="L10" s="66"/>
      <c r="M10" s="3"/>
      <c r="N10" s="3"/>
    </row>
    <row r="11" spans="2:14">
      <c r="B11" s="3"/>
      <c r="C11" s="84"/>
      <c r="D11" s="6"/>
      <c r="E11" s="3"/>
      <c r="F11" s="69"/>
      <c r="G11" s="116"/>
      <c r="H11" s="117"/>
      <c r="I11" s="48"/>
      <c r="J11" s="67"/>
      <c r="K11" s="3"/>
      <c r="L11" s="81"/>
      <c r="M11" s="90"/>
      <c r="N11" s="3"/>
    </row>
    <row r="12" spans="2:14">
      <c r="B12" s="3"/>
      <c r="C12" s="3"/>
      <c r="D12" s="6"/>
      <c r="E12" s="3"/>
      <c r="F12" s="69"/>
      <c r="G12" s="116"/>
      <c r="H12" s="117"/>
      <c r="I12" s="48"/>
      <c r="J12" s="67"/>
      <c r="K12" s="3"/>
      <c r="L12" s="64"/>
      <c r="M12" s="90"/>
      <c r="N12" s="3"/>
    </row>
    <row r="13" spans="2:14">
      <c r="B13" s="3"/>
      <c r="C13" s="58"/>
      <c r="D13" s="6"/>
      <c r="E13" s="3"/>
      <c r="F13" s="69"/>
      <c r="G13" s="116"/>
      <c r="H13" s="117"/>
      <c r="I13" s="48"/>
      <c r="J13" s="67"/>
      <c r="K13" s="3"/>
      <c r="L13" s="3"/>
      <c r="M13" s="3"/>
      <c r="N13" s="3"/>
    </row>
    <row r="14" spans="2:14">
      <c r="B14" s="24"/>
      <c r="C14" s="24"/>
      <c r="D14" s="25"/>
      <c r="E14" s="3"/>
      <c r="F14" s="68"/>
      <c r="G14" s="8"/>
      <c r="H14" s="3"/>
      <c r="I14" s="48"/>
      <c r="J14" s="24"/>
      <c r="K14" s="3"/>
      <c r="L14" s="3"/>
      <c r="M14" s="3"/>
      <c r="N14" s="3"/>
    </row>
    <row r="15" spans="2:14">
      <c r="B15" s="3"/>
      <c r="C15" s="125"/>
      <c r="D15" s="6"/>
      <c r="E15" s="48"/>
      <c r="F15" s="64"/>
      <c r="G15" s="3"/>
      <c r="H15" s="3"/>
      <c r="I15" s="3"/>
      <c r="J15" s="3"/>
      <c r="K15" s="3"/>
      <c r="L15" s="3"/>
      <c r="M15" s="3"/>
      <c r="N15" s="3"/>
    </row>
    <row r="16" spans="2:14">
      <c r="B16" s="3"/>
      <c r="C16" s="3"/>
      <c r="D16" s="6"/>
      <c r="E16" s="48"/>
      <c r="F16" s="81"/>
      <c r="G16" s="82"/>
      <c r="H16" s="46"/>
      <c r="I16" s="3"/>
      <c r="J16" s="3"/>
      <c r="K16" s="3"/>
      <c r="L16" s="3"/>
      <c r="M16" s="3"/>
      <c r="N16" s="3"/>
    </row>
    <row r="17" spans="2:14">
      <c r="B17" s="3"/>
      <c r="C17" s="77"/>
      <c r="D17" s="6"/>
      <c r="E17" s="48"/>
      <c r="F17" s="64"/>
      <c r="G17" s="82"/>
      <c r="H17" s="3"/>
      <c r="I17" s="3"/>
      <c r="J17" s="3"/>
      <c r="K17" s="3"/>
      <c r="L17" s="3"/>
      <c r="M17" s="3"/>
      <c r="N17" s="3"/>
    </row>
    <row r="18" spans="2:14">
      <c r="B18" s="3"/>
      <c r="C18" s="3"/>
      <c r="D18" s="25"/>
      <c r="E18" s="48"/>
      <c r="F18" s="64"/>
      <c r="G18" s="3"/>
      <c r="H18" s="3"/>
      <c r="I18" s="3"/>
      <c r="J18" s="3"/>
      <c r="K18" s="3"/>
      <c r="L18" s="3"/>
      <c r="M18" s="3"/>
      <c r="N18" s="3"/>
    </row>
    <row r="19" spans="2:14">
      <c r="B19" s="24"/>
      <c r="C19" s="24"/>
      <c r="D19" s="6"/>
      <c r="E19" s="48"/>
      <c r="F19" s="64"/>
      <c r="G19" s="3"/>
      <c r="H19" s="3"/>
      <c r="I19" s="3"/>
      <c r="J19" s="3"/>
      <c r="K19" s="3"/>
      <c r="L19" s="3"/>
      <c r="M19" s="3"/>
      <c r="N19" s="3"/>
    </row>
    <row r="20" spans="2:14">
      <c r="B20" s="3"/>
      <c r="C20" s="3"/>
      <c r="D20" s="6"/>
      <c r="E20" s="118"/>
      <c r="F20" s="120"/>
      <c r="G20" s="120"/>
      <c r="H20" s="120"/>
      <c r="I20" s="120"/>
      <c r="J20" s="120"/>
      <c r="K20" s="120"/>
      <c r="L20" s="3"/>
      <c r="M20" s="3"/>
      <c r="N20" s="3"/>
    </row>
    <row r="21" spans="2:14">
      <c r="B21" s="3"/>
      <c r="C21" s="3"/>
      <c r="D21" s="6"/>
      <c r="E21" s="101"/>
      <c r="F21" s="121"/>
      <c r="G21" s="8"/>
      <c r="H21" s="8"/>
      <c r="I21" s="8"/>
      <c r="J21" s="8"/>
      <c r="K21" s="8"/>
      <c r="L21" s="3"/>
      <c r="M21" s="3"/>
      <c r="N21" s="3"/>
    </row>
    <row r="22" spans="2:14">
      <c r="B22" s="3"/>
      <c r="C22" s="3"/>
      <c r="D22" s="6"/>
      <c r="E22" s="48"/>
      <c r="F22" s="65"/>
      <c r="G22" s="65"/>
      <c r="H22" s="65"/>
      <c r="I22" s="102"/>
      <c r="J22" s="64"/>
      <c r="K22" s="65"/>
      <c r="L22" s="3"/>
      <c r="M22" s="3"/>
      <c r="N22" s="3"/>
    </row>
    <row r="23" spans="2:14">
      <c r="B23" s="24"/>
      <c r="C23" s="24"/>
      <c r="D23" s="25"/>
      <c r="E23" s="48"/>
      <c r="F23" s="3"/>
      <c r="G23" s="3"/>
      <c r="H23" s="3"/>
      <c r="I23" s="3"/>
      <c r="J23" s="3"/>
      <c r="K23" s="3"/>
      <c r="L23" s="122"/>
      <c r="M23" s="3"/>
      <c r="N23" s="3"/>
    </row>
    <row r="24" spans="2:14">
      <c r="B24" s="3"/>
      <c r="C24" s="3"/>
      <c r="D24" s="6"/>
      <c r="E24" s="48"/>
      <c r="F24" s="3"/>
      <c r="G24" s="3"/>
      <c r="H24" s="3"/>
      <c r="I24" s="3"/>
      <c r="J24" s="3"/>
      <c r="K24" s="3"/>
      <c r="L24" s="3"/>
      <c r="M24" s="3"/>
      <c r="N24" s="3"/>
    </row>
    <row r="25" spans="2:14">
      <c r="B25" s="3"/>
      <c r="C25" s="3"/>
      <c r="D25" s="6"/>
      <c r="E25" s="6"/>
      <c r="F25" s="65"/>
      <c r="G25" s="3"/>
      <c r="H25" s="81"/>
      <c r="I25" s="82"/>
      <c r="J25" s="3"/>
      <c r="K25" s="3"/>
      <c r="L25" s="3"/>
      <c r="M25" s="3"/>
      <c r="N25" s="3"/>
    </row>
    <row r="26" spans="2:14">
      <c r="B26" s="3"/>
      <c r="C26" s="3"/>
      <c r="D26" s="6"/>
      <c r="E26" s="25"/>
      <c r="F26" s="47"/>
      <c r="G26" s="3"/>
      <c r="H26" s="64"/>
      <c r="I26" s="82"/>
      <c r="J26" s="3"/>
      <c r="K26" s="3"/>
      <c r="L26" s="123"/>
      <c r="M26" s="3"/>
      <c r="N26" s="3"/>
    </row>
    <row r="27" spans="2:14">
      <c r="B27" s="3"/>
      <c r="C27" s="3"/>
      <c r="D27" s="25"/>
      <c r="E27" s="24"/>
      <c r="F27" s="124"/>
      <c r="G27" s="3"/>
      <c r="H27" s="3"/>
      <c r="I27" s="3"/>
      <c r="J27" s="3"/>
      <c r="K27" s="3"/>
      <c r="L27" s="3"/>
      <c r="M27" s="3"/>
      <c r="N27" s="3"/>
    </row>
    <row r="28" spans="2:14">
      <c r="B28" s="3"/>
      <c r="C28" s="3"/>
      <c r="D28" s="8"/>
      <c r="E28" s="24"/>
      <c r="F28" s="124"/>
      <c r="G28" s="3"/>
      <c r="H28" s="3"/>
      <c r="I28" s="3"/>
      <c r="J28" s="3"/>
      <c r="K28" s="3"/>
      <c r="L28" s="3"/>
      <c r="M28" s="3"/>
      <c r="N28" s="3"/>
    </row>
    <row r="29" spans="2:14">
      <c r="B29" s="3"/>
      <c r="C29" s="3"/>
      <c r="D29" s="3"/>
      <c r="E29" s="3"/>
      <c r="F29" s="65"/>
      <c r="G29" s="3"/>
      <c r="H29" s="3"/>
      <c r="I29" s="3"/>
      <c r="J29" s="3"/>
      <c r="K29" s="3"/>
      <c r="L29" s="3"/>
      <c r="M29" s="3"/>
      <c r="N29" s="3"/>
    </row>
    <row r="30" spans="2:14">
      <c r="B30" s="3"/>
      <c r="C30" s="3"/>
      <c r="D30" s="3"/>
      <c r="E30" s="3"/>
      <c r="F30" s="65"/>
    </row>
    <row r="31" spans="2:14">
      <c r="D31" s="3"/>
      <c r="E31" s="3"/>
      <c r="F31" s="65"/>
    </row>
    <row r="32" spans="2:14">
      <c r="D32" s="3"/>
      <c r="E32" s="3"/>
      <c r="F32" s="65"/>
    </row>
    <row r="33" spans="4:6">
      <c r="D33" s="3"/>
      <c r="E33" s="3"/>
      <c r="F33" s="65"/>
    </row>
    <row r="34" spans="4:6">
      <c r="D34" s="3"/>
      <c r="E34" s="3"/>
      <c r="F34" s="65"/>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C28"/>
  <sheetViews>
    <sheetView workbookViewId="0">
      <pane xSplit="3" ySplit="4" topLeftCell="D5" activePane="bottomRight" state="frozen"/>
      <selection pane="topRight" activeCell="D1" sqref="D1"/>
      <selection pane="bottomLeft" activeCell="A5" sqref="A5"/>
      <selection pane="bottomRight"/>
    </sheetView>
  </sheetViews>
  <sheetFormatPr defaultRowHeight="12"/>
  <cols>
    <col min="1" max="1" width="2" style="1" customWidth="1"/>
    <col min="2" max="2" width="10" style="1" customWidth="1"/>
    <col min="3" max="3" width="26" style="1" customWidth="1"/>
    <col min="4" max="16384" width="9.140625" style="1"/>
  </cols>
  <sheetData>
    <row r="1" spans="2:3" ht="15.75">
      <c r="B1" s="37" t="s">
        <v>119</v>
      </c>
      <c r="C1" s="10"/>
    </row>
    <row r="2" spans="2:3">
      <c r="B2" s="38"/>
      <c r="C2" s="10"/>
    </row>
    <row r="3" spans="2:3">
      <c r="B3" s="10"/>
      <c r="C3" s="10"/>
    </row>
    <row r="4" spans="2:3">
      <c r="B4" s="63" t="s">
        <v>0</v>
      </c>
      <c r="C4" s="63" t="s">
        <v>1</v>
      </c>
    </row>
    <row r="5" spans="2:3">
      <c r="B5" s="41">
        <v>1</v>
      </c>
      <c r="C5" s="42" t="s">
        <v>10</v>
      </c>
    </row>
    <row r="6" spans="2:3">
      <c r="B6" s="39">
        <f>B5+1</f>
        <v>2</v>
      </c>
      <c r="C6" s="40" t="s">
        <v>13</v>
      </c>
    </row>
    <row r="7" spans="2:3">
      <c r="B7" s="39">
        <f t="shared" ref="B7:B27" si="0">B6+1</f>
        <v>3</v>
      </c>
      <c r="C7" s="40" t="s">
        <v>429</v>
      </c>
    </row>
    <row r="8" spans="2:3">
      <c r="B8" s="39">
        <f t="shared" si="0"/>
        <v>4</v>
      </c>
      <c r="C8" s="40" t="s">
        <v>428</v>
      </c>
    </row>
    <row r="9" spans="2:3">
      <c r="B9" s="39">
        <f t="shared" si="0"/>
        <v>5</v>
      </c>
      <c r="C9" s="40" t="s">
        <v>9</v>
      </c>
    </row>
    <row r="10" spans="2:3">
      <c r="B10" s="39">
        <f t="shared" si="0"/>
        <v>6</v>
      </c>
      <c r="C10" s="40" t="s">
        <v>106</v>
      </c>
    </row>
    <row r="11" spans="2:3">
      <c r="B11" s="39">
        <f t="shared" si="0"/>
        <v>7</v>
      </c>
      <c r="C11" s="40" t="s">
        <v>7</v>
      </c>
    </row>
    <row r="12" spans="2:3">
      <c r="B12" s="39">
        <f t="shared" si="0"/>
        <v>8</v>
      </c>
      <c r="C12" s="42" t="s">
        <v>118</v>
      </c>
    </row>
    <row r="13" spans="2:3">
      <c r="B13" s="39">
        <f t="shared" si="0"/>
        <v>9</v>
      </c>
      <c r="C13" s="40" t="s">
        <v>382</v>
      </c>
    </row>
    <row r="14" spans="2:3">
      <c r="B14" s="39">
        <f t="shared" si="0"/>
        <v>10</v>
      </c>
      <c r="C14" s="40" t="s">
        <v>219</v>
      </c>
    </row>
    <row r="15" spans="2:3">
      <c r="B15" s="39">
        <f t="shared" si="0"/>
        <v>11</v>
      </c>
      <c r="C15" s="40" t="s">
        <v>385</v>
      </c>
    </row>
    <row r="16" spans="2:3">
      <c r="B16" s="39">
        <f t="shared" si="0"/>
        <v>12</v>
      </c>
      <c r="C16" s="40" t="s">
        <v>218</v>
      </c>
    </row>
    <row r="17" spans="2:3">
      <c r="B17" s="39">
        <f t="shared" si="0"/>
        <v>13</v>
      </c>
      <c r="C17" s="40" t="s">
        <v>127</v>
      </c>
    </row>
    <row r="18" spans="2:3">
      <c r="B18" s="39">
        <f t="shared" si="0"/>
        <v>14</v>
      </c>
      <c r="C18" s="40" t="s">
        <v>144</v>
      </c>
    </row>
    <row r="19" spans="2:3">
      <c r="B19" s="39">
        <f t="shared" si="0"/>
        <v>15</v>
      </c>
      <c r="C19" s="42" t="s">
        <v>163</v>
      </c>
    </row>
    <row r="20" spans="2:3">
      <c r="B20" s="39">
        <f t="shared" si="0"/>
        <v>16</v>
      </c>
      <c r="C20" s="40" t="s">
        <v>160</v>
      </c>
    </row>
    <row r="21" spans="2:3">
      <c r="B21" s="39">
        <f t="shared" si="0"/>
        <v>17</v>
      </c>
      <c r="C21" s="40" t="s">
        <v>161</v>
      </c>
    </row>
    <row r="22" spans="2:3">
      <c r="B22" s="39">
        <f t="shared" si="0"/>
        <v>18</v>
      </c>
      <c r="C22" s="40" t="s">
        <v>162</v>
      </c>
    </row>
    <row r="23" spans="2:3">
      <c r="B23" s="39">
        <f t="shared" si="0"/>
        <v>19</v>
      </c>
      <c r="C23" s="42" t="s">
        <v>217</v>
      </c>
    </row>
    <row r="24" spans="2:3">
      <c r="B24" s="39">
        <f t="shared" si="0"/>
        <v>20</v>
      </c>
      <c r="C24" s="40" t="s">
        <v>200</v>
      </c>
    </row>
    <row r="25" spans="2:3">
      <c r="B25" s="39">
        <f t="shared" si="0"/>
        <v>21</v>
      </c>
      <c r="C25" s="40" t="s">
        <v>204</v>
      </c>
    </row>
    <row r="26" spans="2:3">
      <c r="B26" s="39">
        <f t="shared" si="0"/>
        <v>22</v>
      </c>
      <c r="C26" s="40" t="s">
        <v>427</v>
      </c>
    </row>
    <row r="27" spans="2:3">
      <c r="B27" s="39">
        <f t="shared" si="0"/>
        <v>23</v>
      </c>
      <c r="C27" s="40" t="s">
        <v>216</v>
      </c>
    </row>
    <row r="28" spans="2:3">
      <c r="B28" s="10"/>
      <c r="C28" s="10"/>
    </row>
  </sheetData>
  <hyperlinks>
    <hyperlink ref="C20" location="'Expected Growth Rate'!A1" display="Expected Growth Rate"/>
    <hyperlink ref="C21" location="'Future Cashflows (10 Yrs)'!A1" display="Future Cash Flows (10 Yrs)"/>
    <hyperlink ref="C22" location="'Terminal Value'!A1" display="Terminal Value"/>
    <hyperlink ref="C24" location="'Cash &amp; Marketable Securities'!A1" display="Cash and Marketable Securities"/>
    <hyperlink ref="C25" location="'Value of Cross Holdings'!A1" display="Value of Cross Holdings"/>
    <hyperlink ref="C7" location="'Equity Risk Premium - India'!A1" display="Equity Risk Premium - India"/>
    <hyperlink ref="C9" location="Beta!A1" display="Beta"/>
    <hyperlink ref="C11" location="WACC!A1" display="WACC"/>
    <hyperlink ref="C10" location="'Cost of Equity &amp; Debt'!A1" display="Cost of Equity &amp; Debt"/>
    <hyperlink ref="C6" location="'Risk Free Rate'!A1" display="Risk Free Rate"/>
    <hyperlink ref="C27" location="'Fair Value of Share'!A1" display="Fair Value of Share"/>
    <hyperlink ref="C13" location="Numbers!A1" display="Numbers"/>
    <hyperlink ref="C16" location="'Net CapEx'!A1" display="Reinvestment (Net CapEx)"/>
    <hyperlink ref="C17" location="'Working Capital Changes'!A1" display="Working Capital Changes"/>
    <hyperlink ref="C18" location="'FCFF &amp; FCFE'!A1" display="FCFE &amp; FCFF"/>
    <hyperlink ref="C14" location="'EBIT &amp; Advertising Expense'!A1" display="EBIT &amp; Advertising Expense"/>
    <hyperlink ref="C15" location="'EBIT &amp; Operating Leases'!A1" display="EBIT &amp; Operating Lease"/>
    <hyperlink ref="C8" location="'Radico Khaitan ERP'!A1" display="Radico Khaitan's ERP"/>
    <hyperlink ref="C26" location="'Future Value of Equity Options'!A1" display="Future Value of Equity Options"/>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4"/>
  <sheetViews>
    <sheetView zoomScaleNormal="100" workbookViewId="0"/>
  </sheetViews>
  <sheetFormatPr defaultRowHeight="12"/>
  <cols>
    <col min="1" max="1" width="2" style="2" customWidth="1"/>
    <col min="2" max="2" width="34.85546875" style="2" customWidth="1"/>
    <col min="3" max="3" width="9.140625" style="2"/>
    <col min="4" max="4" width="10.28515625" style="2" customWidth="1"/>
    <col min="5" max="5" width="11.5703125" style="2" bestFit="1" customWidth="1"/>
    <col min="6" max="6" width="18.85546875" style="2" customWidth="1"/>
    <col min="7" max="7" width="2.7109375" style="2" customWidth="1"/>
    <col min="8" max="8" width="30.42578125" style="2" customWidth="1"/>
    <col min="9" max="16384" width="9.140625" style="2"/>
  </cols>
  <sheetData>
    <row r="1" spans="2:13" ht="15.75">
      <c r="B1" s="17" t="s">
        <v>175</v>
      </c>
    </row>
    <row r="3" spans="2:13">
      <c r="B3" s="24"/>
      <c r="C3" s="24"/>
      <c r="D3" s="23"/>
      <c r="E3" s="50" t="s">
        <v>48</v>
      </c>
      <c r="F3" s="51" t="s">
        <v>49</v>
      </c>
      <c r="I3" s="3"/>
      <c r="J3" s="3"/>
      <c r="K3" s="3"/>
    </row>
    <row r="4" spans="2:13">
      <c r="B4" s="19" t="s">
        <v>13</v>
      </c>
      <c r="C4" s="55">
        <f>C6-C8</f>
        <v>5.2759999999999994E-2</v>
      </c>
      <c r="D4" s="6"/>
      <c r="E4" s="50" t="s">
        <v>33</v>
      </c>
      <c r="F4" s="13">
        <v>0</v>
      </c>
      <c r="I4" s="3"/>
      <c r="J4" s="3"/>
      <c r="K4" s="3"/>
    </row>
    <row r="5" spans="2:13">
      <c r="B5" s="3"/>
      <c r="C5" s="3"/>
      <c r="D5" s="6"/>
      <c r="E5" s="50" t="s">
        <v>34</v>
      </c>
      <c r="F5" s="13">
        <v>3.3999999999999998E-3</v>
      </c>
      <c r="I5" s="3"/>
      <c r="J5" s="3"/>
      <c r="K5" s="3"/>
      <c r="M5" s="3"/>
    </row>
    <row r="6" spans="2:13">
      <c r="B6" s="19" t="s">
        <v>15</v>
      </c>
      <c r="C6" s="56">
        <v>7.1459999999999996E-2</v>
      </c>
      <c r="D6" s="25"/>
      <c r="E6" s="50" t="s">
        <v>27</v>
      </c>
      <c r="F6" s="13">
        <v>4.1999999999999997E-3</v>
      </c>
      <c r="I6" s="3"/>
      <c r="J6" s="3"/>
      <c r="K6" s="3"/>
    </row>
    <row r="7" spans="2:13">
      <c r="B7" s="19" t="s">
        <v>16</v>
      </c>
      <c r="C7" s="57" t="s">
        <v>46</v>
      </c>
      <c r="D7" s="6"/>
      <c r="E7" s="50" t="s">
        <v>38</v>
      </c>
      <c r="F7" s="13">
        <v>5.1000000000000004E-3</v>
      </c>
      <c r="I7" s="3"/>
      <c r="J7" s="3"/>
      <c r="K7" s="3"/>
    </row>
    <row r="8" spans="2:13">
      <c r="B8" s="19" t="s">
        <v>17</v>
      </c>
      <c r="C8" s="54">
        <f>VLOOKUP(C7,$E$3:$F$24,2,0)</f>
        <v>1.8700000000000001E-2</v>
      </c>
      <c r="D8" s="6"/>
      <c r="E8" s="50" t="s">
        <v>43</v>
      </c>
      <c r="F8" s="47">
        <v>6.0000000000000001E-3</v>
      </c>
      <c r="I8" s="3"/>
      <c r="J8" s="3"/>
      <c r="K8" s="3"/>
    </row>
    <row r="9" spans="2:13">
      <c r="B9" s="3"/>
      <c r="C9" s="3"/>
      <c r="D9" s="6"/>
      <c r="E9" s="50" t="s">
        <v>40</v>
      </c>
      <c r="F9" s="13">
        <v>7.1999999999999998E-3</v>
      </c>
      <c r="I9" s="3"/>
      <c r="J9" s="3"/>
      <c r="K9" s="3"/>
    </row>
    <row r="10" spans="2:13">
      <c r="B10" s="53" t="s">
        <v>51</v>
      </c>
      <c r="C10" s="24"/>
      <c r="D10" s="6"/>
      <c r="E10" s="50" t="s">
        <v>41</v>
      </c>
      <c r="F10" s="13">
        <v>1.0200000000000001E-2</v>
      </c>
      <c r="I10" s="3"/>
      <c r="J10" s="3"/>
      <c r="K10" s="3"/>
    </row>
    <row r="11" spans="2:13">
      <c r="B11" s="3"/>
      <c r="C11" s="3"/>
      <c r="D11" s="6"/>
      <c r="E11" s="50" t="s">
        <v>42</v>
      </c>
      <c r="F11" s="13">
        <v>1.3599999999999999E-2</v>
      </c>
      <c r="I11" s="3"/>
      <c r="J11" s="3"/>
      <c r="K11" s="3"/>
    </row>
    <row r="12" spans="2:13">
      <c r="B12" s="49" t="s">
        <v>50</v>
      </c>
      <c r="C12" s="3"/>
      <c r="D12" s="6"/>
      <c r="E12" s="50" t="s">
        <v>29</v>
      </c>
      <c r="F12" s="13">
        <v>1.6199999999999999E-2</v>
      </c>
      <c r="I12" s="3"/>
      <c r="J12" s="3"/>
      <c r="K12" s="3"/>
    </row>
    <row r="13" spans="2:13">
      <c r="B13" s="52" t="s">
        <v>18</v>
      </c>
      <c r="C13" s="3"/>
      <c r="D13" s="6"/>
      <c r="E13" s="50" t="s">
        <v>46</v>
      </c>
      <c r="F13" s="13">
        <v>1.8700000000000001E-2</v>
      </c>
    </row>
    <row r="14" spans="2:13">
      <c r="B14" s="52" t="s">
        <v>19</v>
      </c>
      <c r="C14" s="24"/>
      <c r="D14" s="25"/>
      <c r="E14" s="50" t="s">
        <v>45</v>
      </c>
      <c r="F14" s="13">
        <v>2.1299999999999999E-2</v>
      </c>
    </row>
    <row r="15" spans="2:13">
      <c r="B15" s="52" t="s">
        <v>20</v>
      </c>
      <c r="C15" s="3"/>
      <c r="D15" s="6"/>
      <c r="E15" s="50" t="s">
        <v>35</v>
      </c>
      <c r="F15" s="13">
        <v>2.5600000000000001E-2</v>
      </c>
    </row>
    <row r="16" spans="2:13">
      <c r="B16" s="52" t="s">
        <v>21</v>
      </c>
      <c r="C16" s="3"/>
      <c r="D16" s="6"/>
      <c r="E16" s="50" t="s">
        <v>32</v>
      </c>
      <c r="F16" s="13">
        <v>3.0599999999999999E-2</v>
      </c>
    </row>
    <row r="17" spans="2:9">
      <c r="B17" s="52" t="s">
        <v>22</v>
      </c>
      <c r="C17" s="3"/>
      <c r="D17" s="6"/>
      <c r="E17" s="50" t="s">
        <v>28</v>
      </c>
      <c r="F17" s="13">
        <v>3.8300000000000001E-2</v>
      </c>
    </row>
    <row r="18" spans="2:9">
      <c r="B18" s="52" t="s">
        <v>23</v>
      </c>
      <c r="C18" s="3"/>
      <c r="D18" s="25"/>
      <c r="E18" s="50" t="s">
        <v>36</v>
      </c>
      <c r="F18" s="13">
        <v>4.6800000000000001E-2</v>
      </c>
    </row>
    <row r="19" spans="2:9">
      <c r="B19" s="52" t="s">
        <v>24</v>
      </c>
      <c r="C19" s="24"/>
      <c r="D19" s="6"/>
      <c r="E19" s="50" t="s">
        <v>30</v>
      </c>
      <c r="F19" s="13">
        <v>5.5300000000000002E-2</v>
      </c>
    </row>
    <row r="20" spans="2:9">
      <c r="B20" s="52" t="s">
        <v>25</v>
      </c>
      <c r="C20" s="3"/>
      <c r="D20" s="6"/>
      <c r="E20" s="50" t="s">
        <v>37</v>
      </c>
      <c r="F20" s="13">
        <v>6.3799999999999996E-2</v>
      </c>
    </row>
    <row r="21" spans="2:9">
      <c r="B21" s="52" t="s">
        <v>26</v>
      </c>
      <c r="C21" s="3"/>
      <c r="D21" s="6"/>
      <c r="E21" s="50" t="s">
        <v>44</v>
      </c>
      <c r="F21" s="13">
        <v>7.6600000000000001E-2</v>
      </c>
    </row>
    <row r="22" spans="2:9">
      <c r="B22" s="3"/>
      <c r="C22" s="3"/>
      <c r="D22" s="6"/>
      <c r="E22" s="50" t="s">
        <v>39</v>
      </c>
      <c r="F22" s="13">
        <v>8.5099999999999995E-2</v>
      </c>
    </row>
    <row r="23" spans="2:9">
      <c r="B23" s="24"/>
      <c r="C23" s="24"/>
      <c r="D23" s="25"/>
      <c r="E23" s="50" t="s">
        <v>31</v>
      </c>
      <c r="F23" s="13">
        <v>0.1021</v>
      </c>
      <c r="I23" s="4"/>
    </row>
    <row r="24" spans="2:9">
      <c r="B24" s="3"/>
      <c r="C24" s="3"/>
      <c r="D24" s="6"/>
      <c r="E24" s="50" t="s">
        <v>47</v>
      </c>
      <c r="F24" s="13">
        <v>0.17499999999999999</v>
      </c>
    </row>
    <row r="25" spans="2:9">
      <c r="B25" s="3"/>
      <c r="C25" s="3"/>
      <c r="D25" s="6"/>
      <c r="E25" s="6"/>
    </row>
    <row r="26" spans="2:9">
      <c r="B26" s="3"/>
      <c r="C26" s="3"/>
      <c r="D26" s="6"/>
      <c r="E26" s="6"/>
    </row>
    <row r="27" spans="2:9">
      <c r="B27" s="3"/>
      <c r="C27" s="3"/>
      <c r="D27" s="25"/>
      <c r="E27" s="25"/>
      <c r="F27" s="25"/>
    </row>
    <row r="28" spans="2:9">
      <c r="B28" s="3"/>
      <c r="C28" s="3"/>
      <c r="D28" s="3"/>
      <c r="E28" s="3"/>
      <c r="F28" s="3"/>
    </row>
    <row r="29" spans="2:9">
      <c r="B29" s="3"/>
      <c r="C29" s="3"/>
      <c r="D29" s="3"/>
      <c r="E29" s="3"/>
      <c r="F29" s="3"/>
    </row>
    <row r="30" spans="2:9">
      <c r="B30" s="3"/>
      <c r="C30" s="3"/>
      <c r="D30" s="3"/>
      <c r="E30" s="3"/>
      <c r="F30" s="3"/>
    </row>
    <row r="31" spans="2:9">
      <c r="D31" s="3"/>
      <c r="E31" s="3"/>
      <c r="F31" s="3"/>
    </row>
    <row r="32" spans="2:9">
      <c r="D32" s="3"/>
      <c r="E32" s="3"/>
      <c r="F32" s="3"/>
    </row>
    <row r="33" spans="4:6">
      <c r="D33" s="3"/>
      <c r="E33" s="3"/>
      <c r="F33" s="3"/>
    </row>
    <row r="34" spans="4:6">
      <c r="D34" s="3"/>
      <c r="E34" s="3"/>
      <c r="F34" s="3"/>
    </row>
  </sheetData>
  <sortState ref="E4:F24">
    <sortCondition ref="F6"/>
  </sortState>
  <conditionalFormatting sqref="F4:F24">
    <cfRule type="colorScale" priority="1">
      <colorScale>
        <cfvo type="min"/>
        <cfvo type="percentile" val="50"/>
        <cfvo type="max"/>
        <color rgb="FF63BE7B"/>
        <color rgb="FFFFEB84"/>
        <color rgb="FFF8696B"/>
      </colorScale>
    </cfRule>
  </conditionalFormatting>
  <pageMargins left="0.7" right="0.7" top="0.75" bottom="0.75" header="0.3" footer="0.3"/>
  <pageSetup paperSize="11"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4"/>
  <sheetViews>
    <sheetView zoomScaleNormal="100" workbookViewId="0"/>
  </sheetViews>
  <sheetFormatPr defaultRowHeight="12"/>
  <cols>
    <col min="1" max="1" width="2" style="2" customWidth="1"/>
    <col min="2" max="2" width="36.42578125" style="2" customWidth="1"/>
    <col min="3" max="3" width="10" style="2" bestFit="1" customWidth="1"/>
    <col min="4" max="4" width="2.85546875" style="2" customWidth="1"/>
    <col min="5" max="5" width="18.5703125" style="2" customWidth="1"/>
    <col min="6" max="6" width="10" style="14" customWidth="1"/>
    <col min="7" max="8" width="11.42578125" style="2" customWidth="1"/>
    <col min="9" max="9" width="9.85546875" style="2" customWidth="1"/>
    <col min="10" max="10" width="12.28515625" style="2" customWidth="1"/>
    <col min="11" max="11" width="12.140625" style="2" customWidth="1"/>
    <col min="12" max="12" width="11.85546875" style="2" customWidth="1"/>
    <col min="13" max="13" width="16" style="2" customWidth="1"/>
    <col min="14" max="16384" width="9.140625" style="2"/>
  </cols>
  <sheetData>
    <row r="1" spans="2:13" ht="15.75">
      <c r="B1" s="17" t="s">
        <v>14</v>
      </c>
    </row>
    <row r="3" spans="2:13">
      <c r="B3" s="19" t="s">
        <v>53</v>
      </c>
      <c r="C3" s="91">
        <f>G13</f>
        <v>189.17</v>
      </c>
      <c r="D3" s="23"/>
      <c r="E3" s="48"/>
      <c r="F3" s="71" t="s">
        <v>52</v>
      </c>
      <c r="G3" s="72" t="s">
        <v>54</v>
      </c>
      <c r="H3" s="74" t="s">
        <v>55</v>
      </c>
      <c r="I3" s="74" t="s">
        <v>58</v>
      </c>
      <c r="J3" s="74" t="s">
        <v>85</v>
      </c>
      <c r="K3" s="3"/>
      <c r="L3" s="88" t="s">
        <v>52</v>
      </c>
      <c r="M3" s="74" t="s">
        <v>81</v>
      </c>
    </row>
    <row r="4" spans="2:13">
      <c r="B4" s="31" t="s">
        <v>59</v>
      </c>
      <c r="C4" s="96">
        <f>J14/I14</f>
        <v>152.11333333333332</v>
      </c>
      <c r="D4" s="6"/>
      <c r="F4" s="70" t="s">
        <v>63</v>
      </c>
      <c r="G4" s="73">
        <v>77.72</v>
      </c>
      <c r="H4" s="75">
        <v>1.47E-2</v>
      </c>
      <c r="I4" s="50"/>
      <c r="J4" s="79"/>
      <c r="K4" s="3"/>
      <c r="L4" s="86" t="s">
        <v>73</v>
      </c>
      <c r="M4" s="87">
        <f>C11</f>
        <v>0.10549814661773338</v>
      </c>
    </row>
    <row r="5" spans="2:13">
      <c r="D5" s="6"/>
      <c r="F5" s="70" t="s">
        <v>64</v>
      </c>
      <c r="G5" s="73">
        <v>97.24</v>
      </c>
      <c r="H5" s="75">
        <v>1.37E-2</v>
      </c>
      <c r="I5" s="50"/>
      <c r="J5" s="79"/>
      <c r="K5" s="3"/>
      <c r="L5" s="86" t="s">
        <v>74</v>
      </c>
      <c r="M5" s="87">
        <f>(M4+M6)/2</f>
        <v>9.2313609963300042E-2</v>
      </c>
    </row>
    <row r="6" spans="2:13">
      <c r="B6" s="31" t="s">
        <v>57</v>
      </c>
      <c r="C6" s="92">
        <f>H13</f>
        <v>1.11E-2</v>
      </c>
      <c r="D6" s="25"/>
      <c r="F6" s="70" t="s">
        <v>65</v>
      </c>
      <c r="G6" s="73">
        <v>122.26</v>
      </c>
      <c r="H6" s="75">
        <v>1.2800000000000001E-2</v>
      </c>
      <c r="I6" s="50"/>
      <c r="J6" s="79"/>
      <c r="K6" s="3"/>
      <c r="L6" s="86" t="s">
        <v>75</v>
      </c>
      <c r="M6" s="87">
        <f>(M4+M8)/2</f>
        <v>7.912907330886669E-2</v>
      </c>
    </row>
    <row r="7" spans="2:13">
      <c r="B7" s="31" t="s">
        <v>56</v>
      </c>
      <c r="C7" s="93">
        <f>AVERAGE(H4:H13)</f>
        <v>1.315E-2</v>
      </c>
      <c r="D7" s="6"/>
      <c r="F7" s="70" t="s">
        <v>66</v>
      </c>
      <c r="G7" s="73">
        <v>121.01</v>
      </c>
      <c r="H7" s="75">
        <v>1.49E-2</v>
      </c>
      <c r="I7" s="50"/>
      <c r="J7" s="79"/>
      <c r="K7" s="3"/>
      <c r="L7" s="86" t="s">
        <v>76</v>
      </c>
      <c r="M7" s="87">
        <f>(M6+M8)/2</f>
        <v>6.5944536654433339E-2</v>
      </c>
    </row>
    <row r="8" spans="2:13">
      <c r="C8" s="47"/>
      <c r="D8" s="6"/>
      <c r="F8" s="70" t="s">
        <v>67</v>
      </c>
      <c r="G8" s="73">
        <v>112.54</v>
      </c>
      <c r="H8" s="75">
        <v>1.23E-2</v>
      </c>
      <c r="I8" s="50"/>
      <c r="J8" s="79"/>
      <c r="K8" s="3"/>
      <c r="L8" s="86" t="s">
        <v>77</v>
      </c>
      <c r="M8" s="87">
        <f>'Risk Free Rate'!C4</f>
        <v>5.2759999999999994E-2</v>
      </c>
    </row>
    <row r="9" spans="2:13">
      <c r="B9" s="19" t="s">
        <v>78</v>
      </c>
      <c r="C9" s="94">
        <v>282.98</v>
      </c>
      <c r="D9" s="6"/>
      <c r="F9" s="70" t="s">
        <v>68</v>
      </c>
      <c r="G9" s="73">
        <v>137.75</v>
      </c>
      <c r="H9" s="75">
        <v>1.2500000000000001E-2</v>
      </c>
      <c r="I9" s="50">
        <v>1</v>
      </c>
      <c r="J9" s="79">
        <f t="shared" ref="J9:J13" si="0">G9*I9</f>
        <v>137.75</v>
      </c>
      <c r="K9" s="3"/>
      <c r="L9" s="68"/>
      <c r="M9" s="89">
        <f>AVERAGE(M4:M8)</f>
        <v>7.9129073308866676E-2</v>
      </c>
    </row>
    <row r="10" spans="2:13">
      <c r="B10" s="19" t="s">
        <v>79</v>
      </c>
      <c r="C10" s="94">
        <v>771.5</v>
      </c>
      <c r="D10" s="6"/>
      <c r="F10" s="70" t="s">
        <v>69</v>
      </c>
      <c r="G10" s="73">
        <v>142.54</v>
      </c>
      <c r="H10" s="75">
        <v>1.1299999999999999E-2</v>
      </c>
      <c r="I10" s="50">
        <v>2</v>
      </c>
      <c r="J10" s="79">
        <f t="shared" si="0"/>
        <v>285.08</v>
      </c>
      <c r="K10" s="3"/>
      <c r="L10" s="66"/>
    </row>
    <row r="11" spans="2:13">
      <c r="B11" s="19" t="s">
        <v>80</v>
      </c>
      <c r="C11" s="95">
        <f>POWER(C10/C9, 1/10)-1</f>
        <v>0.10549814661773338</v>
      </c>
      <c r="D11" s="6"/>
      <c r="F11" s="70" t="s">
        <v>70</v>
      </c>
      <c r="G11" s="73">
        <v>149.1</v>
      </c>
      <c r="H11" s="75">
        <v>1.83E-2</v>
      </c>
      <c r="I11" s="50">
        <v>3</v>
      </c>
      <c r="J11" s="79">
        <f t="shared" si="0"/>
        <v>447.29999999999995</v>
      </c>
      <c r="K11" s="3"/>
      <c r="L11" s="81" t="s">
        <v>60</v>
      </c>
      <c r="M11" s="90" t="s">
        <v>83</v>
      </c>
    </row>
    <row r="12" spans="2:13">
      <c r="B12" s="3"/>
      <c r="C12" s="3"/>
      <c r="D12" s="6"/>
      <c r="F12" s="70" t="s">
        <v>71</v>
      </c>
      <c r="G12" s="73">
        <v>116.43</v>
      </c>
      <c r="H12" s="75">
        <v>9.9000000000000008E-3</v>
      </c>
      <c r="I12" s="50">
        <v>4</v>
      </c>
      <c r="J12" s="79">
        <f t="shared" si="0"/>
        <v>465.72</v>
      </c>
      <c r="K12" s="3"/>
      <c r="L12" s="64"/>
      <c r="M12" s="90" t="s">
        <v>84</v>
      </c>
    </row>
    <row r="13" spans="2:13">
      <c r="B13" s="19" t="s">
        <v>82</v>
      </c>
      <c r="C13" s="55">
        <f>M9</f>
        <v>7.9129073308866676E-2</v>
      </c>
      <c r="D13" s="6"/>
      <c r="F13" s="70" t="s">
        <v>72</v>
      </c>
      <c r="G13" s="73">
        <v>189.17</v>
      </c>
      <c r="H13" s="75">
        <v>1.11E-2</v>
      </c>
      <c r="I13" s="50">
        <v>5</v>
      </c>
      <c r="J13" s="79">
        <f t="shared" si="0"/>
        <v>945.84999999999991</v>
      </c>
    </row>
    <row r="14" spans="2:13">
      <c r="B14" s="24"/>
      <c r="C14" s="24"/>
      <c r="D14" s="25"/>
      <c r="F14" s="68"/>
      <c r="G14" s="8"/>
      <c r="I14" s="78">
        <f>SUM(I9:I13)</f>
        <v>15</v>
      </c>
      <c r="J14" s="80">
        <f>SUM(J9:J13)</f>
        <v>2281.6999999999998</v>
      </c>
    </row>
    <row r="15" spans="2:13">
      <c r="B15" s="19" t="s">
        <v>251</v>
      </c>
      <c r="C15" s="99">
        <v>18046.650000000001</v>
      </c>
      <c r="D15" s="6"/>
      <c r="E15" s="48"/>
      <c r="F15" s="64"/>
      <c r="G15" s="3"/>
      <c r="H15" s="3"/>
    </row>
    <row r="16" spans="2:13">
      <c r="B16" s="3"/>
      <c r="C16" s="3"/>
      <c r="D16" s="6"/>
      <c r="E16" s="48"/>
      <c r="F16" s="81" t="s">
        <v>60</v>
      </c>
      <c r="G16" s="82" t="s">
        <v>62</v>
      </c>
      <c r="H16" s="46"/>
    </row>
    <row r="17" spans="2:12">
      <c r="B17" s="3"/>
      <c r="C17" s="77"/>
      <c r="D17" s="6"/>
      <c r="E17" s="48"/>
      <c r="F17" s="64"/>
      <c r="G17" s="82" t="s">
        <v>61</v>
      </c>
    </row>
    <row r="18" spans="2:12">
      <c r="B18" s="3"/>
      <c r="C18" s="3"/>
      <c r="D18" s="25"/>
      <c r="E18" s="48"/>
      <c r="F18" s="64"/>
      <c r="G18" s="3"/>
      <c r="H18" s="3"/>
    </row>
    <row r="19" spans="2:12">
      <c r="B19" s="24"/>
      <c r="C19" s="24"/>
      <c r="D19" s="6"/>
      <c r="E19" s="48"/>
      <c r="F19" s="64"/>
      <c r="G19" s="3"/>
      <c r="H19" s="3"/>
    </row>
    <row r="20" spans="2:12">
      <c r="B20" s="3"/>
      <c r="C20" s="3"/>
      <c r="D20" s="6"/>
      <c r="E20" s="100" t="s">
        <v>86</v>
      </c>
      <c r="F20" s="88" t="s">
        <v>72</v>
      </c>
      <c r="G20" s="88" t="s">
        <v>73</v>
      </c>
      <c r="H20" s="88" t="s">
        <v>74</v>
      </c>
      <c r="I20" s="88" t="s">
        <v>75</v>
      </c>
      <c r="J20" s="88" t="s">
        <v>76</v>
      </c>
      <c r="K20" s="88" t="s">
        <v>77</v>
      </c>
      <c r="L20" s="360" t="s">
        <v>252</v>
      </c>
    </row>
    <row r="21" spans="2:12">
      <c r="B21" s="3"/>
      <c r="C21" s="3"/>
      <c r="D21" s="6"/>
      <c r="E21" s="105">
        <f>-C15</f>
        <v>-18046.650000000001</v>
      </c>
      <c r="F21" s="97">
        <f>$C$4</f>
        <v>152.11333333333332</v>
      </c>
      <c r="G21" s="361">
        <f>F21*(1+$C$13)</f>
        <v>164.14992043792273</v>
      </c>
      <c r="H21" s="361">
        <f>G21*(1+$C$13)</f>
        <v>177.13895152589976</v>
      </c>
      <c r="I21" s="361">
        <f t="shared" ref="I21:J21" si="1">H21*(1+$C$13)</f>
        <v>191.15579260704848</v>
      </c>
      <c r="J21" s="361">
        <f t="shared" si="1"/>
        <v>206.28177333366617</v>
      </c>
      <c r="K21" s="362">
        <f>L21+L22</f>
        <v>24885.762694925717</v>
      </c>
      <c r="L21" s="361">
        <f>J21*(1+$C$13)</f>
        <v>222.60465889806886</v>
      </c>
    </row>
    <row r="22" spans="2:12">
      <c r="B22" s="3"/>
      <c r="C22" s="3"/>
      <c r="D22" s="6"/>
      <c r="E22" s="50"/>
      <c r="F22" s="106"/>
      <c r="G22" s="362"/>
      <c r="H22" s="362"/>
      <c r="I22" s="338"/>
      <c r="J22" s="363"/>
      <c r="K22" s="362"/>
      <c r="L22" s="362">
        <f>(L21*(1+C13))/(0.0625-M8)</f>
        <v>24663.158036027649</v>
      </c>
    </row>
    <row r="23" spans="2:12">
      <c r="B23" s="24"/>
      <c r="C23" s="24"/>
      <c r="D23" s="6"/>
      <c r="E23" s="43" t="s">
        <v>87</v>
      </c>
      <c r="F23" s="108">
        <f>IRR(E21:K21)</f>
        <v>6.2391785792066168E-2</v>
      </c>
      <c r="G23" s="31"/>
      <c r="H23" s="114"/>
      <c r="I23" s="113"/>
      <c r="J23" s="31"/>
      <c r="K23" s="31"/>
      <c r="L23" s="359"/>
    </row>
    <row r="24" spans="2:12">
      <c r="B24" s="3"/>
      <c r="C24" s="3"/>
      <c r="D24" s="8" t="s">
        <v>88</v>
      </c>
      <c r="E24" s="109" t="s">
        <v>13</v>
      </c>
      <c r="F24" s="110">
        <f>'Risk Free Rate'!C4</f>
        <v>5.2759999999999994E-2</v>
      </c>
      <c r="G24" s="31"/>
      <c r="H24" s="31"/>
      <c r="I24" s="31"/>
      <c r="J24" s="31"/>
      <c r="K24" s="31"/>
      <c r="L24" s="31"/>
    </row>
    <row r="25" spans="2:12">
      <c r="B25" s="3"/>
      <c r="C25" s="3"/>
      <c r="E25" s="111" t="s">
        <v>14</v>
      </c>
      <c r="F25" s="112">
        <f>F23-F24</f>
        <v>9.6317857920661734E-3</v>
      </c>
      <c r="G25" s="31"/>
      <c r="H25" s="31"/>
      <c r="I25" s="31"/>
      <c r="J25" s="31"/>
      <c r="K25" s="31"/>
      <c r="L25" s="31"/>
    </row>
    <row r="26" spans="2:12">
      <c r="B26" s="3"/>
      <c r="C26" s="3"/>
      <c r="L26" s="103"/>
    </row>
    <row r="27" spans="2:12">
      <c r="B27" s="3"/>
      <c r="C27" s="3"/>
    </row>
    <row r="28" spans="2:12">
      <c r="B28" s="3"/>
      <c r="C28" s="3"/>
      <c r="D28" s="6"/>
      <c r="E28" s="118"/>
      <c r="F28" s="120"/>
      <c r="G28" s="120"/>
      <c r="H28" s="120"/>
      <c r="I28" s="120"/>
      <c r="J28" s="120"/>
      <c r="K28" s="120"/>
      <c r="L28" s="3"/>
    </row>
    <row r="29" spans="2:12">
      <c r="B29" s="3"/>
      <c r="C29" s="3"/>
      <c r="D29" s="6"/>
      <c r="E29" s="101"/>
      <c r="F29" s="121"/>
      <c r="G29" s="358"/>
      <c r="H29" s="358"/>
      <c r="I29" s="358"/>
      <c r="J29" s="358"/>
      <c r="K29" s="3"/>
      <c r="L29" s="358"/>
    </row>
    <row r="30" spans="2:12">
      <c r="B30" s="3"/>
      <c r="C30" s="3"/>
      <c r="D30" s="6"/>
      <c r="E30" s="48"/>
      <c r="F30" s="65"/>
      <c r="G30" s="65"/>
      <c r="H30" s="65"/>
      <c r="I30" s="102"/>
      <c r="J30" s="64"/>
      <c r="K30" s="3"/>
      <c r="L30" s="276"/>
    </row>
    <row r="31" spans="2:12">
      <c r="D31" s="6"/>
      <c r="E31" s="25"/>
      <c r="F31" s="47"/>
      <c r="G31" s="3"/>
      <c r="H31" s="64"/>
      <c r="I31" s="82"/>
      <c r="J31" s="3"/>
      <c r="K31" s="3"/>
      <c r="L31" s="3"/>
    </row>
    <row r="32" spans="2:12">
      <c r="D32" s="8"/>
      <c r="E32" s="24"/>
      <c r="F32" s="124"/>
      <c r="G32" s="3"/>
      <c r="H32" s="3"/>
      <c r="I32" s="3"/>
      <c r="J32" s="3"/>
      <c r="K32" s="3"/>
      <c r="L32" s="3"/>
    </row>
    <row r="33" spans="4:12">
      <c r="D33" s="3"/>
      <c r="E33" s="24"/>
      <c r="F33" s="124"/>
      <c r="G33" s="3"/>
      <c r="H33" s="3"/>
      <c r="I33" s="3"/>
      <c r="J33" s="3"/>
      <c r="K33" s="3"/>
      <c r="L33" s="3"/>
    </row>
    <row r="34" spans="4:12">
      <c r="D34" s="3"/>
      <c r="E34" s="3"/>
      <c r="F34" s="65"/>
    </row>
  </sheetData>
  <hyperlinks>
    <hyperlink ref="G16" r:id="rId1"/>
    <hyperlink ref="G17" r:id="rId2"/>
    <hyperlink ref="M11" r:id="rId3"/>
    <hyperlink ref="M12" r:id="rId4"/>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8.140625" style="2" customWidth="1"/>
    <col min="3" max="3" width="11.28515625" style="2" bestFit="1" customWidth="1"/>
    <col min="4" max="4" width="9.140625" style="2" customWidth="1"/>
    <col min="5" max="5" width="11.140625" style="2" customWidth="1"/>
    <col min="6" max="6" width="10" style="14"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7" t="s">
        <v>255</v>
      </c>
    </row>
    <row r="3" spans="2:14">
      <c r="B3" s="364" t="s">
        <v>253</v>
      </c>
      <c r="C3" s="365" t="s">
        <v>258</v>
      </c>
      <c r="D3" s="365" t="s">
        <v>239</v>
      </c>
      <c r="E3" s="48"/>
      <c r="F3" s="119"/>
      <c r="G3" s="115"/>
      <c r="H3" s="104"/>
      <c r="I3" s="104"/>
      <c r="J3" s="104"/>
      <c r="K3" s="3"/>
      <c r="L3" s="120"/>
      <c r="M3" s="104"/>
      <c r="N3" s="3"/>
    </row>
    <row r="4" spans="2:14">
      <c r="B4" s="253" t="s">
        <v>256</v>
      </c>
      <c r="C4" s="91">
        <v>268789.81</v>
      </c>
      <c r="D4" s="191">
        <f>C4/$C$6</f>
        <v>0.93719845420548531</v>
      </c>
      <c r="E4" s="47"/>
      <c r="F4" s="69"/>
      <c r="G4" s="116"/>
      <c r="H4" s="117"/>
      <c r="I4" s="48"/>
      <c r="J4" s="67"/>
      <c r="K4" s="3"/>
      <c r="L4" s="68"/>
      <c r="M4" s="85"/>
      <c r="N4" s="3"/>
    </row>
    <row r="5" spans="2:14">
      <c r="B5" s="253" t="s">
        <v>257</v>
      </c>
      <c r="C5" s="91">
        <v>18011.57</v>
      </c>
      <c r="D5" s="191">
        <f>C5/$C$6</f>
        <v>6.2801545794514649E-2</v>
      </c>
      <c r="E5" s="47"/>
      <c r="F5" s="349"/>
      <c r="G5" s="116"/>
      <c r="H5" s="117"/>
      <c r="I5" s="48"/>
      <c r="J5" s="67"/>
      <c r="K5" s="3"/>
      <c r="L5" s="68"/>
      <c r="M5" s="85"/>
      <c r="N5" s="3"/>
    </row>
    <row r="6" spans="2:14">
      <c r="B6" s="366" t="s">
        <v>235</v>
      </c>
      <c r="C6" s="367">
        <f>SUM(C4:C5)</f>
        <v>286801.38</v>
      </c>
      <c r="D6" s="368">
        <f>C6/$C$6</f>
        <v>1</v>
      </c>
      <c r="E6" s="47"/>
      <c r="F6" s="69"/>
      <c r="G6" s="116"/>
      <c r="H6" s="117"/>
      <c r="I6" s="48"/>
      <c r="J6" s="67"/>
      <c r="K6" s="3"/>
      <c r="L6" s="68"/>
      <c r="M6" s="85"/>
      <c r="N6" s="3"/>
    </row>
    <row r="7" spans="2:14">
      <c r="B7" s="46"/>
      <c r="C7" s="348"/>
      <c r="D7" s="190"/>
      <c r="E7" s="47"/>
      <c r="F7" s="69"/>
      <c r="G7" s="116"/>
      <c r="H7" s="117"/>
      <c r="I7" s="48"/>
      <c r="J7" s="67"/>
      <c r="K7" s="3"/>
      <c r="L7" s="68"/>
      <c r="M7" s="85"/>
      <c r="N7" s="3"/>
    </row>
    <row r="8" spans="2:14">
      <c r="E8" s="12"/>
      <c r="F8" s="69"/>
      <c r="G8" s="116"/>
      <c r="H8" s="117"/>
      <c r="I8" s="48"/>
      <c r="J8" s="67"/>
      <c r="K8" s="3"/>
      <c r="L8" s="68"/>
      <c r="M8" s="85"/>
      <c r="N8" s="3"/>
    </row>
    <row r="9" spans="2:14">
      <c r="B9" s="24"/>
      <c r="C9" s="83"/>
      <c r="D9" s="6"/>
      <c r="E9" s="3"/>
      <c r="F9" s="69"/>
      <c r="G9" s="116"/>
      <c r="H9" s="117"/>
      <c r="I9" s="48"/>
      <c r="J9" s="67"/>
      <c r="K9" s="3"/>
      <c r="L9" s="68"/>
      <c r="M9" s="85"/>
      <c r="N9" s="3"/>
    </row>
    <row r="10" spans="2:14">
      <c r="B10" s="315"/>
      <c r="D10" s="6"/>
      <c r="E10" s="3"/>
      <c r="F10" s="69"/>
      <c r="G10" s="116"/>
      <c r="H10" s="117"/>
      <c r="I10" s="48"/>
      <c r="J10" s="67"/>
      <c r="K10" s="3"/>
      <c r="L10" s="66"/>
      <c r="M10" s="3"/>
      <c r="N10" s="3"/>
    </row>
    <row r="11" spans="2:14">
      <c r="E11" s="3"/>
      <c r="F11" s="69"/>
      <c r="G11" s="116"/>
      <c r="H11" s="117"/>
      <c r="I11" s="48"/>
      <c r="J11" s="67"/>
      <c r="K11" s="3"/>
      <c r="L11" s="81"/>
      <c r="M11" s="90"/>
      <c r="N11" s="3"/>
    </row>
    <row r="12" spans="2:14">
      <c r="D12" s="67"/>
      <c r="E12" s="67"/>
      <c r="F12" s="69"/>
      <c r="G12" s="116"/>
      <c r="H12" s="117"/>
      <c r="I12" s="48"/>
      <c r="J12" s="67"/>
      <c r="K12" s="3"/>
      <c r="L12" s="64"/>
      <c r="M12" s="90"/>
      <c r="N12" s="3"/>
    </row>
    <row r="13" spans="2:14">
      <c r="B13" s="369"/>
      <c r="C13" s="369" t="s">
        <v>254</v>
      </c>
      <c r="D13" s="84"/>
      <c r="E13" s="84"/>
      <c r="F13" s="69"/>
      <c r="G13" s="116"/>
      <c r="H13" s="117"/>
      <c r="I13" s="48"/>
      <c r="J13" s="67"/>
      <c r="K13" s="3"/>
      <c r="L13" s="3"/>
      <c r="M13" s="3"/>
      <c r="N13" s="3"/>
    </row>
    <row r="14" spans="2:14">
      <c r="B14" s="375" t="s">
        <v>259</v>
      </c>
      <c r="C14" s="95">
        <f>'Equity Risk Premium - India'!F25</f>
        <v>9.6317857920661734E-3</v>
      </c>
      <c r="D14" s="84"/>
      <c r="E14" s="84"/>
      <c r="F14" s="68"/>
      <c r="G14" s="8"/>
      <c r="H14" s="3"/>
      <c r="I14" s="48"/>
      <c r="J14" s="24"/>
      <c r="K14" s="3"/>
      <c r="L14" s="3"/>
      <c r="M14" s="3"/>
      <c r="N14" s="3"/>
    </row>
    <row r="15" spans="2:14">
      <c r="B15" s="375" t="s">
        <v>260</v>
      </c>
      <c r="C15" s="95">
        <f>'Risk Free Rate'!C8*'Cost of Equity &amp; Debt'!C16</f>
        <v>3.0111348837209301E-2</v>
      </c>
      <c r="D15" s="77"/>
      <c r="E15" s="77"/>
      <c r="F15" s="64"/>
      <c r="G15" s="3"/>
      <c r="H15" s="3"/>
      <c r="I15" s="3"/>
      <c r="J15" s="3"/>
      <c r="K15" s="3"/>
      <c r="L15" s="3"/>
      <c r="M15" s="3"/>
      <c r="N15" s="3"/>
    </row>
    <row r="16" spans="2:14">
      <c r="C16" s="376">
        <f>SUM(C14:C15)</f>
        <v>3.9743134629275478E-2</v>
      </c>
      <c r="E16" s="370"/>
      <c r="F16" s="81"/>
      <c r="G16" s="82"/>
      <c r="H16" s="46"/>
      <c r="I16" s="3"/>
      <c r="J16" s="3"/>
      <c r="K16" s="3"/>
      <c r="L16" s="3"/>
      <c r="M16" s="3"/>
      <c r="N16" s="3"/>
    </row>
    <row r="17" spans="2:14">
      <c r="D17" s="46"/>
      <c r="E17" s="3"/>
      <c r="F17" s="64"/>
      <c r="G17" s="82"/>
      <c r="H17" s="3"/>
      <c r="I17" s="3"/>
      <c r="J17" s="3"/>
      <c r="K17" s="3"/>
      <c r="L17" s="3"/>
      <c r="M17" s="3"/>
      <c r="N17" s="3"/>
    </row>
    <row r="18" spans="2:14">
      <c r="D18" s="77"/>
      <c r="E18" s="371"/>
      <c r="F18" s="64"/>
      <c r="G18" s="3"/>
      <c r="H18" s="3"/>
      <c r="I18" s="3"/>
      <c r="J18" s="3"/>
      <c r="K18" s="3"/>
      <c r="L18" s="3"/>
      <c r="M18" s="3"/>
      <c r="N18" s="3"/>
    </row>
    <row r="19" spans="2:14">
      <c r="D19" s="84"/>
      <c r="E19" s="77"/>
      <c r="H19" s="3"/>
      <c r="I19" s="3"/>
      <c r="J19" s="3"/>
      <c r="K19" s="3"/>
      <c r="L19" s="3"/>
      <c r="M19" s="3"/>
      <c r="N19" s="3"/>
    </row>
    <row r="20" spans="2:14">
      <c r="D20" s="84"/>
      <c r="E20" s="77"/>
      <c r="H20" s="120"/>
      <c r="I20" s="120"/>
      <c r="J20" s="120"/>
      <c r="K20" s="120"/>
      <c r="L20" s="3"/>
      <c r="M20" s="3"/>
      <c r="N20" s="3"/>
    </row>
    <row r="21" spans="2:14">
      <c r="E21" s="77"/>
      <c r="H21" s="373"/>
      <c r="I21" s="373"/>
      <c r="J21" s="373"/>
      <c r="K21" s="373"/>
      <c r="L21" s="3"/>
      <c r="M21" s="3"/>
      <c r="N21" s="3"/>
    </row>
    <row r="22" spans="2:14">
      <c r="E22" s="77"/>
      <c r="H22" s="65"/>
      <c r="I22" s="102"/>
      <c r="J22" s="64"/>
      <c r="K22" s="65"/>
      <c r="L22" s="3"/>
      <c r="M22" s="3"/>
      <c r="N22" s="3"/>
    </row>
    <row r="23" spans="2:14">
      <c r="B23" s="3"/>
      <c r="C23" s="3"/>
      <c r="D23" s="25"/>
      <c r="E23" s="48"/>
      <c r="F23" s="374"/>
      <c r="G23" s="3"/>
      <c r="H23" s="3"/>
      <c r="I23" s="3"/>
      <c r="J23" s="3"/>
      <c r="K23" s="3"/>
      <c r="L23" s="3"/>
      <c r="M23" s="3"/>
      <c r="N23" s="3"/>
    </row>
    <row r="24" spans="2:14">
      <c r="B24" s="24"/>
      <c r="C24" s="58"/>
      <c r="D24" s="6"/>
      <c r="E24" s="48"/>
      <c r="F24" s="374"/>
      <c r="G24" s="3"/>
      <c r="H24" s="3"/>
      <c r="I24" s="3"/>
      <c r="J24" s="3"/>
      <c r="K24" s="3"/>
      <c r="L24" s="3"/>
      <c r="M24" s="3"/>
      <c r="N24" s="3"/>
    </row>
    <row r="25" spans="2:14">
      <c r="B25" s="3"/>
      <c r="C25" s="3"/>
      <c r="D25" s="6"/>
      <c r="E25" s="6"/>
      <c r="F25" s="65"/>
      <c r="G25" s="3"/>
      <c r="H25" s="81"/>
      <c r="I25" s="82"/>
      <c r="J25" s="3"/>
      <c r="K25" s="3"/>
      <c r="L25" s="3"/>
      <c r="M25" s="3"/>
      <c r="N25" s="3"/>
    </row>
    <row r="26" spans="2:14">
      <c r="B26" s="3"/>
      <c r="C26" s="3"/>
      <c r="D26" s="6"/>
      <c r="E26" s="25"/>
      <c r="F26" s="47"/>
      <c r="G26" s="3"/>
      <c r="H26" s="64"/>
      <c r="I26" s="82"/>
      <c r="J26" s="3"/>
      <c r="K26" s="3"/>
      <c r="L26" s="3"/>
      <c r="M26" s="3"/>
      <c r="N26" s="3"/>
    </row>
    <row r="27" spans="2:14">
      <c r="B27" s="3"/>
      <c r="C27" s="3"/>
      <c r="D27" s="8"/>
      <c r="E27" s="24"/>
      <c r="F27" s="124"/>
      <c r="G27" s="3"/>
      <c r="H27" s="3"/>
      <c r="I27" s="3"/>
      <c r="J27" s="3"/>
      <c r="K27" s="3"/>
      <c r="L27" s="3"/>
      <c r="M27" s="3"/>
      <c r="N27" s="3"/>
    </row>
    <row r="28" spans="2:14">
      <c r="B28" s="3"/>
      <c r="C28" s="3"/>
      <c r="D28" s="3"/>
      <c r="E28" s="24"/>
      <c r="F28" s="124"/>
      <c r="G28" s="3"/>
      <c r="H28" s="3"/>
      <c r="I28" s="3"/>
      <c r="J28" s="3"/>
      <c r="K28" s="3"/>
      <c r="L28" s="3"/>
      <c r="M28" s="3"/>
      <c r="N28" s="3"/>
    </row>
    <row r="29" spans="2:14">
      <c r="B29" s="3"/>
      <c r="C29" s="3"/>
      <c r="D29" s="3"/>
    </row>
    <row r="30" spans="2:14">
      <c r="B30" s="3"/>
      <c r="C30" s="3"/>
      <c r="D30" s="3"/>
      <c r="E30" s="3"/>
      <c r="F30" s="65"/>
    </row>
    <row r="31" spans="2:14">
      <c r="D31" s="3"/>
      <c r="E31" s="3"/>
      <c r="F31" s="65"/>
    </row>
    <row r="32" spans="2:14">
      <c r="D32" s="3"/>
      <c r="E32" s="3"/>
      <c r="F32" s="65"/>
    </row>
    <row r="33" spans="4:6">
      <c r="D33" s="3"/>
      <c r="E33" s="3"/>
      <c r="F33" s="65"/>
    </row>
    <row r="34" spans="4:6">
      <c r="D34" s="3"/>
      <c r="E34" s="3"/>
      <c r="F34" s="65"/>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Q117"/>
  <sheetViews>
    <sheetView zoomScaleNormal="100" workbookViewId="0"/>
  </sheetViews>
  <sheetFormatPr defaultRowHeight="12"/>
  <cols>
    <col min="1" max="1" width="2" style="2" customWidth="1"/>
    <col min="2" max="2" width="26.28515625" style="2" customWidth="1"/>
    <col min="3" max="3" width="21.28515625" style="2" customWidth="1"/>
    <col min="4" max="4" width="6.7109375" style="2" customWidth="1"/>
    <col min="5" max="5" width="2.7109375" style="2" customWidth="1"/>
    <col min="6" max="6" width="29.28515625" style="2" customWidth="1"/>
    <col min="7" max="7" width="15.140625" style="2" customWidth="1"/>
    <col min="8" max="8" width="16.7109375" style="14" customWidth="1"/>
    <col min="9" max="9" width="10.85546875" style="2" customWidth="1"/>
    <col min="10" max="10" width="9.42578125" style="2" customWidth="1"/>
    <col min="11" max="11" width="9.28515625" style="2" bestFit="1" customWidth="1"/>
    <col min="12" max="12" width="10.42578125" style="2" customWidth="1"/>
    <col min="13" max="13" width="13.7109375" style="2" customWidth="1"/>
    <col min="14" max="14" width="9.7109375" style="2" customWidth="1"/>
    <col min="15" max="15" width="30.42578125" style="2" bestFit="1" customWidth="1"/>
    <col min="16" max="16384" width="9.140625" style="2"/>
  </cols>
  <sheetData>
    <row r="1" spans="2:17" ht="15.75">
      <c r="B1" s="17" t="s">
        <v>95</v>
      </c>
      <c r="E1" s="3"/>
      <c r="F1" s="3"/>
      <c r="G1" s="3"/>
      <c r="H1" s="65"/>
      <c r="I1" s="3"/>
      <c r="J1" s="3"/>
      <c r="K1" s="3"/>
      <c r="L1" s="3"/>
      <c r="M1" s="3"/>
      <c r="N1" s="3"/>
      <c r="O1" s="3"/>
      <c r="P1" s="3"/>
    </row>
    <row r="2" spans="2:17">
      <c r="E2" s="3"/>
      <c r="M2" s="142"/>
      <c r="N2" s="142"/>
      <c r="O2" s="142"/>
      <c r="P2" s="142"/>
    </row>
    <row r="3" spans="2:17">
      <c r="B3" s="19" t="s">
        <v>261</v>
      </c>
      <c r="C3" s="94" t="str">
        <f>About!C3</f>
        <v>Alcoholic Beverages</v>
      </c>
      <c r="D3" s="23"/>
      <c r="F3" s="438" t="s">
        <v>263</v>
      </c>
      <c r="G3" s="438"/>
      <c r="H3" s="438"/>
      <c r="I3" s="438"/>
      <c r="J3" s="220"/>
      <c r="K3" s="48"/>
      <c r="L3" s="225"/>
      <c r="M3" s="67"/>
      <c r="N3" s="67"/>
    </row>
    <row r="4" spans="2:17">
      <c r="B4" s="31" t="s">
        <v>262</v>
      </c>
      <c r="C4" s="392" t="str">
        <f>About!C4</f>
        <v>Breweries &amp; Distilleries</v>
      </c>
      <c r="D4" s="6"/>
      <c r="E4" s="3"/>
      <c r="F4" s="50" t="s">
        <v>264</v>
      </c>
      <c r="G4" s="50" t="s">
        <v>89</v>
      </c>
      <c r="H4" s="377" t="s">
        <v>373</v>
      </c>
      <c r="I4" s="79" t="s">
        <v>91</v>
      </c>
      <c r="K4" s="116"/>
      <c r="L4" s="226"/>
      <c r="M4" s="218"/>
      <c r="N4" s="166"/>
    </row>
    <row r="5" spans="2:17">
      <c r="D5" s="6"/>
      <c r="E5" s="3"/>
      <c r="F5" s="73" t="s">
        <v>265</v>
      </c>
      <c r="G5" s="73" t="s">
        <v>358</v>
      </c>
      <c r="H5" s="326">
        <v>0.39</v>
      </c>
      <c r="I5" s="387">
        <v>0.12</v>
      </c>
      <c r="K5" s="116"/>
      <c r="L5" s="342"/>
      <c r="M5" s="218"/>
      <c r="N5" s="166"/>
    </row>
    <row r="6" spans="2:17">
      <c r="B6" s="31" t="s">
        <v>96</v>
      </c>
      <c r="C6" s="134">
        <v>0.25169999999999998</v>
      </c>
      <c r="D6" s="25"/>
      <c r="E6" s="3"/>
      <c r="F6" s="73" t="s">
        <v>266</v>
      </c>
      <c r="G6" s="378" t="s">
        <v>359</v>
      </c>
      <c r="H6" s="131">
        <v>0.68</v>
      </c>
      <c r="I6" s="387">
        <v>0</v>
      </c>
      <c r="K6" s="116"/>
      <c r="L6" s="221"/>
      <c r="M6" s="218"/>
      <c r="N6" s="218"/>
    </row>
    <row r="7" spans="2:17">
      <c r="B7" s="31" t="s">
        <v>236</v>
      </c>
      <c r="C7" s="134">
        <v>0.23469999999999999</v>
      </c>
      <c r="D7" s="6"/>
      <c r="E7" s="3"/>
      <c r="F7" s="73" t="s">
        <v>267</v>
      </c>
      <c r="G7" s="378" t="s">
        <v>360</v>
      </c>
      <c r="H7" s="131">
        <v>0.61</v>
      </c>
      <c r="I7" s="387">
        <v>0.23</v>
      </c>
      <c r="K7" s="116"/>
      <c r="L7" s="342"/>
      <c r="M7" s="218"/>
      <c r="N7" s="218"/>
    </row>
    <row r="8" spans="2:17">
      <c r="D8" s="6"/>
      <c r="E8" s="3"/>
      <c r="F8" s="73" t="s">
        <v>268</v>
      </c>
      <c r="G8" s="378" t="s">
        <v>361</v>
      </c>
      <c r="H8" s="131">
        <v>0.44</v>
      </c>
      <c r="I8" s="387">
        <v>4.83</v>
      </c>
      <c r="K8" s="116"/>
      <c r="L8" s="221"/>
      <c r="M8" s="218"/>
      <c r="N8" s="218"/>
    </row>
    <row r="9" spans="2:17">
      <c r="B9" s="19" t="s">
        <v>374</v>
      </c>
      <c r="C9" s="137">
        <f ca="1">H59/(1+(I59*(1-C6)))</f>
        <v>0.43586907478196035</v>
      </c>
      <c r="D9" s="20"/>
      <c r="E9" s="3"/>
      <c r="F9" s="73" t="s">
        <v>269</v>
      </c>
      <c r="G9" s="378" t="s">
        <v>362</v>
      </c>
      <c r="H9" s="131">
        <v>0.62</v>
      </c>
      <c r="I9" s="387">
        <v>0</v>
      </c>
      <c r="K9" s="116"/>
      <c r="L9" s="221"/>
      <c r="M9" s="218"/>
      <c r="N9" s="218"/>
    </row>
    <row r="10" spans="2:17">
      <c r="B10" s="109" t="s">
        <v>98</v>
      </c>
      <c r="C10" s="136">
        <f ca="1">C9*(1+(WACC!F13*(1-C6)))</f>
        <v>0.47009721073614202</v>
      </c>
      <c r="D10" s="20"/>
      <c r="E10" s="3"/>
      <c r="F10" s="73" t="s">
        <v>270</v>
      </c>
      <c r="G10" s="73" t="s">
        <v>363</v>
      </c>
      <c r="H10" s="131">
        <v>0.31</v>
      </c>
      <c r="I10" s="388">
        <v>0.02</v>
      </c>
      <c r="K10" s="116"/>
      <c r="L10" s="221"/>
      <c r="M10" s="218"/>
      <c r="N10" s="218"/>
    </row>
    <row r="11" spans="2:17">
      <c r="B11" s="3"/>
      <c r="C11" s="3"/>
      <c r="D11" s="20"/>
      <c r="E11" s="3"/>
      <c r="F11" s="73" t="s">
        <v>271</v>
      </c>
      <c r="G11" s="73" t="s">
        <v>364</v>
      </c>
      <c r="H11" s="326">
        <v>0.86</v>
      </c>
      <c r="I11" s="389">
        <v>0.68</v>
      </c>
      <c r="K11" s="116"/>
      <c r="L11" s="221"/>
      <c r="M11" s="218"/>
      <c r="N11" s="218"/>
    </row>
    <row r="12" spans="2:17">
      <c r="B12" s="129" t="s">
        <v>60</v>
      </c>
      <c r="C12" s="133"/>
      <c r="D12" s="382"/>
      <c r="E12" s="3"/>
      <c r="F12" s="73" t="s">
        <v>272</v>
      </c>
      <c r="G12" s="73" t="s">
        <v>365</v>
      </c>
      <c r="H12" s="131">
        <v>1.01</v>
      </c>
      <c r="I12" s="389">
        <v>0.04</v>
      </c>
      <c r="K12" s="116"/>
      <c r="L12" s="221"/>
      <c r="M12" s="218"/>
      <c r="N12" s="218"/>
    </row>
    <row r="13" spans="2:17">
      <c r="B13" s="129" t="s">
        <v>90</v>
      </c>
      <c r="C13" s="46"/>
      <c r="D13" s="6"/>
      <c r="E13" s="3"/>
      <c r="F13" s="73" t="s">
        <v>273</v>
      </c>
      <c r="G13" s="378" t="s">
        <v>368</v>
      </c>
      <c r="H13" s="386" t="s">
        <v>231</v>
      </c>
      <c r="I13" s="135">
        <v>0.65</v>
      </c>
      <c r="K13" s="116"/>
      <c r="L13" s="221"/>
      <c r="M13" s="223"/>
      <c r="N13" s="223"/>
    </row>
    <row r="14" spans="2:17">
      <c r="B14" s="133" t="s">
        <v>92</v>
      </c>
      <c r="C14" s="82"/>
      <c r="D14" s="6"/>
      <c r="E14" s="48"/>
      <c r="F14" s="73" t="s">
        <v>274</v>
      </c>
      <c r="G14" s="378" t="s">
        <v>369</v>
      </c>
      <c r="H14" s="386" t="s">
        <v>231</v>
      </c>
      <c r="I14" s="389">
        <v>4.18</v>
      </c>
      <c r="K14" s="116"/>
      <c r="L14" s="3"/>
      <c r="M14" s="3"/>
      <c r="N14" s="3"/>
    </row>
    <row r="15" spans="2:17">
      <c r="B15" s="133" t="s">
        <v>94</v>
      </c>
      <c r="C15" s="3"/>
      <c r="D15" s="6"/>
      <c r="E15" s="48"/>
      <c r="F15" s="73" t="s">
        <v>275</v>
      </c>
      <c r="G15" s="73" t="s">
        <v>366</v>
      </c>
      <c r="H15" s="386" t="s">
        <v>231</v>
      </c>
      <c r="I15" s="135">
        <v>0.86</v>
      </c>
      <c r="K15" s="116"/>
      <c r="L15" s="3"/>
      <c r="M15" s="3"/>
      <c r="N15" s="3"/>
    </row>
    <row r="16" spans="2:17">
      <c r="B16" s="82" t="s">
        <v>97</v>
      </c>
      <c r="C16" s="3"/>
      <c r="D16" s="6"/>
      <c r="E16" s="48"/>
      <c r="F16" s="73" t="s">
        <v>276</v>
      </c>
      <c r="G16" s="378" t="s">
        <v>370</v>
      </c>
      <c r="H16" s="386" t="s">
        <v>231</v>
      </c>
      <c r="I16" s="390">
        <v>0.03</v>
      </c>
      <c r="K16" s="116"/>
      <c r="L16" s="379"/>
      <c r="M16" s="383"/>
      <c r="N16" s="3"/>
      <c r="P16" s="329"/>
      <c r="Q16" s="329"/>
    </row>
    <row r="17" spans="2:17">
      <c r="D17" s="25"/>
      <c r="E17" s="48"/>
      <c r="F17" s="73" t="s">
        <v>277</v>
      </c>
      <c r="G17" s="73" t="s">
        <v>367</v>
      </c>
      <c r="H17" s="326">
        <v>0.69</v>
      </c>
      <c r="I17" s="344">
        <v>0.7</v>
      </c>
      <c r="K17" s="116"/>
      <c r="L17" s="380"/>
      <c r="M17" s="332"/>
      <c r="N17" s="3"/>
      <c r="P17" s="103"/>
      <c r="Q17" s="103"/>
    </row>
    <row r="18" spans="2:17">
      <c r="D18" s="6"/>
      <c r="E18" s="48"/>
      <c r="F18" s="57" t="s">
        <v>278</v>
      </c>
      <c r="G18" s="378" t="s">
        <v>371</v>
      </c>
      <c r="H18" s="386" t="s">
        <v>231</v>
      </c>
      <c r="I18" s="344">
        <v>0.24</v>
      </c>
      <c r="K18" s="116"/>
      <c r="L18" s="221"/>
      <c r="M18" s="332"/>
      <c r="N18" s="3"/>
      <c r="P18" s="3"/>
      <c r="Q18" s="3"/>
    </row>
    <row r="19" spans="2:17">
      <c r="D19" s="6"/>
      <c r="E19" s="118"/>
      <c r="F19" s="98" t="s">
        <v>279</v>
      </c>
      <c r="G19" s="107" t="s">
        <v>372</v>
      </c>
      <c r="H19" s="386" t="s">
        <v>231</v>
      </c>
      <c r="I19" s="344">
        <v>0.87</v>
      </c>
      <c r="K19" s="116"/>
      <c r="L19" s="65"/>
      <c r="M19" s="46"/>
      <c r="N19" s="3"/>
      <c r="P19" s="3"/>
      <c r="Q19" s="3"/>
    </row>
    <row r="20" spans="2:17">
      <c r="D20" s="6"/>
      <c r="E20" s="101"/>
      <c r="F20" s="98" t="s">
        <v>280</v>
      </c>
      <c r="G20" s="98" t="s">
        <v>281</v>
      </c>
      <c r="H20" s="131">
        <v>0.8</v>
      </c>
      <c r="I20" s="344">
        <v>1.6999999999999999E-3</v>
      </c>
      <c r="K20" s="116"/>
      <c r="L20" s="3"/>
      <c r="M20" s="3"/>
      <c r="N20" s="3"/>
    </row>
    <row r="21" spans="2:17">
      <c r="D21" s="6"/>
      <c r="E21" s="48"/>
      <c r="F21" s="73" t="s">
        <v>282</v>
      </c>
      <c r="G21" s="98" t="s">
        <v>283</v>
      </c>
      <c r="H21" s="131">
        <v>1.19</v>
      </c>
      <c r="I21" s="387">
        <v>1.0082</v>
      </c>
      <c r="K21" s="116"/>
      <c r="L21" s="331"/>
      <c r="M21" s="3"/>
      <c r="N21" s="3"/>
    </row>
    <row r="22" spans="2:17">
      <c r="D22" s="25"/>
      <c r="E22" s="48"/>
      <c r="F22" s="98" t="s">
        <v>284</v>
      </c>
      <c r="G22" s="98" t="s">
        <v>285</v>
      </c>
      <c r="H22" s="131">
        <v>0.42</v>
      </c>
      <c r="I22" s="387">
        <v>1.7636000000000001</v>
      </c>
      <c r="K22" s="116"/>
      <c r="L22" s="12"/>
      <c r="M22" s="3"/>
      <c r="N22" s="3"/>
    </row>
    <row r="23" spans="2:17">
      <c r="D23" s="6"/>
      <c r="E23" s="48"/>
      <c r="F23" s="98" t="s">
        <v>286</v>
      </c>
      <c r="G23" s="98" t="s">
        <v>287</v>
      </c>
      <c r="H23" s="326">
        <v>1.21</v>
      </c>
      <c r="I23" s="387">
        <v>5.4000000000000003E-3</v>
      </c>
      <c r="K23" s="116"/>
      <c r="L23" s="12"/>
      <c r="M23" s="3"/>
      <c r="N23" s="3"/>
    </row>
    <row r="24" spans="2:17">
      <c r="D24" s="6"/>
      <c r="E24" s="6"/>
      <c r="F24" s="98" t="s">
        <v>288</v>
      </c>
      <c r="G24" s="98" t="s">
        <v>289</v>
      </c>
      <c r="H24" s="131">
        <v>0.76</v>
      </c>
      <c r="I24" s="387">
        <v>0.76929999999999998</v>
      </c>
      <c r="K24" s="116"/>
      <c r="L24" s="381"/>
      <c r="M24" s="3"/>
      <c r="N24" s="3"/>
    </row>
    <row r="25" spans="2:17">
      <c r="C25" s="13"/>
      <c r="D25" s="6"/>
      <c r="E25" s="25"/>
      <c r="F25" s="98" t="s">
        <v>290</v>
      </c>
      <c r="G25" s="98" t="s">
        <v>291</v>
      </c>
      <c r="H25" s="131">
        <v>0.9</v>
      </c>
      <c r="I25" s="387">
        <v>4.24E-2</v>
      </c>
      <c r="K25" s="116"/>
      <c r="M25" s="90"/>
      <c r="N25" s="3"/>
    </row>
    <row r="26" spans="2:17">
      <c r="C26" s="13"/>
      <c r="D26" s="25"/>
      <c r="E26" s="24"/>
      <c r="F26" s="98" t="s">
        <v>292</v>
      </c>
      <c r="G26" s="98" t="s">
        <v>293</v>
      </c>
      <c r="H26" s="131">
        <v>0.52</v>
      </c>
      <c r="I26" s="387">
        <v>0.6885</v>
      </c>
      <c r="K26" s="116"/>
      <c r="M26" s="3"/>
      <c r="N26" s="3"/>
    </row>
    <row r="27" spans="2:17">
      <c r="C27" s="47"/>
      <c r="D27" s="8"/>
      <c r="E27" s="24"/>
      <c r="F27" s="98" t="s">
        <v>294</v>
      </c>
      <c r="G27" s="98" t="s">
        <v>295</v>
      </c>
      <c r="H27" s="131">
        <v>1.02</v>
      </c>
      <c r="I27" s="388">
        <v>0.94969999999999999</v>
      </c>
      <c r="K27" s="116"/>
      <c r="L27" s="3"/>
      <c r="M27" s="3"/>
      <c r="N27" s="3"/>
    </row>
    <row r="28" spans="2:17">
      <c r="C28" s="3"/>
      <c r="D28" s="3"/>
      <c r="E28" s="3"/>
      <c r="F28" s="98" t="s">
        <v>296</v>
      </c>
      <c r="G28" s="98" t="s">
        <v>297</v>
      </c>
      <c r="H28" s="131">
        <v>0.46</v>
      </c>
      <c r="I28" s="389">
        <v>2.3199999999999998E-2</v>
      </c>
      <c r="K28" s="116"/>
    </row>
    <row r="29" spans="2:17">
      <c r="B29" s="3"/>
      <c r="C29" s="3"/>
      <c r="D29" s="3"/>
      <c r="E29" s="3"/>
      <c r="F29" s="98" t="s">
        <v>298</v>
      </c>
      <c r="G29" s="98" t="s">
        <v>299</v>
      </c>
      <c r="H29" s="326">
        <v>0.66</v>
      </c>
      <c r="I29" s="389">
        <v>0.85640000000000005</v>
      </c>
      <c r="K29" s="116"/>
    </row>
    <row r="30" spans="2:17">
      <c r="D30" s="3"/>
      <c r="E30" s="3"/>
      <c r="F30" s="98" t="s">
        <v>300</v>
      </c>
      <c r="G30" s="98" t="s">
        <v>301</v>
      </c>
      <c r="H30" s="131">
        <v>1.3</v>
      </c>
      <c r="I30" s="135">
        <v>2.9999999999999997E-4</v>
      </c>
      <c r="K30" s="116"/>
    </row>
    <row r="31" spans="2:17">
      <c r="D31" s="3"/>
      <c r="E31" s="3"/>
      <c r="F31" s="98" t="s">
        <v>302</v>
      </c>
      <c r="G31" s="98" t="s">
        <v>303</v>
      </c>
      <c r="H31" s="131">
        <v>0.51</v>
      </c>
      <c r="I31" s="389">
        <v>3.4599999999999999E-2</v>
      </c>
      <c r="K31" s="116"/>
    </row>
    <row r="32" spans="2:17">
      <c r="D32" s="3"/>
      <c r="E32" s="3"/>
      <c r="F32" s="98" t="s">
        <v>304</v>
      </c>
      <c r="G32" s="98" t="s">
        <v>305</v>
      </c>
      <c r="H32" s="131">
        <v>0.63</v>
      </c>
      <c r="I32" s="135">
        <v>0.8679</v>
      </c>
      <c r="K32" s="116"/>
    </row>
    <row r="33" spans="4:13">
      <c r="D33" s="3"/>
      <c r="E33" s="3"/>
      <c r="F33" s="385" t="s">
        <v>306</v>
      </c>
      <c r="G33" s="98" t="s">
        <v>307</v>
      </c>
      <c r="H33" s="131">
        <v>0.83</v>
      </c>
      <c r="I33" s="390">
        <v>0.77449999999999997</v>
      </c>
      <c r="K33" s="116"/>
    </row>
    <row r="34" spans="4:13">
      <c r="F34" s="385" t="s">
        <v>308</v>
      </c>
      <c r="G34" s="98" t="s">
        <v>309</v>
      </c>
      <c r="H34" s="131">
        <v>0.79</v>
      </c>
      <c r="I34" s="344">
        <v>1.5800000000000002E-2</v>
      </c>
      <c r="K34" s="116"/>
    </row>
    <row r="35" spans="4:13">
      <c r="F35" s="385" t="s">
        <v>310</v>
      </c>
      <c r="G35" s="98" t="s">
        <v>311</v>
      </c>
      <c r="H35" s="326">
        <v>0.87</v>
      </c>
      <c r="I35" s="344">
        <v>0.51070000000000004</v>
      </c>
      <c r="K35" s="116"/>
    </row>
    <row r="36" spans="4:13" ht="12" customHeight="1">
      <c r="F36" s="385" t="s">
        <v>312</v>
      </c>
      <c r="G36" s="98" t="s">
        <v>313</v>
      </c>
      <c r="H36" s="131">
        <v>0.23</v>
      </c>
      <c r="I36" s="344">
        <v>0.1439</v>
      </c>
      <c r="K36" s="116"/>
      <c r="M36" s="384"/>
    </row>
    <row r="37" spans="4:13">
      <c r="F37" s="385" t="s">
        <v>314</v>
      </c>
      <c r="G37" s="98" t="s">
        <v>315</v>
      </c>
      <c r="H37" s="131">
        <v>0.6</v>
      </c>
      <c r="I37" s="130">
        <v>0.59519999999999995</v>
      </c>
      <c r="K37" s="116"/>
    </row>
    <row r="38" spans="4:13">
      <c r="F38" s="385" t="s">
        <v>316</v>
      </c>
      <c r="G38" s="98" t="s">
        <v>317</v>
      </c>
      <c r="H38" s="131">
        <v>0.68</v>
      </c>
      <c r="I38" s="130">
        <v>0.36159999999999998</v>
      </c>
      <c r="K38" s="116"/>
      <c r="L38" s="64"/>
    </row>
    <row r="39" spans="4:13" ht="12" customHeight="1">
      <c r="F39" s="385" t="s">
        <v>318</v>
      </c>
      <c r="G39" s="98" t="s">
        <v>319</v>
      </c>
      <c r="H39" s="131">
        <v>0.46</v>
      </c>
      <c r="I39" s="130">
        <v>0.44169999999999998</v>
      </c>
      <c r="K39" s="116"/>
      <c r="L39" s="127"/>
      <c r="M39" s="384"/>
    </row>
    <row r="40" spans="4:13">
      <c r="F40" s="385" t="s">
        <v>320</v>
      </c>
      <c r="G40" s="98" t="s">
        <v>321</v>
      </c>
      <c r="H40" s="131">
        <v>0.02</v>
      </c>
      <c r="I40" s="130">
        <v>0.29630000000000001</v>
      </c>
      <c r="K40" s="116"/>
      <c r="L40" s="127"/>
    </row>
    <row r="41" spans="4:13">
      <c r="F41" s="385" t="s">
        <v>322</v>
      </c>
      <c r="G41" s="98" t="s">
        <v>323</v>
      </c>
      <c r="H41" s="326">
        <v>0.97</v>
      </c>
      <c r="I41" s="130">
        <v>5.5800000000000002E-2</v>
      </c>
      <c r="K41" s="116"/>
      <c r="L41" s="127"/>
    </row>
    <row r="42" spans="4:13">
      <c r="F42" s="385" t="s">
        <v>324</v>
      </c>
      <c r="G42" s="98" t="s">
        <v>325</v>
      </c>
      <c r="H42" s="131">
        <v>0.61</v>
      </c>
      <c r="I42" s="130">
        <v>1.0061</v>
      </c>
      <c r="K42" s="116"/>
      <c r="L42" s="68"/>
    </row>
    <row r="43" spans="4:13">
      <c r="F43" s="385" t="s">
        <v>326</v>
      </c>
      <c r="G43" s="98" t="s">
        <v>327</v>
      </c>
      <c r="H43" s="131">
        <v>0.99</v>
      </c>
      <c r="I43" s="130">
        <v>0.3473</v>
      </c>
      <c r="K43" s="116"/>
      <c r="L43" s="68"/>
    </row>
    <row r="44" spans="4:13">
      <c r="F44" s="385" t="s">
        <v>328</v>
      </c>
      <c r="G44" s="98" t="s">
        <v>329</v>
      </c>
      <c r="H44" s="131">
        <v>0.6</v>
      </c>
      <c r="I44" s="130">
        <v>0.36499999999999999</v>
      </c>
      <c r="K44" s="116"/>
      <c r="L44" s="66"/>
    </row>
    <row r="45" spans="4:13">
      <c r="F45" s="385" t="s">
        <v>330</v>
      </c>
      <c r="G45" s="98" t="s">
        <v>331</v>
      </c>
      <c r="H45" s="131">
        <v>0.39</v>
      </c>
      <c r="I45" s="130">
        <v>0.84299999999999997</v>
      </c>
      <c r="K45" s="116"/>
      <c r="L45" s="81"/>
    </row>
    <row r="46" spans="4:13">
      <c r="F46" s="385" t="s">
        <v>332</v>
      </c>
      <c r="G46" s="98" t="s">
        <v>333</v>
      </c>
      <c r="H46" s="131">
        <v>0.67</v>
      </c>
      <c r="I46" s="130">
        <v>0.61660000000000004</v>
      </c>
      <c r="K46" s="116"/>
      <c r="L46" s="64"/>
    </row>
    <row r="47" spans="4:13">
      <c r="F47" s="385" t="s">
        <v>334</v>
      </c>
      <c r="G47" s="98" t="s">
        <v>335</v>
      </c>
      <c r="H47" s="326">
        <v>0.49</v>
      </c>
      <c r="I47" s="130">
        <v>0.97460000000000002</v>
      </c>
      <c r="K47" s="116"/>
      <c r="L47" s="3"/>
    </row>
    <row r="48" spans="4:13">
      <c r="F48" s="385" t="s">
        <v>336</v>
      </c>
      <c r="G48" s="98" t="s">
        <v>337</v>
      </c>
      <c r="H48" s="131">
        <v>1.03</v>
      </c>
      <c r="I48" s="130">
        <v>1.03E-2</v>
      </c>
      <c r="K48" s="116"/>
      <c r="L48" s="3"/>
    </row>
    <row r="49" spans="6:15">
      <c r="F49" s="385" t="s">
        <v>338</v>
      </c>
      <c r="G49" s="98" t="s">
        <v>339</v>
      </c>
      <c r="H49" s="131">
        <v>0.08</v>
      </c>
      <c r="I49" s="130">
        <v>4.3094999999999999</v>
      </c>
      <c r="K49" s="116"/>
    </row>
    <row r="50" spans="6:15">
      <c r="F50" s="385" t="s">
        <v>340</v>
      </c>
      <c r="G50" s="98" t="s">
        <v>341</v>
      </c>
      <c r="H50" s="131">
        <v>0.88</v>
      </c>
      <c r="I50" s="130">
        <v>0.75700000000000001</v>
      </c>
      <c r="K50" s="116"/>
    </row>
    <row r="51" spans="6:15">
      <c r="F51" s="385" t="s">
        <v>342</v>
      </c>
      <c r="G51" s="98" t="s">
        <v>343</v>
      </c>
      <c r="H51" s="131">
        <v>0.38</v>
      </c>
      <c r="I51" s="130">
        <v>2.9499999999999998E-2</v>
      </c>
      <c r="K51" s="116"/>
    </row>
    <row r="52" spans="6:15">
      <c r="F52" s="385" t="s">
        <v>344</v>
      </c>
      <c r="G52" s="98" t="s">
        <v>345</v>
      </c>
      <c r="H52" s="131">
        <v>0.59</v>
      </c>
      <c r="I52" s="130">
        <v>0.78459999999999996</v>
      </c>
      <c r="K52" s="116"/>
    </row>
    <row r="53" spans="6:15">
      <c r="F53" s="385" t="s">
        <v>346</v>
      </c>
      <c r="G53" s="98" t="s">
        <v>347</v>
      </c>
      <c r="H53" s="326">
        <v>0.32</v>
      </c>
      <c r="I53" s="130">
        <v>2.0199999999999999E-2</v>
      </c>
      <c r="K53" s="116"/>
    </row>
    <row r="54" spans="6:15">
      <c r="F54" s="385" t="s">
        <v>348</v>
      </c>
      <c r="G54" s="98" t="s">
        <v>349</v>
      </c>
      <c r="H54" s="131">
        <v>0.43</v>
      </c>
      <c r="I54" s="130">
        <v>0.89590000000000003</v>
      </c>
      <c r="K54" s="116"/>
    </row>
    <row r="55" spans="6:15">
      <c r="F55" s="385" t="s">
        <v>350</v>
      </c>
      <c r="G55" s="98" t="s">
        <v>351</v>
      </c>
      <c r="H55" s="131">
        <v>0.65</v>
      </c>
      <c r="I55" s="130">
        <v>0.78290000000000004</v>
      </c>
      <c r="K55" s="116"/>
    </row>
    <row r="56" spans="6:15">
      <c r="F56" s="385" t="s">
        <v>352</v>
      </c>
      <c r="G56" s="98" t="s">
        <v>353</v>
      </c>
      <c r="H56" s="386" t="s">
        <v>231</v>
      </c>
      <c r="I56" s="391" t="s">
        <v>231</v>
      </c>
      <c r="K56" s="116"/>
    </row>
    <row r="57" spans="6:15" ht="12" customHeight="1">
      <c r="F57" s="385" t="s">
        <v>354</v>
      </c>
      <c r="G57" s="98" t="s">
        <v>355</v>
      </c>
      <c r="H57" s="386" t="s">
        <v>231</v>
      </c>
      <c r="I57" s="130">
        <v>0.64339999999999997</v>
      </c>
      <c r="K57" s="116"/>
      <c r="M57" s="384"/>
    </row>
    <row r="58" spans="6:15">
      <c r="F58" s="385" t="s">
        <v>356</v>
      </c>
      <c r="G58" s="98" t="s">
        <v>357</v>
      </c>
      <c r="H58" s="131">
        <v>1.57</v>
      </c>
      <c r="I58" s="130">
        <v>1.4833000000000001</v>
      </c>
      <c r="K58" s="116"/>
    </row>
    <row r="59" spans="6:15">
      <c r="H59" s="328">
        <f ca="1">MEDIAN(H5:H59)</f>
        <v>0.63</v>
      </c>
      <c r="I59" s="328">
        <f ca="1">MEDIAN(I5:I59)</f>
        <v>0.59519999999999995</v>
      </c>
      <c r="L59" s="221"/>
      <c r="M59" s="116"/>
    </row>
    <row r="63" spans="6:15" ht="12" customHeight="1">
      <c r="O63" s="384"/>
    </row>
    <row r="75" spans="15:15">
      <c r="O75" s="384"/>
    </row>
    <row r="87" spans="15:15">
      <c r="O87" s="384"/>
    </row>
    <row r="90" spans="15:15">
      <c r="O90" s="384"/>
    </row>
    <row r="117" spans="15:15">
      <c r="O117" s="384"/>
    </row>
  </sheetData>
  <mergeCells count="1">
    <mergeCell ref="F3:I3"/>
  </mergeCells>
  <hyperlinks>
    <hyperlink ref="B16" r:id="rId1"/>
  </hyperlinks>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2"/>
  <sheetViews>
    <sheetView zoomScaleNormal="100" workbookViewId="0"/>
  </sheetViews>
  <sheetFormatPr defaultRowHeight="12"/>
  <cols>
    <col min="1" max="1" width="2" style="2" customWidth="1"/>
    <col min="2" max="2" width="27.28515625" style="2" customWidth="1"/>
    <col min="3" max="3" width="9.140625" style="2"/>
    <col min="4" max="4" width="10.28515625" style="2" customWidth="1"/>
    <col min="5" max="5" width="11.5703125" style="2" customWidth="1"/>
    <col min="6" max="6" width="11.5703125" style="2" bestFit="1" customWidth="1"/>
    <col min="7" max="16384" width="9.140625" style="2"/>
  </cols>
  <sheetData>
    <row r="1" spans="2:13" ht="15.75">
      <c r="B1" s="17" t="s">
        <v>106</v>
      </c>
    </row>
    <row r="3" spans="2:13" ht="15.75">
      <c r="B3" s="139" t="s">
        <v>11</v>
      </c>
      <c r="C3" s="31"/>
      <c r="D3" s="31"/>
      <c r="E3" s="18"/>
      <c r="F3" s="6"/>
      <c r="J3" s="9"/>
      <c r="K3" s="9"/>
      <c r="L3" s="9"/>
      <c r="M3" s="9"/>
    </row>
    <row r="4" spans="2:13">
      <c r="B4" s="31"/>
      <c r="C4" s="31"/>
      <c r="D4" s="31"/>
      <c r="E4" s="18"/>
      <c r="F4" s="25"/>
      <c r="G4" s="3"/>
    </row>
    <row r="5" spans="2:13">
      <c r="B5" s="109" t="s">
        <v>99</v>
      </c>
      <c r="C5" s="93">
        <f>'Risk Free Rate'!C4</f>
        <v>5.2759999999999994E-2</v>
      </c>
      <c r="D5" s="18"/>
      <c r="E5" s="18"/>
      <c r="F5" s="6"/>
    </row>
    <row r="6" spans="2:13">
      <c r="B6" s="109" t="s">
        <v>14</v>
      </c>
      <c r="C6" s="93">
        <f>'Radico Khaitan ERP'!C16</f>
        <v>3.9743134629275478E-2</v>
      </c>
      <c r="D6" s="43"/>
      <c r="E6" s="18"/>
      <c r="F6" s="6"/>
    </row>
    <row r="7" spans="2:13">
      <c r="B7" s="109" t="s">
        <v>376</v>
      </c>
      <c r="C7" s="138">
        <f ca="1">Beta!C10</f>
        <v>0.47009721073614202</v>
      </c>
      <c r="D7" s="18"/>
      <c r="E7" s="43"/>
      <c r="F7" s="6"/>
    </row>
    <row r="8" spans="2:13">
      <c r="B8" s="19"/>
      <c r="C8" s="19"/>
      <c r="D8" s="18"/>
      <c r="E8" s="18"/>
      <c r="F8" s="6"/>
    </row>
    <row r="9" spans="2:13">
      <c r="B9" s="109" t="s">
        <v>11</v>
      </c>
      <c r="C9" s="55">
        <f ca="1">C5+C7*C6</f>
        <v>7.1443136735133375E-2</v>
      </c>
      <c r="D9" s="18"/>
      <c r="E9" s="18"/>
      <c r="F9" s="6"/>
    </row>
    <row r="10" spans="2:13">
      <c r="B10" s="19"/>
      <c r="C10" s="19"/>
      <c r="D10" s="18"/>
      <c r="E10" s="18"/>
      <c r="F10" s="6"/>
    </row>
    <row r="11" spans="2:13">
      <c r="B11" s="140" t="s">
        <v>100</v>
      </c>
      <c r="C11" s="19"/>
      <c r="D11" s="18"/>
      <c r="E11" s="43"/>
      <c r="F11" s="6"/>
    </row>
    <row r="12" spans="2:13">
      <c r="F12" s="25"/>
    </row>
    <row r="13" spans="2:13" ht="15.75">
      <c r="B13" s="139" t="s">
        <v>107</v>
      </c>
      <c r="C13" s="19"/>
      <c r="D13" s="18"/>
      <c r="E13" s="18"/>
      <c r="F13" s="6"/>
    </row>
    <row r="14" spans="2:13">
      <c r="B14" s="19"/>
      <c r="C14" s="19"/>
      <c r="D14" s="18"/>
      <c r="E14" s="18"/>
      <c r="F14" s="6"/>
    </row>
    <row r="15" spans="2:13">
      <c r="B15" s="109" t="s">
        <v>102</v>
      </c>
      <c r="C15" s="95">
        <v>3.4349999999999999E-2</v>
      </c>
      <c r="D15" s="18"/>
      <c r="E15" s="18"/>
      <c r="F15" s="6"/>
    </row>
    <row r="16" spans="2:13">
      <c r="B16" s="109" t="s">
        <v>101</v>
      </c>
      <c r="C16" s="138">
        <f>17.31/10.75</f>
        <v>1.6102325581395347</v>
      </c>
      <c r="D16" s="18"/>
      <c r="E16" s="18"/>
      <c r="F16" s="25"/>
    </row>
    <row r="17" spans="2:12">
      <c r="B17" s="109" t="s">
        <v>17</v>
      </c>
      <c r="C17" s="93">
        <f>'Risk Free Rate'!C8</f>
        <v>1.8700000000000001E-2</v>
      </c>
      <c r="D17" s="43"/>
      <c r="E17" s="43"/>
      <c r="F17" s="6"/>
    </row>
    <row r="18" spans="2:12">
      <c r="B18" s="51" t="s">
        <v>378</v>
      </c>
      <c r="C18" s="95" t="s">
        <v>379</v>
      </c>
      <c r="D18" s="18"/>
      <c r="E18" s="18"/>
      <c r="F18" s="6"/>
    </row>
    <row r="19" spans="2:12">
      <c r="B19" s="109" t="s">
        <v>380</v>
      </c>
      <c r="C19" s="93">
        <v>0.01</v>
      </c>
      <c r="D19" s="18"/>
      <c r="E19" s="18"/>
      <c r="F19" s="6"/>
    </row>
    <row r="20" spans="2:12">
      <c r="B20" s="31"/>
      <c r="C20" s="31"/>
      <c r="D20" s="18"/>
      <c r="E20" s="18"/>
      <c r="F20" s="6"/>
    </row>
    <row r="21" spans="2:12">
      <c r="B21" s="109" t="s">
        <v>12</v>
      </c>
      <c r="C21" s="55">
        <f>C15+(C16*C17)+C19</f>
        <v>7.4461348837209299E-2</v>
      </c>
      <c r="D21" s="43"/>
      <c r="E21" s="43"/>
      <c r="F21" s="25"/>
    </row>
    <row r="22" spans="2:12">
      <c r="B22" s="31"/>
      <c r="C22" s="31"/>
      <c r="D22" s="31"/>
      <c r="E22" s="31"/>
      <c r="F22" s="6"/>
      <c r="G22" s="142"/>
      <c r="H22" s="142"/>
      <c r="I22" s="142"/>
      <c r="J22" s="142"/>
      <c r="K22" s="142"/>
      <c r="L22" s="142"/>
    </row>
    <row r="23" spans="2:12">
      <c r="B23" s="140" t="s">
        <v>103</v>
      </c>
      <c r="C23" s="19"/>
      <c r="D23" s="19"/>
      <c r="E23" s="19"/>
      <c r="F23" s="6"/>
      <c r="G23" s="3"/>
      <c r="H23" s="66"/>
      <c r="I23" s="66"/>
      <c r="J23" s="66"/>
      <c r="K23" s="66"/>
      <c r="L23" s="66"/>
    </row>
    <row r="24" spans="2:12">
      <c r="F24" s="6"/>
      <c r="G24" s="53"/>
      <c r="H24" s="46"/>
      <c r="I24" s="46"/>
      <c r="J24" s="46"/>
      <c r="K24" s="46"/>
      <c r="L24" s="46"/>
    </row>
    <row r="25" spans="2:12">
      <c r="B25" s="129" t="s">
        <v>60</v>
      </c>
      <c r="F25" s="25"/>
      <c r="G25" s="53"/>
      <c r="H25" s="46"/>
      <c r="I25" s="46"/>
      <c r="J25" s="46"/>
      <c r="K25" s="46"/>
      <c r="L25" s="46"/>
    </row>
    <row r="26" spans="2:12">
      <c r="B26" s="129" t="s">
        <v>104</v>
      </c>
      <c r="F26" s="3"/>
      <c r="G26" s="53"/>
      <c r="H26" s="46"/>
      <c r="I26" s="46"/>
      <c r="J26" s="46"/>
      <c r="K26" s="46"/>
      <c r="L26" s="46"/>
    </row>
    <row r="27" spans="2:12">
      <c r="B27" s="141" t="s">
        <v>377</v>
      </c>
      <c r="F27" s="3"/>
      <c r="G27" s="143"/>
      <c r="H27" s="143"/>
      <c r="I27" s="143"/>
      <c r="J27" s="143"/>
      <c r="K27" s="143"/>
      <c r="L27" s="24"/>
    </row>
    <row r="28" spans="2:12">
      <c r="B28" s="133" t="s">
        <v>105</v>
      </c>
      <c r="C28" s="3"/>
      <c r="D28" s="3"/>
      <c r="E28" s="3"/>
      <c r="F28" s="3"/>
    </row>
    <row r="29" spans="2:12">
      <c r="B29" s="82"/>
      <c r="C29" s="3"/>
      <c r="D29" s="3"/>
      <c r="E29" s="3"/>
      <c r="F29" s="3"/>
    </row>
    <row r="30" spans="2:12">
      <c r="B30" s="3"/>
      <c r="C30" s="3"/>
      <c r="D30" s="3"/>
      <c r="E30" s="3"/>
      <c r="F30" s="3"/>
    </row>
    <row r="31" spans="2:12">
      <c r="B31" s="3"/>
      <c r="C31" s="3"/>
      <c r="D31" s="3"/>
      <c r="E31" s="3"/>
      <c r="F31" s="3"/>
    </row>
    <row r="32" spans="2:12">
      <c r="B32" s="3"/>
      <c r="C32" s="3"/>
      <c r="D32" s="3"/>
      <c r="E32" s="3"/>
      <c r="F32" s="3"/>
    </row>
  </sheetData>
  <hyperlinks>
    <hyperlink ref="B27" r:id="rId1"/>
  </hyperlinks>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3"/>
  <sheetViews>
    <sheetView zoomScaleNormal="100" workbookViewId="0"/>
  </sheetViews>
  <sheetFormatPr defaultRowHeight="12"/>
  <cols>
    <col min="1" max="1" width="2" style="2" customWidth="1"/>
    <col min="2" max="2" width="28.7109375" style="2" customWidth="1"/>
    <col min="3" max="3" width="12.5703125" style="2" customWidth="1"/>
    <col min="4" max="4" width="3.7109375" style="2" customWidth="1"/>
    <col min="5" max="5" width="30.28515625" style="2" customWidth="1"/>
    <col min="6" max="6" width="12.5703125" style="2" customWidth="1"/>
    <col min="7" max="7" width="4" style="2" customWidth="1"/>
    <col min="8" max="16384" width="9.140625" style="2"/>
  </cols>
  <sheetData>
    <row r="1" spans="2:13" ht="15.75">
      <c r="B1" s="17" t="s">
        <v>7</v>
      </c>
    </row>
    <row r="3" spans="2:13" ht="15.75">
      <c r="B3" s="139" t="s">
        <v>10</v>
      </c>
      <c r="C3" s="148"/>
      <c r="E3" s="139" t="s">
        <v>109</v>
      </c>
      <c r="F3" s="148" t="s">
        <v>258</v>
      </c>
      <c r="J3" s="9"/>
      <c r="K3" s="9"/>
      <c r="L3" s="9"/>
      <c r="M3" s="9"/>
    </row>
    <row r="4" spans="2:13" ht="8.25" customHeight="1">
      <c r="B4" s="31"/>
      <c r="C4" s="31"/>
      <c r="E4" s="31"/>
      <c r="F4" s="31"/>
      <c r="G4" s="3"/>
    </row>
    <row r="5" spans="2:13">
      <c r="B5" s="51" t="str">
        <f>'Cost of Equity &amp; Debt'!B9</f>
        <v>Cost of Equity</v>
      </c>
      <c r="C5" s="134">
        <f ca="1">'Cost of Equity &amp; Debt'!C9</f>
        <v>7.1443136735133375E-2</v>
      </c>
      <c r="D5" s="6"/>
      <c r="E5" s="109" t="s">
        <v>232</v>
      </c>
      <c r="F5" s="146">
        <v>502.19</v>
      </c>
    </row>
    <row r="6" spans="2:13">
      <c r="B6" s="51" t="str">
        <f>E24</f>
        <v>Market Value of Equity</v>
      </c>
      <c r="C6" s="151">
        <f>F28</f>
        <v>1468779.73872</v>
      </c>
      <c r="D6" s="25"/>
      <c r="E6" s="109" t="s">
        <v>233</v>
      </c>
      <c r="F6" s="146">
        <v>18488.23</v>
      </c>
    </row>
    <row r="7" spans="2:13">
      <c r="B7" s="51"/>
      <c r="C7" s="51"/>
      <c r="D7" s="6"/>
      <c r="E7" s="109" t="s">
        <v>116</v>
      </c>
      <c r="F7" s="146">
        <v>745.07</v>
      </c>
    </row>
    <row r="8" spans="2:13">
      <c r="B8" s="51" t="str">
        <f>'Cost of Equity &amp; Debt'!B21</f>
        <v>Cost of Debt</v>
      </c>
      <c r="C8" s="134">
        <f>'Cost of Equity &amp; Debt'!C21</f>
        <v>7.4461348837209299E-2</v>
      </c>
      <c r="D8" s="6"/>
      <c r="E8" s="109" t="s">
        <v>117</v>
      </c>
      <c r="F8" s="146">
        <v>421.7</v>
      </c>
    </row>
    <row r="9" spans="2:13">
      <c r="B9" s="51" t="str">
        <f>E15</f>
        <v>Market Value of Debt</v>
      </c>
      <c r="C9" s="151">
        <f>F22</f>
        <v>20161.931721515171</v>
      </c>
      <c r="D9" s="6"/>
      <c r="E9" s="109" t="s">
        <v>402</v>
      </c>
      <c r="F9" s="146">
        <f>'EBIT &amp; Operating Leases'!C7</f>
        <v>1113.1539573723101</v>
      </c>
    </row>
    <row r="10" spans="2:13">
      <c r="B10" s="51"/>
      <c r="C10" s="51"/>
      <c r="D10" s="6"/>
      <c r="E10" s="111" t="s">
        <v>109</v>
      </c>
      <c r="F10" s="147">
        <f>SUM(F5:F9)</f>
        <v>21270.343957372308</v>
      </c>
    </row>
    <row r="11" spans="2:13">
      <c r="B11" s="51" t="str">
        <f>Beta!B6</f>
        <v>Marginal Corporate Tax Rate (%)</v>
      </c>
      <c r="C11" s="134">
        <f>Beta!C6</f>
        <v>0.25169999999999998</v>
      </c>
      <c r="D11" s="6"/>
      <c r="E11" s="109" t="s">
        <v>5</v>
      </c>
      <c r="F11" s="146">
        <v>202685.68</v>
      </c>
    </row>
    <row r="12" spans="2:13">
      <c r="B12" s="31"/>
      <c r="C12" s="31"/>
      <c r="D12" s="6"/>
      <c r="E12" s="31"/>
      <c r="F12" s="31"/>
    </row>
    <row r="13" spans="2:13">
      <c r="B13" s="51" t="s">
        <v>7</v>
      </c>
      <c r="C13" s="153">
        <f ca="1">(C5*(C6/(C6+C9)))+(C8*(1-C11)*(C9/(C6+C9)))</f>
        <v>7.1230220163832916E-2</v>
      </c>
      <c r="E13" s="109" t="s">
        <v>375</v>
      </c>
      <c r="F13" s="145">
        <f>F10/F11</f>
        <v>0.10494250978841874</v>
      </c>
    </row>
    <row r="14" spans="2:13" ht="12.75" customHeight="1">
      <c r="D14" s="6"/>
      <c r="F14" s="144"/>
    </row>
    <row r="15" spans="2:13" ht="15.75">
      <c r="B15" s="129"/>
      <c r="D15" s="6"/>
      <c r="E15" s="139" t="s">
        <v>108</v>
      </c>
      <c r="F15" s="148" t="s">
        <v>258</v>
      </c>
    </row>
    <row r="16" spans="2:13" ht="15.75" customHeight="1">
      <c r="B16" s="129"/>
      <c r="D16" s="6"/>
      <c r="E16" s="31"/>
      <c r="F16" s="148"/>
    </row>
    <row r="17" spans="2:12">
      <c r="D17" s="6"/>
      <c r="E17" s="109" t="s">
        <v>109</v>
      </c>
      <c r="F17" s="146">
        <f>F10</f>
        <v>21270.343957372308</v>
      </c>
    </row>
    <row r="18" spans="2:12">
      <c r="D18" s="25"/>
      <c r="E18" s="109" t="s">
        <v>110</v>
      </c>
      <c r="F18" s="146">
        <v>1310.25</v>
      </c>
    </row>
    <row r="19" spans="2:12">
      <c r="D19" s="6"/>
      <c r="E19" s="109" t="s">
        <v>12</v>
      </c>
      <c r="F19" s="93">
        <f>'Cost of Equity &amp; Debt'!C21</f>
        <v>7.4461348837209299E-2</v>
      </c>
    </row>
    <row r="20" spans="2:12">
      <c r="D20" s="6"/>
      <c r="E20" s="51" t="s">
        <v>112</v>
      </c>
      <c r="F20" s="149">
        <v>5</v>
      </c>
    </row>
    <row r="21" spans="2:12">
      <c r="D21" s="6"/>
      <c r="E21" s="31"/>
      <c r="F21" s="19"/>
    </row>
    <row r="22" spans="2:12">
      <c r="D22" s="25"/>
      <c r="E22" s="109" t="s">
        <v>111</v>
      </c>
      <c r="F22" s="150">
        <f>F18*((1-(1+F19)^(-F20))/F19)+F17/(1+F19)^5</f>
        <v>20161.931721515171</v>
      </c>
    </row>
    <row r="23" spans="2:12">
      <c r="D23" s="3"/>
      <c r="G23" s="142"/>
      <c r="H23" s="142"/>
      <c r="J23" s="142"/>
      <c r="K23" s="142"/>
      <c r="L23" s="142"/>
    </row>
    <row r="24" spans="2:12" ht="15.75">
      <c r="E24" s="139" t="s">
        <v>113</v>
      </c>
      <c r="F24" s="148" t="s">
        <v>258</v>
      </c>
      <c r="G24" s="3"/>
      <c r="H24" s="66"/>
      <c r="J24" s="66"/>
      <c r="K24" s="66"/>
      <c r="L24" s="66"/>
    </row>
    <row r="25" spans="2:12">
      <c r="E25" s="31"/>
      <c r="F25" s="31"/>
      <c r="G25" s="53"/>
      <c r="H25" s="46"/>
      <c r="I25" s="46"/>
      <c r="J25" s="46"/>
      <c r="K25" s="46"/>
      <c r="L25" s="46"/>
    </row>
    <row r="26" spans="2:12" ht="18" customHeight="1">
      <c r="B26" s="141"/>
      <c r="E26" s="51" t="s">
        <v>381</v>
      </c>
      <c r="F26" s="146">
        <v>1099</v>
      </c>
      <c r="G26" s="53"/>
      <c r="H26" s="46"/>
      <c r="I26" s="46"/>
      <c r="J26" s="46"/>
      <c r="K26" s="46"/>
      <c r="L26" s="46"/>
    </row>
    <row r="27" spans="2:12">
      <c r="E27" s="51" t="s">
        <v>114</v>
      </c>
      <c r="F27" s="354">
        <v>1336.46928</v>
      </c>
      <c r="G27" s="53"/>
      <c r="H27" s="46"/>
      <c r="I27" s="46"/>
      <c r="J27" s="46"/>
      <c r="K27" s="46"/>
      <c r="L27" s="46"/>
    </row>
    <row r="28" spans="2:12">
      <c r="D28" s="3"/>
      <c r="E28" s="51" t="s">
        <v>115</v>
      </c>
      <c r="F28" s="152">
        <f>F26*F27</f>
        <v>1468779.73872</v>
      </c>
      <c r="G28" s="53"/>
      <c r="H28" s="46"/>
      <c r="I28" s="46"/>
      <c r="J28" s="46"/>
      <c r="K28" s="46"/>
      <c r="L28" s="46"/>
    </row>
    <row r="29" spans="2:12">
      <c r="D29" s="3"/>
      <c r="G29" s="143"/>
      <c r="H29" s="143"/>
      <c r="I29" s="143"/>
      <c r="J29" s="143"/>
      <c r="K29" s="143"/>
      <c r="L29" s="24"/>
    </row>
    <row r="30" spans="2:12">
      <c r="B30" s="82"/>
      <c r="C30" s="3"/>
      <c r="D30" s="3"/>
    </row>
    <row r="31" spans="2:12">
      <c r="B31" s="3"/>
      <c r="C31" s="3"/>
      <c r="D31" s="3"/>
      <c r="E31" s="3"/>
      <c r="F31" s="3"/>
    </row>
    <row r="32" spans="2:12">
      <c r="B32" s="3"/>
      <c r="C32" s="3"/>
      <c r="D32" s="3"/>
      <c r="E32" s="3"/>
      <c r="F32" s="3"/>
    </row>
    <row r="33" spans="2:6">
      <c r="B33" s="3"/>
      <c r="C33" s="3"/>
      <c r="D33" s="3"/>
      <c r="E33" s="3"/>
      <c r="F33" s="3"/>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B4"/>
  <sheetViews>
    <sheetView workbookViewId="0"/>
  </sheetViews>
  <sheetFormatPr defaultRowHeight="12"/>
  <cols>
    <col min="1" max="1" width="2" style="1" customWidth="1"/>
    <col min="2" max="2" width="36" style="1" customWidth="1"/>
    <col min="3" max="16384" width="9.140625" style="1"/>
  </cols>
  <sheetData>
    <row r="1" spans="2:2" ht="41.25">
      <c r="B1" s="36" t="s">
        <v>118</v>
      </c>
    </row>
    <row r="3" spans="2:2">
      <c r="B3" s="162" t="s">
        <v>143</v>
      </c>
    </row>
    <row r="4" spans="2:2">
      <c r="B4" s="162" t="s">
        <v>142</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heetViews>
  <sheetFormatPr defaultRowHeight="12"/>
  <cols>
    <col min="1" max="1" width="2" style="156" customWidth="1"/>
    <col min="2" max="2" width="29.140625" style="156" customWidth="1"/>
    <col min="3" max="3" width="15.5703125" style="156" customWidth="1"/>
    <col min="4" max="4" width="11.140625" style="156" bestFit="1" customWidth="1"/>
    <col min="5" max="5" width="9.28515625" style="156" customWidth="1"/>
    <col min="6" max="6" width="22.42578125" style="156" customWidth="1"/>
    <col min="7" max="7" width="10.140625" style="156" bestFit="1" customWidth="1" collapsed="1"/>
    <col min="8" max="11" width="9" style="156" customWidth="1"/>
    <col min="12" max="12" width="9.28515625" style="156" customWidth="1"/>
    <col min="13" max="26" width="9.140625" style="156" customWidth="1"/>
    <col min="27" max="27" width="9.28515625" style="156" customWidth="1"/>
    <col min="28" max="28" width="9.42578125" style="156" customWidth="1"/>
    <col min="29" max="29" width="10" style="156" customWidth="1"/>
    <col min="30" max="30" width="11.42578125" style="156" customWidth="1"/>
    <col min="31" max="31" width="9.42578125" style="156" bestFit="1" customWidth="1" collapsed="1"/>
    <col min="32" max="16384" width="9.140625" style="156"/>
  </cols>
  <sheetData>
    <row r="1" spans="1:32" s="155" customFormat="1" ht="15" customHeight="1">
      <c r="B1" s="17" t="s">
        <v>382</v>
      </c>
      <c r="C1" s="154"/>
      <c r="D1" s="154"/>
      <c r="E1" s="154"/>
      <c r="F1" s="154"/>
      <c r="G1" s="154"/>
      <c r="H1" s="154"/>
      <c r="I1" s="154"/>
      <c r="J1" s="154"/>
      <c r="K1" s="154"/>
      <c r="L1" s="154"/>
    </row>
    <row r="2" spans="1:32" ht="12" customHeight="1"/>
    <row r="3" spans="1:32" s="158" customFormat="1" ht="12" customHeight="1">
      <c r="A3" s="156"/>
      <c r="B3" s="169"/>
      <c r="C3" s="170" t="s">
        <v>258</v>
      </c>
      <c r="D3" s="157"/>
      <c r="E3" s="157"/>
      <c r="F3" s="336"/>
      <c r="G3" s="336"/>
      <c r="H3" s="336"/>
      <c r="I3" s="336"/>
      <c r="J3" s="336"/>
      <c r="K3" s="336"/>
      <c r="L3" s="336"/>
      <c r="M3" s="336"/>
      <c r="N3" s="157"/>
      <c r="O3" s="157"/>
      <c r="P3" s="157"/>
      <c r="Q3" s="157"/>
      <c r="R3" s="157"/>
      <c r="S3" s="157"/>
      <c r="T3" s="157"/>
      <c r="U3" s="157"/>
      <c r="V3" s="157"/>
      <c r="W3" s="157"/>
      <c r="X3" s="157"/>
      <c r="Y3" s="157"/>
      <c r="Z3" s="157"/>
      <c r="AA3" s="157"/>
    </row>
    <row r="4" spans="1:32" ht="12" customHeight="1">
      <c r="A4" s="158"/>
      <c r="B4" s="171" t="s">
        <v>448</v>
      </c>
      <c r="C4" s="172">
        <f>318380.27+322445.02+330667.01+307718.83-C11</f>
        <v>1279211.1300000001</v>
      </c>
      <c r="D4" s="201"/>
      <c r="F4" s="159"/>
      <c r="G4" s="165"/>
      <c r="H4" s="165"/>
      <c r="I4" s="165"/>
      <c r="J4" s="198"/>
    </row>
    <row r="5" spans="1:32" ht="12" customHeight="1">
      <c r="A5" s="163" t="s">
        <v>88</v>
      </c>
      <c r="B5" s="173" t="s">
        <v>447</v>
      </c>
      <c r="C5" s="174">
        <f>-(242637.21+241192.63+254057.78+236835.68)</f>
        <v>-974723.3</v>
      </c>
      <c r="F5" s="161"/>
      <c r="H5" s="393"/>
      <c r="I5" s="276"/>
      <c r="J5" s="394"/>
    </row>
    <row r="6" spans="1:32" ht="12" customHeight="1">
      <c r="B6" s="175" t="s">
        <v>449</v>
      </c>
      <c r="C6" s="176">
        <f>C4+C5</f>
        <v>304487.83000000007</v>
      </c>
      <c r="F6" s="161"/>
      <c r="G6" s="65"/>
      <c r="H6" s="65"/>
      <c r="I6" s="65"/>
      <c r="J6" s="394"/>
      <c r="L6" s="160"/>
      <c r="M6" s="160"/>
      <c r="O6" s="160"/>
      <c r="P6" s="160"/>
      <c r="Q6" s="160"/>
      <c r="R6" s="160"/>
      <c r="S6" s="160"/>
      <c r="T6" s="160"/>
      <c r="Y6" s="160"/>
    </row>
    <row r="7" spans="1:32" ht="12" customHeight="1">
      <c r="A7" s="163" t="s">
        <v>88</v>
      </c>
      <c r="B7" s="173" t="s">
        <v>120</v>
      </c>
      <c r="C7" s="174">
        <f>-(46210.41-35.36-3423.88+45522.43+171.29+854.72+41440.95-40.68-198.96+37568.75+1.4+807.64)</f>
        <v>-168878.71</v>
      </c>
      <c r="F7" s="161"/>
      <c r="G7" s="276"/>
      <c r="H7" s="276"/>
      <c r="I7" s="276"/>
      <c r="J7" s="347"/>
      <c r="L7" s="161"/>
      <c r="M7" s="218"/>
      <c r="N7" s="161"/>
      <c r="O7" s="161"/>
      <c r="P7" s="161"/>
      <c r="Q7" s="161"/>
      <c r="R7" s="161"/>
      <c r="S7" s="161"/>
      <c r="T7" s="161"/>
      <c r="U7" s="161"/>
      <c r="V7" s="161"/>
      <c r="W7" s="161"/>
      <c r="X7" s="161"/>
      <c r="Y7" s="161"/>
      <c r="Z7" s="161"/>
      <c r="AA7" s="161"/>
      <c r="AB7" s="161"/>
      <c r="AC7" s="161"/>
      <c r="AD7" s="161"/>
    </row>
    <row r="8" spans="1:32" ht="12" customHeight="1">
      <c r="A8" s="163" t="s">
        <v>88</v>
      </c>
      <c r="B8" s="173" t="s">
        <v>121</v>
      </c>
      <c r="C8" s="174">
        <f>-(3643.06+9404+3742.34+9850.13+10693.45+13149.51+3534.4+8609.49+11353.55+3788.75+7509.82+10060.46)</f>
        <v>-95338.959999999992</v>
      </c>
      <c r="D8" s="164"/>
      <c r="F8" s="161"/>
      <c r="H8" s="218"/>
      <c r="I8" s="218"/>
      <c r="J8" s="347"/>
      <c r="L8" s="161"/>
      <c r="M8" s="161"/>
      <c r="N8" s="161"/>
      <c r="O8" s="161"/>
      <c r="P8" s="161"/>
      <c r="Q8" s="161"/>
      <c r="R8" s="161"/>
      <c r="S8" s="161"/>
      <c r="T8" s="161"/>
      <c r="U8" s="161"/>
      <c r="V8" s="161"/>
      <c r="W8" s="161"/>
      <c r="X8" s="161"/>
      <c r="Y8" s="161"/>
      <c r="Z8" s="161"/>
      <c r="AA8" s="161"/>
      <c r="AB8" s="161"/>
      <c r="AC8" s="161"/>
      <c r="AD8" s="161"/>
    </row>
    <row r="9" spans="1:32" ht="12" customHeight="1">
      <c r="A9" s="163" t="s">
        <v>88</v>
      </c>
      <c r="B9" s="173" t="s">
        <v>2</v>
      </c>
      <c r="C9" s="174">
        <f>-(1673.49+1638.61+1694.22+1617.15)</f>
        <v>-6623.4699999999993</v>
      </c>
      <c r="H9" s="161"/>
      <c r="I9" s="161"/>
      <c r="J9" s="161"/>
      <c r="K9" s="161"/>
      <c r="M9" s="161"/>
      <c r="N9" s="161"/>
      <c r="O9" s="161"/>
      <c r="P9" s="161"/>
      <c r="Q9" s="161"/>
      <c r="R9" s="161"/>
      <c r="S9" s="161"/>
      <c r="T9" s="161"/>
      <c r="U9" s="161"/>
      <c r="V9" s="161"/>
      <c r="W9" s="161"/>
      <c r="X9" s="161"/>
      <c r="Y9" s="161"/>
      <c r="Z9" s="161"/>
      <c r="AA9" s="161"/>
      <c r="AB9" s="161"/>
      <c r="AC9" s="161"/>
      <c r="AD9" s="161"/>
      <c r="AE9" s="161"/>
      <c r="AF9" s="161"/>
    </row>
    <row r="10" spans="1:32">
      <c r="B10" s="333" t="s">
        <v>3</v>
      </c>
      <c r="C10" s="334">
        <f>SUM(C6:C9)</f>
        <v>33646.69000000009</v>
      </c>
      <c r="H10" s="161"/>
      <c r="I10" s="161"/>
      <c r="J10" s="161"/>
      <c r="K10" s="161"/>
      <c r="M10" s="161"/>
      <c r="N10" s="190"/>
      <c r="O10" s="161"/>
      <c r="P10" s="161"/>
      <c r="Q10" s="161"/>
      <c r="R10" s="161"/>
      <c r="S10" s="161"/>
      <c r="T10" s="161"/>
      <c r="U10" s="161"/>
      <c r="V10" s="161"/>
      <c r="W10" s="161"/>
      <c r="X10" s="161"/>
      <c r="Y10" s="161"/>
      <c r="Z10" s="161"/>
      <c r="AA10" s="161"/>
      <c r="AB10" s="161"/>
      <c r="AC10" s="161"/>
      <c r="AD10" s="161"/>
      <c r="AE10" s="161"/>
      <c r="AF10" s="161"/>
    </row>
    <row r="11" spans="1:32">
      <c r="A11" s="158"/>
      <c r="B11" s="159"/>
      <c r="C11" s="183"/>
      <c r="H11" s="161"/>
      <c r="I11" s="161"/>
      <c r="J11" s="161"/>
      <c r="K11" s="161"/>
      <c r="M11" s="161"/>
      <c r="N11" s="161"/>
      <c r="O11" s="161"/>
      <c r="P11" s="161"/>
      <c r="Q11" s="161"/>
      <c r="R11" s="161"/>
      <c r="S11" s="161"/>
      <c r="T11" s="161"/>
      <c r="U11" s="161"/>
      <c r="V11" s="161"/>
      <c r="W11" s="161"/>
      <c r="X11" s="161"/>
      <c r="Y11" s="161"/>
      <c r="Z11" s="161"/>
      <c r="AA11" s="161"/>
      <c r="AB11" s="161"/>
      <c r="AC11" s="161"/>
      <c r="AD11" s="161"/>
      <c r="AE11" s="161"/>
      <c r="AF11" s="161"/>
    </row>
    <row r="12" spans="1:32">
      <c r="A12" s="163"/>
      <c r="B12" s="159"/>
      <c r="C12" s="77"/>
      <c r="H12" s="161"/>
      <c r="I12" s="161"/>
      <c r="J12" s="161"/>
      <c r="K12" s="161"/>
      <c r="M12" s="161"/>
      <c r="N12" s="161"/>
      <c r="O12" s="161"/>
      <c r="P12" s="161"/>
      <c r="Q12" s="161"/>
      <c r="R12" s="161"/>
      <c r="S12" s="161"/>
      <c r="T12" s="161"/>
      <c r="U12" s="161"/>
      <c r="V12" s="161"/>
      <c r="W12" s="161"/>
      <c r="X12" s="161"/>
      <c r="Y12" s="161"/>
      <c r="Z12" s="161"/>
      <c r="AA12" s="161"/>
      <c r="AB12" s="161"/>
      <c r="AC12" s="161"/>
      <c r="AD12" s="161"/>
      <c r="AE12" s="161"/>
      <c r="AF12" s="161"/>
    </row>
    <row r="13" spans="1:32">
      <c r="A13" s="163"/>
      <c r="B13" s="159"/>
      <c r="C13" s="183"/>
      <c r="G13" s="161"/>
      <c r="H13" s="161"/>
      <c r="I13" s="161"/>
      <c r="J13" s="161"/>
      <c r="K13" s="161"/>
      <c r="L13" s="161"/>
      <c r="M13" s="161"/>
      <c r="N13" s="161"/>
      <c r="O13" s="161"/>
      <c r="P13" s="161"/>
      <c r="Q13" s="161"/>
      <c r="R13" s="161"/>
      <c r="S13" s="161"/>
      <c r="T13" s="161"/>
      <c r="U13" s="161"/>
      <c r="V13" s="161"/>
      <c r="W13" s="161"/>
      <c r="X13" s="161"/>
      <c r="Y13" s="161"/>
      <c r="Z13" s="161"/>
      <c r="AA13" s="161"/>
      <c r="AB13" s="161"/>
      <c r="AC13" s="161"/>
      <c r="AD13" s="161"/>
      <c r="AE13" s="161"/>
      <c r="AF13" s="161"/>
    </row>
    <row r="14" spans="1:32">
      <c r="A14" s="163"/>
      <c r="B14" s="159"/>
      <c r="C14" s="183"/>
      <c r="G14" s="161"/>
      <c r="H14" s="161"/>
      <c r="I14" s="161"/>
      <c r="J14" s="161"/>
      <c r="K14" s="161"/>
      <c r="L14" s="161"/>
      <c r="M14" s="161"/>
      <c r="N14" s="161"/>
      <c r="O14" s="161"/>
      <c r="P14" s="161"/>
      <c r="Q14" s="161"/>
      <c r="R14" s="161"/>
      <c r="S14" s="161"/>
      <c r="T14" s="161"/>
      <c r="U14" s="161"/>
      <c r="V14" s="161"/>
      <c r="W14" s="161"/>
      <c r="X14" s="161"/>
      <c r="Y14" s="161"/>
      <c r="Z14" s="161"/>
      <c r="AA14" s="161"/>
      <c r="AB14" s="161"/>
      <c r="AC14" s="161"/>
      <c r="AD14" s="161"/>
      <c r="AE14" s="161"/>
      <c r="AF14" s="161"/>
    </row>
    <row r="15" spans="1:32">
      <c r="A15" s="163"/>
      <c r="B15" s="159"/>
      <c r="C15" s="183"/>
      <c r="G15" s="161"/>
      <c r="H15" s="161"/>
      <c r="I15" s="161"/>
      <c r="J15" s="161"/>
      <c r="K15" s="161"/>
      <c r="L15" s="161"/>
      <c r="M15" s="161"/>
      <c r="N15" s="161"/>
      <c r="O15" s="161"/>
      <c r="P15" s="161"/>
      <c r="Q15" s="161"/>
      <c r="R15" s="161"/>
      <c r="S15" s="161"/>
      <c r="T15" s="161"/>
      <c r="U15" s="161"/>
      <c r="V15" s="161"/>
      <c r="W15" s="161"/>
      <c r="X15" s="161"/>
      <c r="Y15" s="161"/>
      <c r="Z15" s="161"/>
      <c r="AA15" s="161"/>
      <c r="AB15" s="161"/>
      <c r="AC15" s="161"/>
      <c r="AD15" s="161"/>
      <c r="AE15" s="161"/>
      <c r="AF15" s="161"/>
    </row>
    <row r="16" spans="1:32">
      <c r="A16" s="159"/>
      <c r="B16" s="159"/>
      <c r="C16" s="183"/>
      <c r="D16" s="161"/>
      <c r="E16" s="161"/>
      <c r="F16" s="161"/>
      <c r="G16" s="161"/>
      <c r="H16" s="161"/>
      <c r="I16" s="161"/>
      <c r="O16" s="161"/>
      <c r="P16" s="161"/>
      <c r="Q16" s="161"/>
      <c r="R16" s="161"/>
      <c r="S16" s="161"/>
      <c r="T16" s="161"/>
      <c r="U16" s="161"/>
      <c r="V16" s="161"/>
      <c r="W16" s="161"/>
      <c r="X16" s="161"/>
      <c r="Y16" s="161"/>
      <c r="Z16" s="161"/>
      <c r="AA16" s="161"/>
      <c r="AB16" s="161"/>
      <c r="AC16" s="161"/>
      <c r="AD16" s="161"/>
      <c r="AE16" s="161"/>
      <c r="AF16" s="161"/>
    </row>
    <row r="17" spans="1:32">
      <c r="A17" s="163"/>
      <c r="B17" s="159"/>
      <c r="C17" s="183"/>
      <c r="D17" s="166"/>
      <c r="E17" s="166"/>
      <c r="F17" s="166"/>
      <c r="G17" s="166"/>
      <c r="H17" s="166"/>
      <c r="I17" s="167"/>
      <c r="O17" s="161"/>
      <c r="P17" s="161"/>
      <c r="Q17" s="161"/>
      <c r="R17" s="161"/>
      <c r="S17" s="161"/>
      <c r="T17" s="161"/>
      <c r="U17" s="161"/>
      <c r="V17" s="161"/>
      <c r="W17" s="161"/>
      <c r="X17" s="161"/>
      <c r="Y17" s="161"/>
      <c r="Z17" s="161"/>
      <c r="AA17" s="161"/>
      <c r="AB17" s="161"/>
      <c r="AC17" s="161"/>
      <c r="AD17" s="161"/>
      <c r="AE17" s="161"/>
      <c r="AF17" s="161"/>
    </row>
    <row r="18" spans="1:32">
      <c r="B18" s="159"/>
      <c r="C18" s="77"/>
      <c r="D18" s="81"/>
      <c r="E18" s="81"/>
      <c r="F18" s="81"/>
      <c r="G18" s="81"/>
      <c r="H18" s="81"/>
      <c r="I18" s="81"/>
      <c r="J18" s="161"/>
      <c r="K18" s="161"/>
      <c r="L18" s="161"/>
      <c r="M18" s="161"/>
      <c r="N18" s="161"/>
      <c r="O18" s="161"/>
      <c r="P18" s="161"/>
      <c r="Q18" s="161"/>
      <c r="R18" s="161"/>
      <c r="S18" s="161"/>
      <c r="T18" s="161"/>
      <c r="U18" s="161"/>
      <c r="V18" s="161"/>
      <c r="W18" s="161"/>
      <c r="X18" s="161"/>
      <c r="Y18" s="161"/>
      <c r="Z18" s="161"/>
      <c r="AA18" s="161"/>
      <c r="AB18" s="161"/>
      <c r="AC18" s="161"/>
      <c r="AD18" s="161"/>
      <c r="AE18" s="161"/>
      <c r="AF18" s="161"/>
    </row>
    <row r="19" spans="1:32">
      <c r="B19" s="159"/>
      <c r="C19" s="247"/>
      <c r="D19" s="81"/>
      <c r="E19" s="81"/>
      <c r="F19" s="81"/>
      <c r="G19" s="81"/>
      <c r="H19" s="81"/>
      <c r="I19" s="81"/>
      <c r="J19" s="161"/>
      <c r="K19" s="161"/>
      <c r="L19" s="161"/>
      <c r="M19" s="161"/>
      <c r="N19" s="161"/>
      <c r="O19" s="161"/>
      <c r="P19" s="161"/>
      <c r="Q19" s="161"/>
      <c r="R19" s="161"/>
      <c r="S19" s="161"/>
      <c r="T19" s="161"/>
      <c r="U19" s="161"/>
      <c r="V19" s="161"/>
      <c r="W19" s="161"/>
      <c r="X19" s="161"/>
      <c r="Y19" s="161"/>
      <c r="Z19" s="161"/>
      <c r="AA19" s="161"/>
      <c r="AB19" s="161"/>
      <c r="AC19" s="161"/>
      <c r="AD19" s="161"/>
      <c r="AE19" s="161"/>
      <c r="AF19" s="161"/>
    </row>
    <row r="20" spans="1:32">
      <c r="D20" s="168"/>
      <c r="E20" s="168"/>
      <c r="F20" s="168"/>
      <c r="G20" s="168"/>
      <c r="H20" s="168"/>
      <c r="I20" s="166"/>
      <c r="J20" s="161"/>
      <c r="K20" s="161"/>
      <c r="L20" s="161"/>
      <c r="M20" s="161"/>
      <c r="N20" s="161"/>
      <c r="O20" s="161"/>
      <c r="P20" s="161"/>
      <c r="Q20" s="161"/>
      <c r="R20" s="161"/>
      <c r="S20" s="161"/>
      <c r="T20" s="161"/>
      <c r="U20" s="161"/>
      <c r="V20" s="161"/>
      <c r="W20" s="161"/>
      <c r="X20" s="161"/>
      <c r="Y20" s="161"/>
      <c r="Z20" s="161"/>
      <c r="AA20" s="161"/>
      <c r="AB20" s="161"/>
      <c r="AC20" s="161"/>
      <c r="AD20" s="161"/>
      <c r="AE20" s="161"/>
      <c r="AF20" s="161"/>
    </row>
    <row r="21" spans="1:32">
      <c r="G21" s="161"/>
      <c r="H21" s="166"/>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row>
    <row r="22" spans="1:32">
      <c r="G22" s="161"/>
      <c r="H22" s="161"/>
      <c r="I22" s="161"/>
      <c r="J22" s="161"/>
      <c r="K22" s="161"/>
      <c r="L22" s="161"/>
      <c r="M22" s="161"/>
      <c r="N22" s="161"/>
      <c r="O22" s="161"/>
      <c r="P22" s="161"/>
      <c r="Q22" s="161"/>
      <c r="R22" s="161"/>
      <c r="S22" s="161"/>
      <c r="T22" s="161"/>
      <c r="U22" s="161"/>
      <c r="V22" s="161"/>
      <c r="W22" s="161"/>
      <c r="X22" s="161"/>
      <c r="Y22" s="161"/>
      <c r="Z22" s="161"/>
      <c r="AA22" s="161"/>
      <c r="AB22" s="161"/>
      <c r="AC22" s="161"/>
      <c r="AD22" s="161"/>
      <c r="AE22" s="161"/>
      <c r="AF22" s="161"/>
    </row>
    <row r="23" spans="1:32">
      <c r="G23" s="161"/>
      <c r="H23" s="161"/>
      <c r="I23" s="161"/>
      <c r="J23" s="161"/>
      <c r="K23" s="161"/>
      <c r="L23" s="161"/>
      <c r="M23" s="161"/>
      <c r="N23" s="161"/>
      <c r="O23" s="161"/>
      <c r="P23" s="161"/>
      <c r="Q23" s="161"/>
      <c r="R23" s="161"/>
      <c r="S23" s="161"/>
      <c r="T23" s="161"/>
      <c r="U23" s="161"/>
      <c r="V23" s="161"/>
      <c r="W23" s="161"/>
      <c r="X23" s="161"/>
      <c r="Y23" s="161"/>
      <c r="Z23" s="161"/>
      <c r="AA23" s="161"/>
      <c r="AB23" s="161"/>
      <c r="AC23" s="161"/>
      <c r="AD23" s="161"/>
      <c r="AE23" s="161"/>
      <c r="AF23" s="161"/>
    </row>
    <row r="24" spans="1:32">
      <c r="G24" s="161"/>
      <c r="H24" s="161"/>
      <c r="I24" s="161"/>
      <c r="J24" s="161"/>
      <c r="K24" s="161"/>
      <c r="L24" s="161"/>
      <c r="M24" s="161"/>
      <c r="N24" s="161"/>
      <c r="O24" s="161"/>
      <c r="P24" s="161"/>
      <c r="Q24" s="161"/>
      <c r="R24" s="161"/>
      <c r="S24" s="161"/>
      <c r="T24" s="161"/>
      <c r="U24" s="161"/>
      <c r="V24" s="161"/>
      <c r="W24" s="161"/>
      <c r="X24" s="161"/>
      <c r="Y24" s="161"/>
      <c r="Z24" s="161"/>
      <c r="AA24" s="161"/>
      <c r="AB24" s="161"/>
      <c r="AC24" s="161"/>
      <c r="AD24" s="161"/>
      <c r="AE24" s="161"/>
      <c r="AF24" s="161"/>
    </row>
    <row r="25" spans="1:32">
      <c r="G25" s="161"/>
      <c r="H25" s="161"/>
      <c r="I25" s="161"/>
      <c r="J25" s="161"/>
      <c r="K25" s="161"/>
      <c r="L25" s="161"/>
      <c r="M25" s="161"/>
      <c r="N25" s="161"/>
      <c r="O25" s="161"/>
      <c r="P25" s="161"/>
      <c r="Q25" s="161"/>
      <c r="R25" s="161"/>
      <c r="S25" s="161"/>
      <c r="T25" s="161"/>
      <c r="U25" s="161"/>
      <c r="V25" s="161"/>
      <c r="W25" s="161"/>
      <c r="X25" s="161"/>
      <c r="Y25" s="161"/>
      <c r="Z25" s="161"/>
      <c r="AA25" s="161"/>
      <c r="AB25" s="161"/>
      <c r="AC25" s="161"/>
      <c r="AD25" s="161"/>
      <c r="AE25" s="161"/>
      <c r="AF25" s="161"/>
    </row>
    <row r="26" spans="1:32">
      <c r="G26" s="161"/>
      <c r="H26" s="161"/>
      <c r="I26" s="161"/>
      <c r="J26" s="161"/>
      <c r="K26" s="161"/>
      <c r="L26" s="161"/>
      <c r="M26" s="161"/>
      <c r="N26" s="161"/>
      <c r="O26" s="161"/>
      <c r="P26" s="161"/>
      <c r="Q26" s="161"/>
      <c r="R26" s="161"/>
      <c r="S26" s="161"/>
      <c r="T26" s="161"/>
      <c r="U26" s="161"/>
      <c r="V26" s="161"/>
      <c r="W26" s="161"/>
      <c r="X26" s="161"/>
      <c r="Y26" s="161"/>
      <c r="Z26" s="161"/>
      <c r="AA26" s="161"/>
      <c r="AB26" s="161"/>
      <c r="AC26" s="161"/>
      <c r="AD26" s="161"/>
      <c r="AE26" s="161"/>
      <c r="AF26" s="161"/>
    </row>
    <row r="27" spans="1:32">
      <c r="G27" s="161"/>
      <c r="H27" s="161"/>
      <c r="I27" s="161"/>
      <c r="J27" s="161"/>
      <c r="K27" s="161"/>
      <c r="L27" s="161"/>
      <c r="M27" s="161"/>
      <c r="N27" s="161"/>
      <c r="O27" s="161"/>
      <c r="P27" s="161"/>
      <c r="Q27" s="161"/>
      <c r="R27" s="161"/>
      <c r="S27" s="161"/>
      <c r="T27" s="161"/>
      <c r="U27" s="161"/>
      <c r="V27" s="161"/>
      <c r="W27" s="161"/>
      <c r="X27" s="161"/>
      <c r="Y27" s="161"/>
      <c r="Z27" s="161"/>
      <c r="AA27" s="161"/>
      <c r="AB27" s="161"/>
      <c r="AC27" s="161"/>
      <c r="AD27" s="161"/>
      <c r="AE27" s="161"/>
      <c r="AF27" s="161"/>
    </row>
    <row r="28" spans="1:32">
      <c r="G28" s="161"/>
      <c r="H28" s="161"/>
      <c r="I28" s="161"/>
      <c r="J28" s="161"/>
      <c r="K28" s="161"/>
      <c r="L28" s="161"/>
      <c r="M28" s="161"/>
      <c r="N28" s="161"/>
      <c r="O28" s="161"/>
      <c r="P28" s="161"/>
      <c r="Q28" s="161"/>
      <c r="R28" s="161"/>
      <c r="S28" s="161"/>
      <c r="T28" s="161"/>
      <c r="U28" s="161"/>
      <c r="V28" s="161"/>
      <c r="W28" s="161"/>
      <c r="X28" s="161"/>
      <c r="Y28" s="161"/>
      <c r="Z28" s="161"/>
      <c r="AA28" s="161"/>
      <c r="AB28" s="161"/>
      <c r="AC28" s="161"/>
      <c r="AD28" s="161"/>
      <c r="AE28" s="161"/>
      <c r="AF28" s="161"/>
    </row>
    <row r="29" spans="1:32">
      <c r="G29" s="161"/>
      <c r="H29" s="161"/>
      <c r="I29" s="161"/>
      <c r="J29" s="161"/>
      <c r="K29" s="161"/>
      <c r="L29" s="161"/>
      <c r="M29" s="161"/>
      <c r="N29" s="161"/>
      <c r="O29" s="161"/>
      <c r="P29" s="161"/>
      <c r="Q29" s="161"/>
      <c r="R29" s="161"/>
      <c r="S29" s="161"/>
      <c r="T29" s="161"/>
      <c r="U29" s="161"/>
      <c r="V29" s="161"/>
      <c r="W29" s="161"/>
      <c r="X29" s="161"/>
      <c r="Y29" s="161"/>
      <c r="Z29" s="161"/>
      <c r="AA29" s="161"/>
      <c r="AB29" s="161"/>
      <c r="AC29" s="161"/>
      <c r="AD29" s="161"/>
      <c r="AE29" s="161"/>
      <c r="AF29" s="161"/>
    </row>
    <row r="30" spans="1:32">
      <c r="G30" s="161"/>
      <c r="H30" s="161"/>
      <c r="I30" s="161"/>
      <c r="J30" s="161"/>
      <c r="K30" s="161"/>
      <c r="L30" s="161"/>
      <c r="M30" s="161"/>
      <c r="N30" s="161"/>
      <c r="O30" s="161"/>
      <c r="P30" s="161"/>
      <c r="Q30" s="161"/>
      <c r="R30" s="161"/>
      <c r="S30" s="161"/>
      <c r="T30" s="161"/>
      <c r="U30" s="161"/>
      <c r="V30" s="161"/>
      <c r="W30" s="161"/>
      <c r="X30" s="161"/>
      <c r="Y30" s="161"/>
      <c r="Z30" s="161"/>
      <c r="AA30" s="161"/>
      <c r="AB30" s="161"/>
      <c r="AC30" s="161"/>
      <c r="AD30" s="161"/>
      <c r="AE30" s="161"/>
      <c r="AF30" s="161"/>
    </row>
    <row r="31" spans="1:32">
      <c r="G31" s="161"/>
      <c r="H31" s="161"/>
      <c r="I31" s="161"/>
      <c r="J31" s="161"/>
      <c r="K31" s="161"/>
      <c r="L31" s="161"/>
      <c r="M31" s="161"/>
      <c r="N31" s="161"/>
      <c r="O31" s="161"/>
      <c r="P31" s="161"/>
      <c r="Q31" s="161"/>
      <c r="R31" s="161"/>
      <c r="S31" s="161"/>
      <c r="T31" s="161"/>
      <c r="U31" s="161"/>
      <c r="V31" s="161"/>
      <c r="W31" s="161"/>
      <c r="X31" s="161"/>
      <c r="Y31" s="161"/>
      <c r="Z31" s="161"/>
      <c r="AA31" s="161"/>
      <c r="AB31" s="161"/>
      <c r="AC31" s="161"/>
      <c r="AD31" s="161"/>
      <c r="AE31" s="161"/>
      <c r="AF31" s="161"/>
    </row>
    <row r="32" spans="1:32">
      <c r="G32" s="161"/>
      <c r="H32" s="161"/>
      <c r="I32" s="161"/>
      <c r="J32" s="161"/>
      <c r="K32" s="161"/>
      <c r="L32" s="161"/>
      <c r="M32" s="161"/>
      <c r="N32" s="161"/>
      <c r="O32" s="161"/>
      <c r="P32" s="161"/>
      <c r="Q32" s="161"/>
      <c r="R32" s="161"/>
      <c r="S32" s="161"/>
      <c r="T32" s="161"/>
      <c r="U32" s="161"/>
      <c r="V32" s="161"/>
      <c r="W32" s="161"/>
      <c r="X32" s="161"/>
      <c r="Y32" s="161"/>
      <c r="Z32" s="161"/>
      <c r="AA32" s="161"/>
      <c r="AB32" s="161"/>
      <c r="AC32" s="161"/>
      <c r="AD32" s="161"/>
      <c r="AE32" s="161"/>
      <c r="AF32" s="161"/>
    </row>
    <row r="33" spans="7:32" ht="14.25" customHeight="1">
      <c r="G33" s="161"/>
      <c r="H33" s="161"/>
      <c r="I33" s="161"/>
      <c r="J33" s="161"/>
      <c r="K33" s="161"/>
      <c r="L33" s="161"/>
      <c r="M33" s="161"/>
      <c r="N33" s="161"/>
      <c r="O33" s="161"/>
      <c r="P33" s="161"/>
      <c r="Q33" s="161"/>
      <c r="R33" s="161"/>
      <c r="S33" s="161"/>
      <c r="T33" s="161"/>
      <c r="U33" s="161"/>
      <c r="V33" s="161"/>
      <c r="W33" s="161"/>
      <c r="X33" s="161"/>
      <c r="Y33" s="161"/>
      <c r="Z33" s="161"/>
      <c r="AA33" s="161"/>
      <c r="AB33" s="161"/>
      <c r="AC33" s="161"/>
      <c r="AD33" s="161"/>
      <c r="AE33" s="161"/>
      <c r="AF33" s="161"/>
    </row>
    <row r="34" spans="7:32">
      <c r="G34" s="161"/>
      <c r="H34" s="161"/>
      <c r="I34" s="161"/>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row>
    <row r="35" spans="7:32">
      <c r="G35" s="161"/>
      <c r="H35" s="161"/>
      <c r="I35" s="161"/>
      <c r="J35" s="161"/>
      <c r="K35" s="161"/>
      <c r="L35" s="161"/>
      <c r="M35" s="161"/>
      <c r="N35" s="161"/>
      <c r="O35" s="161"/>
      <c r="P35" s="161"/>
      <c r="Q35" s="161"/>
      <c r="R35" s="161"/>
      <c r="S35" s="161"/>
      <c r="T35" s="161"/>
      <c r="U35" s="161"/>
      <c r="V35" s="161"/>
      <c r="W35" s="161"/>
      <c r="X35" s="161"/>
      <c r="Y35" s="161"/>
      <c r="Z35" s="161"/>
      <c r="AA35" s="161"/>
      <c r="AB35" s="161"/>
      <c r="AC35" s="161"/>
      <c r="AD35" s="161"/>
      <c r="AE35" s="161"/>
      <c r="AF35" s="161"/>
    </row>
    <row r="36" spans="7:32">
      <c r="G36" s="161"/>
      <c r="H36" s="161"/>
      <c r="I36" s="161"/>
      <c r="J36" s="161"/>
      <c r="K36" s="161"/>
      <c r="L36" s="161"/>
      <c r="M36" s="161"/>
      <c r="N36" s="161"/>
      <c r="O36" s="161"/>
      <c r="P36" s="161"/>
      <c r="Q36" s="161"/>
      <c r="R36" s="161"/>
      <c r="S36" s="161"/>
      <c r="T36" s="161"/>
      <c r="U36" s="161"/>
      <c r="V36" s="161"/>
      <c r="W36" s="161"/>
      <c r="X36" s="161"/>
      <c r="Y36" s="161"/>
      <c r="Z36" s="161"/>
      <c r="AA36" s="161"/>
      <c r="AB36" s="161"/>
      <c r="AC36" s="161"/>
      <c r="AD36" s="161"/>
      <c r="AE36" s="161"/>
      <c r="AF36" s="161"/>
    </row>
    <row r="37" spans="7:32">
      <c r="G37" s="161"/>
      <c r="H37" s="161"/>
      <c r="I37" s="161"/>
      <c r="J37" s="161"/>
      <c r="K37" s="161"/>
      <c r="L37" s="161"/>
      <c r="M37" s="161"/>
      <c r="N37" s="161"/>
      <c r="O37" s="161"/>
      <c r="P37" s="161"/>
      <c r="Q37" s="161"/>
      <c r="R37" s="161"/>
      <c r="S37" s="161"/>
      <c r="T37" s="161"/>
      <c r="U37" s="161"/>
      <c r="V37" s="161"/>
      <c r="W37" s="161"/>
      <c r="X37" s="161"/>
      <c r="Y37" s="161"/>
      <c r="Z37" s="161"/>
      <c r="AA37" s="161"/>
      <c r="AB37" s="161"/>
      <c r="AC37" s="161"/>
      <c r="AD37" s="161"/>
      <c r="AE37" s="161"/>
      <c r="AF37" s="161"/>
    </row>
    <row r="38" spans="7:32">
      <c r="G38" s="161"/>
      <c r="H38" s="161"/>
      <c r="I38" s="161"/>
      <c r="J38" s="161"/>
      <c r="K38" s="161"/>
      <c r="L38" s="161"/>
      <c r="M38" s="161"/>
      <c r="N38" s="161"/>
      <c r="O38" s="161"/>
      <c r="P38" s="161"/>
      <c r="Q38" s="161"/>
      <c r="R38" s="161"/>
      <c r="S38" s="161"/>
      <c r="T38" s="161"/>
      <c r="U38" s="161"/>
      <c r="V38" s="161"/>
      <c r="W38" s="161"/>
      <c r="X38" s="161"/>
      <c r="Y38" s="161"/>
      <c r="Z38" s="161"/>
      <c r="AA38" s="161"/>
      <c r="AB38" s="161"/>
      <c r="AC38" s="161"/>
      <c r="AD38" s="161"/>
      <c r="AE38" s="161"/>
      <c r="AF38" s="161"/>
    </row>
    <row r="39" spans="7:32">
      <c r="G39" s="161"/>
      <c r="H39" s="161"/>
      <c r="I39" s="161"/>
      <c r="J39" s="161"/>
      <c r="K39" s="161"/>
      <c r="L39" s="161"/>
      <c r="M39" s="161"/>
      <c r="N39" s="161"/>
      <c r="O39" s="161"/>
      <c r="P39" s="161"/>
      <c r="Q39" s="161"/>
      <c r="R39" s="161"/>
      <c r="S39" s="161"/>
      <c r="T39" s="161"/>
      <c r="U39" s="161"/>
      <c r="V39" s="161"/>
      <c r="W39" s="161"/>
      <c r="X39" s="161"/>
      <c r="Y39" s="161"/>
      <c r="Z39" s="161"/>
      <c r="AA39" s="161"/>
      <c r="AB39" s="161"/>
      <c r="AC39" s="161"/>
      <c r="AD39" s="161"/>
      <c r="AE39" s="161"/>
      <c r="AF39" s="161"/>
    </row>
    <row r="40" spans="7:32">
      <c r="G40" s="161"/>
      <c r="H40" s="161"/>
      <c r="I40" s="161"/>
      <c r="J40" s="161"/>
      <c r="K40" s="161"/>
      <c r="L40" s="161"/>
      <c r="M40" s="161"/>
      <c r="N40" s="161"/>
      <c r="O40" s="161"/>
      <c r="P40" s="161"/>
      <c r="Q40" s="161"/>
      <c r="R40" s="161"/>
      <c r="S40" s="161"/>
      <c r="T40" s="161"/>
      <c r="U40" s="161"/>
      <c r="V40" s="161"/>
      <c r="W40" s="161"/>
      <c r="X40" s="161"/>
      <c r="Y40" s="161"/>
      <c r="Z40" s="161"/>
      <c r="AA40" s="161"/>
      <c r="AB40" s="161"/>
      <c r="AC40" s="161"/>
      <c r="AD40" s="161"/>
      <c r="AE40" s="161"/>
      <c r="AF40" s="161"/>
    </row>
    <row r="41" spans="7:32">
      <c r="G41" s="161"/>
      <c r="H41" s="161"/>
      <c r="I41" s="161"/>
      <c r="J41" s="161"/>
      <c r="K41" s="161"/>
      <c r="L41" s="161"/>
      <c r="M41" s="161"/>
      <c r="N41" s="161"/>
      <c r="O41" s="161"/>
      <c r="P41" s="161"/>
      <c r="Q41" s="161"/>
      <c r="R41" s="161"/>
      <c r="S41" s="161"/>
      <c r="T41" s="161"/>
      <c r="U41" s="161"/>
      <c r="V41" s="161"/>
      <c r="W41" s="161"/>
      <c r="X41" s="161"/>
      <c r="Y41" s="161"/>
      <c r="Z41" s="161"/>
      <c r="AA41" s="161"/>
      <c r="AB41" s="161"/>
      <c r="AC41" s="161"/>
      <c r="AD41" s="161"/>
      <c r="AE41" s="161"/>
      <c r="AF41" s="161"/>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heetViews>
  <sheetFormatPr defaultRowHeight="12"/>
  <cols>
    <col min="1" max="1" width="2" style="156" customWidth="1"/>
    <col min="2" max="2" width="29.140625" style="156" customWidth="1"/>
    <col min="3" max="3" width="14.7109375" style="156" customWidth="1"/>
    <col min="4" max="4" width="9.7109375" style="156" customWidth="1"/>
    <col min="5" max="5" width="9.28515625" style="156" customWidth="1"/>
    <col min="6" max="6" width="22.42578125" style="156" customWidth="1"/>
    <col min="7" max="7" width="10.140625" style="156" bestFit="1" customWidth="1" collapsed="1"/>
    <col min="8" max="11" width="9" style="156" customWidth="1"/>
    <col min="12" max="12" width="9.28515625" style="156" customWidth="1"/>
    <col min="13" max="26" width="9.140625" style="156" customWidth="1"/>
    <col min="27" max="27" width="9.28515625" style="156" customWidth="1"/>
    <col min="28" max="28" width="9.42578125" style="156" customWidth="1"/>
    <col min="29" max="29" width="10" style="156" customWidth="1"/>
    <col min="30" max="30" width="11.42578125" style="156" customWidth="1"/>
    <col min="31" max="31" width="9.42578125" style="156" bestFit="1" customWidth="1" collapsed="1"/>
    <col min="32" max="16384" width="9.140625" style="156"/>
  </cols>
  <sheetData>
    <row r="1" spans="1:32" s="155" customFormat="1" ht="15" customHeight="1">
      <c r="B1" s="17" t="s">
        <v>383</v>
      </c>
      <c r="C1" s="154"/>
      <c r="D1" s="154"/>
      <c r="E1" s="154"/>
      <c r="F1" s="154"/>
      <c r="G1" s="154"/>
      <c r="H1" s="154"/>
      <c r="I1" s="154"/>
      <c r="J1" s="154"/>
      <c r="K1" s="154"/>
      <c r="L1" s="154"/>
    </row>
    <row r="2" spans="1:32" ht="12" customHeight="1"/>
    <row r="3" spans="1:32" s="158" customFormat="1" ht="12" customHeight="1">
      <c r="A3" s="156"/>
      <c r="C3" s="396" t="s">
        <v>258</v>
      </c>
      <c r="D3" s="157"/>
      <c r="E3" s="157"/>
      <c r="F3" s="439" t="s">
        <v>225</v>
      </c>
      <c r="G3" s="439"/>
      <c r="H3" s="439"/>
      <c r="I3" s="439"/>
      <c r="J3" s="439"/>
      <c r="K3" s="439"/>
      <c r="L3" s="439"/>
      <c r="M3" s="439"/>
      <c r="N3" s="157"/>
      <c r="O3" s="157"/>
      <c r="P3" s="157"/>
      <c r="Q3" s="157"/>
      <c r="R3" s="157"/>
      <c r="S3" s="157"/>
      <c r="T3" s="157"/>
      <c r="U3" s="157"/>
      <c r="V3" s="157"/>
      <c r="W3" s="157"/>
      <c r="X3" s="157"/>
      <c r="Y3" s="157"/>
      <c r="Z3" s="157"/>
      <c r="AA3" s="157"/>
    </row>
    <row r="4" spans="1:32" ht="12" customHeight="1">
      <c r="A4" s="158"/>
      <c r="B4" s="173" t="s">
        <v>3</v>
      </c>
      <c r="C4" s="174">
        <f>Numbers!C10</f>
        <v>33646.69000000009</v>
      </c>
      <c r="F4" s="291" t="s">
        <v>52</v>
      </c>
      <c r="G4" s="292" t="s">
        <v>220</v>
      </c>
      <c r="H4" s="292" t="s">
        <v>71</v>
      </c>
      <c r="I4" s="292" t="s">
        <v>70</v>
      </c>
      <c r="J4" s="292" t="s">
        <v>69</v>
      </c>
      <c r="K4" s="292" t="s">
        <v>68</v>
      </c>
      <c r="L4" s="292" t="s">
        <v>67</v>
      </c>
      <c r="M4" s="293"/>
    </row>
    <row r="5" spans="1:32" ht="12" customHeight="1">
      <c r="A5" s="158"/>
      <c r="B5" s="173" t="s">
        <v>226</v>
      </c>
      <c r="C5" s="174">
        <f>M7</f>
        <v>45060.084000000003</v>
      </c>
      <c r="F5" s="232" t="s">
        <v>222</v>
      </c>
      <c r="G5" s="169">
        <f>12392.33+872.75</f>
        <v>13265.08</v>
      </c>
      <c r="H5" s="335">
        <f>12942.07+2471.16</f>
        <v>15413.23</v>
      </c>
      <c r="I5" s="214">
        <f>13961.26+3236.81</f>
        <v>17198.07</v>
      </c>
      <c r="J5" s="335">
        <f>13846.87+3346.05</f>
        <v>17192.920000000002</v>
      </c>
      <c r="K5" s="214">
        <f>8732.43+2609.62</f>
        <v>11342.05</v>
      </c>
      <c r="L5" s="335">
        <f>8052.59+2269.59</f>
        <v>10322.18</v>
      </c>
      <c r="M5" s="289"/>
    </row>
    <row r="6" spans="1:32" ht="12" customHeight="1">
      <c r="B6" s="173" t="s">
        <v>384</v>
      </c>
      <c r="C6" s="174">
        <f>M8</f>
        <v>14293.69</v>
      </c>
      <c r="F6" s="232" t="s">
        <v>223</v>
      </c>
      <c r="G6" s="128">
        <v>1</v>
      </c>
      <c r="H6" s="128">
        <f>4/5</f>
        <v>0.8</v>
      </c>
      <c r="I6" s="128">
        <f>3/5</f>
        <v>0.6</v>
      </c>
      <c r="J6" s="128">
        <f>2/5</f>
        <v>0.4</v>
      </c>
      <c r="K6" s="128">
        <f>1/5</f>
        <v>0.2</v>
      </c>
      <c r="L6" s="128">
        <v>0</v>
      </c>
      <c r="M6" s="290"/>
      <c r="O6" s="160"/>
      <c r="P6" s="160"/>
      <c r="Q6" s="160"/>
      <c r="R6" s="160"/>
      <c r="S6" s="160"/>
      <c r="T6" s="160"/>
      <c r="Y6" s="160"/>
    </row>
    <row r="7" spans="1:32" ht="12" customHeight="1">
      <c r="A7" s="163"/>
      <c r="B7" s="173" t="s">
        <v>227</v>
      </c>
      <c r="C7" s="174">
        <f>G5</f>
        <v>13265.08</v>
      </c>
      <c r="F7" s="232" t="s">
        <v>224</v>
      </c>
      <c r="G7" s="214">
        <f>G5*G6</f>
        <v>13265.08</v>
      </c>
      <c r="H7" s="214">
        <f t="shared" ref="H7:I7" si="0">H5*H6</f>
        <v>12330.584000000001</v>
      </c>
      <c r="I7" s="214">
        <f t="shared" si="0"/>
        <v>10318.841999999999</v>
      </c>
      <c r="J7" s="214">
        <f>J5*J6</f>
        <v>6877.1680000000015</v>
      </c>
      <c r="K7" s="214">
        <f t="shared" ref="K7" si="1">K5*K6</f>
        <v>2268.41</v>
      </c>
      <c r="L7" s="214">
        <f>L5*L6</f>
        <v>0</v>
      </c>
      <c r="M7" s="211">
        <f>SUM(G7:L7)</f>
        <v>45060.084000000003</v>
      </c>
      <c r="O7" s="161"/>
      <c r="P7" s="161"/>
      <c r="Q7" s="161"/>
      <c r="R7" s="161"/>
      <c r="S7" s="161"/>
      <c r="T7" s="161"/>
      <c r="U7" s="161"/>
      <c r="V7" s="161"/>
      <c r="W7" s="161"/>
      <c r="X7" s="161"/>
      <c r="Y7" s="161"/>
      <c r="Z7" s="161"/>
      <c r="AA7" s="161"/>
      <c r="AB7" s="161"/>
      <c r="AC7" s="161"/>
      <c r="AD7" s="161"/>
    </row>
    <row r="8" spans="1:32" ht="12" customHeight="1">
      <c r="A8" s="163"/>
      <c r="B8" s="159"/>
      <c r="C8" s="183"/>
      <c r="D8" s="164"/>
      <c r="F8" s="232" t="s">
        <v>221</v>
      </c>
      <c r="G8" s="169">
        <v>0</v>
      </c>
      <c r="H8" s="288">
        <f>H5/5</f>
        <v>3082.6459999999997</v>
      </c>
      <c r="I8" s="288">
        <f>I5/5</f>
        <v>3439.614</v>
      </c>
      <c r="J8" s="288">
        <f t="shared" ref="J8:L8" si="2">J5/5</f>
        <v>3438.5840000000003</v>
      </c>
      <c r="K8" s="288">
        <f t="shared" si="2"/>
        <v>2268.41</v>
      </c>
      <c r="L8" s="288">
        <f t="shared" si="2"/>
        <v>2064.4360000000001</v>
      </c>
      <c r="M8" s="211">
        <f>SUM(G8:L8)</f>
        <v>14293.69</v>
      </c>
      <c r="O8" s="161"/>
      <c r="P8" s="161"/>
      <c r="Q8" s="161"/>
      <c r="R8" s="161"/>
      <c r="S8" s="161"/>
      <c r="T8" s="161"/>
      <c r="U8" s="161"/>
      <c r="V8" s="161"/>
      <c r="W8" s="161"/>
      <c r="X8" s="161"/>
      <c r="Y8" s="161"/>
      <c r="Z8" s="161"/>
      <c r="AA8" s="161"/>
      <c r="AB8" s="161"/>
      <c r="AC8" s="161"/>
      <c r="AD8" s="161"/>
    </row>
    <row r="9" spans="1:32" ht="12" customHeight="1">
      <c r="A9" s="163"/>
      <c r="B9" s="173" t="s">
        <v>219</v>
      </c>
      <c r="C9" s="174">
        <f>C4+C7</f>
        <v>46911.770000000091</v>
      </c>
      <c r="H9" s="161"/>
      <c r="I9" s="161"/>
      <c r="J9" s="161"/>
      <c r="K9" s="161"/>
      <c r="M9" s="161"/>
      <c r="N9" s="161"/>
      <c r="O9" s="161"/>
      <c r="P9" s="161"/>
      <c r="Q9" s="161"/>
      <c r="R9" s="161"/>
      <c r="S9" s="161"/>
      <c r="T9" s="161"/>
      <c r="U9" s="161"/>
      <c r="V9" s="161"/>
      <c r="W9" s="161"/>
      <c r="X9" s="161"/>
      <c r="Y9" s="161"/>
      <c r="Z9" s="161"/>
      <c r="AA9" s="161"/>
      <c r="AB9" s="161"/>
      <c r="AC9" s="161"/>
      <c r="AD9" s="161"/>
      <c r="AE9" s="161"/>
      <c r="AF9" s="161"/>
    </row>
    <row r="10" spans="1:32">
      <c r="A10" s="163" t="s">
        <v>88</v>
      </c>
      <c r="B10" s="173" t="s">
        <v>228</v>
      </c>
      <c r="C10" s="174">
        <f>C6</f>
        <v>14293.69</v>
      </c>
      <c r="H10" s="161"/>
      <c r="I10" s="161"/>
      <c r="J10" s="161"/>
      <c r="K10" s="161"/>
      <c r="M10" s="161"/>
      <c r="N10" s="190"/>
      <c r="O10" s="161"/>
      <c r="P10" s="161"/>
      <c r="Q10" s="161"/>
      <c r="R10" s="161"/>
      <c r="S10" s="161"/>
      <c r="T10" s="161"/>
      <c r="U10" s="161"/>
      <c r="V10" s="161"/>
      <c r="W10" s="161"/>
      <c r="X10" s="161"/>
      <c r="Y10" s="161"/>
      <c r="Z10" s="161"/>
      <c r="AA10" s="161"/>
      <c r="AB10" s="161"/>
      <c r="AC10" s="161"/>
      <c r="AD10" s="161"/>
      <c r="AE10" s="161"/>
      <c r="AF10" s="161"/>
    </row>
    <row r="11" spans="1:32">
      <c r="A11" s="159"/>
      <c r="B11" s="177" t="s">
        <v>123</v>
      </c>
      <c r="C11" s="178">
        <f>C9-C10</f>
        <v>32618.080000000089</v>
      </c>
      <c r="H11" s="161"/>
      <c r="I11" s="161"/>
      <c r="J11" s="161"/>
      <c r="K11" s="161"/>
      <c r="M11" s="161"/>
      <c r="N11" s="161"/>
      <c r="O11" s="161"/>
      <c r="P11" s="161"/>
      <c r="Q11" s="161"/>
      <c r="R11" s="161"/>
      <c r="S11" s="161"/>
      <c r="T11" s="161"/>
      <c r="U11" s="161"/>
      <c r="V11" s="161"/>
      <c r="W11" s="161"/>
      <c r="X11" s="161"/>
      <c r="Y11" s="161"/>
      <c r="Z11" s="161"/>
      <c r="AA11" s="161"/>
      <c r="AB11" s="161"/>
      <c r="AC11" s="161"/>
      <c r="AD11" s="161"/>
      <c r="AE11" s="161"/>
      <c r="AF11" s="161"/>
    </row>
    <row r="12" spans="1:32">
      <c r="A12" s="163"/>
      <c r="B12" s="159"/>
      <c r="C12" s="183"/>
      <c r="H12" s="161"/>
      <c r="I12" s="161"/>
      <c r="J12" s="161"/>
      <c r="K12" s="161"/>
      <c r="M12" s="161"/>
      <c r="N12" s="161"/>
      <c r="O12" s="161"/>
      <c r="P12" s="161"/>
      <c r="Q12" s="161"/>
      <c r="R12" s="161"/>
      <c r="S12" s="161"/>
      <c r="T12" s="161"/>
      <c r="U12" s="161"/>
      <c r="V12" s="161"/>
      <c r="W12" s="161"/>
      <c r="X12" s="161"/>
      <c r="Y12" s="161"/>
      <c r="Z12" s="161"/>
      <c r="AA12" s="161"/>
      <c r="AB12" s="161"/>
      <c r="AC12" s="161"/>
      <c r="AD12" s="161"/>
      <c r="AE12" s="161"/>
      <c r="AF12" s="161"/>
    </row>
    <row r="13" spans="1:32">
      <c r="B13" s="159"/>
      <c r="C13" s="395"/>
      <c r="G13" s="161"/>
      <c r="H13" s="161"/>
      <c r="I13" s="161"/>
      <c r="J13" s="161"/>
      <c r="K13" s="161"/>
      <c r="L13" s="161"/>
      <c r="M13" s="161"/>
      <c r="N13" s="161"/>
      <c r="O13" s="161"/>
      <c r="P13" s="161"/>
      <c r="Q13" s="161"/>
      <c r="R13" s="161"/>
      <c r="S13" s="161"/>
      <c r="T13" s="161"/>
      <c r="U13" s="161"/>
      <c r="V13" s="161"/>
      <c r="W13" s="161"/>
      <c r="X13" s="161"/>
      <c r="Y13" s="161"/>
      <c r="Z13" s="161"/>
      <c r="AA13" s="161"/>
      <c r="AB13" s="161"/>
      <c r="AC13" s="161"/>
      <c r="AD13" s="161"/>
      <c r="AE13" s="161"/>
      <c r="AF13" s="161"/>
    </row>
    <row r="14" spans="1:32">
      <c r="B14" s="159"/>
      <c r="C14" s="247"/>
      <c r="G14" s="161"/>
      <c r="H14" s="161"/>
      <c r="I14" s="161"/>
      <c r="J14" s="161"/>
      <c r="K14" s="161"/>
      <c r="L14" s="161"/>
      <c r="M14" s="161"/>
      <c r="N14" s="161"/>
      <c r="O14" s="161"/>
      <c r="P14" s="161"/>
      <c r="Q14" s="161"/>
      <c r="R14" s="161"/>
      <c r="S14" s="161"/>
      <c r="T14" s="161"/>
      <c r="U14" s="161"/>
      <c r="V14" s="161"/>
      <c r="W14" s="161"/>
      <c r="X14" s="161"/>
      <c r="Y14" s="161"/>
      <c r="Z14" s="161"/>
      <c r="AA14" s="161"/>
      <c r="AB14" s="161"/>
      <c r="AC14" s="161"/>
      <c r="AD14" s="161"/>
      <c r="AE14" s="161"/>
      <c r="AF14" s="161"/>
    </row>
    <row r="15" spans="1:32">
      <c r="G15" s="161"/>
      <c r="H15" s="161"/>
      <c r="I15" s="161"/>
      <c r="J15" s="161"/>
      <c r="K15" s="161"/>
      <c r="L15" s="161"/>
      <c r="M15" s="161"/>
      <c r="N15" s="161"/>
      <c r="O15" s="161"/>
      <c r="P15" s="161"/>
      <c r="Q15" s="161"/>
      <c r="R15" s="161"/>
      <c r="S15" s="161"/>
      <c r="T15" s="161"/>
      <c r="U15" s="161"/>
      <c r="V15" s="161"/>
      <c r="W15" s="161"/>
      <c r="X15" s="161"/>
      <c r="Y15" s="161"/>
      <c r="Z15" s="161"/>
      <c r="AA15" s="161"/>
      <c r="AB15" s="161"/>
      <c r="AC15" s="161"/>
      <c r="AD15" s="161"/>
      <c r="AE15" s="161"/>
      <c r="AF15" s="161"/>
    </row>
    <row r="16" spans="1:32">
      <c r="D16" s="161"/>
      <c r="E16" s="161"/>
      <c r="F16" s="161"/>
      <c r="G16" s="161"/>
      <c r="H16" s="161"/>
      <c r="I16" s="161"/>
      <c r="O16" s="161"/>
      <c r="P16" s="161"/>
      <c r="Q16" s="161"/>
      <c r="R16" s="161"/>
      <c r="S16" s="161"/>
      <c r="T16" s="161"/>
      <c r="U16" s="161"/>
      <c r="V16" s="161"/>
      <c r="W16" s="161"/>
      <c r="X16" s="161"/>
      <c r="Y16" s="161"/>
      <c r="Z16" s="161"/>
      <c r="AA16" s="161"/>
      <c r="AB16" s="161"/>
      <c r="AC16" s="161"/>
      <c r="AD16" s="161"/>
      <c r="AE16" s="161"/>
      <c r="AF16" s="161"/>
    </row>
    <row r="17" spans="4:32">
      <c r="D17" s="166"/>
      <c r="E17" s="166"/>
      <c r="F17" s="166"/>
      <c r="G17" s="166"/>
      <c r="H17" s="166"/>
      <c r="I17" s="167"/>
      <c r="O17" s="161"/>
      <c r="P17" s="161"/>
      <c r="Q17" s="161"/>
      <c r="R17" s="161"/>
      <c r="S17" s="161"/>
      <c r="T17" s="161"/>
      <c r="U17" s="161"/>
      <c r="V17" s="161"/>
      <c r="W17" s="161"/>
      <c r="X17" s="161"/>
      <c r="Y17" s="161"/>
      <c r="Z17" s="161"/>
      <c r="AA17" s="161"/>
      <c r="AB17" s="161"/>
      <c r="AC17" s="161"/>
      <c r="AD17" s="161"/>
      <c r="AE17" s="161"/>
      <c r="AF17" s="161"/>
    </row>
    <row r="18" spans="4:32">
      <c r="D18" s="81"/>
      <c r="E18" s="81"/>
      <c r="F18" s="81"/>
      <c r="G18" s="81"/>
      <c r="H18" s="81"/>
      <c r="I18" s="81"/>
      <c r="J18" s="161"/>
      <c r="K18" s="161"/>
      <c r="L18" s="161"/>
      <c r="M18" s="161"/>
      <c r="N18" s="161"/>
      <c r="O18" s="161"/>
      <c r="P18" s="161"/>
      <c r="Q18" s="161"/>
      <c r="R18" s="161"/>
      <c r="S18" s="161"/>
      <c r="T18" s="161"/>
      <c r="U18" s="161"/>
      <c r="V18" s="161"/>
      <c r="W18" s="161"/>
      <c r="X18" s="161"/>
      <c r="Y18" s="161"/>
      <c r="Z18" s="161"/>
      <c r="AA18" s="161"/>
      <c r="AB18" s="161"/>
      <c r="AC18" s="161"/>
      <c r="AD18" s="161"/>
      <c r="AE18" s="161"/>
      <c r="AF18" s="161"/>
    </row>
    <row r="19" spans="4:32">
      <c r="D19" s="81"/>
      <c r="E19" s="81"/>
      <c r="F19" s="81"/>
      <c r="G19" s="81"/>
      <c r="H19" s="81"/>
      <c r="I19" s="81"/>
      <c r="J19" s="161"/>
      <c r="K19" s="161"/>
      <c r="L19" s="161"/>
      <c r="M19" s="161"/>
      <c r="N19" s="161"/>
      <c r="O19" s="161"/>
      <c r="P19" s="161"/>
      <c r="Q19" s="161"/>
      <c r="R19" s="161"/>
      <c r="S19" s="161"/>
      <c r="T19" s="161"/>
      <c r="U19" s="161"/>
      <c r="V19" s="161"/>
      <c r="W19" s="161"/>
      <c r="X19" s="161"/>
      <c r="Y19" s="161"/>
      <c r="Z19" s="161"/>
      <c r="AA19" s="161"/>
      <c r="AB19" s="161"/>
      <c r="AC19" s="161"/>
      <c r="AD19" s="161"/>
      <c r="AE19" s="161"/>
      <c r="AF19" s="161"/>
    </row>
    <row r="20" spans="4:32">
      <c r="D20" s="168"/>
      <c r="E20" s="168"/>
      <c r="F20" s="168"/>
      <c r="G20" s="168"/>
      <c r="H20" s="168"/>
      <c r="I20" s="166"/>
      <c r="J20" s="161"/>
      <c r="K20" s="161"/>
      <c r="L20" s="161"/>
      <c r="M20" s="161"/>
      <c r="N20" s="161"/>
      <c r="O20" s="161"/>
      <c r="P20" s="161"/>
      <c r="Q20" s="161"/>
      <c r="R20" s="161"/>
      <c r="S20" s="161"/>
      <c r="T20" s="161"/>
      <c r="U20" s="161"/>
      <c r="V20" s="161"/>
      <c r="W20" s="161"/>
      <c r="X20" s="161"/>
      <c r="Y20" s="161"/>
      <c r="Z20" s="161"/>
      <c r="AA20" s="161"/>
      <c r="AB20" s="161"/>
      <c r="AC20" s="161"/>
      <c r="AD20" s="161"/>
      <c r="AE20" s="161"/>
      <c r="AF20" s="161"/>
    </row>
    <row r="21" spans="4:32">
      <c r="G21" s="161"/>
      <c r="H21" s="166"/>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row>
    <row r="22" spans="4:32">
      <c r="G22" s="161"/>
      <c r="H22" s="161"/>
      <c r="I22" s="161"/>
      <c r="J22" s="161"/>
      <c r="K22" s="161"/>
      <c r="L22" s="161"/>
      <c r="M22" s="161"/>
      <c r="N22" s="161"/>
      <c r="O22" s="161"/>
      <c r="P22" s="161"/>
      <c r="Q22" s="161"/>
      <c r="R22" s="161"/>
      <c r="S22" s="161"/>
      <c r="T22" s="161"/>
      <c r="U22" s="161"/>
      <c r="V22" s="161"/>
      <c r="W22" s="161"/>
      <c r="X22" s="161"/>
      <c r="Y22" s="161"/>
      <c r="Z22" s="161"/>
      <c r="AA22" s="161"/>
      <c r="AB22" s="161"/>
      <c r="AC22" s="161"/>
      <c r="AD22" s="161"/>
      <c r="AE22" s="161"/>
      <c r="AF22" s="161"/>
    </row>
    <row r="23" spans="4:32">
      <c r="G23" s="161"/>
      <c r="H23" s="161"/>
      <c r="I23" s="161"/>
      <c r="J23" s="161"/>
      <c r="K23" s="161"/>
      <c r="L23" s="161"/>
      <c r="M23" s="161"/>
      <c r="N23" s="161"/>
      <c r="O23" s="161"/>
      <c r="P23" s="161"/>
      <c r="Q23" s="161"/>
      <c r="R23" s="161"/>
      <c r="S23" s="161"/>
      <c r="T23" s="161"/>
      <c r="U23" s="161"/>
      <c r="V23" s="161"/>
      <c r="W23" s="161"/>
      <c r="X23" s="161"/>
      <c r="Y23" s="161"/>
      <c r="Z23" s="161"/>
      <c r="AA23" s="161"/>
      <c r="AB23" s="161"/>
      <c r="AC23" s="161"/>
      <c r="AD23" s="161"/>
      <c r="AE23" s="161"/>
      <c r="AF23" s="161"/>
    </row>
    <row r="24" spans="4:32">
      <c r="G24" s="161"/>
      <c r="H24" s="161"/>
      <c r="I24" s="161"/>
      <c r="J24" s="161"/>
      <c r="K24" s="161"/>
      <c r="L24" s="161"/>
      <c r="M24" s="161"/>
      <c r="N24" s="161"/>
      <c r="O24" s="161"/>
      <c r="P24" s="161"/>
      <c r="Q24" s="161"/>
      <c r="R24" s="161"/>
      <c r="S24" s="161"/>
      <c r="T24" s="161"/>
      <c r="U24" s="161"/>
      <c r="V24" s="161"/>
      <c r="W24" s="161"/>
      <c r="X24" s="161"/>
      <c r="Y24" s="161"/>
      <c r="Z24" s="161"/>
      <c r="AA24" s="161"/>
      <c r="AB24" s="161"/>
      <c r="AC24" s="161"/>
      <c r="AD24" s="161"/>
      <c r="AE24" s="161"/>
      <c r="AF24" s="161"/>
    </row>
    <row r="25" spans="4:32">
      <c r="G25" s="161"/>
      <c r="H25" s="161"/>
      <c r="I25" s="161"/>
      <c r="J25" s="161"/>
      <c r="K25" s="161"/>
      <c r="L25" s="161"/>
      <c r="M25" s="161"/>
      <c r="N25" s="161"/>
      <c r="O25" s="161"/>
      <c r="P25" s="161"/>
      <c r="Q25" s="161"/>
      <c r="R25" s="161"/>
      <c r="S25" s="161"/>
      <c r="T25" s="161"/>
      <c r="U25" s="161"/>
      <c r="V25" s="161"/>
      <c r="W25" s="161"/>
      <c r="X25" s="161"/>
      <c r="Y25" s="161"/>
      <c r="Z25" s="161"/>
      <c r="AA25" s="161"/>
      <c r="AB25" s="161"/>
      <c r="AC25" s="161"/>
      <c r="AD25" s="161"/>
      <c r="AE25" s="161"/>
      <c r="AF25" s="161"/>
    </row>
    <row r="26" spans="4:32">
      <c r="G26" s="161"/>
      <c r="H26" s="161"/>
      <c r="I26" s="161"/>
      <c r="J26" s="161"/>
      <c r="K26" s="161"/>
      <c r="L26" s="161"/>
      <c r="M26" s="161"/>
      <c r="N26" s="161"/>
      <c r="O26" s="161"/>
      <c r="P26" s="161"/>
      <c r="Q26" s="161"/>
      <c r="R26" s="161"/>
      <c r="S26" s="161"/>
      <c r="T26" s="161"/>
      <c r="U26" s="161"/>
      <c r="V26" s="161"/>
      <c r="W26" s="161"/>
      <c r="X26" s="161"/>
      <c r="Y26" s="161"/>
      <c r="Z26" s="161"/>
      <c r="AA26" s="161"/>
      <c r="AB26" s="161"/>
      <c r="AC26" s="161"/>
      <c r="AD26" s="161"/>
      <c r="AE26" s="161"/>
      <c r="AF26" s="161"/>
    </row>
    <row r="27" spans="4:32">
      <c r="G27" s="161"/>
      <c r="H27" s="161"/>
      <c r="I27" s="161"/>
      <c r="J27" s="161"/>
      <c r="K27" s="161"/>
      <c r="L27" s="161"/>
      <c r="M27" s="161"/>
      <c r="N27" s="161"/>
      <c r="O27" s="161"/>
      <c r="P27" s="161"/>
      <c r="Q27" s="161"/>
      <c r="R27" s="161"/>
      <c r="S27" s="161"/>
      <c r="T27" s="161"/>
      <c r="U27" s="161"/>
      <c r="V27" s="161"/>
      <c r="W27" s="161"/>
      <c r="X27" s="161"/>
      <c r="Y27" s="161"/>
      <c r="Z27" s="161"/>
      <c r="AA27" s="161"/>
      <c r="AB27" s="161"/>
      <c r="AC27" s="161"/>
      <c r="AD27" s="161"/>
      <c r="AE27" s="161"/>
      <c r="AF27" s="161"/>
    </row>
    <row r="28" spans="4:32">
      <c r="G28" s="161"/>
      <c r="H28" s="161"/>
      <c r="I28" s="161"/>
      <c r="J28" s="161"/>
      <c r="K28" s="161"/>
      <c r="L28" s="161"/>
      <c r="M28" s="161"/>
      <c r="N28" s="161"/>
      <c r="O28" s="161"/>
      <c r="P28" s="161"/>
      <c r="Q28" s="161"/>
      <c r="R28" s="161"/>
      <c r="S28" s="161"/>
      <c r="T28" s="161"/>
      <c r="U28" s="161"/>
      <c r="V28" s="161"/>
      <c r="W28" s="161"/>
      <c r="X28" s="161"/>
      <c r="Y28" s="161"/>
      <c r="Z28" s="161"/>
      <c r="AA28" s="161"/>
      <c r="AB28" s="161"/>
      <c r="AC28" s="161"/>
      <c r="AD28" s="161"/>
      <c r="AE28" s="161"/>
      <c r="AF28" s="161"/>
    </row>
    <row r="29" spans="4:32">
      <c r="G29" s="161"/>
      <c r="H29" s="161"/>
      <c r="I29" s="161"/>
      <c r="J29" s="161"/>
      <c r="K29" s="161"/>
      <c r="L29" s="161"/>
      <c r="M29" s="161"/>
      <c r="N29" s="161"/>
      <c r="O29" s="161"/>
      <c r="P29" s="161"/>
      <c r="Q29" s="161"/>
      <c r="R29" s="161"/>
      <c r="S29" s="161"/>
      <c r="T29" s="161"/>
      <c r="U29" s="161"/>
      <c r="V29" s="161"/>
      <c r="W29" s="161"/>
      <c r="X29" s="161"/>
      <c r="Y29" s="161"/>
      <c r="Z29" s="161"/>
      <c r="AA29" s="161"/>
      <c r="AB29" s="161"/>
      <c r="AC29" s="161"/>
      <c r="AD29" s="161"/>
      <c r="AE29" s="161"/>
      <c r="AF29" s="161"/>
    </row>
    <row r="30" spans="4:32">
      <c r="G30" s="161"/>
      <c r="H30" s="161"/>
      <c r="I30" s="161"/>
      <c r="J30" s="161"/>
      <c r="K30" s="161"/>
      <c r="L30" s="161"/>
      <c r="M30" s="161"/>
      <c r="N30" s="161"/>
      <c r="O30" s="161"/>
      <c r="P30" s="161"/>
      <c r="Q30" s="161"/>
      <c r="R30" s="161"/>
      <c r="S30" s="161"/>
      <c r="T30" s="161"/>
      <c r="U30" s="161"/>
      <c r="V30" s="161"/>
      <c r="W30" s="161"/>
      <c r="X30" s="161"/>
      <c r="Y30" s="161"/>
      <c r="Z30" s="161"/>
      <c r="AA30" s="161"/>
      <c r="AB30" s="161"/>
      <c r="AC30" s="161"/>
      <c r="AD30" s="161"/>
      <c r="AE30" s="161"/>
      <c r="AF30" s="161"/>
    </row>
    <row r="31" spans="4:32">
      <c r="G31" s="161"/>
      <c r="H31" s="161"/>
      <c r="I31" s="161"/>
      <c r="J31" s="161"/>
      <c r="K31" s="161"/>
      <c r="L31" s="161"/>
      <c r="M31" s="161"/>
      <c r="N31" s="161"/>
      <c r="O31" s="161"/>
      <c r="P31" s="161"/>
      <c r="Q31" s="161"/>
      <c r="R31" s="161"/>
      <c r="S31" s="161"/>
      <c r="T31" s="161"/>
      <c r="U31" s="161"/>
      <c r="V31" s="161"/>
      <c r="W31" s="161"/>
      <c r="X31" s="161"/>
      <c r="Y31" s="161"/>
      <c r="Z31" s="161"/>
      <c r="AA31" s="161"/>
      <c r="AB31" s="161"/>
      <c r="AC31" s="161"/>
      <c r="AD31" s="161"/>
      <c r="AE31" s="161"/>
      <c r="AF31" s="161"/>
    </row>
    <row r="32" spans="4:32">
      <c r="G32" s="161"/>
      <c r="H32" s="161"/>
      <c r="I32" s="161"/>
      <c r="J32" s="161"/>
      <c r="K32" s="161"/>
      <c r="L32" s="161"/>
      <c r="M32" s="161"/>
      <c r="N32" s="161"/>
      <c r="O32" s="161"/>
      <c r="P32" s="161"/>
      <c r="Q32" s="161"/>
      <c r="R32" s="161"/>
      <c r="S32" s="161"/>
      <c r="T32" s="161"/>
      <c r="U32" s="161"/>
      <c r="V32" s="161"/>
      <c r="W32" s="161"/>
      <c r="X32" s="161"/>
      <c r="Y32" s="161"/>
      <c r="Z32" s="161"/>
      <c r="AA32" s="161"/>
      <c r="AB32" s="161"/>
      <c r="AC32" s="161"/>
      <c r="AD32" s="161"/>
      <c r="AE32" s="161"/>
      <c r="AF32" s="161"/>
    </row>
    <row r="33" spans="7:32" ht="14.25" customHeight="1">
      <c r="G33" s="161"/>
      <c r="H33" s="161"/>
      <c r="I33" s="161"/>
      <c r="J33" s="161"/>
      <c r="K33" s="161"/>
      <c r="L33" s="161"/>
      <c r="M33" s="161"/>
      <c r="N33" s="161"/>
      <c r="O33" s="161"/>
      <c r="P33" s="161"/>
      <c r="Q33" s="161"/>
      <c r="R33" s="161"/>
      <c r="S33" s="161"/>
      <c r="T33" s="161"/>
      <c r="U33" s="161"/>
      <c r="V33" s="161"/>
      <c r="W33" s="161"/>
      <c r="X33" s="161"/>
      <c r="Y33" s="161"/>
      <c r="Z33" s="161"/>
      <c r="AA33" s="161"/>
      <c r="AB33" s="161"/>
      <c r="AC33" s="161"/>
      <c r="AD33" s="161"/>
      <c r="AE33" s="161"/>
      <c r="AF33" s="161"/>
    </row>
    <row r="34" spans="7:32">
      <c r="G34" s="161"/>
      <c r="H34" s="161"/>
      <c r="I34" s="161"/>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row>
    <row r="35" spans="7:32">
      <c r="G35" s="161"/>
      <c r="H35" s="161"/>
      <c r="I35" s="161"/>
      <c r="J35" s="161"/>
      <c r="K35" s="161"/>
      <c r="L35" s="161"/>
      <c r="M35" s="161"/>
      <c r="N35" s="161"/>
      <c r="O35" s="161"/>
      <c r="P35" s="161"/>
      <c r="Q35" s="161"/>
      <c r="R35" s="161"/>
      <c r="S35" s="161"/>
      <c r="T35" s="161"/>
      <c r="U35" s="161"/>
      <c r="V35" s="161"/>
      <c r="W35" s="161"/>
      <c r="X35" s="161"/>
      <c r="Y35" s="161"/>
      <c r="Z35" s="161"/>
      <c r="AA35" s="161"/>
      <c r="AB35" s="161"/>
      <c r="AC35" s="161"/>
      <c r="AD35" s="161"/>
      <c r="AE35" s="161"/>
      <c r="AF35" s="161"/>
    </row>
    <row r="36" spans="7:32">
      <c r="G36" s="161"/>
      <c r="H36" s="161"/>
      <c r="I36" s="161"/>
      <c r="J36" s="161"/>
      <c r="K36" s="161"/>
      <c r="L36" s="161"/>
      <c r="M36" s="161"/>
      <c r="N36" s="161"/>
      <c r="O36" s="161"/>
      <c r="P36" s="161"/>
      <c r="Q36" s="161"/>
      <c r="R36" s="161"/>
      <c r="S36" s="161"/>
      <c r="T36" s="161"/>
      <c r="U36" s="161"/>
      <c r="V36" s="161"/>
      <c r="W36" s="161"/>
      <c r="X36" s="161"/>
      <c r="Y36" s="161"/>
      <c r="Z36" s="161"/>
      <c r="AA36" s="161"/>
      <c r="AB36" s="161"/>
      <c r="AC36" s="161"/>
      <c r="AD36" s="161"/>
      <c r="AE36" s="161"/>
      <c r="AF36" s="161"/>
    </row>
    <row r="37" spans="7:32">
      <c r="G37" s="161"/>
      <c r="H37" s="161"/>
      <c r="I37" s="161"/>
      <c r="J37" s="161"/>
      <c r="K37" s="161"/>
      <c r="L37" s="161"/>
      <c r="M37" s="161"/>
      <c r="N37" s="161"/>
      <c r="O37" s="161"/>
      <c r="P37" s="161"/>
      <c r="Q37" s="161"/>
      <c r="R37" s="161"/>
      <c r="S37" s="161"/>
      <c r="T37" s="161"/>
      <c r="U37" s="161"/>
      <c r="V37" s="161"/>
      <c r="W37" s="161"/>
      <c r="X37" s="161"/>
      <c r="Y37" s="161"/>
      <c r="Z37" s="161"/>
      <c r="AA37" s="161"/>
      <c r="AB37" s="161"/>
      <c r="AC37" s="161"/>
      <c r="AD37" s="161"/>
      <c r="AE37" s="161"/>
      <c r="AF37" s="161"/>
    </row>
    <row r="38" spans="7:32">
      <c r="G38" s="161"/>
      <c r="H38" s="161"/>
      <c r="I38" s="161"/>
      <c r="J38" s="161"/>
      <c r="K38" s="161"/>
      <c r="L38" s="161"/>
      <c r="M38" s="161"/>
      <c r="N38" s="161"/>
      <c r="O38" s="161"/>
      <c r="P38" s="161"/>
      <c r="Q38" s="161"/>
      <c r="R38" s="161"/>
      <c r="S38" s="161"/>
      <c r="T38" s="161"/>
      <c r="U38" s="161"/>
      <c r="V38" s="161"/>
      <c r="W38" s="161"/>
      <c r="X38" s="161"/>
      <c r="Y38" s="161"/>
      <c r="Z38" s="161"/>
      <c r="AA38" s="161"/>
      <c r="AB38" s="161"/>
      <c r="AC38" s="161"/>
      <c r="AD38" s="161"/>
      <c r="AE38" s="161"/>
      <c r="AF38" s="161"/>
    </row>
    <row r="39" spans="7:32">
      <c r="G39" s="161"/>
      <c r="H39" s="161"/>
      <c r="I39" s="161"/>
      <c r="J39" s="161"/>
      <c r="K39" s="161"/>
      <c r="L39" s="161"/>
      <c r="M39" s="161"/>
      <c r="N39" s="161"/>
      <c r="O39" s="161"/>
      <c r="P39" s="161"/>
      <c r="Q39" s="161"/>
      <c r="R39" s="161"/>
      <c r="S39" s="161"/>
      <c r="T39" s="161"/>
      <c r="U39" s="161"/>
      <c r="V39" s="161"/>
      <c r="W39" s="161"/>
      <c r="X39" s="161"/>
      <c r="Y39" s="161"/>
      <c r="Z39" s="161"/>
      <c r="AA39" s="161"/>
      <c r="AB39" s="161"/>
      <c r="AC39" s="161"/>
      <c r="AD39" s="161"/>
      <c r="AE39" s="161"/>
      <c r="AF39" s="161"/>
    </row>
    <row r="40" spans="7:32">
      <c r="G40" s="161"/>
      <c r="H40" s="161"/>
      <c r="I40" s="161"/>
      <c r="J40" s="161"/>
      <c r="K40" s="161"/>
      <c r="L40" s="161"/>
      <c r="M40" s="161"/>
      <c r="N40" s="161"/>
      <c r="O40" s="161"/>
      <c r="P40" s="161"/>
      <c r="Q40" s="161"/>
      <c r="R40" s="161"/>
      <c r="S40" s="161"/>
      <c r="T40" s="161"/>
      <c r="U40" s="161"/>
      <c r="V40" s="161"/>
      <c r="W40" s="161"/>
      <c r="X40" s="161"/>
      <c r="Y40" s="161"/>
      <c r="Z40" s="161"/>
      <c r="AA40" s="161"/>
      <c r="AB40" s="161"/>
      <c r="AC40" s="161"/>
      <c r="AD40" s="161"/>
      <c r="AE40" s="161"/>
      <c r="AF40" s="161"/>
    </row>
    <row r="41" spans="7:32">
      <c r="G41" s="161"/>
      <c r="H41" s="161"/>
      <c r="I41" s="161"/>
      <c r="J41" s="161"/>
      <c r="K41" s="161"/>
      <c r="L41" s="161"/>
      <c r="M41" s="161"/>
      <c r="N41" s="161"/>
      <c r="O41" s="161"/>
      <c r="P41" s="161"/>
      <c r="Q41" s="161"/>
      <c r="R41" s="161"/>
      <c r="S41" s="161"/>
      <c r="T41" s="161"/>
      <c r="U41" s="161"/>
      <c r="V41" s="161"/>
      <c r="W41" s="161"/>
      <c r="X41" s="161"/>
      <c r="Y41" s="161"/>
      <c r="Z41" s="161"/>
      <c r="AA41" s="161"/>
      <c r="AB41" s="161"/>
      <c r="AC41" s="161"/>
      <c r="AD41" s="161"/>
      <c r="AE41" s="161"/>
      <c r="AF41" s="161"/>
    </row>
  </sheetData>
  <mergeCells count="1">
    <mergeCell ref="F3:M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41"/>
  <sheetViews>
    <sheetView workbookViewId="0"/>
  </sheetViews>
  <sheetFormatPr defaultRowHeight="12"/>
  <cols>
    <col min="1" max="1" width="2" style="156" customWidth="1"/>
    <col min="2" max="2" width="29.140625" style="156" customWidth="1"/>
    <col min="3" max="3" width="14.7109375" style="156" customWidth="1"/>
    <col min="4" max="4" width="9.7109375" style="156" customWidth="1"/>
    <col min="5" max="5" width="6.85546875" style="156" customWidth="1"/>
    <col min="6" max="6" width="19.28515625" style="156" customWidth="1" collapsed="1"/>
    <col min="7" max="7" width="18.140625" style="156" customWidth="1"/>
    <col min="8" max="10" width="9" style="156" customWidth="1"/>
    <col min="11" max="11" width="9.28515625" style="156" customWidth="1"/>
    <col min="12" max="25" width="9.140625" style="156" customWidth="1"/>
    <col min="26" max="26" width="9.28515625" style="156" customWidth="1"/>
    <col min="27" max="27" width="9.42578125" style="156" customWidth="1"/>
    <col min="28" max="28" width="10" style="156" customWidth="1"/>
    <col min="29" max="29" width="11.42578125" style="156" customWidth="1"/>
    <col min="30" max="30" width="9.42578125" style="156" bestFit="1" customWidth="1" collapsed="1"/>
    <col min="31" max="16384" width="9.140625" style="156"/>
  </cols>
  <sheetData>
    <row r="1" spans="1:31" s="155" customFormat="1" ht="15" customHeight="1">
      <c r="B1" s="17" t="s">
        <v>385</v>
      </c>
      <c r="C1" s="154"/>
      <c r="D1" s="154"/>
      <c r="E1" s="154"/>
      <c r="F1" s="154"/>
      <c r="G1" s="154"/>
      <c r="H1" s="154"/>
      <c r="I1" s="154"/>
      <c r="J1" s="154"/>
      <c r="K1" s="154"/>
    </row>
    <row r="2" spans="1:31" ht="12" customHeight="1"/>
    <row r="3" spans="1:31" s="158" customFormat="1" ht="12" customHeight="1">
      <c r="A3" s="156"/>
      <c r="C3" s="396" t="s">
        <v>258</v>
      </c>
      <c r="D3" s="157"/>
      <c r="E3" s="336"/>
      <c r="F3" s="336"/>
      <c r="G3" s="336"/>
      <c r="H3" s="336"/>
      <c r="I3" s="336"/>
      <c r="J3" s="336"/>
      <c r="K3" s="336"/>
      <c r="L3" s="336"/>
      <c r="M3" s="157"/>
      <c r="N3" s="157"/>
      <c r="O3" s="157"/>
      <c r="P3" s="157"/>
      <c r="Q3" s="157"/>
      <c r="R3" s="157"/>
      <c r="S3" s="157"/>
      <c r="T3" s="157"/>
      <c r="U3" s="157"/>
      <c r="V3" s="157"/>
      <c r="W3" s="157"/>
      <c r="X3" s="157"/>
      <c r="Y3" s="157"/>
      <c r="Z3" s="157"/>
    </row>
    <row r="4" spans="1:31" ht="12" customHeight="1">
      <c r="A4" s="158"/>
      <c r="B4" s="173" t="s">
        <v>123</v>
      </c>
      <c r="C4" s="174">
        <f>'EBIT &amp; Advertising Expense'!C11</f>
        <v>32618.080000000089</v>
      </c>
      <c r="E4" s="212" t="s">
        <v>52</v>
      </c>
      <c r="F4" s="212" t="s">
        <v>387</v>
      </c>
      <c r="G4" s="212" t="s">
        <v>386</v>
      </c>
      <c r="H4" s="165"/>
      <c r="I4" s="165"/>
      <c r="J4" s="165"/>
      <c r="K4" s="165"/>
      <c r="L4" s="198"/>
    </row>
    <row r="5" spans="1:31" ht="12" customHeight="1">
      <c r="A5" s="158"/>
      <c r="B5" s="173" t="s">
        <v>12</v>
      </c>
      <c r="C5" s="93">
        <f>WACC!C8</f>
        <v>7.4461348837209299E-2</v>
      </c>
      <c r="E5" s="232">
        <v>1</v>
      </c>
      <c r="F5" s="235">
        <v>421.54</v>
      </c>
      <c r="G5" s="235">
        <f>F5/(1+$C$5)^E5</f>
        <v>392.32681608900498</v>
      </c>
      <c r="H5" s="276"/>
      <c r="I5" s="393"/>
      <c r="J5" s="276"/>
      <c r="K5" s="393"/>
      <c r="L5" s="394"/>
    </row>
    <row r="6" spans="1:31" ht="12" customHeight="1">
      <c r="E6" s="232">
        <f>E5+1</f>
        <v>2</v>
      </c>
      <c r="F6" s="235">
        <f xml:space="preserve"> 897.75/4</f>
        <v>224.4375</v>
      </c>
      <c r="G6" s="235">
        <f t="shared" ref="G6:G10" si="0">F6/(1+$C$5)^E6</f>
        <v>194.40786357193599</v>
      </c>
      <c r="H6" s="65"/>
      <c r="I6" s="65"/>
      <c r="J6" s="65"/>
      <c r="K6" s="65"/>
      <c r="L6" s="394"/>
      <c r="N6" s="160"/>
      <c r="O6" s="160"/>
      <c r="P6" s="160"/>
      <c r="Q6" s="160"/>
      <c r="R6" s="160"/>
      <c r="S6" s="160"/>
      <c r="X6" s="160"/>
    </row>
    <row r="7" spans="1:31" ht="12" customHeight="1">
      <c r="B7" s="173" t="s">
        <v>388</v>
      </c>
      <c r="C7" s="234">
        <f>G11</f>
        <v>1113.1539573723101</v>
      </c>
      <c r="E7" s="232">
        <f t="shared" ref="E7:E10" si="1">E6+1</f>
        <v>3</v>
      </c>
      <c r="F7" s="235">
        <f xml:space="preserve"> 897.75/4</f>
        <v>224.4375</v>
      </c>
      <c r="G7" s="235">
        <f t="shared" si="0"/>
        <v>180.93518560004577</v>
      </c>
      <c r="H7" s="276"/>
      <c r="I7" s="276"/>
      <c r="J7" s="276"/>
      <c r="K7" s="276"/>
      <c r="L7" s="347"/>
      <c r="N7" s="161"/>
      <c r="O7" s="161"/>
      <c r="P7" s="161"/>
      <c r="Q7" s="161"/>
      <c r="R7" s="161"/>
      <c r="S7" s="161"/>
      <c r="T7" s="161"/>
      <c r="U7" s="161"/>
      <c r="V7" s="161"/>
      <c r="W7" s="161"/>
      <c r="X7" s="161"/>
      <c r="Y7" s="161"/>
      <c r="Z7" s="161"/>
      <c r="AA7" s="161"/>
      <c r="AB7" s="161"/>
      <c r="AC7" s="161"/>
    </row>
    <row r="8" spans="1:31" ht="12" customHeight="1">
      <c r="B8" s="173" t="s">
        <v>389</v>
      </c>
      <c r="C8" s="234">
        <f>WACC!F10+'EBIT &amp; Operating Leases'!C7</f>
        <v>22383.497914744617</v>
      </c>
      <c r="D8" s="164"/>
      <c r="E8" s="232">
        <f t="shared" si="1"/>
        <v>4</v>
      </c>
      <c r="F8" s="235">
        <f xml:space="preserve"> 897.75/4</f>
        <v>224.4375</v>
      </c>
      <c r="G8" s="235">
        <f t="shared" si="0"/>
        <v>168.39617897456742</v>
      </c>
      <c r="H8" s="218"/>
      <c r="I8" s="218"/>
      <c r="J8" s="218"/>
      <c r="K8" s="218"/>
      <c r="L8" s="347"/>
      <c r="N8" s="161"/>
      <c r="O8" s="161"/>
      <c r="P8" s="161"/>
      <c r="Q8" s="161"/>
      <c r="R8" s="161"/>
      <c r="S8" s="161"/>
      <c r="T8" s="161"/>
      <c r="U8" s="161"/>
      <c r="V8" s="161"/>
      <c r="W8" s="161"/>
      <c r="X8" s="161"/>
      <c r="Y8" s="161"/>
      <c r="Z8" s="161"/>
      <c r="AA8" s="161"/>
      <c r="AB8" s="161"/>
      <c r="AC8" s="161"/>
    </row>
    <row r="9" spans="1:31" ht="12" customHeight="1">
      <c r="B9" s="173" t="s">
        <v>390</v>
      </c>
      <c r="C9" s="234">
        <f>131.57</f>
        <v>131.57</v>
      </c>
      <c r="E9" s="232">
        <f t="shared" si="1"/>
        <v>5</v>
      </c>
      <c r="F9" s="235">
        <f xml:space="preserve"> 897.75/4</f>
        <v>224.4375</v>
      </c>
      <c r="G9" s="235">
        <f t="shared" si="0"/>
        <v>156.7261392481052</v>
      </c>
      <c r="H9" s="161"/>
      <c r="I9" s="161"/>
      <c r="J9" s="161"/>
      <c r="L9" s="161"/>
      <c r="M9" s="161"/>
      <c r="N9" s="161"/>
      <c r="O9" s="161"/>
      <c r="P9" s="161"/>
      <c r="Q9" s="161"/>
      <c r="R9" s="161"/>
      <c r="S9" s="161"/>
      <c r="T9" s="161"/>
      <c r="U9" s="161"/>
      <c r="V9" s="161"/>
      <c r="W9" s="161"/>
      <c r="X9" s="161"/>
      <c r="Y9" s="161"/>
      <c r="Z9" s="161"/>
      <c r="AA9" s="161"/>
      <c r="AB9" s="161"/>
      <c r="AC9" s="161"/>
      <c r="AD9" s="161"/>
      <c r="AE9" s="161"/>
    </row>
    <row r="10" spans="1:31">
      <c r="B10" s="173" t="s">
        <v>391</v>
      </c>
      <c r="C10" s="234">
        <f>G11/6</f>
        <v>185.52565956205169</v>
      </c>
      <c r="E10" s="232">
        <f t="shared" si="1"/>
        <v>6</v>
      </c>
      <c r="F10" s="235">
        <v>31.33</v>
      </c>
      <c r="G10" s="235">
        <f t="shared" si="0"/>
        <v>20.361773888650649</v>
      </c>
      <c r="H10" s="161"/>
      <c r="I10" s="161"/>
      <c r="J10" s="161"/>
      <c r="L10" s="161"/>
      <c r="M10" s="190"/>
      <c r="N10" s="161"/>
      <c r="O10" s="161"/>
      <c r="P10" s="161"/>
      <c r="Q10" s="161"/>
      <c r="R10" s="161"/>
      <c r="S10" s="161"/>
      <c r="T10" s="161"/>
      <c r="U10" s="161"/>
      <c r="V10" s="161"/>
      <c r="W10" s="161"/>
      <c r="X10" s="161"/>
      <c r="Y10" s="161"/>
      <c r="Z10" s="161"/>
      <c r="AA10" s="161"/>
      <c r="AB10" s="161"/>
      <c r="AC10" s="161"/>
      <c r="AD10" s="161"/>
      <c r="AE10" s="161"/>
    </row>
    <row r="11" spans="1:31">
      <c r="F11" s="437"/>
      <c r="G11" s="397">
        <f>SUM(G5:G10)</f>
        <v>1113.1539573723101</v>
      </c>
      <c r="H11" s="161"/>
      <c r="I11" s="161"/>
      <c r="J11" s="161"/>
      <c r="L11" s="161"/>
      <c r="M11" s="161"/>
      <c r="N11" s="161"/>
      <c r="O11" s="161"/>
      <c r="P11" s="161"/>
      <c r="Q11" s="161"/>
      <c r="R11" s="161"/>
      <c r="S11" s="161"/>
      <c r="T11" s="161"/>
      <c r="U11" s="161"/>
      <c r="V11" s="161"/>
      <c r="W11" s="161"/>
      <c r="X11" s="161"/>
      <c r="Y11" s="161"/>
      <c r="Z11" s="161"/>
      <c r="AA11" s="161"/>
      <c r="AB11" s="161"/>
      <c r="AC11" s="161"/>
      <c r="AD11" s="161"/>
      <c r="AE11" s="161"/>
    </row>
    <row r="12" spans="1:31">
      <c r="A12" s="163"/>
      <c r="B12" s="173" t="s">
        <v>385</v>
      </c>
      <c r="C12" s="174">
        <f>C4+C9</f>
        <v>32749.650000000089</v>
      </c>
      <c r="G12" s="161"/>
      <c r="H12" s="161"/>
      <c r="I12" s="161"/>
      <c r="J12" s="161"/>
      <c r="L12" s="161"/>
      <c r="M12" s="161"/>
      <c r="N12" s="161"/>
      <c r="O12" s="161"/>
      <c r="P12" s="161"/>
      <c r="Q12" s="161"/>
      <c r="R12" s="161"/>
      <c r="S12" s="161"/>
      <c r="T12" s="161"/>
      <c r="U12" s="161"/>
      <c r="V12" s="161"/>
      <c r="W12" s="161"/>
      <c r="X12" s="161"/>
      <c r="Y12" s="161"/>
      <c r="Z12" s="161"/>
      <c r="AA12" s="161"/>
      <c r="AB12" s="161"/>
      <c r="AC12" s="161"/>
      <c r="AD12" s="161"/>
      <c r="AE12" s="161"/>
    </row>
    <row r="13" spans="1:31">
      <c r="A13" s="163" t="s">
        <v>88</v>
      </c>
      <c r="B13" s="173" t="s">
        <v>392</v>
      </c>
      <c r="C13" s="174">
        <f>C10</f>
        <v>185.52565956205169</v>
      </c>
      <c r="F13" s="161"/>
      <c r="G13" s="161"/>
      <c r="H13" s="161"/>
      <c r="I13" s="161"/>
      <c r="J13" s="161"/>
      <c r="K13" s="161"/>
      <c r="L13" s="161"/>
      <c r="M13" s="161"/>
      <c r="N13" s="161"/>
      <c r="O13" s="161"/>
      <c r="P13" s="161"/>
      <c r="Q13" s="161"/>
      <c r="R13" s="161"/>
      <c r="S13" s="161"/>
      <c r="T13" s="161"/>
      <c r="U13" s="161"/>
      <c r="V13" s="161"/>
      <c r="W13" s="161"/>
      <c r="X13" s="161"/>
      <c r="Y13" s="161"/>
      <c r="Z13" s="161"/>
      <c r="AA13" s="161"/>
      <c r="AB13" s="161"/>
      <c r="AC13" s="161"/>
      <c r="AD13" s="161"/>
      <c r="AE13" s="161"/>
    </row>
    <row r="14" spans="1:31">
      <c r="A14" s="159"/>
      <c r="B14" s="177" t="s">
        <v>123</v>
      </c>
      <c r="C14" s="178">
        <f>C12-C13</f>
        <v>32564.124340438037</v>
      </c>
      <c r="F14" s="161"/>
      <c r="G14" s="161"/>
      <c r="H14" s="161"/>
      <c r="I14" s="161"/>
      <c r="J14" s="161"/>
      <c r="K14" s="161"/>
      <c r="L14" s="161"/>
      <c r="M14" s="161"/>
      <c r="N14" s="161"/>
      <c r="O14" s="161"/>
      <c r="P14" s="161"/>
      <c r="Q14" s="161"/>
      <c r="R14" s="161"/>
      <c r="S14" s="161"/>
      <c r="T14" s="161"/>
      <c r="U14" s="161"/>
      <c r="V14" s="161"/>
      <c r="W14" s="161"/>
      <c r="X14" s="161"/>
      <c r="Y14" s="161"/>
      <c r="Z14" s="161"/>
      <c r="AA14" s="161"/>
      <c r="AB14" s="161"/>
      <c r="AC14" s="161"/>
      <c r="AD14" s="161"/>
      <c r="AE14" s="161"/>
    </row>
    <row r="15" spans="1:31">
      <c r="A15" s="163"/>
      <c r="B15" s="159"/>
      <c r="C15" s="183"/>
      <c r="F15" s="161"/>
      <c r="G15" s="161"/>
      <c r="H15" s="161"/>
      <c r="I15" s="161"/>
      <c r="J15" s="161"/>
      <c r="K15" s="161"/>
      <c r="L15" s="161"/>
      <c r="M15" s="161"/>
      <c r="N15" s="161"/>
      <c r="O15" s="161"/>
      <c r="P15" s="161"/>
      <c r="Q15" s="161"/>
      <c r="R15" s="161"/>
      <c r="S15" s="161"/>
      <c r="T15" s="161"/>
      <c r="U15" s="161"/>
      <c r="V15" s="161"/>
      <c r="W15" s="161"/>
      <c r="X15" s="161"/>
      <c r="Y15" s="161"/>
      <c r="Z15" s="161"/>
      <c r="AA15" s="161"/>
      <c r="AB15" s="161"/>
      <c r="AC15" s="161"/>
      <c r="AD15" s="161"/>
      <c r="AE15" s="161"/>
    </row>
    <row r="16" spans="1:31">
      <c r="B16" s="173" t="s">
        <v>179</v>
      </c>
      <c r="C16" s="134">
        <f>Beta!C6</f>
        <v>0.25169999999999998</v>
      </c>
      <c r="D16" s="161"/>
      <c r="E16" s="161"/>
      <c r="F16" s="161"/>
      <c r="G16" s="161"/>
      <c r="H16" s="161"/>
      <c r="N16" s="161"/>
      <c r="O16" s="161"/>
      <c r="P16" s="161"/>
      <c r="Q16" s="161"/>
      <c r="R16" s="161"/>
      <c r="S16" s="161"/>
      <c r="T16" s="161"/>
      <c r="U16" s="161"/>
      <c r="V16" s="161"/>
      <c r="W16" s="161"/>
      <c r="X16" s="161"/>
      <c r="Y16" s="161"/>
      <c r="Z16" s="161"/>
      <c r="AA16" s="161"/>
      <c r="AB16" s="161"/>
      <c r="AC16" s="161"/>
      <c r="AD16" s="161"/>
      <c r="AE16" s="161"/>
    </row>
    <row r="17" spans="2:31">
      <c r="B17" s="173" t="s">
        <v>229</v>
      </c>
      <c r="C17" s="180">
        <f>C14*(1-C16)</f>
        <v>24367.734243949781</v>
      </c>
      <c r="D17" s="166"/>
      <c r="E17" s="166"/>
      <c r="F17" s="166"/>
      <c r="G17" s="166"/>
      <c r="H17" s="167"/>
      <c r="N17" s="161"/>
      <c r="O17" s="161"/>
      <c r="P17" s="161"/>
      <c r="Q17" s="161"/>
      <c r="R17" s="161"/>
      <c r="S17" s="161"/>
      <c r="T17" s="161"/>
      <c r="U17" s="161"/>
      <c r="V17" s="161"/>
      <c r="W17" s="161"/>
      <c r="X17" s="161"/>
      <c r="Y17" s="161"/>
      <c r="Z17" s="161"/>
      <c r="AA17" s="161"/>
      <c r="AB17" s="161"/>
      <c r="AC17" s="161"/>
      <c r="AD17" s="161"/>
      <c r="AE17" s="161"/>
    </row>
    <row r="18" spans="2:31">
      <c r="D18" s="81"/>
      <c r="E18" s="81"/>
      <c r="F18" s="81"/>
      <c r="G18" s="81"/>
      <c r="H18" s="81"/>
      <c r="I18" s="161"/>
      <c r="J18" s="161"/>
      <c r="K18" s="161"/>
      <c r="L18" s="161"/>
      <c r="M18" s="161"/>
      <c r="N18" s="161"/>
      <c r="O18" s="161"/>
      <c r="P18" s="161"/>
      <c r="Q18" s="161"/>
      <c r="R18" s="161"/>
      <c r="S18" s="161"/>
      <c r="T18" s="161"/>
      <c r="U18" s="161"/>
      <c r="V18" s="161"/>
      <c r="W18" s="161"/>
      <c r="X18" s="161"/>
      <c r="Y18" s="161"/>
      <c r="Z18" s="161"/>
      <c r="AA18" s="161"/>
      <c r="AB18" s="161"/>
      <c r="AC18" s="161"/>
      <c r="AD18" s="161"/>
      <c r="AE18" s="161"/>
    </row>
    <row r="19" spans="2:31">
      <c r="D19" s="81"/>
      <c r="E19" s="81"/>
      <c r="F19" s="81"/>
      <c r="G19" s="81"/>
      <c r="H19" s="81"/>
      <c r="I19" s="161"/>
      <c r="J19" s="161"/>
      <c r="K19" s="161"/>
      <c r="L19" s="161"/>
      <c r="M19" s="161"/>
      <c r="N19" s="161"/>
      <c r="O19" s="161"/>
      <c r="P19" s="161"/>
      <c r="Q19" s="161"/>
      <c r="R19" s="161"/>
      <c r="S19" s="161"/>
      <c r="T19" s="161"/>
      <c r="U19" s="161"/>
      <c r="V19" s="161"/>
      <c r="W19" s="161"/>
      <c r="X19" s="161"/>
      <c r="Y19" s="161"/>
      <c r="Z19" s="161"/>
      <c r="AA19" s="161"/>
      <c r="AB19" s="161"/>
      <c r="AC19" s="161"/>
      <c r="AD19" s="161"/>
      <c r="AE19" s="161"/>
    </row>
    <row r="20" spans="2:31">
      <c r="D20" s="168"/>
      <c r="E20" s="168"/>
      <c r="F20" s="168"/>
      <c r="G20" s="168"/>
      <c r="H20" s="166"/>
      <c r="I20" s="161"/>
      <c r="J20" s="161"/>
      <c r="K20" s="161"/>
      <c r="L20" s="161"/>
      <c r="M20" s="161"/>
      <c r="N20" s="161"/>
      <c r="O20" s="161"/>
      <c r="P20" s="161"/>
      <c r="Q20" s="161"/>
      <c r="R20" s="161"/>
      <c r="S20" s="161"/>
      <c r="T20" s="161"/>
      <c r="U20" s="161"/>
      <c r="V20" s="161"/>
      <c r="W20" s="161"/>
      <c r="X20" s="161"/>
      <c r="Y20" s="161"/>
      <c r="Z20" s="161"/>
      <c r="AA20" s="161"/>
      <c r="AB20" s="161"/>
      <c r="AC20" s="161"/>
      <c r="AD20" s="161"/>
      <c r="AE20" s="161"/>
    </row>
    <row r="21" spans="2:31">
      <c r="F21" s="161"/>
      <c r="G21" s="166"/>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row>
    <row r="22" spans="2:31">
      <c r="F22" s="161"/>
      <c r="G22" s="161"/>
      <c r="H22" s="161"/>
      <c r="I22" s="161"/>
      <c r="J22" s="161"/>
      <c r="K22" s="161"/>
      <c r="L22" s="161"/>
      <c r="M22" s="161"/>
      <c r="N22" s="161"/>
      <c r="O22" s="161"/>
      <c r="P22" s="161"/>
      <c r="Q22" s="161"/>
      <c r="R22" s="161"/>
      <c r="S22" s="161"/>
      <c r="T22" s="161"/>
      <c r="U22" s="161"/>
      <c r="V22" s="161"/>
      <c r="W22" s="161"/>
      <c r="X22" s="161"/>
      <c r="Y22" s="161"/>
      <c r="Z22" s="161"/>
      <c r="AA22" s="161"/>
      <c r="AB22" s="161"/>
      <c r="AC22" s="161"/>
      <c r="AD22" s="161"/>
      <c r="AE22" s="161"/>
    </row>
    <row r="23" spans="2:31">
      <c r="F23" s="161"/>
      <c r="G23" s="161"/>
      <c r="H23" s="161"/>
      <c r="I23" s="161"/>
      <c r="J23" s="161"/>
      <c r="K23" s="161"/>
      <c r="L23" s="161"/>
      <c r="M23" s="161"/>
      <c r="N23" s="161"/>
      <c r="O23" s="161"/>
      <c r="P23" s="161"/>
      <c r="Q23" s="161"/>
      <c r="R23" s="161"/>
      <c r="S23" s="161"/>
      <c r="T23" s="161"/>
      <c r="U23" s="161"/>
      <c r="V23" s="161"/>
      <c r="W23" s="161"/>
      <c r="X23" s="161"/>
      <c r="Y23" s="161"/>
      <c r="Z23" s="161"/>
      <c r="AA23" s="161"/>
      <c r="AB23" s="161"/>
      <c r="AC23" s="161"/>
      <c r="AD23" s="161"/>
      <c r="AE23" s="161"/>
    </row>
    <row r="24" spans="2:31">
      <c r="F24" s="161"/>
      <c r="G24" s="161"/>
      <c r="H24" s="161"/>
      <c r="I24" s="161"/>
      <c r="J24" s="161"/>
      <c r="K24" s="161"/>
      <c r="L24" s="161"/>
      <c r="M24" s="161"/>
      <c r="N24" s="161"/>
      <c r="O24" s="161"/>
      <c r="P24" s="161"/>
      <c r="Q24" s="161"/>
      <c r="R24" s="161"/>
      <c r="S24" s="161"/>
      <c r="T24" s="161"/>
      <c r="U24" s="161"/>
      <c r="V24" s="161"/>
      <c r="W24" s="161"/>
      <c r="X24" s="161"/>
      <c r="Y24" s="161"/>
      <c r="Z24" s="161"/>
      <c r="AA24" s="161"/>
      <c r="AB24" s="161"/>
      <c r="AC24" s="161"/>
      <c r="AD24" s="161"/>
      <c r="AE24" s="161"/>
    </row>
    <row r="25" spans="2:31">
      <c r="F25" s="161"/>
      <c r="G25" s="161"/>
      <c r="H25" s="161"/>
      <c r="I25" s="161"/>
      <c r="J25" s="161"/>
      <c r="K25" s="161"/>
      <c r="L25" s="161"/>
      <c r="M25" s="161"/>
      <c r="N25" s="161"/>
      <c r="O25" s="161"/>
      <c r="P25" s="161"/>
      <c r="Q25" s="161"/>
      <c r="R25" s="161"/>
      <c r="S25" s="161"/>
      <c r="T25" s="161"/>
      <c r="U25" s="161"/>
      <c r="V25" s="161"/>
      <c r="W25" s="161"/>
      <c r="X25" s="161"/>
      <c r="Y25" s="161"/>
      <c r="Z25" s="161"/>
      <c r="AA25" s="161"/>
      <c r="AB25" s="161"/>
      <c r="AC25" s="161"/>
      <c r="AD25" s="161"/>
      <c r="AE25" s="161"/>
    </row>
    <row r="26" spans="2:31">
      <c r="F26" s="161"/>
      <c r="G26" s="161"/>
      <c r="H26" s="161"/>
      <c r="I26" s="161"/>
      <c r="J26" s="161"/>
      <c r="K26" s="161"/>
      <c r="L26" s="161"/>
      <c r="M26" s="161"/>
      <c r="N26" s="161"/>
      <c r="O26" s="161"/>
      <c r="P26" s="161"/>
      <c r="Q26" s="161"/>
      <c r="R26" s="161"/>
      <c r="S26" s="161"/>
      <c r="T26" s="161"/>
      <c r="U26" s="161"/>
      <c r="V26" s="161"/>
      <c r="W26" s="161"/>
      <c r="X26" s="161"/>
      <c r="Y26" s="161"/>
      <c r="Z26" s="161"/>
      <c r="AA26" s="161"/>
      <c r="AB26" s="161"/>
      <c r="AC26" s="161"/>
      <c r="AD26" s="161"/>
      <c r="AE26" s="161"/>
    </row>
    <row r="27" spans="2:31">
      <c r="F27" s="161"/>
      <c r="G27" s="161"/>
      <c r="H27" s="161"/>
      <c r="I27" s="161"/>
      <c r="J27" s="161"/>
      <c r="K27" s="161"/>
      <c r="L27" s="161"/>
      <c r="M27" s="161"/>
      <c r="N27" s="161"/>
      <c r="O27" s="161"/>
      <c r="P27" s="161"/>
      <c r="Q27" s="161"/>
      <c r="R27" s="161"/>
      <c r="S27" s="161"/>
      <c r="T27" s="161"/>
      <c r="U27" s="161"/>
      <c r="V27" s="161"/>
      <c r="W27" s="161"/>
      <c r="X27" s="161"/>
      <c r="Y27" s="161"/>
      <c r="Z27" s="161"/>
      <c r="AA27" s="161"/>
      <c r="AB27" s="161"/>
      <c r="AC27" s="161"/>
      <c r="AD27" s="161"/>
      <c r="AE27" s="161"/>
    </row>
    <row r="28" spans="2:31">
      <c r="F28" s="161"/>
      <c r="G28" s="161"/>
      <c r="H28" s="161"/>
      <c r="I28" s="161"/>
      <c r="J28" s="161"/>
      <c r="K28" s="161"/>
      <c r="L28" s="161"/>
      <c r="M28" s="161"/>
      <c r="N28" s="161"/>
      <c r="O28" s="161"/>
      <c r="P28" s="161"/>
      <c r="Q28" s="161"/>
      <c r="R28" s="161"/>
      <c r="S28" s="161"/>
      <c r="T28" s="161"/>
      <c r="U28" s="161"/>
      <c r="V28" s="161"/>
      <c r="W28" s="161"/>
      <c r="X28" s="161"/>
      <c r="Y28" s="161"/>
      <c r="Z28" s="161"/>
      <c r="AA28" s="161"/>
      <c r="AB28" s="161"/>
      <c r="AC28" s="161"/>
      <c r="AD28" s="161"/>
      <c r="AE28" s="161"/>
    </row>
    <row r="29" spans="2:31">
      <c r="F29" s="161"/>
      <c r="G29" s="161"/>
      <c r="H29" s="161"/>
      <c r="I29" s="161"/>
      <c r="J29" s="161"/>
      <c r="K29" s="161"/>
      <c r="L29" s="161"/>
      <c r="M29" s="161"/>
      <c r="N29" s="161"/>
      <c r="O29" s="161"/>
      <c r="P29" s="161"/>
      <c r="Q29" s="161"/>
      <c r="R29" s="161"/>
      <c r="S29" s="161"/>
      <c r="T29" s="161"/>
      <c r="U29" s="161"/>
      <c r="V29" s="161"/>
      <c r="W29" s="161"/>
      <c r="X29" s="161"/>
      <c r="Y29" s="161"/>
      <c r="Z29" s="161"/>
      <c r="AA29" s="161"/>
      <c r="AB29" s="161"/>
      <c r="AC29" s="161"/>
      <c r="AD29" s="161"/>
      <c r="AE29" s="161"/>
    </row>
    <row r="30" spans="2:31">
      <c r="F30" s="161"/>
      <c r="G30" s="161"/>
      <c r="H30" s="161"/>
      <c r="I30" s="161"/>
      <c r="J30" s="161"/>
      <c r="K30" s="161"/>
      <c r="L30" s="161"/>
      <c r="M30" s="161"/>
      <c r="N30" s="161"/>
      <c r="O30" s="161"/>
      <c r="P30" s="161"/>
      <c r="Q30" s="161"/>
      <c r="R30" s="161"/>
      <c r="S30" s="161"/>
      <c r="T30" s="161"/>
      <c r="U30" s="161"/>
      <c r="V30" s="161"/>
      <c r="W30" s="161"/>
      <c r="X30" s="161"/>
      <c r="Y30" s="161"/>
      <c r="Z30" s="161"/>
      <c r="AA30" s="161"/>
      <c r="AB30" s="161"/>
      <c r="AC30" s="161"/>
      <c r="AD30" s="161"/>
      <c r="AE30" s="161"/>
    </row>
    <row r="31" spans="2:31">
      <c r="F31" s="161"/>
      <c r="G31" s="161"/>
      <c r="H31" s="161"/>
      <c r="I31" s="161"/>
      <c r="J31" s="161"/>
      <c r="K31" s="161"/>
      <c r="L31" s="161"/>
      <c r="M31" s="161"/>
      <c r="N31" s="161"/>
      <c r="O31" s="161"/>
      <c r="P31" s="161"/>
      <c r="Q31" s="161"/>
      <c r="R31" s="161"/>
      <c r="S31" s="161"/>
      <c r="T31" s="161"/>
      <c r="U31" s="161"/>
      <c r="V31" s="161"/>
      <c r="W31" s="161"/>
      <c r="X31" s="161"/>
      <c r="Y31" s="161"/>
      <c r="Z31" s="161"/>
      <c r="AA31" s="161"/>
      <c r="AB31" s="161"/>
      <c r="AC31" s="161"/>
      <c r="AD31" s="161"/>
      <c r="AE31" s="161"/>
    </row>
    <row r="32" spans="2:31">
      <c r="F32" s="161"/>
      <c r="G32" s="161"/>
      <c r="H32" s="161"/>
      <c r="I32" s="161"/>
      <c r="J32" s="161"/>
      <c r="K32" s="161"/>
      <c r="L32" s="161"/>
      <c r="M32" s="161"/>
      <c r="N32" s="161"/>
      <c r="O32" s="161"/>
      <c r="P32" s="161"/>
      <c r="Q32" s="161"/>
      <c r="R32" s="161"/>
      <c r="S32" s="161"/>
      <c r="T32" s="161"/>
      <c r="U32" s="161"/>
      <c r="V32" s="161"/>
      <c r="W32" s="161"/>
      <c r="X32" s="161"/>
      <c r="Y32" s="161"/>
      <c r="Z32" s="161"/>
      <c r="AA32" s="161"/>
      <c r="AB32" s="161"/>
      <c r="AC32" s="161"/>
      <c r="AD32" s="161"/>
      <c r="AE32" s="161"/>
    </row>
    <row r="33" spans="6:31" ht="14.25" customHeight="1">
      <c r="F33" s="161"/>
      <c r="G33" s="161"/>
      <c r="H33" s="161"/>
      <c r="I33" s="161"/>
      <c r="J33" s="161"/>
      <c r="K33" s="161"/>
      <c r="L33" s="161"/>
      <c r="M33" s="161"/>
      <c r="N33" s="161"/>
      <c r="O33" s="161"/>
      <c r="P33" s="161"/>
      <c r="Q33" s="161"/>
      <c r="R33" s="161"/>
      <c r="S33" s="161"/>
      <c r="T33" s="161"/>
      <c r="U33" s="161"/>
      <c r="V33" s="161"/>
      <c r="W33" s="161"/>
      <c r="X33" s="161"/>
      <c r="Y33" s="161"/>
      <c r="Z33" s="161"/>
      <c r="AA33" s="161"/>
      <c r="AB33" s="161"/>
      <c r="AC33" s="161"/>
      <c r="AD33" s="161"/>
      <c r="AE33" s="161"/>
    </row>
    <row r="34" spans="6:31">
      <c r="F34" s="161"/>
      <c r="G34" s="161"/>
      <c r="H34" s="161"/>
      <c r="I34" s="161"/>
      <c r="J34" s="161"/>
      <c r="K34" s="161"/>
      <c r="L34" s="161"/>
      <c r="M34" s="161"/>
      <c r="N34" s="161"/>
      <c r="O34" s="161"/>
      <c r="P34" s="161"/>
      <c r="Q34" s="161"/>
      <c r="R34" s="161"/>
      <c r="S34" s="161"/>
      <c r="T34" s="161"/>
      <c r="U34" s="161"/>
      <c r="V34" s="161"/>
      <c r="W34" s="161"/>
      <c r="X34" s="161"/>
      <c r="Y34" s="161"/>
      <c r="Z34" s="161"/>
      <c r="AA34" s="161"/>
      <c r="AB34" s="161"/>
      <c r="AC34" s="161"/>
      <c r="AD34" s="161"/>
      <c r="AE34" s="161"/>
    </row>
    <row r="35" spans="6:31">
      <c r="F35" s="161"/>
      <c r="G35" s="161"/>
      <c r="H35" s="161"/>
      <c r="I35" s="161"/>
      <c r="J35" s="161"/>
      <c r="K35" s="161"/>
      <c r="L35" s="161"/>
      <c r="M35" s="161"/>
      <c r="N35" s="161"/>
      <c r="O35" s="161"/>
      <c r="P35" s="161"/>
      <c r="Q35" s="161"/>
      <c r="R35" s="161"/>
      <c r="S35" s="161"/>
      <c r="T35" s="161"/>
      <c r="U35" s="161"/>
      <c r="V35" s="161"/>
      <c r="W35" s="161"/>
      <c r="X35" s="161"/>
      <c r="Y35" s="161"/>
      <c r="Z35" s="161"/>
      <c r="AA35" s="161"/>
      <c r="AB35" s="161"/>
      <c r="AC35" s="161"/>
      <c r="AD35" s="161"/>
      <c r="AE35" s="161"/>
    </row>
    <row r="36" spans="6:31">
      <c r="F36" s="161"/>
      <c r="G36" s="161"/>
      <c r="H36" s="161"/>
      <c r="I36" s="161"/>
      <c r="J36" s="161"/>
      <c r="K36" s="161"/>
      <c r="L36" s="161"/>
      <c r="M36" s="161"/>
      <c r="N36" s="161"/>
      <c r="O36" s="161"/>
      <c r="P36" s="161"/>
      <c r="Q36" s="161"/>
      <c r="R36" s="161"/>
      <c r="S36" s="161"/>
      <c r="T36" s="161"/>
      <c r="U36" s="161"/>
      <c r="V36" s="161"/>
      <c r="W36" s="161"/>
      <c r="X36" s="161"/>
      <c r="Y36" s="161"/>
      <c r="Z36" s="161"/>
      <c r="AA36" s="161"/>
      <c r="AB36" s="161"/>
      <c r="AC36" s="161"/>
      <c r="AD36" s="161"/>
      <c r="AE36" s="161"/>
    </row>
    <row r="37" spans="6:31">
      <c r="F37" s="161"/>
      <c r="G37" s="161"/>
      <c r="H37" s="161"/>
      <c r="I37" s="161"/>
      <c r="J37" s="161"/>
      <c r="K37" s="161"/>
      <c r="L37" s="161"/>
      <c r="M37" s="161"/>
      <c r="N37" s="161"/>
      <c r="O37" s="161"/>
      <c r="P37" s="161"/>
      <c r="Q37" s="161"/>
      <c r="R37" s="161"/>
      <c r="S37" s="161"/>
      <c r="T37" s="161"/>
      <c r="U37" s="161"/>
      <c r="V37" s="161"/>
      <c r="W37" s="161"/>
      <c r="X37" s="161"/>
      <c r="Y37" s="161"/>
      <c r="Z37" s="161"/>
      <c r="AA37" s="161"/>
      <c r="AB37" s="161"/>
      <c r="AC37" s="161"/>
      <c r="AD37" s="161"/>
      <c r="AE37" s="161"/>
    </row>
    <row r="38" spans="6:31">
      <c r="F38" s="161"/>
      <c r="G38" s="161"/>
      <c r="H38" s="161"/>
      <c r="I38" s="161"/>
      <c r="J38" s="161"/>
      <c r="K38" s="161"/>
      <c r="L38" s="161"/>
      <c r="M38" s="161"/>
      <c r="N38" s="161"/>
      <c r="O38" s="161"/>
      <c r="P38" s="161"/>
      <c r="Q38" s="161"/>
      <c r="R38" s="161"/>
      <c r="S38" s="161"/>
      <c r="T38" s="161"/>
      <c r="U38" s="161"/>
      <c r="V38" s="161"/>
      <c r="W38" s="161"/>
      <c r="X38" s="161"/>
      <c r="Y38" s="161"/>
      <c r="Z38" s="161"/>
      <c r="AA38" s="161"/>
      <c r="AB38" s="161"/>
      <c r="AC38" s="161"/>
      <c r="AD38" s="161"/>
      <c r="AE38" s="161"/>
    </row>
    <row r="39" spans="6:31">
      <c r="F39" s="161"/>
      <c r="G39" s="161"/>
      <c r="H39" s="161"/>
      <c r="I39" s="161"/>
      <c r="J39" s="161"/>
      <c r="K39" s="161"/>
      <c r="L39" s="161"/>
      <c r="M39" s="161"/>
      <c r="N39" s="161"/>
      <c r="O39" s="161"/>
      <c r="P39" s="161"/>
      <c r="Q39" s="161"/>
      <c r="R39" s="161"/>
      <c r="S39" s="161"/>
      <c r="T39" s="161"/>
      <c r="U39" s="161"/>
      <c r="V39" s="161"/>
      <c r="W39" s="161"/>
      <c r="X39" s="161"/>
      <c r="Y39" s="161"/>
      <c r="Z39" s="161"/>
      <c r="AA39" s="161"/>
      <c r="AB39" s="161"/>
      <c r="AC39" s="161"/>
      <c r="AD39" s="161"/>
      <c r="AE39" s="161"/>
    </row>
    <row r="40" spans="6:31">
      <c r="F40" s="161"/>
      <c r="G40" s="161"/>
      <c r="H40" s="161"/>
      <c r="I40" s="161"/>
      <c r="J40" s="161"/>
      <c r="K40" s="161"/>
      <c r="L40" s="161"/>
      <c r="M40" s="161"/>
      <c r="N40" s="161"/>
      <c r="O40" s="161"/>
      <c r="P40" s="161"/>
      <c r="Q40" s="161"/>
      <c r="R40" s="161"/>
      <c r="S40" s="161"/>
      <c r="T40" s="161"/>
      <c r="U40" s="161"/>
      <c r="V40" s="161"/>
      <c r="W40" s="161"/>
      <c r="X40" s="161"/>
      <c r="Y40" s="161"/>
      <c r="Z40" s="161"/>
      <c r="AA40" s="161"/>
      <c r="AB40" s="161"/>
      <c r="AC40" s="161"/>
      <c r="AD40" s="161"/>
      <c r="AE40" s="161"/>
    </row>
    <row r="41" spans="6:31">
      <c r="F41" s="161"/>
      <c r="G41" s="161"/>
      <c r="H41" s="161"/>
      <c r="I41" s="161"/>
      <c r="J41" s="161"/>
      <c r="K41" s="161"/>
      <c r="L41" s="161"/>
      <c r="M41" s="161"/>
      <c r="N41" s="161"/>
      <c r="O41" s="161"/>
      <c r="P41" s="161"/>
      <c r="Q41" s="161"/>
      <c r="R41" s="161"/>
      <c r="S41" s="161"/>
      <c r="T41" s="161"/>
      <c r="U41" s="161"/>
      <c r="V41" s="161"/>
      <c r="W41" s="161"/>
      <c r="X41" s="161"/>
      <c r="Y41" s="161"/>
      <c r="Z41" s="161"/>
      <c r="AA41" s="161"/>
      <c r="AB41" s="161"/>
      <c r="AC41" s="161"/>
      <c r="AD41" s="161"/>
      <c r="AE41" s="161"/>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56" customWidth="1"/>
    <col min="2" max="2" width="40" style="156" customWidth="1"/>
    <col min="3" max="3" width="13.140625" style="156" customWidth="1"/>
    <col min="4" max="4" width="4" style="156" customWidth="1"/>
    <col min="5" max="5" width="9.28515625" style="156" customWidth="1"/>
    <col min="6" max="6" width="9.85546875" style="156" customWidth="1"/>
    <col min="7" max="7" width="10.140625" style="156" bestFit="1" customWidth="1" collapsed="1"/>
    <col min="8" max="11" width="9" style="156" customWidth="1"/>
    <col min="12" max="12" width="9.28515625" style="156" customWidth="1"/>
    <col min="13" max="26" width="9.140625" style="156" customWidth="1"/>
    <col min="27" max="27" width="9.28515625" style="156" customWidth="1"/>
    <col min="28" max="28" width="9.42578125" style="156" customWidth="1"/>
    <col min="29" max="29" width="10" style="156" customWidth="1"/>
    <col min="30" max="30" width="11.42578125" style="156" customWidth="1"/>
    <col min="31" max="31" width="9.42578125" style="156" bestFit="1" customWidth="1" collapsed="1"/>
    <col min="32" max="16384" width="9.140625" style="156"/>
  </cols>
  <sheetData>
    <row r="1" spans="1:32" s="155" customFormat="1" ht="15" customHeight="1">
      <c r="B1" s="17" t="s">
        <v>124</v>
      </c>
      <c r="C1" s="154"/>
      <c r="D1" s="154"/>
      <c r="E1" s="154"/>
      <c r="F1" s="154"/>
      <c r="G1" s="154"/>
      <c r="H1" s="154"/>
      <c r="I1" s="154"/>
      <c r="J1" s="154"/>
      <c r="K1" s="154"/>
      <c r="L1" s="154"/>
    </row>
    <row r="2" spans="1:32" ht="12.75" customHeight="1">
      <c r="C2" s="182" t="s">
        <v>258</v>
      </c>
    </row>
    <row r="3" spans="1:32">
      <c r="A3" s="158"/>
      <c r="B3" s="173" t="s">
        <v>125</v>
      </c>
      <c r="C3" s="186">
        <f>6744.09+6842.14</f>
        <v>13586.23</v>
      </c>
    </row>
    <row r="4" spans="1:32">
      <c r="A4" s="163" t="s">
        <v>88</v>
      </c>
      <c r="B4" s="171" t="s">
        <v>2</v>
      </c>
      <c r="C4" s="172">
        <f>Numbers!C9</f>
        <v>-6623.4699999999993</v>
      </c>
      <c r="L4" s="160"/>
      <c r="N4" s="160"/>
      <c r="O4" s="160"/>
      <c r="Q4" s="160"/>
      <c r="R4" s="160"/>
      <c r="S4" s="160"/>
      <c r="T4" s="160"/>
      <c r="U4" s="160"/>
      <c r="V4" s="160"/>
      <c r="AA4" s="160"/>
    </row>
    <row r="5" spans="1:32">
      <c r="A5" s="163"/>
      <c r="B5" s="175" t="s">
        <v>124</v>
      </c>
      <c r="C5" s="176">
        <f>C3+C4</f>
        <v>6962.76</v>
      </c>
      <c r="H5" s="161"/>
      <c r="I5" s="161"/>
      <c r="J5" s="161"/>
      <c r="K5" s="161"/>
      <c r="L5" s="161"/>
      <c r="M5" s="161"/>
      <c r="N5" s="161"/>
      <c r="O5" s="161"/>
      <c r="P5" s="161"/>
      <c r="Q5" s="161"/>
      <c r="R5" s="161"/>
      <c r="S5" s="161"/>
      <c r="T5" s="161"/>
      <c r="U5" s="161"/>
      <c r="V5" s="161"/>
      <c r="W5" s="161"/>
      <c r="X5" s="161"/>
      <c r="Y5" s="161"/>
      <c r="Z5" s="161"/>
      <c r="AA5" s="161"/>
      <c r="AB5" s="161"/>
      <c r="AC5" s="161"/>
      <c r="AD5" s="161"/>
      <c r="AE5" s="161"/>
      <c r="AF5" s="161"/>
    </row>
    <row r="6" spans="1:32">
      <c r="A6" s="163" t="s">
        <v>122</v>
      </c>
      <c r="B6" s="173" t="s">
        <v>230</v>
      </c>
      <c r="C6" s="186">
        <f>'EBIT &amp; Advertising Expense'!C7</f>
        <v>13265.08</v>
      </c>
      <c r="D6" s="164"/>
      <c r="H6" s="161"/>
      <c r="I6" s="161"/>
      <c r="J6" s="161"/>
      <c r="K6" s="161"/>
      <c r="L6" s="161"/>
      <c r="M6" s="161"/>
      <c r="N6" s="161"/>
      <c r="O6" s="161"/>
      <c r="P6" s="161"/>
      <c r="Q6" s="161"/>
      <c r="R6" s="161"/>
      <c r="S6" s="161"/>
      <c r="T6" s="161"/>
      <c r="U6" s="161"/>
      <c r="V6" s="161"/>
      <c r="W6" s="161"/>
      <c r="X6" s="161"/>
      <c r="Y6" s="161"/>
      <c r="Z6" s="161"/>
      <c r="AA6" s="161"/>
      <c r="AB6" s="161"/>
      <c r="AC6" s="161"/>
      <c r="AD6" s="161"/>
      <c r="AE6" s="161"/>
      <c r="AF6" s="161"/>
    </row>
    <row r="7" spans="1:32">
      <c r="A7" s="165" t="s">
        <v>88</v>
      </c>
      <c r="B7" s="173" t="s">
        <v>234</v>
      </c>
      <c r="C7" s="186">
        <f>-'EBIT &amp; Advertising Expense'!C6</f>
        <v>-14293.69</v>
      </c>
      <c r="H7" s="161"/>
      <c r="I7" s="161"/>
      <c r="J7" s="161"/>
      <c r="K7" s="161"/>
      <c r="L7" s="161"/>
      <c r="M7" s="161"/>
      <c r="N7" s="161"/>
      <c r="O7" s="161"/>
      <c r="P7" s="161"/>
      <c r="Q7" s="161"/>
      <c r="R7" s="161"/>
      <c r="S7" s="161"/>
      <c r="T7" s="161"/>
      <c r="U7" s="161"/>
      <c r="V7" s="161"/>
      <c r="W7" s="161"/>
      <c r="X7" s="161"/>
      <c r="Y7" s="161"/>
      <c r="Z7" s="161"/>
      <c r="AA7" s="161"/>
      <c r="AB7" s="161"/>
      <c r="AC7" s="161"/>
      <c r="AD7" s="161"/>
      <c r="AE7" s="161"/>
      <c r="AF7" s="161"/>
    </row>
    <row r="8" spans="1:32">
      <c r="A8" s="163" t="s">
        <v>122</v>
      </c>
      <c r="B8" s="173" t="s">
        <v>393</v>
      </c>
      <c r="C8" s="186">
        <f>'EBIT &amp; Operating Leases'!C9</f>
        <v>131.57</v>
      </c>
      <c r="H8" s="161"/>
      <c r="I8" s="161"/>
      <c r="J8" s="161"/>
      <c r="K8" s="161"/>
      <c r="L8" s="161"/>
      <c r="M8" s="161"/>
      <c r="N8" s="161"/>
      <c r="O8" s="161"/>
      <c r="P8" s="161"/>
      <c r="Q8" s="161"/>
      <c r="R8" s="161"/>
      <c r="S8" s="161"/>
      <c r="T8" s="161"/>
      <c r="U8" s="161"/>
      <c r="V8" s="161"/>
      <c r="W8" s="161"/>
      <c r="X8" s="161"/>
      <c r="Y8" s="161"/>
      <c r="Z8" s="161"/>
      <c r="AA8" s="161"/>
      <c r="AB8" s="161"/>
      <c r="AC8" s="161"/>
      <c r="AD8" s="161"/>
      <c r="AE8" s="161"/>
      <c r="AF8" s="161"/>
    </row>
    <row r="9" spans="1:32">
      <c r="A9" s="165" t="s">
        <v>88</v>
      </c>
      <c r="B9" s="173" t="s">
        <v>391</v>
      </c>
      <c r="C9" s="186">
        <f>-'EBIT &amp; Operating Leases'!C10</f>
        <v>-185.52565956205169</v>
      </c>
      <c r="H9" s="161"/>
      <c r="I9" s="161"/>
      <c r="J9" s="161"/>
      <c r="K9" s="161"/>
      <c r="L9" s="161"/>
      <c r="M9" s="161"/>
      <c r="N9" s="161"/>
      <c r="O9" s="161"/>
      <c r="P9" s="161"/>
      <c r="Q9" s="161"/>
      <c r="R9" s="161"/>
      <c r="S9" s="161"/>
      <c r="T9" s="161"/>
      <c r="U9" s="161"/>
      <c r="V9" s="161"/>
      <c r="W9" s="161"/>
      <c r="X9" s="161"/>
      <c r="Y9" s="161"/>
      <c r="Z9" s="161"/>
      <c r="AA9" s="161"/>
      <c r="AB9" s="161"/>
      <c r="AC9" s="161"/>
      <c r="AD9" s="161"/>
      <c r="AE9" s="161"/>
      <c r="AF9" s="161"/>
    </row>
    <row r="10" spans="1:32">
      <c r="A10" s="163"/>
      <c r="B10" s="177" t="s">
        <v>126</v>
      </c>
      <c r="C10" s="187">
        <f>SUM(C5:C9)</f>
        <v>5880.1943404379481</v>
      </c>
      <c r="H10" s="161"/>
      <c r="I10" s="161"/>
      <c r="J10" s="161"/>
      <c r="K10" s="161"/>
      <c r="L10" s="161"/>
      <c r="M10" s="161"/>
      <c r="N10" s="161"/>
      <c r="O10" s="161"/>
      <c r="P10" s="161"/>
      <c r="Q10" s="161"/>
      <c r="R10" s="161"/>
      <c r="S10" s="161"/>
      <c r="T10" s="161"/>
      <c r="U10" s="161"/>
      <c r="V10" s="161"/>
      <c r="W10" s="161"/>
      <c r="X10" s="161"/>
      <c r="Y10" s="161"/>
      <c r="Z10" s="161"/>
      <c r="AA10" s="161"/>
      <c r="AB10" s="161"/>
      <c r="AC10" s="161"/>
      <c r="AD10" s="161"/>
      <c r="AE10" s="161"/>
      <c r="AF10" s="161"/>
    </row>
    <row r="11" spans="1:32">
      <c r="A11" s="163"/>
      <c r="B11" s="159"/>
      <c r="C11" s="183"/>
      <c r="G11" s="161"/>
      <c r="H11" s="161"/>
      <c r="I11" s="161"/>
      <c r="J11" s="161"/>
      <c r="K11" s="161"/>
      <c r="L11" s="161"/>
      <c r="M11" s="161"/>
      <c r="N11" s="161"/>
      <c r="O11" s="161"/>
      <c r="P11" s="161"/>
      <c r="Q11" s="161"/>
      <c r="R11" s="161"/>
      <c r="S11" s="161"/>
      <c r="T11" s="161"/>
      <c r="U11" s="161"/>
      <c r="V11" s="161"/>
      <c r="W11" s="161"/>
      <c r="X11" s="161"/>
      <c r="Y11" s="161"/>
      <c r="Z11" s="161"/>
      <c r="AA11" s="161"/>
      <c r="AB11" s="161"/>
      <c r="AC11" s="161"/>
      <c r="AD11" s="161"/>
      <c r="AE11" s="161"/>
      <c r="AF11" s="161"/>
    </row>
    <row r="12" spans="1:32">
      <c r="B12" s="159"/>
      <c r="C12" s="183"/>
      <c r="G12" s="161"/>
      <c r="H12" s="161"/>
      <c r="I12" s="161"/>
      <c r="J12" s="161"/>
      <c r="K12" s="161"/>
      <c r="L12" s="161"/>
      <c r="M12" s="161"/>
      <c r="N12" s="161"/>
      <c r="O12" s="161"/>
      <c r="P12" s="161"/>
      <c r="Q12" s="161"/>
      <c r="R12" s="161"/>
      <c r="S12" s="161"/>
      <c r="T12" s="161"/>
      <c r="U12" s="161"/>
      <c r="V12" s="161"/>
      <c r="W12" s="161"/>
      <c r="X12" s="161"/>
      <c r="Y12" s="161"/>
      <c r="Z12" s="161"/>
      <c r="AA12" s="161"/>
      <c r="AB12" s="161"/>
      <c r="AC12" s="161"/>
      <c r="AD12" s="161"/>
      <c r="AE12" s="161"/>
      <c r="AF12" s="161"/>
    </row>
    <row r="13" spans="1:32">
      <c r="A13" s="163"/>
      <c r="B13" s="159"/>
      <c r="C13" s="183"/>
      <c r="G13" s="161"/>
      <c r="H13" s="161"/>
      <c r="I13" s="161"/>
      <c r="J13" s="161"/>
      <c r="K13" s="161"/>
      <c r="L13" s="161"/>
      <c r="M13" s="161"/>
      <c r="N13" s="161"/>
      <c r="O13" s="161"/>
      <c r="P13" s="161"/>
      <c r="Q13" s="161"/>
      <c r="R13" s="161"/>
      <c r="S13" s="161"/>
      <c r="T13" s="161"/>
      <c r="U13" s="161"/>
      <c r="V13" s="161"/>
      <c r="W13" s="161"/>
      <c r="X13" s="161"/>
      <c r="Y13" s="161"/>
      <c r="Z13" s="161"/>
      <c r="AA13" s="161"/>
      <c r="AB13" s="161"/>
      <c r="AC13" s="161"/>
      <c r="AD13" s="161"/>
      <c r="AE13" s="161"/>
      <c r="AF13" s="161"/>
    </row>
    <row r="14" spans="1:32">
      <c r="B14" s="159"/>
      <c r="C14" s="183"/>
      <c r="D14" s="161"/>
      <c r="E14" s="161"/>
      <c r="F14" s="161"/>
      <c r="G14" s="161"/>
      <c r="H14" s="161"/>
      <c r="I14" s="161"/>
      <c r="O14" s="161"/>
      <c r="P14" s="161"/>
      <c r="Q14" s="161"/>
      <c r="R14" s="161"/>
      <c r="S14" s="161"/>
      <c r="T14" s="161"/>
      <c r="U14" s="161"/>
      <c r="V14" s="161"/>
      <c r="W14" s="161"/>
      <c r="X14" s="161"/>
      <c r="Y14" s="161"/>
      <c r="Z14" s="161"/>
      <c r="AA14" s="161"/>
      <c r="AB14" s="161"/>
      <c r="AC14" s="161"/>
      <c r="AD14" s="161"/>
      <c r="AE14" s="161"/>
      <c r="AF14" s="161"/>
    </row>
    <row r="15" spans="1:32">
      <c r="D15" s="166"/>
      <c r="E15" s="166"/>
      <c r="F15" s="166"/>
      <c r="G15" s="166"/>
      <c r="H15" s="166"/>
      <c r="I15" s="167"/>
      <c r="O15" s="161"/>
      <c r="P15" s="161"/>
      <c r="Q15" s="161"/>
      <c r="R15" s="161"/>
      <c r="S15" s="161"/>
      <c r="T15" s="161"/>
      <c r="U15" s="161"/>
      <c r="V15" s="161"/>
      <c r="W15" s="161"/>
      <c r="X15" s="161"/>
      <c r="Y15" s="161"/>
      <c r="Z15" s="161"/>
      <c r="AA15" s="161"/>
      <c r="AB15" s="161"/>
      <c r="AC15" s="161"/>
      <c r="AD15" s="161"/>
      <c r="AE15" s="161"/>
      <c r="AF15" s="161"/>
    </row>
    <row r="16" spans="1:32">
      <c r="D16" s="81"/>
      <c r="E16" s="81"/>
      <c r="F16" s="81"/>
      <c r="G16" s="81"/>
      <c r="H16" s="81"/>
      <c r="I16" s="81"/>
      <c r="J16" s="161"/>
      <c r="K16" s="161"/>
      <c r="L16" s="161"/>
      <c r="M16" s="161"/>
      <c r="N16" s="161"/>
      <c r="O16" s="161"/>
      <c r="P16" s="161"/>
      <c r="Q16" s="161"/>
      <c r="R16" s="161"/>
      <c r="S16" s="161"/>
      <c r="T16" s="161"/>
      <c r="U16" s="161"/>
      <c r="V16" s="161"/>
      <c r="W16" s="161"/>
      <c r="X16" s="161"/>
      <c r="Y16" s="161"/>
      <c r="Z16" s="161"/>
      <c r="AA16" s="161"/>
      <c r="AB16" s="161"/>
      <c r="AC16" s="161"/>
      <c r="AD16" s="161"/>
      <c r="AE16" s="161"/>
      <c r="AF16" s="161"/>
    </row>
    <row r="17" spans="2:32" ht="15">
      <c r="B17" s="181"/>
      <c r="D17" s="168"/>
      <c r="E17" s="168"/>
      <c r="F17" s="168"/>
      <c r="G17" s="168"/>
      <c r="H17" s="168"/>
      <c r="I17" s="166"/>
      <c r="J17" s="161"/>
      <c r="K17" s="161"/>
      <c r="L17" s="161"/>
      <c r="M17" s="161"/>
      <c r="N17" s="161"/>
      <c r="O17" s="161"/>
      <c r="P17" s="161"/>
      <c r="Q17" s="161"/>
      <c r="R17" s="161"/>
      <c r="S17" s="161"/>
      <c r="T17" s="161"/>
      <c r="U17" s="161"/>
      <c r="V17" s="161"/>
      <c r="W17" s="161"/>
      <c r="X17" s="161"/>
      <c r="Y17" s="161"/>
      <c r="Z17" s="161"/>
      <c r="AA17" s="161"/>
      <c r="AB17" s="161"/>
      <c r="AC17" s="161"/>
      <c r="AD17" s="161"/>
      <c r="AE17" s="161"/>
      <c r="AF17" s="161"/>
    </row>
    <row r="18" spans="2:32">
      <c r="B18" s="157"/>
      <c r="C18" s="182"/>
      <c r="G18" s="161"/>
      <c r="H18" s="166"/>
      <c r="I18" s="161"/>
      <c r="J18" s="161"/>
      <c r="K18" s="161"/>
      <c r="L18" s="161"/>
      <c r="M18" s="161"/>
      <c r="N18" s="161"/>
      <c r="O18" s="161"/>
      <c r="P18" s="161"/>
      <c r="Q18" s="161"/>
      <c r="R18" s="161"/>
      <c r="S18" s="161"/>
      <c r="T18" s="161"/>
      <c r="U18" s="161"/>
      <c r="V18" s="161"/>
      <c r="W18" s="161"/>
      <c r="X18" s="161"/>
      <c r="Y18" s="161"/>
      <c r="Z18" s="161"/>
      <c r="AA18" s="161"/>
      <c r="AB18" s="161"/>
      <c r="AC18" s="161"/>
      <c r="AD18" s="161"/>
      <c r="AE18" s="161"/>
      <c r="AF18" s="161"/>
    </row>
    <row r="19" spans="2:32">
      <c r="B19" s="159"/>
      <c r="C19" s="183"/>
      <c r="G19" s="161"/>
      <c r="H19" s="161"/>
      <c r="I19" s="161"/>
      <c r="J19" s="161"/>
      <c r="K19" s="161"/>
      <c r="L19" s="161"/>
      <c r="M19" s="161"/>
      <c r="N19" s="161"/>
      <c r="O19" s="161"/>
      <c r="P19" s="161"/>
      <c r="Q19" s="161"/>
      <c r="R19" s="161"/>
      <c r="S19" s="161"/>
      <c r="T19" s="161"/>
      <c r="U19" s="161"/>
      <c r="V19" s="161"/>
      <c r="W19" s="161"/>
      <c r="X19" s="161"/>
      <c r="Y19" s="161"/>
      <c r="Z19" s="161"/>
      <c r="AA19" s="161"/>
      <c r="AB19" s="161"/>
      <c r="AC19" s="161"/>
      <c r="AD19" s="161"/>
      <c r="AE19" s="161"/>
      <c r="AF19" s="161"/>
    </row>
    <row r="20" spans="2:32">
      <c r="B20" s="159"/>
      <c r="C20" s="183"/>
      <c r="G20" s="161"/>
      <c r="H20" s="161"/>
      <c r="I20" s="161"/>
      <c r="J20" s="161"/>
      <c r="K20" s="161"/>
      <c r="L20" s="161"/>
      <c r="M20" s="161"/>
      <c r="N20" s="161"/>
      <c r="O20" s="161"/>
      <c r="P20" s="161"/>
      <c r="Q20" s="161"/>
      <c r="R20" s="161"/>
      <c r="S20" s="161"/>
      <c r="T20" s="161"/>
      <c r="U20" s="161"/>
      <c r="V20" s="161"/>
      <c r="W20" s="161"/>
      <c r="X20" s="161"/>
      <c r="Y20" s="161"/>
      <c r="Z20" s="161"/>
      <c r="AA20" s="161"/>
      <c r="AB20" s="161"/>
      <c r="AC20" s="161"/>
      <c r="AD20" s="161"/>
      <c r="AE20" s="161"/>
      <c r="AF20" s="161"/>
    </row>
    <row r="21" spans="2:32">
      <c r="B21" s="159"/>
      <c r="C21" s="184"/>
      <c r="G21" s="161"/>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row>
    <row r="22" spans="2:32">
      <c r="B22" s="159"/>
      <c r="C22" s="159"/>
      <c r="G22" s="161"/>
      <c r="H22" s="161"/>
      <c r="I22" s="161"/>
      <c r="J22" s="161"/>
      <c r="K22" s="161"/>
      <c r="L22" s="161"/>
      <c r="M22" s="161"/>
      <c r="N22" s="161"/>
      <c r="O22" s="161"/>
      <c r="P22" s="161"/>
      <c r="Q22" s="161"/>
      <c r="R22" s="161"/>
      <c r="S22" s="161"/>
      <c r="T22" s="161"/>
      <c r="U22" s="161"/>
      <c r="V22" s="161"/>
      <c r="W22" s="161"/>
      <c r="X22" s="161"/>
      <c r="Y22" s="161"/>
      <c r="Z22" s="161"/>
      <c r="AA22" s="161"/>
      <c r="AB22" s="161"/>
      <c r="AC22" s="161"/>
      <c r="AD22" s="161"/>
      <c r="AE22" s="161"/>
      <c r="AF22" s="161"/>
    </row>
    <row r="23" spans="2:32">
      <c r="B23" s="159"/>
      <c r="C23" s="183"/>
      <c r="G23" s="161"/>
      <c r="H23" s="161"/>
      <c r="I23" s="161"/>
      <c r="J23" s="161"/>
      <c r="K23" s="161"/>
      <c r="L23" s="161"/>
      <c r="M23" s="161"/>
      <c r="N23" s="161"/>
      <c r="O23" s="161"/>
      <c r="P23" s="161"/>
      <c r="Q23" s="161"/>
      <c r="R23" s="161"/>
      <c r="S23" s="161"/>
      <c r="T23" s="161"/>
      <c r="U23" s="161"/>
      <c r="V23" s="161"/>
      <c r="W23" s="161"/>
      <c r="X23" s="161"/>
      <c r="Y23" s="161"/>
      <c r="Z23" s="161"/>
      <c r="AA23" s="161"/>
      <c r="AB23" s="161"/>
      <c r="AC23" s="161"/>
      <c r="AD23" s="161"/>
      <c r="AE23" s="161"/>
      <c r="AF23" s="161"/>
    </row>
    <row r="24" spans="2:32">
      <c r="B24" s="159"/>
      <c r="C24" s="183"/>
      <c r="G24" s="161"/>
      <c r="H24" s="161"/>
      <c r="I24" s="161"/>
      <c r="J24" s="161"/>
      <c r="K24" s="161"/>
      <c r="L24" s="161"/>
      <c r="M24" s="161"/>
      <c r="N24" s="161"/>
      <c r="O24" s="161"/>
      <c r="P24" s="161"/>
      <c r="Q24" s="161"/>
      <c r="R24" s="161"/>
      <c r="S24" s="161"/>
      <c r="T24" s="161"/>
      <c r="U24" s="161"/>
      <c r="V24" s="161"/>
      <c r="W24" s="161"/>
      <c r="X24" s="161"/>
      <c r="Y24" s="161"/>
      <c r="Z24" s="161"/>
      <c r="AA24" s="161"/>
      <c r="AB24" s="161"/>
      <c r="AC24" s="161"/>
      <c r="AD24" s="161"/>
      <c r="AE24" s="161"/>
      <c r="AF24" s="161"/>
    </row>
    <row r="25" spans="2:32">
      <c r="B25" s="159"/>
      <c r="C25" s="159"/>
      <c r="G25" s="161"/>
      <c r="H25" s="161"/>
      <c r="I25" s="161"/>
      <c r="J25" s="161"/>
      <c r="K25" s="161"/>
      <c r="L25" s="161"/>
      <c r="M25" s="161"/>
      <c r="N25" s="161"/>
      <c r="O25" s="161"/>
      <c r="P25" s="161"/>
      <c r="Q25" s="161"/>
      <c r="R25" s="161"/>
      <c r="S25" s="161"/>
      <c r="T25" s="161"/>
      <c r="U25" s="161"/>
      <c r="V25" s="161"/>
      <c r="W25" s="161"/>
      <c r="X25" s="161"/>
      <c r="Y25" s="161"/>
      <c r="Z25" s="161"/>
      <c r="AA25" s="161"/>
      <c r="AB25" s="161"/>
      <c r="AC25" s="161"/>
      <c r="AD25" s="161"/>
      <c r="AE25" s="161"/>
      <c r="AF25" s="161"/>
    </row>
    <row r="26" spans="2:32">
      <c r="B26" s="159"/>
      <c r="C26" s="183"/>
      <c r="G26" s="161"/>
      <c r="H26" s="161"/>
      <c r="I26" s="161"/>
      <c r="J26" s="161"/>
      <c r="K26" s="161"/>
      <c r="L26" s="161"/>
      <c r="M26" s="161"/>
      <c r="N26" s="161"/>
      <c r="O26" s="161"/>
      <c r="P26" s="161"/>
      <c r="Q26" s="161"/>
      <c r="R26" s="161"/>
      <c r="S26" s="161"/>
      <c r="T26" s="161"/>
      <c r="U26" s="161"/>
      <c r="V26" s="161"/>
      <c r="W26" s="161"/>
      <c r="X26" s="161"/>
      <c r="Y26" s="161"/>
      <c r="Z26" s="161"/>
      <c r="AA26" s="161"/>
      <c r="AB26" s="161"/>
      <c r="AC26" s="161"/>
      <c r="AD26" s="161"/>
      <c r="AE26" s="161"/>
      <c r="AF26" s="161"/>
    </row>
    <row r="27" spans="2:32">
      <c r="G27" s="161"/>
      <c r="H27" s="161"/>
      <c r="I27" s="161"/>
      <c r="J27" s="161"/>
      <c r="K27" s="161"/>
      <c r="L27" s="161"/>
      <c r="M27" s="161"/>
      <c r="N27" s="161"/>
      <c r="O27" s="161"/>
      <c r="P27" s="161"/>
      <c r="Q27" s="161"/>
      <c r="R27" s="161"/>
      <c r="S27" s="161"/>
      <c r="T27" s="161"/>
      <c r="U27" s="161"/>
      <c r="V27" s="161"/>
      <c r="W27" s="161"/>
      <c r="X27" s="161"/>
      <c r="Y27" s="161"/>
      <c r="Z27" s="161"/>
      <c r="AA27" s="161"/>
      <c r="AB27" s="161"/>
      <c r="AC27" s="161"/>
      <c r="AD27" s="161"/>
      <c r="AE27" s="161"/>
      <c r="AF27" s="161"/>
    </row>
    <row r="28" spans="2:32">
      <c r="G28" s="161"/>
      <c r="H28" s="161"/>
      <c r="I28" s="161"/>
      <c r="J28" s="161"/>
      <c r="K28" s="161"/>
      <c r="L28" s="161"/>
      <c r="M28" s="161"/>
      <c r="N28" s="161"/>
      <c r="O28" s="161"/>
      <c r="P28" s="161"/>
      <c r="Q28" s="161"/>
      <c r="R28" s="161"/>
      <c r="S28" s="161"/>
      <c r="T28" s="161"/>
      <c r="U28" s="161"/>
      <c r="V28" s="161"/>
      <c r="W28" s="161"/>
      <c r="X28" s="161"/>
      <c r="Y28" s="161"/>
      <c r="Z28" s="161"/>
      <c r="AA28" s="161"/>
      <c r="AB28" s="161"/>
      <c r="AC28" s="161"/>
      <c r="AD28" s="161"/>
      <c r="AE28" s="161"/>
      <c r="AF28" s="161"/>
    </row>
    <row r="29" spans="2:32">
      <c r="G29" s="161"/>
      <c r="H29" s="161"/>
      <c r="I29" s="161"/>
      <c r="J29" s="161"/>
      <c r="K29" s="161"/>
      <c r="L29" s="161"/>
      <c r="M29" s="161"/>
      <c r="N29" s="161"/>
      <c r="O29" s="161"/>
      <c r="P29" s="161"/>
      <c r="Q29" s="161"/>
      <c r="R29" s="161"/>
      <c r="S29" s="161"/>
      <c r="T29" s="161"/>
      <c r="U29" s="161"/>
      <c r="V29" s="161"/>
      <c r="W29" s="161"/>
      <c r="X29" s="161"/>
      <c r="Y29" s="161"/>
      <c r="Z29" s="161"/>
      <c r="AA29" s="161"/>
      <c r="AB29" s="161"/>
      <c r="AC29" s="161"/>
      <c r="AD29" s="161"/>
      <c r="AE29" s="161"/>
      <c r="AF29" s="161"/>
    </row>
    <row r="30" spans="2:32" ht="14.25" customHeight="1">
      <c r="G30" s="161"/>
      <c r="H30" s="161"/>
      <c r="I30" s="161"/>
      <c r="J30" s="161"/>
      <c r="K30" s="161"/>
      <c r="L30" s="161"/>
      <c r="M30" s="161"/>
      <c r="N30" s="161"/>
      <c r="O30" s="161"/>
      <c r="P30" s="161"/>
      <c r="Q30" s="161"/>
      <c r="R30" s="161"/>
      <c r="S30" s="161"/>
      <c r="T30" s="161"/>
      <c r="U30" s="161"/>
      <c r="V30" s="161"/>
      <c r="W30" s="161"/>
      <c r="X30" s="161"/>
      <c r="Y30" s="161"/>
      <c r="Z30" s="161"/>
      <c r="AA30" s="161"/>
      <c r="AB30" s="161"/>
      <c r="AC30" s="161"/>
      <c r="AD30" s="161"/>
      <c r="AE30" s="161"/>
      <c r="AF30" s="161"/>
    </row>
    <row r="31" spans="2:32">
      <c r="G31" s="161"/>
      <c r="H31" s="161"/>
      <c r="I31" s="161"/>
      <c r="J31" s="161"/>
      <c r="K31" s="161"/>
      <c r="L31" s="161"/>
      <c r="M31" s="161"/>
      <c r="N31" s="161"/>
      <c r="O31" s="161"/>
      <c r="P31" s="161"/>
      <c r="Q31" s="161"/>
      <c r="R31" s="161"/>
      <c r="S31" s="161"/>
      <c r="T31" s="161"/>
      <c r="U31" s="161"/>
      <c r="V31" s="161"/>
      <c r="W31" s="161"/>
      <c r="X31" s="161"/>
      <c r="Y31" s="161"/>
      <c r="Z31" s="161"/>
      <c r="AA31" s="161"/>
      <c r="AB31" s="161"/>
      <c r="AC31" s="161"/>
      <c r="AD31" s="161"/>
      <c r="AE31" s="161"/>
      <c r="AF31" s="161"/>
    </row>
    <row r="32" spans="2:32">
      <c r="G32" s="161"/>
      <c r="H32" s="161"/>
      <c r="I32" s="161"/>
      <c r="J32" s="161"/>
      <c r="K32" s="161"/>
      <c r="L32" s="161"/>
      <c r="M32" s="161"/>
      <c r="N32" s="161"/>
      <c r="O32" s="161"/>
      <c r="P32" s="161"/>
      <c r="Q32" s="161"/>
      <c r="R32" s="161"/>
      <c r="S32" s="161"/>
      <c r="T32" s="161"/>
      <c r="U32" s="161"/>
      <c r="V32" s="161"/>
      <c r="W32" s="161"/>
      <c r="X32" s="161"/>
      <c r="Y32" s="161"/>
      <c r="Z32" s="161"/>
      <c r="AA32" s="161"/>
      <c r="AB32" s="161"/>
      <c r="AC32" s="161"/>
      <c r="AD32" s="161"/>
      <c r="AE32" s="161"/>
      <c r="AF32" s="161"/>
    </row>
    <row r="33" spans="7:32">
      <c r="G33" s="161"/>
      <c r="H33" s="161"/>
      <c r="I33" s="161"/>
      <c r="J33" s="161"/>
      <c r="K33" s="161"/>
      <c r="L33" s="161"/>
      <c r="M33" s="161"/>
      <c r="N33" s="161"/>
      <c r="O33" s="161"/>
      <c r="P33" s="161"/>
      <c r="Q33" s="161"/>
      <c r="R33" s="161"/>
      <c r="S33" s="161"/>
      <c r="T33" s="161"/>
      <c r="U33" s="161"/>
      <c r="V33" s="161"/>
      <c r="W33" s="161"/>
      <c r="X33" s="161"/>
      <c r="Y33" s="161"/>
      <c r="Z33" s="161"/>
      <c r="AA33" s="161"/>
      <c r="AB33" s="161"/>
      <c r="AC33" s="161"/>
      <c r="AD33" s="161"/>
      <c r="AE33" s="161"/>
      <c r="AF33" s="161"/>
    </row>
    <row r="34" spans="7:32">
      <c r="G34" s="161"/>
      <c r="H34" s="161"/>
      <c r="I34" s="161"/>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row>
    <row r="35" spans="7:32">
      <c r="G35" s="161"/>
      <c r="H35" s="161"/>
      <c r="I35" s="161"/>
      <c r="J35" s="161"/>
      <c r="K35" s="161"/>
      <c r="L35" s="161"/>
      <c r="M35" s="161"/>
      <c r="N35" s="161"/>
      <c r="O35" s="161"/>
      <c r="P35" s="161"/>
      <c r="Q35" s="161"/>
      <c r="R35" s="161"/>
      <c r="S35" s="161"/>
      <c r="T35" s="161"/>
      <c r="U35" s="161"/>
      <c r="V35" s="161"/>
      <c r="W35" s="161"/>
      <c r="X35" s="161"/>
      <c r="Y35" s="161"/>
      <c r="Z35" s="161"/>
      <c r="AA35" s="161"/>
      <c r="AB35" s="161"/>
      <c r="AC35" s="161"/>
      <c r="AD35" s="161"/>
      <c r="AE35" s="161"/>
      <c r="AF35" s="161"/>
    </row>
    <row r="36" spans="7:32">
      <c r="G36" s="161"/>
      <c r="H36" s="161"/>
      <c r="I36" s="161"/>
      <c r="J36" s="161"/>
      <c r="K36" s="161"/>
      <c r="L36" s="161"/>
      <c r="M36" s="161"/>
      <c r="N36" s="161"/>
      <c r="O36" s="161"/>
      <c r="P36" s="161"/>
      <c r="Q36" s="161"/>
      <c r="R36" s="161"/>
      <c r="S36" s="161"/>
      <c r="T36" s="161"/>
      <c r="U36" s="161"/>
      <c r="V36" s="161"/>
      <c r="W36" s="161"/>
      <c r="X36" s="161"/>
      <c r="Y36" s="161"/>
      <c r="Z36" s="161"/>
      <c r="AA36" s="161"/>
      <c r="AB36" s="161"/>
      <c r="AC36" s="161"/>
      <c r="AD36" s="161"/>
      <c r="AE36" s="161"/>
      <c r="AF36" s="161"/>
    </row>
    <row r="37" spans="7:32">
      <c r="G37" s="161"/>
      <c r="H37" s="161"/>
      <c r="I37" s="161"/>
      <c r="J37" s="161"/>
      <c r="K37" s="161"/>
      <c r="L37" s="161"/>
      <c r="M37" s="161"/>
      <c r="N37" s="161"/>
      <c r="O37" s="161"/>
      <c r="P37" s="161"/>
      <c r="Q37" s="161"/>
      <c r="R37" s="161"/>
      <c r="S37" s="161"/>
      <c r="T37" s="161"/>
      <c r="U37" s="161"/>
      <c r="V37" s="161"/>
      <c r="W37" s="161"/>
      <c r="X37" s="161"/>
      <c r="Y37" s="161"/>
      <c r="Z37" s="161"/>
      <c r="AA37" s="161"/>
      <c r="AB37" s="161"/>
      <c r="AC37" s="161"/>
      <c r="AD37" s="161"/>
      <c r="AE37" s="161"/>
      <c r="AF37" s="161"/>
    </row>
    <row r="38" spans="7:32">
      <c r="G38" s="161"/>
      <c r="H38" s="161"/>
      <c r="I38" s="161"/>
      <c r="J38" s="161"/>
      <c r="K38" s="161"/>
      <c r="L38" s="161"/>
      <c r="M38" s="161"/>
      <c r="N38" s="161"/>
      <c r="O38" s="161"/>
      <c r="P38" s="161"/>
      <c r="Q38" s="161"/>
      <c r="R38" s="161"/>
      <c r="S38" s="161"/>
      <c r="T38" s="161"/>
      <c r="U38" s="161"/>
      <c r="V38" s="161"/>
      <c r="W38" s="161"/>
      <c r="X38" s="161"/>
      <c r="Y38" s="161"/>
      <c r="Z38" s="161"/>
      <c r="AA38" s="161"/>
      <c r="AB38" s="161"/>
      <c r="AC38" s="161"/>
      <c r="AD38" s="161"/>
      <c r="AE38" s="161"/>
      <c r="AF38" s="161"/>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8"/>
  <sheetViews>
    <sheetView workbookViewId="0"/>
  </sheetViews>
  <sheetFormatPr defaultRowHeight="12"/>
  <cols>
    <col min="1" max="1" width="2" style="156" customWidth="1"/>
    <col min="2" max="2" width="30.5703125" style="156" customWidth="1"/>
    <col min="3" max="3" width="14.85546875" style="156" customWidth="1"/>
    <col min="4" max="4" width="4.85546875" style="156" customWidth="1"/>
    <col min="5" max="5" width="31.140625" style="156" bestFit="1" customWidth="1"/>
    <col min="6" max="6" width="12.5703125" style="156" customWidth="1" collapsed="1"/>
    <col min="7" max="7" width="13.5703125" style="156" customWidth="1"/>
    <col min="8" max="8" width="14.140625" style="156" customWidth="1"/>
    <col min="9" max="9" width="13.42578125" style="156" customWidth="1"/>
    <col min="10" max="10" width="13.7109375" style="156" customWidth="1"/>
    <col min="11" max="11" width="14.28515625" style="156" customWidth="1"/>
    <col min="12" max="25" width="9.140625" style="156" customWidth="1"/>
    <col min="26" max="26" width="9.28515625" style="156" customWidth="1"/>
    <col min="27" max="27" width="9.42578125" style="156" customWidth="1"/>
    <col min="28" max="28" width="10" style="156" customWidth="1"/>
    <col min="29" max="29" width="11.42578125" style="156" customWidth="1"/>
    <col min="30" max="30" width="9.42578125" style="156" bestFit="1" customWidth="1" collapsed="1"/>
    <col min="31" max="16384" width="9.140625" style="156"/>
  </cols>
  <sheetData>
    <row r="1" spans="1:29" s="155" customFormat="1" ht="15" customHeight="1">
      <c r="B1" s="17" t="s">
        <v>127</v>
      </c>
      <c r="C1" s="154"/>
      <c r="D1" s="154"/>
      <c r="E1" s="154"/>
      <c r="F1" s="154"/>
      <c r="G1" s="154"/>
      <c r="H1" s="154"/>
      <c r="I1" s="154"/>
      <c r="J1" s="154"/>
      <c r="K1" s="154"/>
    </row>
    <row r="2" spans="1:29" ht="12.75" customHeight="1">
      <c r="C2" s="182"/>
    </row>
    <row r="3" spans="1:29">
      <c r="A3" s="158"/>
      <c r="B3" s="171" t="s">
        <v>154</v>
      </c>
      <c r="C3" s="216">
        <f>K22</f>
        <v>9.1274523443864039E-2</v>
      </c>
      <c r="E3" s="212" t="s">
        <v>245</v>
      </c>
      <c r="F3" s="213">
        <v>2017</v>
      </c>
      <c r="G3" s="213">
        <v>2018</v>
      </c>
      <c r="H3" s="213">
        <v>2019</v>
      </c>
      <c r="I3" s="213">
        <v>2020</v>
      </c>
      <c r="J3" s="213">
        <v>2021</v>
      </c>
      <c r="K3" s="213">
        <v>2022</v>
      </c>
    </row>
    <row r="4" spans="1:29">
      <c r="A4" s="163"/>
      <c r="B4" s="169"/>
      <c r="C4" s="169"/>
      <c r="E4" s="208" t="s">
        <v>4</v>
      </c>
      <c r="F4" s="235">
        <v>29303.32</v>
      </c>
      <c r="G4" s="235">
        <v>31085.68</v>
      </c>
      <c r="H4" s="235">
        <v>35971.29</v>
      </c>
      <c r="I4" s="235">
        <v>37417.54</v>
      </c>
      <c r="J4" s="235">
        <v>48906.57</v>
      </c>
      <c r="K4" s="235">
        <v>53685.29</v>
      </c>
      <c r="L4" s="160"/>
      <c r="N4" s="160"/>
      <c r="O4" s="160"/>
      <c r="P4" s="160"/>
      <c r="Q4" s="160"/>
      <c r="R4" s="160"/>
      <c r="S4" s="160"/>
      <c r="X4" s="160"/>
    </row>
    <row r="5" spans="1:29">
      <c r="A5" s="163"/>
      <c r="B5" s="173" t="s">
        <v>155</v>
      </c>
      <c r="C5" s="174">
        <f>K20</f>
        <v>1247050.21</v>
      </c>
      <c r="E5" s="208" t="s">
        <v>146</v>
      </c>
      <c r="F5" s="235">
        <v>62401.07</v>
      </c>
      <c r="G5" s="235">
        <v>63001.07</v>
      </c>
      <c r="H5" s="235">
        <v>64174.89</v>
      </c>
      <c r="I5" s="235">
        <v>82305.440000000002</v>
      </c>
      <c r="J5" s="235">
        <v>69745.740000000005</v>
      </c>
      <c r="K5" s="235">
        <v>75575.899999999994</v>
      </c>
      <c r="L5" s="161"/>
      <c r="M5" s="161"/>
      <c r="N5" s="161"/>
      <c r="O5" s="161"/>
      <c r="P5" s="161"/>
      <c r="Q5" s="161"/>
      <c r="R5" s="161"/>
      <c r="S5" s="161"/>
      <c r="T5" s="161"/>
      <c r="U5" s="161"/>
      <c r="V5" s="161"/>
      <c r="W5" s="161"/>
      <c r="X5" s="161"/>
      <c r="Y5" s="161"/>
      <c r="Z5" s="161"/>
      <c r="AA5" s="161"/>
      <c r="AB5" s="161"/>
      <c r="AC5" s="161"/>
    </row>
    <row r="6" spans="1:29">
      <c r="A6" s="163"/>
      <c r="B6" s="177" t="s">
        <v>156</v>
      </c>
      <c r="C6" s="187">
        <f>C5*C3</f>
        <v>113823.91362832057</v>
      </c>
      <c r="D6" s="164"/>
      <c r="E6" s="208" t="s">
        <v>394</v>
      </c>
      <c r="F6" s="235">
        <v>5874.15</v>
      </c>
      <c r="G6" s="235">
        <v>5449.2</v>
      </c>
      <c r="H6" s="235">
        <v>4669.95</v>
      </c>
      <c r="I6" s="235">
        <v>4073.86</v>
      </c>
      <c r="J6" s="235">
        <v>2704.29</v>
      </c>
      <c r="K6" s="235">
        <v>2437.4299999999998</v>
      </c>
      <c r="L6" s="161"/>
      <c r="M6" s="161"/>
      <c r="N6" s="161"/>
      <c r="O6" s="161"/>
      <c r="P6" s="161"/>
      <c r="Q6" s="161"/>
      <c r="R6" s="161"/>
      <c r="S6" s="161"/>
      <c r="T6" s="161"/>
      <c r="U6" s="161"/>
      <c r="V6" s="161"/>
      <c r="W6" s="161"/>
      <c r="X6" s="161"/>
      <c r="Y6" s="161"/>
      <c r="Z6" s="161"/>
      <c r="AA6" s="161"/>
      <c r="AB6" s="161"/>
      <c r="AC6" s="161"/>
    </row>
    <row r="7" spans="1:29">
      <c r="B7" s="169"/>
      <c r="C7" s="169"/>
      <c r="E7" s="208" t="s">
        <v>8</v>
      </c>
      <c r="F7" s="235">
        <v>2035.33</v>
      </c>
      <c r="G7" s="235">
        <v>2508.39</v>
      </c>
      <c r="H7" s="235">
        <v>2412.35</v>
      </c>
      <c r="I7" s="235">
        <v>2050.1799999999998</v>
      </c>
      <c r="J7" s="235">
        <v>6161.81</v>
      </c>
      <c r="K7" s="235">
        <v>3841.27</v>
      </c>
      <c r="L7" s="161"/>
      <c r="M7" s="161"/>
      <c r="N7" s="161"/>
      <c r="O7" s="161"/>
      <c r="P7" s="161"/>
      <c r="Q7" s="161"/>
      <c r="R7" s="161"/>
      <c r="S7" s="161"/>
      <c r="T7" s="161"/>
      <c r="U7" s="161"/>
      <c r="V7" s="161"/>
      <c r="W7" s="161"/>
      <c r="X7" s="161"/>
      <c r="Y7" s="161"/>
      <c r="Z7" s="161"/>
      <c r="AA7" s="161"/>
      <c r="AB7" s="161"/>
      <c r="AC7" s="161"/>
    </row>
    <row r="8" spans="1:29">
      <c r="A8" s="163"/>
      <c r="B8" s="173" t="s">
        <v>158</v>
      </c>
      <c r="C8" s="174">
        <f>J20</f>
        <v>1050404.06</v>
      </c>
      <c r="E8" s="208" t="s">
        <v>149</v>
      </c>
      <c r="F8" s="235">
        <v>9954.34</v>
      </c>
      <c r="G8" s="235">
        <v>14612.24</v>
      </c>
      <c r="H8" s="235">
        <v>13544</v>
      </c>
      <c r="I8" s="235">
        <v>13783.92</v>
      </c>
      <c r="J8" s="235">
        <v>12633.88</v>
      </c>
      <c r="K8" s="235">
        <v>14050.14</v>
      </c>
      <c r="L8" s="161"/>
      <c r="M8" s="161"/>
      <c r="N8" s="161"/>
      <c r="O8" s="161"/>
      <c r="P8" s="161"/>
      <c r="Q8" s="161"/>
      <c r="R8" s="161"/>
      <c r="S8" s="161"/>
      <c r="T8" s="161"/>
      <c r="U8" s="161"/>
      <c r="V8" s="161"/>
      <c r="W8" s="161"/>
      <c r="X8" s="161"/>
      <c r="Y8" s="161"/>
      <c r="Z8" s="161"/>
      <c r="AA8" s="161"/>
      <c r="AB8" s="161"/>
      <c r="AC8" s="161"/>
    </row>
    <row r="9" spans="1:29">
      <c r="A9" s="163"/>
      <c r="B9" s="177" t="s">
        <v>157</v>
      </c>
      <c r="C9" s="178">
        <f>C8*C3</f>
        <v>95875.129999999976</v>
      </c>
      <c r="E9" s="210" t="s">
        <v>151</v>
      </c>
      <c r="F9" s="337">
        <f t="shared" ref="F9:K9" si="0">SUM(F4:F8)</f>
        <v>109568.20999999999</v>
      </c>
      <c r="G9" s="337">
        <f t="shared" si="0"/>
        <v>116656.58</v>
      </c>
      <c r="H9" s="337">
        <f t="shared" si="0"/>
        <v>120772.48</v>
      </c>
      <c r="I9" s="337">
        <f t="shared" si="0"/>
        <v>139630.94</v>
      </c>
      <c r="J9" s="337">
        <f t="shared" si="0"/>
        <v>140152.28999999998</v>
      </c>
      <c r="K9" s="337">
        <f t="shared" si="0"/>
        <v>149590.02999999997</v>
      </c>
      <c r="L9" s="161"/>
      <c r="M9" s="161"/>
      <c r="N9" s="161"/>
      <c r="O9" s="161"/>
      <c r="P9" s="161"/>
      <c r="Q9" s="161"/>
      <c r="R9" s="161"/>
      <c r="S9" s="161"/>
      <c r="T9" s="161"/>
      <c r="U9" s="161"/>
      <c r="V9" s="161"/>
      <c r="W9" s="161"/>
      <c r="X9" s="161"/>
      <c r="Y9" s="161"/>
      <c r="Z9" s="161"/>
      <c r="AA9" s="161"/>
      <c r="AB9" s="161"/>
      <c r="AC9" s="161"/>
    </row>
    <row r="10" spans="1:29">
      <c r="A10" s="159"/>
      <c r="B10" s="169"/>
      <c r="C10" s="169"/>
      <c r="L10" s="161"/>
      <c r="M10" s="161"/>
      <c r="N10" s="161"/>
      <c r="O10" s="161"/>
      <c r="P10" s="161"/>
      <c r="Q10" s="161"/>
      <c r="R10" s="161"/>
      <c r="S10" s="161"/>
      <c r="T10" s="161"/>
      <c r="U10" s="161"/>
      <c r="V10" s="161"/>
      <c r="W10" s="161"/>
      <c r="X10" s="161"/>
      <c r="Y10" s="161"/>
      <c r="Z10" s="161"/>
      <c r="AA10" s="161"/>
      <c r="AB10" s="161"/>
      <c r="AC10" s="161"/>
    </row>
    <row r="11" spans="1:29">
      <c r="A11" s="163"/>
      <c r="B11" s="173" t="s">
        <v>159</v>
      </c>
      <c r="C11" s="180">
        <f>C6-C9</f>
        <v>17948.783628320598</v>
      </c>
      <c r="E11" s="209" t="s">
        <v>128</v>
      </c>
      <c r="F11" s="235">
        <v>18532.34</v>
      </c>
      <c r="G11" s="235">
        <v>21413.5</v>
      </c>
      <c r="H11" s="235">
        <f>24483.57</f>
        <v>24483.57</v>
      </c>
      <c r="I11" s="235">
        <f>2786.51+23637.27</f>
        <v>26423.78</v>
      </c>
      <c r="J11" s="235">
        <f>3073.83+23116.94</f>
        <v>26190.769999999997</v>
      </c>
      <c r="K11" s="235">
        <f>4316.81+26109.38</f>
        <v>30426.190000000002</v>
      </c>
      <c r="L11" s="161"/>
      <c r="M11" s="161"/>
      <c r="N11" s="161"/>
      <c r="O11" s="161"/>
      <c r="P11" s="161"/>
      <c r="Q11" s="161"/>
      <c r="R11" s="161"/>
      <c r="S11" s="161"/>
      <c r="T11" s="161"/>
      <c r="U11" s="161"/>
      <c r="V11" s="161"/>
      <c r="W11" s="161"/>
      <c r="X11" s="161"/>
      <c r="Y11" s="161"/>
      <c r="Z11" s="161"/>
      <c r="AA11" s="161"/>
      <c r="AB11" s="161"/>
      <c r="AC11" s="161"/>
    </row>
    <row r="12" spans="1:29">
      <c r="B12" s="159"/>
      <c r="C12" s="217"/>
      <c r="E12" s="208" t="s">
        <v>150</v>
      </c>
      <c r="F12" s="338">
        <v>15538.51</v>
      </c>
      <c r="G12" s="338">
        <v>8352.91</v>
      </c>
      <c r="H12" s="338">
        <v>3154.84</v>
      </c>
      <c r="I12" s="338">
        <v>3186.65</v>
      </c>
      <c r="J12" s="338">
        <v>3582.25</v>
      </c>
      <c r="K12" s="338">
        <v>3681.76</v>
      </c>
      <c r="L12" s="161"/>
      <c r="M12" s="161"/>
      <c r="N12" s="161"/>
      <c r="O12" s="161"/>
      <c r="P12" s="161"/>
      <c r="Q12" s="161"/>
      <c r="R12" s="161"/>
      <c r="S12" s="161"/>
      <c r="T12" s="161"/>
      <c r="U12" s="161"/>
      <c r="V12" s="161"/>
      <c r="W12" s="161"/>
      <c r="X12" s="161"/>
      <c r="Y12" s="161"/>
      <c r="Z12" s="161"/>
      <c r="AA12" s="161"/>
      <c r="AB12" s="161"/>
      <c r="AC12" s="161"/>
    </row>
    <row r="13" spans="1:29">
      <c r="A13" s="163"/>
      <c r="E13" s="208" t="s">
        <v>148</v>
      </c>
      <c r="F13" s="235">
        <v>7670.76</v>
      </c>
      <c r="G13" s="235">
        <v>8424.27</v>
      </c>
      <c r="H13" s="235">
        <v>12413.17</v>
      </c>
      <c r="I13" s="235">
        <v>9719.5499999999993</v>
      </c>
      <c r="J13" s="235">
        <v>14504.14</v>
      </c>
      <c r="K13" s="338">
        <v>11792.09</v>
      </c>
      <c r="L13" s="161"/>
      <c r="M13" s="161"/>
      <c r="N13" s="161"/>
      <c r="O13" s="161"/>
      <c r="P13" s="161"/>
      <c r="Q13" s="161"/>
      <c r="R13" s="161"/>
      <c r="S13" s="161"/>
      <c r="T13" s="161"/>
      <c r="U13" s="161"/>
      <c r="V13" s="161"/>
      <c r="W13" s="161"/>
      <c r="X13" s="161"/>
      <c r="Y13" s="161"/>
      <c r="Z13" s="161"/>
      <c r="AA13" s="161"/>
      <c r="AB13" s="161"/>
      <c r="AC13" s="161"/>
    </row>
    <row r="14" spans="1:29">
      <c r="E14" s="210" t="s">
        <v>152</v>
      </c>
      <c r="F14" s="337">
        <f t="shared" ref="F14:K14" si="1">SUM(F11:F13)</f>
        <v>41741.61</v>
      </c>
      <c r="G14" s="337">
        <f t="shared" si="1"/>
        <v>38190.68</v>
      </c>
      <c r="H14" s="337">
        <f t="shared" si="1"/>
        <v>40051.58</v>
      </c>
      <c r="I14" s="337">
        <f t="shared" si="1"/>
        <v>39329.979999999996</v>
      </c>
      <c r="J14" s="337">
        <f t="shared" si="1"/>
        <v>44277.159999999996</v>
      </c>
      <c r="K14" s="337">
        <f t="shared" si="1"/>
        <v>45900.040000000008</v>
      </c>
      <c r="L14" s="161"/>
      <c r="M14" s="161"/>
      <c r="N14" s="161"/>
      <c r="O14" s="161"/>
      <c r="P14" s="161"/>
      <c r="Q14" s="161"/>
      <c r="R14" s="161"/>
      <c r="S14" s="161"/>
      <c r="T14" s="161"/>
      <c r="U14" s="161"/>
      <c r="V14" s="161"/>
      <c r="W14" s="161"/>
      <c r="X14" s="161"/>
      <c r="Y14" s="161"/>
      <c r="Z14" s="161"/>
      <c r="AA14" s="161"/>
      <c r="AB14" s="161"/>
      <c r="AC14" s="161"/>
    </row>
    <row r="15" spans="1:29">
      <c r="B15" s="197"/>
      <c r="C15" s="197"/>
      <c r="D15" s="197"/>
      <c r="L15" s="161"/>
      <c r="M15" s="161"/>
      <c r="N15" s="161"/>
      <c r="O15" s="161"/>
      <c r="P15" s="161"/>
      <c r="Q15" s="161"/>
      <c r="R15" s="161"/>
      <c r="S15" s="161"/>
      <c r="T15" s="161"/>
      <c r="U15" s="161"/>
      <c r="V15" s="161"/>
      <c r="W15" s="161"/>
      <c r="X15" s="161"/>
      <c r="Y15" s="161"/>
      <c r="Z15" s="161"/>
      <c r="AA15" s="161"/>
      <c r="AB15" s="161"/>
      <c r="AC15" s="161"/>
    </row>
    <row r="16" spans="1:29">
      <c r="B16" s="48"/>
      <c r="C16" s="165"/>
      <c r="D16" s="165"/>
      <c r="E16" s="210" t="s">
        <v>129</v>
      </c>
      <c r="F16" s="337">
        <f t="shared" ref="F16:K16" si="2">F9-F14</f>
        <v>67826.599999999991</v>
      </c>
      <c r="G16" s="337">
        <f t="shared" si="2"/>
        <v>78465.899999999994</v>
      </c>
      <c r="H16" s="337">
        <f t="shared" si="2"/>
        <v>80720.899999999994</v>
      </c>
      <c r="I16" s="337">
        <f t="shared" si="2"/>
        <v>100300.96</v>
      </c>
      <c r="J16" s="337">
        <f t="shared" si="2"/>
        <v>95875.129999999976</v>
      </c>
      <c r="K16" s="337">
        <f t="shared" si="2"/>
        <v>103689.98999999996</v>
      </c>
      <c r="L16" s="161"/>
      <c r="M16" s="161"/>
      <c r="N16" s="161"/>
      <c r="O16" s="161"/>
      <c r="P16" s="161"/>
      <c r="Q16" s="161"/>
      <c r="R16" s="161"/>
      <c r="S16" s="161"/>
      <c r="T16" s="161"/>
      <c r="U16" s="161"/>
      <c r="V16" s="161"/>
      <c r="W16" s="161"/>
      <c r="X16" s="161"/>
      <c r="Y16" s="161"/>
      <c r="Z16" s="161"/>
      <c r="AA16" s="161"/>
      <c r="AB16" s="161"/>
      <c r="AC16" s="161"/>
    </row>
    <row r="17" spans="2:31">
      <c r="B17" s="116"/>
      <c r="C17" s="188"/>
      <c r="D17" s="190"/>
      <c r="E17" s="169"/>
      <c r="F17" s="169"/>
      <c r="G17" s="169"/>
      <c r="H17" s="169"/>
      <c r="I17" s="169"/>
      <c r="J17" s="169"/>
      <c r="K17" s="169"/>
      <c r="L17" s="161"/>
      <c r="M17" s="161"/>
      <c r="N17" s="161"/>
      <c r="O17" s="161"/>
      <c r="P17" s="161"/>
      <c r="Q17" s="161"/>
      <c r="R17" s="161"/>
      <c r="S17" s="161"/>
      <c r="T17" s="161"/>
      <c r="U17" s="161"/>
      <c r="V17" s="161"/>
      <c r="W17" s="161"/>
      <c r="X17" s="161"/>
      <c r="Y17" s="161"/>
      <c r="Z17" s="161"/>
      <c r="AA17" s="161"/>
      <c r="AB17" s="161"/>
      <c r="AC17" s="161"/>
    </row>
    <row r="18" spans="2:31">
      <c r="B18" s="116"/>
      <c r="C18" s="188"/>
      <c r="D18" s="190"/>
      <c r="E18" s="189" t="s">
        <v>153</v>
      </c>
      <c r="F18" s="234"/>
      <c r="G18" s="234">
        <f>G16-F16</f>
        <v>10639.300000000003</v>
      </c>
      <c r="H18" s="234">
        <f t="shared" ref="H18" si="3">H16-G16</f>
        <v>2255</v>
      </c>
      <c r="I18" s="234">
        <f t="shared" ref="I18" si="4">I16-H16</f>
        <v>19580.060000000012</v>
      </c>
      <c r="J18" s="234">
        <f t="shared" ref="J18" si="5">J16-I16</f>
        <v>-4425.8300000000309</v>
      </c>
      <c r="K18" s="234">
        <f>K16-J16</f>
        <v>7814.859999999986</v>
      </c>
      <c r="L18" s="161"/>
      <c r="M18" s="161"/>
      <c r="N18" s="161"/>
      <c r="O18" s="161"/>
      <c r="P18" s="161"/>
      <c r="Q18" s="161"/>
      <c r="R18" s="161"/>
      <c r="S18" s="161"/>
      <c r="T18" s="161"/>
      <c r="U18" s="161"/>
      <c r="V18" s="161"/>
      <c r="W18" s="161"/>
      <c r="X18" s="161"/>
      <c r="Y18" s="161"/>
      <c r="Z18" s="161"/>
      <c r="AA18" s="161"/>
      <c r="AB18" s="161"/>
      <c r="AC18" s="161"/>
    </row>
    <row r="19" spans="2:31">
      <c r="B19" s="116"/>
      <c r="C19" s="188"/>
      <c r="D19" s="190"/>
      <c r="E19" s="169"/>
      <c r="F19" s="169"/>
      <c r="G19" s="169"/>
      <c r="H19" s="169"/>
      <c r="I19" s="169"/>
      <c r="J19" s="169"/>
      <c r="K19" s="169"/>
      <c r="L19" s="161"/>
      <c r="M19" s="161"/>
      <c r="N19" s="161"/>
      <c r="O19" s="161"/>
      <c r="P19" s="161"/>
      <c r="Q19" s="161"/>
      <c r="R19" s="161"/>
      <c r="S19" s="161"/>
      <c r="T19" s="161"/>
      <c r="U19" s="161"/>
      <c r="V19" s="161"/>
      <c r="W19" s="161"/>
      <c r="X19" s="161"/>
      <c r="Y19" s="161"/>
      <c r="Z19" s="161"/>
      <c r="AA19" s="161"/>
      <c r="AB19" s="161"/>
      <c r="AC19" s="161"/>
    </row>
    <row r="20" spans="2:31">
      <c r="B20" s="116"/>
      <c r="C20" s="188"/>
      <c r="D20" s="190"/>
      <c r="E20" s="208" t="s">
        <v>6</v>
      </c>
      <c r="F20" s="235">
        <v>486795.45</v>
      </c>
      <c r="G20" s="235">
        <v>627036.43000000005</v>
      </c>
      <c r="H20" s="235">
        <v>805800.25</v>
      </c>
      <c r="I20" s="235">
        <v>941789.14</v>
      </c>
      <c r="J20" s="235">
        <v>1050404.06</v>
      </c>
      <c r="K20" s="235">
        <v>1247050.21</v>
      </c>
      <c r="L20" s="161"/>
      <c r="M20" s="161"/>
      <c r="N20" s="161"/>
      <c r="O20" s="161"/>
      <c r="P20" s="161"/>
      <c r="Q20" s="161"/>
      <c r="R20" s="161"/>
      <c r="S20" s="161"/>
      <c r="T20" s="161"/>
      <c r="U20" s="161"/>
      <c r="V20" s="161"/>
      <c r="W20" s="161"/>
      <c r="X20" s="161"/>
      <c r="Y20" s="161"/>
      <c r="Z20" s="161"/>
      <c r="AA20" s="161"/>
      <c r="AB20" s="161"/>
      <c r="AC20" s="161"/>
    </row>
    <row r="21" spans="2:31">
      <c r="B21" s="116"/>
      <c r="C21" s="188"/>
      <c r="D21" s="190"/>
      <c r="E21" s="170" t="s">
        <v>147</v>
      </c>
      <c r="F21" s="191">
        <f t="shared" ref="F21:K21" si="6">F16/F20</f>
        <v>0.13933285530914472</v>
      </c>
      <c r="G21" s="191">
        <f t="shared" si="6"/>
        <v>0.12513770531641996</v>
      </c>
      <c r="H21" s="191">
        <f t="shared" si="6"/>
        <v>0.10017482620537782</v>
      </c>
      <c r="I21" s="191">
        <f t="shared" si="6"/>
        <v>0.1065004423389295</v>
      </c>
      <c r="J21" s="191">
        <f t="shared" si="6"/>
        <v>9.1274523443864039E-2</v>
      </c>
      <c r="K21" s="191">
        <f t="shared" si="6"/>
        <v>8.3148207801512636E-2</v>
      </c>
      <c r="L21" s="161"/>
      <c r="M21" s="161"/>
      <c r="N21" s="161"/>
      <c r="O21" s="161"/>
      <c r="P21" s="161"/>
      <c r="Q21" s="161"/>
      <c r="R21" s="161"/>
      <c r="S21" s="161"/>
      <c r="T21" s="161"/>
      <c r="U21" s="161"/>
      <c r="V21" s="161"/>
      <c r="W21" s="161"/>
      <c r="X21" s="161"/>
      <c r="Y21" s="161"/>
      <c r="Z21" s="161"/>
      <c r="AA21" s="161"/>
      <c r="AB21" s="161"/>
      <c r="AC21" s="161"/>
    </row>
    <row r="22" spans="2:31">
      <c r="B22" s="116"/>
      <c r="C22" s="188"/>
      <c r="D22" s="190"/>
      <c r="J22" s="182" t="s">
        <v>395</v>
      </c>
      <c r="K22" s="215">
        <f>MEDIAN(I21:K21)</f>
        <v>9.1274523443864039E-2</v>
      </c>
      <c r="L22" s="161"/>
      <c r="M22" s="161"/>
      <c r="N22" s="161"/>
      <c r="O22" s="161"/>
      <c r="P22" s="161"/>
      <c r="Q22" s="161"/>
      <c r="R22" s="161"/>
      <c r="S22" s="161"/>
      <c r="T22" s="161"/>
      <c r="U22" s="161"/>
      <c r="V22" s="161"/>
      <c r="W22" s="161"/>
      <c r="X22" s="161"/>
      <c r="Y22" s="161"/>
      <c r="Z22" s="161"/>
      <c r="AA22" s="161"/>
      <c r="AB22" s="161"/>
      <c r="AC22" s="161"/>
    </row>
    <row r="23" spans="2:31">
      <c r="B23" s="116"/>
      <c r="C23" s="188"/>
      <c r="D23" s="190"/>
      <c r="J23" s="161"/>
      <c r="L23" s="161"/>
      <c r="M23" s="161"/>
      <c r="N23" s="161"/>
      <c r="O23" s="161"/>
      <c r="P23" s="161"/>
      <c r="Q23" s="161"/>
      <c r="R23" s="161"/>
      <c r="S23" s="161"/>
      <c r="T23" s="161"/>
      <c r="U23" s="161"/>
      <c r="V23" s="161"/>
      <c r="W23" s="161"/>
      <c r="X23" s="161"/>
      <c r="Y23" s="161"/>
      <c r="Z23" s="161"/>
      <c r="AA23" s="161"/>
      <c r="AB23" s="161"/>
      <c r="AC23" s="161"/>
      <c r="AD23" s="161"/>
      <c r="AE23" s="161"/>
    </row>
    <row r="24" spans="2:31">
      <c r="B24" s="116"/>
      <c r="C24" s="188"/>
      <c r="D24" s="190"/>
      <c r="J24" s="161"/>
      <c r="K24" s="161"/>
      <c r="L24" s="161"/>
      <c r="M24" s="161"/>
      <c r="N24" s="161"/>
      <c r="O24" s="161"/>
      <c r="P24" s="161"/>
      <c r="Q24" s="161"/>
      <c r="R24" s="161"/>
      <c r="S24" s="161"/>
      <c r="T24" s="161"/>
      <c r="U24" s="161"/>
      <c r="V24" s="161"/>
      <c r="W24" s="161"/>
      <c r="X24" s="161"/>
      <c r="Y24" s="161"/>
      <c r="Z24" s="161"/>
      <c r="AA24" s="161"/>
      <c r="AB24" s="161"/>
      <c r="AC24" s="161"/>
      <c r="AD24" s="161"/>
      <c r="AE24" s="161"/>
    </row>
    <row r="25" spans="2:31">
      <c r="B25" s="196"/>
      <c r="C25" s="196"/>
      <c r="D25" s="195"/>
      <c r="J25" s="161"/>
      <c r="K25" s="161"/>
      <c r="L25" s="161"/>
      <c r="M25" s="161"/>
      <c r="N25" s="161"/>
      <c r="O25" s="161"/>
      <c r="P25" s="161"/>
      <c r="Q25" s="161"/>
      <c r="R25" s="161"/>
      <c r="S25" s="161"/>
      <c r="T25" s="161"/>
      <c r="U25" s="161"/>
      <c r="V25" s="161"/>
      <c r="W25" s="161"/>
      <c r="X25" s="161"/>
      <c r="Y25" s="161"/>
      <c r="Z25" s="161"/>
      <c r="AA25" s="161"/>
      <c r="AB25" s="161"/>
      <c r="AC25" s="161"/>
      <c r="AD25" s="161"/>
      <c r="AE25" s="161"/>
    </row>
    <row r="26" spans="2:31">
      <c r="J26" s="161"/>
      <c r="K26" s="161"/>
      <c r="L26" s="161"/>
      <c r="M26" s="161"/>
      <c r="N26" s="161"/>
      <c r="O26" s="161"/>
      <c r="P26" s="161"/>
      <c r="Q26" s="161"/>
      <c r="R26" s="161"/>
      <c r="S26" s="161"/>
      <c r="T26" s="161"/>
      <c r="U26" s="161"/>
      <c r="V26" s="161"/>
      <c r="W26" s="161"/>
      <c r="X26" s="161"/>
      <c r="Y26" s="161"/>
      <c r="Z26" s="161"/>
      <c r="AA26" s="161"/>
      <c r="AB26" s="161"/>
      <c r="AC26" s="161"/>
      <c r="AD26" s="161"/>
      <c r="AE26" s="161"/>
    </row>
    <row r="27" spans="2:31">
      <c r="J27" s="161"/>
      <c r="K27" s="161"/>
      <c r="L27" s="161"/>
      <c r="M27" s="161"/>
      <c r="N27" s="161"/>
      <c r="O27" s="161"/>
      <c r="P27" s="161"/>
      <c r="Q27" s="161"/>
      <c r="R27" s="161"/>
      <c r="S27" s="161"/>
      <c r="T27" s="161"/>
      <c r="U27" s="161"/>
      <c r="V27" s="161"/>
      <c r="W27" s="161"/>
      <c r="X27" s="161"/>
      <c r="Y27" s="161"/>
      <c r="Z27" s="161"/>
      <c r="AA27" s="161"/>
      <c r="AB27" s="161"/>
      <c r="AC27" s="161"/>
      <c r="AD27" s="161"/>
      <c r="AE27" s="161"/>
    </row>
    <row r="28" spans="2:31">
      <c r="J28" s="161"/>
      <c r="K28" s="161"/>
      <c r="L28" s="161"/>
      <c r="M28" s="161"/>
      <c r="N28" s="161"/>
      <c r="O28" s="161"/>
      <c r="P28" s="161"/>
      <c r="Q28" s="161"/>
      <c r="R28" s="161"/>
      <c r="S28" s="161"/>
      <c r="T28" s="161"/>
      <c r="U28" s="161"/>
      <c r="V28" s="161"/>
      <c r="W28" s="161"/>
      <c r="X28" s="161"/>
      <c r="Y28" s="161"/>
      <c r="Z28" s="161"/>
      <c r="AA28" s="161"/>
      <c r="AB28" s="161"/>
      <c r="AC28" s="161"/>
      <c r="AD28" s="161"/>
      <c r="AE28" s="161"/>
    </row>
    <row r="29" spans="2:31">
      <c r="J29" s="161"/>
      <c r="K29" s="161"/>
      <c r="L29" s="161"/>
      <c r="M29" s="161"/>
      <c r="N29" s="161"/>
      <c r="O29" s="161"/>
      <c r="P29" s="161"/>
      <c r="Q29" s="161"/>
      <c r="R29" s="161"/>
      <c r="S29" s="161"/>
      <c r="T29" s="161"/>
      <c r="U29" s="161"/>
      <c r="V29" s="161"/>
      <c r="W29" s="161"/>
      <c r="X29" s="161"/>
      <c r="Y29" s="161"/>
      <c r="Z29" s="161"/>
      <c r="AA29" s="161"/>
      <c r="AB29" s="161"/>
      <c r="AC29" s="161"/>
      <c r="AD29" s="161"/>
      <c r="AE29" s="161"/>
    </row>
    <row r="30" spans="2:31" ht="14.25" customHeight="1">
      <c r="J30" s="161"/>
      <c r="K30" s="161"/>
      <c r="L30" s="161"/>
      <c r="M30" s="161"/>
      <c r="N30" s="161"/>
      <c r="O30" s="161"/>
      <c r="P30" s="161"/>
      <c r="Q30" s="161"/>
      <c r="R30" s="161"/>
      <c r="S30" s="161"/>
      <c r="T30" s="161"/>
      <c r="U30" s="161"/>
      <c r="V30" s="161"/>
      <c r="W30" s="161"/>
      <c r="X30" s="161"/>
      <c r="Y30" s="161"/>
      <c r="Z30" s="161"/>
      <c r="AA30" s="161"/>
      <c r="AB30" s="161"/>
      <c r="AC30" s="161"/>
      <c r="AD30" s="161"/>
      <c r="AE30" s="161"/>
    </row>
    <row r="31" spans="2:31">
      <c r="J31" s="161"/>
      <c r="K31" s="161"/>
      <c r="L31" s="161"/>
      <c r="M31" s="161"/>
      <c r="N31" s="161"/>
      <c r="O31" s="161"/>
      <c r="P31" s="161"/>
      <c r="Q31" s="161"/>
      <c r="R31" s="161"/>
      <c r="S31" s="161"/>
      <c r="T31" s="161"/>
      <c r="U31" s="161"/>
      <c r="V31" s="161"/>
      <c r="W31" s="161"/>
      <c r="X31" s="161"/>
      <c r="Y31" s="161"/>
      <c r="Z31" s="161"/>
      <c r="AA31" s="161"/>
      <c r="AB31" s="161"/>
      <c r="AC31" s="161"/>
      <c r="AD31" s="161"/>
      <c r="AE31" s="161"/>
    </row>
    <row r="32" spans="2:31">
      <c r="J32" s="161"/>
      <c r="K32" s="161"/>
      <c r="L32" s="161"/>
      <c r="M32" s="161"/>
      <c r="N32" s="161"/>
      <c r="O32" s="161"/>
      <c r="P32" s="161"/>
      <c r="Q32" s="161"/>
      <c r="R32" s="161"/>
      <c r="S32" s="161"/>
      <c r="T32" s="161"/>
      <c r="U32" s="161"/>
      <c r="V32" s="161"/>
      <c r="W32" s="161"/>
      <c r="X32" s="161"/>
      <c r="Y32" s="161"/>
      <c r="Z32" s="161"/>
      <c r="AA32" s="161"/>
      <c r="AB32" s="161"/>
      <c r="AC32" s="161"/>
      <c r="AD32" s="161"/>
      <c r="AE32" s="161"/>
    </row>
    <row r="33" spans="6:31">
      <c r="F33" s="161"/>
      <c r="G33" s="161"/>
      <c r="H33" s="161"/>
      <c r="I33" s="161"/>
      <c r="J33" s="161"/>
      <c r="K33" s="161"/>
      <c r="L33" s="161"/>
      <c r="M33" s="161"/>
      <c r="N33" s="161"/>
      <c r="O33" s="161"/>
      <c r="P33" s="161"/>
      <c r="Q33" s="161"/>
      <c r="R33" s="161"/>
      <c r="S33" s="161"/>
      <c r="T33" s="161"/>
      <c r="U33" s="161"/>
      <c r="V33" s="161"/>
      <c r="W33" s="161"/>
      <c r="X33" s="161"/>
      <c r="Y33" s="161"/>
      <c r="Z33" s="161"/>
      <c r="AA33" s="161"/>
      <c r="AB33" s="161"/>
      <c r="AC33" s="161"/>
      <c r="AD33" s="161"/>
      <c r="AE33" s="161"/>
    </row>
    <row r="34" spans="6:31">
      <c r="K34" s="161"/>
      <c r="L34" s="161"/>
      <c r="M34" s="161"/>
      <c r="N34" s="161"/>
      <c r="O34" s="161"/>
      <c r="P34" s="161"/>
      <c r="Q34" s="161"/>
      <c r="R34" s="161"/>
      <c r="S34" s="161"/>
      <c r="T34" s="161"/>
      <c r="U34" s="161"/>
      <c r="V34" s="161"/>
      <c r="W34" s="161"/>
      <c r="X34" s="161"/>
      <c r="Y34" s="161"/>
      <c r="Z34" s="161"/>
      <c r="AA34" s="161"/>
      <c r="AB34" s="161"/>
      <c r="AC34" s="161"/>
      <c r="AD34" s="161"/>
      <c r="AE34" s="161"/>
    </row>
    <row r="35" spans="6:31">
      <c r="K35" s="161"/>
      <c r="L35" s="161"/>
      <c r="M35" s="161"/>
      <c r="N35" s="161"/>
      <c r="O35" s="161"/>
      <c r="P35" s="161"/>
      <c r="Q35" s="161"/>
      <c r="R35" s="161"/>
      <c r="S35" s="161"/>
      <c r="T35" s="161"/>
      <c r="U35" s="161"/>
      <c r="V35" s="161"/>
      <c r="W35" s="161"/>
      <c r="X35" s="161"/>
      <c r="Y35" s="161"/>
      <c r="Z35" s="161"/>
      <c r="AA35" s="161"/>
      <c r="AB35" s="161"/>
      <c r="AC35" s="161"/>
      <c r="AD35" s="161"/>
      <c r="AE35" s="161"/>
    </row>
    <row r="36" spans="6:31">
      <c r="L36" s="161"/>
      <c r="M36" s="161"/>
      <c r="N36" s="161"/>
      <c r="O36" s="161"/>
      <c r="P36" s="161"/>
      <c r="Q36" s="161"/>
      <c r="R36" s="161"/>
      <c r="S36" s="161"/>
      <c r="T36" s="161"/>
      <c r="U36" s="161"/>
      <c r="V36" s="161"/>
      <c r="W36" s="161"/>
      <c r="X36" s="161"/>
      <c r="Y36" s="161"/>
      <c r="Z36" s="161"/>
      <c r="AA36" s="161"/>
      <c r="AB36" s="161"/>
      <c r="AC36" s="161"/>
      <c r="AD36" s="161"/>
      <c r="AE36" s="161"/>
    </row>
    <row r="37" spans="6:31">
      <c r="L37" s="161"/>
      <c r="M37" s="161"/>
      <c r="N37" s="161"/>
      <c r="O37" s="161"/>
      <c r="P37" s="161"/>
      <c r="Q37" s="161"/>
      <c r="R37" s="161"/>
      <c r="S37" s="161"/>
      <c r="T37" s="161"/>
      <c r="U37" s="161"/>
      <c r="V37" s="161"/>
      <c r="W37" s="161"/>
      <c r="X37" s="161"/>
      <c r="Y37" s="161"/>
      <c r="Z37" s="161"/>
      <c r="AA37" s="161"/>
      <c r="AB37" s="161"/>
      <c r="AC37" s="161"/>
      <c r="AD37" s="161"/>
      <c r="AE37" s="161"/>
    </row>
    <row r="38" spans="6:31">
      <c r="L38" s="161"/>
      <c r="M38" s="161"/>
      <c r="N38" s="161"/>
      <c r="O38" s="161"/>
      <c r="P38" s="161"/>
      <c r="Q38" s="161"/>
      <c r="R38" s="161"/>
      <c r="S38" s="161"/>
      <c r="T38" s="161"/>
      <c r="U38" s="161"/>
      <c r="V38" s="161"/>
      <c r="W38" s="161"/>
      <c r="X38" s="161"/>
      <c r="Y38" s="161"/>
      <c r="Z38" s="161"/>
      <c r="AA38" s="161"/>
      <c r="AB38" s="161"/>
      <c r="AC38" s="161"/>
      <c r="AD38" s="161"/>
      <c r="AE38" s="161"/>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8"/>
  <sheetViews>
    <sheetView workbookViewId="0"/>
  </sheetViews>
  <sheetFormatPr defaultRowHeight="12"/>
  <cols>
    <col min="1" max="1" width="2" style="156" customWidth="1"/>
    <col min="2" max="2" width="29.28515625" style="156" customWidth="1"/>
    <col min="3" max="3" width="11.7109375" style="156" customWidth="1"/>
    <col min="4" max="4" width="4.85546875" style="156" customWidth="1"/>
    <col min="5" max="5" width="10.140625" style="156" customWidth="1"/>
    <col min="6" max="6" width="32.42578125" style="156" customWidth="1"/>
    <col min="7" max="7" width="11.85546875" style="156" customWidth="1" collapsed="1"/>
    <col min="8" max="8" width="5.42578125" style="156" customWidth="1"/>
    <col min="9" max="9" width="31.5703125" style="156" customWidth="1"/>
    <col min="10" max="10" width="11.5703125" style="156" bestFit="1" customWidth="1"/>
    <col min="11" max="11" width="9.85546875" style="156" customWidth="1"/>
    <col min="12" max="25" width="9.140625" style="156" customWidth="1"/>
    <col min="26" max="26" width="9.28515625" style="156" customWidth="1"/>
    <col min="27" max="27" width="9.42578125" style="156" customWidth="1"/>
    <col min="28" max="28" width="10" style="156" customWidth="1"/>
    <col min="29" max="29" width="11.42578125" style="156" customWidth="1"/>
    <col min="30" max="30" width="9.42578125" style="156" bestFit="1" customWidth="1" collapsed="1"/>
    <col min="31" max="16384" width="9.140625" style="156"/>
  </cols>
  <sheetData>
    <row r="1" spans="1:31" s="155" customFormat="1" ht="15" customHeight="1">
      <c r="B1" s="17" t="s">
        <v>145</v>
      </c>
      <c r="C1" s="154"/>
      <c r="D1" s="154"/>
      <c r="E1" s="154"/>
      <c r="F1" s="154"/>
      <c r="G1" s="154"/>
      <c r="H1" s="154"/>
      <c r="I1" s="154"/>
      <c r="J1" s="154"/>
      <c r="K1" s="154"/>
    </row>
    <row r="2" spans="1:31" ht="12.75" customHeight="1">
      <c r="C2" s="182"/>
    </row>
    <row r="3" spans="1:31" ht="15.75">
      <c r="A3" s="158"/>
      <c r="F3" s="139" t="s">
        <v>130</v>
      </c>
      <c r="G3" s="169"/>
      <c r="I3" s="139" t="s">
        <v>134</v>
      </c>
      <c r="J3" s="169"/>
      <c r="K3" s="166"/>
    </row>
    <row r="4" spans="1:31" ht="14.25" customHeight="1">
      <c r="A4" s="163"/>
      <c r="B4" s="185" t="str">
        <f>F14</f>
        <v>Free Cash Flow to Firm (FCFF)</v>
      </c>
      <c r="C4" s="205">
        <f>G14</f>
        <v>538.75627519123373</v>
      </c>
      <c r="F4" s="179"/>
      <c r="G4" s="207" t="s">
        <v>258</v>
      </c>
      <c r="I4" s="179"/>
      <c r="J4" s="207" t="s">
        <v>258</v>
      </c>
      <c r="K4" s="81"/>
      <c r="N4" s="160"/>
      <c r="P4" s="160"/>
      <c r="Q4" s="160"/>
      <c r="R4" s="160"/>
      <c r="S4" s="160"/>
      <c r="T4" s="160"/>
      <c r="U4" s="160"/>
      <c r="Z4" s="160"/>
    </row>
    <row r="5" spans="1:31">
      <c r="A5" s="163"/>
      <c r="B5" s="204" t="str">
        <f>I17</f>
        <v>Free Cash Flow to Equity (FCFE)</v>
      </c>
      <c r="C5" s="206">
        <f>J17</f>
        <v>-8901.3337998087645</v>
      </c>
      <c r="F5" s="173" t="s">
        <v>123</v>
      </c>
      <c r="G5" s="186">
        <f>'EBIT &amp; Operating Leases'!C14</f>
        <v>32564.124340438037</v>
      </c>
      <c r="I5" s="173" t="str">
        <f>F5</f>
        <v>Adjusted EBIT</v>
      </c>
      <c r="J5" s="174">
        <f>G5</f>
        <v>32564.124340438037</v>
      </c>
      <c r="K5" s="168"/>
      <c r="N5" s="161"/>
      <c r="O5" s="161"/>
      <c r="P5" s="161"/>
      <c r="Q5" s="161"/>
      <c r="R5" s="161"/>
      <c r="S5" s="161"/>
      <c r="T5" s="161"/>
      <c r="U5" s="161"/>
      <c r="V5" s="161"/>
      <c r="W5" s="161"/>
      <c r="X5" s="161"/>
      <c r="Y5" s="161"/>
      <c r="Z5" s="161"/>
      <c r="AA5" s="161"/>
      <c r="AB5" s="161"/>
      <c r="AC5" s="161"/>
      <c r="AD5" s="161"/>
      <c r="AE5" s="161"/>
    </row>
    <row r="6" spans="1:31">
      <c r="A6" s="163"/>
      <c r="F6" s="173" t="s">
        <v>179</v>
      </c>
      <c r="G6" s="200">
        <f>Beta!C6</f>
        <v>0.25169999999999998</v>
      </c>
      <c r="I6" s="171" t="s">
        <v>135</v>
      </c>
      <c r="J6" s="174">
        <v>1310.25</v>
      </c>
      <c r="N6" s="161"/>
      <c r="O6" s="161"/>
      <c r="P6" s="161"/>
      <c r="Q6" s="161"/>
      <c r="R6" s="161"/>
      <c r="S6" s="161"/>
      <c r="T6" s="161"/>
      <c r="U6" s="161"/>
      <c r="V6" s="161"/>
      <c r="W6" s="161"/>
      <c r="X6" s="161"/>
      <c r="Y6" s="161"/>
      <c r="Z6" s="161"/>
      <c r="AA6" s="161"/>
      <c r="AB6" s="161"/>
      <c r="AC6" s="161"/>
      <c r="AD6" s="161"/>
      <c r="AE6" s="161"/>
    </row>
    <row r="7" spans="1:31">
      <c r="F7" s="171"/>
      <c r="G7" s="192"/>
      <c r="I7" s="175" t="s">
        <v>136</v>
      </c>
      <c r="J7" s="176">
        <f>J5-J6</f>
        <v>31253.874340438037</v>
      </c>
      <c r="N7" s="161"/>
      <c r="O7" s="161"/>
      <c r="P7" s="161"/>
      <c r="Q7" s="161"/>
      <c r="R7" s="161"/>
      <c r="S7" s="161"/>
      <c r="T7" s="161"/>
      <c r="U7" s="161"/>
      <c r="V7" s="161"/>
      <c r="W7" s="161"/>
      <c r="X7" s="161"/>
      <c r="Y7" s="161"/>
      <c r="Z7" s="161"/>
      <c r="AA7" s="161"/>
      <c r="AB7" s="161"/>
      <c r="AC7" s="161"/>
      <c r="AD7" s="161"/>
      <c r="AE7" s="161"/>
    </row>
    <row r="8" spans="1:31">
      <c r="A8" s="163"/>
      <c r="F8" s="173" t="s">
        <v>131</v>
      </c>
      <c r="G8" s="174">
        <f>G5*(1-G6)</f>
        <v>24367.734243949781</v>
      </c>
      <c r="H8" s="164"/>
      <c r="I8" s="185" t="s">
        <v>179</v>
      </c>
      <c r="J8" s="203">
        <f>'FCFF &amp; FCFE'!G6</f>
        <v>0.25169999999999998</v>
      </c>
      <c r="N8" s="161"/>
      <c r="O8" s="161"/>
      <c r="P8" s="161"/>
      <c r="Q8" s="161"/>
      <c r="R8" s="161"/>
      <c r="S8" s="161"/>
      <c r="T8" s="161"/>
      <c r="U8" s="161"/>
      <c r="V8" s="161"/>
      <c r="W8" s="161"/>
      <c r="X8" s="161"/>
      <c r="Y8" s="161"/>
      <c r="Z8" s="161"/>
      <c r="AA8" s="161"/>
      <c r="AB8" s="161"/>
      <c r="AC8" s="161"/>
      <c r="AD8" s="161"/>
      <c r="AE8" s="161"/>
    </row>
    <row r="9" spans="1:31">
      <c r="A9" s="163"/>
      <c r="F9" s="185"/>
      <c r="G9" s="193"/>
      <c r="I9" s="177" t="s">
        <v>137</v>
      </c>
      <c r="J9" s="178">
        <f>J7*(1-J8)</f>
        <v>23387.274168949782</v>
      </c>
      <c r="N9" s="161"/>
      <c r="O9" s="161"/>
      <c r="P9" s="161"/>
      <c r="Q9" s="161"/>
      <c r="R9" s="161"/>
      <c r="S9" s="161"/>
      <c r="T9" s="161"/>
      <c r="U9" s="161"/>
      <c r="V9" s="161"/>
      <c r="W9" s="161"/>
      <c r="X9" s="161"/>
      <c r="Y9" s="161"/>
      <c r="Z9" s="161"/>
      <c r="AA9" s="161"/>
      <c r="AB9" s="161"/>
      <c r="AC9" s="161"/>
      <c r="AD9" s="161"/>
      <c r="AE9" s="161"/>
    </row>
    <row r="10" spans="1:31">
      <c r="A10" s="159"/>
      <c r="F10" s="173" t="str">
        <f>'Net CapEx'!B10</f>
        <v>Adjusted Net Capital Expenditures</v>
      </c>
      <c r="G10" s="174">
        <f>'Net CapEx'!C10</f>
        <v>5880.1943404379481</v>
      </c>
      <c r="I10" s="169"/>
      <c r="J10" s="169"/>
      <c r="N10" s="161"/>
      <c r="O10" s="161"/>
      <c r="P10" s="161"/>
      <c r="Q10" s="161"/>
      <c r="R10" s="161"/>
      <c r="S10" s="161"/>
      <c r="T10" s="161"/>
      <c r="U10" s="161"/>
      <c r="V10" s="161"/>
      <c r="W10" s="161"/>
      <c r="X10" s="161"/>
      <c r="Y10" s="161"/>
      <c r="Z10" s="161"/>
      <c r="AA10" s="161"/>
      <c r="AB10" s="161"/>
      <c r="AC10" s="161"/>
      <c r="AD10" s="161"/>
      <c r="AE10" s="161"/>
    </row>
    <row r="11" spans="1:31">
      <c r="A11" s="163"/>
      <c r="F11" s="173" t="str">
        <f>'Working Capital Changes'!B11</f>
        <v>Adj Change in Non Cash WC</v>
      </c>
      <c r="G11" s="174">
        <f>'Working Capital Changes'!C11</f>
        <v>17948.783628320598</v>
      </c>
      <c r="I11" s="173" t="s">
        <v>133</v>
      </c>
      <c r="J11" s="174">
        <f>G12</f>
        <v>23828.977968758547</v>
      </c>
      <c r="N11" s="161"/>
      <c r="O11" s="161"/>
      <c r="P11" s="161"/>
      <c r="Q11" s="161"/>
      <c r="R11" s="161"/>
      <c r="S11" s="161"/>
      <c r="T11" s="161"/>
      <c r="U11" s="161"/>
      <c r="V11" s="161"/>
      <c r="W11" s="161"/>
      <c r="X11" s="161"/>
      <c r="Y11" s="161"/>
      <c r="Z11" s="161"/>
      <c r="AA11" s="161"/>
      <c r="AB11" s="161"/>
      <c r="AC11" s="161"/>
      <c r="AD11" s="161"/>
      <c r="AE11" s="161"/>
    </row>
    <row r="12" spans="1:31">
      <c r="F12" s="177" t="s">
        <v>133</v>
      </c>
      <c r="G12" s="202">
        <f>G10+G11</f>
        <v>23828.977968758547</v>
      </c>
      <c r="I12" s="173"/>
      <c r="J12" s="146"/>
      <c r="N12" s="161"/>
      <c r="O12" s="161"/>
      <c r="P12" s="161"/>
      <c r="Q12" s="161"/>
      <c r="R12" s="161"/>
      <c r="S12" s="161"/>
      <c r="T12" s="161"/>
      <c r="U12" s="161"/>
      <c r="V12" s="161"/>
      <c r="W12" s="161"/>
      <c r="X12" s="161"/>
      <c r="Y12" s="161"/>
      <c r="Z12" s="161"/>
      <c r="AA12" s="161"/>
      <c r="AB12" s="161"/>
      <c r="AC12" s="161"/>
      <c r="AD12" s="161"/>
      <c r="AE12" s="161"/>
    </row>
    <row r="13" spans="1:31">
      <c r="A13" s="163"/>
      <c r="B13" s="159"/>
      <c r="C13" s="199"/>
      <c r="F13" s="169"/>
      <c r="G13" s="169"/>
      <c r="I13" s="173" t="s">
        <v>138</v>
      </c>
      <c r="J13" s="174">
        <f>138.82+8820.81</f>
        <v>8959.6299999999992</v>
      </c>
      <c r="N13" s="161"/>
      <c r="O13" s="161"/>
      <c r="P13" s="161"/>
      <c r="Q13" s="161"/>
      <c r="R13" s="161"/>
      <c r="S13" s="161"/>
      <c r="T13" s="161"/>
      <c r="U13" s="161"/>
      <c r="V13" s="161"/>
      <c r="W13" s="161"/>
      <c r="X13" s="161"/>
      <c r="Y13" s="161"/>
      <c r="Z13" s="161"/>
      <c r="AA13" s="161"/>
      <c r="AB13" s="161"/>
      <c r="AC13" s="161"/>
      <c r="AD13" s="161"/>
      <c r="AE13" s="161"/>
    </row>
    <row r="14" spans="1:31">
      <c r="D14" s="161"/>
      <c r="E14" s="161"/>
      <c r="F14" s="173" t="s">
        <v>132</v>
      </c>
      <c r="G14" s="180">
        <f>G8-G12</f>
        <v>538.75627519123373</v>
      </c>
      <c r="H14" s="161"/>
      <c r="I14" s="173" t="s">
        <v>139</v>
      </c>
      <c r="J14" s="174">
        <f>500</f>
        <v>500</v>
      </c>
      <c r="N14" s="161"/>
      <c r="O14" s="161"/>
      <c r="P14" s="161"/>
      <c r="Q14" s="161"/>
      <c r="R14" s="161"/>
      <c r="S14" s="161"/>
      <c r="T14" s="161"/>
      <c r="U14" s="161"/>
      <c r="V14" s="161"/>
      <c r="W14" s="161"/>
      <c r="X14" s="161"/>
      <c r="Y14" s="161"/>
      <c r="Z14" s="161"/>
      <c r="AA14" s="161"/>
      <c r="AB14" s="161"/>
      <c r="AC14" s="161"/>
      <c r="AD14" s="161"/>
      <c r="AE14" s="161"/>
    </row>
    <row r="15" spans="1:31">
      <c r="E15" s="166"/>
      <c r="F15" s="166"/>
      <c r="I15" s="177" t="s">
        <v>141</v>
      </c>
      <c r="J15" s="178">
        <f>J14-J13</f>
        <v>-8459.6299999999992</v>
      </c>
      <c r="N15" s="161"/>
      <c r="O15" s="161"/>
      <c r="P15" s="161"/>
      <c r="Q15" s="161"/>
      <c r="R15" s="161"/>
      <c r="S15" s="161"/>
      <c r="T15" s="161"/>
      <c r="U15" s="161"/>
      <c r="V15" s="161"/>
      <c r="W15" s="161"/>
      <c r="X15" s="161"/>
      <c r="Y15" s="161"/>
      <c r="Z15" s="161"/>
      <c r="AA15" s="161"/>
      <c r="AB15" s="161"/>
      <c r="AC15" s="161"/>
      <c r="AD15" s="161"/>
      <c r="AE15" s="161"/>
    </row>
    <row r="16" spans="1:31">
      <c r="E16" s="81"/>
      <c r="F16" s="81"/>
      <c r="I16" s="169"/>
      <c r="J16" s="169"/>
      <c r="N16" s="161"/>
      <c r="O16" s="161"/>
      <c r="P16" s="161"/>
      <c r="Q16" s="161"/>
      <c r="R16" s="161"/>
      <c r="S16" s="161"/>
      <c r="T16" s="161"/>
      <c r="U16" s="161"/>
      <c r="V16" s="161"/>
      <c r="W16" s="161"/>
      <c r="X16" s="161"/>
      <c r="Y16" s="161"/>
      <c r="Z16" s="161"/>
      <c r="AA16" s="161"/>
      <c r="AB16" s="161"/>
      <c r="AC16" s="161"/>
      <c r="AD16" s="161"/>
      <c r="AE16" s="161"/>
    </row>
    <row r="17" spans="1:31">
      <c r="E17" s="168"/>
      <c r="F17" s="168"/>
      <c r="I17" s="173" t="s">
        <v>140</v>
      </c>
      <c r="J17" s="180">
        <f>J9-J11+J15</f>
        <v>-8901.3337998087645</v>
      </c>
      <c r="K17" s="161"/>
      <c r="N17" s="161"/>
      <c r="O17" s="161"/>
      <c r="P17" s="161"/>
      <c r="Q17" s="161"/>
      <c r="R17" s="161"/>
      <c r="S17" s="161"/>
      <c r="T17" s="161"/>
      <c r="U17" s="161"/>
      <c r="V17" s="161"/>
      <c r="W17" s="161"/>
      <c r="X17" s="161"/>
      <c r="Y17" s="161"/>
      <c r="Z17" s="161"/>
      <c r="AA17" s="161"/>
      <c r="AB17" s="161"/>
      <c r="AC17" s="161"/>
      <c r="AD17" s="161"/>
      <c r="AE17" s="161"/>
    </row>
    <row r="18" spans="1:31">
      <c r="A18" s="163"/>
      <c r="G18" s="197"/>
      <c r="H18" s="198"/>
      <c r="I18" s="198"/>
      <c r="J18" s="161"/>
      <c r="K18" s="161"/>
      <c r="L18" s="161"/>
      <c r="M18" s="161"/>
      <c r="N18" s="161"/>
      <c r="O18" s="161"/>
      <c r="P18" s="161"/>
      <c r="Q18" s="161"/>
      <c r="R18" s="161"/>
      <c r="S18" s="161"/>
      <c r="T18" s="161"/>
      <c r="U18" s="161"/>
      <c r="V18" s="161"/>
      <c r="W18" s="161"/>
      <c r="X18" s="161"/>
      <c r="Y18" s="161"/>
      <c r="Z18" s="161"/>
      <c r="AA18" s="161"/>
      <c r="AB18" s="161"/>
      <c r="AC18" s="161"/>
      <c r="AD18" s="161"/>
      <c r="AE18" s="161"/>
    </row>
    <row r="19" spans="1:31">
      <c r="G19" s="48"/>
      <c r="H19" s="48"/>
      <c r="I19" s="165"/>
      <c r="J19" s="161"/>
      <c r="K19" s="161"/>
      <c r="L19" s="161"/>
      <c r="M19" s="161"/>
      <c r="N19" s="161"/>
      <c r="O19" s="161"/>
      <c r="P19" s="161"/>
      <c r="Q19" s="161"/>
      <c r="R19" s="161"/>
      <c r="S19" s="161"/>
      <c r="T19" s="161"/>
      <c r="U19" s="161"/>
      <c r="V19" s="161"/>
      <c r="W19" s="161"/>
      <c r="X19" s="161"/>
      <c r="Y19" s="161"/>
      <c r="Z19" s="161"/>
      <c r="AA19" s="161"/>
      <c r="AB19" s="161"/>
      <c r="AC19" s="161"/>
      <c r="AD19" s="161"/>
      <c r="AE19" s="161"/>
    </row>
    <row r="20" spans="1:31">
      <c r="A20" s="163"/>
      <c r="G20" s="116"/>
      <c r="H20" s="116"/>
      <c r="I20" s="190"/>
      <c r="J20" s="161"/>
      <c r="K20" s="161"/>
      <c r="L20" s="161"/>
      <c r="M20" s="161"/>
      <c r="N20" s="161"/>
      <c r="O20" s="161"/>
      <c r="P20" s="161"/>
      <c r="Q20" s="161"/>
      <c r="R20" s="161"/>
      <c r="S20" s="161"/>
      <c r="T20" s="161"/>
      <c r="U20" s="161"/>
      <c r="V20" s="161"/>
      <c r="W20" s="161"/>
      <c r="X20" s="161"/>
      <c r="Y20" s="161"/>
      <c r="Z20" s="161"/>
      <c r="AA20" s="161"/>
      <c r="AB20" s="161"/>
      <c r="AC20" s="161"/>
      <c r="AD20" s="161"/>
      <c r="AE20" s="161"/>
    </row>
    <row r="21" spans="1:31">
      <c r="G21" s="116"/>
      <c r="H21" s="116"/>
      <c r="I21" s="190"/>
      <c r="J21" s="161"/>
      <c r="K21" s="161"/>
      <c r="L21" s="161"/>
      <c r="M21" s="161"/>
      <c r="N21" s="161"/>
      <c r="O21" s="161"/>
      <c r="P21" s="161"/>
      <c r="Q21" s="161"/>
      <c r="R21" s="161"/>
      <c r="S21" s="161"/>
      <c r="T21" s="161"/>
      <c r="U21" s="161"/>
      <c r="V21" s="161"/>
      <c r="W21" s="161"/>
      <c r="X21" s="161"/>
      <c r="Y21" s="161"/>
      <c r="Z21" s="161"/>
      <c r="AA21" s="161"/>
      <c r="AB21" s="161"/>
      <c r="AC21" s="161"/>
      <c r="AD21" s="161"/>
      <c r="AE21" s="161"/>
    </row>
    <row r="22" spans="1:31">
      <c r="E22" s="194"/>
      <c r="G22" s="116"/>
      <c r="H22" s="116"/>
      <c r="I22" s="190"/>
      <c r="J22" s="161"/>
      <c r="K22" s="161"/>
      <c r="L22" s="161"/>
      <c r="M22" s="161"/>
      <c r="N22" s="161"/>
      <c r="O22" s="161"/>
      <c r="P22" s="161"/>
      <c r="Q22" s="161"/>
      <c r="R22" s="161"/>
      <c r="S22" s="161"/>
      <c r="T22" s="161"/>
      <c r="U22" s="161"/>
      <c r="V22" s="161"/>
      <c r="W22" s="161"/>
      <c r="X22" s="161"/>
      <c r="Y22" s="161"/>
      <c r="Z22" s="161"/>
      <c r="AA22" s="161"/>
      <c r="AB22" s="161"/>
      <c r="AC22" s="161"/>
      <c r="AD22" s="161"/>
      <c r="AE22" s="161"/>
    </row>
    <row r="23" spans="1:31">
      <c r="F23" s="201"/>
      <c r="G23" s="116"/>
      <c r="H23" s="116"/>
      <c r="I23" s="190"/>
      <c r="J23" s="161"/>
      <c r="K23" s="161"/>
      <c r="L23" s="161"/>
      <c r="M23" s="161"/>
      <c r="N23" s="161"/>
      <c r="O23" s="161"/>
      <c r="P23" s="161"/>
      <c r="Q23" s="161"/>
      <c r="R23" s="161"/>
      <c r="S23" s="161"/>
      <c r="T23" s="161"/>
      <c r="U23" s="161"/>
      <c r="V23" s="161"/>
      <c r="W23" s="161"/>
      <c r="X23" s="161"/>
      <c r="Y23" s="161"/>
      <c r="Z23" s="161"/>
      <c r="AA23" s="161"/>
      <c r="AB23" s="161"/>
      <c r="AC23" s="161"/>
      <c r="AD23" s="161"/>
      <c r="AE23" s="161"/>
    </row>
    <row r="24" spans="1:31">
      <c r="G24" s="116"/>
      <c r="H24" s="116"/>
      <c r="I24" s="190"/>
      <c r="J24" s="161"/>
      <c r="K24" s="161"/>
      <c r="L24" s="161"/>
      <c r="M24" s="161"/>
      <c r="N24" s="161"/>
      <c r="O24" s="161"/>
      <c r="P24" s="161"/>
      <c r="Q24" s="161"/>
      <c r="R24" s="161"/>
      <c r="S24" s="161"/>
      <c r="T24" s="161"/>
      <c r="U24" s="161"/>
      <c r="V24" s="161"/>
      <c r="W24" s="161"/>
      <c r="X24" s="161"/>
      <c r="Y24" s="161"/>
      <c r="Z24" s="161"/>
      <c r="AA24" s="161"/>
      <c r="AB24" s="161"/>
      <c r="AC24" s="161"/>
      <c r="AD24" s="161"/>
      <c r="AE24" s="161"/>
    </row>
    <row r="25" spans="1:31">
      <c r="G25" s="116"/>
      <c r="H25" s="116"/>
      <c r="I25" s="190"/>
      <c r="J25" s="161"/>
      <c r="K25" s="161"/>
      <c r="L25" s="161"/>
      <c r="M25" s="161"/>
      <c r="N25" s="161"/>
      <c r="O25" s="161"/>
      <c r="P25" s="161"/>
      <c r="Q25" s="161"/>
      <c r="R25" s="161"/>
      <c r="S25" s="161"/>
      <c r="T25" s="161"/>
      <c r="U25" s="161"/>
      <c r="V25" s="161"/>
      <c r="W25" s="161"/>
      <c r="X25" s="161"/>
      <c r="Y25" s="161"/>
      <c r="Z25" s="161"/>
      <c r="AA25" s="161"/>
      <c r="AB25" s="161"/>
      <c r="AC25" s="161"/>
      <c r="AD25" s="161"/>
      <c r="AE25" s="161"/>
    </row>
    <row r="26" spans="1:31">
      <c r="G26" s="116"/>
      <c r="H26" s="116"/>
      <c r="I26" s="190"/>
      <c r="J26" s="161"/>
      <c r="K26" s="161"/>
      <c r="L26" s="161"/>
      <c r="M26" s="161"/>
      <c r="N26" s="161"/>
      <c r="O26" s="161"/>
      <c r="P26" s="161"/>
      <c r="Q26" s="161"/>
      <c r="R26" s="161"/>
      <c r="S26" s="161"/>
      <c r="T26" s="161"/>
      <c r="U26" s="161"/>
      <c r="V26" s="161"/>
      <c r="W26" s="161"/>
      <c r="X26" s="161"/>
      <c r="Y26" s="161"/>
      <c r="Z26" s="161"/>
      <c r="AA26" s="161"/>
      <c r="AB26" s="161"/>
      <c r="AC26" s="161"/>
      <c r="AD26" s="161"/>
      <c r="AE26" s="161"/>
    </row>
    <row r="27" spans="1:31">
      <c r="G27" s="116"/>
      <c r="H27" s="116"/>
      <c r="I27" s="190"/>
      <c r="J27" s="161"/>
      <c r="K27" s="161"/>
      <c r="L27" s="161"/>
      <c r="M27" s="161"/>
      <c r="N27" s="161"/>
      <c r="O27" s="161"/>
      <c r="P27" s="161"/>
      <c r="Q27" s="161"/>
      <c r="R27" s="161"/>
      <c r="S27" s="161"/>
      <c r="T27" s="161"/>
      <c r="U27" s="161"/>
      <c r="V27" s="161"/>
      <c r="W27" s="161"/>
      <c r="X27" s="161"/>
      <c r="Y27" s="161"/>
      <c r="Z27" s="161"/>
      <c r="AA27" s="161"/>
      <c r="AB27" s="161"/>
      <c r="AC27" s="161"/>
      <c r="AD27" s="161"/>
      <c r="AE27" s="161"/>
    </row>
    <row r="28" spans="1:31">
      <c r="G28" s="196"/>
      <c r="H28" s="196"/>
      <c r="I28" s="195"/>
      <c r="J28" s="161"/>
      <c r="K28" s="161"/>
      <c r="L28" s="161"/>
      <c r="M28" s="161"/>
      <c r="N28" s="161"/>
      <c r="O28" s="161"/>
      <c r="P28" s="161"/>
      <c r="Q28" s="161"/>
      <c r="R28" s="161"/>
      <c r="S28" s="161"/>
      <c r="T28" s="161"/>
      <c r="U28" s="161"/>
      <c r="V28" s="161"/>
      <c r="W28" s="161"/>
      <c r="X28" s="161"/>
      <c r="Y28" s="161"/>
      <c r="Z28" s="161"/>
      <c r="AA28" s="161"/>
      <c r="AB28" s="161"/>
      <c r="AC28" s="161"/>
      <c r="AD28" s="161"/>
      <c r="AE28" s="161"/>
    </row>
    <row r="29" spans="1:31">
      <c r="J29" s="161"/>
      <c r="K29" s="161"/>
      <c r="L29" s="161"/>
      <c r="M29" s="161"/>
      <c r="N29" s="161"/>
      <c r="O29" s="161"/>
      <c r="P29" s="161"/>
      <c r="Q29" s="161"/>
      <c r="R29" s="161"/>
      <c r="S29" s="161"/>
      <c r="T29" s="161"/>
      <c r="U29" s="161"/>
      <c r="V29" s="161"/>
      <c r="W29" s="161"/>
      <c r="X29" s="161"/>
      <c r="Y29" s="161"/>
      <c r="Z29" s="161"/>
      <c r="AA29" s="161"/>
      <c r="AB29" s="161"/>
      <c r="AC29" s="161"/>
      <c r="AD29" s="161"/>
      <c r="AE29" s="161"/>
    </row>
    <row r="30" spans="1:31" ht="14.25" customHeight="1">
      <c r="J30" s="161"/>
      <c r="K30" s="161"/>
      <c r="L30" s="161"/>
      <c r="M30" s="161"/>
      <c r="N30" s="161"/>
      <c r="O30" s="161"/>
      <c r="P30" s="161"/>
      <c r="Q30" s="161"/>
      <c r="R30" s="161"/>
      <c r="S30" s="161"/>
      <c r="T30" s="161"/>
      <c r="U30" s="161"/>
      <c r="V30" s="161"/>
      <c r="W30" s="161"/>
      <c r="X30" s="161"/>
      <c r="Y30" s="161"/>
      <c r="Z30" s="161"/>
      <c r="AA30" s="161"/>
      <c r="AB30" s="161"/>
      <c r="AC30" s="161"/>
      <c r="AD30" s="161"/>
      <c r="AE30" s="161"/>
    </row>
    <row r="31" spans="1:31">
      <c r="G31" s="161"/>
      <c r="H31" s="161"/>
      <c r="I31" s="161"/>
      <c r="J31" s="161"/>
      <c r="K31" s="161"/>
      <c r="L31" s="161"/>
      <c r="M31" s="161"/>
      <c r="N31" s="161"/>
      <c r="O31" s="161"/>
      <c r="P31" s="161"/>
      <c r="Q31" s="161"/>
      <c r="R31" s="161"/>
      <c r="S31" s="161"/>
      <c r="T31" s="161"/>
      <c r="U31" s="161"/>
      <c r="V31" s="161"/>
      <c r="W31" s="161"/>
      <c r="X31" s="161"/>
      <c r="Y31" s="161"/>
      <c r="Z31" s="161"/>
      <c r="AA31" s="161"/>
      <c r="AB31" s="161"/>
      <c r="AC31" s="161"/>
      <c r="AD31" s="161"/>
      <c r="AE31" s="161"/>
    </row>
    <row r="32" spans="1:31">
      <c r="G32" s="161"/>
      <c r="H32" s="161"/>
      <c r="I32" s="161"/>
      <c r="J32" s="161"/>
      <c r="K32" s="161"/>
      <c r="L32" s="161"/>
      <c r="M32" s="161"/>
      <c r="N32" s="161"/>
      <c r="O32" s="161"/>
      <c r="P32" s="161"/>
      <c r="Q32" s="161"/>
      <c r="R32" s="161"/>
      <c r="S32" s="161"/>
      <c r="T32" s="161"/>
      <c r="U32" s="161"/>
      <c r="V32" s="161"/>
      <c r="W32" s="161"/>
      <c r="X32" s="161"/>
      <c r="Y32" s="161"/>
      <c r="Z32" s="161"/>
      <c r="AA32" s="161"/>
      <c r="AB32" s="161"/>
      <c r="AC32" s="161"/>
      <c r="AD32" s="161"/>
      <c r="AE32" s="161"/>
    </row>
    <row r="33" spans="7:31">
      <c r="G33" s="161"/>
      <c r="H33" s="161"/>
      <c r="I33" s="161"/>
      <c r="J33" s="161"/>
      <c r="K33" s="161"/>
      <c r="L33" s="161"/>
      <c r="M33" s="161"/>
      <c r="N33" s="161"/>
      <c r="O33" s="161"/>
      <c r="P33" s="161"/>
      <c r="Q33" s="161"/>
      <c r="R33" s="161"/>
      <c r="S33" s="161"/>
      <c r="T33" s="161"/>
      <c r="U33" s="161"/>
      <c r="V33" s="161"/>
      <c r="W33" s="161"/>
      <c r="X33" s="161"/>
      <c r="Y33" s="161"/>
      <c r="Z33" s="161"/>
      <c r="AA33" s="161"/>
      <c r="AB33" s="161"/>
      <c r="AC33" s="161"/>
      <c r="AD33" s="161"/>
      <c r="AE33" s="161"/>
    </row>
    <row r="34" spans="7:31">
      <c r="G34" s="161"/>
      <c r="H34" s="161"/>
      <c r="I34" s="161"/>
      <c r="J34" s="161"/>
      <c r="K34" s="161"/>
      <c r="L34" s="161"/>
      <c r="M34" s="161"/>
      <c r="N34" s="161"/>
      <c r="O34" s="161"/>
      <c r="P34" s="161"/>
      <c r="Q34" s="161"/>
      <c r="R34" s="161"/>
      <c r="S34" s="161"/>
      <c r="T34" s="161"/>
      <c r="U34" s="161"/>
      <c r="V34" s="161"/>
      <c r="W34" s="161"/>
      <c r="X34" s="161"/>
      <c r="Y34" s="161"/>
      <c r="Z34" s="161"/>
      <c r="AA34" s="161"/>
      <c r="AB34" s="161"/>
      <c r="AC34" s="161"/>
      <c r="AD34" s="161"/>
      <c r="AE34" s="161"/>
    </row>
    <row r="35" spans="7:31">
      <c r="G35" s="161"/>
      <c r="H35" s="161"/>
      <c r="I35" s="161"/>
      <c r="J35" s="161"/>
      <c r="K35" s="161"/>
      <c r="L35" s="161"/>
      <c r="M35" s="161"/>
      <c r="N35" s="161"/>
      <c r="O35" s="161"/>
      <c r="P35" s="161"/>
      <c r="Q35" s="161"/>
      <c r="R35" s="161"/>
      <c r="S35" s="161"/>
      <c r="T35" s="161"/>
      <c r="U35" s="161"/>
      <c r="V35" s="161"/>
      <c r="W35" s="161"/>
      <c r="X35" s="161"/>
      <c r="Y35" s="161"/>
      <c r="Z35" s="161"/>
      <c r="AA35" s="161"/>
      <c r="AB35" s="161"/>
      <c r="AC35" s="161"/>
      <c r="AD35" s="161"/>
      <c r="AE35" s="161"/>
    </row>
    <row r="36" spans="7:31">
      <c r="G36" s="161"/>
      <c r="H36" s="161"/>
      <c r="I36" s="161"/>
      <c r="J36" s="161"/>
      <c r="K36" s="161"/>
      <c r="L36" s="161"/>
      <c r="M36" s="161"/>
      <c r="N36" s="161"/>
      <c r="O36" s="161"/>
      <c r="P36" s="161"/>
      <c r="Q36" s="161"/>
      <c r="R36" s="161"/>
      <c r="S36" s="161"/>
      <c r="T36" s="161"/>
      <c r="U36" s="161"/>
      <c r="V36" s="161"/>
      <c r="W36" s="161"/>
      <c r="X36" s="161"/>
      <c r="Y36" s="161"/>
      <c r="Z36" s="161"/>
      <c r="AA36" s="161"/>
      <c r="AB36" s="161"/>
      <c r="AC36" s="161"/>
      <c r="AD36" s="161"/>
      <c r="AE36" s="161"/>
    </row>
    <row r="37" spans="7:31">
      <c r="G37" s="161"/>
      <c r="H37" s="161"/>
      <c r="I37" s="161"/>
      <c r="J37" s="161"/>
      <c r="K37" s="161"/>
      <c r="L37" s="161"/>
      <c r="M37" s="161"/>
      <c r="N37" s="161"/>
      <c r="O37" s="161"/>
      <c r="P37" s="161"/>
      <c r="Q37" s="161"/>
      <c r="R37" s="161"/>
      <c r="S37" s="161"/>
      <c r="T37" s="161"/>
      <c r="U37" s="161"/>
      <c r="V37" s="161"/>
      <c r="W37" s="161"/>
      <c r="X37" s="161"/>
      <c r="Y37" s="161"/>
      <c r="Z37" s="161"/>
      <c r="AA37" s="161"/>
      <c r="AB37" s="161"/>
      <c r="AC37" s="161"/>
      <c r="AD37" s="161"/>
      <c r="AE37" s="161"/>
    </row>
    <row r="38" spans="7:31">
      <c r="G38" s="161"/>
      <c r="H38" s="161"/>
      <c r="I38" s="161"/>
      <c r="J38" s="161"/>
      <c r="K38" s="161"/>
      <c r="L38" s="161"/>
      <c r="M38" s="161"/>
      <c r="N38" s="161"/>
      <c r="O38" s="161"/>
      <c r="P38" s="161"/>
      <c r="Q38" s="161"/>
      <c r="R38" s="161"/>
      <c r="S38" s="161"/>
      <c r="T38" s="161"/>
      <c r="U38" s="161"/>
      <c r="V38" s="161"/>
      <c r="W38" s="161"/>
      <c r="X38" s="161"/>
      <c r="Y38" s="161"/>
      <c r="Z38" s="161"/>
      <c r="AA38" s="161"/>
      <c r="AB38" s="161"/>
      <c r="AC38" s="161"/>
      <c r="AD38" s="161"/>
      <c r="AE38" s="161"/>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6" t="s">
        <v>174</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64"/>
  <sheetViews>
    <sheetView workbookViewId="0"/>
  </sheetViews>
  <sheetFormatPr defaultRowHeight="12"/>
  <cols>
    <col min="1" max="1" width="2" style="156" customWidth="1"/>
    <col min="2" max="2" width="29.28515625" style="156" customWidth="1"/>
    <col min="3" max="3" width="13.42578125" style="156" customWidth="1"/>
    <col min="4" max="4" width="4.85546875" style="156" customWidth="1"/>
    <col min="5" max="5" width="26.7109375" style="156" customWidth="1"/>
    <col min="6" max="6" width="16.140625" style="156" customWidth="1" collapsed="1"/>
    <col min="7" max="7" width="14.140625" style="156" customWidth="1"/>
    <col min="8" max="8" width="11.5703125" style="156" customWidth="1"/>
    <col min="9" max="9" width="10.28515625" style="156" customWidth="1"/>
    <col min="10" max="10" width="10.7109375" style="156" customWidth="1"/>
    <col min="11" max="11" width="11.85546875" style="156" customWidth="1"/>
    <col min="12" max="12" width="12" style="156" customWidth="1"/>
    <col min="13" max="13" width="11" style="156" customWidth="1"/>
    <col min="14" max="25" width="9.140625" style="156" customWidth="1"/>
    <col min="26" max="26" width="9.28515625" style="156" customWidth="1"/>
    <col min="27" max="27" width="9.42578125" style="156" customWidth="1"/>
    <col min="28" max="28" width="10" style="156" customWidth="1"/>
    <col min="29" max="29" width="11.42578125" style="156" customWidth="1"/>
    <col min="30" max="30" width="9.42578125" style="156" bestFit="1" customWidth="1" collapsed="1"/>
    <col min="31" max="16384" width="9.140625" style="156"/>
  </cols>
  <sheetData>
    <row r="1" spans="1:31" s="155" customFormat="1" ht="15" customHeight="1">
      <c r="B1" s="17" t="s">
        <v>160</v>
      </c>
      <c r="C1" s="154"/>
      <c r="D1" s="154"/>
      <c r="E1" s="154"/>
      <c r="F1" s="154"/>
      <c r="G1" s="154"/>
      <c r="H1" s="154"/>
      <c r="I1" s="154"/>
      <c r="J1" s="154"/>
      <c r="K1" s="154"/>
    </row>
    <row r="2" spans="1:31" ht="12" customHeight="1">
      <c r="C2" s="182"/>
    </row>
    <row r="3" spans="1:31" ht="12" customHeight="1">
      <c r="A3" s="158"/>
      <c r="B3" s="185" t="s">
        <v>133</v>
      </c>
      <c r="C3" s="174">
        <f>'FCFF &amp; FCFE'!G12</f>
        <v>23828.977968758547</v>
      </c>
      <c r="E3" s="438" t="s">
        <v>396</v>
      </c>
      <c r="F3" s="438"/>
      <c r="G3" s="438"/>
      <c r="H3" s="438"/>
      <c r="I3" s="438"/>
      <c r="K3" s="166"/>
    </row>
    <row r="4" spans="1:31" ht="12" customHeight="1">
      <c r="A4" s="163"/>
      <c r="B4" s="173" t="s">
        <v>237</v>
      </c>
      <c r="C4" s="174">
        <f>'FCFF &amp; FCFE'!G8</f>
        <v>24367.734243949781</v>
      </c>
      <c r="E4" s="327" t="s">
        <v>264</v>
      </c>
      <c r="F4" s="327" t="s">
        <v>89</v>
      </c>
      <c r="G4" s="284" t="s">
        <v>197</v>
      </c>
      <c r="H4" s="284" t="s">
        <v>240</v>
      </c>
      <c r="I4" s="284" t="s">
        <v>93</v>
      </c>
      <c r="J4" s="142"/>
      <c r="K4" s="142"/>
      <c r="L4" s="142"/>
      <c r="M4" s="142"/>
      <c r="P4" s="160"/>
      <c r="Q4" s="160"/>
      <c r="R4" s="160"/>
      <c r="S4" s="160"/>
      <c r="T4" s="160"/>
      <c r="U4" s="160"/>
      <c r="Z4" s="160"/>
    </row>
    <row r="5" spans="1:31" ht="12" customHeight="1">
      <c r="A5" s="163"/>
      <c r="B5" s="339" t="s">
        <v>164</v>
      </c>
      <c r="C5" s="340">
        <f>C3/C4</f>
        <v>0.97789058802933226</v>
      </c>
      <c r="E5" s="73" t="s">
        <v>265</v>
      </c>
      <c r="F5" s="73" t="s">
        <v>358</v>
      </c>
      <c r="G5" s="326">
        <f>103521000/52954000</f>
        <v>1.9549231408392189</v>
      </c>
      <c r="H5" s="352">
        <v>0.1421</v>
      </c>
      <c r="I5" s="326">
        <v>5.69</v>
      </c>
      <c r="J5" s="48"/>
      <c r="K5" s="48"/>
      <c r="L5" s="67"/>
      <c r="M5" s="67"/>
      <c r="O5" s="161"/>
      <c r="P5" s="161"/>
      <c r="Q5" s="161"/>
      <c r="R5" s="161"/>
      <c r="S5" s="161"/>
      <c r="T5" s="161"/>
      <c r="U5" s="161"/>
      <c r="V5" s="161"/>
      <c r="W5" s="161"/>
      <c r="X5" s="161"/>
      <c r="Y5" s="161"/>
      <c r="Z5" s="161"/>
      <c r="AA5" s="161"/>
      <c r="AB5" s="161"/>
      <c r="AC5" s="161"/>
    </row>
    <row r="6" spans="1:31" ht="12" customHeight="1">
      <c r="A6" s="163"/>
      <c r="E6" s="73" t="s">
        <v>266</v>
      </c>
      <c r="F6" s="378" t="s">
        <v>359</v>
      </c>
      <c r="G6" s="131">
        <f>69242300/39351200</f>
        <v>1.7595981825204823</v>
      </c>
      <c r="H6" s="401">
        <v>9.0800000000000006E-2</v>
      </c>
      <c r="I6" s="400">
        <v>6.32</v>
      </c>
      <c r="J6" s="116"/>
      <c r="K6" s="116"/>
      <c r="L6" s="166"/>
      <c r="M6" s="398"/>
      <c r="O6" s="161"/>
      <c r="P6" s="161"/>
      <c r="Q6" s="161"/>
      <c r="R6" s="161"/>
      <c r="S6" s="161"/>
      <c r="T6" s="161"/>
      <c r="U6" s="161"/>
      <c r="V6" s="161"/>
      <c r="W6" s="161"/>
      <c r="X6" s="161"/>
      <c r="Y6" s="161"/>
      <c r="Z6" s="161"/>
      <c r="AA6" s="161"/>
      <c r="AB6" s="161"/>
      <c r="AC6" s="161"/>
    </row>
    <row r="7" spans="1:31" ht="12" customHeight="1">
      <c r="B7" s="173" t="s">
        <v>237</v>
      </c>
      <c r="C7" s="174">
        <f>'FCFF &amp; FCFE'!G8</f>
        <v>24367.734243949781</v>
      </c>
      <c r="E7" s="73" t="s">
        <v>267</v>
      </c>
      <c r="F7" s="378" t="s">
        <v>360</v>
      </c>
      <c r="G7" s="326">
        <f>17035128/9462932</f>
        <v>1.8001955419314013</v>
      </c>
      <c r="H7" s="352">
        <v>0.14929999999999999</v>
      </c>
      <c r="I7" s="326">
        <v>1.56</v>
      </c>
      <c r="J7" s="116"/>
      <c r="K7" s="116"/>
      <c r="L7" s="166"/>
      <c r="M7" s="398"/>
      <c r="O7" s="161"/>
      <c r="P7" s="161"/>
      <c r="Q7" s="161"/>
      <c r="R7" s="161"/>
      <c r="S7" s="161"/>
      <c r="T7" s="161"/>
      <c r="U7" s="161"/>
      <c r="V7" s="161"/>
      <c r="W7" s="161"/>
      <c r="X7" s="161"/>
      <c r="Y7" s="161"/>
      <c r="Z7" s="161"/>
      <c r="AA7" s="161"/>
      <c r="AB7" s="161"/>
      <c r="AC7" s="161"/>
    </row>
    <row r="8" spans="1:31" ht="12" customHeight="1">
      <c r="A8" s="163"/>
      <c r="B8" s="173" t="s">
        <v>172</v>
      </c>
      <c r="C8" s="174">
        <f>WACC!F10+WACC!F11-(10124.13+889.6)</f>
        <v>212942.29395737228</v>
      </c>
      <c r="E8" s="73" t="s">
        <v>268</v>
      </c>
      <c r="F8" s="378" t="s">
        <v>361</v>
      </c>
      <c r="G8" s="131">
        <f>8736161/7184890</f>
        <v>1.2159074112477715</v>
      </c>
      <c r="H8" s="402" t="s">
        <v>397</v>
      </c>
      <c r="I8" s="399">
        <v>3.45</v>
      </c>
      <c r="J8" s="116"/>
      <c r="K8" s="116"/>
      <c r="L8" s="218"/>
      <c r="M8" s="398"/>
      <c r="O8" s="161"/>
      <c r="P8" s="161"/>
      <c r="Q8" s="161"/>
      <c r="R8" s="161"/>
      <c r="S8" s="161"/>
      <c r="T8" s="161"/>
      <c r="U8" s="161"/>
      <c r="V8" s="161"/>
      <c r="W8" s="161"/>
      <c r="X8" s="161"/>
      <c r="Y8" s="161"/>
      <c r="Z8" s="161"/>
      <c r="AA8" s="161"/>
      <c r="AB8" s="161"/>
      <c r="AC8" s="161"/>
    </row>
    <row r="9" spans="1:31" ht="12" customHeight="1">
      <c r="A9" s="163"/>
      <c r="B9" s="333" t="s">
        <v>165</v>
      </c>
      <c r="C9" s="341">
        <f>C7/C8</f>
        <v>0.11443351055862966</v>
      </c>
      <c r="E9" s="73" t="s">
        <v>269</v>
      </c>
      <c r="F9" s="378" t="s">
        <v>362</v>
      </c>
      <c r="G9" s="131">
        <f>5301355/5910396</f>
        <v>0.89695428191275173</v>
      </c>
      <c r="H9" s="352">
        <v>7.1800000000000003E-2</v>
      </c>
      <c r="I9" s="326">
        <v>2.08</v>
      </c>
      <c r="J9" s="116"/>
      <c r="K9" s="116"/>
      <c r="L9" s="218"/>
      <c r="M9" s="398"/>
      <c r="O9" s="161"/>
      <c r="P9" s="161"/>
      <c r="Q9" s="161"/>
      <c r="R9" s="161"/>
      <c r="S9" s="161"/>
      <c r="T9" s="161"/>
      <c r="U9" s="161"/>
      <c r="V9" s="161"/>
      <c r="W9" s="161"/>
      <c r="X9" s="161"/>
      <c r="Y9" s="161"/>
      <c r="Z9" s="161"/>
      <c r="AA9" s="161"/>
      <c r="AB9" s="161"/>
      <c r="AC9" s="161"/>
    </row>
    <row r="10" spans="1:31">
      <c r="A10" s="159"/>
      <c r="E10" s="73" t="s">
        <v>270</v>
      </c>
      <c r="F10" s="73" t="s">
        <v>363</v>
      </c>
      <c r="G10" s="131">
        <f>6173726/3173758</f>
        <v>1.945241571663624</v>
      </c>
      <c r="H10" s="352">
        <v>0.1173</v>
      </c>
      <c r="I10" s="326">
        <v>1.18</v>
      </c>
      <c r="J10" s="116"/>
      <c r="K10" s="116"/>
      <c r="L10" s="218"/>
      <c r="M10" s="398"/>
      <c r="O10" s="161"/>
      <c r="P10" s="161"/>
      <c r="Q10" s="161"/>
      <c r="R10" s="161"/>
      <c r="S10" s="161"/>
      <c r="T10" s="161"/>
      <c r="U10" s="161"/>
      <c r="V10" s="161"/>
      <c r="W10" s="161"/>
      <c r="X10" s="161"/>
      <c r="Y10" s="161"/>
      <c r="Z10" s="161"/>
      <c r="AA10" s="161"/>
      <c r="AB10" s="161"/>
      <c r="AC10" s="161"/>
    </row>
    <row r="11" spans="1:31">
      <c r="A11" s="163"/>
      <c r="B11" s="173" t="s">
        <v>160</v>
      </c>
      <c r="C11" s="55">
        <f>C5*C9</f>
        <v>0.11190345293043916</v>
      </c>
      <c r="E11" s="73" t="s">
        <v>271</v>
      </c>
      <c r="F11" s="73" t="s">
        <v>364</v>
      </c>
      <c r="G11" s="131">
        <f>5669601/4868911</f>
        <v>1.1644495042115166</v>
      </c>
      <c r="H11" s="352">
        <v>7.5399999999999995E-2</v>
      </c>
      <c r="I11" s="326">
        <v>1.56</v>
      </c>
      <c r="J11" s="116"/>
      <c r="K11" s="116"/>
      <c r="L11" s="218"/>
      <c r="M11" s="398"/>
      <c r="O11" s="161"/>
      <c r="P11" s="161"/>
      <c r="Q11" s="161"/>
      <c r="R11" s="161"/>
      <c r="S11" s="161"/>
      <c r="T11" s="161"/>
      <c r="U11" s="161"/>
      <c r="V11" s="161"/>
      <c r="W11" s="161"/>
      <c r="X11" s="161"/>
      <c r="Y11" s="161"/>
      <c r="Z11" s="161"/>
      <c r="AA11" s="161"/>
      <c r="AB11" s="161"/>
      <c r="AC11" s="161"/>
    </row>
    <row r="12" spans="1:31">
      <c r="B12" s="161"/>
      <c r="E12" s="73" t="s">
        <v>272</v>
      </c>
      <c r="F12" s="73" t="s">
        <v>365</v>
      </c>
      <c r="G12" s="131">
        <f>11026900/5229400</f>
        <v>2.1086357899567827</v>
      </c>
      <c r="H12" s="352">
        <v>5.4899999999999997E-2</v>
      </c>
      <c r="I12" s="326">
        <v>0.37</v>
      </c>
      <c r="J12" s="116"/>
      <c r="K12" s="116"/>
      <c r="L12" s="218"/>
      <c r="M12" s="398"/>
      <c r="O12" s="161"/>
      <c r="P12" s="161"/>
      <c r="Q12" s="161"/>
      <c r="R12" s="161"/>
      <c r="S12" s="161"/>
      <c r="T12" s="161"/>
      <c r="U12" s="161"/>
      <c r="V12" s="161"/>
      <c r="W12" s="161"/>
      <c r="X12" s="161"/>
      <c r="Y12" s="161"/>
      <c r="Z12" s="161"/>
      <c r="AA12" s="161"/>
      <c r="AB12" s="161"/>
      <c r="AC12" s="161"/>
    </row>
    <row r="13" spans="1:31">
      <c r="A13" s="163"/>
      <c r="B13" s="159"/>
      <c r="C13" s="199"/>
      <c r="E13" s="73" t="s">
        <v>273</v>
      </c>
      <c r="F13" s="378" t="s">
        <v>368</v>
      </c>
      <c r="G13" s="330">
        <f>5463565/3419417</f>
        <v>1.5978060002626178</v>
      </c>
      <c r="H13" s="404" t="s">
        <v>231</v>
      </c>
      <c r="I13" s="131">
        <v>0.88</v>
      </c>
      <c r="J13" s="116"/>
      <c r="K13" s="116"/>
      <c r="L13" s="218"/>
      <c r="M13" s="398"/>
      <c r="O13" s="161"/>
      <c r="P13" s="161"/>
      <c r="Q13" s="161"/>
      <c r="R13" s="161"/>
      <c r="S13" s="161"/>
      <c r="T13" s="161"/>
      <c r="U13" s="161"/>
      <c r="V13" s="161"/>
      <c r="W13" s="161"/>
      <c r="X13" s="161"/>
      <c r="Y13" s="161"/>
      <c r="Z13" s="161"/>
      <c r="AA13" s="161"/>
      <c r="AB13" s="161"/>
      <c r="AC13" s="161"/>
    </row>
    <row r="14" spans="1:31">
      <c r="D14" s="161"/>
      <c r="E14" s="73" t="s">
        <v>274</v>
      </c>
      <c r="F14" s="378" t="s">
        <v>369</v>
      </c>
      <c r="G14" s="131">
        <f>4714900/2688700</f>
        <v>1.7535983932755608</v>
      </c>
      <c r="H14" s="404" t="s">
        <v>231</v>
      </c>
      <c r="I14" s="131">
        <v>1.05</v>
      </c>
      <c r="J14" s="116"/>
      <c r="K14" s="116"/>
      <c r="L14" s="218"/>
      <c r="M14" s="398"/>
      <c r="O14" s="161"/>
      <c r="P14" s="161"/>
      <c r="Q14" s="161"/>
      <c r="R14" s="161"/>
      <c r="S14" s="161"/>
      <c r="T14" s="161"/>
      <c r="U14" s="161"/>
      <c r="V14" s="161"/>
      <c r="W14" s="161"/>
      <c r="X14" s="161"/>
      <c r="Y14" s="161"/>
      <c r="Z14" s="161"/>
      <c r="AA14" s="161"/>
      <c r="AB14" s="161"/>
      <c r="AC14" s="161"/>
    </row>
    <row r="15" spans="1:31">
      <c r="E15" s="73" t="s">
        <v>275</v>
      </c>
      <c r="F15" s="73" t="s">
        <v>366</v>
      </c>
      <c r="G15" s="403" t="s">
        <v>231</v>
      </c>
      <c r="H15" s="404" t="s">
        <v>231</v>
      </c>
      <c r="I15" s="404" t="s">
        <v>231</v>
      </c>
      <c r="J15" s="116"/>
      <c r="K15" s="116"/>
      <c r="L15" s="223"/>
      <c r="M15" s="117"/>
      <c r="O15" s="161"/>
      <c r="P15" s="161"/>
      <c r="Q15" s="161"/>
      <c r="R15" s="161"/>
      <c r="S15" s="161"/>
      <c r="T15" s="161"/>
      <c r="U15" s="161"/>
      <c r="V15" s="161"/>
      <c r="W15" s="161"/>
      <c r="X15" s="161"/>
      <c r="Y15" s="161"/>
      <c r="Z15" s="161"/>
      <c r="AA15" s="161"/>
      <c r="AB15" s="161"/>
      <c r="AC15" s="161"/>
    </row>
    <row r="16" spans="1:31">
      <c r="E16" s="73" t="s">
        <v>276</v>
      </c>
      <c r="F16" s="378" t="s">
        <v>370</v>
      </c>
      <c r="G16" s="131">
        <f>1330951/1183254</f>
        <v>1.1248227345946009</v>
      </c>
      <c r="H16" s="404" t="s">
        <v>231</v>
      </c>
      <c r="I16" s="131">
        <v>0.48</v>
      </c>
      <c r="J16" s="218"/>
      <c r="O16" s="161"/>
      <c r="P16" s="161"/>
      <c r="Q16" s="161"/>
      <c r="R16" s="161"/>
      <c r="S16" s="161"/>
      <c r="T16" s="161"/>
      <c r="U16" s="161"/>
      <c r="V16" s="161"/>
      <c r="W16" s="161"/>
      <c r="X16" s="161"/>
      <c r="Y16" s="161"/>
      <c r="Z16" s="161"/>
      <c r="AA16" s="161"/>
      <c r="AB16" s="161"/>
      <c r="AC16" s="161"/>
      <c r="AD16" s="161"/>
      <c r="AE16" s="161"/>
    </row>
    <row r="17" spans="1:31">
      <c r="E17" s="73" t="s">
        <v>277</v>
      </c>
      <c r="F17" s="73" t="s">
        <v>367</v>
      </c>
      <c r="G17" s="131">
        <f>186819/781030</f>
        <v>0.23919567750278478</v>
      </c>
      <c r="H17" s="352">
        <f>-15.65%</f>
        <v>-0.1565</v>
      </c>
      <c r="I17" s="326">
        <v>3.26</v>
      </c>
      <c r="J17" s="218"/>
      <c r="K17" s="247"/>
      <c r="L17" s="161"/>
      <c r="O17" s="161"/>
      <c r="P17" s="161"/>
      <c r="Q17" s="161"/>
      <c r="R17" s="161"/>
      <c r="S17" s="161"/>
      <c r="T17" s="161"/>
      <c r="U17" s="161"/>
      <c r="V17" s="161"/>
      <c r="W17" s="161"/>
      <c r="X17" s="161"/>
      <c r="Y17" s="161"/>
      <c r="Z17" s="161"/>
      <c r="AA17" s="161"/>
      <c r="AB17" s="161"/>
      <c r="AC17" s="161"/>
      <c r="AD17" s="161"/>
      <c r="AE17" s="161"/>
    </row>
    <row r="18" spans="1:31">
      <c r="A18" s="163"/>
      <c r="E18" s="57" t="s">
        <v>278</v>
      </c>
      <c r="F18" s="378" t="s">
        <v>371</v>
      </c>
      <c r="G18" s="131">
        <v>0</v>
      </c>
      <c r="H18" s="404" t="s">
        <v>231</v>
      </c>
      <c r="I18" s="404" t="s">
        <v>231</v>
      </c>
      <c r="K18" s="142"/>
      <c r="L18" s="142"/>
      <c r="M18" s="142"/>
      <c r="O18" s="161"/>
      <c r="P18" s="161"/>
      <c r="Q18" s="161"/>
      <c r="R18" s="161"/>
      <c r="S18" s="161"/>
      <c r="T18" s="161"/>
      <c r="U18" s="161"/>
      <c r="V18" s="161"/>
      <c r="W18" s="161"/>
      <c r="X18" s="161"/>
      <c r="Y18" s="161"/>
      <c r="Z18" s="161"/>
      <c r="AA18" s="161"/>
      <c r="AB18" s="161"/>
      <c r="AC18" s="161"/>
      <c r="AD18" s="161"/>
      <c r="AE18" s="161"/>
    </row>
    <row r="19" spans="1:31">
      <c r="E19" s="98" t="s">
        <v>279</v>
      </c>
      <c r="F19" s="107" t="s">
        <v>372</v>
      </c>
      <c r="G19" s="131">
        <f>52/155273</f>
        <v>3.3489402536178214E-4</v>
      </c>
      <c r="H19" s="404" t="s">
        <v>231</v>
      </c>
      <c r="I19" s="404" t="s">
        <v>231</v>
      </c>
      <c r="J19" s="417">
        <f>MEDIAN(I5:I19)</f>
        <v>1.56</v>
      </c>
      <c r="K19" s="165"/>
      <c r="L19" s="165"/>
      <c r="M19" s="165"/>
      <c r="O19" s="161"/>
      <c r="P19" s="161"/>
      <c r="Q19" s="161"/>
      <c r="R19" s="161"/>
      <c r="S19" s="161"/>
      <c r="T19" s="161"/>
      <c r="U19" s="161"/>
      <c r="V19" s="161"/>
      <c r="W19" s="161"/>
      <c r="X19" s="161"/>
      <c r="Y19" s="161"/>
      <c r="Z19" s="161"/>
      <c r="AA19" s="161"/>
      <c r="AB19" s="161"/>
      <c r="AC19" s="161"/>
      <c r="AD19" s="161"/>
      <c r="AE19" s="161"/>
    </row>
    <row r="20" spans="1:31">
      <c r="A20" s="163"/>
      <c r="E20" s="98" t="s">
        <v>280</v>
      </c>
      <c r="F20" s="98" t="s">
        <v>281</v>
      </c>
      <c r="G20" s="131">
        <f>118186214/189539369</f>
        <v>0.62354440992150817</v>
      </c>
      <c r="H20" s="352">
        <v>0.66859999999999997</v>
      </c>
      <c r="I20" s="326"/>
      <c r="J20" s="278"/>
      <c r="K20" s="274"/>
      <c r="L20" s="218"/>
      <c r="M20" s="190"/>
      <c r="O20" s="161"/>
      <c r="P20" s="161"/>
      <c r="Q20" s="161"/>
      <c r="R20" s="161"/>
      <c r="S20" s="161"/>
      <c r="T20" s="161"/>
      <c r="U20" s="161"/>
      <c r="V20" s="161"/>
      <c r="W20" s="161"/>
      <c r="X20" s="161"/>
      <c r="Y20" s="161"/>
      <c r="Z20" s="161"/>
      <c r="AA20" s="161"/>
      <c r="AB20" s="161"/>
      <c r="AC20" s="161"/>
      <c r="AD20" s="161"/>
      <c r="AE20" s="161"/>
    </row>
    <row r="21" spans="1:31">
      <c r="E21" s="73" t="s">
        <v>282</v>
      </c>
      <c r="F21" s="98" t="s">
        <v>283</v>
      </c>
      <c r="G21" s="131">
        <f>56499000/155222000</f>
        <v>0.36398835216657432</v>
      </c>
      <c r="H21" s="352">
        <v>0.255</v>
      </c>
      <c r="I21" s="326"/>
      <c r="J21" s="278"/>
      <c r="K21" s="274"/>
      <c r="L21" s="222"/>
      <c r="M21" s="190"/>
      <c r="O21" s="161"/>
      <c r="P21" s="161"/>
      <c r="Q21" s="161"/>
      <c r="R21" s="161"/>
      <c r="S21" s="161"/>
      <c r="T21" s="161"/>
      <c r="U21" s="161"/>
      <c r="V21" s="161"/>
      <c r="W21" s="161"/>
      <c r="X21" s="161"/>
      <c r="Y21" s="161"/>
      <c r="Z21" s="161"/>
      <c r="AA21" s="161"/>
      <c r="AB21" s="161"/>
      <c r="AC21" s="161"/>
      <c r="AD21" s="161"/>
      <c r="AE21" s="161"/>
    </row>
    <row r="22" spans="1:31">
      <c r="E22" s="98" t="s">
        <v>284</v>
      </c>
      <c r="F22" s="98" t="s">
        <v>285</v>
      </c>
      <c r="G22" s="131">
        <f>15452000/23818000</f>
        <v>0.64875304391636579</v>
      </c>
      <c r="H22" s="352">
        <v>0.31109999999999999</v>
      </c>
      <c r="I22" s="326"/>
      <c r="J22" s="218"/>
      <c r="K22" s="182"/>
      <c r="L22" s="345"/>
      <c r="M22" s="190"/>
      <c r="O22" s="161"/>
      <c r="P22" s="161"/>
      <c r="Q22" s="161"/>
      <c r="R22" s="161"/>
      <c r="S22" s="161"/>
      <c r="T22" s="161"/>
      <c r="U22" s="161"/>
      <c r="V22" s="161"/>
      <c r="W22" s="161"/>
      <c r="X22" s="161"/>
      <c r="Y22" s="161"/>
      <c r="Z22" s="161"/>
      <c r="AA22" s="161"/>
      <c r="AB22" s="161"/>
      <c r="AC22" s="161"/>
      <c r="AD22" s="161"/>
      <c r="AE22" s="161"/>
    </row>
    <row r="23" spans="1:31">
      <c r="E23" s="98" t="s">
        <v>286</v>
      </c>
      <c r="F23" s="98" t="s">
        <v>287</v>
      </c>
      <c r="G23" s="131">
        <f>70679883/99068498</f>
        <v>0.71344458053658999</v>
      </c>
      <c r="H23" s="352">
        <v>0.46870000000000001</v>
      </c>
      <c r="I23" s="326"/>
      <c r="J23" s="161"/>
      <c r="K23" s="161"/>
      <c r="L23" s="161"/>
      <c r="N23" s="161"/>
      <c r="O23" s="161"/>
      <c r="P23" s="161"/>
      <c r="Q23" s="161"/>
      <c r="R23" s="161"/>
      <c r="S23" s="161"/>
      <c r="T23" s="161"/>
      <c r="U23" s="161"/>
      <c r="V23" s="161"/>
      <c r="W23" s="161"/>
      <c r="X23" s="161"/>
      <c r="Y23" s="161"/>
      <c r="Z23" s="161"/>
      <c r="AA23" s="161"/>
      <c r="AB23" s="161"/>
      <c r="AC23" s="161"/>
      <c r="AD23" s="161"/>
      <c r="AE23" s="161"/>
    </row>
    <row r="24" spans="1:31">
      <c r="E24" s="98" t="s">
        <v>288</v>
      </c>
      <c r="F24" s="98" t="s">
        <v>289</v>
      </c>
      <c r="G24" s="131">
        <f>25416000/33123000</f>
        <v>0.76732180056154331</v>
      </c>
      <c r="H24" s="352">
        <v>0.1457</v>
      </c>
      <c r="I24" s="326"/>
      <c r="J24" s="161"/>
      <c r="K24" s="161"/>
      <c r="L24" s="161"/>
      <c r="N24" s="161"/>
      <c r="O24" s="161"/>
      <c r="P24" s="161"/>
      <c r="Q24" s="161"/>
      <c r="R24" s="161"/>
      <c r="S24" s="161"/>
      <c r="T24" s="161"/>
      <c r="U24" s="161"/>
      <c r="V24" s="161"/>
      <c r="W24" s="161"/>
      <c r="X24" s="161"/>
      <c r="Y24" s="161"/>
      <c r="Z24" s="161"/>
      <c r="AA24" s="161"/>
      <c r="AB24" s="161"/>
      <c r="AC24" s="161"/>
      <c r="AD24" s="161"/>
      <c r="AE24" s="161"/>
    </row>
    <row r="25" spans="1:31">
      <c r="E25" s="98" t="s">
        <v>290</v>
      </c>
      <c r="F25" s="98" t="s">
        <v>291</v>
      </c>
      <c r="G25" s="288">
        <f>76931545/83134800</f>
        <v>0.92538317287104799</v>
      </c>
      <c r="H25" s="405">
        <v>0.2271</v>
      </c>
      <c r="I25" s="288"/>
      <c r="J25" s="161"/>
      <c r="K25" s="161"/>
      <c r="L25" s="161"/>
      <c r="N25" s="161"/>
      <c r="O25" s="161"/>
      <c r="P25" s="161"/>
      <c r="Q25" s="161"/>
      <c r="R25" s="161"/>
      <c r="S25" s="161"/>
      <c r="T25" s="161"/>
      <c r="U25" s="161"/>
      <c r="V25" s="161"/>
      <c r="W25" s="161"/>
      <c r="X25" s="161"/>
      <c r="Y25" s="161"/>
      <c r="Z25" s="161"/>
      <c r="AA25" s="161"/>
      <c r="AB25" s="161"/>
      <c r="AC25" s="161"/>
      <c r="AD25" s="161"/>
      <c r="AE25" s="161"/>
    </row>
    <row r="26" spans="1:31">
      <c r="E26" s="98" t="s">
        <v>292</v>
      </c>
      <c r="F26" s="98" t="s">
        <v>293</v>
      </c>
      <c r="G26" s="131">
        <f>9798000/23916000</f>
        <v>0.40968389362769692</v>
      </c>
      <c r="H26" s="405">
        <v>0.27679999999999999</v>
      </c>
      <c r="I26" s="288"/>
      <c r="J26" s="161"/>
      <c r="K26" s="161"/>
      <c r="L26" s="161"/>
      <c r="M26" s="161"/>
      <c r="N26" s="161"/>
      <c r="O26" s="161"/>
      <c r="P26" s="161"/>
      <c r="Q26" s="161"/>
      <c r="R26" s="161"/>
      <c r="S26" s="161"/>
      <c r="T26" s="161"/>
      <c r="U26" s="161"/>
      <c r="V26" s="161"/>
      <c r="W26" s="161"/>
      <c r="X26" s="161"/>
      <c r="Y26" s="161"/>
      <c r="Z26" s="161"/>
      <c r="AA26" s="161"/>
      <c r="AB26" s="161"/>
      <c r="AC26" s="161"/>
      <c r="AD26" s="161"/>
      <c r="AE26" s="161"/>
    </row>
    <row r="27" spans="1:31">
      <c r="E27" s="98" t="s">
        <v>294</v>
      </c>
      <c r="F27" s="98" t="s">
        <v>295</v>
      </c>
      <c r="G27" s="326">
        <f>9157400/22148400</f>
        <v>0.41345650250130933</v>
      </c>
      <c r="H27" s="405">
        <v>0.33539999999999998</v>
      </c>
      <c r="I27" s="288"/>
      <c r="J27" s="161"/>
      <c r="K27" s="161"/>
      <c r="L27" s="161"/>
      <c r="M27" s="161"/>
      <c r="N27" s="161"/>
      <c r="O27" s="161"/>
      <c r="P27" s="161"/>
      <c r="Q27" s="161"/>
      <c r="R27" s="161"/>
      <c r="S27" s="161"/>
      <c r="T27" s="161"/>
      <c r="U27" s="161"/>
      <c r="V27" s="161"/>
      <c r="W27" s="161"/>
      <c r="X27" s="161"/>
      <c r="Y27" s="161"/>
      <c r="Z27" s="161"/>
      <c r="AA27" s="161"/>
      <c r="AB27" s="161"/>
      <c r="AC27" s="161"/>
      <c r="AD27" s="161"/>
      <c r="AE27" s="161"/>
    </row>
    <row r="28" spans="1:31">
      <c r="E28" s="98" t="s">
        <v>296</v>
      </c>
      <c r="F28" s="98" t="s">
        <v>297</v>
      </c>
      <c r="G28" s="131">
        <f>6788000/11131000</f>
        <v>0.60982840715119935</v>
      </c>
      <c r="H28" s="405">
        <v>0.20250000000000001</v>
      </c>
      <c r="I28" s="288"/>
      <c r="J28" s="161"/>
      <c r="K28" s="161"/>
      <c r="L28" s="161"/>
      <c r="M28" s="161"/>
      <c r="N28" s="161"/>
      <c r="O28" s="161"/>
      <c r="P28" s="161"/>
      <c r="Q28" s="161"/>
      <c r="R28" s="161"/>
      <c r="S28" s="161"/>
      <c r="T28" s="161"/>
      <c r="U28" s="161"/>
      <c r="V28" s="161"/>
      <c r="W28" s="161"/>
      <c r="X28" s="161"/>
      <c r="Y28" s="161"/>
      <c r="Z28" s="161"/>
      <c r="AA28" s="161"/>
      <c r="AB28" s="161"/>
      <c r="AC28" s="161"/>
      <c r="AD28" s="161"/>
      <c r="AE28" s="161"/>
    </row>
    <row r="29" spans="1:31">
      <c r="E29" s="98" t="s">
        <v>298</v>
      </c>
      <c r="F29" s="98" t="s">
        <v>299</v>
      </c>
      <c r="G29" s="131">
        <f>4034000/5006000</f>
        <v>0.80583300039952055</v>
      </c>
      <c r="H29" s="405">
        <v>0.31979999999999997</v>
      </c>
      <c r="I29" s="288"/>
      <c r="J29" s="161"/>
      <c r="K29" s="161"/>
      <c r="L29" s="161"/>
      <c r="M29" s="161"/>
      <c r="N29" s="161"/>
      <c r="O29" s="161"/>
      <c r="P29" s="161"/>
      <c r="Q29" s="161"/>
      <c r="R29" s="161"/>
      <c r="S29" s="161"/>
      <c r="T29" s="161"/>
      <c r="U29" s="161"/>
      <c r="V29" s="161"/>
      <c r="W29" s="161"/>
      <c r="X29" s="161"/>
      <c r="Y29" s="161"/>
      <c r="Z29" s="161"/>
      <c r="AA29" s="161"/>
      <c r="AB29" s="161"/>
      <c r="AC29" s="161"/>
      <c r="AD29" s="161"/>
      <c r="AE29" s="161"/>
    </row>
    <row r="30" spans="1:31" ht="12" customHeight="1">
      <c r="E30" s="98" t="s">
        <v>300</v>
      </c>
      <c r="F30" s="98" t="s">
        <v>301</v>
      </c>
      <c r="G30" s="131">
        <f>28714912/42486246</f>
        <v>0.6758637136357023</v>
      </c>
      <c r="H30" s="405">
        <v>0.38600000000000001</v>
      </c>
      <c r="I30" s="288"/>
      <c r="J30" s="161"/>
      <c r="K30" s="161"/>
      <c r="L30" s="161"/>
      <c r="M30" s="161"/>
      <c r="N30" s="161"/>
      <c r="O30" s="161"/>
      <c r="P30" s="161"/>
      <c r="Q30" s="161"/>
      <c r="R30" s="161"/>
      <c r="S30" s="161"/>
      <c r="T30" s="161"/>
      <c r="U30" s="161"/>
      <c r="V30" s="161"/>
      <c r="W30" s="161"/>
      <c r="X30" s="161"/>
      <c r="Y30" s="161"/>
      <c r="Z30" s="161"/>
      <c r="AA30" s="161"/>
      <c r="AB30" s="161"/>
      <c r="AC30" s="161"/>
      <c r="AD30" s="161"/>
      <c r="AE30" s="161"/>
    </row>
    <row r="31" spans="1:31">
      <c r="E31" s="98" t="s">
        <v>302</v>
      </c>
      <c r="F31" s="98" t="s">
        <v>303</v>
      </c>
      <c r="G31" s="131">
        <f>34766000/24432000</f>
        <v>1.4229698755730189</v>
      </c>
      <c r="H31" s="405">
        <v>0.1042</v>
      </c>
      <c r="I31" s="288"/>
      <c r="J31" s="161"/>
      <c r="K31" s="161"/>
      <c r="L31" s="161"/>
      <c r="M31" s="161"/>
      <c r="N31" s="161"/>
      <c r="O31" s="161"/>
      <c r="P31" s="161"/>
      <c r="Q31" s="161"/>
      <c r="R31" s="161"/>
      <c r="S31" s="161"/>
      <c r="T31" s="161"/>
      <c r="U31" s="161"/>
      <c r="V31" s="161"/>
      <c r="W31" s="161"/>
      <c r="X31" s="161"/>
      <c r="Y31" s="161"/>
      <c r="Z31" s="161"/>
      <c r="AA31" s="161"/>
      <c r="AB31" s="161"/>
      <c r="AC31" s="161"/>
      <c r="AD31" s="161"/>
      <c r="AE31" s="161"/>
    </row>
    <row r="32" spans="1:31">
      <c r="E32" s="98" t="s">
        <v>304</v>
      </c>
      <c r="F32" s="98" t="s">
        <v>305</v>
      </c>
      <c r="G32" s="131">
        <f>66634000/71476000</f>
        <v>0.93225698136437407</v>
      </c>
      <c r="H32" s="405">
        <v>0.16009999999999999</v>
      </c>
      <c r="I32" s="288"/>
      <c r="J32" s="161"/>
      <c r="K32" s="161"/>
      <c r="L32" s="161"/>
      <c r="M32" s="161"/>
      <c r="N32" s="161"/>
      <c r="O32" s="161"/>
      <c r="P32" s="161"/>
      <c r="Q32" s="161"/>
      <c r="R32" s="161"/>
      <c r="S32" s="161"/>
      <c r="T32" s="161"/>
      <c r="U32" s="161"/>
      <c r="V32" s="161"/>
      <c r="W32" s="161"/>
      <c r="X32" s="161"/>
      <c r="Y32" s="161"/>
      <c r="Z32" s="161"/>
      <c r="AA32" s="161"/>
      <c r="AB32" s="161"/>
      <c r="AC32" s="161"/>
      <c r="AD32" s="161"/>
      <c r="AE32" s="161"/>
    </row>
    <row r="33" spans="5:31">
      <c r="E33" s="385" t="s">
        <v>306</v>
      </c>
      <c r="F33" s="98" t="s">
        <v>307</v>
      </c>
      <c r="G33" s="330">
        <f>2353821000/3353307000</f>
        <v>0.7019402041029944</v>
      </c>
      <c r="H33" s="405">
        <v>7.0599999999999996E-2</v>
      </c>
      <c r="I33" s="288"/>
      <c r="J33" s="161"/>
      <c r="K33" s="161"/>
      <c r="L33" s="161"/>
      <c r="M33" s="161"/>
      <c r="N33" s="161"/>
      <c r="O33" s="161"/>
      <c r="P33" s="161"/>
      <c r="Q33" s="161"/>
      <c r="R33" s="161"/>
      <c r="S33" s="161"/>
      <c r="T33" s="161"/>
      <c r="U33" s="161"/>
      <c r="V33" s="161"/>
      <c r="W33" s="161"/>
      <c r="X33" s="161"/>
      <c r="Y33" s="161"/>
      <c r="Z33" s="161"/>
      <c r="AA33" s="161"/>
      <c r="AB33" s="161"/>
      <c r="AC33" s="161"/>
      <c r="AD33" s="161"/>
      <c r="AE33" s="161"/>
    </row>
    <row r="34" spans="5:31">
      <c r="E34" s="385" t="s">
        <v>308</v>
      </c>
      <c r="F34" s="98" t="s">
        <v>309</v>
      </c>
      <c r="G34" s="131">
        <f>31148303/23247625</f>
        <v>1.3398488232668928</v>
      </c>
      <c r="H34" s="405">
        <v>0.10730000000000001</v>
      </c>
      <c r="I34" s="288"/>
      <c r="J34" s="161"/>
      <c r="K34" s="161"/>
      <c r="L34" s="161"/>
      <c r="M34" s="161"/>
      <c r="N34" s="161"/>
      <c r="O34" s="161"/>
      <c r="P34" s="161"/>
      <c r="Q34" s="161"/>
      <c r="R34" s="161"/>
      <c r="S34" s="161"/>
      <c r="T34" s="161"/>
      <c r="U34" s="161"/>
      <c r="V34" s="161"/>
      <c r="W34" s="161"/>
      <c r="X34" s="161"/>
      <c r="Y34" s="161"/>
      <c r="Z34" s="161"/>
      <c r="AA34" s="161"/>
      <c r="AB34" s="161"/>
      <c r="AC34" s="161"/>
      <c r="AD34" s="161"/>
      <c r="AE34" s="161"/>
    </row>
    <row r="35" spans="5:31">
      <c r="E35" s="385" t="s">
        <v>310</v>
      </c>
      <c r="F35" s="98" t="s">
        <v>311</v>
      </c>
      <c r="G35" s="330">
        <f>10578200/20579200</f>
        <v>0.51402386876069039</v>
      </c>
      <c r="H35" s="405">
        <v>0.1065</v>
      </c>
      <c r="I35" s="288"/>
      <c r="J35" s="161"/>
      <c r="K35" s="161"/>
      <c r="L35" s="161"/>
      <c r="M35" s="161"/>
      <c r="N35" s="161"/>
      <c r="O35" s="161"/>
      <c r="P35" s="161"/>
      <c r="Q35" s="161"/>
      <c r="R35" s="161"/>
      <c r="S35" s="161"/>
      <c r="T35" s="161"/>
      <c r="U35" s="161"/>
      <c r="V35" s="161"/>
      <c r="W35" s="161"/>
      <c r="X35" s="161"/>
      <c r="Y35" s="161"/>
      <c r="Z35" s="161"/>
      <c r="AA35" s="161"/>
      <c r="AB35" s="161"/>
      <c r="AC35" s="161"/>
      <c r="AD35" s="161"/>
      <c r="AE35" s="161"/>
    </row>
    <row r="36" spans="5:31">
      <c r="E36" s="385" t="s">
        <v>312</v>
      </c>
      <c r="F36" s="98" t="s">
        <v>313</v>
      </c>
      <c r="G36" s="131">
        <f>1344091000/1025940000</f>
        <v>1.3101068288593876</v>
      </c>
      <c r="H36" s="405">
        <v>0.10929999999999999</v>
      </c>
      <c r="I36" s="288"/>
      <c r="J36" s="161"/>
      <c r="K36" s="161"/>
      <c r="L36" s="161"/>
      <c r="M36" s="161"/>
      <c r="N36" s="161"/>
      <c r="O36" s="161"/>
      <c r="P36" s="161"/>
      <c r="Q36" s="161"/>
      <c r="R36" s="161"/>
      <c r="S36" s="161"/>
      <c r="T36" s="161"/>
      <c r="U36" s="161"/>
      <c r="V36" s="161"/>
      <c r="W36" s="161"/>
      <c r="X36" s="161"/>
      <c r="Y36" s="161"/>
      <c r="Z36" s="161"/>
      <c r="AA36" s="161"/>
      <c r="AB36" s="161"/>
      <c r="AC36" s="161"/>
      <c r="AD36" s="161"/>
      <c r="AE36" s="161"/>
    </row>
    <row r="37" spans="5:31">
      <c r="E37" s="385" t="s">
        <v>314</v>
      </c>
      <c r="F37" s="98" t="s">
        <v>315</v>
      </c>
      <c r="G37" s="131">
        <f>2428800/3820600</f>
        <v>0.635711668324347</v>
      </c>
      <c r="H37" s="405">
        <v>0.21240000000000001</v>
      </c>
      <c r="I37" s="288"/>
      <c r="J37" s="161"/>
      <c r="K37" s="161"/>
      <c r="L37" s="161"/>
      <c r="M37" s="161"/>
      <c r="N37" s="161"/>
      <c r="O37" s="161"/>
      <c r="P37" s="161"/>
      <c r="Q37" s="161"/>
      <c r="R37" s="161"/>
      <c r="S37" s="161"/>
      <c r="T37" s="161"/>
      <c r="U37" s="161"/>
      <c r="V37" s="161"/>
      <c r="W37" s="161"/>
      <c r="X37" s="161"/>
      <c r="Y37" s="161"/>
      <c r="Z37" s="161"/>
      <c r="AA37" s="161"/>
      <c r="AB37" s="161"/>
      <c r="AC37" s="161"/>
      <c r="AD37" s="161"/>
      <c r="AE37" s="161"/>
    </row>
    <row r="38" spans="5:31">
      <c r="E38" s="385" t="s">
        <v>316</v>
      </c>
      <c r="F38" s="98" t="s">
        <v>317</v>
      </c>
      <c r="G38" s="131">
        <f>43122400/76948207</f>
        <v>0.56040811971096349</v>
      </c>
      <c r="H38" s="405">
        <v>0.1883</v>
      </c>
      <c r="I38" s="288"/>
      <c r="J38" s="161"/>
      <c r="K38" s="161"/>
      <c r="L38" s="161"/>
      <c r="M38" s="161"/>
      <c r="N38" s="161"/>
      <c r="O38" s="161"/>
      <c r="P38" s="161"/>
      <c r="Q38" s="161"/>
      <c r="R38" s="161"/>
      <c r="S38" s="161"/>
      <c r="T38" s="161"/>
      <c r="U38" s="161"/>
      <c r="V38" s="161"/>
      <c r="W38" s="161"/>
      <c r="X38" s="161"/>
      <c r="Y38" s="161"/>
      <c r="Z38" s="161"/>
      <c r="AA38" s="161"/>
      <c r="AB38" s="161"/>
      <c r="AC38" s="161"/>
      <c r="AD38" s="161"/>
      <c r="AE38" s="161"/>
    </row>
    <row r="39" spans="5:31">
      <c r="E39" s="385" t="s">
        <v>318</v>
      </c>
      <c r="F39" s="98" t="s">
        <v>319</v>
      </c>
      <c r="G39" s="131">
        <f>2476700/5458600</f>
        <v>0.45372439819733995</v>
      </c>
      <c r="H39" s="405">
        <v>0.2029</v>
      </c>
      <c r="I39" s="288"/>
    </row>
    <row r="40" spans="5:31">
      <c r="E40" s="385" t="s">
        <v>320</v>
      </c>
      <c r="F40" s="98" t="s">
        <v>321</v>
      </c>
      <c r="G40" s="131">
        <f>56430159/102559497</f>
        <v>0.55021875741063742</v>
      </c>
      <c r="H40" s="405">
        <v>0.2233</v>
      </c>
      <c r="I40" s="288"/>
    </row>
    <row r="41" spans="5:31">
      <c r="E41" s="385" t="s">
        <v>322</v>
      </c>
      <c r="F41" s="98" t="s">
        <v>323</v>
      </c>
      <c r="G41" s="131">
        <f>1956093/983409</f>
        <v>1.9890940595418589</v>
      </c>
      <c r="H41" s="405">
        <v>-1.3299999999999999E-2</v>
      </c>
      <c r="I41" s="288"/>
    </row>
    <row r="42" spans="5:31">
      <c r="E42" s="385" t="s">
        <v>324</v>
      </c>
      <c r="F42" s="98" t="s">
        <v>325</v>
      </c>
      <c r="G42" s="131">
        <f>10214000/6952000</f>
        <v>1.4692174913693901</v>
      </c>
      <c r="H42" s="405">
        <v>0.16070000000000001</v>
      </c>
      <c r="I42" s="288"/>
    </row>
    <row r="43" spans="5:31">
      <c r="E43" s="385" t="s">
        <v>326</v>
      </c>
      <c r="F43" s="98" t="s">
        <v>327</v>
      </c>
      <c r="G43" s="131">
        <f>733675/878150</f>
        <v>0.83547799350908158</v>
      </c>
      <c r="H43" s="405">
        <v>0.16869999999999999</v>
      </c>
      <c r="I43" s="288"/>
    </row>
    <row r="44" spans="5:31">
      <c r="E44" s="385" t="s">
        <v>328</v>
      </c>
      <c r="F44" s="98" t="s">
        <v>329</v>
      </c>
      <c r="G44" s="131">
        <f>30681358/17511267</f>
        <v>1.7520924099895228</v>
      </c>
      <c r="H44" s="405">
        <v>0.1668</v>
      </c>
      <c r="I44" s="288"/>
    </row>
    <row r="45" spans="5:31">
      <c r="E45" s="385" t="s">
        <v>330</v>
      </c>
      <c r="F45" s="98" t="s">
        <v>331</v>
      </c>
      <c r="G45" s="326">
        <f>2704046054/1846108076</f>
        <v>1.4647279263622051</v>
      </c>
      <c r="H45" s="405">
        <v>0</v>
      </c>
      <c r="I45" s="288"/>
    </row>
    <row r="46" spans="5:31">
      <c r="E46" s="385" t="s">
        <v>332</v>
      </c>
      <c r="F46" s="98" t="s">
        <v>333</v>
      </c>
      <c r="G46" s="131">
        <f>61054132/39457479</f>
        <v>1.5473399098812166</v>
      </c>
      <c r="H46" s="405">
        <v>0.12540000000000001</v>
      </c>
      <c r="I46" s="288"/>
    </row>
    <row r="47" spans="5:31">
      <c r="E47" s="385" t="s">
        <v>334</v>
      </c>
      <c r="F47" s="98" t="s">
        <v>335</v>
      </c>
      <c r="G47" s="326">
        <f>2333850295/2026968583</f>
        <v>1.1513993431244021</v>
      </c>
      <c r="H47" s="405">
        <v>8.5300000000000001E-2</v>
      </c>
      <c r="I47" s="288"/>
    </row>
    <row r="48" spans="5:31">
      <c r="E48" s="385" t="s">
        <v>336</v>
      </c>
      <c r="F48" s="98" t="s">
        <v>337</v>
      </c>
      <c r="G48" s="131">
        <f>311100/281700</f>
        <v>1.1043663471778489</v>
      </c>
      <c r="H48" s="405">
        <v>0.1787</v>
      </c>
      <c r="I48" s="288"/>
    </row>
    <row r="49" spans="5:9">
      <c r="E49" s="385" t="s">
        <v>338</v>
      </c>
      <c r="F49" s="98" t="s">
        <v>339</v>
      </c>
      <c r="G49" s="131">
        <f>3631207/1348631</f>
        <v>2.6925133709665579</v>
      </c>
      <c r="H49" s="405">
        <v>9.8400000000000001E-2</v>
      </c>
      <c r="I49" s="288"/>
    </row>
    <row r="50" spans="5:9">
      <c r="E50" s="385" t="s">
        <v>340</v>
      </c>
      <c r="F50" s="98" t="s">
        <v>341</v>
      </c>
      <c r="G50" s="131">
        <f>325325/753243</f>
        <v>0.43189913480775793</v>
      </c>
      <c r="H50" s="405">
        <v>0.29349999999999998</v>
      </c>
      <c r="I50" s="288"/>
    </row>
    <row r="51" spans="5:9">
      <c r="E51" s="385" t="s">
        <v>342</v>
      </c>
      <c r="F51" s="98" t="s">
        <v>343</v>
      </c>
      <c r="G51" s="131">
        <f>502568/294301</f>
        <v>1.7076666406162397</v>
      </c>
      <c r="H51" s="405">
        <v>0.1152</v>
      </c>
      <c r="I51" s="288"/>
    </row>
    <row r="52" spans="5:9">
      <c r="E52" s="385" t="s">
        <v>344</v>
      </c>
      <c r="F52" s="98" t="s">
        <v>345</v>
      </c>
      <c r="G52" s="131">
        <f>618900/669600</f>
        <v>0.92428315412186379</v>
      </c>
      <c r="H52" s="405">
        <v>6.6799999999999998E-2</v>
      </c>
      <c r="I52" s="288"/>
    </row>
    <row r="53" spans="5:9">
      <c r="E53" s="385" t="s">
        <v>346</v>
      </c>
      <c r="F53" s="98" t="s">
        <v>347</v>
      </c>
      <c r="G53" s="330">
        <f>159393/183205</f>
        <v>0.87002538140334595</v>
      </c>
      <c r="H53" s="405">
        <v>0.21820000000000001</v>
      </c>
      <c r="I53" s="288"/>
    </row>
    <row r="54" spans="5:9">
      <c r="E54" s="385" t="s">
        <v>348</v>
      </c>
      <c r="F54" s="98" t="s">
        <v>349</v>
      </c>
      <c r="G54" s="131">
        <f>275264/654588</f>
        <v>0.4205148887544532</v>
      </c>
      <c r="H54" s="405">
        <v>6.7699999999999996E-2</v>
      </c>
      <c r="I54" s="288"/>
    </row>
    <row r="55" spans="5:9">
      <c r="E55" s="385" t="s">
        <v>350</v>
      </c>
      <c r="F55" s="98" t="s">
        <v>351</v>
      </c>
      <c r="G55" s="330">
        <f>379246/457466</f>
        <v>0.82901461529381415</v>
      </c>
      <c r="H55" s="405">
        <v>4.6100000000000002E-2</v>
      </c>
      <c r="I55" s="288"/>
    </row>
    <row r="56" spans="5:9">
      <c r="E56" s="385" t="s">
        <v>352</v>
      </c>
      <c r="F56" s="98" t="s">
        <v>353</v>
      </c>
      <c r="G56" s="131">
        <f>3145/17463</f>
        <v>0.1800950581228884</v>
      </c>
      <c r="H56" s="405">
        <v>-3.8980000000000001</v>
      </c>
      <c r="I56" s="288"/>
    </row>
    <row r="57" spans="5:9">
      <c r="E57" s="385" t="s">
        <v>354</v>
      </c>
      <c r="F57" s="98" t="s">
        <v>355</v>
      </c>
      <c r="G57" s="131">
        <f>73052/23482</f>
        <v>3.110978621923175</v>
      </c>
      <c r="H57" s="405">
        <v>-0.28639999999999999</v>
      </c>
      <c r="I57" s="288"/>
    </row>
    <row r="58" spans="5:9">
      <c r="E58" s="385" t="s">
        <v>356</v>
      </c>
      <c r="F58" s="98" t="s">
        <v>357</v>
      </c>
      <c r="G58" s="131">
        <f>14398/28183</f>
        <v>0.51087535038853205</v>
      </c>
      <c r="H58" s="405">
        <v>-0.38229999999999997</v>
      </c>
      <c r="I58" s="288"/>
    </row>
    <row r="59" spans="5:9">
      <c r="G59" s="132">
        <f>_xlfn.PERCENTILE.EXC(G5:G58,0.75)</f>
        <v>1.5082787006253033</v>
      </c>
      <c r="H59" s="353">
        <f>_xlfn.PERCENTILE.EXC(H5:H58,0.5)</f>
        <v>0.1421</v>
      </c>
      <c r="I59" s="117"/>
    </row>
    <row r="60" spans="5:9">
      <c r="G60" s="221"/>
    </row>
    <row r="61" spans="5:9">
      <c r="G61" s="221"/>
    </row>
    <row r="62" spans="5:9">
      <c r="G62" s="221"/>
    </row>
    <row r="63" spans="5:9">
      <c r="G63" s="221"/>
    </row>
    <row r="64" spans="5:9">
      <c r="G64" s="221"/>
    </row>
  </sheetData>
  <mergeCells count="1">
    <mergeCell ref="E3:I3"/>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38"/>
  <sheetViews>
    <sheetView workbookViewId="0"/>
  </sheetViews>
  <sheetFormatPr defaultRowHeight="12"/>
  <cols>
    <col min="1" max="1" width="2" style="156" customWidth="1"/>
    <col min="2" max="2" width="7" style="156" customWidth="1"/>
    <col min="3" max="3" width="16.7109375" style="156" customWidth="1"/>
    <col min="4" max="4" width="16.140625" style="156" customWidth="1"/>
    <col min="5" max="5" width="14" style="156" customWidth="1"/>
    <col min="6" max="6" width="12.5703125" style="156" customWidth="1"/>
    <col min="7" max="7" width="15.42578125" style="156" customWidth="1" collapsed="1"/>
    <col min="8" max="8" width="14.28515625" style="156" customWidth="1"/>
    <col min="9" max="9" width="3.7109375" style="156" customWidth="1"/>
    <col min="10" max="10" width="20.42578125" style="156" customWidth="1"/>
    <col min="11" max="11" width="11.5703125" style="156" customWidth="1"/>
    <col min="12" max="12" width="12" style="156" customWidth="1"/>
    <col min="13" max="13" width="10.7109375" style="156" customWidth="1"/>
    <col min="14" max="14" width="8.7109375" style="156" customWidth="1"/>
    <col min="15" max="15" width="6.7109375" style="156" customWidth="1"/>
    <col min="16" max="16" width="8.28515625" style="156" customWidth="1"/>
    <col min="17" max="28" width="9.140625" style="156" customWidth="1"/>
    <col min="29" max="29" width="9.28515625" style="156" customWidth="1"/>
    <col min="30" max="30" width="9.42578125" style="156" customWidth="1"/>
    <col min="31" max="31" width="10" style="156" customWidth="1"/>
    <col min="32" max="32" width="11.42578125" style="156" customWidth="1"/>
    <col min="33" max="33" width="9.42578125" style="156" bestFit="1" customWidth="1" collapsed="1"/>
    <col min="34" max="16384" width="9.140625" style="156"/>
  </cols>
  <sheetData>
    <row r="1" spans="1:32" s="155" customFormat="1" ht="15" customHeight="1">
      <c r="B1" s="17" t="s">
        <v>161</v>
      </c>
      <c r="C1" s="154"/>
      <c r="D1" s="154"/>
      <c r="E1" s="154"/>
      <c r="F1" s="154"/>
      <c r="G1" s="154"/>
      <c r="H1" s="154"/>
      <c r="I1" s="154"/>
      <c r="J1" s="154"/>
      <c r="K1" s="154"/>
      <c r="L1" s="154"/>
      <c r="M1" s="154"/>
      <c r="N1" s="154"/>
    </row>
    <row r="2" spans="1:32" ht="12" customHeight="1">
      <c r="C2" s="182"/>
    </row>
    <row r="3" spans="1:32" ht="12" customHeight="1">
      <c r="A3" s="158"/>
      <c r="B3" s="248"/>
      <c r="C3" s="212" t="s">
        <v>398</v>
      </c>
      <c r="D3" s="212" t="s">
        <v>6</v>
      </c>
      <c r="E3" s="212" t="s">
        <v>167</v>
      </c>
      <c r="F3" s="212" t="s">
        <v>168</v>
      </c>
      <c r="G3" s="212" t="s">
        <v>3</v>
      </c>
      <c r="H3" s="212" t="s">
        <v>238</v>
      </c>
      <c r="J3" s="232" t="s">
        <v>179</v>
      </c>
      <c r="K3" s="244">
        <f>Beta!C6</f>
        <v>0.25169999999999998</v>
      </c>
      <c r="L3" s="142"/>
      <c r="M3" s="142"/>
      <c r="N3" s="142"/>
      <c r="O3" s="142"/>
    </row>
    <row r="4" spans="1:32" ht="12" customHeight="1">
      <c r="A4" s="163"/>
      <c r="B4" s="237" t="s">
        <v>166</v>
      </c>
      <c r="C4" s="308">
        <f>3870*10000</f>
        <v>38700000</v>
      </c>
      <c r="D4" s="233">
        <f>Numbers!C6</f>
        <v>304487.83000000007</v>
      </c>
      <c r="E4" s="250"/>
      <c r="F4" s="250">
        <f>G4/D4</f>
        <v>0.10694721145484871</v>
      </c>
      <c r="G4" s="240">
        <f>'FCFF &amp; FCFE'!G5</f>
        <v>32564.124340438037</v>
      </c>
      <c r="H4" s="240">
        <f>G4*(1-$K$3)</f>
        <v>24367.734243949781</v>
      </c>
      <c r="I4" s="47"/>
      <c r="J4" s="232" t="s">
        <v>399</v>
      </c>
      <c r="K4" s="244">
        <v>0.12280000000000001</v>
      </c>
      <c r="L4" s="406" t="s">
        <v>400</v>
      </c>
      <c r="M4" s="48"/>
      <c r="N4" s="48"/>
      <c r="O4" s="67"/>
      <c r="P4" s="160"/>
      <c r="Q4" s="160"/>
      <c r="V4" s="160"/>
    </row>
    <row r="5" spans="1:32" ht="12" customHeight="1">
      <c r="A5" s="163"/>
      <c r="B5" s="231">
        <v>1</v>
      </c>
      <c r="C5" s="309">
        <f>C4*(1+$K$4)</f>
        <v>43452360</v>
      </c>
      <c r="D5" s="235">
        <f>D4*(1+E5)</f>
        <v>338561.06955229666</v>
      </c>
      <c r="E5" s="350">
        <f>'Expected Growth Rate'!C11</f>
        <v>0.11190345293043916</v>
      </c>
      <c r="F5" s="350">
        <f>'Future Value of Equity Options'!G20</f>
        <v>0.11054131002299261</v>
      </c>
      <c r="G5" s="239">
        <f t="shared" ref="G5:G14" si="0">D5*F5</f>
        <v>37424.984151096389</v>
      </c>
      <c r="H5" s="239">
        <f>G5*(1-$K$3)</f>
        <v>28005.115640265427</v>
      </c>
      <c r="I5" s="47"/>
      <c r="J5" s="232" t="s">
        <v>399</v>
      </c>
      <c r="K5" s="244">
        <v>8.5000000000000006E-2</v>
      </c>
      <c r="L5" s="406" t="s">
        <v>401</v>
      </c>
      <c r="M5" s="116"/>
      <c r="N5" s="116"/>
      <c r="O5" s="166"/>
      <c r="P5" s="161"/>
      <c r="Q5" s="161"/>
      <c r="R5" s="161"/>
      <c r="S5" s="161"/>
      <c r="T5" s="161"/>
      <c r="U5" s="161"/>
      <c r="V5" s="161"/>
      <c r="W5" s="161"/>
      <c r="X5" s="161"/>
      <c r="Y5" s="161"/>
      <c r="Z5" s="161"/>
      <c r="AA5" s="161"/>
    </row>
    <row r="6" spans="1:32" ht="12" customHeight="1">
      <c r="A6" s="163"/>
      <c r="B6" s="231">
        <f t="shared" ref="B6:B14" si="1">B5+1</f>
        <v>2</v>
      </c>
      <c r="C6" s="309">
        <f>C5*(1+$K$4)</f>
        <v>48788309.807999998</v>
      </c>
      <c r="D6" s="235">
        <f t="shared" ref="D6:D14" ca="1" si="2">D5*(1+E6)</f>
        <v>374444.8551949067</v>
      </c>
      <c r="E6" s="350">
        <f ca="1">AVERAGE(E5,E7)</f>
        <v>0.10598910763739525</v>
      </c>
      <c r="F6" s="350">
        <f ca="1">'Future Value of Equity Options'!G21</f>
        <v>0.11283835930706465</v>
      </c>
      <c r="G6" s="239">
        <f t="shared" ca="1" si="0"/>
        <v>42251.743111164673</v>
      </c>
      <c r="H6" s="239">
        <f t="shared" ref="H6:H14" ca="1" si="3">G6*(1-$K$3)</f>
        <v>31616.979370084522</v>
      </c>
      <c r="I6" s="47"/>
      <c r="M6" s="116"/>
      <c r="N6" s="116"/>
      <c r="O6" s="166"/>
      <c r="P6" s="161"/>
      <c r="Q6" s="161"/>
      <c r="R6" s="161"/>
      <c r="S6" s="161"/>
      <c r="T6" s="161"/>
      <c r="U6" s="161"/>
      <c r="V6" s="161"/>
      <c r="W6" s="161"/>
      <c r="X6" s="161"/>
      <c r="Y6" s="161"/>
      <c r="Z6" s="161"/>
      <c r="AA6" s="161"/>
    </row>
    <row r="7" spans="1:32" ht="12" customHeight="1">
      <c r="B7" s="231">
        <f t="shared" si="1"/>
        <v>3</v>
      </c>
      <c r="C7" s="309">
        <f>C6*(1+$K$4)</f>
        <v>54779514.2524224</v>
      </c>
      <c r="D7" s="235">
        <f t="shared" ca="1" si="2"/>
        <v>411917.3350896021</v>
      </c>
      <c r="E7" s="350">
        <f ca="1">AVERAGE(E9,E5)</f>
        <v>0.10007476234435132</v>
      </c>
      <c r="F7" s="350">
        <f ca="1">'Future Value of Equity Options'!G22</f>
        <v>0.11503540859113648</v>
      </c>
      <c r="G7" s="239">
        <f t="shared" ca="1" si="0"/>
        <v>47385.078947804461</v>
      </c>
      <c r="H7" s="239">
        <f t="shared" ca="1" si="3"/>
        <v>35458.254576642074</v>
      </c>
      <c r="I7" s="47"/>
      <c r="J7" s="116"/>
      <c r="K7" s="226"/>
      <c r="L7" s="218"/>
      <c r="M7" s="116"/>
      <c r="N7" s="116"/>
      <c r="O7" s="218"/>
      <c r="P7" s="161"/>
      <c r="Q7" s="161"/>
      <c r="R7" s="161"/>
      <c r="S7" s="161"/>
      <c r="T7" s="161"/>
      <c r="U7" s="161"/>
      <c r="V7" s="161"/>
      <c r="W7" s="161"/>
      <c r="X7" s="161"/>
      <c r="Y7" s="161"/>
      <c r="Z7" s="161"/>
      <c r="AA7" s="161"/>
    </row>
    <row r="8" spans="1:32" ht="12" customHeight="1">
      <c r="A8" s="163"/>
      <c r="B8" s="231">
        <f t="shared" si="1"/>
        <v>4</v>
      </c>
      <c r="C8" s="309">
        <f>C7*(1+$K$4)</f>
        <v>61506438.602619871</v>
      </c>
      <c r="D8" s="235">
        <f t="shared" ca="1" si="2"/>
        <v>450703.64315230213</v>
      </c>
      <c r="E8" s="350">
        <f ca="1">AVERAGE(E7,E9)</f>
        <v>9.4160417051307399E-2</v>
      </c>
      <c r="F8" s="350">
        <f ca="1">'Future Value of Equity Options'!G23</f>
        <v>0.11942950715928047</v>
      </c>
      <c r="G8" s="239">
        <f t="shared" ca="1" si="0"/>
        <v>53827.313976571655</v>
      </c>
      <c r="H8" s="239">
        <f t="shared" ca="1" si="3"/>
        <v>40278.979048668567</v>
      </c>
      <c r="I8" s="47"/>
      <c r="J8" s="116"/>
      <c r="K8" s="221"/>
      <c r="L8" s="218"/>
      <c r="M8" s="116"/>
      <c r="N8" s="116"/>
      <c r="O8" s="218"/>
      <c r="P8" s="161"/>
      <c r="Q8" s="161"/>
      <c r="R8" s="161"/>
      <c r="S8" s="161"/>
      <c r="T8" s="161"/>
      <c r="U8" s="161"/>
      <c r="V8" s="161"/>
      <c r="W8" s="161"/>
      <c r="X8" s="161"/>
      <c r="Y8" s="161"/>
      <c r="Z8" s="161"/>
      <c r="AA8" s="161"/>
    </row>
    <row r="9" spans="1:32" ht="12" customHeight="1">
      <c r="A9" s="163"/>
      <c r="B9" s="231">
        <f t="shared" si="1"/>
        <v>5</v>
      </c>
      <c r="C9" s="309">
        <f>C8*(1+$K$4)</f>
        <v>69059429.263021588</v>
      </c>
      <c r="D9" s="235">
        <f t="shared" ca="1" si="2"/>
        <v>490476.46918763104</v>
      </c>
      <c r="E9" s="350">
        <f ca="1">AVERAGE(E8,E10)</f>
        <v>8.8246071758263489E-2</v>
      </c>
      <c r="F9" s="350">
        <f ca="1">'Future Value of Equity Options'!G24</f>
        <v>0.12382360572742435</v>
      </c>
      <c r="G9" s="239">
        <f t="shared" ca="1" si="0"/>
        <v>60732.564939268421</v>
      </c>
      <c r="H9" s="239">
        <f t="shared" ca="1" si="3"/>
        <v>45446.178344054555</v>
      </c>
      <c r="I9" s="47"/>
      <c r="J9" s="116"/>
      <c r="K9" s="221"/>
      <c r="L9" s="218"/>
      <c r="M9" s="116"/>
      <c r="N9" s="116"/>
      <c r="O9" s="218"/>
      <c r="P9" s="161"/>
      <c r="Q9" s="161"/>
      <c r="R9" s="161"/>
      <c r="S9" s="161"/>
      <c r="T9" s="161"/>
      <c r="U9" s="161"/>
      <c r="V9" s="161"/>
      <c r="W9" s="161"/>
      <c r="X9" s="161"/>
      <c r="Y9" s="161"/>
      <c r="Z9" s="161"/>
      <c r="AA9" s="161"/>
    </row>
    <row r="10" spans="1:32">
      <c r="A10" s="159"/>
      <c r="B10" s="231">
        <f t="shared" si="1"/>
        <v>6</v>
      </c>
      <c r="C10" s="309">
        <f>C9*(1+$K$5)</f>
        <v>74929480.750378415</v>
      </c>
      <c r="D10" s="235">
        <f t="shared" ca="1" si="2"/>
        <v>530858.24368641374</v>
      </c>
      <c r="E10" s="350">
        <f>AVERAGE(E5,E14)</f>
        <v>8.2331726465219579E-2</v>
      </c>
      <c r="F10" s="350">
        <f ca="1">'Future Value of Equity Options'!G25</f>
        <v>0.12821770429556834</v>
      </c>
      <c r="G10" s="239">
        <f t="shared" ca="1" si="0"/>
        <v>68065.425311849351</v>
      </c>
      <c r="H10" s="239">
        <f t="shared" ca="1" si="3"/>
        <v>50933.357760856867</v>
      </c>
      <c r="I10" s="47"/>
      <c r="J10" s="116"/>
      <c r="K10" s="221"/>
      <c r="L10" s="218"/>
      <c r="M10" s="116"/>
      <c r="N10" s="116"/>
      <c r="O10" s="218"/>
      <c r="P10" s="161"/>
      <c r="Q10" s="161"/>
      <c r="R10" s="161"/>
      <c r="S10" s="161"/>
      <c r="T10" s="161"/>
      <c r="U10" s="161"/>
      <c r="V10" s="161"/>
      <c r="W10" s="161"/>
      <c r="X10" s="161"/>
      <c r="Y10" s="161"/>
      <c r="Z10" s="161"/>
      <c r="AA10" s="161"/>
    </row>
    <row r="11" spans="1:32">
      <c r="A11" s="163"/>
      <c r="B11" s="231">
        <f t="shared" si="1"/>
        <v>7</v>
      </c>
      <c r="C11" s="309">
        <f>C10*(1+$K$5)</f>
        <v>81298486.614160582</v>
      </c>
      <c r="D11" s="235">
        <f t="shared" ca="1" si="2"/>
        <v>570640.12070388498</v>
      </c>
      <c r="E11" s="350">
        <f>AVERAGE(E10,E12)</f>
        <v>7.4938794848914692E-2</v>
      </c>
      <c r="F11" s="350">
        <f ca="1">'Future Value of Equity Options'!G26</f>
        <v>0.13051475357964015</v>
      </c>
      <c r="G11" s="239">
        <f t="shared" ca="1" si="0"/>
        <v>74476.954736323663</v>
      </c>
      <c r="H11" s="239">
        <f t="shared" ca="1" si="3"/>
        <v>55731.105229190995</v>
      </c>
      <c r="I11" s="47"/>
      <c r="J11" s="116"/>
      <c r="K11" s="221"/>
      <c r="L11" s="218"/>
      <c r="M11" s="116"/>
      <c r="N11" s="116"/>
      <c r="O11" s="218"/>
      <c r="P11" s="161"/>
      <c r="Q11" s="161"/>
      <c r="R11" s="161"/>
      <c r="S11" s="161"/>
      <c r="T11" s="161"/>
      <c r="U11" s="161"/>
      <c r="V11" s="161"/>
      <c r="W11" s="161"/>
      <c r="X11" s="161"/>
      <c r="Y11" s="161"/>
      <c r="Z11" s="161"/>
      <c r="AA11" s="161"/>
    </row>
    <row r="12" spans="1:32">
      <c r="B12" s="231">
        <f t="shared" si="1"/>
        <v>8</v>
      </c>
      <c r="C12" s="309">
        <f>C11*(1+$K$5)</f>
        <v>88208857.976364225</v>
      </c>
      <c r="D12" s="235">
        <f t="shared" ca="1" si="2"/>
        <v>609184.50025198958</v>
      </c>
      <c r="E12" s="350">
        <f>AVERAGE(E10,E14)</f>
        <v>6.754586323260979E-2</v>
      </c>
      <c r="F12" s="350">
        <f ca="1">'Future Value of Equity Options'!G27</f>
        <v>0.13271180286371209</v>
      </c>
      <c r="G12" s="239">
        <f t="shared" ca="1" si="0"/>
        <v>80845.973305071006</v>
      </c>
      <c r="H12" s="239">
        <f t="shared" ca="1" si="3"/>
        <v>60497.041824184627</v>
      </c>
      <c r="I12" s="47"/>
      <c r="J12" s="116"/>
      <c r="K12" s="221"/>
      <c r="L12" s="218"/>
      <c r="M12" s="116"/>
      <c r="N12" s="116"/>
      <c r="O12" s="218"/>
      <c r="P12" s="161"/>
      <c r="Q12" s="161"/>
      <c r="R12" s="161"/>
      <c r="S12" s="161"/>
      <c r="T12" s="161"/>
      <c r="U12" s="161"/>
      <c r="V12" s="161"/>
      <c r="W12" s="161"/>
      <c r="X12" s="161"/>
      <c r="Y12" s="161"/>
      <c r="Z12" s="161"/>
      <c r="AA12" s="161"/>
    </row>
    <row r="13" spans="1:32">
      <c r="A13" s="163"/>
      <c r="B13" s="231">
        <f t="shared" si="1"/>
        <v>9</v>
      </c>
      <c r="C13" s="309">
        <f>C12*(1+$K$5)</f>
        <v>95706610.904355183</v>
      </c>
      <c r="D13" s="235">
        <f t="shared" ca="1" si="2"/>
        <v>645828.7338373604</v>
      </c>
      <c r="E13" s="350">
        <f>AVERAGE(E12,E14)</f>
        <v>6.0152931616304889E-2</v>
      </c>
      <c r="F13" s="350">
        <f ca="1">'Future Value of Equity Options'!G28</f>
        <v>0.13710590143185619</v>
      </c>
      <c r="G13" s="239">
        <f t="shared" ca="1" si="0"/>
        <v>88546.930723365629</v>
      </c>
      <c r="H13" s="239">
        <f t="shared" ca="1" si="3"/>
        <v>66259.668260294493</v>
      </c>
      <c r="I13" s="47"/>
      <c r="J13" s="116"/>
      <c r="K13" s="342"/>
      <c r="L13" s="218"/>
      <c r="M13" s="116"/>
      <c r="N13" s="116"/>
      <c r="O13" s="218"/>
      <c r="P13" s="161"/>
      <c r="Q13" s="161"/>
      <c r="R13" s="161"/>
      <c r="S13" s="161"/>
      <c r="T13" s="161"/>
      <c r="U13" s="161"/>
      <c r="V13" s="161"/>
      <c r="W13" s="161"/>
      <c r="X13" s="161"/>
      <c r="Y13" s="161"/>
      <c r="Z13" s="161"/>
      <c r="AA13" s="161"/>
    </row>
    <row r="14" spans="1:32">
      <c r="B14" s="231">
        <f t="shared" si="1"/>
        <v>10</v>
      </c>
      <c r="C14" s="309">
        <f>C13*(1+$K$5)</f>
        <v>103841672.83122537</v>
      </c>
      <c r="D14" s="235">
        <f t="shared" ca="1" si="2"/>
        <v>679902.65783461952</v>
      </c>
      <c r="E14" s="351">
        <f>'Risk Free Rate'!C4</f>
        <v>5.2759999999999994E-2</v>
      </c>
      <c r="F14" s="350">
        <f ca="1">'Future Value of Equity Options'!G29</f>
        <v>0.14150000000000007</v>
      </c>
      <c r="G14" s="239">
        <f t="shared" ca="1" si="0"/>
        <v>96206.226083598711</v>
      </c>
      <c r="H14" s="239">
        <f t="shared" ca="1" si="3"/>
        <v>71991.118978356913</v>
      </c>
      <c r="I14" s="47"/>
      <c r="J14" s="116"/>
      <c r="K14" s="221"/>
      <c r="L14" s="218"/>
      <c r="M14" s="116"/>
      <c r="N14" s="116"/>
      <c r="O14" s="223"/>
      <c r="P14" s="161"/>
      <c r="Q14" s="161"/>
      <c r="R14" s="161"/>
      <c r="S14" s="161"/>
      <c r="T14" s="161"/>
      <c r="U14" s="161"/>
      <c r="V14" s="161"/>
      <c r="W14" s="161"/>
      <c r="X14" s="161"/>
      <c r="Y14" s="161"/>
      <c r="Z14" s="161"/>
      <c r="AA14" s="161"/>
    </row>
    <row r="15" spans="1:32">
      <c r="C15" s="227"/>
      <c r="D15" s="277"/>
      <c r="E15" s="408"/>
      <c r="F15" s="408"/>
      <c r="G15" s="407"/>
      <c r="H15" s="14"/>
      <c r="I15" s="313"/>
      <c r="J15" s="116"/>
      <c r="K15" s="116"/>
      <c r="L15" s="342"/>
      <c r="M15" s="218"/>
      <c r="N15" s="218"/>
      <c r="Q15" s="161"/>
      <c r="R15" s="161"/>
      <c r="S15" s="161"/>
      <c r="T15" s="161"/>
      <c r="U15" s="161"/>
      <c r="V15" s="161"/>
      <c r="W15" s="161"/>
      <c r="X15" s="161"/>
      <c r="Y15" s="161"/>
      <c r="Z15" s="161"/>
      <c r="AA15" s="161"/>
      <c r="AB15" s="161"/>
      <c r="AC15" s="161"/>
      <c r="AD15" s="161"/>
      <c r="AE15" s="161"/>
      <c r="AF15" s="161"/>
    </row>
    <row r="16" spans="1:32">
      <c r="F16" s="116"/>
      <c r="G16" s="236"/>
      <c r="H16" s="142"/>
      <c r="I16" s="224"/>
      <c r="J16" s="116"/>
      <c r="K16" s="116"/>
      <c r="L16" s="221"/>
      <c r="M16" s="218"/>
      <c r="N16" s="218"/>
      <c r="O16" s="247"/>
      <c r="P16" s="161"/>
      <c r="Q16" s="161"/>
      <c r="R16" s="161"/>
      <c r="S16" s="161"/>
      <c r="T16" s="161"/>
      <c r="U16" s="161"/>
      <c r="V16" s="161"/>
      <c r="W16" s="161"/>
      <c r="X16" s="161"/>
      <c r="Y16" s="161"/>
      <c r="Z16" s="161"/>
      <c r="AA16" s="161"/>
      <c r="AB16" s="161"/>
      <c r="AC16" s="161"/>
      <c r="AD16" s="161"/>
      <c r="AE16" s="161"/>
      <c r="AF16" s="161"/>
    </row>
    <row r="17" spans="1:34">
      <c r="B17" s="248"/>
      <c r="C17" s="100" t="s">
        <v>169</v>
      </c>
      <c r="D17" s="100" t="s">
        <v>170</v>
      </c>
      <c r="E17" s="100" t="s">
        <v>133</v>
      </c>
      <c r="F17" s="100" t="s">
        <v>171</v>
      </c>
      <c r="G17" s="100" t="s">
        <v>172</v>
      </c>
      <c r="H17" s="100" t="s">
        <v>173</v>
      </c>
      <c r="I17" s="48"/>
      <c r="J17" s="116"/>
      <c r="K17" s="116"/>
      <c r="L17" s="221"/>
      <c r="M17" s="342"/>
      <c r="N17" s="440"/>
      <c r="O17" s="440"/>
      <c r="P17" s="440"/>
      <c r="Q17" s="161"/>
      <c r="R17" s="161"/>
      <c r="S17" s="161"/>
      <c r="T17" s="161"/>
      <c r="U17" s="161"/>
      <c r="V17" s="161"/>
      <c r="W17" s="161"/>
      <c r="X17" s="161"/>
      <c r="Y17" s="161"/>
      <c r="Z17" s="161"/>
      <c r="AA17" s="161"/>
      <c r="AB17" s="161"/>
      <c r="AC17" s="161"/>
      <c r="AD17" s="161"/>
      <c r="AE17" s="161"/>
      <c r="AF17" s="161"/>
    </row>
    <row r="18" spans="1:34">
      <c r="A18" s="163"/>
      <c r="B18" s="237" t="s">
        <v>166</v>
      </c>
      <c r="C18" s="229"/>
      <c r="D18" s="241">
        <f>D4/G18</f>
        <v>1.4299077197926391</v>
      </c>
      <c r="E18" s="238"/>
      <c r="F18" s="228">
        <f>'FCFF &amp; FCFE'!C4</f>
        <v>538.75627519123373</v>
      </c>
      <c r="G18" s="242">
        <f>'Expected Growth Rate'!C8</f>
        <v>212942.29395737228</v>
      </c>
      <c r="H18" s="243">
        <f>H4/G18</f>
        <v>0.11443351055862966</v>
      </c>
      <c r="I18" s="221"/>
      <c r="J18" s="116"/>
      <c r="K18" s="116"/>
      <c r="L18" s="221"/>
      <c r="M18" s="218"/>
      <c r="N18" s="343"/>
      <c r="O18" s="165"/>
      <c r="P18" s="165"/>
      <c r="Q18" s="161"/>
      <c r="R18" s="161"/>
      <c r="S18" s="161"/>
      <c r="T18" s="161"/>
      <c r="U18" s="161"/>
      <c r="V18" s="161"/>
      <c r="W18" s="161"/>
      <c r="X18" s="161"/>
      <c r="Y18" s="161"/>
      <c r="Z18" s="161"/>
      <c r="AA18" s="161"/>
      <c r="AB18" s="161"/>
      <c r="AC18" s="161"/>
      <c r="AD18" s="161"/>
      <c r="AE18" s="161"/>
      <c r="AF18" s="161"/>
    </row>
    <row r="19" spans="1:34">
      <c r="B19" s="231">
        <v>1</v>
      </c>
      <c r="C19" s="230">
        <f t="shared" ref="C19:C28" si="4">D5-D4</f>
        <v>34073.239552296582</v>
      </c>
      <c r="D19" s="214">
        <f>'Expected Growth Rate'!$G$59</f>
        <v>1.5082787006253033</v>
      </c>
      <c r="E19" s="230">
        <f t="shared" ref="E19:E28" si="5">C19/D19</f>
        <v>22590.81132563264</v>
      </c>
      <c r="F19" s="230">
        <f t="shared" ref="F19:F28" si="6">H5-E19</f>
        <v>5414.3043146327873</v>
      </c>
      <c r="G19" s="73">
        <f t="shared" ref="G19:G28" si="7">G18+E19</f>
        <v>235533.10528300493</v>
      </c>
      <c r="H19" s="75">
        <f t="shared" ref="H19:H28" si="8">H5/G19</f>
        <v>0.11890097405464878</v>
      </c>
      <c r="I19" s="117"/>
      <c r="J19" s="116"/>
      <c r="K19" s="116"/>
      <c r="L19" s="221"/>
      <c r="M19" s="218"/>
      <c r="N19" s="278"/>
      <c r="O19" s="274"/>
      <c r="P19" s="218"/>
      <c r="Q19" s="161"/>
      <c r="R19" s="161"/>
      <c r="S19" s="161"/>
      <c r="T19" s="161"/>
      <c r="U19" s="161"/>
      <c r="V19" s="161"/>
      <c r="W19" s="161"/>
      <c r="X19" s="161"/>
      <c r="Y19" s="161"/>
      <c r="Z19" s="161"/>
      <c r="AA19" s="161"/>
      <c r="AB19" s="161"/>
      <c r="AC19" s="161"/>
      <c r="AD19" s="161"/>
      <c r="AE19" s="161"/>
      <c r="AF19" s="161"/>
    </row>
    <row r="20" spans="1:34">
      <c r="A20" s="163"/>
      <c r="B20" s="231">
        <f t="shared" ref="B20:B28" si="9">B19+1</f>
        <v>2</v>
      </c>
      <c r="C20" s="230">
        <f t="shared" ca="1" si="4"/>
        <v>35883.785642610048</v>
      </c>
      <c r="D20" s="214">
        <f>'Expected Growth Rate'!$G$59</f>
        <v>1.5082787006253033</v>
      </c>
      <c r="E20" s="230">
        <f t="shared" ca="1" si="5"/>
        <v>23791.216853843605</v>
      </c>
      <c r="F20" s="230">
        <f t="shared" ca="1" si="6"/>
        <v>7825.7625162409167</v>
      </c>
      <c r="G20" s="73">
        <f t="shared" ca="1" si="7"/>
        <v>259324.32213684852</v>
      </c>
      <c r="H20" s="75">
        <f t="shared" ca="1" si="8"/>
        <v>0.12192060933412897</v>
      </c>
      <c r="I20" s="117"/>
      <c r="J20" s="116"/>
      <c r="K20" s="116"/>
      <c r="L20" s="221"/>
      <c r="M20" s="218"/>
      <c r="N20" s="278"/>
      <c r="O20" s="274"/>
      <c r="P20" s="222"/>
      <c r="Q20" s="161"/>
      <c r="R20" s="161"/>
      <c r="S20" s="161"/>
      <c r="T20" s="161"/>
      <c r="U20" s="161"/>
      <c r="V20" s="161"/>
      <c r="W20" s="161"/>
      <c r="X20" s="161"/>
      <c r="Y20" s="161"/>
      <c r="Z20" s="161"/>
      <c r="AA20" s="161"/>
      <c r="AB20" s="161"/>
      <c r="AC20" s="161"/>
      <c r="AD20" s="161"/>
      <c r="AE20" s="161"/>
      <c r="AF20" s="161"/>
    </row>
    <row r="21" spans="1:34">
      <c r="B21" s="231">
        <f t="shared" si="9"/>
        <v>3</v>
      </c>
      <c r="C21" s="230">
        <f t="shared" ca="1" si="4"/>
        <v>37472.479894695396</v>
      </c>
      <c r="D21" s="214">
        <f>'Expected Growth Rate'!$G$59</f>
        <v>1.5082787006253033</v>
      </c>
      <c r="E21" s="230">
        <f t="shared" ca="1" si="5"/>
        <v>24844.532962747551</v>
      </c>
      <c r="F21" s="230">
        <f t="shared" ca="1" si="6"/>
        <v>10613.721613894522</v>
      </c>
      <c r="G21" s="73">
        <f t="shared" ca="1" si="7"/>
        <v>284168.85509959608</v>
      </c>
      <c r="H21" s="75">
        <f t="shared" ca="1" si="8"/>
        <v>0.12477882055095232</v>
      </c>
      <c r="I21" s="117"/>
      <c r="J21" s="116"/>
      <c r="K21" s="116"/>
      <c r="L21" s="221"/>
      <c r="M21" s="218"/>
      <c r="N21" s="218"/>
      <c r="O21" s="182"/>
      <c r="P21" s="345"/>
      <c r="Q21" s="161"/>
      <c r="R21" s="161"/>
      <c r="S21" s="161"/>
      <c r="T21" s="161"/>
      <c r="U21" s="161"/>
      <c r="V21" s="161"/>
      <c r="W21" s="161"/>
      <c r="X21" s="161"/>
      <c r="Y21" s="161"/>
      <c r="Z21" s="161"/>
      <c r="AA21" s="161"/>
      <c r="AB21" s="161"/>
      <c r="AC21" s="161"/>
      <c r="AD21" s="161"/>
      <c r="AE21" s="161"/>
      <c r="AF21" s="161"/>
    </row>
    <row r="22" spans="1:34">
      <c r="B22" s="231">
        <f t="shared" si="9"/>
        <v>4</v>
      </c>
      <c r="C22" s="230">
        <f t="shared" ca="1" si="4"/>
        <v>38786.308062700031</v>
      </c>
      <c r="D22" s="214">
        <f>'Expected Growth Rate'!$G$59</f>
        <v>1.5082787006253033</v>
      </c>
      <c r="E22" s="230">
        <f t="shared" ca="1" si="5"/>
        <v>25715.610812922023</v>
      </c>
      <c r="F22" s="230">
        <f t="shared" ca="1" si="6"/>
        <v>14563.368235746544</v>
      </c>
      <c r="G22" s="73">
        <f t="shared" ca="1" si="7"/>
        <v>309884.46591251809</v>
      </c>
      <c r="H22" s="75">
        <f t="shared" ca="1" si="8"/>
        <v>0.12998063304031354</v>
      </c>
      <c r="I22" s="117"/>
      <c r="J22" s="116"/>
      <c r="K22" s="116"/>
      <c r="L22" s="221"/>
      <c r="M22" s="218"/>
      <c r="N22" s="218"/>
      <c r="O22" s="161"/>
      <c r="P22" s="161"/>
      <c r="Q22" s="161"/>
      <c r="R22" s="161"/>
      <c r="S22" s="161"/>
      <c r="T22" s="161"/>
      <c r="U22" s="161"/>
      <c r="V22" s="161"/>
      <c r="W22" s="161"/>
      <c r="X22" s="161"/>
      <c r="Y22" s="161"/>
      <c r="Z22" s="161"/>
      <c r="AA22" s="161"/>
      <c r="AB22" s="161"/>
      <c r="AC22" s="161"/>
      <c r="AD22" s="161"/>
      <c r="AE22" s="161"/>
      <c r="AF22" s="161"/>
      <c r="AG22" s="161"/>
    </row>
    <row r="23" spans="1:34">
      <c r="B23" s="231">
        <f t="shared" si="9"/>
        <v>5</v>
      </c>
      <c r="C23" s="230">
        <f t="shared" ca="1" si="4"/>
        <v>39772.826035328908</v>
      </c>
      <c r="D23" s="214">
        <f>'Expected Growth Rate'!$G$59</f>
        <v>1.5082787006253033</v>
      </c>
      <c r="E23" s="230">
        <f t="shared" ca="1" si="5"/>
        <v>26369.679568397976</v>
      </c>
      <c r="F23" s="230">
        <f t="shared" ca="1" si="6"/>
        <v>19076.498775656579</v>
      </c>
      <c r="G23" s="73">
        <f t="shared" ca="1" si="7"/>
        <v>336254.14548091608</v>
      </c>
      <c r="H23" s="75">
        <f t="shared" ca="1" si="8"/>
        <v>0.13515425446742582</v>
      </c>
      <c r="I23" s="117"/>
      <c r="J23" s="116"/>
      <c r="K23" s="116"/>
      <c r="L23" s="221"/>
      <c r="M23" s="218"/>
      <c r="N23" s="218"/>
      <c r="O23" s="161"/>
      <c r="P23" s="161"/>
      <c r="Q23" s="161"/>
      <c r="R23" s="161"/>
      <c r="S23" s="161"/>
      <c r="T23" s="161"/>
      <c r="U23" s="161"/>
      <c r="V23" s="161"/>
      <c r="W23" s="161"/>
      <c r="X23" s="161"/>
      <c r="Y23" s="161"/>
      <c r="Z23" s="161"/>
      <c r="AA23" s="161"/>
      <c r="AB23" s="161"/>
      <c r="AC23" s="161"/>
      <c r="AD23" s="161"/>
      <c r="AE23" s="161"/>
      <c r="AF23" s="161"/>
      <c r="AG23" s="161"/>
      <c r="AH23" s="161"/>
    </row>
    <row r="24" spans="1:34">
      <c r="B24" s="231">
        <f t="shared" si="9"/>
        <v>6</v>
      </c>
      <c r="C24" s="230">
        <f t="shared" ca="1" si="4"/>
        <v>40381.774498782703</v>
      </c>
      <c r="D24" s="214">
        <f>'Expected Growth Rate'!$G$59</f>
        <v>1.5082787006253033</v>
      </c>
      <c r="E24" s="230">
        <f t="shared" ca="1" si="5"/>
        <v>26773.416930200761</v>
      </c>
      <c r="F24" s="230">
        <f t="shared" ca="1" si="6"/>
        <v>24159.940830656105</v>
      </c>
      <c r="G24" s="73">
        <f t="shared" ca="1" si="7"/>
        <v>363027.56241111684</v>
      </c>
      <c r="H24" s="75">
        <f t="shared" ca="1" si="8"/>
        <v>0.14030162729951756</v>
      </c>
      <c r="I24" s="117"/>
      <c r="J24" s="116"/>
      <c r="K24" s="116"/>
      <c r="L24" s="221"/>
      <c r="M24" s="218"/>
      <c r="N24" s="218"/>
      <c r="O24" s="161"/>
      <c r="P24" s="161"/>
      <c r="Q24" s="161"/>
      <c r="R24" s="161"/>
      <c r="S24" s="161"/>
      <c r="T24" s="161"/>
      <c r="U24" s="161"/>
      <c r="V24" s="161"/>
      <c r="W24" s="161"/>
      <c r="X24" s="161"/>
      <c r="Y24" s="161"/>
      <c r="Z24" s="161"/>
      <c r="AA24" s="161"/>
      <c r="AB24" s="161"/>
      <c r="AC24" s="161"/>
      <c r="AD24" s="161"/>
      <c r="AE24" s="161"/>
      <c r="AF24" s="161"/>
    </row>
    <row r="25" spans="1:34">
      <c r="B25" s="231">
        <f t="shared" si="9"/>
        <v>7</v>
      </c>
      <c r="C25" s="230">
        <f t="shared" ca="1" si="4"/>
        <v>39781.877017471241</v>
      </c>
      <c r="D25" s="214">
        <f>'Expected Growth Rate'!$G$59</f>
        <v>1.5082787006253033</v>
      </c>
      <c r="E25" s="230">
        <f t="shared" ca="1" si="5"/>
        <v>26375.680436897001</v>
      </c>
      <c r="F25" s="230">
        <f t="shared" ca="1" si="6"/>
        <v>29355.424792293994</v>
      </c>
      <c r="G25" s="73">
        <f t="shared" ca="1" si="7"/>
        <v>389403.24284801382</v>
      </c>
      <c r="H25" s="75">
        <f t="shared" ca="1" si="8"/>
        <v>0.14311926326443858</v>
      </c>
      <c r="I25" s="117"/>
      <c r="J25" s="3"/>
      <c r="K25" s="3"/>
      <c r="L25" s="221"/>
      <c r="M25" s="221"/>
      <c r="N25" s="221"/>
      <c r="O25" s="161"/>
      <c r="P25" s="161"/>
      <c r="Q25" s="161"/>
      <c r="R25" s="161"/>
      <c r="S25" s="161"/>
      <c r="T25" s="161"/>
      <c r="U25" s="161"/>
      <c r="V25" s="161"/>
      <c r="W25" s="161"/>
      <c r="X25" s="161"/>
      <c r="Y25" s="161"/>
      <c r="Z25" s="161"/>
      <c r="AA25" s="161"/>
      <c r="AB25" s="161"/>
      <c r="AC25" s="161"/>
      <c r="AD25" s="161"/>
      <c r="AE25" s="161"/>
      <c r="AF25" s="161"/>
    </row>
    <row r="26" spans="1:34">
      <c r="B26" s="231">
        <f t="shared" si="9"/>
        <v>8</v>
      </c>
      <c r="C26" s="230">
        <f t="shared" ca="1" si="4"/>
        <v>38544.379548104596</v>
      </c>
      <c r="D26" s="214">
        <f>'Expected Growth Rate'!$G$59</f>
        <v>1.5082787006253033</v>
      </c>
      <c r="E26" s="230">
        <f t="shared" ca="1" si="5"/>
        <v>25555.210407814444</v>
      </c>
      <c r="F26" s="230">
        <f t="shared" ca="1" si="6"/>
        <v>34941.831416370187</v>
      </c>
      <c r="G26" s="73">
        <f t="shared" ca="1" si="7"/>
        <v>414958.45325582824</v>
      </c>
      <c r="H26" s="75">
        <f t="shared" ca="1" si="8"/>
        <v>0.14579059987696474</v>
      </c>
      <c r="I26" s="117"/>
      <c r="J26" s="116"/>
      <c r="K26" s="161"/>
      <c r="L26" s="161"/>
      <c r="M26" s="166"/>
      <c r="N26" s="161"/>
      <c r="O26" s="161"/>
      <c r="P26" s="161"/>
      <c r="Q26" s="161"/>
      <c r="R26" s="161"/>
      <c r="S26" s="161"/>
      <c r="T26" s="161"/>
      <c r="U26" s="161"/>
      <c r="V26" s="161"/>
      <c r="W26" s="161"/>
      <c r="X26" s="161"/>
      <c r="Y26" s="161"/>
      <c r="Z26" s="161"/>
      <c r="AA26" s="161"/>
      <c r="AB26" s="161"/>
      <c r="AC26" s="161"/>
      <c r="AD26" s="161"/>
      <c r="AE26" s="161"/>
      <c r="AF26" s="161"/>
    </row>
    <row r="27" spans="1:34">
      <c r="B27" s="231">
        <f t="shared" si="9"/>
        <v>9</v>
      </c>
      <c r="C27" s="230">
        <f t="shared" ca="1" si="4"/>
        <v>36644.233585370821</v>
      </c>
      <c r="D27" s="214">
        <f>'Expected Growth Rate'!$G$59</f>
        <v>1.5082787006253033</v>
      </c>
      <c r="E27" s="230">
        <f t="shared" ca="1" si="5"/>
        <v>24295.399497572183</v>
      </c>
      <c r="F27" s="230">
        <f t="shared" ca="1" si="6"/>
        <v>41964.268762722306</v>
      </c>
      <c r="G27" s="73">
        <f t="shared" ca="1" si="7"/>
        <v>439253.8527534004</v>
      </c>
      <c r="H27" s="75">
        <f t="shared" ca="1" si="8"/>
        <v>0.15084595808313386</v>
      </c>
      <c r="I27" s="117"/>
      <c r="J27" s="116"/>
      <c r="K27" s="161"/>
      <c r="L27" s="161"/>
      <c r="O27" s="161"/>
      <c r="P27" s="161"/>
      <c r="Q27" s="161"/>
      <c r="R27" s="161"/>
      <c r="S27" s="161"/>
      <c r="T27" s="161"/>
      <c r="U27" s="161"/>
      <c r="V27" s="161"/>
      <c r="W27" s="161"/>
      <c r="X27" s="161"/>
      <c r="Y27" s="161"/>
      <c r="Z27" s="161"/>
      <c r="AA27" s="161"/>
      <c r="AB27" s="161"/>
      <c r="AC27" s="161"/>
      <c r="AD27" s="161"/>
      <c r="AE27" s="161"/>
      <c r="AF27" s="161"/>
      <c r="AG27" s="161"/>
      <c r="AH27" s="161"/>
    </row>
    <row r="28" spans="1:34">
      <c r="B28" s="231">
        <f t="shared" si="9"/>
        <v>10</v>
      </c>
      <c r="C28" s="230">
        <f t="shared" ca="1" si="4"/>
        <v>34073.923997259117</v>
      </c>
      <c r="D28" s="214">
        <f>'Expected Growth Rate'!$G$59</f>
        <v>1.5082787006253033</v>
      </c>
      <c r="E28" s="230">
        <f t="shared" ca="1" si="5"/>
        <v>22591.26511773502</v>
      </c>
      <c r="F28" s="230">
        <f t="shared" ca="1" si="6"/>
        <v>49399.853860621894</v>
      </c>
      <c r="G28" s="73">
        <f t="shared" ca="1" si="7"/>
        <v>461845.11787113542</v>
      </c>
      <c r="H28" s="75">
        <f t="shared" ca="1" si="8"/>
        <v>0.15587718954397167</v>
      </c>
      <c r="I28" s="117"/>
      <c r="J28" s="196"/>
      <c r="K28" s="161"/>
      <c r="L28" s="161"/>
      <c r="O28" s="161"/>
      <c r="P28" s="161"/>
      <c r="Q28" s="161"/>
      <c r="R28" s="161"/>
      <c r="S28" s="161"/>
      <c r="T28" s="161"/>
      <c r="U28" s="161"/>
      <c r="V28" s="161"/>
      <c r="W28" s="161"/>
      <c r="X28" s="161"/>
      <c r="Y28" s="161"/>
      <c r="Z28" s="161"/>
      <c r="AA28" s="161"/>
      <c r="AB28" s="161"/>
      <c r="AC28" s="161"/>
      <c r="AD28" s="161"/>
      <c r="AE28" s="161"/>
      <c r="AF28" s="161"/>
      <c r="AG28" s="161"/>
      <c r="AH28" s="161"/>
    </row>
    <row r="29" spans="1:34">
      <c r="E29" s="227"/>
      <c r="K29" s="161"/>
      <c r="L29" s="161"/>
      <c r="O29" s="161"/>
      <c r="P29" s="161"/>
      <c r="Q29" s="161"/>
      <c r="R29" s="161"/>
      <c r="S29" s="161"/>
      <c r="T29" s="161"/>
      <c r="U29" s="161"/>
      <c r="V29" s="161"/>
      <c r="W29" s="161"/>
      <c r="X29" s="161"/>
      <c r="Y29" s="161"/>
      <c r="Z29" s="161"/>
      <c r="AA29" s="161"/>
      <c r="AB29" s="161"/>
      <c r="AC29" s="161"/>
      <c r="AD29" s="161"/>
      <c r="AE29" s="161"/>
      <c r="AF29" s="161"/>
      <c r="AG29" s="161"/>
      <c r="AH29" s="161"/>
    </row>
    <row r="30" spans="1:34" ht="14.25" customHeight="1">
      <c r="J30" s="124"/>
      <c r="K30" s="161"/>
      <c r="L30" s="161"/>
      <c r="P30" s="161"/>
      <c r="Q30" s="161"/>
      <c r="R30" s="161"/>
      <c r="S30" s="161"/>
      <c r="T30" s="161"/>
      <c r="U30" s="161"/>
      <c r="V30" s="161"/>
      <c r="W30" s="161"/>
      <c r="X30" s="161"/>
      <c r="Y30" s="161"/>
      <c r="Z30" s="161"/>
      <c r="AA30" s="161"/>
      <c r="AB30" s="161"/>
      <c r="AC30" s="161"/>
      <c r="AD30" s="161"/>
      <c r="AE30" s="161"/>
      <c r="AF30" s="161"/>
      <c r="AG30" s="161"/>
      <c r="AH30" s="161"/>
    </row>
    <row r="31" spans="1:34">
      <c r="G31" s="161"/>
      <c r="H31" s="161"/>
      <c r="I31" s="161"/>
      <c r="J31" s="161"/>
      <c r="K31" s="161"/>
      <c r="L31" s="161"/>
      <c r="M31" s="161"/>
      <c r="N31" s="161"/>
      <c r="P31" s="161"/>
      <c r="Q31" s="161"/>
      <c r="R31" s="161"/>
      <c r="S31" s="161"/>
      <c r="T31" s="161"/>
      <c r="U31" s="161"/>
      <c r="V31" s="161"/>
      <c r="W31" s="161"/>
      <c r="X31" s="161"/>
      <c r="Y31" s="161"/>
      <c r="Z31" s="161"/>
      <c r="AA31" s="161"/>
      <c r="AB31" s="161"/>
      <c r="AC31" s="161"/>
      <c r="AD31" s="161"/>
      <c r="AE31" s="161"/>
      <c r="AF31" s="161"/>
      <c r="AG31" s="161"/>
      <c r="AH31" s="161"/>
    </row>
    <row r="32" spans="1:34">
      <c r="G32" s="161"/>
      <c r="H32" s="161"/>
      <c r="I32" s="161"/>
      <c r="J32" s="161"/>
      <c r="K32" s="161"/>
      <c r="L32" s="161"/>
      <c r="M32" s="161"/>
      <c r="N32" s="161"/>
      <c r="O32" s="161"/>
      <c r="P32" s="161"/>
      <c r="Q32" s="161"/>
      <c r="R32" s="161"/>
      <c r="S32" s="161"/>
      <c r="T32" s="161"/>
      <c r="U32" s="161"/>
      <c r="V32" s="161"/>
      <c r="W32" s="161"/>
      <c r="X32" s="161"/>
      <c r="Y32" s="161"/>
      <c r="Z32" s="161"/>
      <c r="AA32" s="161"/>
      <c r="AB32" s="161"/>
      <c r="AC32" s="161"/>
      <c r="AD32" s="161"/>
      <c r="AE32" s="161"/>
      <c r="AF32" s="161"/>
      <c r="AG32" s="161"/>
      <c r="AH32" s="161"/>
    </row>
    <row r="33" spans="7:34">
      <c r="G33" s="161"/>
      <c r="H33" s="161"/>
      <c r="I33" s="161"/>
      <c r="J33" s="161"/>
      <c r="K33" s="161"/>
      <c r="L33" s="161"/>
      <c r="M33" s="161"/>
      <c r="N33" s="161"/>
      <c r="O33" s="161"/>
      <c r="P33" s="161"/>
      <c r="Q33" s="161"/>
      <c r="R33" s="161"/>
      <c r="S33" s="161"/>
      <c r="T33" s="161"/>
      <c r="U33" s="161"/>
      <c r="V33" s="161"/>
      <c r="W33" s="161"/>
      <c r="X33" s="161"/>
      <c r="Y33" s="161"/>
      <c r="Z33" s="161"/>
      <c r="AA33" s="161"/>
      <c r="AB33" s="161"/>
      <c r="AC33" s="161"/>
      <c r="AD33" s="161"/>
      <c r="AE33" s="161"/>
      <c r="AF33" s="161"/>
      <c r="AG33" s="161"/>
      <c r="AH33" s="161"/>
    </row>
    <row r="34" spans="7:34">
      <c r="G34" s="161"/>
      <c r="H34" s="161"/>
      <c r="I34" s="161"/>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c r="AG34" s="161"/>
      <c r="AH34" s="161"/>
    </row>
    <row r="35" spans="7:34">
      <c r="G35" s="161"/>
      <c r="H35" s="161"/>
      <c r="I35" s="161"/>
      <c r="J35" s="161"/>
      <c r="K35" s="161"/>
      <c r="L35" s="161"/>
      <c r="M35" s="161"/>
      <c r="N35" s="161"/>
      <c r="O35" s="161"/>
      <c r="P35" s="161"/>
      <c r="Q35" s="161"/>
      <c r="R35" s="161"/>
      <c r="S35" s="161"/>
      <c r="T35" s="161"/>
      <c r="U35" s="161"/>
      <c r="V35" s="161"/>
      <c r="W35" s="161"/>
      <c r="X35" s="161"/>
      <c r="Y35" s="161"/>
      <c r="Z35" s="161"/>
      <c r="AA35" s="161"/>
      <c r="AB35" s="161"/>
      <c r="AC35" s="161"/>
      <c r="AD35" s="161"/>
      <c r="AE35" s="161"/>
      <c r="AF35" s="161"/>
      <c r="AG35" s="161"/>
      <c r="AH35" s="161"/>
    </row>
    <row r="36" spans="7:34">
      <c r="G36" s="161"/>
      <c r="H36" s="161"/>
      <c r="I36" s="161"/>
      <c r="J36" s="161"/>
      <c r="K36" s="161"/>
      <c r="L36" s="161"/>
      <c r="M36" s="161"/>
      <c r="N36" s="161"/>
      <c r="O36" s="161"/>
      <c r="P36" s="161"/>
      <c r="Q36" s="161"/>
      <c r="R36" s="161"/>
      <c r="S36" s="161"/>
      <c r="T36" s="161"/>
      <c r="U36" s="161"/>
      <c r="V36" s="161"/>
      <c r="W36" s="161"/>
      <c r="X36" s="161"/>
      <c r="Y36" s="161"/>
      <c r="Z36" s="161"/>
      <c r="AA36" s="161"/>
      <c r="AB36" s="161"/>
      <c r="AC36" s="161"/>
      <c r="AD36" s="161"/>
      <c r="AE36" s="161"/>
      <c r="AF36" s="161"/>
      <c r="AG36" s="161"/>
      <c r="AH36" s="161"/>
    </row>
    <row r="37" spans="7:34">
      <c r="G37" s="161"/>
      <c r="H37" s="161"/>
      <c r="I37" s="161"/>
      <c r="J37" s="161"/>
      <c r="K37" s="161"/>
      <c r="L37" s="161"/>
      <c r="M37" s="161"/>
      <c r="N37" s="161"/>
      <c r="O37" s="161"/>
      <c r="P37" s="161"/>
      <c r="Q37" s="161"/>
      <c r="R37" s="161"/>
      <c r="S37" s="161"/>
      <c r="T37" s="161"/>
      <c r="U37" s="161"/>
      <c r="V37" s="161"/>
      <c r="W37" s="161"/>
      <c r="X37" s="161"/>
      <c r="Y37" s="161"/>
      <c r="Z37" s="161"/>
      <c r="AA37" s="161"/>
      <c r="AB37" s="161"/>
      <c r="AC37" s="161"/>
      <c r="AD37" s="161"/>
      <c r="AE37" s="161"/>
      <c r="AF37" s="161"/>
      <c r="AG37" s="161"/>
      <c r="AH37" s="161"/>
    </row>
    <row r="38" spans="7:34">
      <c r="G38" s="161"/>
      <c r="H38" s="161"/>
      <c r="I38" s="161"/>
      <c r="J38" s="161"/>
      <c r="K38" s="161"/>
      <c r="L38" s="161"/>
      <c r="O38" s="161"/>
      <c r="P38" s="161"/>
      <c r="Q38" s="161"/>
      <c r="R38" s="161"/>
      <c r="S38" s="161"/>
      <c r="T38" s="161"/>
      <c r="U38" s="161"/>
      <c r="V38" s="161"/>
      <c r="W38" s="161"/>
      <c r="X38" s="161"/>
      <c r="Y38" s="161"/>
      <c r="Z38" s="161"/>
      <c r="AA38" s="161"/>
      <c r="AB38" s="161"/>
      <c r="AC38" s="161"/>
      <c r="AD38" s="161"/>
      <c r="AE38" s="161"/>
      <c r="AF38" s="161"/>
      <c r="AG38" s="161"/>
      <c r="AH38" s="161"/>
    </row>
  </sheetData>
  <mergeCells count="1">
    <mergeCell ref="N17:P17"/>
  </mergeCells>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56" customWidth="1"/>
    <col min="2" max="2" width="29.28515625" style="156" customWidth="1"/>
    <col min="3" max="3" width="15.28515625" style="156" customWidth="1"/>
    <col min="4" max="4" width="4.85546875" style="156" customWidth="1"/>
    <col min="5" max="5" width="5.140625" style="156" customWidth="1"/>
    <col min="6" max="6" width="24.28515625" style="156" customWidth="1"/>
    <col min="7" max="7" width="10.140625" style="156" customWidth="1" collapsed="1"/>
    <col min="8" max="9" width="10.42578125" style="156" customWidth="1"/>
    <col min="10" max="10" width="9.140625" style="156" customWidth="1"/>
    <col min="11" max="11" width="9" style="156" customWidth="1"/>
    <col min="12" max="12" width="9.85546875" style="156" customWidth="1"/>
    <col min="13" max="26" width="9.140625" style="156" customWidth="1"/>
    <col min="27" max="27" width="9.28515625" style="156" customWidth="1"/>
    <col min="28" max="28" width="9.42578125" style="156" customWidth="1"/>
    <col min="29" max="29" width="10" style="156" customWidth="1"/>
    <col min="30" max="30" width="11.42578125" style="156" customWidth="1"/>
    <col min="31" max="31" width="9.42578125" style="156" bestFit="1" customWidth="1" collapsed="1"/>
    <col min="32" max="16384" width="9.140625" style="156"/>
  </cols>
  <sheetData>
    <row r="1" spans="1:32" s="155" customFormat="1" ht="15" customHeight="1">
      <c r="B1" s="17" t="s">
        <v>162</v>
      </c>
      <c r="C1" s="154"/>
      <c r="D1" s="154"/>
      <c r="E1" s="154"/>
      <c r="F1" s="154"/>
      <c r="G1" s="154"/>
      <c r="H1" s="154"/>
      <c r="I1" s="154"/>
      <c r="J1" s="154"/>
      <c r="K1" s="154"/>
      <c r="L1" s="154"/>
    </row>
    <row r="2" spans="1:32" ht="12" customHeight="1">
      <c r="C2" s="182"/>
    </row>
    <row r="3" spans="1:32" ht="12" customHeight="1">
      <c r="A3" s="158"/>
      <c r="B3" s="185" t="s">
        <v>176</v>
      </c>
      <c r="C3" s="219">
        <v>0.04</v>
      </c>
      <c r="F3" s="441" t="s">
        <v>180</v>
      </c>
      <c r="G3" s="441"/>
      <c r="H3" s="441"/>
      <c r="I3" s="441"/>
      <c r="J3" s="441"/>
      <c r="K3" s="441"/>
      <c r="L3" s="197"/>
      <c r="M3" s="197"/>
      <c r="N3" s="197"/>
      <c r="O3" s="197"/>
      <c r="P3" s="197"/>
      <c r="Q3" s="197"/>
    </row>
    <row r="4" spans="1:32" ht="12" customHeight="1">
      <c r="A4" s="163"/>
      <c r="B4" s="173" t="s">
        <v>177</v>
      </c>
      <c r="C4" s="93">
        <f ca="1">'Future Cashflows (10 Yrs)'!H28</f>
        <v>0.15587718954397167</v>
      </c>
      <c r="F4" s="109" t="s">
        <v>99</v>
      </c>
      <c r="G4" s="93">
        <f>'Risk Free Rate'!C4</f>
        <v>5.2759999999999994E-2</v>
      </c>
      <c r="H4" s="169"/>
      <c r="I4" s="169"/>
      <c r="J4" s="169"/>
      <c r="K4" s="174"/>
      <c r="L4" s="263"/>
      <c r="M4" s="263"/>
      <c r="N4" s="263"/>
      <c r="O4" s="263"/>
      <c r="P4" s="263"/>
      <c r="Q4" s="157"/>
      <c r="S4" s="160"/>
      <c r="T4" s="160"/>
      <c r="U4" s="160"/>
      <c r="V4" s="160"/>
      <c r="AA4" s="160"/>
    </row>
    <row r="5" spans="1:32" ht="12" customHeight="1">
      <c r="A5" s="163"/>
      <c r="B5" s="177" t="s">
        <v>164</v>
      </c>
      <c r="C5" s="251">
        <f ca="1">C3/C4</f>
        <v>0.25661227352778471</v>
      </c>
      <c r="F5" s="109" t="s">
        <v>14</v>
      </c>
      <c r="G5" s="93">
        <f>'Radico Khaitan ERP'!C16</f>
        <v>3.9743134629275478E-2</v>
      </c>
      <c r="H5" s="169"/>
      <c r="I5" s="169"/>
      <c r="J5" s="169"/>
      <c r="K5" s="174"/>
      <c r="L5" s="47"/>
      <c r="M5" s="47"/>
      <c r="N5" s="47"/>
      <c r="O5" s="47"/>
      <c r="P5" s="47"/>
      <c r="Q5" s="47"/>
      <c r="S5" s="161"/>
      <c r="T5" s="161"/>
      <c r="U5" s="161"/>
      <c r="V5" s="161"/>
      <c r="W5" s="161"/>
      <c r="X5" s="161"/>
      <c r="Y5" s="161"/>
      <c r="Z5" s="161"/>
      <c r="AA5" s="161"/>
      <c r="AB5" s="161"/>
      <c r="AC5" s="161"/>
      <c r="AD5" s="161"/>
      <c r="AE5" s="161"/>
      <c r="AF5" s="161"/>
    </row>
    <row r="6" spans="1:32" ht="12" customHeight="1">
      <c r="A6" s="163"/>
      <c r="B6" s="169"/>
      <c r="C6" s="169"/>
      <c r="F6" s="109" t="s">
        <v>198</v>
      </c>
      <c r="G6" s="138">
        <f ca="1">Beta!C10</f>
        <v>0.47009721073614202</v>
      </c>
      <c r="H6" s="254" t="s">
        <v>182</v>
      </c>
      <c r="I6" s="169"/>
      <c r="J6" s="169"/>
      <c r="K6" s="174"/>
      <c r="L6" s="190"/>
      <c r="M6" s="190"/>
      <c r="N6" s="190"/>
      <c r="O6" s="190"/>
      <c r="P6" s="190"/>
      <c r="Q6" s="190"/>
      <c r="S6" s="161"/>
      <c r="T6" s="161"/>
      <c r="U6" s="161"/>
      <c r="V6" s="161"/>
      <c r="W6" s="161"/>
      <c r="X6" s="161"/>
      <c r="Y6" s="161"/>
      <c r="Z6" s="161"/>
      <c r="AA6" s="161"/>
      <c r="AB6" s="161"/>
      <c r="AC6" s="161"/>
      <c r="AD6" s="161"/>
      <c r="AE6" s="161"/>
      <c r="AF6" s="161"/>
    </row>
    <row r="7" spans="1:32" ht="12" customHeight="1">
      <c r="B7" s="173" t="s">
        <v>178</v>
      </c>
      <c r="C7" s="146">
        <f ca="1">('Future Cashflows (10 Yrs)'!D14*(1+'Future Cashflows (10 Yrs)'!E14))*'Future Cashflows (10 Yrs)'!F14</f>
        <v>101282.06657176936</v>
      </c>
      <c r="F7" s="19"/>
      <c r="G7" s="19"/>
      <c r="H7" s="169"/>
      <c r="I7" s="169"/>
      <c r="J7" s="169"/>
      <c r="K7" s="169"/>
      <c r="N7" s="161"/>
      <c r="O7" s="161"/>
      <c r="P7" s="182"/>
      <c r="Q7" s="190"/>
      <c r="S7" s="161"/>
      <c r="T7" s="161"/>
      <c r="U7" s="161"/>
      <c r="V7" s="161"/>
      <c r="W7" s="161"/>
      <c r="X7" s="161"/>
      <c r="Y7" s="161"/>
      <c r="Z7" s="161"/>
      <c r="AA7" s="161"/>
      <c r="AB7" s="161"/>
      <c r="AC7" s="161"/>
      <c r="AD7" s="161"/>
      <c r="AE7" s="161"/>
      <c r="AF7" s="161"/>
    </row>
    <row r="8" spans="1:32" ht="12" customHeight="1">
      <c r="A8" s="163"/>
      <c r="B8" s="173" t="s">
        <v>179</v>
      </c>
      <c r="C8" s="93">
        <f>'Future Cashflows (10 Yrs)'!K3</f>
        <v>0.25169999999999998</v>
      </c>
      <c r="F8" s="109" t="s">
        <v>11</v>
      </c>
      <c r="G8" s="55">
        <f ca="1">G4+G6*G5</f>
        <v>7.1443136735133375E-2</v>
      </c>
      <c r="H8" s="169"/>
      <c r="I8" s="169"/>
      <c r="J8" s="169"/>
      <c r="K8" s="255"/>
      <c r="O8" s="161"/>
      <c r="P8" s="161"/>
      <c r="Q8" s="161"/>
      <c r="R8" s="161"/>
      <c r="S8" s="161"/>
      <c r="T8" s="161"/>
      <c r="U8" s="161"/>
      <c r="V8" s="161"/>
      <c r="W8" s="161"/>
      <c r="X8" s="161"/>
      <c r="Y8" s="161"/>
      <c r="Z8" s="161"/>
      <c r="AA8" s="161"/>
      <c r="AB8" s="161"/>
      <c r="AC8" s="161"/>
      <c r="AD8" s="161"/>
      <c r="AE8" s="161"/>
      <c r="AF8" s="161"/>
    </row>
    <row r="9" spans="1:32" ht="12" customHeight="1">
      <c r="A9" s="163"/>
      <c r="B9" s="177" t="s">
        <v>131</v>
      </c>
      <c r="C9" s="178">
        <f ca="1">C7*(1-C8)</f>
        <v>75789.370415655008</v>
      </c>
      <c r="F9" s="169"/>
      <c r="G9" s="169"/>
      <c r="H9" s="169"/>
      <c r="I9" s="169"/>
      <c r="J9" s="169"/>
      <c r="K9" s="232"/>
      <c r="O9" s="161"/>
      <c r="P9" s="161"/>
      <c r="Q9" s="161"/>
      <c r="R9" s="161"/>
      <c r="S9" s="161"/>
      <c r="T9" s="161"/>
      <c r="U9" s="161"/>
      <c r="V9" s="161"/>
      <c r="W9" s="161"/>
      <c r="X9" s="161"/>
      <c r="Y9" s="161"/>
      <c r="Z9" s="161"/>
      <c r="AA9" s="161"/>
      <c r="AB9" s="161"/>
      <c r="AC9" s="161"/>
      <c r="AD9" s="161"/>
      <c r="AE9" s="161"/>
      <c r="AF9" s="161"/>
    </row>
    <row r="10" spans="1:32">
      <c r="A10" s="159"/>
      <c r="B10" s="173"/>
      <c r="C10" s="259"/>
      <c r="F10" s="109" t="s">
        <v>102</v>
      </c>
      <c r="G10" s="95">
        <f>'Cost of Equity &amp; Debt'!C15</f>
        <v>3.4349999999999999E-2</v>
      </c>
      <c r="H10" s="169"/>
      <c r="I10" s="169"/>
      <c r="J10" s="189"/>
      <c r="K10" s="232"/>
      <c r="O10" s="161"/>
      <c r="P10" s="161"/>
      <c r="Q10" s="161"/>
      <c r="R10" s="161"/>
      <c r="S10" s="161"/>
      <c r="T10" s="161"/>
      <c r="U10" s="161"/>
      <c r="V10" s="161"/>
      <c r="W10" s="161"/>
      <c r="X10" s="161"/>
      <c r="Y10" s="161"/>
      <c r="Z10" s="161"/>
      <c r="AA10" s="161"/>
      <c r="AB10" s="161"/>
      <c r="AC10" s="161"/>
      <c r="AD10" s="161"/>
      <c r="AE10" s="161"/>
      <c r="AF10" s="161"/>
    </row>
    <row r="11" spans="1:32" ht="12.75" customHeight="1">
      <c r="A11" s="163"/>
      <c r="B11" s="173" t="s">
        <v>181</v>
      </c>
      <c r="C11" s="260">
        <f ca="1">C9*(1-C5)</f>
        <v>56340.887764054351</v>
      </c>
      <c r="F11" s="109" t="s">
        <v>101</v>
      </c>
      <c r="G11" s="138">
        <f>17.31/10.75</f>
        <v>1.6102325581395347</v>
      </c>
      <c r="H11" s="169"/>
      <c r="I11" s="169"/>
      <c r="J11" s="191"/>
      <c r="K11" s="232"/>
      <c r="O11" s="161"/>
      <c r="P11" s="161"/>
      <c r="Q11" s="161"/>
      <c r="R11" s="161"/>
      <c r="S11" s="161"/>
      <c r="T11" s="161"/>
      <c r="U11" s="161"/>
      <c r="V11" s="161"/>
      <c r="W11" s="161"/>
      <c r="X11" s="161"/>
      <c r="Y11" s="161"/>
      <c r="Z11" s="161"/>
      <c r="AA11" s="161"/>
      <c r="AB11" s="161"/>
      <c r="AC11" s="161"/>
      <c r="AD11" s="161"/>
      <c r="AE11" s="161"/>
      <c r="AF11" s="161"/>
    </row>
    <row r="12" spans="1:32">
      <c r="B12" s="232"/>
      <c r="C12" s="169"/>
      <c r="F12" s="109" t="s">
        <v>17</v>
      </c>
      <c r="G12" s="93">
        <f>'Risk Free Rate'!C8</f>
        <v>1.8700000000000001E-2</v>
      </c>
      <c r="H12" s="254"/>
      <c r="I12" s="169"/>
      <c r="J12" s="191"/>
      <c r="K12" s="232"/>
      <c r="L12" s="197"/>
      <c r="M12" s="197"/>
      <c r="N12" s="197"/>
      <c r="O12" s="197"/>
      <c r="P12" s="197"/>
      <c r="Q12" s="197"/>
      <c r="R12" s="161"/>
      <c r="S12" s="161"/>
      <c r="T12" s="161"/>
      <c r="U12" s="161"/>
      <c r="V12" s="161"/>
      <c r="W12" s="161"/>
      <c r="X12" s="161"/>
      <c r="Y12" s="161"/>
      <c r="Z12" s="161"/>
      <c r="AA12" s="161"/>
      <c r="AB12" s="161"/>
      <c r="AC12" s="161"/>
      <c r="AD12" s="161"/>
      <c r="AE12" s="161"/>
      <c r="AF12" s="161"/>
    </row>
    <row r="13" spans="1:32" ht="12" customHeight="1">
      <c r="A13" s="163"/>
      <c r="B13" s="51" t="s">
        <v>162</v>
      </c>
      <c r="C13" s="261">
        <f ca="1">C11/(G19-C3)</f>
        <v>1805983.9634445144</v>
      </c>
      <c r="D13" s="2"/>
      <c r="E13" s="6"/>
      <c r="F13" s="51" t="s">
        <v>241</v>
      </c>
      <c r="G13" s="93">
        <v>6.7000000000000002E-3</v>
      </c>
      <c r="H13" s="254" t="s">
        <v>186</v>
      </c>
      <c r="I13" s="169"/>
      <c r="J13" s="191"/>
      <c r="K13" s="232"/>
      <c r="O13" s="161"/>
      <c r="P13" s="161"/>
      <c r="Q13" s="161"/>
      <c r="R13" s="161"/>
      <c r="S13" s="161"/>
      <c r="T13" s="161"/>
      <c r="U13" s="161"/>
      <c r="V13" s="161"/>
      <c r="W13" s="161"/>
      <c r="X13" s="161"/>
      <c r="Y13" s="161"/>
      <c r="Z13" s="161"/>
      <c r="AA13" s="161"/>
      <c r="AB13" s="161"/>
      <c r="AC13" s="161"/>
      <c r="AD13" s="161"/>
      <c r="AE13" s="161"/>
      <c r="AF13" s="161"/>
    </row>
    <row r="14" spans="1:32">
      <c r="D14" s="2"/>
      <c r="E14" s="6"/>
      <c r="F14" s="31"/>
      <c r="G14" s="19"/>
      <c r="H14" s="169"/>
      <c r="I14" s="169"/>
      <c r="J14" s="191"/>
      <c r="K14" s="232"/>
      <c r="O14" s="161"/>
      <c r="P14" s="161"/>
      <c r="Q14" s="161"/>
      <c r="R14" s="161"/>
      <c r="S14" s="161"/>
      <c r="T14" s="161"/>
      <c r="U14" s="161"/>
      <c r="V14" s="161"/>
      <c r="W14" s="161"/>
      <c r="X14" s="161"/>
      <c r="Y14" s="161"/>
      <c r="Z14" s="161"/>
      <c r="AA14" s="161"/>
      <c r="AB14" s="161"/>
      <c r="AC14" s="161"/>
      <c r="AD14" s="161"/>
      <c r="AE14" s="161"/>
      <c r="AF14" s="161"/>
    </row>
    <row r="15" spans="1:32">
      <c r="D15" s="6"/>
      <c r="E15" s="6"/>
      <c r="F15" s="109" t="s">
        <v>12</v>
      </c>
      <c r="G15" s="55">
        <f>G10+(G11*G12)+G13</f>
        <v>7.1161348837209301E-2</v>
      </c>
      <c r="H15" s="169"/>
      <c r="I15" s="169"/>
      <c r="J15" s="191"/>
      <c r="K15" s="232"/>
      <c r="O15" s="161"/>
      <c r="P15" s="161"/>
      <c r="Q15" s="161"/>
      <c r="R15" s="161"/>
      <c r="S15" s="161"/>
      <c r="T15" s="161"/>
      <c r="U15" s="161"/>
      <c r="V15" s="161"/>
      <c r="W15" s="161"/>
      <c r="X15" s="161"/>
      <c r="Y15" s="161"/>
      <c r="Z15" s="161"/>
      <c r="AA15" s="161"/>
      <c r="AB15" s="161"/>
      <c r="AC15" s="161"/>
      <c r="AD15" s="161"/>
      <c r="AE15" s="161"/>
      <c r="AF15" s="161"/>
    </row>
    <row r="16" spans="1:32">
      <c r="B16" s="24"/>
      <c r="C16" s="77"/>
      <c r="D16" s="25"/>
      <c r="E16" s="6"/>
      <c r="F16" s="169"/>
      <c r="G16" s="169"/>
      <c r="H16" s="169"/>
      <c r="I16" s="169"/>
      <c r="J16" s="191"/>
      <c r="K16" s="232"/>
      <c r="O16" s="161"/>
      <c r="P16" s="161"/>
      <c r="Q16" s="161"/>
      <c r="R16" s="161"/>
      <c r="S16" s="161"/>
      <c r="T16" s="161"/>
      <c r="U16" s="161"/>
      <c r="V16" s="161"/>
      <c r="W16" s="161"/>
      <c r="X16" s="161"/>
      <c r="Y16" s="161"/>
      <c r="Z16" s="161"/>
      <c r="AA16" s="161"/>
      <c r="AB16" s="161"/>
      <c r="AC16" s="161"/>
      <c r="AD16" s="161"/>
      <c r="AE16" s="161"/>
      <c r="AF16" s="161"/>
    </row>
    <row r="17" spans="1:32">
      <c r="B17" s="24"/>
      <c r="C17" s="252"/>
      <c r="D17" s="6"/>
      <c r="E17" s="25"/>
      <c r="F17" s="173" t="s">
        <v>183</v>
      </c>
      <c r="G17" s="21">
        <f>WACC!$C$9/(WACC!$C$6+WACC!$C$9)</f>
        <v>1.3541115895786946E-2</v>
      </c>
      <c r="H17" s="169"/>
      <c r="I17" s="169"/>
      <c r="J17" s="191"/>
      <c r="K17" s="232"/>
      <c r="L17" s="161"/>
      <c r="O17" s="161"/>
      <c r="P17" s="161"/>
      <c r="Q17" s="161"/>
      <c r="R17" s="161"/>
      <c r="S17" s="161"/>
      <c r="T17" s="161"/>
      <c r="U17" s="161"/>
      <c r="V17" s="161"/>
      <c r="W17" s="161"/>
      <c r="X17" s="161"/>
      <c r="Y17" s="161"/>
      <c r="Z17" s="161"/>
      <c r="AA17" s="161"/>
      <c r="AB17" s="161"/>
      <c r="AC17" s="161"/>
      <c r="AD17" s="161"/>
      <c r="AE17" s="161"/>
      <c r="AF17" s="161"/>
    </row>
    <row r="18" spans="1:32">
      <c r="A18" s="163"/>
      <c r="B18" s="3"/>
      <c r="C18" s="3"/>
      <c r="D18" s="6"/>
      <c r="E18" s="6"/>
      <c r="F18" s="173" t="s">
        <v>184</v>
      </c>
      <c r="G18" s="256">
        <f>1-G17</f>
        <v>0.98645888410421301</v>
      </c>
      <c r="H18" s="169"/>
      <c r="I18" s="169"/>
      <c r="J18" s="191"/>
      <c r="K18" s="232"/>
      <c r="L18" s="161"/>
      <c r="M18" s="161"/>
      <c r="N18" s="161"/>
      <c r="O18" s="161"/>
      <c r="P18" s="161"/>
      <c r="Q18" s="161"/>
      <c r="R18" s="161"/>
      <c r="S18" s="161"/>
      <c r="T18" s="161"/>
      <c r="U18" s="161"/>
      <c r="V18" s="161"/>
      <c r="W18" s="161"/>
      <c r="X18" s="161"/>
      <c r="Y18" s="161"/>
      <c r="Z18" s="161"/>
      <c r="AA18" s="161"/>
      <c r="AB18" s="161"/>
      <c r="AC18" s="161"/>
      <c r="AD18" s="161"/>
      <c r="AE18" s="161"/>
      <c r="AF18" s="161"/>
    </row>
    <row r="19" spans="1:32">
      <c r="B19" s="24"/>
      <c r="C19" s="58"/>
      <c r="D19" s="6"/>
      <c r="E19" s="6"/>
      <c r="F19" s="258" t="s">
        <v>185</v>
      </c>
      <c r="G19" s="257">
        <f ca="1">(G8*G18)+(G15*(1-C8)*G17)</f>
        <v>7.1196781867651021E-2</v>
      </c>
      <c r="J19" s="195"/>
      <c r="K19" s="161"/>
      <c r="L19" s="161"/>
      <c r="M19" s="161"/>
      <c r="N19" s="161"/>
      <c r="O19" s="161"/>
      <c r="P19" s="161"/>
      <c r="Q19" s="161"/>
      <c r="R19" s="161"/>
      <c r="S19" s="161"/>
      <c r="T19" s="161"/>
      <c r="U19" s="161"/>
      <c r="V19" s="161"/>
      <c r="W19" s="161"/>
      <c r="X19" s="161"/>
      <c r="Y19" s="161"/>
      <c r="Z19" s="161"/>
      <c r="AA19" s="161"/>
      <c r="AB19" s="161"/>
      <c r="AC19" s="161"/>
      <c r="AD19" s="161"/>
      <c r="AE19" s="161"/>
      <c r="AF19" s="161"/>
    </row>
    <row r="20" spans="1:32">
      <c r="A20" s="163"/>
      <c r="B20" s="3"/>
      <c r="C20" s="3"/>
      <c r="D20" s="6"/>
      <c r="E20" s="6"/>
      <c r="L20" s="161"/>
      <c r="M20" s="161"/>
      <c r="N20" s="161"/>
      <c r="O20" s="161"/>
      <c r="P20" s="161"/>
      <c r="Q20" s="161"/>
      <c r="R20" s="161"/>
      <c r="S20" s="161"/>
      <c r="T20" s="161"/>
      <c r="U20" s="161"/>
      <c r="V20" s="161"/>
      <c r="W20" s="161"/>
      <c r="X20" s="161"/>
      <c r="Y20" s="161"/>
      <c r="Z20" s="161"/>
      <c r="AA20" s="161"/>
      <c r="AB20" s="161"/>
      <c r="AC20" s="161"/>
      <c r="AD20" s="161"/>
      <c r="AE20" s="161"/>
      <c r="AF20" s="161"/>
    </row>
    <row r="21" spans="1:32">
      <c r="B21" s="53"/>
      <c r="C21" s="3"/>
      <c r="D21" s="6"/>
      <c r="E21" s="25"/>
      <c r="L21" s="161"/>
      <c r="M21" s="161"/>
      <c r="N21" s="161"/>
      <c r="O21" s="161"/>
      <c r="P21" s="161"/>
      <c r="Q21" s="161"/>
      <c r="R21" s="161"/>
      <c r="S21" s="161"/>
      <c r="T21" s="161"/>
      <c r="U21" s="161"/>
      <c r="V21" s="161"/>
      <c r="W21" s="161"/>
      <c r="X21" s="161"/>
      <c r="Y21" s="161"/>
      <c r="Z21" s="161"/>
      <c r="AA21" s="161"/>
      <c r="AB21" s="161"/>
      <c r="AC21" s="161"/>
      <c r="AD21" s="161"/>
      <c r="AE21" s="161"/>
      <c r="AF21" s="161"/>
    </row>
    <row r="22" spans="1:32">
      <c r="B22" s="2"/>
      <c r="C22" s="2"/>
      <c r="D22" s="2"/>
      <c r="E22" s="2"/>
      <c r="L22" s="161"/>
      <c r="M22" s="161"/>
      <c r="N22" s="161"/>
      <c r="O22" s="161"/>
      <c r="P22" s="161"/>
      <c r="Q22" s="161"/>
      <c r="R22" s="161"/>
      <c r="S22" s="161"/>
      <c r="T22" s="161"/>
      <c r="U22" s="161"/>
      <c r="V22" s="161"/>
      <c r="W22" s="161"/>
      <c r="X22" s="161"/>
      <c r="Y22" s="161"/>
      <c r="Z22" s="161"/>
      <c r="AA22" s="161"/>
      <c r="AB22" s="161"/>
      <c r="AC22" s="161"/>
      <c r="AD22" s="161"/>
      <c r="AE22" s="161"/>
      <c r="AF22" s="161"/>
    </row>
    <row r="23" spans="1:32" ht="12" customHeight="1">
      <c r="B23" s="17"/>
      <c r="C23" s="3"/>
      <c r="D23" s="6"/>
      <c r="E23" s="6"/>
      <c r="L23" s="161"/>
      <c r="M23" s="161"/>
      <c r="N23" s="161"/>
      <c r="O23" s="161"/>
      <c r="P23" s="161"/>
      <c r="Q23" s="161"/>
      <c r="R23" s="161"/>
      <c r="S23" s="161"/>
      <c r="T23" s="161"/>
      <c r="U23" s="161"/>
      <c r="V23" s="161"/>
      <c r="W23" s="161"/>
      <c r="X23" s="161"/>
      <c r="Y23" s="161"/>
      <c r="Z23" s="161"/>
      <c r="AA23" s="161"/>
      <c r="AB23" s="161"/>
      <c r="AC23" s="161"/>
      <c r="AD23" s="161"/>
      <c r="AE23" s="161"/>
      <c r="AF23" s="161"/>
    </row>
    <row r="24" spans="1:32">
      <c r="B24" s="3"/>
      <c r="C24" s="3"/>
      <c r="D24" s="6"/>
      <c r="E24" s="6"/>
      <c r="L24" s="161"/>
      <c r="M24" s="161"/>
      <c r="N24" s="161"/>
      <c r="O24" s="161"/>
      <c r="P24" s="161"/>
      <c r="Q24" s="161"/>
      <c r="R24" s="161"/>
      <c r="S24" s="161"/>
      <c r="T24" s="161"/>
      <c r="U24" s="161"/>
      <c r="V24" s="161"/>
      <c r="W24" s="161"/>
      <c r="X24" s="161"/>
      <c r="Y24" s="161"/>
      <c r="Z24" s="161"/>
      <c r="AA24" s="161"/>
      <c r="AB24" s="161"/>
      <c r="AC24" s="161"/>
      <c r="AD24" s="161"/>
      <c r="AE24" s="161"/>
      <c r="AF24" s="161"/>
    </row>
    <row r="25" spans="1:32">
      <c r="D25" s="6"/>
      <c r="E25" s="6"/>
      <c r="L25" s="161"/>
      <c r="M25" s="161"/>
      <c r="N25" s="161"/>
      <c r="O25" s="161"/>
      <c r="P25" s="161"/>
      <c r="Q25" s="161"/>
      <c r="R25" s="161"/>
      <c r="S25" s="161"/>
      <c r="T25" s="161"/>
      <c r="U25" s="161"/>
      <c r="V25" s="161"/>
      <c r="W25" s="161"/>
      <c r="X25" s="161"/>
      <c r="Y25" s="161"/>
      <c r="Z25" s="161"/>
      <c r="AA25" s="161"/>
      <c r="AB25" s="161"/>
      <c r="AC25" s="161"/>
      <c r="AD25" s="161"/>
      <c r="AE25" s="161"/>
      <c r="AF25" s="161"/>
    </row>
    <row r="26" spans="1:32">
      <c r="D26" s="6"/>
      <c r="E26" s="6"/>
      <c r="L26" s="161"/>
      <c r="M26" s="161"/>
      <c r="N26" s="161"/>
      <c r="O26" s="161"/>
      <c r="P26" s="161"/>
      <c r="Q26" s="161"/>
      <c r="R26" s="161"/>
      <c r="S26" s="161"/>
      <c r="T26" s="161"/>
      <c r="U26" s="161"/>
      <c r="V26" s="161"/>
      <c r="W26" s="161"/>
      <c r="X26" s="161"/>
      <c r="Y26" s="161"/>
      <c r="Z26" s="161"/>
      <c r="AA26" s="161"/>
      <c r="AB26" s="161"/>
      <c r="AC26" s="161"/>
      <c r="AD26" s="161"/>
      <c r="AE26" s="161"/>
      <c r="AF26" s="161"/>
    </row>
    <row r="27" spans="1:32">
      <c r="D27" s="25"/>
      <c r="E27" s="25"/>
      <c r="L27" s="161"/>
      <c r="M27" s="161"/>
      <c r="N27" s="161"/>
      <c r="O27" s="161"/>
      <c r="P27" s="161"/>
      <c r="Q27" s="161"/>
      <c r="R27" s="161"/>
      <c r="S27" s="161"/>
      <c r="T27" s="161"/>
      <c r="U27" s="161"/>
      <c r="V27" s="161"/>
      <c r="W27" s="161"/>
      <c r="X27" s="161"/>
      <c r="Y27" s="161"/>
      <c r="Z27" s="161"/>
      <c r="AA27" s="161"/>
      <c r="AB27" s="161"/>
      <c r="AC27" s="161"/>
      <c r="AD27" s="161"/>
      <c r="AE27" s="161"/>
      <c r="AF27" s="161"/>
    </row>
    <row r="28" spans="1:32">
      <c r="D28" s="6"/>
      <c r="E28" s="6"/>
      <c r="L28" s="161"/>
      <c r="M28" s="161"/>
      <c r="N28" s="161"/>
      <c r="O28" s="161"/>
      <c r="P28" s="161"/>
      <c r="Q28" s="161"/>
      <c r="R28" s="161"/>
      <c r="S28" s="161"/>
      <c r="T28" s="161"/>
      <c r="U28" s="161"/>
      <c r="V28" s="161"/>
      <c r="W28" s="161"/>
      <c r="X28" s="161"/>
      <c r="Y28" s="161"/>
      <c r="Z28" s="161"/>
      <c r="AA28" s="161"/>
      <c r="AB28" s="161"/>
      <c r="AC28" s="161"/>
      <c r="AD28" s="161"/>
      <c r="AE28" s="161"/>
      <c r="AF28" s="161"/>
    </row>
    <row r="29" spans="1:32">
      <c r="D29" s="6"/>
      <c r="E29" s="6"/>
      <c r="K29" s="161"/>
      <c r="L29" s="161"/>
      <c r="M29" s="161"/>
      <c r="N29" s="161"/>
      <c r="O29" s="161"/>
      <c r="P29" s="161"/>
      <c r="Q29" s="161"/>
      <c r="R29" s="161"/>
      <c r="S29" s="161"/>
      <c r="T29" s="161"/>
      <c r="U29" s="161"/>
      <c r="V29" s="161"/>
      <c r="W29" s="161"/>
      <c r="X29" s="161"/>
      <c r="Y29" s="161"/>
      <c r="Z29" s="161"/>
      <c r="AA29" s="161"/>
      <c r="AB29" s="161"/>
      <c r="AC29" s="161"/>
      <c r="AD29" s="161"/>
      <c r="AE29" s="161"/>
      <c r="AF29" s="161"/>
    </row>
    <row r="30" spans="1:32" ht="14.25" customHeight="1">
      <c r="D30" s="6"/>
      <c r="E30" s="6"/>
      <c r="K30" s="161"/>
      <c r="L30" s="161"/>
      <c r="M30" s="161"/>
      <c r="N30" s="161"/>
      <c r="O30" s="161"/>
      <c r="P30" s="161"/>
      <c r="Q30" s="161"/>
      <c r="R30" s="161"/>
      <c r="S30" s="161"/>
      <c r="T30" s="161"/>
      <c r="U30" s="161"/>
      <c r="V30" s="161"/>
      <c r="W30" s="161"/>
      <c r="X30" s="161"/>
      <c r="Y30" s="161"/>
      <c r="Z30" s="161"/>
      <c r="AA30" s="161"/>
      <c r="AB30" s="161"/>
      <c r="AC30" s="161"/>
      <c r="AD30" s="161"/>
      <c r="AE30" s="161"/>
      <c r="AF30" s="161"/>
    </row>
    <row r="31" spans="1:32">
      <c r="B31" s="24"/>
      <c r="C31" s="24"/>
      <c r="D31" s="25"/>
      <c r="E31" s="25"/>
      <c r="G31" s="161"/>
      <c r="H31" s="161"/>
      <c r="I31" s="161"/>
      <c r="J31" s="161"/>
      <c r="K31" s="161"/>
      <c r="L31" s="161"/>
      <c r="M31" s="161"/>
      <c r="N31" s="161"/>
      <c r="O31" s="161"/>
      <c r="P31" s="161"/>
      <c r="Q31" s="161"/>
      <c r="R31" s="161"/>
      <c r="S31" s="161"/>
      <c r="T31" s="161"/>
      <c r="U31" s="161"/>
      <c r="V31" s="161"/>
      <c r="W31" s="161"/>
      <c r="X31" s="161"/>
      <c r="Y31" s="161"/>
      <c r="Z31" s="161"/>
      <c r="AA31" s="161"/>
      <c r="AB31" s="161"/>
      <c r="AC31" s="161"/>
      <c r="AD31" s="161"/>
      <c r="AE31" s="161"/>
      <c r="AF31" s="161"/>
    </row>
    <row r="32" spans="1:32">
      <c r="B32" s="53"/>
      <c r="C32" s="3"/>
      <c r="D32" s="3"/>
      <c r="E32" s="3"/>
      <c r="G32" s="161"/>
      <c r="H32" s="161"/>
      <c r="I32" s="161"/>
      <c r="J32" s="161"/>
      <c r="K32" s="161"/>
      <c r="L32" s="161"/>
      <c r="M32" s="161"/>
      <c r="N32" s="161"/>
      <c r="O32" s="161"/>
      <c r="P32" s="161"/>
      <c r="Q32" s="161"/>
      <c r="R32" s="161"/>
      <c r="S32" s="161"/>
      <c r="T32" s="161"/>
      <c r="U32" s="161"/>
      <c r="V32" s="161"/>
      <c r="W32" s="161"/>
      <c r="X32" s="161"/>
      <c r="Y32" s="161"/>
      <c r="Z32" s="161"/>
      <c r="AA32" s="161"/>
      <c r="AB32" s="161"/>
      <c r="AC32" s="161"/>
      <c r="AD32" s="161"/>
      <c r="AE32" s="161"/>
      <c r="AF32" s="161"/>
    </row>
    <row r="33" spans="7:32">
      <c r="G33" s="161"/>
      <c r="H33" s="161"/>
      <c r="I33" s="161"/>
      <c r="J33" s="161"/>
      <c r="K33" s="161"/>
      <c r="L33" s="161"/>
      <c r="M33" s="161"/>
      <c r="N33" s="161"/>
      <c r="O33" s="161"/>
      <c r="P33" s="161"/>
      <c r="Q33" s="161"/>
      <c r="R33" s="161"/>
      <c r="S33" s="161"/>
      <c r="T33" s="161"/>
      <c r="U33" s="161"/>
      <c r="V33" s="161"/>
      <c r="W33" s="161"/>
      <c r="X33" s="161"/>
      <c r="Y33" s="161"/>
      <c r="Z33" s="161"/>
      <c r="AA33" s="161"/>
      <c r="AB33" s="161"/>
      <c r="AC33" s="161"/>
      <c r="AD33" s="161"/>
      <c r="AE33" s="161"/>
      <c r="AF33" s="161"/>
    </row>
    <row r="34" spans="7:32">
      <c r="G34" s="161"/>
      <c r="H34" s="161"/>
      <c r="I34" s="161"/>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row>
    <row r="35" spans="7:32">
      <c r="G35" s="161"/>
      <c r="H35" s="161"/>
      <c r="I35" s="161"/>
      <c r="J35" s="161"/>
      <c r="K35" s="161"/>
      <c r="L35" s="161"/>
      <c r="M35" s="161"/>
      <c r="N35" s="161"/>
      <c r="O35" s="161"/>
      <c r="P35" s="161"/>
      <c r="Q35" s="161"/>
      <c r="R35" s="161"/>
      <c r="S35" s="161"/>
      <c r="T35" s="161"/>
      <c r="U35" s="161"/>
      <c r="V35" s="161"/>
      <c r="W35" s="161"/>
      <c r="X35" s="161"/>
      <c r="Y35" s="161"/>
      <c r="Z35" s="161"/>
      <c r="AA35" s="161"/>
      <c r="AB35" s="161"/>
      <c r="AC35" s="161"/>
      <c r="AD35" s="161"/>
      <c r="AE35" s="161"/>
      <c r="AF35" s="161"/>
    </row>
    <row r="36" spans="7:32">
      <c r="G36" s="161"/>
      <c r="H36" s="161"/>
      <c r="I36" s="161"/>
      <c r="J36" s="161"/>
      <c r="K36" s="161"/>
      <c r="L36" s="161"/>
      <c r="M36" s="161"/>
      <c r="N36" s="161"/>
      <c r="O36" s="161"/>
      <c r="P36" s="161"/>
      <c r="Q36" s="161"/>
      <c r="R36" s="161"/>
      <c r="S36" s="161"/>
      <c r="T36" s="161"/>
      <c r="U36" s="161"/>
      <c r="V36" s="161"/>
      <c r="W36" s="161"/>
      <c r="X36" s="161"/>
      <c r="Y36" s="161"/>
      <c r="Z36" s="161"/>
      <c r="AA36" s="161"/>
      <c r="AB36" s="161"/>
      <c r="AC36" s="161"/>
      <c r="AD36" s="161"/>
      <c r="AE36" s="161"/>
      <c r="AF36" s="161"/>
    </row>
    <row r="37" spans="7:32">
      <c r="G37" s="161"/>
      <c r="H37" s="161"/>
      <c r="I37" s="161"/>
      <c r="J37" s="161"/>
      <c r="K37" s="161"/>
      <c r="L37" s="161"/>
      <c r="M37" s="161"/>
      <c r="N37" s="161"/>
      <c r="O37" s="161"/>
      <c r="P37" s="161"/>
      <c r="Q37" s="161"/>
      <c r="R37" s="161"/>
      <c r="S37" s="161"/>
      <c r="T37" s="161"/>
      <c r="U37" s="161"/>
      <c r="V37" s="161"/>
      <c r="W37" s="161"/>
      <c r="X37" s="161"/>
      <c r="Y37" s="161"/>
      <c r="Z37" s="161"/>
      <c r="AA37" s="161"/>
      <c r="AB37" s="161"/>
      <c r="AC37" s="161"/>
      <c r="AD37" s="161"/>
      <c r="AE37" s="161"/>
      <c r="AF37" s="161"/>
    </row>
    <row r="38" spans="7:32">
      <c r="G38" s="161"/>
      <c r="H38" s="161"/>
      <c r="I38" s="161"/>
      <c r="J38" s="161"/>
      <c r="K38" s="161"/>
      <c r="L38" s="161"/>
      <c r="M38" s="161"/>
      <c r="N38" s="161"/>
      <c r="O38" s="161"/>
      <c r="P38" s="161"/>
      <c r="Q38" s="161"/>
      <c r="R38" s="161"/>
      <c r="S38" s="161"/>
      <c r="T38" s="161"/>
      <c r="U38" s="161"/>
      <c r="V38" s="161"/>
      <c r="W38" s="161"/>
      <c r="X38" s="161"/>
      <c r="Y38" s="161"/>
      <c r="Z38" s="161"/>
      <c r="AA38" s="161"/>
      <c r="AB38" s="161"/>
      <c r="AC38" s="161"/>
      <c r="AD38" s="161"/>
      <c r="AE38" s="161"/>
      <c r="AF38" s="161"/>
    </row>
  </sheetData>
  <mergeCells count="1">
    <mergeCell ref="F3:K3"/>
  </mergeCell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6" t="s">
        <v>217</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56" customWidth="1"/>
    <col min="2" max="2" width="39.42578125" style="156" bestFit="1" customWidth="1"/>
    <col min="3" max="3" width="13" style="156" customWidth="1"/>
    <col min="4" max="4" width="4.28515625" style="156" customWidth="1"/>
    <col min="5" max="5" width="10.7109375" style="156" customWidth="1"/>
    <col min="6" max="6" width="16.85546875" style="156" customWidth="1"/>
    <col min="7" max="7" width="10.140625" style="156" customWidth="1" collapsed="1"/>
    <col min="8" max="9" width="10.42578125" style="156" customWidth="1"/>
    <col min="10" max="10" width="9.140625" style="156" customWidth="1"/>
    <col min="11" max="11" width="9" style="156" customWidth="1"/>
    <col min="12" max="12" width="9.85546875" style="156" customWidth="1"/>
    <col min="13" max="26" width="9.140625" style="156" customWidth="1"/>
    <col min="27" max="27" width="9.28515625" style="156" customWidth="1"/>
    <col min="28" max="28" width="9.42578125" style="156" customWidth="1"/>
    <col min="29" max="29" width="10" style="156" customWidth="1"/>
    <col min="30" max="30" width="11.42578125" style="156" customWidth="1"/>
    <col min="31" max="31" width="9.42578125" style="156" bestFit="1" customWidth="1" collapsed="1"/>
    <col min="32" max="16384" width="9.140625" style="156"/>
  </cols>
  <sheetData>
    <row r="1" spans="1:32" s="155" customFormat="1" ht="15" customHeight="1">
      <c r="B1" s="17" t="s">
        <v>192</v>
      </c>
      <c r="C1" s="154"/>
      <c r="D1" s="154"/>
      <c r="E1" s="154"/>
      <c r="F1" s="154"/>
      <c r="G1" s="154"/>
      <c r="H1" s="154"/>
      <c r="I1" s="154"/>
      <c r="J1" s="154"/>
      <c r="K1" s="154"/>
      <c r="L1" s="154"/>
    </row>
    <row r="2" spans="1:32" ht="12" customHeight="1">
      <c r="C2" s="182"/>
    </row>
    <row r="3" spans="1:32" ht="12" customHeight="1">
      <c r="A3" s="158"/>
      <c r="B3" s="169"/>
      <c r="C3" s="272" t="s">
        <v>258</v>
      </c>
      <c r="D3" s="262"/>
      <c r="E3" s="165"/>
      <c r="F3" s="157"/>
      <c r="G3" s="197"/>
      <c r="H3" s="197"/>
      <c r="I3" s="197"/>
      <c r="J3" s="197"/>
      <c r="K3" s="197"/>
      <c r="L3" s="197"/>
      <c r="M3" s="197"/>
      <c r="N3" s="197"/>
      <c r="O3" s="197"/>
      <c r="P3" s="197"/>
      <c r="Q3" s="197"/>
    </row>
    <row r="4" spans="1:32" ht="12" customHeight="1">
      <c r="A4" s="163"/>
      <c r="B4" s="173" t="s">
        <v>193</v>
      </c>
      <c r="C4" s="271">
        <v>10124.129999999999</v>
      </c>
      <c r="D4" s="267"/>
      <c r="E4" s="269"/>
      <c r="F4" s="268"/>
      <c r="G4" s="263"/>
      <c r="H4" s="263"/>
      <c r="I4" s="263"/>
      <c r="J4" s="263"/>
      <c r="K4" s="263"/>
      <c r="L4" s="263"/>
      <c r="M4" s="263"/>
      <c r="N4" s="263"/>
      <c r="O4" s="263"/>
      <c r="P4" s="263"/>
      <c r="Q4" s="157"/>
      <c r="S4" s="160"/>
      <c r="T4" s="160"/>
      <c r="U4" s="160"/>
      <c r="V4" s="160"/>
      <c r="AA4" s="160"/>
    </row>
    <row r="5" spans="1:32" ht="12" customHeight="1">
      <c r="A5" s="163"/>
      <c r="B5" s="173" t="s">
        <v>194</v>
      </c>
      <c r="C5" s="271">
        <v>889.6</v>
      </c>
      <c r="D5" s="267"/>
      <c r="E5" s="267"/>
      <c r="F5" s="267"/>
      <c r="G5" s="47"/>
      <c r="H5" s="47"/>
      <c r="I5" s="47"/>
      <c r="J5" s="190"/>
      <c r="K5" s="47"/>
      <c r="L5" s="47"/>
      <c r="M5" s="47"/>
      <c r="N5" s="47"/>
      <c r="O5" s="47"/>
      <c r="P5" s="47"/>
      <c r="Q5" s="47"/>
      <c r="S5" s="161"/>
      <c r="T5" s="161"/>
      <c r="U5" s="161"/>
      <c r="V5" s="161"/>
      <c r="W5" s="161"/>
      <c r="X5" s="161"/>
      <c r="Y5" s="161"/>
      <c r="Z5" s="161"/>
      <c r="AA5" s="161"/>
      <c r="AB5" s="161"/>
      <c r="AC5" s="161"/>
      <c r="AD5" s="161"/>
      <c r="AE5" s="161"/>
      <c r="AF5" s="161"/>
    </row>
    <row r="6" spans="1:32" ht="12" customHeight="1">
      <c r="A6" s="163"/>
      <c r="B6" s="177" t="s">
        <v>242</v>
      </c>
      <c r="C6" s="178">
        <f>C4+C5</f>
        <v>11013.73</v>
      </c>
      <c r="D6" s="267"/>
      <c r="E6" s="267"/>
      <c r="F6" s="267"/>
      <c r="G6" s="190"/>
      <c r="H6" s="190"/>
      <c r="I6" s="190"/>
      <c r="J6" s="190"/>
      <c r="K6" s="190"/>
      <c r="L6" s="190"/>
      <c r="M6" s="190"/>
      <c r="N6" s="190"/>
      <c r="O6" s="190"/>
      <c r="P6" s="190"/>
      <c r="Q6" s="190"/>
      <c r="S6" s="161"/>
      <c r="T6" s="161"/>
      <c r="U6" s="161"/>
      <c r="V6" s="161"/>
      <c r="W6" s="161"/>
      <c r="X6" s="161"/>
      <c r="Y6" s="161"/>
      <c r="Z6" s="161"/>
      <c r="AA6" s="161"/>
      <c r="AB6" s="161"/>
      <c r="AC6" s="161"/>
      <c r="AD6" s="161"/>
      <c r="AE6" s="161"/>
      <c r="AF6" s="161"/>
    </row>
    <row r="7" spans="1:32" ht="12" customHeight="1">
      <c r="B7" s="173"/>
      <c r="C7" s="270"/>
      <c r="D7" s="267"/>
      <c r="E7" s="267"/>
      <c r="F7" s="267"/>
      <c r="G7" s="190"/>
      <c r="I7" s="159"/>
      <c r="J7" s="183"/>
      <c r="N7" s="161"/>
      <c r="O7" s="161"/>
      <c r="P7" s="182"/>
      <c r="Q7" s="190"/>
      <c r="S7" s="161"/>
      <c r="T7" s="161"/>
      <c r="U7" s="161"/>
      <c r="V7" s="161"/>
      <c r="W7" s="161"/>
      <c r="X7" s="161"/>
      <c r="Y7" s="161"/>
      <c r="Z7" s="161"/>
      <c r="AA7" s="161"/>
      <c r="AB7" s="161"/>
      <c r="AC7" s="161"/>
      <c r="AD7" s="161"/>
      <c r="AE7" s="161"/>
      <c r="AF7" s="161"/>
    </row>
    <row r="8" spans="1:32" ht="12" customHeight="1">
      <c r="A8" s="163"/>
      <c r="B8" s="173" t="s">
        <v>195</v>
      </c>
      <c r="C8" s="216">
        <f>'Expected Growth Rate'!C9</f>
        <v>0.11443351055862966</v>
      </c>
      <c r="D8" s="267"/>
      <c r="E8" s="267"/>
      <c r="F8" s="267"/>
      <c r="G8" s="249"/>
      <c r="H8" s="190"/>
      <c r="J8" s="245"/>
      <c r="K8" s="246"/>
      <c r="O8" s="161"/>
      <c r="P8" s="161"/>
      <c r="Q8" s="161"/>
      <c r="R8" s="161"/>
      <c r="S8" s="161"/>
      <c r="T8" s="161"/>
      <c r="U8" s="161"/>
      <c r="V8" s="161"/>
      <c r="W8" s="161"/>
      <c r="X8" s="161"/>
      <c r="Y8" s="161"/>
      <c r="Z8" s="161"/>
      <c r="AA8" s="161"/>
      <c r="AB8" s="161"/>
      <c r="AC8" s="161"/>
      <c r="AD8" s="161"/>
      <c r="AE8" s="161"/>
      <c r="AF8" s="161"/>
    </row>
    <row r="9" spans="1:32" ht="12" customHeight="1">
      <c r="A9" s="163"/>
      <c r="B9" s="173" t="s">
        <v>10</v>
      </c>
      <c r="C9" s="216">
        <f ca="1">WACC!C13</f>
        <v>7.1230220163832916E-2</v>
      </c>
      <c r="D9" s="267"/>
      <c r="E9" s="267"/>
      <c r="F9" s="267"/>
      <c r="G9" s="249"/>
      <c r="H9" s="190"/>
      <c r="J9" s="159"/>
      <c r="K9" s="183"/>
      <c r="O9" s="161"/>
      <c r="P9" s="161"/>
      <c r="Q9" s="161"/>
      <c r="R9" s="161"/>
      <c r="S9" s="161"/>
      <c r="T9" s="161"/>
      <c r="U9" s="161"/>
      <c r="V9" s="161"/>
      <c r="W9" s="161"/>
      <c r="X9" s="161"/>
      <c r="Y9" s="161"/>
      <c r="Z9" s="161"/>
      <c r="AA9" s="161"/>
      <c r="AB9" s="161"/>
      <c r="AC9" s="161"/>
      <c r="AD9" s="161"/>
      <c r="AE9" s="161"/>
      <c r="AF9" s="161"/>
    </row>
    <row r="10" spans="1:32">
      <c r="A10" s="159"/>
      <c r="B10" s="177" t="s">
        <v>243</v>
      </c>
      <c r="C10" s="273">
        <f ca="1">C8-C9</f>
        <v>4.3203290394796742E-2</v>
      </c>
      <c r="D10" s="267"/>
      <c r="E10" s="267"/>
      <c r="F10" s="267"/>
      <c r="G10" s="197"/>
      <c r="H10" s="197"/>
      <c r="I10" s="197"/>
      <c r="J10" s="197"/>
      <c r="K10" s="197"/>
      <c r="O10" s="161"/>
      <c r="P10" s="161"/>
      <c r="Q10" s="161"/>
      <c r="R10" s="161"/>
      <c r="S10" s="161"/>
      <c r="T10" s="161"/>
      <c r="U10" s="161"/>
      <c r="V10" s="161"/>
      <c r="W10" s="161"/>
      <c r="X10" s="161"/>
      <c r="Y10" s="161"/>
      <c r="Z10" s="161"/>
      <c r="AA10" s="161"/>
      <c r="AB10" s="161"/>
      <c r="AC10" s="161"/>
      <c r="AD10" s="161"/>
      <c r="AE10" s="161"/>
      <c r="AF10" s="161"/>
    </row>
    <row r="11" spans="1:32" ht="12.75" customHeight="1">
      <c r="A11" s="163"/>
      <c r="D11" s="267"/>
      <c r="E11" s="267"/>
      <c r="F11" s="267"/>
      <c r="G11" s="77"/>
      <c r="K11" s="183"/>
      <c r="O11" s="161"/>
      <c r="P11" s="161"/>
      <c r="Q11" s="161"/>
      <c r="R11" s="161"/>
      <c r="S11" s="161"/>
      <c r="T11" s="161"/>
      <c r="U11" s="161"/>
      <c r="V11" s="161"/>
      <c r="W11" s="161"/>
      <c r="X11" s="161"/>
      <c r="Y11" s="161"/>
      <c r="Z11" s="161"/>
      <c r="AA11" s="161"/>
      <c r="AB11" s="161"/>
      <c r="AC11" s="161"/>
      <c r="AD11" s="161"/>
      <c r="AE11" s="161"/>
      <c r="AF11" s="161"/>
    </row>
    <row r="12" spans="1:32">
      <c r="B12" s="173" t="s">
        <v>196</v>
      </c>
      <c r="C12" s="180">
        <f ca="1">C6*(1+C10)</f>
        <v>11489.559375519884</v>
      </c>
      <c r="D12" s="267"/>
      <c r="E12" s="267"/>
      <c r="F12" s="267"/>
      <c r="G12" s="77"/>
      <c r="K12" s="183"/>
      <c r="L12" s="197"/>
      <c r="M12" s="197"/>
      <c r="N12" s="197"/>
      <c r="O12" s="197"/>
      <c r="P12" s="197"/>
      <c r="Q12" s="197"/>
      <c r="R12" s="161"/>
      <c r="S12" s="161"/>
      <c r="T12" s="161"/>
      <c r="U12" s="161"/>
      <c r="V12" s="161"/>
      <c r="W12" s="161"/>
      <c r="X12" s="161"/>
      <c r="Y12" s="161"/>
      <c r="Z12" s="161"/>
      <c r="AA12" s="161"/>
      <c r="AB12" s="161"/>
      <c r="AC12" s="161"/>
      <c r="AD12" s="161"/>
      <c r="AE12" s="161"/>
      <c r="AF12" s="161"/>
    </row>
    <row r="13" spans="1:32" ht="12" customHeight="1">
      <c r="A13" s="163"/>
      <c r="D13" s="267"/>
      <c r="E13" s="267"/>
      <c r="F13" s="267"/>
      <c r="G13" s="252"/>
      <c r="H13" s="164"/>
      <c r="K13" s="183"/>
      <c r="O13" s="161"/>
      <c r="P13" s="161"/>
      <c r="Q13" s="161"/>
      <c r="R13" s="161"/>
      <c r="S13" s="161"/>
      <c r="T13" s="161"/>
      <c r="U13" s="161"/>
      <c r="V13" s="161"/>
      <c r="W13" s="161"/>
      <c r="X13" s="161"/>
      <c r="Y13" s="161"/>
      <c r="Z13" s="161"/>
      <c r="AA13" s="161"/>
      <c r="AB13" s="161"/>
      <c r="AC13" s="161"/>
      <c r="AD13" s="161"/>
      <c r="AE13" s="161"/>
      <c r="AF13" s="161"/>
    </row>
    <row r="14" spans="1:32">
      <c r="D14" s="267"/>
      <c r="E14" s="267"/>
      <c r="F14" s="267"/>
      <c r="G14" s="3"/>
      <c r="O14" s="161"/>
      <c r="P14" s="161"/>
      <c r="Q14" s="161"/>
      <c r="R14" s="161"/>
      <c r="S14" s="161"/>
      <c r="T14" s="161"/>
      <c r="U14" s="161"/>
      <c r="V14" s="161"/>
      <c r="W14" s="161"/>
      <c r="X14" s="161"/>
      <c r="Y14" s="161"/>
      <c r="Z14" s="161"/>
      <c r="AA14" s="161"/>
      <c r="AB14" s="161"/>
      <c r="AC14" s="161"/>
      <c r="AD14" s="161"/>
      <c r="AE14" s="161"/>
      <c r="AF14" s="161"/>
    </row>
    <row r="15" spans="1:32">
      <c r="D15" s="267"/>
      <c r="E15" s="267"/>
      <c r="F15" s="267"/>
      <c r="G15" s="58"/>
      <c r="K15" s="247"/>
      <c r="O15" s="161"/>
      <c r="P15" s="161"/>
      <c r="Q15" s="161"/>
      <c r="R15" s="161"/>
      <c r="S15" s="161"/>
      <c r="T15" s="161"/>
      <c r="U15" s="161"/>
      <c r="V15" s="161"/>
      <c r="W15" s="161"/>
      <c r="X15" s="161"/>
      <c r="Y15" s="161"/>
      <c r="Z15" s="161"/>
      <c r="AA15" s="161"/>
      <c r="AB15" s="161"/>
      <c r="AC15" s="161"/>
      <c r="AD15" s="161"/>
      <c r="AE15" s="161"/>
      <c r="AF15" s="161"/>
    </row>
    <row r="16" spans="1:32">
      <c r="D16" s="267"/>
      <c r="E16" s="267"/>
      <c r="F16" s="267"/>
      <c r="K16" s="161"/>
      <c r="O16" s="161"/>
      <c r="P16" s="161"/>
      <c r="Q16" s="161"/>
      <c r="R16" s="161"/>
      <c r="S16" s="161"/>
      <c r="T16" s="161"/>
      <c r="U16" s="161"/>
      <c r="V16" s="161"/>
      <c r="W16" s="161"/>
      <c r="X16" s="161"/>
      <c r="Y16" s="161"/>
      <c r="Z16" s="161"/>
      <c r="AA16" s="161"/>
      <c r="AB16" s="161"/>
      <c r="AC16" s="161"/>
      <c r="AD16" s="161"/>
      <c r="AE16" s="161"/>
      <c r="AF16" s="161"/>
    </row>
    <row r="17" spans="1:32">
      <c r="D17" s="267"/>
      <c r="E17" s="267"/>
      <c r="F17" s="267"/>
      <c r="G17" s="84"/>
      <c r="J17" s="165"/>
      <c r="K17" s="161"/>
      <c r="L17" s="161"/>
      <c r="O17" s="161"/>
      <c r="P17" s="161"/>
      <c r="Q17" s="161"/>
      <c r="R17" s="161"/>
      <c r="S17" s="161"/>
      <c r="T17" s="161"/>
      <c r="U17" s="161"/>
      <c r="V17" s="161"/>
      <c r="W17" s="161"/>
      <c r="X17" s="161"/>
      <c r="Y17" s="161"/>
      <c r="Z17" s="161"/>
      <c r="AA17" s="161"/>
      <c r="AB17" s="161"/>
      <c r="AC17" s="161"/>
      <c r="AD17" s="161"/>
      <c r="AE17" s="161"/>
      <c r="AF17" s="161"/>
    </row>
    <row r="18" spans="1:32">
      <c r="A18" s="163"/>
      <c r="B18" s="159"/>
      <c r="C18" s="267"/>
      <c r="D18" s="267"/>
      <c r="E18" s="267"/>
      <c r="F18" s="267"/>
      <c r="G18" s="252"/>
      <c r="J18" s="190"/>
      <c r="K18" s="161"/>
      <c r="L18" s="161"/>
      <c r="M18" s="161"/>
      <c r="N18" s="161"/>
      <c r="O18" s="161"/>
      <c r="P18" s="161"/>
      <c r="Q18" s="161"/>
      <c r="R18" s="161"/>
      <c r="S18" s="161"/>
      <c r="T18" s="161"/>
      <c r="U18" s="161"/>
      <c r="V18" s="161"/>
      <c r="W18" s="161"/>
      <c r="X18" s="161"/>
      <c r="Y18" s="161"/>
      <c r="Z18" s="161"/>
      <c r="AA18" s="161"/>
      <c r="AB18" s="161"/>
      <c r="AC18" s="161"/>
      <c r="AD18" s="161"/>
      <c r="AE18" s="161"/>
      <c r="AF18" s="161"/>
    </row>
    <row r="19" spans="1:32">
      <c r="C19" s="267"/>
      <c r="D19" s="267"/>
      <c r="E19" s="267"/>
      <c r="F19" s="267"/>
      <c r="G19" s="77"/>
      <c r="H19" s="164"/>
      <c r="J19" s="190"/>
      <c r="K19" s="161"/>
      <c r="L19" s="161"/>
      <c r="M19" s="161"/>
      <c r="N19" s="161"/>
      <c r="O19" s="161"/>
      <c r="P19" s="161"/>
      <c r="Q19" s="161"/>
      <c r="R19" s="161"/>
      <c r="S19" s="161"/>
      <c r="T19" s="161"/>
      <c r="U19" s="161"/>
      <c r="V19" s="161"/>
      <c r="W19" s="161"/>
      <c r="X19" s="161"/>
      <c r="Y19" s="161"/>
      <c r="Z19" s="161"/>
      <c r="AA19" s="161"/>
      <c r="AB19" s="161"/>
      <c r="AC19" s="161"/>
      <c r="AD19" s="161"/>
      <c r="AE19" s="161"/>
      <c r="AF19" s="161"/>
    </row>
    <row r="20" spans="1:32">
      <c r="A20" s="163"/>
      <c r="C20" s="267"/>
      <c r="D20" s="267"/>
      <c r="E20" s="267"/>
      <c r="F20" s="267"/>
      <c r="G20" s="77"/>
      <c r="H20" s="164"/>
      <c r="J20" s="190"/>
      <c r="K20" s="161"/>
      <c r="L20" s="161"/>
      <c r="M20" s="161"/>
      <c r="N20" s="161"/>
      <c r="O20" s="161"/>
      <c r="P20" s="161"/>
      <c r="Q20" s="161"/>
      <c r="R20" s="161"/>
      <c r="S20" s="161"/>
      <c r="T20" s="161"/>
      <c r="U20" s="161"/>
      <c r="V20" s="161"/>
      <c r="W20" s="161"/>
      <c r="X20" s="161"/>
      <c r="Y20" s="161"/>
      <c r="Z20" s="161"/>
      <c r="AA20" s="161"/>
      <c r="AB20" s="161"/>
      <c r="AC20" s="161"/>
      <c r="AD20" s="161"/>
      <c r="AE20" s="161"/>
      <c r="AF20" s="161"/>
    </row>
    <row r="21" spans="1:32">
      <c r="C21" s="267"/>
      <c r="D21" s="267"/>
      <c r="E21" s="267"/>
      <c r="F21" s="267"/>
      <c r="G21" s="3"/>
      <c r="J21" s="190"/>
      <c r="K21" s="161"/>
      <c r="L21" s="161"/>
      <c r="M21" s="161"/>
      <c r="N21" s="161"/>
      <c r="O21" s="161"/>
      <c r="P21" s="161"/>
      <c r="Q21" s="161"/>
      <c r="R21" s="161"/>
      <c r="S21" s="161"/>
      <c r="T21" s="161"/>
      <c r="U21" s="161"/>
      <c r="V21" s="161"/>
      <c r="W21" s="161"/>
      <c r="X21" s="161"/>
      <c r="Y21" s="161"/>
      <c r="Z21" s="161"/>
      <c r="AA21" s="161"/>
      <c r="AB21" s="161"/>
      <c r="AC21" s="161"/>
      <c r="AD21" s="161"/>
      <c r="AE21" s="161"/>
      <c r="AF21" s="161"/>
    </row>
    <row r="22" spans="1:32">
      <c r="E22" s="3"/>
      <c r="F22" s="24"/>
      <c r="G22" s="58"/>
      <c r="J22" s="190"/>
      <c r="K22" s="161"/>
      <c r="L22" s="161"/>
      <c r="M22" s="161"/>
      <c r="N22" s="161"/>
      <c r="O22" s="161"/>
      <c r="P22" s="161"/>
      <c r="Q22" s="161"/>
      <c r="R22" s="161"/>
      <c r="S22" s="161"/>
      <c r="T22" s="161"/>
      <c r="U22" s="161"/>
      <c r="V22" s="161"/>
      <c r="W22" s="161"/>
      <c r="X22" s="161"/>
      <c r="Y22" s="161"/>
      <c r="Z22" s="161"/>
      <c r="AA22" s="161"/>
      <c r="AB22" s="161"/>
      <c r="AC22" s="161"/>
      <c r="AD22" s="161"/>
      <c r="AE22" s="161"/>
      <c r="AF22" s="161"/>
    </row>
    <row r="23" spans="1:32" ht="12" customHeight="1">
      <c r="E23" s="6"/>
      <c r="J23" s="190"/>
      <c r="K23" s="161"/>
      <c r="L23" s="161"/>
      <c r="M23" s="161"/>
      <c r="N23" s="161"/>
      <c r="O23" s="161"/>
      <c r="P23" s="161"/>
      <c r="Q23" s="161"/>
      <c r="R23" s="161"/>
      <c r="S23" s="161"/>
      <c r="T23" s="161"/>
      <c r="U23" s="161"/>
      <c r="V23" s="161"/>
      <c r="W23" s="161"/>
      <c r="X23" s="161"/>
      <c r="Y23" s="161"/>
      <c r="Z23" s="161"/>
      <c r="AA23" s="161"/>
      <c r="AB23" s="161"/>
      <c r="AC23" s="161"/>
      <c r="AD23" s="161"/>
      <c r="AE23" s="161"/>
      <c r="AF23" s="161"/>
    </row>
    <row r="24" spans="1:32">
      <c r="E24" s="6"/>
      <c r="F24" s="159"/>
      <c r="G24" s="20"/>
      <c r="J24" s="190"/>
      <c r="K24" s="161"/>
      <c r="L24" s="161"/>
      <c r="M24" s="161"/>
      <c r="N24" s="161"/>
      <c r="O24" s="161"/>
      <c r="P24" s="161"/>
      <c r="Q24" s="161"/>
      <c r="R24" s="161"/>
      <c r="S24" s="161"/>
      <c r="T24" s="161"/>
      <c r="U24" s="161"/>
      <c r="V24" s="161"/>
      <c r="W24" s="161"/>
      <c r="X24" s="161"/>
      <c r="Y24" s="161"/>
      <c r="Z24" s="161"/>
      <c r="AA24" s="161"/>
      <c r="AB24" s="161"/>
      <c r="AC24" s="161"/>
      <c r="AD24" s="161"/>
      <c r="AE24" s="161"/>
      <c r="AF24" s="161"/>
    </row>
    <row r="25" spans="1:32">
      <c r="E25" s="6"/>
      <c r="F25" s="159"/>
      <c r="G25" s="264"/>
      <c r="J25" s="190"/>
      <c r="K25" s="161"/>
      <c r="L25" s="161"/>
      <c r="M25" s="161"/>
      <c r="N25" s="161"/>
      <c r="O25" s="161"/>
      <c r="P25" s="161"/>
      <c r="Q25" s="161"/>
      <c r="R25" s="161"/>
      <c r="S25" s="161"/>
      <c r="T25" s="161"/>
      <c r="U25" s="161"/>
      <c r="V25" s="161"/>
      <c r="W25" s="161"/>
      <c r="X25" s="161"/>
      <c r="Y25" s="161"/>
      <c r="Z25" s="161"/>
      <c r="AA25" s="161"/>
      <c r="AB25" s="161"/>
      <c r="AC25" s="161"/>
      <c r="AD25" s="161"/>
      <c r="AE25" s="161"/>
      <c r="AF25" s="161"/>
    </row>
    <row r="26" spans="1:32">
      <c r="D26" s="6"/>
      <c r="E26" s="6"/>
      <c r="F26" s="159"/>
      <c r="G26" s="77"/>
      <c r="J26" s="195"/>
      <c r="K26" s="161"/>
      <c r="L26" s="161"/>
      <c r="M26" s="161"/>
      <c r="N26" s="161"/>
      <c r="O26" s="161"/>
      <c r="P26" s="161"/>
      <c r="Q26" s="161"/>
      <c r="R26" s="161"/>
      <c r="S26" s="161"/>
      <c r="T26" s="161"/>
      <c r="U26" s="161"/>
      <c r="V26" s="161"/>
      <c r="W26" s="161"/>
      <c r="X26" s="161"/>
      <c r="Y26" s="161"/>
      <c r="Z26" s="161"/>
      <c r="AA26" s="161"/>
      <c r="AB26" s="161"/>
      <c r="AC26" s="161"/>
      <c r="AD26" s="161"/>
      <c r="AE26" s="161"/>
      <c r="AF26" s="161"/>
    </row>
    <row r="27" spans="1:32">
      <c r="D27" s="25"/>
      <c r="E27" s="25"/>
      <c r="L27" s="161"/>
      <c r="M27" s="161"/>
      <c r="N27" s="161"/>
      <c r="O27" s="161"/>
      <c r="P27" s="161"/>
      <c r="Q27" s="161"/>
      <c r="R27" s="161"/>
      <c r="S27" s="161"/>
      <c r="T27" s="161"/>
      <c r="U27" s="161"/>
      <c r="V27" s="161"/>
      <c r="W27" s="161"/>
      <c r="X27" s="161"/>
      <c r="Y27" s="161"/>
      <c r="Z27" s="161"/>
      <c r="AA27" s="161"/>
      <c r="AB27" s="161"/>
      <c r="AC27" s="161"/>
      <c r="AD27" s="161"/>
      <c r="AE27" s="161"/>
      <c r="AF27" s="161"/>
    </row>
    <row r="28" spans="1:32">
      <c r="D28" s="6"/>
      <c r="E28" s="6"/>
      <c r="L28" s="161"/>
      <c r="M28" s="161"/>
      <c r="N28" s="161"/>
      <c r="O28" s="161"/>
      <c r="P28" s="161"/>
      <c r="Q28" s="161"/>
      <c r="R28" s="161"/>
      <c r="S28" s="161"/>
      <c r="T28" s="161"/>
      <c r="U28" s="161"/>
      <c r="V28" s="161"/>
      <c r="W28" s="161"/>
      <c r="X28" s="161"/>
      <c r="Y28" s="161"/>
      <c r="Z28" s="161"/>
      <c r="AA28" s="161"/>
      <c r="AB28" s="161"/>
      <c r="AC28" s="161"/>
      <c r="AD28" s="161"/>
      <c r="AE28" s="161"/>
      <c r="AF28" s="161"/>
    </row>
    <row r="29" spans="1:32">
      <c r="D29" s="6"/>
      <c r="E29" s="6"/>
      <c r="K29" s="161"/>
      <c r="L29" s="161"/>
      <c r="M29" s="161"/>
      <c r="N29" s="161"/>
      <c r="O29" s="161"/>
      <c r="P29" s="161"/>
      <c r="Q29" s="161"/>
      <c r="R29" s="161"/>
      <c r="S29" s="161"/>
      <c r="T29" s="161"/>
      <c r="U29" s="161"/>
      <c r="V29" s="161"/>
      <c r="W29" s="161"/>
      <c r="X29" s="161"/>
      <c r="Y29" s="161"/>
      <c r="Z29" s="161"/>
      <c r="AA29" s="161"/>
      <c r="AB29" s="161"/>
      <c r="AC29" s="161"/>
      <c r="AD29" s="161"/>
      <c r="AE29" s="161"/>
      <c r="AF29" s="161"/>
    </row>
    <row r="30" spans="1:32" ht="14.25" customHeight="1">
      <c r="D30" s="6"/>
      <c r="E30" s="6"/>
      <c r="K30" s="161"/>
      <c r="L30" s="161"/>
      <c r="M30" s="161"/>
      <c r="N30" s="161"/>
      <c r="O30" s="161"/>
      <c r="P30" s="161"/>
      <c r="Q30" s="161"/>
      <c r="R30" s="161"/>
      <c r="S30" s="161"/>
      <c r="T30" s="161"/>
      <c r="U30" s="161"/>
      <c r="V30" s="161"/>
      <c r="W30" s="161"/>
      <c r="X30" s="161"/>
      <c r="Y30" s="161"/>
      <c r="Z30" s="161"/>
      <c r="AA30" s="161"/>
      <c r="AB30" s="161"/>
      <c r="AC30" s="161"/>
      <c r="AD30" s="161"/>
      <c r="AE30" s="161"/>
      <c r="AF30" s="161"/>
    </row>
    <row r="31" spans="1:32">
      <c r="D31" s="25"/>
      <c r="E31" s="25"/>
      <c r="G31" s="161"/>
      <c r="H31" s="161"/>
      <c r="I31" s="161"/>
      <c r="J31" s="161"/>
      <c r="K31" s="161"/>
      <c r="L31" s="161"/>
      <c r="M31" s="161"/>
      <c r="N31" s="161"/>
      <c r="O31" s="161"/>
      <c r="P31" s="161"/>
      <c r="Q31" s="161"/>
      <c r="R31" s="161"/>
      <c r="S31" s="161"/>
      <c r="T31" s="161"/>
      <c r="U31" s="161"/>
      <c r="V31" s="161"/>
      <c r="W31" s="161"/>
      <c r="X31" s="161"/>
      <c r="Y31" s="161"/>
      <c r="Z31" s="161"/>
      <c r="AA31" s="161"/>
      <c r="AB31" s="161"/>
      <c r="AC31" s="161"/>
      <c r="AD31" s="161"/>
      <c r="AE31" s="161"/>
      <c r="AF31" s="161"/>
    </row>
    <row r="32" spans="1:32">
      <c r="D32" s="3"/>
      <c r="E32" s="3"/>
      <c r="G32" s="161"/>
      <c r="H32" s="161"/>
      <c r="I32" s="161"/>
      <c r="J32" s="161"/>
      <c r="K32" s="161"/>
      <c r="L32" s="161"/>
      <c r="M32" s="161"/>
      <c r="N32" s="161"/>
      <c r="O32" s="161"/>
      <c r="P32" s="161"/>
      <c r="Q32" s="161"/>
      <c r="R32" s="161"/>
      <c r="S32" s="161"/>
      <c r="T32" s="161"/>
      <c r="U32" s="161"/>
      <c r="V32" s="161"/>
      <c r="W32" s="161"/>
      <c r="X32" s="161"/>
      <c r="Y32" s="161"/>
      <c r="Z32" s="161"/>
      <c r="AA32" s="161"/>
      <c r="AB32" s="161"/>
      <c r="AC32" s="161"/>
      <c r="AD32" s="161"/>
      <c r="AE32" s="161"/>
      <c r="AF32" s="161"/>
    </row>
    <row r="33" spans="4:32">
      <c r="G33" s="161"/>
      <c r="H33" s="161"/>
      <c r="I33" s="161"/>
      <c r="J33" s="161"/>
      <c r="K33" s="161"/>
      <c r="L33" s="161"/>
      <c r="M33" s="161"/>
      <c r="N33" s="161"/>
      <c r="O33" s="161"/>
      <c r="P33" s="161"/>
      <c r="Q33" s="161"/>
      <c r="R33" s="161"/>
      <c r="S33" s="161"/>
      <c r="T33" s="161"/>
      <c r="U33" s="161"/>
      <c r="V33" s="161"/>
      <c r="W33" s="161"/>
      <c r="X33" s="161"/>
      <c r="Y33" s="161"/>
      <c r="Z33" s="161"/>
      <c r="AA33" s="161"/>
      <c r="AB33" s="161"/>
      <c r="AC33" s="161"/>
      <c r="AD33" s="161"/>
      <c r="AE33" s="161"/>
      <c r="AF33" s="161"/>
    </row>
    <row r="34" spans="4:32">
      <c r="D34" s="24"/>
      <c r="E34" s="24"/>
      <c r="G34" s="161"/>
      <c r="H34" s="161"/>
      <c r="I34" s="161"/>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row>
    <row r="35" spans="4:32">
      <c r="D35" s="53"/>
      <c r="E35" s="3"/>
      <c r="G35" s="161"/>
      <c r="H35" s="161"/>
      <c r="I35" s="161"/>
      <c r="J35" s="161"/>
      <c r="K35" s="161"/>
      <c r="L35" s="161"/>
      <c r="M35" s="161"/>
      <c r="N35" s="161"/>
      <c r="O35" s="161"/>
      <c r="P35" s="161"/>
      <c r="Q35" s="161"/>
      <c r="R35" s="161"/>
      <c r="S35" s="161"/>
      <c r="T35" s="161"/>
      <c r="U35" s="161"/>
      <c r="V35" s="161"/>
      <c r="W35" s="161"/>
      <c r="X35" s="161"/>
      <c r="Y35" s="161"/>
      <c r="Z35" s="161"/>
      <c r="AA35" s="161"/>
      <c r="AB35" s="161"/>
      <c r="AC35" s="161"/>
      <c r="AD35" s="161"/>
      <c r="AE35" s="161"/>
      <c r="AF35" s="161"/>
    </row>
    <row r="36" spans="4:32">
      <c r="G36" s="161"/>
      <c r="H36" s="161"/>
      <c r="I36" s="161"/>
      <c r="J36" s="161"/>
      <c r="K36" s="161"/>
      <c r="L36" s="161"/>
      <c r="M36" s="161"/>
      <c r="N36" s="161"/>
      <c r="O36" s="161"/>
      <c r="P36" s="161"/>
      <c r="Q36" s="161"/>
      <c r="R36" s="161"/>
      <c r="S36" s="161"/>
      <c r="T36" s="161"/>
      <c r="U36" s="161"/>
      <c r="V36" s="161"/>
      <c r="W36" s="161"/>
      <c r="X36" s="161"/>
      <c r="Y36" s="161"/>
      <c r="Z36" s="161"/>
      <c r="AA36" s="161"/>
      <c r="AB36" s="161"/>
      <c r="AC36" s="161"/>
      <c r="AD36" s="161"/>
      <c r="AE36" s="161"/>
      <c r="AF36" s="161"/>
    </row>
    <row r="37" spans="4:32">
      <c r="G37" s="161"/>
      <c r="H37" s="161"/>
      <c r="I37" s="161"/>
      <c r="J37" s="161"/>
      <c r="K37" s="161"/>
      <c r="L37" s="161"/>
      <c r="M37" s="161"/>
      <c r="N37" s="161"/>
      <c r="O37" s="161"/>
      <c r="P37" s="161"/>
      <c r="Q37" s="161"/>
      <c r="R37" s="161"/>
      <c r="S37" s="161"/>
      <c r="T37" s="161"/>
      <c r="U37" s="161"/>
      <c r="V37" s="161"/>
      <c r="W37" s="161"/>
      <c r="X37" s="161"/>
      <c r="Y37" s="161"/>
      <c r="Z37" s="161"/>
      <c r="AA37" s="161"/>
      <c r="AB37" s="161"/>
      <c r="AC37" s="161"/>
      <c r="AD37" s="161"/>
      <c r="AE37" s="161"/>
      <c r="AF37" s="161"/>
    </row>
    <row r="38" spans="4:32">
      <c r="G38" s="161"/>
      <c r="H38" s="161"/>
      <c r="I38" s="161"/>
      <c r="J38" s="161"/>
      <c r="K38" s="161"/>
      <c r="L38" s="161"/>
      <c r="M38" s="161"/>
      <c r="N38" s="161"/>
      <c r="O38" s="161"/>
      <c r="P38" s="161"/>
      <c r="Q38" s="161"/>
      <c r="R38" s="161"/>
      <c r="S38" s="161"/>
      <c r="T38" s="161"/>
      <c r="U38" s="161"/>
      <c r="V38" s="161"/>
      <c r="W38" s="161"/>
      <c r="X38" s="161"/>
      <c r="Y38" s="161"/>
      <c r="Z38" s="161"/>
      <c r="AA38" s="161"/>
      <c r="AB38" s="161"/>
      <c r="AC38" s="161"/>
      <c r="AD38" s="161"/>
      <c r="AE38" s="161"/>
      <c r="AF38" s="161"/>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56" customWidth="1"/>
    <col min="2" max="2" width="36.85546875" style="156" customWidth="1"/>
    <col min="3" max="3" width="14.28515625" style="156" customWidth="1"/>
    <col min="4" max="4" width="12.140625" style="156" customWidth="1"/>
    <col min="5" max="5" width="24.85546875" style="156" customWidth="1"/>
    <col min="6" max="6" width="17.28515625" style="156" customWidth="1"/>
    <col min="7" max="7" width="20.28515625" style="156" customWidth="1" collapsed="1"/>
    <col min="8" max="8" width="21.42578125" style="156" customWidth="1"/>
    <col min="9" max="9" width="19.140625" style="156" customWidth="1"/>
    <col min="10" max="10" width="9.140625" style="156" customWidth="1"/>
    <col min="11" max="11" width="9" style="156" customWidth="1"/>
    <col min="12" max="12" width="9.85546875" style="156" customWidth="1"/>
    <col min="13" max="26" width="9.140625" style="156" customWidth="1"/>
    <col min="27" max="27" width="9.28515625" style="156" customWidth="1"/>
    <col min="28" max="28" width="9.42578125" style="156" customWidth="1"/>
    <col min="29" max="29" width="10" style="156" customWidth="1"/>
    <col min="30" max="30" width="11.42578125" style="156" customWidth="1"/>
    <col min="31" max="31" width="9.42578125" style="156" bestFit="1" customWidth="1" collapsed="1"/>
    <col min="32" max="16384" width="9.140625" style="156"/>
  </cols>
  <sheetData>
    <row r="1" spans="1:32" s="155" customFormat="1" ht="15" customHeight="1">
      <c r="B1" s="17" t="s">
        <v>204</v>
      </c>
      <c r="C1" s="154"/>
      <c r="D1" s="154"/>
      <c r="E1" s="154"/>
      <c r="F1" s="154"/>
      <c r="G1" s="154"/>
      <c r="H1" s="154"/>
      <c r="I1" s="154"/>
      <c r="J1" s="154"/>
      <c r="K1" s="154"/>
      <c r="L1" s="154"/>
    </row>
    <row r="2" spans="1:32" ht="12" customHeight="1">
      <c r="C2" s="182"/>
    </row>
    <row r="3" spans="1:32" ht="12" customHeight="1">
      <c r="A3" s="158"/>
      <c r="B3" s="245"/>
      <c r="C3" s="262"/>
      <c r="F3" s="197"/>
      <c r="G3" s="197"/>
      <c r="H3" s="197"/>
      <c r="I3" s="197"/>
      <c r="J3" s="197"/>
      <c r="K3" s="197"/>
      <c r="L3" s="197"/>
      <c r="M3" s="197"/>
      <c r="N3" s="197"/>
      <c r="O3" s="197"/>
      <c r="P3" s="197"/>
      <c r="Q3" s="197"/>
    </row>
    <row r="4" spans="1:32" ht="12" customHeight="1">
      <c r="A4" s="163"/>
      <c r="B4" s="213" t="s">
        <v>187</v>
      </c>
      <c r="C4" s="266" t="s">
        <v>188</v>
      </c>
      <c r="D4" s="212" t="s">
        <v>189</v>
      </c>
      <c r="E4" s="212" t="s">
        <v>191</v>
      </c>
      <c r="F4" s="212" t="s">
        <v>415</v>
      </c>
      <c r="G4" s="212" t="s">
        <v>414</v>
      </c>
      <c r="H4" s="212" t="s">
        <v>413</v>
      </c>
      <c r="I4" s="263"/>
      <c r="J4" s="263"/>
      <c r="K4" s="263"/>
      <c r="L4" s="263"/>
      <c r="M4" s="263"/>
      <c r="N4" s="263"/>
      <c r="O4" s="263"/>
      <c r="P4" s="157"/>
      <c r="R4" s="160"/>
      <c r="S4" s="160"/>
      <c r="T4" s="160"/>
      <c r="U4" s="160"/>
      <c r="Z4" s="160"/>
    </row>
    <row r="5" spans="1:32" ht="12" customHeight="1">
      <c r="A5" s="163"/>
      <c r="B5" s="173" t="s">
        <v>403</v>
      </c>
      <c r="C5" s="95" t="s">
        <v>190</v>
      </c>
      <c r="D5" s="265">
        <v>1</v>
      </c>
      <c r="E5" s="170"/>
      <c r="F5" s="146"/>
      <c r="G5" s="214"/>
      <c r="H5" s="146"/>
      <c r="I5" s="190"/>
      <c r="J5" s="47"/>
      <c r="K5" s="47"/>
      <c r="L5" s="47"/>
      <c r="M5" s="47"/>
      <c r="N5" s="47"/>
      <c r="O5" s="47"/>
      <c r="P5" s="47"/>
      <c r="R5" s="161"/>
      <c r="S5" s="161"/>
      <c r="T5" s="161"/>
      <c r="U5" s="161"/>
      <c r="V5" s="161"/>
      <c r="W5" s="161"/>
      <c r="X5" s="161"/>
      <c r="Y5" s="161"/>
      <c r="Z5" s="161"/>
      <c r="AA5" s="161"/>
      <c r="AB5" s="161"/>
      <c r="AC5" s="161"/>
      <c r="AD5" s="161"/>
      <c r="AE5" s="161"/>
    </row>
    <row r="6" spans="1:32" ht="12" customHeight="1">
      <c r="A6" s="163"/>
      <c r="B6" s="173" t="s">
        <v>404</v>
      </c>
      <c r="C6" s="95" t="s">
        <v>190</v>
      </c>
      <c r="D6" s="265">
        <v>1</v>
      </c>
      <c r="E6" s="170"/>
      <c r="F6" s="191"/>
      <c r="G6" s="191"/>
      <c r="H6" s="191"/>
      <c r="I6" s="190"/>
      <c r="J6" s="190"/>
      <c r="K6" s="190"/>
      <c r="L6" s="190"/>
      <c r="M6" s="190"/>
      <c r="N6" s="190"/>
      <c r="O6" s="190"/>
      <c r="P6" s="190"/>
      <c r="R6" s="161"/>
      <c r="S6" s="161"/>
      <c r="T6" s="161"/>
      <c r="U6" s="161"/>
      <c r="V6" s="161"/>
      <c r="W6" s="161"/>
      <c r="X6" s="161"/>
      <c r="Y6" s="161"/>
      <c r="Z6" s="161"/>
      <c r="AA6" s="161"/>
      <c r="AB6" s="161"/>
      <c r="AC6" s="161"/>
      <c r="AD6" s="161"/>
      <c r="AE6" s="161"/>
    </row>
    <row r="7" spans="1:32" ht="12" customHeight="1">
      <c r="B7" s="173" t="s">
        <v>405</v>
      </c>
      <c r="C7" s="95" t="s">
        <v>190</v>
      </c>
      <c r="D7" s="265">
        <v>1</v>
      </c>
      <c r="E7" s="170"/>
      <c r="F7" s="191"/>
      <c r="G7" s="169"/>
      <c r="H7" s="173"/>
      <c r="I7" s="183"/>
      <c r="M7" s="161"/>
      <c r="N7" s="161"/>
      <c r="O7" s="182"/>
      <c r="P7" s="190"/>
      <c r="R7" s="161"/>
      <c r="S7" s="161"/>
      <c r="T7" s="161"/>
      <c r="U7" s="161"/>
      <c r="V7" s="161"/>
      <c r="W7" s="161"/>
      <c r="X7" s="161"/>
      <c r="Y7" s="161"/>
      <c r="Z7" s="161"/>
      <c r="AA7" s="161"/>
      <c r="AB7" s="161"/>
      <c r="AC7" s="161"/>
      <c r="AD7" s="161"/>
      <c r="AE7" s="161"/>
    </row>
    <row r="8" spans="1:32" ht="12" customHeight="1">
      <c r="A8" s="163"/>
      <c r="B8" s="173" t="s">
        <v>406</v>
      </c>
      <c r="C8" s="95" t="s">
        <v>190</v>
      </c>
      <c r="D8" s="265">
        <v>1</v>
      </c>
      <c r="E8" s="169"/>
      <c r="F8" s="413"/>
      <c r="G8" s="191"/>
      <c r="H8" s="169"/>
      <c r="I8" s="245"/>
      <c r="J8" s="246"/>
      <c r="N8" s="161"/>
      <c r="O8" s="161"/>
      <c r="P8" s="161"/>
      <c r="Q8" s="161"/>
      <c r="R8" s="161"/>
      <c r="S8" s="161"/>
      <c r="T8" s="161"/>
      <c r="U8" s="161"/>
      <c r="V8" s="161"/>
      <c r="W8" s="161"/>
      <c r="X8" s="161"/>
      <c r="Y8" s="161"/>
      <c r="Z8" s="161"/>
      <c r="AA8" s="161"/>
      <c r="AB8" s="161"/>
      <c r="AC8" s="161"/>
      <c r="AD8" s="161"/>
      <c r="AE8" s="161"/>
    </row>
    <row r="9" spans="1:32" ht="12" customHeight="1">
      <c r="A9" s="163"/>
      <c r="B9" s="173" t="s">
        <v>407</v>
      </c>
      <c r="C9" s="95" t="s">
        <v>190</v>
      </c>
      <c r="D9" s="265">
        <v>1</v>
      </c>
      <c r="E9" s="208"/>
      <c r="F9" s="413"/>
      <c r="G9" s="191"/>
      <c r="H9" s="169"/>
      <c r="I9" s="159"/>
      <c r="J9" s="183"/>
      <c r="N9" s="161"/>
      <c r="O9" s="161"/>
      <c r="P9" s="161"/>
      <c r="Q9" s="161"/>
      <c r="R9" s="161"/>
      <c r="S9" s="161"/>
      <c r="T9" s="161"/>
      <c r="U9" s="161"/>
      <c r="V9" s="161"/>
      <c r="W9" s="161"/>
      <c r="X9" s="161"/>
      <c r="Y9" s="161"/>
      <c r="Z9" s="161"/>
      <c r="AA9" s="161"/>
      <c r="AB9" s="161"/>
      <c r="AC9" s="161"/>
      <c r="AD9" s="161"/>
      <c r="AE9" s="161"/>
    </row>
    <row r="10" spans="1:32">
      <c r="A10" s="159"/>
      <c r="B10" s="173" t="s">
        <v>408</v>
      </c>
      <c r="C10" s="95" t="s">
        <v>190</v>
      </c>
      <c r="D10" s="265">
        <v>1</v>
      </c>
      <c r="E10" s="208"/>
      <c r="F10" s="414"/>
      <c r="G10" s="414"/>
      <c r="H10" s="414"/>
      <c r="I10" s="197"/>
      <c r="J10" s="197"/>
      <c r="N10" s="161"/>
      <c r="O10" s="161"/>
      <c r="P10" s="161"/>
      <c r="Q10" s="161"/>
      <c r="R10" s="161"/>
      <c r="S10" s="161"/>
      <c r="T10" s="161"/>
      <c r="U10" s="161"/>
      <c r="V10" s="161"/>
      <c r="W10" s="161"/>
      <c r="X10" s="161"/>
      <c r="Y10" s="161"/>
      <c r="Z10" s="161"/>
      <c r="AA10" s="161"/>
      <c r="AB10" s="161"/>
      <c r="AC10" s="161"/>
      <c r="AD10" s="161"/>
      <c r="AE10" s="161"/>
    </row>
    <row r="11" spans="1:32" ht="12.75" customHeight="1">
      <c r="A11" s="163"/>
      <c r="B11" s="173" t="s">
        <v>409</v>
      </c>
      <c r="C11" s="95" t="s">
        <v>190</v>
      </c>
      <c r="D11" s="265">
        <v>1</v>
      </c>
      <c r="E11" s="18"/>
      <c r="F11" s="93"/>
      <c r="G11" s="415"/>
      <c r="H11" s="169"/>
      <c r="J11" s="183"/>
      <c r="N11" s="161"/>
      <c r="O11" s="161"/>
      <c r="P11" s="161"/>
      <c r="Q11" s="161"/>
      <c r="R11" s="161"/>
      <c r="S11" s="161"/>
      <c r="T11" s="161"/>
      <c r="U11" s="161"/>
      <c r="V11" s="161"/>
      <c r="W11" s="161"/>
      <c r="X11" s="161"/>
      <c r="Y11" s="161"/>
      <c r="Z11" s="161"/>
      <c r="AA11" s="161"/>
      <c r="AB11" s="161"/>
      <c r="AC11" s="161"/>
      <c r="AD11" s="161"/>
      <c r="AE11" s="161"/>
    </row>
    <row r="12" spans="1:32">
      <c r="B12" s="173" t="s">
        <v>410</v>
      </c>
      <c r="C12" s="95" t="s">
        <v>190</v>
      </c>
      <c r="D12" s="265">
        <v>1</v>
      </c>
      <c r="E12" s="169"/>
      <c r="F12" s="93"/>
      <c r="G12" s="169"/>
      <c r="H12" s="169"/>
      <c r="J12" s="183"/>
      <c r="K12" s="197"/>
      <c r="L12" s="197"/>
      <c r="M12" s="197"/>
      <c r="N12" s="197"/>
      <c r="O12" s="197"/>
      <c r="P12" s="197"/>
      <c r="Q12" s="161"/>
      <c r="R12" s="161"/>
      <c r="S12" s="161"/>
      <c r="T12" s="161"/>
      <c r="U12" s="161"/>
      <c r="V12" s="161"/>
      <c r="W12" s="161"/>
      <c r="X12" s="161"/>
      <c r="Y12" s="161"/>
      <c r="Z12" s="161"/>
      <c r="AA12" s="161"/>
      <c r="AB12" s="161"/>
      <c r="AC12" s="161"/>
      <c r="AD12" s="161"/>
      <c r="AE12" s="161"/>
    </row>
    <row r="13" spans="1:32" ht="12" customHeight="1">
      <c r="A13" s="163"/>
      <c r="B13" s="303"/>
      <c r="C13" s="304"/>
      <c r="D13" s="305"/>
      <c r="E13" s="356"/>
      <c r="F13" s="410"/>
      <c r="G13" s="411"/>
      <c r="H13" s="307"/>
      <c r="J13" s="183"/>
      <c r="N13" s="161"/>
      <c r="O13" s="161"/>
      <c r="P13" s="161"/>
      <c r="Q13" s="161"/>
      <c r="R13" s="161"/>
      <c r="S13" s="161"/>
      <c r="T13" s="161"/>
      <c r="U13" s="161"/>
      <c r="V13" s="161"/>
      <c r="W13" s="161"/>
      <c r="X13" s="161"/>
      <c r="Y13" s="161"/>
      <c r="Z13" s="161"/>
      <c r="AA13" s="161"/>
      <c r="AB13" s="161"/>
      <c r="AC13" s="161"/>
      <c r="AD13" s="161"/>
      <c r="AE13" s="161"/>
    </row>
    <row r="14" spans="1:32">
      <c r="B14" s="409" t="s">
        <v>411</v>
      </c>
      <c r="C14" s="304" t="s">
        <v>412</v>
      </c>
      <c r="D14" s="305">
        <v>0.36</v>
      </c>
      <c r="E14" s="306"/>
      <c r="F14" s="416">
        <v>35374.6</v>
      </c>
      <c r="G14" s="303">
        <f>'Expected Growth Rate'!J19</f>
        <v>1.56</v>
      </c>
      <c r="H14" s="418">
        <f>((F14*G14)-8374.03-0)*(1-D14)</f>
        <v>29958.621439999999</v>
      </c>
      <c r="N14" s="161"/>
      <c r="O14" s="161"/>
      <c r="P14" s="161"/>
      <c r="Q14" s="161"/>
      <c r="R14" s="161"/>
      <c r="S14" s="161"/>
      <c r="T14" s="161"/>
      <c r="U14" s="161"/>
      <c r="V14" s="161"/>
      <c r="W14" s="161"/>
      <c r="X14" s="161"/>
      <c r="Y14" s="161"/>
      <c r="Z14" s="161"/>
      <c r="AA14" s="161"/>
      <c r="AB14" s="161"/>
      <c r="AC14" s="161"/>
      <c r="AD14" s="161"/>
      <c r="AE14" s="161"/>
    </row>
    <row r="15" spans="1:32">
      <c r="B15" s="307"/>
      <c r="C15" s="307"/>
      <c r="D15" s="307"/>
      <c r="E15" s="307"/>
      <c r="F15" s="412"/>
      <c r="G15" s="307"/>
      <c r="H15" s="307"/>
      <c r="J15" s="247"/>
      <c r="N15" s="161"/>
      <c r="O15" s="161"/>
      <c r="P15" s="161"/>
      <c r="Q15" s="161"/>
      <c r="R15" s="161"/>
      <c r="S15" s="161"/>
      <c r="T15" s="161"/>
      <c r="U15" s="161"/>
      <c r="V15" s="161"/>
      <c r="W15" s="161"/>
      <c r="X15" s="161"/>
      <c r="Y15" s="161"/>
      <c r="Z15" s="161"/>
      <c r="AA15" s="161"/>
      <c r="AB15" s="161"/>
      <c r="AC15" s="161"/>
      <c r="AD15" s="161"/>
      <c r="AE15" s="161"/>
    </row>
    <row r="16" spans="1:32">
      <c r="G16" s="182" t="s">
        <v>204</v>
      </c>
      <c r="H16" s="357">
        <f>H14</f>
        <v>29958.621439999999</v>
      </c>
      <c r="K16" s="161"/>
      <c r="O16" s="161"/>
      <c r="P16" s="161"/>
      <c r="Q16" s="161"/>
      <c r="R16" s="161"/>
      <c r="S16" s="161"/>
      <c r="T16" s="161"/>
      <c r="U16" s="161"/>
      <c r="V16" s="161"/>
      <c r="W16" s="161"/>
      <c r="X16" s="161"/>
      <c r="Y16" s="161"/>
      <c r="Z16" s="161"/>
      <c r="AA16" s="161"/>
      <c r="AB16" s="161"/>
      <c r="AC16" s="161"/>
      <c r="AD16" s="161"/>
      <c r="AE16" s="161"/>
      <c r="AF16" s="161"/>
    </row>
    <row r="17" spans="1:32">
      <c r="B17" s="159"/>
      <c r="C17" s="84"/>
      <c r="D17" s="275"/>
      <c r="E17" s="6"/>
      <c r="F17" s="355"/>
      <c r="G17" s="84"/>
      <c r="J17" s="165"/>
      <c r="K17" s="161"/>
      <c r="L17" s="161"/>
      <c r="O17" s="161"/>
      <c r="P17" s="161"/>
      <c r="Q17" s="161"/>
      <c r="R17" s="161"/>
      <c r="S17" s="161"/>
      <c r="T17" s="161"/>
      <c r="U17" s="161"/>
      <c r="V17" s="161"/>
      <c r="W17" s="161"/>
      <c r="X17" s="161"/>
      <c r="Y17" s="161"/>
      <c r="Z17" s="161"/>
      <c r="AA17" s="161"/>
      <c r="AB17" s="161"/>
      <c r="AC17" s="161"/>
      <c r="AD17" s="161"/>
      <c r="AE17" s="161"/>
      <c r="AF17" s="161"/>
    </row>
    <row r="18" spans="1:32">
      <c r="A18" s="163"/>
      <c r="B18" s="159"/>
      <c r="C18" s="84"/>
      <c r="D18" s="275"/>
      <c r="E18" s="6"/>
      <c r="F18" s="355"/>
      <c r="G18" s="252"/>
      <c r="J18" s="190"/>
      <c r="K18" s="161"/>
      <c r="L18" s="161"/>
      <c r="M18" s="161"/>
      <c r="N18" s="161"/>
      <c r="O18" s="161"/>
      <c r="P18" s="161"/>
      <c r="Q18" s="161"/>
      <c r="R18" s="161"/>
      <c r="S18" s="161"/>
      <c r="T18" s="161"/>
      <c r="U18" s="161"/>
      <c r="V18" s="161"/>
      <c r="W18" s="161"/>
      <c r="X18" s="161"/>
      <c r="Y18" s="161"/>
      <c r="Z18" s="161"/>
      <c r="AA18" s="161"/>
      <c r="AB18" s="161"/>
      <c r="AC18" s="161"/>
      <c r="AD18" s="161"/>
      <c r="AE18" s="161"/>
      <c r="AF18" s="161"/>
    </row>
    <row r="19" spans="1:32">
      <c r="B19" s="159"/>
      <c r="C19" s="84"/>
      <c r="D19" s="275"/>
      <c r="E19" s="6"/>
      <c r="G19" s="77"/>
      <c r="H19" s="164"/>
      <c r="J19" s="190"/>
      <c r="K19" s="161"/>
      <c r="L19" s="161"/>
      <c r="M19" s="161"/>
      <c r="N19" s="161"/>
      <c r="O19" s="161"/>
      <c r="P19" s="161"/>
      <c r="Q19" s="161"/>
      <c r="R19" s="161"/>
      <c r="S19" s="161"/>
      <c r="T19" s="161"/>
      <c r="U19" s="161"/>
      <c r="V19" s="161"/>
      <c r="W19" s="161"/>
      <c r="X19" s="161"/>
      <c r="Y19" s="161"/>
      <c r="Z19" s="161"/>
      <c r="AA19" s="161"/>
      <c r="AB19" s="161"/>
      <c r="AC19" s="161"/>
      <c r="AD19" s="161"/>
      <c r="AE19" s="161"/>
      <c r="AF19" s="161"/>
    </row>
    <row r="20" spans="1:32">
      <c r="A20" s="163"/>
      <c r="E20" s="25"/>
      <c r="F20" s="3"/>
      <c r="G20" s="77"/>
      <c r="H20" s="164"/>
      <c r="J20" s="190"/>
      <c r="K20" s="161"/>
      <c r="L20" s="161"/>
      <c r="M20" s="161"/>
      <c r="N20" s="161"/>
      <c r="O20" s="161"/>
      <c r="P20" s="161"/>
      <c r="Q20" s="161"/>
      <c r="R20" s="161"/>
      <c r="S20" s="161"/>
      <c r="T20" s="161"/>
      <c r="U20" s="161"/>
      <c r="V20" s="161"/>
      <c r="W20" s="161"/>
      <c r="X20" s="161"/>
      <c r="Y20" s="161"/>
      <c r="Z20" s="161"/>
      <c r="AA20" s="161"/>
      <c r="AB20" s="161"/>
      <c r="AC20" s="161"/>
      <c r="AD20" s="161"/>
      <c r="AE20" s="161"/>
      <c r="AF20" s="161"/>
    </row>
    <row r="21" spans="1:32">
      <c r="E21" s="3"/>
      <c r="F21" s="24"/>
      <c r="G21" s="3"/>
      <c r="H21" s="302"/>
      <c r="J21" s="190"/>
      <c r="K21" s="161"/>
      <c r="L21" s="161"/>
      <c r="M21" s="161"/>
      <c r="N21" s="161"/>
      <c r="O21" s="161"/>
      <c r="P21" s="161"/>
      <c r="Q21" s="161"/>
      <c r="R21" s="161"/>
      <c r="S21" s="161"/>
      <c r="T21" s="161"/>
      <c r="U21" s="161"/>
      <c r="V21" s="161"/>
      <c r="W21" s="161"/>
      <c r="X21" s="161"/>
      <c r="Y21" s="161"/>
      <c r="Z21" s="161"/>
      <c r="AA21" s="161"/>
      <c r="AB21" s="161"/>
      <c r="AC21" s="161"/>
      <c r="AD21" s="161"/>
      <c r="AE21" s="161"/>
      <c r="AF21" s="161"/>
    </row>
    <row r="22" spans="1:32">
      <c r="E22" s="6"/>
      <c r="G22" s="58"/>
      <c r="J22" s="190"/>
      <c r="K22" s="161"/>
      <c r="L22" s="161"/>
      <c r="M22" s="161"/>
      <c r="N22" s="161"/>
      <c r="O22" s="161"/>
      <c r="P22" s="161"/>
      <c r="Q22" s="161"/>
      <c r="R22" s="161"/>
      <c r="S22" s="161"/>
      <c r="T22" s="161"/>
      <c r="U22" s="161"/>
      <c r="V22" s="161"/>
      <c r="W22" s="161"/>
      <c r="X22" s="161"/>
      <c r="Y22" s="161"/>
      <c r="Z22" s="161"/>
      <c r="AA22" s="161"/>
      <c r="AB22" s="161"/>
      <c r="AC22" s="161"/>
      <c r="AD22" s="161"/>
      <c r="AE22" s="161"/>
      <c r="AF22" s="161"/>
    </row>
    <row r="23" spans="1:32" ht="12" customHeight="1">
      <c r="E23" s="6"/>
      <c r="F23" s="159"/>
      <c r="J23" s="190"/>
      <c r="K23" s="161"/>
      <c r="L23" s="161"/>
      <c r="M23" s="161"/>
      <c r="N23" s="161"/>
      <c r="O23" s="161"/>
      <c r="P23" s="161"/>
      <c r="Q23" s="161"/>
      <c r="R23" s="161"/>
      <c r="S23" s="161"/>
      <c r="T23" s="161"/>
      <c r="U23" s="161"/>
      <c r="V23" s="161"/>
      <c r="W23" s="161"/>
      <c r="X23" s="161"/>
      <c r="Y23" s="161"/>
      <c r="Z23" s="161"/>
      <c r="AA23" s="161"/>
      <c r="AB23" s="161"/>
      <c r="AC23" s="161"/>
      <c r="AD23" s="161"/>
      <c r="AE23" s="161"/>
      <c r="AF23" s="161"/>
    </row>
    <row r="24" spans="1:32">
      <c r="E24" s="6"/>
      <c r="F24" s="159"/>
      <c r="G24" s="20"/>
      <c r="J24" s="190"/>
      <c r="K24" s="161"/>
      <c r="L24" s="161"/>
      <c r="M24" s="161"/>
      <c r="N24" s="161"/>
      <c r="O24" s="161"/>
      <c r="P24" s="161"/>
      <c r="Q24" s="161"/>
      <c r="R24" s="161"/>
      <c r="S24" s="161"/>
      <c r="T24" s="161"/>
      <c r="U24" s="161"/>
      <c r="V24" s="161"/>
      <c r="W24" s="161"/>
      <c r="X24" s="161"/>
      <c r="Y24" s="161"/>
      <c r="Z24" s="161"/>
      <c r="AA24" s="161"/>
      <c r="AB24" s="161"/>
      <c r="AC24" s="161"/>
      <c r="AD24" s="161"/>
      <c r="AE24" s="161"/>
      <c r="AF24" s="161"/>
    </row>
    <row r="25" spans="1:32">
      <c r="D25" s="6"/>
      <c r="E25" s="6"/>
      <c r="F25" s="159"/>
      <c r="G25" s="264"/>
      <c r="J25" s="190"/>
      <c r="K25" s="161"/>
      <c r="L25" s="161"/>
      <c r="M25" s="161"/>
      <c r="N25" s="161"/>
      <c r="O25" s="161"/>
      <c r="P25" s="161"/>
      <c r="Q25" s="161"/>
      <c r="R25" s="161"/>
      <c r="S25" s="161"/>
      <c r="T25" s="161"/>
      <c r="U25" s="161"/>
      <c r="V25" s="161"/>
      <c r="W25" s="161"/>
      <c r="X25" s="161"/>
      <c r="Y25" s="161"/>
      <c r="Z25" s="161"/>
      <c r="AA25" s="161"/>
      <c r="AB25" s="161"/>
      <c r="AC25" s="161"/>
      <c r="AD25" s="161"/>
      <c r="AE25" s="161"/>
      <c r="AF25" s="161"/>
    </row>
    <row r="26" spans="1:32">
      <c r="D26" s="25"/>
      <c r="E26" s="25"/>
      <c r="G26" s="77"/>
      <c r="J26" s="195"/>
      <c r="K26" s="161"/>
      <c r="L26" s="161"/>
      <c r="M26" s="161"/>
      <c r="N26" s="161"/>
      <c r="O26" s="161"/>
      <c r="P26" s="161"/>
      <c r="Q26" s="161"/>
      <c r="R26" s="161"/>
      <c r="S26" s="161"/>
      <c r="T26" s="161"/>
      <c r="U26" s="161"/>
      <c r="V26" s="161"/>
      <c r="W26" s="161"/>
      <c r="X26" s="161"/>
      <c r="Y26" s="161"/>
      <c r="Z26" s="161"/>
      <c r="AA26" s="161"/>
      <c r="AB26" s="161"/>
      <c r="AC26" s="161"/>
      <c r="AD26" s="161"/>
      <c r="AE26" s="161"/>
      <c r="AF26" s="161"/>
    </row>
    <row r="27" spans="1:32">
      <c r="D27" s="6"/>
      <c r="E27" s="6"/>
      <c r="L27" s="161"/>
      <c r="M27" s="161"/>
      <c r="N27" s="161"/>
      <c r="O27" s="161"/>
      <c r="P27" s="161"/>
      <c r="Q27" s="161"/>
      <c r="R27" s="161"/>
      <c r="S27" s="161"/>
      <c r="T27" s="161"/>
      <c r="U27" s="161"/>
      <c r="V27" s="161"/>
      <c r="W27" s="161"/>
      <c r="X27" s="161"/>
      <c r="Y27" s="161"/>
      <c r="Z27" s="161"/>
      <c r="AA27" s="161"/>
      <c r="AB27" s="161"/>
      <c r="AC27" s="161"/>
      <c r="AD27" s="161"/>
      <c r="AE27" s="161"/>
      <c r="AF27" s="161"/>
    </row>
    <row r="28" spans="1:32">
      <c r="D28" s="6"/>
      <c r="E28" s="6"/>
      <c r="L28" s="161"/>
      <c r="M28" s="161"/>
      <c r="N28" s="161"/>
      <c r="O28" s="161"/>
      <c r="P28" s="161"/>
      <c r="Q28" s="161"/>
      <c r="R28" s="161"/>
      <c r="S28" s="161"/>
      <c r="T28" s="161"/>
      <c r="U28" s="161"/>
      <c r="V28" s="161"/>
      <c r="W28" s="161"/>
      <c r="X28" s="161"/>
      <c r="Y28" s="161"/>
      <c r="Z28" s="161"/>
      <c r="AA28" s="161"/>
      <c r="AB28" s="161"/>
      <c r="AC28" s="161"/>
      <c r="AD28" s="161"/>
      <c r="AE28" s="161"/>
      <c r="AF28" s="161"/>
    </row>
    <row r="29" spans="1:32">
      <c r="D29" s="6"/>
      <c r="E29" s="6"/>
      <c r="K29" s="161"/>
      <c r="L29" s="161"/>
      <c r="M29" s="161"/>
      <c r="N29" s="161"/>
      <c r="O29" s="161"/>
      <c r="P29" s="161"/>
      <c r="Q29" s="161"/>
      <c r="R29" s="161"/>
      <c r="S29" s="161"/>
      <c r="T29" s="161"/>
      <c r="U29" s="161"/>
      <c r="V29" s="161"/>
      <c r="W29" s="161"/>
      <c r="X29" s="161"/>
      <c r="Y29" s="161"/>
      <c r="Z29" s="161"/>
      <c r="AA29" s="161"/>
      <c r="AB29" s="161"/>
      <c r="AC29" s="161"/>
      <c r="AD29" s="161"/>
      <c r="AE29" s="161"/>
      <c r="AF29" s="161"/>
    </row>
    <row r="30" spans="1:32" ht="14.25" customHeight="1">
      <c r="D30" s="25"/>
      <c r="E30" s="25"/>
      <c r="K30" s="161"/>
      <c r="L30" s="161"/>
      <c r="M30" s="161"/>
      <c r="N30" s="161"/>
      <c r="O30" s="161"/>
      <c r="P30" s="161"/>
      <c r="Q30" s="161"/>
      <c r="R30" s="161"/>
      <c r="S30" s="161"/>
      <c r="T30" s="161"/>
      <c r="U30" s="161"/>
      <c r="V30" s="161"/>
      <c r="W30" s="161"/>
      <c r="X30" s="161"/>
      <c r="Y30" s="161"/>
      <c r="Z30" s="161"/>
      <c r="AA30" s="161"/>
      <c r="AB30" s="161"/>
      <c r="AC30" s="161"/>
      <c r="AD30" s="161"/>
      <c r="AE30" s="161"/>
      <c r="AF30" s="161"/>
    </row>
    <row r="31" spans="1:32">
      <c r="D31" s="3"/>
      <c r="E31" s="3"/>
      <c r="G31" s="161"/>
      <c r="H31" s="161"/>
      <c r="I31" s="161"/>
      <c r="J31" s="161"/>
      <c r="K31" s="161"/>
      <c r="L31" s="161"/>
      <c r="M31" s="161"/>
      <c r="N31" s="161"/>
      <c r="O31" s="161"/>
      <c r="P31" s="161"/>
      <c r="Q31" s="161"/>
      <c r="R31" s="161"/>
      <c r="S31" s="161"/>
      <c r="T31" s="161"/>
      <c r="U31" s="161"/>
      <c r="V31" s="161"/>
      <c r="W31" s="161"/>
      <c r="X31" s="161"/>
      <c r="Y31" s="161"/>
      <c r="Z31" s="161"/>
      <c r="AA31" s="161"/>
      <c r="AB31" s="161"/>
      <c r="AC31" s="161"/>
      <c r="AD31" s="161"/>
      <c r="AE31" s="161"/>
      <c r="AF31" s="161"/>
    </row>
    <row r="32" spans="1:32">
      <c r="G32" s="161"/>
      <c r="H32" s="161"/>
      <c r="I32" s="161"/>
      <c r="J32" s="161"/>
      <c r="K32" s="161"/>
      <c r="L32" s="161"/>
      <c r="M32" s="161"/>
      <c r="N32" s="161"/>
      <c r="O32" s="161"/>
      <c r="P32" s="161"/>
      <c r="Q32" s="161"/>
      <c r="R32" s="161"/>
      <c r="S32" s="161"/>
      <c r="T32" s="161"/>
      <c r="U32" s="161"/>
      <c r="V32" s="161"/>
      <c r="W32" s="161"/>
      <c r="X32" s="161"/>
      <c r="Y32" s="161"/>
      <c r="Z32" s="161"/>
      <c r="AA32" s="161"/>
      <c r="AB32" s="161"/>
      <c r="AC32" s="161"/>
      <c r="AD32" s="161"/>
      <c r="AE32" s="161"/>
      <c r="AF32" s="161"/>
    </row>
    <row r="33" spans="4:32">
      <c r="D33" s="24"/>
      <c r="E33" s="24"/>
      <c r="G33" s="161"/>
      <c r="H33" s="161"/>
      <c r="I33" s="161"/>
      <c r="J33" s="161"/>
      <c r="K33" s="161"/>
      <c r="L33" s="161"/>
      <c r="M33" s="161"/>
      <c r="N33" s="161"/>
      <c r="O33" s="161"/>
      <c r="P33" s="161"/>
      <c r="Q33" s="161"/>
      <c r="R33" s="161"/>
      <c r="S33" s="161"/>
      <c r="T33" s="161"/>
      <c r="U33" s="161"/>
      <c r="V33" s="161"/>
      <c r="W33" s="161"/>
      <c r="X33" s="161"/>
      <c r="Y33" s="161"/>
      <c r="Z33" s="161"/>
      <c r="AA33" s="161"/>
      <c r="AB33" s="161"/>
      <c r="AC33" s="161"/>
      <c r="AD33" s="161"/>
      <c r="AE33" s="161"/>
      <c r="AF33" s="161"/>
    </row>
    <row r="34" spans="4:32">
      <c r="D34" s="53"/>
      <c r="E34" s="3"/>
      <c r="G34" s="161"/>
      <c r="H34" s="161"/>
      <c r="I34" s="161"/>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row>
    <row r="35" spans="4:32">
      <c r="G35" s="161"/>
      <c r="H35" s="161"/>
      <c r="I35" s="161"/>
      <c r="J35" s="161"/>
      <c r="K35" s="161"/>
      <c r="L35" s="161"/>
      <c r="M35" s="161"/>
      <c r="N35" s="161"/>
      <c r="O35" s="161"/>
      <c r="P35" s="161"/>
      <c r="Q35" s="161"/>
      <c r="R35" s="161"/>
      <c r="S35" s="161"/>
      <c r="T35" s="161"/>
      <c r="U35" s="161"/>
      <c r="V35" s="161"/>
      <c r="W35" s="161"/>
      <c r="X35" s="161"/>
      <c r="Y35" s="161"/>
      <c r="Z35" s="161"/>
      <c r="AA35" s="161"/>
      <c r="AB35" s="161"/>
      <c r="AC35" s="161"/>
      <c r="AD35" s="161"/>
      <c r="AE35" s="161"/>
      <c r="AF35" s="161"/>
    </row>
    <row r="36" spans="4:32">
      <c r="G36" s="161"/>
      <c r="H36" s="161"/>
      <c r="I36" s="161"/>
      <c r="J36" s="161"/>
      <c r="K36" s="161"/>
      <c r="L36" s="161"/>
      <c r="M36" s="161"/>
      <c r="N36" s="161"/>
      <c r="O36" s="161"/>
      <c r="P36" s="161"/>
      <c r="Q36" s="161"/>
      <c r="R36" s="161"/>
      <c r="S36" s="161"/>
      <c r="T36" s="161"/>
      <c r="U36" s="161"/>
      <c r="V36" s="161"/>
      <c r="W36" s="161"/>
      <c r="X36" s="161"/>
      <c r="Y36" s="161"/>
      <c r="Z36" s="161"/>
      <c r="AA36" s="161"/>
      <c r="AB36" s="161"/>
      <c r="AC36" s="161"/>
      <c r="AD36" s="161"/>
      <c r="AE36" s="161"/>
      <c r="AF36" s="161"/>
    </row>
    <row r="37" spans="4:32">
      <c r="G37" s="161"/>
      <c r="H37" s="161"/>
      <c r="I37" s="161"/>
      <c r="J37" s="161"/>
      <c r="K37" s="161"/>
      <c r="L37" s="161"/>
      <c r="M37" s="161"/>
      <c r="N37" s="161"/>
      <c r="O37" s="161"/>
      <c r="P37" s="161"/>
      <c r="Q37" s="161"/>
      <c r="R37" s="161"/>
      <c r="S37" s="161"/>
      <c r="T37" s="161"/>
      <c r="U37" s="161"/>
      <c r="V37" s="161"/>
      <c r="W37" s="161"/>
      <c r="X37" s="161"/>
      <c r="Y37" s="161"/>
      <c r="Z37" s="161"/>
      <c r="AA37" s="161"/>
      <c r="AB37" s="161"/>
      <c r="AC37" s="161"/>
      <c r="AD37" s="161"/>
      <c r="AE37" s="161"/>
      <c r="AF37" s="161"/>
    </row>
    <row r="38" spans="4:32">
      <c r="G38" s="161"/>
      <c r="H38" s="161"/>
      <c r="I38" s="161"/>
      <c r="J38" s="161"/>
      <c r="K38" s="161"/>
      <c r="L38" s="161"/>
      <c r="M38" s="161"/>
      <c r="N38" s="161"/>
      <c r="O38" s="161"/>
      <c r="P38" s="161"/>
      <c r="Q38" s="161"/>
      <c r="R38" s="161"/>
      <c r="S38" s="161"/>
      <c r="T38" s="161"/>
      <c r="U38" s="161"/>
      <c r="V38" s="161"/>
      <c r="W38" s="161"/>
      <c r="X38" s="161"/>
      <c r="Y38" s="161"/>
      <c r="Z38" s="161"/>
      <c r="AA38" s="161"/>
      <c r="AB38" s="161"/>
      <c r="AC38" s="161"/>
      <c r="AD38" s="161"/>
      <c r="AE38" s="161"/>
      <c r="AF38" s="161"/>
    </row>
  </sheetData>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56" customWidth="1"/>
    <col min="2" max="2" width="22" style="156" customWidth="1"/>
    <col min="3" max="3" width="14.28515625" style="156" customWidth="1"/>
    <col min="4" max="4" width="15" style="156" customWidth="1"/>
    <col min="5" max="5" width="13.5703125" style="156" customWidth="1"/>
    <col min="6" max="6" width="15.42578125" style="156" customWidth="1"/>
    <col min="7" max="7" width="13.42578125" style="156" customWidth="1" collapsed="1"/>
    <col min="8" max="13" width="13.7109375" style="156" bestFit="1" customWidth="1"/>
    <col min="14" max="26" width="9.140625" style="156" customWidth="1"/>
    <col min="27" max="27" width="9.28515625" style="156" customWidth="1"/>
    <col min="28" max="28" width="9.42578125" style="156" customWidth="1"/>
    <col min="29" max="29" width="10" style="156" customWidth="1"/>
    <col min="30" max="30" width="11.42578125" style="156" customWidth="1"/>
    <col min="31" max="31" width="9.42578125" style="156" bestFit="1" customWidth="1" collapsed="1"/>
    <col min="32" max="16384" width="9.140625" style="156"/>
  </cols>
  <sheetData>
    <row r="1" spans="1:32" s="155" customFormat="1" ht="15" customHeight="1">
      <c r="B1" s="17" t="s">
        <v>427</v>
      </c>
      <c r="C1" s="154"/>
      <c r="D1" s="154"/>
      <c r="E1" s="154"/>
      <c r="F1" s="154"/>
      <c r="G1" s="154"/>
      <c r="H1" s="154"/>
      <c r="I1" s="154"/>
      <c r="J1" s="154"/>
      <c r="K1" s="154"/>
      <c r="L1" s="154"/>
    </row>
    <row r="2" spans="1:32" ht="12" customHeight="1">
      <c r="C2" s="182"/>
    </row>
    <row r="3" spans="1:32" ht="12" customHeight="1">
      <c r="A3" s="158"/>
      <c r="B3" s="441" t="s">
        <v>426</v>
      </c>
      <c r="C3" s="441"/>
      <c r="D3" s="441"/>
      <c r="E3" s="441"/>
      <c r="F3" s="441"/>
      <c r="G3" s="441"/>
      <c r="H3" s="441"/>
      <c r="I3" s="198"/>
      <c r="J3" s="197"/>
      <c r="K3" s="197"/>
      <c r="L3" s="197"/>
      <c r="M3" s="197"/>
      <c r="N3" s="197"/>
      <c r="O3" s="197"/>
      <c r="P3" s="197"/>
      <c r="Q3" s="197"/>
    </row>
    <row r="4" spans="1:32" ht="12" customHeight="1">
      <c r="A4" s="163"/>
      <c r="B4" s="291" t="s">
        <v>52</v>
      </c>
      <c r="C4" s="292" t="s">
        <v>220</v>
      </c>
      <c r="D4" s="291">
        <v>-1</v>
      </c>
      <c r="E4" s="292">
        <v>-2</v>
      </c>
      <c r="F4" s="292">
        <v>-3</v>
      </c>
      <c r="G4" s="292">
        <v>-4</v>
      </c>
      <c r="H4" s="292">
        <v>-5</v>
      </c>
      <c r="I4" s="394"/>
      <c r="J4" s="263"/>
      <c r="K4" s="263"/>
      <c r="L4" s="263"/>
      <c r="M4" s="263"/>
      <c r="N4" s="263"/>
      <c r="O4" s="263"/>
      <c r="P4" s="263"/>
      <c r="Q4" s="157"/>
      <c r="S4" s="160"/>
      <c r="T4" s="160"/>
      <c r="U4" s="160"/>
      <c r="V4" s="160"/>
      <c r="AA4" s="160"/>
    </row>
    <row r="5" spans="1:32" ht="12" customHeight="1">
      <c r="A5" s="163"/>
      <c r="B5" s="232" t="s">
        <v>422</v>
      </c>
      <c r="C5" s="239">
        <f>'Fair Value of Share'!C22</f>
        <v>940.82591900000011</v>
      </c>
      <c r="D5" s="239">
        <f>797.332057*1.055</f>
        <v>841.18532013499987</v>
      </c>
      <c r="E5" s="239">
        <f>315.866091*1.395</f>
        <v>440.63319694500001</v>
      </c>
      <c r="F5" s="239">
        <f>225.417147*2.645</f>
        <v>596.22835381499999</v>
      </c>
      <c r="G5" s="239">
        <f xml:space="preserve"> 338.842601*3.665</f>
        <v>1241.8581326650001</v>
      </c>
      <c r="H5" s="239">
        <f>100.427933*7.93125</f>
        <v>796.51904360624997</v>
      </c>
      <c r="I5" s="394"/>
      <c r="J5" s="190"/>
      <c r="K5" s="47"/>
      <c r="L5" s="47"/>
      <c r="M5" s="47"/>
      <c r="N5" s="47"/>
      <c r="O5" s="47"/>
      <c r="P5" s="47"/>
      <c r="Q5" s="47"/>
      <c r="S5" s="161"/>
      <c r="T5" s="161"/>
      <c r="U5" s="161"/>
      <c r="V5" s="161"/>
      <c r="W5" s="161"/>
      <c r="X5" s="161"/>
      <c r="Y5" s="161"/>
      <c r="Z5" s="161"/>
      <c r="AA5" s="161"/>
      <c r="AB5" s="161"/>
      <c r="AC5" s="161"/>
      <c r="AD5" s="161"/>
      <c r="AE5" s="161"/>
      <c r="AF5" s="161"/>
    </row>
    <row r="6" spans="1:32" ht="12" customHeight="1">
      <c r="A6" s="163"/>
      <c r="B6" s="232" t="s">
        <v>6</v>
      </c>
      <c r="C6" s="239">
        <f>'Future Cashflows (10 Yrs)'!D4</f>
        <v>304487.83000000007</v>
      </c>
      <c r="D6" s="239">
        <f>'Working Capital Changes'!J20</f>
        <v>1050404.06</v>
      </c>
      <c r="E6" s="239">
        <f>'Working Capital Changes'!I20</f>
        <v>941789.14</v>
      </c>
      <c r="F6" s="239">
        <f>'Working Capital Changes'!H20</f>
        <v>805800.25</v>
      </c>
      <c r="G6" s="239">
        <f>'Working Capital Changes'!G20</f>
        <v>627036.43000000005</v>
      </c>
      <c r="H6" s="239">
        <f>'Working Capital Changes'!F20</f>
        <v>486795.45</v>
      </c>
      <c r="J6" s="190"/>
      <c r="K6" s="190"/>
      <c r="L6" s="190"/>
      <c r="M6" s="190"/>
      <c r="N6" s="190"/>
      <c r="O6" s="190"/>
      <c r="P6" s="190"/>
      <c r="Q6" s="190"/>
      <c r="S6" s="161"/>
      <c r="T6" s="161"/>
      <c r="U6" s="161"/>
      <c r="V6" s="161"/>
      <c r="W6" s="161"/>
      <c r="X6" s="161"/>
      <c r="Y6" s="161"/>
      <c r="Z6" s="161"/>
      <c r="AA6" s="161"/>
      <c r="AB6" s="161"/>
      <c r="AC6" s="161"/>
      <c r="AD6" s="161"/>
      <c r="AE6" s="161"/>
      <c r="AF6" s="161"/>
    </row>
    <row r="7" spans="1:32" ht="12" customHeight="1">
      <c r="B7" s="232" t="s">
        <v>423</v>
      </c>
      <c r="C7" s="191">
        <f t="shared" ref="C7:H7" si="0">C5/C6</f>
        <v>3.089863785360485E-3</v>
      </c>
      <c r="D7" s="191">
        <f t="shared" si="0"/>
        <v>8.0082070525793652E-4</v>
      </c>
      <c r="E7" s="191">
        <f t="shared" si="0"/>
        <v>4.6786820768075538E-4</v>
      </c>
      <c r="F7" s="191">
        <f t="shared" si="0"/>
        <v>7.399207853497191E-4</v>
      </c>
      <c r="G7" s="191">
        <f t="shared" si="0"/>
        <v>1.980519908013957E-3</v>
      </c>
      <c r="H7" s="191">
        <f t="shared" si="0"/>
        <v>1.6362499764659877E-3</v>
      </c>
      <c r="I7" s="183"/>
      <c r="J7" s="183"/>
      <c r="N7" s="161"/>
      <c r="O7" s="161"/>
      <c r="P7" s="182"/>
      <c r="Q7" s="190"/>
      <c r="S7" s="161"/>
      <c r="T7" s="161"/>
      <c r="U7" s="161"/>
      <c r="V7" s="161"/>
      <c r="W7" s="161"/>
      <c r="X7" s="161"/>
      <c r="Y7" s="161"/>
      <c r="Z7" s="161"/>
      <c r="AA7" s="161"/>
      <c r="AB7" s="161"/>
      <c r="AC7" s="161"/>
      <c r="AD7" s="161"/>
      <c r="AE7" s="161"/>
      <c r="AF7" s="161"/>
    </row>
    <row r="8" spans="1:32" ht="12" customHeight="1">
      <c r="A8" s="163"/>
      <c r="B8" s="161"/>
      <c r="C8" s="201"/>
      <c r="D8" s="188"/>
      <c r="E8" s="188"/>
      <c r="F8" s="188"/>
      <c r="G8" s="428" t="s">
        <v>425</v>
      </c>
      <c r="H8" s="372">
        <f>MEDIAN(C7:H7)</f>
        <v>1.2185353408619621E-3</v>
      </c>
      <c r="J8" s="245"/>
      <c r="K8" s="246"/>
      <c r="O8" s="161"/>
      <c r="P8" s="161"/>
      <c r="Q8" s="161"/>
      <c r="R8" s="161"/>
      <c r="S8" s="161"/>
      <c r="T8" s="161"/>
      <c r="U8" s="161"/>
      <c r="V8" s="161"/>
      <c r="W8" s="161"/>
      <c r="X8" s="161"/>
      <c r="Y8" s="161"/>
      <c r="Z8" s="161"/>
      <c r="AA8" s="161"/>
      <c r="AB8" s="161"/>
      <c r="AC8" s="161"/>
      <c r="AD8" s="161"/>
      <c r="AE8" s="161"/>
      <c r="AF8" s="161"/>
    </row>
    <row r="9" spans="1:32" ht="12" customHeight="1">
      <c r="A9" s="163"/>
      <c r="J9" s="159"/>
      <c r="K9" s="183"/>
      <c r="O9" s="161"/>
      <c r="P9" s="161"/>
      <c r="Q9" s="161"/>
      <c r="R9" s="161"/>
      <c r="S9" s="161"/>
      <c r="T9" s="161"/>
      <c r="U9" s="161"/>
      <c r="V9" s="161"/>
      <c r="W9" s="161"/>
      <c r="X9" s="161"/>
      <c r="Y9" s="161"/>
      <c r="Z9" s="161"/>
      <c r="AA9" s="161"/>
      <c r="AB9" s="161"/>
      <c r="AC9" s="161"/>
      <c r="AD9" s="161"/>
      <c r="AE9" s="161"/>
      <c r="AF9" s="161"/>
    </row>
    <row r="10" spans="1:32">
      <c r="A10" s="159"/>
      <c r="B10" s="441" t="s">
        <v>424</v>
      </c>
      <c r="C10" s="441"/>
      <c r="D10" s="441"/>
      <c r="E10" s="441"/>
      <c r="F10" s="441"/>
      <c r="G10" s="441"/>
      <c r="H10" s="441"/>
      <c r="I10" s="441"/>
      <c r="J10" s="441"/>
      <c r="K10" s="441"/>
      <c r="L10" s="441"/>
      <c r="M10" s="441"/>
      <c r="O10" s="161"/>
      <c r="P10" s="161"/>
      <c r="Q10" s="161"/>
      <c r="R10" s="161"/>
      <c r="S10" s="161"/>
      <c r="T10" s="161"/>
      <c r="U10" s="161"/>
      <c r="V10" s="161"/>
      <c r="W10" s="161"/>
      <c r="X10" s="161"/>
      <c r="Y10" s="161"/>
      <c r="Z10" s="161"/>
      <c r="AA10" s="161"/>
      <c r="AB10" s="161"/>
      <c r="AC10" s="161"/>
      <c r="AD10" s="161"/>
      <c r="AE10" s="161"/>
      <c r="AF10" s="161"/>
    </row>
    <row r="11" spans="1:32" ht="12.75" customHeight="1">
      <c r="A11" s="163"/>
      <c r="B11" s="291" t="s">
        <v>52</v>
      </c>
      <c r="C11" s="292" t="s">
        <v>220</v>
      </c>
      <c r="D11" s="291">
        <v>1</v>
      </c>
      <c r="E11" s="292">
        <v>2</v>
      </c>
      <c r="F11" s="292">
        <v>3</v>
      </c>
      <c r="G11" s="292">
        <v>4</v>
      </c>
      <c r="H11" s="292">
        <v>5</v>
      </c>
      <c r="I11" s="427">
        <v>6</v>
      </c>
      <c r="J11" s="427">
        <v>7</v>
      </c>
      <c r="K11" s="426">
        <v>8</v>
      </c>
      <c r="L11" s="426">
        <v>9</v>
      </c>
      <c r="M11" s="426">
        <v>10</v>
      </c>
      <c r="N11" s="201"/>
      <c r="O11" s="161"/>
      <c r="P11" s="161"/>
      <c r="Q11" s="161"/>
      <c r="R11" s="161"/>
      <c r="S11" s="161"/>
      <c r="T11" s="161"/>
      <c r="U11" s="161"/>
      <c r="V11" s="161"/>
      <c r="W11" s="161"/>
      <c r="X11" s="161"/>
      <c r="Y11" s="161"/>
      <c r="Z11" s="161"/>
      <c r="AA11" s="161"/>
      <c r="AB11" s="161"/>
      <c r="AC11" s="161"/>
      <c r="AD11" s="161"/>
      <c r="AE11" s="161"/>
      <c r="AF11" s="161"/>
    </row>
    <row r="12" spans="1:32">
      <c r="B12" s="232" t="s">
        <v>423</v>
      </c>
      <c r="C12" s="191">
        <f>H8</f>
        <v>1.2185353408619621E-3</v>
      </c>
      <c r="D12" s="191">
        <v>8.0000000000000004E-4</v>
      </c>
      <c r="E12" s="191">
        <v>6.9999999999999999E-4</v>
      </c>
      <c r="F12" s="191">
        <v>6.9999999999999999E-4</v>
      </c>
      <c r="G12" s="191">
        <v>6.9999999999999999E-4</v>
      </c>
      <c r="H12" s="191">
        <v>6.9999999999999999E-4</v>
      </c>
      <c r="I12" s="191">
        <v>6.9999999999999999E-4</v>
      </c>
      <c r="J12" s="191">
        <v>5.9999999999999995E-4</v>
      </c>
      <c r="K12" s="191">
        <v>5.9999999999999995E-4</v>
      </c>
      <c r="L12" s="191">
        <v>5.9999999999999995E-4</v>
      </c>
      <c r="M12" s="191">
        <v>5.9999999999999995E-4</v>
      </c>
      <c r="N12" s="201"/>
      <c r="O12" s="197"/>
      <c r="P12" s="197"/>
      <c r="Q12" s="197"/>
      <c r="R12" s="161"/>
      <c r="S12" s="161"/>
      <c r="T12" s="161"/>
      <c r="U12" s="161"/>
      <c r="V12" s="161"/>
      <c r="W12" s="161"/>
      <c r="X12" s="161"/>
      <c r="Y12" s="161"/>
      <c r="Z12" s="161"/>
      <c r="AA12" s="161"/>
      <c r="AB12" s="161"/>
      <c r="AC12" s="161"/>
      <c r="AD12" s="161"/>
      <c r="AE12" s="161"/>
      <c r="AF12" s="161"/>
    </row>
    <row r="13" spans="1:32" ht="12" customHeight="1">
      <c r="A13" s="163"/>
      <c r="B13" s="232" t="s">
        <v>6</v>
      </c>
      <c r="C13" s="239">
        <f>C6</f>
        <v>304487.83000000007</v>
      </c>
      <c r="D13" s="239">
        <f>'Future Cashflows (10 Yrs)'!D5</f>
        <v>338561.06955229666</v>
      </c>
      <c r="E13" s="239">
        <f ca="1">'Future Cashflows (10 Yrs)'!D6</f>
        <v>374444.8551949067</v>
      </c>
      <c r="F13" s="239">
        <f ca="1">'Future Cashflows (10 Yrs)'!D7</f>
        <v>411917.3350896021</v>
      </c>
      <c r="G13" s="239">
        <f ca="1">'Future Cashflows (10 Yrs)'!D8</f>
        <v>450703.64315230213</v>
      </c>
      <c r="H13" s="239">
        <f ca="1">'Future Cashflows (10 Yrs)'!D9</f>
        <v>490476.46918763104</v>
      </c>
      <c r="I13" s="239">
        <f ca="1">'Future Cashflows (10 Yrs)'!D10</f>
        <v>530858.24368641374</v>
      </c>
      <c r="J13" s="239">
        <f ca="1">'Future Cashflows (10 Yrs)'!D11</f>
        <v>570640.12070388498</v>
      </c>
      <c r="K13" s="239">
        <f ca="1">'Future Cashflows (10 Yrs)'!D12</f>
        <v>609184.50025198958</v>
      </c>
      <c r="L13" s="239">
        <f ca="1">'Future Cashflows (10 Yrs)'!D13</f>
        <v>645828.7338373604</v>
      </c>
      <c r="M13" s="239">
        <f ca="1">'Future Cashflows (10 Yrs)'!D14</f>
        <v>679902.65783461952</v>
      </c>
      <c r="O13" s="161"/>
      <c r="P13" s="161"/>
      <c r="Q13" s="161"/>
      <c r="R13" s="161"/>
      <c r="S13" s="161"/>
      <c r="T13" s="161"/>
      <c r="U13" s="161"/>
      <c r="V13" s="161"/>
      <c r="W13" s="161"/>
      <c r="X13" s="161"/>
      <c r="Y13" s="161"/>
      <c r="Z13" s="161"/>
      <c r="AA13" s="161"/>
      <c r="AB13" s="161"/>
      <c r="AC13" s="161"/>
      <c r="AD13" s="161"/>
      <c r="AE13" s="161"/>
      <c r="AF13" s="161"/>
    </row>
    <row r="14" spans="1:32">
      <c r="B14" s="232" t="s">
        <v>422</v>
      </c>
      <c r="C14" s="239">
        <f t="shared" ref="C14:M14" si="1">C13*C12</f>
        <v>371.02918171736928</v>
      </c>
      <c r="D14" s="239">
        <f t="shared" si="1"/>
        <v>270.84885564183736</v>
      </c>
      <c r="E14" s="239">
        <f t="shared" ca="1" si="1"/>
        <v>262.11139863643467</v>
      </c>
      <c r="F14" s="239">
        <f t="shared" ca="1" si="1"/>
        <v>288.34213456272147</v>
      </c>
      <c r="G14" s="239">
        <f t="shared" ca="1" si="1"/>
        <v>315.4925502066115</v>
      </c>
      <c r="H14" s="239">
        <f t="shared" ca="1" si="1"/>
        <v>343.33352843134173</v>
      </c>
      <c r="I14" s="239">
        <f t="shared" ca="1" si="1"/>
        <v>371.60077058048961</v>
      </c>
      <c r="J14" s="239">
        <f t="shared" ca="1" si="1"/>
        <v>342.38407242233097</v>
      </c>
      <c r="K14" s="239">
        <f t="shared" ca="1" si="1"/>
        <v>365.5107001511937</v>
      </c>
      <c r="L14" s="239">
        <f t="shared" ca="1" si="1"/>
        <v>387.49724030241623</v>
      </c>
      <c r="M14" s="239">
        <f t="shared" ca="1" si="1"/>
        <v>407.9415947007717</v>
      </c>
      <c r="O14" s="161"/>
      <c r="P14" s="161"/>
      <c r="Q14" s="161"/>
      <c r="R14" s="161"/>
      <c r="S14" s="161"/>
      <c r="T14" s="161"/>
      <c r="U14" s="161"/>
      <c r="V14" s="161"/>
      <c r="W14" s="161"/>
      <c r="X14" s="161"/>
      <c r="Y14" s="161"/>
      <c r="Z14" s="161"/>
      <c r="AA14" s="161"/>
      <c r="AB14" s="161"/>
      <c r="AC14" s="161"/>
      <c r="AD14" s="161"/>
      <c r="AE14" s="161"/>
      <c r="AF14" s="161"/>
    </row>
    <row r="15" spans="1:32">
      <c r="D15" s="267"/>
      <c r="F15" s="267"/>
      <c r="G15" s="58"/>
      <c r="K15" s="247"/>
      <c r="O15" s="161"/>
      <c r="P15" s="161"/>
      <c r="Q15" s="161"/>
      <c r="R15" s="161"/>
      <c r="S15" s="161"/>
      <c r="T15" s="161"/>
      <c r="U15" s="161"/>
      <c r="V15" s="161"/>
      <c r="W15" s="161"/>
      <c r="X15" s="161"/>
      <c r="Y15" s="161"/>
      <c r="Z15" s="161"/>
      <c r="AA15" s="161"/>
      <c r="AB15" s="161"/>
      <c r="AC15" s="161"/>
      <c r="AD15" s="161"/>
      <c r="AE15" s="161"/>
      <c r="AF15" s="161"/>
    </row>
    <row r="16" spans="1:32">
      <c r="D16" s="267"/>
      <c r="F16" s="267"/>
      <c r="K16" s="161"/>
      <c r="O16" s="161"/>
      <c r="P16" s="161"/>
      <c r="Q16" s="161"/>
      <c r="R16" s="161"/>
      <c r="S16" s="161"/>
      <c r="T16" s="161"/>
      <c r="U16" s="161"/>
      <c r="V16" s="161"/>
      <c r="W16" s="161"/>
      <c r="X16" s="161"/>
      <c r="Y16" s="161"/>
      <c r="Z16" s="161"/>
      <c r="AA16" s="161"/>
      <c r="AB16" s="161"/>
      <c r="AC16" s="161"/>
      <c r="AD16" s="161"/>
      <c r="AE16" s="161"/>
      <c r="AF16" s="161"/>
    </row>
    <row r="17" spans="1:32">
      <c r="B17" s="441" t="s">
        <v>421</v>
      </c>
      <c r="C17" s="441"/>
      <c r="D17" s="441"/>
      <c r="E17" s="441"/>
      <c r="F17" s="441"/>
      <c r="G17" s="441"/>
      <c r="J17" s="165"/>
      <c r="K17" s="161"/>
      <c r="L17" s="161"/>
      <c r="O17" s="161"/>
      <c r="P17" s="161"/>
      <c r="Q17" s="161"/>
      <c r="R17" s="161"/>
      <c r="S17" s="161"/>
      <c r="T17" s="161"/>
      <c r="U17" s="161"/>
      <c r="V17" s="161"/>
      <c r="W17" s="161"/>
      <c r="X17" s="161"/>
      <c r="Y17" s="161"/>
      <c r="Z17" s="161"/>
      <c r="AA17" s="161"/>
      <c r="AB17" s="161"/>
      <c r="AC17" s="161"/>
      <c r="AD17" s="161"/>
      <c r="AE17" s="161"/>
      <c r="AF17" s="161"/>
    </row>
    <row r="18" spans="1:32">
      <c r="A18" s="163"/>
      <c r="B18" s="425"/>
      <c r="C18" s="424" t="s">
        <v>420</v>
      </c>
      <c r="D18" s="283" t="s">
        <v>419</v>
      </c>
      <c r="E18" s="424" t="s">
        <v>418</v>
      </c>
      <c r="F18" s="283" t="s">
        <v>417</v>
      </c>
      <c r="G18" s="423" t="s">
        <v>416</v>
      </c>
      <c r="J18" s="190"/>
      <c r="K18" s="161"/>
      <c r="L18" s="161"/>
      <c r="M18" s="161"/>
      <c r="N18" s="161"/>
      <c r="O18" s="161"/>
      <c r="P18" s="161"/>
      <c r="Q18" s="161"/>
      <c r="R18" s="161"/>
      <c r="S18" s="161"/>
      <c r="T18" s="161"/>
      <c r="U18" s="161"/>
      <c r="V18" s="161"/>
      <c r="W18" s="161"/>
      <c r="X18" s="161"/>
      <c r="Y18" s="161"/>
      <c r="Z18" s="161"/>
      <c r="AA18" s="161"/>
      <c r="AB18" s="161"/>
      <c r="AC18" s="161"/>
      <c r="AD18" s="161"/>
      <c r="AE18" s="161"/>
      <c r="AF18" s="161"/>
    </row>
    <row r="19" spans="1:32">
      <c r="B19" s="422" t="s">
        <v>166</v>
      </c>
      <c r="C19" s="420">
        <f>'Future Cashflows (10 Yrs)'!G4/'Future Cashflows (10 Yrs)'!D4</f>
        <v>0.10694721145484871</v>
      </c>
      <c r="D19" s="419">
        <f>'Future Cashflows (10 Yrs)'!D4*(1-'Future Cashflows (10 Yrs)'!F4)</f>
        <v>271923.70565956202</v>
      </c>
      <c r="E19" s="169"/>
      <c r="F19" s="421"/>
      <c r="G19" s="191">
        <f>C19</f>
        <v>0.10694721145484871</v>
      </c>
      <c r="J19" s="190"/>
      <c r="K19" s="161"/>
      <c r="L19" s="161"/>
      <c r="M19" s="161"/>
      <c r="N19" s="161"/>
      <c r="O19" s="161"/>
      <c r="P19" s="161"/>
      <c r="Q19" s="161"/>
      <c r="R19" s="161"/>
      <c r="S19" s="161"/>
      <c r="T19" s="161"/>
      <c r="U19" s="161"/>
      <c r="V19" s="161"/>
      <c r="W19" s="161"/>
      <c r="X19" s="161"/>
      <c r="Y19" s="161"/>
      <c r="Z19" s="161"/>
      <c r="AA19" s="161"/>
      <c r="AB19" s="161"/>
      <c r="AC19" s="161"/>
      <c r="AD19" s="161"/>
      <c r="AE19" s="161"/>
      <c r="AF19" s="161"/>
    </row>
    <row r="20" spans="1:32">
      <c r="A20" s="163"/>
      <c r="B20" s="231">
        <v>1</v>
      </c>
      <c r="C20" s="420">
        <f>AVERAGE(C19,C22)</f>
        <v>0.11134131002299263</v>
      </c>
      <c r="D20" s="419">
        <f>'Future Cashflows (10 Yrs)'!D5*(1-C20)</f>
        <v>300865.23654555844</v>
      </c>
      <c r="E20" s="239">
        <f>D14</f>
        <v>270.84885564183736</v>
      </c>
      <c r="F20" s="419">
        <f t="shared" ref="F20:F29" si="2">D20+E20</f>
        <v>301136.08540120028</v>
      </c>
      <c r="G20" s="191">
        <f>1-(F20/'Future Cashflows (10 Yrs)'!D5)</f>
        <v>0.11054131002299261</v>
      </c>
      <c r="J20" s="190"/>
      <c r="K20" s="161"/>
      <c r="L20" s="161"/>
      <c r="M20" s="161"/>
      <c r="N20" s="161"/>
      <c r="O20" s="161"/>
      <c r="P20" s="161"/>
      <c r="Q20" s="161"/>
      <c r="R20" s="161"/>
      <c r="S20" s="161"/>
      <c r="T20" s="161"/>
      <c r="U20" s="161"/>
      <c r="V20" s="161"/>
      <c r="W20" s="161"/>
      <c r="X20" s="161"/>
      <c r="Y20" s="161"/>
      <c r="Z20" s="161"/>
      <c r="AA20" s="161"/>
      <c r="AB20" s="161"/>
      <c r="AC20" s="161"/>
      <c r="AD20" s="161"/>
      <c r="AE20" s="161"/>
      <c r="AF20" s="161"/>
    </row>
    <row r="21" spans="1:32">
      <c r="B21" s="231">
        <f t="shared" ref="B21:B29" si="3">B20+1</f>
        <v>2</v>
      </c>
      <c r="C21" s="420">
        <f>AVERAGE(C20,C22)</f>
        <v>0.11353835930706459</v>
      </c>
      <c r="D21" s="419">
        <f ca="1">'Future Cashflows (10 Yrs)'!D6*(1-C21)</f>
        <v>331931.00068510562</v>
      </c>
      <c r="E21" s="239">
        <f ca="1">E14</f>
        <v>262.11139863643467</v>
      </c>
      <c r="F21" s="419">
        <f t="shared" ca="1" si="2"/>
        <v>332193.11208374205</v>
      </c>
      <c r="G21" s="191">
        <f ca="1">1-(F21/'Future Cashflows (10 Yrs)'!D6)</f>
        <v>0.11283835930706465</v>
      </c>
      <c r="J21" s="190"/>
      <c r="K21" s="161"/>
      <c r="L21" s="161"/>
      <c r="M21" s="161"/>
      <c r="N21" s="161"/>
      <c r="O21" s="161"/>
      <c r="P21" s="161"/>
      <c r="Q21" s="161"/>
      <c r="R21" s="161"/>
      <c r="S21" s="161"/>
      <c r="T21" s="161"/>
      <c r="U21" s="161"/>
      <c r="V21" s="161"/>
      <c r="W21" s="161"/>
      <c r="X21" s="161"/>
      <c r="Y21" s="161"/>
      <c r="Z21" s="161"/>
      <c r="AA21" s="161"/>
      <c r="AB21" s="161"/>
      <c r="AC21" s="161"/>
      <c r="AD21" s="161"/>
      <c r="AE21" s="161"/>
      <c r="AF21" s="161"/>
    </row>
    <row r="22" spans="1:32">
      <c r="B22" s="231">
        <f t="shared" si="3"/>
        <v>3</v>
      </c>
      <c r="C22" s="420">
        <f>AVERAGE(C19,C24)</f>
        <v>0.11573540859113654</v>
      </c>
      <c r="D22" s="419">
        <f ca="1">'Future Cashflows (10 Yrs)'!D7*(1-C22)</f>
        <v>364243.91400723491</v>
      </c>
      <c r="E22" s="239">
        <f ca="1">F14</f>
        <v>288.34213456272147</v>
      </c>
      <c r="F22" s="419">
        <f t="shared" ca="1" si="2"/>
        <v>364532.25614179764</v>
      </c>
      <c r="G22" s="191">
        <f ca="1">1-(F22/'Future Cashflows (10 Yrs)'!D7)</f>
        <v>0.11503540859113648</v>
      </c>
      <c r="J22" s="190"/>
      <c r="K22" s="161"/>
      <c r="L22" s="161"/>
      <c r="M22" s="161"/>
      <c r="N22" s="161"/>
      <c r="O22" s="161"/>
      <c r="P22" s="161"/>
      <c r="Q22" s="161"/>
      <c r="R22" s="161"/>
      <c r="S22" s="161"/>
      <c r="T22" s="161"/>
      <c r="U22" s="161"/>
      <c r="V22" s="161"/>
      <c r="W22" s="161"/>
      <c r="X22" s="161"/>
      <c r="Y22" s="161"/>
      <c r="Z22" s="161"/>
      <c r="AA22" s="161"/>
      <c r="AB22" s="161"/>
      <c r="AC22" s="161"/>
      <c r="AD22" s="161"/>
      <c r="AE22" s="161"/>
      <c r="AF22" s="161"/>
    </row>
    <row r="23" spans="1:32" ht="12" customHeight="1">
      <c r="B23" s="231">
        <f t="shared" si="3"/>
        <v>4</v>
      </c>
      <c r="C23" s="420">
        <f>AVERAGE(C22,C24)</f>
        <v>0.12012950715928045</v>
      </c>
      <c r="D23" s="419">
        <f ca="1">'Future Cashflows (10 Yrs)'!D8*(1-C23)</f>
        <v>396560.83662552387</v>
      </c>
      <c r="E23" s="239">
        <f ca="1">G14</f>
        <v>315.4925502066115</v>
      </c>
      <c r="F23" s="419">
        <f t="shared" ca="1" si="2"/>
        <v>396876.32917573047</v>
      </c>
      <c r="G23" s="191">
        <f ca="1">1-(F23/'Future Cashflows (10 Yrs)'!D8)</f>
        <v>0.11942950715928047</v>
      </c>
      <c r="J23" s="190"/>
      <c r="K23" s="161"/>
      <c r="L23" s="161"/>
      <c r="M23" s="161"/>
      <c r="N23" s="161"/>
      <c r="O23" s="161"/>
      <c r="P23" s="161"/>
      <c r="Q23" s="161"/>
      <c r="R23" s="161"/>
      <c r="S23" s="161"/>
      <c r="T23" s="161"/>
      <c r="U23" s="161"/>
      <c r="V23" s="161"/>
      <c r="W23" s="161"/>
      <c r="X23" s="161"/>
      <c r="Y23" s="161"/>
      <c r="Z23" s="161"/>
      <c r="AA23" s="161"/>
      <c r="AB23" s="161"/>
      <c r="AC23" s="161"/>
      <c r="AD23" s="161"/>
      <c r="AE23" s="161"/>
      <c r="AF23" s="161"/>
    </row>
    <row r="24" spans="1:32">
      <c r="B24" s="231">
        <f t="shared" si="3"/>
        <v>5</v>
      </c>
      <c r="C24" s="420">
        <f>AVERAGE(C19,C29)</f>
        <v>0.12452360572742435</v>
      </c>
      <c r="D24" s="419">
        <f ca="1">'Future Cashflows (10 Yrs)'!D9*(1-C24)</f>
        <v>429400.57071993127</v>
      </c>
      <c r="E24" s="239">
        <f ca="1">H14</f>
        <v>343.33352843134173</v>
      </c>
      <c r="F24" s="419">
        <f t="shared" ca="1" si="2"/>
        <v>429743.90424836264</v>
      </c>
      <c r="G24" s="191">
        <f ca="1">1-(F24/'Future Cashflows (10 Yrs)'!D9)</f>
        <v>0.12382360572742435</v>
      </c>
      <c r="J24" s="190"/>
      <c r="K24" s="161"/>
      <c r="L24" s="161"/>
      <c r="M24" s="161"/>
      <c r="N24" s="161"/>
      <c r="O24" s="161"/>
      <c r="P24" s="161"/>
      <c r="Q24" s="161"/>
      <c r="R24" s="161"/>
      <c r="S24" s="161"/>
      <c r="T24" s="161"/>
      <c r="U24" s="161"/>
      <c r="V24" s="161"/>
      <c r="W24" s="161"/>
      <c r="X24" s="161"/>
      <c r="Y24" s="161"/>
      <c r="Z24" s="161"/>
      <c r="AA24" s="161"/>
      <c r="AB24" s="161"/>
      <c r="AC24" s="161"/>
      <c r="AD24" s="161"/>
      <c r="AE24" s="161"/>
      <c r="AF24" s="161"/>
    </row>
    <row r="25" spans="1:32">
      <c r="B25" s="231">
        <f t="shared" si="3"/>
        <v>6</v>
      </c>
      <c r="C25" s="420">
        <f>AVERAGE(C24,C27)</f>
        <v>0.12891770429556826</v>
      </c>
      <c r="D25" s="419">
        <f ca="1">'Future Cashflows (10 Yrs)'!D10*(1-C25)</f>
        <v>462421.21760398394</v>
      </c>
      <c r="E25" s="239">
        <f ca="1">I14</f>
        <v>371.60077058048961</v>
      </c>
      <c r="F25" s="419">
        <f t="shared" ca="1" si="2"/>
        <v>462792.81837456441</v>
      </c>
      <c r="G25" s="191">
        <f ca="1">1-(F25/'Future Cashflows (10 Yrs)'!D10)</f>
        <v>0.12821770429556834</v>
      </c>
      <c r="J25" s="190"/>
      <c r="K25" s="161"/>
      <c r="L25" s="161"/>
      <c r="M25" s="161"/>
      <c r="N25" s="161"/>
      <c r="O25" s="161"/>
      <c r="P25" s="161"/>
      <c r="Q25" s="161"/>
      <c r="R25" s="161"/>
      <c r="S25" s="161"/>
      <c r="T25" s="161"/>
      <c r="U25" s="161"/>
      <c r="V25" s="161"/>
      <c r="W25" s="161"/>
      <c r="X25" s="161"/>
      <c r="Y25" s="161"/>
      <c r="Z25" s="161"/>
      <c r="AA25" s="161"/>
      <c r="AB25" s="161"/>
      <c r="AC25" s="161"/>
      <c r="AD25" s="161"/>
      <c r="AE25" s="161"/>
      <c r="AF25" s="161"/>
    </row>
    <row r="26" spans="1:32">
      <c r="B26" s="231">
        <f t="shared" si="3"/>
        <v>7</v>
      </c>
      <c r="C26" s="420">
        <f>AVERAGE(C25,C27)</f>
        <v>0.13111475357964023</v>
      </c>
      <c r="D26" s="419">
        <f ca="1">'Future Cashflows (10 Yrs)'!D11*(1-C26)</f>
        <v>495820.78189513896</v>
      </c>
      <c r="E26" s="239">
        <f ca="1">J14</f>
        <v>342.38407242233097</v>
      </c>
      <c r="F26" s="419">
        <f t="shared" ca="1" si="2"/>
        <v>496163.1659675613</v>
      </c>
      <c r="G26" s="191">
        <f ca="1">1-(F26/'Future Cashflows (10 Yrs)'!D11)</f>
        <v>0.13051475357964015</v>
      </c>
      <c r="J26" s="195"/>
      <c r="K26" s="161"/>
      <c r="L26" s="161"/>
      <c r="M26" s="161"/>
      <c r="N26" s="161"/>
      <c r="O26" s="161"/>
      <c r="P26" s="161"/>
      <c r="Q26" s="161"/>
      <c r="R26" s="161"/>
      <c r="S26" s="161"/>
      <c r="T26" s="161"/>
      <c r="U26" s="161"/>
      <c r="V26" s="161"/>
      <c r="W26" s="161"/>
      <c r="X26" s="161"/>
      <c r="Y26" s="161"/>
      <c r="Z26" s="161"/>
      <c r="AA26" s="161"/>
      <c r="AB26" s="161"/>
      <c r="AC26" s="161"/>
      <c r="AD26" s="161"/>
      <c r="AE26" s="161"/>
      <c r="AF26" s="161"/>
    </row>
    <row r="27" spans="1:32">
      <c r="B27" s="231">
        <f t="shared" si="3"/>
        <v>8</v>
      </c>
      <c r="C27" s="420">
        <f>AVERAGE(C24,C29)</f>
        <v>0.13331180286371219</v>
      </c>
      <c r="D27" s="419">
        <f ca="1">'Future Cashflows (10 Yrs)'!D12*(1-C27)</f>
        <v>527973.01624676737</v>
      </c>
      <c r="E27" s="239">
        <f ca="1">K14</f>
        <v>365.5107001511937</v>
      </c>
      <c r="F27" s="419">
        <f t="shared" ca="1" si="2"/>
        <v>528338.52694691857</v>
      </c>
      <c r="G27" s="191">
        <f ca="1">1-(F27/'Future Cashflows (10 Yrs)'!D12)</f>
        <v>0.13271180286371209</v>
      </c>
      <c r="L27" s="161"/>
      <c r="M27" s="161"/>
      <c r="N27" s="161"/>
      <c r="O27" s="161"/>
      <c r="P27" s="161"/>
      <c r="Q27" s="161"/>
      <c r="R27" s="161"/>
      <c r="S27" s="161"/>
      <c r="T27" s="161"/>
      <c r="U27" s="161"/>
      <c r="V27" s="161"/>
      <c r="W27" s="161"/>
      <c r="X27" s="161"/>
      <c r="Y27" s="161"/>
      <c r="Z27" s="161"/>
      <c r="AA27" s="161"/>
      <c r="AB27" s="161"/>
      <c r="AC27" s="161"/>
      <c r="AD27" s="161"/>
      <c r="AE27" s="161"/>
      <c r="AF27" s="161"/>
    </row>
    <row r="28" spans="1:32">
      <c r="B28" s="231">
        <f t="shared" si="3"/>
        <v>9</v>
      </c>
      <c r="C28" s="420">
        <f>AVERAGE(C27,C29)</f>
        <v>0.1377059014318561</v>
      </c>
      <c r="D28" s="419">
        <f ca="1">'Future Cashflows (10 Yrs)'!D13*(1-C28)</f>
        <v>556894.30587369238</v>
      </c>
      <c r="E28" s="239">
        <f ca="1">L14</f>
        <v>387.49724030241623</v>
      </c>
      <c r="F28" s="419">
        <f t="shared" ca="1" si="2"/>
        <v>557281.80311399477</v>
      </c>
      <c r="G28" s="191">
        <f ca="1">1-(F28/'Future Cashflows (10 Yrs)'!D13)</f>
        <v>0.13710590143185619</v>
      </c>
      <c r="L28" s="161"/>
      <c r="M28" s="161"/>
      <c r="N28" s="161"/>
      <c r="O28" s="161"/>
      <c r="P28" s="161"/>
      <c r="Q28" s="161"/>
      <c r="R28" s="161"/>
      <c r="S28" s="161"/>
      <c r="T28" s="161"/>
      <c r="U28" s="161"/>
      <c r="V28" s="161"/>
      <c r="W28" s="161"/>
      <c r="X28" s="161"/>
      <c r="Y28" s="161"/>
      <c r="Z28" s="161"/>
      <c r="AA28" s="161"/>
      <c r="AB28" s="161"/>
      <c r="AC28" s="161"/>
      <c r="AD28" s="161"/>
      <c r="AE28" s="161"/>
      <c r="AF28" s="161"/>
    </row>
    <row r="29" spans="1:32">
      <c r="B29" s="231">
        <f t="shared" si="3"/>
        <v>10</v>
      </c>
      <c r="C29" s="420">
        <f>'Expected Growth Rate'!H59</f>
        <v>0.1421</v>
      </c>
      <c r="D29" s="419">
        <f ca="1">'Future Cashflows (10 Yrs)'!D14*(1-C29)</f>
        <v>583288.49015632004</v>
      </c>
      <c r="E29" s="239">
        <f ca="1">M14</f>
        <v>407.9415947007717</v>
      </c>
      <c r="F29" s="419">
        <f t="shared" ca="1" si="2"/>
        <v>583696.43175102083</v>
      </c>
      <c r="G29" s="191">
        <f ca="1">1-(F29/'Future Cashflows (10 Yrs)'!D14)</f>
        <v>0.14150000000000007</v>
      </c>
      <c r="K29" s="161"/>
      <c r="L29" s="161"/>
      <c r="M29" s="161"/>
      <c r="N29" s="161"/>
      <c r="O29" s="161"/>
      <c r="P29" s="161"/>
      <c r="Q29" s="161"/>
      <c r="R29" s="161"/>
      <c r="S29" s="161"/>
      <c r="T29" s="161"/>
      <c r="U29" s="161"/>
      <c r="V29" s="161"/>
      <c r="W29" s="161"/>
      <c r="X29" s="161"/>
      <c r="Y29" s="161"/>
      <c r="Z29" s="161"/>
      <c r="AA29" s="161"/>
      <c r="AB29" s="161"/>
      <c r="AC29" s="161"/>
      <c r="AD29" s="161"/>
      <c r="AE29" s="161"/>
      <c r="AF29" s="161"/>
    </row>
    <row r="30" spans="1:32" ht="14.25" customHeight="1">
      <c r="D30" s="6"/>
      <c r="E30" s="6"/>
      <c r="K30" s="161"/>
      <c r="L30" s="161"/>
      <c r="M30" s="161"/>
      <c r="N30" s="161"/>
      <c r="O30" s="161"/>
      <c r="P30" s="161"/>
      <c r="Q30" s="161"/>
      <c r="R30" s="161"/>
      <c r="S30" s="161"/>
      <c r="T30" s="161"/>
      <c r="U30" s="161"/>
      <c r="V30" s="161"/>
      <c r="W30" s="161"/>
      <c r="X30" s="161"/>
      <c r="Y30" s="161"/>
      <c r="Z30" s="161"/>
      <c r="AA30" s="161"/>
      <c r="AB30" s="161"/>
      <c r="AC30" s="161"/>
      <c r="AD30" s="161"/>
      <c r="AE30" s="161"/>
      <c r="AF30" s="161"/>
    </row>
    <row r="31" spans="1:32">
      <c r="D31" s="25"/>
      <c r="E31" s="25"/>
      <c r="G31" s="161"/>
      <c r="H31" s="161"/>
      <c r="I31" s="161"/>
      <c r="J31" s="161"/>
      <c r="K31" s="161"/>
      <c r="L31" s="161"/>
      <c r="M31" s="161"/>
      <c r="N31" s="161"/>
      <c r="O31" s="161"/>
      <c r="P31" s="161"/>
      <c r="Q31" s="161"/>
      <c r="R31" s="161"/>
      <c r="S31" s="161"/>
      <c r="T31" s="161"/>
      <c r="U31" s="161"/>
      <c r="V31" s="161"/>
      <c r="W31" s="161"/>
      <c r="X31" s="161"/>
      <c r="Y31" s="161"/>
      <c r="Z31" s="161"/>
      <c r="AA31" s="161"/>
      <c r="AB31" s="161"/>
      <c r="AC31" s="161"/>
      <c r="AD31" s="161"/>
      <c r="AE31" s="161"/>
      <c r="AF31" s="161"/>
    </row>
    <row r="32" spans="1:32">
      <c r="D32" s="3"/>
      <c r="E32" s="3"/>
      <c r="G32" s="161"/>
      <c r="H32" s="161"/>
      <c r="I32" s="161"/>
      <c r="J32" s="161"/>
      <c r="K32" s="161"/>
      <c r="L32" s="161"/>
      <c r="M32" s="161"/>
      <c r="N32" s="161"/>
      <c r="O32" s="161"/>
      <c r="P32" s="161"/>
      <c r="Q32" s="161"/>
      <c r="R32" s="161"/>
      <c r="S32" s="161"/>
      <c r="T32" s="161"/>
      <c r="U32" s="161"/>
      <c r="V32" s="161"/>
      <c r="W32" s="161"/>
      <c r="X32" s="161"/>
      <c r="Y32" s="161"/>
      <c r="Z32" s="161"/>
      <c r="AA32" s="161"/>
      <c r="AB32" s="161"/>
      <c r="AC32" s="161"/>
      <c r="AD32" s="161"/>
      <c r="AE32" s="161"/>
      <c r="AF32" s="161"/>
    </row>
    <row r="33" spans="4:32">
      <c r="G33" s="161"/>
      <c r="H33" s="161"/>
      <c r="I33" s="161"/>
      <c r="J33" s="161"/>
      <c r="K33" s="161"/>
      <c r="L33" s="161"/>
      <c r="M33" s="161"/>
      <c r="N33" s="161"/>
      <c r="O33" s="161"/>
      <c r="P33" s="161"/>
      <c r="Q33" s="161"/>
      <c r="R33" s="161"/>
      <c r="S33" s="161"/>
      <c r="T33" s="161"/>
      <c r="U33" s="161"/>
      <c r="V33" s="161"/>
      <c r="W33" s="161"/>
      <c r="X33" s="161"/>
      <c r="Y33" s="161"/>
      <c r="Z33" s="161"/>
      <c r="AA33" s="161"/>
      <c r="AB33" s="161"/>
      <c r="AC33" s="161"/>
      <c r="AD33" s="161"/>
      <c r="AE33" s="161"/>
      <c r="AF33" s="161"/>
    </row>
    <row r="34" spans="4:32">
      <c r="D34" s="24"/>
      <c r="E34" s="24"/>
      <c r="G34" s="161"/>
      <c r="H34" s="161"/>
      <c r="I34" s="161"/>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row>
    <row r="35" spans="4:32">
      <c r="D35" s="53"/>
      <c r="E35" s="3"/>
      <c r="G35" s="161"/>
      <c r="H35" s="161"/>
      <c r="I35" s="161"/>
      <c r="J35" s="161"/>
      <c r="K35" s="161"/>
      <c r="L35" s="161"/>
      <c r="M35" s="161"/>
      <c r="N35" s="161"/>
      <c r="O35" s="161"/>
      <c r="P35" s="161"/>
      <c r="Q35" s="161"/>
      <c r="R35" s="161"/>
      <c r="S35" s="161"/>
      <c r="T35" s="161"/>
      <c r="U35" s="161"/>
      <c r="V35" s="161"/>
      <c r="W35" s="161"/>
      <c r="X35" s="161"/>
      <c r="Y35" s="161"/>
      <c r="Z35" s="161"/>
      <c r="AA35" s="161"/>
      <c r="AB35" s="161"/>
      <c r="AC35" s="161"/>
      <c r="AD35" s="161"/>
      <c r="AE35" s="161"/>
      <c r="AF35" s="161"/>
    </row>
    <row r="36" spans="4:32">
      <c r="G36" s="161"/>
      <c r="H36" s="161"/>
      <c r="I36" s="161"/>
      <c r="J36" s="161"/>
      <c r="K36" s="161"/>
      <c r="L36" s="161"/>
      <c r="M36" s="161"/>
      <c r="N36" s="161"/>
      <c r="O36" s="161"/>
      <c r="P36" s="161"/>
      <c r="Q36" s="161"/>
      <c r="R36" s="161"/>
      <c r="S36" s="161"/>
      <c r="T36" s="161"/>
      <c r="U36" s="161"/>
      <c r="V36" s="161"/>
      <c r="W36" s="161"/>
      <c r="X36" s="161"/>
      <c r="Y36" s="161"/>
      <c r="Z36" s="161"/>
      <c r="AA36" s="161"/>
      <c r="AB36" s="161"/>
      <c r="AC36" s="161"/>
      <c r="AD36" s="161"/>
      <c r="AE36" s="161"/>
      <c r="AF36" s="161"/>
    </row>
    <row r="37" spans="4:32">
      <c r="G37" s="161"/>
      <c r="H37" s="161"/>
      <c r="I37" s="161"/>
      <c r="J37" s="161"/>
      <c r="K37" s="161"/>
      <c r="L37" s="161"/>
      <c r="M37" s="161"/>
      <c r="N37" s="161"/>
      <c r="O37" s="161"/>
      <c r="P37" s="161"/>
      <c r="Q37" s="161"/>
      <c r="R37" s="161"/>
      <c r="S37" s="161"/>
      <c r="T37" s="161"/>
      <c r="U37" s="161"/>
      <c r="V37" s="161"/>
      <c r="W37" s="161"/>
      <c r="X37" s="161"/>
      <c r="Y37" s="161"/>
      <c r="Z37" s="161"/>
      <c r="AA37" s="161"/>
      <c r="AB37" s="161"/>
      <c r="AC37" s="161"/>
      <c r="AD37" s="161"/>
      <c r="AE37" s="161"/>
      <c r="AF37" s="161"/>
    </row>
    <row r="38" spans="4:32">
      <c r="G38" s="161"/>
      <c r="H38" s="161"/>
      <c r="I38" s="161"/>
      <c r="J38" s="161"/>
      <c r="K38" s="161"/>
      <c r="L38" s="161"/>
      <c r="M38" s="161"/>
      <c r="N38" s="161"/>
      <c r="O38" s="161"/>
      <c r="P38" s="161"/>
      <c r="Q38" s="161"/>
      <c r="R38" s="161"/>
      <c r="S38" s="161"/>
      <c r="T38" s="161"/>
      <c r="U38" s="161"/>
      <c r="V38" s="161"/>
      <c r="W38" s="161"/>
      <c r="X38" s="161"/>
      <c r="Y38" s="161"/>
      <c r="Z38" s="161"/>
      <c r="AA38" s="161"/>
      <c r="AB38" s="161"/>
      <c r="AC38" s="161"/>
      <c r="AD38" s="161"/>
      <c r="AE38" s="161"/>
      <c r="AF38" s="161"/>
    </row>
  </sheetData>
  <mergeCells count="3">
    <mergeCell ref="B3:H3"/>
    <mergeCell ref="B10:M10"/>
    <mergeCell ref="B17:G17"/>
  </mergeCells>
  <pageMargins left="0.7" right="0.7" top="0.75" bottom="0.75" header="0.3" footer="0.3"/>
  <pageSetup paperSize="8"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4"/>
  <sheetViews>
    <sheetView workbookViewId="0"/>
  </sheetViews>
  <sheetFormatPr defaultRowHeight="12" customHeight="1"/>
  <cols>
    <col min="1" max="1" width="2" style="2" customWidth="1"/>
    <col min="2" max="2" width="25.5703125" style="2" customWidth="1"/>
    <col min="3" max="3" width="14.28515625" style="2" customWidth="1"/>
    <col min="4" max="4" width="11.42578125" style="2" customWidth="1"/>
    <col min="5" max="5" width="11.5703125" style="2" customWidth="1"/>
    <col min="6" max="6" width="11.42578125" style="2" customWidth="1"/>
    <col min="7" max="7" width="11.140625" style="2" bestFit="1" customWidth="1"/>
    <col min="8" max="8" width="11.85546875" style="2" customWidth="1"/>
    <col min="9" max="9" width="12.140625" style="2" customWidth="1"/>
    <col min="10" max="10" width="12" style="2" customWidth="1"/>
    <col min="11" max="11" width="11.140625" style="2" bestFit="1" customWidth="1"/>
    <col min="12" max="12" width="11.42578125" style="2" customWidth="1"/>
    <col min="13" max="13" width="9.140625" style="2"/>
    <col min="14" max="14" width="18.42578125" style="2" customWidth="1"/>
    <col min="15" max="16384" width="9.140625" style="2"/>
  </cols>
  <sheetData>
    <row r="1" spans="1:20" ht="16.5" customHeight="1">
      <c r="B1" s="17" t="s">
        <v>206</v>
      </c>
    </row>
    <row r="3" spans="1:20" ht="12" customHeight="1">
      <c r="E3" s="44"/>
      <c r="F3" s="33"/>
      <c r="G3" s="280"/>
      <c r="H3" s="32"/>
      <c r="I3" s="3"/>
      <c r="J3" s="3"/>
      <c r="K3" s="3"/>
      <c r="L3" s="3"/>
      <c r="M3" s="3"/>
      <c r="N3" s="3"/>
      <c r="O3" s="3"/>
      <c r="P3" s="3"/>
      <c r="Q3" s="3"/>
      <c r="R3" s="3"/>
      <c r="S3" s="3"/>
      <c r="T3" s="3"/>
    </row>
    <row r="4" spans="1:20" ht="12" customHeight="1">
      <c r="B4" s="442" t="s">
        <v>210</v>
      </c>
      <c r="C4" s="442"/>
      <c r="D4" s="442"/>
      <c r="E4" s="442"/>
      <c r="F4" s="442"/>
      <c r="G4" s="442"/>
      <c r="H4" s="442"/>
      <c r="I4" s="442"/>
      <c r="J4" s="442"/>
      <c r="K4" s="442"/>
      <c r="L4" s="442"/>
      <c r="M4" s="3"/>
      <c r="N4" s="3"/>
      <c r="O4" s="3"/>
      <c r="P4" s="3"/>
      <c r="Q4" s="3"/>
      <c r="R4" s="3"/>
      <c r="S4" s="3"/>
      <c r="T4" s="3"/>
    </row>
    <row r="5" spans="1:20" ht="12" customHeight="1">
      <c r="B5" s="279"/>
      <c r="C5" s="282">
        <v>1</v>
      </c>
      <c r="D5" s="282">
        <v>2</v>
      </c>
      <c r="E5" s="283">
        <v>3</v>
      </c>
      <c r="F5" s="284">
        <v>4</v>
      </c>
      <c r="G5" s="285">
        <v>5</v>
      </c>
      <c r="H5" s="286">
        <v>6</v>
      </c>
      <c r="I5" s="282">
        <v>7</v>
      </c>
      <c r="J5" s="282">
        <v>8</v>
      </c>
      <c r="K5" s="282">
        <v>9</v>
      </c>
      <c r="L5" s="282">
        <v>10</v>
      </c>
      <c r="M5" s="3"/>
      <c r="N5" s="3"/>
      <c r="O5" s="3"/>
      <c r="P5" s="3"/>
      <c r="Q5" s="3"/>
      <c r="R5" s="3"/>
      <c r="S5" s="3"/>
      <c r="T5" s="3"/>
    </row>
    <row r="6" spans="1:20" ht="12" customHeight="1">
      <c r="B6" s="51" t="s">
        <v>208</v>
      </c>
      <c r="C6" s="281">
        <f>'Future Cashflows (10 Yrs)'!F19</f>
        <v>5414.3043146327873</v>
      </c>
      <c r="D6" s="281">
        <f ca="1">'Future Cashflows (10 Yrs)'!F20</f>
        <v>7825.7625162409167</v>
      </c>
      <c r="E6" s="260">
        <f ca="1">'Future Cashflows (10 Yrs)'!F21</f>
        <v>10613.721613894522</v>
      </c>
      <c r="F6" s="260">
        <f ca="1">'Future Cashflows (10 Yrs)'!F22</f>
        <v>14563.368235746544</v>
      </c>
      <c r="G6" s="260">
        <f ca="1">'Future Cashflows (10 Yrs)'!F23</f>
        <v>19076.498775656579</v>
      </c>
      <c r="H6" s="260">
        <f ca="1">'Future Cashflows (10 Yrs)'!F24</f>
        <v>24159.940830656105</v>
      </c>
      <c r="I6" s="281">
        <f ca="1">'Future Cashflows (10 Yrs)'!F25</f>
        <v>29355.424792293994</v>
      </c>
      <c r="J6" s="281">
        <f ca="1">'Future Cashflows (10 Yrs)'!F26</f>
        <v>34941.831416370187</v>
      </c>
      <c r="K6" s="281">
        <f ca="1">'Future Cashflows (10 Yrs)'!F27</f>
        <v>41964.268762722306</v>
      </c>
      <c r="L6" s="281">
        <f ca="1">'Future Cashflows (10 Yrs)'!F28</f>
        <v>49399.853860621894</v>
      </c>
      <c r="M6" s="3"/>
      <c r="N6" s="3"/>
      <c r="O6" s="3"/>
      <c r="P6" s="3"/>
      <c r="Q6" s="3"/>
      <c r="R6" s="3"/>
      <c r="S6" s="3"/>
      <c r="T6" s="3"/>
    </row>
    <row r="7" spans="1:20" ht="12" customHeight="1">
      <c r="B7" s="51" t="s">
        <v>209</v>
      </c>
      <c r="C7" s="134">
        <f ca="1">WACC!$C$13</f>
        <v>7.1230220163832916E-2</v>
      </c>
      <c r="D7" s="134">
        <f ca="1">C7</f>
        <v>7.1230220163832916E-2</v>
      </c>
      <c r="E7" s="134">
        <f ca="1">AVERAGE(F7,C7)</f>
        <v>7.1226040376810185E-2</v>
      </c>
      <c r="F7" s="92">
        <f ca="1">AVERAGE(C7,H7)</f>
        <v>7.1221860589787439E-2</v>
      </c>
      <c r="G7" s="92">
        <f ca="1">AVERAGE(F7,H7)</f>
        <v>7.1217680802764707E-2</v>
      </c>
      <c r="H7" s="92">
        <f ca="1">AVERAGE(C7,L7)</f>
        <v>7.1213501015741976E-2</v>
      </c>
      <c r="I7" s="134">
        <f ca="1">AVERAGE(H7,J7)</f>
        <v>7.120932122871923E-2</v>
      </c>
      <c r="J7" s="134">
        <f ca="1">AVERAGE(H7,L7)</f>
        <v>7.1205141441696498E-2</v>
      </c>
      <c r="K7" s="134">
        <f ca="1">AVERAGE(J7,L7)</f>
        <v>7.1200961654673767E-2</v>
      </c>
      <c r="L7" s="134">
        <f ca="1">'Terminal Value'!$G$19</f>
        <v>7.1196781867651021E-2</v>
      </c>
      <c r="M7" s="22"/>
      <c r="N7" s="3"/>
      <c r="O7" s="3"/>
      <c r="P7" s="3"/>
      <c r="Q7" s="3"/>
      <c r="R7" s="3"/>
      <c r="S7" s="3"/>
      <c r="T7" s="3"/>
    </row>
    <row r="8" spans="1:20" ht="12" customHeight="1">
      <c r="B8" s="111" t="s">
        <v>207</v>
      </c>
      <c r="C8" s="178">
        <f ca="1">C6/(1+C7)^C5</f>
        <v>5054.2863828138916</v>
      </c>
      <c r="D8" s="178">
        <f t="shared" ref="D8:K8" ca="1" si="0">D6/(1+D7)^D5</f>
        <v>6819.6334552086537</v>
      </c>
      <c r="E8" s="178">
        <f t="shared" ca="1" si="0"/>
        <v>8634.2442145732166</v>
      </c>
      <c r="F8" s="178">
        <f t="shared" ca="1" si="0"/>
        <v>11059.719784778454</v>
      </c>
      <c r="G8" s="178">
        <f t="shared" ca="1" si="0"/>
        <v>13524.150897575051</v>
      </c>
      <c r="H8" s="178">
        <f t="shared" ca="1" si="0"/>
        <v>15989.675141542262</v>
      </c>
      <c r="I8" s="178">
        <f t="shared" ca="1" si="0"/>
        <v>18137.105021793148</v>
      </c>
      <c r="J8" s="178">
        <f t="shared" ca="1" si="0"/>
        <v>20154.149519509618</v>
      </c>
      <c r="K8" s="178">
        <f t="shared" ca="1" si="0"/>
        <v>22596.494740657898</v>
      </c>
      <c r="L8" s="178">
        <f ca="1">L6/(1+L7)^L5</f>
        <v>24833.222020473422</v>
      </c>
      <c r="M8" s="3"/>
      <c r="N8" s="3"/>
      <c r="O8" s="3"/>
      <c r="P8" s="3"/>
      <c r="Q8" s="3"/>
      <c r="R8" s="3"/>
      <c r="S8" s="3"/>
      <c r="T8" s="3"/>
    </row>
    <row r="9" spans="1:20" ht="12" customHeight="1">
      <c r="M9" s="3"/>
      <c r="N9" s="3"/>
      <c r="O9" s="3"/>
      <c r="P9" s="3"/>
      <c r="Q9" s="3"/>
      <c r="R9" s="3"/>
      <c r="S9" s="3"/>
      <c r="T9" s="3"/>
    </row>
    <row r="10" spans="1:20" ht="12" customHeight="1">
      <c r="A10" s="3"/>
      <c r="E10" s="32"/>
      <c r="F10" s="32"/>
      <c r="G10" s="32"/>
      <c r="H10" s="32"/>
      <c r="M10" s="3"/>
      <c r="N10" s="3"/>
      <c r="O10" s="3"/>
      <c r="P10" s="3"/>
      <c r="Q10" s="3"/>
      <c r="R10" s="3"/>
      <c r="S10" s="3"/>
      <c r="T10" s="3"/>
    </row>
    <row r="11" spans="1:20" ht="12" customHeight="1">
      <c r="A11" s="3"/>
      <c r="E11" s="35"/>
      <c r="F11" s="35"/>
      <c r="G11" s="35"/>
      <c r="H11" s="35"/>
      <c r="L11" s="322"/>
      <c r="N11" s="3"/>
      <c r="O11" s="3"/>
      <c r="P11" s="3"/>
      <c r="Q11" s="3"/>
      <c r="R11" s="3"/>
      <c r="S11" s="3"/>
      <c r="T11" s="3"/>
    </row>
    <row r="12" spans="1:20" ht="12" customHeight="1">
      <c r="A12" s="3"/>
      <c r="B12" s="295" t="s">
        <v>205</v>
      </c>
      <c r="C12" s="260">
        <f ca="1">SUM(C8:L8)</f>
        <v>146802.68117892562</v>
      </c>
      <c r="G12" s="32"/>
      <c r="H12" s="32"/>
      <c r="I12" s="32"/>
      <c r="J12" s="32"/>
      <c r="K12" s="32"/>
      <c r="L12" s="3"/>
      <c r="M12" s="3"/>
      <c r="N12" s="3"/>
      <c r="O12" s="3"/>
      <c r="P12" s="3"/>
      <c r="Q12" s="3"/>
      <c r="R12" s="3"/>
      <c r="S12" s="3"/>
      <c r="T12" s="3"/>
    </row>
    <row r="13" spans="1:20" ht="12" customHeight="1">
      <c r="A13" s="3"/>
      <c r="B13" s="295" t="s">
        <v>162</v>
      </c>
      <c r="C13" s="260">
        <f ca="1">'Terminal Value'!$C$13</f>
        <v>1805983.9634445144</v>
      </c>
      <c r="D13" s="32"/>
      <c r="E13" s="32"/>
      <c r="F13" s="32"/>
      <c r="G13" s="32"/>
      <c r="H13" s="32"/>
      <c r="I13" s="32"/>
      <c r="J13" s="32"/>
      <c r="K13" s="32"/>
      <c r="L13" s="3"/>
      <c r="M13" s="3"/>
      <c r="N13" s="3"/>
      <c r="O13" s="3"/>
      <c r="P13" s="3"/>
      <c r="Q13" s="3"/>
      <c r="R13" s="3"/>
      <c r="S13" s="3"/>
      <c r="T13" s="3"/>
    </row>
    <row r="14" spans="1:20" s="27" customFormat="1" ht="12" customHeight="1">
      <c r="A14" s="26"/>
      <c r="B14" s="295" t="s">
        <v>199</v>
      </c>
      <c r="C14" s="260">
        <f ca="1">C13/(1+L7)^'Fair Value of Share'!$L$5</f>
        <v>907865.04867339681</v>
      </c>
      <c r="D14" s="45"/>
      <c r="E14" s="104"/>
      <c r="F14" s="324"/>
      <c r="G14" s="45"/>
      <c r="H14" s="45"/>
      <c r="I14" s="45"/>
      <c r="J14" s="45"/>
      <c r="K14" s="45"/>
      <c r="L14" s="26"/>
      <c r="M14" s="26"/>
      <c r="N14" s="26"/>
      <c r="O14" s="26"/>
      <c r="P14" s="26"/>
      <c r="Q14" s="26"/>
      <c r="R14" s="26"/>
      <c r="S14" s="26"/>
      <c r="T14" s="26"/>
    </row>
    <row r="15" spans="1:20" ht="12" customHeight="1">
      <c r="A15" s="3"/>
      <c r="B15" s="296" t="s">
        <v>211</v>
      </c>
      <c r="C15" s="297">
        <f ca="1">C14+C12</f>
        <v>1054667.7298523225</v>
      </c>
      <c r="E15" s="314"/>
      <c r="F15" s="312"/>
      <c r="I15" s="32"/>
      <c r="J15" s="32"/>
      <c r="K15" s="32"/>
      <c r="L15" s="3"/>
      <c r="N15" s="3"/>
      <c r="O15" s="3"/>
      <c r="P15" s="3"/>
      <c r="Q15" s="3"/>
      <c r="R15" s="3"/>
      <c r="S15" s="3"/>
      <c r="T15" s="3"/>
    </row>
    <row r="16" spans="1:20" ht="12" customHeight="1">
      <c r="A16" s="287" t="s">
        <v>122</v>
      </c>
      <c r="B16" s="298" t="s">
        <v>192</v>
      </c>
      <c r="C16" s="260">
        <f ca="1">'Cash &amp; Marketable Securities'!$C$12</f>
        <v>11489.559375519884</v>
      </c>
      <c r="E16" s="314"/>
      <c r="F16" s="319"/>
      <c r="I16" s="32"/>
      <c r="J16" s="32"/>
      <c r="K16" s="32"/>
      <c r="L16" s="3"/>
      <c r="M16" s="3"/>
      <c r="N16" s="3"/>
      <c r="O16" s="3"/>
      <c r="P16" s="3"/>
      <c r="Q16" s="3"/>
      <c r="R16" s="3"/>
      <c r="S16" s="3"/>
      <c r="T16" s="3"/>
    </row>
    <row r="17" spans="1:20" ht="12" customHeight="1">
      <c r="A17" s="287" t="s">
        <v>122</v>
      </c>
      <c r="B17" s="299" t="s">
        <v>204</v>
      </c>
      <c r="C17" s="260">
        <v>0</v>
      </c>
      <c r="E17" s="314"/>
      <c r="F17" s="320"/>
      <c r="I17" s="32"/>
      <c r="J17" s="32"/>
      <c r="K17" s="32"/>
      <c r="L17" s="3"/>
      <c r="M17" s="3"/>
      <c r="N17" s="3"/>
      <c r="O17" s="3"/>
      <c r="P17" s="3"/>
      <c r="Q17" s="3"/>
      <c r="R17" s="3"/>
      <c r="S17" s="3"/>
      <c r="T17" s="3"/>
    </row>
    <row r="18" spans="1:20" ht="12" customHeight="1">
      <c r="A18" s="287" t="s">
        <v>122</v>
      </c>
      <c r="B18" s="31" t="s">
        <v>212</v>
      </c>
      <c r="C18" s="281">
        <v>0</v>
      </c>
      <c r="D18" s="32"/>
      <c r="E18" s="314"/>
      <c r="F18" s="321"/>
      <c r="I18" s="32"/>
      <c r="J18" s="32"/>
      <c r="K18" s="32"/>
      <c r="L18" s="3"/>
      <c r="M18" s="3"/>
      <c r="N18" s="3"/>
      <c r="O18" s="3"/>
      <c r="P18" s="3"/>
      <c r="Q18" s="3"/>
      <c r="R18" s="3"/>
      <c r="S18" s="3"/>
      <c r="T18" s="3"/>
    </row>
    <row r="19" spans="1:20" ht="12" customHeight="1">
      <c r="A19" s="3"/>
      <c r="B19" s="296" t="s">
        <v>202</v>
      </c>
      <c r="C19" s="297">
        <f ca="1">SUM(C15:C18)</f>
        <v>1066157.2892278424</v>
      </c>
      <c r="D19" s="32"/>
      <c r="E19" s="314"/>
      <c r="F19" s="320"/>
      <c r="I19" s="32"/>
      <c r="J19" s="32"/>
      <c r="K19" s="32"/>
      <c r="L19" s="3"/>
      <c r="M19" s="3"/>
      <c r="N19" s="3"/>
      <c r="O19" s="3"/>
      <c r="P19" s="3"/>
      <c r="Q19" s="3"/>
      <c r="R19" s="3"/>
      <c r="S19" s="3"/>
      <c r="T19" s="3"/>
    </row>
    <row r="20" spans="1:20" ht="12" customHeight="1">
      <c r="A20" s="8" t="s">
        <v>88</v>
      </c>
      <c r="B20" s="295" t="s">
        <v>201</v>
      </c>
      <c r="C20" s="300">
        <f>WACC!F22+ 36851.47+ 1414.86</f>
        <v>58428.261721515169</v>
      </c>
      <c r="D20" s="32"/>
      <c r="E20" s="314"/>
      <c r="F20" s="32"/>
      <c r="I20" s="32"/>
      <c r="J20" s="32"/>
      <c r="K20" s="32"/>
      <c r="L20" s="3"/>
      <c r="M20" s="3"/>
      <c r="N20" s="3"/>
      <c r="O20" s="3"/>
      <c r="P20" s="3"/>
      <c r="Q20" s="3"/>
      <c r="R20" s="3"/>
      <c r="S20" s="3"/>
      <c r="T20" s="3"/>
    </row>
    <row r="21" spans="1:20" ht="12" customHeight="1">
      <c r="A21" s="8"/>
      <c r="B21" s="296" t="s">
        <v>203</v>
      </c>
      <c r="C21" s="176">
        <f ca="1">C19-C20</f>
        <v>1007729.0275063271</v>
      </c>
      <c r="D21" s="34"/>
      <c r="E21" s="314"/>
      <c r="F21" s="32"/>
      <c r="I21" s="32"/>
      <c r="J21" s="32"/>
      <c r="K21" s="32"/>
      <c r="L21" s="3"/>
      <c r="M21" s="3"/>
      <c r="N21" s="3"/>
      <c r="O21" s="3"/>
      <c r="P21" s="3"/>
      <c r="Q21" s="3"/>
      <c r="R21" s="3"/>
      <c r="S21" s="3"/>
      <c r="T21" s="3"/>
    </row>
    <row r="22" spans="1:20" ht="12" customHeight="1">
      <c r="A22" s="294" t="s">
        <v>88</v>
      </c>
      <c r="B22" s="31" t="s">
        <v>213</v>
      </c>
      <c r="C22" s="281">
        <f>2.2*427.648145</f>
        <v>940.82591900000011</v>
      </c>
      <c r="D22" s="32"/>
      <c r="E22" s="314"/>
      <c r="F22" s="35"/>
      <c r="I22" s="32"/>
      <c r="J22" s="32"/>
      <c r="K22" s="32"/>
      <c r="L22" s="3"/>
      <c r="M22" s="3"/>
      <c r="O22" s="3"/>
      <c r="P22" s="3"/>
      <c r="Q22" s="3"/>
      <c r="R22" s="3"/>
      <c r="S22" s="3"/>
      <c r="T22" s="3"/>
    </row>
    <row r="23" spans="1:20" s="30" customFormat="1" ht="12" customHeight="1">
      <c r="B23" s="296" t="s">
        <v>215</v>
      </c>
      <c r="C23" s="301">
        <f ca="1">C21-C22</f>
        <v>1006788.2015873272</v>
      </c>
      <c r="D23" s="32"/>
      <c r="E23" s="314"/>
      <c r="F23" s="32"/>
      <c r="I23" s="35"/>
      <c r="J23" s="35"/>
      <c r="K23" s="35"/>
      <c r="L23" s="29"/>
      <c r="M23" s="29"/>
      <c r="N23" s="29"/>
      <c r="O23" s="29"/>
      <c r="P23" s="29"/>
      <c r="Q23" s="29"/>
      <c r="R23" s="29"/>
      <c r="S23" s="29"/>
      <c r="T23" s="29"/>
    </row>
    <row r="24" spans="1:20" ht="12" customHeight="1">
      <c r="B24" s="31" t="s">
        <v>114</v>
      </c>
      <c r="C24" s="323">
        <f>WACC!$F$27</f>
        <v>1336.46928</v>
      </c>
      <c r="D24" s="34"/>
      <c r="E24" s="26"/>
      <c r="F24" s="26"/>
      <c r="G24" s="3"/>
      <c r="H24" s="3"/>
      <c r="I24" s="3"/>
      <c r="J24" s="3"/>
      <c r="K24" s="3"/>
      <c r="L24" s="3"/>
      <c r="M24" s="3"/>
      <c r="N24" s="3"/>
      <c r="O24" s="3"/>
      <c r="P24" s="3"/>
      <c r="Q24" s="3"/>
      <c r="R24" s="3"/>
      <c r="S24" s="3"/>
      <c r="T24" s="3"/>
    </row>
    <row r="25" spans="1:20" ht="12" customHeight="1">
      <c r="B25" s="28" t="s">
        <v>214</v>
      </c>
      <c r="C25" s="205">
        <f ca="1">C23/C24</f>
        <v>753.31937415525715</v>
      </c>
      <c r="D25" s="32"/>
      <c r="E25" s="3"/>
      <c r="G25" s="7"/>
      <c r="H25" s="15"/>
      <c r="I25" s="15"/>
      <c r="J25" s="15"/>
      <c r="K25" s="15"/>
      <c r="L25" s="3"/>
      <c r="M25" s="3"/>
      <c r="N25" s="3"/>
      <c r="O25" s="3"/>
      <c r="P25" s="3"/>
      <c r="Q25" s="3"/>
      <c r="R25" s="3"/>
      <c r="S25" s="3"/>
      <c r="T25" s="3"/>
    </row>
    <row r="26" spans="1:20" ht="12" customHeight="1">
      <c r="D26" s="35"/>
      <c r="E26" s="325"/>
      <c r="F26" s="325"/>
      <c r="G26" s="15"/>
      <c r="H26" s="6"/>
      <c r="I26" s="6"/>
      <c r="J26" s="6"/>
      <c r="K26" s="6"/>
      <c r="L26" s="3"/>
      <c r="M26" s="3"/>
      <c r="N26" s="3"/>
      <c r="O26" s="3"/>
      <c r="P26" s="3"/>
      <c r="Q26" s="3"/>
      <c r="R26" s="3"/>
      <c r="S26" s="3"/>
      <c r="T26" s="3"/>
    </row>
    <row r="27" spans="1:20" ht="12" customHeight="1">
      <c r="B27" s="3"/>
      <c r="C27" s="6"/>
      <c r="D27" s="3"/>
      <c r="E27" s="315"/>
      <c r="F27" s="316"/>
      <c r="G27" s="15"/>
      <c r="H27" s="6"/>
      <c r="I27" s="6"/>
      <c r="J27" s="6"/>
      <c r="K27" s="6"/>
      <c r="L27" s="3"/>
      <c r="M27" s="3"/>
      <c r="N27" s="3"/>
      <c r="O27" s="3"/>
      <c r="P27" s="3"/>
      <c r="Q27" s="3"/>
      <c r="R27" s="3"/>
      <c r="S27" s="3"/>
      <c r="T27" s="3"/>
    </row>
    <row r="28" spans="1:20" ht="12" customHeight="1">
      <c r="B28" s="3"/>
      <c r="C28" s="5"/>
      <c r="D28" s="3"/>
      <c r="E28" s="317"/>
      <c r="F28" s="318"/>
      <c r="G28" s="15"/>
      <c r="H28" s="6"/>
      <c r="I28" s="6"/>
      <c r="J28" s="6"/>
      <c r="K28" s="6"/>
      <c r="L28" s="3"/>
      <c r="M28" s="3"/>
      <c r="N28" s="3"/>
      <c r="O28" s="3"/>
      <c r="P28" s="3"/>
      <c r="Q28" s="3"/>
      <c r="R28" s="3"/>
      <c r="S28" s="3"/>
      <c r="T28" s="3"/>
    </row>
    <row r="29" spans="1:20" ht="12" customHeight="1">
      <c r="B29" s="3"/>
      <c r="C29" s="3"/>
      <c r="D29" s="3"/>
      <c r="E29" s="46"/>
      <c r="F29" s="218"/>
      <c r="G29" s="15"/>
      <c r="H29" s="6"/>
      <c r="I29" s="6"/>
      <c r="J29" s="6"/>
      <c r="K29" s="6"/>
      <c r="L29" s="3"/>
      <c r="M29" s="3"/>
      <c r="N29" s="3"/>
      <c r="O29" s="3"/>
      <c r="P29" s="3"/>
      <c r="Q29" s="3"/>
      <c r="R29" s="3"/>
      <c r="S29" s="3"/>
      <c r="T29" s="3"/>
    </row>
    <row r="30" spans="1:20" ht="12" customHeight="1">
      <c r="B30" s="3"/>
      <c r="C30" s="3"/>
      <c r="D30" s="3"/>
      <c r="E30" s="46"/>
      <c r="F30" s="190"/>
      <c r="G30" s="3"/>
      <c r="H30" s="3"/>
      <c r="I30" s="3"/>
      <c r="J30" s="3"/>
      <c r="K30" s="3"/>
      <c r="L30" s="3"/>
      <c r="M30" s="3"/>
      <c r="N30" s="3"/>
      <c r="O30" s="3"/>
      <c r="P30" s="3"/>
      <c r="Q30" s="3"/>
      <c r="R30" s="3"/>
      <c r="S30" s="3"/>
      <c r="T30" s="3"/>
    </row>
    <row r="31" spans="1:20" ht="12" customHeight="1">
      <c r="E31" s="34"/>
      <c r="F31" s="183"/>
      <c r="G31" s="3"/>
      <c r="H31" s="3"/>
      <c r="I31" s="3"/>
      <c r="J31" s="3"/>
      <c r="K31" s="3"/>
      <c r="L31" s="3"/>
      <c r="M31" s="3"/>
    </row>
    <row r="32" spans="1:20" ht="12" customHeight="1">
      <c r="C32" s="14"/>
      <c r="E32" s="3"/>
      <c r="F32" s="183"/>
      <c r="G32" s="3"/>
      <c r="H32" s="3"/>
      <c r="I32" s="3"/>
      <c r="J32" s="3"/>
      <c r="K32" s="3"/>
      <c r="L32" s="3"/>
      <c r="M32" s="3"/>
    </row>
    <row r="33" spans="2:13" ht="12" customHeight="1">
      <c r="E33" s="3"/>
      <c r="F33" s="311"/>
    </row>
    <row r="34" spans="2:13" ht="12" customHeight="1">
      <c r="B34" s="16"/>
      <c r="E34" s="3"/>
      <c r="F34" s="77"/>
      <c r="G34" s="9"/>
      <c r="K34" s="11"/>
    </row>
    <row r="35" spans="2:13" ht="12" customHeight="1">
      <c r="B35" s="9"/>
      <c r="E35" s="32"/>
      <c r="F35" s="310"/>
      <c r="G35" s="12"/>
      <c r="K35" s="9"/>
      <c r="M35" s="9"/>
    </row>
    <row r="36" spans="2:13" ht="12" customHeight="1">
      <c r="E36" s="32"/>
      <c r="M36" s="9"/>
    </row>
    <row r="37" spans="2:13" ht="12" customHeight="1">
      <c r="E37" s="32"/>
      <c r="F37" s="6"/>
      <c r="G37" s="16"/>
      <c r="K37" s="4"/>
    </row>
    <row r="40" spans="2:13" ht="12" customHeight="1">
      <c r="G40" s="13"/>
    </row>
    <row r="41" spans="2:13" ht="12" customHeight="1">
      <c r="G41" s="9"/>
    </row>
    <row r="42" spans="2:13" ht="12" customHeight="1">
      <c r="G42" s="13"/>
    </row>
    <row r="44" spans="2:13" ht="12" customHeight="1">
      <c r="G44" s="16"/>
    </row>
  </sheetData>
  <mergeCells count="1">
    <mergeCell ref="B4:L4"/>
  </mergeCells>
  <pageMargins left="0.7" right="0.7" top="0.75" bottom="0.75" header="0.3" footer="0.3"/>
  <pageSetup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vt:i4>
      </vt:variant>
    </vt:vector>
  </HeadingPairs>
  <TitlesOfParts>
    <vt:vector size="28" baseType="lpstr">
      <vt:lpstr>Cover</vt:lpstr>
      <vt:lpstr>About</vt:lpstr>
      <vt:lpstr>Corporate Governance</vt:lpstr>
      <vt:lpstr>Narrative</vt:lpstr>
      <vt:lpstr>Index</vt:lpstr>
      <vt:lpstr>Risk Free Rate</vt:lpstr>
      <vt:lpstr>Equity Risk Premium - India</vt:lpstr>
      <vt:lpstr>Radico Khaitan ERP</vt:lpstr>
      <vt:lpstr>Beta</vt:lpstr>
      <vt:lpstr>Cost of Equity &amp; Debt</vt:lpstr>
      <vt:lpstr>WACC</vt:lpstr>
      <vt:lpstr>Cash Flows</vt:lpstr>
      <vt:lpstr>Numbers</vt:lpstr>
      <vt:lpstr>EBIT &amp; Advertising Expense</vt:lpstr>
      <vt:lpstr>EBIT &amp; Operating Leases</vt:lpstr>
      <vt:lpstr>Net CapEx</vt:lpstr>
      <vt:lpstr>Working Capital Changes</vt:lpstr>
      <vt:lpstr>FCFF &amp; FCFE</vt:lpstr>
      <vt:lpstr>Growth Rate &amp; TV</vt:lpstr>
      <vt:lpstr>Expected Growth Rate</vt:lpstr>
      <vt:lpstr>Future Cashflows (10 Yrs)</vt:lpstr>
      <vt:lpstr>Terminal Value</vt:lpstr>
      <vt:lpstr>Road to Fair Value of Share</vt:lpstr>
      <vt:lpstr>Cash &amp; Marketable Securities</vt:lpstr>
      <vt:lpstr>Value of Cross Holdings</vt:lpstr>
      <vt:lpstr>Future Value of Equity Options</vt:lpstr>
      <vt:lpstr>Fair Value of Share</vt:lpstr>
      <vt:lpstr>'Future Value of Equity Options'!Print_Area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2022-10-01T07:47:27Z</dcterms:modified>
</cp:coreProperties>
</file>