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Equity Risk Premium - India" sheetId="26" r:id="rId6"/>
    <sheet name="Voltas ERP" sheetId="51" r:id="rId7"/>
    <sheet name="Beta" sheetId="30" r:id="rId8"/>
    <sheet name="Cost of Equity &amp; Debt" sheetId="23" r:id="rId9"/>
    <sheet name="WACC" sheetId="31" r:id="rId10"/>
    <sheet name="Cash Flows" sheetId="17" r:id="rId11"/>
    <sheet name="EBIT &amp; Operating Lease" sheetId="33" r:id="rId12"/>
    <sheet name="EBIT &amp; Advertising Expense" sheetId="49" r:id="rId13"/>
    <sheet name="EBIT &amp; R&amp;D Expense" sheetId="52" r:id="rId14"/>
    <sheet name="Net CapEx" sheetId="32" r:id="rId15"/>
    <sheet name="Working Capital Changes" sheetId="34" r:id="rId16"/>
    <sheet name="FCFF &amp; FCFE" sheetId="35" r:id="rId17"/>
    <sheet name="Growth Rate &amp; TV" sheetId="36" r:id="rId18"/>
    <sheet name="Expected Growth Rate" sheetId="39" r:id="rId19"/>
    <sheet name="Industry &amp; Revenues" sheetId="53" r:id="rId20"/>
    <sheet name="Future Cashflows (10 Yrs)" sheetId="37" r:id="rId21"/>
    <sheet name="Terminal Value" sheetId="40" r:id="rId22"/>
    <sheet name="Road to Fair Value of Share" sheetId="42" r:id="rId23"/>
    <sheet name="Cash &amp; Marketable Securities" sheetId="43" r:id="rId24"/>
    <sheet name="Value of Cross Holdings" sheetId="41" r:id="rId25"/>
    <sheet name="Fair Value of Share" sheetId="48" r:id="rId26"/>
  </sheets>
  <definedNames>
    <definedName name="_xlnm.Print_Area" localSheetId="13">'EBIT &amp; R&amp;D Expense'!$A$3:$C$17,'EBIT &amp; R&amp;D Expense'!$F$3:$M$8</definedName>
    <definedName name="_xlnm.Print_Area" localSheetId="25">'Fair Value of Share'!$A$12:$H$26</definedName>
    <definedName name="_xlnm.Print_Area" localSheetId="20">'Future Cashflows (10 Yrs)'!$A$2:$I$30</definedName>
    <definedName name="_xlnm.Print_Area" localSheetId="19">'Industry &amp; Revenues'!$A$2:$N$15</definedName>
  </definedNames>
  <calcPr calcId="162913" iterate="1"/>
</workbook>
</file>

<file path=xl/calcChain.xml><?xml version="1.0" encoding="utf-8"?>
<calcChain xmlns="http://schemas.openxmlformats.org/spreadsheetml/2006/main">
  <c r="N25" i="34" l="1"/>
  <c r="I21" i="34"/>
  <c r="J21" i="34"/>
  <c r="K21" i="34"/>
  <c r="I17" i="34"/>
  <c r="H17" i="34"/>
  <c r="I10" i="34"/>
  <c r="H10" i="34"/>
  <c r="I19" i="34" l="1"/>
  <c r="I24" i="34" s="1"/>
  <c r="H19" i="34"/>
  <c r="H24" i="34" s="1"/>
  <c r="C21" i="48"/>
  <c r="C20" i="48"/>
  <c r="B9" i="4" l="1"/>
  <c r="B10" i="4"/>
  <c r="B11" i="4" s="1"/>
  <c r="B12" i="4" s="1"/>
  <c r="B13" i="4" s="1"/>
  <c r="B14" i="4" s="1"/>
  <c r="B15" i="4" s="1"/>
  <c r="B16" i="4" s="1"/>
  <c r="B17" i="4" s="1"/>
  <c r="B18" i="4" s="1"/>
  <c r="B19" i="4" s="1"/>
  <c r="B20" i="4" s="1"/>
  <c r="B21" i="4" s="1"/>
  <c r="B22" i="4" s="1"/>
  <c r="B23" i="4" s="1"/>
  <c r="B24" i="4" s="1"/>
  <c r="B25" i="4" s="1"/>
  <c r="B26" i="4" s="1"/>
  <c r="B27" i="4" s="1"/>
  <c r="B8" i="4"/>
  <c r="E4" i="37"/>
  <c r="C20" i="37"/>
  <c r="C21" i="37"/>
  <c r="C22" i="37"/>
  <c r="C23" i="37"/>
  <c r="C24" i="37"/>
  <c r="C25" i="37"/>
  <c r="C26" i="37"/>
  <c r="C27" i="37"/>
  <c r="C28" i="37"/>
  <c r="C29" i="37"/>
  <c r="C19" i="37"/>
  <c r="C17" i="48"/>
  <c r="C8" i="41"/>
  <c r="I26" i="41"/>
  <c r="I27" i="41"/>
  <c r="I28" i="41"/>
  <c r="I29" i="41"/>
  <c r="I25" i="41"/>
  <c r="H29" i="41"/>
  <c r="H28" i="41"/>
  <c r="H27" i="41"/>
  <c r="H26" i="41"/>
  <c r="H25" i="41"/>
  <c r="I17" i="41"/>
  <c r="I8" i="41"/>
  <c r="C8" i="39"/>
  <c r="C6" i="41"/>
  <c r="C9" i="41" s="1"/>
  <c r="I30" i="41" l="1"/>
  <c r="C25" i="48"/>
  <c r="C9" i="43"/>
  <c r="C6" i="43"/>
  <c r="G6" i="40"/>
  <c r="C8" i="40"/>
  <c r="C15" i="37"/>
  <c r="O15" i="53"/>
  <c r="M15" i="53"/>
  <c r="K15" i="53"/>
  <c r="I15" i="53"/>
  <c r="G15" i="53"/>
  <c r="E15" i="53"/>
  <c r="P15" i="53" s="1"/>
  <c r="C15" i="53"/>
  <c r="F18" i="37"/>
  <c r="K12" i="53"/>
  <c r="M12" i="53" s="1"/>
  <c r="D4" i="37"/>
  <c r="C4" i="37"/>
  <c r="P4" i="53"/>
  <c r="Q4" i="53"/>
  <c r="L9" i="53"/>
  <c r="L4" i="53"/>
  <c r="K5" i="53"/>
  <c r="K6" i="53" s="1"/>
  <c r="K7" i="53" s="1"/>
  <c r="K8" i="53" s="1"/>
  <c r="K9" i="53" s="1"/>
  <c r="K10" i="53" s="1"/>
  <c r="K11" i="53" s="1"/>
  <c r="D15" i="37" l="1"/>
  <c r="F15" i="37" s="1"/>
  <c r="G15" i="37" s="1"/>
  <c r="C7" i="40"/>
  <c r="K13" i="53"/>
  <c r="K14" i="53" s="1"/>
  <c r="L12" i="53"/>
  <c r="L13" i="53" s="1"/>
  <c r="L7" i="53"/>
  <c r="L6" i="53" s="1"/>
  <c r="Q20" i="53"/>
  <c r="G4" i="53"/>
  <c r="G5" i="53" s="1"/>
  <c r="D4" i="53"/>
  <c r="D9" i="53" s="1"/>
  <c r="C4" i="53"/>
  <c r="C5" i="53" s="1"/>
  <c r="C6" i="53" l="1"/>
  <c r="C5" i="37"/>
  <c r="L8" i="53"/>
  <c r="L11" i="53"/>
  <c r="L10" i="53" s="1"/>
  <c r="D11" i="53"/>
  <c r="M5" i="53"/>
  <c r="G6" i="53"/>
  <c r="I5" i="53"/>
  <c r="D12" i="53"/>
  <c r="D13" i="53" s="1"/>
  <c r="D10" i="53"/>
  <c r="M6" i="53"/>
  <c r="C7" i="53"/>
  <c r="H4" i="53"/>
  <c r="H9" i="53" s="1"/>
  <c r="F4" i="37"/>
  <c r="C7" i="39"/>
  <c r="C9" i="39" s="1"/>
  <c r="C12" i="43" s="1"/>
  <c r="C14" i="43" s="1"/>
  <c r="C16" i="43" s="1"/>
  <c r="C4" i="39"/>
  <c r="G4" i="37" l="1"/>
  <c r="G18" i="37" s="1"/>
  <c r="C6" i="37"/>
  <c r="G7" i="53"/>
  <c r="C7" i="37" s="1"/>
  <c r="H12" i="53"/>
  <c r="H13" i="53" s="1"/>
  <c r="H7" i="53"/>
  <c r="H6" i="53" s="1"/>
  <c r="I6" i="53" s="1"/>
  <c r="C8" i="53"/>
  <c r="M7" i="53"/>
  <c r="E6" i="37" l="1"/>
  <c r="E9" i="37"/>
  <c r="H8" i="53"/>
  <c r="C9" i="53"/>
  <c r="M8" i="53"/>
  <c r="H11" i="53"/>
  <c r="H10" i="53" s="1"/>
  <c r="G8" i="53"/>
  <c r="C8" i="37" s="1"/>
  <c r="I7" i="53"/>
  <c r="K6" i="35"/>
  <c r="K15" i="35"/>
  <c r="G6" i="35"/>
  <c r="G5" i="35"/>
  <c r="L17" i="34"/>
  <c r="K17" i="34"/>
  <c r="J17" i="34"/>
  <c r="J10" i="34"/>
  <c r="N12" i="34"/>
  <c r="M12" i="34"/>
  <c r="L12" i="34"/>
  <c r="K12" i="34"/>
  <c r="M10" i="34"/>
  <c r="C9" i="32"/>
  <c r="C10" i="32"/>
  <c r="C8" i="32"/>
  <c r="C4" i="32"/>
  <c r="C16" i="52"/>
  <c r="C4" i="52"/>
  <c r="C14" i="52"/>
  <c r="L8" i="52"/>
  <c r="K8" i="52"/>
  <c r="J8" i="52"/>
  <c r="I8" i="52"/>
  <c r="H8" i="52"/>
  <c r="C8" i="52"/>
  <c r="L7" i="52"/>
  <c r="K7" i="52"/>
  <c r="J7" i="52"/>
  <c r="G7" i="52"/>
  <c r="K6" i="52"/>
  <c r="J6" i="52"/>
  <c r="I6" i="52"/>
  <c r="I7" i="52" s="1"/>
  <c r="H6" i="52"/>
  <c r="H7" i="52" s="1"/>
  <c r="C10" i="52"/>
  <c r="E8" i="37" l="1"/>
  <c r="E7" i="37" s="1"/>
  <c r="E5" i="37"/>
  <c r="E11" i="37"/>
  <c r="E12" i="37" s="1"/>
  <c r="E13" i="37" s="1"/>
  <c r="M9" i="53"/>
  <c r="C10" i="53"/>
  <c r="E9" i="53"/>
  <c r="G9" i="53"/>
  <c r="C9" i="37" s="1"/>
  <c r="I8" i="53"/>
  <c r="M8" i="52"/>
  <c r="C7" i="52" s="1"/>
  <c r="C11" i="52" s="1"/>
  <c r="M7" i="52"/>
  <c r="C6" i="52" s="1"/>
  <c r="C12" i="52"/>
  <c r="C10" i="37" l="1"/>
  <c r="E10" i="37"/>
  <c r="G10" i="53"/>
  <c r="I9" i="53"/>
  <c r="P9" i="53" s="1"/>
  <c r="M10" i="53"/>
  <c r="C11" i="53"/>
  <c r="E10" i="53"/>
  <c r="C11" i="49"/>
  <c r="C5" i="49"/>
  <c r="C13" i="33"/>
  <c r="C10" i="33"/>
  <c r="C9" i="33"/>
  <c r="C8" i="33"/>
  <c r="C7" i="33"/>
  <c r="O9" i="53" l="1"/>
  <c r="D9" i="37" s="1"/>
  <c r="C12" i="53"/>
  <c r="M11" i="53"/>
  <c r="E11" i="53"/>
  <c r="G11" i="53"/>
  <c r="G12" i="53" s="1"/>
  <c r="I10" i="53"/>
  <c r="P10" i="53" s="1"/>
  <c r="C11" i="31"/>
  <c r="F5" i="31"/>
  <c r="H26" i="23"/>
  <c r="L26" i="23"/>
  <c r="K26" i="23"/>
  <c r="J26" i="23"/>
  <c r="I26" i="23"/>
  <c r="L27" i="23" s="1"/>
  <c r="O10" i="53" l="1"/>
  <c r="D10" i="37" s="1"/>
  <c r="H10" i="37" s="1"/>
  <c r="D24" i="37" s="1"/>
  <c r="F9" i="37"/>
  <c r="G9" i="37" s="1"/>
  <c r="C11" i="37"/>
  <c r="C12" i="37"/>
  <c r="I11" i="53"/>
  <c r="P11" i="53" s="1"/>
  <c r="O11" i="53" s="1"/>
  <c r="D11" i="37" s="1"/>
  <c r="H11" i="37" s="1"/>
  <c r="D25" i="37" s="1"/>
  <c r="C13" i="53"/>
  <c r="E12" i="53"/>
  <c r="M8" i="30"/>
  <c r="I8" i="30"/>
  <c r="C7" i="30" s="1"/>
  <c r="K6" i="30"/>
  <c r="L6" i="30"/>
  <c r="K7" i="30"/>
  <c r="L7" i="30"/>
  <c r="L5" i="30"/>
  <c r="K5" i="30"/>
  <c r="C3" i="30"/>
  <c r="C4" i="30"/>
  <c r="F11" i="37" l="1"/>
  <c r="G11" i="37" s="1"/>
  <c r="F10" i="37"/>
  <c r="G10" i="37" s="1"/>
  <c r="C14" i="53"/>
  <c r="E13" i="53"/>
  <c r="M14" i="53"/>
  <c r="M13" i="53"/>
  <c r="G13" i="53"/>
  <c r="C13" i="37" s="1"/>
  <c r="I12" i="53"/>
  <c r="P12" i="53" s="1"/>
  <c r="O12" i="53" s="1"/>
  <c r="D12" i="37" s="1"/>
  <c r="H12" i="37" s="1"/>
  <c r="D26" i="37" s="1"/>
  <c r="D18" i="51"/>
  <c r="C17" i="51"/>
  <c r="C16" i="51"/>
  <c r="D8" i="51"/>
  <c r="D5" i="51"/>
  <c r="D6" i="51"/>
  <c r="D7" i="51"/>
  <c r="D4" i="51"/>
  <c r="D16" i="51"/>
  <c r="C8" i="51"/>
  <c r="F12" i="37" l="1"/>
  <c r="G12" i="37" s="1"/>
  <c r="E14" i="53"/>
  <c r="C14" i="37"/>
  <c r="P14" i="53"/>
  <c r="O14" i="53" s="1"/>
  <c r="G14" i="53"/>
  <c r="I14" i="53" s="1"/>
  <c r="I13" i="53"/>
  <c r="P13" i="53" s="1"/>
  <c r="O13" i="53" l="1"/>
  <c r="D13" i="37" s="1"/>
  <c r="H13" i="37" s="1"/>
  <c r="D27" i="37" s="1"/>
  <c r="D14" i="37"/>
  <c r="C7" i="32"/>
  <c r="C7" i="49"/>
  <c r="L8" i="49"/>
  <c r="I8" i="49"/>
  <c r="J8" i="49"/>
  <c r="K8" i="49"/>
  <c r="H8" i="49"/>
  <c r="H7" i="49"/>
  <c r="I7" i="49"/>
  <c r="J7" i="49"/>
  <c r="K7" i="49"/>
  <c r="L7" i="49"/>
  <c r="G7" i="49"/>
  <c r="K6" i="49"/>
  <c r="J6" i="49"/>
  <c r="I6" i="49"/>
  <c r="H6" i="49"/>
  <c r="H14" i="37" l="1"/>
  <c r="D28" i="37" s="1"/>
  <c r="H15" i="37"/>
  <c r="D29" i="37" s="1"/>
  <c r="E29" i="37" s="1"/>
  <c r="F13" i="37"/>
  <c r="G13" i="37" s="1"/>
  <c r="F14" i="37"/>
  <c r="G14" i="37" s="1"/>
  <c r="M8" i="49"/>
  <c r="C6" i="49" s="1"/>
  <c r="M7" i="49"/>
  <c r="C10" i="49" l="1"/>
  <c r="C10" i="43"/>
  <c r="G12" i="40" l="1"/>
  <c r="G15" i="40" s="1"/>
  <c r="G11" i="40"/>
  <c r="G8" i="39" l="1"/>
  <c r="B20" i="37"/>
  <c r="B21" i="37" s="1"/>
  <c r="B22" i="37" s="1"/>
  <c r="B23" i="37" s="1"/>
  <c r="B24" i="37" s="1"/>
  <c r="B25" i="37" s="1"/>
  <c r="B26" i="37" s="1"/>
  <c r="B27" i="37" s="1"/>
  <c r="B28" i="37" s="1"/>
  <c r="B6" i="37"/>
  <c r="B7" i="37" s="1"/>
  <c r="B8" i="37" s="1"/>
  <c r="B9" i="37" s="1"/>
  <c r="B10" i="37" s="1"/>
  <c r="B11" i="37" s="1"/>
  <c r="B12" i="37" s="1"/>
  <c r="B13" i="37" s="1"/>
  <c r="B14" i="37" s="1"/>
  <c r="E25" i="37" l="1"/>
  <c r="E24" i="37"/>
  <c r="I6" i="48" l="1"/>
  <c r="H6" i="48"/>
  <c r="F11" i="35"/>
  <c r="C8" i="34"/>
  <c r="C5" i="34"/>
  <c r="L10" i="34"/>
  <c r="L19" i="34" s="1"/>
  <c r="N10" i="34"/>
  <c r="N17" i="34"/>
  <c r="K10" i="34"/>
  <c r="M17" i="34"/>
  <c r="B5" i="35"/>
  <c r="B3" i="35"/>
  <c r="N19" i="34" l="1"/>
  <c r="N24" i="34" s="1"/>
  <c r="L24" i="34"/>
  <c r="K19" i="34"/>
  <c r="J19" i="34"/>
  <c r="J24" i="34" s="1"/>
  <c r="M19" i="34"/>
  <c r="J11" i="35"/>
  <c r="F10" i="35"/>
  <c r="K8" i="35"/>
  <c r="F6" i="35"/>
  <c r="F5" i="35"/>
  <c r="J5" i="35" s="1"/>
  <c r="C5" i="32"/>
  <c r="C12" i="33"/>
  <c r="C11" i="32" l="1"/>
  <c r="G10" i="35" s="1"/>
  <c r="C14" i="33"/>
  <c r="C3" i="49" s="1"/>
  <c r="C9" i="49" s="1"/>
  <c r="M21" i="34"/>
  <c r="M24" i="34"/>
  <c r="K24" i="34"/>
  <c r="L21" i="34"/>
  <c r="N21" i="34"/>
  <c r="C3" i="34" l="1"/>
  <c r="C6" i="34" s="1"/>
  <c r="B9" i="31"/>
  <c r="B8" i="31"/>
  <c r="C6" i="31"/>
  <c r="B6" i="31"/>
  <c r="B5" i="31"/>
  <c r="F29" i="31"/>
  <c r="F9" i="31"/>
  <c r="C9" i="34" l="1"/>
  <c r="C11" i="34" s="1"/>
  <c r="G11" i="35" s="1"/>
  <c r="F17" i="31"/>
  <c r="F12" i="31"/>
  <c r="C8" i="30" s="1"/>
  <c r="C7" i="23" s="1"/>
  <c r="K5" i="35"/>
  <c r="K7" i="35" s="1"/>
  <c r="K9" i="35" s="1"/>
  <c r="G8" i="35"/>
  <c r="C17" i="23"/>
  <c r="C16" i="23"/>
  <c r="G12" i="35" l="1"/>
  <c r="C3" i="39" s="1"/>
  <c r="C5" i="39" s="1"/>
  <c r="C11" i="39" s="1"/>
  <c r="C20" i="23"/>
  <c r="J4" i="26"/>
  <c r="J5" i="26"/>
  <c r="J6" i="26"/>
  <c r="J7" i="26"/>
  <c r="J8" i="26"/>
  <c r="I14" i="26"/>
  <c r="J13" i="26"/>
  <c r="J12" i="26"/>
  <c r="J11" i="26"/>
  <c r="E21" i="26"/>
  <c r="M4" i="26"/>
  <c r="C11" i="26"/>
  <c r="J9" i="26"/>
  <c r="J10" i="26"/>
  <c r="C7" i="26"/>
  <c r="C6" i="26"/>
  <c r="C3" i="26"/>
  <c r="B6" i="4"/>
  <c r="B7" i="4" s="1"/>
  <c r="K11" i="35" l="1"/>
  <c r="K17" i="35" s="1"/>
  <c r="C5" i="35" s="1"/>
  <c r="G14" i="35"/>
  <c r="C3" i="35" s="1"/>
  <c r="E18" i="37" s="1"/>
  <c r="C8" i="31"/>
  <c r="F19" i="31"/>
  <c r="F22" i="31" s="1"/>
  <c r="M6" i="26"/>
  <c r="M7" i="26" s="1"/>
  <c r="J14" i="26"/>
  <c r="C4" i="26" s="1"/>
  <c r="C8" i="24"/>
  <c r="C4" i="24" s="1"/>
  <c r="F27" i="26" l="1"/>
  <c r="G4" i="40"/>
  <c r="C5" i="23"/>
  <c r="C9" i="31"/>
  <c r="G17" i="40" s="1"/>
  <c r="G18" i="40" s="1"/>
  <c r="M5" i="26"/>
  <c r="M9" i="26" s="1"/>
  <c r="C13" i="26" s="1"/>
  <c r="F21" i="26"/>
  <c r="E26" i="37" l="1"/>
  <c r="J6" i="48" s="1"/>
  <c r="G21" i="26"/>
  <c r="H21" i="26" s="1"/>
  <c r="E27" i="37" l="1"/>
  <c r="K6" i="48" s="1"/>
  <c r="C9" i="40"/>
  <c r="I21" i="26"/>
  <c r="J21" i="26" s="1"/>
  <c r="K21" i="26" s="1"/>
  <c r="E28" i="37" l="1"/>
  <c r="L6" i="48" s="1"/>
  <c r="F24" i="26"/>
  <c r="F23" i="26"/>
  <c r="F26" i="26" l="1"/>
  <c r="F28" i="26" s="1"/>
  <c r="C6" i="23" l="1"/>
  <c r="C9" i="23" s="1"/>
  <c r="C5" i="31" s="1"/>
  <c r="C14" i="31" s="1"/>
  <c r="C7" i="48" s="1"/>
  <c r="G5" i="40"/>
  <c r="G8" i="40" s="1"/>
  <c r="G19" i="40" s="1"/>
  <c r="L7" i="48" l="1"/>
  <c r="L8" i="48" s="1"/>
  <c r="D7" i="48"/>
  <c r="C13" i="43"/>
  <c r="C16" i="48" s="1"/>
  <c r="H7" i="48" l="1"/>
  <c r="J7" i="48" l="1"/>
  <c r="I7" i="48" s="1"/>
  <c r="I8" i="48" s="1"/>
  <c r="F7" i="48"/>
  <c r="H8" i="48"/>
  <c r="K7" i="48" l="1"/>
  <c r="K8" i="48" s="1"/>
  <c r="J8" i="48"/>
  <c r="G7" i="48"/>
  <c r="E7" i="48"/>
  <c r="C6" i="48"/>
  <c r="D6" i="48"/>
  <c r="E6" i="48"/>
  <c r="F6" i="48"/>
  <c r="G6" i="48"/>
  <c r="C8" i="48"/>
  <c r="D8" i="48"/>
  <c r="E8" i="48"/>
  <c r="F8" i="48"/>
  <c r="G8" i="48"/>
  <c r="C12" i="48"/>
  <c r="C13" i="48"/>
  <c r="C14" i="48"/>
  <c r="C15" i="48"/>
  <c r="C19" i="48"/>
  <c r="C22" i="48"/>
  <c r="C24" i="48"/>
  <c r="C26" i="48"/>
  <c r="D5" i="37"/>
  <c r="F5" i="37"/>
  <c r="G5" i="37"/>
  <c r="H5" i="37"/>
  <c r="D6" i="37"/>
  <c r="F6" i="37"/>
  <c r="G6" i="37"/>
  <c r="H6" i="37"/>
  <c r="D7" i="37"/>
  <c r="F7" i="37"/>
  <c r="G7" i="37"/>
  <c r="H7" i="37"/>
  <c r="D8" i="37"/>
  <c r="F8" i="37"/>
  <c r="G8" i="37"/>
  <c r="H8" i="37"/>
  <c r="H9" i="37"/>
  <c r="D19" i="37"/>
  <c r="E19" i="37"/>
  <c r="F19" i="37"/>
  <c r="G19" i="37"/>
  <c r="D20" i="37"/>
  <c r="E20" i="37"/>
  <c r="F20" i="37"/>
  <c r="G20" i="37"/>
  <c r="D21" i="37"/>
  <c r="E21" i="37"/>
  <c r="F21" i="37"/>
  <c r="G21" i="37"/>
  <c r="D22" i="37"/>
  <c r="E22" i="37"/>
  <c r="F22" i="37"/>
  <c r="G22" i="37"/>
  <c r="D23" i="37"/>
  <c r="E23" i="37"/>
  <c r="F23" i="37"/>
  <c r="G23" i="37"/>
  <c r="F24" i="37"/>
  <c r="G24" i="37"/>
  <c r="F25" i="37"/>
  <c r="G25" i="37"/>
  <c r="F26" i="37"/>
  <c r="G26" i="37"/>
  <c r="F27" i="37"/>
  <c r="G27" i="37"/>
  <c r="F28" i="37"/>
  <c r="G28" i="37"/>
  <c r="F29" i="37"/>
  <c r="G29" i="37"/>
  <c r="D5" i="53"/>
  <c r="E5" i="53"/>
  <c r="O5" i="53"/>
  <c r="P5" i="53"/>
  <c r="D6" i="53"/>
  <c r="E6" i="53"/>
  <c r="O6" i="53"/>
  <c r="P6" i="53"/>
  <c r="D7" i="53"/>
  <c r="E7" i="53"/>
  <c r="O7" i="53"/>
  <c r="P7" i="53"/>
  <c r="D8" i="53"/>
  <c r="E8" i="53"/>
  <c r="O8" i="53"/>
  <c r="P8" i="53"/>
  <c r="C4" i="40"/>
  <c r="C5" i="40"/>
  <c r="C11" i="40"/>
  <c r="C13" i="40"/>
  <c r="D20" i="34"/>
</calcChain>
</file>

<file path=xl/sharedStrings.xml><?xml version="1.0" encoding="utf-8"?>
<sst xmlns="http://schemas.openxmlformats.org/spreadsheetml/2006/main" count="539" uniqueCount="370">
  <si>
    <t xml:space="preserve">#                </t>
  </si>
  <si>
    <t>Worksheet</t>
  </si>
  <si>
    <t>D&amp;A</t>
  </si>
  <si>
    <t>EBIT</t>
  </si>
  <si>
    <t>Inventory</t>
  </si>
  <si>
    <t>Total Equity</t>
  </si>
  <si>
    <t>Revenues</t>
  </si>
  <si>
    <t>WACC</t>
  </si>
  <si>
    <t>Loans</t>
  </si>
  <si>
    <t>Other Financial Assets</t>
  </si>
  <si>
    <t>Beta</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</si>
  <si>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</si>
  <si>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</si>
  <si>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</si>
  <si>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</si>
  <si>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</si>
  <si>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</si>
  <si>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</si>
  <si>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</si>
  <si>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</si>
  <si>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</si>
  <si>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</si>
  <si>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</si>
  <si>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</si>
  <si>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</si>
  <si>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</si>
  <si>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</si>
  <si>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</si>
  <si>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</si>
  <si>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</si>
  <si>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</si>
  <si>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</si>
  <si>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</si>
  <si>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</si>
  <si>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</si>
  <si>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</si>
  <si>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</si>
  <si>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</si>
  <si>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</si>
  <si>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</si>
  <si>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</si>
  <si>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</si>
  <si>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</si>
  <si>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</si>
  <si>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</si>
  <si>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</si>
  <si>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</si>
  <si>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</si>
  <si>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</si>
  <si>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</si>
  <si>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</si>
  <si>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</si>
  <si>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</si>
  <si>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</si>
  <si>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</si>
  <si>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</si>
  <si>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</si>
  <si>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</si>
  <si>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</si>
  <si>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</si>
  <si>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</si>
  <si>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</si>
  <si>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</si>
  <si>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</si>
  <si>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</si>
  <si>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</si>
  <si>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</si>
  <si>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</si>
  <si>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</si>
  <si>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</si>
  <si>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</si>
  <si>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</si>
  <si>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</si>
  <si>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</si>
  <si>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</si>
  <si>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</si>
  <si>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</si>
  <si>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</si>
  <si>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</si>
  <si>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</si>
  <si>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</si>
  <si>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</si>
  <si>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</si>
  <si>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</si>
  <si>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</si>
  <si>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</si>
  <si>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</si>
  <si>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</si>
  <si>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NPV @ 10%</t>
  </si>
  <si>
    <t>NPV @ 9%</t>
  </si>
  <si>
    <t>Exp Return on Stocks</t>
  </si>
  <si>
    <t>-</t>
  </si>
  <si>
    <t>Implied Market Risk Premium (India)</t>
  </si>
  <si>
    <t>Ticker</t>
  </si>
  <si>
    <t>Std Error</t>
  </si>
  <si>
    <t>Reg. Beta (5Y, Monthly)</t>
  </si>
  <si>
    <t>Beta Range</t>
  </si>
  <si>
    <t>Low Beta</t>
  </si>
  <si>
    <t>High Beta</t>
  </si>
  <si>
    <t>Regression Beta using Python (skLearn.LinearModel)</t>
  </si>
  <si>
    <t>D/E Ratio</t>
  </si>
  <si>
    <t>Yahoo Finance (yahoofinancials module)</t>
  </si>
  <si>
    <t>Bottom-Up Beta</t>
  </si>
  <si>
    <t>Marginal Corporate Tax Rate (%)</t>
  </si>
  <si>
    <t>India Corporate Tax Rate</t>
  </si>
  <si>
    <t>Unlevered Beta</t>
  </si>
  <si>
    <t>Levered Bottom-Up Beta</t>
  </si>
  <si>
    <t>Risk Free Rate - Rf</t>
  </si>
  <si>
    <t>(Cost of Equity = Risk Free Rate + Beta * Equity Risk Premium)</t>
  </si>
  <si>
    <t>Lambda (λ)</t>
  </si>
  <si>
    <t>US Risk Free Rate - Rf</t>
  </si>
  <si>
    <t>Interest</t>
  </si>
  <si>
    <t>ICR (%)</t>
  </si>
  <si>
    <t>Average ICR (%)</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</si>
  <si>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</si>
  <si>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</si>
  <si>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</si>
  <si>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</si>
  <si>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</si>
  <si>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</si>
  <si>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</si>
  <si>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</si>
  <si>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(in crores)</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</si>
  <si>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</si>
  <si>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</si>
  <si>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</si>
  <si>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</si>
  <si>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</si>
  <si>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</si>
  <si>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</si>
  <si>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</si>
  <si>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</si>
  <si>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Operating Lease</t>
  </si>
  <si>
    <t>Valuation Index</t>
  </si>
  <si>
    <t>Revenues (TTM)</t>
  </si>
  <si>
    <t>COGS</t>
  </si>
  <si>
    <t>Operating Expenses</t>
  </si>
  <si>
    <t>+</t>
  </si>
  <si>
    <t>EBIT &amp; Lease</t>
  </si>
  <si>
    <t>Adjusted EBIT</t>
  </si>
  <si>
    <t>EBIT &amp; Operating Lease</t>
  </si>
  <si>
    <t>Adjusted EBIT (Operating Lease)</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</si>
  <si>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</si>
  <si>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</si>
  <si>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</si>
  <si>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</si>
  <si>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</si>
  <si>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</si>
  <si>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</si>
  <si>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</si>
  <si>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</si>
  <si>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</si>
  <si>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</si>
  <si>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</si>
  <si>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</si>
  <si>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</si>
  <si>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</si>
  <si>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</si>
  <si>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</si>
  <si>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</si>
  <si>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</si>
  <si>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</si>
  <si>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</si>
  <si>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</si>
  <si>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</si>
  <si>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</si>
  <si>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</si>
  <si>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</si>
  <si>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</si>
  <si>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</si>
  <si>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</si>
  <si>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</si>
  <si>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</si>
  <si>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</si>
  <si>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</si>
  <si>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</si>
  <si>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</si>
  <si>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</si>
  <si>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</si>
  <si>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</si>
  <si>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</si>
  <si>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</si>
  <si>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</si>
  <si>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</si>
  <si>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</si>
  <si>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</si>
  <si>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</si>
  <si>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</si>
  <si>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</si>
  <si>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</si>
  <si>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</si>
  <si>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</si>
  <si>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</si>
  <si>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</si>
  <si>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</si>
  <si>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</si>
  <si>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</si>
  <si>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</si>
  <si>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Sales to Capital Ratio</t>
  </si>
  <si>
    <t>Risk Free Rate - India</t>
  </si>
  <si>
    <t>Growth Rate in perpetuity</t>
  </si>
  <si>
    <t>ROIC in perpetuity</t>
  </si>
  <si>
    <t>EBIT (11th Year)</t>
  </si>
  <si>
    <t>Marginal Tax Rate (%)</t>
  </si>
  <si>
    <t>Mature Company Cost of Capital Estimation</t>
  </si>
  <si>
    <t>FCFF (11th Year)</t>
  </si>
  <si>
    <t>% of Debt</t>
  </si>
  <si>
    <t>% of Equity</t>
  </si>
  <si>
    <t>Mature WACC</t>
  </si>
  <si>
    <t>Interest Coverage Ratio will be above 12.5</t>
  </si>
  <si>
    <t>% Owner</t>
  </si>
  <si>
    <t>How to Deal?</t>
  </si>
  <si>
    <t>Cash &amp; Marketable Securities</t>
  </si>
  <si>
    <t>Marketable Securities</t>
  </si>
  <si>
    <t>Investment in Mutual Funds</t>
  </si>
  <si>
    <t>Investments in Debentures/Bonds</t>
  </si>
  <si>
    <t>Cash and cash equivalents</t>
  </si>
  <si>
    <t>Other Bank Balances</t>
  </si>
  <si>
    <t>Total Cash</t>
  </si>
  <si>
    <t>Return on Capital</t>
  </si>
  <si>
    <t>Adjusted Cash &amp; Marketable Securities</t>
  </si>
  <si>
    <t>Marginal Tax Rate</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</si>
  <si>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</si>
  <si>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</si>
  <si>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</si>
  <si>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</si>
  <si>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</si>
  <si>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</si>
  <si>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</si>
  <si>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</si>
  <si>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</si>
  <si>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</si>
  <si>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</si>
  <si>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</si>
  <si>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</si>
  <si>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</si>
  <si>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</si>
  <si>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</si>
  <si>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</si>
  <si>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</si>
  <si>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</si>
  <si>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</si>
  <si>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</si>
  <si>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</si>
  <si>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</si>
  <si>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</si>
  <si>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</si>
  <si>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</si>
  <si>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</si>
  <si>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</si>
  <si>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</si>
  <si>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</si>
  <si>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</si>
  <si>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</si>
  <si>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</si>
  <si>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Voltas Company Analysis</t>
  </si>
  <si>
    <t>Voltas Ltd</t>
  </si>
  <si>
    <t>Voltas Narrative</t>
  </si>
  <si>
    <t>Sector of Voltas</t>
  </si>
  <si>
    <t>Industry of Voltas</t>
  </si>
  <si>
    <t>Consumer Durables </t>
  </si>
  <si>
    <t>Air Conditioners</t>
  </si>
  <si>
    <t>Nifty50 (as on 12th July 2022)</t>
  </si>
  <si>
    <t>Equity Risk Premium - India</t>
  </si>
  <si>
    <t>Voltas ERP</t>
  </si>
  <si>
    <t>Revenue by Geographical Market</t>
  </si>
  <si>
    <t>India</t>
  </si>
  <si>
    <t>Singapore</t>
  </si>
  <si>
    <t>Middle East</t>
  </si>
  <si>
    <t>Others</t>
  </si>
  <si>
    <t>Total Revenues</t>
  </si>
  <si>
    <t>India's ERP</t>
  </si>
  <si>
    <t>%</t>
  </si>
  <si>
    <t>Country</t>
  </si>
  <si>
    <t>ERP</t>
  </si>
  <si>
    <t>Industry - Air Conditioners</t>
  </si>
  <si>
    <t>Air Conditioners Co.</t>
  </si>
  <si>
    <t>Blue Star Ltd.</t>
  </si>
  <si>
    <t>Amber Enterprises India Ltd.</t>
  </si>
  <si>
    <t>Johnson Controls Ltd.</t>
  </si>
  <si>
    <t>BLUESTARCO</t>
  </si>
  <si>
    <t>AMBER</t>
  </si>
  <si>
    <t>JCHAC</t>
  </si>
  <si>
    <t>Beta (Voltas Ltd)</t>
  </si>
  <si>
    <t>Voltas Ltd Risk Premium</t>
  </si>
  <si>
    <t>"Synthetic" Voltas Ltd Risk Premium</t>
  </si>
  <si>
    <t>Contract Liabilities</t>
  </si>
  <si>
    <t>Borrowings</t>
  </si>
  <si>
    <t>Debt to Equity (Voltas Ltd)</t>
  </si>
  <si>
    <t>Stock Price (as on 07/12/2022)</t>
  </si>
  <si>
    <t>Depreciation on Operating Lease</t>
  </si>
  <si>
    <t>EBIT &amp; R&amp;D Expense</t>
  </si>
  <si>
    <t>Capitalizing R&amp;D Expense as Asset</t>
  </si>
  <si>
    <t>Recurring R&amp;D Expense</t>
  </si>
  <si>
    <t>R&amp;D Expense (Current)</t>
  </si>
  <si>
    <t>Amortization: R&amp;D Expense</t>
  </si>
  <si>
    <t>R&amp;D Expense (Current Year)</t>
  </si>
  <si>
    <t>Amortization: R&amp;D</t>
  </si>
  <si>
    <t>Amortization: Ads</t>
  </si>
  <si>
    <t>Contract Assets</t>
  </si>
  <si>
    <t>Income Tax Liabilities</t>
  </si>
  <si>
    <t>EBIT * (1 - Tax)</t>
  </si>
  <si>
    <t>AC Industry</t>
  </si>
  <si>
    <t>Market Share</t>
  </si>
  <si>
    <t>AC Revenues</t>
  </si>
  <si>
    <t>MEP Revenues</t>
  </si>
  <si>
    <t>MEP Industry</t>
  </si>
  <si>
    <t>Elec. Industry</t>
  </si>
  <si>
    <t>Elec. Revenues</t>
  </si>
  <si>
    <t>Industry and Revenues</t>
  </si>
  <si>
    <t>Growth Rate MEP %</t>
  </si>
  <si>
    <t>Growth Rate AC %</t>
  </si>
  <si>
    <t>Growth Rate Elec %</t>
  </si>
  <si>
    <t>Global</t>
  </si>
  <si>
    <t>Other</t>
  </si>
  <si>
    <t>Other %</t>
  </si>
  <si>
    <t>Gross Industry</t>
  </si>
  <si>
    <t>EBIT*(1-Tax)</t>
  </si>
  <si>
    <t>TV</t>
  </si>
  <si>
    <t>Premium for Doing Good Projects</t>
  </si>
  <si>
    <t>Already a very mature company</t>
  </si>
  <si>
    <t>Middle East's ERP</t>
  </si>
  <si>
    <t>Universal MEP Projects &amp; Engineering Ltd</t>
  </si>
  <si>
    <t>HI-Volt Enterprises Private Limited</t>
  </si>
  <si>
    <t>Lalbuksh Voltas Engineering Services LLC</t>
  </si>
  <si>
    <t>Location</t>
  </si>
  <si>
    <t>Oman</t>
  </si>
  <si>
    <t>Saudi Ensas Company for Engineering WLL</t>
  </si>
  <si>
    <t>Saudi Arabia</t>
  </si>
  <si>
    <t>Voltas Netherlands B.V.</t>
  </si>
  <si>
    <t>Voltas Oman SPC</t>
  </si>
  <si>
    <t>Weathermaker FZE</t>
  </si>
  <si>
    <t>Netherlands</t>
  </si>
  <si>
    <t>Dubai, UAE</t>
  </si>
  <si>
    <t>Voltas Qatar WLL</t>
  </si>
  <si>
    <t>Qatar</t>
  </si>
  <si>
    <t>Universal MEP Projects Pte Limited</t>
  </si>
  <si>
    <t>Subsidiaries</t>
  </si>
  <si>
    <t>Voltas Water Solutions Private Limited</t>
  </si>
  <si>
    <t>Voltbek Home Appliances Private Limited</t>
  </si>
  <si>
    <t>Olayan Voltas Contracting Company Ltd</t>
  </si>
  <si>
    <t>Universal Voltas LLC</t>
  </si>
  <si>
    <t>UAE</t>
  </si>
  <si>
    <t>Naba Diganta Water Management Limited</t>
  </si>
  <si>
    <t>Joint Ventures &amp; Associate</t>
  </si>
  <si>
    <t>Status?</t>
  </si>
  <si>
    <t>Consolidated</t>
  </si>
  <si>
    <t>Equity Method</t>
  </si>
  <si>
    <t>Non Controlling Interest (NCI)</t>
  </si>
  <si>
    <t>EV to Sales</t>
  </si>
  <si>
    <t>Value of Subsidiaries</t>
  </si>
  <si>
    <t>Book Investment</t>
  </si>
  <si>
    <t>EV to Sales (Industry Average)</t>
  </si>
  <si>
    <t>Value of JV/Assoc.</t>
  </si>
  <si>
    <t>Engineering Products Co.</t>
  </si>
  <si>
    <t>Larsen &amp; Toubro</t>
  </si>
  <si>
    <t>GMR Infra.</t>
  </si>
  <si>
    <t>HFCL</t>
  </si>
  <si>
    <t>Rites</t>
  </si>
  <si>
    <t>Engineers India</t>
  </si>
  <si>
    <t>Industry - MEP</t>
  </si>
  <si>
    <t>EBIT &amp; Advertising Expenses</t>
  </si>
  <si>
    <t>EBIT &amp; R&amp;D Expenses</t>
  </si>
  <si>
    <t>Contingency &amp; Commitments</t>
  </si>
  <si>
    <t>FY28</t>
  </si>
  <si>
    <t>FY29</t>
  </si>
  <si>
    <t>FY30</t>
  </si>
  <si>
    <t>FY31</t>
  </si>
  <si>
    <t>FY32</t>
  </si>
  <si>
    <t>FY33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</si>
</sst>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_ [$₹-4009]\ * #,##0.0_ ;_ [$₹-4009]\ * \-#,##0.0_ ;_ [$₹-4009]\ * &quot;-&quot;?_ ;_ @_ "/>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48">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s>
  <borders count="21">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03">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6" borderId="0" xfId="0" applyNumberFormat="1" applyFont="1" applyFill="1" applyBorder="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5"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165" fontId="2" fillId="46"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6" borderId="2" xfId="0" applyNumberFormat="1" applyFont="1" applyFill="1" applyBorder="1"/>
    <xf numFmtId="165" fontId="2" fillId="46" borderId="0" xfId="0" applyNumberFormat="1" applyFont="1" applyFill="1" applyBorder="1" applyAlignment="1">
      <alignment horizontal="right"/>
    </xf>
    <xf numFmtId="164" fontId="2" fillId="46" borderId="0" xfId="0" applyNumberFormat="1" applyFont="1" applyFill="1"/>
    <xf numFmtId="164" fontId="64"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6" borderId="0" xfId="2" applyNumberFormat="1" applyFont="1" applyFill="1" applyBorder="1" applyAlignment="1">
      <alignment horizontal="right" vertical="center"/>
    </xf>
    <xf numFmtId="0" fontId="8" fillId="45" borderId="0" xfId="0" applyNumberFormat="1" applyFont="1" applyFill="1" applyAlignment="1">
      <alignment horizontal="right" vertical="center"/>
    </xf>
    <xf numFmtId="164" fontId="8" fillId="45" borderId="0" xfId="0"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64" fontId="8" fillId="45" borderId="0" xfId="0" applyNumberFormat="1" applyFont="1" applyFill="1" applyBorder="1" applyAlignment="1">
      <alignment horizontal="right"/>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6"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6" borderId="0" xfId="2" applyNumberFormat="1" applyFont="1" applyFill="1" applyBorder="1" applyAlignment="1">
      <alignment horizontal="right"/>
    </xf>
    <xf numFmtId="10" fontId="1" fillId="46" borderId="0" xfId="2" applyNumberFormat="1" applyFont="1" applyFill="1" applyBorder="1" applyAlignment="1">
      <alignment horizontal="right"/>
    </xf>
    <xf numFmtId="0" fontId="8" fillId="45"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6" borderId="0" xfId="0"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82" fontId="8" fillId="45" borderId="0" xfId="0" applyNumberFormat="1" applyFont="1" applyFill="1" applyBorder="1"/>
    <xf numFmtId="182" fontId="1" fillId="46" borderId="0" xfId="0" applyNumberFormat="1" applyFont="1" applyFill="1" applyAlignment="1">
      <alignment horizontal="right"/>
    </xf>
    <xf numFmtId="178" fontId="8" fillId="45" borderId="0" xfId="0" applyNumberFormat="1" applyFont="1" applyFill="1" applyBorder="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178" fontId="2" fillId="46" borderId="0" xfId="0" applyNumberFormat="1" applyFont="1" applyFill="1" applyBorder="1" applyAlignment="1">
      <alignment horizontal="right"/>
    </xf>
    <xf numFmtId="0" fontId="1" fillId="46" borderId="0" xfId="0" applyNumberFormat="1" applyFont="1" applyFill="1"/>
    <xf numFmtId="0" fontId="1" fillId="46" borderId="0" xfId="0" applyNumberFormat="1" applyFont="1" applyFill="1" applyBorder="1" applyAlignment="1">
      <alignment horizontal="right"/>
    </xf>
    <xf numFmtId="0" fontId="1" fillId="46" borderId="0" xfId="2" applyNumberFormat="1" applyFont="1" applyFill="1"/>
    <xf numFmtId="10" fontId="1" fillId="46" borderId="0" xfId="2" applyNumberFormat="1" applyFont="1" applyFill="1"/>
    <xf numFmtId="164" fontId="2" fillId="46" borderId="0" xfId="0" applyNumberFormat="1" applyFont="1" applyFill="1" applyBorder="1"/>
    <xf numFmtId="10" fontId="1" fillId="46" borderId="0" xfId="0" applyNumberFormat="1" applyFont="1" applyFill="1"/>
    <xf numFmtId="164" fontId="2" fillId="46" borderId="18" xfId="0" applyNumberFormat="1" applyFont="1" applyFill="1" applyBorder="1"/>
    <xf numFmtId="10" fontId="1" fillId="46" borderId="18" xfId="0" applyNumberFormat="1" applyFont="1" applyFill="1" applyBorder="1"/>
    <xf numFmtId="0" fontId="64" fillId="46" borderId="0" xfId="2" applyNumberFormat="1" applyFont="1" applyFill="1" applyBorder="1"/>
    <xf numFmtId="164" fontId="66" fillId="46" borderId="0" xfId="165" applyNumberFormat="1" applyFont="1" applyFill="1" applyBorder="1"/>
    <xf numFmtId="0" fontId="1" fillId="46"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0" fontId="1" fillId="46" borderId="0" xfId="0" applyNumberFormat="1" applyFont="1" applyFill="1" applyBorder="1"/>
    <xf numFmtId="164" fontId="64" fillId="2" borderId="0" xfId="0" applyNumberFormat="1" applyFont="1" applyFill="1" applyBorder="1" applyAlignment="1">
      <alignment horizontal="left"/>
    </xf>
    <xf numFmtId="2" fontId="64" fillId="46" borderId="0" xfId="2" applyNumberFormat="1" applyFont="1" applyFill="1" applyBorder="1" applyAlignment="1">
      <alignment horizontal="right"/>
    </xf>
    <xf numFmtId="182" fontId="64" fillId="2" borderId="0" xfId="0" applyNumberFormat="1" applyFont="1" applyFill="1" applyBorder="1" applyAlignment="1">
      <alignment horizontal="left" vertical="center"/>
    </xf>
    <xf numFmtId="10" fontId="2" fillId="46" borderId="0" xfId="2" applyNumberFormat="1" applyFont="1" applyFill="1"/>
    <xf numFmtId="165" fontId="64" fillId="46" borderId="0" xfId="0" applyNumberFormat="1" applyFont="1" applyFill="1"/>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65" fillId="46" borderId="0" xfId="0" applyNumberFormat="1" applyFont="1" applyFill="1"/>
    <xf numFmtId="0" fontId="2" fillId="46"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5" borderId="0" xfId="2" applyNumberFormat="1" applyFont="1" applyFill="1" applyBorder="1"/>
    <xf numFmtId="180" fontId="2" fillId="46" borderId="0" xfId="2" applyNumberFormat="1" applyFont="1" applyFill="1" applyBorder="1"/>
    <xf numFmtId="180" fontId="2" fillId="46" borderId="18" xfId="2" applyNumberFormat="1" applyFont="1" applyFill="1" applyBorder="1"/>
    <xf numFmtId="164" fontId="64" fillId="46" borderId="0" xfId="0" applyNumberFormat="1" applyFont="1" applyFill="1" applyAlignment="1">
      <alignment horizontal="right"/>
    </xf>
    <xf numFmtId="0" fontId="2" fillId="46" borderId="0" xfId="2" applyNumberFormat="1" applyFont="1" applyFill="1" applyBorder="1"/>
    <xf numFmtId="186" fontId="8" fillId="45" borderId="0" xfId="2" applyNumberFormat="1" applyFont="1" applyFill="1" applyBorder="1" applyAlignment="1">
      <alignment horizontal="right"/>
    </xf>
    <xf numFmtId="187" fontId="2" fillId="46" borderId="0" xfId="0" applyNumberFormat="1" applyFont="1" applyFill="1"/>
    <xf numFmtId="188" fontId="8" fillId="45" borderId="0" xfId="2" applyNumberFormat="1" applyFont="1" applyFill="1" applyBorder="1" applyAlignment="1">
      <alignment horizontal="right"/>
    </xf>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180" fontId="40" fillId="46" borderId="0" xfId="0" applyNumberFormat="1" applyFont="1" applyFill="1" applyBorder="1" applyAlignment="1">
      <alignment horizontal="righ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180" fontId="2" fillId="46" borderId="19" xfId="0" applyNumberFormat="1" applyFont="1" applyFill="1" applyBorder="1"/>
    <xf numFmtId="0" fontId="2" fillId="46" borderId="18" xfId="0" applyFont="1" applyFill="1" applyBorder="1"/>
    <xf numFmtId="180" fontId="2" fillId="46" borderId="18" xfId="0" applyNumberFormat="1" applyFont="1" applyFill="1" applyBorder="1"/>
    <xf numFmtId="0" fontId="74" fillId="46" borderId="0" xfId="0" applyFont="1" applyFill="1" applyBorder="1"/>
    <xf numFmtId="180" fontId="8" fillId="45"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6" borderId="0" xfId="0" applyFont="1" applyFill="1" applyBorder="1" applyAlignment="1">
      <alignment horizontal="left" vertical="center"/>
    </xf>
    <xf numFmtId="180" fontId="2" fillId="46" borderId="0" xfId="0" applyNumberFormat="1" applyFont="1" applyFill="1" applyBorder="1" applyAlignment="1">
      <alignment horizontal="right" vertical="center"/>
    </xf>
    <xf numFmtId="180" fontId="2" fillId="46" borderId="18" xfId="0" applyNumberFormat="1" applyFont="1" applyFill="1" applyBorder="1" applyAlignment="1">
      <alignment horizontal="right" vertical="center"/>
    </xf>
    <xf numFmtId="180" fontId="64" fillId="2" borderId="0" xfId="0" applyNumberFormat="1" applyFont="1" applyFill="1" applyBorder="1"/>
    <xf numFmtId="0" fontId="2" fillId="46" borderId="0" xfId="0" applyFont="1" applyFill="1" applyBorder="1" applyAlignment="1">
      <alignment horizontal="right"/>
    </xf>
    <xf numFmtId="180" fontId="64" fillId="46" borderId="0" xfId="0" applyNumberFormat="1" applyFont="1" applyFill="1" applyBorder="1"/>
    <xf numFmtId="10" fontId="64" fillId="2" borderId="0" xfId="2" applyNumberFormat="1" applyFont="1" applyFill="1" applyBorder="1"/>
    <xf numFmtId="10" fontId="64" fillId="46" borderId="0" xfId="2" applyNumberFormat="1" applyFont="1" applyFill="1" applyBorder="1"/>
    <xf numFmtId="10" fontId="65" fillId="2" borderId="18" xfId="0" applyNumberFormat="1" applyFont="1" applyFill="1" applyBorder="1"/>
    <xf numFmtId="181" fontId="40" fillId="46" borderId="0" xfId="0" applyNumberFormat="1" applyFont="1" applyFill="1" applyBorder="1" applyAlignment="1">
      <alignment horizontal="right"/>
    </xf>
    <xf numFmtId="181" fontId="2" fillId="46"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6" borderId="0" xfId="0" applyNumberFormat="1" applyFont="1" applyFill="1" applyBorder="1" applyAlignment="1">
      <alignment horizontal="right"/>
    </xf>
    <xf numFmtId="180" fontId="1" fillId="2" borderId="0" xfId="0" applyNumberFormat="1" applyFont="1" applyFill="1" applyBorder="1"/>
    <xf numFmtId="180" fontId="40" fillId="46" borderId="18" xfId="2"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8" fillId="45" borderId="0" xfId="0" applyNumberFormat="1" applyFont="1" applyFill="1" applyBorder="1" applyAlignment="1">
      <alignment horizontal="left" vertical="center"/>
    </xf>
    <xf numFmtId="180" fontId="8" fillId="45" borderId="0" xfId="0" applyNumberFormat="1" applyFont="1" applyFill="1" applyBorder="1" applyAlignment="1">
      <alignment vertical="center"/>
    </xf>
    <xf numFmtId="180" fontId="64" fillId="46" borderId="0" xfId="0" applyNumberFormat="1"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2" fontId="2" fillId="46" borderId="18" xfId="0" applyNumberFormat="1" applyFont="1" applyFill="1" applyBorder="1"/>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2" fillId="46"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6"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82" fontId="1" fillId="2" borderId="0" xfId="0" applyNumberFormat="1" applyFont="1" applyFill="1" applyBorder="1"/>
    <xf numFmtId="182" fontId="2" fillId="47" borderId="0" xfId="0" applyNumberFormat="1" applyFont="1" applyFill="1" applyBorder="1"/>
    <xf numFmtId="0" fontId="1" fillId="47" borderId="0" xfId="0" applyFont="1" applyFill="1" applyBorder="1"/>
    <xf numFmtId="182" fontId="1" fillId="46"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84" fontId="2" fillId="47" borderId="0" xfId="0" applyNumberFormat="1" applyFont="1" applyFill="1" applyBorder="1"/>
    <xf numFmtId="184" fontId="1" fillId="46" borderId="0" xfId="0" applyNumberFormat="1"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10" fontId="64" fillId="46" borderId="0" xfId="0" applyNumberFormat="1" applyFont="1" applyFill="1" applyBorder="1"/>
    <xf numFmtId="180" fontId="1" fillId="47" borderId="0" xfId="0" applyNumberFormat="1" applyFont="1" applyFill="1" applyBorder="1"/>
    <xf numFmtId="180" fontId="1" fillId="46" borderId="0" xfId="0" applyNumberFormat="1" applyFont="1" applyFill="1" applyBorder="1"/>
    <xf numFmtId="2" fontId="2" fillId="47" borderId="0" xfId="0" applyNumberFormat="1" applyFont="1" applyFill="1" applyBorder="1"/>
    <xf numFmtId="182" fontId="2" fillId="47" borderId="0" xfId="0" applyNumberFormat="1" applyFont="1" applyFill="1" applyBorder="1" applyAlignment="1">
      <alignment horizontal="right" vertical="center"/>
    </xf>
    <xf numFmtId="10" fontId="65" fillId="47" borderId="0" xfId="2" applyNumberFormat="1" applyFont="1" applyFill="1" applyBorder="1" applyAlignment="1">
      <alignment horizontal="right"/>
    </xf>
    <xf numFmtId="10" fontId="67" fillId="45"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46" borderId="0" xfId="0" applyNumberFormat="1" applyFont="1" applyFill="1" applyBorder="1"/>
    <xf numFmtId="0" fontId="64" fillId="2" borderId="0" xfId="0" applyNumberFormat="1" applyFont="1" applyFill="1" applyBorder="1"/>
    <xf numFmtId="10" fontId="65" fillId="47" borderId="0" xfId="0" applyNumberFormat="1" applyFont="1" applyFill="1" applyBorder="1"/>
    <xf numFmtId="0" fontId="40" fillId="46" borderId="0" xfId="0"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80" fontId="40" fillId="46" borderId="0" xfId="0" applyNumberFormat="1" applyFont="1" applyFill="1" applyBorder="1"/>
    <xf numFmtId="180" fontId="8" fillId="45"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6" borderId="0" xfId="0" applyNumberFormat="1" applyFont="1" applyFill="1" applyBorder="1"/>
    <xf numFmtId="10" fontId="8" fillId="45"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6" borderId="0" xfId="2" applyNumberFormat="1" applyFont="1" applyFill="1" applyBorder="1" applyAlignment="1">
      <alignment horizontal="right"/>
    </xf>
    <xf numFmtId="0" fontId="2" fillId="46" borderId="18" xfId="0" applyFont="1" applyFill="1" applyBorder="1" applyAlignment="1">
      <alignment horizontal="left" vertical="center"/>
    </xf>
    <xf numFmtId="180" fontId="40" fillId="46" borderId="0" xfId="2" applyNumberFormat="1" applyFont="1" applyFill="1" applyBorder="1" applyAlignment="1">
      <alignment horizontal="right"/>
    </xf>
    <xf numFmtId="180" fontId="40" fillId="46" borderId="18" xfId="2" applyNumberFormat="1" applyFont="1" applyFill="1" applyBorder="1" applyAlignment="1">
      <alignment horizontal="right"/>
    </xf>
    <xf numFmtId="10" fontId="66" fillId="46" borderId="0" xfId="2" applyNumberFormat="1" applyFont="1" applyFill="1" applyBorder="1" applyAlignment="1">
      <alignment horizontal="right" vertical="center"/>
    </xf>
    <xf numFmtId="10" fontId="2" fillId="46" borderId="18" xfId="0" applyNumberFormat="1" applyFont="1" applyFill="1" applyBorder="1"/>
    <xf numFmtId="2" fontId="1" fillId="2" borderId="0" xfId="0" applyNumberFormat="1" applyFont="1" applyFill="1" applyBorder="1"/>
    <xf numFmtId="10" fontId="64" fillId="46"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164" fontId="2" fillId="47" borderId="0" xfId="0" applyNumberFormat="1" applyFont="1" applyFill="1"/>
    <xf numFmtId="9" fontId="60" fillId="2" borderId="0" xfId="2" applyFont="1" applyFill="1" applyBorder="1"/>
    <xf numFmtId="180" fontId="2" fillId="46" borderId="0" xfId="0" applyNumberFormat="1" applyFont="1" applyFill="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2" fontId="64" fillId="46" borderId="0" xfId="0" applyNumberFormat="1" applyFont="1" applyFill="1" applyBorder="1"/>
    <xf numFmtId="0" fontId="40" fillId="46" borderId="0" xfId="0" applyFont="1" applyFill="1" applyBorder="1" applyAlignment="1"/>
    <xf numFmtId="0" fontId="40" fillId="46" borderId="2"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180"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40" fillId="46" borderId="0" xfId="0" applyNumberFormat="1" applyFont="1" applyFill="1"/>
    <xf numFmtId="180" fontId="2" fillId="46" borderId="19" xfId="0" applyNumberFormat="1" applyFont="1" applyFill="1" applyBorder="1" applyAlignment="1">
      <alignment horizontal="left" vertical="center"/>
    </xf>
    <xf numFmtId="182" fontId="40" fillId="2" borderId="0" xfId="0" applyNumberFormat="1" applyFont="1" applyFill="1" applyBorder="1" applyAlignment="1">
      <alignment horizontal="right"/>
    </xf>
    <xf numFmtId="164" fontId="2" fillId="2" borderId="0" xfId="0" applyNumberFormat="1" applyFont="1" applyFill="1"/>
    <xf numFmtId="189" fontId="1" fillId="46" borderId="0" xfId="0" applyNumberFormat="1" applyFont="1" applyFill="1" applyAlignment="1">
      <alignment horizontal="right"/>
    </xf>
    <xf numFmtId="189" fontId="1" fillId="46" borderId="0" xfId="0" applyNumberFormat="1" applyFont="1" applyFill="1"/>
    <xf numFmtId="189" fontId="1" fillId="2" borderId="0" xfId="0" applyNumberFormat="1" applyFont="1" applyFill="1" applyBorder="1" applyAlignment="1">
      <alignment horizontal="right"/>
    </xf>
    <xf numFmtId="189" fontId="1" fillId="2" borderId="0" xfId="0" applyNumberFormat="1" applyFont="1" applyFill="1" applyBorder="1"/>
    <xf numFmtId="164" fontId="2" fillId="47" borderId="0" xfId="0" applyNumberFormat="1" applyFont="1" applyFill="1" applyBorder="1"/>
    <xf numFmtId="182" fontId="64" fillId="47" borderId="0" xfId="0" applyNumberFormat="1" applyFont="1" applyFill="1" applyBorder="1" applyAlignment="1">
      <alignment horizontal="right"/>
    </xf>
    <xf numFmtId="182" fontId="2" fillId="46" borderId="18" xfId="0" applyNumberFormat="1" applyFont="1" applyFill="1" applyBorder="1"/>
    <xf numFmtId="10" fontId="1" fillId="2" borderId="0" xfId="2" applyNumberFormat="1" applyFont="1" applyFill="1" applyBorder="1" applyAlignment="1">
      <alignment horizontal="right" vertical="center"/>
    </xf>
    <xf numFmtId="164" fontId="64" fillId="2" borderId="0" xfId="0" applyNumberFormat="1" applyFont="1" applyFill="1"/>
    <xf numFmtId="164" fontId="2" fillId="47" borderId="0" xfId="0" applyNumberFormat="1" applyFont="1" applyFill="1" applyAlignment="1">
      <alignment horizontal="right"/>
    </xf>
    <xf numFmtId="9" fontId="2" fillId="2" borderId="0" xfId="2" applyFont="1" applyFill="1" applyBorder="1"/>
    <xf numFmtId="2" fontId="2" fillId="2" borderId="0" xfId="2" applyNumberFormat="1" applyFont="1" applyFill="1" applyBorder="1" applyAlignment="1">
      <alignment horizontal="right"/>
    </xf>
    <xf numFmtId="182" fontId="40" fillId="46" borderId="0" xfId="0" applyNumberFormat="1" applyFont="1" applyFill="1" applyBorder="1" applyAlignment="1">
      <alignment horizontal="right"/>
    </xf>
    <xf numFmtId="0" fontId="9" fillId="2" borderId="0" xfId="167" applyFont="1" applyFill="1">
      <alignment vertical="top"/>
    </xf>
    <xf numFmtId="164" fontId="2" fillId="45" borderId="0" xfId="0" applyNumberFormat="1" applyFont="1" applyFill="1" applyBorder="1" applyAlignment="1">
      <alignment horizontal="right"/>
    </xf>
    <xf numFmtId="164" fontId="8" fillId="2" borderId="0" xfId="0" applyNumberFormat="1" applyFont="1" applyFill="1" applyBorder="1" applyAlignment="1">
      <alignment horizontal="center"/>
    </xf>
    <xf numFmtId="164" fontId="40" fillId="2" borderId="0" xfId="0" applyNumberFormat="1" applyFont="1" applyFill="1" applyBorder="1" applyAlignment="1">
      <alignment horizontal="right"/>
    </xf>
    <xf numFmtId="0" fontId="8" fillId="2" borderId="0" xfId="2" applyNumberFormat="1" applyFont="1" applyFill="1" applyBorder="1" applyAlignment="1">
      <alignment horizontal="right"/>
    </xf>
    <xf numFmtId="185" fontId="64" fillId="2" borderId="0" xfId="0" applyNumberFormat="1" applyFont="1" applyFill="1" applyBorder="1" applyAlignment="1">
      <alignment horizontal="right" vertical="center"/>
    </xf>
    <xf numFmtId="178" fontId="64" fillId="2" borderId="0" xfId="2" applyNumberFormat="1" applyFont="1" applyFill="1" applyBorder="1" applyAlignment="1">
      <alignment horizontal="right"/>
    </xf>
    <xf numFmtId="9" fontId="1" fillId="2" borderId="0" xfId="2" applyFont="1" applyFill="1" applyBorder="1" applyAlignment="1">
      <alignment horizontal="right"/>
    </xf>
    <xf numFmtId="178" fontId="8" fillId="2" borderId="0" xfId="0" applyNumberFormat="1" applyFont="1" applyFill="1" applyBorder="1"/>
    <xf numFmtId="183" fontId="64" fillId="2" borderId="0" xfId="0" applyNumberFormat="1" applyFont="1" applyFill="1" applyBorder="1"/>
    <xf numFmtId="183" fontId="8" fillId="2" borderId="0" xfId="0" applyNumberFormat="1" applyFont="1" applyFill="1" applyBorder="1" applyAlignment="1">
      <alignment horizontal="right"/>
    </xf>
    <xf numFmtId="183" fontId="8" fillId="2" borderId="0" xfId="0" applyNumberFormat="1" applyFont="1" applyFill="1" applyBorder="1"/>
    <xf numFmtId="183" fontId="7" fillId="2" borderId="0" xfId="0" applyNumberFormat="1" applyFont="1" applyFill="1" applyBorder="1"/>
    <xf numFmtId="165" fontId="64" fillId="2" borderId="0" xfId="0" applyNumberFormat="1" applyFont="1" applyFill="1" applyBorder="1"/>
    <xf numFmtId="9" fontId="1" fillId="2" borderId="0" xfId="2" applyNumberFormat="1" applyFont="1" applyFill="1" applyBorder="1"/>
    <xf numFmtId="9" fontId="64" fillId="2" borderId="0" xfId="2" applyFont="1" applyFill="1" applyBorder="1"/>
    <xf numFmtId="184" fontId="40" fillId="2" borderId="0" xfId="2" applyNumberFormat="1" applyFont="1" applyFill="1" applyBorder="1" applyAlignment="1">
      <alignment horizontal="right"/>
    </xf>
    <xf numFmtId="2" fontId="40" fillId="2" borderId="0" xfId="0" applyNumberFormat="1" applyFont="1" applyFill="1" applyBorder="1" applyAlignment="1">
      <alignment horizontal="right"/>
    </xf>
    <xf numFmtId="2" fontId="64" fillId="2" borderId="20" xfId="2" applyNumberFormat="1" applyFont="1" applyFill="1" applyBorder="1" applyAlignment="1">
      <alignment horizontal="right"/>
    </xf>
    <xf numFmtId="2" fontId="64" fillId="46" borderId="0" xfId="2" applyNumberFormat="1" applyFont="1" applyFill="1" applyBorder="1" applyAlignment="1">
      <alignment horizontal="center"/>
    </xf>
    <xf numFmtId="2" fontId="64" fillId="2" borderId="20" xfId="0" applyNumberFormat="1" applyFont="1" applyFill="1" applyBorder="1"/>
    <xf numFmtId="2" fontId="2" fillId="46" borderId="0" xfId="2" applyNumberFormat="1" applyFont="1" applyFill="1" applyBorder="1"/>
    <xf numFmtId="164" fontId="64" fillId="2" borderId="0" xfId="0" applyNumberFormat="1" applyFont="1" applyFill="1" applyAlignment="1"/>
    <xf numFmtId="165" fontId="64" fillId="46" borderId="0" xfId="0" applyNumberFormat="1" applyFont="1" applyFill="1" applyBorder="1"/>
    <xf numFmtId="164" fontId="64" fillId="46" borderId="20" xfId="0" applyNumberFormat="1" applyFont="1" applyFill="1" applyBorder="1"/>
    <xf numFmtId="10" fontId="8" fillId="45" borderId="0" xfId="2" applyNumberFormat="1" applyFont="1" applyFill="1" applyAlignment="1">
      <alignment vertical="center"/>
    </xf>
    <xf numFmtId="180" fontId="1" fillId="46" borderId="0" xfId="0" applyNumberFormat="1" applyFont="1" applyFill="1" applyBorder="1" applyAlignment="1">
      <alignment horizontal="right"/>
    </xf>
    <xf numFmtId="180" fontId="2" fillId="46" borderId="20" xfId="0" applyNumberFormat="1" applyFont="1" applyFill="1" applyBorder="1"/>
    <xf numFmtId="0" fontId="2" fillId="46" borderId="20" xfId="0" applyFont="1" applyFill="1" applyBorder="1"/>
    <xf numFmtId="10" fontId="74" fillId="2" borderId="0" xfId="0" applyNumberFormat="1" applyFont="1" applyFill="1" applyBorder="1"/>
    <xf numFmtId="10" fontId="2" fillId="2" borderId="0" xfId="0" applyNumberFormat="1" applyFont="1" applyFill="1" applyBorder="1"/>
    <xf numFmtId="4" fontId="1" fillId="46" borderId="0" xfId="0" applyNumberFormat="1" applyFont="1" applyFill="1" applyBorder="1"/>
    <xf numFmtId="4" fontId="1" fillId="46" borderId="0" xfId="2" applyNumberFormat="1" applyFont="1" applyFill="1" applyBorder="1"/>
    <xf numFmtId="4" fontId="2" fillId="46" borderId="18" xfId="0" applyNumberFormat="1" applyFont="1" applyFill="1" applyBorder="1"/>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5" fillId="2" borderId="18" xfId="0" applyNumberFormat="1" applyFont="1" applyFill="1" applyBorder="1" applyAlignment="1"/>
    <xf numFmtId="165" fontId="2" fillId="46" borderId="0" xfId="0" applyNumberFormat="1" applyFont="1" applyFill="1" applyBorder="1" applyAlignment="1">
      <alignment horizontal="right" vertical="center"/>
    </xf>
    <xf numFmtId="0" fontId="2" fillId="46" borderId="0" xfId="0" applyFont="1" applyFill="1" applyBorder="1" applyAlignment="1">
      <alignment horizontal="right" vertical="center"/>
    </xf>
    <xf numFmtId="184"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0" fontId="2" fillId="46" borderId="0" xfId="0" applyNumberFormat="1" applyFont="1" applyFill="1" applyBorder="1" applyAlignment="1">
      <alignment horizontal="right" vertical="center"/>
    </xf>
    <xf numFmtId="0" fontId="7" fillId="2" borderId="0" xfId="0" applyFont="1" applyFill="1" applyBorder="1"/>
    <xf numFmtId="0" fontId="2" fillId="2" borderId="0" xfId="0" applyNumberFormat="1" applyFont="1" applyFill="1" applyBorder="1" applyAlignment="1">
      <alignment horizontal="right"/>
    </xf>
    <xf numFmtId="2" fontId="2" fillId="2" borderId="0" xfId="0" applyNumberFormat="1" applyFont="1" applyFill="1" applyBorder="1"/>
    <xf numFmtId="182" fontId="2" fillId="2" borderId="0" xfId="0" applyNumberFormat="1" applyFont="1" applyFill="1" applyBorder="1"/>
    <xf numFmtId="0" fontId="8" fillId="2" borderId="0" xfId="0" applyFont="1" applyFill="1" applyBorder="1" applyAlignment="1">
      <alignment horizontal="right"/>
    </xf>
    <xf numFmtId="184" fontId="2" fillId="2" borderId="0" xfId="0" applyNumberFormat="1" applyFont="1" applyFill="1" applyBorder="1"/>
    <xf numFmtId="0" fontId="65" fillId="2" borderId="0" xfId="0" applyFont="1" applyFill="1" applyBorder="1" applyAlignment="1">
      <alignment horizontal="right"/>
    </xf>
    <xf numFmtId="0" fontId="6" fillId="2" borderId="0" xfId="0" applyFont="1" applyFill="1" applyBorder="1" applyAlignment="1">
      <alignment horizontal="right"/>
    </xf>
    <xf numFmtId="10" fontId="67" fillId="2" borderId="0" xfId="0" applyNumberFormat="1" applyFont="1" applyFill="1" applyBorder="1"/>
    <xf numFmtId="180" fontId="40" fillId="2" borderId="0" xfId="2" applyNumberFormat="1" applyFont="1" applyFill="1" applyBorder="1" applyAlignment="1">
      <alignment horizontal="right"/>
    </xf>
    <xf numFmtId="10" fontId="6" fillId="47" borderId="0" xfId="2" applyNumberFormat="1" applyFont="1" applyFill="1" applyBorder="1"/>
    <xf numFmtId="0" fontId="67" fillId="45" borderId="0" xfId="0" applyFont="1" applyFill="1" applyBorder="1" applyAlignment="1">
      <alignment horizontal="right"/>
    </xf>
    <xf numFmtId="180" fontId="2" fillId="2" borderId="20" xfId="0" applyNumberFormat="1" applyFont="1" applyFill="1" applyBorder="1"/>
    <xf numFmtId="0" fontId="65" fillId="46" borderId="0" xfId="0" applyFont="1" applyFill="1" applyBorder="1"/>
    <xf numFmtId="2" fontId="1" fillId="46" borderId="0" xfId="0" applyNumberFormat="1" applyFont="1" applyFill="1" applyBorder="1" applyAlignment="1">
      <alignment horizontal="right"/>
    </xf>
    <xf numFmtId="184" fontId="1" fillId="2" borderId="0" xfId="2" applyNumberFormat="1" applyFont="1" applyFill="1"/>
    <xf numFmtId="184" fontId="64" fillId="2" borderId="0" xfId="0" applyNumberFormat="1" applyFont="1" applyFill="1" applyBorder="1"/>
    <xf numFmtId="0" fontId="2" fillId="46" borderId="0" xfId="0" applyNumberFormat="1" applyFont="1" applyFill="1" applyBorder="1" applyAlignment="1">
      <alignment horizontal="right"/>
    </xf>
    <xf numFmtId="182" fontId="2" fillId="2" borderId="0" xfId="0" applyNumberFormat="1" applyFont="1" applyFill="1" applyBorder="1" applyAlignment="1">
      <alignment horizontal="right" vertical="center"/>
    </xf>
    <xf numFmtId="0" fontId="8" fillId="2" borderId="0" xfId="133" applyNumberFormat="1" applyFont="1" applyFill="1" applyBorder="1" applyAlignment="1">
      <alignment horizontal="right" vertical="center"/>
    </xf>
    <xf numFmtId="10" fontId="8" fillId="2" borderId="0" xfId="2" applyNumberFormat="1" applyFont="1" applyFill="1" applyBorder="1" applyAlignment="1">
      <alignment horizontal="right"/>
    </xf>
    <xf numFmtId="10" fontId="40" fillId="2" borderId="0" xfId="2" applyNumberFormat="1" applyFont="1" applyFill="1" applyBorder="1" applyAlignment="1">
      <alignment vertical="center"/>
    </xf>
    <xf numFmtId="165" fontId="8" fillId="45" borderId="0" xfId="0" applyNumberFormat="1" applyFont="1" applyFill="1" applyBorder="1" applyAlignment="1">
      <alignment horizontal="center"/>
    </xf>
    <xf numFmtId="164" fontId="8" fillId="45" borderId="0" xfId="0" applyNumberFormat="1" applyFont="1" applyFill="1" applyBorder="1" applyAlignment="1">
      <alignment horizontal="center"/>
    </xf>
    <xf numFmtId="2" fontId="64" fillId="2" borderId="0" xfId="2" applyNumberFormat="1" applyFont="1" applyFill="1" applyBorder="1" applyAlignment="1">
      <alignment horizontal="center"/>
    </xf>
    <xf numFmtId="164" fontId="8" fillId="2" borderId="0" xfId="0" applyNumberFormat="1" applyFont="1" applyFill="1" applyBorder="1" applyAlignment="1">
      <alignment horizontal="center"/>
    </xf>
    <xf numFmtId="164" fontId="8" fillId="45" borderId="0" xfId="0" applyNumberFormat="1" applyFont="1" applyFill="1" applyAlignment="1">
      <alignment horizontal="center"/>
    </xf>
    <xf numFmtId="0" fontId="8" fillId="45" borderId="0" xfId="0" applyFont="1" applyFill="1" applyBorder="1" applyAlignment="1">
      <alignment horizontal="center" vertical="center"/>
    </xf>
    <xf numFmtId="0" fontId="8" fillId="45" borderId="0" xfId="0" applyFont="1" applyFill="1" applyBorder="1" applyAlignment="1">
      <alignment horizontal="center"/>
    </xf>
    <xf numFmtId="0" fontId="65" fillId="2" borderId="0" xfId="0" applyFont="1" applyFill="1" applyBorder="1" applyAlignment="1">
      <alignment horizontal="right"/>
    </xf>
    <xf numFmtId="2" fontId="2" fillId="46" borderId="0" xfId="0" applyNumberFormat="1" applyFont="1" applyFill="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Voltas' Industry and Revenues Forecast (10 Yrs)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'Industry &amp; Revenues'!$C$3</c:f>
              <c:strCache>
                <c:ptCount val="1"/>
                <c:pt idx="0">
                  <c:v>AC Industry</c:v>
                </c:pt>
              </c:strCache>
            </c:strRef>
          </c:tx>
          <c:spPr>
            <a:solidFill>
              <a:srgbClr val="00B050"/>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Revenues'!$C$4:$C$15</c:f>
              <c:numCache>
                <c:formatCode>[$₹-4009]\ #,##0.00</c:formatCode>
                <c:ptCount val="12"/>
                <c:pt idx="0">
                  <c:v>30720</c:v>
                </c:pt>
                <c:pt idx="1">
                  <c:v>33177.600000000006</c:v>
                </c:pt>
                <c:pt idx="2">
                  <c:v>35831.808000000012</c:v>
                </c:pt>
                <c:pt idx="3">
                  <c:v>38698.352640000012</c:v>
                </c:pt>
                <c:pt idx="4">
                  <c:v>41794.220851200014</c:v>
                </c:pt>
                <c:pt idx="5">
                  <c:v>45137.758519296018</c:v>
                </c:pt>
                <c:pt idx="6">
                  <c:v>48748.779200839701</c:v>
                </c:pt>
                <c:pt idx="7">
                  <c:v>52648.681536906879</c:v>
                </c:pt>
                <c:pt idx="8">
                  <c:v>56860.576059859435</c:v>
                </c:pt>
                <c:pt idx="9">
                  <c:v>61409.422144648197</c:v>
                </c:pt>
                <c:pt idx="10">
                  <c:v>66322.175916220061</c:v>
                </c:pt>
                <c:pt idx="11">
                  <c:v>71627.94998951767</c:v>
                </c:pt>
              </c:numCache>
            </c:numRef>
          </c:val>
          <c:extLst>
            <c:ext xmlns:c16="http://schemas.microsoft.com/office/drawing/2014/chart" uri="{C3380CC4-5D6E-409C-BE32-E72D297353CC}">
              <c16:uniqueId val="{00000000-6720-48A9-B24A-8C3345189597}"/>
            </c:ext>
          </c:extLst>
        </c:ser>
        <c:ser>
          <c:idx val="1"/>
          <c:order val="1"/>
          <c:tx>
            <c:strRef>
              <c:f>'Industry &amp; Revenues'!$G$3</c:f>
              <c:strCache>
                <c:ptCount val="1"/>
                <c:pt idx="0">
                  <c:v>MEP Industry</c:v>
                </c:pt>
              </c:strCache>
            </c:strRef>
          </c:tx>
          <c:spPr>
            <a:solidFill>
              <a:srgbClr val="FFC000"/>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Revenues'!$G$4:$G$15</c:f>
              <c:numCache>
                <c:formatCode>[$₹-4009]\ #,##0.00</c:formatCode>
                <c:ptCount val="12"/>
                <c:pt idx="0">
                  <c:v>140560</c:v>
                </c:pt>
                <c:pt idx="1">
                  <c:v>148698.424</c:v>
                </c:pt>
                <c:pt idx="2">
                  <c:v>157308.06274960001</c:v>
                </c:pt>
                <c:pt idx="3">
                  <c:v>166416.19958280187</c:v>
                </c:pt>
                <c:pt idx="4">
                  <c:v>176051.69753864611</c:v>
                </c:pt>
                <c:pt idx="5">
                  <c:v>186245.09082613373</c:v>
                </c:pt>
                <c:pt idx="6">
                  <c:v>197028.68158496689</c:v>
                </c:pt>
                <c:pt idx="7">
                  <c:v>208436.64224873649</c:v>
                </c:pt>
                <c:pt idx="8">
                  <c:v>220505.12383493833</c:v>
                </c:pt>
                <c:pt idx="9">
                  <c:v>233272.37050498129</c:v>
                </c:pt>
                <c:pt idx="10">
                  <c:v>246778.8407572197</c:v>
                </c:pt>
                <c:pt idx="11">
                  <c:v>261067.33563706273</c:v>
                </c:pt>
              </c:numCache>
            </c:numRef>
          </c:val>
          <c:extLst>
            <c:ext xmlns:c16="http://schemas.microsoft.com/office/drawing/2014/chart" uri="{C3380CC4-5D6E-409C-BE32-E72D297353CC}">
              <c16:uniqueId val="{00000001-6720-48A9-B24A-8C3345189597}"/>
            </c:ext>
          </c:extLst>
        </c:ser>
        <c:ser>
          <c:idx val="2"/>
          <c:order val="2"/>
          <c:tx>
            <c:strRef>
              <c:f>'Industry &amp; Revenues'!$K$3</c:f>
              <c:strCache>
                <c:ptCount val="1"/>
                <c:pt idx="0">
                  <c:v>Elec. Industry</c:v>
                </c:pt>
              </c:strCache>
            </c:strRef>
          </c:tx>
          <c:spPr>
            <a:solidFill>
              <a:schemeClr val="accent1"/>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Revenues'!$K$4:$K$15</c:f>
              <c:numCache>
                <c:formatCode>[$₹-4009]\ #,##0.00</c:formatCode>
                <c:ptCount val="12"/>
                <c:pt idx="0">
                  <c:v>35000</c:v>
                </c:pt>
                <c:pt idx="1">
                  <c:v>37800</c:v>
                </c:pt>
                <c:pt idx="2">
                  <c:v>40824</c:v>
                </c:pt>
                <c:pt idx="3">
                  <c:v>44089.920000000006</c:v>
                </c:pt>
                <c:pt idx="4">
                  <c:v>47617.113600000012</c:v>
                </c:pt>
                <c:pt idx="5">
                  <c:v>51426.482688000018</c:v>
                </c:pt>
                <c:pt idx="6">
                  <c:v>55540.601303040021</c:v>
                </c:pt>
                <c:pt idx="7">
                  <c:v>59983.849407283225</c:v>
                </c:pt>
                <c:pt idx="8">
                  <c:v>64782.557359865888</c:v>
                </c:pt>
                <c:pt idx="9">
                  <c:v>69965.161948655164</c:v>
                </c:pt>
                <c:pt idx="10">
                  <c:v>75562.374904547585</c:v>
                </c:pt>
                <c:pt idx="11">
                  <c:v>81607.3648969114</c:v>
                </c:pt>
              </c:numCache>
            </c:numRef>
          </c:val>
          <c:extLst>
            <c:ext xmlns:c16="http://schemas.microsoft.com/office/drawing/2014/chart" uri="{C3380CC4-5D6E-409C-BE32-E72D297353CC}">
              <c16:uniqueId val="{00000002-6720-48A9-B24A-8C3345189597}"/>
            </c:ext>
          </c:extLst>
        </c:ser>
        <c:ser>
          <c:idx val="3"/>
          <c:order val="3"/>
          <c:tx>
            <c:strRef>
              <c:f>'Industry &amp; Revenues'!$O$3</c:f>
              <c:strCache>
                <c:ptCount val="1"/>
                <c:pt idx="0">
                  <c:v>Other</c:v>
                </c:pt>
              </c:strCache>
            </c:strRef>
          </c:tx>
          <c:spPr>
            <a:solidFill>
              <a:schemeClr val="accent4"/>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Revenues'!$O$4:$O$15</c:f>
              <c:numCache>
                <c:formatCode>[$₹-4009]\ #,##0.00</c:formatCode>
                <c:ptCount val="12"/>
                <c:pt idx="0">
                  <c:v>93.38</c:v>
                </c:pt>
                <c:pt idx="1">
                  <c:v>87.582581872000006</c:v>
                </c:pt>
                <c:pt idx="2">
                  <c:v>97.838234676537724</c:v>
                </c:pt>
                <c:pt idx="3">
                  <c:v>109.17001638725264</c:v>
                </c:pt>
                <c:pt idx="4">
                  <c:v>121.68441532604467</c:v>
                </c:pt>
                <c:pt idx="5">
                  <c:v>135.4980784597748</c:v>
                </c:pt>
                <c:pt idx="6">
                  <c:v>151.55353054278481</c:v>
                </c:pt>
                <c:pt idx="7">
                  <c:v>169.31456424721142</c:v>
                </c:pt>
                <c:pt idx="8">
                  <c:v>189.44925367665226</c:v>
                </c:pt>
                <c:pt idx="9">
                  <c:v>208.21592533058416</c:v>
                </c:pt>
                <c:pt idx="10">
                  <c:v>228.76243542481268</c:v>
                </c:pt>
                <c:pt idx="11">
                  <c:v>245.9726677826508</c:v>
                </c:pt>
              </c:numCache>
            </c:numRef>
          </c:val>
          <c:extLst>
            <c:ext xmlns:c16="http://schemas.microsoft.com/office/drawing/2014/chart" uri="{C3380CC4-5D6E-409C-BE32-E72D297353CC}">
              <c16:uniqueId val="{00000003-6720-48A9-B24A-8C3345189597}"/>
            </c:ext>
          </c:extLst>
        </c:ser>
        <c:dLbls>
          <c:showLegendKey val="0"/>
          <c:showVal val="0"/>
          <c:showCatName val="0"/>
          <c:showSerName val="0"/>
          <c:showPercent val="0"/>
          <c:showBubbleSize val="0"/>
        </c:dLbls>
        <c:gapWidth val="150"/>
        <c:overlap val="100"/>
        <c:axId val="718807551"/>
        <c:axId val="718806719"/>
      </c:barChart>
      <c:lineChart>
        <c:grouping val="standard"/>
        <c:varyColors val="0"/>
        <c:ser>
          <c:idx val="4"/>
          <c:order val="4"/>
          <c:tx>
            <c:v>Voltas Revenues</c:v>
          </c:tx>
          <c:spPr>
            <a:ln w="28575" cap="rnd">
              <a:solidFill>
                <a:srgbClr val="002060"/>
              </a:solidFill>
              <a:round/>
            </a:ln>
            <a:effectLst/>
          </c:spPr>
          <c:marker>
            <c:symbol val="none"/>
          </c:marker>
          <c:val>
            <c:numRef>
              <c:f>'Industry &amp; Revenues'!$P$4:$P$15</c:f>
              <c:numCache>
                <c:formatCode>[$₹-4009]\ #,##0.00</c:formatCode>
                <c:ptCount val="12"/>
                <c:pt idx="0">
                  <c:v>7841.07</c:v>
                </c:pt>
                <c:pt idx="1">
                  <c:v>8758.258187200001</c:v>
                </c:pt>
                <c:pt idx="2">
                  <c:v>9783.8234676537722</c:v>
                </c:pt>
                <c:pt idx="3">
                  <c:v>10917.001638725264</c:v>
                </c:pt>
                <c:pt idx="4">
                  <c:v>12168.441532604467</c:v>
                </c:pt>
                <c:pt idx="5">
                  <c:v>13549.807845977479</c:v>
                </c:pt>
                <c:pt idx="6">
                  <c:v>15155.353054278481</c:v>
                </c:pt>
                <c:pt idx="7">
                  <c:v>16931.456424721142</c:v>
                </c:pt>
                <c:pt idx="8">
                  <c:v>18944.925367665226</c:v>
                </c:pt>
                <c:pt idx="9">
                  <c:v>20821.592533058414</c:v>
                </c:pt>
                <c:pt idx="10">
                  <c:v>22876.243542481268</c:v>
                </c:pt>
                <c:pt idx="11">
                  <c:v>24597.266778265079</c:v>
                </c:pt>
              </c:numCache>
            </c:numRef>
          </c:val>
          <c:smooth val="0"/>
          <c:extLst>
            <c:ext xmlns:c16="http://schemas.microsoft.com/office/drawing/2014/chart" uri="{C3380CC4-5D6E-409C-BE32-E72D297353CC}">
              <c16:uniqueId val="{00000005-6720-48A9-B24A-8C3345189597}"/>
            </c:ext>
          </c:extLst>
        </c:ser>
        <c:dLbls>
          <c:showLegendKey val="0"/>
          <c:showVal val="0"/>
          <c:showCatName val="0"/>
          <c:showSerName val="0"/>
          <c:showPercent val="0"/>
          <c:showBubbleSize val="0"/>
        </c:dLbls>
        <c:marker val="1"/>
        <c:smooth val="0"/>
        <c:axId val="712874175"/>
        <c:axId val="712875839"/>
      </c:lineChart>
      <c:catAx>
        <c:axId val="71880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06719"/>
        <c:crosses val="autoZero"/>
        <c:auto val="1"/>
        <c:lblAlgn val="ctr"/>
        <c:lblOffset val="100"/>
        <c:noMultiLvlLbl val="0"/>
      </c:catAx>
      <c:valAx>
        <c:axId val="718806719"/>
        <c:scaling>
          <c:orientation val="minMax"/>
        </c:scaling>
        <c:delete val="0"/>
        <c:axPos val="l"/>
        <c:majorGridlines>
          <c:spPr>
            <a:ln w="9525" cap="flat" cmpd="sng" algn="ctr">
              <a:solidFill>
                <a:schemeClr val="tx1">
                  <a:lumMod val="15000"/>
                  <a:lumOff val="85000"/>
                </a:schemeClr>
              </a:solidFill>
              <a:round/>
            </a:ln>
            <a:effectLst/>
          </c:spPr>
        </c:majorGridlines>
        <c:numFmt formatCode="[$₹-4009]\ #,###\ \c\r"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07551"/>
        <c:crosses val="autoZero"/>
        <c:crossBetween val="between"/>
      </c:valAx>
      <c:valAx>
        <c:axId val="712875839"/>
        <c:scaling>
          <c:orientation val="minMax"/>
        </c:scaling>
        <c:delete val="0"/>
        <c:axPos val="r"/>
        <c:numFmt formatCode="[$₹-4009]\ #,###\ \c\r"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874175"/>
        <c:crosses val="max"/>
        <c:crossBetween val="between"/>
      </c:valAx>
      <c:catAx>
        <c:axId val="712874175"/>
        <c:scaling>
          <c:orientation val="minMax"/>
        </c:scaling>
        <c:delete val="1"/>
        <c:axPos val="b"/>
        <c:majorTickMark val="out"/>
        <c:minorTickMark val="none"/>
        <c:tickLblPos val="nextTo"/>
        <c:crossAx val="712875839"/>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76199</xdr:colOff>
      <xdr:row>4</xdr:row>
      <xdr:rowOff>161924</xdr:rowOff>
    </xdr:from>
    <xdr:to>
      <xdr:col>12</xdr:col>
      <xdr:colOff>163512</xdr:colOff>
      <xdr:row>14</xdr:row>
      <xdr:rowOff>180974</xdr:rowOff>
    </xdr:to>
    <xdr:pic>
      <xdr:nvPicPr>
        <xdr:cNvPr id="3" name="Picture 2" descr="Voltas Logo PNG Vector - FREE Vector Design - Cdr, Ai, EPS, PNG, 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295399"/>
          <a:ext cx="6945313" cy="1666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5</xdr:row>
      <xdr:rowOff>0</xdr:rowOff>
    </xdr:from>
    <xdr:to>
      <xdr:col>9</xdr:col>
      <xdr:colOff>438149</xdr:colOff>
      <xdr:row>10</xdr:row>
      <xdr:rowOff>47625</xdr:rowOff>
    </xdr:to>
    <xdr:sp macro="" textlink="">
      <xdr:nvSpPr>
        <xdr:cNvPr id="2" name="TextBox 1"/>
        <xdr:cNvSpPr txBox="1"/>
      </xdr:nvSpPr>
      <xdr:spPr>
        <a:xfrm>
          <a:off x="161925" y="809625"/>
          <a:ext cx="6991349"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Voltas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Engaged</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in the business of air conditioning, refrigeration, electro - mechanical projects as an EPC contractor both in domestic and international geographies (Middle East and Singapore) and engineering product services for mining, water management and treatment, construction equipments and textile industry.</a:t>
          </a:r>
        </a:p>
      </xdr:txBody>
    </xdr:sp>
    <xdr:clientData/>
  </xdr:twoCellAnchor>
  <xdr:twoCellAnchor>
    <xdr:from>
      <xdr:col>1</xdr:col>
      <xdr:colOff>28574</xdr:colOff>
      <xdr:row>11</xdr:row>
      <xdr:rowOff>19050</xdr:rowOff>
    </xdr:from>
    <xdr:to>
      <xdr:col>9</xdr:col>
      <xdr:colOff>457200</xdr:colOff>
      <xdr:row>24</xdr:row>
      <xdr:rowOff>142876</xdr:rowOff>
    </xdr:to>
    <xdr:sp macro="" textlink="">
      <xdr:nvSpPr>
        <xdr:cNvPr id="6" name="TextBox 5"/>
        <xdr:cNvSpPr txBox="1"/>
      </xdr:nvSpPr>
      <xdr:spPr>
        <a:xfrm>
          <a:off x="161924" y="1743075"/>
          <a:ext cx="7305676" cy="2105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Segment 1: Unitary Cooling Products (62% of Revenue)</a:t>
          </a:r>
          <a:r>
            <a:rPr lang="en-US" sz="900">
              <a:latin typeface="Arial" panose="020B0604020202020204" pitchFamily="34" charset="0"/>
              <a:cs typeface="Arial" panose="020B0604020202020204" pitchFamily="34" charset="0"/>
            </a:rPr>
            <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Unitary Cooling products comprises Air Conditioners, Air Coolers, and Commercial Refrigeration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As of July 2021, Voltas is no. 2 in the Air Cooler Category with a market share of 10.8%.</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Voltas is No 1 with 26.8% market share as of August 2020 in Room Air Conditioner business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21.9% market share in Inverter Air Conditioners, selling close to 1.45 million room air conditioners with the Inverter AC volumes, contributing close to 52% of the overall AC sales.</a:t>
          </a:r>
        </a:p>
        <a:p>
          <a:endParaRPr lang="en-US" sz="90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Segment 2: Mechanical, Electrical, and Plumbing (MEP) (34% of Total Revenue)</a:t>
          </a:r>
          <a:r>
            <a:rPr lang="en-US" sz="900">
              <a:latin typeface="Arial" panose="020B0604020202020204" pitchFamily="34" charset="0"/>
              <a:cs typeface="Arial" panose="020B0604020202020204" pitchFamily="34" charset="0"/>
            </a:rPr>
            <a:t/>
          </a:r>
          <a:br>
            <a:rPr lang="en-US" sz="900">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Domestic - Voltas offers integrated end-to-end solutions in electromechanical projects. It extends Mechanical, Electrical, and Plumbing (MEP) services for metro stations, airports, malls, hotels, hospitals etc.</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International Voltas International is recognized as a preferred MEP contractor for mid to large-size projects in various GCC countries such as UAE, Qatar, Oman, Bahrain, etc. The international project’s business has completed over 130 projects across 35+ countries.</a:t>
          </a:r>
        </a:p>
        <a:p>
          <a:endParaRPr lang="en-US" sz="90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Segment 3: Engineering Products (4% of Total Revenue)</a:t>
          </a:r>
          <a:br>
            <a:rPr lang="en-US" sz="900" b="1">
              <a:latin typeface="Arial" panose="020B0604020202020204" pitchFamily="34" charset="0"/>
              <a:cs typeface="Arial" panose="020B0604020202020204" pitchFamily="34" charset="0"/>
            </a:rPr>
          </a:br>
          <a:r>
            <a:rPr lang="en-US" sz="900">
              <a:latin typeface="Arial" panose="020B0604020202020204" pitchFamily="34" charset="0"/>
              <a:cs typeface="Arial" panose="020B0604020202020204" pitchFamily="34" charset="0"/>
            </a:rPr>
            <a:t>Engineering Products comprises Textile Machinery and Mining &amp; Construction Equipments.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Low Dependence on Imports</a:t>
          </a:r>
          <a:r>
            <a:rPr lang="en-US" sz="900" baseline="0">
              <a:latin typeface="Arial" panose="020B0604020202020204" pitchFamily="34" charset="0"/>
              <a:cs typeface="Arial" panose="020B0604020202020204" pitchFamily="34" charset="0"/>
            </a:rPr>
            <a:t> - </a:t>
          </a:r>
          <a:r>
            <a:rPr lang="en-US" sz="900">
              <a:latin typeface="Arial" panose="020B0604020202020204" pitchFamily="34" charset="0"/>
              <a:cs typeface="Arial" panose="020B0604020202020204" pitchFamily="34" charset="0"/>
            </a:rPr>
            <a:t>The company aims to increase localization and reduce dependency on imports.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xdr:rowOff>
    </xdr:from>
    <xdr:to>
      <xdr:col>17</xdr:col>
      <xdr:colOff>9525</xdr:colOff>
      <xdr:row>23</xdr:row>
      <xdr:rowOff>142875</xdr:rowOff>
    </xdr:to>
    <xdr:sp macro="" textlink="">
      <xdr:nvSpPr>
        <xdr:cNvPr id="9" name="TextBox 8"/>
        <xdr:cNvSpPr txBox="1"/>
      </xdr:nvSpPr>
      <xdr:spPr>
        <a:xfrm>
          <a:off x="133350" y="352426"/>
          <a:ext cx="12106275" cy="3343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Voltas Ltd Products: </a:t>
          </a:r>
          <a:r>
            <a:rPr lang="en-US" sz="900" b="0">
              <a:latin typeface="Arial" panose="020B0604020202020204" pitchFamily="34" charset="0"/>
              <a:cs typeface="Arial" panose="020B0604020202020204" pitchFamily="34" charset="0"/>
            </a:rPr>
            <a:t>Voltas</a:t>
          </a:r>
          <a:r>
            <a:rPr lang="en-US" sz="900" b="0" baseline="0">
              <a:latin typeface="Arial" panose="020B0604020202020204" pitchFamily="34" charset="0"/>
              <a:cs typeface="Arial" panose="020B0604020202020204" pitchFamily="34" charset="0"/>
            </a:rPr>
            <a:t> Ltd's main business is selling air conditioners (domestic and commercial) which constitutes to 62% of their revenues. Voltas is also involved in electromechanical servicesin Middle East (Saudi Arabia, UAE, Oman) which cannot be ignored as it constitutes to 34% of their revenues. They have a third income stream of building textile machinery (engineering products) which I am not a fan off personally! </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Voltas Ltd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Voltas Ltd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air conditioner industry. I have valued Voltas majorly on being one of the top players of an oligopoly market. I believe they can take 20% market share (current 15%) of the total air conditioner market. Why 20%? The air conditioner market is already very fragmented and has multiple players. My prediction - 5 players and 20% each!</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Air Conditioners Industry: </a:t>
          </a:r>
          <a:r>
            <a:rPr lang="en-US" sz="900" b="0" baseline="0">
              <a:solidFill>
                <a:schemeClr val="dk1"/>
              </a:solidFill>
              <a:effectLst/>
              <a:latin typeface="Arial" panose="020B0604020202020204" pitchFamily="34" charset="0"/>
              <a:ea typeface="+mn-ea"/>
              <a:cs typeface="Arial" panose="020B0604020202020204" pitchFamily="34" charset="0"/>
            </a:rPr>
            <a:t>People in India do purchase consumer durables based on word-of-mouth, same goes for Air Conditioners. One bad experience can lead to customers shifting to other brands. Air Conditioners usually require high maintainence cost (service cost, gas leakages, motor dysfunction). Just for context, a gas leakage can cost around Rs. 2,500. A front coil replacement cost upto Rs. 4,500. Regular Service charge is around Rs. 500. The industry is built on After Sales Service. A bad and expensive experience will lead to customer shifting to other brands.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People buy air conditioners once in every 5 to 7 years. It's a basic need in Urban Households and Commercials.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Habit: </a:t>
          </a:r>
          <a:r>
            <a:rPr lang="en-US" sz="900" b="0" baseline="0">
              <a:solidFill>
                <a:schemeClr val="dk1"/>
              </a:solidFill>
              <a:effectLst/>
              <a:latin typeface="Arial" panose="020B0604020202020204" pitchFamily="34" charset="0"/>
              <a:ea typeface="+mn-ea"/>
              <a:cs typeface="Arial" panose="020B0604020202020204" pitchFamily="34" charset="0"/>
            </a:rPr>
            <a:t> Being under air conditioners becomes a habit for consumers, the industry will grow rapidly as more and more people gets a habit of being under air conditioners.</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Voltas Ltd biggest expenditure are consumption of materials, cost of jobs and services. They make 9.09%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Blue Star, Amber Enterprises and Hitachi (Johnson Controls).</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AC Business is all about manufacturing and selling aka capital intensive. Voltas Ltd has been efficient enough in their operations and making Rs. 1.67 of Sales for every Rs.1 of Invested Capital. For the last 2-3 years, Voltas Ltd has been reinvesting very little in Working Capital and Capital Expenditure. Maybe it was because of the pandemic. So, I have given them an industry average reinvestment needs. They would need to invest about Rs. 395 cr per annum for the next 10 years to increase their Return on Capital to 16.22%. Voltas Ltd has reinvested 8.5% of their earnings in FY22 and I don't see this trend continuing.</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Voltas Ltd is already a big player in the AC Industry. They earn more than their cost of capital of 8.11%. One of their weakness is risky Middle East projects, which affects about one-thirds of company's revenues.</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133349</xdr:colOff>
      <xdr:row>9</xdr:row>
      <xdr:rowOff>9526</xdr:rowOff>
    </xdr:from>
    <xdr:to>
      <xdr:col>4</xdr:col>
      <xdr:colOff>0</xdr:colOff>
      <xdr:row>13</xdr:row>
      <xdr:rowOff>9526</xdr:rowOff>
    </xdr:to>
    <xdr:sp macro="" textlink="">
      <xdr:nvSpPr>
        <xdr:cNvPr id="2" name="TextBox 1"/>
        <xdr:cNvSpPr txBox="1"/>
      </xdr:nvSpPr>
      <xdr:spPr>
        <a:xfrm>
          <a:off x="133349" y="1428751"/>
          <a:ext cx="325755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India and</a:t>
          </a:r>
          <a:r>
            <a:rPr lang="en-US" sz="1100" b="0" i="1" u="none" strike="noStrike" baseline="0">
              <a:solidFill>
                <a:schemeClr val="dk1"/>
              </a:solidFill>
              <a:effectLst/>
              <a:latin typeface="+mn-lt"/>
              <a:ea typeface="+mn-ea"/>
              <a:cs typeface="+mn-cs"/>
            </a:rPr>
            <a:t> Middle East </a:t>
          </a:r>
          <a:r>
            <a:rPr lang="en-US" sz="1100" b="0" i="1" u="none" strike="noStrike">
              <a:solidFill>
                <a:schemeClr val="dk1"/>
              </a:solidFill>
              <a:effectLst/>
              <a:latin typeface="+mn-lt"/>
              <a:ea typeface="+mn-ea"/>
              <a:cs typeface="+mn-cs"/>
            </a:rPr>
            <a:t>constitutes 98.4% of Voltas Revenues.</a:t>
          </a:r>
          <a:r>
            <a:rPr lang="en-US" sz="1100" b="0" i="1"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So, I'm gonna ignore Singapore and Others. </a:t>
          </a:r>
          <a:r>
            <a:rPr lang="en-US"/>
            <a:t>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24603</xdr:colOff>
      <xdr:row>16</xdr:row>
      <xdr:rowOff>76200</xdr:rowOff>
    </xdr:from>
    <xdr:to>
      <xdr:col>5</xdr:col>
      <xdr:colOff>0</xdr:colOff>
      <xdr:row>30</xdr:row>
      <xdr:rowOff>114300</xdr:rowOff>
    </xdr:to>
    <xdr:pic>
      <xdr:nvPicPr>
        <xdr:cNvPr id="2" name="Picture 1" descr="https://www.ibef.org/assets/images/charts/consumer-durables.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953" y="2552700"/>
          <a:ext cx="3299622" cy="22002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180975</xdr:colOff>
      <xdr:row>16</xdr:row>
      <xdr:rowOff>76200</xdr:rowOff>
    </xdr:from>
    <xdr:to>
      <xdr:col>13</xdr:col>
      <xdr:colOff>0</xdr:colOff>
      <xdr:row>24</xdr:row>
      <xdr:rowOff>76200</xdr:rowOff>
    </xdr:to>
    <xdr:sp macro="" textlink="">
      <xdr:nvSpPr>
        <xdr:cNvPr id="3" name="TextBox 2"/>
        <xdr:cNvSpPr txBox="1"/>
      </xdr:nvSpPr>
      <xdr:spPr>
        <a:xfrm>
          <a:off x="6677025" y="2552700"/>
          <a:ext cx="2847975"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Market size of textile machinery stood at Rs.35,000 crores (US$ 5.4 billion) in 2021. Textile industry exports stood at Rs. 3,307 crores in 2020-21, as against Rs 2,556 crores achieved during 2019-20.</a:t>
          </a:r>
        </a:p>
        <a:p>
          <a:r>
            <a:rPr lang="en-US" sz="1100" b="0" i="1">
              <a:solidFill>
                <a:schemeClr val="dk1"/>
              </a:solidFill>
              <a:effectLst/>
              <a:latin typeface="+mn-lt"/>
              <a:ea typeface="+mn-ea"/>
              <a:cs typeface="+mn-cs"/>
            </a:rPr>
            <a:t>~</a:t>
          </a:r>
          <a:r>
            <a:rPr lang="en-US" sz="1100" b="0" i="1" baseline="0">
              <a:solidFill>
                <a:schemeClr val="dk1"/>
              </a:solidFill>
              <a:effectLst/>
              <a:latin typeface="+mn-lt"/>
              <a:ea typeface="+mn-ea"/>
              <a:cs typeface="+mn-cs"/>
            </a:rPr>
            <a:t> IBEF India</a:t>
          </a:r>
          <a:endParaRPr lang="en-US" sz="1100" i="1"/>
        </a:p>
      </xdr:txBody>
    </xdr:sp>
    <xdr:clientData/>
  </xdr:twoCellAnchor>
  <xdr:twoCellAnchor>
    <xdr:from>
      <xdr:col>6</xdr:col>
      <xdr:colOff>9526</xdr:colOff>
      <xdr:row>16</xdr:row>
      <xdr:rowOff>85726</xdr:rowOff>
    </xdr:from>
    <xdr:to>
      <xdr:col>8</xdr:col>
      <xdr:colOff>676276</xdr:colOff>
      <xdr:row>24</xdr:row>
      <xdr:rowOff>66675</xdr:rowOff>
    </xdr:to>
    <xdr:sp macro="" textlink="">
      <xdr:nvSpPr>
        <xdr:cNvPr id="4" name="TextBox 3"/>
        <xdr:cNvSpPr txBox="1"/>
      </xdr:nvSpPr>
      <xdr:spPr>
        <a:xfrm>
          <a:off x="3638551" y="2562226"/>
          <a:ext cx="2647950" cy="1200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a:solidFill>
                <a:schemeClr val="dk1"/>
              </a:solidFill>
              <a:effectLst/>
              <a:latin typeface="+mn-lt"/>
              <a:ea typeface="+mn-ea"/>
              <a:cs typeface="Arial" panose="020B0604020202020204" pitchFamily="34" charset="0"/>
            </a:rPr>
            <a:t>The mechanical and electromechanical locks market was valued at $17.57 billion in 2022 to cross 24.63 billion by 2027.</a:t>
          </a:r>
          <a:r>
            <a:rPr lang="en-US" sz="1050" b="0" i="0" baseline="0">
              <a:solidFill>
                <a:schemeClr val="dk1"/>
              </a:solidFill>
              <a:effectLst/>
              <a:latin typeface="+mn-lt"/>
              <a:ea typeface="+mn-ea"/>
              <a:cs typeface="Arial" panose="020B0604020202020204" pitchFamily="34" charset="0"/>
            </a:rPr>
            <a:t> </a:t>
          </a:r>
          <a:r>
            <a:rPr lang="en-US" sz="1100" b="0" i="0">
              <a:solidFill>
                <a:schemeClr val="dk1"/>
              </a:solidFill>
              <a:effectLst/>
              <a:latin typeface="+mn-lt"/>
              <a:ea typeface="+mn-ea"/>
              <a:cs typeface="+mn-cs"/>
            </a:rPr>
            <a:t>Expected to grow at a CAGR of over 5.79% during the period 2021−2027.</a:t>
          </a:r>
        </a:p>
        <a:p>
          <a:r>
            <a:rPr lang="en-US" sz="1100" b="0" i="1">
              <a:solidFill>
                <a:schemeClr val="dk1"/>
              </a:solidFill>
              <a:effectLst/>
              <a:latin typeface="+mn-lt"/>
              <a:ea typeface="+mn-ea"/>
              <a:cs typeface="+mn-cs"/>
            </a:rPr>
            <a:t>~ Arizton</a:t>
          </a:r>
          <a:endParaRPr lang="en-US" sz="1050" b="0" i="1">
            <a:solidFill>
              <a:schemeClr val="dk1"/>
            </a:solidFill>
            <a:effectLst/>
            <a:latin typeface="+mn-lt"/>
            <a:ea typeface="+mn-ea"/>
            <a:cs typeface="Arial" panose="020B0604020202020204" pitchFamily="34" charset="0"/>
          </a:endParaRPr>
        </a:p>
      </xdr:txBody>
    </xdr:sp>
    <xdr:clientData/>
  </xdr:twoCellAnchor>
  <xdr:twoCellAnchor>
    <xdr:from>
      <xdr:col>1</xdr:col>
      <xdr:colOff>9524</xdr:colOff>
      <xdr:row>31</xdr:row>
      <xdr:rowOff>104775</xdr:rowOff>
    </xdr:from>
    <xdr:to>
      <xdr:col>17</xdr:col>
      <xdr:colOff>66675</xdr:colOff>
      <xdr:row>59</xdr:row>
      <xdr:rowOff>66675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123824</xdr:colOff>
      <xdr:row>18</xdr:row>
      <xdr:rowOff>76200</xdr:rowOff>
    </xdr:from>
    <xdr:to>
      <xdr:col>5</xdr:col>
      <xdr:colOff>1600200</xdr:colOff>
      <xdr:row>21</xdr:row>
      <xdr:rowOff>57150</xdr:rowOff>
    </xdr:to>
    <xdr:sp macro="" textlink="">
      <xdr:nvSpPr>
        <xdr:cNvPr id="4" name="TextBox 3"/>
        <xdr:cNvSpPr txBox="1"/>
      </xdr:nvSpPr>
      <xdr:spPr>
        <a:xfrm>
          <a:off x="6505574" y="1800225"/>
          <a:ext cx="1476376"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5</xdr:col>
      <xdr:colOff>133349</xdr:colOff>
      <xdr:row>11</xdr:row>
      <xdr:rowOff>57150</xdr:rowOff>
    </xdr:from>
    <xdr:to>
      <xdr:col>5</xdr:col>
      <xdr:colOff>1609724</xdr:colOff>
      <xdr:row>18</xdr:row>
      <xdr:rowOff>9525</xdr:rowOff>
    </xdr:to>
    <xdr:sp macro="" textlink="">
      <xdr:nvSpPr>
        <xdr:cNvPr id="6" name="TextBox 5"/>
        <xdr:cNvSpPr txBox="1"/>
      </xdr:nvSpPr>
      <xdr:spPr>
        <a:xfrm>
          <a:off x="5467349" y="704850"/>
          <a:ext cx="1476375" cy="1028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xdr:txBody>
    </xdr:sp>
    <xdr:clientData/>
  </xdr:twoCellAnchor>
  <xdr:twoCellAnchor>
    <xdr:from>
      <xdr:col>5</xdr:col>
      <xdr:colOff>133349</xdr:colOff>
      <xdr:row>24</xdr:row>
      <xdr:rowOff>57151</xdr:rowOff>
    </xdr:from>
    <xdr:to>
      <xdr:col>5</xdr:col>
      <xdr:colOff>1609725</xdr:colOff>
      <xdr:row>28</xdr:row>
      <xdr:rowOff>133351</xdr:rowOff>
    </xdr:to>
    <xdr:sp macro="" textlink="">
      <xdr:nvSpPr>
        <xdr:cNvPr id="7" name="TextBox 6"/>
        <xdr:cNvSpPr txBox="1"/>
      </xdr:nvSpPr>
      <xdr:spPr>
        <a:xfrm>
          <a:off x="5514974" y="3609976"/>
          <a:ext cx="1476376"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Add</a:t>
          </a:r>
          <a:r>
            <a:rPr lang="en-US" sz="1050" baseline="0">
              <a:solidFill>
                <a:schemeClr val="dk1"/>
              </a:solidFill>
              <a:effectLst/>
              <a:latin typeface="+mn-lt"/>
              <a:ea typeface="+mn-ea"/>
              <a:cs typeface="+mn-cs"/>
            </a:rPr>
            <a:t> Non Owner.</a:t>
          </a:r>
          <a:endParaRPr lang="en-US" sz="1050">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pages.stern.nyu.edu/~adamodar/New_Home_Page/datafile/ratings.html"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O15"/>
  <sheetViews>
    <sheetView tabSelected="1" workbookViewId="0"/>
  </sheetViews>
  <sheetFormatPr defaultColWidth="9.140625" defaultRowHeight="12.75"/>
  <cols>
    <col min="1" max="1" width="2" style="59" customWidth="1"/>
    <col min="2" max="8" width="9.140625" style="59"/>
    <col min="9" max="9" width="11.42578125" style="59" customWidth="1"/>
    <col min="10" max="16384" width="9.140625" style="59"/>
  </cols>
  <sheetData>
    <row r="1" spans="1:15" ht="50.25">
      <c r="A1" s="329"/>
      <c r="B1" s="60" t="s">
        <v>255</v>
      </c>
    </row>
    <row r="3" spans="1:15" ht="13.5" customHeight="1">
      <c r="B3"/>
      <c r="F3" s="60"/>
      <c r="H3" s="60"/>
    </row>
    <row r="9" spans="1:15">
      <c r="C9" s="61"/>
    </row>
    <row r="10" spans="1:15">
      <c r="C10" s="61"/>
    </row>
    <row r="12" spans="1:15" ht="15">
      <c r="J12"/>
    </row>
    <row r="13" spans="1:15">
      <c r="O13" s="62"/>
    </row>
    <row r="15" spans="1: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7.14062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256</v>
      </c>
      <c r="E1" s="3"/>
      <c r="F1" s="65"/>
      <c r="G1" s="3"/>
      <c r="H1" s="3"/>
      <c r="I1" s="3"/>
      <c r="J1" s="3"/>
      <c r="K1" s="3"/>
      <c r="L1" s="3"/>
      <c r="M1" s="3"/>
      <c r="N1" s="3"/>
    </row>
    <row r="2" spans="2:14">
      <c r="E2" s="3"/>
      <c r="F2" s="65"/>
      <c r="G2" s="3"/>
      <c r="H2" s="3"/>
      <c r="I2" s="3"/>
      <c r="J2" s="3"/>
      <c r="K2" s="3"/>
      <c r="L2" s="3"/>
      <c r="M2" s="3"/>
      <c r="N2" s="3"/>
    </row>
    <row r="3" spans="2:14">
      <c r="B3" s="3" t="s">
        <v>258</v>
      </c>
      <c r="C3" s="83" t="s">
        <v>260</v>
      </c>
      <c r="D3" s="22"/>
      <c r="E3" s="48"/>
      <c r="F3" s="119"/>
      <c r="G3" s="115"/>
      <c r="H3" s="102"/>
      <c r="I3" s="102"/>
      <c r="J3" s="102"/>
      <c r="K3" s="3"/>
      <c r="L3" s="120"/>
      <c r="M3" s="102"/>
      <c r="N3" s="3"/>
    </row>
    <row r="4" spans="2:14">
      <c r="B4" s="2" t="s">
        <v>259</v>
      </c>
      <c r="C4" s="314" t="s">
        <v>261</v>
      </c>
      <c r="D4" s="6"/>
      <c r="E4" s="3"/>
      <c r="F4" s="69"/>
      <c r="G4" s="116"/>
      <c r="H4" s="117"/>
      <c r="I4" s="48"/>
      <c r="J4" s="67"/>
      <c r="K4" s="3"/>
      <c r="L4" s="68"/>
      <c r="M4" s="85"/>
      <c r="N4" s="3"/>
    </row>
    <row r="5" spans="2:14">
      <c r="D5" s="6"/>
      <c r="E5" s="3"/>
      <c r="F5" s="69"/>
      <c r="G5" s="116"/>
      <c r="H5" s="117"/>
      <c r="I5" s="48"/>
      <c r="J5" s="67"/>
      <c r="K5" s="3"/>
      <c r="L5" s="68"/>
      <c r="M5" s="85"/>
      <c r="N5" s="3"/>
    </row>
    <row r="6" spans="2:14">
      <c r="C6" s="76"/>
      <c r="D6" s="24"/>
      <c r="E6" s="3"/>
      <c r="F6" s="69"/>
      <c r="G6" s="116"/>
      <c r="H6" s="117"/>
      <c r="I6" s="48"/>
      <c r="J6" s="67"/>
      <c r="K6" s="3"/>
      <c r="L6" s="68"/>
      <c r="M6" s="85"/>
      <c r="N6" s="3"/>
    </row>
    <row r="7" spans="2:14">
      <c r="C7" s="77"/>
      <c r="D7" s="6"/>
      <c r="E7" s="3"/>
      <c r="F7" s="69"/>
      <c r="G7" s="116"/>
      <c r="H7" s="117"/>
      <c r="I7" s="48"/>
      <c r="J7" s="67"/>
      <c r="K7" s="3"/>
      <c r="L7" s="68"/>
      <c r="M7" s="85"/>
      <c r="N7" s="3"/>
    </row>
    <row r="8" spans="2:14">
      <c r="C8" s="47"/>
      <c r="D8" s="6"/>
      <c r="E8" s="3"/>
      <c r="F8" s="69"/>
      <c r="G8" s="116"/>
      <c r="H8" s="117"/>
      <c r="I8" s="48"/>
      <c r="J8" s="67"/>
      <c r="K8" s="3"/>
      <c r="L8" s="68"/>
      <c r="M8" s="85"/>
      <c r="N8" s="3"/>
    </row>
    <row r="9" spans="2:14">
      <c r="B9" s="3"/>
      <c r="C9" s="83"/>
      <c r="D9" s="6"/>
      <c r="E9" s="3"/>
      <c r="F9" s="69"/>
      <c r="G9" s="116"/>
      <c r="H9" s="117"/>
      <c r="I9" s="48"/>
      <c r="J9" s="67"/>
      <c r="K9" s="3"/>
      <c r="L9" s="68"/>
      <c r="M9" s="85"/>
      <c r="N9" s="3"/>
    </row>
    <row r="10" spans="2:14">
      <c r="B10" s="3"/>
      <c r="C10" s="83"/>
      <c r="D10" s="6"/>
      <c r="E10" s="3"/>
      <c r="F10" s="69"/>
      <c r="G10" s="116"/>
      <c r="H10" s="117"/>
      <c r="I10" s="48"/>
      <c r="J10" s="67"/>
      <c r="K10" s="3"/>
      <c r="L10" s="66"/>
      <c r="M10" s="3"/>
      <c r="N10" s="3"/>
    </row>
    <row r="11" spans="2:14">
      <c r="B11" s="3"/>
      <c r="C11" s="84"/>
      <c r="D11" s="6"/>
      <c r="E11" s="3"/>
      <c r="F11" s="69"/>
      <c r="G11" s="116"/>
      <c r="H11" s="117"/>
      <c r="I11" s="48"/>
      <c r="J11" s="67"/>
      <c r="K11" s="3"/>
      <c r="L11" s="81"/>
      <c r="M11" s="90"/>
      <c r="N11" s="3"/>
    </row>
    <row r="12" spans="2:14">
      <c r="B12" s="3"/>
      <c r="C12" s="3"/>
      <c r="D12" s="6"/>
      <c r="E12" s="3"/>
      <c r="F12" s="69"/>
      <c r="G12" s="116"/>
      <c r="H12" s="117"/>
      <c r="I12" s="48"/>
      <c r="J12" s="67"/>
      <c r="K12" s="3"/>
      <c r="L12" s="64"/>
      <c r="M12" s="90"/>
      <c r="N12" s="3"/>
    </row>
    <row r="13" spans="2:14">
      <c r="B13" s="3"/>
      <c r="C13" s="58"/>
      <c r="D13" s="6"/>
      <c r="E13" s="3"/>
      <c r="F13" s="69"/>
      <c r="G13" s="116"/>
      <c r="H13" s="117"/>
      <c r="I13" s="48"/>
      <c r="J13" s="67"/>
      <c r="K13" s="3"/>
      <c r="L13" s="3"/>
      <c r="M13" s="3"/>
      <c r="N13" s="3"/>
    </row>
    <row r="14" spans="2:14">
      <c r="B14" s="23"/>
      <c r="C14" s="23"/>
      <c r="D14" s="24"/>
      <c r="E14" s="3"/>
      <c r="F14" s="68"/>
      <c r="G14" s="7"/>
      <c r="H14" s="3"/>
      <c r="I14" s="48"/>
      <c r="J14" s="23"/>
      <c r="K14" s="3"/>
      <c r="L14" s="3"/>
      <c r="M14" s="3"/>
      <c r="N14" s="3"/>
    </row>
    <row r="15" spans="2:14">
      <c r="B15" s="3"/>
      <c r="C15" s="125"/>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4"/>
      <c r="E18" s="48"/>
      <c r="F18" s="64"/>
      <c r="G18" s="3"/>
      <c r="H18" s="3"/>
      <c r="I18" s="3"/>
      <c r="J18" s="3"/>
      <c r="K18" s="3"/>
      <c r="L18" s="3"/>
      <c r="M18" s="3"/>
      <c r="N18" s="3"/>
    </row>
    <row r="19" spans="2:14">
      <c r="B19" s="23"/>
      <c r="C19" s="23"/>
      <c r="D19" s="6"/>
      <c r="E19" s="48"/>
      <c r="F19" s="64"/>
      <c r="G19" s="3"/>
      <c r="H19" s="3"/>
      <c r="I19" s="3"/>
      <c r="J19" s="3"/>
      <c r="K19" s="3"/>
      <c r="L19" s="3"/>
      <c r="M19" s="3"/>
      <c r="N19" s="3"/>
    </row>
    <row r="20" spans="2:14">
      <c r="B20" s="3"/>
      <c r="C20" s="3"/>
      <c r="D20" s="6"/>
      <c r="E20" s="118"/>
      <c r="F20" s="120"/>
      <c r="G20" s="120"/>
      <c r="H20" s="120"/>
      <c r="I20" s="120"/>
      <c r="J20" s="120"/>
      <c r="K20" s="120"/>
      <c r="L20" s="3"/>
      <c r="M20" s="3"/>
      <c r="N20" s="3"/>
    </row>
    <row r="21" spans="2:14">
      <c r="B21" s="3"/>
      <c r="C21" s="3"/>
      <c r="D21" s="6"/>
      <c r="E21" s="100"/>
      <c r="F21" s="121"/>
      <c r="G21" s="7"/>
      <c r="H21" s="7"/>
      <c r="I21" s="7"/>
      <c r="J21" s="7"/>
      <c r="K21" s="7"/>
      <c r="L21" s="3"/>
      <c r="M21" s="3"/>
      <c r="N21" s="3"/>
    </row>
    <row r="22" spans="2:14">
      <c r="B22" s="3"/>
      <c r="C22" s="3"/>
      <c r="D22" s="6"/>
      <c r="E22" s="48"/>
      <c r="F22" s="65"/>
      <c r="G22" s="65"/>
      <c r="H22" s="65"/>
      <c r="I22" s="101"/>
      <c r="J22" s="64"/>
      <c r="K22" s="65"/>
      <c r="L22" s="3"/>
      <c r="M22" s="3"/>
      <c r="N22" s="3"/>
    </row>
    <row r="23" spans="2:14">
      <c r="B23" s="23"/>
      <c r="C23" s="23"/>
      <c r="D23" s="24"/>
      <c r="E23" s="48"/>
      <c r="F23" s="3"/>
      <c r="G23" s="3"/>
      <c r="H23" s="3"/>
      <c r="I23" s="3"/>
      <c r="J23" s="3"/>
      <c r="K23" s="3"/>
      <c r="L23" s="122"/>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4"/>
      <c r="F26" s="47"/>
      <c r="G26" s="3"/>
      <c r="H26" s="64"/>
      <c r="I26" s="82"/>
      <c r="J26" s="3"/>
      <c r="K26" s="3"/>
      <c r="L26" s="123"/>
      <c r="M26" s="3"/>
      <c r="N26" s="3"/>
    </row>
    <row r="27" spans="2:14">
      <c r="B27" s="3"/>
      <c r="C27" s="3"/>
      <c r="D27" s="24"/>
      <c r="E27" s="23"/>
      <c r="F27" s="124"/>
      <c r="G27" s="3"/>
      <c r="H27" s="3"/>
      <c r="I27" s="3"/>
      <c r="J27" s="3"/>
      <c r="K27" s="3"/>
      <c r="L27" s="3"/>
      <c r="M27" s="3"/>
      <c r="N27" s="3"/>
    </row>
    <row r="28" spans="2:14">
      <c r="B28" s="3"/>
      <c r="C28" s="3"/>
      <c r="D28" s="7"/>
      <c r="E28" s="23"/>
      <c r="F28" s="124"/>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257</v>
      </c>
      <c r="E1" s="3"/>
      <c r="F1" s="65"/>
      <c r="G1" s="3"/>
      <c r="H1" s="3"/>
      <c r="I1" s="3"/>
      <c r="J1" s="3"/>
      <c r="K1" s="3"/>
      <c r="L1" s="3"/>
      <c r="M1" s="3"/>
      <c r="N1" s="3"/>
    </row>
    <row r="2" spans="2:14">
      <c r="E2" s="3"/>
      <c r="F2" s="65"/>
      <c r="G2" s="3"/>
      <c r="H2" s="3"/>
      <c r="I2" s="3"/>
      <c r="J2" s="3"/>
      <c r="K2" s="3"/>
      <c r="L2" s="3"/>
      <c r="M2" s="3"/>
      <c r="N2" s="3"/>
    </row>
    <row r="3" spans="2:14">
      <c r="B3" s="3"/>
      <c r="C3" s="83"/>
      <c r="D3" s="22"/>
      <c r="E3" s="48"/>
      <c r="F3" s="119"/>
      <c r="G3" s="115"/>
      <c r="H3" s="102"/>
      <c r="I3" s="102"/>
      <c r="J3" s="102"/>
      <c r="K3" s="3"/>
      <c r="L3" s="120"/>
      <c r="M3" s="102"/>
      <c r="N3" s="3"/>
    </row>
    <row r="4" spans="2:14">
      <c r="C4" s="126"/>
      <c r="D4" s="6"/>
      <c r="E4" s="3"/>
      <c r="F4" s="69"/>
      <c r="G4" s="116"/>
      <c r="H4" s="117"/>
      <c r="I4" s="48"/>
      <c r="J4" s="67"/>
      <c r="K4" s="3"/>
      <c r="L4" s="68"/>
      <c r="M4" s="85"/>
      <c r="N4" s="3"/>
    </row>
    <row r="5" spans="2:14">
      <c r="D5" s="6"/>
      <c r="E5" s="3"/>
      <c r="F5" s="69"/>
      <c r="G5" s="116"/>
      <c r="H5" s="117"/>
      <c r="I5" s="48"/>
      <c r="J5" s="67"/>
      <c r="K5" s="3"/>
      <c r="L5" s="68"/>
      <c r="M5" s="85"/>
      <c r="N5" s="3"/>
    </row>
    <row r="6" spans="2:14">
      <c r="C6" s="76"/>
      <c r="D6" s="24"/>
      <c r="E6" s="3"/>
      <c r="F6" s="69"/>
      <c r="G6" s="116"/>
      <c r="H6" s="117"/>
      <c r="I6" s="48"/>
      <c r="J6" s="67"/>
      <c r="K6" s="3"/>
      <c r="L6" s="68"/>
      <c r="M6" s="85"/>
      <c r="N6" s="3"/>
    </row>
    <row r="7" spans="2:14">
      <c r="C7" s="77"/>
      <c r="D7" s="6"/>
      <c r="E7" s="3"/>
      <c r="F7" s="69"/>
      <c r="G7" s="116"/>
      <c r="H7" s="117"/>
      <c r="I7" s="48"/>
      <c r="J7" s="67"/>
      <c r="K7" s="3"/>
      <c r="L7" s="68"/>
      <c r="M7" s="85"/>
      <c r="N7" s="3"/>
    </row>
    <row r="8" spans="2:14">
      <c r="C8" s="47"/>
      <c r="D8" s="6"/>
      <c r="E8" s="3"/>
      <c r="F8" s="69"/>
      <c r="G8" s="116"/>
      <c r="H8" s="117"/>
      <c r="I8" s="48"/>
      <c r="J8" s="67"/>
      <c r="K8" s="3"/>
      <c r="L8" s="68"/>
      <c r="M8" s="85"/>
      <c r="N8" s="3"/>
    </row>
    <row r="9" spans="2:14">
      <c r="B9" s="3"/>
      <c r="C9" s="83"/>
      <c r="D9" s="6"/>
      <c r="E9" s="3"/>
      <c r="F9" s="69"/>
      <c r="G9" s="116"/>
      <c r="H9" s="117"/>
      <c r="I9" s="48"/>
      <c r="J9" s="67"/>
      <c r="K9" s="3"/>
      <c r="L9" s="68"/>
      <c r="M9" s="85"/>
      <c r="N9" s="3"/>
    </row>
    <row r="10" spans="2:14">
      <c r="B10" s="3"/>
      <c r="C10" s="83"/>
      <c r="D10" s="6"/>
      <c r="E10" s="3"/>
      <c r="F10" s="69"/>
      <c r="G10" s="116"/>
      <c r="H10" s="117"/>
      <c r="I10" s="48"/>
      <c r="J10" s="67"/>
      <c r="K10" s="3"/>
      <c r="L10" s="66"/>
      <c r="M10" s="3"/>
      <c r="N10" s="3"/>
    </row>
    <row r="11" spans="2:14">
      <c r="B11" s="3"/>
      <c r="C11" s="84"/>
      <c r="D11" s="6"/>
      <c r="E11" s="3"/>
      <c r="F11" s="69"/>
      <c r="G11" s="116"/>
      <c r="H11" s="117"/>
      <c r="I11" s="48"/>
      <c r="J11" s="67"/>
      <c r="K11" s="3"/>
      <c r="L11" s="81"/>
      <c r="M11" s="90"/>
      <c r="N11" s="3"/>
    </row>
    <row r="12" spans="2:14">
      <c r="B12" s="3"/>
      <c r="C12" s="3"/>
      <c r="D12" s="6"/>
      <c r="E12" s="3"/>
      <c r="F12" s="69"/>
      <c r="G12" s="116"/>
      <c r="H12" s="117"/>
      <c r="I12" s="48"/>
      <c r="J12" s="67"/>
      <c r="K12" s="3"/>
      <c r="L12" s="64"/>
      <c r="M12" s="90"/>
      <c r="N12" s="3"/>
    </row>
    <row r="13" spans="2:14">
      <c r="B13" s="3"/>
      <c r="C13" s="58"/>
      <c r="D13" s="6"/>
      <c r="E13" s="3"/>
      <c r="F13" s="69"/>
      <c r="G13" s="116"/>
      <c r="H13" s="117"/>
      <c r="I13" s="48"/>
      <c r="J13" s="67"/>
      <c r="K13" s="3"/>
      <c r="L13" s="3"/>
      <c r="M13" s="3"/>
      <c r="N13" s="3"/>
    </row>
    <row r="14" spans="2:14">
      <c r="B14" s="23"/>
      <c r="C14" s="23"/>
      <c r="D14" s="24"/>
      <c r="E14" s="3"/>
      <c r="F14" s="68"/>
      <c r="G14" s="7"/>
      <c r="H14" s="3"/>
      <c r="I14" s="48"/>
      <c r="J14" s="23"/>
      <c r="K14" s="3"/>
      <c r="L14" s="3"/>
      <c r="M14" s="3"/>
      <c r="N14" s="3"/>
    </row>
    <row r="15" spans="2:14">
      <c r="B15" s="3"/>
      <c r="C15" s="125"/>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4"/>
      <c r="E18" s="48"/>
      <c r="F18" s="64"/>
      <c r="G18" s="3"/>
      <c r="H18" s="3"/>
      <c r="I18" s="3"/>
      <c r="J18" s="3"/>
      <c r="K18" s="3"/>
      <c r="L18" s="3"/>
      <c r="M18" s="3"/>
      <c r="N18" s="3"/>
    </row>
    <row r="19" spans="2:14">
      <c r="B19" s="23"/>
      <c r="C19" s="23"/>
      <c r="D19" s="6"/>
      <c r="E19" s="48"/>
      <c r="F19" s="64"/>
      <c r="G19" s="3"/>
      <c r="H19" s="3"/>
      <c r="I19" s="3"/>
      <c r="J19" s="3"/>
      <c r="K19" s="3"/>
      <c r="L19" s="3"/>
      <c r="M19" s="3"/>
      <c r="N19" s="3"/>
    </row>
    <row r="20" spans="2:14">
      <c r="B20" s="3"/>
      <c r="C20" s="3"/>
      <c r="D20" s="6"/>
      <c r="E20" s="118"/>
      <c r="F20" s="120"/>
      <c r="G20" s="120"/>
      <c r="H20" s="120"/>
      <c r="I20" s="120"/>
      <c r="J20" s="120"/>
      <c r="K20" s="120"/>
      <c r="L20" s="3"/>
      <c r="M20" s="3"/>
      <c r="N20" s="3"/>
    </row>
    <row r="21" spans="2:14">
      <c r="B21" s="3"/>
      <c r="C21" s="3"/>
      <c r="D21" s="6"/>
      <c r="E21" s="100"/>
      <c r="F21" s="121"/>
      <c r="G21" s="7"/>
      <c r="H21" s="7"/>
      <c r="I21" s="7"/>
      <c r="J21" s="7"/>
      <c r="K21" s="7"/>
      <c r="L21" s="3"/>
      <c r="M21" s="3"/>
      <c r="N21" s="3"/>
    </row>
    <row r="22" spans="2:14">
      <c r="B22" s="3"/>
      <c r="C22" s="3"/>
      <c r="D22" s="6"/>
      <c r="E22" s="48"/>
      <c r="F22" s="65"/>
      <c r="G22" s="65"/>
      <c r="H22" s="65"/>
      <c r="I22" s="101"/>
      <c r="J22" s="64"/>
      <c r="K22" s="65"/>
      <c r="L22" s="3"/>
      <c r="M22" s="3"/>
      <c r="N22" s="3"/>
    </row>
    <row r="23" spans="2:14">
      <c r="B23" s="23"/>
      <c r="C23" s="23"/>
      <c r="D23" s="24"/>
      <c r="E23" s="48"/>
      <c r="F23" s="3"/>
      <c r="G23" s="3"/>
      <c r="H23" s="3"/>
      <c r="I23" s="3"/>
      <c r="J23" s="3"/>
      <c r="K23" s="3"/>
      <c r="L23" s="122"/>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4"/>
      <c r="F26" s="47"/>
      <c r="G26" s="3"/>
      <c r="H26" s="64"/>
      <c r="I26" s="82"/>
      <c r="J26" s="3"/>
      <c r="K26" s="3"/>
      <c r="L26" s="123"/>
      <c r="M26" s="3"/>
      <c r="N26" s="3"/>
    </row>
    <row r="27" spans="2:14">
      <c r="B27" s="3"/>
      <c r="C27" s="3"/>
      <c r="D27" s="24"/>
      <c r="E27" s="23"/>
      <c r="F27" s="124"/>
      <c r="G27" s="3"/>
      <c r="H27" s="3"/>
      <c r="I27" s="3"/>
      <c r="J27" s="3"/>
      <c r="K27" s="3"/>
      <c r="L27" s="3"/>
      <c r="M27" s="3"/>
      <c r="N27" s="3"/>
    </row>
    <row r="28" spans="2:14">
      <c r="B28" s="3"/>
      <c r="C28" s="3"/>
      <c r="D28" s="7"/>
      <c r="E28" s="23"/>
      <c r="F28" s="124"/>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7" t="s">
        <v>133</v>
      </c>
      <c r="C1" s="9"/>
    </row>
    <row r="2" spans="2:3">
      <c r="B2" s="38"/>
      <c r="C2" s="9"/>
    </row>
    <row r="3" spans="2:3">
      <c r="B3" s="9"/>
      <c r="C3" s="9"/>
    </row>
    <row r="4" spans="2:3">
      <c r="B4" s="63" t="s">
        <v>0</v>
      </c>
      <c r="C4" s="63" t="s">
        <v>1</v>
      </c>
    </row>
    <row r="5" spans="2:3">
      <c r="B5" s="41">
        <v>1</v>
      </c>
      <c r="C5" s="42" t="s">
        <v>11</v>
      </c>
    </row>
    <row r="6" spans="2:3">
      <c r="B6" s="39">
        <f>B5+1</f>
        <v>2</v>
      </c>
      <c r="C6" s="40" t="s">
        <v>14</v>
      </c>
    </row>
    <row r="7" spans="2:3">
      <c r="B7" s="39">
        <f t="shared" ref="B7:B27" si="0">B6+1</f>
        <v>3</v>
      </c>
      <c r="C7" s="40" t="s">
        <v>263</v>
      </c>
    </row>
    <row r="8" spans="2:3">
      <c r="B8" s="39">
        <f t="shared" si="0"/>
        <v>4</v>
      </c>
      <c r="C8" s="40" t="s">
        <v>264</v>
      </c>
    </row>
    <row r="9" spans="2:3">
      <c r="B9" s="39">
        <f t="shared" si="0"/>
        <v>5</v>
      </c>
      <c r="C9" s="40" t="s">
        <v>10</v>
      </c>
    </row>
    <row r="10" spans="2:3">
      <c r="B10" s="39">
        <f t="shared" si="0"/>
        <v>6</v>
      </c>
      <c r="C10" s="40" t="s">
        <v>118</v>
      </c>
    </row>
    <row r="11" spans="2:3">
      <c r="B11" s="39">
        <f t="shared" si="0"/>
        <v>7</v>
      </c>
      <c r="C11" s="40" t="s">
        <v>7</v>
      </c>
    </row>
    <row r="12" spans="2:3">
      <c r="B12" s="39">
        <f t="shared" si="0"/>
        <v>8</v>
      </c>
      <c r="C12" s="42" t="s">
        <v>131</v>
      </c>
    </row>
    <row r="13" spans="2:3">
      <c r="B13" s="39">
        <f t="shared" si="0"/>
        <v>9</v>
      </c>
      <c r="C13" s="40" t="s">
        <v>140</v>
      </c>
    </row>
    <row r="14" spans="2:3">
      <c r="B14" s="39">
        <f t="shared" si="0"/>
        <v>10</v>
      </c>
      <c r="C14" s="40" t="s">
        <v>361</v>
      </c>
    </row>
    <row r="15" spans="2:3">
      <c r="B15" s="39">
        <f t="shared" si="0"/>
        <v>11</v>
      </c>
      <c r="C15" s="40" t="s">
        <v>362</v>
      </c>
    </row>
    <row r="16" spans="2:3">
      <c r="B16" s="39">
        <f t="shared" si="0"/>
        <v>12</v>
      </c>
      <c r="C16" s="40" t="s">
        <v>241</v>
      </c>
    </row>
    <row r="17" spans="2:3">
      <c r="B17" s="39">
        <f t="shared" si="0"/>
        <v>13</v>
      </c>
      <c r="C17" s="40" t="s">
        <v>145</v>
      </c>
    </row>
    <row r="18" spans="2:3">
      <c r="B18" s="39">
        <f t="shared" si="0"/>
        <v>14</v>
      </c>
      <c r="C18" s="40" t="s">
        <v>167</v>
      </c>
    </row>
    <row r="19" spans="2:3">
      <c r="B19" s="39">
        <f t="shared" si="0"/>
        <v>15</v>
      </c>
      <c r="C19" s="42" t="s">
        <v>187</v>
      </c>
    </row>
    <row r="20" spans="2:3">
      <c r="B20" s="39">
        <f t="shared" si="0"/>
        <v>16</v>
      </c>
      <c r="C20" s="40" t="s">
        <v>184</v>
      </c>
    </row>
    <row r="21" spans="2:3">
      <c r="B21" s="39">
        <f t="shared" si="0"/>
        <v>17</v>
      </c>
      <c r="C21" s="40" t="s">
        <v>309</v>
      </c>
    </row>
    <row r="22" spans="2:3">
      <c r="B22" s="39">
        <f t="shared" si="0"/>
        <v>18</v>
      </c>
      <c r="C22" s="40" t="s">
        <v>185</v>
      </c>
    </row>
    <row r="23" spans="2:3">
      <c r="B23" s="39">
        <f t="shared" si="0"/>
        <v>19</v>
      </c>
      <c r="C23" s="40" t="s">
        <v>186</v>
      </c>
    </row>
    <row r="24" spans="2:3">
      <c r="B24" s="39">
        <f t="shared" si="0"/>
        <v>20</v>
      </c>
      <c r="C24" s="42" t="s">
        <v>240</v>
      </c>
    </row>
    <row r="25" spans="2:3">
      <c r="B25" s="39">
        <f t="shared" si="0"/>
        <v>21</v>
      </c>
      <c r="C25" s="40" t="s">
        <v>223</v>
      </c>
    </row>
    <row r="26" spans="2:3">
      <c r="B26" s="39">
        <f t="shared" si="0"/>
        <v>22</v>
      </c>
      <c r="C26" s="40" t="s">
        <v>227</v>
      </c>
    </row>
    <row r="27" spans="2:3">
      <c r="B27" s="39">
        <f t="shared" si="0"/>
        <v>23</v>
      </c>
      <c r="C27" s="40" t="s">
        <v>239</v>
      </c>
    </row>
    <row r="28" spans="2:3">
      <c r="B28" s="39"/>
    </row>
    <row r="29" spans="2:3">
      <c r="B29" s="9"/>
    </row>
  </sheetData>
  <hyperlinks>
    <hyperlink ref="C20" location="'Expected Growth Rate'!A1" display="Expected Growth Rate"/>
    <hyperlink ref="C22" location="'Future Cashflows (10 Yrs)'!A1" display="Future Cash Flows (10 Yrs)"/>
    <hyperlink ref="C23" location="'Terminal Value'!A1" display="Terminal Value"/>
    <hyperlink ref="C25" location="'Cash &amp; Marketable Securities'!A1" display="Cash and Marketable Securities"/>
    <hyperlink ref="C26" location="'Value of Cross Holdings'!A1" display="Value of Cross Holdings"/>
    <hyperlink ref="C7" location="'Equity Risk Premium'!A1" display="Equity Risk Premium"/>
    <hyperlink ref="C9" location="'BS assumptions'!A1" display="BS assumptions"/>
    <hyperlink ref="C11" location="WACC!A1" display="WACC"/>
    <hyperlink ref="C10" location="'Cost of Equity &amp; Debt'!A1" display="Cost of Equity &amp; Debt"/>
    <hyperlink ref="C6" location="'Risk Free Rate'!A1" display="Risk Free Rate"/>
    <hyperlink ref="C27" location="'Fair Value of Share'!A1" display="Fair Value of Share"/>
    <hyperlink ref="C13" location="'EBIT &amp; Operating Lease'!A1" display="EBIT &amp; Operating Lease"/>
    <hyperlink ref="C16" location="'Net CapEx'!A1" display="Reinvestment (Net CapEx)"/>
    <hyperlink ref="C17" location="'Working Capital Changes'!A1" display="Working Capital Changes"/>
    <hyperlink ref="C18" location="'FCFF &amp; FCFE'!A1" display="FCFE &amp; FCFF"/>
    <hyperlink ref="C21" location="'Industry &amp; Revenues'!A1" display="Industry and Revenues"/>
    <hyperlink ref="C14" location="'EBIT &amp; Advertising Expense'!A1" display="EBIT &amp; Advertising Expenses"/>
    <hyperlink ref="C15" location="'EBIT &amp; R&amp;D Expense'!A1" display="EBIT &amp; R&amp;D Expenses"/>
    <hyperlink ref="C8" location="'Voltas ERP'!A1" display="Voltas ERP"/>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6" t="s">
        <v>199</v>
      </c>
    </row>
    <row r="3" spans="2:13">
      <c r="B3" s="23"/>
      <c r="C3" s="23"/>
      <c r="D3" s="22"/>
      <c r="E3" s="50" t="s">
        <v>49</v>
      </c>
      <c r="F3" s="51" t="s">
        <v>50</v>
      </c>
      <c r="I3" s="3"/>
      <c r="J3" s="3"/>
      <c r="K3" s="3"/>
    </row>
    <row r="4" spans="2:13">
      <c r="B4" s="18" t="s">
        <v>14</v>
      </c>
      <c r="C4" s="55">
        <f>C6-C8</f>
        <v>5.493E-2</v>
      </c>
      <c r="D4" s="6"/>
      <c r="E4" s="50" t="s">
        <v>34</v>
      </c>
      <c r="F4" s="12">
        <v>0</v>
      </c>
      <c r="I4" s="3"/>
      <c r="J4" s="3"/>
      <c r="K4" s="3"/>
    </row>
    <row r="5" spans="2:13">
      <c r="B5" s="3"/>
      <c r="C5" s="3"/>
      <c r="D5" s="6"/>
      <c r="E5" s="50" t="s">
        <v>35</v>
      </c>
      <c r="F5" s="12">
        <v>3.3999999999999998E-3</v>
      </c>
      <c r="I5" s="3"/>
      <c r="J5" s="3"/>
      <c r="K5" s="3"/>
      <c r="M5" s="3"/>
    </row>
    <row r="6" spans="2:13">
      <c r="B6" s="18" t="s">
        <v>16</v>
      </c>
      <c r="C6" s="56">
        <v>7.3630000000000001E-2</v>
      </c>
      <c r="D6" s="24"/>
      <c r="E6" s="50" t="s">
        <v>28</v>
      </c>
      <c r="F6" s="12">
        <v>4.1999999999999997E-3</v>
      </c>
      <c r="I6" s="3"/>
      <c r="J6" s="3"/>
      <c r="K6" s="3"/>
    </row>
    <row r="7" spans="2:13">
      <c r="B7" s="18" t="s">
        <v>17</v>
      </c>
      <c r="C7" s="57" t="s">
        <v>47</v>
      </c>
      <c r="D7" s="6"/>
      <c r="E7" s="50" t="s">
        <v>39</v>
      </c>
      <c r="F7" s="12">
        <v>5.1000000000000004E-3</v>
      </c>
      <c r="I7" s="3"/>
      <c r="J7" s="3"/>
      <c r="K7" s="3"/>
    </row>
    <row r="8" spans="2:13">
      <c r="B8" s="18" t="s">
        <v>18</v>
      </c>
      <c r="C8" s="54">
        <f>VLOOKUP(C7,$E$3:$F$24,2,0)</f>
        <v>1.8700000000000001E-2</v>
      </c>
      <c r="D8" s="6"/>
      <c r="E8" s="50" t="s">
        <v>44</v>
      </c>
      <c r="F8" s="47">
        <v>6.0000000000000001E-3</v>
      </c>
      <c r="I8" s="3"/>
      <c r="J8" s="3"/>
      <c r="K8" s="3"/>
    </row>
    <row r="9" spans="2:13">
      <c r="B9" s="3"/>
      <c r="C9" s="3"/>
      <c r="D9" s="6"/>
      <c r="E9" s="50" t="s">
        <v>41</v>
      </c>
      <c r="F9" s="12">
        <v>7.1999999999999998E-3</v>
      </c>
      <c r="I9" s="3"/>
      <c r="J9" s="3"/>
      <c r="K9" s="3"/>
    </row>
    <row r="10" spans="2:13">
      <c r="B10" s="53" t="s">
        <v>52</v>
      </c>
      <c r="C10" s="23"/>
      <c r="D10" s="6"/>
      <c r="E10" s="50" t="s">
        <v>42</v>
      </c>
      <c r="F10" s="12">
        <v>1.0200000000000001E-2</v>
      </c>
      <c r="I10" s="3"/>
      <c r="J10" s="3"/>
      <c r="K10" s="3"/>
    </row>
    <row r="11" spans="2:13">
      <c r="B11" s="3"/>
      <c r="C11" s="3"/>
      <c r="D11" s="6"/>
      <c r="E11" s="50" t="s">
        <v>43</v>
      </c>
      <c r="F11" s="12">
        <v>1.3599999999999999E-2</v>
      </c>
      <c r="I11" s="3"/>
      <c r="J11" s="3"/>
      <c r="K11" s="3"/>
    </row>
    <row r="12" spans="2:13">
      <c r="B12" s="49" t="s">
        <v>51</v>
      </c>
      <c r="C12" s="3"/>
      <c r="D12" s="6"/>
      <c r="E12" s="50" t="s">
        <v>30</v>
      </c>
      <c r="F12" s="12">
        <v>1.6199999999999999E-2</v>
      </c>
      <c r="I12" s="3"/>
      <c r="J12" s="3"/>
      <c r="K12" s="3"/>
    </row>
    <row r="13" spans="2:13">
      <c r="B13" s="52" t="s">
        <v>19</v>
      </c>
      <c r="C13" s="3"/>
      <c r="D13" s="6"/>
      <c r="E13" s="50" t="s">
        <v>47</v>
      </c>
      <c r="F13" s="12">
        <v>1.8700000000000001E-2</v>
      </c>
    </row>
    <row r="14" spans="2:13">
      <c r="B14" s="52" t="s">
        <v>20</v>
      </c>
      <c r="C14" s="23"/>
      <c r="D14" s="24"/>
      <c r="E14" s="50" t="s">
        <v>46</v>
      </c>
      <c r="F14" s="12">
        <v>2.1299999999999999E-2</v>
      </c>
    </row>
    <row r="15" spans="2:13">
      <c r="B15" s="52" t="s">
        <v>21</v>
      </c>
      <c r="C15" s="3"/>
      <c r="D15" s="6"/>
      <c r="E15" s="50" t="s">
        <v>36</v>
      </c>
      <c r="F15" s="12">
        <v>2.5600000000000001E-2</v>
      </c>
    </row>
    <row r="16" spans="2:13">
      <c r="B16" s="52" t="s">
        <v>22</v>
      </c>
      <c r="C16" s="3"/>
      <c r="D16" s="6"/>
      <c r="E16" s="50" t="s">
        <v>33</v>
      </c>
      <c r="F16" s="12">
        <v>3.0599999999999999E-2</v>
      </c>
    </row>
    <row r="17" spans="2:9">
      <c r="B17" s="52" t="s">
        <v>23</v>
      </c>
      <c r="C17" s="3"/>
      <c r="D17" s="6"/>
      <c r="E17" s="50" t="s">
        <v>29</v>
      </c>
      <c r="F17" s="12">
        <v>3.8300000000000001E-2</v>
      </c>
    </row>
    <row r="18" spans="2:9">
      <c r="B18" s="52" t="s">
        <v>24</v>
      </c>
      <c r="C18" s="3"/>
      <c r="D18" s="24"/>
      <c r="E18" s="50" t="s">
        <v>37</v>
      </c>
      <c r="F18" s="12">
        <v>4.6800000000000001E-2</v>
      </c>
    </row>
    <row r="19" spans="2:9">
      <c r="B19" s="52" t="s">
        <v>25</v>
      </c>
      <c r="C19" s="23"/>
      <c r="D19" s="6"/>
      <c r="E19" s="50" t="s">
        <v>31</v>
      </c>
      <c r="F19" s="12">
        <v>5.5300000000000002E-2</v>
      </c>
    </row>
    <row r="20" spans="2:9">
      <c r="B20" s="52" t="s">
        <v>26</v>
      </c>
      <c r="C20" s="3"/>
      <c r="D20" s="6"/>
      <c r="E20" s="50" t="s">
        <v>38</v>
      </c>
      <c r="F20" s="12">
        <v>6.3799999999999996E-2</v>
      </c>
    </row>
    <row r="21" spans="2:9">
      <c r="B21" s="52" t="s">
        <v>27</v>
      </c>
      <c r="C21" s="3"/>
      <c r="D21" s="6"/>
      <c r="E21" s="50" t="s">
        <v>45</v>
      </c>
      <c r="F21" s="12">
        <v>7.6600000000000001E-2</v>
      </c>
    </row>
    <row r="22" spans="2:9">
      <c r="B22" s="3"/>
      <c r="C22" s="3"/>
      <c r="D22" s="6"/>
      <c r="E22" s="50" t="s">
        <v>40</v>
      </c>
      <c r="F22" s="12">
        <v>8.5099999999999995E-2</v>
      </c>
    </row>
    <row r="23" spans="2:9">
      <c r="B23" s="23"/>
      <c r="C23" s="23"/>
      <c r="D23" s="24"/>
      <c r="E23" s="50" t="s">
        <v>32</v>
      </c>
      <c r="F23" s="12">
        <v>0.1021</v>
      </c>
      <c r="I23" s="4"/>
    </row>
    <row r="24" spans="2:9">
      <c r="B24" s="3"/>
      <c r="C24" s="3"/>
      <c r="D24" s="6"/>
      <c r="E24" s="50" t="s">
        <v>48</v>
      </c>
      <c r="F24" s="12">
        <v>0.17499999999999999</v>
      </c>
    </row>
    <row r="25" spans="2:9">
      <c r="B25" s="3"/>
      <c r="C25" s="3"/>
      <c r="D25" s="6"/>
      <c r="E25" s="6"/>
    </row>
    <row r="26" spans="2:9">
      <c r="B26" s="3"/>
      <c r="C26" s="3"/>
      <c r="D26" s="6"/>
      <c r="E26" s="6"/>
    </row>
    <row r="27" spans="2:9">
      <c r="B27" s="3"/>
      <c r="C27" s="3"/>
      <c r="D27" s="24"/>
      <c r="E27" s="24"/>
      <c r="F27" s="24"/>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7.140625" style="2" customWidth="1"/>
    <col min="3" max="3" width="10" style="2" bestFit="1" customWidth="1"/>
    <col min="4" max="4" width="2.85546875" style="2" customWidth="1"/>
    <col min="5" max="5" width="18.57031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6" t="s">
        <v>263</v>
      </c>
    </row>
    <row r="3" spans="2:13">
      <c r="B3" s="108" t="s">
        <v>54</v>
      </c>
      <c r="C3" s="91">
        <f>G13</f>
        <v>189.17</v>
      </c>
      <c r="D3" s="22"/>
      <c r="E3" s="48"/>
      <c r="F3" s="71" t="s">
        <v>53</v>
      </c>
      <c r="G3" s="72" t="s">
        <v>55</v>
      </c>
      <c r="H3" s="74" t="s">
        <v>56</v>
      </c>
      <c r="I3" s="74" t="s">
        <v>59</v>
      </c>
      <c r="J3" s="74" t="s">
        <v>86</v>
      </c>
      <c r="K3" s="3"/>
      <c r="L3" s="88" t="s">
        <v>53</v>
      </c>
      <c r="M3" s="74" t="s">
        <v>82</v>
      </c>
    </row>
    <row r="4" spans="2:13">
      <c r="B4" s="51" t="s">
        <v>60</v>
      </c>
      <c r="C4" s="96">
        <f>J14/I14</f>
        <v>138.95218181818183</v>
      </c>
      <c r="D4" s="6"/>
      <c r="F4" s="70" t="s">
        <v>64</v>
      </c>
      <c r="G4" s="73">
        <v>77.72</v>
      </c>
      <c r="H4" s="75">
        <v>1.47E-2</v>
      </c>
      <c r="I4" s="50">
        <v>1</v>
      </c>
      <c r="J4" s="79">
        <f t="shared" ref="J4:J13" si="0">G4*I4</f>
        <v>77.72</v>
      </c>
      <c r="K4" s="3"/>
      <c r="L4" s="86" t="s">
        <v>74</v>
      </c>
      <c r="M4" s="87">
        <f>C11</f>
        <v>0.172634108417556</v>
      </c>
    </row>
    <row r="5" spans="2:13">
      <c r="B5" s="315"/>
      <c r="D5" s="6"/>
      <c r="F5" s="70" t="s">
        <v>65</v>
      </c>
      <c r="G5" s="73">
        <v>97.24</v>
      </c>
      <c r="H5" s="75">
        <v>1.37E-2</v>
      </c>
      <c r="I5" s="50">
        <v>2</v>
      </c>
      <c r="J5" s="79">
        <f t="shared" si="0"/>
        <v>194.48</v>
      </c>
      <c r="K5" s="3"/>
      <c r="L5" s="86" t="s">
        <v>75</v>
      </c>
      <c r="M5" s="87">
        <f>(M4+M6)/2</f>
        <v>0.146583081313167</v>
      </c>
    </row>
    <row r="6" spans="2:13">
      <c r="B6" s="51" t="s">
        <v>58</v>
      </c>
      <c r="C6" s="92">
        <f>H13</f>
        <v>1.11E-2</v>
      </c>
      <c r="D6" s="24"/>
      <c r="F6" s="70" t="s">
        <v>66</v>
      </c>
      <c r="G6" s="73">
        <v>122.26</v>
      </c>
      <c r="H6" s="75">
        <v>1.2800000000000001E-2</v>
      </c>
      <c r="I6" s="50">
        <v>3</v>
      </c>
      <c r="J6" s="79">
        <f t="shared" si="0"/>
        <v>366.78000000000003</v>
      </c>
      <c r="K6" s="3"/>
      <c r="L6" s="86" t="s">
        <v>76</v>
      </c>
      <c r="M6" s="87">
        <f>(M4+M8)/2</f>
        <v>0.12053205420877799</v>
      </c>
    </row>
    <row r="7" spans="2:13">
      <c r="B7" s="51" t="s">
        <v>57</v>
      </c>
      <c r="C7" s="93">
        <f>AVERAGE(H4:H13)</f>
        <v>1.315E-2</v>
      </c>
      <c r="D7" s="6"/>
      <c r="F7" s="70" t="s">
        <v>67</v>
      </c>
      <c r="G7" s="73">
        <v>121.01</v>
      </c>
      <c r="H7" s="75">
        <v>1.49E-2</v>
      </c>
      <c r="I7" s="50">
        <v>4</v>
      </c>
      <c r="J7" s="79">
        <f t="shared" si="0"/>
        <v>484.04</v>
      </c>
      <c r="K7" s="3"/>
      <c r="L7" s="86" t="s">
        <v>77</v>
      </c>
      <c r="M7" s="87">
        <f>(M6+M8)/2</f>
        <v>9.4481027104388993E-2</v>
      </c>
    </row>
    <row r="8" spans="2:13">
      <c r="B8" s="315"/>
      <c r="C8" s="47"/>
      <c r="D8" s="6"/>
      <c r="F8" s="70" t="s">
        <v>68</v>
      </c>
      <c r="G8" s="73">
        <v>112.54</v>
      </c>
      <c r="H8" s="75">
        <v>1.23E-2</v>
      </c>
      <c r="I8" s="50">
        <v>5</v>
      </c>
      <c r="J8" s="79">
        <f t="shared" si="0"/>
        <v>562.70000000000005</v>
      </c>
      <c r="K8" s="3"/>
      <c r="L8" s="86" t="s">
        <v>78</v>
      </c>
      <c r="M8" s="87">
        <v>6.8430000000000005E-2</v>
      </c>
    </row>
    <row r="9" spans="2:13">
      <c r="B9" s="108" t="s">
        <v>79</v>
      </c>
      <c r="C9" s="94">
        <v>282.98</v>
      </c>
      <c r="D9" s="6"/>
      <c r="F9" s="70" t="s">
        <v>69</v>
      </c>
      <c r="G9" s="73">
        <v>137.75</v>
      </c>
      <c r="H9" s="75">
        <v>1.2500000000000001E-2</v>
      </c>
      <c r="I9" s="50">
        <v>6</v>
      </c>
      <c r="J9" s="79">
        <f t="shared" si="0"/>
        <v>826.5</v>
      </c>
      <c r="K9" s="3"/>
      <c r="L9" s="68"/>
      <c r="M9" s="89">
        <f>AVERAGE(M4:M8)</f>
        <v>0.12053205420877799</v>
      </c>
    </row>
    <row r="10" spans="2:13">
      <c r="B10" s="108" t="s">
        <v>80</v>
      </c>
      <c r="C10" s="94">
        <v>771.5</v>
      </c>
      <c r="D10" s="6"/>
      <c r="F10" s="70" t="s">
        <v>70</v>
      </c>
      <c r="G10" s="73">
        <v>142.54</v>
      </c>
      <c r="H10" s="75">
        <v>1.1299999999999999E-2</v>
      </c>
      <c r="I10" s="50">
        <v>7</v>
      </c>
      <c r="J10" s="79">
        <f t="shared" si="0"/>
        <v>997.78</v>
      </c>
      <c r="K10" s="3"/>
      <c r="L10" s="66"/>
    </row>
    <row r="11" spans="2:13">
      <c r="B11" s="108" t="s">
        <v>81</v>
      </c>
      <c r="C11" s="95">
        <f>((C10-C9)/C9)/10</f>
        <v>0.172634108417556</v>
      </c>
      <c r="D11" s="6"/>
      <c r="F11" s="70" t="s">
        <v>71</v>
      </c>
      <c r="G11" s="73">
        <v>149.1</v>
      </c>
      <c r="H11" s="75">
        <v>1.83E-2</v>
      </c>
      <c r="I11" s="50">
        <v>8</v>
      </c>
      <c r="J11" s="79">
        <f t="shared" si="0"/>
        <v>1192.8</v>
      </c>
      <c r="K11" s="3"/>
      <c r="L11" s="81" t="s">
        <v>61</v>
      </c>
      <c r="M11" s="90" t="s">
        <v>84</v>
      </c>
    </row>
    <row r="12" spans="2:13">
      <c r="B12" s="23"/>
      <c r="C12" s="3"/>
      <c r="D12" s="6"/>
      <c r="F12" s="70" t="s">
        <v>72</v>
      </c>
      <c r="G12" s="73">
        <v>116.43</v>
      </c>
      <c r="H12" s="75">
        <v>9.9000000000000008E-3</v>
      </c>
      <c r="I12" s="50">
        <v>9</v>
      </c>
      <c r="J12" s="79">
        <f t="shared" si="0"/>
        <v>1047.8700000000001</v>
      </c>
      <c r="K12" s="3"/>
      <c r="L12" s="64"/>
      <c r="M12" s="90" t="s">
        <v>85</v>
      </c>
    </row>
    <row r="13" spans="2:13">
      <c r="B13" s="108" t="s">
        <v>83</v>
      </c>
      <c r="C13" s="55">
        <f>M9</f>
        <v>0.12053205420877799</v>
      </c>
      <c r="D13" s="6"/>
      <c r="F13" s="70" t="s">
        <v>73</v>
      </c>
      <c r="G13" s="73">
        <v>189.17</v>
      </c>
      <c r="H13" s="75">
        <v>1.11E-2</v>
      </c>
      <c r="I13" s="50">
        <v>10</v>
      </c>
      <c r="J13" s="79">
        <f t="shared" si="0"/>
        <v>1891.6999999999998</v>
      </c>
    </row>
    <row r="14" spans="2:13">
      <c r="B14" s="23"/>
      <c r="C14" s="23"/>
      <c r="D14" s="24"/>
      <c r="F14" s="68"/>
      <c r="G14" s="7"/>
      <c r="I14" s="78">
        <f>SUM(I4:I13)</f>
        <v>55</v>
      </c>
      <c r="J14" s="80">
        <f>SUM(J4:J13)</f>
        <v>7642.37</v>
      </c>
    </row>
    <row r="15" spans="2:13">
      <c r="B15" s="108" t="s">
        <v>262</v>
      </c>
      <c r="C15" s="98">
        <v>16058.3</v>
      </c>
      <c r="D15" s="6"/>
      <c r="E15" s="48"/>
      <c r="F15" s="64"/>
      <c r="G15" s="3"/>
      <c r="H15" s="3"/>
    </row>
    <row r="16" spans="2:13">
      <c r="B16" s="23"/>
      <c r="C16" s="3"/>
      <c r="D16" s="6"/>
      <c r="E16" s="48"/>
      <c r="F16" s="81" t="s">
        <v>61</v>
      </c>
      <c r="G16" s="82" t="s">
        <v>63</v>
      </c>
      <c r="H16" s="46"/>
    </row>
    <row r="17" spans="2:11">
      <c r="B17" s="108" t="s">
        <v>92</v>
      </c>
      <c r="C17" s="93">
        <v>1.8200000000000001E-2</v>
      </c>
      <c r="D17" s="6"/>
      <c r="E17" s="48"/>
      <c r="F17" s="64"/>
      <c r="G17" s="82" t="s">
        <v>62</v>
      </c>
    </row>
    <row r="18" spans="2:11">
      <c r="B18" s="3"/>
      <c r="C18" s="3"/>
      <c r="D18" s="24"/>
      <c r="E18" s="48"/>
      <c r="F18" s="64"/>
      <c r="G18" s="3"/>
      <c r="H18" s="3"/>
    </row>
    <row r="19" spans="2:11">
      <c r="D19" s="6"/>
      <c r="E19" s="48"/>
      <c r="F19" s="64"/>
      <c r="G19" s="3"/>
      <c r="H19" s="3"/>
    </row>
    <row r="20" spans="2:11">
      <c r="D20" s="6"/>
      <c r="E20" s="99" t="s">
        <v>87</v>
      </c>
      <c r="F20" s="88" t="s">
        <v>73</v>
      </c>
      <c r="G20" s="88" t="s">
        <v>74</v>
      </c>
      <c r="H20" s="88" t="s">
        <v>75</v>
      </c>
      <c r="I20" s="88" t="s">
        <v>76</v>
      </c>
      <c r="J20" s="88" t="s">
        <v>77</v>
      </c>
      <c r="K20" s="88" t="s">
        <v>78</v>
      </c>
    </row>
    <row r="21" spans="2:11">
      <c r="D21" s="6"/>
      <c r="E21" s="103">
        <f>-C15</f>
        <v>-16058.3</v>
      </c>
      <c r="F21" s="97">
        <f>$C$4</f>
        <v>138.95218181818183</v>
      </c>
      <c r="G21" s="316">
        <f>F21*(1+$C$13)</f>
        <v>155.7003737295189</v>
      </c>
      <c r="H21" s="316">
        <f>G21*(1+$C$13)</f>
        <v>174.46725961621226</v>
      </c>
      <c r="I21" s="316">
        <f>H21*(1+$C$13)</f>
        <v>195.49615680993051</v>
      </c>
      <c r="J21" s="316">
        <f>I21*(1+$C$13)</f>
        <v>219.05971018015282</v>
      </c>
      <c r="K21" s="316">
        <f>J21*(1+$C$13)</f>
        <v>245.46342704254619</v>
      </c>
    </row>
    <row r="22" spans="2:11">
      <c r="D22" s="6"/>
      <c r="E22" s="50"/>
      <c r="F22" s="104"/>
      <c r="G22" s="104"/>
      <c r="H22" s="104"/>
      <c r="I22" s="105"/>
      <c r="J22" s="106"/>
      <c r="K22" s="104"/>
    </row>
    <row r="23" spans="2:11">
      <c r="D23" s="24"/>
      <c r="E23" s="50" t="s">
        <v>88</v>
      </c>
      <c r="F23" s="317">
        <f>NPV(10%,$G$21:$K$21)+($K$21*(1+$M$8))/(10%-$M$8)*((1+10%)^5)+$E$21</f>
        <v>-1944.7128706754465</v>
      </c>
      <c r="G23" s="30"/>
      <c r="H23" s="30"/>
      <c r="I23" s="30"/>
      <c r="J23" s="30"/>
      <c r="K23" s="30"/>
    </row>
    <row r="24" spans="2:11">
      <c r="D24" s="6"/>
      <c r="E24" s="50" t="s">
        <v>89</v>
      </c>
      <c r="F24" s="317">
        <f>NPV(9%,$G$21:$K$21)+($K$21*(1+$M$8))/(9%-$M$8)*((1+9%)^5)+$E$21</f>
        <v>3404.5473412469728</v>
      </c>
      <c r="G24" s="30"/>
      <c r="H24" s="30"/>
      <c r="I24" s="30"/>
      <c r="J24" s="30"/>
      <c r="K24" s="30"/>
    </row>
    <row r="25" spans="2:11">
      <c r="D25" s="6"/>
      <c r="E25" s="17"/>
      <c r="F25" s="104"/>
      <c r="G25" s="30"/>
      <c r="H25" s="112"/>
      <c r="I25" s="113"/>
      <c r="J25" s="30"/>
      <c r="K25" s="30"/>
    </row>
    <row r="26" spans="2:11">
      <c r="D26" s="6"/>
      <c r="E26" s="43" t="s">
        <v>90</v>
      </c>
      <c r="F26" s="107">
        <f>9%+($F$24/($F$24-$F$23)*(10%-9%))</f>
        <v>9.6364519964197898E-2</v>
      </c>
      <c r="G26" s="30"/>
      <c r="H26" s="114"/>
      <c r="I26" s="113"/>
      <c r="J26" s="30"/>
      <c r="K26" s="30"/>
    </row>
    <row r="27" spans="2:11">
      <c r="D27" s="7" t="s">
        <v>91</v>
      </c>
      <c r="E27" s="108" t="s">
        <v>14</v>
      </c>
      <c r="F27" s="109">
        <f>'Risk Free Rate'!C4</f>
        <v>5.493E-2</v>
      </c>
      <c r="G27" s="30"/>
      <c r="H27" s="30"/>
      <c r="I27" s="30"/>
      <c r="J27" s="30"/>
      <c r="K27" s="30"/>
    </row>
    <row r="28" spans="2:11">
      <c r="E28" s="110" t="s">
        <v>15</v>
      </c>
      <c r="F28" s="111">
        <f>F26-F27</f>
        <v>4.1434519964197898E-2</v>
      </c>
      <c r="G28" s="30"/>
      <c r="H28" s="30"/>
      <c r="I28" s="30"/>
      <c r="J28" s="30"/>
      <c r="K28" s="30"/>
    </row>
    <row r="29" spans="2:11">
      <c r="B29" s="3"/>
      <c r="C29" s="3"/>
      <c r="D29" s="3"/>
    </row>
    <row r="30" spans="2:11">
      <c r="B30" s="3"/>
      <c r="C30" s="3"/>
      <c r="D30" s="3"/>
      <c r="E30" s="3"/>
      <c r="F30" s="65"/>
    </row>
    <row r="31" spans="2:11">
      <c r="D31" s="3"/>
      <c r="E31" s="3"/>
      <c r="F31" s="65"/>
    </row>
    <row r="32" spans="2:11">
      <c r="D32" s="3"/>
      <c r="E32" s="3"/>
      <c r="F32" s="65"/>
    </row>
    <row r="33" spans="4:6">
      <c r="D33" s="3"/>
      <c r="E33" s="3"/>
      <c r="F33" s="65"/>
    </row>
    <row r="34" spans="4:6">
      <c r="D34" s="3"/>
      <c r="E34" s="3"/>
      <c r="F34" s="65"/>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8.28515625" style="2" customWidth="1"/>
    <col min="3" max="3" width="10" style="2" bestFit="1" customWidth="1"/>
    <col min="4" max="4" width="9.140625" style="2" customWidth="1"/>
    <col min="5" max="5" width="11.1406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264</v>
      </c>
    </row>
    <row r="3" spans="2:14">
      <c r="B3" s="320" t="s">
        <v>265</v>
      </c>
      <c r="C3" s="321" t="s">
        <v>122</v>
      </c>
      <c r="D3" s="321" t="s">
        <v>272</v>
      </c>
      <c r="E3" s="48"/>
      <c r="F3" s="119"/>
      <c r="G3" s="115"/>
      <c r="H3" s="102"/>
      <c r="I3" s="102"/>
      <c r="J3" s="102"/>
      <c r="K3" s="3"/>
      <c r="L3" s="120"/>
      <c r="M3" s="102"/>
      <c r="N3" s="3"/>
    </row>
    <row r="4" spans="2:14">
      <c r="B4" s="263" t="s">
        <v>266</v>
      </c>
      <c r="C4" s="91">
        <v>6459.85</v>
      </c>
      <c r="D4" s="191">
        <f>C4/$C$8</f>
        <v>0.8238480207420672</v>
      </c>
      <c r="E4" s="47"/>
      <c r="F4" s="69"/>
      <c r="G4" s="116"/>
      <c r="H4" s="117"/>
      <c r="I4" s="48"/>
      <c r="J4" s="67"/>
      <c r="K4" s="3"/>
      <c r="L4" s="68"/>
      <c r="M4" s="85"/>
      <c r="N4" s="3"/>
    </row>
    <row r="5" spans="2:14">
      <c r="B5" s="263" t="s">
        <v>268</v>
      </c>
      <c r="C5" s="91">
        <v>1255.79</v>
      </c>
      <c r="D5" s="191">
        <f>C5/$C$8</f>
        <v>0.16015543796956283</v>
      </c>
      <c r="E5" s="47"/>
      <c r="F5" s="323"/>
      <c r="G5" s="116"/>
      <c r="H5" s="117"/>
      <c r="I5" s="48"/>
      <c r="J5" s="67"/>
      <c r="K5" s="3"/>
      <c r="L5" s="68"/>
      <c r="M5" s="85"/>
      <c r="N5" s="3"/>
    </row>
    <row r="6" spans="2:14">
      <c r="B6" s="263" t="s">
        <v>267</v>
      </c>
      <c r="C6" s="91">
        <v>8.5299999999999994</v>
      </c>
      <c r="D6" s="191">
        <f>C6/$C$8</f>
        <v>1.0878617331563166E-3</v>
      </c>
      <c r="E6" s="47"/>
      <c r="F6" s="69"/>
      <c r="G6" s="116"/>
      <c r="H6" s="117"/>
      <c r="I6" s="48"/>
      <c r="J6" s="67"/>
      <c r="K6" s="3"/>
      <c r="L6" s="68"/>
      <c r="M6" s="85"/>
      <c r="N6" s="3"/>
    </row>
    <row r="7" spans="2:14">
      <c r="B7" s="263" t="s">
        <v>269</v>
      </c>
      <c r="C7" s="91">
        <v>116.9</v>
      </c>
      <c r="D7" s="191">
        <f>C7/$C$8</f>
        <v>1.4908679555213767E-2</v>
      </c>
      <c r="E7" s="47"/>
      <c r="F7" s="69"/>
      <c r="G7" s="116"/>
      <c r="H7" s="117"/>
      <c r="I7" s="48"/>
      <c r="J7" s="67"/>
      <c r="K7" s="3"/>
      <c r="L7" s="68"/>
      <c r="M7" s="85"/>
      <c r="N7" s="3"/>
    </row>
    <row r="8" spans="2:14">
      <c r="B8" s="110" t="s">
        <v>270</v>
      </c>
      <c r="C8" s="322">
        <f>SUM(C4:C7)</f>
        <v>7841.07</v>
      </c>
      <c r="D8" s="288">
        <f>C8/$C$8</f>
        <v>1</v>
      </c>
      <c r="E8" s="11"/>
      <c r="F8" s="69"/>
      <c r="G8" s="116"/>
      <c r="H8" s="117"/>
      <c r="I8" s="48"/>
      <c r="J8" s="67"/>
      <c r="K8" s="3"/>
      <c r="L8" s="68"/>
      <c r="M8" s="85"/>
      <c r="N8" s="3"/>
    </row>
    <row r="9" spans="2:14">
      <c r="B9" s="23"/>
      <c r="C9" s="83"/>
      <c r="D9" s="6"/>
      <c r="E9" s="3"/>
      <c r="F9" s="69"/>
      <c r="G9" s="116"/>
      <c r="H9" s="117"/>
      <c r="I9" s="48"/>
      <c r="J9" s="67"/>
      <c r="K9" s="3"/>
      <c r="L9" s="68"/>
      <c r="M9" s="85"/>
      <c r="N9" s="3"/>
    </row>
    <row r="10" spans="2:14">
      <c r="B10" s="324"/>
      <c r="D10" s="6"/>
      <c r="E10" s="3"/>
      <c r="F10" s="69"/>
      <c r="G10" s="116"/>
      <c r="H10" s="117"/>
      <c r="I10" s="48"/>
      <c r="J10" s="67"/>
      <c r="K10" s="3"/>
      <c r="L10" s="66"/>
      <c r="M10" s="3"/>
      <c r="N10" s="3"/>
    </row>
    <row r="11" spans="2:14">
      <c r="D11" s="6"/>
      <c r="E11" s="3"/>
      <c r="F11" s="69"/>
      <c r="G11" s="116"/>
      <c r="H11" s="117"/>
      <c r="I11" s="48"/>
      <c r="J11" s="67"/>
      <c r="K11" s="3"/>
      <c r="L11" s="81"/>
      <c r="M11" s="90"/>
      <c r="N11" s="3"/>
    </row>
    <row r="12" spans="2:14">
      <c r="D12" s="6"/>
      <c r="E12" s="3"/>
      <c r="F12" s="69"/>
      <c r="G12" s="116"/>
      <c r="H12" s="117"/>
      <c r="I12" s="48"/>
      <c r="J12" s="67"/>
      <c r="K12" s="3"/>
      <c r="L12" s="64"/>
      <c r="M12" s="90"/>
      <c r="N12" s="3"/>
    </row>
    <row r="13" spans="2:14">
      <c r="D13" s="6"/>
      <c r="E13" s="3"/>
      <c r="F13" s="69"/>
      <c r="G13" s="116"/>
      <c r="H13" s="117"/>
      <c r="I13" s="48"/>
      <c r="J13" s="67"/>
      <c r="K13" s="3"/>
      <c r="L13" s="3"/>
      <c r="M13" s="3"/>
      <c r="N13" s="3"/>
    </row>
    <row r="14" spans="2:14">
      <c r="D14" s="24"/>
      <c r="E14" s="3"/>
      <c r="F14" s="68"/>
      <c r="G14" s="7"/>
      <c r="H14" s="3"/>
      <c r="I14" s="48"/>
      <c r="J14" s="23"/>
      <c r="K14" s="3"/>
      <c r="L14" s="3"/>
      <c r="M14" s="3"/>
      <c r="N14" s="3"/>
    </row>
    <row r="15" spans="2:14">
      <c r="B15" s="291" t="s">
        <v>273</v>
      </c>
      <c r="C15" s="325" t="s">
        <v>272</v>
      </c>
      <c r="D15" s="325" t="s">
        <v>274</v>
      </c>
      <c r="E15" s="67"/>
      <c r="F15" s="64"/>
      <c r="G15" s="3"/>
      <c r="H15" s="3"/>
      <c r="I15" s="3"/>
      <c r="J15" s="3"/>
      <c r="K15" s="3"/>
      <c r="L15" s="3"/>
      <c r="M15" s="3"/>
      <c r="N15" s="3"/>
    </row>
    <row r="16" spans="2:14">
      <c r="B16" s="263" t="s">
        <v>271</v>
      </c>
      <c r="C16" s="93">
        <f>D4</f>
        <v>0.8238480207420672</v>
      </c>
      <c r="D16" s="95">
        <f>'Equity Risk Premium - India'!F28</f>
        <v>4.1434519964197898E-2</v>
      </c>
      <c r="E16" s="327"/>
      <c r="F16" s="81"/>
      <c r="G16" s="82"/>
      <c r="H16" s="46"/>
      <c r="I16" s="3"/>
      <c r="J16" s="3"/>
      <c r="K16" s="3"/>
      <c r="L16" s="3"/>
      <c r="M16" s="3"/>
      <c r="N16" s="3"/>
    </row>
    <row r="17" spans="2:14">
      <c r="B17" s="263" t="s">
        <v>321</v>
      </c>
      <c r="C17" s="93">
        <f>D5</f>
        <v>0.16015543796956283</v>
      </c>
      <c r="D17" s="95">
        <v>5.8400000000000001E-2</v>
      </c>
      <c r="E17" s="327"/>
      <c r="F17" s="64"/>
      <c r="G17" s="82"/>
      <c r="H17" s="3"/>
      <c r="I17" s="3"/>
      <c r="J17" s="3"/>
      <c r="K17" s="3"/>
      <c r="L17" s="3"/>
      <c r="M17" s="3"/>
      <c r="N17" s="3"/>
    </row>
    <row r="18" spans="2:14">
      <c r="B18" s="3"/>
      <c r="C18" s="326"/>
      <c r="D18" s="267">
        <f>(D16*C16)+(D17*C17)</f>
        <v>4.3488824840324583E-2</v>
      </c>
      <c r="F18" s="64"/>
      <c r="G18" s="3"/>
      <c r="H18" s="3"/>
      <c r="I18" s="3"/>
      <c r="J18" s="3"/>
      <c r="K18" s="3"/>
      <c r="L18" s="3"/>
      <c r="M18" s="3"/>
      <c r="N18" s="3"/>
    </row>
    <row r="19" spans="2:14">
      <c r="E19" s="67"/>
      <c r="H19" s="3"/>
      <c r="I19" s="3"/>
      <c r="J19" s="3"/>
      <c r="K19" s="3"/>
      <c r="L19" s="3"/>
      <c r="M19" s="3"/>
      <c r="N19" s="3"/>
    </row>
    <row r="20" spans="2:14">
      <c r="E20" s="77"/>
      <c r="H20" s="120"/>
      <c r="I20" s="120"/>
      <c r="J20" s="120"/>
      <c r="K20" s="120"/>
      <c r="L20" s="3"/>
      <c r="M20" s="3"/>
      <c r="N20" s="3"/>
    </row>
    <row r="21" spans="2:14">
      <c r="E21" s="77"/>
      <c r="H21" s="318"/>
      <c r="I21" s="318"/>
      <c r="J21" s="318"/>
      <c r="K21" s="318"/>
      <c r="L21" s="3"/>
      <c r="M21" s="3"/>
      <c r="N21" s="3"/>
    </row>
    <row r="22" spans="2:14">
      <c r="E22" s="77"/>
      <c r="H22" s="65"/>
      <c r="I22" s="101"/>
      <c r="J22" s="64"/>
      <c r="K22" s="65"/>
      <c r="L22" s="3"/>
      <c r="M22" s="3"/>
      <c r="N22" s="3"/>
    </row>
    <row r="23" spans="2:14">
      <c r="B23" s="3"/>
      <c r="C23" s="3"/>
      <c r="D23" s="24"/>
      <c r="E23" s="48"/>
      <c r="F23" s="319"/>
      <c r="G23" s="3"/>
      <c r="H23" s="3"/>
      <c r="I23" s="3"/>
      <c r="J23" s="3"/>
      <c r="K23" s="3"/>
      <c r="L23" s="3"/>
      <c r="M23" s="3"/>
      <c r="N23" s="3"/>
    </row>
    <row r="24" spans="2:14">
      <c r="B24" s="23"/>
      <c r="C24" s="58"/>
      <c r="D24" s="6"/>
      <c r="E24" s="48"/>
      <c r="F24" s="319"/>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4"/>
      <c r="F26" s="47"/>
      <c r="G26" s="3"/>
      <c r="H26" s="64"/>
      <c r="I26" s="82"/>
      <c r="J26" s="3"/>
      <c r="K26" s="3"/>
      <c r="L26" s="3"/>
      <c r="M26" s="3"/>
      <c r="N26" s="3"/>
    </row>
    <row r="27" spans="2:14">
      <c r="B27" s="3"/>
      <c r="C27" s="3"/>
      <c r="D27" s="7"/>
      <c r="E27" s="23"/>
      <c r="F27" s="124"/>
      <c r="G27" s="3"/>
      <c r="H27" s="3"/>
      <c r="I27" s="3"/>
      <c r="J27" s="3"/>
      <c r="K27" s="3"/>
      <c r="L27" s="3"/>
      <c r="M27" s="3"/>
      <c r="N27" s="3"/>
    </row>
    <row r="28" spans="2:14">
      <c r="B28" s="3"/>
      <c r="C28" s="3"/>
      <c r="D28" s="3"/>
      <c r="E28" s="23"/>
      <c r="F28" s="124"/>
      <c r="G28" s="3"/>
      <c r="H28" s="3"/>
      <c r="I28" s="3"/>
      <c r="J28" s="3"/>
      <c r="K28" s="3"/>
      <c r="L28" s="3"/>
      <c r="M28" s="3"/>
      <c r="N28" s="3"/>
    </row>
    <row r="29" spans="2:14">
      <c r="B29" s="3"/>
      <c r="C29" s="3"/>
      <c r="D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7.85546875" style="2" bestFit="1" customWidth="1"/>
    <col min="4" max="4" width="9.140625" style="2" customWidth="1"/>
    <col min="5" max="5" width="8.7109375" style="2" customWidth="1"/>
    <col min="6" max="6" width="3" style="13" customWidth="1"/>
    <col min="7" max="7" width="27" style="2" customWidth="1"/>
    <col min="8" max="8" width="14.42578125" style="2" customWidth="1"/>
    <col min="9" max="9" width="19.85546875" style="13"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6" t="s">
        <v>102</v>
      </c>
      <c r="E1" s="3"/>
      <c r="F1" s="65"/>
      <c r="G1" s="3"/>
      <c r="H1" s="3"/>
      <c r="I1" s="65"/>
      <c r="J1" s="3"/>
      <c r="K1" s="3"/>
      <c r="L1" s="3"/>
      <c r="M1" s="3"/>
      <c r="N1" s="3"/>
      <c r="O1" s="3"/>
      <c r="P1" s="3"/>
      <c r="Q1" s="3"/>
    </row>
    <row r="2" spans="2:17">
      <c r="E2" s="3"/>
      <c r="F2" s="65"/>
      <c r="G2" s="397"/>
      <c r="H2" s="397"/>
      <c r="I2" s="397"/>
      <c r="J2" s="397"/>
      <c r="K2" s="397"/>
      <c r="L2" s="397"/>
      <c r="M2" s="224"/>
      <c r="N2" s="224"/>
      <c r="O2" s="3"/>
      <c r="P2" s="3"/>
      <c r="Q2" s="3"/>
    </row>
    <row r="3" spans="2:17">
      <c r="B3" s="18" t="s">
        <v>258</v>
      </c>
      <c r="C3" s="328" t="str">
        <f>About!C3</f>
        <v>Consumer Durables </v>
      </c>
      <c r="D3" s="6"/>
      <c r="E3" s="3"/>
      <c r="F3" s="69"/>
      <c r="G3" s="394" t="s">
        <v>275</v>
      </c>
      <c r="H3" s="394"/>
      <c r="I3" s="394"/>
      <c r="J3" s="394"/>
      <c r="K3" s="395" t="s">
        <v>96</v>
      </c>
      <c r="L3" s="395"/>
      <c r="M3" s="330"/>
      <c r="N3" s="67"/>
      <c r="O3" s="120"/>
      <c r="P3" s="102"/>
      <c r="Q3" s="3"/>
    </row>
    <row r="4" spans="2:17">
      <c r="B4" s="18" t="s">
        <v>259</v>
      </c>
      <c r="C4" s="79" t="str">
        <f>About!C4</f>
        <v>Air Conditioners</v>
      </c>
      <c r="D4" s="6"/>
      <c r="E4" s="3"/>
      <c r="F4" s="69"/>
      <c r="G4" s="73" t="s">
        <v>276</v>
      </c>
      <c r="H4" s="73" t="s">
        <v>93</v>
      </c>
      <c r="I4" s="348" t="s">
        <v>95</v>
      </c>
      <c r="J4" s="348" t="s">
        <v>94</v>
      </c>
      <c r="K4" s="348" t="s">
        <v>97</v>
      </c>
      <c r="L4" s="348" t="s">
        <v>98</v>
      </c>
      <c r="M4" s="300" t="s">
        <v>100</v>
      </c>
      <c r="N4" s="165"/>
      <c r="O4" s="128"/>
      <c r="P4" s="85"/>
      <c r="Q4" s="3"/>
    </row>
    <row r="5" spans="2:17">
      <c r="B5" s="3"/>
      <c r="C5" s="76"/>
      <c r="D5" s="24"/>
      <c r="E5" s="3"/>
      <c r="F5" s="69"/>
      <c r="G5" s="73" t="s">
        <v>277</v>
      </c>
      <c r="H5" s="73" t="s">
        <v>280</v>
      </c>
      <c r="I5" s="132">
        <v>1.3329</v>
      </c>
      <c r="J5" s="300">
        <v>0.23300000000000001</v>
      </c>
      <c r="K5" s="300">
        <f>I5-(2*J5)</f>
        <v>0.8669</v>
      </c>
      <c r="L5" s="300">
        <f>I5+(2*J5)</f>
        <v>1.7988999999999999</v>
      </c>
      <c r="M5" s="300">
        <v>0.54</v>
      </c>
      <c r="N5" s="221"/>
      <c r="O5" s="129"/>
      <c r="P5" s="85"/>
      <c r="Q5" s="3"/>
    </row>
    <row r="6" spans="2:17">
      <c r="B6" s="18" t="s">
        <v>103</v>
      </c>
      <c r="C6" s="93">
        <v>0.25169999999999998</v>
      </c>
      <c r="D6" s="6"/>
      <c r="E6" s="3"/>
      <c r="F6" s="69"/>
      <c r="G6" s="73" t="s">
        <v>278</v>
      </c>
      <c r="H6" s="73" t="s">
        <v>281</v>
      </c>
      <c r="I6" s="132">
        <v>0.3286</v>
      </c>
      <c r="J6" s="132">
        <v>0.191</v>
      </c>
      <c r="K6" s="300">
        <f>I6-(2*J6)</f>
        <v>-5.3400000000000003E-2</v>
      </c>
      <c r="L6" s="300">
        <f>I6+(2*J6)</f>
        <v>0.71060000000000001</v>
      </c>
      <c r="M6" s="300">
        <v>0.62</v>
      </c>
      <c r="N6" s="221"/>
      <c r="O6" s="128"/>
      <c r="P6" s="85"/>
      <c r="Q6" s="3"/>
    </row>
    <row r="7" spans="2:17">
      <c r="B7" s="18" t="s">
        <v>105</v>
      </c>
      <c r="C7" s="350">
        <f>I8/(1+(M8*(1-C6)))</f>
        <v>0.58822598349409694</v>
      </c>
      <c r="D7" s="6"/>
      <c r="E7" s="3"/>
      <c r="F7" s="69"/>
      <c r="G7" s="73" t="s">
        <v>279</v>
      </c>
      <c r="H7" s="73" t="s">
        <v>282</v>
      </c>
      <c r="I7" s="132">
        <v>0.67979999999999996</v>
      </c>
      <c r="J7" s="300">
        <v>0.21299999999999999</v>
      </c>
      <c r="K7" s="300">
        <f>I7-(2*J7)</f>
        <v>0.25379999999999997</v>
      </c>
      <c r="L7" s="300">
        <f>I7+(2*J7)</f>
        <v>1.1057999999999999</v>
      </c>
      <c r="M7" s="300">
        <v>0.15</v>
      </c>
      <c r="N7" s="221"/>
      <c r="O7" s="68"/>
      <c r="P7" s="85"/>
      <c r="Q7" s="3"/>
    </row>
    <row r="8" spans="2:17">
      <c r="B8" s="18" t="s">
        <v>106</v>
      </c>
      <c r="C8" s="98">
        <f>C7*(1+(1-C6)*WACC!F12)</f>
        <v>0.64573512846441206</v>
      </c>
      <c r="D8" s="344"/>
      <c r="E8" s="3"/>
      <c r="F8" s="69"/>
      <c r="G8" s="116"/>
      <c r="H8" s="116"/>
      <c r="I8" s="347">
        <f>AVERAGE(I5:I7)</f>
        <v>0.78043333333333331</v>
      </c>
      <c r="J8" s="221"/>
      <c r="K8" s="221"/>
      <c r="L8" s="221"/>
      <c r="M8" s="349">
        <f>AVERAGE(M5:M7)</f>
        <v>0.4366666666666667</v>
      </c>
      <c r="N8" s="221"/>
      <c r="O8" s="128"/>
      <c r="P8" s="85"/>
      <c r="Q8" s="3"/>
    </row>
    <row r="9" spans="2:17">
      <c r="B9" s="3"/>
      <c r="C9" s="345"/>
      <c r="D9" s="344"/>
      <c r="E9" s="3"/>
      <c r="F9" s="69"/>
      <c r="G9" s="116"/>
      <c r="H9" s="116"/>
      <c r="I9" s="225"/>
      <c r="J9" s="221"/>
      <c r="K9" s="221"/>
      <c r="L9" s="221"/>
      <c r="M9" s="221"/>
      <c r="N9" s="221"/>
      <c r="O9" s="68"/>
      <c r="P9" s="85"/>
      <c r="Q9" s="3"/>
    </row>
    <row r="10" spans="2:17">
      <c r="B10" s="46" t="s">
        <v>61</v>
      </c>
      <c r="C10" s="345"/>
      <c r="D10" s="344"/>
      <c r="E10" s="3"/>
      <c r="F10" s="69"/>
      <c r="G10" s="116"/>
      <c r="H10" s="116"/>
      <c r="I10" s="225"/>
      <c r="J10" s="221"/>
      <c r="K10" s="221"/>
      <c r="L10" s="221"/>
      <c r="M10" s="221"/>
      <c r="N10" s="221"/>
      <c r="O10" s="128"/>
      <c r="P10" s="3"/>
      <c r="Q10" s="3"/>
    </row>
    <row r="11" spans="2:17">
      <c r="B11" s="46" t="s">
        <v>99</v>
      </c>
      <c r="C11" s="3"/>
      <c r="D11" s="6"/>
      <c r="E11" s="3"/>
      <c r="F11" s="69"/>
      <c r="G11" s="116"/>
      <c r="H11" s="116"/>
      <c r="I11" s="225"/>
      <c r="J11" s="221"/>
      <c r="K11" s="221"/>
      <c r="L11" s="221"/>
      <c r="M11" s="221"/>
      <c r="N11" s="221"/>
      <c r="O11" s="81"/>
      <c r="P11" s="90"/>
      <c r="Q11" s="3"/>
    </row>
    <row r="12" spans="2:17">
      <c r="B12" s="46" t="s">
        <v>101</v>
      </c>
      <c r="C12" s="77"/>
      <c r="D12" s="6"/>
      <c r="E12" s="3"/>
      <c r="F12" s="69"/>
      <c r="G12" s="116"/>
      <c r="H12" s="116"/>
      <c r="I12" s="127"/>
      <c r="J12" s="48"/>
      <c r="K12" s="67"/>
      <c r="L12" s="3"/>
      <c r="M12" s="3"/>
      <c r="N12" s="227"/>
      <c r="O12" s="64"/>
      <c r="P12" s="90"/>
      <c r="Q12" s="3"/>
    </row>
    <row r="13" spans="2:17">
      <c r="B13" s="46" t="s">
        <v>104</v>
      </c>
      <c r="C13" s="77"/>
      <c r="D13" s="6"/>
      <c r="E13" s="48"/>
      <c r="F13" s="64"/>
      <c r="G13" s="3"/>
      <c r="H13" s="3"/>
      <c r="I13" s="65"/>
      <c r="J13" s="3"/>
      <c r="K13" s="3"/>
      <c r="L13" s="3"/>
      <c r="M13" s="3"/>
      <c r="N13" s="3"/>
      <c r="O13" s="3"/>
      <c r="P13" s="3"/>
      <c r="Q13" s="3"/>
    </row>
    <row r="14" spans="2:17">
      <c r="N14" s="3"/>
      <c r="O14" s="3"/>
      <c r="Q14" s="3"/>
    </row>
    <row r="15" spans="2:17">
      <c r="B15" s="3"/>
      <c r="C15" s="3"/>
      <c r="D15" s="6"/>
      <c r="E15" s="48"/>
      <c r="F15" s="81"/>
      <c r="G15" s="397"/>
      <c r="H15" s="397"/>
      <c r="I15" s="397"/>
      <c r="J15" s="397"/>
      <c r="K15" s="397"/>
      <c r="L15" s="397"/>
      <c r="M15" s="228"/>
      <c r="N15" s="228"/>
      <c r="O15" s="3"/>
      <c r="P15" s="3"/>
      <c r="Q15" s="3"/>
    </row>
    <row r="16" spans="2:17">
      <c r="B16" s="3"/>
      <c r="C16" s="346"/>
      <c r="D16" s="6"/>
      <c r="E16" s="48"/>
      <c r="F16" s="64"/>
      <c r="G16" s="48"/>
      <c r="H16" s="48"/>
      <c r="I16" s="229"/>
      <c r="J16" s="332"/>
      <c r="K16" s="332"/>
      <c r="L16" s="67"/>
      <c r="M16" s="67"/>
      <c r="N16" s="67"/>
      <c r="O16" s="120"/>
      <c r="P16" s="102"/>
      <c r="Q16" s="3"/>
    </row>
    <row r="17" spans="2:17">
      <c r="B17" s="3"/>
      <c r="C17" s="346"/>
      <c r="D17" s="24"/>
      <c r="E17" s="48"/>
      <c r="F17" s="64"/>
      <c r="G17" s="116"/>
      <c r="H17" s="116"/>
      <c r="I17" s="225"/>
      <c r="J17" s="221"/>
      <c r="K17" s="221"/>
      <c r="L17" s="221"/>
      <c r="M17" s="221"/>
      <c r="N17" s="221"/>
      <c r="O17" s="128"/>
      <c r="P17" s="85"/>
      <c r="Q17" s="3"/>
    </row>
    <row r="18" spans="2:17">
      <c r="B18" s="3"/>
      <c r="C18" s="3"/>
      <c r="D18" s="6"/>
      <c r="E18" s="48"/>
      <c r="F18" s="64"/>
      <c r="G18" s="116"/>
      <c r="H18" s="116"/>
      <c r="I18" s="225"/>
      <c r="J18" s="221"/>
      <c r="K18" s="221"/>
      <c r="L18" s="221"/>
      <c r="M18" s="221"/>
      <c r="N18" s="221"/>
      <c r="O18" s="128"/>
      <c r="P18" s="85"/>
      <c r="Q18" s="3"/>
    </row>
    <row r="19" spans="2:17">
      <c r="B19" s="23"/>
      <c r="C19" s="337"/>
      <c r="D19" s="6"/>
      <c r="E19" s="118"/>
      <c r="F19" s="120"/>
      <c r="G19" s="116"/>
      <c r="H19" s="116"/>
      <c r="I19" s="225"/>
      <c r="J19" s="221"/>
      <c r="K19" s="221"/>
      <c r="L19" s="221"/>
      <c r="M19" s="221"/>
      <c r="N19" s="221"/>
      <c r="O19" s="128"/>
      <c r="P19" s="85"/>
      <c r="Q19" s="3"/>
    </row>
    <row r="20" spans="2:17">
      <c r="B20" s="3"/>
      <c r="C20" s="133"/>
      <c r="D20" s="6"/>
      <c r="E20" s="100"/>
      <c r="F20" s="121"/>
      <c r="G20" s="116"/>
      <c r="H20" s="116"/>
      <c r="I20" s="396"/>
      <c r="J20" s="396"/>
      <c r="K20" s="396"/>
      <c r="L20" s="396"/>
      <c r="M20" s="227"/>
      <c r="N20" s="226"/>
      <c r="O20" s="128"/>
      <c r="P20" s="85"/>
      <c r="Q20" s="3"/>
    </row>
    <row r="21" spans="2:17">
      <c r="B21" s="131"/>
      <c r="C21" s="133"/>
      <c r="D21" s="6"/>
      <c r="E21" s="48"/>
      <c r="F21" s="65"/>
      <c r="G21" s="116"/>
      <c r="H21" s="116"/>
      <c r="I21" s="225"/>
      <c r="J21" s="338"/>
      <c r="K21" s="338"/>
      <c r="L21" s="338"/>
      <c r="M21" s="226"/>
      <c r="N21" s="226"/>
      <c r="O21" s="68"/>
      <c r="P21" s="85"/>
      <c r="Q21" s="3"/>
    </row>
    <row r="22" spans="2:17">
      <c r="B22" s="131"/>
      <c r="C22" s="46"/>
      <c r="D22" s="24"/>
      <c r="E22" s="48"/>
      <c r="F22" s="3"/>
      <c r="G22" s="116"/>
      <c r="H22" s="116"/>
      <c r="I22" s="127"/>
      <c r="J22" s="338"/>
      <c r="K22" s="123"/>
      <c r="L22" s="123"/>
      <c r="M22" s="123"/>
      <c r="N22" s="123"/>
      <c r="O22" s="68"/>
      <c r="P22" s="85"/>
      <c r="Q22" s="3"/>
    </row>
    <row r="23" spans="2:17">
      <c r="B23" s="133"/>
      <c r="C23" s="82"/>
      <c r="D23" s="6"/>
      <c r="E23" s="48"/>
      <c r="F23" s="3"/>
      <c r="G23" s="3"/>
      <c r="H23" s="3"/>
      <c r="I23" s="65"/>
      <c r="J23" s="3"/>
      <c r="K23" s="3"/>
      <c r="L23" s="3"/>
      <c r="M23" s="3"/>
      <c r="N23" s="3"/>
      <c r="O23" s="66"/>
      <c r="P23" s="3"/>
      <c r="Q23" s="3"/>
    </row>
    <row r="24" spans="2:17">
      <c r="B24" s="133"/>
      <c r="C24" s="3"/>
      <c r="D24" s="6"/>
      <c r="E24" s="6"/>
      <c r="F24" s="65"/>
      <c r="G24" s="102"/>
      <c r="H24" s="102"/>
      <c r="I24" s="333"/>
      <c r="J24" s="339"/>
      <c r="K24" s="339"/>
      <c r="L24" s="340"/>
      <c r="M24" s="341"/>
      <c r="N24" s="341"/>
      <c r="O24" s="81"/>
      <c r="P24" s="90"/>
      <c r="Q24" s="3"/>
    </row>
    <row r="25" spans="2:17">
      <c r="B25" s="46"/>
      <c r="C25" s="3"/>
      <c r="D25" s="6"/>
      <c r="E25" s="24"/>
      <c r="F25" s="47"/>
      <c r="G25" s="116"/>
      <c r="H25" s="334"/>
      <c r="I25" s="335"/>
      <c r="J25" s="342"/>
      <c r="K25" s="343"/>
      <c r="L25" s="11"/>
      <c r="M25" s="123"/>
      <c r="N25" s="123"/>
      <c r="O25" s="64"/>
      <c r="P25" s="90"/>
      <c r="Q25" s="3"/>
    </row>
    <row r="26" spans="2:17">
      <c r="B26" s="82"/>
      <c r="C26" s="3"/>
      <c r="D26" s="24"/>
      <c r="E26" s="23"/>
      <c r="F26" s="124"/>
      <c r="G26" s="116"/>
      <c r="H26" s="334"/>
      <c r="I26" s="225"/>
      <c r="J26" s="342"/>
      <c r="K26" s="336"/>
      <c r="L26" s="11"/>
      <c r="M26" s="3"/>
      <c r="N26" s="3"/>
      <c r="O26" s="3"/>
      <c r="P26" s="3"/>
      <c r="Q26" s="3"/>
    </row>
    <row r="27" spans="2:17">
      <c r="B27" s="3"/>
      <c r="C27" s="3"/>
      <c r="D27" s="7"/>
      <c r="E27" s="23"/>
      <c r="F27" s="124"/>
      <c r="G27" s="3"/>
      <c r="H27" s="46"/>
      <c r="I27" s="65"/>
      <c r="J27" s="46"/>
      <c r="K27" s="344"/>
      <c r="L27" s="337"/>
      <c r="M27" s="3"/>
      <c r="N27" s="3"/>
      <c r="O27" s="3"/>
      <c r="P27" s="3"/>
      <c r="Q27" s="3"/>
    </row>
    <row r="28" spans="2:17">
      <c r="C28" s="3"/>
      <c r="D28" s="3"/>
      <c r="E28" s="3"/>
      <c r="F28" s="65"/>
      <c r="G28" s="3"/>
      <c r="H28" s="3"/>
      <c r="I28" s="65"/>
      <c r="J28" s="3"/>
      <c r="K28" s="3"/>
      <c r="L28" s="3"/>
      <c r="M28" s="3"/>
      <c r="N28" s="3"/>
      <c r="O28" s="3"/>
      <c r="P28" s="3"/>
      <c r="Q28" s="3"/>
    </row>
    <row r="29" spans="2:17">
      <c r="B29" s="3"/>
      <c r="C29" s="3"/>
      <c r="D29" s="3"/>
      <c r="E29" s="3"/>
      <c r="F29" s="65"/>
    </row>
    <row r="30" spans="2:17">
      <c r="D30" s="3"/>
      <c r="E30" s="3"/>
      <c r="F30" s="65"/>
    </row>
    <row r="31" spans="2:17">
      <c r="D31" s="3"/>
      <c r="E31" s="3"/>
      <c r="F31" s="65"/>
    </row>
    <row r="32" spans="2:17">
      <c r="D32" s="3"/>
      <c r="E32" s="3"/>
      <c r="F32" s="65"/>
    </row>
    <row r="33" spans="4:6">
      <c r="D33" s="3"/>
      <c r="E33" s="3"/>
      <c r="F33" s="65"/>
    </row>
  </sheetData>
  <mergeCells count="7">
    <mergeCell ref="G3:J3"/>
    <mergeCell ref="K3:L3"/>
    <mergeCell ref="I20:L20"/>
    <mergeCell ref="K2:L2"/>
    <mergeCell ref="K15:L15"/>
    <mergeCell ref="G2:J2"/>
    <mergeCell ref="G15:J15"/>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6" t="s">
        <v>118</v>
      </c>
    </row>
    <row r="3" spans="2:13" ht="15.75">
      <c r="B3" s="137" t="s">
        <v>12</v>
      </c>
      <c r="C3" s="30"/>
      <c r="D3" s="30"/>
      <c r="E3" s="17"/>
      <c r="F3" s="6"/>
      <c r="J3" s="8"/>
      <c r="K3" s="8"/>
      <c r="L3" s="8"/>
      <c r="M3" s="8"/>
    </row>
    <row r="4" spans="2:13">
      <c r="B4" s="30"/>
      <c r="C4" s="30"/>
      <c r="D4" s="30"/>
      <c r="E4" s="17"/>
      <c r="F4" s="24"/>
      <c r="G4" s="3"/>
    </row>
    <row r="5" spans="2:13">
      <c r="B5" s="108" t="s">
        <v>107</v>
      </c>
      <c r="C5" s="93">
        <f>'Risk Free Rate'!C4</f>
        <v>5.493E-2</v>
      </c>
      <c r="D5" s="17"/>
      <c r="E5" s="17"/>
      <c r="F5" s="6"/>
    </row>
    <row r="6" spans="2:13">
      <c r="B6" s="108" t="s">
        <v>15</v>
      </c>
      <c r="C6" s="93">
        <f>'Equity Risk Premium - India'!F28</f>
        <v>4.1434519964197898E-2</v>
      </c>
      <c r="D6" s="43"/>
      <c r="E6" s="17"/>
      <c r="F6" s="6"/>
    </row>
    <row r="7" spans="2:13">
      <c r="B7" s="108" t="s">
        <v>283</v>
      </c>
      <c r="C7" s="136">
        <f>Beta!C8</f>
        <v>0.64573512846441206</v>
      </c>
      <c r="D7" s="17"/>
      <c r="E7" s="43"/>
      <c r="F7" s="6"/>
    </row>
    <row r="8" spans="2:13">
      <c r="B8" s="18"/>
      <c r="C8" s="18"/>
      <c r="D8" s="17"/>
      <c r="E8" s="17"/>
      <c r="F8" s="6"/>
    </row>
    <row r="9" spans="2:13">
      <c r="B9" s="108" t="s">
        <v>12</v>
      </c>
      <c r="C9" s="55">
        <f>C5+C7*C6</f>
        <v>8.1685725071942578E-2</v>
      </c>
      <c r="D9" s="17"/>
      <c r="E9" s="17"/>
      <c r="F9" s="6"/>
    </row>
    <row r="10" spans="2:13">
      <c r="B10" s="18"/>
      <c r="C10" s="18"/>
      <c r="D10" s="17"/>
      <c r="E10" s="17"/>
      <c r="F10" s="6"/>
    </row>
    <row r="11" spans="2:13">
      <c r="B11" s="138" t="s">
        <v>108</v>
      </c>
      <c r="C11" s="18"/>
      <c r="D11" s="17"/>
      <c r="E11" s="43"/>
      <c r="F11" s="6"/>
    </row>
    <row r="12" spans="2:13">
      <c r="F12" s="24"/>
    </row>
    <row r="13" spans="2:13" ht="15.75">
      <c r="B13" s="137" t="s">
        <v>119</v>
      </c>
      <c r="C13" s="18"/>
      <c r="D13" s="17"/>
      <c r="E13" s="17"/>
      <c r="F13" s="6"/>
    </row>
    <row r="14" spans="2:13">
      <c r="B14" s="18"/>
      <c r="C14" s="18"/>
      <c r="D14" s="17"/>
      <c r="E14" s="17"/>
      <c r="F14" s="6"/>
    </row>
    <row r="15" spans="2:13">
      <c r="B15" s="108" t="s">
        <v>110</v>
      </c>
      <c r="C15" s="95">
        <v>2.928E-2</v>
      </c>
      <c r="D15" s="17"/>
      <c r="E15" s="17"/>
      <c r="F15" s="6"/>
    </row>
    <row r="16" spans="2:13">
      <c r="B16" s="108" t="s">
        <v>109</v>
      </c>
      <c r="C16" s="136">
        <f>17.31/10.75</f>
        <v>1.6102325581395347</v>
      </c>
      <c r="D16" s="17"/>
      <c r="E16" s="17"/>
      <c r="F16" s="24"/>
    </row>
    <row r="17" spans="2:12">
      <c r="B17" s="108" t="s">
        <v>18</v>
      </c>
      <c r="C17" s="93">
        <f>'Risk Free Rate'!C8</f>
        <v>1.8700000000000001E-2</v>
      </c>
      <c r="D17" s="43"/>
      <c r="E17" s="43"/>
      <c r="F17" s="6"/>
    </row>
    <row r="18" spans="2:12">
      <c r="B18" s="51" t="s">
        <v>284</v>
      </c>
      <c r="C18" s="93">
        <v>6.7000000000000002E-3</v>
      </c>
      <c r="D18" s="17"/>
      <c r="E18" s="17"/>
      <c r="F18" s="6"/>
    </row>
    <row r="19" spans="2:12">
      <c r="B19" s="30"/>
      <c r="C19" s="18"/>
      <c r="D19" s="17"/>
      <c r="E19" s="17"/>
      <c r="F19" s="6"/>
    </row>
    <row r="20" spans="2:12">
      <c r="B20" s="108" t="s">
        <v>13</v>
      </c>
      <c r="C20" s="55">
        <f>C15+(C16*C17)+C18</f>
        <v>6.6091348837209296E-2</v>
      </c>
      <c r="D20" s="17"/>
      <c r="E20" s="17"/>
      <c r="F20" s="6"/>
    </row>
    <row r="21" spans="2:12">
      <c r="B21" s="108"/>
      <c r="C21" s="108"/>
      <c r="D21" s="43"/>
      <c r="E21" s="43"/>
      <c r="F21" s="24"/>
    </row>
    <row r="22" spans="2:12">
      <c r="B22" s="138" t="s">
        <v>114</v>
      </c>
      <c r="C22" s="18"/>
      <c r="D22" s="18"/>
      <c r="E22" s="18"/>
      <c r="F22" s="6"/>
      <c r="G22" s="398" t="s">
        <v>285</v>
      </c>
      <c r="H22" s="398"/>
      <c r="I22" s="398"/>
      <c r="J22" s="398"/>
      <c r="K22" s="398"/>
      <c r="L22" s="398"/>
    </row>
    <row r="23" spans="2:12">
      <c r="F23" s="6"/>
      <c r="G23" s="30"/>
      <c r="H23" s="140">
        <v>2018</v>
      </c>
      <c r="I23" s="140">
        <v>2019</v>
      </c>
      <c r="J23" s="140">
        <v>2020</v>
      </c>
      <c r="K23" s="140">
        <v>2021</v>
      </c>
      <c r="L23" s="140">
        <v>2022</v>
      </c>
    </row>
    <row r="24" spans="2:12">
      <c r="B24" s="131" t="s">
        <v>61</v>
      </c>
      <c r="F24" s="6"/>
      <c r="G24" s="139" t="s">
        <v>111</v>
      </c>
      <c r="H24" s="135">
        <v>12</v>
      </c>
      <c r="I24" s="135">
        <v>33</v>
      </c>
      <c r="J24" s="135">
        <v>21</v>
      </c>
      <c r="K24" s="352">
        <v>26</v>
      </c>
      <c r="L24" s="352">
        <v>26</v>
      </c>
    </row>
    <row r="25" spans="2:12">
      <c r="B25" s="131" t="s">
        <v>115</v>
      </c>
      <c r="F25" s="24"/>
      <c r="G25" s="139" t="s">
        <v>3</v>
      </c>
      <c r="H25" s="135">
        <v>663</v>
      </c>
      <c r="I25" s="135">
        <v>560</v>
      </c>
      <c r="J25" s="135">
        <v>618</v>
      </c>
      <c r="K25" s="352">
        <v>580</v>
      </c>
      <c r="L25" s="352">
        <v>572</v>
      </c>
    </row>
    <row r="26" spans="2:12">
      <c r="B26" s="141" t="s">
        <v>116</v>
      </c>
      <c r="F26" s="3"/>
      <c r="G26" s="139" t="s">
        <v>112</v>
      </c>
      <c r="H26" s="52">
        <f>H25/H24</f>
        <v>55.25</v>
      </c>
      <c r="I26" s="52">
        <f>I25/I24</f>
        <v>16.969696969696969</v>
      </c>
      <c r="J26" s="52">
        <f>J25/J24</f>
        <v>29.428571428571427</v>
      </c>
      <c r="K26" s="52">
        <f>K25/K24</f>
        <v>22.307692307692307</v>
      </c>
      <c r="L26" s="52">
        <f>L25/L24</f>
        <v>22</v>
      </c>
    </row>
    <row r="27" spans="2:12">
      <c r="B27" s="133" t="s">
        <v>117</v>
      </c>
      <c r="C27" s="3"/>
      <c r="D27" s="3"/>
      <c r="E27" s="3"/>
      <c r="F27" s="3"/>
      <c r="G27" s="139" t="s">
        <v>113</v>
      </c>
      <c r="H27" s="52"/>
      <c r="I27" s="52"/>
      <c r="J27" s="52"/>
      <c r="K27" s="52"/>
      <c r="L27" s="353">
        <f>AVERAGE(H26:$L$26)</f>
        <v>29.19119214119214</v>
      </c>
    </row>
    <row r="28" spans="2:12">
      <c r="B28" s="46"/>
      <c r="C28" s="3"/>
      <c r="D28" s="3"/>
      <c r="E28" s="3"/>
      <c r="F28" s="3"/>
      <c r="G28" s="351"/>
      <c r="H28" s="351"/>
      <c r="I28" s="351"/>
      <c r="J28" s="351"/>
      <c r="K28" s="351"/>
      <c r="L28" s="23"/>
    </row>
    <row r="29" spans="2:12">
      <c r="B29" s="82"/>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1">
    <mergeCell ref="G22:L22"/>
  </mergeCells>
  <hyperlinks>
    <hyperlink ref="B2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6" t="s">
        <v>7</v>
      </c>
    </row>
    <row r="3" spans="2:13" ht="15.75">
      <c r="B3" s="137" t="s">
        <v>11</v>
      </c>
      <c r="C3" s="148"/>
      <c r="E3" s="137" t="s">
        <v>121</v>
      </c>
      <c r="F3" s="148" t="s">
        <v>122</v>
      </c>
      <c r="J3" s="8"/>
      <c r="K3" s="8"/>
      <c r="L3" s="8"/>
      <c r="M3" s="8"/>
    </row>
    <row r="4" spans="2:13" ht="8.25" customHeight="1">
      <c r="B4" s="30"/>
      <c r="C4" s="30"/>
      <c r="E4" s="30"/>
      <c r="F4" s="30"/>
      <c r="G4" s="3"/>
    </row>
    <row r="5" spans="2:13">
      <c r="B5" s="51" t="str">
        <f>'Cost of Equity &amp; Debt'!B9</f>
        <v>Cost of Equity</v>
      </c>
      <c r="C5" s="134">
        <f>'Cost of Equity &amp; Debt'!C9</f>
        <v>8.1685725071942578E-2</v>
      </c>
      <c r="D5" s="6"/>
      <c r="E5" s="108" t="s">
        <v>286</v>
      </c>
      <c r="F5" s="146">
        <f>3.51+354.19</f>
        <v>357.7</v>
      </c>
    </row>
    <row r="6" spans="2:13">
      <c r="B6" s="51" t="str">
        <f>E25</f>
        <v>Market Value of Equity</v>
      </c>
      <c r="C6" s="151">
        <f>F29</f>
        <v>32841.964868699994</v>
      </c>
      <c r="D6" s="24"/>
      <c r="E6" s="108" t="s">
        <v>129</v>
      </c>
      <c r="F6" s="146">
        <v>12.68</v>
      </c>
    </row>
    <row r="7" spans="2:13">
      <c r="B7" s="51"/>
      <c r="C7" s="51"/>
      <c r="D7" s="6"/>
      <c r="E7" s="108" t="s">
        <v>130</v>
      </c>
      <c r="F7" s="146">
        <v>4.96</v>
      </c>
    </row>
    <row r="8" spans="2:13">
      <c r="B8" s="51" t="str">
        <f>'Cost of Equity &amp; Debt'!B20</f>
        <v>Cost of Debt</v>
      </c>
      <c r="C8" s="134">
        <f>'Cost of Equity &amp; Debt'!C20</f>
        <v>6.6091348837209296E-2</v>
      </c>
      <c r="D8" s="6"/>
      <c r="E8" s="108" t="s">
        <v>287</v>
      </c>
      <c r="F8" s="146">
        <v>343.19</v>
      </c>
    </row>
    <row r="9" spans="2:13">
      <c r="B9" s="51" t="str">
        <f>E15</f>
        <v>Market Value of Debt</v>
      </c>
      <c r="C9" s="151">
        <f>F22</f>
        <v>628.95395332596729</v>
      </c>
      <c r="D9" s="6"/>
      <c r="E9" s="110" t="s">
        <v>121</v>
      </c>
      <c r="F9" s="147">
        <f>SUM($F$5:$F$8)</f>
        <v>718.53</v>
      </c>
    </row>
    <row r="10" spans="2:13">
      <c r="B10" s="51"/>
      <c r="C10" s="51"/>
      <c r="D10" s="6"/>
      <c r="E10" s="108" t="s">
        <v>5</v>
      </c>
      <c r="F10" s="146">
        <v>5499.56</v>
      </c>
    </row>
    <row r="11" spans="2:13">
      <c r="B11" s="51" t="s">
        <v>203</v>
      </c>
      <c r="C11" s="134">
        <f>Beta!C6</f>
        <v>0.25169999999999998</v>
      </c>
      <c r="D11" s="6"/>
      <c r="E11" s="30"/>
      <c r="F11" s="30"/>
    </row>
    <row r="12" spans="2:13">
      <c r="B12" s="30"/>
      <c r="C12" s="30"/>
      <c r="D12" s="6"/>
      <c r="E12" s="108" t="s">
        <v>288</v>
      </c>
      <c r="F12" s="145">
        <f>F9/F10</f>
        <v>0.13065227036344723</v>
      </c>
    </row>
    <row r="13" spans="2:13">
      <c r="F13" s="144"/>
    </row>
    <row r="14" spans="2:13" ht="12.75" customHeight="1">
      <c r="B14" s="51" t="s">
        <v>7</v>
      </c>
      <c r="C14" s="354">
        <f>C5*(C6/(C6+C9))+C8*(1-C11)*(C9/(C6+C9))</f>
        <v>8.1080097399187312E-2</v>
      </c>
      <c r="D14" s="6"/>
    </row>
    <row r="15" spans="2:13" ht="15.75">
      <c r="D15" s="6"/>
      <c r="E15" s="137" t="s">
        <v>120</v>
      </c>
      <c r="F15" s="148" t="s">
        <v>122</v>
      </c>
    </row>
    <row r="16" spans="2:13" ht="7.5" customHeight="1">
      <c r="D16" s="6"/>
      <c r="E16" s="30"/>
      <c r="F16" s="148"/>
    </row>
    <row r="17" spans="2:12">
      <c r="B17" s="131"/>
      <c r="D17" s="6"/>
      <c r="E17" s="108" t="s">
        <v>121</v>
      </c>
      <c r="F17" s="146">
        <f>F9</f>
        <v>718.53</v>
      </c>
    </row>
    <row r="18" spans="2:12">
      <c r="B18" s="131"/>
      <c r="D18" s="24"/>
      <c r="E18" s="108" t="s">
        <v>123</v>
      </c>
      <c r="F18" s="146">
        <v>25.87</v>
      </c>
    </row>
    <row r="19" spans="2:12">
      <c r="D19" s="6"/>
      <c r="E19" s="108" t="s">
        <v>13</v>
      </c>
      <c r="F19" s="93">
        <f>'Cost of Equity &amp; Debt'!C20</f>
        <v>6.6091348837209296E-2</v>
      </c>
    </row>
    <row r="20" spans="2:12">
      <c r="D20" s="6"/>
      <c r="E20" s="51" t="s">
        <v>125</v>
      </c>
      <c r="F20" s="149">
        <v>5</v>
      </c>
    </row>
    <row r="21" spans="2:12">
      <c r="D21" s="6"/>
      <c r="E21" s="30"/>
      <c r="F21" s="18"/>
    </row>
    <row r="22" spans="2:12">
      <c r="D22" s="24"/>
      <c r="E22" s="108" t="s">
        <v>124</v>
      </c>
      <c r="F22" s="150">
        <f>F18*((1-(1+F19)^(-F20))/F19)+F17/(1+F19)^5</f>
        <v>628.95395332596729</v>
      </c>
    </row>
    <row r="23" spans="2:12">
      <c r="D23" s="3"/>
      <c r="E23" s="23"/>
      <c r="F23" s="23"/>
      <c r="G23" s="142"/>
      <c r="H23" s="142"/>
      <c r="J23" s="142"/>
      <c r="K23" s="142"/>
      <c r="L23" s="142"/>
    </row>
    <row r="24" spans="2:12">
      <c r="G24" s="3"/>
      <c r="H24" s="66"/>
      <c r="J24" s="66"/>
      <c r="K24" s="66"/>
      <c r="L24" s="66"/>
    </row>
    <row r="25" spans="2:12" ht="15.75">
      <c r="E25" s="137" t="s">
        <v>126</v>
      </c>
      <c r="F25" s="148" t="s">
        <v>122</v>
      </c>
      <c r="G25" s="53"/>
      <c r="H25" s="46"/>
      <c r="I25" s="46"/>
      <c r="J25" s="46"/>
      <c r="K25" s="46"/>
      <c r="L25" s="46"/>
    </row>
    <row r="26" spans="2:12" ht="7.5" customHeight="1">
      <c r="B26" s="141"/>
      <c r="E26" s="30"/>
      <c r="F26" s="30"/>
      <c r="G26" s="53"/>
      <c r="H26" s="46"/>
      <c r="I26" s="46"/>
      <c r="J26" s="46"/>
      <c r="K26" s="46"/>
      <c r="L26" s="46"/>
    </row>
    <row r="27" spans="2:12">
      <c r="E27" s="51" t="s">
        <v>289</v>
      </c>
      <c r="F27" s="146">
        <v>992.55</v>
      </c>
      <c r="G27" s="53"/>
      <c r="H27" s="46"/>
      <c r="I27" s="46"/>
      <c r="J27" s="46"/>
      <c r="K27" s="46"/>
      <c r="L27" s="46"/>
    </row>
    <row r="28" spans="2:12">
      <c r="D28" s="3"/>
      <c r="E28" s="51" t="s">
        <v>127</v>
      </c>
      <c r="F28" s="350">
        <v>33.088473999999998</v>
      </c>
      <c r="G28" s="53"/>
      <c r="H28" s="46"/>
      <c r="I28" s="46"/>
      <c r="J28" s="46"/>
      <c r="K28" s="46"/>
      <c r="L28" s="46"/>
    </row>
    <row r="29" spans="2:12">
      <c r="D29" s="3"/>
      <c r="E29" s="51" t="s">
        <v>128</v>
      </c>
      <c r="F29" s="152">
        <f>F27*F28</f>
        <v>32841.964868699994</v>
      </c>
      <c r="G29" s="143"/>
      <c r="H29" s="143"/>
      <c r="I29" s="143"/>
      <c r="J29" s="143"/>
      <c r="K29" s="143"/>
      <c r="L29" s="23"/>
    </row>
    <row r="30" spans="2:12">
      <c r="B30" s="82"/>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6" t="s">
        <v>131</v>
      </c>
    </row>
    <row r="3" spans="2:2">
      <c r="B3" s="161" t="s">
        <v>166</v>
      </c>
    </row>
    <row r="4" spans="2:2">
      <c r="B4" s="161" t="s">
        <v>165</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55" customWidth="1"/>
    <col min="2" max="2" width="36" style="155" customWidth="1"/>
    <col min="3" max="3" width="11.42578125" style="155" customWidth="1"/>
    <col min="4" max="4" width="4" style="155" customWidth="1"/>
    <col min="5" max="5" width="9.28515625" style="155" customWidth="1"/>
    <col min="6" max="6" width="9.85546875" style="155" customWidth="1"/>
    <col min="7" max="7" width="10.140625" style="155" bestFit="1" customWidth="1" collapsed="1"/>
    <col min="8" max="11" width="9" style="155" customWidth="1"/>
    <col min="12" max="12" width="9.2851562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140</v>
      </c>
      <c r="C1" s="153"/>
      <c r="D1" s="153"/>
      <c r="E1" s="153"/>
      <c r="F1" s="153"/>
      <c r="G1" s="153"/>
      <c r="H1" s="153"/>
      <c r="I1" s="153"/>
      <c r="J1" s="153"/>
      <c r="K1" s="153"/>
      <c r="L1" s="153"/>
    </row>
    <row r="2" spans="1:32" ht="12.75" customHeight="1"/>
    <row r="3" spans="1:32" s="157" customFormat="1" ht="14.25" customHeight="1">
      <c r="D3" s="156"/>
      <c r="E3" s="156"/>
      <c r="H3" s="156"/>
      <c r="I3" s="156"/>
      <c r="J3" s="156"/>
      <c r="K3" s="156"/>
      <c r="L3" s="156"/>
      <c r="M3" s="156"/>
      <c r="N3" s="156"/>
      <c r="O3" s="156"/>
      <c r="P3" s="156"/>
      <c r="Q3" s="156"/>
      <c r="R3" s="156"/>
      <c r="S3" s="156"/>
      <c r="T3" s="156"/>
      <c r="U3" s="156"/>
      <c r="V3" s="156"/>
      <c r="W3" s="156"/>
      <c r="X3" s="156"/>
      <c r="Y3" s="156"/>
      <c r="Z3" s="156"/>
      <c r="AA3" s="156"/>
    </row>
    <row r="4" spans="1:32" ht="15">
      <c r="B4" s="178" t="s">
        <v>141</v>
      </c>
      <c r="C4" s="168"/>
    </row>
    <row r="5" spans="1:32">
      <c r="A5" s="157"/>
      <c r="B5" s="168"/>
      <c r="C5" s="169" t="s">
        <v>122</v>
      </c>
    </row>
    <row r="6" spans="1:32">
      <c r="B6" s="170" t="s">
        <v>134</v>
      </c>
      <c r="C6" s="171">
        <v>7934.45</v>
      </c>
      <c r="L6" s="159"/>
      <c r="N6" s="159"/>
      <c r="O6" s="159"/>
      <c r="Q6" s="159"/>
      <c r="R6" s="159"/>
      <c r="S6" s="159"/>
      <c r="T6" s="159"/>
      <c r="U6" s="159"/>
      <c r="V6" s="159"/>
      <c r="AA6" s="159"/>
    </row>
    <row r="7" spans="1:32">
      <c r="A7" s="162" t="s">
        <v>91</v>
      </c>
      <c r="B7" s="172" t="s">
        <v>135</v>
      </c>
      <c r="C7" s="173">
        <f>-(4032.16+2042.75-178.25)</f>
        <v>-5896.66</v>
      </c>
      <c r="H7" s="160"/>
      <c r="I7" s="160"/>
      <c r="J7" s="160"/>
      <c r="K7" s="160"/>
      <c r="L7" s="160"/>
      <c r="M7" s="160"/>
      <c r="N7" s="160"/>
      <c r="O7" s="221"/>
      <c r="P7" s="160"/>
      <c r="Q7" s="160"/>
      <c r="R7" s="160"/>
      <c r="S7" s="160"/>
      <c r="T7" s="160"/>
      <c r="U7" s="160"/>
      <c r="V7" s="160"/>
      <c r="W7" s="160"/>
      <c r="X7" s="160"/>
      <c r="Y7" s="160"/>
      <c r="Z7" s="160"/>
      <c r="AA7" s="160"/>
      <c r="AB7" s="160"/>
      <c r="AC7" s="160"/>
      <c r="AD7" s="160"/>
      <c r="AE7" s="160"/>
      <c r="AF7" s="160"/>
    </row>
    <row r="8" spans="1:32">
      <c r="A8" s="162" t="s">
        <v>91</v>
      </c>
      <c r="B8" s="172" t="s">
        <v>136</v>
      </c>
      <c r="C8" s="173">
        <f>-(617.62+738.62)</f>
        <v>-1356.24</v>
      </c>
      <c r="D8" s="163"/>
      <c r="H8" s="160"/>
      <c r="I8" s="160"/>
      <c r="J8" s="160"/>
      <c r="K8" s="160"/>
      <c r="L8" s="160"/>
      <c r="M8" s="160"/>
      <c r="N8" s="160"/>
      <c r="O8" s="160"/>
      <c r="P8" s="160"/>
      <c r="Q8" s="160"/>
      <c r="R8" s="160"/>
      <c r="S8" s="160"/>
      <c r="T8" s="160"/>
      <c r="U8" s="160"/>
      <c r="V8" s="160"/>
      <c r="W8" s="160"/>
      <c r="X8" s="160"/>
      <c r="Y8" s="160"/>
      <c r="Z8" s="160"/>
      <c r="AA8" s="160"/>
      <c r="AB8" s="160"/>
      <c r="AC8" s="160"/>
      <c r="AD8" s="160"/>
      <c r="AE8" s="160"/>
      <c r="AF8" s="160"/>
    </row>
    <row r="9" spans="1:32">
      <c r="A9" s="162" t="s">
        <v>91</v>
      </c>
      <c r="B9" s="172" t="s">
        <v>2</v>
      </c>
      <c r="C9" s="173">
        <f>-37.26</f>
        <v>-37.26</v>
      </c>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row>
    <row r="10" spans="1:32">
      <c r="A10" s="158"/>
      <c r="B10" s="174" t="s">
        <v>3</v>
      </c>
      <c r="C10" s="175">
        <f>SUM(C6:C9)</f>
        <v>644.29</v>
      </c>
      <c r="H10" s="160"/>
      <c r="I10" s="160"/>
      <c r="J10" s="160"/>
      <c r="K10" s="160"/>
      <c r="L10" s="160"/>
      <c r="M10" s="160"/>
      <c r="N10" s="190"/>
      <c r="O10" s="160"/>
      <c r="P10" s="160"/>
      <c r="Q10" s="160"/>
      <c r="R10" s="160"/>
      <c r="S10" s="160"/>
      <c r="T10" s="160"/>
      <c r="U10" s="160"/>
      <c r="V10" s="160"/>
      <c r="W10" s="160"/>
      <c r="X10" s="160"/>
      <c r="Y10" s="160"/>
      <c r="Z10" s="160"/>
      <c r="AA10" s="160"/>
      <c r="AB10" s="160"/>
      <c r="AC10" s="160"/>
      <c r="AD10" s="160"/>
      <c r="AE10" s="160"/>
      <c r="AF10" s="160"/>
    </row>
    <row r="11" spans="1:32">
      <c r="A11" s="162" t="s">
        <v>137</v>
      </c>
      <c r="B11" s="172" t="s">
        <v>132</v>
      </c>
      <c r="C11" s="173">
        <v>110.32</v>
      </c>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row>
    <row r="12" spans="1:32">
      <c r="B12" s="174" t="s">
        <v>138</v>
      </c>
      <c r="C12" s="175">
        <f>C10+C11</f>
        <v>754.6099999999999</v>
      </c>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row>
    <row r="13" spans="1:32">
      <c r="A13" s="162" t="s">
        <v>91</v>
      </c>
      <c r="B13" s="172" t="s">
        <v>290</v>
      </c>
      <c r="C13" s="173">
        <f>7.19+1.67</f>
        <v>8.86</v>
      </c>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row>
    <row r="14" spans="1:32">
      <c r="B14" s="176" t="s">
        <v>139</v>
      </c>
      <c r="C14" s="177">
        <f>C12-C13</f>
        <v>745.74999999999989</v>
      </c>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row>
    <row r="15" spans="1:32">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row>
    <row r="16" spans="1:32" ht="15">
      <c r="B16" s="180"/>
      <c r="D16" s="160"/>
      <c r="E16" s="160"/>
      <c r="F16" s="160"/>
      <c r="G16" s="160"/>
      <c r="H16" s="160"/>
      <c r="I16" s="160"/>
      <c r="O16" s="160"/>
      <c r="P16" s="160"/>
      <c r="Q16" s="160"/>
      <c r="R16" s="160"/>
      <c r="S16" s="160"/>
      <c r="T16" s="160"/>
      <c r="U16" s="160"/>
      <c r="V16" s="160"/>
      <c r="W16" s="160"/>
      <c r="X16" s="160"/>
      <c r="Y16" s="160"/>
      <c r="Z16" s="160"/>
      <c r="AA16" s="160"/>
      <c r="AB16" s="160"/>
      <c r="AC16" s="160"/>
      <c r="AD16" s="160"/>
      <c r="AE16" s="160"/>
      <c r="AF16" s="160"/>
    </row>
    <row r="17" spans="2:32">
      <c r="B17" s="156"/>
      <c r="C17" s="181"/>
      <c r="D17" s="165"/>
      <c r="E17" s="165"/>
      <c r="F17" s="165"/>
      <c r="G17" s="165"/>
      <c r="H17" s="165"/>
      <c r="I17" s="166"/>
      <c r="O17" s="160"/>
      <c r="P17" s="160"/>
      <c r="Q17" s="160"/>
      <c r="R17" s="160"/>
      <c r="S17" s="160"/>
      <c r="T17" s="160"/>
      <c r="U17" s="160"/>
      <c r="V17" s="160"/>
      <c r="W17" s="160"/>
      <c r="X17" s="160"/>
      <c r="Y17" s="160"/>
      <c r="Z17" s="160"/>
      <c r="AA17" s="160"/>
      <c r="AB17" s="160"/>
      <c r="AC17" s="160"/>
      <c r="AD17" s="160"/>
      <c r="AE17" s="160"/>
      <c r="AF17" s="160"/>
    </row>
    <row r="18" spans="2:32">
      <c r="B18" s="158"/>
      <c r="C18" s="182"/>
      <c r="D18" s="81"/>
      <c r="E18" s="81"/>
      <c r="F18" s="81"/>
      <c r="G18" s="81"/>
      <c r="H18" s="81"/>
      <c r="I18" s="81"/>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2:32">
      <c r="B19" s="158"/>
      <c r="C19" s="182"/>
      <c r="D19" s="81"/>
      <c r="E19" s="81"/>
      <c r="F19" s="81"/>
      <c r="G19" s="81"/>
      <c r="H19" s="81"/>
      <c r="I19" s="81"/>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2:32">
      <c r="B20" s="158"/>
      <c r="C20" s="183"/>
      <c r="D20" s="167"/>
      <c r="E20" s="167"/>
      <c r="F20" s="167"/>
      <c r="G20" s="167"/>
      <c r="H20" s="167"/>
      <c r="I20" s="165"/>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2:32">
      <c r="B21" s="158"/>
      <c r="C21" s="158"/>
      <c r="G21" s="160"/>
      <c r="H21" s="165"/>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2:32">
      <c r="B22" s="158"/>
      <c r="C22" s="182"/>
      <c r="G22" s="160"/>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2:32">
      <c r="B23" s="158"/>
      <c r="C23" s="182"/>
      <c r="G23" s="160"/>
      <c r="H23" s="160"/>
      <c r="I23" s="160"/>
      <c r="J23" s="16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2:32">
      <c r="B24" s="158"/>
      <c r="C24" s="158"/>
      <c r="G24" s="160"/>
      <c r="H24" s="160"/>
      <c r="I24" s="160"/>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2:32">
      <c r="B25" s="158"/>
      <c r="C25" s="182"/>
      <c r="G25" s="160"/>
      <c r="H25" s="160"/>
      <c r="I25" s="160"/>
      <c r="J25" s="16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2:32">
      <c r="G26" s="160"/>
      <c r="H26" s="160"/>
      <c r="I26" s="160"/>
      <c r="J26" s="16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2:32">
      <c r="G27" s="160"/>
      <c r="H27" s="160"/>
      <c r="I27" s="160"/>
      <c r="J27" s="16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2:32">
      <c r="G28" s="160"/>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2:32">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2:32">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2: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2: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ht="14.25" customHeight="1">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row r="39" spans="7:32">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row>
    <row r="40" spans="7:32">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row>
    <row r="41" spans="7:32">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55" customWidth="1"/>
    <col min="2" max="2" width="29.140625" style="155" customWidth="1"/>
    <col min="3" max="3" width="11.42578125" style="155" customWidth="1"/>
    <col min="4" max="4" width="9.7109375" style="155" customWidth="1"/>
    <col min="5" max="5" width="9.28515625" style="155" customWidth="1"/>
    <col min="6" max="6" width="22.42578125" style="155" customWidth="1"/>
    <col min="7" max="7" width="10.140625" style="155" bestFit="1" customWidth="1" collapsed="1"/>
    <col min="8" max="11" width="9" style="155" customWidth="1"/>
    <col min="12" max="12" width="9.2851562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242</v>
      </c>
      <c r="C1" s="153"/>
      <c r="D1" s="153"/>
      <c r="E1" s="153"/>
      <c r="F1" s="153"/>
      <c r="G1" s="153"/>
      <c r="H1" s="153"/>
      <c r="I1" s="153"/>
      <c r="J1" s="153"/>
      <c r="K1" s="153"/>
      <c r="L1" s="153"/>
    </row>
    <row r="2" spans="1:32" ht="12" customHeight="1"/>
    <row r="3" spans="1:32" s="157" customFormat="1" ht="12" customHeight="1">
      <c r="B3" s="172" t="s">
        <v>3</v>
      </c>
      <c r="C3" s="173">
        <f>'EBIT &amp; Operating Lease'!C14</f>
        <v>745.74999999999989</v>
      </c>
      <c r="D3" s="156"/>
      <c r="E3" s="156"/>
      <c r="F3" s="399" t="s">
        <v>248</v>
      </c>
      <c r="G3" s="399"/>
      <c r="H3" s="399"/>
      <c r="I3" s="399"/>
      <c r="J3" s="399"/>
      <c r="K3" s="399"/>
      <c r="L3" s="399"/>
      <c r="M3" s="399"/>
      <c r="N3" s="156"/>
      <c r="O3" s="156"/>
      <c r="P3" s="156"/>
      <c r="Q3" s="156"/>
      <c r="R3" s="156"/>
      <c r="S3" s="156"/>
      <c r="T3" s="156"/>
      <c r="U3" s="156"/>
      <c r="V3" s="156"/>
      <c r="W3" s="156"/>
      <c r="X3" s="156"/>
      <c r="Y3" s="156"/>
      <c r="Z3" s="156"/>
      <c r="AA3" s="156"/>
    </row>
    <row r="4" spans="1:32" ht="12" customHeight="1">
      <c r="B4" s="168"/>
      <c r="C4" s="168"/>
      <c r="F4" s="303" t="s">
        <v>53</v>
      </c>
      <c r="G4" s="304" t="s">
        <v>243</v>
      </c>
      <c r="H4" s="303">
        <v>-1</v>
      </c>
      <c r="I4" s="304">
        <v>-2</v>
      </c>
      <c r="J4" s="304">
        <v>-3</v>
      </c>
      <c r="K4" s="304">
        <v>-4</v>
      </c>
      <c r="L4" s="304">
        <v>-5</v>
      </c>
      <c r="M4" s="305"/>
    </row>
    <row r="5" spans="1:32" ht="12" customHeight="1">
      <c r="A5" s="157"/>
      <c r="B5" s="172" t="s">
        <v>249</v>
      </c>
      <c r="C5" s="219">
        <f>M7</f>
        <v>138.37799999999999</v>
      </c>
      <c r="F5" s="238" t="s">
        <v>245</v>
      </c>
      <c r="G5" s="168">
        <v>33.049999999999997</v>
      </c>
      <c r="H5" s="168">
        <v>20.88</v>
      </c>
      <c r="I5" s="168">
        <v>71.959999999999994</v>
      </c>
      <c r="J5" s="168">
        <v>77.58</v>
      </c>
      <c r="K5" s="168">
        <v>72.08</v>
      </c>
      <c r="L5" s="168">
        <v>65</v>
      </c>
      <c r="M5" s="301"/>
    </row>
    <row r="6" spans="1:32" ht="12" customHeight="1">
      <c r="B6" s="172" t="s">
        <v>250</v>
      </c>
      <c r="C6" s="219">
        <f>M8</f>
        <v>61.5</v>
      </c>
      <c r="F6" s="238" t="s">
        <v>246</v>
      </c>
      <c r="G6" s="130">
        <v>1</v>
      </c>
      <c r="H6" s="130">
        <f>4/5</f>
        <v>0.8</v>
      </c>
      <c r="I6" s="130">
        <f>3/5</f>
        <v>0.6</v>
      </c>
      <c r="J6" s="130">
        <f>2/5</f>
        <v>0.4</v>
      </c>
      <c r="K6" s="130">
        <f>1/5</f>
        <v>0.2</v>
      </c>
      <c r="L6" s="130">
        <v>0</v>
      </c>
      <c r="M6" s="302"/>
      <c r="N6" s="159"/>
      <c r="O6" s="159"/>
      <c r="Q6" s="159"/>
      <c r="R6" s="159"/>
      <c r="S6" s="159"/>
      <c r="T6" s="159"/>
      <c r="U6" s="159"/>
      <c r="V6" s="159"/>
      <c r="AA6" s="159"/>
    </row>
    <row r="7" spans="1:32" ht="12" customHeight="1">
      <c r="A7" s="162"/>
      <c r="B7" s="172" t="s">
        <v>251</v>
      </c>
      <c r="C7" s="173">
        <f>G5</f>
        <v>33.049999999999997</v>
      </c>
      <c r="F7" s="238" t="s">
        <v>247</v>
      </c>
      <c r="G7" s="216">
        <f t="shared" ref="G7:L7" si="0">G5*G6</f>
        <v>33.049999999999997</v>
      </c>
      <c r="H7" s="216">
        <f t="shared" si="0"/>
        <v>16.704000000000001</v>
      </c>
      <c r="I7" s="216">
        <f t="shared" si="0"/>
        <v>43.175999999999995</v>
      </c>
      <c r="J7" s="216">
        <f t="shared" si="0"/>
        <v>31.032</v>
      </c>
      <c r="K7" s="216">
        <f t="shared" si="0"/>
        <v>14.416</v>
      </c>
      <c r="L7" s="216">
        <f t="shared" si="0"/>
        <v>0</v>
      </c>
      <c r="M7" s="213">
        <f>SUM(G7:L7)</f>
        <v>138.37799999999999</v>
      </c>
      <c r="N7" s="160"/>
      <c r="O7" s="221"/>
      <c r="P7" s="160"/>
      <c r="Q7" s="160"/>
      <c r="R7" s="160"/>
      <c r="S7" s="160"/>
      <c r="T7" s="160"/>
      <c r="U7" s="160"/>
      <c r="V7" s="160"/>
      <c r="W7" s="160"/>
      <c r="X7" s="160"/>
      <c r="Y7" s="160"/>
      <c r="Z7" s="160"/>
      <c r="AA7" s="160"/>
      <c r="AB7" s="160"/>
      <c r="AC7" s="160"/>
      <c r="AD7" s="160"/>
      <c r="AE7" s="160"/>
      <c r="AF7" s="160"/>
    </row>
    <row r="8" spans="1:32" ht="12" customHeight="1">
      <c r="A8" s="162"/>
      <c r="B8" s="172"/>
      <c r="C8" s="173"/>
      <c r="D8" s="163"/>
      <c r="F8" s="238" t="s">
        <v>244</v>
      </c>
      <c r="G8" s="168">
        <v>0</v>
      </c>
      <c r="H8" s="300">
        <f>H5/5</f>
        <v>4.1760000000000002</v>
      </c>
      <c r="I8" s="300">
        <f>I5/5</f>
        <v>14.391999999999999</v>
      </c>
      <c r="J8" s="300">
        <f>J5/5</f>
        <v>15.516</v>
      </c>
      <c r="K8" s="300">
        <f>K5/5</f>
        <v>14.416</v>
      </c>
      <c r="L8" s="300">
        <f>L5/5</f>
        <v>13</v>
      </c>
      <c r="M8" s="213">
        <f>SUM(H8:L8)</f>
        <v>61.5</v>
      </c>
      <c r="N8" s="160"/>
      <c r="O8" s="160"/>
      <c r="P8" s="160"/>
      <c r="Q8" s="160"/>
      <c r="R8" s="160"/>
      <c r="S8" s="160"/>
      <c r="T8" s="160"/>
      <c r="U8" s="160"/>
      <c r="V8" s="160"/>
      <c r="W8" s="160"/>
      <c r="X8" s="160"/>
      <c r="Y8" s="160"/>
      <c r="Z8" s="160"/>
      <c r="AA8" s="160"/>
      <c r="AB8" s="160"/>
      <c r="AC8" s="160"/>
      <c r="AD8" s="160"/>
      <c r="AE8" s="160"/>
      <c r="AF8" s="160"/>
    </row>
    <row r="9" spans="1:32" ht="12" customHeight="1">
      <c r="A9" s="162"/>
      <c r="B9" s="172" t="s">
        <v>242</v>
      </c>
      <c r="C9" s="173">
        <f>C3+C7</f>
        <v>778.79999999999984</v>
      </c>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row>
    <row r="10" spans="1:32">
      <c r="A10" s="162" t="s">
        <v>91</v>
      </c>
      <c r="B10" s="172" t="s">
        <v>252</v>
      </c>
      <c r="C10" s="173">
        <f>C6</f>
        <v>61.5</v>
      </c>
      <c r="H10" s="160"/>
      <c r="I10" s="160"/>
      <c r="J10" s="160"/>
      <c r="K10" s="160"/>
      <c r="L10" s="160"/>
      <c r="M10" s="160"/>
      <c r="N10" s="190"/>
      <c r="O10" s="160"/>
      <c r="P10" s="160"/>
      <c r="Q10" s="160"/>
      <c r="R10" s="160"/>
      <c r="S10" s="160"/>
      <c r="T10" s="160"/>
      <c r="U10" s="160"/>
      <c r="V10" s="160"/>
      <c r="W10" s="160"/>
      <c r="X10" s="160"/>
      <c r="Y10" s="160"/>
      <c r="Z10" s="160"/>
      <c r="AA10" s="160"/>
      <c r="AB10" s="160"/>
      <c r="AC10" s="160"/>
      <c r="AD10" s="160"/>
      <c r="AE10" s="160"/>
      <c r="AF10" s="160"/>
    </row>
    <row r="11" spans="1:32">
      <c r="A11" s="158"/>
      <c r="B11" s="176" t="s">
        <v>139</v>
      </c>
      <c r="C11" s="177">
        <f>C9-C10</f>
        <v>717.29999999999984</v>
      </c>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row>
    <row r="12" spans="1:32">
      <c r="A12" s="162"/>
      <c r="B12" s="158"/>
      <c r="C12" s="182"/>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row>
    <row r="13" spans="1:32">
      <c r="B13" s="158"/>
      <c r="C13" s="255"/>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row>
    <row r="14" spans="1:32">
      <c r="A14" s="162"/>
      <c r="B14" s="158"/>
      <c r="C14" s="182"/>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row>
    <row r="15" spans="1:32">
      <c r="B15" s="158"/>
      <c r="C15" s="182"/>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row>
    <row r="16" spans="1:32">
      <c r="D16" s="160"/>
      <c r="E16" s="160"/>
      <c r="F16" s="160"/>
      <c r="G16" s="160"/>
      <c r="H16" s="160"/>
      <c r="I16" s="160"/>
      <c r="O16" s="160"/>
      <c r="P16" s="160"/>
      <c r="Q16" s="160"/>
      <c r="R16" s="160"/>
      <c r="S16" s="160"/>
      <c r="T16" s="160"/>
      <c r="U16" s="160"/>
      <c r="V16" s="160"/>
      <c r="W16" s="160"/>
      <c r="X16" s="160"/>
      <c r="Y16" s="160"/>
      <c r="Z16" s="160"/>
      <c r="AA16" s="160"/>
      <c r="AB16" s="160"/>
      <c r="AC16" s="160"/>
      <c r="AD16" s="160"/>
      <c r="AE16" s="160"/>
      <c r="AF16" s="160"/>
    </row>
    <row r="17" spans="2:32">
      <c r="D17" s="165"/>
      <c r="E17" s="165"/>
      <c r="F17" s="165"/>
      <c r="G17" s="165"/>
      <c r="H17" s="165"/>
      <c r="I17" s="166"/>
      <c r="O17" s="160"/>
      <c r="P17" s="160"/>
      <c r="Q17" s="160"/>
      <c r="R17" s="160"/>
      <c r="S17" s="160"/>
      <c r="T17" s="160"/>
      <c r="U17" s="160"/>
      <c r="V17" s="160"/>
      <c r="W17" s="160"/>
      <c r="X17" s="160"/>
      <c r="Y17" s="160"/>
      <c r="Z17" s="160"/>
      <c r="AA17" s="160"/>
      <c r="AB17" s="160"/>
      <c r="AC17" s="160"/>
      <c r="AD17" s="160"/>
      <c r="AE17" s="160"/>
      <c r="AF17" s="160"/>
    </row>
    <row r="18" spans="2:32">
      <c r="D18" s="81"/>
      <c r="E18" s="81"/>
      <c r="F18" s="81"/>
      <c r="G18" s="81"/>
      <c r="H18" s="81"/>
      <c r="I18" s="81"/>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2:32" ht="15">
      <c r="B19" s="180"/>
      <c r="D19" s="81"/>
      <c r="E19" s="81"/>
      <c r="F19" s="81"/>
      <c r="G19" s="81"/>
      <c r="H19" s="81"/>
      <c r="I19" s="81"/>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2:32">
      <c r="B20" s="156"/>
      <c r="C20" s="181"/>
      <c r="D20" s="167"/>
      <c r="E20" s="167"/>
      <c r="F20" s="167"/>
      <c r="G20" s="167"/>
      <c r="H20" s="167"/>
      <c r="I20" s="165"/>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2:32">
      <c r="B21" s="158"/>
      <c r="C21" s="182"/>
      <c r="G21" s="160"/>
      <c r="H21" s="165"/>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2:32">
      <c r="B22" s="158"/>
      <c r="C22" s="182"/>
      <c r="G22" s="160"/>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2:32">
      <c r="B23" s="158"/>
      <c r="C23" s="183"/>
      <c r="G23" s="160"/>
      <c r="H23" s="160"/>
      <c r="I23" s="160"/>
      <c r="J23" s="16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2:32">
      <c r="B24" s="158"/>
      <c r="C24" s="158"/>
      <c r="G24" s="160"/>
      <c r="H24" s="160"/>
      <c r="I24" s="160"/>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2:32">
      <c r="B25" s="158"/>
      <c r="C25" s="182"/>
      <c r="G25" s="160"/>
      <c r="H25" s="160"/>
      <c r="I25" s="160"/>
      <c r="J25" s="16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2:32">
      <c r="B26" s="158"/>
      <c r="C26" s="182"/>
      <c r="G26" s="160"/>
      <c r="H26" s="160"/>
      <c r="I26" s="160"/>
      <c r="J26" s="16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2:32">
      <c r="B27" s="158"/>
      <c r="C27" s="158"/>
      <c r="G27" s="160"/>
      <c r="H27" s="160"/>
      <c r="I27" s="160"/>
      <c r="J27" s="16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2:32">
      <c r="B28" s="158"/>
      <c r="C28" s="182"/>
      <c r="G28" s="160"/>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2:32">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2:32">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2: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2: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ht="14.25" customHeight="1">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row r="39" spans="7:32">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row>
    <row r="40" spans="7:32">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row>
    <row r="41" spans="7:32">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row>
  </sheetData>
  <mergeCells count="1">
    <mergeCell ref="F3:M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55" customWidth="1"/>
    <col min="2" max="2" width="29.140625" style="155" customWidth="1"/>
    <col min="3" max="3" width="12.140625" style="155" bestFit="1" customWidth="1"/>
    <col min="4" max="4" width="9.7109375" style="155" customWidth="1"/>
    <col min="5" max="5" width="9.28515625" style="155" customWidth="1"/>
    <col min="6" max="6" width="22.42578125" style="155" customWidth="1"/>
    <col min="7" max="7" width="11.140625" style="155" bestFit="1" customWidth="1" collapsed="1"/>
    <col min="8" max="12" width="11.7109375" style="155" bestFit="1" customWidth="1"/>
    <col min="13" max="13" width="12.140625" style="155" bestFit="1" customWidth="1"/>
    <col min="14"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291</v>
      </c>
      <c r="C1" s="153"/>
      <c r="D1" s="153"/>
      <c r="E1" s="153"/>
      <c r="F1" s="153"/>
      <c r="G1" s="153"/>
      <c r="H1" s="153"/>
      <c r="I1" s="153"/>
      <c r="J1" s="153"/>
      <c r="K1" s="153"/>
      <c r="L1" s="153"/>
    </row>
    <row r="2" spans="1:32" ht="12" customHeight="1"/>
    <row r="3" spans="1:32" s="157" customFormat="1" ht="12" customHeight="1">
      <c r="B3" s="155"/>
      <c r="C3" s="181" t="s">
        <v>122</v>
      </c>
      <c r="D3" s="156"/>
      <c r="E3" s="156"/>
      <c r="F3" s="399" t="s">
        <v>292</v>
      </c>
      <c r="G3" s="399"/>
      <c r="H3" s="399"/>
      <c r="I3" s="399"/>
      <c r="J3" s="399"/>
      <c r="K3" s="399"/>
      <c r="L3" s="399"/>
      <c r="M3" s="399"/>
      <c r="N3" s="156"/>
      <c r="O3" s="156"/>
      <c r="P3" s="156"/>
      <c r="Q3" s="156"/>
      <c r="R3" s="156"/>
      <c r="S3" s="156"/>
      <c r="T3" s="156"/>
      <c r="U3" s="156"/>
      <c r="V3" s="156"/>
      <c r="W3" s="156"/>
      <c r="X3" s="156"/>
      <c r="Y3" s="156"/>
      <c r="Z3" s="156"/>
      <c r="AA3" s="156"/>
    </row>
    <row r="4" spans="1:32" ht="12" customHeight="1">
      <c r="B4" s="172" t="s">
        <v>3</v>
      </c>
      <c r="C4" s="173">
        <f>'EBIT &amp; Advertising Expense'!C11</f>
        <v>717.29999999999984</v>
      </c>
      <c r="F4" s="303" t="s">
        <v>53</v>
      </c>
      <c r="G4" s="304" t="s">
        <v>243</v>
      </c>
      <c r="H4" s="303">
        <v>-1</v>
      </c>
      <c r="I4" s="304">
        <v>-2</v>
      </c>
      <c r="J4" s="304">
        <v>-3</v>
      </c>
      <c r="K4" s="304">
        <v>-4</v>
      </c>
      <c r="L4" s="304">
        <v>-5</v>
      </c>
      <c r="M4" s="305"/>
    </row>
    <row r="5" spans="1:32" ht="12" customHeight="1">
      <c r="A5" s="157"/>
      <c r="B5" s="168"/>
      <c r="C5" s="168"/>
      <c r="F5" s="238" t="s">
        <v>293</v>
      </c>
      <c r="G5" s="245">
        <v>14.25</v>
      </c>
      <c r="H5" s="245">
        <v>16.760000000000002</v>
      </c>
      <c r="I5" s="355">
        <v>19.52</v>
      </c>
      <c r="J5" s="245">
        <v>5.0599999999999996</v>
      </c>
      <c r="K5" s="245">
        <v>5.44</v>
      </c>
      <c r="L5" s="245">
        <v>4.51</v>
      </c>
      <c r="M5" s="301"/>
    </row>
    <row r="6" spans="1:32" ht="12" customHeight="1">
      <c r="B6" s="172" t="s">
        <v>249</v>
      </c>
      <c r="C6" s="173">
        <f>M7</f>
        <v>42.482000000000006</v>
      </c>
      <c r="F6" s="238" t="s">
        <v>246</v>
      </c>
      <c r="G6" s="130">
        <v>1</v>
      </c>
      <c r="H6" s="130">
        <f>4/5</f>
        <v>0.8</v>
      </c>
      <c r="I6" s="130">
        <f>3/5</f>
        <v>0.6</v>
      </c>
      <c r="J6" s="130">
        <f>2/5</f>
        <v>0.4</v>
      </c>
      <c r="K6" s="130">
        <f>1/5</f>
        <v>0.2</v>
      </c>
      <c r="L6" s="130">
        <v>0</v>
      </c>
      <c r="M6" s="302"/>
      <c r="N6" s="159"/>
      <c r="O6" s="159"/>
      <c r="Q6" s="159"/>
      <c r="R6" s="159"/>
      <c r="S6" s="159"/>
      <c r="T6" s="159"/>
      <c r="U6" s="159"/>
      <c r="V6" s="159"/>
      <c r="AA6" s="159"/>
    </row>
    <row r="7" spans="1:32" ht="12" customHeight="1">
      <c r="A7" s="162"/>
      <c r="B7" s="172" t="s">
        <v>244</v>
      </c>
      <c r="C7" s="173">
        <f>M8</f>
        <v>10.258000000000001</v>
      </c>
      <c r="F7" s="238" t="s">
        <v>247</v>
      </c>
      <c r="G7" s="245">
        <f t="shared" ref="G7:L7" si="0">G5*G6</f>
        <v>14.25</v>
      </c>
      <c r="H7" s="245">
        <f t="shared" si="0"/>
        <v>13.408000000000001</v>
      </c>
      <c r="I7" s="245">
        <f t="shared" si="0"/>
        <v>11.712</v>
      </c>
      <c r="J7" s="245">
        <f t="shared" si="0"/>
        <v>2.024</v>
      </c>
      <c r="K7" s="245">
        <f t="shared" si="0"/>
        <v>1.0880000000000001</v>
      </c>
      <c r="L7" s="245">
        <f t="shared" si="0"/>
        <v>0</v>
      </c>
      <c r="M7" s="356">
        <f>SUM(G7:L7)</f>
        <v>42.482000000000006</v>
      </c>
      <c r="N7" s="160"/>
      <c r="O7" s="221"/>
      <c r="P7" s="160"/>
      <c r="Q7" s="160"/>
      <c r="R7" s="160"/>
      <c r="S7" s="160"/>
      <c r="T7" s="160"/>
      <c r="U7" s="160"/>
      <c r="V7" s="160"/>
      <c r="W7" s="160"/>
      <c r="X7" s="160"/>
      <c r="Y7" s="160"/>
      <c r="Z7" s="160"/>
      <c r="AA7" s="160"/>
      <c r="AB7" s="160"/>
      <c r="AC7" s="160"/>
      <c r="AD7" s="160"/>
      <c r="AE7" s="160"/>
      <c r="AF7" s="160"/>
    </row>
    <row r="8" spans="1:32" ht="12" customHeight="1">
      <c r="A8" s="162"/>
      <c r="B8" s="172" t="s">
        <v>294</v>
      </c>
      <c r="C8" s="173">
        <f>G5</f>
        <v>14.25</v>
      </c>
      <c r="D8" s="163"/>
      <c r="F8" s="238" t="s">
        <v>244</v>
      </c>
      <c r="G8" s="245">
        <v>0</v>
      </c>
      <c r="H8" s="189">
        <f>H5/5</f>
        <v>3.3520000000000003</v>
      </c>
      <c r="I8" s="189">
        <f>I5/5</f>
        <v>3.9039999999999999</v>
      </c>
      <c r="J8" s="189">
        <f>J5/5</f>
        <v>1.012</v>
      </c>
      <c r="K8" s="189">
        <f>K5/5</f>
        <v>1.0880000000000001</v>
      </c>
      <c r="L8" s="189">
        <f>L5/5</f>
        <v>0.90199999999999991</v>
      </c>
      <c r="M8" s="356">
        <f>SUM(H8:L8)</f>
        <v>10.258000000000001</v>
      </c>
      <c r="N8" s="160"/>
      <c r="O8" s="160"/>
      <c r="P8" s="160"/>
      <c r="Q8" s="160"/>
      <c r="R8" s="160"/>
      <c r="S8" s="160"/>
      <c r="T8" s="160"/>
      <c r="U8" s="160"/>
      <c r="V8" s="160"/>
      <c r="W8" s="160"/>
      <c r="X8" s="160"/>
      <c r="Y8" s="160"/>
      <c r="Z8" s="160"/>
      <c r="AA8" s="160"/>
      <c r="AB8" s="160"/>
      <c r="AC8" s="160"/>
      <c r="AD8" s="160"/>
      <c r="AE8" s="160"/>
      <c r="AF8" s="160"/>
    </row>
    <row r="9" spans="1:32" ht="12" customHeight="1">
      <c r="A9" s="162"/>
      <c r="B9" s="172"/>
      <c r="C9" s="173"/>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row>
    <row r="10" spans="1:32">
      <c r="B10" s="172" t="s">
        <v>291</v>
      </c>
      <c r="C10" s="173">
        <f>C4+C8</f>
        <v>731.54999999999984</v>
      </c>
      <c r="H10" s="160"/>
      <c r="I10" s="160"/>
      <c r="J10" s="160"/>
      <c r="K10" s="160"/>
      <c r="L10" s="160"/>
      <c r="M10" s="160"/>
      <c r="N10" s="190"/>
      <c r="O10" s="160"/>
      <c r="P10" s="160"/>
      <c r="Q10" s="160"/>
      <c r="R10" s="160"/>
      <c r="S10" s="160"/>
      <c r="T10" s="160"/>
      <c r="U10" s="160"/>
      <c r="V10" s="160"/>
      <c r="W10" s="160"/>
      <c r="X10" s="160"/>
      <c r="Y10" s="160"/>
      <c r="Z10" s="160"/>
      <c r="AA10" s="160"/>
      <c r="AB10" s="160"/>
      <c r="AC10" s="160"/>
      <c r="AD10" s="160"/>
      <c r="AE10" s="160"/>
      <c r="AF10" s="160"/>
    </row>
    <row r="11" spans="1:32">
      <c r="A11" s="162" t="s">
        <v>91</v>
      </c>
      <c r="B11" s="172" t="s">
        <v>295</v>
      </c>
      <c r="C11" s="173">
        <f>C7</f>
        <v>10.258000000000001</v>
      </c>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row>
    <row r="12" spans="1:32">
      <c r="A12" s="162"/>
      <c r="B12" s="357" t="s">
        <v>139</v>
      </c>
      <c r="C12" s="356">
        <f>C10-C11</f>
        <v>721.2919999999998</v>
      </c>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row>
    <row r="13" spans="1:32">
      <c r="B13" s="172"/>
      <c r="C13" s="173"/>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row>
    <row r="14" spans="1:32">
      <c r="A14" s="162"/>
      <c r="B14" s="172" t="s">
        <v>221</v>
      </c>
      <c r="C14" s="93">
        <f>25.168%</f>
        <v>0.25168000000000001</v>
      </c>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row>
    <row r="15" spans="1:32">
      <c r="B15" s="172"/>
      <c r="C15" s="93"/>
      <c r="G15" s="160"/>
      <c r="H15" s="160"/>
      <c r="I15" s="160"/>
      <c r="J15" s="160"/>
      <c r="K15" s="160"/>
      <c r="L15" s="160"/>
      <c r="M15" s="160"/>
      <c r="N15" s="160"/>
      <c r="O15" s="160"/>
      <c r="P15" s="160"/>
      <c r="Q15" s="160"/>
      <c r="R15" s="160"/>
      <c r="S15" s="160"/>
      <c r="T15" s="160"/>
      <c r="U15" s="160"/>
      <c r="V15" s="160"/>
      <c r="W15" s="160"/>
      <c r="X15" s="160"/>
      <c r="Y15" s="160"/>
      <c r="Z15" s="160"/>
      <c r="AA15" s="160"/>
      <c r="AB15" s="160"/>
      <c r="AC15" s="160"/>
      <c r="AD15" s="160"/>
      <c r="AE15" s="160"/>
      <c r="AF15" s="160"/>
    </row>
    <row r="16" spans="1:32">
      <c r="B16" s="172" t="s">
        <v>253</v>
      </c>
      <c r="C16" s="179">
        <f>C12*(1-C14)</f>
        <v>539.75722943999983</v>
      </c>
      <c r="D16" s="160"/>
      <c r="E16" s="160"/>
      <c r="F16" s="160"/>
      <c r="G16" s="160"/>
      <c r="H16" s="160"/>
      <c r="I16" s="160"/>
      <c r="O16" s="160"/>
      <c r="P16" s="160"/>
      <c r="Q16" s="160"/>
      <c r="R16" s="160"/>
      <c r="S16" s="160"/>
      <c r="T16" s="160"/>
      <c r="U16" s="160"/>
      <c r="V16" s="160"/>
      <c r="W16" s="160"/>
      <c r="X16" s="160"/>
      <c r="Y16" s="160"/>
      <c r="Z16" s="160"/>
      <c r="AA16" s="160"/>
      <c r="AB16" s="160"/>
      <c r="AC16" s="160"/>
      <c r="AD16" s="160"/>
      <c r="AE16" s="160"/>
      <c r="AF16" s="160"/>
    </row>
    <row r="17" spans="2:32">
      <c r="D17" s="165"/>
      <c r="E17" s="165"/>
      <c r="F17" s="165"/>
      <c r="G17" s="165"/>
      <c r="H17" s="165"/>
      <c r="I17" s="166"/>
      <c r="O17" s="160"/>
      <c r="P17" s="160"/>
      <c r="Q17" s="160"/>
      <c r="R17" s="160"/>
      <c r="S17" s="160"/>
      <c r="T17" s="160"/>
      <c r="U17" s="160"/>
      <c r="V17" s="160"/>
      <c r="W17" s="160"/>
      <c r="X17" s="160"/>
      <c r="Y17" s="160"/>
      <c r="Z17" s="160"/>
      <c r="AA17" s="160"/>
      <c r="AB17" s="160"/>
      <c r="AC17" s="160"/>
      <c r="AD17" s="160"/>
      <c r="AE17" s="160"/>
      <c r="AF17" s="160"/>
    </row>
    <row r="18" spans="2:32">
      <c r="D18" s="81"/>
      <c r="E18" s="81"/>
      <c r="F18" s="81"/>
      <c r="G18" s="81"/>
      <c r="H18" s="81"/>
      <c r="I18" s="81"/>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2:32" ht="15">
      <c r="B19" s="358"/>
      <c r="D19" s="81"/>
      <c r="E19" s="81"/>
      <c r="F19" s="81"/>
      <c r="G19" s="81"/>
      <c r="H19" s="81"/>
      <c r="I19" s="81"/>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2:32">
      <c r="B20" s="359"/>
      <c r="C20" s="181"/>
      <c r="D20" s="167"/>
      <c r="E20" s="167"/>
      <c r="F20" s="167"/>
      <c r="G20" s="167"/>
      <c r="H20" s="167"/>
      <c r="I20" s="165"/>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2:32">
      <c r="C21" s="182"/>
      <c r="G21" s="160"/>
      <c r="H21" s="165"/>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2:32">
      <c r="B22" s="158"/>
      <c r="C22" s="182"/>
      <c r="G22" s="160"/>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2:32">
      <c r="B23" s="158"/>
      <c r="C23" s="183"/>
      <c r="G23" s="160"/>
      <c r="H23" s="160"/>
      <c r="I23" s="160"/>
      <c r="J23" s="16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2:32">
      <c r="B24" s="158"/>
      <c r="C24" s="158"/>
      <c r="G24" s="160"/>
      <c r="H24" s="160"/>
      <c r="I24" s="160"/>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2:32">
      <c r="B25" s="158"/>
      <c r="C25" s="182"/>
      <c r="G25" s="160"/>
      <c r="H25" s="160"/>
      <c r="I25" s="160"/>
      <c r="J25" s="16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2:32">
      <c r="B26" s="158"/>
      <c r="C26" s="182"/>
      <c r="G26" s="160"/>
      <c r="H26" s="160"/>
      <c r="I26" s="160"/>
      <c r="J26" s="16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2:32">
      <c r="B27" s="158"/>
      <c r="C27" s="158"/>
      <c r="G27" s="160"/>
      <c r="H27" s="160"/>
      <c r="I27" s="160"/>
      <c r="J27" s="16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2:32">
      <c r="B28" s="158"/>
      <c r="C28" s="182"/>
      <c r="G28" s="160"/>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2:32">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2:32">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2: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2: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ht="14.25" customHeight="1">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row r="39" spans="7:32">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row>
    <row r="40" spans="7:32">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row>
    <row r="41" spans="7:32">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row>
  </sheetData>
  <mergeCells count="1">
    <mergeCell ref="F3:M3"/>
  </mergeCell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34.7109375" style="155" customWidth="1"/>
    <col min="3" max="3" width="10.5703125" style="155" customWidth="1"/>
    <col min="4" max="4" width="4" style="155" customWidth="1"/>
    <col min="5" max="5" width="9.28515625" style="155" customWidth="1"/>
    <col min="6" max="6" width="9.85546875" style="155" customWidth="1"/>
    <col min="7" max="7" width="10.140625" style="155" bestFit="1" customWidth="1" collapsed="1"/>
    <col min="8" max="11" width="9" style="155" customWidth="1"/>
    <col min="12" max="12" width="9.2851562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142</v>
      </c>
      <c r="C1" s="153"/>
      <c r="D1" s="153"/>
      <c r="E1" s="153"/>
      <c r="F1" s="153"/>
      <c r="G1" s="153"/>
      <c r="H1" s="153"/>
      <c r="I1" s="153"/>
      <c r="J1" s="153"/>
      <c r="K1" s="153"/>
      <c r="L1" s="153"/>
    </row>
    <row r="2" spans="1:32" ht="12.75" customHeight="1">
      <c r="C2" s="181" t="s">
        <v>122</v>
      </c>
    </row>
    <row r="3" spans="1:32">
      <c r="A3" s="157"/>
      <c r="B3" s="172" t="s">
        <v>143</v>
      </c>
      <c r="C3" s="185">
        <v>48.16</v>
      </c>
    </row>
    <row r="4" spans="1:32">
      <c r="A4" s="162" t="s">
        <v>91</v>
      </c>
      <c r="B4" s="170" t="s">
        <v>2</v>
      </c>
      <c r="C4" s="171">
        <f>'EBIT &amp; Operating Lease'!C9</f>
        <v>-37.26</v>
      </c>
      <c r="L4" s="159"/>
      <c r="N4" s="159"/>
      <c r="O4" s="159"/>
      <c r="Q4" s="159"/>
      <c r="R4" s="159"/>
      <c r="S4" s="159"/>
      <c r="T4" s="159"/>
      <c r="U4" s="159"/>
      <c r="V4" s="159"/>
      <c r="AA4" s="159"/>
    </row>
    <row r="5" spans="1:32">
      <c r="A5" s="162"/>
      <c r="B5" s="174" t="s">
        <v>142</v>
      </c>
      <c r="C5" s="175">
        <f>C3+C4</f>
        <v>10.899999999999999</v>
      </c>
      <c r="H5" s="160"/>
      <c r="I5" s="160"/>
      <c r="J5" s="160"/>
      <c r="K5" s="160"/>
      <c r="L5" s="160"/>
      <c r="M5" s="160"/>
      <c r="N5" s="160"/>
      <c r="O5" s="160"/>
      <c r="P5" s="160"/>
      <c r="Q5" s="160"/>
      <c r="R5" s="160"/>
      <c r="S5" s="160"/>
      <c r="T5" s="160"/>
      <c r="U5" s="160"/>
      <c r="V5" s="160"/>
      <c r="W5" s="160"/>
      <c r="X5" s="160"/>
      <c r="Y5" s="160"/>
      <c r="Z5" s="160"/>
      <c r="AA5" s="160"/>
      <c r="AB5" s="160"/>
      <c r="AC5" s="160"/>
      <c r="AD5" s="160"/>
      <c r="AE5" s="160"/>
      <c r="AF5" s="160"/>
    </row>
    <row r="6" spans="1:32">
      <c r="A6" s="162" t="s">
        <v>137</v>
      </c>
      <c r="B6" s="184" t="s">
        <v>153</v>
      </c>
      <c r="C6" s="185">
        <v>0</v>
      </c>
      <c r="D6" s="163"/>
      <c r="H6" s="160"/>
      <c r="I6" s="160"/>
      <c r="J6" s="160"/>
      <c r="K6" s="160"/>
      <c r="L6" s="160"/>
      <c r="M6" s="160"/>
      <c r="N6" s="160"/>
      <c r="O6" s="160"/>
      <c r="P6" s="160"/>
      <c r="Q6" s="160"/>
      <c r="R6" s="160"/>
      <c r="S6" s="160"/>
      <c r="T6" s="160"/>
      <c r="U6" s="160"/>
      <c r="V6" s="160"/>
      <c r="W6" s="160"/>
      <c r="X6" s="160"/>
      <c r="Y6" s="160"/>
      <c r="Z6" s="160"/>
      <c r="AA6" s="160"/>
      <c r="AB6" s="160"/>
      <c r="AC6" s="160"/>
      <c r="AD6" s="160"/>
      <c r="AE6" s="160"/>
      <c r="AF6" s="160"/>
    </row>
    <row r="7" spans="1:32">
      <c r="A7" s="162" t="s">
        <v>137</v>
      </c>
      <c r="B7" s="172" t="s">
        <v>254</v>
      </c>
      <c r="C7" s="185">
        <f>'EBIT &amp; Advertising Expense'!C7</f>
        <v>33.049999999999997</v>
      </c>
      <c r="H7" s="160"/>
      <c r="I7" s="160"/>
      <c r="J7" s="160"/>
      <c r="K7" s="160"/>
      <c r="L7" s="160"/>
      <c r="M7" s="160"/>
      <c r="N7" s="160"/>
      <c r="O7" s="160"/>
      <c r="P7" s="160"/>
      <c r="Q7" s="160"/>
      <c r="R7" s="160"/>
      <c r="S7" s="160"/>
      <c r="T7" s="160"/>
      <c r="U7" s="160"/>
      <c r="V7" s="160"/>
      <c r="W7" s="160"/>
      <c r="X7" s="160"/>
      <c r="Y7" s="160"/>
      <c r="Z7" s="160"/>
      <c r="AA7" s="160"/>
      <c r="AB7" s="160"/>
      <c r="AC7" s="160"/>
      <c r="AD7" s="160"/>
      <c r="AE7" s="160"/>
      <c r="AF7" s="160"/>
    </row>
    <row r="8" spans="1:32">
      <c r="A8" s="164" t="s">
        <v>91</v>
      </c>
      <c r="B8" s="172" t="s">
        <v>298</v>
      </c>
      <c r="C8" s="185">
        <f>-'EBIT &amp; Advertising Expense'!C6</f>
        <v>-61.5</v>
      </c>
      <c r="H8" s="160"/>
      <c r="I8" s="160"/>
      <c r="J8" s="160"/>
      <c r="K8" s="160"/>
      <c r="L8" s="160"/>
      <c r="M8" s="160"/>
      <c r="N8" s="160"/>
      <c r="O8" s="160"/>
      <c r="P8" s="160"/>
      <c r="Q8" s="160"/>
      <c r="R8" s="160"/>
      <c r="S8" s="160"/>
      <c r="T8" s="160"/>
      <c r="U8" s="160"/>
      <c r="V8" s="160"/>
      <c r="W8" s="160"/>
      <c r="X8" s="160"/>
      <c r="Y8" s="160"/>
      <c r="Z8" s="160"/>
      <c r="AA8" s="160"/>
      <c r="AB8" s="160"/>
      <c r="AC8" s="160"/>
      <c r="AD8" s="160"/>
      <c r="AE8" s="160"/>
      <c r="AF8" s="160"/>
    </row>
    <row r="9" spans="1:32">
      <c r="A9" s="162" t="s">
        <v>137</v>
      </c>
      <c r="B9" s="172" t="s">
        <v>296</v>
      </c>
      <c r="C9" s="185">
        <f>'EBIT &amp; R&amp;D Expense'!C8</f>
        <v>14.25</v>
      </c>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row>
    <row r="10" spans="1:32">
      <c r="A10" s="164" t="s">
        <v>91</v>
      </c>
      <c r="B10" s="172" t="s">
        <v>297</v>
      </c>
      <c r="C10" s="185">
        <f>'EBIT &amp; R&amp;D Expense'!C11</f>
        <v>10.258000000000001</v>
      </c>
      <c r="H10" s="160"/>
      <c r="I10" s="160"/>
      <c r="J10" s="160"/>
      <c r="K10" s="160"/>
      <c r="L10" s="160"/>
      <c r="M10" s="160"/>
      <c r="N10" s="160"/>
      <c r="O10" s="160"/>
      <c r="P10" s="160"/>
      <c r="Q10" s="160"/>
      <c r="R10" s="160"/>
      <c r="S10" s="160"/>
      <c r="T10" s="160"/>
      <c r="U10" s="160"/>
      <c r="V10" s="160"/>
      <c r="W10" s="160"/>
      <c r="X10" s="160"/>
      <c r="Y10" s="160"/>
      <c r="Z10" s="160"/>
      <c r="AA10" s="160"/>
      <c r="AB10" s="160"/>
      <c r="AC10" s="160"/>
      <c r="AD10" s="160"/>
      <c r="AE10" s="160"/>
      <c r="AF10" s="160"/>
    </row>
    <row r="11" spans="1:32">
      <c r="A11" s="162"/>
      <c r="B11" s="176" t="s">
        <v>144</v>
      </c>
      <c r="C11" s="186">
        <f>C5+C6+C7+C8</f>
        <v>-17.550000000000004</v>
      </c>
      <c r="G11" s="160"/>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row>
    <row r="12" spans="1:32">
      <c r="B12" s="158"/>
      <c r="C12" s="182"/>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row>
    <row r="13" spans="1:32">
      <c r="A13" s="162"/>
      <c r="B13" s="158"/>
      <c r="C13" s="182"/>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row>
    <row r="14" spans="1:32">
      <c r="B14" s="158"/>
      <c r="C14" s="182"/>
      <c r="D14" s="160"/>
      <c r="E14" s="160"/>
      <c r="F14" s="160"/>
      <c r="G14" s="160"/>
      <c r="H14" s="160"/>
      <c r="I14" s="160"/>
      <c r="O14" s="160"/>
      <c r="P14" s="160"/>
      <c r="Q14" s="160"/>
      <c r="R14" s="160"/>
      <c r="S14" s="160"/>
      <c r="T14" s="160"/>
      <c r="U14" s="160"/>
      <c r="V14" s="160"/>
      <c r="W14" s="160"/>
      <c r="X14" s="160"/>
      <c r="Y14" s="160"/>
      <c r="Z14" s="160"/>
      <c r="AA14" s="160"/>
      <c r="AB14" s="160"/>
      <c r="AC14" s="160"/>
      <c r="AD14" s="160"/>
      <c r="AE14" s="160"/>
      <c r="AF14" s="160"/>
    </row>
    <row r="15" spans="1:32">
      <c r="D15" s="165"/>
      <c r="E15" s="165"/>
      <c r="F15" s="165"/>
      <c r="G15" s="165"/>
      <c r="H15" s="165"/>
      <c r="I15" s="166"/>
      <c r="O15" s="160"/>
      <c r="P15" s="160"/>
      <c r="Q15" s="160"/>
      <c r="R15" s="160"/>
      <c r="S15" s="160"/>
      <c r="T15" s="160"/>
      <c r="U15" s="160"/>
      <c r="V15" s="160"/>
      <c r="W15" s="160"/>
      <c r="X15" s="160"/>
      <c r="Y15" s="160"/>
      <c r="Z15" s="160"/>
      <c r="AA15" s="160"/>
      <c r="AB15" s="160"/>
      <c r="AC15" s="160"/>
      <c r="AD15" s="160"/>
      <c r="AE15" s="160"/>
      <c r="AF15" s="160"/>
    </row>
    <row r="16" spans="1:32">
      <c r="D16" s="81"/>
      <c r="E16" s="81"/>
      <c r="F16" s="81"/>
      <c r="G16" s="81"/>
      <c r="H16" s="81"/>
      <c r="I16" s="81"/>
      <c r="J16" s="160"/>
      <c r="K16" s="160"/>
      <c r="L16" s="160"/>
      <c r="M16" s="160"/>
      <c r="N16" s="160"/>
      <c r="O16" s="160"/>
      <c r="P16" s="160"/>
      <c r="Q16" s="160"/>
      <c r="R16" s="160"/>
      <c r="S16" s="160"/>
      <c r="T16" s="160"/>
      <c r="U16" s="160"/>
      <c r="V16" s="160"/>
      <c r="W16" s="160"/>
      <c r="X16" s="160"/>
      <c r="Y16" s="160"/>
      <c r="Z16" s="160"/>
      <c r="AA16" s="160"/>
      <c r="AB16" s="160"/>
      <c r="AC16" s="160"/>
      <c r="AD16" s="160"/>
      <c r="AE16" s="160"/>
      <c r="AF16" s="160"/>
    </row>
    <row r="17" spans="2:32" ht="15">
      <c r="B17" s="180"/>
      <c r="D17" s="167"/>
      <c r="E17" s="167"/>
      <c r="F17" s="167"/>
      <c r="G17" s="167"/>
      <c r="H17" s="167"/>
      <c r="I17" s="165"/>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row>
    <row r="18" spans="2:32">
      <c r="B18" s="156"/>
      <c r="C18" s="181"/>
      <c r="G18" s="160"/>
      <c r="H18" s="165"/>
      <c r="I18" s="160"/>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2:32">
      <c r="B19" s="158"/>
      <c r="C19" s="182"/>
      <c r="G19" s="160"/>
      <c r="H19" s="160"/>
      <c r="I19" s="160"/>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2:32">
      <c r="B20" s="158"/>
      <c r="C20" s="182"/>
      <c r="G20" s="160"/>
      <c r="H20" s="160"/>
      <c r="I20" s="160"/>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2:32">
      <c r="B21" s="158"/>
      <c r="C21" s="183"/>
      <c r="G21" s="160"/>
      <c r="H21" s="160"/>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2:32">
      <c r="B22" s="158"/>
      <c r="C22" s="158"/>
      <c r="G22" s="160"/>
      <c r="H22" s="160"/>
      <c r="I22" s="160"/>
      <c r="J22" s="16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2:32">
      <c r="B23" s="158"/>
      <c r="C23" s="182"/>
      <c r="G23" s="160"/>
      <c r="H23" s="160"/>
      <c r="I23" s="160"/>
      <c r="J23" s="16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2:32">
      <c r="B24" s="158"/>
      <c r="C24" s="182"/>
      <c r="G24" s="160"/>
      <c r="H24" s="160"/>
      <c r="I24" s="160"/>
      <c r="J24" s="16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2:32">
      <c r="B25" s="158"/>
      <c r="C25" s="158"/>
      <c r="G25" s="160"/>
      <c r="H25" s="160"/>
      <c r="I25" s="160"/>
      <c r="J25" s="16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2:32">
      <c r="B26" s="158"/>
      <c r="C26" s="182"/>
      <c r="G26" s="160"/>
      <c r="H26" s="160"/>
      <c r="I26" s="160"/>
      <c r="J26" s="16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2:32">
      <c r="G27" s="160"/>
      <c r="H27" s="160"/>
      <c r="I27" s="160"/>
      <c r="J27" s="16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2:32">
      <c r="G28" s="160"/>
      <c r="H28" s="160"/>
      <c r="I28" s="160"/>
      <c r="J28" s="160"/>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2:32">
      <c r="G29" s="160"/>
      <c r="H29" s="160"/>
      <c r="I29" s="160"/>
      <c r="J29" s="160"/>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2:32" ht="14.25" customHeight="1">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2: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2: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30.5703125" style="155" customWidth="1"/>
    <col min="3" max="3" width="11.7109375" style="155" customWidth="1"/>
    <col min="4" max="4" width="13.140625" style="155" customWidth="1"/>
    <col min="5" max="6" width="9.85546875" style="155" customWidth="1"/>
    <col min="7" max="7" width="32.85546875" style="155" customWidth="1" collapsed="1"/>
    <col min="8" max="9" width="10.5703125" style="155" customWidth="1"/>
    <col min="10" max="10" width="9.28515625" style="155" customWidth="1"/>
    <col min="11" max="11" width="10" style="155" customWidth="1"/>
    <col min="12" max="12" width="9.4257812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145</v>
      </c>
      <c r="C1" s="153"/>
      <c r="D1" s="153"/>
      <c r="E1" s="153"/>
      <c r="F1" s="153"/>
      <c r="G1" s="153"/>
      <c r="H1" s="153"/>
      <c r="I1" s="153"/>
      <c r="J1" s="153"/>
      <c r="K1" s="153"/>
      <c r="L1" s="153"/>
    </row>
    <row r="2" spans="1:32" ht="12.75" customHeight="1">
      <c r="C2" s="181"/>
    </row>
    <row r="3" spans="1:32">
      <c r="A3" s="157"/>
      <c r="B3" s="170" t="s">
        <v>177</v>
      </c>
      <c r="C3" s="218">
        <f>N25</f>
        <v>0.17540815853858824</v>
      </c>
      <c r="G3" s="214" t="s">
        <v>256</v>
      </c>
      <c r="H3" s="215">
        <v>2016</v>
      </c>
      <c r="I3" s="215">
        <v>2017</v>
      </c>
      <c r="J3" s="215">
        <v>2018</v>
      </c>
      <c r="K3" s="215">
        <v>2019</v>
      </c>
      <c r="L3" s="215">
        <v>2020</v>
      </c>
      <c r="M3" s="215">
        <v>2021</v>
      </c>
      <c r="N3" s="215">
        <v>2022</v>
      </c>
    </row>
    <row r="4" spans="1:32">
      <c r="A4" s="162"/>
      <c r="B4" s="168"/>
      <c r="C4" s="168"/>
      <c r="G4" s="210" t="s">
        <v>4</v>
      </c>
      <c r="H4" s="360">
        <v>724.68179999999995</v>
      </c>
      <c r="I4" s="360">
        <v>907.0308</v>
      </c>
      <c r="J4" s="168">
        <v>812.99</v>
      </c>
      <c r="K4" s="360">
        <v>1090.6600000000001</v>
      </c>
      <c r="L4" s="360">
        <v>1468.94</v>
      </c>
      <c r="M4" s="360">
        <v>1279.5999999999999</v>
      </c>
      <c r="N4" s="360">
        <v>1661.39</v>
      </c>
      <c r="O4" s="159"/>
      <c r="Q4" s="159"/>
      <c r="R4" s="159"/>
      <c r="S4" s="159"/>
      <c r="T4" s="159"/>
      <c r="U4" s="159"/>
      <c r="V4" s="159"/>
      <c r="AA4" s="159"/>
    </row>
    <row r="5" spans="1:32">
      <c r="A5" s="162"/>
      <c r="B5" s="172" t="s">
        <v>178</v>
      </c>
      <c r="C5" s="173">
        <f>N23</f>
        <v>7934.45</v>
      </c>
      <c r="G5" s="210" t="s">
        <v>299</v>
      </c>
      <c r="H5" s="168">
        <v>0</v>
      </c>
      <c r="I5" s="168">
        <v>0</v>
      </c>
      <c r="J5" s="168">
        <v>0</v>
      </c>
      <c r="K5" s="168">
        <v>785</v>
      </c>
      <c r="L5" s="168">
        <v>899.34</v>
      </c>
      <c r="M5" s="360">
        <v>1063.72</v>
      </c>
      <c r="N5" s="168">
        <v>748.32</v>
      </c>
      <c r="O5" s="160"/>
      <c r="P5" s="160"/>
      <c r="Q5" s="160"/>
      <c r="R5" s="160"/>
      <c r="S5" s="160"/>
      <c r="T5" s="160"/>
      <c r="U5" s="160"/>
      <c r="V5" s="160"/>
      <c r="W5" s="160"/>
      <c r="X5" s="160"/>
      <c r="Y5" s="160"/>
      <c r="Z5" s="160"/>
      <c r="AA5" s="160"/>
      <c r="AB5" s="160"/>
      <c r="AC5" s="160"/>
      <c r="AD5" s="160"/>
      <c r="AE5" s="160"/>
      <c r="AF5" s="160"/>
    </row>
    <row r="6" spans="1:32">
      <c r="A6" s="162"/>
      <c r="B6" s="176" t="s">
        <v>179</v>
      </c>
      <c r="C6" s="186">
        <f>C5*C3</f>
        <v>1391.7672635165013</v>
      </c>
      <c r="D6" s="163"/>
      <c r="G6" s="210" t="s">
        <v>169</v>
      </c>
      <c r="H6" s="360">
        <v>1367.2228</v>
      </c>
      <c r="I6" s="360">
        <v>1454.1095</v>
      </c>
      <c r="J6" s="360">
        <v>1570.28</v>
      </c>
      <c r="K6" s="360">
        <v>1803.17</v>
      </c>
      <c r="L6" s="360">
        <v>1827.25</v>
      </c>
      <c r="M6" s="360">
        <v>1800.93</v>
      </c>
      <c r="N6" s="360">
        <v>2109.67</v>
      </c>
      <c r="O6" s="160"/>
      <c r="P6" s="160"/>
      <c r="Q6" s="160"/>
      <c r="R6" s="160"/>
      <c r="S6" s="160"/>
      <c r="T6" s="160"/>
      <c r="U6" s="160"/>
      <c r="V6" s="160"/>
      <c r="W6" s="160"/>
      <c r="X6" s="160"/>
      <c r="Y6" s="160"/>
      <c r="Z6" s="160"/>
      <c r="AA6" s="160"/>
      <c r="AB6" s="160"/>
      <c r="AC6" s="160"/>
      <c r="AD6" s="160"/>
      <c r="AE6" s="160"/>
      <c r="AF6" s="160"/>
    </row>
    <row r="7" spans="1:32">
      <c r="B7" s="168"/>
      <c r="C7" s="168"/>
      <c r="G7" s="210" t="s">
        <v>8</v>
      </c>
      <c r="H7" s="216">
        <v>2.8546</v>
      </c>
      <c r="I7" s="216">
        <v>2.7391999999999999</v>
      </c>
      <c r="J7" s="168">
        <v>4.32</v>
      </c>
      <c r="K7" s="168">
        <v>11.33</v>
      </c>
      <c r="L7" s="168">
        <v>2.04</v>
      </c>
      <c r="M7" s="168">
        <v>2.13</v>
      </c>
      <c r="N7" s="168">
        <v>3.09</v>
      </c>
      <c r="O7" s="160"/>
      <c r="P7" s="160"/>
      <c r="Q7" s="160"/>
      <c r="R7" s="160"/>
      <c r="S7" s="160"/>
      <c r="T7" s="160"/>
      <c r="U7" s="160"/>
      <c r="V7" s="160"/>
      <c r="W7" s="160"/>
      <c r="X7" s="160"/>
      <c r="Y7" s="160"/>
      <c r="Z7" s="160"/>
      <c r="AA7" s="160"/>
      <c r="AB7" s="160"/>
      <c r="AC7" s="160"/>
      <c r="AD7" s="160"/>
      <c r="AE7" s="160"/>
      <c r="AF7" s="160"/>
    </row>
    <row r="8" spans="1:32">
      <c r="A8" s="162"/>
      <c r="B8" s="172" t="s">
        <v>181</v>
      </c>
      <c r="C8" s="173">
        <f>M23</f>
        <v>7555.78</v>
      </c>
      <c r="G8" s="210" t="s">
        <v>9</v>
      </c>
      <c r="H8" s="360">
        <v>57.848799999999997</v>
      </c>
      <c r="I8" s="360">
        <v>72.418499999999995</v>
      </c>
      <c r="J8" s="168">
        <v>82.09</v>
      </c>
      <c r="K8" s="168">
        <v>85.81</v>
      </c>
      <c r="L8" s="168">
        <v>135.5</v>
      </c>
      <c r="M8" s="168">
        <v>108.98</v>
      </c>
      <c r="N8" s="168">
        <v>79.849999999999994</v>
      </c>
      <c r="O8" s="160"/>
      <c r="P8" s="160"/>
      <c r="Q8" s="160"/>
      <c r="R8" s="160"/>
      <c r="S8" s="160"/>
      <c r="T8" s="160"/>
      <c r="U8" s="160"/>
      <c r="V8" s="160"/>
      <c r="W8" s="160"/>
      <c r="X8" s="160"/>
      <c r="Y8" s="160"/>
      <c r="Z8" s="160"/>
      <c r="AA8" s="160"/>
      <c r="AB8" s="160"/>
      <c r="AC8" s="160"/>
      <c r="AD8" s="160"/>
      <c r="AE8" s="160"/>
      <c r="AF8" s="160"/>
    </row>
    <row r="9" spans="1:32">
      <c r="A9" s="162"/>
      <c r="B9" s="176" t="s">
        <v>180</v>
      </c>
      <c r="C9" s="177">
        <f>C8*C3</f>
        <v>1325.3454561226943</v>
      </c>
      <c r="G9" s="210" t="s">
        <v>172</v>
      </c>
      <c r="H9" s="360">
        <v>1119.8430000000001</v>
      </c>
      <c r="I9" s="360">
        <v>1022.2936999999999</v>
      </c>
      <c r="J9" s="360">
        <v>1356.53</v>
      </c>
      <c r="K9" s="168">
        <v>314.39999999999998</v>
      </c>
      <c r="L9" s="168">
        <v>416.56</v>
      </c>
      <c r="M9" s="168">
        <v>225.94</v>
      </c>
      <c r="N9" s="168">
        <v>270.95999999999998</v>
      </c>
      <c r="O9" s="160"/>
      <c r="P9" s="160"/>
      <c r="Q9" s="160"/>
      <c r="R9" s="160"/>
      <c r="S9" s="160"/>
      <c r="T9" s="160"/>
      <c r="U9" s="160"/>
      <c r="V9" s="160"/>
      <c r="W9" s="160"/>
      <c r="X9" s="160"/>
      <c r="Y9" s="160"/>
      <c r="Z9" s="160"/>
      <c r="AA9" s="160"/>
      <c r="AB9" s="160"/>
      <c r="AC9" s="160"/>
      <c r="AD9" s="160"/>
      <c r="AE9" s="160"/>
      <c r="AF9" s="160"/>
    </row>
    <row r="10" spans="1:32">
      <c r="A10" s="158"/>
      <c r="B10" s="168"/>
      <c r="C10" s="168"/>
      <c r="G10" s="212" t="s">
        <v>174</v>
      </c>
      <c r="H10" s="176">
        <f t="shared" ref="H10:I10" si="0">SUM(H4:H9)</f>
        <v>3272.451</v>
      </c>
      <c r="I10" s="176">
        <f t="shared" si="0"/>
        <v>3458.5916999999999</v>
      </c>
      <c r="J10" s="176">
        <f>SUM(J4:J9)</f>
        <v>3826.21</v>
      </c>
      <c r="K10" s="176">
        <f>SUM(K4:K9)</f>
        <v>4090.37</v>
      </c>
      <c r="L10" s="176">
        <f>SUM(L4:L9)</f>
        <v>4749.630000000001</v>
      </c>
      <c r="M10" s="176">
        <f>SUM(M4:M9)</f>
        <v>4481.2999999999993</v>
      </c>
      <c r="N10" s="176">
        <f>SUM(N4:N9)</f>
        <v>4873.2800000000007</v>
      </c>
      <c r="O10" s="160"/>
      <c r="P10" s="160"/>
      <c r="Q10" s="160"/>
      <c r="R10" s="160"/>
      <c r="S10" s="160"/>
      <c r="T10" s="160"/>
      <c r="U10" s="160"/>
      <c r="V10" s="160"/>
      <c r="W10" s="160"/>
      <c r="X10" s="160"/>
      <c r="Y10" s="160"/>
      <c r="Z10" s="160"/>
      <c r="AA10" s="160"/>
      <c r="AB10" s="160"/>
      <c r="AC10" s="160"/>
      <c r="AD10" s="160"/>
      <c r="AE10" s="160"/>
      <c r="AF10" s="160"/>
    </row>
    <row r="11" spans="1:32">
      <c r="A11" s="162"/>
      <c r="B11" s="172" t="s">
        <v>183</v>
      </c>
      <c r="C11" s="179">
        <f>C6-C9</f>
        <v>66.421807393807057</v>
      </c>
      <c r="O11" s="160"/>
      <c r="P11" s="160"/>
      <c r="Q11" s="160"/>
      <c r="R11" s="160"/>
      <c r="S11" s="160"/>
      <c r="T11" s="160"/>
      <c r="U11" s="160"/>
      <c r="V11" s="160"/>
      <c r="W11" s="160"/>
      <c r="X11" s="160"/>
      <c r="Y11" s="160"/>
      <c r="Z11" s="160"/>
      <c r="AA11" s="160"/>
      <c r="AB11" s="160"/>
      <c r="AC11" s="160"/>
      <c r="AD11" s="160"/>
      <c r="AE11" s="160"/>
      <c r="AF11" s="160"/>
    </row>
    <row r="12" spans="1:32">
      <c r="B12" s="158"/>
      <c r="C12" s="220"/>
      <c r="G12" s="211" t="s">
        <v>146</v>
      </c>
      <c r="H12" s="361">
        <v>1748.7831000000001</v>
      </c>
      <c r="I12" s="361">
        <v>1994.5681</v>
      </c>
      <c r="J12" s="361">
        <v>2176.41</v>
      </c>
      <c r="K12" s="168">
        <f>49.45+2325.04</f>
        <v>2374.4899999999998</v>
      </c>
      <c r="L12" s="168">
        <f>35.47+2653.42</f>
        <v>2688.89</v>
      </c>
      <c r="M12" s="168">
        <f>160.42+2304.11</f>
        <v>2464.5300000000002</v>
      </c>
      <c r="N12" s="168">
        <f>144.19+2797.86</f>
        <v>2942.05</v>
      </c>
      <c r="O12" s="160"/>
      <c r="P12" s="160"/>
      <c r="Q12" s="160"/>
      <c r="R12" s="160"/>
      <c r="S12" s="160"/>
      <c r="T12" s="160"/>
      <c r="U12" s="160"/>
      <c r="V12" s="160"/>
      <c r="W12" s="160"/>
      <c r="X12" s="160"/>
      <c r="Y12" s="160"/>
      <c r="Z12" s="160"/>
      <c r="AA12" s="160"/>
      <c r="AB12" s="160"/>
      <c r="AC12" s="160"/>
      <c r="AD12" s="160"/>
      <c r="AE12" s="160"/>
      <c r="AF12" s="160"/>
    </row>
    <row r="13" spans="1:32">
      <c r="A13" s="162"/>
      <c r="G13" s="211" t="s">
        <v>286</v>
      </c>
      <c r="H13" s="361">
        <v>0</v>
      </c>
      <c r="I13" s="361">
        <v>0</v>
      </c>
      <c r="J13" s="361">
        <v>0</v>
      </c>
      <c r="K13" s="168">
        <v>331.49</v>
      </c>
      <c r="L13" s="168">
        <v>556.91999999999996</v>
      </c>
      <c r="M13" s="168">
        <v>421.55</v>
      </c>
      <c r="N13" s="168">
        <v>354.19</v>
      </c>
      <c r="O13" s="160"/>
      <c r="P13" s="160"/>
      <c r="Q13" s="160"/>
      <c r="R13" s="160"/>
      <c r="S13" s="160"/>
      <c r="T13" s="160"/>
      <c r="U13" s="160"/>
      <c r="V13" s="160"/>
      <c r="W13" s="160"/>
      <c r="X13" s="160"/>
      <c r="Y13" s="160"/>
      <c r="Z13" s="160"/>
      <c r="AA13" s="160"/>
      <c r="AB13" s="160"/>
      <c r="AC13" s="160"/>
      <c r="AD13" s="160"/>
      <c r="AE13" s="160"/>
      <c r="AF13" s="160"/>
    </row>
    <row r="14" spans="1:32">
      <c r="E14" s="160"/>
      <c r="F14" s="160"/>
      <c r="G14" s="210" t="s">
        <v>173</v>
      </c>
      <c r="H14" s="361">
        <v>51.500100000000003</v>
      </c>
      <c r="I14" s="386">
        <v>52.966299999999997</v>
      </c>
      <c r="J14" s="210">
        <v>84.65</v>
      </c>
      <c r="K14" s="210">
        <v>84.47</v>
      </c>
      <c r="L14" s="210">
        <v>84.39</v>
      </c>
      <c r="M14" s="210">
        <v>94.52</v>
      </c>
      <c r="N14" s="210">
        <v>103.54</v>
      </c>
      <c r="O14" s="160"/>
      <c r="P14" s="160"/>
      <c r="Q14" s="160"/>
      <c r="R14" s="160"/>
      <c r="S14" s="160"/>
      <c r="T14" s="160"/>
      <c r="U14" s="160"/>
      <c r="V14" s="160"/>
      <c r="W14" s="160"/>
      <c r="X14" s="160"/>
      <c r="Y14" s="160"/>
      <c r="Z14" s="160"/>
      <c r="AA14" s="160"/>
      <c r="AB14" s="160"/>
      <c r="AC14" s="160"/>
      <c r="AD14" s="160"/>
      <c r="AE14" s="160"/>
      <c r="AF14" s="160"/>
    </row>
    <row r="15" spans="1:32">
      <c r="B15" s="400" t="s">
        <v>150</v>
      </c>
      <c r="C15" s="400"/>
      <c r="D15" s="400"/>
      <c r="E15" s="165"/>
      <c r="F15" s="165"/>
      <c r="G15" s="210" t="s">
        <v>171</v>
      </c>
      <c r="H15" s="360">
        <v>670.81659999999999</v>
      </c>
      <c r="I15" s="360">
        <v>599.07510000000002</v>
      </c>
      <c r="J15" s="168">
        <v>672.75</v>
      </c>
      <c r="K15" s="168">
        <v>38.54</v>
      </c>
      <c r="L15" s="168">
        <v>42.15</v>
      </c>
      <c r="M15" s="168">
        <v>73.040000000000006</v>
      </c>
      <c r="N15" s="168">
        <v>88.84</v>
      </c>
      <c r="O15" s="160"/>
      <c r="P15" s="160"/>
      <c r="Q15" s="160"/>
      <c r="R15" s="160"/>
      <c r="S15" s="160"/>
      <c r="T15" s="160"/>
      <c r="U15" s="160"/>
      <c r="V15" s="160"/>
      <c r="W15" s="160"/>
      <c r="X15" s="160"/>
      <c r="Y15" s="160"/>
      <c r="Z15" s="160"/>
      <c r="AA15" s="160"/>
      <c r="AB15" s="160"/>
      <c r="AC15" s="160"/>
      <c r="AD15" s="160"/>
      <c r="AE15" s="160"/>
      <c r="AF15" s="160"/>
    </row>
    <row r="16" spans="1:32">
      <c r="B16" s="210" t="s">
        <v>276</v>
      </c>
      <c r="C16" s="188" t="s">
        <v>148</v>
      </c>
      <c r="D16" s="188" t="s">
        <v>149</v>
      </c>
      <c r="E16" s="81"/>
      <c r="F16" s="81"/>
      <c r="G16" s="210" t="s">
        <v>300</v>
      </c>
      <c r="H16" s="360">
        <v>51.617600000000003</v>
      </c>
      <c r="I16" s="360">
        <v>47.504399999999997</v>
      </c>
      <c r="J16" s="168">
        <v>9.5299999999999994</v>
      </c>
      <c r="K16" s="168">
        <v>11.76</v>
      </c>
      <c r="L16" s="168">
        <v>6.08</v>
      </c>
      <c r="M16" s="168">
        <v>75.95</v>
      </c>
      <c r="N16" s="168">
        <v>60.29</v>
      </c>
      <c r="O16" s="160"/>
      <c r="P16" s="160"/>
      <c r="Q16" s="160"/>
      <c r="R16" s="160"/>
      <c r="S16" s="160"/>
      <c r="T16" s="160"/>
      <c r="U16" s="160"/>
      <c r="V16" s="160"/>
      <c r="W16" s="160"/>
      <c r="X16" s="160"/>
      <c r="Y16" s="160"/>
      <c r="Z16" s="160"/>
      <c r="AA16" s="160"/>
      <c r="AB16" s="160"/>
      <c r="AC16" s="160"/>
      <c r="AD16" s="160"/>
      <c r="AE16" s="160"/>
      <c r="AF16" s="160"/>
    </row>
    <row r="17" spans="2:32">
      <c r="B17" s="73" t="s">
        <v>277</v>
      </c>
      <c r="C17" s="189">
        <v>292</v>
      </c>
      <c r="D17" s="191">
        <v>4.8399999999999999E-2</v>
      </c>
      <c r="E17" s="167"/>
      <c r="F17" s="167"/>
      <c r="G17" s="212" t="s">
        <v>175</v>
      </c>
      <c r="H17" s="362">
        <f t="shared" ref="H17:I17" si="1">SUM(H12:H16)</f>
        <v>2522.7174</v>
      </c>
      <c r="I17" s="362">
        <f t="shared" si="1"/>
        <v>2694.1138999999998</v>
      </c>
      <c r="J17" s="362">
        <f>SUM(J12:J16)</f>
        <v>2943.34</v>
      </c>
      <c r="K17" s="176">
        <f>SUM(K12:K16)</f>
        <v>2840.7499999999995</v>
      </c>
      <c r="L17" s="176">
        <f>SUM(L12:L16)</f>
        <v>3378.43</v>
      </c>
      <c r="M17" s="176">
        <f>SUM(M12:M16)</f>
        <v>3129.59</v>
      </c>
      <c r="N17" s="176">
        <f>SUM(N12:N16)</f>
        <v>3548.9100000000003</v>
      </c>
      <c r="O17" s="160"/>
      <c r="P17" s="160"/>
      <c r="Q17" s="160"/>
      <c r="R17" s="160"/>
      <c r="S17" s="160"/>
      <c r="T17" s="160"/>
      <c r="U17" s="160"/>
      <c r="V17" s="160"/>
      <c r="W17" s="160"/>
      <c r="X17" s="160"/>
      <c r="Y17" s="160"/>
      <c r="Z17" s="160"/>
      <c r="AA17" s="160"/>
      <c r="AB17" s="160"/>
      <c r="AC17" s="160"/>
      <c r="AD17" s="160"/>
      <c r="AE17" s="160"/>
      <c r="AF17" s="160"/>
    </row>
    <row r="18" spans="2:32">
      <c r="B18" s="73" t="s">
        <v>278</v>
      </c>
      <c r="C18" s="189">
        <v>454</v>
      </c>
      <c r="D18" s="191">
        <v>0.108</v>
      </c>
      <c r="O18" s="160"/>
      <c r="P18" s="160"/>
      <c r="Q18" s="160"/>
      <c r="R18" s="160"/>
      <c r="S18" s="160"/>
      <c r="T18" s="160"/>
      <c r="U18" s="160"/>
      <c r="V18" s="160"/>
      <c r="W18" s="160"/>
      <c r="X18" s="160"/>
      <c r="Y18" s="160"/>
      <c r="Z18" s="160"/>
      <c r="AA18" s="160"/>
      <c r="AB18" s="160"/>
      <c r="AC18" s="160"/>
      <c r="AD18" s="160"/>
      <c r="AE18" s="160"/>
      <c r="AF18" s="160"/>
    </row>
    <row r="19" spans="2:32">
      <c r="B19" s="73" t="s">
        <v>279</v>
      </c>
      <c r="C19" s="189">
        <v>512</v>
      </c>
      <c r="D19" s="191">
        <v>0.23699999999999999</v>
      </c>
      <c r="G19" s="212" t="s">
        <v>147</v>
      </c>
      <c r="H19" s="213">
        <f t="shared" ref="H19:I19" si="2">H10-H17</f>
        <v>749.73360000000002</v>
      </c>
      <c r="I19" s="213">
        <f t="shared" si="2"/>
        <v>764.47780000000012</v>
      </c>
      <c r="J19" s="213">
        <f>J10-J17</f>
        <v>882.86999999999989</v>
      </c>
      <c r="K19" s="213">
        <f>K10-K17</f>
        <v>1249.6200000000003</v>
      </c>
      <c r="L19" s="213">
        <f>L10-L17</f>
        <v>1371.2000000000012</v>
      </c>
      <c r="M19" s="213">
        <f>M10-M17</f>
        <v>1351.7099999999991</v>
      </c>
      <c r="N19" s="213">
        <f>N10-N17</f>
        <v>1324.3700000000003</v>
      </c>
      <c r="O19" s="160"/>
      <c r="P19" s="160"/>
      <c r="Q19" s="160"/>
      <c r="R19" s="160"/>
      <c r="S19" s="160"/>
      <c r="T19" s="160"/>
      <c r="U19" s="160"/>
      <c r="V19" s="160"/>
      <c r="W19" s="160"/>
      <c r="X19" s="160"/>
      <c r="Y19" s="160"/>
      <c r="Z19" s="160"/>
      <c r="AA19" s="160"/>
      <c r="AB19" s="160"/>
      <c r="AC19" s="160"/>
      <c r="AD19" s="160"/>
      <c r="AE19" s="160"/>
      <c r="AF19" s="160"/>
    </row>
    <row r="20" spans="2:32">
      <c r="B20" s="401" t="s">
        <v>150</v>
      </c>
      <c r="C20" s="401"/>
      <c r="D20" s="192">
        <f ca="1">AVERAGE(D17:D24)</f>
        <v>0.13113333333333332</v>
      </c>
      <c r="E20" s="199"/>
      <c r="G20" s="168"/>
      <c r="H20" s="168"/>
      <c r="I20" s="168"/>
      <c r="J20" s="168"/>
      <c r="K20" s="168"/>
      <c r="L20" s="168"/>
      <c r="M20" s="168"/>
      <c r="N20" s="168"/>
      <c r="O20" s="160"/>
      <c r="P20" s="160"/>
      <c r="Q20" s="160"/>
      <c r="R20" s="160"/>
      <c r="S20" s="160"/>
      <c r="T20" s="160"/>
      <c r="U20" s="160"/>
      <c r="V20" s="160"/>
      <c r="W20" s="160"/>
      <c r="X20" s="160"/>
      <c r="Y20" s="160"/>
      <c r="Z20" s="160"/>
      <c r="AA20" s="160"/>
      <c r="AB20" s="160"/>
      <c r="AC20" s="160"/>
      <c r="AD20" s="160"/>
      <c r="AE20" s="160"/>
      <c r="AF20" s="160"/>
    </row>
    <row r="21" spans="2:32">
      <c r="B21" s="116"/>
      <c r="C21" s="187"/>
      <c r="D21" s="190"/>
      <c r="G21" s="188" t="s">
        <v>176</v>
      </c>
      <c r="H21" s="216"/>
      <c r="I21" s="219">
        <f t="shared" ref="I21:N21" si="3">I19-H19</f>
        <v>14.744200000000092</v>
      </c>
      <c r="J21" s="219">
        <f t="shared" si="3"/>
        <v>118.39219999999978</v>
      </c>
      <c r="K21" s="219">
        <f t="shared" si="3"/>
        <v>366.75000000000045</v>
      </c>
      <c r="L21" s="219">
        <f t="shared" si="3"/>
        <v>121.58000000000084</v>
      </c>
      <c r="M21" s="219">
        <f t="shared" si="3"/>
        <v>-19.490000000002055</v>
      </c>
      <c r="N21" s="219">
        <f t="shared" si="3"/>
        <v>-27.339999999998781</v>
      </c>
      <c r="O21" s="160"/>
      <c r="P21" s="160"/>
      <c r="Q21" s="160"/>
      <c r="R21" s="160"/>
      <c r="S21" s="160"/>
      <c r="T21" s="160"/>
      <c r="U21" s="160"/>
      <c r="V21" s="160"/>
      <c r="W21" s="160"/>
      <c r="X21" s="160"/>
      <c r="Y21" s="160"/>
      <c r="Z21" s="160"/>
      <c r="AA21" s="160"/>
      <c r="AB21" s="160"/>
      <c r="AC21" s="160"/>
      <c r="AD21" s="160"/>
      <c r="AE21" s="160"/>
      <c r="AF21" s="160"/>
    </row>
    <row r="22" spans="2:32">
      <c r="B22" s="116"/>
      <c r="C22" s="187"/>
      <c r="D22" s="190"/>
      <c r="G22" s="168"/>
      <c r="H22" s="168"/>
      <c r="I22" s="168"/>
      <c r="J22" s="168"/>
      <c r="K22" s="168"/>
      <c r="L22" s="168"/>
      <c r="M22" s="168"/>
      <c r="N22" s="168"/>
      <c r="O22" s="160"/>
      <c r="P22" s="160"/>
      <c r="Q22" s="160"/>
      <c r="R22" s="160"/>
      <c r="S22" s="160"/>
      <c r="T22" s="160"/>
      <c r="U22" s="160"/>
      <c r="V22" s="160"/>
      <c r="W22" s="160"/>
      <c r="X22" s="160"/>
      <c r="Y22" s="160"/>
      <c r="Z22" s="160"/>
      <c r="AA22" s="160"/>
      <c r="AB22" s="160"/>
      <c r="AC22" s="160"/>
      <c r="AD22" s="160"/>
      <c r="AE22" s="160"/>
      <c r="AF22" s="160"/>
    </row>
    <row r="23" spans="2:32">
      <c r="B23" s="116"/>
      <c r="C23" s="187"/>
      <c r="D23" s="190"/>
      <c r="G23" s="210" t="s">
        <v>6</v>
      </c>
      <c r="H23" s="360">
        <v>5746.6529</v>
      </c>
      <c r="I23" s="360">
        <v>6095.0201999999999</v>
      </c>
      <c r="J23" s="360">
        <v>6427.87</v>
      </c>
      <c r="K23" s="360">
        <v>7124.07</v>
      </c>
      <c r="L23" s="360">
        <v>7658.08</v>
      </c>
      <c r="M23" s="360">
        <v>7555.78</v>
      </c>
      <c r="N23" s="360">
        <v>7934.45</v>
      </c>
      <c r="O23" s="160"/>
      <c r="P23" s="160"/>
      <c r="Q23" s="160"/>
      <c r="R23" s="160"/>
      <c r="S23" s="160"/>
      <c r="T23" s="160"/>
      <c r="U23" s="160"/>
      <c r="V23" s="160"/>
      <c r="W23" s="160"/>
      <c r="X23" s="160"/>
      <c r="Y23" s="160"/>
      <c r="Z23" s="160"/>
      <c r="AA23" s="160"/>
      <c r="AB23" s="160"/>
      <c r="AC23" s="160"/>
      <c r="AD23" s="160"/>
      <c r="AE23" s="160"/>
      <c r="AF23" s="160"/>
    </row>
    <row r="24" spans="2:32">
      <c r="B24" s="116"/>
      <c r="C24" s="187"/>
      <c r="D24" s="190"/>
      <c r="G24" s="169" t="s">
        <v>170</v>
      </c>
      <c r="H24" s="191">
        <f t="shared" ref="H24:I24" si="4">H19/H23</f>
        <v>0.13046439606609964</v>
      </c>
      <c r="I24" s="191">
        <f t="shared" si="4"/>
        <v>0.12542662286828846</v>
      </c>
      <c r="J24" s="191">
        <f>J19/J23</f>
        <v>0.1373503197793359</v>
      </c>
      <c r="K24" s="191">
        <f>K19/K23</f>
        <v>0.17540815853858824</v>
      </c>
      <c r="L24" s="191">
        <f>L19/L23</f>
        <v>0.17905271295154937</v>
      </c>
      <c r="M24" s="191">
        <f>M19/M23</f>
        <v>0.17889747981015847</v>
      </c>
      <c r="N24" s="191">
        <f>N19/N23</f>
        <v>0.16691390077447088</v>
      </c>
      <c r="O24" s="160"/>
      <c r="P24" s="160"/>
      <c r="Q24" s="160"/>
      <c r="R24" s="160"/>
      <c r="S24" s="160"/>
      <c r="T24" s="160"/>
      <c r="U24" s="160"/>
      <c r="V24" s="160"/>
      <c r="W24" s="160"/>
      <c r="X24" s="160"/>
      <c r="Y24" s="160"/>
      <c r="Z24" s="160"/>
      <c r="AA24" s="160"/>
      <c r="AB24" s="160"/>
      <c r="AC24" s="160"/>
      <c r="AD24" s="160"/>
      <c r="AE24" s="160"/>
      <c r="AF24" s="160"/>
    </row>
    <row r="25" spans="2:32">
      <c r="M25" s="181" t="s">
        <v>182</v>
      </c>
      <c r="N25" s="217">
        <f>MEDIAN(J24:N24)</f>
        <v>0.17540815853858824</v>
      </c>
      <c r="O25" s="160"/>
      <c r="P25" s="160"/>
      <c r="Q25" s="160"/>
      <c r="R25" s="160"/>
      <c r="S25" s="160"/>
      <c r="T25" s="160"/>
      <c r="U25" s="160"/>
      <c r="V25" s="160"/>
      <c r="W25" s="160"/>
      <c r="X25" s="160"/>
      <c r="Y25" s="160"/>
      <c r="Z25" s="160"/>
      <c r="AA25" s="160"/>
      <c r="AB25" s="160"/>
      <c r="AC25" s="160"/>
      <c r="AD25" s="160"/>
      <c r="AE25" s="160"/>
      <c r="AF25" s="160"/>
    </row>
    <row r="26" spans="2:32">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2:32">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2:32">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2:32">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2:32" ht="14.25" customHeight="1">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2:32">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2:32">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M38" s="160"/>
      <c r="N38" s="160"/>
      <c r="O38" s="160"/>
      <c r="P38" s="160"/>
      <c r="Q38" s="160"/>
      <c r="R38" s="160"/>
      <c r="S38" s="160"/>
      <c r="T38" s="160"/>
      <c r="U38" s="160"/>
      <c r="V38" s="160"/>
      <c r="W38" s="160"/>
      <c r="X38" s="160"/>
      <c r="Y38" s="160"/>
      <c r="Z38" s="160"/>
      <c r="AA38" s="160"/>
      <c r="AB38" s="160"/>
      <c r="AC38" s="160"/>
      <c r="AD38" s="160"/>
      <c r="AE38" s="160"/>
      <c r="AF38" s="160"/>
    </row>
  </sheetData>
  <mergeCells count="2">
    <mergeCell ref="B15:D15"/>
    <mergeCell ref="B20:C20"/>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29.28515625" style="155" customWidth="1"/>
    <col min="3" max="3" width="11.7109375" style="155" customWidth="1"/>
    <col min="4" max="4" width="4.85546875" style="155" customWidth="1"/>
    <col min="5" max="5" width="10.140625" style="155" customWidth="1"/>
    <col min="6" max="6" width="32.42578125" style="155" customWidth="1"/>
    <col min="7" max="7" width="10.28515625" style="155" customWidth="1" collapsed="1"/>
    <col min="8" max="8" width="5.42578125" style="155" customWidth="1"/>
    <col min="9" max="9" width="5" style="155" customWidth="1"/>
    <col min="10" max="10" width="31.5703125" style="155" customWidth="1"/>
    <col min="11" max="11" width="9" style="155" customWidth="1"/>
    <col min="12" max="12" width="9.8554687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168</v>
      </c>
      <c r="C1" s="153"/>
      <c r="D1" s="153"/>
      <c r="E1" s="153"/>
      <c r="F1" s="153"/>
      <c r="G1" s="153"/>
      <c r="H1" s="153"/>
      <c r="I1" s="153"/>
      <c r="J1" s="153"/>
      <c r="K1" s="153"/>
      <c r="L1" s="153"/>
    </row>
    <row r="2" spans="1:32" ht="12.75" customHeight="1">
      <c r="C2" s="181"/>
    </row>
    <row r="3" spans="1:32" ht="15.75">
      <c r="A3" s="157"/>
      <c r="B3" s="184" t="str">
        <f>F14</f>
        <v>Free Cash Flow to Firm (FCFF)</v>
      </c>
      <c r="C3" s="206">
        <f>G14</f>
        <v>490.88542204619279</v>
      </c>
      <c r="F3" s="137" t="s">
        <v>151</v>
      </c>
      <c r="G3" s="168"/>
      <c r="J3" s="137" t="s">
        <v>156</v>
      </c>
      <c r="K3" s="168"/>
      <c r="L3" s="165"/>
    </row>
    <row r="4" spans="1:32" ht="15">
      <c r="A4" s="162"/>
      <c r="F4" s="178"/>
      <c r="G4" s="209" t="s">
        <v>122</v>
      </c>
      <c r="J4" s="178"/>
      <c r="K4" s="208" t="s">
        <v>122</v>
      </c>
      <c r="L4" s="81"/>
      <c r="O4" s="159"/>
      <c r="Q4" s="159"/>
      <c r="R4" s="159"/>
      <c r="S4" s="159"/>
      <c r="T4" s="159"/>
      <c r="U4" s="159"/>
      <c r="V4" s="159"/>
      <c r="AA4" s="159"/>
    </row>
    <row r="5" spans="1:32">
      <c r="A5" s="162"/>
      <c r="B5" s="205" t="str">
        <f>J17</f>
        <v>Free Cash Flow to Equity (FCFE)</v>
      </c>
      <c r="C5" s="207">
        <f>K17</f>
        <v>563.31638364619278</v>
      </c>
      <c r="F5" s="172" t="str">
        <f>'EBIT &amp; Operating Lease'!B14</f>
        <v>Adjusted EBIT</v>
      </c>
      <c r="G5" s="185">
        <f>'EBIT &amp; R&amp;D Expense'!C12</f>
        <v>721.2919999999998</v>
      </c>
      <c r="J5" s="172" t="str">
        <f>F5</f>
        <v>Adjusted EBIT</v>
      </c>
      <c r="K5" s="173">
        <f>G5</f>
        <v>721.2919999999998</v>
      </c>
      <c r="L5" s="167"/>
      <c r="O5" s="160"/>
      <c r="P5" s="160"/>
      <c r="Q5" s="160"/>
      <c r="R5" s="160"/>
      <c r="S5" s="160"/>
      <c r="T5" s="160"/>
      <c r="U5" s="160"/>
      <c r="V5" s="160"/>
      <c r="W5" s="160"/>
      <c r="X5" s="160"/>
      <c r="Y5" s="160"/>
      <c r="Z5" s="160"/>
      <c r="AA5" s="160"/>
      <c r="AB5" s="160"/>
      <c r="AC5" s="160"/>
      <c r="AD5" s="160"/>
      <c r="AE5" s="160"/>
      <c r="AF5" s="160"/>
    </row>
    <row r="6" spans="1:32">
      <c r="A6" s="162"/>
      <c r="F6" s="172" t="str">
        <f>Beta!B13</f>
        <v>India Corporate Tax Rate</v>
      </c>
      <c r="G6" s="201">
        <f>'EBIT &amp; R&amp;D Expense'!C14</f>
        <v>0.25168000000000001</v>
      </c>
      <c r="J6" s="170" t="s">
        <v>157</v>
      </c>
      <c r="K6" s="173">
        <f>25.87</f>
        <v>25.87</v>
      </c>
      <c r="O6" s="160"/>
      <c r="P6" s="160"/>
      <c r="Q6" s="160"/>
      <c r="R6" s="160"/>
      <c r="S6" s="160"/>
      <c r="T6" s="160"/>
      <c r="U6" s="160"/>
      <c r="V6" s="160"/>
      <c r="W6" s="160"/>
      <c r="X6" s="160"/>
      <c r="Y6" s="160"/>
      <c r="Z6" s="160"/>
      <c r="AA6" s="160"/>
      <c r="AB6" s="160"/>
      <c r="AC6" s="160"/>
      <c r="AD6" s="160"/>
      <c r="AE6" s="160"/>
      <c r="AF6" s="160"/>
    </row>
    <row r="7" spans="1:32">
      <c r="F7" s="170"/>
      <c r="G7" s="193"/>
      <c r="J7" s="174" t="s">
        <v>158</v>
      </c>
      <c r="K7" s="175">
        <f>K5-K6</f>
        <v>695.4219999999998</v>
      </c>
      <c r="O7" s="160"/>
      <c r="P7" s="160"/>
      <c r="Q7" s="160"/>
      <c r="R7" s="160"/>
      <c r="S7" s="160"/>
      <c r="T7" s="160"/>
      <c r="U7" s="160"/>
      <c r="V7" s="160"/>
      <c r="W7" s="160"/>
      <c r="X7" s="160"/>
      <c r="Y7" s="160"/>
      <c r="Z7" s="160"/>
      <c r="AA7" s="160"/>
      <c r="AB7" s="160"/>
      <c r="AC7" s="160"/>
      <c r="AD7" s="160"/>
      <c r="AE7" s="160"/>
      <c r="AF7" s="160"/>
    </row>
    <row r="8" spans="1:32">
      <c r="A8" s="162"/>
      <c r="F8" s="172" t="s">
        <v>152</v>
      </c>
      <c r="G8" s="173">
        <f>G5*(1-G6)</f>
        <v>539.75722943999983</v>
      </c>
      <c r="H8" s="163"/>
      <c r="J8" s="184" t="s">
        <v>159</v>
      </c>
      <c r="K8" s="204">
        <f>'FCFF &amp; FCFE'!G6</f>
        <v>0.25168000000000001</v>
      </c>
      <c r="O8" s="160"/>
      <c r="P8" s="160"/>
      <c r="Q8" s="160"/>
      <c r="R8" s="160"/>
      <c r="S8" s="160"/>
      <c r="T8" s="160"/>
      <c r="U8" s="160"/>
      <c r="V8" s="160"/>
      <c r="W8" s="160"/>
      <c r="X8" s="160"/>
      <c r="Y8" s="160"/>
      <c r="Z8" s="160"/>
      <c r="AA8" s="160"/>
      <c r="AB8" s="160"/>
      <c r="AC8" s="160"/>
      <c r="AD8" s="160"/>
      <c r="AE8" s="160"/>
      <c r="AF8" s="160"/>
    </row>
    <row r="9" spans="1:32">
      <c r="A9" s="162"/>
      <c r="F9" s="184"/>
      <c r="G9" s="194"/>
      <c r="J9" s="176" t="s">
        <v>160</v>
      </c>
      <c r="K9" s="177">
        <f>K7*(1-K8)</f>
        <v>520.3981910399998</v>
      </c>
      <c r="O9" s="160"/>
      <c r="P9" s="160"/>
      <c r="Q9" s="160"/>
      <c r="R9" s="160"/>
      <c r="S9" s="160"/>
      <c r="T9" s="160"/>
      <c r="U9" s="160"/>
      <c r="V9" s="160"/>
      <c r="W9" s="160"/>
      <c r="X9" s="160"/>
      <c r="Y9" s="160"/>
      <c r="Z9" s="160"/>
      <c r="AA9" s="160"/>
      <c r="AB9" s="160"/>
      <c r="AC9" s="160"/>
      <c r="AD9" s="160"/>
      <c r="AE9" s="160"/>
      <c r="AF9" s="160"/>
    </row>
    <row r="10" spans="1:32">
      <c r="A10" s="158"/>
      <c r="F10" s="172" t="str">
        <f>'Net CapEx'!B11</f>
        <v>Adjusted Net Capital Expenditures</v>
      </c>
      <c r="G10" s="173">
        <f>'Net CapEx'!C11</f>
        <v>-17.550000000000004</v>
      </c>
      <c r="J10" s="168"/>
      <c r="K10" s="168"/>
      <c r="O10" s="160"/>
      <c r="P10" s="160"/>
      <c r="Q10" s="160"/>
      <c r="R10" s="160"/>
      <c r="S10" s="160"/>
      <c r="T10" s="160"/>
      <c r="U10" s="160"/>
      <c r="V10" s="160"/>
      <c r="W10" s="160"/>
      <c r="X10" s="160"/>
      <c r="Y10" s="160"/>
      <c r="Z10" s="160"/>
      <c r="AA10" s="160"/>
      <c r="AB10" s="160"/>
      <c r="AC10" s="160"/>
      <c r="AD10" s="160"/>
      <c r="AE10" s="160"/>
      <c r="AF10" s="160"/>
    </row>
    <row r="11" spans="1:32">
      <c r="A11" s="162"/>
      <c r="F11" s="172" t="str">
        <f>'Working Capital Changes'!B11</f>
        <v>Adj Change in Non Cash WC</v>
      </c>
      <c r="G11" s="173">
        <f>'Working Capital Changes'!C11</f>
        <v>66.421807393807057</v>
      </c>
      <c r="J11" s="172" t="str">
        <f>F12</f>
        <v>Reinvestment</v>
      </c>
      <c r="K11" s="173">
        <f>G12</f>
        <v>48.871807393807053</v>
      </c>
      <c r="O11" s="160"/>
      <c r="P11" s="160"/>
      <c r="Q11" s="160"/>
      <c r="R11" s="160"/>
      <c r="S11" s="160"/>
      <c r="T11" s="160"/>
      <c r="U11" s="160"/>
      <c r="V11" s="160"/>
      <c r="W11" s="160"/>
      <c r="X11" s="160"/>
      <c r="Y11" s="160"/>
      <c r="Z11" s="160"/>
      <c r="AA11" s="160"/>
      <c r="AB11" s="160"/>
      <c r="AC11" s="160"/>
      <c r="AD11" s="160"/>
      <c r="AE11" s="160"/>
      <c r="AF11" s="160"/>
    </row>
    <row r="12" spans="1:32">
      <c r="F12" s="176" t="s">
        <v>155</v>
      </c>
      <c r="G12" s="203">
        <f>G10+G11</f>
        <v>48.871807393807053</v>
      </c>
      <c r="J12" s="172"/>
      <c r="K12" s="146"/>
      <c r="O12" s="160"/>
      <c r="P12" s="160"/>
      <c r="Q12" s="160"/>
      <c r="R12" s="160"/>
      <c r="S12" s="160"/>
      <c r="T12" s="160"/>
      <c r="U12" s="160"/>
      <c r="V12" s="160"/>
      <c r="W12" s="160"/>
      <c r="X12" s="160"/>
      <c r="Y12" s="160"/>
      <c r="Z12" s="160"/>
      <c r="AA12" s="160"/>
      <c r="AB12" s="160"/>
      <c r="AC12" s="160"/>
      <c r="AD12" s="160"/>
      <c r="AE12" s="160"/>
      <c r="AF12" s="160"/>
    </row>
    <row r="13" spans="1:32">
      <c r="A13" s="162"/>
      <c r="B13" s="158"/>
      <c r="C13" s="200"/>
      <c r="F13" s="168"/>
      <c r="G13" s="168"/>
      <c r="J13" s="172" t="s">
        <v>161</v>
      </c>
      <c r="K13" s="173">
        <v>16.559999999999999</v>
      </c>
      <c r="O13" s="160"/>
      <c r="P13" s="160"/>
      <c r="Q13" s="160"/>
      <c r="R13" s="160"/>
      <c r="S13" s="160"/>
      <c r="T13" s="160"/>
      <c r="U13" s="160"/>
      <c r="V13" s="160"/>
      <c r="W13" s="160"/>
      <c r="X13" s="160"/>
      <c r="Y13" s="160"/>
      <c r="Z13" s="160"/>
      <c r="AA13" s="160"/>
      <c r="AB13" s="160"/>
      <c r="AC13" s="160"/>
      <c r="AD13" s="160"/>
      <c r="AE13" s="160"/>
      <c r="AF13" s="160"/>
    </row>
    <row r="14" spans="1:32">
      <c r="D14" s="160"/>
      <c r="E14" s="160"/>
      <c r="F14" s="172" t="s">
        <v>154</v>
      </c>
      <c r="G14" s="179">
        <f>G8-G12</f>
        <v>490.88542204619279</v>
      </c>
      <c r="H14" s="160"/>
      <c r="J14" s="172" t="s">
        <v>162</v>
      </c>
      <c r="K14" s="173">
        <v>108.35</v>
      </c>
      <c r="O14" s="160"/>
      <c r="P14" s="160"/>
      <c r="Q14" s="160"/>
      <c r="R14" s="160"/>
      <c r="S14" s="160"/>
      <c r="T14" s="160"/>
      <c r="U14" s="160"/>
      <c r="V14" s="160"/>
      <c r="W14" s="160"/>
      <c r="X14" s="160"/>
      <c r="Y14" s="160"/>
      <c r="Z14" s="160"/>
      <c r="AA14" s="160"/>
      <c r="AB14" s="160"/>
      <c r="AC14" s="160"/>
      <c r="AD14" s="160"/>
      <c r="AE14" s="160"/>
      <c r="AF14" s="160"/>
    </row>
    <row r="15" spans="1:32">
      <c r="E15" s="165"/>
      <c r="F15" s="165"/>
      <c r="J15" s="176" t="s">
        <v>164</v>
      </c>
      <c r="K15" s="177">
        <f>K14-K13</f>
        <v>91.789999999999992</v>
      </c>
      <c r="O15" s="160"/>
      <c r="P15" s="160"/>
      <c r="Q15" s="160"/>
      <c r="R15" s="160"/>
      <c r="S15" s="160"/>
      <c r="T15" s="160"/>
      <c r="U15" s="160"/>
      <c r="V15" s="160"/>
      <c r="W15" s="160"/>
      <c r="X15" s="160"/>
      <c r="Y15" s="160"/>
      <c r="Z15" s="160"/>
      <c r="AA15" s="160"/>
      <c r="AB15" s="160"/>
      <c r="AC15" s="160"/>
      <c r="AD15" s="160"/>
      <c r="AE15" s="160"/>
      <c r="AF15" s="160"/>
    </row>
    <row r="16" spans="1:32">
      <c r="E16" s="81"/>
      <c r="F16" s="81"/>
      <c r="J16" s="168"/>
      <c r="K16" s="168"/>
      <c r="O16" s="160"/>
      <c r="P16" s="160"/>
      <c r="Q16" s="160"/>
      <c r="R16" s="160"/>
      <c r="S16" s="160"/>
      <c r="T16" s="160"/>
      <c r="U16" s="160"/>
      <c r="V16" s="160"/>
      <c r="W16" s="160"/>
      <c r="X16" s="160"/>
      <c r="Y16" s="160"/>
      <c r="Z16" s="160"/>
      <c r="AA16" s="160"/>
      <c r="AB16" s="160"/>
      <c r="AC16" s="160"/>
      <c r="AD16" s="160"/>
      <c r="AE16" s="160"/>
      <c r="AF16" s="160"/>
    </row>
    <row r="17" spans="1:32">
      <c r="E17" s="167"/>
      <c r="F17" s="167"/>
      <c r="J17" s="172" t="s">
        <v>163</v>
      </c>
      <c r="K17" s="179">
        <f>K9-K11+K15</f>
        <v>563.31638364619278</v>
      </c>
      <c r="L17" s="160"/>
      <c r="O17" s="160"/>
      <c r="P17" s="160"/>
      <c r="Q17" s="160"/>
      <c r="R17" s="160"/>
      <c r="S17" s="160"/>
      <c r="T17" s="160"/>
      <c r="U17" s="160"/>
      <c r="V17" s="160"/>
      <c r="W17" s="160"/>
      <c r="X17" s="160"/>
      <c r="Y17" s="160"/>
      <c r="Z17" s="160"/>
      <c r="AA17" s="160"/>
      <c r="AB17" s="160"/>
      <c r="AC17" s="160"/>
      <c r="AD17" s="160"/>
      <c r="AE17" s="160"/>
      <c r="AF17" s="160"/>
    </row>
    <row r="18" spans="1:32">
      <c r="A18" s="162" t="s">
        <v>91</v>
      </c>
      <c r="G18" s="198"/>
      <c r="H18" s="199"/>
      <c r="I18" s="199"/>
      <c r="J18" s="199"/>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1:32">
      <c r="G19" s="48"/>
      <c r="H19" s="48"/>
      <c r="I19" s="164"/>
      <c r="J19" s="164"/>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1:32">
      <c r="A20" s="162"/>
      <c r="G20" s="116"/>
      <c r="H20" s="116"/>
      <c r="I20" s="187"/>
      <c r="J20" s="19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1:32">
      <c r="G21" s="116"/>
      <c r="H21" s="116"/>
      <c r="I21" s="187"/>
      <c r="J21" s="19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1:32">
      <c r="E22" s="195"/>
      <c r="G22" s="116"/>
      <c r="H22" s="116"/>
      <c r="I22" s="187"/>
      <c r="J22" s="19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1:32">
      <c r="F23" s="202"/>
      <c r="G23" s="116"/>
      <c r="H23" s="116"/>
      <c r="I23" s="187"/>
      <c r="J23" s="19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1:32">
      <c r="G24" s="116"/>
      <c r="H24" s="116"/>
      <c r="I24" s="187"/>
      <c r="J24" s="19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1:32">
      <c r="G25" s="116"/>
      <c r="H25" s="116"/>
      <c r="I25" s="187"/>
      <c r="J25" s="19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1:32">
      <c r="G26" s="116"/>
      <c r="H26" s="116"/>
      <c r="I26" s="187"/>
      <c r="J26" s="19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1:32">
      <c r="G27" s="116"/>
      <c r="H27" s="116"/>
      <c r="I27" s="187"/>
      <c r="J27" s="19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1:32">
      <c r="G28" s="197"/>
      <c r="H28" s="197"/>
      <c r="I28" s="197"/>
      <c r="J28" s="196"/>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1:32">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1:32" ht="14.25" customHeight="1">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1: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1: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197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28.140625" style="155" customWidth="1"/>
    <col min="3" max="3" width="11.7109375" style="155" customWidth="1"/>
    <col min="4" max="4" width="4.85546875" style="155" customWidth="1"/>
    <col min="5" max="5" width="10.140625" style="155" customWidth="1"/>
    <col min="6" max="6" width="29.5703125" style="155" customWidth="1"/>
    <col min="7" max="7" width="20.7109375" style="155" customWidth="1" collapsed="1"/>
    <col min="8" max="9" width="10.42578125" style="155" customWidth="1"/>
    <col min="10" max="10" width="9.140625" style="155" customWidth="1"/>
    <col min="11" max="11" width="9" style="155" customWidth="1"/>
    <col min="12" max="12" width="9.8554687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184</v>
      </c>
      <c r="C1" s="153"/>
      <c r="D1" s="153"/>
      <c r="E1" s="153"/>
      <c r="F1" s="153"/>
      <c r="G1" s="153"/>
      <c r="H1" s="153"/>
      <c r="I1" s="153"/>
      <c r="J1" s="153"/>
      <c r="K1" s="153"/>
      <c r="L1" s="153"/>
    </row>
    <row r="2" spans="1:32" ht="12" customHeight="1">
      <c r="C2" s="181"/>
    </row>
    <row r="3" spans="1:32" ht="12" customHeight="1">
      <c r="A3" s="157"/>
      <c r="B3" s="184" t="s">
        <v>155</v>
      </c>
      <c r="C3" s="173">
        <f>'FCFF &amp; FCFE'!G12</f>
        <v>48.871807393807053</v>
      </c>
      <c r="F3" s="400" t="s">
        <v>150</v>
      </c>
      <c r="G3" s="400"/>
      <c r="H3" s="198"/>
      <c r="J3" s="250"/>
      <c r="L3" s="165"/>
    </row>
    <row r="4" spans="1:32" ht="12" customHeight="1">
      <c r="A4" s="162"/>
      <c r="B4" s="172" t="s">
        <v>301</v>
      </c>
      <c r="C4" s="173">
        <f>'FCFF &amp; FCFE'!G8</f>
        <v>539.75722943999983</v>
      </c>
      <c r="F4" s="367" t="s">
        <v>276</v>
      </c>
      <c r="G4" s="368" t="s">
        <v>198</v>
      </c>
      <c r="H4" s="164"/>
      <c r="J4" s="180"/>
      <c r="K4" s="251"/>
      <c r="L4" s="81"/>
      <c r="O4" s="159"/>
      <c r="Q4" s="159"/>
      <c r="R4" s="159"/>
      <c r="S4" s="159"/>
      <c r="T4" s="159"/>
      <c r="U4" s="159"/>
      <c r="V4" s="159"/>
      <c r="AA4" s="159"/>
    </row>
    <row r="5" spans="1:32" ht="12" customHeight="1">
      <c r="A5" s="162"/>
      <c r="B5" s="363" t="s">
        <v>188</v>
      </c>
      <c r="C5" s="364">
        <f>C3/C4</f>
        <v>9.0544053378426706E-2</v>
      </c>
      <c r="F5" s="73" t="s">
        <v>277</v>
      </c>
      <c r="G5" s="257">
        <v>4.68</v>
      </c>
      <c r="H5" s="190"/>
      <c r="J5" s="158"/>
      <c r="K5" s="182"/>
      <c r="L5" s="167"/>
      <c r="O5" s="160"/>
      <c r="P5" s="160"/>
      <c r="Q5" s="160"/>
      <c r="R5" s="160"/>
      <c r="S5" s="160"/>
      <c r="T5" s="160"/>
      <c r="U5" s="160"/>
      <c r="V5" s="160"/>
      <c r="W5" s="160"/>
      <c r="X5" s="160"/>
      <c r="Y5" s="160"/>
      <c r="Z5" s="160"/>
      <c r="AA5" s="160"/>
      <c r="AB5" s="160"/>
      <c r="AC5" s="160"/>
      <c r="AD5" s="160"/>
      <c r="AE5" s="160"/>
      <c r="AF5" s="160"/>
    </row>
    <row r="6" spans="1:32" ht="12" customHeight="1">
      <c r="A6" s="162"/>
      <c r="F6" s="73" t="s">
        <v>278</v>
      </c>
      <c r="G6" s="257">
        <v>1.87</v>
      </c>
      <c r="H6" s="190"/>
      <c r="J6" s="252"/>
      <c r="K6" s="182"/>
      <c r="O6" s="160"/>
      <c r="P6" s="160"/>
      <c r="Q6" s="160"/>
      <c r="R6" s="160"/>
      <c r="S6" s="160"/>
      <c r="T6" s="160"/>
      <c r="U6" s="160"/>
      <c r="V6" s="160"/>
      <c r="W6" s="160"/>
      <c r="X6" s="160"/>
      <c r="Y6" s="160"/>
      <c r="Z6" s="160"/>
      <c r="AA6" s="160"/>
      <c r="AB6" s="160"/>
      <c r="AC6" s="160"/>
      <c r="AD6" s="160"/>
      <c r="AE6" s="160"/>
      <c r="AF6" s="160"/>
    </row>
    <row r="7" spans="1:32" ht="12" customHeight="1">
      <c r="B7" s="172" t="s">
        <v>301</v>
      </c>
      <c r="C7" s="173">
        <f>'FCFF &amp; FCFE'!G8</f>
        <v>539.75722943999983</v>
      </c>
      <c r="F7" s="73" t="s">
        <v>279</v>
      </c>
      <c r="G7" s="257">
        <v>2.63</v>
      </c>
      <c r="H7" s="190"/>
      <c r="J7" s="158"/>
      <c r="K7" s="182"/>
      <c r="O7" s="160"/>
      <c r="P7" s="160"/>
      <c r="Q7" s="160"/>
      <c r="R7" s="160"/>
      <c r="S7" s="160"/>
      <c r="T7" s="160"/>
      <c r="U7" s="160"/>
      <c r="V7" s="160"/>
      <c r="W7" s="160"/>
      <c r="X7" s="160"/>
      <c r="Y7" s="160"/>
      <c r="Z7" s="160"/>
      <c r="AA7" s="160"/>
      <c r="AB7" s="160"/>
      <c r="AC7" s="160"/>
      <c r="AD7" s="160"/>
      <c r="AE7" s="160"/>
      <c r="AF7" s="160"/>
    </row>
    <row r="8" spans="1:32" ht="12" customHeight="1">
      <c r="A8" s="162"/>
      <c r="B8" s="172" t="s">
        <v>195</v>
      </c>
      <c r="C8" s="173">
        <f>WACC!F9+WACC!F10-(434.27+558.9+12.77)</f>
        <v>5212.1500000000005</v>
      </c>
      <c r="F8" s="222" t="s">
        <v>150</v>
      </c>
      <c r="G8" s="366">
        <f>AVERAGE(G5:G7)</f>
        <v>3.06</v>
      </c>
      <c r="H8" s="190"/>
      <c r="J8" s="253"/>
      <c r="K8" s="254"/>
      <c r="O8" s="160"/>
      <c r="P8" s="160"/>
      <c r="Q8" s="160"/>
      <c r="R8" s="160"/>
      <c r="S8" s="160"/>
      <c r="T8" s="160"/>
      <c r="U8" s="160"/>
      <c r="V8" s="160"/>
      <c r="W8" s="160"/>
      <c r="X8" s="160"/>
      <c r="Y8" s="160"/>
      <c r="Z8" s="160"/>
      <c r="AA8" s="160"/>
      <c r="AB8" s="160"/>
      <c r="AC8" s="160"/>
      <c r="AD8" s="160"/>
      <c r="AE8" s="160"/>
      <c r="AF8" s="160"/>
    </row>
    <row r="9" spans="1:32" ht="12" customHeight="1">
      <c r="A9" s="162"/>
      <c r="B9" s="357" t="s">
        <v>189</v>
      </c>
      <c r="C9" s="365">
        <f>C7/C8</f>
        <v>0.10355750111566241</v>
      </c>
      <c r="F9" s="158"/>
      <c r="G9" s="255"/>
      <c r="H9" s="190"/>
      <c r="J9" s="158"/>
      <c r="K9" s="182"/>
      <c r="O9" s="160"/>
      <c r="P9" s="160"/>
      <c r="Q9" s="160"/>
      <c r="R9" s="160"/>
      <c r="S9" s="160"/>
      <c r="T9" s="160"/>
      <c r="U9" s="160"/>
      <c r="V9" s="160"/>
      <c r="W9" s="160"/>
      <c r="X9" s="160"/>
      <c r="Y9" s="160"/>
      <c r="Z9" s="160"/>
      <c r="AA9" s="160"/>
      <c r="AB9" s="160"/>
      <c r="AC9" s="160"/>
      <c r="AD9" s="160"/>
      <c r="AE9" s="160"/>
      <c r="AF9" s="160"/>
    </row>
    <row r="10" spans="1:32">
      <c r="A10" s="158"/>
      <c r="F10" s="165"/>
      <c r="H10" s="190"/>
      <c r="O10" s="160"/>
      <c r="P10" s="160"/>
      <c r="Q10" s="160"/>
      <c r="R10" s="160"/>
      <c r="S10" s="160"/>
      <c r="T10" s="160"/>
      <c r="U10" s="160"/>
      <c r="V10" s="160"/>
      <c r="W10" s="160"/>
      <c r="X10" s="160"/>
      <c r="Y10" s="160"/>
      <c r="Z10" s="160"/>
      <c r="AA10" s="160"/>
      <c r="AB10" s="160"/>
      <c r="AC10" s="160"/>
      <c r="AD10" s="160"/>
      <c r="AE10" s="160"/>
      <c r="AF10" s="160"/>
    </row>
    <row r="11" spans="1:32">
      <c r="A11" s="162"/>
      <c r="B11" s="172" t="s">
        <v>184</v>
      </c>
      <c r="C11" s="55">
        <f>C5*C9</f>
        <v>9.3765159087530209E-3</v>
      </c>
      <c r="F11" s="81"/>
      <c r="H11" s="190"/>
      <c r="J11" s="158"/>
      <c r="K11" s="182"/>
      <c r="O11" s="160"/>
      <c r="P11" s="160"/>
      <c r="Q11" s="160"/>
      <c r="R11" s="160"/>
      <c r="S11" s="160"/>
      <c r="T11" s="160"/>
      <c r="U11" s="160"/>
      <c r="V11" s="160"/>
      <c r="W11" s="160"/>
      <c r="X11" s="160"/>
      <c r="Y11" s="160"/>
      <c r="Z11" s="160"/>
      <c r="AA11" s="160"/>
      <c r="AB11" s="160"/>
      <c r="AC11" s="160"/>
      <c r="AD11" s="160"/>
      <c r="AE11" s="160"/>
      <c r="AF11" s="160"/>
    </row>
    <row r="12" spans="1:32">
      <c r="F12" s="167"/>
      <c r="H12" s="190"/>
      <c r="J12" s="158"/>
      <c r="K12" s="144"/>
      <c r="O12" s="160"/>
      <c r="P12" s="160"/>
      <c r="Q12" s="160"/>
      <c r="R12" s="160"/>
      <c r="S12" s="160"/>
      <c r="T12" s="160"/>
      <c r="U12" s="160"/>
      <c r="V12" s="160"/>
      <c r="W12" s="160"/>
      <c r="X12" s="160"/>
      <c r="Y12" s="160"/>
      <c r="Z12" s="160"/>
      <c r="AA12" s="160"/>
      <c r="AB12" s="160"/>
      <c r="AC12" s="160"/>
      <c r="AD12" s="160"/>
      <c r="AE12" s="160"/>
      <c r="AF12" s="160"/>
    </row>
    <row r="13" spans="1:32">
      <c r="A13" s="162"/>
      <c r="B13" s="160"/>
      <c r="C13" s="200"/>
      <c r="G13" s="198"/>
      <c r="H13" s="196"/>
      <c r="J13" s="158"/>
      <c r="K13" s="182"/>
      <c r="O13" s="160"/>
      <c r="P13" s="160"/>
      <c r="Q13" s="160"/>
      <c r="R13" s="160"/>
      <c r="S13" s="160"/>
      <c r="T13" s="160"/>
      <c r="U13" s="160"/>
      <c r="V13" s="160"/>
      <c r="W13" s="160"/>
      <c r="X13" s="160"/>
      <c r="Y13" s="160"/>
      <c r="Z13" s="160"/>
      <c r="AA13" s="160"/>
      <c r="AB13" s="160"/>
      <c r="AC13" s="160"/>
      <c r="AD13" s="160"/>
      <c r="AE13" s="160"/>
      <c r="AF13" s="160"/>
    </row>
    <row r="14" spans="1:32">
      <c r="D14" s="160"/>
      <c r="E14" s="160"/>
      <c r="G14" s="48"/>
      <c r="H14" s="160"/>
      <c r="J14" s="158"/>
      <c r="K14" s="182"/>
      <c r="O14" s="160"/>
      <c r="P14" s="160"/>
      <c r="Q14" s="160"/>
      <c r="R14" s="160"/>
      <c r="S14" s="160"/>
      <c r="T14" s="160"/>
      <c r="U14" s="160"/>
      <c r="V14" s="160"/>
      <c r="W14" s="160"/>
      <c r="X14" s="160"/>
      <c r="Y14" s="160"/>
      <c r="Z14" s="160"/>
      <c r="AA14" s="160"/>
      <c r="AB14" s="160"/>
      <c r="AC14" s="160"/>
      <c r="AD14" s="160"/>
      <c r="AE14" s="160"/>
      <c r="AF14" s="160"/>
    </row>
    <row r="15" spans="1:32">
      <c r="E15" s="165"/>
      <c r="G15" s="116"/>
      <c r="J15" s="158"/>
      <c r="K15" s="182"/>
      <c r="O15" s="160"/>
      <c r="P15" s="160"/>
      <c r="Q15" s="160"/>
      <c r="R15" s="160"/>
      <c r="S15" s="160"/>
      <c r="T15" s="160"/>
      <c r="U15" s="160"/>
      <c r="V15" s="160"/>
      <c r="W15" s="160"/>
      <c r="X15" s="160"/>
      <c r="Y15" s="160"/>
      <c r="Z15" s="160"/>
      <c r="AA15" s="160"/>
      <c r="AB15" s="160"/>
      <c r="AC15" s="160"/>
      <c r="AD15" s="160"/>
      <c r="AE15" s="160"/>
      <c r="AF15" s="160"/>
    </row>
    <row r="16" spans="1:32">
      <c r="E16" s="81"/>
      <c r="G16" s="116"/>
      <c r="O16" s="160"/>
      <c r="P16" s="160"/>
      <c r="Q16" s="160"/>
      <c r="R16" s="160"/>
      <c r="S16" s="160"/>
      <c r="T16" s="160"/>
      <c r="U16" s="160"/>
      <c r="V16" s="160"/>
      <c r="W16" s="160"/>
      <c r="X16" s="160"/>
      <c r="Y16" s="160"/>
      <c r="Z16" s="160"/>
      <c r="AA16" s="160"/>
      <c r="AB16" s="160"/>
      <c r="AC16" s="160"/>
      <c r="AD16" s="160"/>
      <c r="AE16" s="160"/>
      <c r="AF16" s="160"/>
    </row>
    <row r="17" spans="1:32">
      <c r="E17" s="167"/>
      <c r="G17" s="116"/>
      <c r="J17" s="158"/>
      <c r="K17" s="255"/>
      <c r="L17" s="160"/>
      <c r="O17" s="160"/>
      <c r="P17" s="160"/>
      <c r="Q17" s="160"/>
      <c r="R17" s="160"/>
      <c r="S17" s="160"/>
      <c r="T17" s="160"/>
      <c r="U17" s="160"/>
      <c r="V17" s="160"/>
      <c r="W17" s="160"/>
      <c r="X17" s="160"/>
      <c r="Y17" s="160"/>
      <c r="Z17" s="160"/>
      <c r="AA17" s="160"/>
      <c r="AB17" s="160"/>
      <c r="AC17" s="160"/>
      <c r="AD17" s="160"/>
      <c r="AE17" s="160"/>
      <c r="AF17" s="160"/>
    </row>
    <row r="18" spans="1:32">
      <c r="A18" s="162"/>
      <c r="F18" s="202"/>
      <c r="G18" s="116"/>
      <c r="H18" s="199"/>
      <c r="I18" s="199"/>
      <c r="J18" s="199"/>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1:32">
      <c r="G19" s="116"/>
      <c r="H19" s="48"/>
      <c r="I19" s="164"/>
      <c r="J19" s="164"/>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1:32">
      <c r="A20" s="162"/>
      <c r="G20" s="116"/>
      <c r="H20" s="116"/>
      <c r="I20" s="187"/>
      <c r="J20" s="19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1:32">
      <c r="G21" s="116"/>
      <c r="H21" s="116"/>
      <c r="I21" s="187"/>
      <c r="J21" s="19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1:32">
      <c r="E22" s="195"/>
      <c r="G22" s="116"/>
      <c r="H22" s="116"/>
      <c r="I22" s="187"/>
      <c r="J22" s="19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1:32">
      <c r="G23" s="197"/>
      <c r="H23" s="116"/>
      <c r="I23" s="187"/>
      <c r="J23" s="19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1:32">
      <c r="H24" s="116"/>
      <c r="I24" s="187"/>
      <c r="J24" s="19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1:32">
      <c r="H25" s="116"/>
      <c r="I25" s="187"/>
      <c r="J25" s="19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1:32">
      <c r="G26" s="160"/>
      <c r="H26" s="116"/>
      <c r="I26" s="187"/>
      <c r="J26" s="190"/>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1:32">
      <c r="G27" s="160"/>
      <c r="H27" s="116"/>
      <c r="I27" s="187"/>
      <c r="J27" s="190"/>
      <c r="K27" s="160"/>
      <c r="L27" s="160"/>
      <c r="M27" s="160"/>
      <c r="N27" s="160"/>
      <c r="O27" s="160"/>
      <c r="P27" s="160"/>
      <c r="Q27" s="160"/>
      <c r="R27" s="160"/>
      <c r="S27" s="160"/>
      <c r="T27" s="160"/>
      <c r="U27" s="160"/>
      <c r="V27" s="160"/>
      <c r="W27" s="160"/>
      <c r="X27" s="160"/>
      <c r="Y27" s="160"/>
      <c r="Z27" s="160"/>
      <c r="AA27" s="160"/>
      <c r="AB27" s="160"/>
      <c r="AC27" s="160"/>
      <c r="AD27" s="160"/>
      <c r="AE27" s="160"/>
      <c r="AF27" s="160"/>
    </row>
    <row r="28" spans="1:32">
      <c r="G28" s="160"/>
      <c r="H28" s="197"/>
      <c r="I28" s="197"/>
      <c r="J28" s="196"/>
      <c r="K28" s="160"/>
      <c r="L28" s="160"/>
      <c r="M28" s="160"/>
      <c r="N28" s="160"/>
      <c r="O28" s="160"/>
      <c r="P28" s="160"/>
      <c r="Q28" s="160"/>
      <c r="R28" s="160"/>
      <c r="S28" s="160"/>
      <c r="T28" s="160"/>
      <c r="U28" s="160"/>
      <c r="V28" s="160"/>
      <c r="W28" s="160"/>
      <c r="X28" s="160"/>
      <c r="Y28" s="160"/>
      <c r="Z28" s="160"/>
      <c r="AA28" s="160"/>
      <c r="AB28" s="160"/>
      <c r="AC28" s="160"/>
      <c r="AD28" s="160"/>
      <c r="AE28" s="160"/>
      <c r="AF28" s="160"/>
    </row>
    <row r="29" spans="1:32">
      <c r="G29" s="160"/>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1:32" ht="14.25" customHeight="1">
      <c r="G30" s="160"/>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1:32">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1:32">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sheetData>
  <mergeCells count="1">
    <mergeCell ref="F3:G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55" customWidth="1"/>
    <col min="2" max="2" width="7" style="155" customWidth="1"/>
    <col min="3" max="3" width="14.7109375" style="155" customWidth="1"/>
    <col min="4" max="4" width="14.28515625" style="155" bestFit="1" customWidth="1"/>
    <col min="5" max="5" width="13.85546875" style="155" customWidth="1"/>
    <col min="6" max="6" width="2.5703125" style="155" customWidth="1"/>
    <col min="7" max="7" width="14.7109375" style="155" customWidth="1" collapsed="1"/>
    <col min="8" max="8" width="15" style="155" customWidth="1"/>
    <col min="9" max="9" width="13.28515625" style="155" customWidth="1"/>
    <col min="10" max="10" width="2.85546875" style="155" customWidth="1"/>
    <col min="11" max="11" width="13.7109375" style="155" customWidth="1"/>
    <col min="12" max="12" width="14.28515625" style="155" customWidth="1"/>
    <col min="13" max="13" width="14.5703125" style="155" customWidth="1"/>
    <col min="14" max="14" width="3" style="155" customWidth="1"/>
    <col min="15" max="15" width="9.5703125" style="155" customWidth="1"/>
    <col min="16" max="16" width="19" style="155" customWidth="1"/>
    <col min="17" max="28" width="9.140625" style="155" customWidth="1"/>
    <col min="29" max="29" width="9.28515625" style="155" customWidth="1"/>
    <col min="30" max="30" width="9.42578125" style="155" customWidth="1"/>
    <col min="31" max="31" width="10" style="155" customWidth="1"/>
    <col min="32" max="32" width="11.42578125" style="155" customWidth="1"/>
    <col min="33" max="33" width="9.42578125" style="155" bestFit="1" customWidth="1" collapsed="1"/>
    <col min="34" max="16384" width="9.140625" style="155"/>
  </cols>
  <sheetData>
    <row r="1" spans="1:32" s="154" customFormat="1" ht="15" customHeight="1">
      <c r="B1" s="16" t="s">
        <v>309</v>
      </c>
      <c r="C1" s="153"/>
      <c r="D1" s="153"/>
      <c r="E1" s="153"/>
      <c r="F1" s="153"/>
      <c r="G1" s="153"/>
      <c r="H1" s="153"/>
      <c r="I1" s="153"/>
      <c r="J1" s="153"/>
      <c r="K1" s="153"/>
      <c r="L1" s="153"/>
      <c r="M1" s="153"/>
      <c r="N1" s="153"/>
    </row>
    <row r="2" spans="1:32" ht="12" customHeight="1">
      <c r="C2" s="181"/>
      <c r="G2" s="379" t="s">
        <v>313</v>
      </c>
    </row>
    <row r="3" spans="1:32" ht="12" customHeight="1">
      <c r="A3" s="157"/>
      <c r="B3" s="256"/>
      <c r="C3" s="214" t="s">
        <v>302</v>
      </c>
      <c r="D3" s="214" t="s">
        <v>303</v>
      </c>
      <c r="E3" s="214" t="s">
        <v>304</v>
      </c>
      <c r="G3" s="214" t="s">
        <v>306</v>
      </c>
      <c r="H3" s="214" t="s">
        <v>303</v>
      </c>
      <c r="I3" s="214" t="s">
        <v>305</v>
      </c>
      <c r="K3" s="214" t="s">
        <v>307</v>
      </c>
      <c r="L3" s="214" t="s">
        <v>303</v>
      </c>
      <c r="M3" s="214" t="s">
        <v>308</v>
      </c>
      <c r="N3" s="376"/>
      <c r="O3" s="214" t="s">
        <v>314</v>
      </c>
      <c r="P3" s="214" t="s">
        <v>270</v>
      </c>
      <c r="Q3" s="383" t="s">
        <v>315</v>
      </c>
    </row>
    <row r="4" spans="1:32" ht="12" customHeight="1">
      <c r="A4" s="162"/>
      <c r="B4" s="242" t="s">
        <v>73</v>
      </c>
      <c r="C4" s="369">
        <f>3.84*100*80</f>
        <v>30720</v>
      </c>
      <c r="D4" s="370">
        <f>E4/C4</f>
        <v>0.15891666666666668</v>
      </c>
      <c r="E4" s="239">
        <v>4881.92</v>
      </c>
      <c r="G4" s="369">
        <f>17.57*100*80</f>
        <v>140560</v>
      </c>
      <c r="H4" s="370">
        <f>I4/G4</f>
        <v>1.757605293113261E-2</v>
      </c>
      <c r="I4" s="239">
        <v>2470.4899999999998</v>
      </c>
      <c r="K4" s="369">
        <v>35000</v>
      </c>
      <c r="L4" s="370">
        <f>M4/K4</f>
        <v>1.3961714285714286E-2</v>
      </c>
      <c r="M4" s="239">
        <v>488.66</v>
      </c>
      <c r="N4" s="377"/>
      <c r="O4" s="239">
        <v>93.38</v>
      </c>
      <c r="P4" s="239">
        <f>E4+I4+M4</f>
        <v>7841.07</v>
      </c>
      <c r="Q4" s="382">
        <f>O4/P4</f>
        <v>1.1909088938116864E-2</v>
      </c>
      <c r="R4" s="159"/>
      <c r="W4" s="159"/>
    </row>
    <row r="5" spans="1:32" ht="12" customHeight="1">
      <c r="A5" s="162"/>
      <c r="B5" s="389" t="s">
        <v>74</v>
      </c>
      <c r="C5" s="240">
        <f t="shared" ref="C5:C15" si="0">C4*(1+$Q$18)</f>
        <v>33177.600000000006</v>
      </c>
      <c r="D5" s="371">
        <f ca="1">AVERAGE(D4,D6)</f>
        <v>0.16802499999999998</v>
      </c>
      <c r="E5" s="240">
        <f ca="1">C5*D5</f>
        <v>5574.6662400000005</v>
      </c>
      <c r="G5" s="240">
        <f t="shared" ref="G5:G15" si="1">G4*(1+$Q$17)</f>
        <v>148698.424</v>
      </c>
      <c r="H5" s="371">
        <v>1.78E-2</v>
      </c>
      <c r="I5" s="240">
        <f>G5*H5</f>
        <v>2646.8319471999998</v>
      </c>
      <c r="K5" s="240">
        <f t="shared" ref="K5:K15" si="2">K4*(1+$Q$19)</f>
        <v>37800</v>
      </c>
      <c r="L5" s="371">
        <v>1.4200000000000001E-2</v>
      </c>
      <c r="M5" s="240">
        <f>K5*L5</f>
        <v>536.76</v>
      </c>
      <c r="N5" s="289"/>
      <c r="O5" s="240">
        <f ca="1">P5*Q5</f>
        <v>87.582581872000006</v>
      </c>
      <c r="P5" s="240">
        <f t="shared" ref="P5:P14" ca="1" si="3">E5+I5+M5</f>
        <v>8758.258187200001</v>
      </c>
      <c r="Q5" s="20">
        <v>0.01</v>
      </c>
      <c r="R5" s="160"/>
      <c r="S5" s="160"/>
      <c r="T5" s="160"/>
      <c r="U5" s="160"/>
      <c r="V5" s="160"/>
      <c r="W5" s="160"/>
      <c r="X5" s="160"/>
      <c r="Y5" s="160"/>
      <c r="Z5" s="160"/>
      <c r="AA5" s="160"/>
      <c r="AB5" s="160"/>
    </row>
    <row r="6" spans="1:32" ht="12" customHeight="1">
      <c r="A6" s="162"/>
      <c r="B6" s="389" t="s">
        <v>75</v>
      </c>
      <c r="C6" s="240">
        <f t="shared" si="0"/>
        <v>35831.808000000012</v>
      </c>
      <c r="D6" s="371">
        <f ca="1">AVERAGE(D5,D7)</f>
        <v>0.17713333333333331</v>
      </c>
      <c r="E6" s="240">
        <f t="shared" ref="E6:E13" ca="1" si="4">C6*D6</f>
        <v>6347.0075904000014</v>
      </c>
      <c r="G6" s="240">
        <f t="shared" si="1"/>
        <v>157308.06274960001</v>
      </c>
      <c r="H6" s="371">
        <f>AVERAGE(H5,H7)</f>
        <v>1.8047006616391574E-2</v>
      </c>
      <c r="I6" s="240">
        <f t="shared" ref="I6:I15" si="5">G6*H6</f>
        <v>2838.9396492537721</v>
      </c>
      <c r="K6" s="240">
        <f t="shared" si="2"/>
        <v>40824</v>
      </c>
      <c r="L6" s="371">
        <f>AVERAGE(L5,L7)</f>
        <v>1.4645214285714286E-2</v>
      </c>
      <c r="M6" s="240">
        <f t="shared" ref="M6:M15" si="6">K6*L6</f>
        <v>597.87622799999997</v>
      </c>
      <c r="N6" s="289"/>
      <c r="O6" s="240">
        <f t="shared" ref="O6:O15" ca="1" si="7">P6*Q6</f>
        <v>97.838234676537724</v>
      </c>
      <c r="P6" s="240">
        <f t="shared" ca="1" si="3"/>
        <v>9783.8234676537722</v>
      </c>
      <c r="Q6" s="20">
        <v>0.01</v>
      </c>
      <c r="R6" s="160"/>
      <c r="S6" s="160"/>
      <c r="T6" s="160"/>
      <c r="U6" s="160"/>
      <c r="V6" s="160"/>
      <c r="W6" s="160"/>
      <c r="X6" s="160"/>
      <c r="Y6" s="160"/>
      <c r="Z6" s="160"/>
      <c r="AA6" s="160"/>
      <c r="AB6" s="160"/>
    </row>
    <row r="7" spans="1:32" ht="12" customHeight="1">
      <c r="B7" s="389" t="s">
        <v>76</v>
      </c>
      <c r="C7" s="240">
        <f t="shared" si="0"/>
        <v>38698.352640000012</v>
      </c>
      <c r="D7" s="371">
        <f ca="1">AVERAGE(D9,D5)</f>
        <v>0.18624166666666667</v>
      </c>
      <c r="E7" s="240">
        <f t="shared" ca="1" si="4"/>
        <v>7207.2456929280024</v>
      </c>
      <c r="G7" s="240">
        <f t="shared" si="1"/>
        <v>166416.19958280187</v>
      </c>
      <c r="H7" s="371">
        <f>AVERAGE(H5,H9)</f>
        <v>1.8294013232783152E-2</v>
      </c>
      <c r="I7" s="240">
        <f t="shared" si="5"/>
        <v>3044.4201573172595</v>
      </c>
      <c r="K7" s="240">
        <f t="shared" si="2"/>
        <v>44089.920000000006</v>
      </c>
      <c r="L7" s="371">
        <f>AVERAGE(L5,L9)</f>
        <v>1.5090428571428572E-2</v>
      </c>
      <c r="M7" s="240">
        <f t="shared" si="6"/>
        <v>665.33578848000013</v>
      </c>
      <c r="N7" s="289"/>
      <c r="O7" s="240">
        <f t="shared" ca="1" si="7"/>
        <v>109.17001638725264</v>
      </c>
      <c r="P7" s="240">
        <f t="shared" ca="1" si="3"/>
        <v>10917.001638725264</v>
      </c>
      <c r="Q7" s="20">
        <v>0.01</v>
      </c>
      <c r="R7" s="160"/>
      <c r="S7" s="160"/>
      <c r="T7" s="160"/>
      <c r="U7" s="160"/>
      <c r="V7" s="160"/>
      <c r="W7" s="160"/>
      <c r="X7" s="160"/>
      <c r="Y7" s="160"/>
      <c r="Z7" s="160"/>
      <c r="AA7" s="160"/>
      <c r="AB7" s="160"/>
    </row>
    <row r="8" spans="1:32" ht="12" customHeight="1">
      <c r="A8" s="162"/>
      <c r="B8" s="389" t="s">
        <v>77</v>
      </c>
      <c r="C8" s="240">
        <f t="shared" si="0"/>
        <v>41794.220851200014</v>
      </c>
      <c r="D8" s="371">
        <f ca="1">AVERAGE(D7,D9)</f>
        <v>0.19535000000000002</v>
      </c>
      <c r="E8" s="240">
        <f t="shared" ca="1" si="4"/>
        <v>8164.5010432819236</v>
      </c>
      <c r="G8" s="240">
        <f t="shared" si="1"/>
        <v>176051.69753864611</v>
      </c>
      <c r="H8" s="371">
        <f>AVERAGE(H9,H7)</f>
        <v>1.8541019849174729E-2</v>
      </c>
      <c r="I8" s="240">
        <f t="shared" si="5"/>
        <v>3264.1780185449434</v>
      </c>
      <c r="K8" s="240">
        <f t="shared" si="2"/>
        <v>47617.113600000012</v>
      </c>
      <c r="L8" s="371">
        <f>AVERAGE(L9,L7)</f>
        <v>1.5535642857142859E-2</v>
      </c>
      <c r="M8" s="240">
        <f t="shared" si="6"/>
        <v>739.76247077760024</v>
      </c>
      <c r="N8" s="289"/>
      <c r="O8" s="240">
        <f t="shared" ca="1" si="7"/>
        <v>121.68441532604467</v>
      </c>
      <c r="P8" s="240">
        <f t="shared" ca="1" si="3"/>
        <v>12168.441532604467</v>
      </c>
      <c r="Q8" s="20">
        <v>0.01</v>
      </c>
      <c r="R8" s="160"/>
      <c r="S8" s="160"/>
      <c r="T8" s="160"/>
      <c r="U8" s="160"/>
      <c r="V8" s="160"/>
      <c r="W8" s="160"/>
      <c r="X8" s="160"/>
      <c r="Y8" s="160"/>
      <c r="Z8" s="160"/>
      <c r="AA8" s="160"/>
      <c r="AB8" s="160"/>
    </row>
    <row r="9" spans="1:32" ht="12" customHeight="1">
      <c r="A9" s="162"/>
      <c r="B9" s="389" t="s">
        <v>78</v>
      </c>
      <c r="C9" s="240">
        <f t="shared" si="0"/>
        <v>45137.758519296018</v>
      </c>
      <c r="D9" s="371">
        <f>AVERAGE(D14,D4)</f>
        <v>0.20445833333333335</v>
      </c>
      <c r="E9" s="240">
        <f t="shared" si="4"/>
        <v>9228.7908772577321</v>
      </c>
      <c r="G9" s="240">
        <f t="shared" si="1"/>
        <v>186245.09082613373</v>
      </c>
      <c r="H9" s="371">
        <f>AVERAGE(H4,H14)</f>
        <v>1.8788026465566307E-2</v>
      </c>
      <c r="I9" s="240">
        <f t="shared" si="5"/>
        <v>3499.1776955232012</v>
      </c>
      <c r="K9" s="240">
        <f t="shared" si="2"/>
        <v>51426.482688000018</v>
      </c>
      <c r="L9" s="371">
        <f>AVERAGE(L4,L14)</f>
        <v>1.5980857142857144E-2</v>
      </c>
      <c r="M9" s="240">
        <f t="shared" si="6"/>
        <v>821.83927319654435</v>
      </c>
      <c r="N9" s="289"/>
      <c r="O9" s="240">
        <f t="shared" si="7"/>
        <v>135.4980784597748</v>
      </c>
      <c r="P9" s="240">
        <f t="shared" si="3"/>
        <v>13549.807845977479</v>
      </c>
      <c r="Q9" s="20">
        <v>0.01</v>
      </c>
      <c r="R9" s="160"/>
      <c r="S9" s="160"/>
      <c r="T9" s="160"/>
      <c r="U9" s="160"/>
      <c r="V9" s="160"/>
      <c r="W9" s="160"/>
      <c r="X9" s="160"/>
      <c r="Y9" s="160"/>
      <c r="Z9" s="160"/>
      <c r="AA9" s="160"/>
      <c r="AB9" s="160"/>
    </row>
    <row r="10" spans="1:32">
      <c r="A10" s="158"/>
      <c r="B10" s="389" t="s">
        <v>364</v>
      </c>
      <c r="C10" s="240">
        <f t="shared" si="0"/>
        <v>48748.779200839701</v>
      </c>
      <c r="D10" s="371">
        <f>AVERAGE(D11,D9)</f>
        <v>0.21584375</v>
      </c>
      <c r="E10" s="240">
        <f t="shared" si="4"/>
        <v>10522.119310631244</v>
      </c>
      <c r="G10" s="240">
        <f t="shared" si="1"/>
        <v>197028.68158496689</v>
      </c>
      <c r="H10" s="371">
        <f>AVERAGE(H9,H11)</f>
        <v>1.8939523157370519E-2</v>
      </c>
      <c r="I10" s="240">
        <f t="shared" si="5"/>
        <v>3731.6292775446627</v>
      </c>
      <c r="K10" s="240">
        <f t="shared" si="2"/>
        <v>55540.601303040021</v>
      </c>
      <c r="L10" s="371">
        <f>AVERAGE(L9,L11)</f>
        <v>1.6233250000000001E-2</v>
      </c>
      <c r="M10" s="240">
        <f t="shared" si="6"/>
        <v>901.60446610257452</v>
      </c>
      <c r="N10" s="289"/>
      <c r="O10" s="240">
        <f t="shared" si="7"/>
        <v>151.55353054278481</v>
      </c>
      <c r="P10" s="240">
        <f t="shared" si="3"/>
        <v>15155.353054278481</v>
      </c>
      <c r="Q10" s="20">
        <v>0.01</v>
      </c>
      <c r="R10" s="160"/>
      <c r="S10" s="160"/>
      <c r="T10" s="160"/>
      <c r="U10" s="160"/>
      <c r="V10" s="160"/>
      <c r="W10" s="160"/>
      <c r="X10" s="160"/>
      <c r="Y10" s="160"/>
      <c r="Z10" s="160"/>
      <c r="AA10" s="160"/>
      <c r="AB10" s="160"/>
    </row>
    <row r="11" spans="1:32">
      <c r="A11" s="162"/>
      <c r="B11" s="389" t="s">
        <v>365</v>
      </c>
      <c r="C11" s="240">
        <f t="shared" si="0"/>
        <v>52648.681536906879</v>
      </c>
      <c r="D11" s="371">
        <f>AVERAGE(D9,D14)</f>
        <v>0.22722916666666668</v>
      </c>
      <c r="E11" s="240">
        <f t="shared" si="4"/>
        <v>11963.31603173007</v>
      </c>
      <c r="G11" s="240">
        <f t="shared" si="1"/>
        <v>208436.64224873649</v>
      </c>
      <c r="H11" s="371">
        <f>AVERAGE(H9,H12)</f>
        <v>1.9091019849174731E-2</v>
      </c>
      <c r="I11" s="240">
        <f t="shared" si="5"/>
        <v>3979.2680744659606</v>
      </c>
      <c r="K11" s="240">
        <f t="shared" si="2"/>
        <v>59983.849407283225</v>
      </c>
      <c r="L11" s="371">
        <f>AVERAGE(L9,L12)</f>
        <v>1.6485642857142858E-2</v>
      </c>
      <c r="M11" s="240">
        <f t="shared" si="6"/>
        <v>988.87231852511161</v>
      </c>
      <c r="N11" s="289"/>
      <c r="O11" s="240">
        <f t="shared" si="7"/>
        <v>169.31456424721142</v>
      </c>
      <c r="P11" s="240">
        <f t="shared" si="3"/>
        <v>16931.456424721142</v>
      </c>
      <c r="Q11" s="20">
        <v>0.01</v>
      </c>
      <c r="R11" s="160"/>
      <c r="S11" s="160"/>
      <c r="T11" s="160"/>
      <c r="U11" s="160"/>
      <c r="V11" s="160"/>
      <c r="W11" s="160"/>
      <c r="X11" s="160"/>
      <c r="Y11" s="160"/>
      <c r="Z11" s="160"/>
      <c r="AA11" s="160"/>
      <c r="AB11" s="160"/>
    </row>
    <row r="12" spans="1:32">
      <c r="B12" s="389" t="s">
        <v>366</v>
      </c>
      <c r="C12" s="240">
        <f t="shared" si="0"/>
        <v>56860.576059859435</v>
      </c>
      <c r="D12" s="371">
        <f>AVERAGE(D11,D14)</f>
        <v>0.23861458333333335</v>
      </c>
      <c r="E12" s="240">
        <f t="shared" si="4"/>
        <v>13567.762664616668</v>
      </c>
      <c r="G12" s="240">
        <f t="shared" si="1"/>
        <v>220505.12383493833</v>
      </c>
      <c r="H12" s="371">
        <f>AVERAGE(H9,H14)</f>
        <v>1.9394013232783155E-2</v>
      </c>
      <c r="I12" s="240">
        <f t="shared" si="5"/>
        <v>4276.4792895512828</v>
      </c>
      <c r="K12" s="240">
        <f t="shared" si="2"/>
        <v>64782.557359865888</v>
      </c>
      <c r="L12" s="371">
        <f>AVERAGE(L9,L14)</f>
        <v>1.6990428571428573E-2</v>
      </c>
      <c r="M12" s="240">
        <f>K12*L12</f>
        <v>1100.6834134972758</v>
      </c>
      <c r="N12" s="289"/>
      <c r="O12" s="240">
        <f t="shared" si="7"/>
        <v>189.44925367665226</v>
      </c>
      <c r="P12" s="240">
        <f t="shared" si="3"/>
        <v>18944.925367665226</v>
      </c>
      <c r="Q12" s="20">
        <v>0.01</v>
      </c>
      <c r="R12" s="160"/>
      <c r="S12" s="160"/>
      <c r="T12" s="160"/>
      <c r="U12" s="160"/>
      <c r="V12" s="160"/>
      <c r="W12" s="160"/>
      <c r="X12" s="160"/>
      <c r="Y12" s="160"/>
      <c r="Z12" s="160"/>
      <c r="AA12" s="160"/>
      <c r="AB12" s="160"/>
    </row>
    <row r="13" spans="1:32">
      <c r="A13" s="162"/>
      <c r="B13" s="389" t="s">
        <v>367</v>
      </c>
      <c r="C13" s="240">
        <f t="shared" si="0"/>
        <v>61409.422144648197</v>
      </c>
      <c r="D13" s="371">
        <f>AVERAGE(D12,D14)</f>
        <v>0.24430729166666668</v>
      </c>
      <c r="E13" s="240">
        <f t="shared" si="4"/>
        <v>15002.769606974027</v>
      </c>
      <c r="G13" s="240">
        <f t="shared" si="1"/>
        <v>233272.37050498129</v>
      </c>
      <c r="H13" s="371">
        <f>AVERAGE(H14,H12)</f>
        <v>1.969700661639158E-2</v>
      </c>
      <c r="I13" s="240">
        <f t="shared" si="5"/>
        <v>4594.7674252579645</v>
      </c>
      <c r="K13" s="240">
        <f t="shared" si="2"/>
        <v>69965.161948655164</v>
      </c>
      <c r="L13" s="371">
        <f>AVERAGE(L14,L12)</f>
        <v>1.7495214285714288E-2</v>
      </c>
      <c r="M13" s="240">
        <f t="shared" si="6"/>
        <v>1224.0555008264255</v>
      </c>
      <c r="N13" s="289"/>
      <c r="O13" s="240">
        <f t="shared" si="7"/>
        <v>208.21592533058416</v>
      </c>
      <c r="P13" s="240">
        <f t="shared" si="3"/>
        <v>20821.592533058414</v>
      </c>
      <c r="Q13" s="20">
        <v>0.01</v>
      </c>
      <c r="R13" s="160"/>
      <c r="S13" s="160"/>
      <c r="T13" s="160"/>
      <c r="U13" s="160"/>
      <c r="V13" s="160"/>
      <c r="W13" s="160"/>
      <c r="X13" s="160"/>
      <c r="Y13" s="160"/>
      <c r="Z13" s="160"/>
      <c r="AA13" s="160"/>
      <c r="AB13" s="160"/>
    </row>
    <row r="14" spans="1:32">
      <c r="B14" s="389" t="s">
        <v>368</v>
      </c>
      <c r="C14" s="240">
        <f t="shared" si="0"/>
        <v>66322.175916220061</v>
      </c>
      <c r="D14" s="204">
        <v>0.25</v>
      </c>
      <c r="E14" s="240">
        <f>C14*D14</f>
        <v>16580.543979055015</v>
      </c>
      <c r="G14" s="240">
        <f t="shared" si="1"/>
        <v>246778.8407572197</v>
      </c>
      <c r="H14" s="204">
        <v>0.02</v>
      </c>
      <c r="I14" s="240">
        <f t="shared" si="5"/>
        <v>4935.5768151443945</v>
      </c>
      <c r="K14" s="240">
        <f t="shared" si="2"/>
        <v>75562.374904547585</v>
      </c>
      <c r="L14" s="204">
        <v>1.7999999999999999E-2</v>
      </c>
      <c r="M14" s="240">
        <f t="shared" si="6"/>
        <v>1360.1227482818565</v>
      </c>
      <c r="N14" s="289"/>
      <c r="O14" s="240">
        <f t="shared" si="7"/>
        <v>228.76243542481268</v>
      </c>
      <c r="P14" s="240">
        <f t="shared" si="3"/>
        <v>22876.243542481268</v>
      </c>
      <c r="Q14" s="20">
        <v>0.01</v>
      </c>
      <c r="R14" s="160"/>
      <c r="S14" s="160"/>
      <c r="T14" s="160"/>
      <c r="U14" s="160"/>
      <c r="V14" s="160"/>
      <c r="W14" s="160"/>
      <c r="X14" s="160"/>
      <c r="Y14" s="160"/>
      <c r="Z14" s="160"/>
      <c r="AA14" s="160"/>
      <c r="AB14" s="160"/>
    </row>
    <row r="15" spans="1:32">
      <c r="B15" s="389" t="s">
        <v>369</v>
      </c>
      <c r="C15" s="240">
        <f t="shared" si="0"/>
        <v>71627.94998951767</v>
      </c>
      <c r="D15" s="204">
        <v>0.25</v>
      </c>
      <c r="E15" s="240">
        <f>C15*D15</f>
        <v>17906.987497379418</v>
      </c>
      <c r="F15" s="116"/>
      <c r="G15" s="240">
        <f t="shared" si="1"/>
        <v>261067.33563706273</v>
      </c>
      <c r="H15" s="204">
        <v>0.02</v>
      </c>
      <c r="I15" s="240">
        <f t="shared" si="5"/>
        <v>5221.346712741255</v>
      </c>
      <c r="J15" s="13"/>
      <c r="K15" s="240">
        <f t="shared" si="2"/>
        <v>81607.3648969114</v>
      </c>
      <c r="L15" s="204">
        <v>1.7999999999999999E-2</v>
      </c>
      <c r="M15" s="240">
        <f t="shared" si="6"/>
        <v>1468.9325681444052</v>
      </c>
      <c r="O15" s="240">
        <f t="shared" si="7"/>
        <v>245.9726677826508</v>
      </c>
      <c r="P15" s="240">
        <f>E15+I15+M15</f>
        <v>24597.266778265079</v>
      </c>
      <c r="Q15" s="20">
        <v>0.01</v>
      </c>
      <c r="R15" s="160"/>
      <c r="S15" s="160"/>
      <c r="T15" s="160"/>
      <c r="U15" s="160"/>
      <c r="V15" s="160"/>
      <c r="W15" s="160"/>
      <c r="X15" s="160"/>
      <c r="Y15" s="160"/>
      <c r="Z15" s="160"/>
      <c r="AA15" s="160"/>
      <c r="AB15" s="160"/>
      <c r="AC15" s="160"/>
      <c r="AD15" s="160"/>
      <c r="AE15" s="160"/>
      <c r="AF15" s="160"/>
    </row>
    <row r="16" spans="1:32">
      <c r="F16" s="116"/>
      <c r="G16" s="241"/>
      <c r="H16" s="142"/>
      <c r="I16" s="331"/>
      <c r="J16" s="331"/>
      <c r="K16" s="331"/>
      <c r="L16" s="331"/>
      <c r="M16" s="331"/>
      <c r="R16" s="160"/>
      <c r="S16" s="160"/>
      <c r="T16" s="160"/>
      <c r="U16" s="160"/>
      <c r="V16" s="160"/>
      <c r="W16" s="160"/>
      <c r="X16" s="160"/>
      <c r="Y16" s="160"/>
      <c r="Z16" s="160"/>
      <c r="AA16" s="160"/>
      <c r="AB16" s="160"/>
      <c r="AC16" s="160"/>
      <c r="AD16" s="160"/>
      <c r="AE16" s="160"/>
      <c r="AF16" s="160"/>
    </row>
    <row r="17" spans="1:34">
      <c r="B17" s="372"/>
      <c r="C17" s="118"/>
      <c r="D17" s="118"/>
      <c r="E17" s="118"/>
      <c r="F17" s="118"/>
      <c r="G17" s="118"/>
      <c r="H17" s="118"/>
      <c r="I17" s="48"/>
      <c r="J17" s="229"/>
      <c r="K17" s="67"/>
      <c r="L17" s="67"/>
      <c r="M17" s="67"/>
      <c r="N17" s="67"/>
      <c r="P17" s="238" t="s">
        <v>310</v>
      </c>
      <c r="Q17" s="249">
        <v>5.79E-2</v>
      </c>
      <c r="R17" s="160"/>
      <c r="S17" s="160"/>
      <c r="T17" s="160"/>
      <c r="U17" s="160"/>
      <c r="V17" s="160"/>
      <c r="W17" s="160"/>
      <c r="X17" s="160"/>
      <c r="Y17" s="160"/>
      <c r="Z17" s="160"/>
      <c r="AA17" s="160"/>
      <c r="AB17" s="160"/>
      <c r="AC17" s="160"/>
      <c r="AD17" s="160"/>
      <c r="AE17" s="160"/>
      <c r="AF17" s="160"/>
    </row>
    <row r="18" spans="1:34">
      <c r="A18" s="162"/>
      <c r="B18" s="373"/>
      <c r="D18" s="374"/>
      <c r="E18" s="202"/>
      <c r="F18" s="375"/>
      <c r="I18" s="225"/>
      <c r="J18" s="272"/>
      <c r="K18" s="230"/>
      <c r="L18" s="230"/>
      <c r="M18" s="230"/>
      <c r="N18" s="230"/>
      <c r="P18" s="238" t="s">
        <v>311</v>
      </c>
      <c r="Q18" s="249">
        <v>0.08</v>
      </c>
      <c r="R18" s="160"/>
      <c r="S18" s="160"/>
      <c r="T18" s="160"/>
      <c r="U18" s="160"/>
      <c r="V18" s="160"/>
      <c r="W18" s="160"/>
      <c r="X18" s="160"/>
      <c r="Y18" s="160"/>
      <c r="Z18" s="160"/>
      <c r="AA18" s="160"/>
      <c r="AB18" s="160"/>
      <c r="AC18" s="160"/>
      <c r="AD18" s="160"/>
      <c r="AE18" s="160"/>
      <c r="AF18" s="160"/>
    </row>
    <row r="19" spans="1:34">
      <c r="B19" s="290"/>
      <c r="C19" s="233"/>
      <c r="D19" s="287"/>
      <c r="E19" s="233"/>
      <c r="F19" s="233"/>
      <c r="I19" s="117"/>
      <c r="J19" s="225"/>
      <c r="K19" s="230"/>
      <c r="L19" s="230"/>
      <c r="M19" s="230"/>
      <c r="N19" s="230"/>
      <c r="P19" s="238" t="s">
        <v>312</v>
      </c>
      <c r="Q19" s="249">
        <v>0.08</v>
      </c>
      <c r="R19" s="160"/>
      <c r="S19" s="160"/>
      <c r="T19" s="160"/>
      <c r="U19" s="160"/>
      <c r="V19" s="160"/>
      <c r="W19" s="160"/>
      <c r="X19" s="160"/>
      <c r="Y19" s="160"/>
      <c r="Z19" s="160"/>
      <c r="AA19" s="160"/>
      <c r="AB19" s="160"/>
      <c r="AC19" s="160"/>
      <c r="AD19" s="160"/>
      <c r="AE19" s="160"/>
      <c r="AF19" s="160"/>
    </row>
    <row r="20" spans="1:34">
      <c r="A20" s="162"/>
      <c r="B20" s="290"/>
      <c r="C20" s="233"/>
      <c r="D20" s="287"/>
      <c r="E20" s="233"/>
      <c r="F20" s="233"/>
      <c r="I20" s="127"/>
      <c r="J20" s="225"/>
      <c r="K20" s="230"/>
      <c r="L20" s="230"/>
      <c r="M20" s="230"/>
      <c r="N20" s="230"/>
      <c r="O20" s="160"/>
      <c r="P20" s="238" t="s">
        <v>221</v>
      </c>
      <c r="Q20" s="249">
        <f>'FCFF &amp; FCFE'!G6</f>
        <v>0.25168000000000001</v>
      </c>
      <c r="R20" s="160"/>
      <c r="S20" s="160"/>
      <c r="T20" s="160"/>
      <c r="U20" s="160"/>
      <c r="V20" s="160"/>
      <c r="W20" s="160"/>
      <c r="X20" s="160"/>
      <c r="Y20" s="160"/>
      <c r="Z20" s="160"/>
      <c r="AA20" s="160"/>
      <c r="AB20" s="160"/>
      <c r="AC20" s="160"/>
      <c r="AD20" s="160"/>
      <c r="AE20" s="160"/>
      <c r="AF20" s="160"/>
    </row>
    <row r="21" spans="1:34">
      <c r="B21" s="290"/>
      <c r="C21" s="233"/>
      <c r="D21" s="287"/>
      <c r="E21" s="233"/>
      <c r="F21" s="233"/>
      <c r="G21" s="116"/>
      <c r="H21" s="117"/>
      <c r="I21" s="117"/>
      <c r="J21" s="231"/>
      <c r="K21" s="232"/>
      <c r="L21" s="232"/>
      <c r="M21" s="232"/>
      <c r="N21" s="232"/>
      <c r="O21" s="160"/>
      <c r="P21" s="160"/>
      <c r="Q21" s="160"/>
      <c r="R21" s="160"/>
      <c r="S21" s="160"/>
      <c r="T21" s="160"/>
      <c r="U21" s="160"/>
      <c r="V21" s="160"/>
      <c r="W21" s="160"/>
      <c r="X21" s="160"/>
      <c r="Y21" s="160"/>
      <c r="Z21" s="160"/>
      <c r="AA21" s="160"/>
      <c r="AB21" s="160"/>
      <c r="AC21" s="160"/>
      <c r="AD21" s="160"/>
      <c r="AE21" s="160"/>
      <c r="AF21" s="160"/>
    </row>
    <row r="22" spans="1:34">
      <c r="B22" s="290"/>
      <c r="C22" s="233"/>
      <c r="D22" s="287"/>
      <c r="E22" s="233"/>
      <c r="F22" s="233"/>
      <c r="G22" s="116"/>
      <c r="H22" s="117"/>
      <c r="I22" s="117"/>
      <c r="J22" s="225"/>
      <c r="K22" s="226"/>
      <c r="L22" s="226"/>
      <c r="M22" s="226"/>
      <c r="N22" s="226"/>
      <c r="Q22" s="160"/>
      <c r="R22" s="160"/>
      <c r="S22" s="160"/>
      <c r="T22" s="160"/>
      <c r="U22" s="160"/>
      <c r="V22" s="160"/>
      <c r="W22" s="160"/>
      <c r="X22" s="160"/>
      <c r="Y22" s="160"/>
      <c r="Z22" s="160"/>
      <c r="AA22" s="160"/>
      <c r="AB22" s="160"/>
      <c r="AC22" s="160"/>
      <c r="AD22" s="160"/>
      <c r="AE22" s="160"/>
      <c r="AF22" s="160"/>
      <c r="AG22" s="160"/>
    </row>
    <row r="23" spans="1:34">
      <c r="B23" s="290"/>
      <c r="C23" s="233"/>
      <c r="D23" s="287"/>
      <c r="E23" s="233"/>
      <c r="F23" s="233"/>
      <c r="G23" s="116"/>
      <c r="H23" s="117"/>
      <c r="I23" s="117"/>
      <c r="J23" s="116"/>
      <c r="K23" s="160"/>
      <c r="L23" s="160"/>
      <c r="Q23" s="160"/>
      <c r="R23" s="160"/>
      <c r="S23" s="160"/>
      <c r="T23" s="160"/>
      <c r="U23" s="160"/>
      <c r="V23" s="160"/>
      <c r="W23" s="160"/>
      <c r="X23" s="160"/>
      <c r="Y23" s="160"/>
      <c r="Z23" s="160"/>
      <c r="AA23" s="160"/>
      <c r="AB23" s="160"/>
      <c r="AC23" s="160"/>
      <c r="AD23" s="160"/>
      <c r="AE23" s="160"/>
      <c r="AF23" s="160"/>
      <c r="AG23" s="160"/>
      <c r="AH23" s="160"/>
    </row>
    <row r="24" spans="1:34">
      <c r="B24" s="290"/>
      <c r="C24" s="233"/>
      <c r="D24" s="287"/>
      <c r="E24" s="233"/>
      <c r="F24" s="233"/>
      <c r="G24" s="116"/>
      <c r="H24" s="117"/>
      <c r="I24" s="117"/>
      <c r="J24" s="116"/>
      <c r="K24" s="160"/>
      <c r="L24" s="160"/>
      <c r="Q24" s="160"/>
      <c r="R24" s="160"/>
      <c r="S24" s="160"/>
      <c r="T24" s="160"/>
      <c r="U24" s="160"/>
      <c r="V24" s="160"/>
      <c r="W24" s="160"/>
      <c r="X24" s="160"/>
      <c r="Y24" s="160"/>
      <c r="Z24" s="160"/>
      <c r="AA24" s="160"/>
      <c r="AB24" s="160"/>
      <c r="AC24" s="160"/>
      <c r="AD24" s="160"/>
      <c r="AE24" s="160"/>
      <c r="AF24" s="160"/>
      <c r="AG24" s="160"/>
      <c r="AH24" s="160"/>
    </row>
    <row r="25" spans="1:34">
      <c r="B25" s="290"/>
      <c r="C25" s="233"/>
      <c r="D25" s="287"/>
      <c r="E25" s="233"/>
      <c r="F25" s="233"/>
      <c r="G25" s="116"/>
      <c r="H25" s="117"/>
      <c r="I25" s="117"/>
      <c r="J25" s="116"/>
      <c r="K25" s="160"/>
      <c r="L25" s="160"/>
      <c r="Q25" s="160"/>
      <c r="R25" s="160"/>
      <c r="S25" s="160"/>
      <c r="T25" s="160"/>
      <c r="U25" s="160"/>
      <c r="V25" s="160"/>
      <c r="W25" s="160"/>
      <c r="X25" s="160"/>
      <c r="Y25" s="160"/>
      <c r="Z25" s="160"/>
      <c r="AA25" s="160"/>
      <c r="AB25" s="160"/>
      <c r="AC25" s="160"/>
      <c r="AD25" s="160"/>
      <c r="AE25" s="160"/>
      <c r="AF25" s="160"/>
      <c r="AG25" s="160"/>
      <c r="AH25" s="160"/>
    </row>
    <row r="26" spans="1:34">
      <c r="B26" s="290"/>
      <c r="C26" s="233"/>
      <c r="D26" s="287"/>
      <c r="E26" s="233"/>
      <c r="F26" s="233"/>
      <c r="G26" s="116"/>
      <c r="H26" s="117"/>
      <c r="I26" s="117"/>
      <c r="J26" s="116"/>
      <c r="K26" s="160"/>
      <c r="L26" s="160"/>
      <c r="Q26" s="160"/>
      <c r="R26" s="160"/>
      <c r="S26" s="160"/>
      <c r="T26" s="160"/>
      <c r="U26" s="160"/>
      <c r="V26" s="160"/>
      <c r="W26" s="160"/>
      <c r="X26" s="160"/>
      <c r="Y26" s="160"/>
      <c r="Z26" s="160"/>
      <c r="AA26" s="160"/>
      <c r="AB26" s="160"/>
      <c r="AC26" s="160"/>
      <c r="AD26" s="160"/>
      <c r="AE26" s="160"/>
      <c r="AF26" s="160"/>
      <c r="AG26" s="160"/>
      <c r="AH26" s="160"/>
    </row>
    <row r="27" spans="1:34">
      <c r="B27" s="290"/>
      <c r="C27" s="233"/>
      <c r="D27" s="287"/>
      <c r="E27" s="233"/>
      <c r="F27" s="233"/>
      <c r="G27" s="116"/>
      <c r="H27" s="117"/>
      <c r="I27" s="117"/>
      <c r="J27" s="116"/>
      <c r="K27" s="160"/>
      <c r="L27" s="160"/>
      <c r="Q27" s="160"/>
      <c r="R27" s="160"/>
      <c r="S27" s="160"/>
      <c r="T27" s="160"/>
      <c r="U27" s="160"/>
      <c r="V27" s="160"/>
      <c r="W27" s="160"/>
      <c r="X27" s="160"/>
      <c r="Y27" s="160"/>
      <c r="Z27" s="160"/>
      <c r="AA27" s="160"/>
      <c r="AB27" s="160"/>
      <c r="AC27" s="160"/>
      <c r="AD27" s="160"/>
      <c r="AE27" s="160"/>
      <c r="AF27" s="160"/>
      <c r="AG27" s="160"/>
      <c r="AH27" s="160"/>
    </row>
    <row r="28" spans="1:34">
      <c r="B28" s="290"/>
      <c r="C28" s="233"/>
      <c r="D28" s="287"/>
      <c r="E28" s="233"/>
      <c r="F28" s="233"/>
      <c r="G28" s="116"/>
      <c r="H28" s="117"/>
      <c r="I28" s="117"/>
      <c r="J28" s="197"/>
      <c r="K28" s="160"/>
      <c r="L28" s="160"/>
      <c r="O28" s="160"/>
      <c r="P28" s="160"/>
      <c r="Q28" s="160"/>
      <c r="R28" s="160"/>
      <c r="S28" s="160"/>
      <c r="T28" s="160"/>
      <c r="U28" s="160"/>
      <c r="V28" s="160"/>
      <c r="W28" s="160"/>
      <c r="X28" s="160"/>
      <c r="Y28" s="160"/>
      <c r="Z28" s="160"/>
      <c r="AA28" s="160"/>
      <c r="AB28" s="160"/>
      <c r="AC28" s="160"/>
      <c r="AD28" s="160"/>
      <c r="AE28" s="160"/>
      <c r="AF28" s="160"/>
      <c r="AG28" s="160"/>
      <c r="AH28" s="160"/>
    </row>
    <row r="29" spans="1:34">
      <c r="E29" s="233"/>
      <c r="K29" s="160"/>
      <c r="L29" s="160"/>
      <c r="O29" s="160"/>
      <c r="P29" s="160"/>
      <c r="Q29" s="160"/>
      <c r="R29" s="160"/>
      <c r="S29" s="160"/>
      <c r="T29" s="160"/>
      <c r="U29" s="160"/>
      <c r="V29" s="160"/>
      <c r="W29" s="160"/>
      <c r="X29" s="160"/>
      <c r="Y29" s="160"/>
      <c r="Z29" s="160"/>
      <c r="AA29" s="160"/>
      <c r="AB29" s="160"/>
      <c r="AC29" s="160"/>
      <c r="AD29" s="160"/>
      <c r="AE29" s="160"/>
      <c r="AF29" s="160"/>
      <c r="AG29" s="160"/>
      <c r="AH29" s="160"/>
    </row>
    <row r="30" spans="1:34" ht="14.25" customHeight="1">
      <c r="J30" s="124"/>
      <c r="K30" s="160"/>
      <c r="L30" s="160"/>
      <c r="M30" s="160"/>
      <c r="N30" s="160"/>
      <c r="P30" s="160"/>
      <c r="Q30" s="160"/>
      <c r="R30" s="160"/>
      <c r="S30" s="160"/>
      <c r="T30" s="160"/>
      <c r="U30" s="160"/>
      <c r="V30" s="160"/>
      <c r="W30" s="160"/>
      <c r="X30" s="160"/>
      <c r="Y30" s="160"/>
      <c r="Z30" s="160"/>
      <c r="AA30" s="160"/>
      <c r="AB30" s="160"/>
      <c r="AC30" s="160"/>
      <c r="AD30" s="160"/>
      <c r="AE30" s="160"/>
      <c r="AF30" s="160"/>
      <c r="AG30" s="160"/>
      <c r="AH30" s="160"/>
    </row>
    <row r="31" spans="1:34">
      <c r="G31" s="160"/>
      <c r="H31" s="160"/>
      <c r="I31" s="160"/>
      <c r="J31" s="160"/>
      <c r="K31" s="160"/>
      <c r="L31" s="160"/>
      <c r="M31" s="160"/>
      <c r="N31" s="160"/>
      <c r="P31" s="160"/>
      <c r="Q31" s="160"/>
      <c r="R31" s="160"/>
      <c r="S31" s="160"/>
      <c r="T31" s="160"/>
      <c r="U31" s="160"/>
      <c r="V31" s="160"/>
      <c r="W31" s="160"/>
      <c r="X31" s="160"/>
      <c r="Y31" s="160"/>
      <c r="Z31" s="160"/>
      <c r="AA31" s="160"/>
      <c r="AB31" s="160"/>
      <c r="AC31" s="160"/>
      <c r="AD31" s="160"/>
      <c r="AE31" s="160"/>
      <c r="AF31" s="160"/>
      <c r="AG31" s="160"/>
      <c r="AH31" s="160"/>
    </row>
    <row r="32" spans="1:34">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row>
    <row r="33" spans="7:34">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0"/>
    </row>
    <row r="34" spans="7:34">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row>
    <row r="35" spans="7:34">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row>
    <row r="36" spans="7:34">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row>
    <row r="37" spans="7:34">
      <c r="G37" s="160"/>
      <c r="H37" s="160"/>
      <c r="I37" s="160"/>
      <c r="J37" s="160"/>
      <c r="K37" s="160"/>
      <c r="L37" s="160"/>
      <c r="O37" s="160"/>
      <c r="P37" s="160"/>
      <c r="Q37" s="160"/>
      <c r="R37" s="160"/>
      <c r="S37" s="160"/>
      <c r="T37" s="160"/>
      <c r="U37" s="160"/>
      <c r="V37" s="160"/>
      <c r="W37" s="160"/>
      <c r="X37" s="160"/>
      <c r="Y37" s="160"/>
      <c r="Z37" s="160"/>
      <c r="AA37" s="160"/>
      <c r="AB37" s="160"/>
      <c r="AC37" s="160"/>
      <c r="AD37" s="160"/>
      <c r="AE37" s="160"/>
      <c r="AF37" s="160"/>
      <c r="AG37" s="160"/>
      <c r="AH37" s="160"/>
    </row>
    <row r="38" spans="7:34">
      <c r="G38" s="160"/>
      <c r="H38" s="160"/>
      <c r="I38" s="160"/>
      <c r="J38" s="160"/>
      <c r="K38" s="160"/>
      <c r="L38" s="160"/>
      <c r="O38" s="160"/>
      <c r="P38" s="160"/>
      <c r="Q38" s="160"/>
      <c r="R38" s="160"/>
      <c r="S38" s="160"/>
      <c r="T38" s="160"/>
      <c r="U38" s="160"/>
      <c r="V38" s="160"/>
      <c r="W38" s="160"/>
      <c r="X38" s="160"/>
      <c r="Y38" s="160"/>
      <c r="Z38" s="160"/>
      <c r="AA38" s="160"/>
      <c r="AB38" s="160"/>
      <c r="AC38" s="160"/>
      <c r="AD38" s="160"/>
      <c r="AE38" s="160"/>
      <c r="AF38" s="160"/>
      <c r="AG38" s="160"/>
      <c r="AH38" s="160"/>
    </row>
  </sheetData>
  <pageMargins left="0.7" right="0.7" top="0.75" bottom="0.75" header="0.3" footer="0.3"/>
  <pageSetup paperSize="8"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55" customWidth="1"/>
    <col min="2" max="2" width="7" style="155" customWidth="1"/>
    <col min="3" max="3" width="15.85546875" style="155" customWidth="1"/>
    <col min="4" max="4" width="14.28515625" style="155" bestFit="1" customWidth="1"/>
    <col min="5" max="5" width="12.85546875" style="155" customWidth="1"/>
    <col min="6" max="6" width="16.140625" style="155" customWidth="1"/>
    <col min="7" max="7" width="13.42578125" style="155" customWidth="1" collapsed="1"/>
    <col min="8" max="8" width="15.140625" style="155" customWidth="1"/>
    <col min="9" max="9" width="2.85546875" style="155" customWidth="1"/>
    <col min="10" max="10" width="12" style="155" bestFit="1" customWidth="1"/>
    <col min="11" max="11" width="13.7109375" style="155" customWidth="1"/>
    <col min="12" max="12" width="9.7109375" style="155" bestFit="1" customWidth="1"/>
    <col min="13" max="13" width="9.42578125" style="155" customWidth="1"/>
    <col min="14" max="14" width="8.7109375" style="155" customWidth="1"/>
    <col min="15" max="15" width="6.7109375" style="155" customWidth="1"/>
    <col min="16" max="16" width="8.28515625" style="155" customWidth="1"/>
    <col min="17" max="28" width="9.140625" style="155" customWidth="1"/>
    <col min="29" max="29" width="9.28515625" style="155" customWidth="1"/>
    <col min="30" max="30" width="9.42578125" style="155" customWidth="1"/>
    <col min="31" max="31" width="10" style="155" customWidth="1"/>
    <col min="32" max="32" width="11.42578125" style="155" customWidth="1"/>
    <col min="33" max="33" width="9.42578125" style="155" bestFit="1" customWidth="1" collapsed="1"/>
    <col min="34" max="16384" width="9.140625" style="155"/>
  </cols>
  <sheetData>
    <row r="1" spans="1:32" s="154" customFormat="1" ht="15" customHeight="1">
      <c r="B1" s="16" t="s">
        <v>185</v>
      </c>
      <c r="C1" s="153"/>
      <c r="D1" s="153"/>
      <c r="E1" s="153"/>
      <c r="F1" s="153"/>
      <c r="G1" s="153"/>
      <c r="H1" s="153"/>
      <c r="I1" s="153"/>
      <c r="J1" s="153"/>
      <c r="K1" s="153"/>
      <c r="L1" s="153"/>
      <c r="M1" s="153"/>
      <c r="N1" s="153"/>
    </row>
    <row r="2" spans="1:32" ht="12" customHeight="1">
      <c r="C2" s="181"/>
    </row>
    <row r="3" spans="1:32" ht="12" customHeight="1">
      <c r="A3" s="157"/>
      <c r="B3" s="256"/>
      <c r="C3" s="214" t="s">
        <v>316</v>
      </c>
      <c r="D3" s="214" t="s">
        <v>6</v>
      </c>
      <c r="E3" s="214" t="s">
        <v>191</v>
      </c>
      <c r="F3" s="214" t="s">
        <v>3</v>
      </c>
      <c r="G3" s="214" t="s">
        <v>317</v>
      </c>
      <c r="H3" s="99" t="s">
        <v>192</v>
      </c>
    </row>
    <row r="4" spans="1:32" ht="12" customHeight="1">
      <c r="A4" s="162"/>
      <c r="B4" s="242" t="s">
        <v>190</v>
      </c>
      <c r="C4" s="239">
        <f>'Industry &amp; Revenues'!C4+'Industry &amp; Revenues'!G4+'Industry &amp; Revenues'!K4</f>
        <v>206280</v>
      </c>
      <c r="D4" s="239">
        <f>'Industry &amp; Revenues'!P4+'Industry &amp; Revenues'!O4</f>
        <v>7934.45</v>
      </c>
      <c r="E4" s="259">
        <f>F4/D4</f>
        <v>9.0906364020190408E-2</v>
      </c>
      <c r="F4" s="239">
        <f>'EBIT &amp; R&amp;D Expense'!C12</f>
        <v>721.2919999999998</v>
      </c>
      <c r="G4" s="239">
        <f>F4*(1-'Industry &amp; Revenues'!$Q$20)</f>
        <v>539.75722943999983</v>
      </c>
      <c r="H4" s="235"/>
      <c r="I4" s="387"/>
      <c r="J4" s="159"/>
      <c r="O4" s="159"/>
    </row>
    <row r="5" spans="1:32" ht="12" customHeight="1">
      <c r="A5" s="162"/>
      <c r="B5" s="237">
        <v>1</v>
      </c>
      <c r="C5" s="240">
        <f>'Industry &amp; Revenues'!C5+'Industry &amp; Revenues'!G5+'Industry &amp; Revenues'!K5</f>
        <v>219676.024</v>
      </c>
      <c r="D5" s="240">
        <f ca="1">'Industry &amp; Revenues'!P5+'Industry &amp; Revenues'!O5</f>
        <v>8845.8407690720014</v>
      </c>
      <c r="E5" s="243">
        <f>AVERAGE(E4,E6)</f>
        <v>9.204306851766661E-2</v>
      </c>
      <c r="F5" s="240">
        <f ca="1">D5*E5</f>
        <v>814.19832800406289</v>
      </c>
      <c r="G5" s="240">
        <f ca="1">F5*(1-'Industry &amp; Revenues'!$Q$20)</f>
        <v>609.28089281200027</v>
      </c>
      <c r="H5" s="236">
        <f ca="1">D5-D4</f>
        <v>911.3907690720016</v>
      </c>
      <c r="I5" s="12"/>
      <c r="J5" s="388"/>
      <c r="K5" s="388"/>
      <c r="L5" s="190"/>
      <c r="M5" s="160"/>
      <c r="N5" s="160"/>
      <c r="O5" s="160"/>
      <c r="P5" s="160"/>
      <c r="Q5" s="160"/>
      <c r="R5" s="160"/>
      <c r="S5" s="160"/>
      <c r="T5" s="160"/>
    </row>
    <row r="6" spans="1:32" ht="12" customHeight="1">
      <c r="A6" s="162"/>
      <c r="B6" s="237">
        <f t="shared" ref="B6:B14" si="0">B5+1</f>
        <v>2</v>
      </c>
      <c r="C6" s="240">
        <f>'Industry &amp; Revenues'!C6+'Industry &amp; Revenues'!G6+'Industry &amp; Revenues'!K6</f>
        <v>233963.87074960003</v>
      </c>
      <c r="D6" s="240">
        <f ca="1">'Industry &amp; Revenues'!P6+'Industry &amp; Revenues'!O6</f>
        <v>9881.6617023303097</v>
      </c>
      <c r="E6" s="243">
        <f>AVERAGE(E4,E9)</f>
        <v>9.3179773015142797E-2</v>
      </c>
      <c r="F6" s="240">
        <f t="shared" ref="F6:F15" ca="1" si="1">D6*E6</f>
        <v>920.77099443556779</v>
      </c>
      <c r="G6" s="240">
        <f ca="1">F6*(1-'Industry &amp; Revenues'!$Q$20)</f>
        <v>689.03135055602411</v>
      </c>
      <c r="H6" s="236">
        <f t="shared" ref="H6:H14" ca="1" si="2">D6-D5</f>
        <v>1035.8209332583083</v>
      </c>
      <c r="I6" s="12"/>
      <c r="J6" s="388"/>
      <c r="K6" s="388"/>
      <c r="L6" s="190"/>
      <c r="M6" s="160"/>
      <c r="N6" s="160"/>
      <c r="O6" s="160"/>
      <c r="P6" s="160"/>
      <c r="Q6" s="160"/>
      <c r="R6" s="160"/>
      <c r="S6" s="160"/>
      <c r="T6" s="160"/>
    </row>
    <row r="7" spans="1:32" ht="12" customHeight="1">
      <c r="B7" s="237">
        <f t="shared" si="0"/>
        <v>3</v>
      </c>
      <c r="C7" s="240">
        <f>'Industry &amp; Revenues'!C7+'Industry &amp; Revenues'!G7+'Industry &amp; Revenues'!K7</f>
        <v>249204.47222280191</v>
      </c>
      <c r="D7" s="240">
        <f ca="1">'Industry &amp; Revenues'!P7+'Industry &amp; Revenues'!O7</f>
        <v>11026.171655112516</v>
      </c>
      <c r="E7" s="243">
        <f>AVERAGE(E6,E8)</f>
        <v>9.3748125263880905E-2</v>
      </c>
      <c r="F7" s="240">
        <f t="shared" ca="1" si="1"/>
        <v>1033.6829215045411</v>
      </c>
      <c r="G7" s="240">
        <f ca="1">F7*(1-'Industry &amp; Revenues'!$Q$20)</f>
        <v>773.52560382027821</v>
      </c>
      <c r="H7" s="236">
        <f t="shared" ca="1" si="2"/>
        <v>1144.5099527822058</v>
      </c>
      <c r="I7" s="12"/>
      <c r="J7" s="388"/>
      <c r="K7" s="388"/>
      <c r="L7" s="190"/>
      <c r="M7" s="160"/>
      <c r="N7" s="160"/>
      <c r="O7" s="160"/>
      <c r="P7" s="160"/>
      <c r="Q7" s="160"/>
      <c r="R7" s="160"/>
      <c r="S7" s="160"/>
      <c r="T7" s="160"/>
    </row>
    <row r="8" spans="1:32" ht="12" customHeight="1">
      <c r="A8" s="162"/>
      <c r="B8" s="237">
        <f t="shared" si="0"/>
        <v>4</v>
      </c>
      <c r="C8" s="240">
        <f>'Industry &amp; Revenues'!C8+'Industry &amp; Revenues'!G8+'Industry &amp; Revenues'!K8</f>
        <v>265463.03198984615</v>
      </c>
      <c r="D8" s="240">
        <f ca="1">'Industry &amp; Revenues'!P8+'Industry &amp; Revenues'!O8</f>
        <v>12290.125947930512</v>
      </c>
      <c r="E8" s="243">
        <f>AVERAGE(E6,E9)</f>
        <v>9.4316477512618999E-2</v>
      </c>
      <c r="F8" s="240">
        <f t="shared" ca="1" si="1"/>
        <v>1159.1613875952435</v>
      </c>
      <c r="G8" s="240">
        <f ca="1">F8*(1-'Industry &amp; Revenues'!$Q$20)</f>
        <v>867.42364956527263</v>
      </c>
      <c r="H8" s="236">
        <f ca="1">D8-D7</f>
        <v>1263.9542928179962</v>
      </c>
      <c r="I8" s="12"/>
      <c r="J8" s="388"/>
      <c r="K8" s="388"/>
      <c r="L8" s="190"/>
      <c r="M8" s="160"/>
      <c r="N8" s="160"/>
      <c r="O8" s="160"/>
      <c r="P8" s="160"/>
      <c r="Q8" s="160"/>
      <c r="R8" s="160"/>
      <c r="S8" s="160"/>
      <c r="T8" s="160"/>
    </row>
    <row r="9" spans="1:32" ht="12" customHeight="1">
      <c r="A9" s="162"/>
      <c r="B9" s="237">
        <f t="shared" si="0"/>
        <v>5</v>
      </c>
      <c r="C9" s="240">
        <f>'Industry &amp; Revenues'!C9+'Industry &amp; Revenues'!G9+'Industry &amp; Revenues'!K9</f>
        <v>282809.33203342976</v>
      </c>
      <c r="D9" s="240">
        <f>'Industry &amp; Revenues'!P9+'Industry &amp; Revenues'!O9</f>
        <v>13685.305924437254</v>
      </c>
      <c r="E9" s="243">
        <f>AVERAGE(E4,E14)</f>
        <v>9.54531820100952E-2</v>
      </c>
      <c r="F9" s="240">
        <f t="shared" si="1"/>
        <v>1306.3059972691433</v>
      </c>
      <c r="G9" s="240">
        <f>F9*(1-'Industry &amp; Revenues'!$Q$20)</f>
        <v>977.53490387644524</v>
      </c>
      <c r="H9" s="236">
        <f t="shared" ca="1" si="2"/>
        <v>1395.1799765067426</v>
      </c>
      <c r="I9" s="12"/>
      <c r="J9" s="388"/>
      <c r="K9" s="388"/>
      <c r="L9" s="190"/>
      <c r="M9" s="160"/>
      <c r="N9" s="160"/>
      <c r="O9" s="160"/>
      <c r="P9" s="160"/>
      <c r="Q9" s="160"/>
      <c r="R9" s="160"/>
      <c r="S9" s="160"/>
      <c r="T9" s="160"/>
    </row>
    <row r="10" spans="1:32">
      <c r="A10" s="158"/>
      <c r="B10" s="237">
        <f t="shared" si="0"/>
        <v>6</v>
      </c>
      <c r="C10" s="240">
        <f>'Industry &amp; Revenues'!C10+'Industry &amp; Revenues'!G10+'Industry &amp; Revenues'!K10</f>
        <v>301318.06208884658</v>
      </c>
      <c r="D10" s="240">
        <f>'Industry &amp; Revenues'!P10+'Industry &amp; Revenues'!O10</f>
        <v>15306.906584821267</v>
      </c>
      <c r="E10" s="243">
        <f>AVERAGE(E9,E11)</f>
        <v>9.6589886507571401E-2</v>
      </c>
      <c r="F10" s="240">
        <f t="shared" si="1"/>
        <v>1478.4923698098835</v>
      </c>
      <c r="G10" s="240">
        <f>F10*(1-'Industry &amp; Revenues'!$Q$20)</f>
        <v>1106.3854101761319</v>
      </c>
      <c r="H10" s="236">
        <f t="shared" si="2"/>
        <v>1621.6006603840124</v>
      </c>
      <c r="I10" s="12"/>
      <c r="J10" s="388"/>
      <c r="K10" s="388"/>
      <c r="L10" s="190"/>
      <c r="M10" s="160"/>
      <c r="N10" s="160"/>
      <c r="O10" s="160"/>
      <c r="P10" s="160"/>
      <c r="Q10" s="160"/>
      <c r="R10" s="160"/>
      <c r="S10" s="160"/>
      <c r="T10" s="160"/>
    </row>
    <row r="11" spans="1:32">
      <c r="A11" s="162"/>
      <c r="B11" s="237">
        <f t="shared" si="0"/>
        <v>7</v>
      </c>
      <c r="C11" s="240">
        <f>'Industry &amp; Revenues'!C11+'Industry &amp; Revenues'!G11+'Industry &amp; Revenues'!K11</f>
        <v>321069.17319292662</v>
      </c>
      <c r="D11" s="240">
        <f>'Industry &amp; Revenues'!P11+'Industry &amp; Revenues'!O11</f>
        <v>17100.770988968354</v>
      </c>
      <c r="E11" s="243">
        <f>AVERAGE(E9,E14)</f>
        <v>9.7726591005047603E-2</v>
      </c>
      <c r="F11" s="240">
        <f t="shared" si="1"/>
        <v>1671.2000523098936</v>
      </c>
      <c r="G11" s="240">
        <f>F11*(1-'Industry &amp; Revenues'!$Q$20)</f>
        <v>1250.5924231445397</v>
      </c>
      <c r="H11" s="236">
        <f t="shared" si="2"/>
        <v>1793.864404147087</v>
      </c>
      <c r="I11" s="12"/>
      <c r="J11" s="388"/>
      <c r="K11" s="388"/>
      <c r="L11" s="190"/>
      <c r="M11" s="160"/>
      <c r="N11" s="160"/>
      <c r="O11" s="160"/>
      <c r="P11" s="160"/>
      <c r="Q11" s="160"/>
      <c r="R11" s="160"/>
      <c r="S11" s="160"/>
      <c r="T11" s="160"/>
    </row>
    <row r="12" spans="1:32">
      <c r="B12" s="237">
        <f t="shared" si="0"/>
        <v>8</v>
      </c>
      <c r="C12" s="240">
        <f>'Industry &amp; Revenues'!C12+'Industry &amp; Revenues'!G12+'Industry &amp; Revenues'!K12</f>
        <v>342148.25725466362</v>
      </c>
      <c r="D12" s="240">
        <f>'Industry &amp; Revenues'!P12+'Industry &amp; Revenues'!O12</f>
        <v>19134.374621341878</v>
      </c>
      <c r="E12" s="243">
        <f>AVERAGE(E11,E14)</f>
        <v>9.8863295502523804E-2</v>
      </c>
      <c r="F12" s="240">
        <f t="shared" si="1"/>
        <v>1891.6873324457142</v>
      </c>
      <c r="G12" s="240">
        <f>F12*(1-'Industry &amp; Revenues'!$Q$20)</f>
        <v>1415.5874646157768</v>
      </c>
      <c r="H12" s="236">
        <f t="shared" si="2"/>
        <v>2033.6036323735243</v>
      </c>
      <c r="I12" s="12"/>
      <c r="J12" s="388"/>
      <c r="K12" s="388"/>
      <c r="L12" s="190"/>
      <c r="M12" s="160"/>
      <c r="N12" s="160"/>
      <c r="O12" s="160"/>
      <c r="P12" s="160"/>
      <c r="Q12" s="160"/>
      <c r="R12" s="160"/>
      <c r="S12" s="160"/>
      <c r="T12" s="160"/>
    </row>
    <row r="13" spans="1:32">
      <c r="A13" s="162"/>
      <c r="B13" s="237">
        <f t="shared" si="0"/>
        <v>9</v>
      </c>
      <c r="C13" s="240">
        <f>'Industry &amp; Revenues'!C13+'Industry &amp; Revenues'!G13+'Industry &amp; Revenues'!K13</f>
        <v>364646.95459828462</v>
      </c>
      <c r="D13" s="240">
        <f>'Industry &amp; Revenues'!P13+'Industry &amp; Revenues'!O13</f>
        <v>21029.808458388998</v>
      </c>
      <c r="E13" s="243">
        <f>AVERAGE(E12,E14)</f>
        <v>9.9431647751261898E-2</v>
      </c>
      <c r="F13" s="240">
        <f t="shared" si="1"/>
        <v>2091.0285069110428</v>
      </c>
      <c r="G13" s="240">
        <f>F13*(1-'Industry &amp; Revenues'!$Q$20)</f>
        <v>1564.7584522916716</v>
      </c>
      <c r="H13" s="236">
        <f t="shared" si="2"/>
        <v>1895.4338370471196</v>
      </c>
      <c r="I13" s="12"/>
      <c r="J13" s="388"/>
      <c r="K13" s="388"/>
      <c r="L13" s="190"/>
      <c r="M13" s="160"/>
      <c r="N13" s="160"/>
      <c r="O13" s="160"/>
      <c r="P13" s="160"/>
      <c r="Q13" s="160"/>
      <c r="R13" s="160"/>
      <c r="S13" s="160"/>
      <c r="T13" s="160"/>
    </row>
    <row r="14" spans="1:32">
      <c r="B14" s="237">
        <f t="shared" si="0"/>
        <v>10</v>
      </c>
      <c r="C14" s="240">
        <f>'Industry &amp; Revenues'!C14+'Industry &amp; Revenues'!G14+'Industry &amp; Revenues'!K14</f>
        <v>388663.39157798735</v>
      </c>
      <c r="D14" s="240">
        <f>'Industry &amp; Revenues'!P14+'Industry &amp; Revenues'!O14</f>
        <v>23105.005977906079</v>
      </c>
      <c r="E14" s="243">
        <v>0.1</v>
      </c>
      <c r="F14" s="240">
        <f t="shared" si="1"/>
        <v>2310.500597790608</v>
      </c>
      <c r="G14" s="240">
        <f>F14*(1-'Industry &amp; Revenues'!$Q$20)</f>
        <v>1728.9938073386677</v>
      </c>
      <c r="H14" s="236">
        <f t="shared" si="2"/>
        <v>2075.1975195170817</v>
      </c>
      <c r="I14" s="12"/>
      <c r="J14" s="388"/>
      <c r="K14" s="388"/>
      <c r="L14" s="190"/>
      <c r="M14" s="160"/>
      <c r="N14" s="160"/>
      <c r="O14" s="160"/>
      <c r="P14" s="160"/>
      <c r="Q14" s="160"/>
      <c r="R14" s="160"/>
      <c r="S14" s="160"/>
      <c r="T14" s="160"/>
    </row>
    <row r="15" spans="1:32">
      <c r="B15" s="237" t="s">
        <v>318</v>
      </c>
      <c r="C15" s="240">
        <f>'Industry &amp; Revenues'!C15+'Industry &amp; Revenues'!G15+'Industry &amp; Revenues'!K15</f>
        <v>414302.65052349179</v>
      </c>
      <c r="D15" s="240">
        <f>'Industry &amp; Revenues'!P15+'Industry &amp; Revenues'!O15</f>
        <v>24843.23944604773</v>
      </c>
      <c r="E15" s="243">
        <v>0.1</v>
      </c>
      <c r="F15" s="240">
        <f t="shared" si="1"/>
        <v>2484.3239446047733</v>
      </c>
      <c r="G15" s="240">
        <f>F15*(1-'Industry &amp; Revenues'!$Q$20)</f>
        <v>1859.0692942266439</v>
      </c>
      <c r="H15" s="236">
        <f>D15-D14</f>
        <v>1738.2334681416505</v>
      </c>
      <c r="I15" s="12"/>
      <c r="J15" s="388"/>
      <c r="K15" s="388"/>
      <c r="L15" s="190"/>
      <c r="M15" s="160"/>
      <c r="O15" s="160"/>
      <c r="P15" s="160"/>
      <c r="Q15" s="160"/>
      <c r="R15" s="160"/>
      <c r="S15" s="160"/>
      <c r="T15" s="160"/>
      <c r="U15" s="160"/>
      <c r="V15" s="160"/>
      <c r="W15" s="160"/>
      <c r="X15" s="160"/>
      <c r="Y15" s="160"/>
      <c r="Z15" s="160"/>
      <c r="AA15" s="160"/>
      <c r="AB15" s="160"/>
      <c r="AC15" s="160"/>
      <c r="AD15" s="160"/>
      <c r="AE15" s="160"/>
      <c r="AF15" s="160"/>
    </row>
    <row r="16" spans="1:32">
      <c r="F16" s="116"/>
      <c r="G16" s="241"/>
      <c r="H16" s="142"/>
      <c r="I16" s="228"/>
      <c r="J16" s="228"/>
      <c r="K16" s="228"/>
      <c r="L16" s="228"/>
      <c r="M16" s="228"/>
      <c r="O16" s="160"/>
      <c r="P16" s="160"/>
      <c r="Q16" s="160"/>
      <c r="R16" s="160"/>
      <c r="S16" s="160"/>
      <c r="T16" s="160"/>
      <c r="U16" s="160"/>
      <c r="V16" s="160"/>
      <c r="W16" s="160"/>
      <c r="X16" s="160"/>
      <c r="Y16" s="160"/>
      <c r="Z16" s="160"/>
      <c r="AA16" s="160"/>
      <c r="AB16" s="160"/>
      <c r="AC16" s="160"/>
      <c r="AD16" s="160"/>
      <c r="AE16" s="160"/>
      <c r="AF16" s="160"/>
    </row>
    <row r="17" spans="1:34">
      <c r="B17" s="256"/>
      <c r="C17" s="99" t="s">
        <v>193</v>
      </c>
      <c r="D17" s="99" t="s">
        <v>155</v>
      </c>
      <c r="E17" s="99" t="s">
        <v>194</v>
      </c>
      <c r="F17" s="99" t="s">
        <v>195</v>
      </c>
      <c r="G17" s="99" t="s">
        <v>196</v>
      </c>
      <c r="I17" s="48"/>
      <c r="J17" s="229"/>
      <c r="K17" s="67"/>
      <c r="L17" s="67"/>
      <c r="M17" s="67"/>
      <c r="N17" s="67"/>
      <c r="O17" s="160"/>
      <c r="P17" s="160"/>
      <c r="Q17" s="160"/>
      <c r="R17" s="160"/>
      <c r="S17" s="160"/>
      <c r="T17" s="160"/>
      <c r="U17" s="160"/>
      <c r="V17" s="160"/>
      <c r="W17" s="160"/>
      <c r="X17" s="160"/>
      <c r="Y17" s="160"/>
      <c r="Z17" s="160"/>
      <c r="AA17" s="160"/>
      <c r="AB17" s="160"/>
      <c r="AC17" s="160"/>
      <c r="AD17" s="160"/>
      <c r="AE17" s="160"/>
      <c r="AF17" s="160"/>
    </row>
    <row r="18" spans="1:34">
      <c r="A18" s="162"/>
      <c r="B18" s="242" t="s">
        <v>190</v>
      </c>
      <c r="C18" s="246"/>
      <c r="D18" s="244"/>
      <c r="E18" s="234">
        <f>'FCFF &amp; FCFE'!C3</f>
        <v>490.88542204619279</v>
      </c>
      <c r="F18" s="247">
        <f>'Expected Growth Rate'!C8</f>
        <v>5212.1500000000005</v>
      </c>
      <c r="G18" s="248">
        <f t="shared" ref="G18:G29" si="3">G4/F18</f>
        <v>0.10355750111566241</v>
      </c>
      <c r="H18" s="47"/>
      <c r="I18" s="225"/>
      <c r="J18" s="272"/>
      <c r="K18" s="230"/>
      <c r="L18" s="230"/>
      <c r="M18" s="230"/>
      <c r="N18" s="230"/>
      <c r="O18" s="160"/>
      <c r="P18" s="160"/>
      <c r="Q18" s="160"/>
      <c r="R18" s="160"/>
      <c r="S18" s="160"/>
      <c r="T18" s="160"/>
      <c r="U18" s="160"/>
      <c r="V18" s="160"/>
      <c r="W18" s="160"/>
      <c r="X18" s="160"/>
      <c r="Y18" s="160"/>
      <c r="Z18" s="160"/>
      <c r="AA18" s="160"/>
      <c r="AB18" s="160"/>
      <c r="AC18" s="160"/>
      <c r="AD18" s="160"/>
      <c r="AE18" s="160"/>
      <c r="AF18" s="160"/>
    </row>
    <row r="19" spans="1:34">
      <c r="B19" s="237">
        <v>1</v>
      </c>
      <c r="C19" s="216">
        <f>'Expected Growth Rate'!$G$8</f>
        <v>3.06</v>
      </c>
      <c r="D19" s="236">
        <f t="shared" ref="D19:D29" ca="1" si="4">H5/C19</f>
        <v>297.8401206117652</v>
      </c>
      <c r="E19" s="236">
        <f t="shared" ref="E19:E29" ca="1" si="5">G5-D19</f>
        <v>311.44077220023507</v>
      </c>
      <c r="F19" s="73">
        <f ca="1">F18+D19</f>
        <v>5509.9901206117656</v>
      </c>
      <c r="G19" s="75">
        <f t="shared" ca="1" si="3"/>
        <v>0.11057749278584056</v>
      </c>
      <c r="H19" s="47"/>
      <c r="I19" s="117"/>
      <c r="J19" s="225"/>
      <c r="K19" s="230"/>
      <c r="L19" s="230"/>
      <c r="M19" s="230"/>
      <c r="N19" s="230"/>
      <c r="O19" s="160"/>
      <c r="P19" s="160"/>
      <c r="Q19" s="160"/>
      <c r="R19" s="160"/>
      <c r="S19" s="160"/>
      <c r="T19" s="160"/>
      <c r="U19" s="160"/>
      <c r="V19" s="160"/>
      <c r="W19" s="160"/>
      <c r="X19" s="160"/>
      <c r="Y19" s="160"/>
      <c r="Z19" s="160"/>
      <c r="AA19" s="160"/>
      <c r="AB19" s="160"/>
      <c r="AC19" s="160"/>
      <c r="AD19" s="160"/>
      <c r="AE19" s="160"/>
      <c r="AF19" s="160"/>
    </row>
    <row r="20" spans="1:34">
      <c r="A20" s="162"/>
      <c r="B20" s="237">
        <f t="shared" ref="B20:B28" si="6">B19+1</f>
        <v>2</v>
      </c>
      <c r="C20" s="216">
        <f>'Expected Growth Rate'!$G$8</f>
        <v>3.06</v>
      </c>
      <c r="D20" s="236">
        <f t="shared" ca="1" si="4"/>
        <v>338.50357296023145</v>
      </c>
      <c r="E20" s="236">
        <f t="shared" ca="1" si="5"/>
        <v>350.52777759579266</v>
      </c>
      <c r="F20" s="73">
        <f t="shared" ref="F20:F27" ca="1" si="7">F19+D20</f>
        <v>5848.493693571997</v>
      </c>
      <c r="G20" s="75">
        <f t="shared" ca="1" si="3"/>
        <v>0.11781347243536049</v>
      </c>
      <c r="H20" s="47"/>
      <c r="I20" s="127"/>
      <c r="J20" s="225"/>
      <c r="K20" s="230"/>
      <c r="L20" s="230"/>
      <c r="M20" s="230"/>
      <c r="N20" s="230"/>
      <c r="O20" s="160"/>
      <c r="P20" s="160"/>
      <c r="Q20" s="160"/>
      <c r="R20" s="160"/>
      <c r="S20" s="160"/>
      <c r="T20" s="160"/>
      <c r="U20" s="160"/>
      <c r="V20" s="160"/>
      <c r="W20" s="160"/>
      <c r="X20" s="160"/>
      <c r="Y20" s="160"/>
      <c r="Z20" s="160"/>
      <c r="AA20" s="160"/>
      <c r="AB20" s="160"/>
      <c r="AC20" s="160"/>
      <c r="AD20" s="160"/>
      <c r="AE20" s="160"/>
      <c r="AF20" s="160"/>
    </row>
    <row r="21" spans="1:34">
      <c r="B21" s="237">
        <f t="shared" si="6"/>
        <v>3</v>
      </c>
      <c r="C21" s="216">
        <f>'Expected Growth Rate'!$G$8</f>
        <v>3.06</v>
      </c>
      <c r="D21" s="236">
        <f t="shared" ca="1" si="4"/>
        <v>374.02286038634173</v>
      </c>
      <c r="E21" s="236">
        <f t="shared" ca="1" si="5"/>
        <v>399.50274343393647</v>
      </c>
      <c r="F21" s="73">
        <f t="shared" ca="1" si="7"/>
        <v>6222.5165539583386</v>
      </c>
      <c r="G21" s="75">
        <f t="shared" ca="1" si="3"/>
        <v>0.12431073458988458</v>
      </c>
      <c r="H21" s="47"/>
      <c r="I21" s="117"/>
      <c r="J21" s="231"/>
      <c r="K21" s="232"/>
      <c r="L21" s="232"/>
      <c r="M21" s="232"/>
      <c r="N21" s="232"/>
      <c r="O21" s="160"/>
      <c r="P21" s="160"/>
      <c r="Q21" s="160"/>
      <c r="R21" s="160"/>
      <c r="S21" s="160"/>
      <c r="T21" s="160"/>
      <c r="U21" s="160"/>
      <c r="V21" s="160"/>
      <c r="W21" s="160"/>
      <c r="X21" s="160"/>
      <c r="Y21" s="160"/>
      <c r="Z21" s="160"/>
      <c r="AA21" s="160"/>
      <c r="AB21" s="160"/>
      <c r="AC21" s="160"/>
      <c r="AD21" s="160"/>
      <c r="AE21" s="160"/>
      <c r="AF21" s="160"/>
    </row>
    <row r="22" spans="1:34">
      <c r="B22" s="237">
        <f t="shared" si="6"/>
        <v>4</v>
      </c>
      <c r="C22" s="216">
        <f>'Expected Growth Rate'!$G$8</f>
        <v>3.06</v>
      </c>
      <c r="D22" s="236">
        <f t="shared" ca="1" si="4"/>
        <v>413.05695843725368</v>
      </c>
      <c r="E22" s="236">
        <f t="shared" ca="1" si="5"/>
        <v>454.36669112801894</v>
      </c>
      <c r="F22" s="73">
        <f t="shared" ca="1" si="7"/>
        <v>6635.5735123955919</v>
      </c>
      <c r="G22" s="75">
        <f t="shared" ca="1" si="3"/>
        <v>0.13072323710149253</v>
      </c>
      <c r="H22" s="47"/>
      <c r="I22" s="117"/>
      <c r="J22" s="225"/>
      <c r="K22" s="226"/>
      <c r="L22" s="226"/>
      <c r="M22" s="226"/>
      <c r="N22" s="226"/>
      <c r="O22" s="160"/>
      <c r="P22" s="160"/>
      <c r="Q22" s="160"/>
      <c r="R22" s="160"/>
      <c r="S22" s="160"/>
      <c r="T22" s="160"/>
      <c r="U22" s="160"/>
      <c r="V22" s="160"/>
      <c r="W22" s="160"/>
      <c r="X22" s="160"/>
      <c r="Y22" s="160"/>
      <c r="Z22" s="160"/>
      <c r="AA22" s="160"/>
      <c r="AB22" s="160"/>
      <c r="AC22" s="160"/>
      <c r="AD22" s="160"/>
      <c r="AE22" s="160"/>
      <c r="AF22" s="160"/>
      <c r="AG22" s="160"/>
    </row>
    <row r="23" spans="1:34">
      <c r="B23" s="237">
        <f t="shared" si="6"/>
        <v>5</v>
      </c>
      <c r="C23" s="216">
        <f>'Expected Growth Rate'!$G$8</f>
        <v>3.06</v>
      </c>
      <c r="D23" s="236">
        <f t="shared" ca="1" si="4"/>
        <v>455.94116879305312</v>
      </c>
      <c r="E23" s="236">
        <f t="shared" ca="1" si="5"/>
        <v>521.59373508339218</v>
      </c>
      <c r="F23" s="73">
        <f t="shared" ca="1" si="7"/>
        <v>7091.5146811886452</v>
      </c>
      <c r="G23" s="75">
        <f t="shared" ca="1" si="3"/>
        <v>0.13784571390220907</v>
      </c>
      <c r="H23" s="47"/>
      <c r="I23" s="117"/>
      <c r="J23" s="116"/>
      <c r="K23" s="160"/>
      <c r="L23" s="160"/>
      <c r="M23" s="160"/>
      <c r="N23" s="380"/>
      <c r="O23" s="160"/>
      <c r="P23" s="160"/>
      <c r="Q23" s="160"/>
      <c r="R23" s="160"/>
      <c r="S23" s="160"/>
      <c r="T23" s="160"/>
      <c r="U23" s="160"/>
      <c r="V23" s="160"/>
      <c r="W23" s="160"/>
      <c r="X23" s="160"/>
      <c r="Y23" s="160"/>
      <c r="Z23" s="160"/>
      <c r="AA23" s="160"/>
      <c r="AB23" s="160"/>
      <c r="AC23" s="160"/>
      <c r="AD23" s="160"/>
      <c r="AE23" s="160"/>
      <c r="AF23" s="160"/>
      <c r="AG23" s="160"/>
      <c r="AH23" s="160"/>
    </row>
    <row r="24" spans="1:34">
      <c r="B24" s="237">
        <f t="shared" si="6"/>
        <v>6</v>
      </c>
      <c r="C24" s="216">
        <f>'Expected Growth Rate'!$G$8</f>
        <v>3.06</v>
      </c>
      <c r="D24" s="236">
        <f t="shared" si="4"/>
        <v>529.93485633464456</v>
      </c>
      <c r="E24" s="236">
        <f t="shared" si="5"/>
        <v>576.45055384148736</v>
      </c>
      <c r="F24" s="73">
        <f t="shared" ca="1" si="7"/>
        <v>7621.44953752329</v>
      </c>
      <c r="G24" s="75">
        <f t="shared" ca="1" si="3"/>
        <v>0.14516732082643549</v>
      </c>
      <c r="H24" s="47"/>
      <c r="I24" s="117"/>
      <c r="J24" s="116"/>
      <c r="K24" s="160"/>
      <c r="L24" s="160"/>
      <c r="M24" s="160"/>
      <c r="N24" s="380"/>
      <c r="O24" s="81"/>
      <c r="P24" s="160"/>
      <c r="Q24" s="160"/>
      <c r="R24" s="160"/>
      <c r="S24" s="160"/>
      <c r="T24" s="160"/>
      <c r="U24" s="160"/>
      <c r="V24" s="160"/>
      <c r="W24" s="160"/>
      <c r="X24" s="160"/>
      <c r="Y24" s="160"/>
      <c r="Z24" s="160"/>
      <c r="AA24" s="160"/>
      <c r="AB24" s="160"/>
      <c r="AC24" s="160"/>
      <c r="AD24" s="160"/>
      <c r="AE24" s="160"/>
      <c r="AF24" s="160"/>
      <c r="AG24" s="160"/>
      <c r="AH24" s="160"/>
    </row>
    <row r="25" spans="1:34">
      <c r="B25" s="237">
        <f t="shared" si="6"/>
        <v>7</v>
      </c>
      <c r="C25" s="216">
        <f>'Expected Growth Rate'!$G$8</f>
        <v>3.06</v>
      </c>
      <c r="D25" s="236">
        <f t="shared" si="4"/>
        <v>586.23019743368855</v>
      </c>
      <c r="E25" s="236">
        <f t="shared" si="5"/>
        <v>664.36222571085113</v>
      </c>
      <c r="F25" s="73">
        <f t="shared" ca="1" si="7"/>
        <v>8207.6797349569788</v>
      </c>
      <c r="G25" s="75">
        <f t="shared" ca="1" si="3"/>
        <v>0.1523685698673396</v>
      </c>
      <c r="H25" s="47"/>
      <c r="I25" s="117"/>
      <c r="J25" s="116"/>
      <c r="K25" s="160"/>
      <c r="L25" s="160"/>
      <c r="M25" s="160"/>
      <c r="N25" s="380"/>
      <c r="O25" s="165"/>
      <c r="P25" s="160"/>
      <c r="Q25" s="160"/>
      <c r="R25" s="160"/>
      <c r="S25" s="160"/>
      <c r="T25" s="160"/>
      <c r="U25" s="160"/>
      <c r="V25" s="160"/>
      <c r="W25" s="160"/>
      <c r="X25" s="160"/>
      <c r="Y25" s="160"/>
      <c r="Z25" s="160"/>
      <c r="AA25" s="160"/>
      <c r="AB25" s="160"/>
      <c r="AC25" s="160"/>
      <c r="AD25" s="160"/>
      <c r="AE25" s="160"/>
      <c r="AF25" s="160"/>
      <c r="AG25" s="160"/>
      <c r="AH25" s="160"/>
    </row>
    <row r="26" spans="1:34">
      <c r="B26" s="237">
        <f t="shared" si="6"/>
        <v>8</v>
      </c>
      <c r="C26" s="216">
        <f>'Expected Growth Rate'!$G$8</f>
        <v>3.06</v>
      </c>
      <c r="D26" s="236">
        <f t="shared" si="4"/>
        <v>664.5763504488641</v>
      </c>
      <c r="E26" s="236">
        <f t="shared" si="5"/>
        <v>751.01111416691265</v>
      </c>
      <c r="F26" s="73">
        <f t="shared" ca="1" si="7"/>
        <v>8872.2560854058429</v>
      </c>
      <c r="G26" s="75">
        <f t="shared" ca="1" si="3"/>
        <v>0.15955214220476635</v>
      </c>
      <c r="H26" s="47"/>
      <c r="I26" s="117"/>
      <c r="J26" s="116"/>
      <c r="K26" s="160"/>
      <c r="L26" s="160"/>
      <c r="O26" s="165"/>
      <c r="P26" s="160"/>
      <c r="Q26" s="160"/>
      <c r="R26" s="160"/>
      <c r="S26" s="160"/>
      <c r="T26" s="160"/>
      <c r="U26" s="160"/>
      <c r="V26" s="160"/>
      <c r="W26" s="160"/>
      <c r="X26" s="160"/>
      <c r="Y26" s="160"/>
      <c r="Z26" s="160"/>
      <c r="AA26" s="160"/>
      <c r="AB26" s="160"/>
      <c r="AC26" s="160"/>
      <c r="AD26" s="160"/>
      <c r="AE26" s="160"/>
      <c r="AF26" s="160"/>
      <c r="AG26" s="160"/>
      <c r="AH26" s="160"/>
    </row>
    <row r="27" spans="1:34">
      <c r="B27" s="237">
        <f t="shared" si="6"/>
        <v>9</v>
      </c>
      <c r="C27" s="216">
        <f>'Expected Growth Rate'!$G$8</f>
        <v>3.06</v>
      </c>
      <c r="D27" s="236">
        <f t="shared" si="4"/>
        <v>619.4228225644182</v>
      </c>
      <c r="E27" s="236">
        <f t="shared" si="5"/>
        <v>945.33562972725338</v>
      </c>
      <c r="F27" s="73">
        <f t="shared" ca="1" si="7"/>
        <v>9491.6789079702612</v>
      </c>
      <c r="G27" s="75">
        <f t="shared" ca="1" si="3"/>
        <v>0.1648558139675087</v>
      </c>
      <c r="H27" s="47"/>
      <c r="I27" s="117"/>
      <c r="J27" s="116"/>
      <c r="K27" s="160"/>
      <c r="L27" s="160"/>
      <c r="O27" s="160"/>
      <c r="P27" s="160"/>
      <c r="Q27" s="160"/>
      <c r="R27" s="160"/>
      <c r="S27" s="160"/>
      <c r="T27" s="160"/>
      <c r="U27" s="160"/>
      <c r="V27" s="160"/>
      <c r="W27" s="160"/>
      <c r="X27" s="160"/>
      <c r="Y27" s="160"/>
      <c r="Z27" s="160"/>
      <c r="AA27" s="160"/>
      <c r="AB27" s="160"/>
      <c r="AC27" s="160"/>
      <c r="AD27" s="160"/>
      <c r="AE27" s="160"/>
      <c r="AF27" s="160"/>
      <c r="AG27" s="160"/>
      <c r="AH27" s="160"/>
    </row>
    <row r="28" spans="1:34">
      <c r="B28" s="237">
        <f t="shared" si="6"/>
        <v>10</v>
      </c>
      <c r="C28" s="216">
        <f>'Expected Growth Rate'!$G$8</f>
        <v>3.06</v>
      </c>
      <c r="D28" s="236">
        <f t="shared" si="4"/>
        <v>678.16912402519006</v>
      </c>
      <c r="E28" s="236">
        <f t="shared" si="5"/>
        <v>1050.8246833134776</v>
      </c>
      <c r="F28" s="73">
        <f ca="1">F27+D28</f>
        <v>10169.848031995451</v>
      </c>
      <c r="G28" s="75">
        <f t="shared" ca="1" si="3"/>
        <v>0.17001176437436083</v>
      </c>
      <c r="H28" s="47"/>
      <c r="I28" s="117"/>
      <c r="J28" s="197"/>
      <c r="K28" s="160"/>
      <c r="L28" s="160"/>
      <c r="O28" s="160"/>
      <c r="P28" s="160"/>
      <c r="Q28" s="160"/>
      <c r="R28" s="160"/>
      <c r="S28" s="160"/>
      <c r="T28" s="160"/>
      <c r="U28" s="160"/>
      <c r="V28" s="160"/>
      <c r="W28" s="160"/>
      <c r="X28" s="160"/>
      <c r="Y28" s="160"/>
      <c r="Z28" s="160"/>
      <c r="AA28" s="160"/>
      <c r="AB28" s="160"/>
      <c r="AC28" s="160"/>
      <c r="AD28" s="160"/>
      <c r="AE28" s="160"/>
      <c r="AF28" s="160"/>
      <c r="AG28" s="160"/>
      <c r="AH28" s="160"/>
    </row>
    <row r="29" spans="1:34">
      <c r="B29" s="237" t="s">
        <v>318</v>
      </c>
      <c r="C29" s="216">
        <f>'Expected Growth Rate'!$G$8</f>
        <v>3.06</v>
      </c>
      <c r="D29" s="236">
        <f t="shared" si="4"/>
        <v>568.05015298746753</v>
      </c>
      <c r="E29" s="236">
        <f t="shared" si="5"/>
        <v>1291.0191412391764</v>
      </c>
      <c r="F29" s="73">
        <f ca="1">F28+D29</f>
        <v>10737.898184982918</v>
      </c>
      <c r="G29" s="75">
        <f t="shared" ca="1" si="3"/>
        <v>0.17313158145106788</v>
      </c>
      <c r="H29" s="47"/>
      <c r="K29" s="160"/>
      <c r="L29" s="160"/>
      <c r="O29" s="160"/>
      <c r="P29" s="160"/>
      <c r="Q29" s="160"/>
      <c r="R29" s="160"/>
      <c r="S29" s="160"/>
      <c r="T29" s="160"/>
      <c r="U29" s="160"/>
      <c r="V29" s="160"/>
      <c r="W29" s="160"/>
      <c r="X29" s="160"/>
      <c r="Y29" s="160"/>
      <c r="Z29" s="160"/>
      <c r="AA29" s="160"/>
      <c r="AB29" s="160"/>
      <c r="AC29" s="160"/>
      <c r="AD29" s="160"/>
      <c r="AE29" s="160"/>
      <c r="AF29" s="160"/>
      <c r="AG29" s="160"/>
      <c r="AH29" s="160"/>
    </row>
    <row r="30" spans="1:34" ht="14.25" customHeight="1">
      <c r="D30" s="233"/>
      <c r="J30" s="124"/>
      <c r="K30" s="160"/>
      <c r="L30" s="160"/>
      <c r="M30" s="160"/>
      <c r="N30" s="160"/>
      <c r="P30" s="160"/>
      <c r="Q30" s="160"/>
      <c r="R30" s="160"/>
      <c r="S30" s="160"/>
      <c r="T30" s="160"/>
      <c r="U30" s="160"/>
      <c r="V30" s="160"/>
      <c r="W30" s="160"/>
      <c r="X30" s="160"/>
      <c r="Y30" s="160"/>
      <c r="Z30" s="160"/>
      <c r="AA30" s="160"/>
      <c r="AB30" s="160"/>
      <c r="AC30" s="160"/>
      <c r="AD30" s="160"/>
      <c r="AE30" s="160"/>
      <c r="AF30" s="160"/>
      <c r="AG30" s="160"/>
      <c r="AH30" s="160"/>
    </row>
    <row r="31" spans="1:34">
      <c r="G31" s="160"/>
      <c r="H31" s="160"/>
      <c r="I31" s="160"/>
      <c r="J31" s="160"/>
      <c r="K31" s="160"/>
      <c r="L31" s="160"/>
      <c r="M31" s="160"/>
      <c r="N31" s="160"/>
      <c r="P31" s="160"/>
      <c r="Q31" s="160"/>
      <c r="R31" s="160"/>
      <c r="S31" s="160"/>
      <c r="T31" s="160"/>
      <c r="U31" s="160"/>
      <c r="V31" s="160"/>
      <c r="W31" s="160"/>
      <c r="X31" s="160"/>
      <c r="Y31" s="160"/>
      <c r="Z31" s="160"/>
      <c r="AA31" s="160"/>
      <c r="AB31" s="160"/>
      <c r="AC31" s="160"/>
      <c r="AD31" s="160"/>
      <c r="AE31" s="160"/>
      <c r="AF31" s="160"/>
      <c r="AG31" s="160"/>
      <c r="AH31" s="160"/>
    </row>
    <row r="32" spans="1:34">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c r="AH32" s="160"/>
    </row>
    <row r="33" spans="7:34">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0"/>
    </row>
    <row r="34" spans="7:34">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row>
    <row r="35" spans="7:34">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row>
    <row r="36" spans="7:34">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row>
    <row r="37" spans="7:34">
      <c r="G37" s="160"/>
      <c r="H37" s="160"/>
      <c r="I37" s="160"/>
      <c r="J37" s="160"/>
      <c r="K37" s="160"/>
      <c r="L37" s="160"/>
      <c r="O37" s="160"/>
      <c r="P37" s="160"/>
      <c r="Q37" s="160"/>
      <c r="R37" s="160"/>
      <c r="S37" s="160"/>
      <c r="T37" s="160"/>
      <c r="U37" s="160"/>
      <c r="V37" s="160"/>
      <c r="W37" s="160"/>
      <c r="X37" s="160"/>
      <c r="Y37" s="160"/>
      <c r="Z37" s="160"/>
      <c r="AA37" s="160"/>
      <c r="AB37" s="160"/>
      <c r="AC37" s="160"/>
      <c r="AD37" s="160"/>
      <c r="AE37" s="160"/>
      <c r="AF37" s="160"/>
      <c r="AG37" s="160"/>
      <c r="AH37" s="160"/>
    </row>
    <row r="38" spans="7:34">
      <c r="G38" s="160"/>
      <c r="H38" s="160"/>
      <c r="I38" s="160"/>
      <c r="J38" s="160"/>
      <c r="K38" s="160"/>
      <c r="L38" s="160"/>
      <c r="O38" s="160"/>
      <c r="P38" s="160"/>
      <c r="Q38" s="160"/>
      <c r="R38" s="160"/>
      <c r="S38" s="160"/>
      <c r="T38" s="160"/>
      <c r="U38" s="160"/>
      <c r="V38" s="160"/>
      <c r="W38" s="160"/>
      <c r="X38" s="160"/>
      <c r="Y38" s="160"/>
      <c r="Z38" s="160"/>
      <c r="AA38" s="160"/>
      <c r="AB38" s="160"/>
      <c r="AC38" s="160"/>
      <c r="AD38" s="160"/>
      <c r="AE38" s="160"/>
      <c r="AF38" s="160"/>
      <c r="AG38" s="160"/>
      <c r="AH38" s="160"/>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29.28515625" style="155" customWidth="1"/>
    <col min="3" max="3" width="11.7109375" style="155" customWidth="1"/>
    <col min="4" max="4" width="4.85546875" style="155" customWidth="1"/>
    <col min="5" max="5" width="5.140625" style="155" customWidth="1"/>
    <col min="6" max="6" width="23.28515625" style="155" customWidth="1"/>
    <col min="7" max="7" width="10.140625" style="155" customWidth="1" collapsed="1"/>
    <col min="8" max="9" width="10.42578125" style="155" customWidth="1"/>
    <col min="10" max="10" width="9.140625" style="155" customWidth="1"/>
    <col min="11" max="11" width="9" style="155" customWidth="1"/>
    <col min="12" max="12" width="9.8554687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186</v>
      </c>
      <c r="C1" s="153"/>
      <c r="D1" s="153"/>
      <c r="E1" s="153"/>
      <c r="F1" s="153"/>
      <c r="G1" s="153"/>
      <c r="H1" s="153"/>
      <c r="I1" s="153"/>
      <c r="J1" s="153"/>
      <c r="K1" s="153"/>
      <c r="L1" s="153"/>
    </row>
    <row r="2" spans="1:32" ht="12" customHeight="1">
      <c r="C2" s="181"/>
    </row>
    <row r="3" spans="1:32" ht="12" customHeight="1">
      <c r="A3" s="157"/>
      <c r="B3" s="184" t="s">
        <v>200</v>
      </c>
      <c r="C3" s="223">
        <v>0.04</v>
      </c>
      <c r="F3" s="400" t="s">
        <v>204</v>
      </c>
      <c r="G3" s="400"/>
      <c r="H3" s="400"/>
      <c r="I3" s="400"/>
      <c r="J3" s="400"/>
      <c r="K3" s="400"/>
      <c r="L3" s="198"/>
      <c r="M3" s="198"/>
      <c r="N3" s="198"/>
      <c r="O3" s="198"/>
      <c r="P3" s="198"/>
      <c r="Q3" s="198"/>
    </row>
    <row r="4" spans="1:32" ht="12" customHeight="1">
      <c r="A4" s="162"/>
      <c r="B4" s="172" t="s">
        <v>201</v>
      </c>
      <c r="C4" s="93">
        <f ca="1">'Future Cashflows (10 Yrs)'!G28</f>
        <v>0.17001176437436083</v>
      </c>
      <c r="F4" s="108" t="s">
        <v>107</v>
      </c>
      <c r="G4" s="93">
        <f>'Risk Free Rate'!C4</f>
        <v>5.493E-2</v>
      </c>
      <c r="H4" s="168"/>
      <c r="I4" s="168"/>
      <c r="J4" s="168"/>
      <c r="K4" s="173"/>
      <c r="L4" s="274"/>
      <c r="M4" s="274"/>
      <c r="N4" s="274"/>
      <c r="O4" s="274"/>
      <c r="P4" s="274"/>
      <c r="Q4" s="156"/>
      <c r="S4" s="159"/>
      <c r="T4" s="159"/>
      <c r="U4" s="159"/>
      <c r="V4" s="159"/>
      <c r="AA4" s="159"/>
    </row>
    <row r="5" spans="1:32" ht="12" customHeight="1">
      <c r="A5" s="162"/>
      <c r="B5" s="176" t="s">
        <v>188</v>
      </c>
      <c r="C5" s="261">
        <f ca="1">C3/C4</f>
        <v>0.23527783590270374</v>
      </c>
      <c r="F5" s="108" t="s">
        <v>15</v>
      </c>
      <c r="G5" s="93">
        <f>'Equity Risk Premium - India'!F28</f>
        <v>4.1434519964197898E-2</v>
      </c>
      <c r="H5" s="168"/>
      <c r="I5" s="168"/>
      <c r="J5" s="168"/>
      <c r="K5" s="173"/>
      <c r="L5" s="47"/>
      <c r="M5" s="47"/>
      <c r="N5" s="47"/>
      <c r="O5" s="47"/>
      <c r="P5" s="47"/>
      <c r="Q5" s="47"/>
      <c r="S5" s="160"/>
      <c r="T5" s="160"/>
      <c r="U5" s="160"/>
      <c r="V5" s="160"/>
      <c r="W5" s="160"/>
      <c r="X5" s="160"/>
      <c r="Y5" s="160"/>
      <c r="Z5" s="160"/>
      <c r="AA5" s="160"/>
      <c r="AB5" s="160"/>
      <c r="AC5" s="160"/>
      <c r="AD5" s="160"/>
      <c r="AE5" s="160"/>
      <c r="AF5" s="160"/>
    </row>
    <row r="6" spans="1:32" ht="12" customHeight="1">
      <c r="A6" s="162"/>
      <c r="B6" s="168"/>
      <c r="C6" s="168"/>
      <c r="F6" s="108" t="s">
        <v>283</v>
      </c>
      <c r="G6" s="136">
        <f>Beta!C8</f>
        <v>0.64573512846441206</v>
      </c>
      <c r="H6" s="264" t="s">
        <v>320</v>
      </c>
      <c r="I6" s="168"/>
      <c r="J6" s="168"/>
      <c r="K6" s="173"/>
      <c r="L6" s="190"/>
      <c r="M6" s="190"/>
      <c r="N6" s="190"/>
      <c r="O6" s="190"/>
      <c r="P6" s="190"/>
      <c r="Q6" s="190"/>
      <c r="S6" s="160"/>
      <c r="T6" s="160"/>
      <c r="U6" s="160"/>
      <c r="V6" s="160"/>
      <c r="W6" s="160"/>
      <c r="X6" s="160"/>
      <c r="Y6" s="160"/>
      <c r="Z6" s="160"/>
      <c r="AA6" s="160"/>
      <c r="AB6" s="160"/>
      <c r="AC6" s="160"/>
      <c r="AD6" s="160"/>
      <c r="AE6" s="160"/>
      <c r="AF6" s="160"/>
    </row>
    <row r="7" spans="1:32" ht="12" customHeight="1">
      <c r="B7" s="172" t="s">
        <v>202</v>
      </c>
      <c r="C7" s="146">
        <f>'Future Cashflows (10 Yrs)'!F15</f>
        <v>2484.3239446047733</v>
      </c>
      <c r="F7" s="18"/>
      <c r="G7" s="18"/>
      <c r="H7" s="168"/>
      <c r="I7" s="168"/>
      <c r="J7" s="168"/>
      <c r="K7" s="168"/>
      <c r="N7" s="160"/>
      <c r="O7" s="160"/>
      <c r="P7" s="181"/>
      <c r="Q7" s="190"/>
      <c r="S7" s="160"/>
      <c r="T7" s="160"/>
      <c r="U7" s="160"/>
      <c r="V7" s="160"/>
      <c r="W7" s="160"/>
      <c r="X7" s="160"/>
      <c r="Y7" s="160"/>
      <c r="Z7" s="160"/>
      <c r="AA7" s="160"/>
      <c r="AB7" s="160"/>
      <c r="AC7" s="160"/>
      <c r="AD7" s="160"/>
      <c r="AE7" s="160"/>
      <c r="AF7" s="160"/>
    </row>
    <row r="8" spans="1:32" ht="12" customHeight="1">
      <c r="A8" s="162"/>
      <c r="B8" s="172" t="s">
        <v>203</v>
      </c>
      <c r="C8" s="93">
        <f>'Industry &amp; Revenues'!Q20</f>
        <v>0.25168000000000001</v>
      </c>
      <c r="F8" s="108" t="s">
        <v>12</v>
      </c>
      <c r="G8" s="55">
        <f>G4+G6*G5</f>
        <v>8.1685725071942578E-2</v>
      </c>
      <c r="H8" s="168"/>
      <c r="I8" s="168"/>
      <c r="J8" s="168"/>
      <c r="K8" s="265"/>
      <c r="O8" s="160"/>
      <c r="P8" s="160"/>
      <c r="Q8" s="160"/>
      <c r="R8" s="160"/>
      <c r="S8" s="160"/>
      <c r="T8" s="160"/>
      <c r="U8" s="160"/>
      <c r="V8" s="160"/>
      <c r="W8" s="160"/>
      <c r="X8" s="160"/>
      <c r="Y8" s="160"/>
      <c r="Z8" s="160"/>
      <c r="AA8" s="160"/>
      <c r="AB8" s="160"/>
      <c r="AC8" s="160"/>
      <c r="AD8" s="160"/>
      <c r="AE8" s="160"/>
      <c r="AF8" s="160"/>
    </row>
    <row r="9" spans="1:32" ht="12" customHeight="1">
      <c r="A9" s="162"/>
      <c r="B9" s="176" t="s">
        <v>152</v>
      </c>
      <c r="C9" s="177">
        <f>C7*(1-C8)</f>
        <v>1859.0692942266439</v>
      </c>
      <c r="F9" s="168"/>
      <c r="G9" s="168"/>
      <c r="H9" s="168"/>
      <c r="I9" s="168"/>
      <c r="J9" s="168"/>
      <c r="K9" s="238"/>
      <c r="O9" s="160"/>
      <c r="P9" s="160"/>
      <c r="Q9" s="160"/>
      <c r="R9" s="160"/>
      <c r="S9" s="160"/>
      <c r="T9" s="160"/>
      <c r="U9" s="160"/>
      <c r="V9" s="160"/>
      <c r="W9" s="160"/>
      <c r="X9" s="160"/>
      <c r="Y9" s="160"/>
      <c r="Z9" s="160"/>
      <c r="AA9" s="160"/>
      <c r="AB9" s="160"/>
      <c r="AC9" s="160"/>
      <c r="AD9" s="160"/>
      <c r="AE9" s="160"/>
      <c r="AF9" s="160"/>
    </row>
    <row r="10" spans="1:32">
      <c r="A10" s="158"/>
      <c r="B10" s="172"/>
      <c r="C10" s="269"/>
      <c r="F10" s="108" t="s">
        <v>110</v>
      </c>
      <c r="G10" s="95">
        <v>3.2140000000000002E-2</v>
      </c>
      <c r="H10" s="168"/>
      <c r="I10" s="168"/>
      <c r="J10" s="188"/>
      <c r="K10" s="238"/>
      <c r="O10" s="160"/>
      <c r="P10" s="160"/>
      <c r="Q10" s="160"/>
      <c r="R10" s="160"/>
      <c r="S10" s="160"/>
      <c r="T10" s="160"/>
      <c r="U10" s="160"/>
      <c r="V10" s="160"/>
      <c r="W10" s="160"/>
      <c r="X10" s="160"/>
      <c r="Y10" s="160"/>
      <c r="Z10" s="160"/>
      <c r="AA10" s="160"/>
      <c r="AB10" s="160"/>
      <c r="AC10" s="160"/>
      <c r="AD10" s="160"/>
      <c r="AE10" s="160"/>
      <c r="AF10" s="160"/>
    </row>
    <row r="11" spans="1:32" ht="12.75" customHeight="1">
      <c r="A11" s="162"/>
      <c r="B11" s="172" t="s">
        <v>205</v>
      </c>
      <c r="C11" s="270">
        <f ca="1">C9*(1-C5)</f>
        <v>1421.6714938878324</v>
      </c>
      <c r="F11" s="108" t="s">
        <v>109</v>
      </c>
      <c r="G11" s="136">
        <f>17.31/10.75</f>
        <v>1.6102325581395347</v>
      </c>
      <c r="H11" s="168"/>
      <c r="I11" s="168"/>
      <c r="J11" s="191"/>
      <c r="K11" s="238"/>
      <c r="O11" s="160"/>
      <c r="P11" s="160"/>
      <c r="Q11" s="160"/>
      <c r="R11" s="160"/>
      <c r="S11" s="160"/>
      <c r="T11" s="160"/>
      <c r="U11" s="160"/>
      <c r="V11" s="160"/>
      <c r="W11" s="160"/>
      <c r="X11" s="160"/>
      <c r="Y11" s="160"/>
      <c r="Z11" s="160"/>
      <c r="AA11" s="160"/>
      <c r="AB11" s="160"/>
      <c r="AC11" s="160"/>
      <c r="AD11" s="160"/>
      <c r="AE11" s="160"/>
      <c r="AF11" s="160"/>
    </row>
    <row r="12" spans="1:32">
      <c r="B12" s="238"/>
      <c r="C12" s="168"/>
      <c r="F12" s="108" t="s">
        <v>18</v>
      </c>
      <c r="G12" s="93">
        <f>'Risk Free Rate'!C8</f>
        <v>1.8700000000000001E-2</v>
      </c>
      <c r="H12" s="264"/>
      <c r="I12" s="168"/>
      <c r="J12" s="191"/>
      <c r="K12" s="238"/>
      <c r="L12" s="198"/>
      <c r="M12" s="198"/>
      <c r="N12" s="198"/>
      <c r="O12" s="198"/>
      <c r="P12" s="198"/>
      <c r="Q12" s="198"/>
      <c r="R12" s="160"/>
      <c r="S12" s="160"/>
      <c r="T12" s="160"/>
      <c r="U12" s="160"/>
      <c r="V12" s="160"/>
      <c r="W12" s="160"/>
      <c r="X12" s="160"/>
      <c r="Y12" s="160"/>
      <c r="Z12" s="160"/>
      <c r="AA12" s="160"/>
      <c r="AB12" s="160"/>
      <c r="AC12" s="160"/>
      <c r="AD12" s="160"/>
      <c r="AE12" s="160"/>
      <c r="AF12" s="160"/>
    </row>
    <row r="13" spans="1:32" ht="12" customHeight="1">
      <c r="A13" s="162"/>
      <c r="B13" s="51" t="s">
        <v>186</v>
      </c>
      <c r="C13" s="271">
        <f ca="1">C11/(G19-C3)</f>
        <v>34573.438266087214</v>
      </c>
      <c r="D13" s="2"/>
      <c r="E13" s="6"/>
      <c r="F13" s="51" t="s">
        <v>284</v>
      </c>
      <c r="G13" s="93">
        <v>6.7000000000000002E-3</v>
      </c>
      <c r="H13" s="264" t="s">
        <v>209</v>
      </c>
      <c r="I13" s="168"/>
      <c r="J13" s="191"/>
      <c r="K13" s="238"/>
      <c r="O13" s="160"/>
      <c r="P13" s="160"/>
      <c r="Q13" s="160"/>
      <c r="R13" s="160"/>
      <c r="S13" s="160"/>
      <c r="T13" s="160"/>
      <c r="U13" s="160"/>
      <c r="V13" s="160"/>
      <c r="W13" s="160"/>
      <c r="X13" s="160"/>
      <c r="Y13" s="160"/>
      <c r="Z13" s="160"/>
      <c r="AA13" s="160"/>
      <c r="AB13" s="160"/>
      <c r="AC13" s="160"/>
      <c r="AD13" s="160"/>
      <c r="AE13" s="160"/>
      <c r="AF13" s="160"/>
    </row>
    <row r="14" spans="1:32">
      <c r="D14" s="2"/>
      <c r="E14" s="6"/>
      <c r="F14" s="30"/>
      <c r="G14" s="18"/>
      <c r="H14" s="168"/>
      <c r="I14" s="168"/>
      <c r="J14" s="191"/>
      <c r="K14" s="238"/>
      <c r="O14" s="160"/>
      <c r="P14" s="160"/>
      <c r="Q14" s="160"/>
      <c r="R14" s="160"/>
      <c r="S14" s="160"/>
      <c r="T14" s="160"/>
      <c r="U14" s="160"/>
      <c r="V14" s="160"/>
      <c r="W14" s="160"/>
      <c r="X14" s="160"/>
      <c r="Y14" s="160"/>
      <c r="Z14" s="160"/>
      <c r="AA14" s="160"/>
      <c r="AB14" s="160"/>
      <c r="AC14" s="160"/>
      <c r="AD14" s="160"/>
      <c r="AE14" s="160"/>
      <c r="AF14" s="160"/>
    </row>
    <row r="15" spans="1:32">
      <c r="D15" s="6"/>
      <c r="E15" s="6"/>
      <c r="F15" s="108" t="s">
        <v>13</v>
      </c>
      <c r="G15" s="55">
        <f>G10+(G11*G12)+G13</f>
        <v>6.8951348837209298E-2</v>
      </c>
      <c r="H15" s="168"/>
      <c r="I15" s="168"/>
      <c r="J15" s="191"/>
      <c r="K15" s="238"/>
      <c r="O15" s="160"/>
      <c r="P15" s="160"/>
      <c r="Q15" s="160"/>
      <c r="R15" s="160"/>
      <c r="S15" s="160"/>
      <c r="T15" s="160"/>
      <c r="U15" s="160"/>
      <c r="V15" s="160"/>
      <c r="W15" s="160"/>
      <c r="X15" s="160"/>
      <c r="Y15" s="160"/>
      <c r="Z15" s="160"/>
      <c r="AA15" s="160"/>
      <c r="AB15" s="160"/>
      <c r="AC15" s="160"/>
      <c r="AD15" s="160"/>
      <c r="AE15" s="160"/>
      <c r="AF15" s="160"/>
    </row>
    <row r="16" spans="1:32">
      <c r="B16" s="23"/>
      <c r="C16" s="77"/>
      <c r="D16" s="24"/>
      <c r="E16" s="6"/>
      <c r="F16" s="168"/>
      <c r="G16" s="168"/>
      <c r="H16" s="168"/>
      <c r="I16" s="168"/>
      <c r="J16" s="191"/>
      <c r="K16" s="238"/>
      <c r="O16" s="160"/>
      <c r="P16" s="160"/>
      <c r="Q16" s="160"/>
      <c r="R16" s="160"/>
      <c r="S16" s="160"/>
      <c r="T16" s="160"/>
      <c r="U16" s="160"/>
      <c r="V16" s="160"/>
      <c r="W16" s="160"/>
      <c r="X16" s="160"/>
      <c r="Y16" s="160"/>
      <c r="Z16" s="160"/>
      <c r="AA16" s="160"/>
      <c r="AB16" s="160"/>
      <c r="AC16" s="160"/>
      <c r="AD16" s="160"/>
      <c r="AE16" s="160"/>
      <c r="AF16" s="160"/>
    </row>
    <row r="17" spans="1:32">
      <c r="B17" s="23"/>
      <c r="C17" s="262"/>
      <c r="D17" s="6"/>
      <c r="E17" s="24"/>
      <c r="F17" s="172" t="s">
        <v>206</v>
      </c>
      <c r="G17" s="20">
        <f>WACC!$C$9/(WACC!$C$6+WACC!$C$9)</f>
        <v>1.8791057295746427E-2</v>
      </c>
      <c r="H17" s="168"/>
      <c r="I17" s="168"/>
      <c r="J17" s="191"/>
      <c r="K17" s="238"/>
      <c r="L17" s="160"/>
      <c r="O17" s="160"/>
      <c r="P17" s="160"/>
      <c r="Q17" s="160"/>
      <c r="R17" s="160"/>
      <c r="S17" s="160"/>
      <c r="T17" s="160"/>
      <c r="U17" s="160"/>
      <c r="V17" s="160"/>
      <c r="W17" s="160"/>
      <c r="X17" s="160"/>
      <c r="Y17" s="160"/>
      <c r="Z17" s="160"/>
      <c r="AA17" s="160"/>
      <c r="AB17" s="160"/>
      <c r="AC17" s="160"/>
      <c r="AD17" s="160"/>
      <c r="AE17" s="160"/>
      <c r="AF17" s="160"/>
    </row>
    <row r="18" spans="1:32">
      <c r="A18" s="162"/>
      <c r="B18" s="3"/>
      <c r="C18" s="3"/>
      <c r="D18" s="6"/>
      <c r="E18" s="6"/>
      <c r="F18" s="172" t="s">
        <v>207</v>
      </c>
      <c r="G18" s="266">
        <f>1-G17</f>
        <v>0.98120894270425363</v>
      </c>
      <c r="H18" s="168"/>
      <c r="I18" s="168"/>
      <c r="J18" s="191"/>
      <c r="K18" s="238"/>
      <c r="L18" s="160"/>
      <c r="M18" s="160"/>
      <c r="N18" s="160"/>
      <c r="O18" s="160"/>
      <c r="P18" s="160"/>
      <c r="Q18" s="160"/>
      <c r="R18" s="160"/>
      <c r="S18" s="160"/>
      <c r="T18" s="160"/>
      <c r="U18" s="160"/>
      <c r="V18" s="160"/>
      <c r="W18" s="160"/>
      <c r="X18" s="160"/>
      <c r="Y18" s="160"/>
      <c r="Z18" s="160"/>
      <c r="AA18" s="160"/>
      <c r="AB18" s="160"/>
      <c r="AC18" s="160"/>
      <c r="AD18" s="160"/>
      <c r="AE18" s="160"/>
      <c r="AF18" s="160"/>
    </row>
    <row r="19" spans="1:32">
      <c r="B19" s="23"/>
      <c r="C19" s="58"/>
      <c r="D19" s="6"/>
      <c r="E19" s="6"/>
      <c r="F19" s="268" t="s">
        <v>208</v>
      </c>
      <c r="G19" s="267">
        <f>(G8*G18)+(G15*(1-C8)*G17)</f>
        <v>8.1120338768341058E-2</v>
      </c>
      <c r="J19" s="196"/>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1:32">
      <c r="A20" s="162"/>
      <c r="B20" s="3"/>
      <c r="C20" s="3"/>
      <c r="D20" s="6"/>
      <c r="E20" s="6"/>
      <c r="L20" s="160"/>
      <c r="M20" s="160"/>
      <c r="N20" s="160"/>
      <c r="O20" s="160"/>
      <c r="P20" s="160"/>
      <c r="Q20" s="160"/>
      <c r="R20" s="160"/>
      <c r="S20" s="160"/>
      <c r="T20" s="160"/>
      <c r="U20" s="160"/>
      <c r="V20" s="160"/>
      <c r="W20" s="160"/>
      <c r="X20" s="160"/>
      <c r="Y20" s="160"/>
      <c r="Z20" s="160"/>
      <c r="AA20" s="160"/>
      <c r="AB20" s="160"/>
      <c r="AC20" s="160"/>
      <c r="AD20" s="160"/>
      <c r="AE20" s="160"/>
      <c r="AF20" s="160"/>
    </row>
    <row r="21" spans="1:32">
      <c r="B21" s="53"/>
      <c r="C21" s="3"/>
      <c r="D21" s="6"/>
      <c r="E21" s="24"/>
      <c r="L21" s="160"/>
      <c r="M21" s="160"/>
      <c r="N21" s="160"/>
      <c r="O21" s="160"/>
      <c r="P21" s="160"/>
      <c r="Q21" s="160"/>
      <c r="R21" s="160"/>
      <c r="S21" s="160"/>
      <c r="T21" s="160"/>
      <c r="U21" s="160"/>
      <c r="V21" s="160"/>
      <c r="W21" s="160"/>
      <c r="X21" s="160"/>
      <c r="Y21" s="160"/>
      <c r="Z21" s="160"/>
      <c r="AA21" s="160"/>
      <c r="AB21" s="160"/>
      <c r="AC21" s="160"/>
      <c r="AD21" s="160"/>
      <c r="AE21" s="160"/>
      <c r="AF21" s="160"/>
    </row>
    <row r="22" spans="1:32">
      <c r="B22" s="2"/>
      <c r="C22" s="2"/>
      <c r="D22" s="2"/>
      <c r="E22" s="2"/>
      <c r="L22" s="160"/>
      <c r="M22" s="160"/>
      <c r="N22" s="160"/>
      <c r="O22" s="160"/>
      <c r="P22" s="160"/>
      <c r="Q22" s="160"/>
      <c r="R22" s="160"/>
      <c r="S22" s="160"/>
      <c r="T22" s="160"/>
      <c r="U22" s="160"/>
      <c r="V22" s="160"/>
      <c r="W22" s="160"/>
      <c r="X22" s="160"/>
      <c r="Y22" s="160"/>
      <c r="Z22" s="160"/>
      <c r="AA22" s="160"/>
      <c r="AB22" s="160"/>
      <c r="AC22" s="160"/>
      <c r="AD22" s="160"/>
      <c r="AE22" s="160"/>
      <c r="AF22" s="160"/>
    </row>
    <row r="23" spans="1:32" ht="12" customHeight="1">
      <c r="B23" s="16"/>
      <c r="C23" s="3"/>
      <c r="D23" s="6"/>
      <c r="E23" s="6"/>
      <c r="L23" s="160"/>
      <c r="M23" s="160"/>
      <c r="N23" s="160"/>
      <c r="O23" s="160"/>
      <c r="P23" s="160"/>
      <c r="Q23" s="160"/>
      <c r="R23" s="160"/>
      <c r="S23" s="160"/>
      <c r="T23" s="160"/>
      <c r="U23" s="160"/>
      <c r="V23" s="160"/>
      <c r="W23" s="160"/>
      <c r="X23" s="160"/>
      <c r="Y23" s="160"/>
      <c r="Z23" s="160"/>
      <c r="AA23" s="160"/>
      <c r="AB23" s="160"/>
      <c r="AC23" s="160"/>
      <c r="AD23" s="160"/>
      <c r="AE23" s="160"/>
      <c r="AF23" s="160"/>
    </row>
    <row r="24" spans="1:32">
      <c r="B24" s="3"/>
      <c r="C24" s="3"/>
      <c r="D24" s="6"/>
      <c r="E24" s="6"/>
      <c r="L24" s="160"/>
      <c r="M24" s="160"/>
      <c r="N24" s="160"/>
      <c r="O24" s="160"/>
      <c r="P24" s="160"/>
      <c r="Q24" s="160"/>
      <c r="R24" s="160"/>
      <c r="S24" s="160"/>
      <c r="T24" s="160"/>
      <c r="U24" s="160"/>
      <c r="V24" s="160"/>
      <c r="W24" s="160"/>
      <c r="X24" s="160"/>
      <c r="Y24" s="160"/>
      <c r="Z24" s="160"/>
      <c r="AA24" s="160"/>
      <c r="AB24" s="160"/>
      <c r="AC24" s="160"/>
      <c r="AD24" s="160"/>
      <c r="AE24" s="160"/>
      <c r="AF24" s="160"/>
    </row>
    <row r="25" spans="1:32">
      <c r="D25" s="6"/>
      <c r="E25" s="6"/>
      <c r="L25" s="160"/>
      <c r="M25" s="160"/>
      <c r="N25" s="160"/>
      <c r="O25" s="160"/>
      <c r="P25" s="160"/>
      <c r="Q25" s="160"/>
      <c r="R25" s="160"/>
      <c r="S25" s="160"/>
      <c r="T25" s="160"/>
      <c r="U25" s="160"/>
      <c r="V25" s="160"/>
      <c r="W25" s="160"/>
      <c r="X25" s="160"/>
      <c r="Y25" s="160"/>
      <c r="Z25" s="160"/>
      <c r="AA25" s="160"/>
      <c r="AB25" s="160"/>
      <c r="AC25" s="160"/>
      <c r="AD25" s="160"/>
      <c r="AE25" s="160"/>
      <c r="AF25" s="160"/>
    </row>
    <row r="26" spans="1:32">
      <c r="D26" s="6"/>
      <c r="E26" s="6"/>
      <c r="L26" s="160"/>
      <c r="M26" s="160"/>
      <c r="N26" s="160"/>
      <c r="O26" s="160"/>
      <c r="P26" s="160"/>
      <c r="Q26" s="160"/>
      <c r="R26" s="160"/>
      <c r="S26" s="160"/>
      <c r="T26" s="160"/>
      <c r="U26" s="160"/>
      <c r="V26" s="160"/>
      <c r="W26" s="160"/>
      <c r="X26" s="160"/>
      <c r="Y26" s="160"/>
      <c r="Z26" s="160"/>
      <c r="AA26" s="160"/>
      <c r="AB26" s="160"/>
      <c r="AC26" s="160"/>
      <c r="AD26" s="160"/>
      <c r="AE26" s="160"/>
      <c r="AF26" s="160"/>
    </row>
    <row r="27" spans="1:32">
      <c r="D27" s="24"/>
      <c r="E27" s="24"/>
      <c r="L27" s="160"/>
      <c r="M27" s="160"/>
      <c r="N27" s="160"/>
      <c r="O27" s="160"/>
      <c r="P27" s="160"/>
      <c r="Q27" s="160"/>
      <c r="R27" s="160"/>
      <c r="S27" s="160"/>
      <c r="T27" s="160"/>
      <c r="U27" s="160"/>
      <c r="V27" s="160"/>
      <c r="W27" s="160"/>
      <c r="X27" s="160"/>
      <c r="Y27" s="160"/>
      <c r="Z27" s="160"/>
      <c r="AA27" s="160"/>
      <c r="AB27" s="160"/>
      <c r="AC27" s="160"/>
      <c r="AD27" s="160"/>
      <c r="AE27" s="160"/>
      <c r="AF27" s="160"/>
    </row>
    <row r="28" spans="1:32">
      <c r="D28" s="6"/>
      <c r="E28" s="6"/>
      <c r="L28" s="160"/>
      <c r="M28" s="160"/>
      <c r="N28" s="160"/>
      <c r="O28" s="160"/>
      <c r="P28" s="160"/>
      <c r="Q28" s="160"/>
      <c r="R28" s="160"/>
      <c r="S28" s="160"/>
      <c r="T28" s="160"/>
      <c r="U28" s="160"/>
      <c r="V28" s="160"/>
      <c r="W28" s="160"/>
      <c r="X28" s="160"/>
      <c r="Y28" s="160"/>
      <c r="Z28" s="160"/>
      <c r="AA28" s="160"/>
      <c r="AB28" s="160"/>
      <c r="AC28" s="160"/>
      <c r="AD28" s="160"/>
      <c r="AE28" s="160"/>
      <c r="AF28" s="160"/>
    </row>
    <row r="29" spans="1:32">
      <c r="D29" s="6"/>
      <c r="E29" s="6"/>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1:32" ht="14.25" customHeight="1">
      <c r="D30" s="6"/>
      <c r="E30" s="6"/>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1:32">
      <c r="B31" s="108"/>
      <c r="C31" s="108"/>
      <c r="D31" s="24"/>
      <c r="E31" s="24"/>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1:32">
      <c r="B32" s="138"/>
      <c r="C32" s="18"/>
      <c r="D32" s="3"/>
      <c r="E32" s="3"/>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7:32">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7:32">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7:32">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7: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7: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7: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sheetData>
  <mergeCells count="1">
    <mergeCell ref="F3:K3"/>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240</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55" customWidth="1"/>
    <col min="2" max="2" width="36.7109375" style="155" customWidth="1"/>
    <col min="3" max="3" width="13" style="155" customWidth="1"/>
    <col min="4" max="4" width="4.28515625" style="155" customWidth="1"/>
    <col min="5" max="5" width="10.7109375" style="155" customWidth="1"/>
    <col min="6" max="6" width="16.85546875" style="155" customWidth="1"/>
    <col min="7" max="7" width="10.140625" style="155" customWidth="1" collapsed="1"/>
    <col min="8" max="9" width="10.42578125" style="155" customWidth="1"/>
    <col min="10" max="10" width="9.140625" style="155" customWidth="1"/>
    <col min="11" max="11" width="9" style="155" customWidth="1"/>
    <col min="12" max="12" width="9.85546875" style="155" customWidth="1"/>
    <col min="13" max="26" width="9.140625" style="155" customWidth="1"/>
    <col min="27" max="27" width="9.28515625" style="155" customWidth="1"/>
    <col min="28" max="28" width="9.42578125" style="155" customWidth="1"/>
    <col min="29" max="29" width="10" style="155" customWidth="1"/>
    <col min="30" max="30" width="11.42578125" style="155" customWidth="1"/>
    <col min="31" max="31" width="9.42578125" style="155" bestFit="1" customWidth="1" collapsed="1"/>
    <col min="32" max="16384" width="9.140625" style="155"/>
  </cols>
  <sheetData>
    <row r="1" spans="1:32" s="154" customFormat="1" ht="15" customHeight="1">
      <c r="B1" s="16" t="s">
        <v>212</v>
      </c>
      <c r="C1" s="153"/>
      <c r="D1" s="153"/>
      <c r="E1" s="153"/>
      <c r="F1" s="153"/>
      <c r="G1" s="153"/>
      <c r="H1" s="153"/>
      <c r="I1" s="153"/>
      <c r="J1" s="153"/>
      <c r="K1" s="153"/>
      <c r="L1" s="153"/>
    </row>
    <row r="2" spans="1:32" ht="12" customHeight="1">
      <c r="C2" s="181"/>
    </row>
    <row r="3" spans="1:32" ht="12" customHeight="1">
      <c r="A3" s="157"/>
      <c r="B3" s="168"/>
      <c r="C3" s="285" t="s">
        <v>122</v>
      </c>
      <c r="D3" s="273"/>
      <c r="E3" s="164"/>
      <c r="F3" s="156"/>
      <c r="G3" s="198"/>
      <c r="H3" s="198"/>
      <c r="I3" s="198"/>
      <c r="J3" s="198"/>
      <c r="K3" s="198"/>
      <c r="L3" s="198"/>
      <c r="M3" s="198"/>
      <c r="N3" s="198"/>
      <c r="O3" s="198"/>
      <c r="P3" s="198"/>
      <c r="Q3" s="198"/>
    </row>
    <row r="4" spans="1:32" ht="12" customHeight="1">
      <c r="A4" s="162"/>
      <c r="B4" s="172" t="s">
        <v>216</v>
      </c>
      <c r="C4" s="283">
        <v>558.9</v>
      </c>
      <c r="D4" s="278"/>
      <c r="E4" s="280"/>
      <c r="F4" s="279"/>
      <c r="G4" s="274"/>
      <c r="H4" s="274"/>
      <c r="I4" s="274"/>
      <c r="J4" s="274"/>
      <c r="K4" s="274"/>
      <c r="L4" s="274"/>
      <c r="M4" s="274"/>
      <c r="N4" s="274"/>
      <c r="O4" s="274"/>
      <c r="P4" s="274"/>
      <c r="Q4" s="156"/>
      <c r="S4" s="159"/>
      <c r="T4" s="159"/>
      <c r="U4" s="159"/>
      <c r="V4" s="159"/>
      <c r="AA4" s="159"/>
    </row>
    <row r="5" spans="1:32" ht="12" customHeight="1">
      <c r="A5" s="162"/>
      <c r="B5" s="172" t="s">
        <v>217</v>
      </c>
      <c r="C5" s="283">
        <v>12.77</v>
      </c>
      <c r="D5" s="278"/>
      <c r="E5" s="278"/>
      <c r="F5" s="278"/>
      <c r="G5" s="47"/>
      <c r="H5" s="47"/>
      <c r="I5" s="47"/>
      <c r="J5" s="190"/>
      <c r="K5" s="47"/>
      <c r="L5" s="47"/>
      <c r="M5" s="47"/>
      <c r="N5" s="47"/>
      <c r="O5" s="47"/>
      <c r="P5" s="47"/>
      <c r="Q5" s="47"/>
      <c r="S5" s="160"/>
      <c r="T5" s="160"/>
      <c r="U5" s="160"/>
      <c r="V5" s="160"/>
      <c r="W5" s="160"/>
      <c r="X5" s="160"/>
      <c r="Y5" s="160"/>
      <c r="Z5" s="160"/>
      <c r="AA5" s="160"/>
      <c r="AB5" s="160"/>
      <c r="AC5" s="160"/>
      <c r="AD5" s="160"/>
      <c r="AE5" s="160"/>
      <c r="AF5" s="160"/>
    </row>
    <row r="6" spans="1:32" ht="12" customHeight="1">
      <c r="A6" s="162"/>
      <c r="B6" s="176" t="s">
        <v>218</v>
      </c>
      <c r="C6" s="177">
        <f>C4+C5</f>
        <v>571.66999999999996</v>
      </c>
      <c r="D6" s="278"/>
      <c r="E6" s="278"/>
      <c r="F6" s="278"/>
      <c r="G6" s="190"/>
      <c r="H6" s="190"/>
      <c r="I6" s="190"/>
      <c r="J6" s="190"/>
      <c r="K6" s="190"/>
      <c r="L6" s="190"/>
      <c r="M6" s="190"/>
      <c r="N6" s="190"/>
      <c r="O6" s="190"/>
      <c r="P6" s="190"/>
      <c r="Q6" s="190"/>
      <c r="S6" s="160"/>
      <c r="T6" s="160"/>
      <c r="U6" s="160"/>
      <c r="V6" s="160"/>
      <c r="W6" s="160"/>
      <c r="X6" s="160"/>
      <c r="Y6" s="160"/>
      <c r="Z6" s="160"/>
      <c r="AA6" s="160"/>
      <c r="AB6" s="160"/>
      <c r="AC6" s="160"/>
      <c r="AD6" s="160"/>
      <c r="AE6" s="160"/>
      <c r="AF6" s="160"/>
    </row>
    <row r="7" spans="1:32" ht="12" customHeight="1">
      <c r="B7" s="172"/>
      <c r="C7" s="281"/>
      <c r="D7" s="278"/>
      <c r="E7" s="278"/>
      <c r="F7" s="278"/>
      <c r="G7" s="190"/>
      <c r="I7" s="158"/>
      <c r="J7" s="182"/>
      <c r="N7" s="160"/>
      <c r="O7" s="160"/>
      <c r="P7" s="181"/>
      <c r="Q7" s="190"/>
      <c r="S7" s="160"/>
      <c r="T7" s="160"/>
      <c r="U7" s="160"/>
      <c r="V7" s="160"/>
      <c r="W7" s="160"/>
      <c r="X7" s="160"/>
      <c r="Y7" s="160"/>
      <c r="Z7" s="160"/>
      <c r="AA7" s="160"/>
      <c r="AB7" s="160"/>
      <c r="AC7" s="160"/>
      <c r="AD7" s="160"/>
      <c r="AE7" s="160"/>
      <c r="AF7" s="160"/>
    </row>
    <row r="8" spans="1:32" ht="12" customHeight="1">
      <c r="A8" s="162"/>
      <c r="B8" s="260" t="s">
        <v>214</v>
      </c>
      <c r="C8" s="283">
        <v>291.18</v>
      </c>
      <c r="D8" s="278"/>
      <c r="E8" s="278"/>
      <c r="F8" s="278"/>
      <c r="G8" s="258"/>
      <c r="H8" s="190"/>
      <c r="J8" s="253"/>
      <c r="K8" s="254"/>
      <c r="O8" s="160"/>
      <c r="P8" s="160"/>
      <c r="Q8" s="160"/>
      <c r="R8" s="160"/>
      <c r="S8" s="160"/>
      <c r="T8" s="160"/>
      <c r="U8" s="160"/>
      <c r="V8" s="160"/>
      <c r="W8" s="160"/>
      <c r="X8" s="160"/>
      <c r="Y8" s="160"/>
      <c r="Z8" s="160"/>
      <c r="AA8" s="160"/>
      <c r="AB8" s="160"/>
      <c r="AC8" s="160"/>
      <c r="AD8" s="160"/>
      <c r="AE8" s="160"/>
      <c r="AF8" s="160"/>
    </row>
    <row r="9" spans="1:32" ht="12" customHeight="1">
      <c r="A9" s="162"/>
      <c r="B9" s="172" t="s">
        <v>215</v>
      </c>
      <c r="C9" s="283">
        <f>103.09+40</f>
        <v>143.09</v>
      </c>
      <c r="D9" s="278"/>
      <c r="E9" s="278"/>
      <c r="F9" s="278"/>
      <c r="G9" s="258"/>
      <c r="H9" s="190"/>
      <c r="J9" s="158"/>
      <c r="K9" s="182"/>
      <c r="O9" s="160"/>
      <c r="P9" s="160"/>
      <c r="Q9" s="160"/>
      <c r="R9" s="160"/>
      <c r="S9" s="160"/>
      <c r="T9" s="160"/>
      <c r="U9" s="160"/>
      <c r="V9" s="160"/>
      <c r="W9" s="160"/>
      <c r="X9" s="160"/>
      <c r="Y9" s="160"/>
      <c r="Z9" s="160"/>
      <c r="AA9" s="160"/>
      <c r="AB9" s="160"/>
      <c r="AC9" s="160"/>
      <c r="AD9" s="160"/>
      <c r="AE9" s="160"/>
      <c r="AF9" s="160"/>
    </row>
    <row r="10" spans="1:32">
      <c r="A10" s="158"/>
      <c r="B10" s="282" t="s">
        <v>213</v>
      </c>
      <c r="C10" s="284">
        <f>C8+C9</f>
        <v>434.27</v>
      </c>
      <c r="D10" s="278"/>
      <c r="E10" s="381"/>
      <c r="F10" s="278"/>
      <c r="G10" s="198"/>
      <c r="H10" s="198"/>
      <c r="I10" s="198"/>
      <c r="J10" s="198"/>
      <c r="K10" s="198"/>
      <c r="O10" s="160"/>
      <c r="P10" s="160"/>
      <c r="Q10" s="160"/>
      <c r="R10" s="160"/>
      <c r="S10" s="160"/>
      <c r="T10" s="160"/>
      <c r="U10" s="160"/>
      <c r="V10" s="160"/>
      <c r="W10" s="160"/>
      <c r="X10" s="160"/>
      <c r="Y10" s="160"/>
      <c r="Z10" s="160"/>
      <c r="AA10" s="160"/>
      <c r="AB10" s="160"/>
      <c r="AC10" s="160"/>
      <c r="AD10" s="160"/>
      <c r="AE10" s="160"/>
      <c r="AF10" s="160"/>
    </row>
    <row r="11" spans="1:32" ht="12.75" customHeight="1">
      <c r="A11" s="162"/>
      <c r="D11" s="278"/>
      <c r="E11" s="278"/>
      <c r="F11" s="278"/>
      <c r="G11" s="77"/>
      <c r="K11" s="182"/>
      <c r="O11" s="160"/>
      <c r="P11" s="160"/>
      <c r="Q11" s="160"/>
      <c r="R11" s="160"/>
      <c r="S11" s="160"/>
      <c r="T11" s="160"/>
      <c r="U11" s="160"/>
      <c r="V11" s="160"/>
      <c r="W11" s="160"/>
      <c r="X11" s="160"/>
      <c r="Y11" s="160"/>
      <c r="Z11" s="160"/>
      <c r="AA11" s="160"/>
      <c r="AB11" s="160"/>
      <c r="AC11" s="160"/>
      <c r="AD11" s="160"/>
      <c r="AE11" s="160"/>
      <c r="AF11" s="160"/>
    </row>
    <row r="12" spans="1:32">
      <c r="B12" s="172" t="s">
        <v>219</v>
      </c>
      <c r="C12" s="218">
        <f>'Expected Growth Rate'!C9</f>
        <v>0.10355750111566241</v>
      </c>
      <c r="D12" s="278"/>
      <c r="E12" s="278"/>
      <c r="F12" s="278"/>
      <c r="G12" s="77"/>
      <c r="K12" s="182"/>
      <c r="L12" s="198"/>
      <c r="M12" s="198"/>
      <c r="N12" s="198"/>
      <c r="O12" s="198"/>
      <c r="P12" s="198"/>
      <c r="Q12" s="198"/>
      <c r="R12" s="160"/>
      <c r="S12" s="160"/>
      <c r="T12" s="160"/>
      <c r="U12" s="160"/>
      <c r="V12" s="160"/>
      <c r="W12" s="160"/>
      <c r="X12" s="160"/>
      <c r="Y12" s="160"/>
      <c r="Z12" s="160"/>
      <c r="AA12" s="160"/>
      <c r="AB12" s="160"/>
      <c r="AC12" s="160"/>
      <c r="AD12" s="160"/>
      <c r="AE12" s="160"/>
      <c r="AF12" s="160"/>
    </row>
    <row r="13" spans="1:32" ht="12" customHeight="1">
      <c r="A13" s="162"/>
      <c r="B13" s="172" t="s">
        <v>11</v>
      </c>
      <c r="C13" s="218">
        <f>WACC!C14</f>
        <v>8.1080097399187312E-2</v>
      </c>
      <c r="D13" s="278"/>
      <c r="E13" s="278"/>
      <c r="F13" s="278"/>
      <c r="G13" s="262"/>
      <c r="H13" s="163"/>
      <c r="K13" s="182"/>
      <c r="O13" s="160"/>
      <c r="P13" s="160"/>
      <c r="Q13" s="160"/>
      <c r="R13" s="160"/>
      <c r="S13" s="160"/>
      <c r="T13" s="160"/>
      <c r="U13" s="160"/>
      <c r="V13" s="160"/>
      <c r="W13" s="160"/>
      <c r="X13" s="160"/>
      <c r="Y13" s="160"/>
      <c r="Z13" s="160"/>
      <c r="AA13" s="160"/>
      <c r="AB13" s="160"/>
      <c r="AC13" s="160"/>
      <c r="AD13" s="160"/>
      <c r="AE13" s="160"/>
      <c r="AF13" s="160"/>
    </row>
    <row r="14" spans="1:32">
      <c r="B14" s="176" t="s">
        <v>319</v>
      </c>
      <c r="C14" s="286">
        <f>C12-C13</f>
        <v>2.2477403716475094E-2</v>
      </c>
      <c r="D14" s="278"/>
      <c r="E14" s="278"/>
      <c r="F14" s="278"/>
      <c r="G14" s="3"/>
      <c r="O14" s="160"/>
      <c r="P14" s="160"/>
      <c r="Q14" s="160"/>
      <c r="R14" s="160"/>
      <c r="S14" s="160"/>
      <c r="T14" s="160"/>
      <c r="U14" s="160"/>
      <c r="V14" s="160"/>
      <c r="W14" s="160"/>
      <c r="X14" s="160"/>
      <c r="Y14" s="160"/>
      <c r="Z14" s="160"/>
      <c r="AA14" s="160"/>
      <c r="AB14" s="160"/>
      <c r="AC14" s="160"/>
      <c r="AD14" s="160"/>
      <c r="AE14" s="160"/>
      <c r="AF14" s="160"/>
    </row>
    <row r="15" spans="1:32">
      <c r="D15" s="278"/>
      <c r="E15" s="278"/>
      <c r="F15" s="278"/>
      <c r="G15" s="58"/>
      <c r="K15" s="255"/>
      <c r="O15" s="160"/>
      <c r="P15" s="160"/>
      <c r="Q15" s="160"/>
      <c r="R15" s="160"/>
      <c r="S15" s="160"/>
      <c r="T15" s="160"/>
      <c r="U15" s="160"/>
      <c r="V15" s="160"/>
      <c r="W15" s="160"/>
      <c r="X15" s="160"/>
      <c r="Y15" s="160"/>
      <c r="Z15" s="160"/>
      <c r="AA15" s="160"/>
      <c r="AB15" s="160"/>
      <c r="AC15" s="160"/>
      <c r="AD15" s="160"/>
      <c r="AE15" s="160"/>
      <c r="AF15" s="160"/>
    </row>
    <row r="16" spans="1:32">
      <c r="B16" s="172" t="s">
        <v>220</v>
      </c>
      <c r="C16" s="179">
        <f>(C6+C10)*(1+C14)</f>
        <v>1028.5509194945507</v>
      </c>
      <c r="D16" s="278"/>
      <c r="E16" s="278"/>
      <c r="F16" s="278"/>
      <c r="K16" s="160"/>
      <c r="O16" s="160"/>
      <c r="P16" s="160"/>
      <c r="Q16" s="160"/>
      <c r="R16" s="160"/>
      <c r="S16" s="160"/>
      <c r="T16" s="160"/>
      <c r="U16" s="160"/>
      <c r="V16" s="160"/>
      <c r="W16" s="160"/>
      <c r="X16" s="160"/>
      <c r="Y16" s="160"/>
      <c r="Z16" s="160"/>
      <c r="AA16" s="160"/>
      <c r="AB16" s="160"/>
      <c r="AC16" s="160"/>
      <c r="AD16" s="160"/>
      <c r="AE16" s="160"/>
      <c r="AF16" s="160"/>
    </row>
    <row r="17" spans="1:32">
      <c r="D17" s="278"/>
      <c r="E17" s="278"/>
      <c r="F17" s="278"/>
      <c r="G17" s="84"/>
      <c r="J17" s="164"/>
      <c r="K17" s="160"/>
      <c r="L17" s="160"/>
      <c r="O17" s="160"/>
      <c r="P17" s="160"/>
      <c r="Q17" s="160"/>
      <c r="R17" s="160"/>
      <c r="S17" s="160"/>
      <c r="T17" s="160"/>
      <c r="U17" s="160"/>
      <c r="V17" s="160"/>
      <c r="W17" s="160"/>
      <c r="X17" s="160"/>
      <c r="Y17" s="160"/>
      <c r="Z17" s="160"/>
      <c r="AA17" s="160"/>
      <c r="AB17" s="160"/>
      <c r="AC17" s="160"/>
      <c r="AD17" s="160"/>
      <c r="AE17" s="160"/>
      <c r="AF17" s="160"/>
    </row>
    <row r="18" spans="1:32">
      <c r="A18" s="162"/>
      <c r="B18" s="158"/>
      <c r="C18" s="278"/>
      <c r="D18" s="278"/>
      <c r="E18" s="278"/>
      <c r="F18" s="278"/>
      <c r="G18" s="262"/>
      <c r="J18" s="19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1:32">
      <c r="C19" s="278"/>
      <c r="D19" s="278"/>
      <c r="E19" s="278"/>
      <c r="F19" s="278"/>
      <c r="G19" s="77"/>
      <c r="H19" s="163"/>
      <c r="J19" s="19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1:32">
      <c r="A20" s="162"/>
      <c r="C20" s="278"/>
      <c r="D20" s="278"/>
      <c r="E20" s="278"/>
      <c r="F20" s="278"/>
      <c r="G20" s="77"/>
      <c r="H20" s="163"/>
      <c r="J20" s="19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1:32">
      <c r="C21" s="278"/>
      <c r="D21" s="278"/>
      <c r="E21" s="278"/>
      <c r="F21" s="278"/>
      <c r="G21" s="3"/>
      <c r="J21" s="19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1:32">
      <c r="E22" s="3"/>
      <c r="F22" s="23"/>
      <c r="G22" s="58"/>
      <c r="J22" s="19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1:32" ht="12" customHeight="1">
      <c r="E23" s="6"/>
      <c r="J23" s="19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1:32">
      <c r="E24" s="6"/>
      <c r="F24" s="158"/>
      <c r="G24" s="19"/>
      <c r="J24" s="19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1:32">
      <c r="E25" s="6"/>
      <c r="F25" s="158"/>
      <c r="G25" s="275"/>
      <c r="J25" s="190"/>
      <c r="K25" s="160"/>
      <c r="L25" s="160"/>
      <c r="M25" s="160"/>
      <c r="N25" s="160"/>
      <c r="O25" s="160"/>
      <c r="P25" s="160"/>
      <c r="Q25" s="160"/>
      <c r="R25" s="160"/>
      <c r="S25" s="160"/>
      <c r="T25" s="160"/>
      <c r="U25" s="160"/>
      <c r="V25" s="160"/>
      <c r="W25" s="160"/>
      <c r="X25" s="160"/>
      <c r="Y25" s="160"/>
      <c r="Z25" s="160"/>
      <c r="AA25" s="160"/>
      <c r="AB25" s="160"/>
      <c r="AC25" s="160"/>
      <c r="AD25" s="160"/>
      <c r="AE25" s="160"/>
      <c r="AF25" s="160"/>
    </row>
    <row r="26" spans="1:32">
      <c r="D26" s="6"/>
      <c r="E26" s="6"/>
      <c r="F26" s="158"/>
      <c r="G26" s="77"/>
      <c r="J26" s="196"/>
      <c r="K26" s="160"/>
      <c r="L26" s="160"/>
      <c r="M26" s="160"/>
      <c r="N26" s="160"/>
      <c r="O26" s="160"/>
      <c r="P26" s="160"/>
      <c r="Q26" s="160"/>
      <c r="R26" s="160"/>
      <c r="S26" s="160"/>
      <c r="T26" s="160"/>
      <c r="U26" s="160"/>
      <c r="V26" s="160"/>
      <c r="W26" s="160"/>
      <c r="X26" s="160"/>
      <c r="Y26" s="160"/>
      <c r="Z26" s="160"/>
      <c r="AA26" s="160"/>
      <c r="AB26" s="160"/>
      <c r="AC26" s="160"/>
      <c r="AD26" s="160"/>
      <c r="AE26" s="160"/>
      <c r="AF26" s="160"/>
    </row>
    <row r="27" spans="1:32">
      <c r="D27" s="24"/>
      <c r="E27" s="24"/>
      <c r="L27" s="160"/>
      <c r="M27" s="160"/>
      <c r="N27" s="160"/>
      <c r="O27" s="160"/>
      <c r="P27" s="160"/>
      <c r="Q27" s="160"/>
      <c r="R27" s="160"/>
      <c r="S27" s="160"/>
      <c r="T27" s="160"/>
      <c r="U27" s="160"/>
      <c r="V27" s="160"/>
      <c r="W27" s="160"/>
      <c r="X27" s="160"/>
      <c r="Y27" s="160"/>
      <c r="Z27" s="160"/>
      <c r="AA27" s="160"/>
      <c r="AB27" s="160"/>
      <c r="AC27" s="160"/>
      <c r="AD27" s="160"/>
      <c r="AE27" s="160"/>
      <c r="AF27" s="160"/>
    </row>
    <row r="28" spans="1:32">
      <c r="D28" s="6"/>
      <c r="E28" s="6"/>
      <c r="L28" s="160"/>
      <c r="M28" s="160"/>
      <c r="N28" s="160"/>
      <c r="O28" s="160"/>
      <c r="P28" s="160"/>
      <c r="Q28" s="160"/>
      <c r="R28" s="160"/>
      <c r="S28" s="160"/>
      <c r="T28" s="160"/>
      <c r="U28" s="160"/>
      <c r="V28" s="160"/>
      <c r="W28" s="160"/>
      <c r="X28" s="160"/>
      <c r="Y28" s="160"/>
      <c r="Z28" s="160"/>
      <c r="AA28" s="160"/>
      <c r="AB28" s="160"/>
      <c r="AC28" s="160"/>
      <c r="AD28" s="160"/>
      <c r="AE28" s="160"/>
      <c r="AF28" s="160"/>
    </row>
    <row r="29" spans="1:32">
      <c r="D29" s="6"/>
      <c r="E29" s="6"/>
      <c r="K29" s="160"/>
      <c r="L29" s="160"/>
      <c r="M29" s="160"/>
      <c r="N29" s="160"/>
      <c r="O29" s="160"/>
      <c r="P29" s="160"/>
      <c r="Q29" s="160"/>
      <c r="R29" s="160"/>
      <c r="S29" s="160"/>
      <c r="T29" s="160"/>
      <c r="U29" s="160"/>
      <c r="V29" s="160"/>
      <c r="W29" s="160"/>
      <c r="X29" s="160"/>
      <c r="Y29" s="160"/>
      <c r="Z29" s="160"/>
      <c r="AA29" s="160"/>
      <c r="AB29" s="160"/>
      <c r="AC29" s="160"/>
      <c r="AD29" s="160"/>
      <c r="AE29" s="160"/>
      <c r="AF29" s="160"/>
    </row>
    <row r="30" spans="1:32" ht="14.25" customHeight="1">
      <c r="D30" s="6"/>
      <c r="E30" s="6"/>
      <c r="K30" s="160"/>
      <c r="L30" s="160"/>
      <c r="M30" s="160"/>
      <c r="N30" s="160"/>
      <c r="O30" s="160"/>
      <c r="P30" s="160"/>
      <c r="Q30" s="160"/>
      <c r="R30" s="160"/>
      <c r="S30" s="160"/>
      <c r="T30" s="160"/>
      <c r="U30" s="160"/>
      <c r="V30" s="160"/>
      <c r="W30" s="160"/>
      <c r="X30" s="160"/>
      <c r="Y30" s="160"/>
      <c r="Z30" s="160"/>
      <c r="AA30" s="160"/>
      <c r="AB30" s="160"/>
      <c r="AC30" s="160"/>
      <c r="AD30" s="160"/>
      <c r="AE30" s="160"/>
      <c r="AF30" s="160"/>
    </row>
    <row r="31" spans="1:32">
      <c r="D31" s="24"/>
      <c r="E31" s="24"/>
      <c r="G31" s="160"/>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row>
    <row r="32" spans="1:32">
      <c r="D32" s="3"/>
      <c r="E32" s="3"/>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row>
    <row r="33" spans="4:32">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row>
    <row r="34" spans="4:32">
      <c r="D34" s="23"/>
      <c r="E34" s="23"/>
      <c r="G34" s="160"/>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row>
    <row r="35" spans="4:32">
      <c r="D35" s="53"/>
      <c r="E35" s="3"/>
      <c r="G35" s="160"/>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row>
    <row r="36" spans="4:32">
      <c r="G36" s="160"/>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row>
    <row r="37" spans="4:32">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row>
    <row r="38" spans="4:32">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38"/>
  <sheetViews>
    <sheetView workbookViewId="0"/>
  </sheetViews>
  <sheetFormatPr defaultRowHeight="12"/>
  <cols>
    <col min="1" max="1" width="2" style="155" customWidth="1"/>
    <col min="2" max="2" width="36.85546875" style="155" customWidth="1"/>
    <col min="3" max="3" width="14.7109375" style="155" customWidth="1"/>
    <col min="4" max="4" width="15" style="155" customWidth="1"/>
    <col min="5" max="5" width="12.140625" style="155" customWidth="1"/>
    <col min="6" max="6" width="24.85546875" style="155" customWidth="1"/>
    <col min="7" max="7" width="16.5703125" style="155" customWidth="1"/>
    <col min="8" max="8" width="27.28515625" style="155" bestFit="1" customWidth="1" collapsed="1"/>
    <col min="9" max="9" width="18.42578125" style="155" bestFit="1" customWidth="1"/>
    <col min="10" max="10" width="10.42578125" style="155" customWidth="1"/>
    <col min="11" max="11" width="9.140625" style="155" customWidth="1"/>
    <col min="12" max="12" width="9" style="155" customWidth="1"/>
    <col min="13" max="13" width="9.85546875" style="155" customWidth="1"/>
    <col min="14" max="27" width="9.140625" style="155" customWidth="1"/>
    <col min="28" max="28" width="9.28515625" style="155" customWidth="1"/>
    <col min="29" max="29" width="9.42578125" style="155" customWidth="1"/>
    <col min="30" max="30" width="10" style="155" customWidth="1"/>
    <col min="31" max="31" width="11.42578125" style="155" customWidth="1"/>
    <col min="32" max="32" width="9.42578125" style="155" bestFit="1" customWidth="1" collapsed="1"/>
    <col min="33" max="16384" width="9.140625" style="155"/>
  </cols>
  <sheetData>
    <row r="1" spans="1:32" s="154" customFormat="1" ht="15" customHeight="1">
      <c r="B1" s="16" t="s">
        <v>227</v>
      </c>
      <c r="C1" s="16"/>
      <c r="D1" s="153"/>
      <c r="E1" s="153"/>
      <c r="F1" s="153"/>
      <c r="G1" s="153"/>
      <c r="H1" s="153"/>
      <c r="I1" s="153"/>
      <c r="J1" s="153"/>
      <c r="K1" s="153"/>
      <c r="L1" s="153"/>
      <c r="M1" s="153"/>
    </row>
    <row r="2" spans="1:32" ht="12" customHeight="1">
      <c r="D2" s="181"/>
    </row>
    <row r="3" spans="1:32" ht="12" customHeight="1">
      <c r="A3" s="157"/>
      <c r="B3" s="168"/>
      <c r="C3" s="169" t="s">
        <v>122</v>
      </c>
      <c r="D3" s="273"/>
      <c r="G3" s="198"/>
      <c r="H3" s="400" t="s">
        <v>275</v>
      </c>
      <c r="I3" s="400"/>
      <c r="J3" s="198"/>
      <c r="K3" s="198"/>
      <c r="L3" s="198"/>
      <c r="M3" s="198"/>
      <c r="N3" s="198"/>
      <c r="O3" s="198"/>
      <c r="P3" s="198"/>
      <c r="Q3" s="198"/>
      <c r="R3" s="198"/>
    </row>
    <row r="4" spans="1:32" ht="12" customHeight="1">
      <c r="A4" s="162"/>
      <c r="B4" s="184" t="s">
        <v>348</v>
      </c>
      <c r="C4" s="185">
        <v>-38.08</v>
      </c>
      <c r="G4" s="274"/>
      <c r="H4" s="367" t="s">
        <v>276</v>
      </c>
      <c r="I4" s="368" t="s">
        <v>349</v>
      </c>
      <c r="J4" s="274"/>
      <c r="K4" s="274"/>
      <c r="L4" s="274"/>
      <c r="M4" s="274"/>
      <c r="N4" s="274"/>
      <c r="O4" s="274"/>
      <c r="P4" s="274"/>
      <c r="Q4" s="156"/>
      <c r="S4" s="159"/>
      <c r="T4" s="159"/>
      <c r="U4" s="159"/>
      <c r="V4" s="159"/>
      <c r="AA4" s="159"/>
    </row>
    <row r="5" spans="1:32" ht="12" customHeight="1">
      <c r="A5" s="162"/>
      <c r="B5" s="172" t="s">
        <v>349</v>
      </c>
      <c r="C5" s="385">
        <v>1.93</v>
      </c>
      <c r="G5" s="47"/>
      <c r="H5" s="73" t="s">
        <v>277</v>
      </c>
      <c r="I5" s="257">
        <v>1.65</v>
      </c>
      <c r="J5" s="190"/>
      <c r="K5" s="47"/>
      <c r="L5" s="47"/>
      <c r="M5" s="47"/>
      <c r="N5" s="47"/>
      <c r="O5" s="47"/>
      <c r="P5" s="47"/>
      <c r="Q5" s="47"/>
      <c r="S5" s="160"/>
      <c r="T5" s="160"/>
      <c r="U5" s="160"/>
      <c r="V5" s="160"/>
      <c r="W5" s="160"/>
      <c r="X5" s="160"/>
      <c r="Y5" s="160"/>
      <c r="Z5" s="160"/>
      <c r="AA5" s="160"/>
      <c r="AB5" s="160"/>
      <c r="AC5" s="160"/>
      <c r="AD5" s="160"/>
      <c r="AE5" s="160"/>
      <c r="AF5" s="160"/>
    </row>
    <row r="6" spans="1:32" ht="12" customHeight="1">
      <c r="A6" s="162"/>
      <c r="B6" s="357" t="s">
        <v>350</v>
      </c>
      <c r="C6" s="356">
        <f>C4*C5</f>
        <v>-73.494399999999999</v>
      </c>
      <c r="G6" s="190"/>
      <c r="H6" s="73" t="s">
        <v>278</v>
      </c>
      <c r="I6" s="257">
        <v>2.08</v>
      </c>
      <c r="J6" s="190"/>
      <c r="K6" s="190"/>
      <c r="L6" s="190"/>
      <c r="M6" s="190"/>
      <c r="N6" s="190"/>
      <c r="O6" s="190"/>
      <c r="P6" s="190"/>
      <c r="Q6" s="190"/>
      <c r="S6" s="160"/>
      <c r="T6" s="160"/>
      <c r="U6" s="160"/>
      <c r="V6" s="160"/>
      <c r="W6" s="160"/>
      <c r="X6" s="160"/>
      <c r="Y6" s="160"/>
      <c r="Z6" s="160"/>
      <c r="AA6" s="160"/>
      <c r="AB6" s="160"/>
      <c r="AC6" s="160"/>
      <c r="AD6" s="160"/>
      <c r="AE6" s="160"/>
      <c r="AF6" s="160"/>
    </row>
    <row r="7" spans="1:32" ht="12" customHeight="1">
      <c r="B7" s="168"/>
      <c r="C7" s="168"/>
      <c r="G7" s="190"/>
      <c r="H7" s="73" t="s">
        <v>279</v>
      </c>
      <c r="I7" s="257">
        <v>2.0699999999999998</v>
      </c>
      <c r="J7" s="182"/>
      <c r="N7" s="160"/>
      <c r="O7" s="160"/>
      <c r="P7" s="181"/>
      <c r="Q7" s="190"/>
      <c r="S7" s="160"/>
      <c r="T7" s="160"/>
      <c r="U7" s="160"/>
      <c r="V7" s="160"/>
      <c r="W7" s="160"/>
      <c r="X7" s="160"/>
      <c r="Y7" s="160"/>
      <c r="Z7" s="160"/>
      <c r="AA7" s="160"/>
      <c r="AB7" s="160"/>
      <c r="AC7" s="160"/>
      <c r="AD7" s="160"/>
      <c r="AE7" s="160"/>
      <c r="AF7" s="160"/>
    </row>
    <row r="8" spans="1:32" ht="12" customHeight="1">
      <c r="A8" s="162"/>
      <c r="B8" s="172" t="s">
        <v>353</v>
      </c>
      <c r="C8" s="173">
        <f>I30</f>
        <v>588.34726000000001</v>
      </c>
      <c r="G8" s="258"/>
      <c r="H8" s="378" t="s">
        <v>150</v>
      </c>
      <c r="I8" s="366">
        <f>AVERAGE(I5:I7)</f>
        <v>1.9333333333333333</v>
      </c>
      <c r="J8" s="253"/>
      <c r="K8" s="254"/>
      <c r="O8" s="160"/>
      <c r="P8" s="160"/>
      <c r="Q8" s="160"/>
      <c r="R8" s="160"/>
      <c r="S8" s="160"/>
      <c r="T8" s="160"/>
      <c r="U8" s="160"/>
      <c r="V8" s="160"/>
      <c r="W8" s="160"/>
      <c r="X8" s="160"/>
      <c r="Y8" s="160"/>
      <c r="Z8" s="160"/>
      <c r="AA8" s="160"/>
      <c r="AB8" s="160"/>
      <c r="AC8" s="160"/>
      <c r="AD8" s="160"/>
      <c r="AE8" s="160"/>
      <c r="AF8" s="160"/>
    </row>
    <row r="9" spans="1:32" ht="12" customHeight="1">
      <c r="A9" s="162"/>
      <c r="B9" s="357" t="s">
        <v>227</v>
      </c>
      <c r="C9" s="356">
        <f>C8+C6</f>
        <v>514.85285999999996</v>
      </c>
      <c r="G9" s="258"/>
      <c r="J9" s="158"/>
      <c r="K9" s="182"/>
      <c r="O9" s="160"/>
      <c r="P9" s="160"/>
      <c r="Q9" s="160"/>
      <c r="R9" s="160"/>
      <c r="S9" s="160"/>
      <c r="T9" s="160"/>
      <c r="U9" s="160"/>
      <c r="V9" s="160"/>
      <c r="W9" s="160"/>
      <c r="X9" s="160"/>
      <c r="Y9" s="160"/>
      <c r="Z9" s="160"/>
      <c r="AA9" s="160"/>
      <c r="AB9" s="160"/>
      <c r="AC9" s="160"/>
      <c r="AD9" s="160"/>
      <c r="AE9" s="160"/>
      <c r="AF9" s="160"/>
    </row>
    <row r="10" spans="1:32">
      <c r="A10" s="158"/>
      <c r="G10" s="198"/>
      <c r="H10" s="400" t="s">
        <v>360</v>
      </c>
      <c r="I10" s="400"/>
      <c r="J10" s="198"/>
      <c r="K10" s="198"/>
      <c r="O10" s="160"/>
      <c r="P10" s="160"/>
      <c r="Q10" s="160"/>
      <c r="R10" s="160"/>
      <c r="S10" s="160"/>
      <c r="T10" s="160"/>
      <c r="U10" s="160"/>
      <c r="V10" s="160"/>
      <c r="W10" s="160"/>
      <c r="X10" s="160"/>
      <c r="Y10" s="160"/>
      <c r="Z10" s="160"/>
      <c r="AA10" s="160"/>
      <c r="AB10" s="160"/>
      <c r="AC10" s="160"/>
      <c r="AD10" s="160"/>
      <c r="AE10" s="160"/>
      <c r="AF10" s="160"/>
    </row>
    <row r="11" spans="1:32" ht="12.75" customHeight="1">
      <c r="A11" s="162"/>
      <c r="B11" s="215" t="s">
        <v>337</v>
      </c>
      <c r="C11" s="214" t="s">
        <v>325</v>
      </c>
      <c r="D11" s="277" t="s">
        <v>345</v>
      </c>
      <c r="E11" s="214" t="s">
        <v>210</v>
      </c>
      <c r="F11" s="214" t="s">
        <v>211</v>
      </c>
      <c r="G11" s="77"/>
      <c r="H11" s="367" t="s">
        <v>354</v>
      </c>
      <c r="I11" s="368" t="s">
        <v>349</v>
      </c>
      <c r="K11" s="182"/>
      <c r="O11" s="160"/>
      <c r="P11" s="160"/>
      <c r="Q11" s="160"/>
      <c r="R11" s="160"/>
      <c r="S11" s="160"/>
      <c r="T11" s="160"/>
      <c r="U11" s="160"/>
      <c r="V11" s="160"/>
      <c r="W11" s="160"/>
      <c r="X11" s="160"/>
      <c r="Y11" s="160"/>
      <c r="Z11" s="160"/>
      <c r="AA11" s="160"/>
      <c r="AB11" s="160"/>
      <c r="AC11" s="160"/>
      <c r="AD11" s="160"/>
      <c r="AE11" s="160"/>
      <c r="AF11" s="160"/>
    </row>
    <row r="12" spans="1:32">
      <c r="B12" s="172" t="s">
        <v>322</v>
      </c>
      <c r="C12" s="188" t="s">
        <v>266</v>
      </c>
      <c r="D12" s="95" t="s">
        <v>346</v>
      </c>
      <c r="E12" s="276">
        <v>1</v>
      </c>
      <c r="F12" s="169"/>
      <c r="G12" s="77"/>
      <c r="H12" s="73" t="s">
        <v>355</v>
      </c>
      <c r="I12" s="257">
        <v>2.23</v>
      </c>
      <c r="K12" s="182"/>
      <c r="L12" s="198"/>
      <c r="M12" s="198"/>
      <c r="N12" s="198"/>
      <c r="O12" s="198"/>
      <c r="P12" s="198"/>
      <c r="Q12" s="198"/>
      <c r="R12" s="160"/>
      <c r="S12" s="160"/>
      <c r="T12" s="160"/>
      <c r="U12" s="160"/>
      <c r="V12" s="160"/>
      <c r="W12" s="160"/>
      <c r="X12" s="160"/>
      <c r="Y12" s="160"/>
      <c r="Z12" s="160"/>
      <c r="AA12" s="160"/>
      <c r="AB12" s="160"/>
      <c r="AC12" s="160"/>
      <c r="AD12" s="160"/>
      <c r="AE12" s="160"/>
      <c r="AF12" s="160"/>
    </row>
    <row r="13" spans="1:32" ht="12" customHeight="1">
      <c r="A13" s="162"/>
      <c r="B13" s="172" t="s">
        <v>323</v>
      </c>
      <c r="C13" s="188" t="s">
        <v>266</v>
      </c>
      <c r="D13" s="95" t="s">
        <v>346</v>
      </c>
      <c r="E13" s="276">
        <v>1</v>
      </c>
      <c r="F13" s="169"/>
      <c r="G13" s="262"/>
      <c r="H13" s="73" t="s">
        <v>356</v>
      </c>
      <c r="I13" s="257">
        <v>9.74</v>
      </c>
      <c r="K13" s="182"/>
      <c r="O13" s="160"/>
      <c r="P13" s="160"/>
      <c r="Q13" s="160"/>
      <c r="R13" s="160"/>
      <c r="S13" s="160"/>
      <c r="T13" s="160"/>
      <c r="U13" s="160"/>
      <c r="V13" s="160"/>
      <c r="W13" s="160"/>
      <c r="X13" s="160"/>
      <c r="Y13" s="160"/>
      <c r="Z13" s="160"/>
      <c r="AA13" s="160"/>
      <c r="AB13" s="160"/>
      <c r="AC13" s="160"/>
      <c r="AD13" s="160"/>
      <c r="AE13" s="160"/>
      <c r="AF13" s="160"/>
    </row>
    <row r="14" spans="1:32">
      <c r="B14" s="172" t="s">
        <v>327</v>
      </c>
      <c r="C14" s="188" t="s">
        <v>328</v>
      </c>
      <c r="D14" s="95" t="s">
        <v>346</v>
      </c>
      <c r="E14" s="276">
        <v>1</v>
      </c>
      <c r="F14" s="168"/>
      <c r="G14" s="3"/>
      <c r="H14" s="73" t="s">
        <v>357</v>
      </c>
      <c r="I14" s="257">
        <v>2.04</v>
      </c>
      <c r="O14" s="160"/>
      <c r="P14" s="160"/>
      <c r="Q14" s="160"/>
      <c r="R14" s="160"/>
      <c r="S14" s="160"/>
      <c r="T14" s="160"/>
      <c r="U14" s="160"/>
      <c r="V14" s="160"/>
      <c r="W14" s="160"/>
      <c r="X14" s="160"/>
      <c r="Y14" s="160"/>
      <c r="Z14" s="160"/>
      <c r="AA14" s="160"/>
      <c r="AB14" s="160"/>
      <c r="AC14" s="160"/>
      <c r="AD14" s="160"/>
      <c r="AE14" s="160"/>
      <c r="AF14" s="160"/>
    </row>
    <row r="15" spans="1:32">
      <c r="B15" s="172" t="s">
        <v>329</v>
      </c>
      <c r="C15" s="188" t="s">
        <v>332</v>
      </c>
      <c r="D15" s="95" t="s">
        <v>346</v>
      </c>
      <c r="E15" s="276">
        <v>1</v>
      </c>
      <c r="F15" s="169"/>
      <c r="G15" s="58"/>
      <c r="H15" s="210" t="s">
        <v>358</v>
      </c>
      <c r="I15" s="168">
        <v>0.98</v>
      </c>
      <c r="K15" s="255"/>
      <c r="O15" s="160"/>
      <c r="P15" s="160"/>
      <c r="Q15" s="160"/>
      <c r="R15" s="160"/>
      <c r="S15" s="160"/>
      <c r="T15" s="160"/>
      <c r="U15" s="160"/>
      <c r="V15" s="160"/>
      <c r="W15" s="160"/>
      <c r="X15" s="160"/>
      <c r="Y15" s="160"/>
      <c r="Z15" s="160"/>
      <c r="AA15" s="160"/>
      <c r="AB15" s="160"/>
      <c r="AC15" s="160"/>
      <c r="AD15" s="160"/>
      <c r="AE15" s="160"/>
      <c r="AF15" s="160"/>
    </row>
    <row r="16" spans="1:32">
      <c r="B16" s="172" t="s">
        <v>330</v>
      </c>
      <c r="C16" s="188" t="s">
        <v>326</v>
      </c>
      <c r="D16" s="95" t="s">
        <v>346</v>
      </c>
      <c r="E16" s="276">
        <v>1</v>
      </c>
      <c r="F16" s="169"/>
      <c r="H16" s="210" t="s">
        <v>359</v>
      </c>
      <c r="I16" s="168">
        <v>0.7</v>
      </c>
      <c r="K16" s="160"/>
      <c r="O16" s="160"/>
      <c r="P16" s="160"/>
      <c r="Q16" s="160"/>
      <c r="R16" s="160"/>
      <c r="S16" s="160"/>
      <c r="T16" s="160"/>
      <c r="U16" s="160"/>
      <c r="V16" s="160"/>
      <c r="W16" s="160"/>
      <c r="X16" s="160"/>
      <c r="Y16" s="160"/>
      <c r="Z16" s="160"/>
      <c r="AA16" s="160"/>
      <c r="AB16" s="160"/>
      <c r="AC16" s="160"/>
      <c r="AD16" s="160"/>
      <c r="AE16" s="160"/>
      <c r="AF16" s="160"/>
    </row>
    <row r="17" spans="1:33">
      <c r="B17" s="172" t="s">
        <v>331</v>
      </c>
      <c r="C17" s="188" t="s">
        <v>333</v>
      </c>
      <c r="D17" s="95" t="s">
        <v>346</v>
      </c>
      <c r="E17" s="276">
        <v>1</v>
      </c>
      <c r="F17" s="168"/>
      <c r="G17" s="84"/>
      <c r="H17" s="378" t="s">
        <v>150</v>
      </c>
      <c r="I17" s="366">
        <f>AVERAGE(I12:I16)</f>
        <v>3.1380000000000003</v>
      </c>
      <c r="J17" s="164"/>
      <c r="K17" s="160"/>
      <c r="L17" s="160"/>
      <c r="O17" s="160"/>
      <c r="P17" s="160"/>
      <c r="Q17" s="160"/>
      <c r="R17" s="160"/>
      <c r="S17" s="160"/>
      <c r="T17" s="160"/>
      <c r="U17" s="160"/>
      <c r="V17" s="160"/>
      <c r="W17" s="160"/>
      <c r="X17" s="160"/>
      <c r="Y17" s="160"/>
      <c r="Z17" s="160"/>
      <c r="AA17" s="160"/>
      <c r="AB17" s="160"/>
      <c r="AC17" s="160"/>
      <c r="AD17" s="160"/>
      <c r="AE17" s="160"/>
      <c r="AF17" s="160"/>
    </row>
    <row r="18" spans="1:33">
      <c r="A18" s="162"/>
      <c r="B18" s="172" t="s">
        <v>336</v>
      </c>
      <c r="C18" s="188" t="s">
        <v>267</v>
      </c>
      <c r="D18" s="95" t="s">
        <v>346</v>
      </c>
      <c r="E18" s="276">
        <v>1</v>
      </c>
      <c r="F18" s="210"/>
      <c r="G18" s="262"/>
      <c r="J18" s="19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1:33">
      <c r="B19" s="172"/>
      <c r="C19" s="188"/>
      <c r="D19" s="95"/>
      <c r="E19" s="276"/>
      <c r="F19" s="210"/>
      <c r="J19" s="190"/>
      <c r="K19" s="160"/>
      <c r="L19" s="160"/>
      <c r="M19" s="160"/>
      <c r="N19" s="160"/>
      <c r="O19" s="160"/>
      <c r="P19" s="160"/>
      <c r="Q19" s="160"/>
      <c r="R19" s="160"/>
      <c r="S19" s="160"/>
      <c r="T19" s="160"/>
      <c r="U19" s="160"/>
      <c r="V19" s="160"/>
      <c r="W19" s="160"/>
      <c r="X19" s="160"/>
      <c r="Y19" s="160"/>
      <c r="Z19" s="160"/>
      <c r="AA19" s="160"/>
      <c r="AB19" s="160"/>
      <c r="AC19" s="160"/>
      <c r="AD19" s="160"/>
      <c r="AE19" s="160"/>
      <c r="AF19" s="160"/>
    </row>
    <row r="20" spans="1:33">
      <c r="A20" s="162"/>
      <c r="B20" s="172" t="s">
        <v>334</v>
      </c>
      <c r="C20" s="188" t="s">
        <v>335</v>
      </c>
      <c r="D20" s="95" t="s">
        <v>346</v>
      </c>
      <c r="E20" s="276">
        <v>0.97</v>
      </c>
      <c r="F20" s="210"/>
      <c r="J20" s="190"/>
      <c r="K20" s="160"/>
      <c r="L20" s="160"/>
      <c r="M20" s="160"/>
      <c r="N20" s="160"/>
      <c r="O20" s="160"/>
      <c r="P20" s="160"/>
      <c r="Q20" s="160"/>
      <c r="R20" s="160"/>
      <c r="S20" s="160"/>
      <c r="T20" s="160"/>
      <c r="U20" s="160"/>
      <c r="V20" s="160"/>
      <c r="W20" s="160"/>
      <c r="X20" s="160"/>
      <c r="Y20" s="160"/>
      <c r="Z20" s="160"/>
      <c r="AA20" s="160"/>
      <c r="AB20" s="160"/>
      <c r="AC20" s="160"/>
      <c r="AD20" s="160"/>
      <c r="AE20" s="160"/>
      <c r="AF20" s="160"/>
    </row>
    <row r="21" spans="1:33">
      <c r="B21" s="172" t="s">
        <v>324</v>
      </c>
      <c r="C21" s="188" t="s">
        <v>326</v>
      </c>
      <c r="D21" s="95" t="s">
        <v>346</v>
      </c>
      <c r="E21" s="276">
        <v>0.6</v>
      </c>
      <c r="F21" s="17"/>
      <c r="J21" s="190"/>
      <c r="K21" s="160"/>
      <c r="L21" s="160"/>
      <c r="M21" s="160"/>
      <c r="N21" s="160"/>
      <c r="O21" s="160"/>
      <c r="P21" s="160"/>
      <c r="Q21" s="160"/>
      <c r="R21" s="160"/>
      <c r="S21" s="160"/>
      <c r="T21" s="160"/>
      <c r="U21" s="160"/>
      <c r="V21" s="160"/>
      <c r="W21" s="160"/>
      <c r="X21" s="160"/>
      <c r="Y21" s="160"/>
      <c r="Z21" s="160"/>
      <c r="AA21" s="160"/>
      <c r="AB21" s="160"/>
      <c r="AC21" s="160"/>
      <c r="AD21" s="160"/>
      <c r="AE21" s="160"/>
      <c r="AF21" s="160"/>
    </row>
    <row r="22" spans="1:33">
      <c r="B22" s="172"/>
      <c r="C22" s="172"/>
      <c r="D22" s="95"/>
      <c r="E22" s="243"/>
      <c r="F22" s="17"/>
      <c r="J22" s="190"/>
      <c r="K22" s="160"/>
      <c r="L22" s="160"/>
      <c r="M22" s="160"/>
      <c r="N22" s="160"/>
      <c r="O22" s="160"/>
      <c r="P22" s="160"/>
      <c r="Q22" s="160"/>
      <c r="R22" s="160"/>
      <c r="S22" s="160"/>
      <c r="T22" s="160"/>
      <c r="U22" s="160"/>
      <c r="V22" s="160"/>
      <c r="W22" s="160"/>
      <c r="X22" s="160"/>
      <c r="Y22" s="160"/>
      <c r="Z22" s="160"/>
      <c r="AA22" s="160"/>
      <c r="AB22" s="160"/>
      <c r="AC22" s="160"/>
      <c r="AD22" s="160"/>
      <c r="AE22" s="160"/>
      <c r="AF22" s="160"/>
    </row>
    <row r="23" spans="1:33" ht="12" customHeight="1">
      <c r="F23" s="6"/>
      <c r="G23" s="181" t="s">
        <v>122</v>
      </c>
      <c r="I23" s="181" t="s">
        <v>122</v>
      </c>
      <c r="J23" s="190"/>
      <c r="K23" s="160"/>
      <c r="L23" s="160"/>
      <c r="M23" s="160"/>
      <c r="N23" s="160"/>
      <c r="O23" s="160"/>
      <c r="P23" s="160"/>
      <c r="Q23" s="160"/>
      <c r="R23" s="160"/>
      <c r="S23" s="160"/>
      <c r="T23" s="160"/>
      <c r="U23" s="160"/>
      <c r="V23" s="160"/>
      <c r="W23" s="160"/>
      <c r="X23" s="160"/>
      <c r="Y23" s="160"/>
      <c r="Z23" s="160"/>
      <c r="AA23" s="160"/>
      <c r="AB23" s="160"/>
      <c r="AC23" s="160"/>
      <c r="AD23" s="160"/>
      <c r="AE23" s="160"/>
      <c r="AF23" s="160"/>
    </row>
    <row r="24" spans="1:33">
      <c r="B24" s="215" t="s">
        <v>344</v>
      </c>
      <c r="C24" s="214" t="s">
        <v>325</v>
      </c>
      <c r="D24" s="277"/>
      <c r="E24" s="214" t="s">
        <v>210</v>
      </c>
      <c r="F24" s="214" t="s">
        <v>211</v>
      </c>
      <c r="G24" s="214" t="s">
        <v>351</v>
      </c>
      <c r="H24" s="214" t="s">
        <v>352</v>
      </c>
      <c r="I24" s="214" t="s">
        <v>353</v>
      </c>
      <c r="J24" s="190"/>
      <c r="K24" s="160"/>
      <c r="L24" s="160"/>
      <c r="M24" s="160"/>
      <c r="N24" s="160"/>
      <c r="O24" s="160"/>
      <c r="P24" s="160"/>
      <c r="Q24" s="160"/>
      <c r="R24" s="160"/>
      <c r="S24" s="160"/>
      <c r="T24" s="160"/>
      <c r="U24" s="160"/>
      <c r="V24" s="160"/>
      <c r="W24" s="160"/>
      <c r="X24" s="160"/>
      <c r="Y24" s="160"/>
      <c r="Z24" s="160"/>
      <c r="AA24" s="160"/>
      <c r="AB24" s="160"/>
      <c r="AC24" s="160"/>
      <c r="AD24" s="160"/>
      <c r="AE24" s="160"/>
      <c r="AF24" s="160"/>
    </row>
    <row r="25" spans="1:33">
      <c r="B25" s="172" t="s">
        <v>338</v>
      </c>
      <c r="C25" s="188" t="s">
        <v>266</v>
      </c>
      <c r="D25" s="95" t="s">
        <v>347</v>
      </c>
      <c r="E25" s="276">
        <v>0.5</v>
      </c>
      <c r="F25" s="169"/>
      <c r="G25" s="146">
        <v>7.0000000000000007E-2</v>
      </c>
      <c r="H25" s="216">
        <f>I17</f>
        <v>3.1380000000000003</v>
      </c>
      <c r="I25" s="146">
        <f>G25*H25</f>
        <v>0.21966000000000005</v>
      </c>
      <c r="K25" s="190"/>
      <c r="L25" s="160"/>
      <c r="M25" s="160"/>
      <c r="N25" s="160"/>
      <c r="O25" s="160"/>
      <c r="P25" s="160"/>
      <c r="Q25" s="160"/>
      <c r="R25" s="160"/>
      <c r="S25" s="160"/>
      <c r="T25" s="160"/>
      <c r="U25" s="160"/>
      <c r="V25" s="160"/>
      <c r="W25" s="160"/>
      <c r="X25" s="160"/>
      <c r="Y25" s="160"/>
      <c r="Z25" s="160"/>
      <c r="AA25" s="160"/>
      <c r="AB25" s="160"/>
      <c r="AC25" s="160"/>
      <c r="AD25" s="160"/>
      <c r="AE25" s="160"/>
      <c r="AF25" s="160"/>
      <c r="AG25" s="160"/>
    </row>
    <row r="26" spans="1:33">
      <c r="B26" s="172" t="s">
        <v>339</v>
      </c>
      <c r="C26" s="188" t="s">
        <v>266</v>
      </c>
      <c r="D26" s="95" t="s">
        <v>347</v>
      </c>
      <c r="E26" s="276">
        <v>0.49</v>
      </c>
      <c r="F26" s="169"/>
      <c r="G26" s="146">
        <v>204.87</v>
      </c>
      <c r="H26" s="216">
        <f>I8</f>
        <v>1.9333333333333333</v>
      </c>
      <c r="I26" s="146">
        <f t="shared" ref="I26:I29" si="0">G26*H26</f>
        <v>396.08199999999999</v>
      </c>
      <c r="K26" s="196"/>
      <c r="L26" s="160"/>
      <c r="M26" s="160"/>
      <c r="N26" s="160"/>
      <c r="O26" s="160"/>
      <c r="P26" s="160"/>
      <c r="Q26" s="160"/>
      <c r="R26" s="160"/>
      <c r="S26" s="160"/>
      <c r="T26" s="160"/>
      <c r="U26" s="160"/>
      <c r="V26" s="160"/>
      <c r="W26" s="160"/>
      <c r="X26" s="160"/>
      <c r="Y26" s="160"/>
      <c r="Z26" s="160"/>
      <c r="AA26" s="160"/>
      <c r="AB26" s="160"/>
      <c r="AC26" s="160"/>
      <c r="AD26" s="160"/>
      <c r="AE26" s="160"/>
      <c r="AF26" s="160"/>
      <c r="AG26" s="160"/>
    </row>
    <row r="27" spans="1:33">
      <c r="B27" s="172" t="s">
        <v>340</v>
      </c>
      <c r="C27" s="188" t="s">
        <v>328</v>
      </c>
      <c r="D27" s="95" t="s">
        <v>347</v>
      </c>
      <c r="E27" s="276">
        <v>0.5</v>
      </c>
      <c r="F27" s="168"/>
      <c r="G27" s="146">
        <v>0</v>
      </c>
      <c r="H27" s="216">
        <f>I17</f>
        <v>3.1380000000000003</v>
      </c>
      <c r="I27" s="146">
        <f t="shared" si="0"/>
        <v>0</v>
      </c>
      <c r="M27" s="160"/>
      <c r="N27" s="160"/>
      <c r="O27" s="160"/>
      <c r="P27" s="160"/>
      <c r="Q27" s="160"/>
      <c r="R27" s="160"/>
      <c r="S27" s="160"/>
      <c r="T27" s="160"/>
      <c r="U27" s="160"/>
      <c r="V27" s="160"/>
      <c r="W27" s="160"/>
      <c r="X27" s="160"/>
      <c r="Y27" s="160"/>
      <c r="Z27" s="160"/>
      <c r="AA27" s="160"/>
      <c r="AB27" s="160"/>
      <c r="AC27" s="160"/>
      <c r="AD27" s="160"/>
      <c r="AE27" s="160"/>
      <c r="AF27" s="160"/>
      <c r="AG27" s="160"/>
    </row>
    <row r="28" spans="1:33">
      <c r="B28" s="172" t="s">
        <v>341</v>
      </c>
      <c r="C28" s="188" t="s">
        <v>342</v>
      </c>
      <c r="D28" s="95" t="s">
        <v>347</v>
      </c>
      <c r="E28" s="276">
        <v>0.49</v>
      </c>
      <c r="F28" s="169"/>
      <c r="G28" s="146">
        <v>51.82</v>
      </c>
      <c r="H28" s="216">
        <f>I17</f>
        <v>3.1380000000000003</v>
      </c>
      <c r="I28" s="146">
        <f t="shared" si="0"/>
        <v>162.61116000000001</v>
      </c>
      <c r="M28" s="160"/>
      <c r="N28" s="160"/>
      <c r="O28" s="160"/>
      <c r="P28" s="160"/>
      <c r="Q28" s="160"/>
      <c r="R28" s="160"/>
      <c r="S28" s="160"/>
      <c r="T28" s="160"/>
      <c r="U28" s="160"/>
      <c r="V28" s="160"/>
      <c r="W28" s="160"/>
      <c r="X28" s="160"/>
      <c r="Y28" s="160"/>
      <c r="Z28" s="160"/>
      <c r="AA28" s="160"/>
      <c r="AB28" s="160"/>
      <c r="AC28" s="160"/>
      <c r="AD28" s="160"/>
      <c r="AE28" s="160"/>
      <c r="AF28" s="160"/>
      <c r="AG28" s="160"/>
    </row>
    <row r="29" spans="1:33">
      <c r="B29" s="172" t="s">
        <v>343</v>
      </c>
      <c r="C29" s="188" t="s">
        <v>266</v>
      </c>
      <c r="D29" s="95" t="s">
        <v>347</v>
      </c>
      <c r="E29" s="276">
        <v>0.26</v>
      </c>
      <c r="F29" s="168"/>
      <c r="G29" s="146">
        <v>9.3800000000000008</v>
      </c>
      <c r="H29" s="216">
        <f>I17</f>
        <v>3.1380000000000003</v>
      </c>
      <c r="I29" s="146">
        <f t="shared" si="0"/>
        <v>29.434440000000006</v>
      </c>
      <c r="L29" s="160"/>
      <c r="M29" s="160"/>
      <c r="N29" s="160"/>
      <c r="O29" s="160"/>
      <c r="P29" s="160"/>
      <c r="Q29" s="160"/>
      <c r="R29" s="160"/>
      <c r="S29" s="160"/>
      <c r="T29" s="160"/>
      <c r="U29" s="160"/>
      <c r="V29" s="160"/>
      <c r="W29" s="160"/>
      <c r="X29" s="160"/>
      <c r="Y29" s="160"/>
      <c r="Z29" s="160"/>
      <c r="AA29" s="160"/>
      <c r="AB29" s="160"/>
      <c r="AC29" s="160"/>
      <c r="AD29" s="160"/>
      <c r="AE29" s="160"/>
      <c r="AF29" s="160"/>
      <c r="AG29" s="160"/>
    </row>
    <row r="30" spans="1:33" ht="14.25" customHeight="1">
      <c r="E30" s="3"/>
      <c r="F30" s="3"/>
      <c r="I30" s="384">
        <f>SUM(I25:I29)</f>
        <v>588.34726000000001</v>
      </c>
      <c r="L30" s="160"/>
      <c r="M30" s="160"/>
      <c r="N30" s="160"/>
      <c r="O30" s="160"/>
      <c r="P30" s="160"/>
      <c r="Q30" s="160"/>
      <c r="R30" s="160"/>
      <c r="S30" s="160"/>
      <c r="T30" s="160"/>
      <c r="U30" s="160"/>
      <c r="V30" s="160"/>
      <c r="W30" s="160"/>
      <c r="X30" s="160"/>
      <c r="Y30" s="160"/>
      <c r="Z30" s="160"/>
      <c r="AA30" s="160"/>
      <c r="AB30" s="160"/>
      <c r="AC30" s="160"/>
      <c r="AD30" s="160"/>
      <c r="AE30" s="160"/>
      <c r="AF30" s="160"/>
      <c r="AG30" s="160"/>
    </row>
    <row r="31" spans="1:33">
      <c r="H31" s="160"/>
      <c r="I31" s="160"/>
      <c r="J31" s="160"/>
      <c r="K31" s="160"/>
      <c r="L31" s="160"/>
      <c r="M31" s="160"/>
      <c r="N31" s="160"/>
      <c r="O31" s="160"/>
      <c r="P31" s="160"/>
      <c r="Q31" s="160"/>
      <c r="R31" s="160"/>
      <c r="S31" s="160"/>
      <c r="T31" s="160"/>
      <c r="U31" s="160"/>
      <c r="V31" s="160"/>
      <c r="W31" s="160"/>
      <c r="X31" s="160"/>
      <c r="Y31" s="160"/>
      <c r="Z31" s="160"/>
      <c r="AA31" s="160"/>
      <c r="AB31" s="160"/>
      <c r="AC31" s="160"/>
      <c r="AD31" s="160"/>
      <c r="AE31" s="160"/>
      <c r="AF31" s="160"/>
      <c r="AG31" s="160"/>
    </row>
    <row r="32" spans="1:33">
      <c r="E32" s="23"/>
      <c r="F32" s="23"/>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160"/>
    </row>
    <row r="33" spans="5:33">
      <c r="E33" s="53"/>
      <c r="F33" s="3"/>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row>
    <row r="34" spans="5:33">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row>
    <row r="35" spans="5:33">
      <c r="H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row>
    <row r="36" spans="5:33">
      <c r="H36" s="160"/>
      <c r="I36" s="160"/>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row>
    <row r="37" spans="5:33">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row>
    <row r="38" spans="5:33">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row>
  </sheetData>
  <mergeCells count="2">
    <mergeCell ref="H3:I3"/>
    <mergeCell ref="H10:I10"/>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3.42578125" style="2" customWidth="1"/>
    <col min="5" max="5" width="11.5703125" style="2" customWidth="1"/>
    <col min="6" max="6" width="11.42578125" style="2" customWidth="1"/>
    <col min="7" max="7" width="10.140625" style="2" customWidth="1"/>
    <col min="8" max="8" width="11.85546875" style="2" customWidth="1"/>
    <col min="9" max="11" width="10.28515625" style="2" customWidth="1"/>
    <col min="12" max="12" width="11.42578125" style="2" customWidth="1"/>
    <col min="13" max="13" width="9.140625" style="2"/>
    <col min="14" max="14" width="18.42578125" style="2" customWidth="1"/>
    <col min="15" max="16384" width="9.140625" style="2"/>
  </cols>
  <sheetData>
    <row r="1" spans="1:20" ht="16.5" customHeight="1">
      <c r="B1" s="16" t="s">
        <v>229</v>
      </c>
    </row>
    <row r="3" spans="1:20" ht="12" customHeight="1">
      <c r="E3" s="44"/>
      <c r="F3" s="32"/>
      <c r="G3" s="292"/>
      <c r="H3" s="31"/>
      <c r="I3" s="3"/>
      <c r="J3" s="3"/>
      <c r="K3" s="3"/>
      <c r="L3" s="3"/>
      <c r="M3" s="3"/>
      <c r="N3" s="3"/>
      <c r="O3" s="3"/>
      <c r="P3" s="3"/>
      <c r="Q3" s="3"/>
      <c r="R3" s="3"/>
      <c r="S3" s="3"/>
      <c r="T3" s="3"/>
    </row>
    <row r="4" spans="1:20" ht="12" customHeight="1">
      <c r="B4" s="398" t="s">
        <v>233</v>
      </c>
      <c r="C4" s="398"/>
      <c r="D4" s="398"/>
      <c r="E4" s="398"/>
      <c r="F4" s="398"/>
      <c r="G4" s="398"/>
      <c r="H4" s="398"/>
      <c r="I4" s="398"/>
      <c r="J4" s="398"/>
      <c r="K4" s="398"/>
      <c r="L4" s="398"/>
      <c r="M4" s="3"/>
      <c r="N4" s="3"/>
      <c r="O4" s="3"/>
      <c r="P4" s="3"/>
      <c r="Q4" s="3"/>
      <c r="R4" s="3"/>
      <c r="S4" s="3"/>
      <c r="T4" s="3"/>
    </row>
    <row r="5" spans="1:20" ht="12" customHeight="1">
      <c r="B5" s="291"/>
      <c r="C5" s="294">
        <v>1</v>
      </c>
      <c r="D5" s="294">
        <v>2</v>
      </c>
      <c r="E5" s="295">
        <v>3</v>
      </c>
      <c r="F5" s="296">
        <v>4</v>
      </c>
      <c r="G5" s="297">
        <v>5</v>
      </c>
      <c r="H5" s="298">
        <v>6</v>
      </c>
      <c r="I5" s="294">
        <v>7</v>
      </c>
      <c r="J5" s="294">
        <v>8</v>
      </c>
      <c r="K5" s="294">
        <v>9</v>
      </c>
      <c r="L5" s="294">
        <v>10</v>
      </c>
      <c r="M5" s="3"/>
      <c r="N5" s="3"/>
      <c r="O5" s="3"/>
      <c r="P5" s="3"/>
      <c r="Q5" s="3"/>
      <c r="R5" s="3"/>
      <c r="S5" s="3"/>
      <c r="T5" s="3"/>
    </row>
    <row r="6" spans="1:20" ht="12" customHeight="1">
      <c r="B6" s="51" t="s">
        <v>231</v>
      </c>
      <c r="C6" s="293">
        <f ca="1">'Future Cashflows (10 Yrs)'!E19</f>
        <v>311.44077220023507</v>
      </c>
      <c r="D6" s="293">
        <f ca="1">'Future Cashflows (10 Yrs)'!E20</f>
        <v>350.52777759579266</v>
      </c>
      <c r="E6" s="270">
        <f ca="1">'Future Cashflows (10 Yrs)'!E21</f>
        <v>399.50274343393647</v>
      </c>
      <c r="F6" s="270">
        <f ca="1">'Future Cashflows (10 Yrs)'!E22</f>
        <v>454.36669112801894</v>
      </c>
      <c r="G6" s="270">
        <f ca="1">'Future Cashflows (10 Yrs)'!E23</f>
        <v>521.59373508339218</v>
      </c>
      <c r="H6" s="270">
        <f>'Future Cashflows (10 Yrs)'!E24</f>
        <v>576.45055384148736</v>
      </c>
      <c r="I6" s="293">
        <f>'Future Cashflows (10 Yrs)'!E25</f>
        <v>664.36222571085113</v>
      </c>
      <c r="J6" s="293">
        <f>'Future Cashflows (10 Yrs)'!E26</f>
        <v>751.01111416691265</v>
      </c>
      <c r="K6" s="293">
        <f>'Future Cashflows (10 Yrs)'!E27</f>
        <v>945.33562972725338</v>
      </c>
      <c r="L6" s="293">
        <f>'Future Cashflows (10 Yrs)'!E28</f>
        <v>1050.8246833134776</v>
      </c>
      <c r="M6" s="3"/>
      <c r="N6" s="3"/>
      <c r="O6" s="3"/>
      <c r="P6" s="3"/>
      <c r="Q6" s="3"/>
      <c r="R6" s="3"/>
      <c r="S6" s="3"/>
      <c r="T6" s="3"/>
    </row>
    <row r="7" spans="1:20" ht="12" customHeight="1">
      <c r="B7" s="51" t="s">
        <v>232</v>
      </c>
      <c r="C7" s="134">
        <f>WACC!$C$14</f>
        <v>8.1080097399187312E-2</v>
      </c>
      <c r="D7" s="134">
        <f>C7</f>
        <v>8.1080097399187312E-2</v>
      </c>
      <c r="E7" s="134">
        <f>AVERAGE(F7,C7)</f>
        <v>8.1085127570331539E-2</v>
      </c>
      <c r="F7" s="92">
        <f>AVERAGE(C7,H7)</f>
        <v>8.1090157741475752E-2</v>
      </c>
      <c r="G7" s="92">
        <f>AVERAGE(F7,H7)</f>
        <v>8.1095187912619965E-2</v>
      </c>
      <c r="H7" s="92">
        <f>AVERAGE(C7,L7)</f>
        <v>8.1100218083764192E-2</v>
      </c>
      <c r="I7" s="134">
        <f>AVERAGE(H7,J7)</f>
        <v>8.1105248254908405E-2</v>
      </c>
      <c r="J7" s="134">
        <f>AVERAGE(H7,L7)</f>
        <v>8.1110278426052618E-2</v>
      </c>
      <c r="K7" s="134">
        <f>AVERAGE(J7,L7)</f>
        <v>8.1115308597196845E-2</v>
      </c>
      <c r="L7" s="134">
        <f>'Terminal Value'!$G$19</f>
        <v>8.1120338768341058E-2</v>
      </c>
      <c r="M7" s="21"/>
      <c r="N7" s="3"/>
      <c r="O7" s="3"/>
      <c r="P7" s="3"/>
      <c r="Q7" s="3"/>
      <c r="R7" s="3"/>
      <c r="S7" s="3"/>
      <c r="T7" s="3"/>
    </row>
    <row r="8" spans="1:20" ht="12" customHeight="1">
      <c r="B8" s="110" t="s">
        <v>230</v>
      </c>
      <c r="C8" s="177">
        <f ca="1">C6/(1+C7)^C5</f>
        <v>288.08297641357461</v>
      </c>
      <c r="D8" s="177">
        <f t="shared" ref="D8:K8" ca="1" si="0">D6/(1+D7)^D5</f>
        <v>299.9208755046111</v>
      </c>
      <c r="E8" s="177">
        <f t="shared" ca="1" si="0"/>
        <v>316.18414428939161</v>
      </c>
      <c r="F8" s="177">
        <f t="shared" ca="1" si="0"/>
        <v>332.62802126843553</v>
      </c>
      <c r="G8" s="177">
        <f t="shared" ca="1" si="0"/>
        <v>353.19349405658295</v>
      </c>
      <c r="H8" s="177">
        <f t="shared" si="0"/>
        <v>361.04915345353538</v>
      </c>
      <c r="I8" s="177">
        <f t="shared" si="0"/>
        <v>384.88333038194332</v>
      </c>
      <c r="J8" s="177">
        <f t="shared" si="0"/>
        <v>402.42633505779031</v>
      </c>
      <c r="K8" s="177">
        <f t="shared" si="0"/>
        <v>468.53050676336022</v>
      </c>
      <c r="L8" s="177">
        <f>L6/(1+L7)^L5</f>
        <v>481.71468832083593</v>
      </c>
      <c r="M8" s="3"/>
      <c r="N8" s="3"/>
      <c r="O8" s="3"/>
      <c r="P8" s="3"/>
      <c r="Q8" s="3"/>
      <c r="R8" s="3"/>
      <c r="S8" s="3"/>
      <c r="T8" s="3"/>
    </row>
    <row r="9" spans="1:20" ht="12" customHeight="1">
      <c r="E9" s="33"/>
      <c r="F9" s="34"/>
      <c r="G9" s="31"/>
      <c r="H9" s="31"/>
      <c r="M9" s="3"/>
      <c r="N9" s="3"/>
      <c r="O9" s="3"/>
      <c r="P9" s="3"/>
      <c r="Q9" s="3"/>
      <c r="R9" s="3"/>
      <c r="S9" s="3"/>
      <c r="T9" s="3"/>
    </row>
    <row r="10" spans="1:20" ht="12" customHeight="1">
      <c r="A10" s="3"/>
      <c r="E10" s="31"/>
      <c r="F10" s="31"/>
      <c r="G10" s="31"/>
      <c r="H10" s="31"/>
      <c r="M10" s="3"/>
      <c r="N10" s="3"/>
      <c r="O10" s="3"/>
      <c r="P10" s="3"/>
      <c r="Q10" s="3"/>
      <c r="R10" s="3"/>
      <c r="S10" s="3"/>
      <c r="T10" s="3"/>
    </row>
    <row r="11" spans="1:20" ht="12" customHeight="1">
      <c r="A11" s="3"/>
      <c r="E11" s="35"/>
      <c r="F11" s="35"/>
      <c r="G11" s="35"/>
      <c r="H11" s="35"/>
      <c r="N11" s="3"/>
      <c r="O11" s="3"/>
      <c r="P11" s="3"/>
      <c r="Q11" s="3"/>
      <c r="R11" s="3"/>
      <c r="S11" s="3"/>
      <c r="T11" s="3"/>
    </row>
    <row r="12" spans="1:20" ht="12" customHeight="1">
      <c r="A12" s="3"/>
      <c r="B12" s="307" t="s">
        <v>228</v>
      </c>
      <c r="C12" s="270">
        <f ca="1">SUM(C8:L8)</f>
        <v>3688.6135255100612</v>
      </c>
      <c r="E12" s="102"/>
      <c r="F12" s="102"/>
      <c r="G12" s="391"/>
      <c r="H12" s="392"/>
      <c r="I12" s="31"/>
      <c r="J12" s="31"/>
      <c r="K12" s="31"/>
      <c r="L12" s="3"/>
      <c r="M12" s="3"/>
      <c r="N12" s="3"/>
      <c r="O12" s="3"/>
      <c r="P12" s="3"/>
      <c r="Q12" s="3"/>
      <c r="R12" s="3"/>
      <c r="S12" s="3"/>
      <c r="T12" s="3"/>
    </row>
    <row r="13" spans="1:20" ht="12" customHeight="1">
      <c r="A13" s="3"/>
      <c r="B13" s="307" t="s">
        <v>186</v>
      </c>
      <c r="C13" s="270">
        <f ca="1">'Terminal Value'!$C$13</f>
        <v>34573.438266087214</v>
      </c>
      <c r="D13" s="31"/>
      <c r="E13" s="33"/>
      <c r="F13" s="126"/>
      <c r="G13" s="393"/>
      <c r="H13" s="126"/>
      <c r="I13" s="31"/>
      <c r="J13" s="31"/>
      <c r="K13" s="31"/>
      <c r="L13" s="3"/>
      <c r="M13" s="3"/>
      <c r="N13" s="3"/>
      <c r="O13" s="3"/>
      <c r="P13" s="3"/>
      <c r="Q13" s="3"/>
      <c r="R13" s="3"/>
      <c r="S13" s="3"/>
      <c r="T13" s="3"/>
    </row>
    <row r="14" spans="1:20" s="26" customFormat="1" ht="12" customHeight="1">
      <c r="A14" s="25"/>
      <c r="B14" s="307" t="s">
        <v>222</v>
      </c>
      <c r="C14" s="270">
        <f ca="1">C13/(1+L7)^'Fair Value of Share'!$L$5</f>
        <v>15849.012021693778</v>
      </c>
      <c r="D14" s="45"/>
      <c r="E14" s="33"/>
      <c r="F14" s="126"/>
      <c r="G14" s="393"/>
      <c r="H14" s="126"/>
      <c r="I14" s="31"/>
      <c r="J14" s="45"/>
      <c r="K14" s="45"/>
      <c r="L14" s="25"/>
      <c r="M14" s="25"/>
      <c r="N14" s="25"/>
      <c r="O14" s="25"/>
      <c r="P14" s="25"/>
      <c r="Q14" s="25"/>
      <c r="R14" s="25"/>
      <c r="S14" s="25"/>
      <c r="T14" s="25"/>
    </row>
    <row r="15" spans="1:20" ht="12" customHeight="1">
      <c r="A15" s="3"/>
      <c r="B15" s="308" t="s">
        <v>234</v>
      </c>
      <c r="C15" s="309">
        <f ca="1">C14+C12</f>
        <v>19537.625547203839</v>
      </c>
      <c r="E15" s="33"/>
      <c r="F15" s="126"/>
      <c r="G15" s="393"/>
      <c r="H15" s="126"/>
      <c r="I15" s="31"/>
      <c r="J15" s="31"/>
      <c r="K15" s="31"/>
      <c r="L15" s="3"/>
      <c r="N15" s="3"/>
      <c r="O15" s="3"/>
      <c r="P15" s="3"/>
      <c r="Q15" s="3"/>
      <c r="R15" s="3"/>
      <c r="S15" s="3"/>
      <c r="T15" s="3"/>
    </row>
    <row r="16" spans="1:20" ht="12" customHeight="1">
      <c r="A16" s="299" t="s">
        <v>137</v>
      </c>
      <c r="B16" s="310" t="s">
        <v>212</v>
      </c>
      <c r="C16" s="270">
        <f>'Cash &amp; Marketable Securities'!$C$16</f>
        <v>1028.5509194945507</v>
      </c>
      <c r="E16" s="33"/>
      <c r="F16" s="126"/>
      <c r="G16" s="393"/>
      <c r="H16" s="126"/>
      <c r="I16" s="31"/>
      <c r="J16" s="31"/>
      <c r="K16" s="31"/>
      <c r="L16" s="3"/>
      <c r="M16" s="3"/>
      <c r="N16" s="3"/>
      <c r="O16" s="3"/>
      <c r="P16" s="3"/>
      <c r="Q16" s="3"/>
      <c r="R16" s="3"/>
      <c r="S16" s="3"/>
      <c r="T16" s="3"/>
    </row>
    <row r="17" spans="1:20" ht="12" customHeight="1">
      <c r="A17" s="299" t="s">
        <v>137</v>
      </c>
      <c r="B17" s="311" t="s">
        <v>227</v>
      </c>
      <c r="C17" s="270">
        <f>'Value of Cross Holdings'!C9</f>
        <v>514.85285999999996</v>
      </c>
      <c r="E17" s="33"/>
      <c r="F17" s="126"/>
      <c r="G17" s="393"/>
      <c r="H17" s="126"/>
      <c r="I17" s="31"/>
      <c r="J17" s="31"/>
      <c r="K17" s="31"/>
      <c r="L17" s="3"/>
      <c r="M17" s="3"/>
      <c r="N17" s="3"/>
      <c r="O17" s="3"/>
      <c r="P17" s="3"/>
      <c r="Q17" s="3"/>
      <c r="R17" s="3"/>
      <c r="S17" s="3"/>
      <c r="T17" s="3"/>
    </row>
    <row r="18" spans="1:20" ht="12" customHeight="1">
      <c r="A18" s="299" t="s">
        <v>137</v>
      </c>
      <c r="B18" s="30" t="s">
        <v>235</v>
      </c>
      <c r="C18" s="293">
        <v>0</v>
      </c>
      <c r="D18" s="31"/>
      <c r="E18" s="33"/>
      <c r="F18" s="126"/>
      <c r="G18" s="393"/>
      <c r="H18" s="126"/>
      <c r="I18" s="35"/>
      <c r="J18" s="31"/>
      <c r="K18" s="31"/>
      <c r="L18" s="3"/>
      <c r="M18" s="3"/>
      <c r="N18" s="3"/>
      <c r="O18" s="3"/>
      <c r="P18" s="3"/>
      <c r="Q18" s="3"/>
      <c r="R18" s="3"/>
      <c r="S18" s="3"/>
      <c r="T18" s="3"/>
    </row>
    <row r="19" spans="1:20" ht="12" customHeight="1">
      <c r="A19" s="3"/>
      <c r="B19" s="308" t="s">
        <v>225</v>
      </c>
      <c r="C19" s="309">
        <f ca="1">SUM(C15:C18)</f>
        <v>21081.02932669839</v>
      </c>
      <c r="D19" s="31"/>
      <c r="E19" s="33"/>
      <c r="F19" s="126"/>
      <c r="G19" s="393"/>
      <c r="H19" s="126"/>
      <c r="I19" s="3"/>
      <c r="J19" s="31"/>
      <c r="K19" s="31"/>
      <c r="L19" s="3"/>
      <c r="M19" s="3"/>
      <c r="N19" s="3"/>
      <c r="O19" s="3"/>
      <c r="P19" s="3"/>
      <c r="Q19" s="3"/>
      <c r="R19" s="3"/>
      <c r="S19" s="3"/>
      <c r="T19" s="3"/>
    </row>
    <row r="20" spans="1:20" ht="12" customHeight="1">
      <c r="A20" s="7" t="s">
        <v>91</v>
      </c>
      <c r="B20" s="307" t="s">
        <v>224</v>
      </c>
      <c r="C20" s="312">
        <f>WACC!$F$22</f>
        <v>628.95395332596729</v>
      </c>
      <c r="D20" s="31"/>
      <c r="E20" s="33"/>
      <c r="F20" s="126"/>
      <c r="G20" s="393"/>
      <c r="H20" s="126"/>
      <c r="I20" s="14"/>
      <c r="J20" s="31"/>
      <c r="K20" s="31"/>
      <c r="L20" s="3"/>
      <c r="M20" s="3"/>
      <c r="N20" s="3"/>
      <c r="O20" s="3"/>
      <c r="P20" s="3"/>
      <c r="Q20" s="3"/>
      <c r="R20" s="3"/>
      <c r="S20" s="3"/>
      <c r="T20" s="3"/>
    </row>
    <row r="21" spans="1:20" ht="12" customHeight="1">
      <c r="A21" s="306" t="s">
        <v>91</v>
      </c>
      <c r="B21" s="30" t="s">
        <v>363</v>
      </c>
      <c r="C21" s="312">
        <f>604.01+2316.79+435.25+101.13</f>
        <v>3457.1800000000003</v>
      </c>
      <c r="D21" s="34"/>
      <c r="E21" s="33"/>
      <c r="F21" s="126"/>
      <c r="G21" s="393"/>
      <c r="H21" s="126"/>
      <c r="I21" s="6"/>
      <c r="J21" s="31"/>
      <c r="K21" s="31"/>
      <c r="L21" s="3"/>
      <c r="M21" s="3"/>
      <c r="N21" s="3"/>
      <c r="O21" s="3"/>
      <c r="P21" s="3"/>
      <c r="Q21" s="3"/>
      <c r="R21" s="3"/>
      <c r="S21" s="3"/>
      <c r="T21" s="3"/>
    </row>
    <row r="22" spans="1:20" ht="12" customHeight="1">
      <c r="A22" s="7"/>
      <c r="B22" s="308" t="s">
        <v>226</v>
      </c>
      <c r="C22" s="175">
        <f ca="1">C19-C20-C21</f>
        <v>16994.895373372423</v>
      </c>
      <c r="D22" s="31"/>
      <c r="E22" s="33"/>
      <c r="F22" s="126"/>
      <c r="G22" s="393"/>
      <c r="H22" s="126"/>
      <c r="I22" s="6"/>
      <c r="J22" s="31"/>
      <c r="K22" s="31"/>
      <c r="L22" s="3"/>
      <c r="M22" s="3"/>
      <c r="O22" s="3"/>
      <c r="P22" s="3"/>
      <c r="Q22" s="3"/>
      <c r="R22" s="3"/>
      <c r="S22" s="3"/>
      <c r="T22" s="3"/>
    </row>
    <row r="23" spans="1:20" s="29" customFormat="1" ht="12" customHeight="1">
      <c r="A23" s="306" t="s">
        <v>91</v>
      </c>
      <c r="B23" s="30" t="s">
        <v>236</v>
      </c>
      <c r="C23" s="293">
        <v>0</v>
      </c>
      <c r="D23" s="31"/>
      <c r="E23" s="28"/>
      <c r="F23" s="28"/>
      <c r="G23" s="28"/>
      <c r="H23" s="390"/>
      <c r="J23" s="35"/>
      <c r="K23" s="35"/>
      <c r="L23" s="28"/>
      <c r="M23" s="28"/>
      <c r="N23" s="28"/>
      <c r="O23" s="28"/>
      <c r="P23" s="28"/>
      <c r="Q23" s="28"/>
      <c r="R23" s="28"/>
      <c r="S23" s="28"/>
      <c r="T23" s="28"/>
    </row>
    <row r="24" spans="1:20" ht="12" customHeight="1">
      <c r="A24" s="29"/>
      <c r="B24" s="308" t="s">
        <v>238</v>
      </c>
      <c r="C24" s="313">
        <f ca="1">C22-C23</f>
        <v>16994.895373372423</v>
      </c>
      <c r="D24" s="34"/>
      <c r="E24" s="3"/>
      <c r="F24" s="3"/>
      <c r="G24" s="3"/>
      <c r="H24" s="3"/>
      <c r="J24" s="3"/>
      <c r="K24" s="3"/>
      <c r="L24" s="3"/>
      <c r="M24" s="3"/>
      <c r="N24" s="3"/>
      <c r="O24" s="3"/>
      <c r="P24" s="3"/>
      <c r="Q24" s="3"/>
      <c r="R24" s="3"/>
      <c r="S24" s="3"/>
      <c r="T24" s="3"/>
    </row>
    <row r="25" spans="1:20" ht="12" customHeight="1">
      <c r="B25" s="30" t="s">
        <v>127</v>
      </c>
      <c r="C25" s="402">
        <f>WACC!F28</f>
        <v>33.088473999999998</v>
      </c>
      <c r="D25" s="31"/>
      <c r="J25" s="14"/>
      <c r="K25" s="14"/>
      <c r="L25" s="3"/>
      <c r="M25" s="3"/>
      <c r="N25" s="3"/>
      <c r="O25" s="3"/>
      <c r="P25" s="3"/>
      <c r="Q25" s="3"/>
      <c r="R25" s="3"/>
      <c r="S25" s="3"/>
      <c r="T25" s="3"/>
    </row>
    <row r="26" spans="1:20" ht="12" customHeight="1">
      <c r="B26" s="27" t="s">
        <v>237</v>
      </c>
      <c r="C26" s="206">
        <f ca="1">C24/C25</f>
        <v>513.61979925010814</v>
      </c>
      <c r="D26" s="35"/>
      <c r="J26" s="6"/>
      <c r="K26" s="6"/>
      <c r="L26" s="3"/>
      <c r="M26" s="3"/>
      <c r="N26" s="3"/>
      <c r="O26" s="3"/>
      <c r="P26" s="3"/>
      <c r="Q26" s="3"/>
      <c r="R26" s="3"/>
      <c r="S26" s="3"/>
      <c r="T26" s="3"/>
    </row>
    <row r="27" spans="1:20" ht="12" customHeight="1">
      <c r="B27" s="3"/>
      <c r="C27" s="6"/>
      <c r="D27" s="3"/>
      <c r="J27" s="6"/>
      <c r="K27" s="6"/>
      <c r="L27" s="3"/>
      <c r="M27" s="3"/>
      <c r="N27" s="3"/>
      <c r="O27" s="3"/>
      <c r="P27" s="3"/>
      <c r="Q27" s="3"/>
      <c r="R27" s="3"/>
      <c r="S27" s="3"/>
      <c r="T27" s="3"/>
    </row>
    <row r="28" spans="1:20" ht="12" customHeight="1">
      <c r="B28" s="3"/>
      <c r="C28" s="5"/>
      <c r="D28" s="3"/>
      <c r="E28" s="3"/>
      <c r="F28" s="3"/>
      <c r="G28" s="14"/>
      <c r="H28" s="6"/>
      <c r="I28" s="6"/>
      <c r="J28" s="6"/>
      <c r="K28" s="6"/>
      <c r="L28" s="3"/>
      <c r="M28" s="3"/>
      <c r="N28" s="3"/>
      <c r="O28" s="3"/>
      <c r="P28" s="3"/>
      <c r="Q28" s="3"/>
      <c r="R28" s="3"/>
      <c r="S28" s="3"/>
      <c r="T28" s="3"/>
    </row>
    <row r="29" spans="1:20" ht="12" customHeight="1">
      <c r="B29" s="3"/>
      <c r="C29" s="3"/>
      <c r="D29" s="3"/>
      <c r="E29" s="3"/>
      <c r="F29" s="3"/>
      <c r="G29" s="14"/>
      <c r="H29" s="6"/>
      <c r="I29" s="6"/>
      <c r="J29" s="6"/>
      <c r="K29" s="6"/>
      <c r="L29" s="3"/>
      <c r="M29" s="3"/>
      <c r="N29" s="3"/>
      <c r="O29" s="3"/>
      <c r="P29" s="3"/>
      <c r="Q29" s="3"/>
      <c r="R29" s="3"/>
      <c r="S29" s="3"/>
      <c r="T29" s="3"/>
    </row>
    <row r="30" spans="1:20" ht="12" customHeight="1">
      <c r="B30" s="3"/>
      <c r="C30" s="3"/>
      <c r="D30" s="3"/>
      <c r="E30" s="3"/>
      <c r="F30" s="3"/>
      <c r="G30" s="3"/>
      <c r="H30" s="3"/>
      <c r="I30" s="3"/>
      <c r="J30" s="3"/>
      <c r="K30" s="3"/>
      <c r="L30" s="3"/>
      <c r="M30" s="3"/>
      <c r="N30" s="3"/>
      <c r="O30" s="3"/>
      <c r="P30" s="3"/>
      <c r="Q30" s="3"/>
      <c r="R30" s="3"/>
      <c r="S30" s="3"/>
      <c r="T30" s="3"/>
    </row>
    <row r="31" spans="1:20" ht="12" customHeight="1">
      <c r="G31" s="3"/>
      <c r="H31" s="3"/>
      <c r="I31" s="3"/>
      <c r="J31" s="3"/>
      <c r="K31" s="3"/>
      <c r="L31" s="3"/>
      <c r="M31" s="3"/>
    </row>
    <row r="32" spans="1:20" ht="12" customHeight="1">
      <c r="C32" s="13"/>
      <c r="G32" s="3"/>
      <c r="H32" s="3"/>
      <c r="I32" s="3"/>
      <c r="J32" s="3"/>
      <c r="K32" s="3"/>
      <c r="L32" s="3"/>
      <c r="M32" s="3"/>
    </row>
    <row r="34" spans="2:13" ht="12" customHeight="1">
      <c r="B34" s="15"/>
      <c r="G34" s="8"/>
      <c r="K34" s="10"/>
    </row>
    <row r="35" spans="2:13" ht="12" customHeight="1">
      <c r="B35" s="8"/>
      <c r="G35" s="11"/>
      <c r="K35" s="8"/>
      <c r="M35" s="8"/>
    </row>
    <row r="36" spans="2:13" ht="12" customHeight="1">
      <c r="M36" s="8"/>
    </row>
    <row r="37" spans="2:13" ht="12" customHeight="1">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vt:i4>
      </vt:variant>
    </vt:vector>
  </HeadingPairs>
  <TitlesOfParts>
    <vt:vector size="30" baseType="lpstr">
      <vt:lpstr>Cover</vt:lpstr>
      <vt:lpstr>About</vt:lpstr>
      <vt:lpstr>Narrative</vt:lpstr>
      <vt:lpstr>Index</vt:lpstr>
      <vt:lpstr>Risk Free Rate</vt:lpstr>
      <vt:lpstr>Equity Risk Premium - India</vt:lpstr>
      <vt:lpstr>Voltas ERP</vt:lpstr>
      <vt:lpstr>Beta</vt:lpstr>
      <vt:lpstr>Cost of Equity &amp; Debt</vt:lpstr>
      <vt:lpstr>WACC</vt:lpstr>
      <vt:lpstr>Cash Flows</vt:lpstr>
      <vt:lpstr>EBIT &amp; Operating Lease</vt:lpstr>
      <vt:lpstr>EBIT &amp; Advertising Expense</vt:lpstr>
      <vt:lpstr>EBIT &amp; R&amp;D Expense</vt:lpstr>
      <vt:lpstr>Net CapEx</vt:lpstr>
      <vt:lpstr>Working Capital Changes</vt:lpstr>
      <vt:lpstr>FCFF &amp; FCFE</vt:lpstr>
      <vt:lpstr>Growth Rate &amp; TV</vt:lpstr>
      <vt:lpstr>Expected Growth Rate</vt:lpstr>
      <vt:lpstr>Industry &amp; Revenues</vt:lpstr>
      <vt:lpstr>Future Cashflows (10 Yrs)</vt:lpstr>
      <vt:lpstr>Terminal Value</vt:lpstr>
      <vt:lpstr>Road to Fair Value of Share</vt:lpstr>
      <vt:lpstr>Cash &amp; Marketable Securities</vt:lpstr>
      <vt:lpstr>Value of Cross Holdings</vt:lpstr>
      <vt:lpstr>Fair Value of Share</vt:lpstr>
      <vt:lpstr>'EBIT &amp; R&amp;D Expense'!Print_Area</vt:lpstr>
      <vt:lpstr>'Fair Value of Share'!Print_Area</vt:lpstr>
      <vt:lpstr>'Future Cashflows (10 Yrs)'!Print_Area</vt:lpstr>
      <vt:lpstr>'Industry &amp; Revenues'!Print_Area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2022-07-28T11:41:15Z</dcterms:modified>
</cp:coreProperties>
</file>