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0.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24226"/>
  <bookViews>
    <workbookView xWindow="240" yWindow="585" windowWidth="14805" windowHeight="7530"/>
  </bookViews>
  <sheets>
    <sheet name="Dashboard" sheetId="28" r:id="rId1"/>
    <sheet name="Drivers" sheetId="79" r:id="rId2"/>
    <sheet name="About" sheetId="29" r:id="rId3"/>
    <sheet name="Corporate Governance" sheetId="66" r:id="rId4"/>
    <sheet name="Index" sheetId="4" r:id="rId5"/>
    <sheet name="Risk Free Rate &amp; ERP" sheetId="24" r:id="rId6"/>
    <sheet name="Beta Calculation Data" sheetId="67" r:id="rId7"/>
    <sheet name="Bottom Up Beta" sheetId="68" r:id="rId8"/>
    <sheet name="Cost of Equity, Debt &amp; WACC" sheetId="23" r:id="rId9"/>
    <sheet name="Cash Flows" sheetId="17" r:id="rId10"/>
    <sheet name="Accounting Adjustments" sheetId="49" r:id="rId11"/>
    <sheet name="Key Ratios" sheetId="89" r:id="rId12"/>
    <sheet name="Reinvestment" sheetId="32" r:id="rId13"/>
    <sheet name="FCFF &amp; FCFE" sheetId="35" r:id="rId14"/>
    <sheet name="Growth Rate &amp; TV" sheetId="36" r:id="rId15"/>
    <sheet name="Expected Growth Rate" sheetId="39" r:id="rId16"/>
    <sheet name="Revenue Projections" sheetId="88" r:id="rId17"/>
    <sheet name="Future CashFlows (10Y)" sheetId="75" r:id="rId18"/>
    <sheet name="Terminal Value" sheetId="40" r:id="rId19"/>
    <sheet name="Road to Fair Value of Share" sheetId="42" r:id="rId20"/>
    <sheet name="Cash &amp; Marketable Securities" sheetId="43" r:id="rId21"/>
    <sheet name="FV of RSU, PSU, PSU-TSR" sheetId="57" r:id="rId22"/>
    <sheet name="Fair Value of Share" sheetId="48" r:id="rId23"/>
    <sheet name="What If Analysis" sheetId="82" r:id="rId24"/>
    <sheet name="Sensitivity Analysis" sheetId="81" r:id="rId25"/>
    <sheet name="Scenario Analysis" sheetId="83" r:id="rId26"/>
    <sheet name="Financing Decision" sheetId="70" r:id="rId27"/>
    <sheet name="Debt Design Explained" sheetId="71" r:id="rId28"/>
    <sheet name="Optimal Cost of Capital" sheetId="69" r:id="rId29"/>
    <sheet name="Adjusted Present Value" sheetId="72" r:id="rId30"/>
    <sheet name="Dividend Decision" sheetId="76" r:id="rId31"/>
    <sheet name="Cash Return Explained" sheetId="77" r:id="rId32"/>
    <sheet name="Resources" sheetId="86" r:id="rId33"/>
    <sheet name="Income Statement" sheetId="84" r:id="rId34"/>
    <sheet name="Balance Sheet" sheetId="85" r:id="rId35"/>
    <sheet name="Cash Flow Statement" sheetId="87" r:id="rId36"/>
  </sheets>
  <definedNames>
    <definedName name="_xlchart.v1.0" hidden="1">('Accounting Adjustments'!$B$5:$B$6,'Accounting Adjustments'!$B$8:$B$11)</definedName>
    <definedName name="_xlchart.v1.1" hidden="1">('Accounting Adjustments'!$H$5:$H$6,'Accounting Adjustments'!$H$8:$H$11)</definedName>
    <definedName name="_xlnm.Print_Area" localSheetId="29">'Adjusted Present Value'!$A$11:$H$27</definedName>
    <definedName name="_xlnm.Print_Area" localSheetId="31">'Cash Return Explained'!$A$11:$G$27</definedName>
    <definedName name="_xlnm.Print_Area" localSheetId="0">Dashboard!$A$1:$AC$31</definedName>
    <definedName name="_xlnm.Print_Area" localSheetId="27">'Debt Design Explained'!$A$11:$H$27</definedName>
    <definedName name="_xlnm.Print_Area" localSheetId="22">'Fair Value of Share'!$A$11:$H$27</definedName>
    <definedName name="_xlnm.Print_Area" localSheetId="17">'Future CashFlows (10Y)'!#REF!</definedName>
    <definedName name="_xlnm.Print_Area" localSheetId="21">'FV of RSU, PSU, PSU-TSR'!$B$3:$M$20</definedName>
    <definedName name="_xlnm.Print_Area" localSheetId="28">'Optimal Cost of Capital'!$A$11:$H$27</definedName>
    <definedName name="_xlnm.Print_Area" localSheetId="16">'Revenue Projections'!#REF!</definedName>
    <definedName name="_xlnm.Print_Area" localSheetId="25">'Scenario Analysis'!$A$11:$A$27</definedName>
    <definedName name="_xlnm.Print_Area" localSheetId="24">'Sensitivity Analysis'!$A$13:$H$29</definedName>
  </definedNames>
  <calcPr calcId="162913"/>
</workbook>
</file>

<file path=xl/calcChain.xml><?xml version="1.0" encoding="utf-8"?>
<calcChain xmlns="http://schemas.openxmlformats.org/spreadsheetml/2006/main">
  <c r="P6" i="81" l="1"/>
  <c r="K29" i="89"/>
  <c r="K28" i="89"/>
  <c r="K27" i="89"/>
  <c r="K24" i="89"/>
  <c r="K23" i="89"/>
  <c r="K21" i="89"/>
  <c r="K20" i="89"/>
  <c r="K19" i="89"/>
  <c r="K18" i="89"/>
  <c r="K17" i="89"/>
  <c r="K16" i="89"/>
  <c r="K14" i="89"/>
  <c r="K13" i="89"/>
  <c r="K12" i="89"/>
  <c r="K11" i="89"/>
  <c r="K10" i="89"/>
  <c r="K9" i="89"/>
  <c r="K7" i="89"/>
  <c r="K6" i="89"/>
  <c r="K5" i="89"/>
  <c r="J29" i="89"/>
  <c r="J28" i="89"/>
  <c r="J27" i="89"/>
  <c r="J24" i="89"/>
  <c r="J23" i="89"/>
  <c r="J21" i="89"/>
  <c r="J20" i="89"/>
  <c r="J19" i="89"/>
  <c r="J18" i="89"/>
  <c r="J17" i="89"/>
  <c r="J16" i="89"/>
  <c r="J14" i="89"/>
  <c r="J13" i="89"/>
  <c r="J12" i="89"/>
  <c r="J11" i="89"/>
  <c r="J10" i="89"/>
  <c r="J9" i="89"/>
  <c r="J7" i="89"/>
  <c r="J6" i="89"/>
  <c r="J5" i="89"/>
  <c r="H29" i="89"/>
  <c r="G29" i="89"/>
  <c r="F29" i="89"/>
  <c r="E29" i="89"/>
  <c r="D29" i="89"/>
  <c r="C29" i="89"/>
  <c r="H27" i="89"/>
  <c r="G27" i="89"/>
  <c r="F27" i="89"/>
  <c r="E27" i="89"/>
  <c r="D27" i="89"/>
  <c r="C27" i="89"/>
  <c r="H28" i="89"/>
  <c r="G28" i="89"/>
  <c r="F28" i="89"/>
  <c r="E28" i="89"/>
  <c r="D28" i="89"/>
  <c r="C28" i="89"/>
  <c r="H25" i="89"/>
  <c r="G25" i="89"/>
  <c r="F25" i="89"/>
  <c r="E25" i="89"/>
  <c r="D25" i="89"/>
  <c r="K25" i="89" s="1"/>
  <c r="H24" i="89"/>
  <c r="G24" i="89"/>
  <c r="F24" i="89"/>
  <c r="E24" i="89"/>
  <c r="D24" i="89"/>
  <c r="H23" i="89"/>
  <c r="G23" i="89"/>
  <c r="F23" i="89"/>
  <c r="E23" i="89"/>
  <c r="D23" i="89"/>
  <c r="H21" i="89"/>
  <c r="G21" i="89"/>
  <c r="F21" i="89"/>
  <c r="E21" i="89"/>
  <c r="D21" i="89"/>
  <c r="C21" i="89"/>
  <c r="H20" i="89"/>
  <c r="G20" i="89"/>
  <c r="F20" i="89"/>
  <c r="E20" i="89"/>
  <c r="D20" i="89"/>
  <c r="C20" i="89"/>
  <c r="H19" i="89"/>
  <c r="G19" i="89"/>
  <c r="F19" i="89"/>
  <c r="E19" i="89"/>
  <c r="D19" i="89"/>
  <c r="C19" i="89"/>
  <c r="H18" i="89"/>
  <c r="G18" i="89"/>
  <c r="F18" i="89"/>
  <c r="E18" i="89"/>
  <c r="D18" i="89"/>
  <c r="C18" i="89"/>
  <c r="H17" i="89"/>
  <c r="G17" i="89"/>
  <c r="F17" i="89"/>
  <c r="E17" i="89"/>
  <c r="D17" i="89"/>
  <c r="C17" i="89"/>
  <c r="H16" i="89"/>
  <c r="G16" i="89"/>
  <c r="F16" i="89"/>
  <c r="E16" i="89"/>
  <c r="D16" i="89"/>
  <c r="C16" i="89"/>
  <c r="H14" i="89"/>
  <c r="G14" i="89"/>
  <c r="F14" i="89"/>
  <c r="E14" i="89"/>
  <c r="D14" i="89"/>
  <c r="C14" i="89"/>
  <c r="H11" i="89"/>
  <c r="G11" i="89"/>
  <c r="F11" i="89"/>
  <c r="E11" i="89"/>
  <c r="D11" i="89"/>
  <c r="C11" i="89"/>
  <c r="H13" i="89"/>
  <c r="G13" i="89"/>
  <c r="F13" i="89"/>
  <c r="E13" i="89"/>
  <c r="D13" i="89"/>
  <c r="C13" i="89"/>
  <c r="H12" i="89"/>
  <c r="G12" i="89"/>
  <c r="F12" i="89"/>
  <c r="E12" i="89"/>
  <c r="D12" i="89"/>
  <c r="C12" i="89"/>
  <c r="H10" i="89"/>
  <c r="G10" i="89"/>
  <c r="F10" i="89"/>
  <c r="E10" i="89"/>
  <c r="D10" i="89"/>
  <c r="C10" i="89"/>
  <c r="H9" i="89"/>
  <c r="G9" i="89"/>
  <c r="F9" i="89"/>
  <c r="E9" i="89"/>
  <c r="D9" i="89"/>
  <c r="C9" i="89"/>
  <c r="H7" i="89"/>
  <c r="G7" i="89"/>
  <c r="F7" i="89"/>
  <c r="E7" i="89"/>
  <c r="D7" i="89"/>
  <c r="C7" i="89"/>
  <c r="H6" i="89"/>
  <c r="G6" i="89"/>
  <c r="F6" i="89"/>
  <c r="E6" i="89"/>
  <c r="D6" i="89"/>
  <c r="C6" i="89"/>
  <c r="H5" i="89"/>
  <c r="G5" i="89"/>
  <c r="F5" i="89"/>
  <c r="E5" i="89"/>
  <c r="D5" i="89"/>
  <c r="C5" i="89"/>
  <c r="D3" i="89"/>
  <c r="E3" i="89" s="1"/>
  <c r="F3" i="89" s="1"/>
  <c r="G3" i="89" s="1"/>
  <c r="J25" i="89" l="1"/>
  <c r="K3" i="28"/>
  <c r="H3" i="28"/>
  <c r="K21" i="79"/>
  <c r="G5" i="77"/>
  <c r="F5" i="77"/>
  <c r="E5" i="77"/>
  <c r="D5" i="77"/>
  <c r="C5" i="77"/>
  <c r="G6" i="77"/>
  <c r="F6" i="77"/>
  <c r="E6" i="77"/>
  <c r="D6" i="77"/>
  <c r="C6" i="77"/>
  <c r="B42" i="72"/>
  <c r="B41" i="72"/>
  <c r="B40" i="72"/>
  <c r="B39" i="72"/>
  <c r="B38" i="72"/>
  <c r="B37" i="72"/>
  <c r="B36" i="72"/>
  <c r="B35" i="72"/>
  <c r="B34" i="72"/>
  <c r="B33" i="72"/>
  <c r="C14" i="71"/>
  <c r="C13" i="71"/>
  <c r="C12" i="71"/>
  <c r="C9" i="71"/>
  <c r="C8" i="71"/>
  <c r="C5" i="71"/>
  <c r="C3" i="71"/>
  <c r="I11" i="71"/>
  <c r="I13" i="71" s="1"/>
  <c r="K12" i="71" s="1"/>
  <c r="G10" i="71"/>
  <c r="H10" i="71" s="1"/>
  <c r="H9" i="71"/>
  <c r="J8" i="71"/>
  <c r="H8" i="71"/>
  <c r="H7" i="71"/>
  <c r="J6" i="71"/>
  <c r="H6" i="71"/>
  <c r="H5" i="71"/>
  <c r="P7" i="81"/>
  <c r="P23" i="88"/>
  <c r="P19" i="88"/>
  <c r="P7" i="88"/>
  <c r="P11" i="88"/>
  <c r="P15" i="88"/>
  <c r="F10" i="40"/>
  <c r="F5" i="40"/>
  <c r="C25" i="48"/>
  <c r="C19" i="57"/>
  <c r="C6" i="57"/>
  <c r="D6" i="57"/>
  <c r="E6" i="57"/>
  <c r="F6" i="57"/>
  <c r="G6" i="57"/>
  <c r="J10" i="71" l="1"/>
  <c r="J5" i="71"/>
  <c r="J7" i="71"/>
  <c r="J9" i="71"/>
  <c r="H11" i="71" s="1"/>
  <c r="K11" i="71"/>
  <c r="C7" i="43"/>
  <c r="C6" i="43"/>
  <c r="C5" i="43"/>
  <c r="K13" i="71" l="1"/>
  <c r="H13" i="71"/>
  <c r="F11" i="71"/>
  <c r="F13" i="71" s="1"/>
  <c r="J11" i="71"/>
  <c r="D20" i="75"/>
  <c r="E20" i="75"/>
  <c r="F20" i="75"/>
  <c r="G20" i="75"/>
  <c r="H20" i="75"/>
  <c r="I20" i="75"/>
  <c r="J20" i="75"/>
  <c r="K20" i="75"/>
  <c r="L20" i="75"/>
  <c r="M20" i="75"/>
  <c r="M8" i="75"/>
  <c r="M16" i="75"/>
  <c r="C8" i="75"/>
  <c r="C18" i="88"/>
  <c r="P24" i="88"/>
  <c r="D16" i="88"/>
  <c r="D15" i="88" s="1"/>
  <c r="M16" i="88"/>
  <c r="C15" i="88"/>
  <c r="M12" i="88"/>
  <c r="D12" i="88"/>
  <c r="H12" i="88" s="1"/>
  <c r="K12" i="88" s="1"/>
  <c r="L12" i="88" s="1"/>
  <c r="P20" i="88"/>
  <c r="M10" i="88"/>
  <c r="D10" i="88"/>
  <c r="H10" i="88" s="1"/>
  <c r="K10" i="88" s="1"/>
  <c r="P16" i="88"/>
  <c r="P12" i="88"/>
  <c r="M6" i="88"/>
  <c r="D6" i="88"/>
  <c r="P8" i="88"/>
  <c r="H6" i="88" l="1"/>
  <c r="F10" i="88"/>
  <c r="H8" i="75"/>
  <c r="H16" i="88"/>
  <c r="F12" i="88"/>
  <c r="J12" i="88"/>
  <c r="I12" i="88" s="1"/>
  <c r="L10" i="88"/>
  <c r="J10" i="88"/>
  <c r="I10" i="88" s="1"/>
  <c r="C11" i="88"/>
  <c r="C9" i="88"/>
  <c r="C7" i="88"/>
  <c r="C5" i="88"/>
  <c r="B11" i="88"/>
  <c r="B9" i="88"/>
  <c r="B7" i="88"/>
  <c r="B5" i="88"/>
  <c r="C22" i="39"/>
  <c r="J34" i="39"/>
  <c r="I34" i="39"/>
  <c r="C25" i="39"/>
  <c r="C24" i="39"/>
  <c r="C23" i="39"/>
  <c r="I13" i="39"/>
  <c r="I12" i="39"/>
  <c r="I11" i="39"/>
  <c r="I10" i="39"/>
  <c r="K6" i="35"/>
  <c r="J5" i="35"/>
  <c r="I5" i="35"/>
  <c r="H5" i="35"/>
  <c r="G5" i="35"/>
  <c r="F5" i="35"/>
  <c r="J6" i="35"/>
  <c r="I6" i="35"/>
  <c r="H6" i="35"/>
  <c r="G6" i="35"/>
  <c r="F6" i="35"/>
  <c r="M13" i="79"/>
  <c r="L13" i="79"/>
  <c r="K13" i="79"/>
  <c r="J13" i="79"/>
  <c r="I13" i="79"/>
  <c r="M12" i="79"/>
  <c r="C17" i="35" s="1"/>
  <c r="L12" i="79"/>
  <c r="K12" i="79"/>
  <c r="J12" i="79"/>
  <c r="I12" i="79"/>
  <c r="C6" i="35"/>
  <c r="J8" i="32"/>
  <c r="I8" i="32"/>
  <c r="H8" i="32"/>
  <c r="G8" i="32"/>
  <c r="K8" i="32" s="1"/>
  <c r="C8" i="32" s="1"/>
  <c r="F8" i="32"/>
  <c r="K27" i="32"/>
  <c r="K20" i="32"/>
  <c r="K19" i="32"/>
  <c r="K18" i="32"/>
  <c r="K17" i="32"/>
  <c r="K16" i="32"/>
  <c r="K21" i="32" s="1"/>
  <c r="K14" i="32"/>
  <c r="K13" i="32"/>
  <c r="K12" i="32"/>
  <c r="K15" i="32" s="1"/>
  <c r="K11" i="32"/>
  <c r="I15" i="32"/>
  <c r="H15" i="32"/>
  <c r="G15" i="32"/>
  <c r="F15" i="32"/>
  <c r="J15" i="32"/>
  <c r="J20" i="32"/>
  <c r="I20" i="32"/>
  <c r="H20" i="32"/>
  <c r="G20" i="32"/>
  <c r="F20" i="32"/>
  <c r="F17" i="32"/>
  <c r="J18" i="32"/>
  <c r="I18" i="32"/>
  <c r="H18" i="32"/>
  <c r="G18" i="32"/>
  <c r="F18" i="32"/>
  <c r="F21" i="32" s="1"/>
  <c r="F23" i="32" s="1"/>
  <c r="J17" i="32"/>
  <c r="J21" i="32" s="1"/>
  <c r="J23" i="32" s="1"/>
  <c r="I17" i="32"/>
  <c r="I21" i="32" s="1"/>
  <c r="H17" i="32"/>
  <c r="H21" i="32" s="1"/>
  <c r="G17" i="32"/>
  <c r="G21" i="32" s="1"/>
  <c r="J19" i="32"/>
  <c r="I19" i="32"/>
  <c r="H19" i="32"/>
  <c r="G19" i="32"/>
  <c r="F19" i="32"/>
  <c r="F16" i="32"/>
  <c r="F14" i="32"/>
  <c r="J13" i="32"/>
  <c r="I13" i="32"/>
  <c r="H13" i="32"/>
  <c r="G13" i="32"/>
  <c r="F13" i="32"/>
  <c r="J12" i="32"/>
  <c r="I12" i="32"/>
  <c r="H12" i="32"/>
  <c r="G12" i="32"/>
  <c r="F12" i="32"/>
  <c r="C6" i="32"/>
  <c r="C5" i="32"/>
  <c r="K6" i="32"/>
  <c r="K7" i="32"/>
  <c r="J6" i="32"/>
  <c r="I6" i="32"/>
  <c r="H6" i="32"/>
  <c r="G6" i="32"/>
  <c r="F6" i="32"/>
  <c r="J5" i="32"/>
  <c r="I5" i="32"/>
  <c r="H5" i="32"/>
  <c r="G5" i="32"/>
  <c r="F5" i="32"/>
  <c r="H29" i="49"/>
  <c r="G29" i="49"/>
  <c r="F29" i="49"/>
  <c r="E29" i="49"/>
  <c r="D29" i="49"/>
  <c r="C29" i="49"/>
  <c r="H28" i="49"/>
  <c r="G28" i="49"/>
  <c r="F28" i="49"/>
  <c r="E28" i="49"/>
  <c r="D28" i="49"/>
  <c r="C28" i="49"/>
  <c r="H27" i="49"/>
  <c r="G27" i="49"/>
  <c r="F27" i="49"/>
  <c r="E27" i="49"/>
  <c r="D27" i="49"/>
  <c r="C27" i="49"/>
  <c r="H26" i="49"/>
  <c r="G26" i="49"/>
  <c r="F26" i="49"/>
  <c r="E26" i="49"/>
  <c r="D26" i="49"/>
  <c r="C26" i="49"/>
  <c r="H25" i="49"/>
  <c r="G25" i="49"/>
  <c r="F25" i="49"/>
  <c r="E25" i="49"/>
  <c r="D25" i="49"/>
  <c r="C25" i="49"/>
  <c r="H18" i="49"/>
  <c r="G18" i="49"/>
  <c r="F18" i="49"/>
  <c r="E18" i="49"/>
  <c r="D18" i="49"/>
  <c r="C18" i="49"/>
  <c r="G12" i="49"/>
  <c r="F12" i="49"/>
  <c r="E12" i="49"/>
  <c r="D12" i="49"/>
  <c r="C12" i="49"/>
  <c r="H12" i="49"/>
  <c r="H20" i="49"/>
  <c r="H19" i="49"/>
  <c r="H10" i="49"/>
  <c r="H9" i="49"/>
  <c r="H8" i="49"/>
  <c r="H6" i="49"/>
  <c r="H5" i="49"/>
  <c r="H7" i="49" s="1"/>
  <c r="G9" i="49"/>
  <c r="F9" i="49"/>
  <c r="E9" i="49"/>
  <c r="D9" i="49"/>
  <c r="C9" i="49"/>
  <c r="F8" i="49"/>
  <c r="E8" i="49"/>
  <c r="D8" i="49"/>
  <c r="C8" i="49"/>
  <c r="G8" i="49"/>
  <c r="F6" i="49"/>
  <c r="E6" i="49"/>
  <c r="D6" i="49"/>
  <c r="C6" i="49"/>
  <c r="G6" i="49"/>
  <c r="F5" i="49"/>
  <c r="E5" i="49"/>
  <c r="D5" i="49"/>
  <c r="C5" i="49"/>
  <c r="G5" i="49"/>
  <c r="G37" i="87"/>
  <c r="F37" i="87"/>
  <c r="E37" i="87"/>
  <c r="D37" i="87"/>
  <c r="C37" i="87"/>
  <c r="C6" i="87"/>
  <c r="C17" i="87" s="1"/>
  <c r="G43" i="87"/>
  <c r="H4" i="85"/>
  <c r="E23" i="85"/>
  <c r="D23" i="85"/>
  <c r="C23" i="85"/>
  <c r="H23" i="85"/>
  <c r="H27" i="85" s="1"/>
  <c r="G23" i="85"/>
  <c r="F23" i="85"/>
  <c r="F27" i="85" s="1"/>
  <c r="H36" i="85"/>
  <c r="H38" i="85" s="1"/>
  <c r="H11" i="85"/>
  <c r="H15" i="85" s="1"/>
  <c r="H32" i="84"/>
  <c r="J29" i="84"/>
  <c r="J26" i="84"/>
  <c r="J22" i="84"/>
  <c r="J23" i="84"/>
  <c r="J24" i="84"/>
  <c r="J20" i="84"/>
  <c r="J19" i="84"/>
  <c r="J17" i="84"/>
  <c r="J16" i="84"/>
  <c r="H29" i="84"/>
  <c r="C30" i="84"/>
  <c r="C29" i="84" s="1"/>
  <c r="F29" i="84"/>
  <c r="E29" i="84"/>
  <c r="D29" i="84"/>
  <c r="G29" i="84"/>
  <c r="H26" i="84"/>
  <c r="D26" i="84"/>
  <c r="F26" i="84"/>
  <c r="E26" i="84"/>
  <c r="C26" i="84"/>
  <c r="G26" i="84"/>
  <c r="H23" i="84"/>
  <c r="G22" i="84"/>
  <c r="F22" i="84"/>
  <c r="E22" i="84"/>
  <c r="D22" i="84"/>
  <c r="C22" i="84"/>
  <c r="H22" i="84"/>
  <c r="G21" i="84"/>
  <c r="F21" i="84"/>
  <c r="E21" i="84"/>
  <c r="D21" i="84"/>
  <c r="C21" i="84"/>
  <c r="H21" i="84"/>
  <c r="H20" i="84"/>
  <c r="H19" i="84"/>
  <c r="H15" i="84"/>
  <c r="H12" i="84"/>
  <c r="C15" i="84"/>
  <c r="D15" i="84"/>
  <c r="C17" i="84"/>
  <c r="C16" i="84"/>
  <c r="J12" i="84"/>
  <c r="J15" i="84"/>
  <c r="H16" i="84"/>
  <c r="H17" i="84" s="1"/>
  <c r="J11" i="84"/>
  <c r="J10" i="84"/>
  <c r="J9" i="84"/>
  <c r="J8" i="84"/>
  <c r="J7" i="84"/>
  <c r="J6" i="84"/>
  <c r="J5" i="84"/>
  <c r="C6" i="84"/>
  <c r="D6" i="84"/>
  <c r="D9" i="84"/>
  <c r="D11" i="84" s="1"/>
  <c r="C9" i="84"/>
  <c r="C11" i="84" s="1"/>
  <c r="G11" i="84"/>
  <c r="F11" i="84"/>
  <c r="E11" i="84"/>
  <c r="H11" i="84"/>
  <c r="H10" i="84"/>
  <c r="F9" i="84"/>
  <c r="E9" i="84"/>
  <c r="G9" i="84"/>
  <c r="H8" i="84"/>
  <c r="H9" i="84" s="1"/>
  <c r="H7" i="84"/>
  <c r="H6" i="84"/>
  <c r="H5" i="84"/>
  <c r="F6" i="88" l="1"/>
  <c r="K6" i="88"/>
  <c r="L6" i="88" s="1"/>
  <c r="G10" i="88"/>
  <c r="E10" i="88"/>
  <c r="F8" i="75"/>
  <c r="J8" i="75"/>
  <c r="I8" i="75"/>
  <c r="F16" i="88"/>
  <c r="K16" i="88"/>
  <c r="L16" i="88" s="1"/>
  <c r="J16" i="88"/>
  <c r="I16" i="88" s="1"/>
  <c r="E12" i="88"/>
  <c r="G12" i="88"/>
  <c r="H11" i="49"/>
  <c r="K23" i="32"/>
  <c r="C30" i="49"/>
  <c r="G34" i="49"/>
  <c r="H30" i="49"/>
  <c r="H34" i="49"/>
  <c r="H13" i="49"/>
  <c r="H32" i="49"/>
  <c r="H39" i="85"/>
  <c r="H41" i="85" s="1"/>
  <c r="H24" i="84"/>
  <c r="F11" i="68"/>
  <c r="I11" i="68"/>
  <c r="I13" i="68" s="1"/>
  <c r="G10" i="68"/>
  <c r="H10" i="68" s="1"/>
  <c r="J10" i="68"/>
  <c r="J9" i="68"/>
  <c r="J7" i="68"/>
  <c r="J6" i="68"/>
  <c r="J5" i="68"/>
  <c r="H9" i="68"/>
  <c r="H8" i="68"/>
  <c r="H7" i="68"/>
  <c r="H6" i="68"/>
  <c r="H5" i="68"/>
  <c r="O33" i="67"/>
  <c r="O32" i="67"/>
  <c r="O31" i="67"/>
  <c r="O30" i="67"/>
  <c r="O29" i="67"/>
  <c r="O28" i="67"/>
  <c r="O27" i="67"/>
  <c r="O26" i="67"/>
  <c r="O25" i="67"/>
  <c r="O24" i="67"/>
  <c r="O23" i="67"/>
  <c r="O22" i="67"/>
  <c r="O21" i="67"/>
  <c r="O20" i="67"/>
  <c r="O19" i="67"/>
  <c r="O18" i="67"/>
  <c r="O17" i="67"/>
  <c r="O16" i="67"/>
  <c r="O15" i="67"/>
  <c r="O14" i="67"/>
  <c r="O34" i="67" s="1"/>
  <c r="O13" i="67"/>
  <c r="O12" i="67"/>
  <c r="O11" i="67"/>
  <c r="O10" i="67"/>
  <c r="O9" i="67"/>
  <c r="O8" i="67"/>
  <c r="O7" i="67"/>
  <c r="O6" i="67"/>
  <c r="M34" i="67"/>
  <c r="M33" i="67"/>
  <c r="M32" i="67"/>
  <c r="M31" i="67"/>
  <c r="M30" i="67"/>
  <c r="M29" i="67"/>
  <c r="M28" i="67"/>
  <c r="M27" i="67"/>
  <c r="M26" i="67"/>
  <c r="M25" i="67"/>
  <c r="M24" i="67"/>
  <c r="M23" i="67"/>
  <c r="M22" i="67"/>
  <c r="M21" i="67"/>
  <c r="M20" i="67"/>
  <c r="M19" i="67"/>
  <c r="M18" i="67"/>
  <c r="M17" i="67"/>
  <c r="M16" i="67"/>
  <c r="M15" i="67"/>
  <c r="M14" i="67"/>
  <c r="M13" i="67"/>
  <c r="M12" i="67"/>
  <c r="M11" i="67"/>
  <c r="M10" i="67"/>
  <c r="M9" i="67"/>
  <c r="M8" i="67"/>
  <c r="M7" i="67"/>
  <c r="M6" i="67"/>
  <c r="D34" i="67"/>
  <c r="J34" i="67"/>
  <c r="K34" i="67"/>
  <c r="K33" i="67"/>
  <c r="K32" i="67"/>
  <c r="K31" i="67"/>
  <c r="K30" i="67"/>
  <c r="K29" i="67"/>
  <c r="K28" i="67"/>
  <c r="K27" i="67"/>
  <c r="K26" i="67"/>
  <c r="K25" i="67"/>
  <c r="K24" i="67"/>
  <c r="K23" i="67"/>
  <c r="K22" i="67"/>
  <c r="K21" i="67"/>
  <c r="K20" i="67"/>
  <c r="K19" i="67"/>
  <c r="K18" i="67"/>
  <c r="K17" i="67"/>
  <c r="K16" i="67"/>
  <c r="K15" i="67"/>
  <c r="K14" i="67"/>
  <c r="K13" i="67"/>
  <c r="K12" i="67"/>
  <c r="K11" i="67"/>
  <c r="K10" i="67"/>
  <c r="K9" i="67"/>
  <c r="K8" i="67"/>
  <c r="K7" i="67"/>
  <c r="K6" i="67"/>
  <c r="J6" i="67"/>
  <c r="J30" i="67"/>
  <c r="J26" i="67"/>
  <c r="J22" i="67"/>
  <c r="J18" i="67"/>
  <c r="J14" i="67"/>
  <c r="J10" i="67"/>
  <c r="I6" i="67"/>
  <c r="G33" i="67"/>
  <c r="J33" i="67" s="1"/>
  <c r="G32" i="67"/>
  <c r="I32" i="67" s="1"/>
  <c r="G31" i="67"/>
  <c r="I31" i="67" s="1"/>
  <c r="G30" i="67"/>
  <c r="I30" i="67" s="1"/>
  <c r="G29" i="67"/>
  <c r="J29" i="67" s="1"/>
  <c r="G28" i="67"/>
  <c r="I28" i="67" s="1"/>
  <c r="G27" i="67"/>
  <c r="I27" i="67" s="1"/>
  <c r="G26" i="67"/>
  <c r="I26" i="67" s="1"/>
  <c r="G25" i="67"/>
  <c r="J25" i="67" s="1"/>
  <c r="G24" i="67"/>
  <c r="I24" i="67" s="1"/>
  <c r="G23" i="67"/>
  <c r="I23" i="67" s="1"/>
  <c r="G22" i="67"/>
  <c r="I22" i="67" s="1"/>
  <c r="G21" i="67"/>
  <c r="J21" i="67" s="1"/>
  <c r="G20" i="67"/>
  <c r="I20" i="67" s="1"/>
  <c r="G19" i="67"/>
  <c r="I19" i="67" s="1"/>
  <c r="G18" i="67"/>
  <c r="I18" i="67" s="1"/>
  <c r="G17" i="67"/>
  <c r="J17" i="67" s="1"/>
  <c r="G16" i="67"/>
  <c r="I16" i="67" s="1"/>
  <c r="G15" i="67"/>
  <c r="I15" i="67" s="1"/>
  <c r="G14" i="67"/>
  <c r="I14" i="67" s="1"/>
  <c r="G13" i="67"/>
  <c r="J13" i="67" s="1"/>
  <c r="G12" i="67"/>
  <c r="I12" i="67" s="1"/>
  <c r="G11" i="67"/>
  <c r="I11" i="67" s="1"/>
  <c r="G10" i="67"/>
  <c r="I10" i="67" s="1"/>
  <c r="G9" i="67"/>
  <c r="J9" i="67" s="1"/>
  <c r="G8" i="67"/>
  <c r="I8" i="67" s="1"/>
  <c r="G7" i="67"/>
  <c r="I7" i="67" s="1"/>
  <c r="G6" i="67"/>
  <c r="G6" i="88" l="1"/>
  <c r="E6" i="88"/>
  <c r="J6" i="88"/>
  <c r="I6" i="88" s="1"/>
  <c r="L8" i="75"/>
  <c r="G8" i="75"/>
  <c r="E8" i="75"/>
  <c r="G16" i="88"/>
  <c r="E16" i="88"/>
  <c r="E15" i="88" s="1"/>
  <c r="F15" i="88" s="1"/>
  <c r="K25" i="32"/>
  <c r="K28" i="32"/>
  <c r="H17" i="49"/>
  <c r="H21" i="49" s="1"/>
  <c r="H33" i="49" s="1"/>
  <c r="J8" i="68"/>
  <c r="H11" i="68"/>
  <c r="I17" i="67"/>
  <c r="I25" i="67"/>
  <c r="J7" i="67"/>
  <c r="J11" i="67"/>
  <c r="J15" i="67"/>
  <c r="J19" i="67"/>
  <c r="J23" i="67"/>
  <c r="J27" i="67"/>
  <c r="J31" i="67"/>
  <c r="I9" i="67"/>
  <c r="I21" i="67"/>
  <c r="I29" i="67"/>
  <c r="J8" i="67"/>
  <c r="J12" i="67"/>
  <c r="J16" i="67"/>
  <c r="J20" i="67"/>
  <c r="J24" i="67"/>
  <c r="J28" i="67"/>
  <c r="J32" i="67"/>
  <c r="I13" i="67"/>
  <c r="I33" i="67"/>
  <c r="E30" i="67"/>
  <c r="E29" i="67"/>
  <c r="E28" i="67"/>
  <c r="E27" i="67"/>
  <c r="E26" i="67"/>
  <c r="E25" i="67"/>
  <c r="E24" i="67"/>
  <c r="E23" i="67"/>
  <c r="E22" i="67"/>
  <c r="E20" i="67"/>
  <c r="E19" i="67"/>
  <c r="E18" i="67"/>
  <c r="E17" i="67"/>
  <c r="E16" i="67"/>
  <c r="E15" i="67"/>
  <c r="E14" i="67"/>
  <c r="K8" i="75" l="1"/>
  <c r="G15" i="88"/>
  <c r="H15" i="88" s="1"/>
  <c r="I15" i="88" s="1"/>
  <c r="J15" i="88" s="1"/>
  <c r="K15" i="88" s="1"/>
  <c r="L15" i="88" s="1"/>
  <c r="M15" i="88" s="1"/>
  <c r="J11" i="68"/>
  <c r="C15" i="24"/>
  <c r="B28" i="79"/>
  <c r="B27" i="79"/>
  <c r="B26" i="79"/>
  <c r="B25" i="79"/>
  <c r="C16" i="79"/>
  <c r="E7" i="77" l="1"/>
  <c r="M8" i="88" l="1"/>
  <c r="B4" i="88"/>
  <c r="C13" i="88" l="1"/>
  <c r="D11" i="88"/>
  <c r="D5" i="88"/>
  <c r="D9" i="88"/>
  <c r="F33" i="39"/>
  <c r="E33" i="39"/>
  <c r="F32" i="39"/>
  <c r="E32" i="39"/>
  <c r="F31" i="39"/>
  <c r="E31" i="39"/>
  <c r="F30" i="39"/>
  <c r="E30" i="39"/>
  <c r="F29" i="39"/>
  <c r="E29" i="39"/>
  <c r="F28" i="39"/>
  <c r="E28" i="39"/>
  <c r="F27" i="39"/>
  <c r="E27" i="39"/>
  <c r="F26" i="39"/>
  <c r="E26" i="39"/>
  <c r="F25" i="39"/>
  <c r="E25" i="39"/>
  <c r="F24" i="39"/>
  <c r="E24" i="39"/>
  <c r="F23" i="39"/>
  <c r="E23" i="39"/>
  <c r="F22" i="39"/>
  <c r="E22" i="39"/>
  <c r="F21" i="39"/>
  <c r="E21" i="39"/>
  <c r="F20" i="39"/>
  <c r="E20" i="39"/>
  <c r="F19" i="39"/>
  <c r="E19" i="39"/>
  <c r="F18" i="39"/>
  <c r="E18" i="39"/>
  <c r="F17" i="39"/>
  <c r="E17" i="39"/>
  <c r="F16" i="39"/>
  <c r="E16" i="39"/>
  <c r="F15" i="39"/>
  <c r="E15" i="39"/>
  <c r="F14" i="39"/>
  <c r="E14" i="39"/>
  <c r="F13" i="39"/>
  <c r="E13" i="39"/>
  <c r="F12" i="39"/>
  <c r="E12" i="39"/>
  <c r="F11" i="39"/>
  <c r="E11" i="39"/>
  <c r="F10" i="39"/>
  <c r="E10" i="39"/>
  <c r="F9" i="39"/>
  <c r="E9" i="39"/>
  <c r="F8" i="39"/>
  <c r="E8" i="39"/>
  <c r="F7" i="39"/>
  <c r="E7" i="39"/>
  <c r="F6" i="39"/>
  <c r="E6" i="39"/>
  <c r="I16" i="32"/>
  <c r="H16" i="32"/>
  <c r="G16" i="32"/>
  <c r="J16" i="32"/>
  <c r="J14" i="32"/>
  <c r="I14" i="32"/>
  <c r="H14" i="32"/>
  <c r="G14" i="32"/>
  <c r="G19" i="49"/>
  <c r="F19" i="49"/>
  <c r="E19" i="49"/>
  <c r="D19" i="49"/>
  <c r="C19" i="49"/>
  <c r="C5" i="75" l="1"/>
  <c r="K5" i="32"/>
  <c r="E9" i="88"/>
  <c r="F9" i="88" s="1"/>
  <c r="G9" i="88" s="1"/>
  <c r="H9" i="88" s="1"/>
  <c r="I9" i="88" s="1"/>
  <c r="J9" i="88" s="1"/>
  <c r="K9" i="88" s="1"/>
  <c r="L9" i="88" s="1"/>
  <c r="M9" i="88" s="1"/>
  <c r="E11" i="88"/>
  <c r="F11" i="88" s="1"/>
  <c r="G11" i="88" s="1"/>
  <c r="H11" i="88" s="1"/>
  <c r="I11" i="88" s="1"/>
  <c r="J11" i="88" s="1"/>
  <c r="K11" i="88" s="1"/>
  <c r="L11" i="88" s="1"/>
  <c r="M11" i="88" s="1"/>
  <c r="F17" i="68"/>
  <c r="K12" i="68"/>
  <c r="K11" i="68"/>
  <c r="E5" i="88"/>
  <c r="F5" i="88" s="1"/>
  <c r="K13" i="68" l="1"/>
  <c r="F13" i="68"/>
  <c r="G5" i="88"/>
  <c r="D13" i="24"/>
  <c r="F12" i="66"/>
  <c r="D14" i="24" l="1"/>
  <c r="D12" i="24"/>
  <c r="H5" i="88"/>
  <c r="F43" i="87"/>
  <c r="E43" i="87"/>
  <c r="D43" i="87"/>
  <c r="F25" i="87"/>
  <c r="E25" i="87"/>
  <c r="D25" i="87"/>
  <c r="C25" i="87"/>
  <c r="G25" i="87"/>
  <c r="D16" i="84"/>
  <c r="D17" i="84" s="1"/>
  <c r="F16" i="84"/>
  <c r="F17" i="84" s="1"/>
  <c r="G16" i="84"/>
  <c r="E16" i="84"/>
  <c r="C41" i="87" l="1"/>
  <c r="C44" i="87"/>
  <c r="C46" i="87" s="1"/>
  <c r="D15" i="24"/>
  <c r="I5" i="88"/>
  <c r="G17" i="84"/>
  <c r="F32" i="84"/>
  <c r="E17" i="84"/>
  <c r="D32" i="84"/>
  <c r="C32" i="84"/>
  <c r="J5" i="88" l="1"/>
  <c r="G32" i="84"/>
  <c r="E32" i="84"/>
  <c r="C16" i="75" l="1"/>
  <c r="K5" i="88"/>
  <c r="C16" i="83"/>
  <c r="C23" i="48"/>
  <c r="C10" i="81" l="1"/>
  <c r="G16" i="75"/>
  <c r="E16" i="75"/>
  <c r="F16" i="75" s="1"/>
  <c r="L5" i="88"/>
  <c r="C25" i="83"/>
  <c r="G33" i="39"/>
  <c r="I33" i="39" s="1"/>
  <c r="G32" i="39"/>
  <c r="I32" i="39" s="1"/>
  <c r="G31" i="39"/>
  <c r="I31" i="39" s="1"/>
  <c r="G30" i="39"/>
  <c r="I30" i="39" s="1"/>
  <c r="G29" i="39"/>
  <c r="I29" i="39" s="1"/>
  <c r="G28" i="39"/>
  <c r="I28" i="39" s="1"/>
  <c r="G27" i="39"/>
  <c r="I27" i="39" s="1"/>
  <c r="G26" i="39"/>
  <c r="I26" i="39" s="1"/>
  <c r="G25" i="39"/>
  <c r="I25" i="39" s="1"/>
  <c r="G24" i="39"/>
  <c r="I24" i="39" s="1"/>
  <c r="G23" i="39"/>
  <c r="I23" i="39" s="1"/>
  <c r="G22" i="39"/>
  <c r="I22" i="39" s="1"/>
  <c r="G21" i="39"/>
  <c r="I21" i="39" s="1"/>
  <c r="G20" i="39"/>
  <c r="I20" i="39" s="1"/>
  <c r="G19" i="39"/>
  <c r="I19" i="39" s="1"/>
  <c r="G18" i="39"/>
  <c r="I18" i="39" s="1"/>
  <c r="G17" i="39"/>
  <c r="I17" i="39" s="1"/>
  <c r="G16" i="39"/>
  <c r="I16" i="39" s="1"/>
  <c r="G15" i="39"/>
  <c r="I15" i="39" s="1"/>
  <c r="G14" i="39"/>
  <c r="I14" i="39" s="1"/>
  <c r="G13" i="39"/>
  <c r="G12" i="39"/>
  <c r="G11" i="39"/>
  <c r="G10" i="39"/>
  <c r="G9" i="39"/>
  <c r="I9" i="39" s="1"/>
  <c r="G8" i="39"/>
  <c r="I8" i="39" s="1"/>
  <c r="G7" i="39"/>
  <c r="I7" i="39" s="1"/>
  <c r="G6" i="39"/>
  <c r="C19" i="35"/>
  <c r="C38" i="85"/>
  <c r="C36" i="85"/>
  <c r="C27" i="85"/>
  <c r="C11" i="85"/>
  <c r="C15" i="85" s="1"/>
  <c r="D36" i="85"/>
  <c r="D38" i="85" s="1"/>
  <c r="D27" i="85"/>
  <c r="D11" i="85"/>
  <c r="D15" i="85" s="1"/>
  <c r="E36" i="85"/>
  <c r="E38" i="85" s="1"/>
  <c r="E27" i="85"/>
  <c r="E11" i="85"/>
  <c r="E15" i="85" s="1"/>
  <c r="G11" i="85"/>
  <c r="G15" i="85" s="1"/>
  <c r="F11" i="85"/>
  <c r="F15" i="85" s="1"/>
  <c r="F36" i="85"/>
  <c r="F38" i="85" s="1"/>
  <c r="G36" i="85"/>
  <c r="G38" i="85" s="1"/>
  <c r="G27" i="85"/>
  <c r="F18" i="68"/>
  <c r="J16" i="75" l="1"/>
  <c r="I16" i="75"/>
  <c r="H16" i="75" s="1"/>
  <c r="G30" i="49"/>
  <c r="M5" i="88"/>
  <c r="D39" i="85"/>
  <c r="E39" i="85"/>
  <c r="C39" i="85"/>
  <c r="K5" i="35"/>
  <c r="F39" i="85"/>
  <c r="G39" i="85"/>
  <c r="C11" i="24"/>
  <c r="L16" i="75" l="1"/>
  <c r="K16" i="75"/>
  <c r="F13" i="66"/>
  <c r="J20" i="79" l="1"/>
  <c r="J19" i="79"/>
  <c r="D24" i="84" l="1"/>
  <c r="E24" i="84"/>
  <c r="C24" i="84"/>
  <c r="F24" i="84"/>
  <c r="G24" i="84"/>
  <c r="M14" i="79"/>
  <c r="H10" i="79" l="1"/>
  <c r="D11" i="77" l="1"/>
  <c r="E11" i="77" s="1"/>
  <c r="F11" i="77" s="1"/>
  <c r="B11" i="77"/>
  <c r="F7" i="77"/>
  <c r="D7" i="77"/>
  <c r="C7" i="77"/>
  <c r="G7" i="77"/>
  <c r="D4" i="77"/>
  <c r="E4" i="77" s="1"/>
  <c r="F4" i="77" s="1"/>
  <c r="G4" i="77" s="1"/>
  <c r="B4" i="77"/>
  <c r="H3" i="79"/>
  <c r="C17" i="79"/>
  <c r="C27" i="81"/>
  <c r="C21" i="48"/>
  <c r="E20" i="77"/>
  <c r="D20" i="77"/>
  <c r="C20" i="77"/>
  <c r="F20" i="77"/>
  <c r="E21" i="77"/>
  <c r="D21" i="77"/>
  <c r="D22" i="77" s="1"/>
  <c r="C21" i="77"/>
  <c r="F21" i="77"/>
  <c r="E15" i="77"/>
  <c r="D15" i="77"/>
  <c r="C15" i="77"/>
  <c r="F15" i="77"/>
  <c r="E14" i="77"/>
  <c r="D14" i="77"/>
  <c r="C14" i="77"/>
  <c r="F14" i="77"/>
  <c r="D4" i="87"/>
  <c r="E4" i="87" s="1"/>
  <c r="F4" i="87" s="1"/>
  <c r="G4" i="87" s="1"/>
  <c r="B4" i="87"/>
  <c r="I27" i="32"/>
  <c r="H27" i="32"/>
  <c r="G27" i="32"/>
  <c r="F27" i="32"/>
  <c r="J27" i="32"/>
  <c r="F20" i="49"/>
  <c r="E20" i="49"/>
  <c r="D20" i="49"/>
  <c r="C20" i="49"/>
  <c r="G20" i="49"/>
  <c r="D4" i="85"/>
  <c r="E4" i="85" s="1"/>
  <c r="F4" i="85" s="1"/>
  <c r="G4" i="85" s="1"/>
  <c r="B4" i="85"/>
  <c r="F10" i="49"/>
  <c r="E10" i="49"/>
  <c r="D10" i="49"/>
  <c r="C10" i="49"/>
  <c r="G10" i="49"/>
  <c r="L14" i="79"/>
  <c r="D4" i="84"/>
  <c r="E4" i="84" s="1"/>
  <c r="F4" i="84" s="1"/>
  <c r="G4" i="84" s="1"/>
  <c r="B4" i="84"/>
  <c r="G8" i="77" l="1"/>
  <c r="C34" i="49"/>
  <c r="D34" i="49"/>
  <c r="D30" i="49"/>
  <c r="E34" i="49"/>
  <c r="E30" i="49"/>
  <c r="F34" i="49"/>
  <c r="F30" i="49"/>
  <c r="J28" i="32"/>
  <c r="C22" i="77"/>
  <c r="G15" i="77"/>
  <c r="E22" i="77"/>
  <c r="F22" i="77"/>
  <c r="E41" i="85"/>
  <c r="F41" i="85"/>
  <c r="G41" i="85"/>
  <c r="D41" i="85"/>
  <c r="C41" i="85"/>
  <c r="K14" i="79"/>
  <c r="J14" i="79"/>
  <c r="I14" i="79"/>
  <c r="E16" i="68"/>
  <c r="C57" i="69"/>
  <c r="C56" i="69"/>
  <c r="C55" i="69"/>
  <c r="C54" i="69"/>
  <c r="C53" i="69"/>
  <c r="C52" i="69"/>
  <c r="C51" i="69"/>
  <c r="C50" i="69"/>
  <c r="C49" i="69"/>
  <c r="C48" i="69"/>
  <c r="C45" i="69"/>
  <c r="C44" i="69"/>
  <c r="C43" i="69"/>
  <c r="C42" i="69"/>
  <c r="C41" i="69"/>
  <c r="C40" i="69"/>
  <c r="C39" i="69"/>
  <c r="C38" i="69"/>
  <c r="C37" i="69"/>
  <c r="C36" i="69"/>
  <c r="C35" i="69"/>
  <c r="C5" i="69"/>
  <c r="D6" i="81"/>
  <c r="M6" i="81"/>
  <c r="L6" i="81"/>
  <c r="K6" i="81"/>
  <c r="J6" i="81"/>
  <c r="I6" i="81"/>
  <c r="H6" i="81"/>
  <c r="G6" i="81"/>
  <c r="F6" i="81"/>
  <c r="E6" i="81"/>
  <c r="C29" i="81"/>
  <c r="B4" i="81"/>
  <c r="M15" i="79" l="1"/>
  <c r="F12" i="77"/>
  <c r="G6" i="87"/>
  <c r="C12" i="77"/>
  <c r="D6" i="87"/>
  <c r="D17" i="87" s="1"/>
  <c r="E12" i="77"/>
  <c r="F6" i="87"/>
  <c r="D12" i="77"/>
  <c r="E6" i="87"/>
  <c r="E17" i="87" l="1"/>
  <c r="E41" i="87" s="1"/>
  <c r="E44" i="87" s="1"/>
  <c r="E46" i="87" s="1"/>
  <c r="F17" i="87"/>
  <c r="F41" i="87" s="1"/>
  <c r="F44" i="87" s="1"/>
  <c r="F46" i="87" s="1"/>
  <c r="G17" i="87"/>
  <c r="G41" i="87" s="1"/>
  <c r="G44" i="87" s="1"/>
  <c r="G46" i="87" s="1"/>
  <c r="D41" i="87"/>
  <c r="D44" i="87" s="1"/>
  <c r="C15" i="23"/>
  <c r="I5" i="79"/>
  <c r="C14" i="23" s="1"/>
  <c r="G12" i="77"/>
  <c r="D18" i="57" l="1"/>
  <c r="E18" i="57" s="1"/>
  <c r="F18" i="57" s="1"/>
  <c r="G18" i="57" s="1"/>
  <c r="H18" i="57" s="1"/>
  <c r="I18" i="57" s="1"/>
  <c r="J18" i="57" s="1"/>
  <c r="K18" i="57" s="1"/>
  <c r="L18" i="57" s="1"/>
  <c r="M18" i="57" s="1"/>
  <c r="B18" i="57"/>
  <c r="F10" i="57"/>
  <c r="E10" i="57"/>
  <c r="D10" i="57"/>
  <c r="C10" i="57"/>
  <c r="G10" i="57"/>
  <c r="D5" i="57"/>
  <c r="E5" i="57" s="1"/>
  <c r="F5" i="57" s="1"/>
  <c r="G5" i="57" s="1"/>
  <c r="B5" i="57"/>
  <c r="B11" i="48"/>
  <c r="B4" i="48"/>
  <c r="B4" i="43"/>
  <c r="B4" i="40"/>
  <c r="C5" i="81"/>
  <c r="B4" i="75"/>
  <c r="E3" i="39"/>
  <c r="B3" i="67"/>
  <c r="D5" i="81" l="1"/>
  <c r="E5" i="81" s="1"/>
  <c r="D12" i="57"/>
  <c r="D14" i="57"/>
  <c r="D13" i="57"/>
  <c r="E12" i="57"/>
  <c r="E13" i="57"/>
  <c r="E14" i="57"/>
  <c r="G14" i="57"/>
  <c r="C21" i="57" s="1"/>
  <c r="G13" i="57"/>
  <c r="G12" i="57"/>
  <c r="F12" i="57"/>
  <c r="F14" i="57"/>
  <c r="F13" i="57"/>
  <c r="C12" i="57"/>
  <c r="C14" i="57"/>
  <c r="C13" i="57"/>
  <c r="C22" i="57"/>
  <c r="G4" i="35"/>
  <c r="H4" i="35" s="1"/>
  <c r="I4" i="35" s="1"/>
  <c r="J4" i="35" s="1"/>
  <c r="E4" i="35"/>
  <c r="B15" i="35"/>
  <c r="B4" i="35"/>
  <c r="G11" i="32"/>
  <c r="H11" i="32" s="1"/>
  <c r="I11" i="32" s="1"/>
  <c r="E11" i="32"/>
  <c r="G4" i="32"/>
  <c r="H4" i="32" s="1"/>
  <c r="I4" i="32" s="1"/>
  <c r="J4" i="32" s="1"/>
  <c r="E4" i="32"/>
  <c r="B24" i="32"/>
  <c r="B12" i="32"/>
  <c r="B4" i="32"/>
  <c r="J11" i="32" l="1"/>
  <c r="B16" i="32" s="1"/>
  <c r="B19" i="32"/>
  <c r="F5" i="81"/>
  <c r="I13" i="57"/>
  <c r="I14" i="57"/>
  <c r="I12" i="57"/>
  <c r="D24" i="49"/>
  <c r="E24" i="49" s="1"/>
  <c r="F24" i="49" s="1"/>
  <c r="G24" i="49" s="1"/>
  <c r="H24" i="49" s="1"/>
  <c r="B24" i="49"/>
  <c r="B16" i="49"/>
  <c r="B4" i="49"/>
  <c r="D16" i="49"/>
  <c r="E16" i="49" s="1"/>
  <c r="F16" i="49" s="1"/>
  <c r="G16" i="49" s="1"/>
  <c r="H16" i="49" s="1"/>
  <c r="D4" i="49"/>
  <c r="B23" i="23"/>
  <c r="B21" i="23"/>
  <c r="B15" i="23"/>
  <c r="B7" i="23"/>
  <c r="B6" i="23"/>
  <c r="B12" i="23"/>
  <c r="B5" i="23"/>
  <c r="C4" i="68"/>
  <c r="C3" i="68"/>
  <c r="B4" i="68"/>
  <c r="B3" i="68"/>
  <c r="C13" i="68"/>
  <c r="H12" i="24"/>
  <c r="H15" i="24" s="1"/>
  <c r="F12" i="24"/>
  <c r="F15" i="24" s="1"/>
  <c r="E12" i="24"/>
  <c r="C4" i="24"/>
  <c r="C5" i="24" s="1"/>
  <c r="C3" i="24"/>
  <c r="B22" i="79"/>
  <c r="E14" i="24" l="1"/>
  <c r="E13" i="24"/>
  <c r="E15" i="24" s="1"/>
  <c r="G5" i="81"/>
  <c r="H21" i="57"/>
  <c r="F21" i="57" s="1"/>
  <c r="G21" i="57" s="1"/>
  <c r="C20" i="57"/>
  <c r="E4" i="49"/>
  <c r="H19" i="57" l="1"/>
  <c r="F19" i="57" s="1"/>
  <c r="E19" i="57" s="1"/>
  <c r="H20" i="57"/>
  <c r="F20" i="57" s="1"/>
  <c r="H5" i="81"/>
  <c r="K21" i="57"/>
  <c r="J21" i="57" s="1"/>
  <c r="E21" i="57"/>
  <c r="D21" i="57" s="1"/>
  <c r="F4" i="49"/>
  <c r="I6" i="39"/>
  <c r="C24" i="35"/>
  <c r="C25" i="35"/>
  <c r="C15" i="39" l="1"/>
  <c r="C18" i="39"/>
  <c r="C17" i="39"/>
  <c r="C16" i="39"/>
  <c r="D19" i="57"/>
  <c r="G20" i="57"/>
  <c r="E20" i="57"/>
  <c r="D20" i="57" s="1"/>
  <c r="G19" i="57"/>
  <c r="F8" i="81"/>
  <c r="K20" i="57"/>
  <c r="L20" i="57" s="1"/>
  <c r="K19" i="57"/>
  <c r="L19" i="57" s="1"/>
  <c r="I5" i="81"/>
  <c r="H8" i="81"/>
  <c r="L21" i="57"/>
  <c r="I21" i="57"/>
  <c r="G4" i="49"/>
  <c r="I23" i="32"/>
  <c r="G7" i="49"/>
  <c r="G11" i="49" s="1"/>
  <c r="G32" i="49" l="1"/>
  <c r="G13" i="49"/>
  <c r="J20" i="57"/>
  <c r="I20" i="57" s="1"/>
  <c r="J19" i="57"/>
  <c r="I19" i="57" s="1"/>
  <c r="I8" i="81" s="1"/>
  <c r="E8" i="81"/>
  <c r="G8" i="81"/>
  <c r="D8" i="81"/>
  <c r="J5" i="81"/>
  <c r="K5" i="81" l="1"/>
  <c r="J8" i="81"/>
  <c r="H13" i="68"/>
  <c r="L5" i="81" l="1"/>
  <c r="K8" i="81"/>
  <c r="F20" i="68"/>
  <c r="M5" i="81" l="1"/>
  <c r="P15" i="81" s="1"/>
  <c r="L8" i="81"/>
  <c r="W625" i="67"/>
  <c r="W624" i="67"/>
  <c r="W623" i="67"/>
  <c r="W622" i="67"/>
  <c r="W581" i="67"/>
  <c r="W561" i="67"/>
  <c r="W556" i="67"/>
  <c r="W549" i="67"/>
  <c r="W546" i="67"/>
  <c r="W516" i="67"/>
  <c r="W504" i="67"/>
  <c r="W503" i="67"/>
  <c r="W502" i="67"/>
  <c r="W500" i="67"/>
  <c r="W491" i="67"/>
  <c r="W486" i="67"/>
  <c r="W485" i="67"/>
  <c r="W480" i="67"/>
  <c r="W479" i="67"/>
  <c r="W474" i="67"/>
  <c r="W471" i="67"/>
  <c r="W470" i="67"/>
  <c r="W469" i="67"/>
  <c r="W462" i="67"/>
  <c r="W461" i="67"/>
  <c r="W454" i="67"/>
  <c r="W452" i="67"/>
  <c r="W451" i="67"/>
  <c r="W448" i="67"/>
  <c r="W447" i="67"/>
  <c r="W445" i="67"/>
  <c r="W443" i="67"/>
  <c r="W442" i="67"/>
  <c r="W440" i="67"/>
  <c r="W439" i="67"/>
  <c r="W434" i="67"/>
  <c r="W433" i="67"/>
  <c r="W431" i="67"/>
  <c r="W430" i="67"/>
  <c r="W429" i="67"/>
  <c r="W426" i="67"/>
  <c r="W424" i="67"/>
  <c r="W418" i="67"/>
  <c r="W414" i="67"/>
  <c r="W412" i="67"/>
  <c r="W411" i="67"/>
  <c r="W409" i="67"/>
  <c r="W408" i="67"/>
  <c r="W407" i="67"/>
  <c r="W406" i="67"/>
  <c r="W404" i="67"/>
  <c r="W403" i="67"/>
  <c r="W401" i="67"/>
  <c r="W396" i="67"/>
  <c r="W394" i="67"/>
  <c r="W393" i="67"/>
  <c r="W392" i="67"/>
  <c r="W389" i="67"/>
  <c r="W386" i="67"/>
  <c r="W385" i="67"/>
  <c r="W384" i="67"/>
  <c r="W382" i="67"/>
  <c r="W381" i="67"/>
  <c r="W380" i="67"/>
  <c r="W379" i="67"/>
  <c r="W376" i="67"/>
  <c r="W375" i="67"/>
  <c r="W373" i="67"/>
  <c r="W372" i="67"/>
  <c r="W371" i="67"/>
  <c r="W370" i="67"/>
  <c r="W369" i="67"/>
  <c r="W368" i="67"/>
  <c r="W367" i="67"/>
  <c r="W366" i="67"/>
  <c r="W365" i="67"/>
  <c r="W364" i="67"/>
  <c r="W362" i="67"/>
  <c r="W361" i="67"/>
  <c r="W359" i="67"/>
  <c r="W357" i="67"/>
  <c r="W354" i="67"/>
  <c r="W352" i="67"/>
  <c r="W351" i="67"/>
  <c r="W349" i="67"/>
  <c r="W348" i="67"/>
  <c r="W346" i="67"/>
  <c r="W344" i="67"/>
  <c r="W343" i="67"/>
  <c r="W339" i="67"/>
  <c r="W338" i="67"/>
  <c r="W337" i="67"/>
  <c r="W336" i="67"/>
  <c r="W335" i="67"/>
  <c r="W334" i="67"/>
  <c r="W333" i="67"/>
  <c r="W331" i="67"/>
  <c r="W330" i="67"/>
  <c r="W326" i="67"/>
  <c r="W325" i="67"/>
  <c r="W324" i="67"/>
  <c r="W321" i="67"/>
  <c r="W320" i="67"/>
  <c r="W319" i="67"/>
  <c r="W318" i="67"/>
  <c r="W315" i="67"/>
  <c r="W314" i="67"/>
  <c r="W312" i="67"/>
  <c r="W308" i="67"/>
  <c r="W307" i="67"/>
  <c r="W304" i="67"/>
  <c r="W303" i="67"/>
  <c r="W300" i="67"/>
  <c r="W299" i="67"/>
  <c r="W294" i="67"/>
  <c r="W293" i="67"/>
  <c r="W292" i="67"/>
  <c r="W290" i="67"/>
  <c r="W288" i="67"/>
  <c r="W287" i="67"/>
  <c r="W286" i="67"/>
  <c r="W283" i="67"/>
  <c r="W282" i="67"/>
  <c r="W281" i="67"/>
  <c r="W280" i="67"/>
  <c r="W278" i="67"/>
  <c r="W270" i="67"/>
  <c r="W267" i="67"/>
  <c r="W266" i="67"/>
  <c r="W257" i="67"/>
  <c r="W256" i="67"/>
  <c r="W254" i="67"/>
  <c r="W253" i="67"/>
  <c r="W251" i="67"/>
  <c r="W250" i="67"/>
  <c r="W248" i="67"/>
  <c r="W247" i="67"/>
  <c r="W246" i="67"/>
  <c r="W243" i="67"/>
  <c r="W238" i="67"/>
  <c r="W235" i="67"/>
  <c r="W234" i="67"/>
  <c r="W233" i="67"/>
  <c r="W232" i="67"/>
  <c r="W230" i="67"/>
  <c r="W225" i="67"/>
  <c r="W224" i="67"/>
  <c r="W216" i="67"/>
  <c r="W215" i="67"/>
  <c r="W213" i="67"/>
  <c r="W211" i="67"/>
  <c r="W210" i="67"/>
  <c r="W208" i="67"/>
  <c r="W207" i="67"/>
  <c r="W206" i="67"/>
  <c r="W205" i="67"/>
  <c r="M8" i="81" l="1"/>
  <c r="G20" i="77"/>
  <c r="G21" i="77"/>
  <c r="G22" i="77" l="1"/>
  <c r="D16" i="77" l="1"/>
  <c r="E16" i="77"/>
  <c r="F16" i="77"/>
  <c r="G14" i="77" l="1"/>
  <c r="C16" i="77"/>
  <c r="G16" i="77" l="1"/>
  <c r="C17" i="49" l="1"/>
  <c r="C21" i="49" s="1"/>
  <c r="C7" i="49"/>
  <c r="C11" i="49" s="1"/>
  <c r="C32" i="49" l="1"/>
  <c r="C13" i="49"/>
  <c r="C33" i="49" s="1"/>
  <c r="F28" i="32"/>
  <c r="C26" i="35" l="1"/>
  <c r="C7" i="32"/>
  <c r="F7" i="32"/>
  <c r="C15" i="32" l="1"/>
  <c r="C18" i="32"/>
  <c r="G17" i="49" l="1"/>
  <c r="G21" i="49" s="1"/>
  <c r="C15" i="72"/>
  <c r="G4" i="72"/>
  <c r="H4" i="72" s="1"/>
  <c r="C13" i="69" l="1"/>
  <c r="C12" i="69"/>
  <c r="C11" i="69"/>
  <c r="C10" i="69"/>
  <c r="C9" i="69"/>
  <c r="C8" i="69"/>
  <c r="C7" i="69"/>
  <c r="C6" i="69"/>
  <c r="C4" i="69"/>
  <c r="Z3" i="28" l="1"/>
  <c r="Q3" i="28"/>
  <c r="D7" i="49" l="1"/>
  <c r="D11" i="49" s="1"/>
  <c r="E7" i="49"/>
  <c r="E11" i="49" s="1"/>
  <c r="F7" i="49"/>
  <c r="F11" i="49" s="1"/>
  <c r="E13" i="49" l="1"/>
  <c r="E32" i="49"/>
  <c r="F13" i="49"/>
  <c r="F32" i="49"/>
  <c r="D13" i="49"/>
  <c r="D32" i="49"/>
  <c r="C37" i="49" s="1"/>
  <c r="C38" i="49" s="1"/>
  <c r="F17" i="49"/>
  <c r="F21" i="49" s="1"/>
  <c r="F33" i="49" s="1"/>
  <c r="J25" i="32"/>
  <c r="I28" i="32"/>
  <c r="F18" i="77" l="1"/>
  <c r="F24" i="77" s="1"/>
  <c r="G23" i="32" l="1"/>
  <c r="G25" i="32" s="1"/>
  <c r="H23" i="32"/>
  <c r="I25" i="32" s="1"/>
  <c r="E17" i="49" l="1"/>
  <c r="E21" i="49" s="1"/>
  <c r="E33" i="49" s="1"/>
  <c r="D17" i="49"/>
  <c r="D21" i="49" s="1"/>
  <c r="D33" i="49" s="1"/>
  <c r="H25" i="32"/>
  <c r="G28" i="32"/>
  <c r="K29" i="32" s="1"/>
  <c r="H28" i="32"/>
  <c r="C13" i="32" l="1"/>
  <c r="C18" i="77"/>
  <c r="D18" i="77"/>
  <c r="D24" i="77" s="1"/>
  <c r="E18" i="77"/>
  <c r="E24" i="77" s="1"/>
  <c r="C24" i="77" l="1"/>
  <c r="G24" i="77" s="1"/>
  <c r="C26" i="77" s="1"/>
  <c r="G18" i="77"/>
  <c r="C16" i="32" l="1"/>
  <c r="C19" i="32"/>
  <c r="C21" i="32" l="1"/>
  <c r="H7" i="32"/>
  <c r="I7" i="32"/>
  <c r="J7" i="32"/>
  <c r="G7" i="32"/>
  <c r="C21" i="23" l="1"/>
  <c r="E3" i="28" s="1"/>
  <c r="C6" i="24" l="1"/>
  <c r="D8" i="88" l="1"/>
  <c r="C17" i="69"/>
  <c r="C12" i="23"/>
  <c r="D7" i="88" l="1"/>
  <c r="H8" i="88"/>
  <c r="F8" i="88" s="1"/>
  <c r="L56" i="69"/>
  <c r="L52" i="69"/>
  <c r="L48" i="69"/>
  <c r="L43" i="69"/>
  <c r="L42" i="69"/>
  <c r="L36" i="69"/>
  <c r="L11" i="69"/>
  <c r="L7" i="69"/>
  <c r="L57" i="69"/>
  <c r="L53" i="69"/>
  <c r="L49" i="69"/>
  <c r="L45" i="69"/>
  <c r="L44" i="69"/>
  <c r="L37" i="69"/>
  <c r="L10" i="69"/>
  <c r="L6" i="69"/>
  <c r="L55" i="69"/>
  <c r="L51" i="69"/>
  <c r="L41" i="69"/>
  <c r="L40" i="69"/>
  <c r="L35" i="69"/>
  <c r="L12" i="69"/>
  <c r="L8" i="69"/>
  <c r="L54" i="69"/>
  <c r="L50" i="69"/>
  <c r="L39" i="69"/>
  <c r="L38" i="69"/>
  <c r="L13" i="69"/>
  <c r="L9" i="69"/>
  <c r="L4" i="69"/>
  <c r="G8" i="88" l="1"/>
  <c r="E8" i="88"/>
  <c r="E7" i="88" s="1"/>
  <c r="K8" i="88"/>
  <c r="L8" i="88" s="1"/>
  <c r="D13" i="88"/>
  <c r="D18" i="88" s="1"/>
  <c r="J8" i="88" l="1"/>
  <c r="I8" i="88" s="1"/>
  <c r="F7" i="88"/>
  <c r="E13" i="88"/>
  <c r="E18" i="88" s="1"/>
  <c r="E5" i="75" s="1"/>
  <c r="C9" i="32"/>
  <c r="C25" i="32" s="1"/>
  <c r="C9" i="35" s="1"/>
  <c r="E7" i="75" l="1"/>
  <c r="D19" i="88"/>
  <c r="D6" i="75" s="1"/>
  <c r="D5" i="75"/>
  <c r="E19" i="75" s="1"/>
  <c r="E21" i="75" s="1"/>
  <c r="G7" i="88"/>
  <c r="F13" i="88"/>
  <c r="F18" i="88" s="1"/>
  <c r="F5" i="75" s="1"/>
  <c r="C21" i="75"/>
  <c r="B16" i="35"/>
  <c r="F19" i="75" l="1"/>
  <c r="F21" i="75" s="1"/>
  <c r="F7" i="75"/>
  <c r="H7" i="88"/>
  <c r="G13" i="88"/>
  <c r="G18" i="88" s="1"/>
  <c r="G5" i="75" s="1"/>
  <c r="E19" i="88"/>
  <c r="E6" i="75" s="1"/>
  <c r="B6" i="4"/>
  <c r="B7" i="4" s="1"/>
  <c r="B8" i="4" s="1"/>
  <c r="B9" i="4" s="1"/>
  <c r="B10" i="4" s="1"/>
  <c r="B11" i="4" s="1"/>
  <c r="B12" i="4" s="1"/>
  <c r="B13" i="4" s="1"/>
  <c r="B14" i="4" s="1"/>
  <c r="B15" i="4" s="1"/>
  <c r="B16" i="4" s="1"/>
  <c r="B17" i="4" s="1"/>
  <c r="B18" i="4" s="1"/>
  <c r="B19" i="4" s="1"/>
  <c r="B20" i="4" s="1"/>
  <c r="B21" i="4" s="1"/>
  <c r="B22" i="4" s="1"/>
  <c r="B23" i="4" s="1"/>
  <c r="B24" i="4" s="1"/>
  <c r="B25" i="4" s="1"/>
  <c r="B26" i="4" s="1"/>
  <c r="B27" i="4" s="1"/>
  <c r="B28" i="4" s="1"/>
  <c r="B29" i="4" s="1"/>
  <c r="G19" i="75" l="1"/>
  <c r="G21" i="75" s="1"/>
  <c r="G7" i="75"/>
  <c r="B30" i="4"/>
  <c r="B31" i="4" s="1"/>
  <c r="B32" i="4" s="1"/>
  <c r="B33" i="4" s="1"/>
  <c r="B34" i="4" s="1"/>
  <c r="B35" i="4" s="1"/>
  <c r="F19" i="88"/>
  <c r="F6" i="75" s="1"/>
  <c r="I7" i="88"/>
  <c r="H13" i="88"/>
  <c r="H18" i="88" s="1"/>
  <c r="H5" i="75" s="1"/>
  <c r="C5" i="23"/>
  <c r="H19" i="75" l="1"/>
  <c r="H21" i="75" s="1"/>
  <c r="H7" i="75"/>
  <c r="J7" i="88"/>
  <c r="I13" i="88"/>
  <c r="I18" i="88" s="1"/>
  <c r="I5" i="75" s="1"/>
  <c r="G19" i="88"/>
  <c r="G6" i="75" s="1"/>
  <c r="I19" i="75" l="1"/>
  <c r="I21" i="75" s="1"/>
  <c r="I7" i="75"/>
  <c r="I19" i="88"/>
  <c r="I6" i="75" s="1"/>
  <c r="K7" i="88"/>
  <c r="J13" i="88"/>
  <c r="J18" i="88" s="1"/>
  <c r="J5" i="75" s="1"/>
  <c r="H19" i="88"/>
  <c r="H6" i="75" s="1"/>
  <c r="C22" i="35"/>
  <c r="C3" i="39"/>
  <c r="J19" i="75" l="1"/>
  <c r="J21" i="75" s="1"/>
  <c r="J7" i="75"/>
  <c r="L7" i="88"/>
  <c r="K13" i="88"/>
  <c r="K18" i="88" s="1"/>
  <c r="K5" i="75" s="1"/>
  <c r="K19" i="75" l="1"/>
  <c r="K21" i="75" s="1"/>
  <c r="K7" i="75"/>
  <c r="K19" i="88"/>
  <c r="K6" i="75" s="1"/>
  <c r="J19" i="88"/>
  <c r="J6" i="75" s="1"/>
  <c r="M7" i="88"/>
  <c r="M13" i="88" s="1"/>
  <c r="M18" i="88" s="1"/>
  <c r="M5" i="75" s="1"/>
  <c r="L13" i="88"/>
  <c r="L18" i="88" s="1"/>
  <c r="L5" i="75" s="1"/>
  <c r="L19" i="75" l="1"/>
  <c r="L21" i="75" s="1"/>
  <c r="L7" i="75"/>
  <c r="M19" i="75"/>
  <c r="M21" i="75" s="1"/>
  <c r="M7" i="75"/>
  <c r="M19" i="88"/>
  <c r="L19" i="88"/>
  <c r="L6" i="75" s="1"/>
  <c r="M6" i="75" l="1"/>
  <c r="C5" i="40" s="1"/>
  <c r="D19" i="75"/>
  <c r="G12" i="24"/>
  <c r="G15" i="24" s="1"/>
  <c r="C7" i="40" l="1"/>
  <c r="C8" i="40" s="1"/>
  <c r="D22" i="57"/>
  <c r="D25" i="57" l="1"/>
  <c r="D26" i="57"/>
  <c r="D12" i="75" s="1"/>
  <c r="D24" i="57"/>
  <c r="D10" i="75" s="1"/>
  <c r="D11" i="75"/>
  <c r="E22" i="57"/>
  <c r="F22" i="57"/>
  <c r="E26" i="57" l="1"/>
  <c r="E12" i="75" s="1"/>
  <c r="E24" i="57"/>
  <c r="E10" i="75" s="1"/>
  <c r="E25" i="57"/>
  <c r="E11" i="75" s="1"/>
  <c r="F26" i="57"/>
  <c r="F12" i="75" s="1"/>
  <c r="F24" i="57"/>
  <c r="F10" i="75" s="1"/>
  <c r="F25" i="57"/>
  <c r="F11" i="75" s="1"/>
  <c r="G22" i="57"/>
  <c r="G25" i="57" l="1"/>
  <c r="G11" i="75" s="1"/>
  <c r="G26" i="57"/>
  <c r="G12" i="75" s="1"/>
  <c r="G24" i="57"/>
  <c r="G10" i="75" s="1"/>
  <c r="E14" i="75"/>
  <c r="E15" i="75" s="1"/>
  <c r="E17" i="75" s="1"/>
  <c r="F14" i="75"/>
  <c r="F15" i="75" s="1"/>
  <c r="F17" i="75" s="1"/>
  <c r="H22" i="57"/>
  <c r="G14" i="75" l="1"/>
  <c r="G15" i="75" s="1"/>
  <c r="G17" i="75" s="1"/>
  <c r="G23" i="75" s="1"/>
  <c r="E27" i="75"/>
  <c r="E23" i="75"/>
  <c r="H25" i="57"/>
  <c r="H11" i="75" s="1"/>
  <c r="H26" i="57"/>
  <c r="H12" i="75" s="1"/>
  <c r="H24" i="57"/>
  <c r="H10" i="75" s="1"/>
  <c r="G27" i="75"/>
  <c r="F27" i="75"/>
  <c r="F23" i="75"/>
  <c r="I22" i="57"/>
  <c r="I26" i="57" l="1"/>
  <c r="I12" i="75" s="1"/>
  <c r="I24" i="57"/>
  <c r="I10" i="75" s="1"/>
  <c r="I25" i="57"/>
  <c r="I11" i="75" s="1"/>
  <c r="H14" i="75"/>
  <c r="H15" i="75" s="1"/>
  <c r="H17" i="75" s="1"/>
  <c r="J22" i="57"/>
  <c r="H27" i="75" l="1"/>
  <c r="H23" i="75"/>
  <c r="I14" i="75"/>
  <c r="I15" i="75" s="1"/>
  <c r="I17" i="75" s="1"/>
  <c r="J26" i="57"/>
  <c r="J12" i="75" s="1"/>
  <c r="J24" i="57"/>
  <c r="J10" i="75" s="1"/>
  <c r="J25" i="57"/>
  <c r="J11" i="75" s="1"/>
  <c r="K22" i="57"/>
  <c r="I27" i="75" l="1"/>
  <c r="I23" i="75"/>
  <c r="K25" i="57"/>
  <c r="K11" i="75" s="1"/>
  <c r="K26" i="57"/>
  <c r="K12" i="75" s="1"/>
  <c r="K24" i="57"/>
  <c r="K10" i="75" s="1"/>
  <c r="J14" i="75"/>
  <c r="J15" i="75" s="1"/>
  <c r="J17" i="75" s="1"/>
  <c r="L22" i="57"/>
  <c r="L25" i="57" l="1"/>
  <c r="L11" i="75" s="1"/>
  <c r="L26" i="57"/>
  <c r="L12" i="75" s="1"/>
  <c r="L24" i="57"/>
  <c r="L10" i="75" s="1"/>
  <c r="J27" i="75"/>
  <c r="J23" i="75"/>
  <c r="K14" i="75"/>
  <c r="K15" i="75" s="1"/>
  <c r="K17" i="75" s="1"/>
  <c r="M22" i="57"/>
  <c r="L14" i="75" l="1"/>
  <c r="L15" i="75" s="1"/>
  <c r="L17" i="75" s="1"/>
  <c r="M26" i="57"/>
  <c r="M12" i="75" s="1"/>
  <c r="M24" i="57"/>
  <c r="M10" i="75" s="1"/>
  <c r="M25" i="57"/>
  <c r="M11" i="75" s="1"/>
  <c r="L23" i="75"/>
  <c r="L27" i="75"/>
  <c r="K27" i="75"/>
  <c r="K23" i="75"/>
  <c r="L5" i="69"/>
  <c r="M14" i="75" l="1"/>
  <c r="M15" i="75" s="1"/>
  <c r="M17" i="75" s="1"/>
  <c r="M27" i="75" s="1"/>
  <c r="M23" i="75"/>
  <c r="C8" i="24" l="1"/>
  <c r="C6" i="23" l="1"/>
  <c r="C18" i="69"/>
  <c r="F6" i="40"/>
  <c r="F11" i="40"/>
  <c r="F13" i="40" s="1"/>
  <c r="C13" i="23"/>
  <c r="C16" i="23" s="1"/>
  <c r="C24" i="23"/>
  <c r="P10" i="81"/>
  <c r="C15" i="69"/>
  <c r="M4" i="69" s="1"/>
  <c r="C24" i="72"/>
  <c r="C8" i="68"/>
  <c r="M10" i="81" l="1"/>
  <c r="C9" i="40"/>
  <c r="N4" i="69"/>
  <c r="D4" i="72"/>
  <c r="C22" i="23"/>
  <c r="F19" i="68"/>
  <c r="F22" i="68" s="1"/>
  <c r="C14" i="68" l="1"/>
  <c r="C19" i="69" s="1"/>
  <c r="F5" i="69" s="1"/>
  <c r="C4" i="71"/>
  <c r="G10" i="81"/>
  <c r="C25" i="81" l="1"/>
  <c r="C20" i="72"/>
  <c r="C20" i="48"/>
  <c r="C23" i="23"/>
  <c r="C15" i="68"/>
  <c r="F4" i="69"/>
  <c r="C19" i="72"/>
  <c r="J10" i="81"/>
  <c r="I10" i="81" s="1"/>
  <c r="H10" i="81" s="1"/>
  <c r="E10" i="81"/>
  <c r="D16" i="75"/>
  <c r="F15" i="40" l="1"/>
  <c r="F7" i="40"/>
  <c r="D10" i="81"/>
  <c r="F10" i="81"/>
  <c r="C10" i="72"/>
  <c r="C8" i="72"/>
  <c r="C4" i="72"/>
  <c r="F4" i="72" s="1"/>
  <c r="C5" i="72"/>
  <c r="C11" i="72"/>
  <c r="C36" i="72"/>
  <c r="C34" i="72"/>
  <c r="C39" i="72"/>
  <c r="C33" i="72"/>
  <c r="C12" i="72"/>
  <c r="C35" i="72"/>
  <c r="C38" i="72"/>
  <c r="C42" i="72"/>
  <c r="C41" i="72"/>
  <c r="C37" i="72"/>
  <c r="C7" i="72"/>
  <c r="C9" i="72"/>
  <c r="C21" i="72"/>
  <c r="C22" i="72" s="1"/>
  <c r="C13" i="72"/>
  <c r="C6" i="72"/>
  <c r="C40" i="72"/>
  <c r="F43" i="69"/>
  <c r="H43" i="69" s="1"/>
  <c r="F44" i="69"/>
  <c r="H44" i="69" s="1"/>
  <c r="F41" i="69"/>
  <c r="H41" i="69" s="1"/>
  <c r="F48" i="69"/>
  <c r="H48" i="69" s="1"/>
  <c r="F54" i="69"/>
  <c r="H54" i="69" s="1"/>
  <c r="F37" i="69"/>
  <c r="H37" i="69" s="1"/>
  <c r="F38" i="69"/>
  <c r="H38" i="69" s="1"/>
  <c r="F56" i="69"/>
  <c r="H56" i="69" s="1"/>
  <c r="F49" i="69"/>
  <c r="H49" i="69" s="1"/>
  <c r="F51" i="69"/>
  <c r="H51" i="69" s="1"/>
  <c r="F12" i="69"/>
  <c r="H12" i="69" s="1"/>
  <c r="F45" i="69"/>
  <c r="H45" i="69" s="1"/>
  <c r="F6" i="69"/>
  <c r="H6" i="69" s="1"/>
  <c r="F11" i="69"/>
  <c r="H11" i="69" s="1"/>
  <c r="F52" i="69"/>
  <c r="H52" i="69" s="1"/>
  <c r="F39" i="69"/>
  <c r="H39" i="69" s="1"/>
  <c r="F53" i="69"/>
  <c r="H53" i="69" s="1"/>
  <c r="F10" i="69"/>
  <c r="H10" i="69" s="1"/>
  <c r="F57" i="69"/>
  <c r="H57" i="69" s="1"/>
  <c r="F50" i="69"/>
  <c r="H50" i="69" s="1"/>
  <c r="H5" i="69"/>
  <c r="F8" i="69"/>
  <c r="H8" i="69" s="1"/>
  <c r="F36" i="69"/>
  <c r="H36" i="69" s="1"/>
  <c r="H4" i="69"/>
  <c r="F40" i="69"/>
  <c r="H40" i="69" s="1"/>
  <c r="F9" i="69"/>
  <c r="H9" i="69" s="1"/>
  <c r="F7" i="69"/>
  <c r="H7" i="69" s="1"/>
  <c r="F13" i="69"/>
  <c r="H13" i="69" s="1"/>
  <c r="F35" i="69"/>
  <c r="H35" i="69" s="1"/>
  <c r="F55" i="69"/>
  <c r="H55" i="69" s="1"/>
  <c r="F42" i="69"/>
  <c r="H42" i="69" s="1"/>
  <c r="L10" i="81"/>
  <c r="C16" i="68"/>
  <c r="B3" i="28"/>
  <c r="C26" i="23"/>
  <c r="C27" i="23"/>
  <c r="K10" i="81" l="1"/>
  <c r="E4" i="72"/>
  <c r="E7" i="72"/>
  <c r="E13" i="72"/>
  <c r="E34" i="72"/>
  <c r="E39" i="72"/>
  <c r="E12" i="72"/>
  <c r="E5" i="72"/>
  <c r="E41" i="72"/>
  <c r="E8" i="72"/>
  <c r="E10" i="72"/>
  <c r="E33" i="72"/>
  <c r="E38" i="72"/>
  <c r="E6" i="72"/>
  <c r="E40" i="72"/>
  <c r="E36" i="72"/>
  <c r="E42" i="72"/>
  <c r="E11" i="72"/>
  <c r="E35" i="72"/>
  <c r="E9" i="72"/>
  <c r="E37" i="72"/>
  <c r="I4" i="72" l="1"/>
  <c r="J4" i="72" s="1"/>
  <c r="F17" i="40" l="1"/>
  <c r="F18" i="40" s="1"/>
  <c r="C6" i="68" l="1"/>
  <c r="C10" i="68"/>
  <c r="C7" i="68"/>
  <c r="C9" i="68" s="1"/>
  <c r="C11" i="68" s="1"/>
  <c r="F8" i="40"/>
  <c r="F19" i="40" s="1"/>
  <c r="P8" i="81" s="1"/>
  <c r="C16" i="69" l="1"/>
  <c r="C18" i="68"/>
  <c r="L6" i="48"/>
  <c r="U3" i="28" l="1"/>
  <c r="C7" i="23"/>
  <c r="C8" i="23" s="1"/>
  <c r="C20" i="23" s="1"/>
  <c r="C29" i="23" s="1"/>
  <c r="K25" i="71"/>
  <c r="D48" i="69"/>
  <c r="E48" i="69" s="1"/>
  <c r="D52" i="69"/>
  <c r="E52" i="69" s="1"/>
  <c r="D13" i="69"/>
  <c r="E13" i="69" s="1"/>
  <c r="D35" i="69"/>
  <c r="E35" i="69" s="1"/>
  <c r="D49" i="69"/>
  <c r="E49" i="69" s="1"/>
  <c r="D8" i="69"/>
  <c r="E8" i="69" s="1"/>
  <c r="D54" i="69"/>
  <c r="E54" i="69" s="1"/>
  <c r="D51" i="69"/>
  <c r="E51" i="69" s="1"/>
  <c r="D45" i="69"/>
  <c r="E45" i="69" s="1"/>
  <c r="D44" i="69"/>
  <c r="E44" i="69" s="1"/>
  <c r="D12" i="69"/>
  <c r="E12" i="69" s="1"/>
  <c r="D55" i="69"/>
  <c r="E55" i="69" s="1"/>
  <c r="D42" i="69"/>
  <c r="E42" i="69" s="1"/>
  <c r="D5" i="69"/>
  <c r="E5" i="69" s="1"/>
  <c r="D40" i="69"/>
  <c r="E40" i="69" s="1"/>
  <c r="D9" i="69"/>
  <c r="E9" i="69" s="1"/>
  <c r="D11" i="69"/>
  <c r="E11" i="69" s="1"/>
  <c r="D4" i="69"/>
  <c r="E4" i="69" s="1"/>
  <c r="O4" i="69" s="1"/>
  <c r="D7" i="69"/>
  <c r="E7" i="69" s="1"/>
  <c r="D41" i="69"/>
  <c r="E41" i="69" s="1"/>
  <c r="D37" i="69"/>
  <c r="E37" i="69" s="1"/>
  <c r="D10" i="69"/>
  <c r="E10" i="69" s="1"/>
  <c r="D38" i="69"/>
  <c r="E38" i="69" s="1"/>
  <c r="D36" i="69"/>
  <c r="E36" i="69" s="1"/>
  <c r="D53" i="69"/>
  <c r="E53" i="69" s="1"/>
  <c r="D50" i="69"/>
  <c r="E50" i="69" s="1"/>
  <c r="D39" i="69"/>
  <c r="E39" i="69" s="1"/>
  <c r="D56" i="69"/>
  <c r="E56" i="69" s="1"/>
  <c r="D6" i="69"/>
  <c r="E6" i="69" s="1"/>
  <c r="D43" i="69"/>
  <c r="E43" i="69" s="1"/>
  <c r="D57" i="69"/>
  <c r="E57" i="69" s="1"/>
  <c r="W3" i="28" l="1"/>
  <c r="C6" i="48"/>
  <c r="C10" i="43"/>
  <c r="J9" i="77"/>
  <c r="C19" i="83"/>
  <c r="C28" i="83"/>
  <c r="C10" i="83"/>
  <c r="M16" i="81"/>
  <c r="D6" i="48" l="1"/>
  <c r="H6" i="48"/>
  <c r="F6" i="48" s="1"/>
  <c r="K16" i="71"/>
  <c r="D16" i="81"/>
  <c r="G6" i="48" l="1"/>
  <c r="E6" i="48"/>
  <c r="K19" i="71"/>
  <c r="K17" i="71"/>
  <c r="E16" i="81"/>
  <c r="I16" i="81"/>
  <c r="K21" i="71"/>
  <c r="J6" i="48"/>
  <c r="I6" i="48" s="1"/>
  <c r="K16" i="81" l="1"/>
  <c r="J16" i="81" s="1"/>
  <c r="K22" i="71"/>
  <c r="K18" i="71"/>
  <c r="G16" i="81"/>
  <c r="K23" i="71"/>
  <c r="K6" i="48"/>
  <c r="K20" i="71"/>
  <c r="L16" i="81" l="1"/>
  <c r="H16" i="81"/>
  <c r="F16" i="81"/>
  <c r="K24" i="71"/>
  <c r="C6" i="40" l="1"/>
  <c r="C10" i="40" s="1"/>
  <c r="C7" i="75" l="1"/>
  <c r="C14" i="75" s="1"/>
  <c r="C7" i="81"/>
  <c r="C26" i="83"/>
  <c r="M7" i="81"/>
  <c r="M9" i="81" s="1"/>
  <c r="M11" i="81" s="1"/>
  <c r="C8" i="83"/>
  <c r="C20" i="69"/>
  <c r="C5" i="35"/>
  <c r="G54" i="69" l="1"/>
  <c r="G7" i="69"/>
  <c r="G52" i="69"/>
  <c r="G43" i="69"/>
  <c r="G55" i="69"/>
  <c r="G12" i="69"/>
  <c r="G8" i="69"/>
  <c r="G40" i="69"/>
  <c r="G39" i="69"/>
  <c r="G11" i="69"/>
  <c r="G56" i="69"/>
  <c r="G42" i="69"/>
  <c r="G35" i="69"/>
  <c r="G4" i="69"/>
  <c r="G41" i="69"/>
  <c r="G53" i="69"/>
  <c r="G9" i="69"/>
  <c r="G48" i="69"/>
  <c r="G38" i="69"/>
  <c r="G44" i="69"/>
  <c r="G36" i="69"/>
  <c r="G13" i="69"/>
  <c r="G57" i="69"/>
  <c r="G37" i="69"/>
  <c r="G6" i="69"/>
  <c r="G10" i="69"/>
  <c r="G51" i="69"/>
  <c r="G50" i="69"/>
  <c r="G5" i="69"/>
  <c r="G49" i="69"/>
  <c r="G45" i="69"/>
  <c r="C16" i="35"/>
  <c r="C7" i="35"/>
  <c r="C11" i="35" s="1"/>
  <c r="C9" i="81"/>
  <c r="C11" i="81" s="1"/>
  <c r="H7" i="81"/>
  <c r="C15" i="75"/>
  <c r="C17" i="75" s="1"/>
  <c r="C20" i="35" l="1"/>
  <c r="C28" i="35" s="1"/>
  <c r="C18" i="35"/>
  <c r="H9" i="81"/>
  <c r="H11" i="81" s="1"/>
  <c r="J7" i="81"/>
  <c r="I7" i="81" s="1"/>
  <c r="I9" i="81" s="1"/>
  <c r="I11" i="81" s="1"/>
  <c r="I37" i="69"/>
  <c r="J37" i="69" s="1"/>
  <c r="M37" i="69"/>
  <c r="C23" i="75"/>
  <c r="C27" i="75"/>
  <c r="C7" i="39"/>
  <c r="C4" i="39"/>
  <c r="C5" i="39" s="1"/>
  <c r="M50" i="69"/>
  <c r="N50" i="69" s="1"/>
  <c r="O50" i="69" s="1"/>
  <c r="I50" i="69"/>
  <c r="J50" i="69" s="1"/>
  <c r="G35" i="72" s="1"/>
  <c r="M44" i="69"/>
  <c r="I44" i="69"/>
  <c r="J44" i="69" s="1"/>
  <c r="M53" i="69"/>
  <c r="N53" i="69" s="1"/>
  <c r="O53" i="69" s="1"/>
  <c r="I53" i="69"/>
  <c r="J53" i="69" s="1"/>
  <c r="G38" i="72" s="1"/>
  <c r="M42" i="69"/>
  <c r="I42" i="69"/>
  <c r="J42" i="69" s="1"/>
  <c r="I40" i="69"/>
  <c r="J40" i="69" s="1"/>
  <c r="M40" i="69"/>
  <c r="M43" i="69"/>
  <c r="I43" i="69"/>
  <c r="J43" i="69" s="1"/>
  <c r="F7" i="81"/>
  <c r="M45" i="69"/>
  <c r="N45" i="69" s="1"/>
  <c r="O45" i="69" s="1"/>
  <c r="I45" i="69"/>
  <c r="J45" i="69" s="1"/>
  <c r="I51" i="69"/>
  <c r="J51" i="69" s="1"/>
  <c r="G36" i="72" s="1"/>
  <c r="M51" i="69"/>
  <c r="N51" i="69" s="1"/>
  <c r="O51" i="69" s="1"/>
  <c r="M57" i="69"/>
  <c r="N57" i="69" s="1"/>
  <c r="O57" i="69" s="1"/>
  <c r="I57" i="69"/>
  <c r="J57" i="69" s="1"/>
  <c r="G42" i="72" s="1"/>
  <c r="I38" i="69"/>
  <c r="J38" i="69" s="1"/>
  <c r="M38" i="69"/>
  <c r="M41" i="69"/>
  <c r="I41" i="69"/>
  <c r="J41" i="69" s="1"/>
  <c r="M56" i="69"/>
  <c r="N56" i="69" s="1"/>
  <c r="O56" i="69" s="1"/>
  <c r="I56" i="69"/>
  <c r="J56" i="69" s="1"/>
  <c r="G41" i="72" s="1"/>
  <c r="M8" i="69"/>
  <c r="I8" i="69"/>
  <c r="J8" i="69" s="1"/>
  <c r="G8" i="72" s="1"/>
  <c r="H8" i="72" s="1"/>
  <c r="I8" i="72" s="1"/>
  <c r="I52" i="69"/>
  <c r="J52" i="69" s="1"/>
  <c r="G37" i="72" s="1"/>
  <c r="M52" i="69"/>
  <c r="N52" i="69" s="1"/>
  <c r="O52" i="69" s="1"/>
  <c r="I49" i="69"/>
  <c r="J49" i="69" s="1"/>
  <c r="G34" i="72" s="1"/>
  <c r="M49" i="69"/>
  <c r="N49" i="69" s="1"/>
  <c r="O49" i="69" s="1"/>
  <c r="M10" i="69"/>
  <c r="I10" i="69"/>
  <c r="J10" i="69" s="1"/>
  <c r="G10" i="72" s="1"/>
  <c r="H10" i="72" s="1"/>
  <c r="I10" i="72" s="1"/>
  <c r="M13" i="69"/>
  <c r="I13" i="69"/>
  <c r="J13" i="69" s="1"/>
  <c r="G13" i="72" s="1"/>
  <c r="H13" i="72" s="1"/>
  <c r="I13" i="72" s="1"/>
  <c r="M48" i="69"/>
  <c r="N48" i="69" s="1"/>
  <c r="O48" i="69" s="1"/>
  <c r="I48" i="69"/>
  <c r="J48" i="69" s="1"/>
  <c r="G33" i="72" s="1"/>
  <c r="M11" i="69"/>
  <c r="I11" i="69"/>
  <c r="J11" i="69" s="1"/>
  <c r="G11" i="72" s="1"/>
  <c r="H11" i="72" s="1"/>
  <c r="I11" i="72" s="1"/>
  <c r="M12" i="69"/>
  <c r="I12" i="69"/>
  <c r="J12" i="69" s="1"/>
  <c r="G12" i="72" s="1"/>
  <c r="H12" i="72" s="1"/>
  <c r="I12" i="72" s="1"/>
  <c r="M7" i="69"/>
  <c r="I7" i="69"/>
  <c r="J7" i="69" s="1"/>
  <c r="G7" i="72" s="1"/>
  <c r="H7" i="72" s="1"/>
  <c r="I7" i="72" s="1"/>
  <c r="I5" i="69"/>
  <c r="J5" i="69" s="1"/>
  <c r="G5" i="72" s="1"/>
  <c r="H5" i="72" s="1"/>
  <c r="I5" i="72" s="1"/>
  <c r="M5" i="69"/>
  <c r="I6" i="69"/>
  <c r="J6" i="69" s="1"/>
  <c r="G6" i="72" s="1"/>
  <c r="H6" i="72" s="1"/>
  <c r="I6" i="72" s="1"/>
  <c r="M6" i="69"/>
  <c r="M36" i="69"/>
  <c r="I36" i="69"/>
  <c r="J36" i="69" s="1"/>
  <c r="I9" i="69"/>
  <c r="J9" i="69" s="1"/>
  <c r="G9" i="72" s="1"/>
  <c r="H9" i="72" s="1"/>
  <c r="I9" i="72" s="1"/>
  <c r="M9" i="69"/>
  <c r="I35" i="69"/>
  <c r="J35" i="69" s="1"/>
  <c r="M35" i="69"/>
  <c r="M39" i="69"/>
  <c r="I39" i="69"/>
  <c r="J39" i="69" s="1"/>
  <c r="M55" i="69"/>
  <c r="N55" i="69" s="1"/>
  <c r="O55" i="69" s="1"/>
  <c r="I55" i="69"/>
  <c r="J55" i="69" s="1"/>
  <c r="G40" i="72" s="1"/>
  <c r="M54" i="69"/>
  <c r="N54" i="69" s="1"/>
  <c r="O54" i="69" s="1"/>
  <c r="I54" i="69"/>
  <c r="J54" i="69" s="1"/>
  <c r="G39" i="72" s="1"/>
  <c r="H36" i="72" l="1"/>
  <c r="I36" i="72" s="1"/>
  <c r="H37" i="72"/>
  <c r="I37" i="72" s="1"/>
  <c r="H34" i="72"/>
  <c r="I34" i="72" s="1"/>
  <c r="H38" i="72"/>
  <c r="I38" i="72" s="1"/>
  <c r="H41" i="72"/>
  <c r="I41" i="72" s="1"/>
  <c r="H40" i="72"/>
  <c r="I40" i="72" s="1"/>
  <c r="H42" i="72"/>
  <c r="I42" i="72" s="1"/>
  <c r="H39" i="72"/>
  <c r="I39" i="72" s="1"/>
  <c r="H35" i="72"/>
  <c r="I35" i="72" s="1"/>
  <c r="H33" i="72"/>
  <c r="I33" i="72" s="1"/>
  <c r="D9" i="72"/>
  <c r="F9" i="72" s="1"/>
  <c r="J9" i="72" s="1"/>
  <c r="N9" i="69"/>
  <c r="O9" i="69" s="1"/>
  <c r="D6" i="72"/>
  <c r="F6" i="72" s="1"/>
  <c r="J6" i="72" s="1"/>
  <c r="N6" i="69"/>
  <c r="O6" i="69" s="1"/>
  <c r="D7" i="72"/>
  <c r="F7" i="72" s="1"/>
  <c r="J7" i="72" s="1"/>
  <c r="N7" i="69"/>
  <c r="O7" i="69" s="1"/>
  <c r="N8" i="69"/>
  <c r="O8" i="69" s="1"/>
  <c r="D8" i="72"/>
  <c r="F8" i="72" s="1"/>
  <c r="J8" i="72" s="1"/>
  <c r="N41" i="69"/>
  <c r="O41" i="69" s="1"/>
  <c r="D39" i="72"/>
  <c r="F39" i="72" s="1"/>
  <c r="G7" i="81"/>
  <c r="G9" i="81" s="1"/>
  <c r="G11" i="81" s="1"/>
  <c r="F9" i="81"/>
  <c r="F11" i="81" s="1"/>
  <c r="E7" i="81"/>
  <c r="D37" i="72"/>
  <c r="F37" i="72" s="1"/>
  <c r="N39" i="69"/>
  <c r="O39" i="69" s="1"/>
  <c r="D35" i="72"/>
  <c r="F35" i="72" s="1"/>
  <c r="N37" i="69"/>
  <c r="O37" i="69" s="1"/>
  <c r="D33" i="72"/>
  <c r="F33" i="72" s="1"/>
  <c r="N35" i="69"/>
  <c r="O35" i="69" s="1"/>
  <c r="D5" i="72"/>
  <c r="F5" i="72" s="1"/>
  <c r="J5" i="72" s="1"/>
  <c r="N5" i="69"/>
  <c r="O5" i="69" s="1"/>
  <c r="N12" i="69"/>
  <c r="O12" i="69" s="1"/>
  <c r="D12" i="72"/>
  <c r="F12" i="72" s="1"/>
  <c r="J12" i="72" s="1"/>
  <c r="N10" i="69"/>
  <c r="O10" i="69" s="1"/>
  <c r="D10" i="72"/>
  <c r="F10" i="72" s="1"/>
  <c r="J10" i="72" s="1"/>
  <c r="N43" i="69"/>
  <c r="O43" i="69" s="1"/>
  <c r="D41" i="72"/>
  <c r="F41" i="72" s="1"/>
  <c r="D40" i="72"/>
  <c r="F40" i="72" s="1"/>
  <c r="N42" i="69"/>
  <c r="O42" i="69" s="1"/>
  <c r="N44" i="69"/>
  <c r="O44" i="69" s="1"/>
  <c r="D42" i="72"/>
  <c r="F42" i="72" s="1"/>
  <c r="L7" i="81"/>
  <c r="L9" i="81" s="1"/>
  <c r="L11" i="81" s="1"/>
  <c r="J9" i="81"/>
  <c r="J11" i="81" s="1"/>
  <c r="N11" i="69"/>
  <c r="O11" i="69" s="1"/>
  <c r="D11" i="72"/>
  <c r="F11" i="72" s="1"/>
  <c r="J11" i="72" s="1"/>
  <c r="D13" i="72"/>
  <c r="F13" i="72" s="1"/>
  <c r="J13" i="72" s="1"/>
  <c r="N13" i="69"/>
  <c r="O13" i="69" s="1"/>
  <c r="D36" i="72"/>
  <c r="F36" i="72" s="1"/>
  <c r="N38" i="69"/>
  <c r="O38" i="69" s="1"/>
  <c r="D8" i="75"/>
  <c r="D7" i="75" s="1"/>
  <c r="D14" i="75" s="1"/>
  <c r="D34" i="72"/>
  <c r="F34" i="72" s="1"/>
  <c r="N36" i="69"/>
  <c r="O36" i="69" s="1"/>
  <c r="N40" i="69"/>
  <c r="O40" i="69" s="1"/>
  <c r="D38" i="72"/>
  <c r="F38" i="72" s="1"/>
  <c r="J40" i="72" l="1"/>
  <c r="J34" i="72"/>
  <c r="J41" i="72"/>
  <c r="J39" i="72"/>
  <c r="J35" i="72"/>
  <c r="J42" i="72"/>
  <c r="J36" i="72"/>
  <c r="J37" i="72"/>
  <c r="J38" i="72"/>
  <c r="J33" i="72"/>
  <c r="E9" i="81"/>
  <c r="E11" i="81" s="1"/>
  <c r="D7" i="81"/>
  <c r="D9" i="81" s="1"/>
  <c r="D11" i="81" s="1"/>
  <c r="K7" i="81"/>
  <c r="K9" i="81" s="1"/>
  <c r="K11" i="81" s="1"/>
  <c r="D15" i="75"/>
  <c r="D17" i="75" s="1"/>
  <c r="H35" i="49" l="1"/>
  <c r="G35" i="49"/>
  <c r="G33" i="49"/>
  <c r="C35" i="49"/>
  <c r="F35" i="49"/>
  <c r="D35" i="49"/>
  <c r="E35" i="49"/>
  <c r="C8" i="39"/>
  <c r="C14" i="81" s="1"/>
  <c r="C24" i="75" l="1"/>
  <c r="C20" i="75" s="1"/>
  <c r="C9" i="39"/>
  <c r="C25" i="75" l="1"/>
  <c r="C11" i="39"/>
  <c r="AB3" i="28" s="1"/>
  <c r="J8" i="77"/>
  <c r="J10" i="77" s="1"/>
  <c r="C9" i="43"/>
  <c r="C11" i="43" s="1"/>
  <c r="C13" i="43" s="1"/>
  <c r="C24" i="81" l="1"/>
  <c r="C16" i="48"/>
  <c r="K22" i="79" l="1"/>
  <c r="I22" i="79"/>
  <c r="I5" i="48"/>
  <c r="D21" i="75"/>
  <c r="J22" i="79" l="1"/>
  <c r="E5" i="48"/>
  <c r="H5" i="48"/>
  <c r="F5" i="48"/>
  <c r="I7" i="48"/>
  <c r="J22" i="71"/>
  <c r="L22" i="71" s="1"/>
  <c r="M22" i="71" s="1"/>
  <c r="L5" i="48"/>
  <c r="K5" i="48"/>
  <c r="D5" i="48"/>
  <c r="G5" i="48"/>
  <c r="G12" i="81"/>
  <c r="G13" i="81" s="1"/>
  <c r="G15" i="81" s="1"/>
  <c r="G17" i="81" s="1"/>
  <c r="E12" i="81"/>
  <c r="E13" i="81" s="1"/>
  <c r="E15" i="81" s="1"/>
  <c r="E17" i="81" s="1"/>
  <c r="I12" i="81"/>
  <c r="I13" i="81" s="1"/>
  <c r="I15" i="81" s="1"/>
  <c r="I17" i="81" s="1"/>
  <c r="K12" i="81"/>
  <c r="K13" i="81" s="1"/>
  <c r="K15" i="81" s="1"/>
  <c r="K17" i="81" s="1"/>
  <c r="H12" i="81"/>
  <c r="H13" i="81" s="1"/>
  <c r="H15" i="81" s="1"/>
  <c r="H17" i="81" s="1"/>
  <c r="D12" i="81"/>
  <c r="D13" i="81" s="1"/>
  <c r="C18" i="83"/>
  <c r="L12" i="81"/>
  <c r="L13" i="81" s="1"/>
  <c r="L15" i="81" s="1"/>
  <c r="L17" i="81" s="1"/>
  <c r="C9" i="83"/>
  <c r="F12" i="81"/>
  <c r="F13" i="81" s="1"/>
  <c r="F15" i="81" s="1"/>
  <c r="F17" i="81" s="1"/>
  <c r="M12" i="81"/>
  <c r="M13" i="81" s="1"/>
  <c r="M15" i="81" s="1"/>
  <c r="M17" i="81" s="1"/>
  <c r="J12" i="81"/>
  <c r="J13" i="81" s="1"/>
  <c r="J15" i="81" s="1"/>
  <c r="J17" i="81" s="1"/>
  <c r="D23" i="75"/>
  <c r="D24" i="75"/>
  <c r="E24" i="75" s="1"/>
  <c r="D27" i="75"/>
  <c r="J5" i="48"/>
  <c r="F24" i="75" l="1"/>
  <c r="E25" i="75"/>
  <c r="C5" i="48"/>
  <c r="J16" i="71" s="1"/>
  <c r="L16" i="71" s="1"/>
  <c r="D25" i="75"/>
  <c r="D14" i="81"/>
  <c r="E14" i="81" s="1"/>
  <c r="F14" i="81" s="1"/>
  <c r="G14" i="81" s="1"/>
  <c r="H14" i="81" s="1"/>
  <c r="I14" i="81" s="1"/>
  <c r="J14" i="81" s="1"/>
  <c r="K14" i="81" s="1"/>
  <c r="L14" i="81" s="1"/>
  <c r="M14" i="81" s="1"/>
  <c r="D15" i="81"/>
  <c r="D17" i="81" s="1"/>
  <c r="C20" i="81" s="1"/>
  <c r="J17" i="71"/>
  <c r="L17" i="71" s="1"/>
  <c r="M17" i="71" s="1"/>
  <c r="D7" i="48"/>
  <c r="L7" i="48"/>
  <c r="J25" i="71"/>
  <c r="E7" i="48"/>
  <c r="J18" i="71"/>
  <c r="L18" i="71" s="1"/>
  <c r="M18" i="71" s="1"/>
  <c r="J7" i="48"/>
  <c r="J23" i="71"/>
  <c r="L23" i="71" s="1"/>
  <c r="M23" i="71" s="1"/>
  <c r="G7" i="48"/>
  <c r="J20" i="71"/>
  <c r="L20" i="71" s="1"/>
  <c r="M20" i="71" s="1"/>
  <c r="K7" i="48"/>
  <c r="J24" i="71"/>
  <c r="L24" i="71" s="1"/>
  <c r="M24" i="71" s="1"/>
  <c r="H7" i="48"/>
  <c r="J21" i="71"/>
  <c r="L21" i="71" s="1"/>
  <c r="M21" i="71" s="1"/>
  <c r="J19" i="71"/>
  <c r="L19" i="71" s="1"/>
  <c r="M19" i="71" s="1"/>
  <c r="F7" i="48"/>
  <c r="C7" i="48" l="1"/>
  <c r="C12" i="48" s="1"/>
  <c r="G24" i="75"/>
  <c r="F25" i="75"/>
  <c r="M16" i="71"/>
  <c r="H24" i="75" l="1"/>
  <c r="G25" i="75"/>
  <c r="I24" i="75" l="1"/>
  <c r="H25" i="75"/>
  <c r="J24" i="75" l="1"/>
  <c r="I25" i="75"/>
  <c r="K24" i="75" l="1"/>
  <c r="J25" i="75"/>
  <c r="L24" i="75" l="1"/>
  <c r="K25" i="75"/>
  <c r="M24" i="75" l="1"/>
  <c r="M25" i="75" s="1"/>
  <c r="C12" i="40" s="1"/>
  <c r="L25" i="75"/>
  <c r="C13" i="40" l="1"/>
  <c r="C14" i="40" s="1"/>
  <c r="C15" i="40" s="1"/>
  <c r="C13" i="48" s="1"/>
  <c r="C14" i="48" s="1"/>
  <c r="P13" i="81"/>
  <c r="C21" i="81" s="1"/>
  <c r="C22" i="81" s="1"/>
  <c r="C23" i="81" s="1"/>
  <c r="C26" i="81" s="1"/>
  <c r="C28" i="81" s="1"/>
  <c r="C30" i="81" s="1"/>
  <c r="I21" i="79" s="1"/>
  <c r="J21" i="79" s="1"/>
  <c r="K23" i="81" l="1"/>
  <c r="E23" i="81"/>
  <c r="C15" i="48"/>
  <c r="C19" i="48" s="1"/>
  <c r="C22" i="48" s="1"/>
  <c r="C24" i="48" s="1"/>
  <c r="C26" i="48" s="1"/>
  <c r="L25" i="71"/>
  <c r="M25" i="71" l="1"/>
  <c r="M26" i="71" s="1"/>
  <c r="L26" i="71"/>
  <c r="M28" i="71" l="1"/>
</calcChain>
</file>

<file path=xl/comments1.xml><?xml version="1.0" encoding="utf-8"?>
<comments xmlns="http://schemas.openxmlformats.org/spreadsheetml/2006/main">
  <authors>
    <author>Author</author>
  </authors>
  <commentList>
    <comment ref="H5" authorId="0" shapeId="0">
      <text>
        <r>
          <rPr>
            <b/>
            <sz val="9"/>
            <color indexed="81"/>
            <rFont val="Tahoma"/>
            <charset val="1"/>
          </rPr>
          <t>Author:</t>
        </r>
        <r>
          <rPr>
            <sz val="9"/>
            <color indexed="81"/>
            <rFont val="Tahoma"/>
            <charset val="1"/>
          </rPr>
          <t xml:space="preserve">
To get basic understanding of the business.</t>
        </r>
      </text>
    </comment>
    <comment ref="H6" authorId="0" shapeId="0">
      <text>
        <r>
          <rPr>
            <b/>
            <sz val="9"/>
            <color indexed="81"/>
            <rFont val="Tahoma"/>
            <charset val="1"/>
          </rPr>
          <t>Author:</t>
        </r>
        <r>
          <rPr>
            <sz val="9"/>
            <color indexed="81"/>
            <rFont val="Tahoma"/>
            <charset val="1"/>
          </rPr>
          <t xml:space="preserve">
To know the people behind the business.</t>
        </r>
      </text>
    </comment>
    <comment ref="H7" authorId="0" shapeId="0">
      <text>
        <r>
          <rPr>
            <b/>
            <sz val="9"/>
            <color indexed="81"/>
            <rFont val="Tahoma"/>
            <charset val="1"/>
          </rPr>
          <t>Author:</t>
        </r>
        <r>
          <rPr>
            <sz val="9"/>
            <color indexed="81"/>
            <rFont val="Tahoma"/>
            <charset val="1"/>
          </rPr>
          <t xml:space="preserve">
Do sanity check to eliminate criminal background, intense political affiliations etc.</t>
        </r>
      </text>
    </comment>
    <comment ref="H8" authorId="0" shapeId="0">
      <text>
        <r>
          <rPr>
            <b/>
            <sz val="9"/>
            <color indexed="81"/>
            <rFont val="Tahoma"/>
            <charset val="1"/>
          </rPr>
          <t>Author:</t>
        </r>
        <r>
          <rPr>
            <sz val="9"/>
            <color indexed="81"/>
            <rFont val="Tahoma"/>
            <charset val="1"/>
          </rPr>
          <t xml:space="preserve">
To know the product better. Demand and Supply dynamics of the product.</t>
        </r>
      </text>
    </comment>
    <comment ref="H9" authorId="0" shapeId="0">
      <text>
        <r>
          <rPr>
            <b/>
            <sz val="9"/>
            <color indexed="81"/>
            <rFont val="Tahoma"/>
            <charset val="1"/>
          </rPr>
          <t>Author:</t>
        </r>
        <r>
          <rPr>
            <sz val="9"/>
            <color indexed="81"/>
            <rFont val="Tahoma"/>
            <charset val="1"/>
          </rPr>
          <t xml:space="preserve">
To get a sense of their geographical presence. Also, if plants are located at prime location, the value of such plants could go off balance sheet making it highly undervalued.</t>
        </r>
      </text>
    </comment>
    <comment ref="H11" authorId="0" shapeId="0">
      <text>
        <r>
          <rPr>
            <b/>
            <sz val="9"/>
            <color indexed="81"/>
            <rFont val="Tahoma"/>
            <charset val="1"/>
          </rPr>
          <t>Author:</t>
        </r>
        <r>
          <rPr>
            <sz val="9"/>
            <color indexed="81"/>
            <rFont val="Tahoma"/>
            <charset val="1"/>
          </rPr>
          <t xml:space="preserve">
An idea about their operational abilities, demand of their product and positioning of future demand.</t>
        </r>
      </text>
    </comment>
    <comment ref="H12" authorId="0" shapeId="0">
      <text>
        <r>
          <rPr>
            <b/>
            <sz val="9"/>
            <color indexed="81"/>
            <rFont val="Tahoma"/>
            <charset val="1"/>
          </rPr>
          <t>Author:</t>
        </r>
        <r>
          <rPr>
            <sz val="9"/>
            <color indexed="81"/>
            <rFont val="Tahoma"/>
            <charset val="1"/>
          </rPr>
          <t xml:space="preserve">
Help us understand the dependency of raw material.</t>
        </r>
      </text>
    </comment>
    <comment ref="H13" authorId="0" shapeId="0">
      <text>
        <r>
          <rPr>
            <b/>
            <sz val="9"/>
            <color indexed="81"/>
            <rFont val="Tahoma"/>
            <charset val="1"/>
          </rPr>
          <t>Author:</t>
        </r>
        <r>
          <rPr>
            <sz val="9"/>
            <color indexed="81"/>
            <rFont val="Tahoma"/>
            <charset val="1"/>
          </rPr>
          <t xml:space="preserve">
By knowing the client base, we get a sense of the sales cycle. Efforts required to sell company's product. Concentration Risk if single client.</t>
        </r>
      </text>
    </comment>
    <comment ref="H14" authorId="0" shapeId="0">
      <text>
        <r>
          <rPr>
            <b/>
            <sz val="9"/>
            <color indexed="81"/>
            <rFont val="Tahoma"/>
            <charset val="1"/>
          </rPr>
          <t>Author:</t>
        </r>
        <r>
          <rPr>
            <sz val="9"/>
            <color indexed="81"/>
            <rFont val="Tahoma"/>
            <charset val="1"/>
          </rPr>
          <t xml:space="preserve">
Too many competitors means pressure on margins, the company needs to innovate consistently. Margins are higher if the company operates in monopoly, oligopoly, duopoly etc.</t>
        </r>
      </text>
    </comment>
    <comment ref="H15" authorId="0" shapeId="0">
      <text>
        <r>
          <rPr>
            <b/>
            <sz val="9"/>
            <color indexed="81"/>
            <rFont val="Tahoma"/>
            <charset val="1"/>
          </rPr>
          <t>Author:</t>
        </r>
        <r>
          <rPr>
            <sz val="9"/>
            <color indexed="81"/>
            <rFont val="Tahoma"/>
            <charset val="1"/>
          </rPr>
          <t xml:space="preserve">
Important to know who else owns company besides promotors and promotor group. If a highly successful investor helds the share in the company (it maybe a good sign!)</t>
        </r>
      </text>
    </comment>
    <comment ref="H16" authorId="0" shapeId="0">
      <text>
        <r>
          <rPr>
            <b/>
            <sz val="9"/>
            <color indexed="81"/>
            <rFont val="Tahoma"/>
            <charset val="1"/>
          </rPr>
          <t>Author:</t>
        </r>
        <r>
          <rPr>
            <sz val="9"/>
            <color indexed="81"/>
            <rFont val="Tahoma"/>
            <charset val="1"/>
          </rPr>
          <t xml:space="preserve">
Gives a sense of how ambitions and innovative the company is. While launching the product outside their domain could be a red flag. Possibility that company is losing focus.</t>
        </r>
      </text>
    </comment>
    <comment ref="H17" authorId="0" shapeId="0">
      <text>
        <r>
          <rPr>
            <b/>
            <sz val="9"/>
            <color indexed="81"/>
            <rFont val="Tahoma"/>
            <charset val="1"/>
          </rPr>
          <t>Author:</t>
        </r>
        <r>
          <rPr>
            <sz val="9"/>
            <color indexed="81"/>
            <rFont val="Tahoma"/>
            <charset val="1"/>
          </rPr>
          <t xml:space="preserve">
Gives a sense of how ambitions and innovative the company is. Is company ready for global expansion or will it backfire?</t>
        </r>
      </text>
    </comment>
    <comment ref="H18" authorId="0" shapeId="0">
      <text>
        <r>
          <rPr>
            <b/>
            <sz val="9"/>
            <color indexed="81"/>
            <rFont val="Tahoma"/>
            <charset val="1"/>
          </rPr>
          <t>Author:</t>
        </r>
        <r>
          <rPr>
            <sz val="9"/>
            <color indexed="81"/>
            <rFont val="Tahoma"/>
            <charset val="1"/>
          </rPr>
          <t xml:space="preserve">
Helps us understand which segment/product contribute the most in revenue. This further helps us understand the key drivers for future revenue growth.</t>
        </r>
      </text>
    </comment>
    <comment ref="H19" authorId="0" shapeId="0">
      <text>
        <r>
          <rPr>
            <b/>
            <sz val="9"/>
            <color indexed="81"/>
            <rFont val="Tahoma"/>
            <charset val="1"/>
          </rPr>
          <t>Author:</t>
        </r>
        <r>
          <rPr>
            <sz val="9"/>
            <color indexed="81"/>
            <rFont val="Tahoma"/>
            <charset val="1"/>
          </rPr>
          <t xml:space="preserve">
It is good and bad. It acts as a natural entry barrier for new players to enter the market. Bad as it limits choices when it comes to being innovative in the industry.</t>
        </r>
      </text>
    </comment>
    <comment ref="H20" authorId="0" shapeId="0">
      <text>
        <r>
          <rPr>
            <b/>
            <sz val="9"/>
            <color indexed="81"/>
            <rFont val="Tahoma"/>
            <charset val="1"/>
          </rPr>
          <t>Author:</t>
        </r>
        <r>
          <rPr>
            <sz val="9"/>
            <color indexed="81"/>
            <rFont val="Tahoma"/>
            <charset val="1"/>
          </rPr>
          <t xml:space="preserve">
Always good to know, as possibilties of conflict of interest. Association with scandalious agencies.</t>
        </r>
      </text>
    </comment>
    <comment ref="H21" authorId="0" shapeId="0">
      <text>
        <r>
          <rPr>
            <b/>
            <sz val="9"/>
            <color indexed="81"/>
            <rFont val="Tahoma"/>
            <charset val="1"/>
          </rPr>
          <t>Author:</t>
        </r>
        <r>
          <rPr>
            <sz val="9"/>
            <color indexed="81"/>
            <rFont val="Tahoma"/>
            <charset val="1"/>
          </rPr>
          <t xml:space="preserve">
Gives the sense of how labor intensive the company operations are. Also if company requires a lot of people with niche skills (red flag).</t>
        </r>
      </text>
    </comment>
    <comment ref="H22" authorId="0" shapeId="0">
      <text>
        <r>
          <rPr>
            <b/>
            <sz val="9"/>
            <color indexed="81"/>
            <rFont val="Tahoma"/>
            <charset val="1"/>
          </rPr>
          <t>Author:</t>
        </r>
        <r>
          <rPr>
            <sz val="9"/>
            <color indexed="81"/>
            <rFont val="Tahoma"/>
            <charset val="1"/>
          </rPr>
          <t xml:space="preserve">
Helps us understand how easy or difficult it is for a new company to enter and eat away the margins.</t>
        </r>
      </text>
    </comment>
    <comment ref="H23" authorId="0" shapeId="0">
      <text>
        <r>
          <rPr>
            <b/>
            <sz val="9"/>
            <color indexed="81"/>
            <rFont val="Tahoma"/>
            <charset val="1"/>
          </rPr>
          <t>Author:</t>
        </r>
        <r>
          <rPr>
            <sz val="9"/>
            <color indexed="81"/>
            <rFont val="Tahoma"/>
            <charset val="1"/>
          </rPr>
          <t xml:space="preserve">
If yes, it's a big red flag.</t>
        </r>
      </text>
    </comment>
    <comment ref="H24" authorId="0" shapeId="0">
      <text>
        <r>
          <rPr>
            <b/>
            <sz val="9"/>
            <color indexed="81"/>
            <rFont val="Tahoma"/>
            <charset val="1"/>
          </rPr>
          <t>Author:</t>
        </r>
        <r>
          <rPr>
            <sz val="9"/>
            <color indexed="81"/>
            <rFont val="Tahoma"/>
            <charset val="1"/>
          </rPr>
          <t xml:space="preserve">
If yes, you need to question why? Is this a geniune business requirement? Or is this a way to siphon off the fund?</t>
        </r>
      </text>
    </comment>
  </commentList>
</comments>
</file>

<file path=xl/sharedStrings.xml><?xml version="1.0" encoding="utf-8"?>
<sst xmlns="http://schemas.openxmlformats.org/spreadsheetml/2006/main" count="974" uniqueCount="666">
  <si>
    <t xml:space="preserve">#                </t>
  </si>
  <si>
    <t>Worksheet</t>
  </si>
  <si>
    <t>D&amp;A</t>
  </si>
  <si>
    <t>EBIT</t>
  </si>
  <si>
    <t>Revenues</t>
  </si>
  <si>
    <t>WACC</t>
  </si>
  <si>
    <t>Cost of Capital</t>
  </si>
  <si>
    <t>Cost of Equity</t>
  </si>
  <si>
    <t>Equity Risk Premium</t>
  </si>
  <si>
    <t>Aa2</t>
  </si>
  <si>
    <t>B1</t>
  </si>
  <si>
    <t>Baa2</t>
  </si>
  <si>
    <t>B3</t>
  </si>
  <si>
    <t>Ca</t>
  </si>
  <si>
    <t>Ba3</t>
  </si>
  <si>
    <t>Aaa</t>
  </si>
  <si>
    <t>Aa1</t>
  </si>
  <si>
    <t>Ba2</t>
  </si>
  <si>
    <t>B2</t>
  </si>
  <si>
    <t>Caa1</t>
  </si>
  <si>
    <t>Aa3</t>
  </si>
  <si>
    <t>Caa3</t>
  </si>
  <si>
    <t>A2</t>
  </si>
  <si>
    <t>A3</t>
  </si>
  <si>
    <t>Baa1</t>
  </si>
  <si>
    <t>A1</t>
  </si>
  <si>
    <t>Caa2</t>
  </si>
  <si>
    <t>Ba1</t>
  </si>
  <si>
    <t>Baa3</t>
  </si>
  <si>
    <t>C</t>
  </si>
  <si>
    <t>Credit Rating</t>
  </si>
  <si>
    <t>Year</t>
  </si>
  <si>
    <t>-</t>
  </si>
  <si>
    <t>Ticker</t>
  </si>
  <si>
    <t>EV/Sales</t>
  </si>
  <si>
    <t>Bottom-Up Beta</t>
  </si>
  <si>
    <t>Pre-Tax Cost of Debt</t>
  </si>
  <si>
    <t>Market Value of Debt</t>
  </si>
  <si>
    <t>Number of Shares Outstanding</t>
  </si>
  <si>
    <t>Market Capitalization</t>
  </si>
  <si>
    <t>Cash Flows</t>
  </si>
  <si>
    <t>Valuation Index</t>
  </si>
  <si>
    <t>+</t>
  </si>
  <si>
    <t>Net CapEx</t>
  </si>
  <si>
    <t>Capital Expenditures (CapEx)</t>
  </si>
  <si>
    <t>Non Cash Working Capital</t>
  </si>
  <si>
    <t>EBIT * (1 - Tax Rate)</t>
  </si>
  <si>
    <t>Free Cash Flow to Firm (FCFF)</t>
  </si>
  <si>
    <t>Reinvestment</t>
  </si>
  <si>
    <t>Finance Cost</t>
  </si>
  <si>
    <t>Adjusted EBT</t>
  </si>
  <si>
    <t>Adjusted Net Income</t>
  </si>
  <si>
    <t>Principle Repayments</t>
  </si>
  <si>
    <t>New Debt Issue</t>
  </si>
  <si>
    <t>Free Cash Flow to Equity (FCFE)</t>
  </si>
  <si>
    <t>FCFE &amp; FCFF</t>
  </si>
  <si>
    <t>FCFF &amp; FCFE</t>
  </si>
  <si>
    <t>Working capital as % of revenues</t>
  </si>
  <si>
    <t>Non Cash Current Assets</t>
  </si>
  <si>
    <t>Non Debt Current Liabilities</t>
  </si>
  <si>
    <t>Average WC as % of revenues</t>
  </si>
  <si>
    <t>Revenues (2021)</t>
  </si>
  <si>
    <t>Expected Growth Rate</t>
  </si>
  <si>
    <t>Future Cash Flows (10 Yrs)</t>
  </si>
  <si>
    <t>Terminal Value</t>
  </si>
  <si>
    <t>Growth &amp; TV</t>
  </si>
  <si>
    <t>Reinvestment Rate</t>
  </si>
  <si>
    <t>Sales to Capital</t>
  </si>
  <si>
    <t>FCFF</t>
  </si>
  <si>
    <t>Invested Capital</t>
  </si>
  <si>
    <t>ROIC</t>
  </si>
  <si>
    <t>Growth Rate &amp; TV</t>
  </si>
  <si>
    <t>Growth Rate in perpetuity</t>
  </si>
  <si>
    <t>ROIC in perpetuity</t>
  </si>
  <si>
    <t>EBIT (11th Year)</t>
  </si>
  <si>
    <t>Marginal Tax Rate (%)</t>
  </si>
  <si>
    <t>FCFF (11th Year)</t>
  </si>
  <si>
    <t>% of Debt</t>
  </si>
  <si>
    <t>% of Equity</t>
  </si>
  <si>
    <t>Mature WACC</t>
  </si>
  <si>
    <t>Cash &amp; Marketable Securities</t>
  </si>
  <si>
    <t>Cash and cash equivalents</t>
  </si>
  <si>
    <t>Sales to Cap</t>
  </si>
  <si>
    <t>Mature Beta</t>
  </si>
  <si>
    <t>Present Value of TV</t>
  </si>
  <si>
    <t>Cash and Marketable Securities</t>
  </si>
  <si>
    <t>Value of Debt</t>
  </si>
  <si>
    <t>Value of Firm</t>
  </si>
  <si>
    <t>Value of Equity</t>
  </si>
  <si>
    <t>Value of Cross Holdings</t>
  </si>
  <si>
    <t>Present Vaue of FCFF</t>
  </si>
  <si>
    <t>Fair Value of the Share</t>
  </si>
  <si>
    <t>Present Value of Cash Flows</t>
  </si>
  <si>
    <t>Free Cash Flows to Firm</t>
  </si>
  <si>
    <t>Discount Rate (WACC)</t>
  </si>
  <si>
    <t>Value of Operating Assets</t>
  </si>
  <si>
    <t>Value of Other Assets</t>
  </si>
  <si>
    <t>Value of Equity Options</t>
  </si>
  <si>
    <t>Value of Common Stock</t>
  </si>
  <si>
    <t>Fair Value of Share</t>
  </si>
  <si>
    <t>Road to Fair Value of Share</t>
  </si>
  <si>
    <t>N/A</t>
  </si>
  <si>
    <t>EBIT * (1 - Tax)</t>
  </si>
  <si>
    <t>OPM %</t>
  </si>
  <si>
    <t>Mature Risk Premium</t>
  </si>
  <si>
    <t>ERP</t>
  </si>
  <si>
    <t>Companies</t>
  </si>
  <si>
    <t>Unlevered Beta</t>
  </si>
  <si>
    <t>Median WC as % of Revenues</t>
  </si>
  <si>
    <t>OPM</t>
  </si>
  <si>
    <t>CRP</t>
  </si>
  <si>
    <t>Interest</t>
  </si>
  <si>
    <t>ICR (%)</t>
  </si>
  <si>
    <t>Average ICR (%)</t>
  </si>
  <si>
    <t>%</t>
  </si>
  <si>
    <t>Maturity</t>
  </si>
  <si>
    <t>Years</t>
  </si>
  <si>
    <t>Total Debt</t>
  </si>
  <si>
    <t>Risk Free Rate &amp; Equity Risk Premium</t>
  </si>
  <si>
    <t>Corporate Governance</t>
  </si>
  <si>
    <t>Name</t>
  </si>
  <si>
    <t>Designation</t>
  </si>
  <si>
    <t>Management</t>
  </si>
  <si>
    <t>Board of Directors</t>
  </si>
  <si>
    <t>Audit</t>
  </si>
  <si>
    <t>Board</t>
  </si>
  <si>
    <t>Shareholder Rights</t>
  </si>
  <si>
    <t>Compensation</t>
  </si>
  <si>
    <t>Levered Beta</t>
  </si>
  <si>
    <t>Firm Value</t>
  </si>
  <si>
    <t>Cash</t>
  </si>
  <si>
    <t>EV</t>
  </si>
  <si>
    <t>Cash/Firm Value</t>
  </si>
  <si>
    <t>Gross D/E</t>
  </si>
  <si>
    <t>Sales</t>
  </si>
  <si>
    <t>Beta Calculation Data</t>
  </si>
  <si>
    <t>Market Cap (m)</t>
  </si>
  <si>
    <t>Median Beta</t>
  </si>
  <si>
    <t>Median D/E</t>
  </si>
  <si>
    <t>Median Cash/FV</t>
  </si>
  <si>
    <t>Debt to Equity</t>
  </si>
  <si>
    <t>Pre Tax Cost of Debt</t>
  </si>
  <si>
    <t>% Equity</t>
  </si>
  <si>
    <t>% Debt</t>
  </si>
  <si>
    <t>Marginal Tax Rate %</t>
  </si>
  <si>
    <t>Cost of Equity, Debt &amp; WACC</t>
  </si>
  <si>
    <t>Risk Free Rate &amp; ERP</t>
  </si>
  <si>
    <t>Bottom Up Beta</t>
  </si>
  <si>
    <t>AAA</t>
  </si>
  <si>
    <t>Gross Profit</t>
  </si>
  <si>
    <t>Capital Expenditure (CapEx)</t>
  </si>
  <si>
    <t>Depreciation</t>
  </si>
  <si>
    <t>% Depn</t>
  </si>
  <si>
    <t>Acquisitions</t>
  </si>
  <si>
    <t>Invested Cap</t>
  </si>
  <si>
    <t>Industry's Sales to Capital</t>
  </si>
  <si>
    <t>25th Percentile of Industry</t>
  </si>
  <si>
    <t>Accounting Adjustments</t>
  </si>
  <si>
    <t>Chg. in Non Cash Working Capital</t>
  </si>
  <si>
    <t>Spread (%)</t>
  </si>
  <si>
    <t>Ad Exp</t>
  </si>
  <si>
    <t>ROAS</t>
  </si>
  <si>
    <t>Book Value of Debt</t>
  </si>
  <si>
    <t>Current Synthetic Rating</t>
  </si>
  <si>
    <t>Adj Net Capital Expenditures</t>
  </si>
  <si>
    <t>EBIT Margin %</t>
  </si>
  <si>
    <t>Median EBIT Margin %</t>
  </si>
  <si>
    <t>Normalized EBIT</t>
  </si>
  <si>
    <t>At 90th %ile</t>
  </si>
  <si>
    <t>At 75th %ile</t>
  </si>
  <si>
    <t>At 50th %ile</t>
  </si>
  <si>
    <t>At 25th %ile</t>
  </si>
  <si>
    <t>Marginal Tax %</t>
  </si>
  <si>
    <t>Interest Coverage Ratio will be above 8.5</t>
  </si>
  <si>
    <t>Revenue (TTM)</t>
  </si>
  <si>
    <t>Market Cap</t>
  </si>
  <si>
    <t>EBIT (TTM)</t>
  </si>
  <si>
    <t>Revenue Growth %</t>
  </si>
  <si>
    <t>Beta</t>
  </si>
  <si>
    <t>WACC %</t>
  </si>
  <si>
    <t>CG Score</t>
  </si>
  <si>
    <t>Revenue From Operations</t>
  </si>
  <si>
    <t>R&amp;D</t>
  </si>
  <si>
    <t>Ads</t>
  </si>
  <si>
    <t>G&amp;A</t>
  </si>
  <si>
    <t>COGS</t>
  </si>
  <si>
    <t>Operating Profit Waterfall</t>
  </si>
  <si>
    <t>Shareholding Pattern</t>
  </si>
  <si>
    <t>Ownership</t>
  </si>
  <si>
    <t>Institutional</t>
  </si>
  <si>
    <t>Insider</t>
  </si>
  <si>
    <t>Retail</t>
  </si>
  <si>
    <t>Revenue - Geography</t>
  </si>
  <si>
    <t>Key Ratios</t>
  </si>
  <si>
    <t>Industry</t>
  </si>
  <si>
    <t>Stock Price Data</t>
  </si>
  <si>
    <t>Debt to Capital</t>
  </si>
  <si>
    <t>Risk Free Rate</t>
  </si>
  <si>
    <t>Spread</t>
  </si>
  <si>
    <t>D</t>
  </si>
  <si>
    <t>If interest coverage ratio is</t>
  </si>
  <si>
    <t>Rating is</t>
  </si>
  <si>
    <t>For Small Cap Companies</t>
  </si>
  <si>
    <t>For Large Cap Companies</t>
  </si>
  <si>
    <t>Pretax Kd</t>
  </si>
  <si>
    <t>EBIT TTM</t>
  </si>
  <si>
    <t>A-</t>
  </si>
  <si>
    <t>BBB</t>
  </si>
  <si>
    <t>CC</t>
  </si>
  <si>
    <t>CCC</t>
  </si>
  <si>
    <t>B-</t>
  </si>
  <si>
    <t>B</t>
  </si>
  <si>
    <t>B+</t>
  </si>
  <si>
    <t>BB</t>
  </si>
  <si>
    <t>A</t>
  </si>
  <si>
    <t>A+</t>
  </si>
  <si>
    <t>AA</t>
  </si>
  <si>
    <t>Large Cap = 1; Small Cap = 0</t>
  </si>
  <si>
    <t>Type of Firm</t>
  </si>
  <si>
    <t>Rating</t>
  </si>
  <si>
    <t>Firm Value (Mkt)</t>
  </si>
  <si>
    <t>Aftertax Kd</t>
  </si>
  <si>
    <t>Tax Rate</t>
  </si>
  <si>
    <t>optimal</t>
  </si>
  <si>
    <t>Optimal Cost of Capital</t>
  </si>
  <si>
    <t>ICR</t>
  </si>
  <si>
    <t>Financing Decision</t>
  </si>
  <si>
    <t>Book value of interest bearing debt</t>
  </si>
  <si>
    <t>Market value of interest bearing debt</t>
  </si>
  <si>
    <t>Lease Debt</t>
  </si>
  <si>
    <t>Type of Debt</t>
  </si>
  <si>
    <t>Bank Debt</t>
  </si>
  <si>
    <t>Bonds/Notes</t>
  </si>
  <si>
    <t>&lt; 1 year</t>
  </si>
  <si>
    <t>10-20 years</t>
  </si>
  <si>
    <t>5-10 years</t>
  </si>
  <si>
    <t>1-5 years</t>
  </si>
  <si>
    <t>&gt; 20 years</t>
  </si>
  <si>
    <t>Debt Maturity</t>
  </si>
  <si>
    <t>Currency of Debt</t>
  </si>
  <si>
    <t>Debt in domestic currency</t>
  </si>
  <si>
    <t>Debt in foriegn currency</t>
  </si>
  <si>
    <t>Fixed or Floating</t>
  </si>
  <si>
    <t>Fixed Rate Debt</t>
  </si>
  <si>
    <t>Floating Rate Debt</t>
  </si>
  <si>
    <t>Debt Explained</t>
  </si>
  <si>
    <t>Adjusted Present Value</t>
  </si>
  <si>
    <t>Tax Benefits</t>
  </si>
  <si>
    <t>Exp Bankruptcy</t>
  </si>
  <si>
    <t>Exp Bankruptcy Cost</t>
  </si>
  <si>
    <t>Prob. of Default</t>
  </si>
  <si>
    <t>High</t>
  </si>
  <si>
    <t>Medium</t>
  </si>
  <si>
    <t>Low</t>
  </si>
  <si>
    <t>Indirect Bankruptcy</t>
  </si>
  <si>
    <t>Unlevered Firm Value</t>
  </si>
  <si>
    <t>Unlevered FV</t>
  </si>
  <si>
    <t>High; Medium; Low</t>
  </si>
  <si>
    <t>Firm's Exposure</t>
  </si>
  <si>
    <t>Value of Unlevered Firm</t>
  </si>
  <si>
    <t>Current Rating</t>
  </si>
  <si>
    <t>Weighted Avg CRP</t>
  </si>
  <si>
    <t>Debt to Equity (BV)</t>
  </si>
  <si>
    <t>Revenues (2022)</t>
  </si>
  <si>
    <t>Country Risk Premium</t>
  </si>
  <si>
    <t>Debt Ratio</t>
  </si>
  <si>
    <t>PV of Cashflows</t>
  </si>
  <si>
    <t>PV * Year</t>
  </si>
  <si>
    <t>Duration of the operating assets</t>
  </si>
  <si>
    <t>Debt Design Explained</t>
  </si>
  <si>
    <t>10-Year Gov. Bond Yield</t>
  </si>
  <si>
    <t>Default Spread</t>
  </si>
  <si>
    <t>Debt (m)</t>
  </si>
  <si>
    <t>Adj. Unlevered Beta</t>
  </si>
  <si>
    <t>Sector</t>
  </si>
  <si>
    <t>Adj EBIT (1 - Tax)</t>
  </si>
  <si>
    <t>Adj Chg in Non Cash WC</t>
  </si>
  <si>
    <t>Net Borrowing</t>
  </si>
  <si>
    <t>Short Term Investments</t>
  </si>
  <si>
    <t>Debt</t>
  </si>
  <si>
    <t>Dividend Decision</t>
  </si>
  <si>
    <t>Dividends</t>
  </si>
  <si>
    <t>Aggregate</t>
  </si>
  <si>
    <t>Net Income</t>
  </si>
  <si>
    <t>Capital Exp.</t>
  </si>
  <si>
    <t>Chg. In WC</t>
  </si>
  <si>
    <t>Principal Repay.</t>
  </si>
  <si>
    <t>FCFE</t>
  </si>
  <si>
    <t>Cash Return Ratio</t>
  </si>
  <si>
    <t>Return on Invested Capital</t>
  </si>
  <si>
    <t>Quality of Current Projects</t>
  </si>
  <si>
    <t>NYSE</t>
  </si>
  <si>
    <t>$ Risk Free Rate</t>
  </si>
  <si>
    <t>Long-term debt, net</t>
  </si>
  <si>
    <t>Interest Expense</t>
  </si>
  <si>
    <t>Average Maturity of Debt (Yrs)</t>
  </si>
  <si>
    <t>Est. Market Value of Debt</t>
  </si>
  <si>
    <t>Pre tax Cost of Debt</t>
  </si>
  <si>
    <t>Net Working Capital</t>
  </si>
  <si>
    <t>PP&amp;E, net</t>
  </si>
  <si>
    <t>Long Term Debt, net</t>
  </si>
  <si>
    <t>Shareholder's equity</t>
  </si>
  <si>
    <t>Other long term liabilities</t>
  </si>
  <si>
    <t>Other Long Term Assets</t>
  </si>
  <si>
    <t>Principal Repayments</t>
  </si>
  <si>
    <t>as of Dec 2022</t>
  </si>
  <si>
    <t>Total</t>
  </si>
  <si>
    <t>in mil $</t>
  </si>
  <si>
    <t>Regions</t>
  </si>
  <si>
    <t>Tax %</t>
  </si>
  <si>
    <t>all figures in mil</t>
  </si>
  <si>
    <t>Value</t>
  </si>
  <si>
    <t>Total Debt Obligations</t>
  </si>
  <si>
    <t>in m/d/yyyy</t>
  </si>
  <si>
    <t>Intt Rate %</t>
  </si>
  <si>
    <t>Drivers</t>
  </si>
  <si>
    <t>Company Name</t>
  </si>
  <si>
    <t>Current Stock Price</t>
  </si>
  <si>
    <t>Currency</t>
  </si>
  <si>
    <t>$</t>
  </si>
  <si>
    <t>Valuation Date</t>
  </si>
  <si>
    <t>About Company</t>
  </si>
  <si>
    <t>Shares Out. (in m)</t>
  </si>
  <si>
    <t>About</t>
  </si>
  <si>
    <t>Exchange</t>
  </si>
  <si>
    <t>Country</t>
  </si>
  <si>
    <t>USA</t>
  </si>
  <si>
    <t>Cost of Capital Inputs</t>
  </si>
  <si>
    <t xml:space="preserve"> </t>
  </si>
  <si>
    <t>Basic Inputs</t>
  </si>
  <si>
    <t>Synthetic Default Spread</t>
  </si>
  <si>
    <t>Income Statement</t>
  </si>
  <si>
    <t>Invested Capital (Operating Approach)</t>
  </si>
  <si>
    <t>Invested Capital (Financing Approach)</t>
  </si>
  <si>
    <t>Net Capital Expenditures</t>
  </si>
  <si>
    <t>Fixed Assets Schedule</t>
  </si>
  <si>
    <t>Working Capital Schedule</t>
  </si>
  <si>
    <t>Net Debt/Borrowings Schedule</t>
  </si>
  <si>
    <t>Industry's OPM</t>
  </si>
  <si>
    <t>Growth Rate %</t>
  </si>
  <si>
    <t>Operating Costs</t>
  </si>
  <si>
    <t>Operating Margin %</t>
  </si>
  <si>
    <t>Operating Income (EBIT)</t>
  </si>
  <si>
    <t>Taxes</t>
  </si>
  <si>
    <t>Tax Rate %</t>
  </si>
  <si>
    <t>Net Operating Profit After Tax</t>
  </si>
  <si>
    <t>Change in Revenues</t>
  </si>
  <si>
    <t>Sales to Invested Capital</t>
  </si>
  <si>
    <t>Return on Invested Capital %</t>
  </si>
  <si>
    <t>Free Cash Flow to Firm</t>
  </si>
  <si>
    <t>Future CashFlows (10Y)</t>
  </si>
  <si>
    <t>Reinvestment Rate %</t>
  </si>
  <si>
    <t>Cost of Capital (Mature Company)</t>
  </si>
  <si>
    <t>Excess Return</t>
  </si>
  <si>
    <t>Adj Cash and Marketable Securities</t>
  </si>
  <si>
    <t>Contingent Liabilities</t>
  </si>
  <si>
    <t>Operating Profit Margin %</t>
  </si>
  <si>
    <t>Sensitivity Analysis</t>
  </si>
  <si>
    <t>Discount Rate WACC</t>
  </si>
  <si>
    <t>PV of Free Cash Flows</t>
  </si>
  <si>
    <t>Value Drivers</t>
  </si>
  <si>
    <t>Growth Rate</t>
  </si>
  <si>
    <t>Revenue %</t>
  </si>
  <si>
    <t>What If Analysis</t>
  </si>
  <si>
    <t>Scenario Analysis</t>
  </si>
  <si>
    <t>What If #1</t>
  </si>
  <si>
    <t>What If #2</t>
  </si>
  <si>
    <t>What If #3</t>
  </si>
  <si>
    <t> </t>
  </si>
  <si>
    <t>Marketing</t>
  </si>
  <si>
    <t>Product development</t>
  </si>
  <si>
    <t>Total operating expenses</t>
  </si>
  <si>
    <t>Other (expense) income:</t>
  </si>
  <si>
    <t>Interest expense</t>
  </si>
  <si>
    <t>Total other (expense) income</t>
  </si>
  <si>
    <t>(Provision) benefit for income taxes</t>
  </si>
  <si>
    <t>Net (loss) income</t>
  </si>
  <si>
    <t>Basic (in dollars per share)</t>
  </si>
  <si>
    <t>Basic (in shares)</t>
  </si>
  <si>
    <t>Earnings Before Taxes (EBT)</t>
  </si>
  <si>
    <t>Balance Sheet</t>
  </si>
  <si>
    <t>Current assets:</t>
  </si>
  <si>
    <t>Short-term investments</t>
  </si>
  <si>
    <t>Accounts receivable, net</t>
  </si>
  <si>
    <t>Total current assets</t>
  </si>
  <si>
    <t>Property and equipment, net</t>
  </si>
  <si>
    <t>Other assets</t>
  </si>
  <si>
    <t>Total assets</t>
  </si>
  <si>
    <t>Current liabilities:</t>
  </si>
  <si>
    <t>Total current liabilities</t>
  </si>
  <si>
    <t>Other liabilities</t>
  </si>
  <si>
    <t>Total liabilities</t>
  </si>
  <si>
    <t>Stockholders’ (deficit) equity:</t>
  </si>
  <si>
    <t>Additional paid-in capital</t>
  </si>
  <si>
    <t>(Accumulated deficit) retained earnings</t>
  </si>
  <si>
    <t>Accumulated other comprehensive loss</t>
  </si>
  <si>
    <t>Total Equity</t>
  </si>
  <si>
    <t>Total liabilities and Equity</t>
  </si>
  <si>
    <t>Balance Check</t>
  </si>
  <si>
    <t>Resources</t>
  </si>
  <si>
    <t>Commitments and contingencies</t>
  </si>
  <si>
    <t>Cash Flow Statement</t>
  </si>
  <si>
    <t>Cash flows from operating activities</t>
  </si>
  <si>
    <t>Cash flows from investing activities</t>
  </si>
  <si>
    <t>Net cash used in investing activities</t>
  </si>
  <si>
    <t>Cash flows from financing activities</t>
  </si>
  <si>
    <t>Effect of exchange rate changes on cash</t>
  </si>
  <si>
    <t>Adjustments:</t>
  </si>
  <si>
    <t>Chg in operating assets and liabilities</t>
  </si>
  <si>
    <t>Net cash from financing activities</t>
  </si>
  <si>
    <t>Net increase (decrease) in cash</t>
  </si>
  <si>
    <t>Cash (at end of period)</t>
  </si>
  <si>
    <t>Cash (at beginning of period)</t>
  </si>
  <si>
    <t>Net cash from operating activities</t>
  </si>
  <si>
    <t>Growth Rate in Perpetuity</t>
  </si>
  <si>
    <t>Stock Buybacks</t>
  </si>
  <si>
    <t>Total Cash Return</t>
  </si>
  <si>
    <t>Cash Return</t>
  </si>
  <si>
    <t>Free Cash Flow to Equity</t>
  </si>
  <si>
    <t>Football Field Chart</t>
  </si>
  <si>
    <t xml:space="preserve">Football Field </t>
  </si>
  <si>
    <t>Min</t>
  </si>
  <si>
    <t>Max</t>
  </si>
  <si>
    <t>Analyst's Range</t>
  </si>
  <si>
    <t>DCF Valuation</t>
  </si>
  <si>
    <t>52 Week Range</t>
  </si>
  <si>
    <t>Difference</t>
  </si>
  <si>
    <t>Questions</t>
  </si>
  <si>
    <t>What does the company do?</t>
  </si>
  <si>
    <t>Who are its promoters?</t>
  </si>
  <si>
    <t>What is their background?</t>
  </si>
  <si>
    <t>What do they manufacture/sell?</t>
  </si>
  <si>
    <t>How many plants/units they have?</t>
  </si>
  <si>
    <t>Where are those plants located?</t>
  </si>
  <si>
    <t>Are they running the plants at full capacity?</t>
  </si>
  <si>
    <t>What kind of raw material is required?</t>
  </si>
  <si>
    <t>Who are company's client/end users?</t>
  </si>
  <si>
    <t>Who are their competitors?</t>
  </si>
  <si>
    <t>Who are the major shareholders in company?</t>
  </si>
  <si>
    <t>Do they plan to launch any new products in future?</t>
  </si>
  <si>
    <t>Do they plan to expand to different countries?</t>
  </si>
  <si>
    <t>What is the revenue mix? Which product sells the most?</t>
  </si>
  <si>
    <t>Do they operate under heavy regulatory environment?</t>
  </si>
  <si>
    <t>Who are their bankers and auditors?</t>
  </si>
  <si>
    <t>How many employees do they have? Any Labor Issues?</t>
  </si>
  <si>
    <t>What are the entry barriers for new players?</t>
  </si>
  <si>
    <t>Does the company has too many subsidiaries?</t>
  </si>
  <si>
    <t>Is co. products be replecated in a country with cheap labor?</t>
  </si>
  <si>
    <t>Data from wallstreetzen.com</t>
  </si>
  <si>
    <t>Inventories</t>
  </si>
  <si>
    <t>Treasury stock, at cost</t>
  </si>
  <si>
    <t>Noncontrolling interests</t>
  </si>
  <si>
    <t>Short Term Debt</t>
  </si>
  <si>
    <t>Depreciation and amortization</t>
  </si>
  <si>
    <t>Eff Tax Rate (%)</t>
  </si>
  <si>
    <t>Operating Income</t>
  </si>
  <si>
    <t>After tax Operating Income</t>
  </si>
  <si>
    <t>Firm Projects are</t>
  </si>
  <si>
    <t>CFO</t>
  </si>
  <si>
    <t>CEO</t>
  </si>
  <si>
    <t>Exp Growth %</t>
  </si>
  <si>
    <t>Trend</t>
  </si>
  <si>
    <t>Cash Return Explained</t>
  </si>
  <si>
    <t>Cost of Capital (WACC)</t>
  </si>
  <si>
    <t>Other income (expense), net</t>
  </si>
  <si>
    <t>Net Revenues</t>
  </si>
  <si>
    <t>Diluted (in dollars per share)</t>
  </si>
  <si>
    <t>Diluted (in shares)</t>
  </si>
  <si>
    <t>Effective Tax Rate %</t>
  </si>
  <si>
    <t>Current portion of long-term debt</t>
  </si>
  <si>
    <t>Operating lease liabilities</t>
  </si>
  <si>
    <t>Prepaid Exp &amp; Other current assets</t>
  </si>
  <si>
    <t>Stock-based compensation</t>
  </si>
  <si>
    <t>Purchases of short-term investments</t>
  </si>
  <si>
    <t>Check</t>
  </si>
  <si>
    <t>Total Borrowings</t>
  </si>
  <si>
    <t>Operating Leases</t>
  </si>
  <si>
    <t>Operating ROU Assets, net</t>
  </si>
  <si>
    <t>Operating Lease</t>
  </si>
  <si>
    <t>Account Receivables</t>
  </si>
  <si>
    <t>Prepaid Exp &amp; Other Cur. Assets</t>
  </si>
  <si>
    <t>Free Cash Flow Projections</t>
  </si>
  <si>
    <t>Revenue Projections</t>
  </si>
  <si>
    <t>5Y CAGR %</t>
  </si>
  <si>
    <t>First 5Y</t>
  </si>
  <si>
    <t>Last 5Y</t>
  </si>
  <si>
    <t>Target Debt to Equity</t>
  </si>
  <si>
    <t>Based on Target Debt Equity Ratio</t>
  </si>
  <si>
    <t>FV of RSU, PSU, PSU-TSR</t>
  </si>
  <si>
    <t>Value as a % of revenues</t>
  </si>
  <si>
    <t>Restricted Stock Units</t>
  </si>
  <si>
    <t>Performance Stock Units</t>
  </si>
  <si>
    <t>PSU - Tied to Shareholder Return</t>
  </si>
  <si>
    <t>RSU as a % Revenues</t>
  </si>
  <si>
    <t>PSU as a % Revenues</t>
  </si>
  <si>
    <t>PSU-TSR as a % Revenues</t>
  </si>
  <si>
    <t>Future Stock Units Value</t>
  </si>
  <si>
    <t>Medians</t>
  </si>
  <si>
    <t>Future Value of RSU</t>
  </si>
  <si>
    <t>Future Value of PSU</t>
  </si>
  <si>
    <t>Future Value of PSU-TSR</t>
  </si>
  <si>
    <t>Revenues (11th Year)</t>
  </si>
  <si>
    <t>Future Value of Stock Units</t>
  </si>
  <si>
    <t>Stock Units</t>
  </si>
  <si>
    <t>Costco Wholesale</t>
  </si>
  <si>
    <t>COST</t>
  </si>
  <si>
    <t>Consumer Defensive</t>
  </si>
  <si>
    <t>Discount Stores</t>
  </si>
  <si>
    <t>Hamilton E. James</t>
  </si>
  <si>
    <t>Chairman</t>
  </si>
  <si>
    <t>Susan Decker</t>
  </si>
  <si>
    <t>Director</t>
  </si>
  <si>
    <t>Kenneth D. Denman</t>
  </si>
  <si>
    <t>Richard A. Galanti</t>
  </si>
  <si>
    <t>Exe VC, CFO &amp; Director</t>
  </si>
  <si>
    <t>W. Craig Jelinek</t>
  </si>
  <si>
    <t>CEO and Director</t>
  </si>
  <si>
    <t>Sally Jewell</t>
  </si>
  <si>
    <t>Charles T. Munger</t>
  </si>
  <si>
    <t>Jeff Raikes</t>
  </si>
  <si>
    <t>John W. Stanton</t>
  </si>
  <si>
    <t>Ron Vachris</t>
  </si>
  <si>
    <t>President, COO &amp; Director</t>
  </si>
  <si>
    <t>Maggie Wilderotter</t>
  </si>
  <si>
    <t>James P. Murphy</t>
  </si>
  <si>
    <t>COO-International Division</t>
  </si>
  <si>
    <t>Ron M. Vachris</t>
  </si>
  <si>
    <t>COO</t>
  </si>
  <si>
    <t>Russ D. Miller</t>
  </si>
  <si>
    <t>COO-US Operations</t>
  </si>
  <si>
    <t>as of Mar 2023</t>
  </si>
  <si>
    <t>Canada</t>
  </si>
  <si>
    <t>Global</t>
  </si>
  <si>
    <t>Walmart Inc.</t>
  </si>
  <si>
    <t>Target Corporation</t>
  </si>
  <si>
    <t>MIDI.JK</t>
  </si>
  <si>
    <t>PT Midi Utama Indonesia Tbk</t>
  </si>
  <si>
    <t>139480.KS</t>
  </si>
  <si>
    <t>E-MART Inc.</t>
  </si>
  <si>
    <t>DMART.NS</t>
  </si>
  <si>
    <t>Avenue Supermarts Limited</t>
  </si>
  <si>
    <t>7532.T</t>
  </si>
  <si>
    <t>Dollar General Corporation</t>
  </si>
  <si>
    <t>2651.T</t>
  </si>
  <si>
    <t>Lawson, Inc.</t>
  </si>
  <si>
    <t>Dollar Tree, Inc.</t>
  </si>
  <si>
    <t>BMEL.XC</t>
  </si>
  <si>
    <t>B&amp;M European Value Retail S.A.</t>
  </si>
  <si>
    <t>WMT</t>
  </si>
  <si>
    <t>2782.T</t>
  </si>
  <si>
    <t>Seria Co., Ltd.</t>
  </si>
  <si>
    <t>TGT</t>
  </si>
  <si>
    <t>VCTR.TA</t>
  </si>
  <si>
    <t>Victory Supermarket Chain Ltd</t>
  </si>
  <si>
    <t>DG</t>
  </si>
  <si>
    <t>DLTR</t>
  </si>
  <si>
    <t>DOL.TO</t>
  </si>
  <si>
    <t>Dollarama Inc.</t>
  </si>
  <si>
    <t>PCO.WA</t>
  </si>
  <si>
    <t>Pepco Group N.V.</t>
  </si>
  <si>
    <t>8203.T</t>
  </si>
  <si>
    <t>Mr Max Holdings Ltd.</t>
  </si>
  <si>
    <t>0RAI.IL</t>
  </si>
  <si>
    <t>Europris ASA</t>
  </si>
  <si>
    <t>BJ</t>
  </si>
  <si>
    <t>3080.T</t>
  </si>
  <si>
    <t>Jason Co., Ltd.</t>
  </si>
  <si>
    <t>7646.T</t>
  </si>
  <si>
    <t>PLANT Co.,Ltd.</t>
  </si>
  <si>
    <t>OLLI</t>
  </si>
  <si>
    <t>000759.SZ</t>
  </si>
  <si>
    <t>2722.T</t>
  </si>
  <si>
    <t>IK HOLDINGS Co.,Ltd.</t>
  </si>
  <si>
    <t>PSMT</t>
  </si>
  <si>
    <t>PriceSmart, Inc.</t>
  </si>
  <si>
    <t>ADESE.IS</t>
  </si>
  <si>
    <t>Adese Gayrimenkul Yatirim A.S.</t>
  </si>
  <si>
    <t>0Q2F.IL</t>
  </si>
  <si>
    <t>0RG2.IL</t>
  </si>
  <si>
    <t>Tokmanni Group Oyj</t>
  </si>
  <si>
    <t>BIG</t>
  </si>
  <si>
    <t>Big Lots, Inc.</t>
  </si>
  <si>
    <t>TRS.AX</t>
  </si>
  <si>
    <t>The Reject Shop Limited</t>
  </si>
  <si>
    <t>BJ's Wholesale Club, Inc.</t>
  </si>
  <si>
    <t>Ollie's Bargain Outlet, Inc.</t>
  </si>
  <si>
    <t>Pan Pacific Intl Hold Corp</t>
  </si>
  <si>
    <t>Zhongbai Hold Group Co.,Ltd</t>
  </si>
  <si>
    <t>Distribuidora Intl de Ali, S.A.</t>
  </si>
  <si>
    <t>Senior Notes</t>
  </si>
  <si>
    <t>Other Debt</t>
  </si>
  <si>
    <t>Non-Foods</t>
  </si>
  <si>
    <t>Fresh Foods</t>
  </si>
  <si>
    <t>Warehouse Ancillary</t>
  </si>
  <si>
    <t>Net Sales</t>
  </si>
  <si>
    <t>Food and Sundries</t>
  </si>
  <si>
    <t>TTM</t>
  </si>
  <si>
    <t>Membership fees</t>
  </si>
  <si>
    <t>Total Revenues</t>
  </si>
  <si>
    <t>Merchandise costs</t>
  </si>
  <si>
    <t>SG&amp;A</t>
  </si>
  <si>
    <t>Merchandise inventories</t>
  </si>
  <si>
    <t>Operating lease right-of-use assets</t>
  </si>
  <si>
    <t>Accounts payable</t>
  </si>
  <si>
    <t>Accrued salaries and benefits</t>
  </si>
  <si>
    <t>Accrued member rewards</t>
  </si>
  <si>
    <t>Deferred membership fees</t>
  </si>
  <si>
    <t>Other Current Liabilties</t>
  </si>
  <si>
    <t>Preffered Stock</t>
  </si>
  <si>
    <t>Common Stock</t>
  </si>
  <si>
    <t>Non-cash lease expense</t>
  </si>
  <si>
    <t>Other non-cash operating activities, net</t>
  </si>
  <si>
    <t>Deferred income taxes</t>
  </si>
  <si>
    <t>Other operating assets and liabilities, net</t>
  </si>
  <si>
    <t>Maturities and sales of short-term investments</t>
  </si>
  <si>
    <t>Additions to property and equipment</t>
  </si>
  <si>
    <t>Other investing activities, net</t>
  </si>
  <si>
    <t>Proceeds from issuance of long-term debt</t>
  </si>
  <si>
    <t>Repayments of long-term debt</t>
  </si>
  <si>
    <t>Tax withholdings on stock-based awards</t>
  </si>
  <si>
    <t>Repurchases of common stock</t>
  </si>
  <si>
    <t>Cash dividend payments</t>
  </si>
  <si>
    <t>Dividend to noncontrolling interest</t>
  </si>
  <si>
    <t>Acquisition of noncontrolling interest</t>
  </si>
  <si>
    <t>Other financing activities, net</t>
  </si>
  <si>
    <t>Change in bank checks outstanding</t>
  </si>
  <si>
    <t>Return on capital %</t>
  </si>
  <si>
    <t>Account Payables</t>
  </si>
  <si>
    <t>Other current liabilites</t>
  </si>
  <si>
    <t>Deffered membership fees</t>
  </si>
  <si>
    <t>Growth %</t>
  </si>
  <si>
    <t>Non Foods</t>
  </si>
  <si>
    <t>Membership Subs</t>
  </si>
  <si>
    <t>Membership Fees</t>
  </si>
  <si>
    <t>as of Feb 2023</t>
  </si>
  <si>
    <t>EV/EBIT</t>
  </si>
  <si>
    <t>Ratio Analysis</t>
  </si>
  <si>
    <t>Liquidity Ratios</t>
  </si>
  <si>
    <t>Current Ratio</t>
  </si>
  <si>
    <t>Acid Test Ratio / Quick Ratio</t>
  </si>
  <si>
    <t>Cash Ratio</t>
  </si>
  <si>
    <t>Turnover Ratios</t>
  </si>
  <si>
    <t>Inventory Turnover Ratio</t>
  </si>
  <si>
    <t>Receivable Turnover Ratio</t>
  </si>
  <si>
    <t>Capital Turnover Ratio</t>
  </si>
  <si>
    <t>Asset Turnover Ratio</t>
  </si>
  <si>
    <t>Cash Conversion Cycle</t>
  </si>
  <si>
    <t>Net Profit Margin</t>
  </si>
  <si>
    <t>Return on Capital Employed</t>
  </si>
  <si>
    <t>Return on Equity</t>
  </si>
  <si>
    <t>Return on Assets</t>
  </si>
  <si>
    <t>Earnings per share</t>
  </si>
  <si>
    <t>Business Risk Ratios</t>
  </si>
  <si>
    <t>Operating Leverage</t>
  </si>
  <si>
    <t>Financial Leverage</t>
  </si>
  <si>
    <t>Total Leverage</t>
  </si>
  <si>
    <t>Debt Equity Ratio</t>
  </si>
  <si>
    <t>Interest Coverage Ratio</t>
  </si>
  <si>
    <t>Debt Service Coverage Ratio</t>
  </si>
  <si>
    <t>Profitability Ratios</t>
  </si>
  <si>
    <t>Solvency Ratios</t>
  </si>
  <si>
    <t>Payable Turnover Ratio</t>
  </si>
  <si>
    <t>Trends</t>
  </si>
  <si>
    <t>Median</t>
  </si>
  <si>
    <t>Average</t>
  </si>
  <si>
    <t>Total Shareholder Equity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</si>
</sst>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9">
    <numFmt numFmtId="42" formatCode="_(&quot;$&quot;* #,##0_);_(&quot;$&quot;* \(#,##0\);_(&quot;$&quot;* &quot;-&quot;_);_(@_)"/>
    <numFmt numFmtId="44" formatCode="_(&quot;$&quot;* #,##0.00_);_(&quot;$&quot;* \(#,##0.00\);_(&quot;$&quot;* &quot;-&quot;??_);_(@_)"/>
    <numFmt numFmtId="43" formatCode="_(* #,##0.00_);_(* \(#,##0.00\);_(* &quot;-&quot;??_);_(@_)"/>
    <numFmt numFmtId="164" formatCode="_(* #,##0.0_);_(* \(#,##0.0\);_(* &quot;-&quot;?_);@_)"/>
    <numFmt numFmtId="165" formatCode="_(* #,##0_);_(* \(#,##0\);_(* &quot;-&quot;?_);@_)"/>
    <numFmt numFmtId="166" formatCode="0.0%"/>
    <numFmt numFmtId="167" formatCode="_-* #,##0.00\ &quot;€&quot;_-;\-* #,##0.00\ &quot;€&quot;_-;_-* &quot;-&quot;??\ &quot;€&quot;_-;_-@_-"/>
    <numFmt numFmtId="168" formatCode="_-* #,##0.00\ _€_-;\-* #,##0.00\ _€_-;_-* &quot;-&quot;??\ _€_-;_-@_-"/>
    <numFmt numFmtId="169" formatCode="_-* #,##0\ _D_M_-;\-* #,##0\ _D_M_-;_-* &quot;-&quot;\ _D_M_-;_-@_-"/>
    <numFmt numFmtId="170" formatCode="_-* #,##0.00\ &quot;Kc&quot;_-;\-* #,##0.00\ &quot;Kc&quot;_-;_-* &quot;-&quot;??\ &quot;Kc&quot;_-;_-@_-"/>
    <numFmt numFmtId="171" formatCode="\(0\'\)"/>
    <numFmt numFmtId="172" formatCode="0.00_)"/>
    <numFmt numFmtId="173" formatCode="#,##0;\(#,##0\);&quot;-&quot;"/>
    <numFmt numFmtId="174" formatCode="_-* #,##0_-;\-* #,##0_-;_-* &quot;-&quot;_-;_-@_-"/>
    <numFmt numFmtId="175" formatCode="#,##0_);\(#,##0\);&quot; - &quot;_);@_)"/>
    <numFmt numFmtId="176" formatCode="\ #,##0.0_);\(#,##0.0\);&quot; - &quot;_);@_)"/>
    <numFmt numFmtId="177" formatCode="_(* #,##0.00_);_(* \(#,##0.00\);_(* &quot;-&quot;?_);@_)"/>
    <numFmt numFmtId="178" formatCode="0.0"/>
    <numFmt numFmtId="179" formatCode="_ [$₹-4009]\ * #,##0.00_ ;_ [$₹-4009]\ * \-#,##0.00_ ;_ [$₹-4009]\ * &quot;-&quot;??_ ;_ @_ "/>
    <numFmt numFmtId="180" formatCode="[$₹-4009]\ #,##0.00;[$₹-4009]\ \-#,##0.00"/>
    <numFmt numFmtId="181" formatCode="_(* #,##0.000_);_(* \(#,##0.000\);_(* &quot;-&quot;?_);@_)"/>
    <numFmt numFmtId="182" formatCode="0.000"/>
    <numFmt numFmtId="183" formatCode="&quot;$&quot;#,##0.00"/>
    <numFmt numFmtId="184" formatCode="&quot;$&quot;#,##0.0"/>
    <numFmt numFmtId="185" formatCode="0.0000%"/>
    <numFmt numFmtId="186" formatCode="[$€-2]\ #,##0.00_);\([$€-2]\ #,##0.00\)"/>
    <numFmt numFmtId="187" formatCode="[$₹-4009]\ #,##0.00"/>
    <numFmt numFmtId="188" formatCode="[$€-1809]#,##0.00"/>
    <numFmt numFmtId="189" formatCode="[$€-2]\ #,##0.00"/>
    <numFmt numFmtId="190" formatCode="_(&quot;$&quot;* #,##0.0_);_(&quot;$&quot;* \(#,##0.0\);_(&quot;$&quot;* &quot;-&quot;??_);_(@_)"/>
    <numFmt numFmtId="191" formatCode="_(&quot;$&quot;* #,##0_);_(&quot;$&quot;* \(#,##0\);_(&quot;$&quot;* &quot;-&quot;??_);_(@_)"/>
    <numFmt numFmtId="192" formatCode="[$-409]mmmm\ d\,\ yyyy;@"/>
    <numFmt numFmtId="193" formatCode="yyyy\A"/>
    <numFmt numFmtId="194" formatCode="yyyy\E"/>
    <numFmt numFmtId="195" formatCode="0.000%"/>
    <numFmt numFmtId="196" formatCode="mmm\-yyyy"/>
    <numFmt numFmtId="197" formatCode="_(&quot;$&quot;* #,##0.000_);_(&quot;$&quot;* \(#,##0.000\);_(&quot;$&quot;* &quot;-&quot;??_);_(@_)"/>
    <numFmt numFmtId="198" formatCode="0.00000000"/>
    <numFmt numFmtId="199" formatCode="[$₹-4009]\ #,##0;[$₹-4009]\ \-#,##0"/>
  </numFmts>
  <fonts count="105">
    <font>
      <sz val="11"/>
      <color theme="1"/>
      <name val="Calibri"/>
      <family val="2"/>
      <scheme val="minor"/>
    </font>
    <font>
      <sz val="9"/>
      <color theme="1"/>
      <name val="Arial"/>
      <family val="2"/>
    </font>
    <font>
      <b/>
      <sz val="9"/>
      <color theme="1"/>
      <name val="Arial"/>
      <family val="2"/>
    </font>
    <font>
      <b/>
      <sz val="9"/>
      <color theme="3"/>
      <name val="Calibri"/>
      <family val="2"/>
      <scheme val="minor"/>
    </font>
    <font>
      <b/>
      <sz val="9"/>
      <color rgb="FF002060"/>
      <name val="Arial"/>
      <family val="2"/>
    </font>
    <font>
      <sz val="11"/>
      <color theme="1"/>
      <name val="Calibri"/>
      <family val="2"/>
      <scheme val="minor"/>
    </font>
    <font>
      <i/>
      <sz val="8"/>
      <color theme="1"/>
      <name val="Arial"/>
      <family val="2"/>
    </font>
    <font>
      <sz val="9"/>
      <color theme="0"/>
      <name val="Arial"/>
      <family val="2"/>
    </font>
    <font>
      <b/>
      <sz val="9"/>
      <color theme="0"/>
      <name val="Arial"/>
      <family val="2"/>
    </font>
    <font>
      <sz val="10"/>
      <name val="Arial"/>
      <family val="2"/>
    </font>
    <font>
      <sz val="8"/>
      <name val="Arial"/>
      <family val="2"/>
    </font>
    <font>
      <sz val="10"/>
      <color indexed="10"/>
      <name val="Arial"/>
      <family val="2"/>
    </font>
    <font>
      <sz val="10"/>
      <name val="Helv"/>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Arial CE"/>
      <charset val="238"/>
    </font>
    <font>
      <sz val="10"/>
      <name val="Helv"/>
    </font>
    <font>
      <sz val="11"/>
      <color indexed="60"/>
      <name val="Calibri"/>
      <family val="2"/>
    </font>
    <font>
      <b/>
      <i/>
      <sz val="16"/>
      <name val="Helv"/>
    </font>
    <font>
      <sz val="10"/>
      <name val="MS Sans Serif"/>
      <family val="2"/>
    </font>
    <font>
      <b/>
      <sz val="11"/>
      <color indexed="63"/>
      <name val="Calibri"/>
      <family val="2"/>
    </font>
    <font>
      <b/>
      <sz val="10"/>
      <name val="MS Sans Serif"/>
      <family val="2"/>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b/>
      <sz val="18"/>
      <color indexed="56"/>
      <name val="Cambria"/>
      <family val="2"/>
    </font>
    <font>
      <b/>
      <sz val="11"/>
      <color indexed="8"/>
      <name val="Calibri"/>
      <family val="2"/>
    </font>
    <font>
      <b/>
      <sz val="9"/>
      <name val="Arial"/>
      <family val="2"/>
    </font>
    <font>
      <sz val="11"/>
      <color indexed="10"/>
      <name val="Calibri"/>
      <family val="2"/>
    </font>
    <font>
      <sz val="8"/>
      <name val="Verdana"/>
      <family val="2"/>
    </font>
    <font>
      <sz val="10"/>
      <name val="Garamond"/>
      <family val="1"/>
    </font>
    <font>
      <sz val="10"/>
      <color indexed="8"/>
      <name val="MS Sans Serif"/>
      <family val="2"/>
    </font>
    <font>
      <sz val="10"/>
      <name val="Verdana"/>
      <family val="2"/>
    </font>
    <font>
      <sz val="7"/>
      <color indexed="10"/>
      <name val="Arial"/>
      <family val="2"/>
    </font>
    <font>
      <sz val="12"/>
      <name val="Arial"/>
      <family val="2"/>
    </font>
    <font>
      <sz val="10"/>
      <name val="Arial Narrow"/>
      <family val="2"/>
    </font>
    <font>
      <b/>
      <sz val="14"/>
      <color indexed="25"/>
      <name val="Arial"/>
      <family val="2"/>
    </font>
    <font>
      <b/>
      <sz val="10"/>
      <color indexed="25"/>
      <name val="Arial Narrow"/>
      <family val="2"/>
    </font>
    <font>
      <i/>
      <sz val="10"/>
      <color indexed="25"/>
      <name val="Arial Narrow"/>
      <family val="2"/>
    </font>
    <font>
      <sz val="8"/>
      <color indexed="25"/>
      <name val="Arial Narrow"/>
      <family val="2"/>
    </font>
    <font>
      <sz val="10"/>
      <name val="Tahoma"/>
      <family val="2"/>
    </font>
    <font>
      <sz val="12"/>
      <name val="Arial Narrow"/>
      <family val="2"/>
    </font>
    <font>
      <b/>
      <sz val="12"/>
      <color theme="1"/>
      <name val="Tahoma                        "/>
    </font>
    <font>
      <sz val="8"/>
      <color theme="1"/>
      <name val="Tahoma                        "/>
    </font>
    <font>
      <b/>
      <sz val="8"/>
      <color theme="1"/>
      <name val="Tahoma                        "/>
    </font>
    <font>
      <b/>
      <sz val="10"/>
      <color theme="1"/>
      <name val="Tahoma                        "/>
    </font>
    <font>
      <sz val="9"/>
      <name val="Arial"/>
      <family val="2"/>
    </font>
    <font>
      <u/>
      <sz val="11"/>
      <color theme="10"/>
      <name val="Calibri"/>
      <family val="2"/>
      <scheme val="minor"/>
    </font>
    <font>
      <b/>
      <sz val="12"/>
      <name val="Arial"/>
      <family val="2"/>
    </font>
    <font>
      <b/>
      <sz val="12"/>
      <color theme="1"/>
      <name val="Arial"/>
      <family val="2"/>
    </font>
    <font>
      <i/>
      <sz val="9"/>
      <color theme="1"/>
      <name val="Arial"/>
      <family val="2"/>
    </font>
    <font>
      <b/>
      <i/>
      <sz val="9"/>
      <color theme="1"/>
      <name val="Arial"/>
      <family val="2"/>
    </font>
    <font>
      <i/>
      <sz val="9"/>
      <name val="Arial"/>
      <family val="2"/>
    </font>
    <font>
      <b/>
      <sz val="32"/>
      <name val="Arial"/>
      <family val="2"/>
    </font>
    <font>
      <b/>
      <sz val="9"/>
      <name val="Calibri"/>
      <family val="2"/>
      <scheme val="minor"/>
    </font>
    <font>
      <sz val="10"/>
      <name val="Arial"/>
      <family val="2"/>
    </font>
    <font>
      <sz val="10"/>
      <name val="Arial"/>
      <family val="2"/>
      <charset val="204"/>
    </font>
    <font>
      <sz val="10"/>
      <color rgb="FF002060"/>
      <name val="Arial"/>
      <family val="2"/>
      <charset val="204"/>
    </font>
    <font>
      <i/>
      <sz val="9"/>
      <color theme="0"/>
      <name val="Arial"/>
      <family val="2"/>
    </font>
    <font>
      <b/>
      <i/>
      <sz val="9"/>
      <name val="Arial"/>
      <family val="2"/>
    </font>
    <font>
      <b/>
      <sz val="18"/>
      <color theme="1" tint="4.9989318521683403E-2"/>
      <name val="Arial"/>
      <family val="2"/>
      <charset val="204"/>
    </font>
    <font>
      <sz val="10"/>
      <name val="Catamaran"/>
    </font>
    <font>
      <sz val="10"/>
      <color theme="1" tint="0.14999847407452621"/>
      <name val="Catamaran"/>
    </font>
    <font>
      <b/>
      <sz val="11"/>
      <color theme="1" tint="0.14999847407452621"/>
      <name val="Catamaran SemiBold"/>
    </font>
    <font>
      <sz val="10"/>
      <color theme="1" tint="0.14999847407452621"/>
      <name val="Catamaran SemiBold"/>
    </font>
    <font>
      <sz val="10"/>
      <color theme="1" tint="0.14999847407452621"/>
      <name val="Arial"/>
      <family val="2"/>
    </font>
    <font>
      <b/>
      <sz val="14"/>
      <color theme="1" tint="0.14999847407452621"/>
      <name val="Montserrat"/>
    </font>
    <font>
      <sz val="10"/>
      <color theme="1" tint="0.14999847407452621"/>
      <name val="Montserrat"/>
    </font>
    <font>
      <sz val="14"/>
      <name val="Catamaran SemiBold"/>
    </font>
    <font>
      <i/>
      <sz val="8"/>
      <name val="Arial"/>
      <family val="2"/>
    </font>
    <font>
      <i/>
      <sz val="9"/>
      <name val="Calibri"/>
      <family val="2"/>
      <scheme val="minor"/>
    </font>
    <font>
      <sz val="9"/>
      <name val="Calibri"/>
      <family val="2"/>
      <scheme val="minor"/>
    </font>
    <font>
      <b/>
      <sz val="12"/>
      <color theme="1" tint="4.9989318521683403E-2"/>
      <name val="Arial"/>
      <family val="2"/>
      <charset val="204"/>
    </font>
    <font>
      <sz val="11"/>
      <color theme="0"/>
      <name val="Catamaran SemiBold"/>
    </font>
    <font>
      <b/>
      <sz val="8"/>
      <name val="Arial"/>
      <family val="2"/>
    </font>
    <font>
      <sz val="9"/>
      <color rgb="FF0432FF"/>
      <name val="Arial"/>
      <family val="2"/>
    </font>
    <font>
      <i/>
      <sz val="9"/>
      <color rgb="FF0432FF"/>
      <name val="Arial"/>
      <family val="2"/>
    </font>
    <font>
      <b/>
      <sz val="9"/>
      <color rgb="FFD9E2F3"/>
      <name val="Arial"/>
      <family val="2"/>
    </font>
    <font>
      <sz val="9"/>
      <color rgb="FF002060"/>
      <name val="Arial"/>
      <family val="2"/>
    </font>
    <font>
      <sz val="9"/>
      <color indexed="81"/>
      <name val="Tahoma"/>
      <charset val="1"/>
    </font>
    <font>
      <b/>
      <sz val="9"/>
      <color indexed="81"/>
      <name val="Tahoma"/>
      <charset val="1"/>
    </font>
    <font>
      <i/>
      <sz val="9"/>
      <color rgb="FFFFFF00"/>
      <name val="Arial"/>
      <family val="2"/>
    </font>
    <font>
      <sz val="10"/>
      <color rgb="FFFFFF00"/>
      <name val="Arial"/>
      <family val="2"/>
    </font>
    <font>
      <sz val="9"/>
      <color theme="4" tint="0.79998168889431442"/>
      <name val="Arial"/>
      <family val="2"/>
    </font>
    <font>
      <sz val="9"/>
      <color rgb="FF009242"/>
      <name val="Arial"/>
      <family val="2"/>
    </font>
    <font>
      <sz val="9"/>
      <color rgb="FFD7182A"/>
      <name val="Arial"/>
      <family val="2"/>
    </font>
    <font>
      <b/>
      <sz val="14"/>
      <color theme="1" tint="4.9989318521683403E-2"/>
      <name val="Montserrat"/>
    </font>
    <font>
      <b/>
      <i/>
      <sz val="9"/>
      <color theme="0"/>
      <name val="Arial"/>
      <family val="2"/>
    </font>
    <font>
      <b/>
      <sz val="11"/>
      <name val="Catamaran SemiBold"/>
    </font>
    <font>
      <sz val="11"/>
      <name val="Catamaran SemiBold"/>
    </font>
    <font>
      <b/>
      <i/>
      <sz val="8"/>
      <name val="Arial"/>
      <family val="2"/>
    </font>
    <font>
      <sz val="9"/>
      <color rgb="FFFF0000"/>
      <name val="Arial"/>
      <family val="2"/>
    </font>
  </fonts>
  <fills count="52">
    <fill>
      <patternFill patternType="none"/>
    </fill>
    <fill>
      <patternFill patternType="gray125"/>
    </fill>
    <fill>
      <patternFill patternType="solid">
        <fgColor theme="0"/>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43"/>
      </patternFill>
    </fill>
    <fill>
      <patternFill patternType="solid">
        <fgColor indexed="26"/>
      </patternFill>
    </fill>
    <fill>
      <patternFill patternType="mediumGray">
        <fgColor indexed="22"/>
      </patternFill>
    </fill>
    <fill>
      <patternFill patternType="solid">
        <fgColor indexed="46"/>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rgb="FFF8F8F8"/>
        <bgColor indexed="64"/>
      </patternFill>
    </fill>
    <fill>
      <patternFill patternType="solid">
        <fgColor theme="2"/>
        <bgColor indexed="64"/>
      </patternFill>
    </fill>
    <fill>
      <patternFill patternType="solid">
        <fgColor rgb="FFD9E2F3"/>
        <bgColor indexed="64"/>
      </patternFill>
    </fill>
    <fill>
      <patternFill patternType="solid">
        <fgColor rgb="FFD7182A"/>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4" tint="0.79998168889431442"/>
        <bgColor indexed="64"/>
      </patternFill>
    </fill>
  </fills>
  <borders count="39">
    <border>
      <left/>
      <right/>
      <top/>
      <bottom/>
      <diagonal/>
    </border>
    <border>
      <left/>
      <right/>
      <top/>
      <bottom style="medium">
        <color theme="4"/>
      </bottom>
      <diagonal/>
    </border>
    <border>
      <left/>
      <right/>
      <top/>
      <bottom style="thin">
        <color indexed="64"/>
      </bottom>
      <diagonal/>
    </border>
    <border>
      <left/>
      <right/>
      <top/>
      <bottom style="hair">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63"/>
      </left>
      <right style="thin">
        <color indexed="63"/>
      </right>
      <top style="thin">
        <color indexed="64"/>
      </top>
      <bottom style="thin">
        <color indexed="63"/>
      </bottom>
      <diagonal/>
    </border>
    <border>
      <left/>
      <right/>
      <top style="thin">
        <color indexed="62"/>
      </top>
      <bottom style="double">
        <color indexed="62"/>
      </bottom>
      <diagonal/>
    </border>
    <border>
      <left/>
      <right/>
      <top style="thin">
        <color indexed="25"/>
      </top>
      <bottom style="thin">
        <color indexed="25"/>
      </bottom>
      <diagonal/>
    </border>
    <border>
      <left/>
      <right/>
      <top style="thin">
        <color indexed="64"/>
      </top>
      <bottom/>
      <diagonal/>
    </border>
    <border>
      <left/>
      <right/>
      <top style="thin">
        <color auto="1"/>
      </top>
      <bottom style="thin">
        <color auto="1"/>
      </bottom>
      <diagonal/>
    </border>
    <border>
      <left/>
      <right/>
      <top style="thin">
        <color indexed="64"/>
      </top>
      <bottom/>
      <diagonal/>
    </border>
    <border>
      <left/>
      <right/>
      <top style="thin">
        <color auto="1"/>
      </top>
      <bottom style="thin">
        <color auto="1"/>
      </bottom>
      <diagonal/>
    </border>
    <border>
      <left/>
      <right/>
      <top style="thin">
        <color auto="1"/>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s>
  <cellStyleXfs count="171">
    <xf numFmtId="0" fontId="0" fillId="0" borderId="0"/>
    <xf numFmtId="0" fontId="3" fillId="0" borderId="1" applyFill="0" applyProtection="0">
      <alignment horizontal="right" wrapText="1"/>
    </xf>
    <xf numFmtId="9" fontId="5" fillId="0" borderId="0" applyFont="0" applyFill="0" applyBorder="0" applyAlignment="0" applyProtection="0"/>
    <xf numFmtId="0" fontId="9" fillId="0" borderId="0"/>
    <xf numFmtId="0" fontId="9" fillId="0" borderId="0"/>
    <xf numFmtId="0" fontId="12" fillId="0" borderId="0"/>
    <xf numFmtId="0" fontId="9"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9" fillId="0" borderId="0"/>
    <xf numFmtId="0" fontId="9" fillId="0" borderId="0"/>
    <xf numFmtId="0" fontId="9" fillId="0" borderId="0"/>
    <xf numFmtId="0" fontId="9" fillId="0" borderId="0"/>
    <xf numFmtId="0" fontId="9" fillId="3" borderId="3"/>
    <xf numFmtId="0" fontId="12" fillId="0" borderId="0"/>
    <xf numFmtId="0" fontId="9" fillId="0" borderId="0"/>
    <xf numFmtId="0" fontId="9" fillId="0" borderId="0"/>
    <xf numFmtId="0" fontId="12" fillId="0" borderId="0"/>
    <xf numFmtId="0" fontId="12" fillId="0" borderId="0"/>
    <xf numFmtId="0" fontId="13" fillId="0" borderId="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7"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5" fillId="14"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21" borderId="0" applyNumberFormat="0" applyBorder="0" applyAlignment="0" applyProtection="0"/>
    <xf numFmtId="0" fontId="9" fillId="0" borderId="0"/>
    <xf numFmtId="0" fontId="16" fillId="5" borderId="0" applyNumberFormat="0" applyBorder="0" applyAlignment="0" applyProtection="0"/>
    <xf numFmtId="0" fontId="17" fillId="22" borderId="4" applyNumberFormat="0" applyAlignment="0" applyProtection="0"/>
    <xf numFmtId="0" fontId="18" fillId="23" borderId="5" applyNumberFormat="0" applyAlignment="0" applyProtection="0"/>
    <xf numFmtId="49" fontId="10" fillId="0" borderId="0">
      <alignment horizontal="left" vertical="top" wrapText="1"/>
    </xf>
    <xf numFmtId="167" fontId="9" fillId="0" borderId="0" applyFont="0" applyFill="0" applyBorder="0" applyAlignment="0" applyProtection="0"/>
    <xf numFmtId="0" fontId="19" fillId="0" borderId="0" applyNumberFormat="0" applyFill="0" applyBorder="0" applyAlignment="0" applyProtection="0"/>
    <xf numFmtId="0" fontId="20" fillId="6" borderId="0" applyNumberFormat="0" applyBorder="0" applyAlignment="0" applyProtection="0"/>
    <xf numFmtId="38" fontId="10" fillId="24" borderId="0" applyNumberFormat="0" applyBorder="0" applyAlignment="0" applyProtection="0"/>
    <xf numFmtId="0" fontId="21" fillId="0" borderId="6" applyNumberFormat="0" applyFill="0" applyAlignment="0" applyProtection="0"/>
    <xf numFmtId="0" fontId="22" fillId="0" borderId="7" applyNumberFormat="0" applyFill="0" applyAlignment="0" applyProtection="0"/>
    <xf numFmtId="0" fontId="23" fillId="0" borderId="8" applyNumberFormat="0" applyFill="0" applyAlignment="0" applyProtection="0"/>
    <xf numFmtId="0" fontId="23" fillId="0" borderId="0" applyNumberFormat="0" applyFill="0" applyBorder="0" applyAlignment="0" applyProtection="0"/>
    <xf numFmtId="0" fontId="24" fillId="9" borderId="4" applyNumberFormat="0" applyAlignment="0" applyProtection="0"/>
    <xf numFmtId="10" fontId="10" fillId="3" borderId="9" applyNumberFormat="0" applyBorder="0" applyAlignment="0" applyProtection="0"/>
    <xf numFmtId="0" fontId="25" fillId="0" borderId="10" applyNumberFormat="0" applyFill="0" applyAlignment="0" applyProtection="0"/>
    <xf numFmtId="170" fontId="26" fillId="0" borderId="0" applyFont="0" applyFill="0" applyBorder="0" applyAlignment="0" applyProtection="0"/>
    <xf numFmtId="169" fontId="9" fillId="0" borderId="0" applyFont="0" applyFill="0" applyBorder="0" applyAlignment="0" applyProtection="0"/>
    <xf numFmtId="4" fontId="27" fillId="0" borderId="0" applyFont="0" applyFill="0" applyBorder="0" applyAlignment="0" applyProtection="0"/>
    <xf numFmtId="42" fontId="9" fillId="0" borderId="0" applyFont="0" applyFill="0" applyBorder="0" applyAlignment="0" applyProtection="0"/>
    <xf numFmtId="171" fontId="9" fillId="0" borderId="0" applyFont="0" applyFill="0" applyBorder="0" applyAlignment="0" applyProtection="0"/>
    <xf numFmtId="0" fontId="28" fillId="25" borderId="0" applyNumberFormat="0" applyBorder="0" applyAlignment="0" applyProtection="0"/>
    <xf numFmtId="172" fontId="29" fillId="0" borderId="0"/>
    <xf numFmtId="0" fontId="26" fillId="0" borderId="0"/>
    <xf numFmtId="0" fontId="14" fillId="26" borderId="11" applyNumberFormat="0" applyFont="0" applyAlignment="0" applyProtection="0"/>
    <xf numFmtId="0" fontId="9" fillId="0" borderId="0" applyFont="0" applyFill="0" applyBorder="0" applyAlignment="0" applyProtection="0"/>
    <xf numFmtId="0" fontId="9" fillId="0" borderId="0" applyFont="0" applyFill="0" applyBorder="0" applyAlignment="0" applyProtection="0"/>
    <xf numFmtId="0" fontId="31" fillId="22" borderId="12" applyNumberFormat="0" applyAlignment="0" applyProtection="0"/>
    <xf numFmtId="9" fontId="9" fillId="0" borderId="0" applyFont="0" applyFill="0" applyBorder="0" applyAlignment="0" applyProtection="0"/>
    <xf numFmtId="10" fontId="9" fillId="0" borderId="0" applyFont="0" applyFill="0" applyBorder="0" applyAlignment="0" applyProtection="0"/>
    <xf numFmtId="9" fontId="14" fillId="0" borderId="0" applyFont="0" applyFill="0" applyBorder="0" applyAlignment="0" applyProtection="0"/>
    <xf numFmtId="0" fontId="30" fillId="0" borderId="0" applyNumberFormat="0" applyFont="0" applyFill="0" applyBorder="0" applyAlignment="0" applyProtection="0">
      <alignment horizontal="left"/>
    </xf>
    <xf numFmtId="15" fontId="30" fillId="0" borderId="0" applyFont="0" applyFill="0" applyBorder="0" applyAlignment="0" applyProtection="0"/>
    <xf numFmtId="4" fontId="30" fillId="0" borderId="0" applyFont="0" applyFill="0" applyBorder="0" applyAlignment="0" applyProtection="0"/>
    <xf numFmtId="0" fontId="32" fillId="0" borderId="13">
      <alignment horizontal="center"/>
    </xf>
    <xf numFmtId="3" fontId="30" fillId="0" borderId="0" applyFont="0" applyFill="0" applyBorder="0" applyAlignment="0" applyProtection="0"/>
    <xf numFmtId="0" fontId="30" fillId="27" borderId="0" applyNumberFormat="0" applyFont="0" applyBorder="0" applyAlignment="0" applyProtection="0"/>
    <xf numFmtId="3" fontId="42" fillId="28" borderId="0" applyFont="0" applyFill="0" applyBorder="0" applyAlignment="0" applyProtection="0"/>
    <xf numFmtId="4" fontId="33" fillId="29" borderId="12" applyNumberFormat="0" applyProtection="0">
      <alignment vertical="center"/>
    </xf>
    <xf numFmtId="4" fontId="34" fillId="29" borderId="12" applyNumberFormat="0" applyProtection="0">
      <alignment vertical="center"/>
    </xf>
    <xf numFmtId="4" fontId="33" fillId="29" borderId="12" applyNumberFormat="0" applyProtection="0">
      <alignment horizontal="left" vertical="center" indent="1"/>
    </xf>
    <xf numFmtId="4" fontId="33" fillId="29" borderId="12" applyNumberFormat="0" applyProtection="0">
      <alignment horizontal="left" vertical="center" indent="1"/>
    </xf>
    <xf numFmtId="0" fontId="9" fillId="30" borderId="12" applyNumberFormat="0" applyProtection="0">
      <alignment horizontal="left" vertical="center" indent="1"/>
    </xf>
    <xf numFmtId="4" fontId="33" fillId="31" borderId="12" applyNumberFormat="0" applyProtection="0">
      <alignment horizontal="right" vertical="center"/>
    </xf>
    <xf numFmtId="4" fontId="33" fillId="32" borderId="12" applyNumberFormat="0" applyProtection="0">
      <alignment horizontal="right" vertical="center"/>
    </xf>
    <xf numFmtId="4" fontId="33" fillId="33" borderId="12" applyNumberFormat="0" applyProtection="0">
      <alignment horizontal="right" vertical="center"/>
    </xf>
    <xf numFmtId="4" fontId="33" fillId="34" borderId="12" applyNumberFormat="0" applyProtection="0">
      <alignment horizontal="right" vertical="center"/>
    </xf>
    <xf numFmtId="4" fontId="33" fillId="35" borderId="12" applyNumberFormat="0" applyProtection="0">
      <alignment horizontal="right" vertical="center"/>
    </xf>
    <xf numFmtId="4" fontId="33" fillId="36" borderId="12" applyNumberFormat="0" applyProtection="0">
      <alignment horizontal="right" vertical="center"/>
    </xf>
    <xf numFmtId="4" fontId="33" fillId="37" borderId="12" applyNumberFormat="0" applyProtection="0">
      <alignment horizontal="right" vertical="center"/>
    </xf>
    <xf numFmtId="4" fontId="33" fillId="38" borderId="12" applyNumberFormat="0" applyProtection="0">
      <alignment horizontal="right" vertical="center"/>
    </xf>
    <xf numFmtId="4" fontId="33" fillId="39" borderId="12" applyNumberFormat="0" applyProtection="0">
      <alignment horizontal="right" vertical="center"/>
    </xf>
    <xf numFmtId="4" fontId="35" fillId="40" borderId="12" applyNumberFormat="0" applyProtection="0">
      <alignment horizontal="left" vertical="center" indent="1"/>
    </xf>
    <xf numFmtId="4" fontId="33" fillId="41" borderId="14" applyNumberFormat="0" applyProtection="0">
      <alignment horizontal="left" vertical="center" indent="1"/>
    </xf>
    <xf numFmtId="4" fontId="36" fillId="42" borderId="0" applyNumberFormat="0" applyProtection="0">
      <alignment horizontal="left" vertical="center" indent="1"/>
    </xf>
    <xf numFmtId="0" fontId="9" fillId="30" borderId="12" applyNumberFormat="0" applyProtection="0">
      <alignment horizontal="left" vertical="center" indent="1"/>
    </xf>
    <xf numFmtId="4" fontId="33" fillId="41" borderId="12" applyNumberFormat="0" applyProtection="0">
      <alignment horizontal="left" vertical="center" indent="1"/>
    </xf>
    <xf numFmtId="4" fontId="33" fillId="43" borderId="12" applyNumberFormat="0" applyProtection="0">
      <alignment horizontal="left" vertical="center" indent="1"/>
    </xf>
    <xf numFmtId="0" fontId="9" fillId="43" borderId="12" applyNumberFormat="0" applyProtection="0">
      <alignment horizontal="left" vertical="center" indent="1"/>
    </xf>
    <xf numFmtId="0" fontId="9" fillId="43" borderId="12" applyNumberFormat="0" applyProtection="0">
      <alignment horizontal="left" vertical="center" indent="1"/>
    </xf>
    <xf numFmtId="0" fontId="9" fillId="44" borderId="12" applyNumberFormat="0" applyProtection="0">
      <alignment horizontal="left" vertical="center" indent="1"/>
    </xf>
    <xf numFmtId="0" fontId="9" fillId="44" borderId="12" applyNumberFormat="0" applyProtection="0">
      <alignment horizontal="left" vertical="center" indent="1"/>
    </xf>
    <xf numFmtId="0" fontId="9" fillId="24" borderId="12" applyNumberFormat="0" applyProtection="0">
      <alignment horizontal="left" vertical="center" indent="1"/>
    </xf>
    <xf numFmtId="0" fontId="9" fillId="24" borderId="12" applyNumberFormat="0" applyProtection="0">
      <alignment horizontal="left" vertical="center" indent="1"/>
    </xf>
    <xf numFmtId="0" fontId="9" fillId="30" borderId="12" applyNumberFormat="0" applyProtection="0">
      <alignment horizontal="left" vertical="center" indent="1"/>
    </xf>
    <xf numFmtId="0" fontId="9" fillId="30" borderId="12" applyNumberFormat="0" applyProtection="0">
      <alignment horizontal="left" vertical="center" indent="1"/>
    </xf>
    <xf numFmtId="4" fontId="33" fillId="3" borderId="12" applyNumberFormat="0" applyProtection="0">
      <alignment vertical="center"/>
    </xf>
    <xf numFmtId="4" fontId="34" fillId="3" borderId="12" applyNumberFormat="0" applyProtection="0">
      <alignment vertical="center"/>
    </xf>
    <xf numFmtId="4" fontId="33" fillId="3" borderId="12" applyNumberFormat="0" applyProtection="0">
      <alignment horizontal="left" vertical="center" indent="1"/>
    </xf>
    <xf numFmtId="4" fontId="33" fillId="3" borderId="12" applyNumberFormat="0" applyProtection="0">
      <alignment horizontal="left" vertical="center" indent="1"/>
    </xf>
    <xf numFmtId="4" fontId="33" fillId="41" borderId="12" applyNumberFormat="0" applyProtection="0">
      <alignment horizontal="right" vertical="center"/>
    </xf>
    <xf numFmtId="4" fontId="34" fillId="41" borderId="12" applyNumberFormat="0" applyProtection="0">
      <alignment horizontal="right" vertical="center"/>
    </xf>
    <xf numFmtId="0" fontId="9" fillId="30" borderId="12" applyNumberFormat="0" applyProtection="0">
      <alignment horizontal="left" vertical="center" indent="1"/>
    </xf>
    <xf numFmtId="0" fontId="9" fillId="30" borderId="12" applyNumberFormat="0" applyProtection="0">
      <alignment horizontal="left" vertical="center" indent="1"/>
    </xf>
    <xf numFmtId="0" fontId="37" fillId="0" borderId="0"/>
    <xf numFmtId="4" fontId="11" fillId="41" borderId="12" applyNumberFormat="0" applyProtection="0">
      <alignment horizontal="right" vertical="center"/>
    </xf>
    <xf numFmtId="0" fontId="9" fillId="0" borderId="0"/>
    <xf numFmtId="0" fontId="38" fillId="0" borderId="0" applyNumberFormat="0" applyFill="0" applyBorder="0" applyAlignment="0" applyProtection="0"/>
    <xf numFmtId="0" fontId="39" fillId="0" borderId="15" applyNumberFormat="0" applyFill="0" applyAlignment="0" applyProtection="0"/>
    <xf numFmtId="3" fontId="40" fillId="0" borderId="2" applyNumberFormat="0"/>
    <xf numFmtId="0" fontId="41" fillId="0" borderId="0" applyNumberFormat="0" applyFill="0" applyBorder="0" applyAlignment="0" applyProtection="0"/>
    <xf numFmtId="0" fontId="9" fillId="0" borderId="0" applyNumberFormat="0" applyFill="0" applyBorder="0" applyAlignment="0" applyProtection="0"/>
    <xf numFmtId="0" fontId="5" fillId="0" borderId="0"/>
    <xf numFmtId="0" fontId="43" fillId="0" borderId="0"/>
    <xf numFmtId="0" fontId="9" fillId="0" borderId="0" applyNumberFormat="0" applyFill="0" applyBorder="0" applyAlignment="0" applyProtection="0"/>
    <xf numFmtId="9" fontId="5" fillId="0" borderId="0" applyFont="0" applyFill="0" applyBorder="0" applyAlignment="0" applyProtection="0"/>
    <xf numFmtId="0" fontId="44" fillId="0" borderId="0" applyNumberFormat="0" applyFont="0" applyFill="0" applyBorder="0" applyAlignment="0" applyProtection="0"/>
    <xf numFmtId="0" fontId="45" fillId="0" borderId="0"/>
    <xf numFmtId="0" fontId="46" fillId="0" borderId="0"/>
    <xf numFmtId="173" fontId="47" fillId="0" borderId="0"/>
    <xf numFmtId="173" fontId="9" fillId="0" borderId="0"/>
    <xf numFmtId="173" fontId="49" fillId="0" borderId="0"/>
    <xf numFmtId="0" fontId="50" fillId="0" borderId="0">
      <alignment horizontal="left"/>
    </xf>
    <xf numFmtId="174" fontId="48" fillId="0" borderId="16" applyFill="0" applyBorder="0" applyProtection="0">
      <alignment horizontal="right" vertical="top"/>
    </xf>
    <xf numFmtId="173" fontId="51" fillId="0" borderId="16">
      <alignment horizontal="left"/>
    </xf>
    <xf numFmtId="0" fontId="50" fillId="0" borderId="16">
      <alignment horizontal="right" wrapText="1"/>
    </xf>
    <xf numFmtId="0" fontId="48" fillId="0" borderId="0" applyFill="0" applyBorder="0">
      <alignment horizontal="left" vertical="top" wrapText="1"/>
    </xf>
    <xf numFmtId="175" fontId="48" fillId="0" borderId="0" applyFill="0" applyBorder="0">
      <alignment horizontal="right" vertical="top"/>
    </xf>
    <xf numFmtId="176" fontId="48" fillId="0" borderId="0" applyFill="0" applyBorder="0">
      <alignment horizontal="right" vertical="top"/>
    </xf>
    <xf numFmtId="49" fontId="48" fillId="0" borderId="0" applyNumberFormat="0" applyFill="0" applyBorder="0" applyProtection="0">
      <alignment horizontal="center" vertical="top"/>
    </xf>
    <xf numFmtId="173" fontId="52" fillId="0" borderId="0">
      <alignment horizontal="left" vertical="top"/>
    </xf>
    <xf numFmtId="0" fontId="53" fillId="0" borderId="0"/>
    <xf numFmtId="0" fontId="5" fillId="0" borderId="0"/>
    <xf numFmtId="0" fontId="54" fillId="0" borderId="0"/>
    <xf numFmtId="0" fontId="5" fillId="0" borderId="0"/>
    <xf numFmtId="168" fontId="5" fillId="0" borderId="0" applyFont="0" applyFill="0" applyBorder="0" applyAlignment="0" applyProtection="0"/>
    <xf numFmtId="9" fontId="5" fillId="0" borderId="0" applyFont="0" applyFill="0" applyBorder="0" applyAlignment="0" applyProtection="0"/>
    <xf numFmtId="0" fontId="5" fillId="0" borderId="0"/>
    <xf numFmtId="0" fontId="55" fillId="0" borderId="0"/>
    <xf numFmtId="0" fontId="56" fillId="0" borderId="0"/>
    <xf numFmtId="0" fontId="57" fillId="0" borderId="0"/>
    <xf numFmtId="0" fontId="58" fillId="0" borderId="0"/>
    <xf numFmtId="0" fontId="58" fillId="0" borderId="0"/>
    <xf numFmtId="0" fontId="55" fillId="0" borderId="0"/>
    <xf numFmtId="0" fontId="56" fillId="0" borderId="0"/>
    <xf numFmtId="0" fontId="57" fillId="0" borderId="0"/>
    <xf numFmtId="0" fontId="60" fillId="0" borderId="0" applyNumberFormat="0" applyFill="0" applyBorder="0" applyAlignment="0" applyProtection="0"/>
    <xf numFmtId="44" fontId="9" fillId="0" borderId="0" applyFont="0" applyFill="0" applyBorder="0" applyAlignment="0" applyProtection="0"/>
    <xf numFmtId="0" fontId="68" fillId="0" borderId="0">
      <alignment vertical="top"/>
    </xf>
    <xf numFmtId="43" fontId="69" fillId="0" borderId="0">
      <alignment vertical="top"/>
    </xf>
    <xf numFmtId="44" fontId="5" fillId="0" borderId="0" applyFont="0" applyFill="0" applyBorder="0" applyAlignment="0" applyProtection="0"/>
    <xf numFmtId="0" fontId="9" fillId="0" borderId="0">
      <alignment vertical="top"/>
    </xf>
  </cellStyleXfs>
  <cellXfs count="674">
    <xf numFmtId="0" fontId="0" fillId="0" borderId="0" xfId="0"/>
    <xf numFmtId="0" fontId="1" fillId="2" borderId="0" xfId="0" applyFont="1" applyFill="1"/>
    <xf numFmtId="164" fontId="1" fillId="2" borderId="0" xfId="0" applyNumberFormat="1" applyFont="1" applyFill="1"/>
    <xf numFmtId="164" fontId="1" fillId="2" borderId="0" xfId="0" applyNumberFormat="1" applyFont="1" applyFill="1" applyBorder="1"/>
    <xf numFmtId="9" fontId="1" fillId="2" borderId="0" xfId="2" applyFont="1" applyFill="1"/>
    <xf numFmtId="165" fontId="1" fillId="2" borderId="0" xfId="0" applyNumberFormat="1" applyFont="1" applyFill="1" applyBorder="1"/>
    <xf numFmtId="164" fontId="1" fillId="2" borderId="0" xfId="0" applyNumberFormat="1" applyFont="1" applyFill="1" applyBorder="1" applyAlignment="1">
      <alignment horizontal="right"/>
    </xf>
    <xf numFmtId="177" fontId="1" fillId="2" borderId="0" xfId="0" applyNumberFormat="1" applyFont="1" applyFill="1"/>
    <xf numFmtId="0" fontId="59" fillId="2" borderId="0" xfId="0" applyFont="1" applyFill="1"/>
    <xf numFmtId="2" fontId="1" fillId="2" borderId="0" xfId="0" applyNumberFormat="1" applyFont="1" applyFill="1"/>
    <xf numFmtId="177" fontId="1" fillId="2" borderId="0" xfId="0" applyNumberFormat="1" applyFont="1" applyFill="1" applyBorder="1"/>
    <xf numFmtId="10" fontId="1" fillId="2" borderId="0" xfId="2" applyNumberFormat="1" applyFont="1" applyFill="1"/>
    <xf numFmtId="0" fontId="1" fillId="2" borderId="0" xfId="0" applyNumberFormat="1" applyFont="1" applyFill="1"/>
    <xf numFmtId="9" fontId="4" fillId="2" borderId="0" xfId="2" applyFont="1" applyFill="1" applyBorder="1"/>
    <xf numFmtId="10" fontId="8" fillId="2" borderId="0" xfId="2" applyNumberFormat="1" applyFont="1" applyFill="1"/>
    <xf numFmtId="164" fontId="62" fillId="2" borderId="0" xfId="0" applyNumberFormat="1" applyFont="1" applyFill="1"/>
    <xf numFmtId="10" fontId="6" fillId="2" borderId="0" xfId="2" applyNumberFormat="1" applyFont="1" applyFill="1" applyBorder="1"/>
    <xf numFmtId="164" fontId="4" fillId="2" borderId="0" xfId="0" applyNumberFormat="1" applyFont="1" applyFill="1" applyBorder="1" applyAlignment="1">
      <alignment wrapText="1"/>
    </xf>
    <xf numFmtId="164" fontId="2" fillId="2" borderId="0" xfId="0" applyNumberFormat="1" applyFont="1" applyFill="1" applyBorder="1" applyAlignment="1">
      <alignment horizontal="right" wrapText="1"/>
    </xf>
    <xf numFmtId="164" fontId="2" fillId="2" borderId="0" xfId="0" applyNumberFormat="1" applyFont="1" applyFill="1" applyBorder="1"/>
    <xf numFmtId="165" fontId="2" fillId="2" borderId="0" xfId="0" applyNumberFormat="1" applyFont="1" applyFill="1" applyBorder="1"/>
    <xf numFmtId="164" fontId="1" fillId="2" borderId="0" xfId="0" applyNumberFormat="1" applyFont="1" applyFill="1" applyBorder="1" applyAlignment="1">
      <alignment vertical="center"/>
    </xf>
    <xf numFmtId="164" fontId="1" fillId="2" borderId="0" xfId="0" applyNumberFormat="1" applyFont="1" applyFill="1" applyAlignment="1">
      <alignment vertical="center"/>
    </xf>
    <xf numFmtId="164" fontId="1" fillId="2" borderId="0" xfId="0" applyNumberFormat="1" applyFont="1" applyFill="1" applyBorder="1" applyAlignment="1">
      <alignment horizontal="left" vertical="center"/>
    </xf>
    <xf numFmtId="164" fontId="1" fillId="2" borderId="0" xfId="0" applyNumberFormat="1" applyFont="1" applyFill="1" applyAlignment="1">
      <alignment horizontal="left" vertical="center"/>
    </xf>
    <xf numFmtId="164" fontId="59" fillId="2" borderId="0" xfId="0" applyNumberFormat="1" applyFont="1" applyFill="1" applyBorder="1"/>
    <xf numFmtId="164" fontId="59" fillId="2" borderId="0" xfId="0" applyNumberFormat="1" applyFont="1" applyFill="1" applyBorder="1" applyAlignment="1">
      <alignment horizontal="right"/>
    </xf>
    <xf numFmtId="164" fontId="40" fillId="2" borderId="0" xfId="0" applyNumberFormat="1" applyFont="1" applyFill="1" applyBorder="1"/>
    <xf numFmtId="164" fontId="59" fillId="2" borderId="0" xfId="0" applyNumberFormat="1" applyFont="1" applyFill="1" applyBorder="1" applyAlignment="1">
      <alignment horizontal="left" vertical="center"/>
    </xf>
    <xf numFmtId="0" fontId="66" fillId="2" borderId="0" xfId="0" applyFont="1" applyFill="1"/>
    <xf numFmtId="0" fontId="61" fillId="2" borderId="0" xfId="0" applyFont="1" applyFill="1"/>
    <xf numFmtId="0" fontId="40" fillId="2" borderId="0" xfId="0" applyFont="1" applyFill="1"/>
    <xf numFmtId="0" fontId="10" fillId="2" borderId="0" xfId="0" applyFont="1" applyFill="1" applyAlignment="1">
      <alignment horizontal="left"/>
    </xf>
    <xf numFmtId="9" fontId="40" fillId="2" borderId="0" xfId="2" applyFont="1" applyFill="1" applyBorder="1" applyAlignment="1">
      <alignment horizontal="right"/>
    </xf>
    <xf numFmtId="0" fontId="8" fillId="2" borderId="0" xfId="133" applyNumberFormat="1" applyFont="1" applyFill="1" applyBorder="1" applyAlignment="1">
      <alignment vertical="center"/>
    </xf>
    <xf numFmtId="164" fontId="63" fillId="2" borderId="0" xfId="0" applyNumberFormat="1" applyFont="1" applyFill="1" applyBorder="1"/>
    <xf numFmtId="10" fontId="1" fillId="2" borderId="0" xfId="2" applyNumberFormat="1" applyFont="1" applyFill="1" applyBorder="1"/>
    <xf numFmtId="165" fontId="2" fillId="2" borderId="0" xfId="0" applyNumberFormat="1" applyFont="1" applyFill="1" applyBorder="1" applyAlignment="1">
      <alignment horizontal="right"/>
    </xf>
    <xf numFmtId="164" fontId="64" fillId="2" borderId="0" xfId="0" applyNumberFormat="1" applyFont="1" applyFill="1" applyBorder="1"/>
    <xf numFmtId="10" fontId="8" fillId="2" borderId="0" xfId="2" applyNumberFormat="1" applyFont="1" applyFill="1" applyBorder="1"/>
    <xf numFmtId="0" fontId="68" fillId="2" borderId="0" xfId="167" applyFill="1">
      <alignment vertical="top"/>
    </xf>
    <xf numFmtId="0" fontId="70" fillId="2" borderId="0" xfId="167" applyFont="1" applyFill="1">
      <alignment vertical="top"/>
    </xf>
    <xf numFmtId="0" fontId="68" fillId="0" borderId="0" xfId="167">
      <alignment vertical="top"/>
    </xf>
    <xf numFmtId="0" fontId="67" fillId="2" borderId="0" xfId="1" applyFont="1" applyFill="1" applyBorder="1" applyAlignment="1">
      <alignment horizontal="left" wrapText="1"/>
    </xf>
    <xf numFmtId="0" fontId="1" fillId="2" borderId="0" xfId="2" applyNumberFormat="1" applyFont="1" applyFill="1" applyBorder="1"/>
    <xf numFmtId="0" fontId="1" fillId="2" borderId="0" xfId="0" applyNumberFormat="1" applyFont="1" applyFill="1" applyBorder="1"/>
    <xf numFmtId="0" fontId="2" fillId="2" borderId="0" xfId="0" applyNumberFormat="1" applyFont="1" applyFill="1" applyBorder="1"/>
    <xf numFmtId="164" fontId="2" fillId="2" borderId="0" xfId="0" applyNumberFormat="1" applyFont="1" applyFill="1" applyBorder="1" applyAlignment="1">
      <alignment horizontal="right"/>
    </xf>
    <xf numFmtId="0" fontId="1" fillId="2" borderId="0" xfId="2" applyNumberFormat="1" applyFont="1" applyFill="1" applyBorder="1" applyAlignment="1">
      <alignment horizontal="right"/>
    </xf>
    <xf numFmtId="0" fontId="1" fillId="2" borderId="0" xfId="2" applyNumberFormat="1" applyFont="1" applyFill="1" applyBorder="1" applyAlignment="1">
      <alignment horizontal="right" vertical="center"/>
    </xf>
    <xf numFmtId="10" fontId="40" fillId="2" borderId="0" xfId="2" applyNumberFormat="1" applyFont="1" applyFill="1" applyBorder="1"/>
    <xf numFmtId="10" fontId="2" fillId="2" borderId="0" xfId="2" applyNumberFormat="1" applyFont="1" applyFill="1" applyBorder="1"/>
    <xf numFmtId="0" fontId="63" fillId="2" borderId="0" xfId="2" applyNumberFormat="1" applyFont="1" applyFill="1" applyBorder="1"/>
    <xf numFmtId="164" fontId="65" fillId="2" borderId="0" xfId="165" applyNumberFormat="1" applyFont="1" applyFill="1" applyBorder="1"/>
    <xf numFmtId="180" fontId="2" fillId="2" borderId="0" xfId="0" applyNumberFormat="1" applyFont="1" applyFill="1" applyBorder="1" applyAlignment="1">
      <alignment horizontal="right"/>
    </xf>
    <xf numFmtId="10" fontId="2" fillId="2" borderId="0" xfId="2" applyNumberFormat="1" applyFont="1" applyFill="1" applyBorder="1" applyAlignment="1">
      <alignment horizontal="right"/>
    </xf>
    <xf numFmtId="10" fontId="1" fillId="2" borderId="0" xfId="2" applyNumberFormat="1" applyFont="1" applyFill="1" applyBorder="1" applyAlignment="1">
      <alignment horizontal="right"/>
    </xf>
    <xf numFmtId="164" fontId="63" fillId="2" borderId="0" xfId="165" applyNumberFormat="1" applyFont="1" applyFill="1" applyBorder="1"/>
    <xf numFmtId="177" fontId="2" fillId="2" borderId="0" xfId="0" applyNumberFormat="1" applyFont="1" applyFill="1" applyBorder="1" applyAlignment="1">
      <alignment horizontal="right"/>
    </xf>
    <xf numFmtId="0" fontId="1" fillId="2" borderId="0" xfId="0" applyNumberFormat="1" applyFont="1" applyFill="1" applyBorder="1" applyAlignment="1">
      <alignment horizontal="right"/>
    </xf>
    <xf numFmtId="164" fontId="8" fillId="2" borderId="0" xfId="0" applyNumberFormat="1" applyFont="1" applyFill="1" applyBorder="1" applyAlignment="1">
      <alignment horizontal="right"/>
    </xf>
    <xf numFmtId="164" fontId="8" fillId="2" borderId="0" xfId="0" applyNumberFormat="1" applyFont="1" applyFill="1" applyBorder="1" applyAlignment="1">
      <alignment horizontal="right" vertical="center"/>
    </xf>
    <xf numFmtId="180" fontId="1" fillId="2" borderId="0" xfId="0" applyNumberFormat="1" applyFont="1" applyFill="1" applyBorder="1" applyAlignment="1">
      <alignment horizontal="right" vertical="center"/>
    </xf>
    <xf numFmtId="10" fontId="63" fillId="2" borderId="0" xfId="2" applyNumberFormat="1" applyFont="1" applyFill="1" applyBorder="1" applyAlignment="1">
      <alignment horizontal="right"/>
    </xf>
    <xf numFmtId="165" fontId="8" fillId="2" borderId="0" xfId="0" applyNumberFormat="1" applyFont="1" applyFill="1" applyBorder="1" applyAlignment="1">
      <alignment horizontal="right"/>
    </xf>
    <xf numFmtId="0" fontId="8" fillId="2" borderId="0" xfId="0" applyNumberFormat="1" applyFont="1" applyFill="1" applyBorder="1" applyAlignment="1">
      <alignment horizontal="right" vertical="center"/>
    </xf>
    <xf numFmtId="0" fontId="8" fillId="2" borderId="0" xfId="0" applyNumberFormat="1" applyFont="1" applyFill="1" applyBorder="1" applyAlignment="1">
      <alignment horizontal="right"/>
    </xf>
    <xf numFmtId="180" fontId="1" fillId="2" borderId="0" xfId="0" applyNumberFormat="1" applyFont="1" applyFill="1" applyBorder="1" applyAlignment="1">
      <alignment horizontal="right"/>
    </xf>
    <xf numFmtId="178" fontId="1" fillId="2" borderId="0" xfId="2" applyNumberFormat="1" applyFont="1" applyFill="1" applyBorder="1"/>
    <xf numFmtId="181" fontId="1" fillId="2" borderId="0" xfId="0" applyNumberFormat="1" applyFont="1" applyFill="1" applyBorder="1"/>
    <xf numFmtId="10" fontId="1" fillId="2" borderId="0" xfId="0" applyNumberFormat="1" applyFont="1" applyFill="1" applyBorder="1"/>
    <xf numFmtId="177" fontId="8" fillId="2" borderId="0" xfId="0" applyNumberFormat="1" applyFont="1" applyFill="1" applyBorder="1" applyAlignment="1">
      <alignment horizontal="right"/>
    </xf>
    <xf numFmtId="2" fontId="63" fillId="2" borderId="18" xfId="2" applyNumberFormat="1" applyFont="1" applyFill="1" applyBorder="1" applyAlignment="1">
      <alignment horizontal="right"/>
    </xf>
    <xf numFmtId="164" fontId="8" fillId="2" borderId="0" xfId="0" applyNumberFormat="1" applyFont="1" applyFill="1" applyBorder="1" applyAlignment="1"/>
    <xf numFmtId="164" fontId="63" fillId="2" borderId="0" xfId="0" applyNumberFormat="1" applyFont="1" applyFill="1" applyBorder="1" applyAlignment="1"/>
    <xf numFmtId="0" fontId="61" fillId="2" borderId="0" xfId="0" applyFont="1" applyFill="1" applyBorder="1" applyAlignment="1">
      <alignment vertical="center"/>
    </xf>
    <xf numFmtId="0" fontId="1" fillId="2" borderId="0" xfId="0" applyFont="1" applyFill="1" applyBorder="1" applyAlignment="1">
      <alignment vertical="center"/>
    </xf>
    <xf numFmtId="0" fontId="1" fillId="2" borderId="0" xfId="0" applyFont="1" applyFill="1" applyBorder="1"/>
    <xf numFmtId="0" fontId="40" fillId="2" borderId="0" xfId="0" applyFont="1" applyFill="1" applyBorder="1" applyAlignment="1">
      <alignment horizontal="right"/>
    </xf>
    <xf numFmtId="0" fontId="1" fillId="2" borderId="0" xfId="0" applyFont="1" applyFill="1" applyBorder="1" applyAlignment="1">
      <alignment horizontal="right" vertical="center"/>
    </xf>
    <xf numFmtId="0" fontId="2" fillId="2" borderId="0" xfId="0" applyFont="1" applyFill="1" applyBorder="1"/>
    <xf numFmtId="1" fontId="1" fillId="2" borderId="0" xfId="0" applyNumberFormat="1" applyFont="1" applyFill="1" applyBorder="1"/>
    <xf numFmtId="0" fontId="63" fillId="2" borderId="0" xfId="0" applyFont="1" applyFill="1" applyBorder="1"/>
    <xf numFmtId="0" fontId="64" fillId="2" borderId="0" xfId="0" applyFont="1" applyFill="1"/>
    <xf numFmtId="0" fontId="1" fillId="2" borderId="0" xfId="0" applyFont="1" applyFill="1" applyBorder="1" applyAlignment="1">
      <alignment horizontal="right"/>
    </xf>
    <xf numFmtId="0" fontId="6" fillId="2" borderId="0" xfId="0" applyFont="1" applyFill="1" applyBorder="1"/>
    <xf numFmtId="0" fontId="2" fillId="2" borderId="0" xfId="0" applyFont="1" applyFill="1" applyBorder="1" applyAlignment="1">
      <alignment horizontal="right"/>
    </xf>
    <xf numFmtId="178" fontId="63" fillId="2" borderId="0" xfId="0" applyNumberFormat="1" applyFont="1" applyFill="1" applyBorder="1"/>
    <xf numFmtId="178" fontId="1" fillId="2" borderId="0" xfId="0" applyNumberFormat="1" applyFont="1" applyFill="1" applyBorder="1"/>
    <xf numFmtId="0" fontId="63" fillId="2" borderId="0" xfId="0" applyFont="1" applyFill="1" applyBorder="1" applyAlignment="1">
      <alignment horizontal="right"/>
    </xf>
    <xf numFmtId="179" fontId="2" fillId="2" borderId="0" xfId="0" applyNumberFormat="1" applyFont="1" applyFill="1" applyBorder="1"/>
    <xf numFmtId="179" fontId="63" fillId="2" borderId="0" xfId="0" applyNumberFormat="1" applyFont="1" applyFill="1" applyBorder="1"/>
    <xf numFmtId="10" fontId="63" fillId="2" borderId="0" xfId="2" applyNumberFormat="1" applyFont="1" applyFill="1" applyBorder="1"/>
    <xf numFmtId="10" fontId="64" fillId="2" borderId="0" xfId="0" applyNumberFormat="1" applyFont="1" applyFill="1" applyBorder="1"/>
    <xf numFmtId="0" fontId="64" fillId="2" borderId="0" xfId="0" applyFont="1" applyFill="1" applyBorder="1" applyAlignment="1"/>
    <xf numFmtId="0" fontId="8" fillId="2" borderId="0" xfId="0" applyFont="1" applyFill="1" applyBorder="1" applyAlignment="1"/>
    <xf numFmtId="0" fontId="2" fillId="2" borderId="0" xfId="0" applyFont="1" applyFill="1" applyBorder="1" applyAlignment="1"/>
    <xf numFmtId="179" fontId="1" fillId="2" borderId="0" xfId="0" applyNumberFormat="1" applyFont="1" applyFill="1" applyBorder="1"/>
    <xf numFmtId="2" fontId="63" fillId="2" borderId="0" xfId="0" applyNumberFormat="1" applyFont="1" applyFill="1" applyBorder="1"/>
    <xf numFmtId="2" fontId="63" fillId="2" borderId="0" xfId="2" applyNumberFormat="1" applyFont="1" applyFill="1" applyBorder="1" applyAlignment="1">
      <alignment horizontal="right"/>
    </xf>
    <xf numFmtId="177" fontId="63" fillId="2" borderId="0" xfId="0" applyNumberFormat="1" applyFont="1" applyFill="1" applyBorder="1"/>
    <xf numFmtId="2" fontId="63" fillId="2" borderId="0" xfId="2" applyNumberFormat="1" applyFont="1" applyFill="1" applyBorder="1" applyAlignment="1"/>
    <xf numFmtId="0" fontId="63" fillId="45" borderId="0" xfId="0" applyFont="1" applyFill="1" applyBorder="1"/>
    <xf numFmtId="10" fontId="40" fillId="2" borderId="0" xfId="2" applyNumberFormat="1" applyFont="1" applyFill="1" applyBorder="1" applyAlignment="1"/>
    <xf numFmtId="0" fontId="2" fillId="2" borderId="0" xfId="0" applyFont="1" applyFill="1" applyBorder="1" applyAlignment="1">
      <alignment horizontal="left" vertical="center"/>
    </xf>
    <xf numFmtId="10" fontId="2" fillId="2" borderId="0" xfId="2" applyNumberFormat="1" applyFont="1" applyFill="1" applyBorder="1" applyAlignment="1">
      <alignment horizontal="right" vertical="center"/>
    </xf>
    <xf numFmtId="179" fontId="8" fillId="2" borderId="0" xfId="0" applyNumberFormat="1" applyFont="1" applyFill="1" applyBorder="1"/>
    <xf numFmtId="0" fontId="63" fillId="2" borderId="0" xfId="0" applyNumberFormat="1" applyFont="1" applyFill="1" applyBorder="1"/>
    <xf numFmtId="177" fontId="2" fillId="2" borderId="0" xfId="0" applyNumberFormat="1" applyFont="1" applyFill="1" applyBorder="1"/>
    <xf numFmtId="10" fontId="2" fillId="2" borderId="18" xfId="2" applyNumberFormat="1" applyFont="1" applyFill="1" applyBorder="1"/>
    <xf numFmtId="0" fontId="2" fillId="2" borderId="18" xfId="0" applyFont="1" applyFill="1" applyBorder="1"/>
    <xf numFmtId="10" fontId="40" fillId="2" borderId="0" xfId="2" applyNumberFormat="1" applyFont="1" applyFill="1" applyBorder="1" applyAlignment="1">
      <alignment horizontal="right" vertical="center"/>
    </xf>
    <xf numFmtId="0" fontId="40" fillId="2" borderId="0" xfId="0" applyFont="1" applyFill="1" applyBorder="1"/>
    <xf numFmtId="10" fontId="6" fillId="2" borderId="0" xfId="0" applyNumberFormat="1" applyFont="1" applyFill="1" applyBorder="1"/>
    <xf numFmtId="0" fontId="40" fillId="2" borderId="0" xfId="2" applyNumberFormat="1" applyFont="1" applyFill="1" applyBorder="1" applyAlignment="1">
      <alignment horizontal="right"/>
    </xf>
    <xf numFmtId="2" fontId="40" fillId="2" borderId="0" xfId="2" applyNumberFormat="1" applyFont="1" applyFill="1" applyBorder="1" applyAlignment="1">
      <alignment horizontal="right"/>
    </xf>
    <xf numFmtId="178" fontId="40" fillId="2" borderId="0" xfId="2" applyNumberFormat="1" applyFont="1" applyFill="1" applyBorder="1" applyAlignment="1">
      <alignment horizontal="right"/>
    </xf>
    <xf numFmtId="2" fontId="1" fillId="2" borderId="0" xfId="0" applyNumberFormat="1" applyFont="1" applyFill="1" applyBorder="1"/>
    <xf numFmtId="2" fontId="1" fillId="2" borderId="0" xfId="0" applyNumberFormat="1" applyFont="1" applyFill="1" applyBorder="1" applyAlignment="1">
      <alignment horizontal="right"/>
    </xf>
    <xf numFmtId="9" fontId="59" fillId="2" borderId="0" xfId="2" applyFont="1" applyFill="1" applyBorder="1"/>
    <xf numFmtId="164" fontId="1" fillId="2" borderId="0" xfId="0" applyNumberFormat="1" applyFont="1" applyFill="1" applyBorder="1" applyAlignment="1">
      <alignment horizontal="left"/>
    </xf>
    <xf numFmtId="164" fontId="1" fillId="2" borderId="0" xfId="0" applyNumberFormat="1" applyFont="1" applyFill="1" applyAlignment="1">
      <alignment horizontal="right"/>
    </xf>
    <xf numFmtId="179" fontId="8" fillId="2" borderId="0" xfId="0" applyNumberFormat="1" applyFont="1" applyFill="1" applyBorder="1" applyAlignment="1">
      <alignment horizontal="left" vertical="center"/>
    </xf>
    <xf numFmtId="179" fontId="2" fillId="2" borderId="0" xfId="0" applyNumberFormat="1" applyFont="1" applyFill="1" applyBorder="1" applyAlignment="1">
      <alignment horizontal="left" vertical="center"/>
    </xf>
    <xf numFmtId="164" fontId="65" fillId="2" borderId="0" xfId="0" applyNumberFormat="1" applyFont="1" applyFill="1" applyBorder="1" applyAlignment="1"/>
    <xf numFmtId="166" fontId="65" fillId="2" borderId="0" xfId="2" applyNumberFormat="1" applyFont="1" applyFill="1" applyBorder="1" applyAlignment="1"/>
    <xf numFmtId="0" fontId="1" fillId="2" borderId="0" xfId="2" applyNumberFormat="1" applyFont="1" applyFill="1"/>
    <xf numFmtId="2" fontId="63" fillId="2" borderId="0" xfId="0" applyNumberFormat="1" applyFont="1" applyFill="1" applyBorder="1" applyAlignment="1">
      <alignment horizontal="right"/>
    </xf>
    <xf numFmtId="180" fontId="40" fillId="2" borderId="0" xfId="0" applyNumberFormat="1" applyFont="1" applyFill="1" applyBorder="1" applyAlignment="1">
      <alignment horizontal="right"/>
    </xf>
    <xf numFmtId="10" fontId="63" fillId="2" borderId="18" xfId="2" applyNumberFormat="1" applyFont="1" applyFill="1" applyBorder="1" applyAlignment="1">
      <alignment horizontal="right"/>
    </xf>
    <xf numFmtId="10" fontId="2" fillId="2" borderId="20" xfId="2" applyNumberFormat="1" applyFont="1" applyFill="1" applyBorder="1"/>
    <xf numFmtId="10" fontId="2" fillId="2" borderId="20" xfId="2" applyNumberFormat="1" applyFont="1" applyFill="1" applyBorder="1" applyAlignment="1">
      <alignment horizontal="right"/>
    </xf>
    <xf numFmtId="9" fontId="6" fillId="2" borderId="0" xfId="2" applyFont="1" applyFill="1" applyBorder="1"/>
    <xf numFmtId="164" fontId="1" fillId="2" borderId="0" xfId="0" applyNumberFormat="1" applyFont="1" applyFill="1" applyAlignment="1">
      <alignment wrapText="1"/>
    </xf>
    <xf numFmtId="0" fontId="40" fillId="2" borderId="0" xfId="0" applyFont="1" applyFill="1" applyBorder="1" applyAlignment="1"/>
    <xf numFmtId="179" fontId="63" fillId="2" borderId="0" xfId="0" applyNumberFormat="1" applyFont="1" applyFill="1" applyBorder="1" applyAlignment="1">
      <alignment horizontal="right"/>
    </xf>
    <xf numFmtId="164" fontId="7" fillId="2" borderId="0" xfId="0" applyNumberFormat="1" applyFont="1" applyFill="1" applyAlignment="1">
      <alignment horizontal="right"/>
    </xf>
    <xf numFmtId="2" fontId="71" fillId="2" borderId="0" xfId="2" applyNumberFormat="1" applyFont="1" applyFill="1" applyBorder="1" applyAlignment="1">
      <alignment horizontal="right"/>
    </xf>
    <xf numFmtId="177" fontId="7" fillId="2" borderId="0" xfId="0" applyNumberFormat="1" applyFont="1" applyFill="1"/>
    <xf numFmtId="177" fontId="71" fillId="2" borderId="0" xfId="2" applyNumberFormat="1" applyFont="1" applyFill="1" applyBorder="1" applyAlignment="1">
      <alignment horizontal="right"/>
    </xf>
    <xf numFmtId="2" fontId="63" fillId="2" borderId="0" xfId="0" applyNumberFormat="1" applyFont="1" applyFill="1" applyAlignment="1">
      <alignment horizontal="right"/>
    </xf>
    <xf numFmtId="2" fontId="1" fillId="2" borderId="0" xfId="2" applyNumberFormat="1" applyFont="1" applyFill="1" applyBorder="1" applyAlignment="1">
      <alignment horizontal="right"/>
    </xf>
    <xf numFmtId="164" fontId="40" fillId="2" borderId="0" xfId="0" applyNumberFormat="1" applyFont="1" applyFill="1" applyBorder="1" applyAlignment="1"/>
    <xf numFmtId="3" fontId="63" fillId="2" borderId="0" xfId="0" applyNumberFormat="1" applyFont="1" applyFill="1" applyBorder="1"/>
    <xf numFmtId="3" fontId="1" fillId="2" borderId="0" xfId="0" applyNumberFormat="1" applyFont="1" applyFill="1" applyBorder="1"/>
    <xf numFmtId="3" fontId="1" fillId="2" borderId="0" xfId="0" applyNumberFormat="1" applyFont="1" applyFill="1" applyBorder="1" applyAlignment="1">
      <alignment horizontal="right"/>
    </xf>
    <xf numFmtId="0" fontId="40" fillId="2" borderId="0" xfId="0" applyNumberFormat="1" applyFont="1" applyFill="1" applyBorder="1" applyAlignment="1">
      <alignment horizontal="right"/>
    </xf>
    <xf numFmtId="0" fontId="1" fillId="2" borderId="0" xfId="0" applyNumberFormat="1" applyFont="1" applyFill="1" applyBorder="1" applyAlignment="1">
      <alignment horizontal="right" vertical="center"/>
    </xf>
    <xf numFmtId="180" fontId="63" fillId="2" borderId="0" xfId="0" applyNumberFormat="1" applyFont="1" applyFill="1" applyBorder="1" applyAlignment="1">
      <alignment horizontal="right" vertical="center"/>
    </xf>
    <xf numFmtId="164" fontId="63" fillId="2" borderId="0" xfId="0" applyNumberFormat="1" applyFont="1" applyFill="1" applyBorder="1" applyAlignment="1">
      <alignment horizontal="right"/>
    </xf>
    <xf numFmtId="183" fontId="1" fillId="2" borderId="0" xfId="169" applyNumberFormat="1" applyFont="1" applyFill="1" applyBorder="1"/>
    <xf numFmtId="3" fontId="1" fillId="2" borderId="0" xfId="0" applyNumberFormat="1" applyFont="1" applyFill="1" applyBorder="1" applyAlignment="1">
      <alignment horizontal="right" vertical="center"/>
    </xf>
    <xf numFmtId="44" fontId="8" fillId="2" borderId="0" xfId="169" applyFont="1" applyFill="1" applyBorder="1" applyAlignment="1">
      <alignment horizontal="left" vertical="center"/>
    </xf>
    <xf numFmtId="164" fontId="65" fillId="2" borderId="0" xfId="0" applyNumberFormat="1" applyFont="1" applyFill="1" applyBorder="1" applyAlignment="1">
      <alignment horizontal="left"/>
    </xf>
    <xf numFmtId="44" fontId="2" fillId="2" borderId="0" xfId="169" applyFont="1" applyFill="1"/>
    <xf numFmtId="183" fontId="40" fillId="2" borderId="0" xfId="169" applyNumberFormat="1" applyFont="1" applyFill="1" applyBorder="1"/>
    <xf numFmtId="165" fontId="40" fillId="2" borderId="0" xfId="0" applyNumberFormat="1" applyFont="1" applyFill="1" applyBorder="1"/>
    <xf numFmtId="183" fontId="2" fillId="2" borderId="0" xfId="169" applyNumberFormat="1" applyFont="1" applyFill="1" applyBorder="1"/>
    <xf numFmtId="44" fontId="2" fillId="2" borderId="0" xfId="169" applyNumberFormat="1" applyFont="1" applyFill="1" applyBorder="1" applyAlignment="1">
      <alignment horizontal="right" vertical="center"/>
    </xf>
    <xf numFmtId="164" fontId="63" fillId="2" borderId="0" xfId="0" applyNumberFormat="1" applyFont="1" applyFill="1" applyAlignment="1">
      <alignment horizontal="right"/>
    </xf>
    <xf numFmtId="182" fontId="63" fillId="2" borderId="0" xfId="2" applyNumberFormat="1" applyFont="1" applyFill="1" applyBorder="1" applyAlignment="1">
      <alignment horizontal="right"/>
    </xf>
    <xf numFmtId="2" fontId="1" fillId="2" borderId="0" xfId="0" applyNumberFormat="1" applyFont="1" applyFill="1" applyBorder="1" applyAlignment="1">
      <alignment horizontal="right" vertical="center"/>
    </xf>
    <xf numFmtId="182" fontId="63" fillId="2" borderId="0" xfId="0" applyNumberFormat="1" applyFont="1" applyFill="1" applyBorder="1" applyAlignment="1">
      <alignment horizontal="right"/>
    </xf>
    <xf numFmtId="164" fontId="1" fillId="2" borderId="0" xfId="0" applyNumberFormat="1" applyFont="1" applyFill="1" applyBorder="1" applyAlignment="1">
      <alignment wrapText="1"/>
    </xf>
    <xf numFmtId="10" fontId="1" fillId="2" borderId="0" xfId="2" applyNumberFormat="1" applyFont="1" applyFill="1" applyBorder="1" applyAlignment="1">
      <alignment horizontal="right" vertical="center"/>
    </xf>
    <xf numFmtId="177" fontId="2" fillId="2" borderId="20" xfId="0" applyNumberFormat="1" applyFont="1" applyFill="1" applyBorder="1"/>
    <xf numFmtId="177" fontId="40" fillId="2" borderId="0" xfId="0" applyNumberFormat="1" applyFont="1" applyFill="1" applyBorder="1"/>
    <xf numFmtId="10" fontId="72" fillId="2" borderId="0" xfId="169" applyNumberFormat="1" applyFont="1" applyFill="1" applyBorder="1"/>
    <xf numFmtId="178" fontId="63" fillId="2" borderId="0" xfId="2" applyNumberFormat="1" applyFont="1" applyFill="1" applyBorder="1" applyAlignment="1">
      <alignment horizontal="right"/>
    </xf>
    <xf numFmtId="178" fontId="63" fillId="2" borderId="0" xfId="0" applyNumberFormat="1" applyFont="1" applyFill="1" applyBorder="1" applyAlignment="1">
      <alignment horizontal="right"/>
    </xf>
    <xf numFmtId="0" fontId="8" fillId="2" borderId="0" xfId="0" applyFont="1" applyFill="1" applyBorder="1" applyAlignment="1">
      <alignment vertical="center"/>
    </xf>
    <xf numFmtId="178" fontId="63" fillId="2" borderId="0" xfId="2" applyNumberFormat="1" applyFont="1" applyFill="1" applyBorder="1" applyAlignment="1"/>
    <xf numFmtId="10" fontId="65" fillId="2" borderId="0" xfId="2" applyNumberFormat="1" applyFont="1" applyFill="1" applyBorder="1" applyAlignment="1">
      <alignment horizontal="right" wrapText="1"/>
    </xf>
    <xf numFmtId="2" fontId="65" fillId="2" borderId="0" xfId="2" applyNumberFormat="1" applyFont="1" applyFill="1" applyBorder="1" applyAlignment="1">
      <alignment horizontal="right" wrapText="1"/>
    </xf>
    <xf numFmtId="10" fontId="63" fillId="2" borderId="0" xfId="2" applyNumberFormat="1" applyFont="1" applyFill="1" applyBorder="1" applyAlignment="1">
      <alignment horizontal="right" wrapText="1"/>
    </xf>
    <xf numFmtId="2" fontId="63" fillId="2" borderId="0" xfId="2" applyNumberFormat="1" applyFont="1" applyFill="1" applyBorder="1" applyAlignment="1">
      <alignment horizontal="right" wrapText="1"/>
    </xf>
    <xf numFmtId="9" fontId="63" fillId="2" borderId="0" xfId="2" applyNumberFormat="1" applyFont="1" applyFill="1" applyBorder="1" applyAlignment="1">
      <alignment horizontal="right"/>
    </xf>
    <xf numFmtId="2" fontId="8" fillId="2" borderId="0" xfId="169" applyNumberFormat="1" applyFont="1" applyFill="1" applyBorder="1" applyAlignment="1">
      <alignment horizontal="right"/>
    </xf>
    <xf numFmtId="10" fontId="8" fillId="2" borderId="0" xfId="2" applyNumberFormat="1" applyFont="1" applyFill="1" applyBorder="1" applyAlignment="1">
      <alignment horizontal="right"/>
    </xf>
    <xf numFmtId="183" fontId="1" fillId="2" borderId="0" xfId="169" applyNumberFormat="1" applyFont="1" applyFill="1" applyBorder="1" applyAlignment="1">
      <alignment horizontal="right"/>
    </xf>
    <xf numFmtId="2" fontId="1" fillId="2" borderId="0" xfId="169" applyNumberFormat="1" applyFont="1" applyFill="1" applyBorder="1" applyAlignment="1">
      <alignment horizontal="right"/>
    </xf>
    <xf numFmtId="0" fontId="73" fillId="2" borderId="0" xfId="167" applyFont="1" applyFill="1">
      <alignment vertical="top"/>
    </xf>
    <xf numFmtId="0" fontId="77" fillId="2" borderId="0" xfId="167" applyFont="1" applyFill="1">
      <alignment vertical="top"/>
    </xf>
    <xf numFmtId="0" fontId="78" fillId="2" borderId="0" xfId="167" applyFont="1" applyFill="1">
      <alignment vertical="top"/>
    </xf>
    <xf numFmtId="0" fontId="80" fillId="2" borderId="0" xfId="167" applyFont="1" applyFill="1">
      <alignment vertical="top"/>
    </xf>
    <xf numFmtId="0" fontId="74" fillId="2" borderId="0" xfId="167" applyFont="1" applyFill="1" applyAlignment="1">
      <alignment horizontal="left" vertical="top"/>
    </xf>
    <xf numFmtId="0" fontId="75" fillId="2" borderId="0" xfId="167" applyFont="1" applyFill="1" applyAlignment="1">
      <alignment horizontal="left" vertical="top"/>
    </xf>
    <xf numFmtId="0" fontId="0" fillId="2" borderId="0" xfId="0" applyFill="1"/>
    <xf numFmtId="0" fontId="76" fillId="2" borderId="0" xfId="167" applyFont="1" applyFill="1" applyAlignment="1">
      <alignment vertical="top"/>
    </xf>
    <xf numFmtId="183" fontId="79" fillId="2" borderId="0" xfId="167" applyNumberFormat="1" applyFont="1" applyFill="1" applyAlignment="1">
      <alignment vertical="center"/>
    </xf>
    <xf numFmtId="0" fontId="81" fillId="2" borderId="0" xfId="167" applyFont="1" applyFill="1" applyAlignment="1">
      <alignment vertical="center"/>
    </xf>
    <xf numFmtId="2" fontId="63" fillId="45" borderId="0" xfId="2" applyNumberFormat="1" applyFont="1" applyFill="1" applyBorder="1"/>
    <xf numFmtId="184" fontId="79" fillId="2" borderId="0" xfId="167" applyNumberFormat="1" applyFont="1" applyFill="1" applyAlignment="1">
      <alignment vertical="center"/>
    </xf>
    <xf numFmtId="9" fontId="65" fillId="2" borderId="0" xfId="2" applyFont="1" applyFill="1" applyBorder="1"/>
    <xf numFmtId="177" fontId="40" fillId="2" borderId="0" xfId="0" applyNumberFormat="1" applyFont="1" applyFill="1" applyBorder="1" applyAlignment="1"/>
    <xf numFmtId="164" fontId="40" fillId="2" borderId="0" xfId="0" applyNumberFormat="1" applyFont="1" applyFill="1" applyBorder="1" applyAlignment="1">
      <alignment horizontal="right"/>
    </xf>
    <xf numFmtId="44" fontId="40" fillId="2" borderId="0" xfId="169" applyFont="1" applyFill="1" applyBorder="1" applyAlignment="1"/>
    <xf numFmtId="44" fontId="2" fillId="2" borderId="0" xfId="169" applyFont="1" applyFill="1" applyBorder="1" applyAlignment="1">
      <alignment horizontal="right"/>
    </xf>
    <xf numFmtId="164" fontId="2" fillId="2" borderId="0" xfId="0" applyNumberFormat="1" applyFont="1" applyFill="1" applyAlignment="1">
      <alignment horizontal="right"/>
    </xf>
    <xf numFmtId="164" fontId="82" fillId="2" borderId="0" xfId="0" applyNumberFormat="1" applyFont="1" applyFill="1" applyBorder="1" applyAlignment="1">
      <alignment horizontal="left"/>
    </xf>
    <xf numFmtId="164" fontId="6" fillId="2" borderId="0" xfId="0" applyNumberFormat="1" applyFont="1" applyFill="1"/>
    <xf numFmtId="0" fontId="83" fillId="0" borderId="25" xfId="0" applyFont="1" applyBorder="1" applyAlignment="1">
      <alignment horizontal="left"/>
    </xf>
    <xf numFmtId="0" fontId="83" fillId="0" borderId="22" xfId="0" applyFont="1" applyBorder="1" applyAlignment="1">
      <alignment horizontal="center"/>
    </xf>
    <xf numFmtId="0" fontId="84" fillId="0" borderId="9" xfId="0" applyFont="1" applyBorder="1" applyAlignment="1">
      <alignment horizontal="center"/>
    </xf>
    <xf numFmtId="0" fontId="84" fillId="0" borderId="22" xfId="0" applyFont="1" applyBorder="1" applyAlignment="1">
      <alignment horizontal="center"/>
    </xf>
    <xf numFmtId="10" fontId="84" fillId="0" borderId="24" xfId="2" applyNumberFormat="1" applyFont="1" applyBorder="1" applyAlignment="1">
      <alignment horizontal="center"/>
    </xf>
    <xf numFmtId="0" fontId="84" fillId="0" borderId="23" xfId="0" applyFont="1" applyBorder="1" applyAlignment="1">
      <alignment horizontal="center"/>
    </xf>
    <xf numFmtId="9" fontId="40" fillId="2" borderId="0" xfId="2" applyFont="1" applyFill="1" applyBorder="1"/>
    <xf numFmtId="10" fontId="72" fillId="2" borderId="0" xfId="169" applyNumberFormat="1" applyFont="1" applyFill="1" applyBorder="1" applyAlignment="1">
      <alignment horizontal="right"/>
    </xf>
    <xf numFmtId="10" fontId="72" fillId="2" borderId="0" xfId="2" applyNumberFormat="1" applyFont="1" applyFill="1" applyBorder="1" applyAlignment="1">
      <alignment horizontal="right"/>
    </xf>
    <xf numFmtId="185" fontId="1" fillId="2" borderId="0" xfId="2" applyNumberFormat="1" applyFont="1" applyFill="1" applyBorder="1"/>
    <xf numFmtId="164" fontId="8" fillId="2" borderId="0" xfId="0" applyNumberFormat="1" applyFont="1" applyFill="1" applyAlignment="1">
      <alignment horizontal="right"/>
    </xf>
    <xf numFmtId="9" fontId="8" fillId="2" borderId="0" xfId="2" applyFont="1" applyFill="1" applyBorder="1" applyAlignment="1">
      <alignment horizontal="right"/>
    </xf>
    <xf numFmtId="9" fontId="8" fillId="2" borderId="0" xfId="2" applyFont="1" applyFill="1" applyBorder="1" applyAlignment="1">
      <alignment horizontal="center"/>
    </xf>
    <xf numFmtId="9" fontId="40" fillId="2" borderId="0" xfId="2" applyFont="1" applyFill="1" applyBorder="1" applyAlignment="1"/>
    <xf numFmtId="44" fontId="72" fillId="2" borderId="0" xfId="169" applyFont="1" applyFill="1" applyBorder="1" applyAlignment="1">
      <alignment horizontal="center"/>
    </xf>
    <xf numFmtId="185" fontId="72" fillId="2" borderId="0" xfId="2" applyNumberFormat="1" applyFont="1" applyFill="1" applyBorder="1" applyAlignment="1">
      <alignment horizontal="right"/>
    </xf>
    <xf numFmtId="10" fontId="63" fillId="2" borderId="0" xfId="169" applyNumberFormat="1" applyFont="1" applyFill="1"/>
    <xf numFmtId="9" fontId="65" fillId="2" borderId="0" xfId="2" quotePrefix="1" applyFont="1" applyFill="1" applyBorder="1"/>
    <xf numFmtId="10" fontId="65" fillId="2" borderId="0" xfId="2" applyNumberFormat="1" applyFont="1" applyFill="1" applyBorder="1"/>
    <xf numFmtId="0" fontId="63" fillId="2" borderId="0" xfId="0" applyFont="1" applyFill="1" applyBorder="1" applyAlignment="1">
      <alignment horizontal="center"/>
    </xf>
    <xf numFmtId="3" fontId="1" fillId="2" borderId="0" xfId="0" applyNumberFormat="1" applyFont="1" applyFill="1"/>
    <xf numFmtId="0" fontId="8" fillId="2" borderId="0" xfId="0" applyFont="1" applyFill="1" applyBorder="1" applyAlignment="1">
      <alignment horizontal="right"/>
    </xf>
    <xf numFmtId="187" fontId="1" fillId="2" borderId="0" xfId="0" applyNumberFormat="1" applyFont="1" applyFill="1" applyBorder="1"/>
    <xf numFmtId="2" fontId="63" fillId="2" borderId="0" xfId="0" applyNumberFormat="1" applyFont="1" applyFill="1"/>
    <xf numFmtId="0" fontId="2" fillId="2" borderId="0" xfId="0" applyNumberFormat="1" applyFont="1" applyFill="1" applyBorder="1" applyAlignment="1">
      <alignment horizontal="right" vertical="center"/>
    </xf>
    <xf numFmtId="164" fontId="64" fillId="2" borderId="21" xfId="0" applyNumberFormat="1" applyFont="1" applyFill="1" applyBorder="1" applyAlignment="1">
      <alignment horizontal="right"/>
    </xf>
    <xf numFmtId="0" fontId="85" fillId="2" borderId="0" xfId="170" applyFont="1" applyFill="1">
      <alignment vertical="top"/>
    </xf>
    <xf numFmtId="0" fontId="9" fillId="2" borderId="0" xfId="170" applyFill="1">
      <alignment vertical="top"/>
    </xf>
    <xf numFmtId="10" fontId="6" fillId="2" borderId="0" xfId="2" applyNumberFormat="1" applyFont="1" applyFill="1" applyBorder="1" applyAlignment="1">
      <alignment horizontal="right" vertical="center"/>
    </xf>
    <xf numFmtId="180" fontId="6" fillId="2" borderId="0" xfId="0" applyNumberFormat="1" applyFont="1" applyFill="1" applyBorder="1" applyAlignment="1">
      <alignment horizontal="right" vertical="center"/>
    </xf>
    <xf numFmtId="164" fontId="40" fillId="2" borderId="0" xfId="0" applyNumberFormat="1" applyFont="1" applyFill="1" applyAlignment="1">
      <alignment vertical="center"/>
    </xf>
    <xf numFmtId="190" fontId="1" fillId="2" borderId="0" xfId="169" applyNumberFormat="1" applyFont="1" applyFill="1" applyBorder="1"/>
    <xf numFmtId="44" fontId="63" fillId="2" borderId="0" xfId="0" applyNumberFormat="1" applyFont="1" applyFill="1" applyBorder="1"/>
    <xf numFmtId="3" fontId="63" fillId="2" borderId="0" xfId="0" applyNumberFormat="1" applyFont="1" applyFill="1" applyBorder="1" applyAlignment="1">
      <alignment horizontal="right"/>
    </xf>
    <xf numFmtId="3" fontId="63" fillId="2" borderId="0" xfId="0" applyNumberFormat="1" applyFont="1" applyFill="1" applyBorder="1" applyAlignment="1">
      <alignment horizontal="right" vertical="center"/>
    </xf>
    <xf numFmtId="164" fontId="8" fillId="2" borderId="0" xfId="0" applyNumberFormat="1" applyFont="1" applyFill="1" applyBorder="1" applyAlignment="1">
      <alignment horizontal="center"/>
    </xf>
    <xf numFmtId="164" fontId="40" fillId="47" borderId="0" xfId="0" applyNumberFormat="1" applyFont="1" applyFill="1" applyBorder="1" applyAlignment="1"/>
    <xf numFmtId="164" fontId="1" fillId="47" borderId="0" xfId="0" applyNumberFormat="1" applyFont="1" applyFill="1"/>
    <xf numFmtId="180" fontId="63" fillId="2" borderId="0" xfId="0" applyNumberFormat="1" applyFont="1" applyFill="1" applyBorder="1" applyAlignment="1">
      <alignment horizontal="left"/>
    </xf>
    <xf numFmtId="164" fontId="63" fillId="2" borderId="0" xfId="0" applyNumberFormat="1" applyFont="1" applyFill="1"/>
    <xf numFmtId="164" fontId="40" fillId="2" borderId="2" xfId="0" applyNumberFormat="1" applyFont="1" applyFill="1" applyBorder="1"/>
    <xf numFmtId="164" fontId="6" fillId="47" borderId="13" xfId="0" applyNumberFormat="1" applyFont="1" applyFill="1" applyBorder="1"/>
    <xf numFmtId="164" fontId="1" fillId="47" borderId="13" xfId="0" applyNumberFormat="1" applyFont="1" applyFill="1" applyBorder="1"/>
    <xf numFmtId="164" fontId="63" fillId="2" borderId="0" xfId="0" applyNumberFormat="1" applyFont="1" applyFill="1" applyAlignment="1">
      <alignment horizontal="left"/>
    </xf>
    <xf numFmtId="10" fontId="65" fillId="2" borderId="0" xfId="2" applyNumberFormat="1" applyFont="1" applyFill="1" applyBorder="1" applyAlignment="1">
      <alignment horizontal="left"/>
    </xf>
    <xf numFmtId="164" fontId="40" fillId="2" borderId="2" xfId="0" applyNumberFormat="1" applyFont="1" applyFill="1" applyBorder="1" applyAlignment="1">
      <alignment horizontal="right"/>
    </xf>
    <xf numFmtId="10" fontId="64" fillId="2" borderId="21" xfId="2" applyNumberFormat="1" applyFont="1" applyFill="1" applyBorder="1"/>
    <xf numFmtId="164" fontId="2" fillId="2" borderId="21" xfId="0" applyNumberFormat="1" applyFont="1" applyFill="1" applyBorder="1"/>
    <xf numFmtId="164" fontId="64" fillId="2" borderId="21" xfId="0" applyNumberFormat="1" applyFont="1" applyFill="1" applyBorder="1"/>
    <xf numFmtId="164" fontId="72" fillId="2" borderId="21" xfId="0" applyNumberFormat="1" applyFont="1" applyFill="1" applyBorder="1"/>
    <xf numFmtId="0" fontId="40" fillId="47" borderId="0" xfId="0" applyFont="1" applyFill="1"/>
    <xf numFmtId="0" fontId="87" fillId="47" borderId="0" xfId="0" applyFont="1" applyFill="1" applyAlignment="1">
      <alignment horizontal="left"/>
    </xf>
    <xf numFmtId="0" fontId="65" fillId="2" borderId="0" xfId="165" applyFont="1" applyFill="1"/>
    <xf numFmtId="0" fontId="63" fillId="2" borderId="0" xfId="165" applyFont="1" applyFill="1"/>
    <xf numFmtId="164" fontId="40" fillId="47" borderId="0" xfId="0" applyNumberFormat="1" applyFont="1" applyFill="1" applyAlignment="1">
      <alignment horizontal="right"/>
    </xf>
    <xf numFmtId="10" fontId="40" fillId="2" borderId="21" xfId="2" applyNumberFormat="1" applyFont="1" applyFill="1" applyBorder="1"/>
    <xf numFmtId="10" fontId="63" fillId="2" borderId="0" xfId="2" applyNumberFormat="1" applyFont="1" applyFill="1"/>
    <xf numFmtId="165" fontId="2" fillId="2" borderId="26" xfId="0" applyNumberFormat="1" applyFont="1" applyFill="1" applyBorder="1" applyAlignment="1">
      <alignment horizontal="right"/>
    </xf>
    <xf numFmtId="10" fontId="63" fillId="2" borderId="27" xfId="2" applyNumberFormat="1" applyFont="1" applyFill="1" applyBorder="1"/>
    <xf numFmtId="165" fontId="2" fillId="2" borderId="28" xfId="0" applyNumberFormat="1" applyFont="1" applyFill="1" applyBorder="1" applyAlignment="1">
      <alignment horizontal="right"/>
    </xf>
    <xf numFmtId="10" fontId="63" fillId="2" borderId="29" xfId="2" applyNumberFormat="1" applyFont="1" applyFill="1" applyBorder="1"/>
    <xf numFmtId="165" fontId="40" fillId="2" borderId="30" xfId="0" applyNumberFormat="1" applyFont="1" applyFill="1" applyBorder="1" applyAlignment="1">
      <alignment horizontal="right"/>
    </xf>
    <xf numFmtId="164" fontId="40" fillId="2" borderId="31" xfId="0" applyNumberFormat="1" applyFont="1" applyFill="1" applyBorder="1" applyAlignment="1">
      <alignment horizontal="right"/>
    </xf>
    <xf numFmtId="10" fontId="63" fillId="2" borderId="21" xfId="2" applyNumberFormat="1" applyFont="1" applyFill="1" applyBorder="1" applyAlignment="1">
      <alignment horizontal="left"/>
    </xf>
    <xf numFmtId="164" fontId="40" fillId="47" borderId="0" xfId="0" applyNumberFormat="1" applyFont="1" applyFill="1" applyAlignment="1">
      <alignment horizontal="left"/>
    </xf>
    <xf numFmtId="191" fontId="88" fillId="2" borderId="0" xfId="169" applyNumberFormat="1" applyFont="1" applyFill="1" applyBorder="1" applyAlignment="1">
      <alignment horizontal="right"/>
    </xf>
    <xf numFmtId="191" fontId="2" fillId="2" borderId="20" xfId="169" applyNumberFormat="1" applyFont="1" applyFill="1" applyBorder="1" applyAlignment="1">
      <alignment horizontal="right"/>
    </xf>
    <xf numFmtId="10" fontId="89" fillId="2" borderId="0" xfId="2" applyNumberFormat="1" applyFont="1" applyFill="1"/>
    <xf numFmtId="10" fontId="89" fillId="2" borderId="0" xfId="2" applyNumberFormat="1" applyFont="1" applyFill="1" applyBorder="1" applyAlignment="1">
      <alignment horizontal="right"/>
    </xf>
    <xf numFmtId="165" fontId="63" fillId="2" borderId="0" xfId="0" applyNumberFormat="1" applyFont="1" applyFill="1"/>
    <xf numFmtId="1" fontId="63" fillId="2" borderId="0" xfId="0" applyNumberFormat="1" applyFont="1" applyFill="1" applyAlignment="1">
      <alignment horizontal="right"/>
    </xf>
    <xf numFmtId="166" fontId="63" fillId="2" borderId="0" xfId="2" applyNumberFormat="1" applyFont="1" applyFill="1" applyAlignment="1">
      <alignment horizontal="right"/>
    </xf>
    <xf numFmtId="1" fontId="63" fillId="2" borderId="0" xfId="2" applyNumberFormat="1" applyFont="1" applyFill="1" applyBorder="1" applyAlignment="1">
      <alignment horizontal="right"/>
    </xf>
    <xf numFmtId="1" fontId="63" fillId="2" borderId="0" xfId="0" applyNumberFormat="1" applyFont="1" applyFill="1" applyBorder="1" applyAlignment="1">
      <alignment horizontal="right"/>
    </xf>
    <xf numFmtId="1" fontId="63" fillId="2" borderId="0" xfId="0" applyNumberFormat="1" applyFont="1" applyFill="1" applyBorder="1" applyAlignment="1">
      <alignment horizontal="right" vertical="center"/>
    </xf>
    <xf numFmtId="164" fontId="40" fillId="47" borderId="13" xfId="0" applyNumberFormat="1" applyFont="1" applyFill="1" applyBorder="1" applyAlignment="1"/>
    <xf numFmtId="164" fontId="65" fillId="47" borderId="13" xfId="0" applyNumberFormat="1" applyFont="1" applyFill="1" applyBorder="1" applyAlignment="1"/>
    <xf numFmtId="177" fontId="64" fillId="2" borderId="21" xfId="0" applyNumberFormat="1" applyFont="1" applyFill="1" applyBorder="1"/>
    <xf numFmtId="180" fontId="2" fillId="2" borderId="0" xfId="0" applyNumberFormat="1" applyFont="1" applyFill="1" applyBorder="1" applyAlignment="1">
      <alignment horizontal="right" vertical="center"/>
    </xf>
    <xf numFmtId="2" fontId="64" fillId="2" borderId="0" xfId="2" applyNumberFormat="1" applyFont="1" applyFill="1" applyBorder="1" applyAlignment="1">
      <alignment horizontal="right"/>
    </xf>
    <xf numFmtId="2" fontId="2" fillId="2" borderId="0" xfId="2" applyNumberFormat="1" applyFont="1" applyFill="1" applyBorder="1" applyAlignment="1">
      <alignment horizontal="right"/>
    </xf>
    <xf numFmtId="164" fontId="2" fillId="2" borderId="0" xfId="0" applyNumberFormat="1" applyFont="1" applyFill="1"/>
    <xf numFmtId="2" fontId="64" fillId="2" borderId="21" xfId="2" applyNumberFormat="1" applyFont="1" applyFill="1" applyBorder="1"/>
    <xf numFmtId="177" fontId="64" fillId="2" borderId="0" xfId="0" applyNumberFormat="1" applyFont="1" applyFill="1" applyBorder="1"/>
    <xf numFmtId="165" fontId="2" fillId="47" borderId="0" xfId="0" applyNumberFormat="1" applyFont="1" applyFill="1" applyBorder="1" applyAlignment="1">
      <alignment horizontal="right"/>
    </xf>
    <xf numFmtId="0" fontId="40" fillId="47" borderId="0" xfId="0" applyNumberFormat="1" applyFont="1" applyFill="1" applyBorder="1" applyAlignment="1">
      <alignment horizontal="right"/>
    </xf>
    <xf numFmtId="164" fontId="2" fillId="47" borderId="0" xfId="0" applyNumberFormat="1" applyFont="1" applyFill="1" applyBorder="1" applyAlignment="1">
      <alignment horizontal="right"/>
    </xf>
    <xf numFmtId="165" fontId="2" fillId="47" borderId="0" xfId="0" applyNumberFormat="1" applyFont="1" applyFill="1" applyBorder="1" applyAlignment="1">
      <alignment horizontal="left"/>
    </xf>
    <xf numFmtId="10" fontId="1" fillId="2" borderId="0" xfId="0" applyNumberFormat="1" applyFont="1" applyFill="1" applyBorder="1" applyAlignment="1">
      <alignment horizontal="right"/>
    </xf>
    <xf numFmtId="14" fontId="63" fillId="2" borderId="0" xfId="2" applyNumberFormat="1" applyFont="1" applyFill="1" applyBorder="1" applyAlignment="1">
      <alignment horizontal="right"/>
    </xf>
    <xf numFmtId="164" fontId="63" fillId="47" borderId="13" xfId="0" applyNumberFormat="1" applyFont="1" applyFill="1" applyBorder="1" applyAlignment="1">
      <alignment horizontal="right"/>
    </xf>
    <xf numFmtId="0" fontId="63" fillId="47" borderId="13" xfId="0" applyNumberFormat="1" applyFont="1" applyFill="1" applyBorder="1" applyAlignment="1">
      <alignment horizontal="right"/>
    </xf>
    <xf numFmtId="164" fontId="2" fillId="47" borderId="13" xfId="0" applyNumberFormat="1" applyFont="1" applyFill="1" applyBorder="1" applyAlignment="1">
      <alignment horizontal="right"/>
    </xf>
    <xf numFmtId="164" fontId="1" fillId="2" borderId="19" xfId="0" applyNumberFormat="1" applyFont="1" applyFill="1" applyBorder="1" applyAlignment="1">
      <alignment horizontal="right"/>
    </xf>
    <xf numFmtId="14" fontId="63" fillId="2" borderId="19" xfId="2" applyNumberFormat="1" applyFont="1" applyFill="1" applyBorder="1" applyAlignment="1">
      <alignment horizontal="right"/>
    </xf>
    <xf numFmtId="2" fontId="63" fillId="2" borderId="19" xfId="2" applyNumberFormat="1" applyFont="1" applyFill="1" applyBorder="1" applyAlignment="1">
      <alignment horizontal="right"/>
    </xf>
    <xf numFmtId="10" fontId="63" fillId="2" borderId="19" xfId="2" applyNumberFormat="1" applyFont="1" applyFill="1" applyBorder="1" applyAlignment="1">
      <alignment horizontal="right"/>
    </xf>
    <xf numFmtId="164" fontId="2" fillId="2" borderId="21" xfId="0" applyNumberFormat="1" applyFont="1" applyFill="1" applyBorder="1" applyAlignment="1">
      <alignment horizontal="right"/>
    </xf>
    <xf numFmtId="0" fontId="2" fillId="2" borderId="21" xfId="0" applyNumberFormat="1" applyFont="1" applyFill="1" applyBorder="1"/>
    <xf numFmtId="10" fontId="2" fillId="2" borderId="21" xfId="2" applyNumberFormat="1" applyFont="1" applyFill="1" applyBorder="1" applyAlignment="1">
      <alignment horizontal="right"/>
    </xf>
    <xf numFmtId="2" fontId="2" fillId="2" borderId="21" xfId="2" applyNumberFormat="1" applyFont="1" applyFill="1" applyBorder="1" applyAlignment="1">
      <alignment horizontal="right"/>
    </xf>
    <xf numFmtId="164" fontId="63" fillId="47" borderId="13" xfId="0" applyNumberFormat="1" applyFont="1" applyFill="1" applyBorder="1"/>
    <xf numFmtId="10" fontId="63" fillId="2" borderId="0" xfId="0" applyNumberFormat="1" applyFont="1" applyFill="1" applyBorder="1" applyAlignment="1">
      <alignment horizontal="right" vertical="center"/>
    </xf>
    <xf numFmtId="2" fontId="63" fillId="2" borderId="0" xfId="0" applyNumberFormat="1" applyFont="1" applyFill="1" applyBorder="1" applyAlignment="1">
      <alignment horizontal="right" vertical="center"/>
    </xf>
    <xf numFmtId="0" fontId="63" fillId="2" borderId="0" xfId="0" applyNumberFormat="1" applyFont="1" applyFill="1" applyBorder="1" applyAlignment="1">
      <alignment horizontal="right" vertical="center"/>
    </xf>
    <xf numFmtId="2" fontId="63" fillId="2" borderId="0" xfId="2" applyNumberFormat="1" applyFont="1" applyFill="1"/>
    <xf numFmtId="177" fontId="63" fillId="2" borderId="0" xfId="0" applyNumberFormat="1" applyFont="1" applyFill="1"/>
    <xf numFmtId="177" fontId="40" fillId="2" borderId="21" xfId="0" applyNumberFormat="1" applyFont="1" applyFill="1" applyBorder="1"/>
    <xf numFmtId="164" fontId="40" fillId="2" borderId="21" xfId="0" applyNumberFormat="1" applyFont="1" applyFill="1" applyBorder="1"/>
    <xf numFmtId="164" fontId="2" fillId="47" borderId="0" xfId="0" applyNumberFormat="1" applyFont="1" applyFill="1"/>
    <xf numFmtId="164" fontId="2" fillId="47" borderId="0" xfId="0" applyNumberFormat="1" applyFont="1" applyFill="1" applyBorder="1" applyAlignment="1">
      <alignment horizontal="left"/>
    </xf>
    <xf numFmtId="192" fontId="89" fillId="2" borderId="0" xfId="169" applyNumberFormat="1" applyFont="1" applyFill="1" applyBorder="1" applyAlignment="1">
      <alignment horizontal="right"/>
    </xf>
    <xf numFmtId="164" fontId="89" fillId="2" borderId="0" xfId="0" applyNumberFormat="1" applyFont="1" applyFill="1" applyAlignment="1">
      <alignment horizontal="right"/>
    </xf>
    <xf numFmtId="180" fontId="89" fillId="2" borderId="0" xfId="0" applyNumberFormat="1" applyFont="1" applyFill="1" applyBorder="1" applyAlignment="1">
      <alignment horizontal="right"/>
    </xf>
    <xf numFmtId="164" fontId="89" fillId="2" borderId="0" xfId="0" applyNumberFormat="1" applyFont="1" applyFill="1"/>
    <xf numFmtId="183" fontId="89" fillId="2" borderId="0" xfId="169" applyNumberFormat="1" applyFont="1" applyFill="1" applyBorder="1" applyAlignment="1">
      <alignment horizontal="right"/>
    </xf>
    <xf numFmtId="2" fontId="89" fillId="2" borderId="0" xfId="169" applyNumberFormat="1" applyFont="1" applyFill="1" applyBorder="1" applyAlignment="1">
      <alignment horizontal="right"/>
    </xf>
    <xf numFmtId="10" fontId="89" fillId="2" borderId="0" xfId="2" applyNumberFormat="1" applyFont="1" applyFill="1" applyAlignment="1">
      <alignment horizontal="right"/>
    </xf>
    <xf numFmtId="10" fontId="89" fillId="2" borderId="0" xfId="2" applyNumberFormat="1" applyFont="1" applyFill="1" applyBorder="1"/>
    <xf numFmtId="10" fontId="65" fillId="2" borderId="0" xfId="2" applyNumberFormat="1" applyFont="1" applyFill="1"/>
    <xf numFmtId="10" fontId="65" fillId="2" borderId="0" xfId="2" applyNumberFormat="1" applyFont="1" applyFill="1" applyBorder="1" applyAlignment="1">
      <alignment horizontal="right"/>
    </xf>
    <xf numFmtId="10" fontId="59" fillId="2" borderId="0" xfId="2" applyNumberFormat="1" applyFont="1" applyFill="1" applyBorder="1"/>
    <xf numFmtId="10" fontId="72" fillId="2" borderId="21" xfId="2" applyNumberFormat="1" applyFont="1" applyFill="1" applyBorder="1"/>
    <xf numFmtId="180" fontId="1" fillId="2" borderId="0" xfId="0" applyNumberFormat="1" applyFont="1" applyFill="1" applyBorder="1" applyAlignment="1">
      <alignment horizontal="left" vertical="center"/>
    </xf>
    <xf numFmtId="164" fontId="1" fillId="2" borderId="21" xfId="0" applyNumberFormat="1" applyFont="1" applyFill="1" applyBorder="1" applyAlignment="1">
      <alignment horizontal="left"/>
    </xf>
    <xf numFmtId="164" fontId="65" fillId="2" borderId="0" xfId="0" applyNumberFormat="1" applyFont="1" applyFill="1"/>
    <xf numFmtId="164" fontId="59" fillId="2" borderId="0" xfId="0" applyNumberFormat="1" applyFont="1" applyFill="1"/>
    <xf numFmtId="164" fontId="40" fillId="47" borderId="0" xfId="0" applyNumberFormat="1" applyFont="1" applyFill="1" applyAlignment="1">
      <alignment vertical="center"/>
    </xf>
    <xf numFmtId="164" fontId="1" fillId="2" borderId="32" xfId="0" applyNumberFormat="1" applyFont="1" applyFill="1" applyBorder="1"/>
    <xf numFmtId="0" fontId="2" fillId="2" borderId="32" xfId="0" applyNumberFormat="1" applyFont="1" applyFill="1" applyBorder="1"/>
    <xf numFmtId="0" fontId="2" fillId="2" borderId="32" xfId="0" applyNumberFormat="1" applyFont="1" applyFill="1" applyBorder="1" applyAlignment="1">
      <alignment horizontal="right"/>
    </xf>
    <xf numFmtId="0" fontId="1" fillId="47" borderId="0" xfId="0" applyFont="1" applyFill="1" applyBorder="1"/>
    <xf numFmtId="0" fontId="2" fillId="47" borderId="0" xfId="0" applyFont="1" applyFill="1" applyBorder="1"/>
    <xf numFmtId="0" fontId="63" fillId="47" borderId="13" xfId="0" applyFont="1" applyFill="1" applyBorder="1"/>
    <xf numFmtId="0" fontId="2" fillId="2" borderId="19" xfId="0" applyFont="1" applyFill="1" applyBorder="1"/>
    <xf numFmtId="0" fontId="40" fillId="2" borderId="21" xfId="0" applyFont="1" applyFill="1" applyBorder="1"/>
    <xf numFmtId="0" fontId="40" fillId="2" borderId="19" xfId="0" applyFont="1" applyFill="1" applyBorder="1"/>
    <xf numFmtId="0" fontId="2" fillId="2" borderId="21" xfId="0" applyFont="1" applyFill="1" applyBorder="1"/>
    <xf numFmtId="10" fontId="63" fillId="2" borderId="0" xfId="0" applyNumberFormat="1" applyFont="1" applyFill="1" applyBorder="1"/>
    <xf numFmtId="0" fontId="1" fillId="2" borderId="0" xfId="0" applyFont="1" applyFill="1" applyBorder="1" applyAlignment="1">
      <alignment horizontal="left" indent="1"/>
    </xf>
    <xf numFmtId="0" fontId="59" fillId="2" borderId="0" xfId="0" applyFont="1" applyFill="1" applyBorder="1" applyAlignment="1">
      <alignment horizontal="left" indent="1"/>
    </xf>
    <xf numFmtId="0" fontId="59" fillId="2" borderId="0" xfId="0" applyFont="1" applyFill="1" applyBorder="1" applyAlignment="1">
      <alignment horizontal="left"/>
    </xf>
    <xf numFmtId="191" fontId="59" fillId="2" borderId="0" xfId="169" applyNumberFormat="1" applyFont="1" applyFill="1" applyBorder="1" applyAlignment="1">
      <alignment horizontal="right"/>
    </xf>
    <xf numFmtId="191" fontId="1" fillId="2" borderId="0" xfId="169" applyNumberFormat="1" applyFont="1" applyFill="1" applyBorder="1"/>
    <xf numFmtId="191" fontId="2" fillId="2" borderId="19" xfId="169" applyNumberFormat="1" applyFont="1" applyFill="1" applyBorder="1"/>
    <xf numFmtId="191" fontId="40" fillId="2" borderId="21" xfId="169" applyNumberFormat="1" applyFont="1" applyFill="1" applyBorder="1"/>
    <xf numFmtId="191" fontId="40" fillId="2" borderId="19" xfId="169" applyNumberFormat="1" applyFont="1" applyFill="1" applyBorder="1"/>
    <xf numFmtId="9" fontId="63" fillId="2" borderId="0" xfId="2" applyFont="1" applyFill="1" applyBorder="1"/>
    <xf numFmtId="191" fontId="40" fillId="2" borderId="21" xfId="169" applyNumberFormat="1" applyFont="1" applyFill="1" applyBorder="1" applyAlignment="1">
      <alignment horizontal="right"/>
    </xf>
    <xf numFmtId="9" fontId="63" fillId="2" borderId="0" xfId="2" applyNumberFormat="1" applyFont="1" applyFill="1" applyBorder="1"/>
    <xf numFmtId="193" fontId="2" fillId="47" borderId="13" xfId="0" applyNumberFormat="1" applyFont="1" applyFill="1" applyBorder="1" applyAlignment="1">
      <alignment horizontal="right"/>
    </xf>
    <xf numFmtId="44" fontId="1" fillId="2" borderId="0" xfId="169" applyFont="1" applyFill="1" applyBorder="1"/>
    <xf numFmtId="191" fontId="40" fillId="2" borderId="21" xfId="169" applyNumberFormat="1" applyFont="1" applyFill="1" applyBorder="1" applyAlignment="1">
      <alignment horizontal="right" vertical="center"/>
    </xf>
    <xf numFmtId="191" fontId="2" fillId="2" borderId="0" xfId="169" applyNumberFormat="1" applyFont="1" applyFill="1" applyBorder="1"/>
    <xf numFmtId="191" fontId="2" fillId="2" borderId="18" xfId="169" applyNumberFormat="1" applyFont="1" applyFill="1" applyBorder="1"/>
    <xf numFmtId="191" fontId="59" fillId="2" borderId="0" xfId="169" applyNumberFormat="1" applyFont="1" applyFill="1" applyBorder="1"/>
    <xf numFmtId="191" fontId="88" fillId="2" borderId="0" xfId="169" applyNumberFormat="1" applyFont="1" applyFill="1" applyBorder="1"/>
    <xf numFmtId="191" fontId="1" fillId="2" borderId="0" xfId="169" applyNumberFormat="1" applyFont="1" applyFill="1" applyBorder="1" applyAlignment="1">
      <alignment horizontal="right" vertical="center"/>
    </xf>
    <xf numFmtId="0" fontId="1" fillId="2" borderId="19" xfId="0" applyFont="1" applyFill="1" applyBorder="1"/>
    <xf numFmtId="191" fontId="1" fillId="2" borderId="19" xfId="169" applyNumberFormat="1" applyFont="1" applyFill="1" applyBorder="1"/>
    <xf numFmtId="0" fontId="1" fillId="2" borderId="18" xfId="0" applyFont="1" applyFill="1" applyBorder="1"/>
    <xf numFmtId="191" fontId="1" fillId="2" borderId="18" xfId="169" applyNumberFormat="1" applyFont="1" applyFill="1" applyBorder="1" applyAlignment="1">
      <alignment horizontal="right" vertical="center"/>
    </xf>
    <xf numFmtId="191" fontId="1" fillId="2" borderId="18" xfId="169" applyNumberFormat="1" applyFont="1" applyFill="1" applyBorder="1"/>
    <xf numFmtId="9" fontId="65" fillId="2" borderId="0" xfId="2" applyNumberFormat="1" applyFont="1" applyFill="1" applyBorder="1" applyAlignment="1">
      <alignment horizontal="right"/>
    </xf>
    <xf numFmtId="0" fontId="65" fillId="2" borderId="0" xfId="0" applyFont="1" applyFill="1" applyBorder="1" applyAlignment="1">
      <alignment horizontal="left"/>
    </xf>
    <xf numFmtId="190" fontId="63" fillId="2" borderId="0" xfId="169" applyNumberFormat="1" applyFont="1" applyFill="1" applyBorder="1"/>
    <xf numFmtId="0" fontId="2" fillId="2" borderId="18" xfId="0" applyFont="1" applyFill="1" applyBorder="1" applyAlignment="1">
      <alignment horizontal="right"/>
    </xf>
    <xf numFmtId="178" fontId="1" fillId="2" borderId="0" xfId="0" applyNumberFormat="1" applyFont="1" applyFill="1" applyBorder="1" applyAlignment="1">
      <alignment horizontal="right"/>
    </xf>
    <xf numFmtId="191" fontId="1" fillId="2" borderId="0" xfId="0" applyNumberFormat="1" applyFont="1" applyFill="1" applyBorder="1"/>
    <xf numFmtId="191" fontId="40" fillId="2" borderId="21" xfId="169" applyNumberFormat="1" applyFont="1" applyFill="1" applyBorder="1" applyAlignment="1"/>
    <xf numFmtId="191" fontId="2" fillId="2" borderId="21" xfId="169" applyNumberFormat="1" applyFont="1" applyFill="1" applyBorder="1"/>
    <xf numFmtId="9" fontId="63" fillId="2" borderId="18" xfId="0" applyNumberFormat="1" applyFont="1" applyFill="1" applyBorder="1"/>
    <xf numFmtId="0" fontId="1" fillId="2" borderId="0" xfId="0" applyFont="1" applyFill="1" applyBorder="1" applyAlignment="1">
      <alignment horizontal="left" vertical="center"/>
    </xf>
    <xf numFmtId="44" fontId="1" fillId="2" borderId="0" xfId="169" applyFont="1" applyFill="1" applyBorder="1" applyAlignment="1">
      <alignment horizontal="right" vertical="center"/>
    </xf>
    <xf numFmtId="0" fontId="2" fillId="2" borderId="20" xfId="0" applyFont="1" applyFill="1" applyBorder="1" applyAlignment="1">
      <alignment horizontal="left" vertical="center"/>
    </xf>
    <xf numFmtId="10" fontId="40" fillId="2" borderId="20" xfId="2" applyNumberFormat="1" applyFont="1" applyFill="1" applyBorder="1" applyAlignment="1">
      <alignment horizontal="right" vertical="center"/>
    </xf>
    <xf numFmtId="0" fontId="2" fillId="2" borderId="20" xfId="0" applyFont="1" applyFill="1" applyBorder="1"/>
    <xf numFmtId="2" fontId="65" fillId="2" borderId="0" xfId="0" applyNumberFormat="1" applyFont="1" applyFill="1" applyBorder="1"/>
    <xf numFmtId="165" fontId="2" fillId="2" borderId="32" xfId="0" applyNumberFormat="1" applyFont="1" applyFill="1" applyBorder="1" applyAlignment="1">
      <alignment horizontal="right"/>
    </xf>
    <xf numFmtId="0" fontId="40" fillId="2" borderId="32" xfId="0" applyNumberFormat="1" applyFont="1" applyFill="1" applyBorder="1" applyAlignment="1">
      <alignment horizontal="right"/>
    </xf>
    <xf numFmtId="188" fontId="1" fillId="2" borderId="0" xfId="0" applyNumberFormat="1" applyFont="1" applyFill="1" applyBorder="1"/>
    <xf numFmtId="1" fontId="59" fillId="2" borderId="0" xfId="0" applyNumberFormat="1" applyFont="1" applyFill="1" applyBorder="1"/>
    <xf numFmtId="188" fontId="40" fillId="2" borderId="0" xfId="2" applyNumberFormat="1" applyFont="1" applyFill="1" applyBorder="1" applyAlignment="1">
      <alignment horizontal="right" vertical="center"/>
    </xf>
    <xf numFmtId="188" fontId="59" fillId="2" borderId="0" xfId="0" applyNumberFormat="1" applyFont="1" applyFill="1" applyBorder="1"/>
    <xf numFmtId="0" fontId="59" fillId="2" borderId="0" xfId="0" applyFont="1" applyFill="1" applyBorder="1"/>
    <xf numFmtId="194" fontId="40" fillId="2" borderId="0" xfId="0" applyNumberFormat="1" applyFont="1" applyFill="1" applyBorder="1" applyAlignment="1">
      <alignment horizontal="right"/>
    </xf>
    <xf numFmtId="186" fontId="2" fillId="2" borderId="0" xfId="2" applyNumberFormat="1" applyFont="1" applyFill="1" applyBorder="1"/>
    <xf numFmtId="189" fontId="2" fillId="2" borderId="0" xfId="0" applyNumberFormat="1" applyFont="1" applyFill="1" applyBorder="1"/>
    <xf numFmtId="187" fontId="2" fillId="2" borderId="0" xfId="0" applyNumberFormat="1" applyFont="1" applyFill="1" applyBorder="1" applyAlignment="1">
      <alignment horizontal="right"/>
    </xf>
    <xf numFmtId="189" fontId="1" fillId="2" borderId="0" xfId="0" applyNumberFormat="1" applyFont="1" applyFill="1" applyBorder="1"/>
    <xf numFmtId="193" fontId="40" fillId="47" borderId="13" xfId="0" applyNumberFormat="1" applyFont="1" applyFill="1" applyBorder="1" applyAlignment="1"/>
    <xf numFmtId="194" fontId="40" fillId="47" borderId="13" xfId="0" applyNumberFormat="1" applyFont="1" applyFill="1" applyBorder="1" applyAlignment="1"/>
    <xf numFmtId="0" fontId="1" fillId="2" borderId="21" xfId="0" applyFont="1" applyFill="1" applyBorder="1"/>
    <xf numFmtId="44" fontId="40" fillId="2" borderId="0" xfId="169" applyFont="1" applyFill="1" applyBorder="1"/>
    <xf numFmtId="0" fontId="59" fillId="2" borderId="0" xfId="0" applyNumberFormat="1" applyFont="1" applyFill="1" applyBorder="1" applyAlignment="1">
      <alignment horizontal="left"/>
    </xf>
    <xf numFmtId="0" fontId="65" fillId="2" borderId="0" xfId="0" applyNumberFormat="1" applyFont="1" applyFill="1" applyBorder="1" applyAlignment="1">
      <alignment horizontal="left"/>
    </xf>
    <xf numFmtId="0" fontId="40" fillId="2" borderId="19" xfId="0" applyNumberFormat="1" applyFont="1" applyFill="1" applyBorder="1" applyAlignment="1">
      <alignment horizontal="left"/>
    </xf>
    <xf numFmtId="10" fontId="65" fillId="2" borderId="0" xfId="2" applyNumberFormat="1" applyFont="1" applyFill="1" applyBorder="1" applyAlignment="1">
      <alignment horizontal="right" vertical="center"/>
    </xf>
    <xf numFmtId="0" fontId="65" fillId="2" borderId="0" xfId="0" applyNumberFormat="1" applyFont="1" applyFill="1" applyBorder="1" applyAlignment="1">
      <alignment horizontal="left" indent="1"/>
    </xf>
    <xf numFmtId="0" fontId="8" fillId="47" borderId="0" xfId="0" applyFont="1" applyFill="1" applyBorder="1" applyAlignment="1">
      <alignment horizontal="right"/>
    </xf>
    <xf numFmtId="187" fontId="2" fillId="47" borderId="13" xfId="0" applyNumberFormat="1" applyFont="1" applyFill="1" applyBorder="1"/>
    <xf numFmtId="186" fontId="2" fillId="47" borderId="13" xfId="2" applyNumberFormat="1" applyFont="1" applyFill="1" applyBorder="1"/>
    <xf numFmtId="191" fontId="40" fillId="2" borderId="19" xfId="169" applyNumberFormat="1" applyFont="1" applyFill="1" applyBorder="1" applyAlignment="1">
      <alignment horizontal="left"/>
    </xf>
    <xf numFmtId="191" fontId="59" fillId="2" borderId="0" xfId="2" applyNumberFormat="1" applyFont="1" applyFill="1" applyBorder="1"/>
    <xf numFmtId="191" fontId="2" fillId="2" borderId="19" xfId="0" applyNumberFormat="1" applyFont="1" applyFill="1" applyBorder="1"/>
    <xf numFmtId="191" fontId="2" fillId="2" borderId="21" xfId="0" applyNumberFormat="1" applyFont="1" applyFill="1" applyBorder="1"/>
    <xf numFmtId="191" fontId="59" fillId="2" borderId="0" xfId="169" applyNumberFormat="1" applyFont="1" applyFill="1"/>
    <xf numFmtId="10" fontId="1" fillId="2" borderId="19" xfId="2" applyNumberFormat="1" applyFont="1" applyFill="1" applyBorder="1"/>
    <xf numFmtId="0" fontId="63" fillId="2" borderId="0" xfId="0" applyFont="1" applyFill="1" applyBorder="1" applyAlignment="1">
      <alignment horizontal="left" indent="1"/>
    </xf>
    <xf numFmtId="193" fontId="40" fillId="2" borderId="0" xfId="0" applyNumberFormat="1" applyFont="1" applyFill="1" applyBorder="1" applyAlignment="1"/>
    <xf numFmtId="2" fontId="2" fillId="2" borderId="0" xfId="0" applyNumberFormat="1" applyFont="1" applyFill="1" applyBorder="1"/>
    <xf numFmtId="10" fontId="1" fillId="2" borderId="21" xfId="0" applyNumberFormat="1" applyFont="1" applyFill="1" applyBorder="1"/>
    <xf numFmtId="164" fontId="90" fillId="47" borderId="0" xfId="0" applyNumberFormat="1" applyFont="1" applyFill="1" applyBorder="1" applyAlignment="1"/>
    <xf numFmtId="164" fontId="2" fillId="2" borderId="18" xfId="0" applyNumberFormat="1" applyFont="1" applyFill="1" applyBorder="1"/>
    <xf numFmtId="191" fontId="65" fillId="2" borderId="0" xfId="169" applyNumberFormat="1" applyFont="1" applyFill="1"/>
    <xf numFmtId="191" fontId="63" fillId="2" borderId="0" xfId="169" applyNumberFormat="1" applyFont="1" applyFill="1"/>
    <xf numFmtId="191" fontId="63" fillId="2" borderId="0" xfId="169" applyNumberFormat="1" applyFont="1" applyFill="1" applyBorder="1" applyAlignment="1">
      <alignment horizontal="right" vertical="center"/>
    </xf>
    <xf numFmtId="191" fontId="63" fillId="2" borderId="21" xfId="169" applyNumberFormat="1" applyFont="1" applyFill="1" applyBorder="1" applyAlignment="1">
      <alignment horizontal="right"/>
    </xf>
    <xf numFmtId="191" fontId="89" fillId="2" borderId="0" xfId="169" applyNumberFormat="1" applyFont="1" applyFill="1" applyBorder="1" applyAlignment="1">
      <alignment horizontal="right"/>
    </xf>
    <xf numFmtId="191" fontId="63" fillId="2" borderId="19" xfId="169" applyNumberFormat="1" applyFont="1" applyFill="1" applyBorder="1" applyAlignment="1">
      <alignment horizontal="right"/>
    </xf>
    <xf numFmtId="191" fontId="2" fillId="2" borderId="21" xfId="169" applyNumberFormat="1" applyFont="1" applyFill="1" applyBorder="1" applyAlignment="1">
      <alignment horizontal="right"/>
    </xf>
    <xf numFmtId="164" fontId="40" fillId="2" borderId="17" xfId="0" applyNumberFormat="1" applyFont="1" applyFill="1" applyBorder="1"/>
    <xf numFmtId="191" fontId="40" fillId="2" borderId="17" xfId="169" applyNumberFormat="1" applyFont="1" applyFill="1" applyBorder="1"/>
    <xf numFmtId="49" fontId="59" fillId="2" borderId="0" xfId="0" quotePrefix="1" applyNumberFormat="1" applyFont="1" applyFill="1" applyBorder="1"/>
    <xf numFmtId="49" fontId="59" fillId="2" borderId="0" xfId="0" applyNumberFormat="1" applyFont="1" applyFill="1" applyBorder="1"/>
    <xf numFmtId="191" fontId="2" fillId="2" borderId="19" xfId="169" applyNumberFormat="1" applyFont="1" applyFill="1" applyBorder="1" applyAlignment="1">
      <alignment horizontal="left" vertical="center"/>
    </xf>
    <xf numFmtId="44" fontId="40" fillId="2" borderId="21" xfId="169" applyNumberFormat="1" applyFont="1" applyFill="1" applyBorder="1" applyAlignment="1">
      <alignment horizontal="left" vertical="center"/>
    </xf>
    <xf numFmtId="191" fontId="1" fillId="2" borderId="0" xfId="169" applyNumberFormat="1" applyFont="1" applyFill="1"/>
    <xf numFmtId="0" fontId="2" fillId="47" borderId="0" xfId="0" applyFont="1" applyFill="1" applyBorder="1" applyAlignment="1">
      <alignment horizontal="right"/>
    </xf>
    <xf numFmtId="191" fontId="63" fillId="2" borderId="0" xfId="169" applyNumberFormat="1" applyFont="1" applyFill="1" applyBorder="1"/>
    <xf numFmtId="194" fontId="2" fillId="47" borderId="13" xfId="0" applyNumberFormat="1" applyFont="1" applyFill="1" applyBorder="1" applyAlignment="1">
      <alignment horizontal="right"/>
    </xf>
    <xf numFmtId="2" fontId="63" fillId="2" borderId="0" xfId="169" applyNumberFormat="1" applyFont="1" applyFill="1"/>
    <xf numFmtId="9" fontId="65" fillId="2" borderId="0" xfId="2" applyNumberFormat="1" applyFont="1" applyFill="1" applyBorder="1" applyAlignment="1"/>
    <xf numFmtId="164" fontId="63" fillId="2" borderId="0" xfId="0" applyNumberFormat="1" applyFont="1" applyFill="1" applyBorder="1" applyAlignment="1">
      <alignment horizontal="left" indent="1"/>
    </xf>
    <xf numFmtId="10" fontId="91" fillId="2" borderId="0" xfId="2" applyNumberFormat="1" applyFont="1" applyFill="1" applyBorder="1" applyAlignment="1">
      <alignment wrapText="1"/>
    </xf>
    <xf numFmtId="165" fontId="1" fillId="2" borderId="0" xfId="0" applyNumberFormat="1" applyFont="1" applyFill="1"/>
    <xf numFmtId="164" fontId="40" fillId="47" borderId="0" xfId="0" applyNumberFormat="1" applyFont="1" applyFill="1" applyBorder="1" applyAlignment="1">
      <alignment horizontal="left"/>
    </xf>
    <xf numFmtId="166" fontId="59" fillId="2" borderId="0" xfId="2" applyNumberFormat="1" applyFont="1" applyFill="1" applyBorder="1" applyAlignment="1"/>
    <xf numFmtId="9" fontId="59" fillId="2" borderId="0" xfId="2" applyNumberFormat="1" applyFont="1" applyFill="1" applyBorder="1" applyAlignment="1"/>
    <xf numFmtId="166" fontId="65" fillId="47" borderId="0" xfId="2" applyNumberFormat="1" applyFont="1" applyFill="1" applyBorder="1"/>
    <xf numFmtId="166" fontId="63" fillId="47" borderId="0" xfId="2" applyNumberFormat="1" applyFont="1" applyFill="1" applyBorder="1"/>
    <xf numFmtId="166" fontId="65" fillId="47" borderId="0" xfId="2" applyNumberFormat="1" applyFont="1" applyFill="1" applyBorder="1" applyAlignment="1"/>
    <xf numFmtId="164" fontId="63" fillId="2" borderId="13" xfId="0" applyNumberFormat="1" applyFont="1" applyFill="1" applyBorder="1"/>
    <xf numFmtId="164" fontId="1" fillId="2" borderId="13" xfId="0" applyNumberFormat="1" applyFont="1" applyFill="1" applyBorder="1"/>
    <xf numFmtId="2" fontId="63" fillId="2" borderId="13" xfId="0" applyNumberFormat="1" applyFont="1" applyFill="1" applyBorder="1"/>
    <xf numFmtId="9" fontId="4" fillId="2" borderId="13" xfId="2" applyFont="1" applyFill="1" applyBorder="1"/>
    <xf numFmtId="165" fontId="1" fillId="2" borderId="13" xfId="0" applyNumberFormat="1" applyFont="1" applyFill="1" applyBorder="1"/>
    <xf numFmtId="164" fontId="8" fillId="47" borderId="13" xfId="0" applyNumberFormat="1" applyFont="1" applyFill="1" applyBorder="1" applyAlignment="1"/>
    <xf numFmtId="9" fontId="40" fillId="47" borderId="0" xfId="2" applyFont="1" applyFill="1" applyBorder="1" applyAlignment="1">
      <alignment horizontal="right"/>
    </xf>
    <xf numFmtId="164" fontId="40" fillId="47" borderId="13" xfId="0" applyNumberFormat="1" applyFont="1" applyFill="1" applyBorder="1" applyAlignment="1">
      <alignment horizontal="right"/>
    </xf>
    <xf numFmtId="9" fontId="40" fillId="47" borderId="13" xfId="2" applyFont="1" applyFill="1" applyBorder="1" applyAlignment="1">
      <alignment horizontal="right"/>
    </xf>
    <xf numFmtId="177" fontId="40" fillId="2" borderId="0" xfId="0" applyNumberFormat="1" applyFont="1" applyFill="1" applyAlignment="1">
      <alignment horizontal="right"/>
    </xf>
    <xf numFmtId="44" fontId="65" fillId="2" borderId="0" xfId="169" applyFont="1" applyFill="1" applyBorder="1" applyAlignment="1">
      <alignment horizontal="right"/>
    </xf>
    <xf numFmtId="191" fontId="65" fillId="2" borderId="0" xfId="169" applyNumberFormat="1" applyFont="1" applyFill="1" applyBorder="1" applyAlignment="1">
      <alignment horizontal="right"/>
    </xf>
    <xf numFmtId="166" fontId="63" fillId="47" borderId="33" xfId="2" applyNumberFormat="1" applyFont="1" applyFill="1" applyBorder="1"/>
    <xf numFmtId="166" fontId="65" fillId="47" borderId="33" xfId="2" applyNumberFormat="1" applyFont="1" applyFill="1" applyBorder="1"/>
    <xf numFmtId="9" fontId="40" fillId="47" borderId="0" xfId="2" applyFont="1" applyFill="1" applyBorder="1" applyAlignment="1">
      <alignment horizontal="center"/>
    </xf>
    <xf numFmtId="1" fontId="40" fillId="47" borderId="0" xfId="2" applyNumberFormat="1" applyFont="1" applyFill="1" applyBorder="1" applyAlignment="1">
      <alignment horizontal="center"/>
    </xf>
    <xf numFmtId="44" fontId="59" fillId="2" borderId="0" xfId="169" applyFont="1" applyFill="1" applyBorder="1" applyAlignment="1">
      <alignment horizontal="center"/>
    </xf>
    <xf numFmtId="2" fontId="59" fillId="2" borderId="0" xfId="169" applyNumberFormat="1" applyFont="1" applyFill="1" applyBorder="1" applyAlignment="1">
      <alignment horizontal="center"/>
    </xf>
    <xf numFmtId="9" fontId="59" fillId="2" borderId="0" xfId="2" applyFont="1" applyFill="1" applyBorder="1" applyAlignment="1"/>
    <xf numFmtId="177" fontId="59" fillId="2" borderId="0" xfId="0" applyNumberFormat="1" applyFont="1" applyFill="1" applyBorder="1" applyAlignment="1"/>
    <xf numFmtId="191" fontId="59" fillId="2" borderId="0" xfId="169" applyNumberFormat="1" applyFont="1" applyFill="1" applyBorder="1" applyAlignment="1"/>
    <xf numFmtId="10" fontId="65" fillId="2" borderId="0" xfId="169" applyNumberFormat="1" applyFont="1" applyFill="1" applyBorder="1" applyAlignment="1">
      <alignment horizontal="right"/>
    </xf>
    <xf numFmtId="166" fontId="65" fillId="2" borderId="0" xfId="169" applyNumberFormat="1" applyFont="1" applyFill="1" applyBorder="1" applyAlignment="1">
      <alignment horizontal="right"/>
    </xf>
    <xf numFmtId="178" fontId="59" fillId="2" borderId="0" xfId="169" applyNumberFormat="1" applyFont="1" applyFill="1" applyBorder="1" applyAlignment="1"/>
    <xf numFmtId="10" fontId="59" fillId="2" borderId="0" xfId="2" applyNumberFormat="1" applyFont="1" applyFill="1" applyBorder="1" applyAlignment="1"/>
    <xf numFmtId="195" fontId="65" fillId="2" borderId="0" xfId="2" applyNumberFormat="1" applyFont="1" applyFill="1" applyBorder="1" applyAlignment="1">
      <alignment horizontal="right"/>
    </xf>
    <xf numFmtId="10" fontId="59" fillId="2" borderId="0" xfId="169" applyNumberFormat="1" applyFont="1" applyFill="1" applyBorder="1" applyAlignment="1">
      <alignment horizontal="right"/>
    </xf>
    <xf numFmtId="191" fontId="9" fillId="2" borderId="0" xfId="169" applyNumberFormat="1" applyFont="1" applyFill="1" applyAlignment="1">
      <alignment vertical="top"/>
    </xf>
    <xf numFmtId="0" fontId="59" fillId="2" borderId="0" xfId="170" applyFont="1" applyFill="1">
      <alignment vertical="top"/>
    </xf>
    <xf numFmtId="191" fontId="59" fillId="2" borderId="0" xfId="169" applyNumberFormat="1" applyFont="1" applyFill="1" applyAlignment="1">
      <alignment vertical="top"/>
    </xf>
    <xf numFmtId="0" fontId="40" fillId="2" borderId="0" xfId="170" applyFont="1" applyFill="1">
      <alignment vertical="top"/>
    </xf>
    <xf numFmtId="0" fontId="40" fillId="2" borderId="19" xfId="170" applyFont="1" applyFill="1" applyBorder="1">
      <alignment vertical="top"/>
    </xf>
    <xf numFmtId="191" fontId="40" fillId="2" borderId="19" xfId="169" applyNumberFormat="1" applyFont="1" applyFill="1" applyBorder="1" applyAlignment="1">
      <alignment vertical="top"/>
    </xf>
    <xf numFmtId="0" fontId="59" fillId="2" borderId="0" xfId="170" applyFont="1" applyFill="1" applyAlignment="1">
      <alignment horizontal="left" vertical="top" indent="1"/>
    </xf>
    <xf numFmtId="0" fontId="59" fillId="2" borderId="21" xfId="170" applyFont="1" applyFill="1" applyBorder="1">
      <alignment vertical="top"/>
    </xf>
    <xf numFmtId="191" fontId="59" fillId="2" borderId="21" xfId="169" applyNumberFormat="1" applyFont="1" applyFill="1" applyBorder="1" applyAlignment="1">
      <alignment vertical="top"/>
    </xf>
    <xf numFmtId="191" fontId="9" fillId="2" borderId="0" xfId="170" applyNumberFormat="1" applyFill="1">
      <alignment vertical="top"/>
    </xf>
    <xf numFmtId="0" fontId="40" fillId="2" borderId="21" xfId="170" applyFont="1" applyFill="1" applyBorder="1">
      <alignment vertical="top"/>
    </xf>
    <xf numFmtId="191" fontId="40" fillId="2" borderId="21" xfId="169" applyNumberFormat="1" applyFont="1" applyFill="1" applyBorder="1" applyAlignment="1">
      <alignment vertical="top"/>
    </xf>
    <xf numFmtId="44" fontId="59" fillId="2" borderId="0" xfId="169" applyFont="1" applyFill="1" applyAlignment="1">
      <alignment vertical="top"/>
    </xf>
    <xf numFmtId="191" fontId="88" fillId="2" borderId="0" xfId="169" applyNumberFormat="1" applyFont="1" applyFill="1" applyAlignment="1">
      <alignment vertical="top"/>
    </xf>
    <xf numFmtId="191" fontId="88" fillId="2" borderId="0" xfId="169" applyNumberFormat="1" applyFont="1" applyFill="1" applyBorder="1" applyAlignment="1">
      <alignment vertical="top"/>
    </xf>
    <xf numFmtId="0" fontId="59" fillId="0" borderId="21" xfId="170" applyFont="1" applyBorder="1">
      <alignment vertical="top"/>
    </xf>
    <xf numFmtId="0" fontId="65" fillId="2" borderId="0" xfId="170" applyFont="1" applyFill="1" applyAlignment="1">
      <alignment horizontal="left" vertical="top"/>
    </xf>
    <xf numFmtId="0" fontId="65" fillId="2" borderId="0" xfId="170" applyFont="1" applyFill="1">
      <alignment vertical="top"/>
    </xf>
    <xf numFmtId="178" fontId="89" fillId="2" borderId="0" xfId="170" applyNumberFormat="1" applyFont="1" applyFill="1">
      <alignment vertical="top"/>
    </xf>
    <xf numFmtId="196" fontId="40" fillId="47" borderId="13" xfId="0" applyNumberFormat="1" applyFont="1" applyFill="1" applyBorder="1" applyAlignment="1"/>
    <xf numFmtId="197" fontId="9" fillId="2" borderId="0" xfId="170" applyNumberFormat="1" applyFill="1">
      <alignment vertical="top"/>
    </xf>
    <xf numFmtId="191" fontId="40" fillId="2" borderId="0" xfId="169" applyNumberFormat="1" applyFont="1" applyFill="1" applyAlignment="1">
      <alignment horizontal="right" vertical="top"/>
    </xf>
    <xf numFmtId="191" fontId="59" fillId="2" borderId="0" xfId="169" applyNumberFormat="1" applyFont="1" applyFill="1" applyAlignment="1">
      <alignment horizontal="right" vertical="top"/>
    </xf>
    <xf numFmtId="0" fontId="59" fillId="2" borderId="0" xfId="170" applyFont="1" applyFill="1" applyAlignment="1">
      <alignment horizontal="right" vertical="top"/>
    </xf>
    <xf numFmtId="191" fontId="40" fillId="2" borderId="19" xfId="169" applyNumberFormat="1" applyFont="1" applyFill="1" applyBorder="1" applyAlignment="1">
      <alignment horizontal="right" vertical="top"/>
    </xf>
    <xf numFmtId="0" fontId="9" fillId="2" borderId="0" xfId="170" applyFont="1" applyFill="1" applyAlignment="1">
      <alignment horizontal="right" vertical="top"/>
    </xf>
    <xf numFmtId="0" fontId="9" fillId="2" borderId="0" xfId="170" applyFill="1" applyAlignment="1">
      <alignment horizontal="right" vertical="top"/>
    </xf>
    <xf numFmtId="44" fontId="59" fillId="2" borderId="0" xfId="169" applyFont="1" applyFill="1" applyAlignment="1">
      <alignment horizontal="right" vertical="top"/>
    </xf>
    <xf numFmtId="0" fontId="1" fillId="2" borderId="0" xfId="0" applyFont="1" applyFill="1" applyBorder="1" applyAlignment="1">
      <alignment horizontal="left" vertical="center" indent="1"/>
    </xf>
    <xf numFmtId="10" fontId="59" fillId="2" borderId="0" xfId="2" applyNumberFormat="1" applyFont="1" applyFill="1" applyBorder="1" applyAlignment="1">
      <alignment horizontal="right" vertical="center"/>
    </xf>
    <xf numFmtId="187" fontId="63" fillId="2" borderId="0" xfId="0" applyNumberFormat="1" applyFont="1" applyFill="1" applyBorder="1"/>
    <xf numFmtId="165" fontId="89" fillId="2" borderId="0" xfId="0" applyNumberFormat="1" applyFont="1" applyFill="1" applyBorder="1" applyAlignment="1">
      <alignment horizontal="right"/>
    </xf>
    <xf numFmtId="9" fontId="40" fillId="2" borderId="21" xfId="2" quotePrefix="1" applyFont="1" applyFill="1" applyBorder="1"/>
    <xf numFmtId="9" fontId="59" fillId="2" borderId="0" xfId="2" quotePrefix="1" applyFont="1" applyFill="1" applyBorder="1"/>
    <xf numFmtId="10" fontId="59" fillId="2" borderId="0" xfId="169" applyNumberFormat="1" applyFont="1" applyFill="1" applyBorder="1"/>
    <xf numFmtId="2" fontId="59" fillId="2" borderId="0" xfId="169" applyNumberFormat="1" applyFont="1" applyFill="1" applyBorder="1"/>
    <xf numFmtId="1" fontId="40" fillId="2" borderId="0" xfId="0" applyNumberFormat="1" applyFont="1" applyFill="1" applyBorder="1" applyAlignment="1">
      <alignment horizontal="right"/>
    </xf>
    <xf numFmtId="191" fontId="63" fillId="2" borderId="0" xfId="169" applyNumberFormat="1" applyFont="1" applyFill="1" applyBorder="1" applyAlignment="1">
      <alignment horizontal="right"/>
    </xf>
    <xf numFmtId="1" fontId="1" fillId="2" borderId="0" xfId="0" applyNumberFormat="1" applyFont="1" applyFill="1" applyBorder="1" applyAlignment="1">
      <alignment horizontal="right"/>
    </xf>
    <xf numFmtId="191" fontId="1" fillId="2" borderId="0" xfId="169" applyNumberFormat="1" applyFont="1" applyFill="1" applyBorder="1" applyAlignment="1">
      <alignment horizontal="right"/>
    </xf>
    <xf numFmtId="1" fontId="59" fillId="2" borderId="0" xfId="0" applyNumberFormat="1" applyFont="1" applyFill="1" applyBorder="1" applyAlignment="1">
      <alignment horizontal="right"/>
    </xf>
    <xf numFmtId="1" fontId="2" fillId="2" borderId="21" xfId="0" applyNumberFormat="1" applyFont="1" applyFill="1" applyBorder="1" applyAlignment="1">
      <alignment horizontal="right"/>
    </xf>
    <xf numFmtId="193" fontId="40" fillId="47" borderId="13" xfId="0" applyNumberFormat="1" applyFont="1" applyFill="1" applyBorder="1" applyAlignment="1">
      <alignment horizontal="right"/>
    </xf>
    <xf numFmtId="1" fontId="2" fillId="2" borderId="19" xfId="0" applyNumberFormat="1" applyFont="1" applyFill="1" applyBorder="1" applyAlignment="1">
      <alignment horizontal="right"/>
    </xf>
    <xf numFmtId="191" fontId="2" fillId="2" borderId="19" xfId="169" applyNumberFormat="1" applyFont="1" applyFill="1" applyBorder="1" applyAlignment="1">
      <alignment horizontal="right"/>
    </xf>
    <xf numFmtId="1" fontId="40" fillId="47" borderId="0" xfId="0" applyNumberFormat="1" applyFont="1" applyFill="1" applyBorder="1" applyAlignment="1">
      <alignment horizontal="right"/>
    </xf>
    <xf numFmtId="10" fontId="40" fillId="47" borderId="0" xfId="2" applyNumberFormat="1" applyFont="1" applyFill="1"/>
    <xf numFmtId="165" fontId="40" fillId="47" borderId="0" xfId="0" applyNumberFormat="1" applyFont="1" applyFill="1" applyBorder="1" applyAlignment="1"/>
    <xf numFmtId="164" fontId="64" fillId="2" borderId="21" xfId="0" applyNumberFormat="1" applyFont="1" applyFill="1" applyBorder="1" applyAlignment="1">
      <alignment horizontal="left"/>
    </xf>
    <xf numFmtId="1" fontId="1" fillId="2" borderId="0" xfId="0" applyNumberFormat="1" applyFont="1" applyFill="1" applyBorder="1" applyAlignment="1">
      <alignment horizontal="left"/>
    </xf>
    <xf numFmtId="178" fontId="63" fillId="2" borderId="0" xfId="2" applyNumberFormat="1" applyFont="1" applyFill="1"/>
    <xf numFmtId="0" fontId="86" fillId="2" borderId="0" xfId="167" applyFont="1" applyFill="1" applyAlignment="1">
      <alignment vertical="top"/>
    </xf>
    <xf numFmtId="191" fontId="89" fillId="2" borderId="0" xfId="169" applyNumberFormat="1" applyFont="1" applyFill="1" applyBorder="1"/>
    <xf numFmtId="190" fontId="89" fillId="2" borderId="0" xfId="169" applyNumberFormat="1" applyFont="1" applyFill="1" applyBorder="1" applyAlignment="1">
      <alignment horizontal="right"/>
    </xf>
    <xf numFmtId="191" fontId="89" fillId="2" borderId="0" xfId="2" applyNumberFormat="1" applyFont="1" applyFill="1" applyBorder="1" applyAlignment="1">
      <alignment horizontal="right"/>
    </xf>
    <xf numFmtId="165" fontId="63" fillId="2" borderId="0" xfId="0" applyNumberFormat="1" applyFont="1" applyFill="1" applyBorder="1" applyAlignment="1">
      <alignment horizontal="left"/>
    </xf>
    <xf numFmtId="0" fontId="9" fillId="2" borderId="0" xfId="170" applyFill="1" applyAlignment="1">
      <alignment horizontal="left" vertical="top" indent="1"/>
    </xf>
    <xf numFmtId="10" fontId="9" fillId="2" borderId="0" xfId="2" applyNumberFormat="1" applyFont="1" applyFill="1" applyAlignment="1">
      <alignment vertical="top"/>
    </xf>
    <xf numFmtId="164" fontId="8" fillId="47" borderId="13" xfId="0" applyNumberFormat="1" applyFont="1" applyFill="1" applyBorder="1" applyAlignment="1">
      <alignment horizontal="right"/>
    </xf>
    <xf numFmtId="164" fontId="65" fillId="47" borderId="13" xfId="0" applyNumberFormat="1" applyFont="1" applyFill="1" applyBorder="1" applyAlignment="1">
      <alignment horizontal="right"/>
    </xf>
    <xf numFmtId="165" fontId="63" fillId="2" borderId="0" xfId="2" applyNumberFormat="1" applyFont="1" applyFill="1" applyBorder="1" applyAlignment="1">
      <alignment horizontal="right"/>
    </xf>
    <xf numFmtId="0" fontId="63" fillId="2" borderId="0" xfId="2" applyNumberFormat="1" applyFont="1" applyFill="1" applyBorder="1" applyAlignment="1">
      <alignment horizontal="right"/>
    </xf>
    <xf numFmtId="165" fontId="63" fillId="2" borderId="0" xfId="0" applyNumberFormat="1" applyFont="1" applyFill="1" applyAlignment="1">
      <alignment horizontal="right"/>
    </xf>
    <xf numFmtId="3" fontId="1" fillId="2" borderId="0" xfId="0" applyNumberFormat="1" applyFont="1" applyFill="1" applyAlignment="1">
      <alignment horizontal="right"/>
    </xf>
    <xf numFmtId="9" fontId="6" fillId="2" borderId="21" xfId="2" applyNumberFormat="1" applyFont="1" applyFill="1" applyBorder="1" applyAlignment="1">
      <alignment horizontal="right" vertical="center"/>
    </xf>
    <xf numFmtId="164" fontId="40" fillId="2" borderId="0" xfId="0" applyNumberFormat="1" applyFont="1" applyFill="1" applyBorder="1" applyAlignment="1">
      <alignment vertical="center"/>
    </xf>
    <xf numFmtId="0" fontId="88" fillId="2" borderId="0" xfId="170" applyFont="1" applyFill="1">
      <alignment vertical="top"/>
    </xf>
    <xf numFmtId="191" fontId="88" fillId="2" borderId="21" xfId="169" applyNumberFormat="1" applyFont="1" applyFill="1" applyBorder="1" applyAlignment="1">
      <alignment vertical="top"/>
    </xf>
    <xf numFmtId="166" fontId="63" fillId="2" borderId="0" xfId="2" applyNumberFormat="1" applyFont="1" applyFill="1" applyBorder="1" applyAlignment="1">
      <alignment horizontal="right"/>
    </xf>
    <xf numFmtId="177" fontId="63" fillId="2" borderId="0" xfId="2" applyNumberFormat="1" applyFont="1" applyFill="1"/>
    <xf numFmtId="10" fontId="63" fillId="47" borderId="0" xfId="2" applyNumberFormat="1" applyFont="1" applyFill="1"/>
    <xf numFmtId="2" fontId="63" fillId="47" borderId="0" xfId="2" applyNumberFormat="1" applyFont="1" applyFill="1"/>
    <xf numFmtId="0" fontId="82" fillId="2" borderId="13" xfId="170" applyFont="1" applyFill="1" applyBorder="1" applyAlignment="1">
      <alignment horizontal="right" vertical="top"/>
    </xf>
    <xf numFmtId="3" fontId="9" fillId="2" borderId="0" xfId="170" applyNumberFormat="1" applyFill="1">
      <alignment vertical="top"/>
    </xf>
    <xf numFmtId="0" fontId="40" fillId="2" borderId="0" xfId="170" applyFont="1" applyFill="1" applyBorder="1">
      <alignment vertical="top"/>
    </xf>
    <xf numFmtId="0" fontId="59" fillId="2" borderId="0" xfId="170" applyFont="1" applyFill="1" applyAlignment="1">
      <alignment horizontal="left" vertical="top"/>
    </xf>
    <xf numFmtId="10" fontId="65" fillId="2" borderId="0" xfId="2" applyNumberFormat="1" applyFont="1" applyFill="1" applyAlignment="1">
      <alignment vertical="top"/>
    </xf>
    <xf numFmtId="44" fontId="65" fillId="2" borderId="0" xfId="169" applyFont="1" applyFill="1" applyAlignment="1">
      <alignment vertical="top"/>
    </xf>
    <xf numFmtId="191" fontId="94" fillId="48" borderId="0" xfId="169" applyNumberFormat="1" applyFont="1" applyFill="1" applyAlignment="1">
      <alignment vertical="top"/>
    </xf>
    <xf numFmtId="44" fontId="94" fillId="48" borderId="0" xfId="169" applyFont="1" applyFill="1" applyAlignment="1">
      <alignment vertical="top"/>
    </xf>
    <xf numFmtId="191" fontId="40" fillId="2" borderId="0" xfId="169" applyNumberFormat="1" applyFont="1" applyFill="1" applyBorder="1" applyAlignment="1">
      <alignment horizontal="right" vertical="top"/>
    </xf>
    <xf numFmtId="2" fontId="9" fillId="2" borderId="0" xfId="170" applyNumberFormat="1" applyFill="1">
      <alignment vertical="top"/>
    </xf>
    <xf numFmtId="1" fontId="9" fillId="2" borderId="0" xfId="170" applyNumberFormat="1" applyFill="1">
      <alignment vertical="top"/>
    </xf>
    <xf numFmtId="44" fontId="95" fillId="48" borderId="0" xfId="169" applyFont="1" applyFill="1" applyAlignment="1">
      <alignment vertical="top"/>
    </xf>
    <xf numFmtId="9" fontId="1" fillId="2" borderId="0" xfId="2" applyNumberFormat="1" applyFont="1" applyFill="1"/>
    <xf numFmtId="185" fontId="1" fillId="2" borderId="0" xfId="2" applyNumberFormat="1" applyFont="1" applyFill="1"/>
    <xf numFmtId="3" fontId="63" fillId="2" borderId="0" xfId="0" applyNumberFormat="1" applyFont="1" applyFill="1" applyAlignment="1">
      <alignment horizontal="right"/>
    </xf>
    <xf numFmtId="3" fontId="63" fillId="2" borderId="0" xfId="2" applyNumberFormat="1" applyFont="1" applyFill="1" applyBorder="1" applyAlignment="1">
      <alignment horizontal="right"/>
    </xf>
    <xf numFmtId="0" fontId="96" fillId="47" borderId="0" xfId="0" applyFont="1" applyFill="1" applyBorder="1"/>
    <xf numFmtId="3" fontId="63" fillId="2" borderId="0" xfId="2" applyNumberFormat="1" applyFont="1" applyFill="1" applyBorder="1" applyAlignment="1"/>
    <xf numFmtId="166" fontId="82" fillId="2" borderId="0" xfId="2" applyNumberFormat="1" applyFont="1" applyFill="1" applyAlignment="1">
      <alignment vertical="top"/>
    </xf>
    <xf numFmtId="191" fontId="40" fillId="2" borderId="0" xfId="169" applyNumberFormat="1" applyFont="1" applyFill="1" applyBorder="1"/>
    <xf numFmtId="0" fontId="59" fillId="2" borderId="0" xfId="0" applyNumberFormat="1" applyFont="1" applyFill="1" applyBorder="1" applyAlignment="1">
      <alignment horizontal="left" indent="1"/>
    </xf>
    <xf numFmtId="191" fontId="65" fillId="2" borderId="0" xfId="169" applyNumberFormat="1" applyFont="1" applyFill="1" applyBorder="1"/>
    <xf numFmtId="0" fontId="63" fillId="2" borderId="0" xfId="0" applyFont="1" applyFill="1" applyBorder="1" applyAlignment="1">
      <alignment horizontal="left" indent="2"/>
    </xf>
    <xf numFmtId="166" fontId="63" fillId="2" borderId="0" xfId="2" applyNumberFormat="1" applyFont="1" applyFill="1" applyBorder="1"/>
    <xf numFmtId="10" fontId="2" fillId="2" borderId="19" xfId="2" applyNumberFormat="1" applyFont="1" applyFill="1" applyBorder="1"/>
    <xf numFmtId="10" fontId="2" fillId="2" borderId="2" xfId="2" applyNumberFormat="1" applyFont="1" applyFill="1" applyBorder="1"/>
    <xf numFmtId="10" fontId="2" fillId="2" borderId="21" xfId="2" applyNumberFormat="1" applyFont="1" applyFill="1" applyBorder="1"/>
    <xf numFmtId="0" fontId="64" fillId="2" borderId="19" xfId="0" applyFont="1" applyFill="1" applyBorder="1"/>
    <xf numFmtId="0" fontId="64" fillId="2" borderId="0" xfId="0" applyFont="1" applyFill="1" applyBorder="1"/>
    <xf numFmtId="191" fontId="63" fillId="2" borderId="0" xfId="0" applyNumberFormat="1" applyFont="1" applyFill="1" applyBorder="1"/>
    <xf numFmtId="164" fontId="2" fillId="2" borderId="19" xfId="0" applyNumberFormat="1" applyFont="1" applyFill="1" applyBorder="1"/>
    <xf numFmtId="44" fontId="2" fillId="2" borderId="19" xfId="169" applyNumberFormat="1" applyFont="1" applyFill="1" applyBorder="1"/>
    <xf numFmtId="165" fontId="2" fillId="2" borderId="19" xfId="0" applyNumberFormat="1" applyFont="1" applyFill="1" applyBorder="1"/>
    <xf numFmtId="44" fontId="97" fillId="2" borderId="0" xfId="169" applyFont="1" applyFill="1"/>
    <xf numFmtId="44" fontId="97" fillId="2" borderId="0" xfId="169" applyFont="1" applyFill="1" applyBorder="1" applyAlignment="1"/>
    <xf numFmtId="44" fontId="97" fillId="2" borderId="0" xfId="169" applyFont="1" applyFill="1" applyBorder="1"/>
    <xf numFmtId="44" fontId="98" fillId="2" borderId="34" xfId="169" applyFont="1" applyFill="1" applyBorder="1"/>
    <xf numFmtId="44" fontId="98" fillId="2" borderId="19" xfId="169" applyFont="1" applyFill="1" applyBorder="1" applyAlignment="1"/>
    <xf numFmtId="44" fontId="98" fillId="2" borderId="19" xfId="169" applyFont="1" applyFill="1" applyBorder="1"/>
    <xf numFmtId="44" fontId="98" fillId="2" borderId="0" xfId="169" applyFont="1" applyFill="1" applyBorder="1"/>
    <xf numFmtId="44" fontId="98" fillId="2" borderId="0" xfId="169" applyFont="1" applyFill="1" applyBorder="1" applyAlignment="1"/>
    <xf numFmtId="44" fontId="98" fillId="2" borderId="19" xfId="169" applyNumberFormat="1" applyFont="1" applyFill="1" applyBorder="1"/>
    <xf numFmtId="44" fontId="98" fillId="2" borderId="0" xfId="169" applyNumberFormat="1" applyFont="1" applyFill="1"/>
    <xf numFmtId="10" fontId="63" fillId="51" borderId="0" xfId="2" applyNumberFormat="1" applyFont="1" applyFill="1"/>
    <xf numFmtId="9" fontId="59" fillId="50" borderId="0" xfId="2" applyFont="1" applyFill="1" applyBorder="1"/>
    <xf numFmtId="9" fontId="59" fillId="50" borderId="0" xfId="2" applyNumberFormat="1" applyFont="1" applyFill="1" applyBorder="1" applyAlignment="1"/>
    <xf numFmtId="177" fontId="59" fillId="50" borderId="0" xfId="0" applyNumberFormat="1" applyFont="1" applyFill="1" applyBorder="1" applyAlignment="1"/>
    <xf numFmtId="166" fontId="59" fillId="50" borderId="0" xfId="2" applyNumberFormat="1" applyFont="1" applyFill="1" applyBorder="1" applyAlignment="1"/>
    <xf numFmtId="191" fontId="59" fillId="50" borderId="0" xfId="169" applyNumberFormat="1" applyFont="1" applyFill="1" applyBorder="1" applyAlignment="1"/>
    <xf numFmtId="178" fontId="59" fillId="50" borderId="0" xfId="169" applyNumberFormat="1" applyFont="1" applyFill="1" applyBorder="1" applyAlignment="1"/>
    <xf numFmtId="2" fontId="59" fillId="50" borderId="0" xfId="169" applyNumberFormat="1" applyFont="1" applyFill="1" applyBorder="1" applyAlignment="1">
      <alignment horizontal="center"/>
    </xf>
    <xf numFmtId="10" fontId="65" fillId="50" borderId="0" xfId="169" applyNumberFormat="1" applyFont="1" applyFill="1" applyBorder="1" applyAlignment="1">
      <alignment horizontal="right"/>
    </xf>
    <xf numFmtId="166" fontId="65" fillId="50" borderId="0" xfId="169" applyNumberFormat="1" applyFont="1" applyFill="1" applyBorder="1" applyAlignment="1">
      <alignment horizontal="right"/>
    </xf>
    <xf numFmtId="10" fontId="65" fillId="50" borderId="0" xfId="2" applyNumberFormat="1" applyFont="1" applyFill="1" applyBorder="1" applyAlignment="1">
      <alignment horizontal="right"/>
    </xf>
    <xf numFmtId="195" fontId="1" fillId="2" borderId="0" xfId="2" applyNumberFormat="1" applyFont="1" applyFill="1"/>
    <xf numFmtId="195" fontId="65" fillId="50" borderId="0" xfId="2" applyNumberFormat="1" applyFont="1" applyFill="1" applyBorder="1" applyAlignment="1">
      <alignment horizontal="right"/>
    </xf>
    <xf numFmtId="10" fontId="59" fillId="50" borderId="0" xfId="2" applyNumberFormat="1" applyFont="1" applyFill="1" applyBorder="1" applyAlignment="1"/>
    <xf numFmtId="191" fontId="59" fillId="50" borderId="0" xfId="169" applyNumberFormat="1" applyFont="1" applyFill="1" applyBorder="1" applyAlignment="1">
      <alignment horizontal="right"/>
    </xf>
    <xf numFmtId="44" fontId="59" fillId="50" borderId="0" xfId="169" applyFont="1" applyFill="1" applyBorder="1" applyAlignment="1">
      <alignment horizontal="center"/>
    </xf>
    <xf numFmtId="10" fontId="59" fillId="50" borderId="0" xfId="169" applyNumberFormat="1" applyFont="1" applyFill="1" applyBorder="1" applyAlignment="1">
      <alignment horizontal="right"/>
    </xf>
    <xf numFmtId="0" fontId="9" fillId="2" borderId="0" xfId="167" applyFont="1" applyFill="1" applyAlignment="1">
      <alignment vertical="top"/>
    </xf>
    <xf numFmtId="0" fontId="68" fillId="2" borderId="0" xfId="167" applyFill="1" applyAlignment="1">
      <alignment vertical="top"/>
    </xf>
    <xf numFmtId="0" fontId="101" fillId="49" borderId="9" xfId="167" applyFont="1" applyFill="1" applyBorder="1" applyAlignment="1">
      <alignment horizontal="center" vertical="top"/>
    </xf>
    <xf numFmtId="0" fontId="1" fillId="2" borderId="0" xfId="0" applyNumberFormat="1" applyFont="1" applyFill="1" applyAlignment="1">
      <alignment horizontal="right"/>
    </xf>
    <xf numFmtId="0" fontId="63" fillId="46" borderId="0" xfId="2" applyNumberFormat="1" applyFont="1" applyFill="1" applyBorder="1" applyAlignment="1">
      <alignment horizontal="right"/>
    </xf>
    <xf numFmtId="17" fontId="9" fillId="2" borderId="0" xfId="170" applyNumberFormat="1" applyFill="1">
      <alignment vertical="top"/>
    </xf>
    <xf numFmtId="16" fontId="9" fillId="2" borderId="0" xfId="2" applyNumberFormat="1" applyFont="1" applyFill="1" applyAlignment="1">
      <alignment vertical="top"/>
    </xf>
    <xf numFmtId="191" fontId="59" fillId="2" borderId="19" xfId="170" applyNumberFormat="1" applyFont="1" applyFill="1" applyBorder="1">
      <alignment vertical="top"/>
    </xf>
    <xf numFmtId="166" fontId="82" fillId="2" borderId="0" xfId="2" applyNumberFormat="1" applyFont="1" applyFill="1" applyAlignment="1">
      <alignment horizontal="left" vertical="top"/>
    </xf>
    <xf numFmtId="198" fontId="9" fillId="2" borderId="0" xfId="170" applyNumberFormat="1" applyFill="1">
      <alignment vertical="top"/>
    </xf>
    <xf numFmtId="14" fontId="90" fillId="47" borderId="0" xfId="0" applyNumberFormat="1" applyFont="1" applyFill="1" applyBorder="1" applyAlignment="1"/>
    <xf numFmtId="166" fontId="82" fillId="2" borderId="0" xfId="2" applyNumberFormat="1" applyFont="1" applyFill="1" applyBorder="1" applyAlignment="1">
      <alignment horizontal="left" vertical="top"/>
    </xf>
    <xf numFmtId="166" fontId="82" fillId="2" borderId="0" xfId="2" applyNumberFormat="1" applyFont="1" applyFill="1" applyBorder="1" applyAlignment="1">
      <alignment vertical="top"/>
    </xf>
    <xf numFmtId="166" fontId="103" fillId="2" borderId="19" xfId="2" applyNumberFormat="1" applyFont="1" applyFill="1" applyBorder="1" applyAlignment="1">
      <alignment horizontal="left" vertical="top"/>
    </xf>
    <xf numFmtId="166" fontId="103" fillId="2" borderId="21" xfId="2" applyNumberFormat="1" applyFont="1" applyFill="1" applyBorder="1" applyAlignment="1">
      <alignment horizontal="left" vertical="top"/>
    </xf>
    <xf numFmtId="166" fontId="63" fillId="45" borderId="0" xfId="2" applyNumberFormat="1" applyFont="1" applyFill="1" applyBorder="1"/>
    <xf numFmtId="191" fontId="1" fillId="2" borderId="18" xfId="169" applyNumberFormat="1" applyFont="1" applyFill="1" applyBorder="1" applyAlignment="1">
      <alignment horizontal="right"/>
    </xf>
    <xf numFmtId="199" fontId="1" fillId="2" borderId="0" xfId="0" applyNumberFormat="1" applyFont="1" applyFill="1" applyBorder="1" applyAlignment="1">
      <alignment horizontal="right" vertical="center"/>
    </xf>
    <xf numFmtId="0" fontId="40" fillId="2" borderId="0" xfId="0" applyNumberFormat="1" applyFont="1" applyFill="1" applyBorder="1" applyAlignment="1">
      <alignment horizontal="left"/>
    </xf>
    <xf numFmtId="10" fontId="9" fillId="2" borderId="0" xfId="170" applyNumberFormat="1" applyFill="1">
      <alignment vertical="top"/>
    </xf>
    <xf numFmtId="44" fontId="1" fillId="2" borderId="19" xfId="0" applyNumberFormat="1" applyFont="1" applyFill="1" applyBorder="1"/>
    <xf numFmtId="185" fontId="6" fillId="2" borderId="0" xfId="0" applyNumberFormat="1" applyFont="1" applyFill="1" applyBorder="1"/>
    <xf numFmtId="44" fontId="104" fillId="2" borderId="0" xfId="169" applyFont="1" applyFill="1" applyBorder="1" applyAlignment="1"/>
    <xf numFmtId="44" fontId="104" fillId="2" borderId="0" xfId="169" applyFont="1" applyFill="1"/>
    <xf numFmtId="44" fontId="104" fillId="2" borderId="0" xfId="169" applyFont="1" applyFill="1" applyBorder="1"/>
    <xf numFmtId="44" fontId="104" fillId="2" borderId="0" xfId="169" applyNumberFormat="1" applyFont="1" applyFill="1"/>
    <xf numFmtId="44" fontId="104" fillId="2" borderId="0" xfId="169" applyNumberFormat="1" applyFont="1" applyFill="1" applyBorder="1" applyAlignment="1">
      <alignment horizontal="left" vertical="center"/>
    </xf>
    <xf numFmtId="44" fontId="59" fillId="50" borderId="0" xfId="169" applyNumberFormat="1" applyFont="1" applyFill="1" applyBorder="1" applyAlignment="1"/>
    <xf numFmtId="10" fontId="100" fillId="2" borderId="0" xfId="2" applyNumberFormat="1" applyFont="1" applyFill="1" applyBorder="1" applyAlignment="1">
      <alignment horizontal="left" indent="1"/>
    </xf>
    <xf numFmtId="10" fontId="8" fillId="2" borderId="0" xfId="2" applyNumberFormat="1" applyFont="1" applyFill="1" applyBorder="1" applyAlignment="1"/>
    <xf numFmtId="0" fontId="101" fillId="49" borderId="25" xfId="167" applyFont="1" applyFill="1" applyBorder="1" applyAlignment="1">
      <alignment horizontal="center" vertical="top"/>
    </xf>
    <xf numFmtId="0" fontId="101" fillId="49" borderId="22" xfId="167" applyFont="1" applyFill="1" applyBorder="1" applyAlignment="1">
      <alignment horizontal="center" vertical="top"/>
    </xf>
    <xf numFmtId="183" fontId="99" fillId="2" borderId="34" xfId="167" applyNumberFormat="1" applyFont="1" applyFill="1" applyBorder="1" applyAlignment="1">
      <alignment horizontal="center" vertical="center"/>
    </xf>
    <xf numFmtId="183" fontId="99" fillId="2" borderId="35" xfId="167" applyNumberFormat="1" applyFont="1" applyFill="1" applyBorder="1" applyAlignment="1">
      <alignment horizontal="center" vertical="center"/>
    </xf>
    <xf numFmtId="183" fontId="99" fillId="2" borderId="37" xfId="167" applyNumberFormat="1" applyFont="1" applyFill="1" applyBorder="1" applyAlignment="1">
      <alignment horizontal="center" vertical="center"/>
    </xf>
    <xf numFmtId="183" fontId="99" fillId="2" borderId="24" xfId="167" applyNumberFormat="1" applyFont="1" applyFill="1" applyBorder="1" applyAlignment="1">
      <alignment horizontal="center" vertical="center"/>
    </xf>
    <xf numFmtId="0" fontId="101" fillId="49" borderId="21" xfId="167" applyFont="1" applyFill="1" applyBorder="1" applyAlignment="1">
      <alignment horizontal="center" vertical="top"/>
    </xf>
    <xf numFmtId="183" fontId="99" fillId="2" borderId="19" xfId="167" applyNumberFormat="1" applyFont="1" applyFill="1" applyBorder="1" applyAlignment="1">
      <alignment horizontal="center" vertical="center"/>
    </xf>
    <xf numFmtId="183" fontId="99" fillId="2" borderId="2" xfId="167" applyNumberFormat="1" applyFont="1" applyFill="1" applyBorder="1" applyAlignment="1">
      <alignment horizontal="center" vertical="center"/>
    </xf>
    <xf numFmtId="0" fontId="68" fillId="2" borderId="34" xfId="167" applyFill="1" applyBorder="1" applyAlignment="1">
      <alignment horizontal="center" vertical="top"/>
    </xf>
    <xf numFmtId="0" fontId="68" fillId="2" borderId="35" xfId="167" applyFill="1" applyBorder="1" applyAlignment="1">
      <alignment horizontal="center" vertical="top"/>
    </xf>
    <xf numFmtId="0" fontId="68" fillId="2" borderId="36" xfId="167" applyFill="1" applyBorder="1" applyAlignment="1">
      <alignment horizontal="center" vertical="top"/>
    </xf>
    <xf numFmtId="0" fontId="68" fillId="2" borderId="33" xfId="167" applyFill="1" applyBorder="1" applyAlignment="1">
      <alignment horizontal="center" vertical="top"/>
    </xf>
    <xf numFmtId="0" fontId="68" fillId="2" borderId="37" xfId="167" applyFill="1" applyBorder="1" applyAlignment="1">
      <alignment horizontal="center" vertical="top"/>
    </xf>
    <xf numFmtId="0" fontId="68" fillId="2" borderId="24" xfId="167" applyFill="1" applyBorder="1" applyAlignment="1">
      <alignment horizontal="center" vertical="top"/>
    </xf>
    <xf numFmtId="184" fontId="99" fillId="2" borderId="34" xfId="167" applyNumberFormat="1" applyFont="1" applyFill="1" applyBorder="1" applyAlignment="1">
      <alignment horizontal="center" vertical="center"/>
    </xf>
    <xf numFmtId="184" fontId="99" fillId="2" borderId="35" xfId="167" applyNumberFormat="1" applyFont="1" applyFill="1" applyBorder="1" applyAlignment="1">
      <alignment horizontal="center" vertical="center"/>
    </xf>
    <xf numFmtId="184" fontId="99" fillId="2" borderId="37" xfId="167" applyNumberFormat="1" applyFont="1" applyFill="1" applyBorder="1" applyAlignment="1">
      <alignment horizontal="center" vertical="center"/>
    </xf>
    <xf numFmtId="184" fontId="99" fillId="2" borderId="24" xfId="167" applyNumberFormat="1" applyFont="1" applyFill="1" applyBorder="1" applyAlignment="1">
      <alignment horizontal="center" vertical="center"/>
    </xf>
    <xf numFmtId="183" fontId="99" fillId="2" borderId="38" xfId="167" applyNumberFormat="1" applyFont="1" applyFill="1" applyBorder="1" applyAlignment="1">
      <alignment horizontal="center" vertical="center"/>
    </xf>
    <xf numFmtId="183" fontId="99" fillId="2" borderId="23" xfId="167" applyNumberFormat="1" applyFont="1" applyFill="1" applyBorder="1" applyAlignment="1">
      <alignment horizontal="center" vertical="center"/>
    </xf>
    <xf numFmtId="0" fontId="102" fillId="49" borderId="34" xfId="167" applyFont="1" applyFill="1" applyBorder="1" applyAlignment="1">
      <alignment horizontal="center" vertical="top"/>
    </xf>
    <xf numFmtId="0" fontId="102" fillId="49" borderId="19" xfId="167" applyFont="1" applyFill="1" applyBorder="1" applyAlignment="1">
      <alignment horizontal="center" vertical="top"/>
    </xf>
    <xf numFmtId="0" fontId="102" fillId="49" borderId="35" xfId="167" applyFont="1" applyFill="1" applyBorder="1" applyAlignment="1">
      <alignment horizontal="center" vertical="top"/>
    </xf>
    <xf numFmtId="0" fontId="102" fillId="49" borderId="37" xfId="167" applyFont="1" applyFill="1" applyBorder="1" applyAlignment="1">
      <alignment horizontal="center" vertical="top"/>
    </xf>
    <xf numFmtId="0" fontId="102" fillId="49" borderId="2" xfId="167" applyFont="1" applyFill="1" applyBorder="1" applyAlignment="1">
      <alignment horizontal="center" vertical="top"/>
    </xf>
    <xf numFmtId="0" fontId="102" fillId="49" borderId="24" xfId="167" applyFont="1" applyFill="1" applyBorder="1" applyAlignment="1">
      <alignment horizontal="center" vertical="top"/>
    </xf>
    <xf numFmtId="164" fontId="1" fillId="2" borderId="0" xfId="0" applyNumberFormat="1" applyFont="1" applyFill="1" applyBorder="1" applyAlignment="1">
      <alignment horizontal="center"/>
    </xf>
    <xf numFmtId="164" fontId="1" fillId="2" borderId="0" xfId="0" applyNumberFormat="1" applyFont="1" applyFill="1" applyAlignment="1">
      <alignment horizontal="center"/>
    </xf>
    <xf numFmtId="187" fontId="63" fillId="2" borderId="2" xfId="0" applyNumberFormat="1" applyFont="1" applyFill="1" applyBorder="1" applyAlignment="1">
      <alignment horizontal="left"/>
    </xf>
    <xf numFmtId="164" fontId="40" fillId="47" borderId="25" xfId="0" applyNumberFormat="1" applyFont="1" applyFill="1" applyBorder="1" applyAlignment="1">
      <alignment horizontal="center"/>
    </xf>
    <xf numFmtId="164" fontId="40" fillId="47" borderId="21" xfId="0" applyNumberFormat="1" applyFont="1" applyFill="1" applyBorder="1" applyAlignment="1">
      <alignment horizontal="center"/>
    </xf>
    <xf numFmtId="164" fontId="40" fillId="47" borderId="22" xfId="0" applyNumberFormat="1" applyFont="1" applyFill="1" applyBorder="1" applyAlignment="1">
      <alignment horizontal="center"/>
    </xf>
    <xf numFmtId="193" fontId="2" fillId="2" borderId="13" xfId="0" applyNumberFormat="1" applyFont="1" applyFill="1" applyBorder="1" applyAlignment="1">
      <alignment horizontal="right"/>
    </xf>
    <xf numFmtId="2" fontId="63" fillId="2" borderId="0" xfId="2" applyNumberFormat="1" applyFont="1" applyFill="1" applyBorder="1"/>
    <xf numFmtId="193" fontId="2" fillId="2" borderId="0" xfId="0" applyNumberFormat="1" applyFont="1" applyFill="1" applyBorder="1" applyAlignment="1">
      <alignment horizontal="right"/>
    </xf>
    <xf numFmtId="0" fontId="2" fillId="47" borderId="13" xfId="0" applyFont="1" applyFill="1" applyBorder="1"/>
    <xf numFmtId="2" fontId="1" fillId="2" borderId="0" xfId="169" applyNumberFormat="1" applyFont="1" applyFill="1" applyBorder="1"/>
    <xf numFmtId="2" fontId="1" fillId="2" borderId="0" xfId="2" applyNumberFormat="1" applyFont="1" applyFill="1" applyBorder="1"/>
    <xf numFmtId="166" fontId="59" fillId="2" borderId="0" xfId="2" applyNumberFormat="1" applyFont="1" applyFill="1" applyBorder="1" applyAlignment="1">
      <alignment horizontal="right"/>
    </xf>
    <xf numFmtId="4" fontId="9" fillId="2" borderId="0" xfId="170" applyNumberFormat="1" applyFill="1">
      <alignment vertical="top"/>
    </xf>
    <xf numFmtId="2" fontId="59" fillId="2" borderId="0" xfId="169" applyNumberFormat="1" applyFont="1" applyFill="1" applyBorder="1" applyAlignment="1">
      <alignment horizontal="right"/>
    </xf>
  </cellXfs>
  <cellStyles count="171">
    <cellStyle name="%" xfId="135"/>
    <cellStyle name="_x0002_._x0011__x0002_._x001b__x0002_ _x0015_%_x0018__x0001_" xfId="4"/>
    <cellStyle name="_060510 Goal Setting CNV" xfId="5"/>
    <cellStyle name="_2008-08-18 WC SRL" xfId="6"/>
    <cellStyle name="_2008-10-06 Goodwill Test KPMG incl PL 19 (2)" xfId="7"/>
    <cellStyle name="_2008-10-06 Goodwill Test KPMG incl PL 19 (3)" xfId="8"/>
    <cellStyle name="_2009-03-17 Version für 53-19" xfId="9"/>
    <cellStyle name="_Access Bluebook 2007 DCL V7" xfId="10"/>
    <cellStyle name="_AL_cost_outlook_070405_Bluebook2007" xfId="11"/>
    <cellStyle name="_BB_08_BG_COM" xfId="12"/>
    <cellStyle name="_Bluebook-2005-PL-Projections-COM-SR2" xfId="13"/>
    <cellStyle name="_COM Cash Flow Bluebook 2008" xfId="14"/>
    <cellStyle name="_Cordless_Bizcase_070524" xfId="15"/>
    <cellStyle name="_Cordless_Bizcase_Bluebook (2)" xfId="16"/>
    <cellStyle name="_Cordless_Bizcase_Master" xfId="17"/>
    <cellStyle name="_Data" xfId="18"/>
    <cellStyle name="_Foundry Wafer Price Database - BU" xfId="19"/>
    <cellStyle name="_Segment_DCL_FRFC_2007_03" xfId="20"/>
    <cellStyle name="_SR_CSP_Segments" xfId="21"/>
    <cellStyle name="_Wireless_MPP_FRFC0810_V3" xfId="22"/>
    <cellStyle name="_WLS_MPP_BB2008_vs_VRFC0904_bw (2)" xfId="23"/>
    <cellStyle name="0,0_x000d__x000a_NA_x000d__x000a_" xfId="24"/>
    <cellStyle name="20% - Accent1 2" xfId="25"/>
    <cellStyle name="20% - Accent2 2" xfId="26"/>
    <cellStyle name="20% - Accent3 2" xfId="27"/>
    <cellStyle name="20% - Accent4 2" xfId="28"/>
    <cellStyle name="20% - Accent5 2" xfId="29"/>
    <cellStyle name="20% - Accent6 2" xfId="30"/>
    <cellStyle name="40% - Accent1 2" xfId="31"/>
    <cellStyle name="40% - Accent2 2" xfId="32"/>
    <cellStyle name="40% - Accent3 2" xfId="33"/>
    <cellStyle name="40% - Accent4 2" xfId="34"/>
    <cellStyle name="40% - Accent5 2" xfId="35"/>
    <cellStyle name="40% - Accent6 2" xfId="36"/>
    <cellStyle name="60% - Accent1 2" xfId="37"/>
    <cellStyle name="60% - Accent2 2" xfId="38"/>
    <cellStyle name="60% - Accent3 2" xfId="39"/>
    <cellStyle name="60% - Accent4 2" xfId="40"/>
    <cellStyle name="60% - Accent5 2" xfId="41"/>
    <cellStyle name="60% - Accent6 2" xfId="42"/>
    <cellStyle name="Accent1 2" xfId="43"/>
    <cellStyle name="Accent2 2" xfId="44"/>
    <cellStyle name="Accent3 2" xfId="45"/>
    <cellStyle name="Accent4 2" xfId="46"/>
    <cellStyle name="Accent5 2" xfId="47"/>
    <cellStyle name="Accent6 2" xfId="48"/>
    <cellStyle name="AFE" xfId="49"/>
    <cellStyle name="AFE 2" xfId="132"/>
    <cellStyle name="Bad 2" xfId="50"/>
    <cellStyle name="Calculation 2" xfId="51"/>
    <cellStyle name="Check Cell 2" xfId="52"/>
    <cellStyle name="Comma 2" xfId="154"/>
    <cellStyle name="Comma 3" xfId="168"/>
    <cellStyle name="Currency" xfId="169" builtinId="4"/>
    <cellStyle name="Currency 2" xfId="166"/>
    <cellStyle name="Detail" xfId="53"/>
    <cellStyle name="Euro" xfId="54"/>
    <cellStyle name="Explanatory Text 2" xfId="55"/>
    <cellStyle name="EY Narrative text" xfId="148"/>
    <cellStyle name="EY0dp" xfId="146"/>
    <cellStyle name="EY1dp" xfId="147"/>
    <cellStyle name="EYChartTitle" xfId="141"/>
    <cellStyle name="EYColumnHeading" xfId="144"/>
    <cellStyle name="EYCurrency" xfId="143"/>
    <cellStyle name="EYnumber" xfId="142"/>
    <cellStyle name="EYSectionHeading" xfId="138"/>
    <cellStyle name="EYSheetHeading" xfId="140"/>
    <cellStyle name="EYsmallheading" xfId="139"/>
    <cellStyle name="EYSource" xfId="149"/>
    <cellStyle name="EYtext" xfId="145"/>
    <cellStyle name="Good 2" xfId="56"/>
    <cellStyle name="Grey" xfId="57"/>
    <cellStyle name="Heading 1 2" xfId="58"/>
    <cellStyle name="Heading 2 2" xfId="59"/>
    <cellStyle name="Heading 3 2" xfId="60"/>
    <cellStyle name="Heading 4 2" xfId="61"/>
    <cellStyle name="Hyperlink" xfId="165" builtinId="8"/>
    <cellStyle name="Input [yellow]" xfId="63"/>
    <cellStyle name="Input 2" xfId="62"/>
    <cellStyle name="Linked Cell 2" xfId="64"/>
    <cellStyle name="meny_33-34" xfId="65"/>
    <cellStyle name="Milliers [0]_foxz" xfId="66"/>
    <cellStyle name="Milliers_foxz" xfId="67"/>
    <cellStyle name="Monétaire [0]_foxz" xfId="68"/>
    <cellStyle name="Monétaire_foxz" xfId="69"/>
    <cellStyle name="Neutral 2" xfId="70"/>
    <cellStyle name="Normal" xfId="0" builtinId="0"/>
    <cellStyle name="Normal - Style1" xfId="71"/>
    <cellStyle name="Normal 2" xfId="150"/>
    <cellStyle name="Normal 2 2" xfId="152"/>
    <cellStyle name="Normal 3" xfId="151"/>
    <cellStyle name="Normal 4" xfId="153"/>
    <cellStyle name="Normal 5" xfId="3"/>
    <cellStyle name="Normal 6" xfId="167"/>
    <cellStyle name="Normal 6 2" xfId="170"/>
    <cellStyle name="Normal_Project Accel Valuation v56" xfId="133"/>
    <cellStyle name="normální_33-34" xfId="72"/>
    <cellStyle name="Note 2" xfId="73"/>
    <cellStyle name="Œ…‹æØ‚è [0.00]_laroux" xfId="74"/>
    <cellStyle name="Œ…‹æØ‚è_laroux" xfId="75"/>
    <cellStyle name="Output 2" xfId="76"/>
    <cellStyle name="Percent" xfId="2" builtinId="5"/>
    <cellStyle name="Percent [2]" xfId="78"/>
    <cellStyle name="Percent 2" xfId="155"/>
    <cellStyle name="Percent 3" xfId="77"/>
    <cellStyle name="Percent 5" xfId="79"/>
    <cellStyle name="Prozent 2" xfId="134"/>
    <cellStyle name="PSChar" xfId="80"/>
    <cellStyle name="PSDate" xfId="81"/>
    <cellStyle name="PSDec" xfId="82"/>
    <cellStyle name="PSHeading" xfId="83"/>
    <cellStyle name="PSInt" xfId="84"/>
    <cellStyle name="PSSpacer" xfId="85"/>
    <cellStyle name="Revenue" xfId="86"/>
    <cellStyle name="SAPBEXaggData" xfId="87"/>
    <cellStyle name="SAPBEXaggDataEmph" xfId="88"/>
    <cellStyle name="SAPBEXaggItem" xfId="89"/>
    <cellStyle name="SAPBEXaggItemX" xfId="90"/>
    <cellStyle name="SAPBEXchaText" xfId="91"/>
    <cellStyle name="SAPBEXexcBad7" xfId="92"/>
    <cellStyle name="SAPBEXexcBad8" xfId="93"/>
    <cellStyle name="SAPBEXexcBad9" xfId="94"/>
    <cellStyle name="SAPBEXexcCritical4" xfId="95"/>
    <cellStyle name="SAPBEXexcCritical5" xfId="96"/>
    <cellStyle name="SAPBEXexcCritical6" xfId="97"/>
    <cellStyle name="SAPBEXexcGood1" xfId="98"/>
    <cellStyle name="SAPBEXexcGood2" xfId="99"/>
    <cellStyle name="SAPBEXexcGood3" xfId="100"/>
    <cellStyle name="SAPBEXfilterDrill" xfId="101"/>
    <cellStyle name="SAPBEXfilterItem" xfId="102"/>
    <cellStyle name="SAPBEXfilterText" xfId="103"/>
    <cellStyle name="SAPBEXformats" xfId="104"/>
    <cellStyle name="SAPBEXheaderItem" xfId="105"/>
    <cellStyle name="SAPBEXheaderText" xfId="106"/>
    <cellStyle name="SAPBEXHLevel0" xfId="107"/>
    <cellStyle name="SAPBEXHLevel0X" xfId="108"/>
    <cellStyle name="SAPBEXHLevel1" xfId="109"/>
    <cellStyle name="SAPBEXHLevel1X" xfId="110"/>
    <cellStyle name="SAPBEXHLevel2" xfId="111"/>
    <cellStyle name="SAPBEXHLevel2X" xfId="112"/>
    <cellStyle name="SAPBEXHLevel3" xfId="113"/>
    <cellStyle name="SAPBEXHLevel3X" xfId="114"/>
    <cellStyle name="SAPBEXresData" xfId="115"/>
    <cellStyle name="SAPBEXresDataEmph" xfId="116"/>
    <cellStyle name="SAPBEXresItem" xfId="117"/>
    <cellStyle name="SAPBEXresItemX" xfId="118"/>
    <cellStyle name="SAPBEXstdData" xfId="119"/>
    <cellStyle name="SAPBEXstdDataEmph" xfId="120"/>
    <cellStyle name="SAPBEXstdItem" xfId="121"/>
    <cellStyle name="SAPBEXstdItemX" xfId="122"/>
    <cellStyle name="SAPBEXtitle" xfId="123"/>
    <cellStyle name="SAPBEXundefined" xfId="124"/>
    <cellStyle name="Smart Subtitle 1" xfId="1"/>
    <cellStyle name="Standard 2" xfId="131"/>
    <cellStyle name="Standard 3" xfId="136"/>
    <cellStyle name="Standard 4" xfId="156"/>
    <cellStyle name="Stil 1" xfId="130"/>
    <cellStyle name="Style 1" xfId="125"/>
    <cellStyle name="Tahoma:10:1" xfId="160"/>
    <cellStyle name="Tahoma:10:129" xfId="161"/>
    <cellStyle name="Tahoma:12:1" xfId="157"/>
    <cellStyle name="Tahoma:12:129" xfId="162"/>
    <cellStyle name="Tahoma:8:0" xfId="158"/>
    <cellStyle name="Tahoma:8:1" xfId="159"/>
    <cellStyle name="Tahoma:8:128" xfId="163"/>
    <cellStyle name="Tahoma:8:129" xfId="164"/>
    <cellStyle name="Title 2" xfId="126"/>
    <cellStyle name="Total 2" xfId="127"/>
    <cellStyle name="Total Row" xfId="128"/>
    <cellStyle name="TTS" xfId="137"/>
    <cellStyle name="Warning Text 2" xfId="129"/>
  </cellStyles>
  <dxfs count="0"/>
  <tableStyles count="0" defaultTableStyle="TableStyleMedium2" defaultPivotStyle="PivotStyleMedium9"/>
  <colors>
    <mruColors>
      <color rgb="FFD9E2F3"/>
      <color rgb="FFF8BEC4"/>
      <color rgb="FFD7182A"/>
      <color rgb="FFEFEDF9"/>
      <color rgb="FF009242"/>
      <color rgb="FF0432FF"/>
      <color rgb="FF1B2424"/>
      <color rgb="FF201746"/>
      <color rgb="FF9F91DB"/>
      <color rgb="FFE6E2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'Accounting Adjustments'!$B$5</c:f>
              <c:strCache>
                <c:ptCount val="1"/>
                <c:pt idx="0">
                  <c:v>Revenues</c:v>
                </c:pt>
              </c:strCache>
            </c:strRef>
          </c:tx>
          <c:spPr>
            <a:solidFill>
              <a:schemeClr val="tx1">
                <a:lumMod val="85000"/>
                <a:lumOff val="15000"/>
              </a:schemeClr>
            </a:solidFill>
            <a:ln>
              <a:noFill/>
            </a:ln>
            <a:effectLst/>
          </c:spPr>
          <c:invertIfNegative val="0"/>
          <c:cat>
            <c:strRef>
              <c:f>'Accounting Adjustments'!$C$4:$H$4</c:f>
              <c:strCache>
                <c:ptCount val="6"/>
                <c:pt idx="0">
                  <c:v>2018A</c:v>
                </c:pt>
                <c:pt idx="1">
                  <c:v>2019A</c:v>
                </c:pt>
                <c:pt idx="2">
                  <c:v>2020A</c:v>
                </c:pt>
                <c:pt idx="3">
                  <c:v>2021A</c:v>
                </c:pt>
                <c:pt idx="4">
                  <c:v>2022A</c:v>
                </c:pt>
                <c:pt idx="5">
                  <c:v>TTM</c:v>
                </c:pt>
              </c:strCache>
            </c:strRef>
          </c:cat>
          <c:val>
            <c:numRef>
              <c:f>'Accounting Adjustments'!$C$5:$H$5</c:f>
              <c:numCache>
                <c:formatCode>_("$"* #,##0_);_("$"* \(#,##0\);_("$"* "-"??_);_(@_)</c:formatCode>
                <c:ptCount val="6"/>
                <c:pt idx="0">
                  <c:v>141576</c:v>
                </c:pt>
                <c:pt idx="1">
                  <c:v>152703</c:v>
                </c:pt>
                <c:pt idx="2">
                  <c:v>166761</c:v>
                </c:pt>
                <c:pt idx="3">
                  <c:v>195929</c:v>
                </c:pt>
                <c:pt idx="4">
                  <c:v>226954</c:v>
                </c:pt>
                <c:pt idx="5">
                  <c:v>234390</c:v>
                </c:pt>
              </c:numCache>
            </c:numRef>
          </c:val>
          <c:extLst>
            <c:ext xmlns:c16="http://schemas.microsoft.com/office/drawing/2014/chart" uri="{C3380CC4-5D6E-409C-BE32-E72D297353CC}">
              <c16:uniqueId val="{00000000-7742-4C88-AB0A-CA4FEAF2F95F}"/>
            </c:ext>
          </c:extLst>
        </c:ser>
        <c:dLbls>
          <c:showLegendKey val="0"/>
          <c:showVal val="0"/>
          <c:showCatName val="0"/>
          <c:showSerName val="0"/>
          <c:showPercent val="0"/>
          <c:showBubbleSize val="0"/>
        </c:dLbls>
        <c:gapWidth val="50"/>
        <c:overlap val="100"/>
        <c:axId val="1880042095"/>
        <c:axId val="1880046255"/>
      </c:barChart>
      <c:catAx>
        <c:axId val="1880042095"/>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ntserrat SemiBold" panose="00000700000000000000" pitchFamily="2" charset="0"/>
                <a:ea typeface="+mn-ea"/>
                <a:cs typeface="+mn-cs"/>
              </a:defRPr>
            </a:pPr>
            <a:endParaRPr lang="en-US"/>
          </a:p>
        </c:txPr>
        <c:crossAx val="1880046255"/>
        <c:crosses val="autoZero"/>
        <c:auto val="1"/>
        <c:lblAlgn val="ctr"/>
        <c:lblOffset val="100"/>
        <c:noMultiLvlLbl val="1"/>
      </c:catAx>
      <c:valAx>
        <c:axId val="1880046255"/>
        <c:scaling>
          <c:orientation val="minMax"/>
          <c:max val="320000"/>
          <c:min val="0"/>
        </c:scaling>
        <c:delete val="0"/>
        <c:axPos val="l"/>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numFmt formatCode="&quot;$&quot;#,###"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ntserrat SemiBold" panose="00000700000000000000" pitchFamily="2" charset="0"/>
                <a:ea typeface="+mn-ea"/>
                <a:cs typeface="Catamaran" pitchFamily="2" charset="0"/>
              </a:defRPr>
            </a:pPr>
            <a:endParaRPr lang="en-US"/>
          </a:p>
        </c:txPr>
        <c:crossAx val="1880042095"/>
        <c:crosses val="autoZero"/>
        <c:crossBetween val="between"/>
        <c:majorUnit val="80000"/>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820105820105821"/>
          <c:y val="2.3391812865497075E-2"/>
          <c:w val="0.53015873015873016"/>
          <c:h val="0.97660818713450293"/>
        </c:manualLayout>
      </c:layout>
      <c:pieChart>
        <c:varyColors val="1"/>
        <c:ser>
          <c:idx val="0"/>
          <c:order val="0"/>
          <c:dPt>
            <c:idx val="0"/>
            <c:bubble3D val="0"/>
            <c:spPr>
              <a:solidFill>
                <a:schemeClr val="tx1">
                  <a:lumMod val="85000"/>
                  <a:lumOff val="15000"/>
                </a:schemeClr>
              </a:solidFill>
              <a:ln w="19050">
                <a:solidFill>
                  <a:schemeClr val="lt1"/>
                </a:solidFill>
              </a:ln>
              <a:effectLst/>
            </c:spPr>
            <c:extLst>
              <c:ext xmlns:c16="http://schemas.microsoft.com/office/drawing/2014/chart" uri="{C3380CC4-5D6E-409C-BE32-E72D297353CC}">
                <c16:uniqueId val="{00000001-3CA0-479F-B988-0A55D3BCC3C6}"/>
              </c:ext>
            </c:extLst>
          </c:dPt>
          <c:dPt>
            <c:idx val="1"/>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3-3CA0-479F-B988-0A55D3BCC3C6}"/>
              </c:ext>
            </c:extLst>
          </c:dPt>
          <c:dPt>
            <c:idx val="2"/>
            <c:bubble3D val="0"/>
            <c:spPr>
              <a:solidFill>
                <a:schemeClr val="tx1">
                  <a:lumMod val="65000"/>
                  <a:lumOff val="35000"/>
                </a:schemeClr>
              </a:solidFill>
              <a:ln w="19050">
                <a:solidFill>
                  <a:schemeClr val="lt1"/>
                </a:solidFill>
              </a:ln>
              <a:effectLst/>
            </c:spPr>
            <c:extLst>
              <c:ext xmlns:c16="http://schemas.microsoft.com/office/drawing/2014/chart" uri="{C3380CC4-5D6E-409C-BE32-E72D297353CC}">
                <c16:uniqueId val="{00000005-3CA0-479F-B988-0A55D3BCC3C6}"/>
              </c:ext>
            </c:extLst>
          </c:dPt>
          <c:dLbls>
            <c:dLbl>
              <c:idx val="0"/>
              <c:layout>
                <c:manualLayout>
                  <c:x val="-0.13283694523078876"/>
                  <c:y val="-0.32592425946756653"/>
                </c:manualLayout>
              </c:layout>
              <c:dLblPos val="bestFit"/>
              <c:showLegendKey val="0"/>
              <c:showVal val="1"/>
              <c:showCatName val="1"/>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3CA0-479F-B988-0A55D3BCC3C6}"/>
                </c:ext>
              </c:extLst>
            </c:dLbl>
            <c:dLbl>
              <c:idx val="1"/>
              <c:layout/>
              <c:dLblPos val="ctr"/>
              <c:showLegendKey val="0"/>
              <c:showVal val="1"/>
              <c:showCatName val="1"/>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3CA0-479F-B988-0A55D3BCC3C6}"/>
                </c:ext>
              </c:extLst>
            </c:dLbl>
            <c:dLbl>
              <c:idx val="2"/>
              <c:layout/>
              <c:dLblPos val="ctr"/>
              <c:showLegendKey val="0"/>
              <c:showVal val="1"/>
              <c:showCatName val="1"/>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5-3CA0-479F-B988-0A55D3BCC3C6}"/>
                </c:ext>
              </c:extLst>
            </c:dLbl>
            <c:spPr>
              <a:solidFill>
                <a:schemeClr val="bg1">
                  <a:lumMod val="95000"/>
                </a:schemeClr>
              </a:solidFill>
              <a:ln>
                <a:solidFill>
                  <a:sysClr val="windowText" lastClr="000000"/>
                </a:solidFill>
              </a:ln>
              <a:effectLst/>
            </c:spPr>
            <c:txPr>
              <a:bodyPr rot="0" spcFirstLastPara="1" vertOverflow="overflow" horzOverflow="overflow" vert="horz" wrap="none" lIns="38100" tIns="19050" rIns="38100" bIns="19050" anchor="ctr" anchorCtr="1">
                <a:spAutoFit/>
              </a:bodyPr>
              <a:lstStyle/>
              <a:p>
                <a:pPr>
                  <a:defRPr sz="900" b="1" i="1"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ext>
            </c:extLst>
          </c:dLbls>
          <c:cat>
            <c:strRef>
              <c:f>'Corporate Governance'!$E$10:$E$12</c:f>
              <c:strCache>
                <c:ptCount val="3"/>
                <c:pt idx="0">
                  <c:v>Institutional</c:v>
                </c:pt>
                <c:pt idx="1">
                  <c:v>Insider</c:v>
                </c:pt>
                <c:pt idx="2">
                  <c:v>Retail</c:v>
                </c:pt>
              </c:strCache>
            </c:strRef>
          </c:cat>
          <c:val>
            <c:numRef>
              <c:f>'Corporate Governance'!$F$10:$F$12</c:f>
              <c:numCache>
                <c:formatCode>0%</c:formatCode>
                <c:ptCount val="3"/>
                <c:pt idx="0">
                  <c:v>0.67410000000000003</c:v>
                </c:pt>
                <c:pt idx="1">
                  <c:v>7.7999999999999996E-3</c:v>
                </c:pt>
                <c:pt idx="2">
                  <c:v>0.31809999999999994</c:v>
                </c:pt>
              </c:numCache>
            </c:numRef>
          </c:val>
          <c:extLst>
            <c:ext xmlns:c16="http://schemas.microsoft.com/office/drawing/2014/chart" uri="{C3380CC4-5D6E-409C-BE32-E72D297353CC}">
              <c16:uniqueId val="{00000006-3CA0-479F-B988-0A55D3BCC3C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866753801944984E-3"/>
          <c:y val="1.437719422440541E-2"/>
          <c:w val="0.98439842892086105"/>
          <c:h val="0.84696942064076752"/>
        </c:manualLayout>
      </c:layout>
      <c:barChart>
        <c:barDir val="col"/>
        <c:grouping val="stacked"/>
        <c:varyColors val="0"/>
        <c:ser>
          <c:idx val="0"/>
          <c:order val="0"/>
          <c:tx>
            <c:strRef>
              <c:f>'Corporate Governance'!$E$16</c:f>
              <c:strCache>
                <c:ptCount val="1"/>
                <c:pt idx="0">
                  <c:v>Audit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ysClr val="windowText" lastClr="000000"/>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layout/>
                <c15:showLeaderLines val="1"/>
                <c15:leaderLines>
                  <c:spPr>
                    <a:ln w="9525" cap="flat" cmpd="sng" algn="ctr">
                      <a:solidFill>
                        <a:schemeClr val="tx1">
                          <a:lumMod val="35000"/>
                          <a:lumOff val="65000"/>
                        </a:schemeClr>
                      </a:solidFill>
                      <a:round/>
                    </a:ln>
                    <a:effectLst/>
                  </c:spPr>
                </c15:leaderLines>
              </c:ext>
            </c:extLst>
          </c:dLbls>
          <c:val>
            <c:numRef>
              <c:f>'Corporate Governance'!$F$16</c:f>
              <c:numCache>
                <c:formatCode>_(* #,##0.0_);_(* \(#,##0.0\);_(* "-"?_);@_)</c:formatCode>
                <c:ptCount val="1"/>
                <c:pt idx="0">
                  <c:v>6</c:v>
                </c:pt>
              </c:numCache>
            </c:numRef>
          </c:val>
          <c:extLst>
            <c:ext xmlns:c16="http://schemas.microsoft.com/office/drawing/2014/chart" uri="{C3380CC4-5D6E-409C-BE32-E72D297353CC}">
              <c16:uniqueId val="{00000000-1C27-4A4A-BF09-DEEC91878B14}"/>
            </c:ext>
          </c:extLst>
        </c:ser>
        <c:ser>
          <c:idx val="1"/>
          <c:order val="1"/>
          <c:tx>
            <c:strRef>
              <c:f>'Corporate Governance'!$E$17</c:f>
              <c:strCache>
                <c:ptCount val="1"/>
                <c:pt idx="0">
                  <c:v>Board</c:v>
                </c:pt>
              </c:strCache>
            </c:strRef>
          </c:tx>
          <c:spPr>
            <a:solidFill>
              <a:schemeClr val="bg1">
                <a:lumMod val="50000"/>
              </a:schemeClr>
            </a:solidFill>
            <a:ln>
              <a:noFill/>
            </a:ln>
            <a:effectLst/>
          </c:spPr>
          <c:invertIfNegative val="0"/>
          <c:dLbls>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layout/>
                <c15:showLeaderLines val="1"/>
                <c15:leaderLines>
                  <c:spPr>
                    <a:ln w="9525" cap="flat" cmpd="sng" algn="ctr">
                      <a:solidFill>
                        <a:schemeClr val="tx1">
                          <a:lumMod val="35000"/>
                          <a:lumOff val="65000"/>
                        </a:schemeClr>
                      </a:solidFill>
                      <a:round/>
                    </a:ln>
                    <a:effectLst/>
                  </c:spPr>
                </c15:leaderLines>
              </c:ext>
            </c:extLst>
          </c:dLbls>
          <c:val>
            <c:numRef>
              <c:f>'Corporate Governance'!$F$17</c:f>
              <c:numCache>
                <c:formatCode>_(* #,##0.0_);_(* \(#,##0.0\);_(* "-"?_);@_)</c:formatCode>
                <c:ptCount val="1"/>
                <c:pt idx="0">
                  <c:v>6</c:v>
                </c:pt>
              </c:numCache>
            </c:numRef>
          </c:val>
          <c:extLst>
            <c:ext xmlns:c16="http://schemas.microsoft.com/office/drawing/2014/chart" uri="{C3380CC4-5D6E-409C-BE32-E72D297353CC}">
              <c16:uniqueId val="{00000001-1C27-4A4A-BF09-DEEC91878B14}"/>
            </c:ext>
          </c:extLst>
        </c:ser>
        <c:ser>
          <c:idx val="2"/>
          <c:order val="2"/>
          <c:tx>
            <c:strRef>
              <c:f>'Corporate Governance'!$E$18</c:f>
              <c:strCache>
                <c:ptCount val="1"/>
                <c:pt idx="0">
                  <c:v>Shareholder Rights</c:v>
                </c:pt>
              </c:strCache>
            </c:strRef>
          </c:tx>
          <c:spPr>
            <a:solidFill>
              <a:schemeClr val="tx1">
                <a:lumMod val="65000"/>
                <a:lumOff val="35000"/>
              </a:schemeClr>
            </a:solidFill>
            <a:ln>
              <a:noFill/>
            </a:ln>
            <a:effectLst/>
          </c:spPr>
          <c:invertIfNegative val="0"/>
          <c:dLbls>
            <c:dLbl>
              <c:idx val="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ontserrat" panose="00000500000000000000"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1-1794-4C8C-A399-65DE06B4850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'Corporate Governance'!$F$18</c:f>
              <c:numCache>
                <c:formatCode>_(* #,##0.0_);_(* \(#,##0.0\);_(* "-"?_);@_)</c:formatCode>
                <c:ptCount val="1"/>
                <c:pt idx="0">
                  <c:v>1</c:v>
                </c:pt>
              </c:numCache>
            </c:numRef>
          </c:val>
          <c:extLst>
            <c:ext xmlns:c16="http://schemas.microsoft.com/office/drawing/2014/chart" uri="{C3380CC4-5D6E-409C-BE32-E72D297353CC}">
              <c16:uniqueId val="{00000002-1C27-4A4A-BF09-DEEC91878B14}"/>
            </c:ext>
          </c:extLst>
        </c:ser>
        <c:ser>
          <c:idx val="3"/>
          <c:order val="3"/>
          <c:tx>
            <c:strRef>
              <c:f>'Corporate Governance'!$E$19</c:f>
              <c:strCache>
                <c:ptCount val="1"/>
                <c:pt idx="0">
                  <c:v>Compensation</c:v>
                </c:pt>
              </c:strCache>
            </c:strRef>
          </c:tx>
          <c:spPr>
            <a:solidFill>
              <a:schemeClr val="tx1"/>
            </a:solidFill>
            <a:ln>
              <a:noFill/>
            </a:ln>
            <a:effectLst/>
          </c:spPr>
          <c:invertIfNegative val="0"/>
          <c:dPt>
            <c:idx val="0"/>
            <c:invertIfNegative val="0"/>
            <c:bubble3D val="0"/>
            <c:extLst>
              <c:ext xmlns:c16="http://schemas.microsoft.com/office/drawing/2014/chart" uri="{C3380CC4-5D6E-409C-BE32-E72D297353CC}">
                <c16:uniqueId val="{00000000-1794-4C8C-A399-65DE06B4850E}"/>
              </c:ext>
            </c:extLst>
          </c:dPt>
          <c:dLbls>
            <c:dLbl>
              <c:idx val="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ontserrat" panose="00000500000000000000"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0-1794-4C8C-A399-65DE06B4850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'Corporate Governance'!$F$19</c:f>
              <c:numCache>
                <c:formatCode>_(* #,##0.0_);_(* \(#,##0.0\);_(* "-"?_);@_)</c:formatCode>
                <c:ptCount val="1"/>
                <c:pt idx="0">
                  <c:v>5</c:v>
                </c:pt>
              </c:numCache>
            </c:numRef>
          </c:val>
          <c:extLst>
            <c:ext xmlns:c16="http://schemas.microsoft.com/office/drawing/2014/chart" uri="{C3380CC4-5D6E-409C-BE32-E72D297353CC}">
              <c16:uniqueId val="{00000003-1C27-4A4A-BF09-DEEC91878B14}"/>
            </c:ext>
          </c:extLst>
        </c:ser>
        <c:dLbls>
          <c:showLegendKey val="0"/>
          <c:showVal val="0"/>
          <c:showCatName val="0"/>
          <c:showSerName val="0"/>
          <c:showPercent val="0"/>
          <c:showBubbleSize val="0"/>
        </c:dLbls>
        <c:gapWidth val="150"/>
        <c:overlap val="100"/>
        <c:axId val="2135820480"/>
        <c:axId val="2135820896"/>
      </c:barChart>
      <c:catAx>
        <c:axId val="2135820480"/>
        <c:scaling>
          <c:orientation val="minMax"/>
        </c:scaling>
        <c:delete val="0"/>
        <c:axPos val="b"/>
        <c:numFmt formatCode="General" sourceLinked="1"/>
        <c:majorTickMark val="none"/>
        <c:minorTickMark val="none"/>
        <c:tickLblPos val="nextTo"/>
        <c:spPr>
          <a:solidFill>
            <a:schemeClr val="bg1"/>
          </a:solid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135820896"/>
        <c:crosses val="autoZero"/>
        <c:auto val="1"/>
        <c:lblAlgn val="ctr"/>
        <c:lblOffset val="100"/>
        <c:noMultiLvlLbl val="0"/>
      </c:catAx>
      <c:valAx>
        <c:axId val="2135820896"/>
        <c:scaling>
          <c:orientation val="minMax"/>
        </c:scaling>
        <c:delete val="1"/>
        <c:axPos val="l"/>
        <c:numFmt formatCode="_(* #,##0.0_);_(* \(#,##0.0\);_(* &quot;-&quot;?_);@_)" sourceLinked="1"/>
        <c:majorTickMark val="none"/>
        <c:minorTickMark val="none"/>
        <c:tickLblPos val="nextTo"/>
        <c:crossAx val="213582048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333858267716531E-2"/>
          <c:y val="2.8985523784961647E-2"/>
          <c:w val="0.8599994750656168"/>
          <c:h val="0.93478257148383626"/>
        </c:manualLayout>
      </c:layout>
      <c:pieChart>
        <c:varyColors val="1"/>
        <c:ser>
          <c:idx val="0"/>
          <c:order val="0"/>
          <c:tx>
            <c:strRef>
              <c:f>'Risk Free Rate &amp; ERP'!$B$12:$B$14</c:f>
              <c:strCache>
                <c:ptCount val="3"/>
                <c:pt idx="0">
                  <c:v>USA</c:v>
                </c:pt>
                <c:pt idx="1">
                  <c:v>Canada</c:v>
                </c:pt>
                <c:pt idx="2">
                  <c:v>Global</c:v>
                </c:pt>
              </c:strCache>
            </c:strRef>
          </c:tx>
          <c:dPt>
            <c:idx val="0"/>
            <c:bubble3D val="0"/>
            <c:spPr>
              <a:solidFill>
                <a:schemeClr val="tx1">
                  <a:lumMod val="85000"/>
                  <a:lumOff val="15000"/>
                </a:schemeClr>
              </a:solidFill>
              <a:ln w="19050">
                <a:solidFill>
                  <a:schemeClr val="lt1"/>
                </a:solidFill>
              </a:ln>
              <a:effectLst/>
            </c:spPr>
            <c:extLst>
              <c:ext xmlns:c16="http://schemas.microsoft.com/office/drawing/2014/chart" uri="{C3380CC4-5D6E-409C-BE32-E72D297353CC}">
                <c16:uniqueId val="{00000001-74C7-4B28-A7F2-3ECA4184126F}"/>
              </c:ext>
            </c:extLst>
          </c:dPt>
          <c:dPt>
            <c:idx val="1"/>
            <c:bubble3D val="0"/>
            <c:spPr>
              <a:solidFill>
                <a:schemeClr val="tx1">
                  <a:lumMod val="65000"/>
                  <a:lumOff val="35000"/>
                </a:schemeClr>
              </a:solidFill>
              <a:ln w="19050">
                <a:solidFill>
                  <a:schemeClr val="lt1"/>
                </a:solidFill>
              </a:ln>
              <a:effectLst/>
            </c:spPr>
            <c:extLst>
              <c:ext xmlns:c16="http://schemas.microsoft.com/office/drawing/2014/chart" uri="{C3380CC4-5D6E-409C-BE32-E72D297353CC}">
                <c16:uniqueId val="{00000003-74C7-4B28-A7F2-3ECA4184126F}"/>
              </c:ext>
            </c:extLst>
          </c:dPt>
          <c:dPt>
            <c:idx val="2"/>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5-74C7-4B28-A7F2-3ECA4184126F}"/>
              </c:ext>
            </c:extLst>
          </c:dPt>
          <c:dPt>
            <c:idx val="3"/>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7-74C7-4B28-A7F2-3ECA4184126F}"/>
              </c:ext>
            </c:extLst>
          </c:dPt>
          <c:dPt>
            <c:idx val="4"/>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9-74C7-4B28-A7F2-3ECA4184126F}"/>
              </c:ext>
            </c:extLst>
          </c:dPt>
          <c:dPt>
            <c:idx val="5"/>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B-74C7-4B28-A7F2-3ECA4184126F}"/>
              </c:ext>
            </c:extLst>
          </c:dPt>
          <c:dPt>
            <c:idx val="6"/>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D-74C7-4B28-A7F2-3ECA4184126F}"/>
              </c:ext>
            </c:extLst>
          </c:dPt>
          <c:dPt>
            <c:idx val="7"/>
            <c:bubble3D val="0"/>
            <c:spPr>
              <a:solidFill>
                <a:schemeClr val="bg1">
                  <a:lumMod val="65000"/>
                </a:schemeClr>
              </a:solidFill>
              <a:ln w="19050">
                <a:solidFill>
                  <a:schemeClr val="lt1"/>
                </a:solidFill>
              </a:ln>
              <a:effectLst/>
            </c:spPr>
            <c:extLst>
              <c:ext xmlns:c16="http://schemas.microsoft.com/office/drawing/2014/chart" uri="{C3380CC4-5D6E-409C-BE32-E72D297353CC}">
                <c16:uniqueId val="{0000000F-74C7-4B28-A7F2-3ECA4184126F}"/>
              </c:ext>
            </c:extLst>
          </c:dPt>
          <c:dPt>
            <c:idx val="8"/>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11-74C7-4B28-A7F2-3ECA4184126F}"/>
              </c:ext>
            </c:extLst>
          </c:dPt>
          <c:dPt>
            <c:idx val="9"/>
            <c:bubble3D val="0"/>
            <c:spPr>
              <a:solidFill>
                <a:srgbClr val="FFC000"/>
              </a:solidFill>
              <a:ln w="19050">
                <a:solidFill>
                  <a:schemeClr val="lt1"/>
                </a:solidFill>
              </a:ln>
              <a:effectLst/>
            </c:spPr>
            <c:extLst>
              <c:ext xmlns:c16="http://schemas.microsoft.com/office/drawing/2014/chart" uri="{C3380CC4-5D6E-409C-BE32-E72D297353CC}">
                <c16:uniqueId val="{00000013-74C7-4B28-A7F2-3ECA4184126F}"/>
              </c:ext>
            </c:extLst>
          </c:dPt>
          <c:dLbls>
            <c:dLbl>
              <c:idx val="0"/>
              <c:layout/>
              <c:tx>
                <c:rich>
                  <a:bodyPr/>
                  <a:lstStyle/>
                  <a:p>
                    <a:fld id="{4DE042B4-5BC4-4B35-928F-2FB2BB78A846}" type="CELLRANGE">
                      <a:rPr lang="en-US"/>
                      <a:pPr/>
                      <a:t>[CELLRANGE]</a:t>
                    </a:fld>
                    <a:r>
                      <a:rPr lang="en-US" baseline="0"/>
                      <a:t>, </a:t>
                    </a:r>
                    <a:fld id="{5E65EA69-4418-4254-B212-CC56F9C35631}" type="PERCENTAGE">
                      <a:rPr lang="en-US" baseline="0"/>
                      <a:pPr/>
                      <a:t>[PERCENTAGE]</a:t>
                    </a:fld>
                    <a:endParaRPr lang="en-US" baseline="0"/>
                  </a:p>
                </c:rich>
              </c:tx>
              <c:dLblPos val="bestFit"/>
              <c:showLegendKey val="0"/>
              <c:showVal val="0"/>
              <c:showCatName val="0"/>
              <c:showSerName val="0"/>
              <c:showPercent val="1"/>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74C7-4B28-A7F2-3ECA4184126F}"/>
                </c:ext>
              </c:extLst>
            </c:dLbl>
            <c:dLbl>
              <c:idx val="1"/>
              <c:layout/>
              <c:tx>
                <c:rich>
                  <a:bodyPr/>
                  <a:lstStyle/>
                  <a:p>
                    <a:fld id="{3206D26C-9DD8-4E42-91B5-F34782D8DC9B}" type="CELLRANGE">
                      <a:rPr lang="en-US" baseline="0"/>
                      <a:pPr/>
                      <a:t>[CELLRANGE]</a:t>
                    </a:fld>
                    <a:r>
                      <a:rPr lang="en-US" baseline="0"/>
                      <a:t>, </a:t>
                    </a:r>
                    <a:fld id="{624EA6A3-CBA3-4332-99FC-16973557227E}" type="PERCENTAGE">
                      <a:rPr lang="en-US" baseline="0"/>
                      <a:pPr/>
                      <a:t>[PERCENTAGE]</a:t>
                    </a:fld>
                    <a:endParaRPr lang="en-US" baseline="0"/>
                  </a:p>
                </c:rich>
              </c:tx>
              <c:dLblPos val="ctr"/>
              <c:showLegendKey val="0"/>
              <c:showVal val="0"/>
              <c:showCatName val="0"/>
              <c:showSerName val="0"/>
              <c:showPercent val="1"/>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3-74C7-4B28-A7F2-3ECA4184126F}"/>
                </c:ext>
              </c:extLst>
            </c:dLbl>
            <c:dLbl>
              <c:idx val="2"/>
              <c:layout>
                <c:manualLayout>
                  <c:x val="0.12133442779112071"/>
                  <c:y val="0.16599347597482367"/>
                </c:manualLayout>
              </c:layout>
              <c:tx>
                <c:rich>
                  <a:bodyPr/>
                  <a:lstStyle/>
                  <a:p>
                    <a:fld id="{DDB37AD8-8303-495A-9E3D-14CFAA32C2A7}" type="CELLRANGE">
                      <a:rPr lang="en-US" baseline="0"/>
                      <a:pPr/>
                      <a:t>[CELLRANGE]</a:t>
                    </a:fld>
                    <a:r>
                      <a:rPr lang="en-US" baseline="0"/>
                      <a:t>, </a:t>
                    </a:r>
                    <a:fld id="{C6695FBC-48CF-415D-A224-DE11F775527B}" type="PERCENTAGE">
                      <a:rPr lang="en-US" baseline="0"/>
                      <a:pPr/>
                      <a:t>[PERCENTAGE]</a:t>
                    </a:fld>
                    <a:endParaRPr lang="en-US" baseline="0"/>
                  </a:p>
                </c:rich>
              </c:tx>
              <c:dLblPos val="bestFit"/>
              <c:showLegendKey val="0"/>
              <c:showVal val="0"/>
              <c:showCatName val="0"/>
              <c:showSerName val="0"/>
              <c:showPercent val="1"/>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5-74C7-4B28-A7F2-3ECA4184126F}"/>
                </c:ext>
              </c:extLst>
            </c:dLbl>
            <c:dLbl>
              <c:idx val="3"/>
              <c:layout>
                <c:manualLayout>
                  <c:x val="0.26038772180504466"/>
                  <c:y val="1.9927547602161134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74C7-4B28-A7F2-3ECA4184126F}"/>
                </c:ext>
              </c:extLst>
            </c:dLbl>
            <c:spPr>
              <a:solidFill>
                <a:schemeClr val="bg1">
                  <a:lumMod val="95000"/>
                </a:schemeClr>
              </a:solidFill>
              <a:ln>
                <a:solidFill>
                  <a:sysClr val="windowText" lastClr="000000"/>
                </a:solidFill>
              </a:ln>
              <a:effectLst/>
            </c:spPr>
            <c:txPr>
              <a:bodyPr rot="0" spcFirstLastPara="1" vertOverflow="overflow" horzOverflow="overflow" vert="horz" wrap="none" lIns="38100" tIns="19050" rIns="38100" bIns="19050" anchor="ctr" anchorCtr="1">
                <a:spAutoFit/>
              </a:bodyPr>
              <a:lstStyle/>
              <a:p>
                <a:pPr>
                  <a:defRPr sz="900" b="1" i="1"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layout/>
                <c15:showDataLabelsRange val="1"/>
              </c:ext>
            </c:extLst>
          </c:dLbls>
          <c:cat>
            <c:strRef>
              <c:f>'Risk Free Rate &amp; ERP'!$B$13:$B$14</c:f>
              <c:strCache>
                <c:ptCount val="2"/>
                <c:pt idx="0">
                  <c:v>Canada</c:v>
                </c:pt>
                <c:pt idx="1">
                  <c:v>Global</c:v>
                </c:pt>
              </c:strCache>
            </c:strRef>
          </c:cat>
          <c:val>
            <c:numRef>
              <c:f>'Risk Free Rate &amp; ERP'!$C$12:$C$14</c:f>
              <c:numCache>
                <c:formatCode>_("$"* #,##0_);_("$"* \(#,##0\);_("$"* "-"??_);_(@_)</c:formatCode>
                <c:ptCount val="3"/>
                <c:pt idx="0">
                  <c:v>80290</c:v>
                </c:pt>
                <c:pt idx="1">
                  <c:v>14655</c:v>
                </c:pt>
                <c:pt idx="2">
                  <c:v>14758</c:v>
                </c:pt>
              </c:numCache>
            </c:numRef>
          </c:val>
          <c:extLst>
            <c:ext xmlns:c15="http://schemas.microsoft.com/office/drawing/2012/chart" uri="{02D57815-91ED-43cb-92C2-25804820EDAC}">
              <c15:datalabelsRange>
                <c15:f>'Risk Free Rate &amp; ERP'!$B$12:$B$14</c15:f>
                <c15:dlblRangeCache>
                  <c:ptCount val="3"/>
                  <c:pt idx="0">
                    <c:v>USA</c:v>
                  </c:pt>
                  <c:pt idx="1">
                    <c:v>Canada</c:v>
                  </c:pt>
                  <c:pt idx="2">
                    <c:v>Global</c:v>
                  </c:pt>
                </c15:dlblRangeCache>
              </c15:datalabelsRange>
            </c:ext>
            <c:ext xmlns:c16="http://schemas.microsoft.com/office/drawing/2014/chart" uri="{C3380CC4-5D6E-409C-BE32-E72D297353CC}">
              <c16:uniqueId val="{00000014-74C7-4B28-A7F2-3ECA4184126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663539861119868"/>
          <c:y val="7.1895424836601302E-2"/>
          <c:w val="0.87958745201235811"/>
          <c:h val="0.63860480675209719"/>
        </c:manualLayout>
      </c:layout>
      <c:barChart>
        <c:barDir val="col"/>
        <c:grouping val="clustered"/>
        <c:varyColors val="0"/>
        <c:ser>
          <c:idx val="0"/>
          <c:order val="0"/>
          <c:tx>
            <c:strRef>
              <c:f>'Accounting Adjustments'!$B$32</c:f>
              <c:strCache>
                <c:ptCount val="1"/>
                <c:pt idx="0">
                  <c:v>EBIT Margin %</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'Accounting Adjustments'!$C$4:$H$4</c15:sqref>
                  </c15:fullRef>
                </c:ext>
              </c:extLst>
              <c:f>'Accounting Adjustments'!$E$4:$H$4</c:f>
              <c:strCache>
                <c:ptCount val="4"/>
                <c:pt idx="0">
                  <c:v>2020A</c:v>
                </c:pt>
                <c:pt idx="1">
                  <c:v>2021A</c:v>
                </c:pt>
                <c:pt idx="2">
                  <c:v>2022A</c:v>
                </c:pt>
                <c:pt idx="3">
                  <c:v>TTM</c:v>
                </c:pt>
              </c:strCache>
            </c:strRef>
          </c:cat>
          <c:val>
            <c:numRef>
              <c:extLst>
                <c:ext xmlns:c15="http://schemas.microsoft.com/office/drawing/2012/chart" uri="{02D57815-91ED-43cb-92C2-25804820EDAC}">
                  <c15:fullRef>
                    <c15:sqref>'Accounting Adjustments'!$C$32:$H$32</c15:sqref>
                  </c15:fullRef>
                </c:ext>
              </c:extLst>
              <c:f>'Accounting Adjustments'!$E$32:$H$32</c:f>
              <c:numCache>
                <c:formatCode>0.0%</c:formatCode>
                <c:ptCount val="4"/>
                <c:pt idx="0">
                  <c:v>3.259155318089961E-2</c:v>
                </c:pt>
                <c:pt idx="1">
                  <c:v>3.4236891935343926E-2</c:v>
                </c:pt>
                <c:pt idx="2">
                  <c:v>3.4337354706240032E-2</c:v>
                </c:pt>
                <c:pt idx="3">
                  <c:v>3.3883698109987627E-2</c:v>
                </c:pt>
              </c:numCache>
            </c:numRef>
          </c:val>
          <c:extLst>
            <c:ext xmlns:c16="http://schemas.microsoft.com/office/drawing/2014/chart" uri="{C3380CC4-5D6E-409C-BE32-E72D297353CC}">
              <c16:uniqueId val="{00000000-939C-4706-ACAE-7DD4377B791F}"/>
            </c:ext>
          </c:extLst>
        </c:ser>
        <c:ser>
          <c:idx val="1"/>
          <c:order val="1"/>
          <c:tx>
            <c:strRef>
              <c:f>'Accounting Adjustments'!$B$33</c:f>
              <c:strCache>
                <c:ptCount val="1"/>
                <c:pt idx="0">
                  <c:v>Return on capital %</c:v>
                </c:pt>
              </c:strCache>
            </c:strRef>
          </c:tx>
          <c:spPr>
            <a:solidFill>
              <a:schemeClr val="tx1">
                <a:lumMod val="85000"/>
                <a:lumOff val="1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'Accounting Adjustments'!$C$4:$H$4</c15:sqref>
                  </c15:fullRef>
                </c:ext>
              </c:extLst>
              <c:f>'Accounting Adjustments'!$E$4:$H$4</c:f>
              <c:strCache>
                <c:ptCount val="4"/>
                <c:pt idx="0">
                  <c:v>2020A</c:v>
                </c:pt>
                <c:pt idx="1">
                  <c:v>2021A</c:v>
                </c:pt>
                <c:pt idx="2">
                  <c:v>2022A</c:v>
                </c:pt>
                <c:pt idx="3">
                  <c:v>TTM</c:v>
                </c:pt>
              </c:strCache>
            </c:strRef>
          </c:cat>
          <c:val>
            <c:numRef>
              <c:extLst>
                <c:ext xmlns:c15="http://schemas.microsoft.com/office/drawing/2012/chart" uri="{02D57815-91ED-43cb-92C2-25804820EDAC}">
                  <c15:fullRef>
                    <c15:sqref>'Accounting Adjustments'!$C$33:$H$33</c15:sqref>
                  </c15:fullRef>
                </c:ext>
              </c:extLst>
              <c:f>'Accounting Adjustments'!$E$33:$H$33</c:f>
              <c:numCache>
                <c:formatCode>0.0%</c:formatCode>
                <c:ptCount val="4"/>
                <c:pt idx="0">
                  <c:v>0.23457150628639212</c:v>
                </c:pt>
                <c:pt idx="1">
                  <c:v>0.27462276332582136</c:v>
                </c:pt>
                <c:pt idx="2">
                  <c:v>0.2777768947723015</c:v>
                </c:pt>
                <c:pt idx="3">
                  <c:v>0.28977438203557165</c:v>
                </c:pt>
              </c:numCache>
            </c:numRef>
          </c:val>
          <c:extLst>
            <c:ext xmlns:c16="http://schemas.microsoft.com/office/drawing/2014/chart" uri="{C3380CC4-5D6E-409C-BE32-E72D297353CC}">
              <c16:uniqueId val="{00000001-939C-4706-ACAE-7DD4377B791F}"/>
            </c:ext>
          </c:extLst>
        </c:ser>
        <c:dLbls>
          <c:showLegendKey val="0"/>
          <c:showVal val="0"/>
          <c:showCatName val="0"/>
          <c:showSerName val="0"/>
          <c:showPercent val="0"/>
          <c:showBubbleSize val="0"/>
        </c:dLbls>
        <c:gapWidth val="85"/>
        <c:overlap val="-22"/>
        <c:axId val="861408064"/>
        <c:axId val="861410144"/>
      </c:barChart>
      <c:catAx>
        <c:axId val="8614080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b" anchorCtr="1"/>
          <a:lstStyle/>
          <a:p>
            <a:pPr>
              <a:defRPr sz="800" b="1" i="0" u="none" strike="noStrike" kern="1200" baseline="0">
                <a:solidFill>
                  <a:schemeClr val="tx1">
                    <a:lumMod val="65000"/>
                    <a:lumOff val="35000"/>
                  </a:schemeClr>
                </a:solidFill>
                <a:latin typeface="Montserrat" panose="00000500000000000000" pitchFamily="2" charset="0"/>
                <a:ea typeface="+mn-ea"/>
                <a:cs typeface="Arial" panose="020B0604020202020204" pitchFamily="34" charset="0"/>
              </a:defRPr>
            </a:pPr>
            <a:endParaRPr lang="en-US"/>
          </a:p>
        </c:txPr>
        <c:crossAx val="861410144"/>
        <c:crosses val="autoZero"/>
        <c:auto val="1"/>
        <c:lblAlgn val="ctr"/>
        <c:lblOffset val="100"/>
        <c:noMultiLvlLbl val="1"/>
      </c:catAx>
      <c:valAx>
        <c:axId val="861410144"/>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ntserrat SemiBold" panose="00000700000000000000" pitchFamily="2" charset="0"/>
                <a:ea typeface="+mn-ea"/>
                <a:cs typeface="+mn-cs"/>
              </a:defRPr>
            </a:pPr>
            <a:endParaRPr lang="en-US"/>
          </a:p>
        </c:txPr>
        <c:crossAx val="861408064"/>
        <c:crosses val="autoZero"/>
        <c:crossBetween val="between"/>
        <c:majorUnit val="0.1"/>
      </c:valAx>
      <c:spPr>
        <a:noFill/>
        <a:ln w="25400">
          <a:noFill/>
        </a:ln>
        <a:effectLst/>
      </c:spPr>
    </c:plotArea>
    <c:legend>
      <c:legendPos val="b"/>
      <c:layout/>
      <c:overlay val="0"/>
      <c:spPr>
        <a:noFill/>
        <a:ln>
          <a:noFill/>
        </a:ln>
        <a:effectLst/>
      </c:spPr>
      <c:txPr>
        <a:bodyPr rot="0" spcFirstLastPara="1" vertOverflow="ellipsis" vert="horz" wrap="square" anchor="ctr" anchorCtr="1"/>
        <a:lstStyle/>
        <a:p>
          <a:pPr>
            <a:defRPr sz="900" b="0" i="1" u="none" strike="noStrike" kern="1200" baseline="0">
              <a:solidFill>
                <a:schemeClr val="tx1">
                  <a:lumMod val="65000"/>
                  <a:lumOff val="35000"/>
                </a:schemeClr>
              </a:solidFill>
              <a:latin typeface="+mn-lt"/>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Drivers!$I$18</c:f>
              <c:strCache>
                <c:ptCount val="1"/>
                <c:pt idx="0">
                  <c:v>Min</c:v>
                </c:pt>
              </c:strCache>
            </c:strRef>
          </c:tx>
          <c:spPr>
            <a:noFill/>
            <a:ln>
              <a:noFill/>
            </a:ln>
            <a:effectLst/>
          </c:spPr>
          <c:invertIfNegative val="0"/>
          <c:dLbls>
            <c:spPr>
              <a:noFill/>
              <a:ln>
                <a:noFill/>
              </a:ln>
              <a:effectLst/>
            </c:spPr>
            <c:txPr>
              <a:bodyPr rot="0" spcFirstLastPara="1" vertOverflow="overflow" horzOverflow="overflow"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ontserrat SemiBold" panose="00000700000000000000" pitchFamily="2"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Drivers!$H$19:$H$22</c:f>
              <c:strCache>
                <c:ptCount val="4"/>
                <c:pt idx="0">
                  <c:v>52 Week Range</c:v>
                </c:pt>
                <c:pt idx="1">
                  <c:v>Analyst's Range</c:v>
                </c:pt>
                <c:pt idx="2">
                  <c:v>DCF Valuation</c:v>
                </c:pt>
                <c:pt idx="3">
                  <c:v>EV/EBIT</c:v>
                </c:pt>
              </c:strCache>
            </c:strRef>
          </c:cat>
          <c:val>
            <c:numRef>
              <c:f>Drivers!$I$19:$I$22</c:f>
              <c:numCache>
                <c:formatCode>_("$"* #,##0_);_("$"* \(#,##0\);_("$"* "-"??_);_(@_)</c:formatCode>
                <c:ptCount val="4"/>
                <c:pt idx="0">
                  <c:v>406.51</c:v>
                </c:pt>
                <c:pt idx="1">
                  <c:v>465</c:v>
                </c:pt>
                <c:pt idx="2">
                  <c:v>415.42954828790141</c:v>
                </c:pt>
                <c:pt idx="3">
                  <c:v>386.31230250064726</c:v>
                </c:pt>
              </c:numCache>
            </c:numRef>
          </c:val>
          <c:extLst>
            <c:ext xmlns:c16="http://schemas.microsoft.com/office/drawing/2014/chart" uri="{C3380CC4-5D6E-409C-BE32-E72D297353CC}">
              <c16:uniqueId val="{00000000-BB5D-4FA6-A935-2EF9442B74D5}"/>
            </c:ext>
          </c:extLst>
        </c:ser>
        <c:ser>
          <c:idx val="1"/>
          <c:order val="1"/>
          <c:tx>
            <c:strRef>
              <c:f>Drivers!$J$18</c:f>
              <c:strCache>
                <c:ptCount val="1"/>
                <c:pt idx="0">
                  <c:v>Difference</c:v>
                </c:pt>
              </c:strCache>
            </c:strRef>
          </c:tx>
          <c:spPr>
            <a:solidFill>
              <a:schemeClr val="tx1">
                <a:lumMod val="85000"/>
                <a:lumOff val="15000"/>
              </a:schemeClr>
            </a:solidFill>
            <a:ln>
              <a:noFill/>
            </a:ln>
            <a:effectLst/>
          </c:spPr>
          <c:invertIfNegative val="0"/>
          <c:cat>
            <c:strRef>
              <c:f>Drivers!$H$19:$H$22</c:f>
              <c:strCache>
                <c:ptCount val="4"/>
                <c:pt idx="0">
                  <c:v>52 Week Range</c:v>
                </c:pt>
                <c:pt idx="1">
                  <c:v>Analyst's Range</c:v>
                </c:pt>
                <c:pt idx="2">
                  <c:v>DCF Valuation</c:v>
                </c:pt>
                <c:pt idx="3">
                  <c:v>EV/EBIT</c:v>
                </c:pt>
              </c:strCache>
            </c:strRef>
          </c:cat>
          <c:val>
            <c:numRef>
              <c:f>Drivers!$J$19:$J$22</c:f>
              <c:numCache>
                <c:formatCode>_("$"* #,##0_);_("$"* \(#,##0\);_("$"* "-"??_);_(@_)</c:formatCode>
                <c:ptCount val="4"/>
                <c:pt idx="0">
                  <c:v>158.24</c:v>
                </c:pt>
                <c:pt idx="1">
                  <c:v>145</c:v>
                </c:pt>
                <c:pt idx="2">
                  <c:v>68.968825756099079</c:v>
                </c:pt>
                <c:pt idx="3">
                  <c:v>79.935137553120114</c:v>
                </c:pt>
              </c:numCache>
            </c:numRef>
          </c:val>
          <c:extLst>
            <c:ext xmlns:c16="http://schemas.microsoft.com/office/drawing/2014/chart" uri="{C3380CC4-5D6E-409C-BE32-E72D297353CC}">
              <c16:uniqueId val="{00000001-BB5D-4FA6-A935-2EF9442B74D5}"/>
            </c:ext>
          </c:extLst>
        </c:ser>
        <c:ser>
          <c:idx val="2"/>
          <c:order val="2"/>
          <c:tx>
            <c:strRef>
              <c:f>Drivers!$K$18</c:f>
              <c:strCache>
                <c:ptCount val="1"/>
                <c:pt idx="0">
                  <c:v>Max</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ontserrat SemiBold" panose="00000700000000000000" pitchFamily="2"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Drivers!$H$19:$H$22</c:f>
              <c:strCache>
                <c:ptCount val="4"/>
                <c:pt idx="0">
                  <c:v>52 Week Range</c:v>
                </c:pt>
                <c:pt idx="1">
                  <c:v>Analyst's Range</c:v>
                </c:pt>
                <c:pt idx="2">
                  <c:v>DCF Valuation</c:v>
                </c:pt>
                <c:pt idx="3">
                  <c:v>EV/EBIT</c:v>
                </c:pt>
              </c:strCache>
            </c:strRef>
          </c:cat>
          <c:val>
            <c:numRef>
              <c:f>Drivers!$K$19:$K$22</c:f>
              <c:numCache>
                <c:formatCode>_("$"* #,##0_);_("$"* \(#,##0\);_("$"* "-"??_);_(@_)</c:formatCode>
                <c:ptCount val="4"/>
                <c:pt idx="0">
                  <c:v>564.75</c:v>
                </c:pt>
                <c:pt idx="1">
                  <c:v>610</c:v>
                </c:pt>
                <c:pt idx="2">
                  <c:v>484.39837404400049</c:v>
                </c:pt>
                <c:pt idx="3">
                  <c:v>466.24744005376738</c:v>
                </c:pt>
              </c:numCache>
            </c:numRef>
          </c:val>
          <c:extLst>
            <c:ext xmlns:c16="http://schemas.microsoft.com/office/drawing/2014/chart" uri="{C3380CC4-5D6E-409C-BE32-E72D297353CC}">
              <c16:uniqueId val="{00000002-BB5D-4FA6-A935-2EF9442B74D5}"/>
            </c:ext>
          </c:extLst>
        </c:ser>
        <c:dLbls>
          <c:showLegendKey val="0"/>
          <c:showVal val="0"/>
          <c:showCatName val="0"/>
          <c:showSerName val="0"/>
          <c:showPercent val="0"/>
          <c:showBubbleSize val="0"/>
        </c:dLbls>
        <c:gapWidth val="126"/>
        <c:overlap val="100"/>
        <c:axId val="1932513040"/>
        <c:axId val="1932508880"/>
      </c:barChart>
      <c:catAx>
        <c:axId val="193251304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Catamaran" pitchFamily="2" charset="0"/>
                <a:ea typeface="+mn-ea"/>
                <a:cs typeface="Catamaran" pitchFamily="2" charset="0"/>
              </a:defRPr>
            </a:pPr>
            <a:endParaRPr lang="en-US"/>
          </a:p>
        </c:txPr>
        <c:crossAx val="1932508880"/>
        <c:crosses val="autoZero"/>
        <c:auto val="1"/>
        <c:lblAlgn val="ctr"/>
        <c:lblOffset val="100"/>
        <c:noMultiLvlLbl val="0"/>
      </c:catAx>
      <c:valAx>
        <c:axId val="1932508880"/>
        <c:scaling>
          <c:orientation val="minMax"/>
          <c:max val="650"/>
          <c:min val="350"/>
        </c:scaling>
        <c:delete val="1"/>
        <c:axPos val="t"/>
        <c:majorGridlines>
          <c:spPr>
            <a:ln w="9525" cap="flat" cmpd="sng" algn="ctr">
              <a:solidFill>
                <a:schemeClr val="tx1">
                  <a:lumMod val="15000"/>
                  <a:lumOff val="85000"/>
                </a:schemeClr>
              </a:solidFill>
              <a:round/>
            </a:ln>
            <a:effectLst/>
          </c:spPr>
        </c:majorGridlines>
        <c:numFmt formatCode="_(&quot;$&quot;* #,##0.0_);_(&quot;$&quot;* \(#,###\);_(&quot;$&quot;* &quot;-&quot;??_);_(@_)" sourceLinked="0"/>
        <c:majorTickMark val="out"/>
        <c:minorTickMark val="none"/>
        <c:tickLblPos val="nextTo"/>
        <c:crossAx val="19325130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'Optimal Cost of Capital'!$O$34</c:f>
              <c:strCache>
                <c:ptCount val="1"/>
                <c:pt idx="0">
                  <c:v>WACC</c:v>
                </c:pt>
              </c:strCache>
            </c:strRef>
          </c:tx>
          <c:spPr>
            <a:ln w="19050" cap="rnd">
              <a:solidFill>
                <a:sysClr val="windowText" lastClr="000000"/>
              </a:solidFill>
              <a:round/>
            </a:ln>
            <a:effectLst/>
          </c:spPr>
          <c:marker>
            <c:symbol val="circle"/>
            <c:size val="5"/>
            <c:spPr>
              <a:solidFill>
                <a:schemeClr val="tx1"/>
              </a:solidFill>
              <a:ln w="9525">
                <a:solidFill>
                  <a:sysClr val="windowText" lastClr="000000"/>
                </a:solidFill>
              </a:ln>
              <a:effectLst/>
            </c:spPr>
          </c:marker>
          <c:dPt>
            <c:idx val="0"/>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5-771A-439C-AA69-E1F6DCDAE81E}"/>
              </c:ext>
            </c:extLst>
          </c:dPt>
          <c:dPt>
            <c:idx val="1"/>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1-3A42-4E38-980B-E2EFD989FD9B}"/>
              </c:ext>
            </c:extLst>
          </c:dPt>
          <c:dPt>
            <c:idx val="3"/>
            <c:marker>
              <c:symbol val="circle"/>
              <c:size val="5"/>
              <c:spPr>
                <a:solidFill>
                  <a:srgbClr val="FFFF00"/>
                </a:solidFill>
                <a:ln w="9525">
                  <a:solidFill>
                    <a:sysClr val="windowText" lastClr="000000"/>
                  </a:solidFill>
                </a:ln>
                <a:effectLst/>
              </c:spPr>
            </c:marker>
            <c:bubble3D val="0"/>
            <c:extLst>
              <c:ext xmlns:c16="http://schemas.microsoft.com/office/drawing/2014/chart" uri="{C3380CC4-5D6E-409C-BE32-E72D297353CC}">
                <c16:uniqueId val="{00000004-AF86-4FDB-9E31-B0EE476DDA28}"/>
              </c:ext>
            </c:extLst>
          </c:dPt>
          <c:dPt>
            <c:idx val="4"/>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2-21FC-4376-B3A8-DB3B1F3E9D61}"/>
              </c:ext>
            </c:extLst>
          </c:dPt>
          <c:dPt>
            <c:idx val="5"/>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3-38E7-413F-A9B5-82FD563A4058}"/>
              </c:ext>
            </c:extLst>
          </c:dPt>
          <c:xVal>
            <c:numRef>
              <c:f>'Optimal Cost of Capital'!$B$35:$B$44</c:f>
              <c:numCache>
                <c:formatCode>0%</c:formatCode>
                <c:ptCount val="10"/>
                <c:pt idx="0">
                  <c:v>0.05</c:v>
                </c:pt>
                <c:pt idx="1">
                  <c:v>0.06</c:v>
                </c:pt>
                <c:pt idx="2">
                  <c:v>7.0000000000000007E-2</c:v>
                </c:pt>
                <c:pt idx="3">
                  <c:v>0.08</c:v>
                </c:pt>
                <c:pt idx="4">
                  <c:v>0.09</c:v>
                </c:pt>
                <c:pt idx="5">
                  <c:v>0.1</c:v>
                </c:pt>
                <c:pt idx="6">
                  <c:v>0.11</c:v>
                </c:pt>
                <c:pt idx="7">
                  <c:v>0.12</c:v>
                </c:pt>
                <c:pt idx="8">
                  <c:v>0.13</c:v>
                </c:pt>
                <c:pt idx="9">
                  <c:v>0.14000000000000001</c:v>
                </c:pt>
              </c:numCache>
            </c:numRef>
          </c:xVal>
          <c:yVal>
            <c:numRef>
              <c:f>'Optimal Cost of Capital'!$O$35:$O$44</c:f>
              <c:numCache>
                <c:formatCode>0.000%</c:formatCode>
                <c:ptCount val="10"/>
                <c:pt idx="0">
                  <c:v>6.3550460998049493E-2</c:v>
                </c:pt>
                <c:pt idx="1">
                  <c:v>6.3468157146638185E-2</c:v>
                </c:pt>
                <c:pt idx="2">
                  <c:v>6.338585329522689E-2</c:v>
                </c:pt>
                <c:pt idx="3">
                  <c:v>6.3303549443815582E-2</c:v>
                </c:pt>
                <c:pt idx="4">
                  <c:v>6.3396718044411368E-2</c:v>
                </c:pt>
                <c:pt idx="5">
                  <c:v>6.3333911132111953E-2</c:v>
                </c:pt>
                <c:pt idx="6">
                  <c:v>6.3700036880274286E-2</c:v>
                </c:pt>
                <c:pt idx="7">
                  <c:v>6.3956979769409991E-2</c:v>
                </c:pt>
                <c:pt idx="8">
                  <c:v>6.3956563062268657E-2</c:v>
                </c:pt>
                <c:pt idx="9">
                  <c:v>6.3956146355127308E-2</c:v>
                </c:pt>
              </c:numCache>
            </c:numRef>
          </c:yVal>
          <c:smooth val="0"/>
          <c:extLst>
            <c:ext xmlns:c16="http://schemas.microsoft.com/office/drawing/2014/chart" uri="{C3380CC4-5D6E-409C-BE32-E72D297353CC}">
              <c16:uniqueId val="{00000000-771A-439C-AA69-E1F6DCDAE81E}"/>
            </c:ext>
          </c:extLst>
        </c:ser>
        <c:dLbls>
          <c:showLegendKey val="0"/>
          <c:showVal val="0"/>
          <c:showCatName val="0"/>
          <c:showSerName val="0"/>
          <c:showPercent val="0"/>
          <c:showBubbleSize val="0"/>
        </c:dLbls>
        <c:axId val="1184005280"/>
        <c:axId val="1184006944"/>
      </c:scatterChart>
      <c:valAx>
        <c:axId val="1184005280"/>
        <c:scaling>
          <c:orientation val="minMax"/>
          <c:min val="5.000000000000001E-2"/>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4006944"/>
        <c:crosses val="autoZero"/>
        <c:crossBetween val="midCat"/>
      </c:valAx>
      <c:valAx>
        <c:axId val="118400694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400528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'Adjusted Present Value'!$J$32</c:f>
              <c:strCache>
                <c:ptCount val="1"/>
                <c:pt idx="0">
                  <c:v>Value of Unlevered Firm</c:v>
                </c:pt>
              </c:strCache>
            </c:strRef>
          </c:tx>
          <c:spPr>
            <a:ln w="19050" cap="rnd">
              <a:solidFill>
                <a:sysClr val="windowText" lastClr="000000"/>
              </a:solidFill>
              <a:round/>
            </a:ln>
            <a:effectLst/>
          </c:spPr>
          <c:marker>
            <c:symbol val="circle"/>
            <c:size val="5"/>
            <c:spPr>
              <a:solidFill>
                <a:schemeClr val="tx1"/>
              </a:solidFill>
              <a:ln w="9525">
                <a:solidFill>
                  <a:sysClr val="windowText" lastClr="000000"/>
                </a:solidFill>
              </a:ln>
              <a:effectLst/>
            </c:spPr>
          </c:marker>
          <c:dPt>
            <c:idx val="0"/>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1-37AA-47C4-A6F2-50DEAFE6FED9}"/>
              </c:ext>
            </c:extLst>
          </c:dPt>
          <c:dPt>
            <c:idx val="1"/>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2-E9DB-4525-B6F4-F287B926538A}"/>
              </c:ext>
            </c:extLst>
          </c:dPt>
          <c:dPt>
            <c:idx val="7"/>
            <c:marker>
              <c:symbol val="circle"/>
              <c:size val="5"/>
              <c:spPr>
                <a:solidFill>
                  <a:srgbClr val="FFFF00"/>
                </a:solidFill>
                <a:ln w="9525">
                  <a:solidFill>
                    <a:sysClr val="windowText" lastClr="000000"/>
                  </a:solidFill>
                </a:ln>
                <a:effectLst/>
              </c:spPr>
            </c:marker>
            <c:bubble3D val="0"/>
            <c:extLst>
              <c:ext xmlns:c16="http://schemas.microsoft.com/office/drawing/2014/chart" uri="{C3380CC4-5D6E-409C-BE32-E72D297353CC}">
                <c16:uniqueId val="{00000002-1BE1-4FBA-B0B1-250FAEDBEE01}"/>
              </c:ext>
            </c:extLst>
          </c:dPt>
          <c:dPt>
            <c:idx val="8"/>
            <c:marker>
              <c:symbol val="circle"/>
              <c:size val="5"/>
              <c:spPr>
                <a:solidFill>
                  <a:schemeClr val="tx1"/>
                </a:solidFill>
                <a:ln w="9525">
                  <a:solidFill>
                    <a:sysClr val="windowText" lastClr="000000"/>
                  </a:solidFill>
                </a:ln>
                <a:effectLst/>
              </c:spPr>
            </c:marker>
            <c:bubble3D val="0"/>
            <c:extLst>
              <c:ext xmlns:c16="http://schemas.microsoft.com/office/drawing/2014/chart" uri="{C3380CC4-5D6E-409C-BE32-E72D297353CC}">
                <c16:uniqueId val="{00000003-6DCA-40D5-9FCC-120E4410549B}"/>
              </c:ext>
            </c:extLst>
          </c:dPt>
          <c:xVal>
            <c:numRef>
              <c:f>'Adjusted Present Value'!$B$33:$B$42</c:f>
              <c:numCache>
                <c:formatCode>0%</c:formatCode>
                <c:ptCount val="10"/>
                <c:pt idx="0">
                  <c:v>0.12</c:v>
                </c:pt>
                <c:pt idx="1">
                  <c:v>0.13</c:v>
                </c:pt>
                <c:pt idx="2">
                  <c:v>0.14000000000000001</c:v>
                </c:pt>
                <c:pt idx="3">
                  <c:v>0.15</c:v>
                </c:pt>
                <c:pt idx="4">
                  <c:v>0.16</c:v>
                </c:pt>
                <c:pt idx="5">
                  <c:v>0.17</c:v>
                </c:pt>
                <c:pt idx="6">
                  <c:v>0.18</c:v>
                </c:pt>
                <c:pt idx="7">
                  <c:v>0.19</c:v>
                </c:pt>
                <c:pt idx="8">
                  <c:v>0.2</c:v>
                </c:pt>
                <c:pt idx="9">
                  <c:v>0.21</c:v>
                </c:pt>
              </c:numCache>
            </c:numRef>
          </c:xVal>
          <c:yVal>
            <c:numRef>
              <c:f>'Adjusted Present Value'!$J$33:$J$42</c:f>
              <c:numCache>
                <c:formatCode>_("$"* #,##0_);_("$"* \(#,##0\);_("$"* "-"??_);_(@_)</c:formatCode>
                <c:ptCount val="10"/>
                <c:pt idx="0">
                  <c:v>234807.03600838996</c:v>
                </c:pt>
                <c:pt idx="1">
                  <c:v>235314.92505963775</c:v>
                </c:pt>
                <c:pt idx="2">
                  <c:v>235822.81411088552</c:v>
                </c:pt>
                <c:pt idx="3">
                  <c:v>235909.5944743955</c:v>
                </c:pt>
                <c:pt idx="4">
                  <c:v>236417.48352564327</c:v>
                </c:pt>
                <c:pt idx="5">
                  <c:v>236925.37257689104</c:v>
                </c:pt>
                <c:pt idx="6">
                  <c:v>237433.2616281388</c:v>
                </c:pt>
                <c:pt idx="7">
                  <c:v>237941.15067938657</c:v>
                </c:pt>
                <c:pt idx="8">
                  <c:v>228722.34449756029</c:v>
                </c:pt>
                <c:pt idx="9">
                  <c:v>229230.23354880806</c:v>
                </c:pt>
              </c:numCache>
            </c:numRef>
          </c:yVal>
          <c:smooth val="0"/>
          <c:extLst>
            <c:ext xmlns:c16="http://schemas.microsoft.com/office/drawing/2014/chart" uri="{C3380CC4-5D6E-409C-BE32-E72D297353CC}">
              <c16:uniqueId val="{00000000-E9DB-4525-B6F4-F287B926538A}"/>
            </c:ext>
          </c:extLst>
        </c:ser>
        <c:dLbls>
          <c:showLegendKey val="0"/>
          <c:showVal val="0"/>
          <c:showCatName val="0"/>
          <c:showSerName val="0"/>
          <c:showPercent val="0"/>
          <c:showBubbleSize val="0"/>
        </c:dLbls>
        <c:axId val="737832495"/>
        <c:axId val="737828335"/>
      </c:scatterChart>
      <c:valAx>
        <c:axId val="737832495"/>
        <c:scaling>
          <c:orientation val="minMax"/>
          <c:max val="0.21000000000000002"/>
          <c:min val="0.11000000000000001"/>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828335"/>
        <c:crosses val="autoZero"/>
        <c:crossBetween val="midCat"/>
      </c:valAx>
      <c:valAx>
        <c:axId val="73782833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832495"/>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5A5DD700-5AF0-4EF6-9271-0F3D09B709EF}" formatIdx="0">
          <cx:spPr>
            <a:solidFill>
              <a:srgbClr val="FF5A5F"/>
            </a:solidFill>
          </cx:spPr>
          <cx:dataPt idx="0">
            <cx:spPr>
              <a:solidFill>
                <a:schemeClr val="tx1">
                  <a:lumMod val="85000"/>
                  <a:lumOff val="15000"/>
                </a:schemeClr>
              </a:solidFill>
              <a:ln>
                <a:noFill/>
              </a:ln>
            </cx:spPr>
          </cx:dataPt>
          <cx:dataPt idx="1">
            <cx:spPr>
              <a:solidFill>
                <a:schemeClr val="bg1">
                  <a:lumMod val="95000"/>
                </a:schemeClr>
              </a:solidFill>
              <a:ln>
                <a:noFill/>
              </a:ln>
            </cx:spPr>
          </cx:dataPt>
          <cx:dataPt idx="2">
            <cx:spPr>
              <a:solidFill>
                <a:schemeClr val="bg1">
                  <a:lumMod val="95000"/>
                </a:schemeClr>
              </a:solidFill>
              <a:ln>
                <a:noFill/>
              </a:ln>
            </cx:spPr>
          </cx:dataPt>
          <cx:dataPt idx="3">
            <cx:spPr>
              <a:solidFill>
                <a:schemeClr val="bg1">
                  <a:lumMod val="95000"/>
                </a:schemeClr>
              </a:solidFill>
              <a:ln>
                <a:noFill/>
              </a:ln>
            </cx:spPr>
          </cx:dataPt>
          <cx:dataPt idx="4">
            <cx:spPr>
              <a:solidFill>
                <a:schemeClr val="bg1">
                  <a:lumMod val="95000"/>
                </a:schemeClr>
              </a:solidFill>
              <a:ln>
                <a:noFill/>
              </a:ln>
            </cx:spPr>
          </cx:dataPt>
          <cx:dataPt idx="5">
            <cx:spPr>
              <a:solidFill>
                <a:schemeClr val="bg1">
                  <a:lumMod val="95000"/>
                </a:schemeClr>
              </a:solidFill>
              <a:ln>
                <a:noFill/>
              </a:ln>
            </cx:spPr>
          </cx:dataPt>
          <cx:dataPt idx="6">
            <cx:spPr>
              <a:solidFill>
                <a:schemeClr val="tx1">
                  <a:lumMod val="85000"/>
                  <a:lumOff val="15000"/>
                </a:schemeClr>
              </a:solidFill>
              <a:ln>
                <a:noFill/>
              </a:ln>
            </cx:spPr>
          </cx:dataPt>
          <cx:dataPt idx="7">
            <cx:spPr>
              <a:solidFill>
                <a:srgbClr val="1ED760"/>
              </a:solidFill>
              <a:ln>
                <a:noFill/>
              </a:ln>
            </cx:spPr>
          </cx:dataPt>
          <cx:dataLabels pos="outEnd">
            <cx:txPr>
              <a:bodyPr spcFirstLastPara="1" vertOverflow="ellipsis" wrap="square" lIns="0" tIns="0" rIns="0" bIns="0" anchor="ctr" anchorCtr="1">
                <a:spAutoFit/>
              </a:bodyPr>
              <a:lstStyle/>
              <a:p>
                <a:pPr>
                  <a:defRPr lang="en-US" sz="800" b="1" i="0" u="none" strike="noStrike" kern="1200" baseline="0">
                    <a:solidFill>
                      <a:sysClr val="windowText" lastClr="000000">
                        <a:lumMod val="75000"/>
                        <a:lumOff val="25000"/>
                      </a:sysClr>
                    </a:solidFill>
                    <a:latin typeface="Calibri" panose="020F0502020204030204"/>
                  </a:defRPr>
                </a:pPr>
                <a:endParaRPr lang="en-US" sz="800" b="1" i="0"/>
              </a:p>
            </cx:txPr>
            <cx:visibility seriesName="0" categoryName="0" value="1"/>
            <cx:separator>, </cx:separator>
            <cx:dataLabel idx="0" pos="outEnd">
              <cx:txPr>
                <a:bodyPr spcFirstLastPara="1" vertOverflow="ellipsis" wrap="square" lIns="0" tIns="0" rIns="0" bIns="0" anchor="ctr" anchorCtr="1">
                  <a:spAutoFit/>
                </a:bodyPr>
                <a:lstStyle/>
                <a:p>
                  <a:pPr>
                    <a:defRPr lang="en-US" sz="800" b="1" i="0" u="none" strike="noStrike" kern="1200" baseline="0">
                      <a:solidFill>
                        <a:sysClr val="windowText" lastClr="000000">
                          <a:lumMod val="75000"/>
                          <a:lumOff val="25000"/>
                        </a:sysClr>
                      </a:solidFill>
                      <a:latin typeface="Calibri" panose="020F0502020204030204"/>
                    </a:defRPr>
                  </a:pPr>
                  <a:r>
                    <a:rPr lang="en-US" b="1"/>
                    <a:t> $234,390 </a:t>
                  </a:r>
                </a:p>
              </cx:txPr>
              <cx:visibility seriesName="0" categoryName="0" value="1"/>
              <cx:separator>, </cx:separator>
            </cx:dataLabel>
            <cx:dataLabel idx="1" pos="outEnd">
              <cx:txPr>
                <a:bodyPr spcFirstLastPara="1" vertOverflow="ellipsis" wrap="square" lIns="0" tIns="0" rIns="0" bIns="0" anchor="ctr" anchorCtr="1">
                  <a:spAutoFit/>
                </a:bodyPr>
                <a:lstStyle/>
                <a:p>
                  <a:pPr>
                    <a:defRPr lang="en-US" sz="800" b="1" i="0" u="none" strike="noStrike" kern="1200" baseline="0">
                      <a:solidFill>
                        <a:sysClr val="windowText" lastClr="000000">
                          <a:lumMod val="75000"/>
                          <a:lumOff val="25000"/>
                        </a:sysClr>
                      </a:solidFill>
                      <a:latin typeface="Calibri" panose="020F0502020204030204"/>
                    </a:defRPr>
                  </a:pPr>
                  <a:r>
                    <a:rPr lang="en-US" sz="800" b="1"/>
                    <a:t> $(206,105)</a:t>
                  </a:r>
                </a:p>
              </cx:txPr>
              <cx:visibility seriesName="0" categoryName="0" value="1"/>
              <cx:separator>, </cx:separator>
            </cx:dataLabel>
            <cx:dataLabel idx="5" pos="outEnd">
              <cx:visibility seriesName="0" categoryName="0" value="1"/>
              <cx:separator>, </cx:separator>
            </cx:dataLabel>
          </cx:dataLabels>
          <cx:dataId val="0"/>
          <cx:layoutPr>
            <cx:visibility connectorLines="0"/>
            <cx:subtotals>
              <cx:idx val="0"/>
              <cx:idx val="5"/>
              <cx:idx val="6"/>
            </cx:subtotals>
          </cx:layoutPr>
        </cx:series>
      </cx:plotAreaRegion>
      <cx:axis id="0">
        <cx:catScaling gapWidth="0.300000012"/>
        <cx:majorTickMarks type="out"/>
        <cx:minorTickMarks type="out"/>
        <cx:tickLabels/>
        <cx:txPr>
          <a:bodyPr spcFirstLastPara="1" vertOverflow="ellipsis" wrap="square" lIns="0" tIns="0" rIns="0" bIns="0" anchor="ctr" anchorCtr="1"/>
          <a:lstStyle/>
          <a:p>
            <a:pPr>
              <a:defRPr b="1"/>
            </a:pPr>
            <a:endParaRPr lang="en-US" b="1"/>
          </a:p>
        </cx:txPr>
      </cx:axis>
      <cx:axis id="1" hidden="1">
        <cx:valScaling/>
        <cx:tickLabels/>
      </cx:axis>
    </cx:plotArea>
  </cx:chart>
  <cx:spPr>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bodyPr/>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bodyPr wrap="square" lIns="38100" tIns="19050" rIns="38100" bIns="19050" anchor="ctr">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bodyPr/>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body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bodyPr/>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A87AE887-645D-4AB6-910D-AFE49B59BAE5}" type="doc">
      <dgm:prSet loTypeId="urn:microsoft.com/office/officeart/2005/8/layout/matrix3" loCatId="matrix" qsTypeId="urn:microsoft.com/office/officeart/2005/8/quickstyle/simple1" qsCatId="simple" csTypeId="urn:microsoft.com/office/officeart/2005/8/colors/accent1_2" csCatId="accent1" phldr="1"/>
      <dgm:spPr/>
      <dgm:t>
        <a:bodyPr/>
        <a:lstStyle/>
        <a:p>
          <a:endParaRPr lang="en-US"/>
        </a:p>
      </dgm:t>
    </dgm:pt>
    <dgm:pt modelId="{3B7A71BC-FA89-47E2-BC4D-9FAD0A5D11EE}">
      <dgm:prSet phldrT="[Text]" custT="1"/>
      <dgm:spPr>
        <a:noFill/>
        <a:ln>
          <a:solidFill>
            <a:schemeClr val="tx1">
              <a:lumMod val="95000"/>
              <a:lumOff val="5000"/>
            </a:schemeClr>
          </a:solidFill>
        </a:ln>
      </dgm:spPr>
      <dgm:t>
        <a:bodyPr anchor="t"/>
        <a:lstStyle/>
        <a:p>
          <a:pPr algn="ctr"/>
          <a:endParaRPr lang="en-US" sz="1000" i="1">
            <a:solidFill>
              <a:sysClr val="windowText" lastClr="000000"/>
            </a:solidFill>
          </a:endParaRPr>
        </a:p>
        <a:p>
          <a:pPr algn="ctr"/>
          <a:r>
            <a:rPr lang="en-US" sz="1000" i="1">
              <a:solidFill>
                <a:sysClr val="windowText" lastClr="000000"/>
              </a:solidFill>
            </a:rPr>
            <a:t>Cash Surplus + Poor Projects</a:t>
          </a:r>
        </a:p>
      </dgm:t>
    </dgm:pt>
    <dgm:pt modelId="{30CBBC97-DBDF-43FF-99AD-2A0BD071B8FB}" type="parTrans" cxnId="{2127E0DD-B3C7-4112-B4A9-0D33EA379479}">
      <dgm:prSet/>
      <dgm:spPr/>
      <dgm:t>
        <a:bodyPr/>
        <a:lstStyle/>
        <a:p>
          <a:endParaRPr lang="en-US"/>
        </a:p>
      </dgm:t>
    </dgm:pt>
    <dgm:pt modelId="{DAA12A3B-5E75-4CEF-AA0D-7AE536CCF894}" type="sibTrans" cxnId="{2127E0DD-B3C7-4112-B4A9-0D33EA379479}">
      <dgm:prSet/>
      <dgm:spPr/>
      <dgm:t>
        <a:bodyPr/>
        <a:lstStyle/>
        <a:p>
          <a:endParaRPr lang="en-US"/>
        </a:p>
      </dgm:t>
    </dgm:pt>
    <dgm:pt modelId="{6A0527B0-36F2-4B73-A638-CF609A58818B}">
      <dgm:prSet phldrT="[Text]" custT="1"/>
      <dgm:spPr>
        <a:solidFill>
          <a:schemeClr val="bg1"/>
        </a:solidFill>
        <a:ln>
          <a:solidFill>
            <a:schemeClr val="tx1">
              <a:lumMod val="95000"/>
              <a:lumOff val="5000"/>
            </a:schemeClr>
          </a:solidFill>
        </a:ln>
      </dgm:spPr>
      <dgm:t>
        <a:bodyPr anchor="t"/>
        <a:lstStyle/>
        <a:p>
          <a:pPr algn="ctr"/>
          <a:endParaRPr lang="en-US" sz="1000" b="1" i="1">
            <a:solidFill>
              <a:sysClr val="windowText" lastClr="000000"/>
            </a:solidFill>
          </a:endParaRPr>
        </a:p>
        <a:p>
          <a:pPr algn="ctr"/>
          <a:r>
            <a:rPr lang="en-US" sz="1000" b="1" i="1">
              <a:solidFill>
                <a:sysClr val="windowText" lastClr="000000"/>
              </a:solidFill>
            </a:rPr>
            <a:t>Cash Surplus + Good Projects</a:t>
          </a:r>
        </a:p>
      </dgm:t>
    </dgm:pt>
    <dgm:pt modelId="{E1EBF0A7-96BA-4B5C-B373-9834D2256AC1}" type="parTrans" cxnId="{80A093ED-CB48-479D-A71F-07F40DCE59C1}">
      <dgm:prSet/>
      <dgm:spPr/>
      <dgm:t>
        <a:bodyPr/>
        <a:lstStyle/>
        <a:p>
          <a:endParaRPr lang="en-US"/>
        </a:p>
      </dgm:t>
    </dgm:pt>
    <dgm:pt modelId="{D853C850-8A9C-4970-A042-85F9B04EBDFA}" type="sibTrans" cxnId="{80A093ED-CB48-479D-A71F-07F40DCE59C1}">
      <dgm:prSet/>
      <dgm:spPr/>
      <dgm:t>
        <a:bodyPr/>
        <a:lstStyle/>
        <a:p>
          <a:endParaRPr lang="en-US"/>
        </a:p>
      </dgm:t>
    </dgm:pt>
    <dgm:pt modelId="{D36CBFB8-D3CE-498D-8D4E-5C125A2163ED}">
      <dgm:prSet phldrT="[Text]" custT="1"/>
      <dgm:spPr>
        <a:solidFill>
          <a:schemeClr val="bg1"/>
        </a:solidFill>
        <a:ln>
          <a:solidFill>
            <a:schemeClr val="tx1">
              <a:lumMod val="95000"/>
              <a:lumOff val="5000"/>
            </a:schemeClr>
          </a:solidFill>
        </a:ln>
      </dgm:spPr>
      <dgm:t>
        <a:bodyPr anchor="t"/>
        <a:lstStyle/>
        <a:p>
          <a:pPr algn="ctr"/>
          <a:endParaRPr lang="en-US" sz="1000" b="0" i="1">
            <a:solidFill>
              <a:sysClr val="windowText" lastClr="000000"/>
            </a:solidFill>
          </a:endParaRPr>
        </a:p>
        <a:p>
          <a:pPr algn="ctr"/>
          <a:r>
            <a:rPr lang="en-US" sz="1000" b="0" i="1">
              <a:solidFill>
                <a:sysClr val="windowText" lastClr="000000"/>
              </a:solidFill>
            </a:rPr>
            <a:t>Cash Deficit + Poor Projects</a:t>
          </a:r>
        </a:p>
      </dgm:t>
    </dgm:pt>
    <dgm:pt modelId="{BF1E04AB-6513-4409-B9E3-B96CF47B8A89}" type="parTrans" cxnId="{45D4F201-B93B-4215-8940-5AEF507A9B31}">
      <dgm:prSet/>
      <dgm:spPr/>
      <dgm:t>
        <a:bodyPr/>
        <a:lstStyle/>
        <a:p>
          <a:endParaRPr lang="en-US"/>
        </a:p>
      </dgm:t>
    </dgm:pt>
    <dgm:pt modelId="{81DBC2AF-D8B2-4D07-AF44-478B88333E8C}" type="sibTrans" cxnId="{45D4F201-B93B-4215-8940-5AEF507A9B31}">
      <dgm:prSet/>
      <dgm:spPr/>
      <dgm:t>
        <a:bodyPr/>
        <a:lstStyle/>
        <a:p>
          <a:endParaRPr lang="en-US"/>
        </a:p>
      </dgm:t>
    </dgm:pt>
    <dgm:pt modelId="{A8A7ABEC-1468-4B7C-B3A0-D4CF409B7A3A}">
      <dgm:prSet phldrT="[Text]" custT="1"/>
      <dgm:spPr>
        <a:noFill/>
        <a:ln>
          <a:solidFill>
            <a:schemeClr val="tx1">
              <a:lumMod val="95000"/>
              <a:lumOff val="5000"/>
            </a:schemeClr>
          </a:solidFill>
        </a:ln>
      </dgm:spPr>
      <dgm:t>
        <a:bodyPr anchor="t"/>
        <a:lstStyle/>
        <a:p>
          <a:pPr algn="ctr"/>
          <a:endParaRPr lang="en-US" sz="1000" i="1">
            <a:solidFill>
              <a:sysClr val="windowText" lastClr="000000"/>
            </a:solidFill>
          </a:endParaRPr>
        </a:p>
        <a:p>
          <a:pPr algn="ctr"/>
          <a:r>
            <a:rPr lang="en-US" sz="1000" i="1">
              <a:solidFill>
                <a:sysClr val="windowText" lastClr="000000"/>
              </a:solidFill>
            </a:rPr>
            <a:t>Cash Deficit + Good Projects</a:t>
          </a:r>
        </a:p>
      </dgm:t>
    </dgm:pt>
    <dgm:pt modelId="{21E16707-C8A9-4939-896E-D201FDF97EE4}" type="parTrans" cxnId="{62942049-EFD1-474C-B456-28C1B8AA0829}">
      <dgm:prSet/>
      <dgm:spPr/>
      <dgm:t>
        <a:bodyPr/>
        <a:lstStyle/>
        <a:p>
          <a:endParaRPr lang="en-US"/>
        </a:p>
      </dgm:t>
    </dgm:pt>
    <dgm:pt modelId="{CF475316-3B7D-4B30-8CD4-D6AD4AFD6709}" type="sibTrans" cxnId="{62942049-EFD1-474C-B456-28C1B8AA0829}">
      <dgm:prSet/>
      <dgm:spPr/>
      <dgm:t>
        <a:bodyPr/>
        <a:lstStyle/>
        <a:p>
          <a:endParaRPr lang="en-US"/>
        </a:p>
      </dgm:t>
    </dgm:pt>
    <dgm:pt modelId="{61BA6A0B-9CC8-4479-B73F-AAD096D83919}" type="pres">
      <dgm:prSet presAssocID="{A87AE887-645D-4AB6-910D-AFE49B59BAE5}" presName="matrix" presStyleCnt="0">
        <dgm:presLayoutVars>
          <dgm:chMax val="1"/>
          <dgm:dir/>
          <dgm:resizeHandles val="exact"/>
        </dgm:presLayoutVars>
      </dgm:prSet>
      <dgm:spPr/>
      <dgm:t>
        <a:bodyPr/>
        <a:lstStyle/>
        <a:p>
          <a:endParaRPr lang="en-US"/>
        </a:p>
      </dgm:t>
    </dgm:pt>
    <dgm:pt modelId="{68121200-9F91-42D1-A953-C31C49AE73E4}" type="pres">
      <dgm:prSet presAssocID="{A87AE887-645D-4AB6-910D-AFE49B59BAE5}" presName="diamond" presStyleLbl="bgShp" presStyleIdx="0" presStyleCnt="1" custLinFactNeighborX="-43750" custLinFactNeighborY="-5556"/>
      <dgm:spPr>
        <a:noFill/>
      </dgm:spPr>
    </dgm:pt>
    <dgm:pt modelId="{612610D0-C9D6-4361-A958-C243B3875A6D}" type="pres">
      <dgm:prSet presAssocID="{A87AE887-645D-4AB6-910D-AFE49B59BAE5}" presName="quad1" presStyleLbl="node1" presStyleIdx="0" presStyleCnt="4">
        <dgm:presLayoutVars>
          <dgm:chMax val="0"/>
          <dgm:chPref val="0"/>
          <dgm:bulletEnabled val="1"/>
        </dgm:presLayoutVars>
      </dgm:prSet>
      <dgm:spPr/>
      <dgm:t>
        <a:bodyPr/>
        <a:lstStyle/>
        <a:p>
          <a:endParaRPr lang="en-US"/>
        </a:p>
      </dgm:t>
    </dgm:pt>
    <dgm:pt modelId="{36A78E69-4D51-412F-B8D8-EE32E2B23F89}" type="pres">
      <dgm:prSet presAssocID="{A87AE887-645D-4AB6-910D-AFE49B59BAE5}" presName="quad2" presStyleLbl="node1" presStyleIdx="1" presStyleCnt="4">
        <dgm:presLayoutVars>
          <dgm:chMax val="0"/>
          <dgm:chPref val="0"/>
          <dgm:bulletEnabled val="1"/>
        </dgm:presLayoutVars>
      </dgm:prSet>
      <dgm:spPr/>
      <dgm:t>
        <a:bodyPr/>
        <a:lstStyle/>
        <a:p>
          <a:endParaRPr lang="en-US"/>
        </a:p>
      </dgm:t>
    </dgm:pt>
    <dgm:pt modelId="{6E5374E9-3063-44D1-A4E6-BD24F914E87F}" type="pres">
      <dgm:prSet presAssocID="{A87AE887-645D-4AB6-910D-AFE49B59BAE5}" presName="quad3" presStyleLbl="node1" presStyleIdx="2" presStyleCnt="4">
        <dgm:presLayoutVars>
          <dgm:chMax val="0"/>
          <dgm:chPref val="0"/>
          <dgm:bulletEnabled val="1"/>
        </dgm:presLayoutVars>
      </dgm:prSet>
      <dgm:spPr/>
      <dgm:t>
        <a:bodyPr/>
        <a:lstStyle/>
        <a:p>
          <a:endParaRPr lang="en-US"/>
        </a:p>
      </dgm:t>
    </dgm:pt>
    <dgm:pt modelId="{4EBBA46B-EC79-44F7-90DE-1561621BC3E5}" type="pres">
      <dgm:prSet presAssocID="{A87AE887-645D-4AB6-910D-AFE49B59BAE5}" presName="quad4" presStyleLbl="node1" presStyleIdx="3" presStyleCnt="4">
        <dgm:presLayoutVars>
          <dgm:chMax val="0"/>
          <dgm:chPref val="0"/>
          <dgm:bulletEnabled val="1"/>
        </dgm:presLayoutVars>
      </dgm:prSet>
      <dgm:spPr/>
      <dgm:t>
        <a:bodyPr/>
        <a:lstStyle/>
        <a:p>
          <a:endParaRPr lang="en-US"/>
        </a:p>
      </dgm:t>
    </dgm:pt>
  </dgm:ptLst>
  <dgm:cxnLst>
    <dgm:cxn modelId="{0C9D54E4-6CC4-43BD-A754-775DA8EA24E2}" type="presOf" srcId="{3B7A71BC-FA89-47E2-BC4D-9FAD0A5D11EE}" destId="{612610D0-C9D6-4361-A958-C243B3875A6D}" srcOrd="0" destOrd="0" presId="urn:microsoft.com/office/officeart/2005/8/layout/matrix3"/>
    <dgm:cxn modelId="{80A093ED-CB48-479D-A71F-07F40DCE59C1}" srcId="{A87AE887-645D-4AB6-910D-AFE49B59BAE5}" destId="{6A0527B0-36F2-4B73-A638-CF609A58818B}" srcOrd="1" destOrd="0" parTransId="{E1EBF0A7-96BA-4B5C-B373-9834D2256AC1}" sibTransId="{D853C850-8A9C-4970-A042-85F9B04EBDFA}"/>
    <dgm:cxn modelId="{62942049-EFD1-474C-B456-28C1B8AA0829}" srcId="{A87AE887-645D-4AB6-910D-AFE49B59BAE5}" destId="{A8A7ABEC-1468-4B7C-B3A0-D4CF409B7A3A}" srcOrd="3" destOrd="0" parTransId="{21E16707-C8A9-4939-896E-D201FDF97EE4}" sibTransId="{CF475316-3B7D-4B30-8CD4-D6AD4AFD6709}"/>
    <dgm:cxn modelId="{009CF931-4BFF-45A5-AC90-3D6E651B3E3C}" type="presOf" srcId="{D36CBFB8-D3CE-498D-8D4E-5C125A2163ED}" destId="{6E5374E9-3063-44D1-A4E6-BD24F914E87F}" srcOrd="0" destOrd="0" presId="urn:microsoft.com/office/officeart/2005/8/layout/matrix3"/>
    <dgm:cxn modelId="{2127E0DD-B3C7-4112-B4A9-0D33EA379479}" srcId="{A87AE887-645D-4AB6-910D-AFE49B59BAE5}" destId="{3B7A71BC-FA89-47E2-BC4D-9FAD0A5D11EE}" srcOrd="0" destOrd="0" parTransId="{30CBBC97-DBDF-43FF-99AD-2A0BD071B8FB}" sibTransId="{DAA12A3B-5E75-4CEF-AA0D-7AE536CCF894}"/>
    <dgm:cxn modelId="{4F649AD8-A863-42EC-9A3D-D39385B15282}" type="presOf" srcId="{A87AE887-645D-4AB6-910D-AFE49B59BAE5}" destId="{61BA6A0B-9CC8-4479-B73F-AAD096D83919}" srcOrd="0" destOrd="0" presId="urn:microsoft.com/office/officeart/2005/8/layout/matrix3"/>
    <dgm:cxn modelId="{45D4F201-B93B-4215-8940-5AEF507A9B31}" srcId="{A87AE887-645D-4AB6-910D-AFE49B59BAE5}" destId="{D36CBFB8-D3CE-498D-8D4E-5C125A2163ED}" srcOrd="2" destOrd="0" parTransId="{BF1E04AB-6513-4409-B9E3-B96CF47B8A89}" sibTransId="{81DBC2AF-D8B2-4D07-AF44-478B88333E8C}"/>
    <dgm:cxn modelId="{F2D73DE8-84EF-4CBE-99DB-63F3EDC245D5}" type="presOf" srcId="{6A0527B0-36F2-4B73-A638-CF609A58818B}" destId="{36A78E69-4D51-412F-B8D8-EE32E2B23F89}" srcOrd="0" destOrd="0" presId="urn:microsoft.com/office/officeart/2005/8/layout/matrix3"/>
    <dgm:cxn modelId="{0791DFD5-670D-4EEF-B786-483852237F32}" type="presOf" srcId="{A8A7ABEC-1468-4B7C-B3A0-D4CF409B7A3A}" destId="{4EBBA46B-EC79-44F7-90DE-1561621BC3E5}" srcOrd="0" destOrd="0" presId="urn:microsoft.com/office/officeart/2005/8/layout/matrix3"/>
    <dgm:cxn modelId="{FD7F2C5C-2D3B-4C24-8EFA-E7F787B94F60}" type="presParOf" srcId="{61BA6A0B-9CC8-4479-B73F-AAD096D83919}" destId="{68121200-9F91-42D1-A953-C31C49AE73E4}" srcOrd="0" destOrd="0" presId="urn:microsoft.com/office/officeart/2005/8/layout/matrix3"/>
    <dgm:cxn modelId="{0CB41018-2871-461E-9CA9-096295B28589}" type="presParOf" srcId="{61BA6A0B-9CC8-4479-B73F-AAD096D83919}" destId="{612610D0-C9D6-4361-A958-C243B3875A6D}" srcOrd="1" destOrd="0" presId="urn:microsoft.com/office/officeart/2005/8/layout/matrix3"/>
    <dgm:cxn modelId="{73CE2809-B945-4363-951A-E5AFB7FA386D}" type="presParOf" srcId="{61BA6A0B-9CC8-4479-B73F-AAD096D83919}" destId="{36A78E69-4D51-412F-B8D8-EE32E2B23F89}" srcOrd="2" destOrd="0" presId="urn:microsoft.com/office/officeart/2005/8/layout/matrix3"/>
    <dgm:cxn modelId="{C9CEFC25-FDBD-4712-80EC-F931854DCA68}" type="presParOf" srcId="{61BA6A0B-9CC8-4479-B73F-AAD096D83919}" destId="{6E5374E9-3063-44D1-A4E6-BD24F914E87F}" srcOrd="3" destOrd="0" presId="urn:microsoft.com/office/officeart/2005/8/layout/matrix3"/>
    <dgm:cxn modelId="{82653115-9937-4E71-BEDE-43091A54CE01}" type="presParOf" srcId="{61BA6A0B-9CC8-4479-B73F-AAD096D83919}" destId="{4EBBA46B-EC79-44F7-90DE-1561621BC3E5}" srcOrd="4" destOrd="0" presId="urn:microsoft.com/office/officeart/2005/8/layout/matrix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68121200-9F91-42D1-A953-C31C49AE73E4}">
      <dsp:nvSpPr>
        <dsp:cNvPr id="0" name=""/>
        <dsp:cNvSpPr/>
      </dsp:nvSpPr>
      <dsp:spPr>
        <a:xfrm>
          <a:off x="0" y="0"/>
          <a:ext cx="3324225" cy="3324225"/>
        </a:xfrm>
        <a:prstGeom prst="diamond">
          <a:avLst/>
        </a:prstGeom>
        <a:noFill/>
        <a:ln>
          <a:noFill/>
        </a:ln>
        <a:effectLst/>
      </dsp:spPr>
      <dsp:style>
        <a:lnRef idx="0">
          <a:scrgbClr r="0" g="0" b="0"/>
        </a:lnRef>
        <a:fillRef idx="1">
          <a:scrgbClr r="0" g="0" b="0"/>
        </a:fillRef>
        <a:effectRef idx="0">
          <a:scrgbClr r="0" g="0" b="0"/>
        </a:effectRef>
        <a:fontRef idx="minor"/>
      </dsp:style>
    </dsp:sp>
    <dsp:sp modelId="{612610D0-C9D6-4361-A958-C243B3875A6D}">
      <dsp:nvSpPr>
        <dsp:cNvPr id="0" name=""/>
        <dsp:cNvSpPr/>
      </dsp:nvSpPr>
      <dsp:spPr>
        <a:xfrm>
          <a:off x="372950" y="315801"/>
          <a:ext cx="1296447" cy="1296447"/>
        </a:xfrm>
        <a:prstGeom prst="roundRect">
          <a:avLst/>
        </a:prstGeom>
        <a:noFill/>
        <a:ln w="25400" cap="flat" cmpd="sng" algn="ctr">
          <a:solidFill>
            <a:schemeClr val="tx1">
              <a:lumMod val="95000"/>
              <a:lumOff val="500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38100" tIns="38100" rIns="38100" bIns="38100" numCol="1" spcCol="1270" anchor="t" anchorCtr="0">
          <a:noAutofit/>
        </a:bodyPr>
        <a:lstStyle/>
        <a:p>
          <a:pPr lvl="0" algn="ctr" defTabSz="444500">
            <a:lnSpc>
              <a:spcPct val="90000"/>
            </a:lnSpc>
            <a:spcBef>
              <a:spcPct val="0"/>
            </a:spcBef>
            <a:spcAft>
              <a:spcPct val="35000"/>
            </a:spcAft>
          </a:pPr>
          <a:endParaRPr lang="en-US" sz="1000" i="1" kern="1200">
            <a:solidFill>
              <a:sysClr val="windowText" lastClr="000000"/>
            </a:solidFill>
          </a:endParaRPr>
        </a:p>
        <a:p>
          <a:pPr lvl="0" algn="ctr" defTabSz="444500">
            <a:lnSpc>
              <a:spcPct val="90000"/>
            </a:lnSpc>
            <a:spcBef>
              <a:spcPct val="0"/>
            </a:spcBef>
            <a:spcAft>
              <a:spcPct val="35000"/>
            </a:spcAft>
          </a:pPr>
          <a:r>
            <a:rPr lang="en-US" sz="1000" i="1" kern="1200">
              <a:solidFill>
                <a:sysClr val="windowText" lastClr="000000"/>
              </a:solidFill>
            </a:rPr>
            <a:t>Cash Surplus + Poor Projects</a:t>
          </a:r>
        </a:p>
      </dsp:txBody>
      <dsp:txXfrm>
        <a:off x="436237" y="379088"/>
        <a:ext cx="1169873" cy="1169873"/>
      </dsp:txXfrm>
    </dsp:sp>
    <dsp:sp modelId="{36A78E69-4D51-412F-B8D8-EE32E2B23F89}">
      <dsp:nvSpPr>
        <dsp:cNvPr id="0" name=""/>
        <dsp:cNvSpPr/>
      </dsp:nvSpPr>
      <dsp:spPr>
        <a:xfrm>
          <a:off x="1769125" y="315801"/>
          <a:ext cx="1296447" cy="1296447"/>
        </a:xfrm>
        <a:prstGeom prst="roundRect">
          <a:avLst/>
        </a:prstGeom>
        <a:solidFill>
          <a:schemeClr val="bg1"/>
        </a:solidFill>
        <a:ln w="25400" cap="flat" cmpd="sng" algn="ctr">
          <a:solidFill>
            <a:schemeClr val="tx1">
              <a:lumMod val="95000"/>
              <a:lumOff val="500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38100" tIns="38100" rIns="38100" bIns="38100" numCol="1" spcCol="1270" anchor="t" anchorCtr="0">
          <a:noAutofit/>
        </a:bodyPr>
        <a:lstStyle/>
        <a:p>
          <a:pPr lvl="0" algn="ctr" defTabSz="444500">
            <a:lnSpc>
              <a:spcPct val="90000"/>
            </a:lnSpc>
            <a:spcBef>
              <a:spcPct val="0"/>
            </a:spcBef>
            <a:spcAft>
              <a:spcPct val="35000"/>
            </a:spcAft>
          </a:pPr>
          <a:endParaRPr lang="en-US" sz="1000" b="1" i="1" kern="1200">
            <a:solidFill>
              <a:sysClr val="windowText" lastClr="000000"/>
            </a:solidFill>
          </a:endParaRPr>
        </a:p>
        <a:p>
          <a:pPr lvl="0" algn="ctr" defTabSz="444500">
            <a:lnSpc>
              <a:spcPct val="90000"/>
            </a:lnSpc>
            <a:spcBef>
              <a:spcPct val="0"/>
            </a:spcBef>
            <a:spcAft>
              <a:spcPct val="35000"/>
            </a:spcAft>
          </a:pPr>
          <a:r>
            <a:rPr lang="en-US" sz="1000" b="1" i="1" kern="1200">
              <a:solidFill>
                <a:sysClr val="windowText" lastClr="000000"/>
              </a:solidFill>
            </a:rPr>
            <a:t>Cash Surplus + Good Projects</a:t>
          </a:r>
        </a:p>
      </dsp:txBody>
      <dsp:txXfrm>
        <a:off x="1832412" y="379088"/>
        <a:ext cx="1169873" cy="1169873"/>
      </dsp:txXfrm>
    </dsp:sp>
    <dsp:sp modelId="{6E5374E9-3063-44D1-A4E6-BD24F914E87F}">
      <dsp:nvSpPr>
        <dsp:cNvPr id="0" name=""/>
        <dsp:cNvSpPr/>
      </dsp:nvSpPr>
      <dsp:spPr>
        <a:xfrm>
          <a:off x="372950" y="1711975"/>
          <a:ext cx="1296447" cy="1296447"/>
        </a:xfrm>
        <a:prstGeom prst="roundRect">
          <a:avLst/>
        </a:prstGeom>
        <a:solidFill>
          <a:schemeClr val="bg1"/>
        </a:solidFill>
        <a:ln w="25400" cap="flat" cmpd="sng" algn="ctr">
          <a:solidFill>
            <a:schemeClr val="tx1">
              <a:lumMod val="95000"/>
              <a:lumOff val="500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38100" tIns="38100" rIns="38100" bIns="38100" numCol="1" spcCol="1270" anchor="t" anchorCtr="0">
          <a:noAutofit/>
        </a:bodyPr>
        <a:lstStyle/>
        <a:p>
          <a:pPr lvl="0" algn="ctr" defTabSz="444500">
            <a:lnSpc>
              <a:spcPct val="90000"/>
            </a:lnSpc>
            <a:spcBef>
              <a:spcPct val="0"/>
            </a:spcBef>
            <a:spcAft>
              <a:spcPct val="35000"/>
            </a:spcAft>
          </a:pPr>
          <a:endParaRPr lang="en-US" sz="1000" b="0" i="1" kern="1200">
            <a:solidFill>
              <a:sysClr val="windowText" lastClr="000000"/>
            </a:solidFill>
          </a:endParaRPr>
        </a:p>
        <a:p>
          <a:pPr lvl="0" algn="ctr" defTabSz="444500">
            <a:lnSpc>
              <a:spcPct val="90000"/>
            </a:lnSpc>
            <a:spcBef>
              <a:spcPct val="0"/>
            </a:spcBef>
            <a:spcAft>
              <a:spcPct val="35000"/>
            </a:spcAft>
          </a:pPr>
          <a:r>
            <a:rPr lang="en-US" sz="1000" b="0" i="1" kern="1200">
              <a:solidFill>
                <a:sysClr val="windowText" lastClr="000000"/>
              </a:solidFill>
            </a:rPr>
            <a:t>Cash Deficit + Poor Projects</a:t>
          </a:r>
        </a:p>
      </dsp:txBody>
      <dsp:txXfrm>
        <a:off x="436237" y="1775262"/>
        <a:ext cx="1169873" cy="1169873"/>
      </dsp:txXfrm>
    </dsp:sp>
    <dsp:sp modelId="{4EBBA46B-EC79-44F7-90DE-1561621BC3E5}">
      <dsp:nvSpPr>
        <dsp:cNvPr id="0" name=""/>
        <dsp:cNvSpPr/>
      </dsp:nvSpPr>
      <dsp:spPr>
        <a:xfrm>
          <a:off x="1769125" y="1711975"/>
          <a:ext cx="1296447" cy="1296447"/>
        </a:xfrm>
        <a:prstGeom prst="roundRect">
          <a:avLst/>
        </a:prstGeom>
        <a:noFill/>
        <a:ln w="25400" cap="flat" cmpd="sng" algn="ctr">
          <a:solidFill>
            <a:schemeClr val="tx1">
              <a:lumMod val="95000"/>
              <a:lumOff val="500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38100" tIns="38100" rIns="38100" bIns="38100" numCol="1" spcCol="1270" anchor="t" anchorCtr="0">
          <a:noAutofit/>
        </a:bodyPr>
        <a:lstStyle/>
        <a:p>
          <a:pPr lvl="0" algn="ctr" defTabSz="444500">
            <a:lnSpc>
              <a:spcPct val="90000"/>
            </a:lnSpc>
            <a:spcBef>
              <a:spcPct val="0"/>
            </a:spcBef>
            <a:spcAft>
              <a:spcPct val="35000"/>
            </a:spcAft>
          </a:pPr>
          <a:endParaRPr lang="en-US" sz="1000" i="1" kern="1200">
            <a:solidFill>
              <a:sysClr val="windowText" lastClr="000000"/>
            </a:solidFill>
          </a:endParaRPr>
        </a:p>
        <a:p>
          <a:pPr lvl="0" algn="ctr" defTabSz="444500">
            <a:lnSpc>
              <a:spcPct val="90000"/>
            </a:lnSpc>
            <a:spcBef>
              <a:spcPct val="0"/>
            </a:spcBef>
            <a:spcAft>
              <a:spcPct val="35000"/>
            </a:spcAft>
          </a:pPr>
          <a:r>
            <a:rPr lang="en-US" sz="1000" i="1" kern="1200">
              <a:solidFill>
                <a:sysClr val="windowText" lastClr="000000"/>
              </a:solidFill>
            </a:rPr>
            <a:t>Cash Deficit + Good Projects</a:t>
          </a:r>
        </a:p>
      </dsp:txBody>
      <dsp:txXfrm>
        <a:off x="1832412" y="1775262"/>
        <a:ext cx="1169873" cy="1169873"/>
      </dsp:txXfrm>
    </dsp:sp>
  </dsp:spTree>
</dsp:drawing>
</file>

<file path=xl/diagrams/layout1.xml><?xml version="1.0" encoding="utf-8"?>
<dgm:layoutDef xmlns:dgm="http://schemas.openxmlformats.org/drawingml/2006/diagram" xmlns:a="http://schemas.openxmlformats.org/drawingml/2006/main" uniqueId="urn:microsoft.com/office/officeart/2005/8/layout/matrix3">
  <dgm:title val=""/>
  <dgm:desc val=""/>
  <dgm:catLst>
    <dgm:cat type="matrix" pri="1000"/>
    <dgm:cat type="convert" pri="18000"/>
  </dgm:catLst>
  <dgm:samp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0" destOrd="0"/>
        <dgm:cxn modelId="8" srcId="0" destId="4" srcOrd="1" destOrd="0"/>
      </dgm:cxnLst>
      <dgm:bg/>
      <dgm:whole/>
    </dgm:dataModel>
  </dgm:sampData>
  <dgm:styleData useDef="1">
    <dgm:dataModel>
      <dgm:ptLst/>
      <dgm:bg/>
      <dgm:whole/>
    </dgm:dataModel>
  </dgm:styleData>
  <dgm:clrData useDef="1">
    <dgm:dataModel>
      <dgm:ptLst/>
      <dgm:bg/>
      <dgm:whole/>
    </dgm:dataModel>
  </dgm:clrData>
  <dgm:layoutNode name="matrix">
    <dgm:varLst>
      <dgm:chMax val="1"/>
      <dgm:dir/>
      <dgm:resizeHandles val="exact"/>
    </dgm:varLst>
    <dgm:alg type="composite">
      <dgm:param type="ar" val="1"/>
    </dgm:alg>
    <dgm:shape xmlns:r="http://schemas.openxmlformats.org/officeDocument/2006/relationships" r:blip="">
      <dgm:adjLst/>
    </dgm:shape>
    <dgm:presOf/>
    <dgm:choose name="Name0">
      <dgm:if name="Name1" func="var" arg="dir" op="equ" val="norm">
        <dgm:constrLst>
          <dgm:constr type="w" for="ch" forName="diamond" refType="w"/>
          <dgm:constr type="h" for="ch" forName="diamond" refType="h"/>
          <dgm:constr type="w" for="ch" forName="quad1" refType="w" fact="0.39"/>
          <dgm:constr type="h" for="ch" forName="quad1" refType="h" fact="0.39"/>
          <dgm:constr type="ctrX" for="ch" forName="quad1" refType="w" fact="0.29"/>
          <dgm:constr type="ctrY" for="ch" forName="quad1" refType="h" fact="0.29"/>
          <dgm:constr type="w" for="ch" forName="quad2" refType="w" fact="0.39"/>
          <dgm:constr type="h" for="ch" forName="quad2" refType="h" fact="0.39"/>
          <dgm:constr type="ctrX" for="ch" forName="quad2" refType="w" fact="0.71"/>
          <dgm:constr type="ctrY" for="ch" forName="quad2" refType="h" fact="0.29"/>
          <dgm:constr type="w" for="ch" forName="quad3" refType="w" fact="0.39"/>
          <dgm:constr type="h" for="ch" forName="quad3" refType="h" fact="0.39"/>
          <dgm:constr type="ctrX" for="ch" forName="quad3" refType="w" fact="0.29"/>
          <dgm:constr type="ctrY" for="ch" forName="quad3" refType="h" fact="0.71"/>
          <dgm:constr type="w" for="ch" forName="quad4" refType="w" fact="0.39"/>
          <dgm:constr type="h" for="ch" forName="quad4" refType="h" fact="0.39"/>
          <dgm:constr type="ctrX" for="ch" forName="quad4" refType="w" fact="0.71"/>
          <dgm:constr type="ctrY" for="ch" forName="quad4" refType="h" fact="0.71"/>
          <dgm:constr type="primFontSz" for="des" ptType="node" op="equ" val="65"/>
        </dgm:constrLst>
      </dgm:if>
      <dgm:else name="Name2">
        <dgm:constrLst>
          <dgm:constr type="w" for="ch" forName="diamond" refType="w"/>
          <dgm:constr type="h" for="ch" forName="diamond" refType="h"/>
          <dgm:constr type="w" for="ch" forName="quad1" refType="w" fact="0.39"/>
          <dgm:constr type="h" for="ch" forName="quad1" refType="h" fact="0.39"/>
          <dgm:constr type="ctrX" for="ch" forName="quad1" refType="w" fact="0.71"/>
          <dgm:constr type="ctrY" for="ch" forName="quad1" refType="h" fact="0.29"/>
          <dgm:constr type="w" for="ch" forName="quad2" refType="w" fact="0.39"/>
          <dgm:constr type="h" for="ch" forName="quad2" refType="h" fact="0.39"/>
          <dgm:constr type="ctrX" for="ch" forName="quad2" refType="w" fact="0.29"/>
          <dgm:constr type="ctrY" for="ch" forName="quad2" refType="h" fact="0.29"/>
          <dgm:constr type="w" for="ch" forName="quad3" refType="w" fact="0.39"/>
          <dgm:constr type="h" for="ch" forName="quad3" refType="h" fact="0.39"/>
          <dgm:constr type="ctrX" for="ch" forName="quad3" refType="w" fact="0.71"/>
          <dgm:constr type="ctrY" for="ch" forName="quad3" refType="h" fact="0.71"/>
          <dgm:constr type="w" for="ch" forName="quad4" refType="w" fact="0.39"/>
          <dgm:constr type="h" for="ch" forName="quad4" refType="h" fact="0.39"/>
          <dgm:constr type="ctrX" for="ch" forName="quad4" refType="w" fact="0.29"/>
          <dgm:constr type="ctrY" for="ch" forName="quad4" refType="h" fact="0.71"/>
          <dgm:constr type="primFontSz" for="des" ptType="node" op="equ" val="65"/>
        </dgm:constrLst>
      </dgm:else>
    </dgm:choose>
    <dgm:ruleLst/>
    <dgm:choose name="Name3">
      <dgm:if name="Name4" axis="ch" ptType="node" func="cnt" op="gte" val="1">
        <dgm:layoutNode name="diamond" styleLbl="bgShp">
          <dgm:alg type="sp"/>
          <dgm:shape xmlns:r="http://schemas.openxmlformats.org/officeDocument/2006/relationships" type="diamond" r:blip="">
            <dgm:adjLst/>
          </dgm:shape>
          <dgm:presOf/>
          <dgm:constrLst>
            <dgm:constr type="w" refType="h" op="equ"/>
          </dgm:constrLst>
          <dgm:ruleLst/>
        </dgm:layoutNode>
        <dgm:layoutNode name="quad1">
          <dgm:varLst>
            <dgm:chMax val="0"/>
            <dgm:chPref val="0"/>
            <dgm:bulletEnabled val="1"/>
          </dgm:varLst>
          <dgm:alg type="tx"/>
          <dgm:shape xmlns:r="http://schemas.openxmlformats.org/officeDocument/2006/relationships" type="roundRect" r:blip="">
            <dgm:adjLst/>
          </dgm:shape>
          <dgm:presOf axis="ch desOrSelf" ptType="node node" st="1 1" cnt="1 0"/>
          <dgm:constrLst>
            <dgm:constr type="w" refType="h" op="equ"/>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quad2">
          <dgm:varLst>
            <dgm:chMax val="0"/>
            <dgm:chPref val="0"/>
            <dgm:bulletEnabled val="1"/>
          </dgm:varLst>
          <dgm:alg type="tx"/>
          <dgm:shape xmlns:r="http://schemas.openxmlformats.org/officeDocument/2006/relationships" type="roundRect" r:blip="">
            <dgm:adjLst/>
          </dgm:shape>
          <dgm:presOf axis="ch desOrSelf" ptType="node node" st="2 1" cnt="1 0"/>
          <dgm:constrLst>
            <dgm:constr type="w" refType="h" op="equ"/>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quad3">
          <dgm:varLst>
            <dgm:chMax val="0"/>
            <dgm:chPref val="0"/>
            <dgm:bulletEnabled val="1"/>
          </dgm:varLst>
          <dgm:alg type="tx"/>
          <dgm:shape xmlns:r="http://schemas.openxmlformats.org/officeDocument/2006/relationships" type="roundRect" r:blip="">
            <dgm:adjLst/>
          </dgm:shape>
          <dgm:presOf axis="ch desOrSelf" ptType="node node" st="3 1" cnt="1 0"/>
          <dgm:constrLst>
            <dgm:constr type="w" refType="h" op="equ"/>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quad4">
          <dgm:varLst>
            <dgm:chMax val="0"/>
            <dgm:chPref val="0"/>
            <dgm:bulletEnabled val="1"/>
          </dgm:varLst>
          <dgm:alg type="tx"/>
          <dgm:shape xmlns:r="http://schemas.openxmlformats.org/officeDocument/2006/relationships" type="roundRect" r:blip="">
            <dgm:adjLst/>
          </dgm:shape>
          <dgm:presOf axis="ch desOrSelf" ptType="node node" st="4 1" cnt="1 0"/>
          <dgm:constrLst>
            <dgm:constr type="w" refType="h" op="equ"/>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5"/>
    </dgm:choos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 Id="rId9" Type="http://schemas.openxmlformats.org/officeDocument/2006/relationships/image" Target="../media/image2.jpg"/></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image" Target="../media/image1.png"/><Relationship Id="rId5" Type="http://schemas.microsoft.com/office/2007/relationships/diagramDrawing" Target="../diagrams/drawing1.xml"/><Relationship Id="rId4" Type="http://schemas.openxmlformats.org/officeDocument/2006/relationships/diagramColors" Target="../diagrams/colors1.xml"/></Relationships>
</file>

<file path=xl/drawings/drawing1.xml><?xml version="1.0" encoding="utf-8"?>
<xdr:wsDr xmlns:xdr="http://schemas.openxmlformats.org/drawingml/2006/spreadsheetDrawing" xmlns:a="http://schemas.openxmlformats.org/drawingml/2006/main">
  <xdr:twoCellAnchor>
    <xdr:from>
      <xdr:col>6</xdr:col>
      <xdr:colOff>71507</xdr:colOff>
      <xdr:row>7</xdr:row>
      <xdr:rowOff>2</xdr:rowOff>
    </xdr:from>
    <xdr:to>
      <xdr:col>15</xdr:col>
      <xdr:colOff>38100</xdr:colOff>
      <xdr:row>16</xdr:row>
      <xdr:rowOff>142876</xdr:rowOff>
    </xdr:to>
    <mc:AlternateContent xmlns:mc="http://schemas.openxmlformats.org/markup-compatibility/2006">
      <mc:Choice xmlns:cx1="http://schemas.microsoft.com/office/drawing/2015/9/8/chartex" Requires="cx1">
        <xdr:graphicFrame macro="">
          <xdr:nvGraphicFramePr>
            <xdr:cNvPr id="9" name="Chart 8"/>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7</xdr:row>
      <xdr:rowOff>19050</xdr:rowOff>
    </xdr:from>
    <xdr:to>
      <xdr:col>5</xdr:col>
      <xdr:colOff>600075</xdr:colOff>
      <xdr:row>16</xdr:row>
      <xdr:rowOff>76199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85725</xdr:colOff>
      <xdr:row>7</xdr:row>
      <xdr:rowOff>28575</xdr:rowOff>
    </xdr:from>
    <xdr:to>
      <xdr:col>24</xdr:col>
      <xdr:colOff>0</xdr:colOff>
      <xdr:row>16</xdr:row>
      <xdr:rowOff>85725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85726</xdr:colOff>
      <xdr:row>8</xdr:row>
      <xdr:rowOff>28577</xdr:rowOff>
    </xdr:from>
    <xdr:to>
      <xdr:col>5</xdr:col>
      <xdr:colOff>295275</xdr:colOff>
      <xdr:row>9</xdr:row>
      <xdr:rowOff>123826</xdr:rowOff>
    </xdr:to>
    <xdr:cxnSp macro="">
      <xdr:nvCxnSpPr>
        <xdr:cNvPr id="21" name="Straight Arrow Connector 20"/>
        <xdr:cNvCxnSpPr/>
      </xdr:nvCxnSpPr>
      <xdr:spPr>
        <a:xfrm rot="20412398">
          <a:off x="838201" y="1095377"/>
          <a:ext cx="1562099" cy="257174"/>
        </a:xfrm>
        <a:prstGeom prst="straightConnector1">
          <a:avLst/>
        </a:prstGeom>
        <a:ln>
          <a:solidFill>
            <a:sysClr val="windowText" lastClr="000000"/>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xdr:from>
      <xdr:col>2</xdr:col>
      <xdr:colOff>421002</xdr:colOff>
      <xdr:row>8</xdr:row>
      <xdr:rowOff>33633</xdr:rowOff>
    </xdr:from>
    <xdr:to>
      <xdr:col>4</xdr:col>
      <xdr:colOff>607674</xdr:colOff>
      <xdr:row>9</xdr:row>
      <xdr:rowOff>104487</xdr:rowOff>
    </xdr:to>
    <xdr:sp macro="" textlink="">
      <xdr:nvSpPr>
        <xdr:cNvPr id="22" name="TextBox 21"/>
        <xdr:cNvSpPr txBox="1"/>
      </xdr:nvSpPr>
      <xdr:spPr>
        <a:xfrm rot="20948259">
          <a:off x="1173477" y="1100433"/>
          <a:ext cx="920097" cy="23277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ysClr val="windowText" lastClr="000000"/>
              </a:solidFill>
              <a:latin typeface="Montserrat Medium" panose="00000600000000000000" pitchFamily="2" charset="0"/>
            </a:rPr>
            <a:t>CAGR:</a:t>
          </a:r>
          <a:r>
            <a:rPr lang="en-US" sz="900" b="1" baseline="0">
              <a:solidFill>
                <a:sysClr val="windowText" lastClr="000000"/>
              </a:solidFill>
              <a:latin typeface="Montserrat Medium" panose="00000600000000000000" pitchFamily="2" charset="0"/>
            </a:rPr>
            <a:t> 11.99%</a:t>
          </a:r>
          <a:endParaRPr lang="en-US" sz="900" b="1">
            <a:solidFill>
              <a:sysClr val="windowText" lastClr="000000"/>
            </a:solidFill>
            <a:latin typeface="Montserrat Medium" panose="00000600000000000000" pitchFamily="2" charset="0"/>
          </a:endParaRPr>
        </a:p>
      </xdr:txBody>
    </xdr:sp>
    <xdr:clientData/>
  </xdr:twoCellAnchor>
  <xdr:twoCellAnchor>
    <xdr:from>
      <xdr:col>25</xdr:col>
      <xdr:colOff>57151</xdr:colOff>
      <xdr:row>7</xdr:row>
      <xdr:rowOff>19050</xdr:rowOff>
    </xdr:from>
    <xdr:to>
      <xdr:col>26</xdr:col>
      <xdr:colOff>66675</xdr:colOff>
      <xdr:row>16</xdr:row>
      <xdr:rowOff>142876</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26</xdr:col>
      <xdr:colOff>0</xdr:colOff>
      <xdr:row>8</xdr:row>
      <xdr:rowOff>38100</xdr:rowOff>
    </xdr:from>
    <xdr:to>
      <xdr:col>27</xdr:col>
      <xdr:colOff>990600</xdr:colOff>
      <xdr:row>9</xdr:row>
      <xdr:rowOff>142875</xdr:rowOff>
    </xdr:to>
    <xdr:sp macro="" textlink="">
      <xdr:nvSpPr>
        <xdr:cNvPr id="25" name="TextBox 24"/>
        <xdr:cNvSpPr txBox="1"/>
      </xdr:nvSpPr>
      <xdr:spPr>
        <a:xfrm>
          <a:off x="11229975" y="1104900"/>
          <a:ext cx="108585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Compensation</a:t>
          </a:r>
        </a:p>
      </xdr:txBody>
    </xdr:sp>
    <xdr:clientData/>
  </xdr:twoCellAnchor>
  <xdr:twoCellAnchor>
    <xdr:from>
      <xdr:col>26</xdr:col>
      <xdr:colOff>0</xdr:colOff>
      <xdr:row>10</xdr:row>
      <xdr:rowOff>19050</xdr:rowOff>
    </xdr:from>
    <xdr:to>
      <xdr:col>28</xdr:col>
      <xdr:colOff>0</xdr:colOff>
      <xdr:row>11</xdr:row>
      <xdr:rowOff>123825</xdr:rowOff>
    </xdr:to>
    <xdr:sp macro="" textlink="">
      <xdr:nvSpPr>
        <xdr:cNvPr id="26" name="TextBox 25"/>
        <xdr:cNvSpPr txBox="1"/>
      </xdr:nvSpPr>
      <xdr:spPr>
        <a:xfrm>
          <a:off x="11229975" y="1409700"/>
          <a:ext cx="124777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Shareholder Rights</a:t>
          </a:r>
        </a:p>
      </xdr:txBody>
    </xdr:sp>
    <xdr:clientData/>
  </xdr:twoCellAnchor>
  <xdr:twoCellAnchor>
    <xdr:from>
      <xdr:col>26</xdr:col>
      <xdr:colOff>0</xdr:colOff>
      <xdr:row>11</xdr:row>
      <xdr:rowOff>161925</xdr:rowOff>
    </xdr:from>
    <xdr:to>
      <xdr:col>27</xdr:col>
      <xdr:colOff>714375</xdr:colOff>
      <xdr:row>13</xdr:row>
      <xdr:rowOff>76200</xdr:rowOff>
    </xdr:to>
    <xdr:sp macro="" textlink="">
      <xdr:nvSpPr>
        <xdr:cNvPr id="27" name="TextBox 26"/>
        <xdr:cNvSpPr txBox="1"/>
      </xdr:nvSpPr>
      <xdr:spPr>
        <a:xfrm>
          <a:off x="11229975" y="1714500"/>
          <a:ext cx="80962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Board</a:t>
          </a:r>
        </a:p>
      </xdr:txBody>
    </xdr:sp>
    <xdr:clientData/>
  </xdr:twoCellAnchor>
  <xdr:twoCellAnchor>
    <xdr:from>
      <xdr:col>26</xdr:col>
      <xdr:colOff>0</xdr:colOff>
      <xdr:row>13</xdr:row>
      <xdr:rowOff>114300</xdr:rowOff>
    </xdr:from>
    <xdr:to>
      <xdr:col>27</xdr:col>
      <xdr:colOff>828675</xdr:colOff>
      <xdr:row>15</xdr:row>
      <xdr:rowOff>28575</xdr:rowOff>
    </xdr:to>
    <xdr:sp macro="" textlink="">
      <xdr:nvSpPr>
        <xdr:cNvPr id="31" name="TextBox 30"/>
        <xdr:cNvSpPr txBox="1"/>
      </xdr:nvSpPr>
      <xdr:spPr>
        <a:xfrm>
          <a:off x="11229975" y="2019300"/>
          <a:ext cx="92392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Audit</a:t>
          </a:r>
        </a:p>
      </xdr:txBody>
    </xdr:sp>
    <xdr:clientData/>
  </xdr:twoCellAnchor>
  <xdr:twoCellAnchor>
    <xdr:from>
      <xdr:col>0</xdr:col>
      <xdr:colOff>114300</xdr:colOff>
      <xdr:row>19</xdr:row>
      <xdr:rowOff>85725</xdr:rowOff>
    </xdr:from>
    <xdr:to>
      <xdr:col>5</xdr:col>
      <xdr:colOff>476250</xdr:colOff>
      <xdr:row>30</xdr:row>
      <xdr:rowOff>57149</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47625</xdr:colOff>
      <xdr:row>19</xdr:row>
      <xdr:rowOff>57149</xdr:rowOff>
    </xdr:from>
    <xdr:to>
      <xdr:col>24</xdr:col>
      <xdr:colOff>9525</xdr:colOff>
      <xdr:row>31</xdr:row>
      <xdr:rowOff>9524</xdr:rowOff>
    </xdr:to>
    <xdr:graphicFrame macro="">
      <xdr:nvGraphicFramePr>
        <xdr:cNvPr id="49" name="Chart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247653</xdr:colOff>
      <xdr:row>7</xdr:row>
      <xdr:rowOff>95251</xdr:rowOff>
    </xdr:from>
    <xdr:to>
      <xdr:col>14</xdr:col>
      <xdr:colOff>762000</xdr:colOff>
      <xdr:row>8</xdr:row>
      <xdr:rowOff>142874</xdr:rowOff>
    </xdr:to>
    <xdr:sp macro="" textlink="">
      <xdr:nvSpPr>
        <xdr:cNvPr id="54" name="TextBox 53"/>
        <xdr:cNvSpPr txBox="1"/>
      </xdr:nvSpPr>
      <xdr:spPr>
        <a:xfrm>
          <a:off x="5133978" y="971551"/>
          <a:ext cx="1914522" cy="238123"/>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0">
              <a:solidFill>
                <a:sysClr val="windowText" lastClr="000000"/>
              </a:solidFill>
              <a:latin typeface="Montserrat SemiBold" panose="00000700000000000000" pitchFamily="2" charset="0"/>
            </a:rPr>
            <a:t>Median EBIT Margin:</a:t>
          </a:r>
          <a:r>
            <a:rPr lang="en-US" sz="900" b="0" baseline="0">
              <a:solidFill>
                <a:sysClr val="windowText" lastClr="000000"/>
              </a:solidFill>
              <a:latin typeface="Montserrat SemiBold" panose="00000700000000000000" pitchFamily="2" charset="0"/>
            </a:rPr>
            <a:t> 3.32%</a:t>
          </a:r>
          <a:endParaRPr lang="en-US" sz="900" b="0">
            <a:solidFill>
              <a:sysClr val="windowText" lastClr="000000"/>
            </a:solidFill>
            <a:latin typeface="Montserrat SemiBold" panose="00000700000000000000" pitchFamily="2" charset="0"/>
          </a:endParaRPr>
        </a:p>
      </xdr:txBody>
    </xdr:sp>
    <xdr:clientData/>
  </xdr:twoCellAnchor>
  <xdr:twoCellAnchor>
    <xdr:from>
      <xdr:col>5</xdr:col>
      <xdr:colOff>590550</xdr:colOff>
      <xdr:row>19</xdr:row>
      <xdr:rowOff>38099</xdr:rowOff>
    </xdr:from>
    <xdr:to>
      <xdr:col>14</xdr:col>
      <xdr:colOff>685800</xdr:colOff>
      <xdr:row>31</xdr:row>
      <xdr:rowOff>57150</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523875</xdr:colOff>
      <xdr:row>19</xdr:row>
      <xdr:rowOff>95250</xdr:rowOff>
    </xdr:from>
    <xdr:to>
      <xdr:col>11</xdr:col>
      <xdr:colOff>523875</xdr:colOff>
      <xdr:row>30</xdr:row>
      <xdr:rowOff>152400</xdr:rowOff>
    </xdr:to>
    <xdr:cxnSp macro="">
      <xdr:nvCxnSpPr>
        <xdr:cNvPr id="4" name="Straight Connector 3"/>
        <xdr:cNvCxnSpPr/>
      </xdr:nvCxnSpPr>
      <xdr:spPr>
        <a:xfrm>
          <a:off x="5410200" y="2886075"/>
          <a:ext cx="0" cy="18383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114303</xdr:colOff>
      <xdr:row>28</xdr:row>
      <xdr:rowOff>104776</xdr:rowOff>
    </xdr:from>
    <xdr:to>
      <xdr:col>27</xdr:col>
      <xdr:colOff>1095375</xdr:colOff>
      <xdr:row>30</xdr:row>
      <xdr:rowOff>19049</xdr:rowOff>
    </xdr:to>
    <xdr:sp macro="" textlink="">
      <xdr:nvSpPr>
        <xdr:cNvPr id="24" name="TextBox 23"/>
        <xdr:cNvSpPr txBox="1"/>
      </xdr:nvSpPr>
      <xdr:spPr>
        <a:xfrm>
          <a:off x="10506078" y="4352926"/>
          <a:ext cx="1914522" cy="238123"/>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00" b="0">
              <a:solidFill>
                <a:sysClr val="windowText" lastClr="000000"/>
              </a:solidFill>
              <a:latin typeface="Montserrat SemiBold" panose="00000700000000000000" pitchFamily="2" charset="0"/>
            </a:rPr>
            <a:t>Standard Deviation:</a:t>
          </a:r>
          <a:r>
            <a:rPr lang="en-US" sz="900" b="0" baseline="0">
              <a:solidFill>
                <a:sysClr val="windowText" lastClr="000000"/>
              </a:solidFill>
              <a:latin typeface="Montserrat SemiBold" panose="00000700000000000000" pitchFamily="2" charset="0"/>
            </a:rPr>
            <a:t> 24.29%</a:t>
          </a:r>
          <a:endParaRPr lang="en-US" sz="900" b="0">
            <a:solidFill>
              <a:sysClr val="windowText" lastClr="000000"/>
            </a:solidFill>
            <a:latin typeface="Montserrat SemiBold" panose="00000700000000000000" pitchFamily="2" charset="0"/>
          </a:endParaRPr>
        </a:p>
      </xdr:txBody>
    </xdr:sp>
    <xdr:clientData/>
  </xdr:twoCellAnchor>
  <xdr:twoCellAnchor>
    <xdr:from>
      <xdr:col>11</xdr:col>
      <xdr:colOff>223842</xdr:colOff>
      <xdr:row>19</xdr:row>
      <xdr:rowOff>42862</xdr:rowOff>
    </xdr:from>
    <xdr:to>
      <xdr:col>13</xdr:col>
      <xdr:colOff>76200</xdr:colOff>
      <xdr:row>20</xdr:row>
      <xdr:rowOff>57150</xdr:rowOff>
    </xdr:to>
    <xdr:sp macro="" textlink="">
      <xdr:nvSpPr>
        <xdr:cNvPr id="28" name="TextBox 27"/>
        <xdr:cNvSpPr txBox="1"/>
      </xdr:nvSpPr>
      <xdr:spPr>
        <a:xfrm>
          <a:off x="5110167" y="2833687"/>
          <a:ext cx="557208" cy="176213"/>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700" b="0">
              <a:solidFill>
                <a:sysClr val="windowText" lastClr="000000"/>
              </a:solidFill>
              <a:latin typeface="Montserrat SemiBold" panose="00000700000000000000" pitchFamily="2" charset="0"/>
            </a:rPr>
            <a:t>$500.67</a:t>
          </a:r>
        </a:p>
      </xdr:txBody>
    </xdr:sp>
    <xdr:clientData/>
  </xdr:twoCellAnchor>
  <xdr:twoCellAnchor editAs="oneCell">
    <xdr:from>
      <xdr:col>13</xdr:col>
      <xdr:colOff>190499</xdr:colOff>
      <xdr:row>0</xdr:row>
      <xdr:rowOff>7358</xdr:rowOff>
    </xdr:from>
    <xdr:to>
      <xdr:col>14</xdr:col>
      <xdr:colOff>609599</xdr:colOff>
      <xdr:row>4</xdr:row>
      <xdr:rowOff>24622</xdr:rowOff>
    </xdr:to>
    <xdr:pic>
      <xdr:nvPicPr>
        <xdr:cNvPr id="3" name="Picture 2"/>
        <xdr:cNvPicPr>
          <a:picLocks noChangeAspect="1"/>
        </xdr:cNvPicPr>
      </xdr:nvPicPr>
      <xdr:blipFill>
        <a:blip xmlns:r="http://schemas.openxmlformats.org/officeDocument/2006/relationships" r:embed="rId8"/>
        <a:stretch>
          <a:fillRect/>
        </a:stretch>
      </xdr:blipFill>
      <xdr:spPr>
        <a:xfrm>
          <a:off x="5781674" y="7358"/>
          <a:ext cx="1114425" cy="626864"/>
        </a:xfrm>
        <a:prstGeom prst="rect">
          <a:avLst/>
        </a:prstGeom>
      </xdr:spPr>
    </xdr:pic>
    <xdr:clientData/>
  </xdr:twoCellAnchor>
  <xdr:twoCellAnchor editAs="oneCell">
    <xdr:from>
      <xdr:col>24</xdr:col>
      <xdr:colOff>52129</xdr:colOff>
      <xdr:row>19</xdr:row>
      <xdr:rowOff>66675</xdr:rowOff>
    </xdr:from>
    <xdr:to>
      <xdr:col>28</xdr:col>
      <xdr:colOff>19050</xdr:colOff>
      <xdr:row>28</xdr:row>
      <xdr:rowOff>38100</xdr:rowOff>
    </xdr:to>
    <xdr:pic>
      <xdr:nvPicPr>
        <xdr:cNvPr id="2" name="Picture 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358179" y="2857500"/>
          <a:ext cx="2138621" cy="1428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76202</xdr:colOff>
      <xdr:row>1</xdr:row>
      <xdr:rowOff>85724</xdr:rowOff>
    </xdr:from>
    <xdr:to>
      <xdr:col>4</xdr:col>
      <xdr:colOff>400051</xdr:colOff>
      <xdr:row>32</xdr:row>
      <xdr:rowOff>152399</xdr:rowOff>
    </xdr:to>
    <xdr:sp macro="" textlink="">
      <xdr:nvSpPr>
        <xdr:cNvPr id="3" name="TextBox 2"/>
        <xdr:cNvSpPr txBox="1"/>
      </xdr:nvSpPr>
      <xdr:spPr>
        <a:xfrm>
          <a:off x="76202" y="285749"/>
          <a:ext cx="4067174" cy="4314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50" b="0" i="0">
              <a:solidFill>
                <a:schemeClr val="dk1"/>
              </a:solidFill>
              <a:effectLst/>
              <a:latin typeface="+mn-lt"/>
              <a:ea typeface="+mn-ea"/>
              <a:cs typeface="+mn-cs"/>
            </a:rPr>
            <a:t>When it comes to running a successful retail business, Costco has a unique approach that's both interesting and effective. They've managed to build a thriving business by focusing on offering high-quality goods and services to their members at incredibly low prices.</a:t>
          </a:r>
        </a:p>
        <a:p>
          <a:endParaRPr lang="en-US" sz="850" b="0" i="0">
            <a:solidFill>
              <a:schemeClr val="dk1"/>
            </a:solidFill>
            <a:effectLst/>
            <a:latin typeface="+mn-lt"/>
            <a:ea typeface="+mn-ea"/>
            <a:cs typeface="+mn-cs"/>
          </a:endParaRPr>
        </a:p>
        <a:p>
          <a:r>
            <a:rPr lang="en-US" sz="850" b="0" i="0">
              <a:solidFill>
                <a:schemeClr val="dk1"/>
              </a:solidFill>
              <a:effectLst/>
              <a:latin typeface="+mn-lt"/>
              <a:ea typeface="+mn-ea"/>
              <a:cs typeface="+mn-cs"/>
            </a:rPr>
            <a:t>So, what's their secret? </a:t>
          </a:r>
        </a:p>
        <a:p>
          <a:endParaRPr lang="en-US" sz="850" b="0" i="0">
            <a:solidFill>
              <a:schemeClr val="dk1"/>
            </a:solidFill>
            <a:effectLst/>
            <a:latin typeface="+mn-lt"/>
            <a:ea typeface="+mn-ea"/>
            <a:cs typeface="+mn-cs"/>
          </a:endParaRPr>
        </a:p>
        <a:p>
          <a:r>
            <a:rPr lang="en-US" sz="850" b="0" i="0">
              <a:solidFill>
                <a:schemeClr val="dk1"/>
              </a:solidFill>
              <a:effectLst/>
              <a:latin typeface="+mn-lt"/>
              <a:ea typeface="+mn-ea"/>
              <a:cs typeface="+mn-cs"/>
            </a:rPr>
            <a:t>First, </a:t>
          </a:r>
          <a:r>
            <a:rPr lang="en-US" sz="850" b="1" i="1">
              <a:solidFill>
                <a:schemeClr val="dk1"/>
              </a:solidFill>
              <a:effectLst/>
              <a:latin typeface="+mn-lt"/>
              <a:ea typeface="+mn-ea"/>
              <a:cs typeface="+mn-cs"/>
            </a:rPr>
            <a:t>Costco's membership-based model</a:t>
          </a:r>
          <a:r>
            <a:rPr lang="en-US" sz="850" b="0" i="0">
              <a:solidFill>
                <a:schemeClr val="dk1"/>
              </a:solidFill>
              <a:effectLst/>
              <a:latin typeface="+mn-lt"/>
              <a:ea typeface="+mn-ea"/>
              <a:cs typeface="+mn-cs"/>
            </a:rPr>
            <a:t> is what sets them apart. Customers pay an annual fee to become members, which not only gives them access to the store but also enables Costco to keep their prices low. After all, why charge a fortune for a product when you have a loyal customer base willing to pay for the privilege of shopping in your store?</a:t>
          </a:r>
        </a:p>
        <a:p>
          <a:endParaRPr lang="en-US" sz="850" b="0" i="0">
            <a:solidFill>
              <a:schemeClr val="dk1"/>
            </a:solidFill>
            <a:effectLst/>
            <a:latin typeface="+mn-lt"/>
            <a:ea typeface="+mn-ea"/>
            <a:cs typeface="+mn-cs"/>
          </a:endParaRPr>
        </a:p>
        <a:p>
          <a:r>
            <a:rPr lang="en-US" sz="850" b="1" i="1">
              <a:solidFill>
                <a:schemeClr val="dk1"/>
              </a:solidFill>
              <a:effectLst/>
              <a:latin typeface="+mn-lt"/>
              <a:ea typeface="+mn-ea"/>
              <a:cs typeface="+mn-cs"/>
            </a:rPr>
            <a:t>Costco's low prices </a:t>
          </a:r>
          <a:r>
            <a:rPr lang="en-US" sz="850" b="0" i="0">
              <a:solidFill>
                <a:schemeClr val="dk1"/>
              </a:solidFill>
              <a:effectLst/>
              <a:latin typeface="+mn-lt"/>
              <a:ea typeface="+mn-ea"/>
              <a:cs typeface="+mn-cs"/>
            </a:rPr>
            <a:t>are another crucial aspect of their business model. They achieve this by buying in bulk, negotiating with suppliers for better deals, and keeping overhead costs to a minimum. And let's not forget about their private label brands like Kirkland Signature, which offer excellent value for money.</a:t>
          </a:r>
        </a:p>
        <a:p>
          <a:endParaRPr lang="en-US" sz="850" b="0" i="0">
            <a:solidFill>
              <a:schemeClr val="dk1"/>
            </a:solidFill>
            <a:effectLst/>
            <a:latin typeface="+mn-lt"/>
            <a:ea typeface="+mn-ea"/>
            <a:cs typeface="+mn-cs"/>
          </a:endParaRPr>
        </a:p>
        <a:p>
          <a:r>
            <a:rPr lang="en-US" sz="850" b="0" i="0">
              <a:solidFill>
                <a:schemeClr val="dk1"/>
              </a:solidFill>
              <a:effectLst/>
              <a:latin typeface="+mn-lt"/>
              <a:ea typeface="+mn-ea"/>
              <a:cs typeface="+mn-cs"/>
            </a:rPr>
            <a:t>But what about their limited product selection? Surely, customers want a wide range of options to choose from? Not necessarily. </a:t>
          </a:r>
          <a:r>
            <a:rPr lang="en-US" sz="850" b="1" i="1">
              <a:solidFill>
                <a:schemeClr val="dk1"/>
              </a:solidFill>
              <a:effectLst/>
              <a:latin typeface="+mn-lt"/>
              <a:ea typeface="+mn-ea"/>
              <a:cs typeface="+mn-cs"/>
            </a:rPr>
            <a:t>Costco's no-frills approach </a:t>
          </a:r>
          <a:r>
            <a:rPr lang="en-US" sz="850" b="0" i="0">
              <a:solidFill>
                <a:schemeClr val="dk1"/>
              </a:solidFill>
              <a:effectLst/>
              <a:latin typeface="+mn-lt"/>
              <a:ea typeface="+mn-ea"/>
              <a:cs typeface="+mn-cs"/>
            </a:rPr>
            <a:t>means they offer a carefully curated selection of high-quality products. By limiting the number of products on offer, they can negotiate better deals with suppliers, which ultimately benefits their customers.</a:t>
          </a:r>
        </a:p>
        <a:p>
          <a:endParaRPr lang="en-US" sz="850" b="0" i="0">
            <a:solidFill>
              <a:schemeClr val="dk1"/>
            </a:solidFill>
            <a:effectLst/>
            <a:latin typeface="+mn-lt"/>
            <a:ea typeface="+mn-ea"/>
            <a:cs typeface="+mn-cs"/>
          </a:endParaRPr>
        </a:p>
        <a:p>
          <a:r>
            <a:rPr lang="en-US" sz="850" b="0" i="0">
              <a:solidFill>
                <a:schemeClr val="dk1"/>
              </a:solidFill>
              <a:effectLst/>
              <a:latin typeface="+mn-lt"/>
              <a:ea typeface="+mn-ea"/>
              <a:cs typeface="+mn-cs"/>
            </a:rPr>
            <a:t>And while some might find the lack of frills at Costco's stores underwhelming, their no-nonsense approach has a certain charm. After all, who needs fancy displays when you can wander the aisles and discover hidden gems like a 5-pound bag of gummy bears or a 10-gallon drum of mayonnaise?</a:t>
          </a:r>
        </a:p>
        <a:p>
          <a:endParaRPr lang="en-US" sz="850" b="0" i="0">
            <a:solidFill>
              <a:schemeClr val="dk1"/>
            </a:solidFill>
            <a:effectLst/>
            <a:latin typeface="+mn-lt"/>
            <a:ea typeface="+mn-ea"/>
            <a:cs typeface="+mn-cs"/>
          </a:endParaRPr>
        </a:p>
        <a:p>
          <a:r>
            <a:rPr lang="en-US" sz="850" b="0" i="0">
              <a:solidFill>
                <a:schemeClr val="dk1"/>
              </a:solidFill>
              <a:effectLst/>
              <a:latin typeface="+mn-lt"/>
              <a:ea typeface="+mn-ea"/>
              <a:cs typeface="+mn-cs"/>
            </a:rPr>
            <a:t>Costco's business model might not be for everyone, but it's certainly interesting. By focusing on the basics and keeping prices low, they've managed to build a loyal following of customers who appreciate their straightforward approach to retail.</a:t>
          </a:r>
        </a:p>
      </xdr:txBody>
    </xdr:sp>
    <xdr:clientData/>
  </xdr:twoCellAnchor>
  <xdr:twoCellAnchor>
    <xdr:from>
      <xdr:col>5</xdr:col>
      <xdr:colOff>523877</xdr:colOff>
      <xdr:row>0</xdr:row>
      <xdr:rowOff>190499</xdr:rowOff>
    </xdr:from>
    <xdr:to>
      <xdr:col>10</xdr:col>
      <xdr:colOff>247650</xdr:colOff>
      <xdr:row>18</xdr:row>
      <xdr:rowOff>57150</xdr:rowOff>
    </xdr:to>
    <xdr:sp macro="" textlink="">
      <xdr:nvSpPr>
        <xdr:cNvPr id="4" name="TextBox 3"/>
        <xdr:cNvSpPr txBox="1"/>
      </xdr:nvSpPr>
      <xdr:spPr>
        <a:xfrm>
          <a:off x="4933952" y="190499"/>
          <a:ext cx="3267073" cy="2181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u="sng">
              <a:solidFill>
                <a:srgbClr val="D7182A"/>
              </a:solidFill>
              <a:effectLst/>
              <a:latin typeface="+mn-lt"/>
              <a:ea typeface="+mn-ea"/>
              <a:cs typeface="+mn-cs"/>
            </a:rPr>
            <a:t>Strengths:</a:t>
          </a:r>
        </a:p>
        <a:p>
          <a:endParaRPr lang="en-US" sz="300" b="1" i="1" u="sng">
            <a:solidFill>
              <a:srgbClr val="D7182A"/>
            </a:solidFill>
            <a:effectLst/>
            <a:latin typeface="+mn-lt"/>
            <a:ea typeface="+mn-ea"/>
            <a:cs typeface="+mn-cs"/>
          </a:endParaRPr>
        </a:p>
        <a:p>
          <a:r>
            <a:rPr lang="en-US" sz="850" b="1" i="0" u="none">
              <a:solidFill>
                <a:sysClr val="windowText" lastClr="000000"/>
              </a:solidFill>
              <a:effectLst/>
              <a:latin typeface="+mn-lt"/>
              <a:ea typeface="+mn-ea"/>
              <a:cs typeface="+mn-cs"/>
            </a:rPr>
            <a:t>- Strong brand reputation: </a:t>
          </a:r>
          <a:r>
            <a:rPr lang="en-US" sz="850" b="0" i="0" u="none">
              <a:solidFill>
                <a:sysClr val="windowText" lastClr="000000"/>
              </a:solidFill>
              <a:effectLst/>
              <a:latin typeface="+mn-lt"/>
              <a:ea typeface="+mn-ea"/>
              <a:cs typeface="+mn-cs"/>
            </a:rPr>
            <a:t>Costco is recognized as a leading warehouse club retailer known for its quality products and value for money.</a:t>
          </a:r>
        </a:p>
        <a:p>
          <a:r>
            <a:rPr lang="en-US" sz="850" b="1" i="0" u="none">
              <a:solidFill>
                <a:sysClr val="windowText" lastClr="000000"/>
              </a:solidFill>
              <a:effectLst/>
              <a:latin typeface="+mn-lt"/>
              <a:ea typeface="+mn-ea"/>
              <a:cs typeface="+mn-cs"/>
            </a:rPr>
            <a:t>- Wide product selection: </a:t>
          </a:r>
          <a:r>
            <a:rPr lang="en-US" sz="850" b="0" i="0" u="none">
              <a:solidFill>
                <a:sysClr val="windowText" lastClr="000000"/>
              </a:solidFill>
              <a:effectLst/>
              <a:latin typeface="+mn-lt"/>
              <a:ea typeface="+mn-ea"/>
              <a:cs typeface="+mn-cs"/>
            </a:rPr>
            <a:t>Costco offers a diverse range of products, including groceries, electronics, household items, and more, providing customers with a one-stop shopping experience.</a:t>
          </a:r>
        </a:p>
        <a:p>
          <a:r>
            <a:rPr lang="en-US" sz="850" b="1" i="0" u="none">
              <a:solidFill>
                <a:sysClr val="windowText" lastClr="000000"/>
              </a:solidFill>
              <a:effectLst/>
              <a:latin typeface="+mn-lt"/>
              <a:ea typeface="+mn-ea"/>
              <a:cs typeface="+mn-cs"/>
            </a:rPr>
            <a:t>- Bulk purchasing power: </a:t>
          </a:r>
          <a:r>
            <a:rPr lang="en-US" sz="850" b="0" i="0" u="none">
              <a:solidFill>
                <a:sysClr val="windowText" lastClr="000000"/>
              </a:solidFill>
              <a:effectLst/>
              <a:latin typeface="+mn-lt"/>
              <a:ea typeface="+mn-ea"/>
              <a:cs typeface="+mn-cs"/>
            </a:rPr>
            <a:t>Costco's ability to buy products in bulk enables them to negotiate lower prices from suppliers, leading to competitive pricing for customers.</a:t>
          </a:r>
        </a:p>
        <a:p>
          <a:r>
            <a:rPr lang="en-US" sz="850" b="1" i="0" u="none">
              <a:solidFill>
                <a:sysClr val="windowText" lastClr="000000"/>
              </a:solidFill>
              <a:effectLst/>
              <a:latin typeface="+mn-lt"/>
              <a:ea typeface="+mn-ea"/>
              <a:cs typeface="+mn-cs"/>
            </a:rPr>
            <a:t>- Membership model: </a:t>
          </a:r>
          <a:r>
            <a:rPr lang="en-US" sz="850" b="0" i="0" u="none">
              <a:solidFill>
                <a:sysClr val="windowText" lastClr="000000"/>
              </a:solidFill>
              <a:effectLst/>
              <a:latin typeface="+mn-lt"/>
              <a:ea typeface="+mn-ea"/>
              <a:cs typeface="+mn-cs"/>
            </a:rPr>
            <a:t>The membership-based business model creates a loyal customer base and generates recurring revenue for Costco.</a:t>
          </a:r>
        </a:p>
        <a:p>
          <a:r>
            <a:rPr lang="en-US" sz="850" b="1" i="0" u="none">
              <a:solidFill>
                <a:sysClr val="windowText" lastClr="000000"/>
              </a:solidFill>
              <a:effectLst/>
              <a:latin typeface="+mn-lt"/>
              <a:ea typeface="+mn-ea"/>
              <a:cs typeface="+mn-cs"/>
            </a:rPr>
            <a:t>- Efficient operations:</a:t>
          </a:r>
          <a:r>
            <a:rPr lang="en-US" sz="850" b="0" i="0" u="none">
              <a:solidFill>
                <a:sysClr val="windowText" lastClr="000000"/>
              </a:solidFill>
              <a:effectLst/>
              <a:latin typeface="+mn-lt"/>
              <a:ea typeface="+mn-ea"/>
              <a:cs typeface="+mn-cs"/>
            </a:rPr>
            <a:t> Costco focuses on efficient supply chain management, inventory control, and streamlined store layouts to minimize costs and maximize profitability.</a:t>
          </a:r>
        </a:p>
        <a:p>
          <a:endParaRPr lang="en-US" sz="1000" b="1" i="1" u="sng">
            <a:solidFill>
              <a:srgbClr val="D7182A"/>
            </a:solidFill>
            <a:effectLst/>
            <a:latin typeface="+mn-lt"/>
            <a:ea typeface="+mn-ea"/>
            <a:cs typeface="+mn-cs"/>
          </a:endParaRPr>
        </a:p>
      </xdr:txBody>
    </xdr:sp>
    <xdr:clientData/>
  </xdr:twoCellAnchor>
  <xdr:twoCellAnchor>
    <xdr:from>
      <xdr:col>10</xdr:col>
      <xdr:colOff>438150</xdr:colOff>
      <xdr:row>2</xdr:row>
      <xdr:rowOff>19050</xdr:rowOff>
    </xdr:from>
    <xdr:to>
      <xdr:col>10</xdr:col>
      <xdr:colOff>438150</xdr:colOff>
      <xdr:row>32</xdr:row>
      <xdr:rowOff>38100</xdr:rowOff>
    </xdr:to>
    <xdr:cxnSp macro="">
      <xdr:nvCxnSpPr>
        <xdr:cNvPr id="9" name="Straight Connector 8"/>
        <xdr:cNvCxnSpPr/>
      </xdr:nvCxnSpPr>
      <xdr:spPr>
        <a:xfrm>
          <a:off x="8391525" y="371475"/>
          <a:ext cx="0" cy="4114800"/>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457200</xdr:colOff>
      <xdr:row>18</xdr:row>
      <xdr:rowOff>142875</xdr:rowOff>
    </xdr:from>
    <xdr:to>
      <xdr:col>16</xdr:col>
      <xdr:colOff>47625</xdr:colOff>
      <xdr:row>18</xdr:row>
      <xdr:rowOff>142875</xdr:rowOff>
    </xdr:to>
    <xdr:cxnSp macro="">
      <xdr:nvCxnSpPr>
        <xdr:cNvPr id="10" name="Straight Connector 9"/>
        <xdr:cNvCxnSpPr/>
      </xdr:nvCxnSpPr>
      <xdr:spPr>
        <a:xfrm flipH="1">
          <a:off x="4867275" y="2457450"/>
          <a:ext cx="7010400" cy="0"/>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561977</xdr:colOff>
      <xdr:row>19</xdr:row>
      <xdr:rowOff>142874</xdr:rowOff>
    </xdr:from>
    <xdr:to>
      <xdr:col>10</xdr:col>
      <xdr:colOff>285750</xdr:colOff>
      <xdr:row>29</xdr:row>
      <xdr:rowOff>142875</xdr:rowOff>
    </xdr:to>
    <xdr:sp macro="" textlink="">
      <xdr:nvSpPr>
        <xdr:cNvPr id="19" name="TextBox 18"/>
        <xdr:cNvSpPr txBox="1"/>
      </xdr:nvSpPr>
      <xdr:spPr>
        <a:xfrm>
          <a:off x="4972052" y="2609849"/>
          <a:ext cx="3267073" cy="15240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u="sng">
              <a:solidFill>
                <a:srgbClr val="D7182A"/>
              </a:solidFill>
              <a:effectLst/>
              <a:latin typeface="+mn-lt"/>
              <a:ea typeface="+mn-ea"/>
              <a:cs typeface="+mn-cs"/>
            </a:rPr>
            <a:t>Weaknesses:</a:t>
          </a:r>
        </a:p>
        <a:p>
          <a:endParaRPr lang="en-US" sz="300" b="1" i="1" u="sng">
            <a:solidFill>
              <a:srgbClr val="D7182A"/>
            </a:solidFill>
            <a:effectLst/>
            <a:latin typeface="+mn-lt"/>
            <a:ea typeface="+mn-ea"/>
            <a:cs typeface="+mn-cs"/>
          </a:endParaRPr>
        </a:p>
        <a:p>
          <a:r>
            <a:rPr lang="en-US" sz="850" b="1" i="0" u="none">
              <a:solidFill>
                <a:sysClr val="windowText" lastClr="000000"/>
              </a:solidFill>
              <a:effectLst/>
              <a:latin typeface="+mn-lt"/>
              <a:ea typeface="+mn-ea"/>
              <a:cs typeface="+mn-cs"/>
            </a:rPr>
            <a:t>- Limited product variety: </a:t>
          </a:r>
          <a:r>
            <a:rPr lang="en-US" sz="850" b="0" i="0" u="none">
              <a:solidFill>
                <a:sysClr val="windowText" lastClr="000000"/>
              </a:solidFill>
              <a:effectLst/>
              <a:latin typeface="+mn-lt"/>
              <a:ea typeface="+mn-ea"/>
              <a:cs typeface="+mn-cs"/>
            </a:rPr>
            <a:t>While Costco offers a wide range of products, the selection within each category can be limited compared to traditional retailers, potentially limiting customer choices.</a:t>
          </a:r>
        </a:p>
        <a:p>
          <a:r>
            <a:rPr lang="en-US" sz="850" b="1" i="0" u="none">
              <a:solidFill>
                <a:sysClr val="windowText" lastClr="000000"/>
              </a:solidFill>
              <a:effectLst/>
              <a:latin typeface="+mn-lt"/>
              <a:ea typeface="+mn-ea"/>
              <a:cs typeface="+mn-cs"/>
            </a:rPr>
            <a:t>- Membership fees: </a:t>
          </a:r>
          <a:r>
            <a:rPr lang="en-US" sz="850" b="0" i="0" u="none">
              <a:solidFill>
                <a:sysClr val="windowText" lastClr="000000"/>
              </a:solidFill>
              <a:effectLst/>
              <a:latin typeface="+mn-lt"/>
              <a:ea typeface="+mn-ea"/>
              <a:cs typeface="+mn-cs"/>
            </a:rPr>
            <a:t>Some customers may be deterred by the annual membership fees, which could restrict their willingness to join and shop at Costco.</a:t>
          </a:r>
        </a:p>
        <a:p>
          <a:r>
            <a:rPr lang="en-US" sz="850" b="1" i="0" u="none">
              <a:solidFill>
                <a:sysClr val="windowText" lastClr="000000"/>
              </a:solidFill>
              <a:effectLst/>
              <a:latin typeface="+mn-lt"/>
              <a:ea typeface="+mn-ea"/>
              <a:cs typeface="+mn-cs"/>
            </a:rPr>
            <a:t>- Large store format: </a:t>
          </a:r>
          <a:r>
            <a:rPr lang="en-US" sz="850" b="0" i="0" u="none">
              <a:solidFill>
                <a:sysClr val="windowText" lastClr="000000"/>
              </a:solidFill>
              <a:effectLst/>
              <a:latin typeface="+mn-lt"/>
              <a:ea typeface="+mn-ea"/>
              <a:cs typeface="+mn-cs"/>
            </a:rPr>
            <a:t>The large warehouse-style stores may be overwhelming for some customers, and the bulk packaging may not be suitable for all individuals or households.</a:t>
          </a:r>
        </a:p>
        <a:p>
          <a:endParaRPr lang="en-US" sz="1000" b="1" i="1" u="sng">
            <a:solidFill>
              <a:srgbClr val="D7182A"/>
            </a:solidFill>
            <a:effectLst/>
            <a:latin typeface="+mn-lt"/>
            <a:ea typeface="+mn-ea"/>
            <a:cs typeface="+mn-cs"/>
          </a:endParaRPr>
        </a:p>
      </xdr:txBody>
    </xdr:sp>
    <xdr:clientData/>
  </xdr:twoCellAnchor>
  <xdr:twoCellAnchor>
    <xdr:from>
      <xdr:col>10</xdr:col>
      <xdr:colOff>657227</xdr:colOff>
      <xdr:row>2</xdr:row>
      <xdr:rowOff>47624</xdr:rowOff>
    </xdr:from>
    <xdr:to>
      <xdr:col>16</xdr:col>
      <xdr:colOff>47625</xdr:colOff>
      <xdr:row>15</xdr:row>
      <xdr:rowOff>28575</xdr:rowOff>
    </xdr:to>
    <xdr:sp macro="" textlink="">
      <xdr:nvSpPr>
        <xdr:cNvPr id="20" name="TextBox 19"/>
        <xdr:cNvSpPr txBox="1"/>
      </xdr:nvSpPr>
      <xdr:spPr>
        <a:xfrm>
          <a:off x="8610602" y="400049"/>
          <a:ext cx="3267073" cy="15811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u="sng">
              <a:solidFill>
                <a:srgbClr val="D7182A"/>
              </a:solidFill>
              <a:effectLst/>
              <a:latin typeface="+mn-lt"/>
              <a:ea typeface="+mn-ea"/>
              <a:cs typeface="+mn-cs"/>
            </a:rPr>
            <a:t>Opportunities:</a:t>
          </a:r>
        </a:p>
        <a:p>
          <a:endParaRPr lang="en-US" sz="300" b="1" i="1" u="sng">
            <a:solidFill>
              <a:srgbClr val="D7182A"/>
            </a:solidFill>
            <a:effectLst/>
            <a:latin typeface="+mn-lt"/>
            <a:ea typeface="+mn-ea"/>
            <a:cs typeface="+mn-cs"/>
          </a:endParaRPr>
        </a:p>
        <a:p>
          <a:r>
            <a:rPr lang="en-US" sz="850" b="1" i="0" u="none">
              <a:solidFill>
                <a:sysClr val="windowText" lastClr="000000"/>
              </a:solidFill>
              <a:effectLst/>
              <a:latin typeface="+mn-lt"/>
              <a:ea typeface="+mn-ea"/>
              <a:cs typeface="+mn-cs"/>
            </a:rPr>
            <a:t>- Online expansion: </a:t>
          </a:r>
          <a:r>
            <a:rPr lang="en-US" sz="850" b="0" i="0" u="none">
              <a:solidFill>
                <a:sysClr val="windowText" lastClr="000000"/>
              </a:solidFill>
              <a:effectLst/>
              <a:latin typeface="+mn-lt"/>
              <a:ea typeface="+mn-ea"/>
              <a:cs typeface="+mn-cs"/>
            </a:rPr>
            <a:t>Costco can continue to invest in its e-commerce platform to capture a larger share of the growing online retail market and reach customers who prefer shopping online.</a:t>
          </a:r>
        </a:p>
        <a:p>
          <a:r>
            <a:rPr lang="en-US" sz="850" b="1" i="0" u="none">
              <a:solidFill>
                <a:sysClr val="windowText" lastClr="000000"/>
              </a:solidFill>
              <a:effectLst/>
              <a:latin typeface="+mn-lt"/>
              <a:ea typeface="+mn-ea"/>
              <a:cs typeface="+mn-cs"/>
            </a:rPr>
            <a:t>- International growth: </a:t>
          </a:r>
          <a:r>
            <a:rPr lang="en-US" sz="850" b="0" i="0" u="none">
              <a:solidFill>
                <a:sysClr val="windowText" lastClr="000000"/>
              </a:solidFill>
              <a:effectLst/>
              <a:latin typeface="+mn-lt"/>
              <a:ea typeface="+mn-ea"/>
              <a:cs typeface="+mn-cs"/>
            </a:rPr>
            <a:t>Expanding into new international markets presents opportunities for Costco to tap into new customer bases and benefit from increasing global consumer demand.</a:t>
          </a:r>
        </a:p>
        <a:p>
          <a:r>
            <a:rPr lang="en-US" sz="850" b="1" i="0" u="none">
              <a:solidFill>
                <a:sysClr val="windowText" lastClr="000000"/>
              </a:solidFill>
              <a:effectLst/>
              <a:latin typeface="+mn-lt"/>
              <a:ea typeface="+mn-ea"/>
              <a:cs typeface="+mn-cs"/>
            </a:rPr>
            <a:t>- Private label products: </a:t>
          </a:r>
          <a:r>
            <a:rPr lang="en-US" sz="850" b="0" i="0" u="none">
              <a:solidFill>
                <a:sysClr val="windowText" lastClr="000000"/>
              </a:solidFill>
              <a:effectLst/>
              <a:latin typeface="+mn-lt"/>
              <a:ea typeface="+mn-ea"/>
              <a:cs typeface="+mn-cs"/>
            </a:rPr>
            <a:t>By expanding its range of private label products, Costco can enhance its margins, differentiate itself from competitors, and strengthen customer loyalty.</a:t>
          </a:r>
        </a:p>
      </xdr:txBody>
    </xdr:sp>
    <xdr:clientData/>
  </xdr:twoCellAnchor>
  <xdr:twoCellAnchor>
    <xdr:from>
      <xdr:col>11</xdr:col>
      <xdr:colOff>47627</xdr:colOff>
      <xdr:row>20</xdr:row>
      <xdr:rowOff>19050</xdr:rowOff>
    </xdr:from>
    <xdr:to>
      <xdr:col>16</xdr:col>
      <xdr:colOff>114300</xdr:colOff>
      <xdr:row>32</xdr:row>
      <xdr:rowOff>104776</xdr:rowOff>
    </xdr:to>
    <xdr:sp macro="" textlink="">
      <xdr:nvSpPr>
        <xdr:cNvPr id="21" name="TextBox 20"/>
        <xdr:cNvSpPr txBox="1"/>
      </xdr:nvSpPr>
      <xdr:spPr>
        <a:xfrm>
          <a:off x="8677277" y="2638425"/>
          <a:ext cx="3267073" cy="19145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u="sng">
              <a:solidFill>
                <a:srgbClr val="D7182A"/>
              </a:solidFill>
              <a:effectLst/>
              <a:latin typeface="+mn-lt"/>
              <a:ea typeface="+mn-ea"/>
              <a:cs typeface="+mn-cs"/>
            </a:rPr>
            <a:t>Threats:</a:t>
          </a:r>
        </a:p>
        <a:p>
          <a:endParaRPr lang="en-US" sz="300" b="1" i="1" u="sng">
            <a:solidFill>
              <a:srgbClr val="D7182A"/>
            </a:solidFill>
            <a:effectLst/>
            <a:latin typeface="+mn-lt"/>
            <a:ea typeface="+mn-ea"/>
            <a:cs typeface="+mn-cs"/>
          </a:endParaRPr>
        </a:p>
        <a:p>
          <a:r>
            <a:rPr lang="en-US" sz="850" b="1" i="0" u="none">
              <a:solidFill>
                <a:sysClr val="windowText" lastClr="000000"/>
              </a:solidFill>
              <a:effectLst/>
              <a:latin typeface="+mn-lt"/>
              <a:ea typeface="+mn-ea"/>
              <a:cs typeface="+mn-cs"/>
            </a:rPr>
            <a:t>- Intense competition: </a:t>
          </a:r>
          <a:r>
            <a:rPr lang="en-US" sz="850" b="0" i="0" u="none">
              <a:solidFill>
                <a:sysClr val="windowText" lastClr="000000"/>
              </a:solidFill>
              <a:effectLst/>
              <a:latin typeface="+mn-lt"/>
              <a:ea typeface="+mn-ea"/>
              <a:cs typeface="+mn-cs"/>
            </a:rPr>
            <a:t>The retail industry, including the warehouse club segment, is highly competitive, with rivals like Walmart and Sam's Club. Increased competition can impact Costco's market share and profitability.</a:t>
          </a:r>
        </a:p>
        <a:p>
          <a:r>
            <a:rPr lang="en-US" sz="850" b="1" i="0" u="none">
              <a:solidFill>
                <a:sysClr val="windowText" lastClr="000000"/>
              </a:solidFill>
              <a:effectLst/>
              <a:latin typeface="+mn-lt"/>
              <a:ea typeface="+mn-ea"/>
              <a:cs typeface="+mn-cs"/>
            </a:rPr>
            <a:t>- Price sensitivity: </a:t>
          </a:r>
          <a:r>
            <a:rPr lang="en-US" sz="850" b="0" i="0" u="none">
              <a:solidFill>
                <a:sysClr val="windowText" lastClr="000000"/>
              </a:solidFill>
              <a:effectLst/>
              <a:latin typeface="+mn-lt"/>
              <a:ea typeface="+mn-ea"/>
              <a:cs typeface="+mn-cs"/>
            </a:rPr>
            <a:t>Customers are price-conscious and may switch to competitors if they offer lower prices or discounts.</a:t>
          </a:r>
        </a:p>
        <a:p>
          <a:r>
            <a:rPr lang="en-US" sz="850" b="1" i="0" u="none">
              <a:solidFill>
                <a:sysClr val="windowText" lastClr="000000"/>
              </a:solidFill>
              <a:effectLst/>
              <a:latin typeface="+mn-lt"/>
              <a:ea typeface="+mn-ea"/>
              <a:cs typeface="+mn-cs"/>
            </a:rPr>
            <a:t>- Economic downturns: </a:t>
          </a:r>
          <a:r>
            <a:rPr lang="en-US" sz="850" b="0" i="0" u="none">
              <a:solidFill>
                <a:sysClr val="windowText" lastClr="000000"/>
              </a:solidFill>
              <a:effectLst/>
              <a:latin typeface="+mn-lt"/>
              <a:ea typeface="+mn-ea"/>
              <a:cs typeface="+mn-cs"/>
            </a:rPr>
            <a:t>During economic downturns, consumer spending may decline, impacting Costco's sales and profitability.</a:t>
          </a:r>
        </a:p>
        <a:p>
          <a:r>
            <a:rPr lang="en-US" sz="850" b="1" i="0" u="none">
              <a:solidFill>
                <a:sysClr val="windowText" lastClr="000000"/>
              </a:solidFill>
              <a:effectLst/>
              <a:latin typeface="+mn-lt"/>
              <a:ea typeface="+mn-ea"/>
              <a:cs typeface="+mn-cs"/>
            </a:rPr>
            <a:t>- Online retail growth: </a:t>
          </a:r>
          <a:r>
            <a:rPr lang="en-US" sz="850" b="0" i="0" u="none">
              <a:solidFill>
                <a:sysClr val="windowText" lastClr="000000"/>
              </a:solidFill>
              <a:effectLst/>
              <a:latin typeface="+mn-lt"/>
              <a:ea typeface="+mn-ea"/>
              <a:cs typeface="+mn-cs"/>
            </a:rPr>
            <a:t>The continued growth of online retail giants like Amazon poses a threat to traditional brick-and-mortar retailers, including Costco, as more customers opt for the convenience of online shopping.</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xdr:colOff>
      <xdr:row>1</xdr:row>
      <xdr:rowOff>142877</xdr:rowOff>
    </xdr:from>
    <xdr:to>
      <xdr:col>5</xdr:col>
      <xdr:colOff>542924</xdr:colOff>
      <xdr:row>5</xdr:row>
      <xdr:rowOff>9526</xdr:rowOff>
    </xdr:to>
    <xdr:sp macro="" textlink="">
      <xdr:nvSpPr>
        <xdr:cNvPr id="5" name="TextBox 4"/>
        <xdr:cNvSpPr txBox="1"/>
      </xdr:nvSpPr>
      <xdr:spPr>
        <a:xfrm>
          <a:off x="3505201" y="342902"/>
          <a:ext cx="1914523" cy="485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baseline="0"/>
            <a:t>ISS Governance Quality Score is as of </a:t>
          </a:r>
          <a:r>
            <a:rPr lang="en-US" sz="1100" b="0" i="1">
              <a:solidFill>
                <a:schemeClr val="dk1"/>
              </a:solidFill>
              <a:effectLst/>
              <a:latin typeface="+mn-lt"/>
              <a:ea typeface="+mn-ea"/>
              <a:cs typeface="+mn-cs"/>
            </a:rPr>
            <a:t>April 1, 2023</a:t>
          </a:r>
          <a:r>
            <a:rPr lang="en-US" sz="1100" i="1" baseline="0"/>
            <a:t>.</a:t>
          </a:r>
          <a:endParaRPr lang="en-US" sz="110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95251</xdr:colOff>
      <xdr:row>2</xdr:row>
      <xdr:rowOff>38100</xdr:rowOff>
    </xdr:from>
    <xdr:to>
      <xdr:col>5</xdr:col>
      <xdr:colOff>342900</xdr:colOff>
      <xdr:row>6</xdr:row>
      <xdr:rowOff>85725</xdr:rowOff>
    </xdr:to>
    <xdr:sp macro="" textlink="">
      <xdr:nvSpPr>
        <xdr:cNvPr id="17" name="TextBox 16"/>
        <xdr:cNvSpPr txBox="1"/>
      </xdr:nvSpPr>
      <xdr:spPr>
        <a:xfrm>
          <a:off x="2657476" y="390525"/>
          <a:ext cx="1571624"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u="none" strike="noStrike">
              <a:solidFill>
                <a:schemeClr val="dk1"/>
              </a:solidFill>
              <a:effectLst/>
              <a:latin typeface="+mn-lt"/>
              <a:ea typeface="+mn-ea"/>
              <a:cs typeface="+mn-cs"/>
            </a:rPr>
            <a:t>Note: Half Yearly revenues are from latest Quaterly Report</a:t>
          </a:r>
          <a:r>
            <a:rPr lang="en-US" sz="1100" b="0" i="1" u="none" strike="noStrike" baseline="0">
              <a:solidFill>
                <a:schemeClr val="dk1"/>
              </a:solidFill>
              <a:effectLst/>
              <a:latin typeface="+mn-lt"/>
              <a:ea typeface="+mn-ea"/>
              <a:cs typeface="+mn-cs"/>
            </a:rPr>
            <a:t>.</a:t>
          </a:r>
          <a:endParaRPr lang="en-US" sz="1100" b="0" i="0" u="none" strike="noStrike" baseline="0">
            <a:solidFill>
              <a:schemeClr val="dk1"/>
            </a:solidFill>
            <a:effectLst/>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15</xdr:col>
      <xdr:colOff>85725</xdr:colOff>
      <xdr:row>5</xdr:row>
      <xdr:rowOff>85726</xdr:rowOff>
    </xdr:from>
    <xdr:to>
      <xdr:col>19</xdr:col>
      <xdr:colOff>19050</xdr:colOff>
      <xdr:row>12</xdr:row>
      <xdr:rowOff>9526</xdr:rowOff>
    </xdr:to>
    <xdr:sp macro="" textlink="">
      <xdr:nvSpPr>
        <xdr:cNvPr id="2" name="TextBox 1"/>
        <xdr:cNvSpPr txBox="1"/>
      </xdr:nvSpPr>
      <xdr:spPr>
        <a:xfrm>
          <a:off x="12544425" y="904876"/>
          <a:ext cx="2895600" cy="99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baseline="0">
              <a:solidFill>
                <a:schemeClr val="dk1"/>
              </a:solidFill>
              <a:effectLst/>
              <a:latin typeface="+mn-lt"/>
              <a:ea typeface="+mn-ea"/>
              <a:cs typeface="+mn-cs"/>
            </a:rPr>
            <a:t>beta.py - To get the levered beta</a:t>
          </a:r>
        </a:p>
        <a:p>
          <a:r>
            <a:rPr lang="en-US" sz="1100" b="0" i="0" u="none" strike="noStrike" baseline="0">
              <a:solidFill>
                <a:schemeClr val="dk1"/>
              </a:solidFill>
              <a:effectLst/>
              <a:latin typeface="+mn-lt"/>
              <a:ea typeface="+mn-ea"/>
              <a:cs typeface="+mn-cs"/>
            </a:rPr>
            <a:t>marketcap.py - To get market cap</a:t>
          </a:r>
        </a:p>
        <a:p>
          <a:r>
            <a:rPr lang="en-US" sz="1100" b="0" i="0" u="none" strike="noStrike" baseline="0">
              <a:solidFill>
                <a:schemeClr val="dk1"/>
              </a:solidFill>
              <a:effectLst/>
              <a:latin typeface="+mn-lt"/>
              <a:ea typeface="+mn-ea"/>
              <a:cs typeface="+mn-cs"/>
            </a:rPr>
            <a:t>debt.py - To get the total debt</a:t>
          </a:r>
        </a:p>
        <a:p>
          <a:r>
            <a:rPr lang="en-US" sz="1100" b="0" i="0" u="none" strike="noStrike" baseline="0">
              <a:solidFill>
                <a:schemeClr val="dk1"/>
              </a:solidFill>
              <a:effectLst/>
              <a:latin typeface="+mn-lt"/>
              <a:ea typeface="+mn-ea"/>
              <a:cs typeface="+mn-cs"/>
            </a:rPr>
            <a:t>cash.py - To get the cash and cash eq.</a:t>
          </a:r>
        </a:p>
        <a:p>
          <a:r>
            <a:rPr lang="en-US" sz="1100" b="0" i="0" u="none" strike="noStrike" baseline="0">
              <a:solidFill>
                <a:schemeClr val="dk1"/>
              </a:solidFill>
              <a:effectLst/>
              <a:latin typeface="+mn-lt"/>
              <a:ea typeface="+mn-ea"/>
              <a:cs typeface="+mn-cs"/>
            </a:rPr>
            <a:t>sales_adexp.py - to get the latest revenues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438154</xdr:colOff>
      <xdr:row>23</xdr:row>
      <xdr:rowOff>28574</xdr:rowOff>
    </xdr:from>
    <xdr:to>
      <xdr:col>3</xdr:col>
      <xdr:colOff>704854</xdr:colOff>
      <xdr:row>27</xdr:row>
      <xdr:rowOff>76199</xdr:rowOff>
    </xdr:to>
    <xdr:sp macro="" textlink="">
      <xdr:nvSpPr>
        <xdr:cNvPr id="2" name="TextBox 1"/>
        <xdr:cNvSpPr txBox="1"/>
      </xdr:nvSpPr>
      <xdr:spPr>
        <a:xfrm rot="16200000">
          <a:off x="2862266" y="3328987"/>
          <a:ext cx="657225"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OPM %</a:t>
          </a:r>
        </a:p>
      </xdr:txBody>
    </xdr:sp>
    <xdr:clientData/>
  </xdr:twoCellAnchor>
  <xdr:twoCellAnchor>
    <xdr:from>
      <xdr:col>6</xdr:col>
      <xdr:colOff>19050</xdr:colOff>
      <xdr:row>18</xdr:row>
      <xdr:rowOff>123825</xdr:rowOff>
    </xdr:from>
    <xdr:to>
      <xdr:col>7</xdr:col>
      <xdr:colOff>514350</xdr:colOff>
      <xdr:row>20</xdr:row>
      <xdr:rowOff>76200</xdr:rowOff>
    </xdr:to>
    <xdr:sp macro="" textlink="">
      <xdr:nvSpPr>
        <xdr:cNvPr id="3" name="TextBox 2"/>
        <xdr:cNvSpPr txBox="1"/>
      </xdr:nvSpPr>
      <xdr:spPr>
        <a:xfrm>
          <a:off x="4981575" y="2924175"/>
          <a:ext cx="1276350"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Revenue Growth %</a:t>
          </a:r>
        </a:p>
      </xdr:txBody>
    </xdr:sp>
    <xdr:clientData/>
  </xdr:twoCellAnchor>
  <xdr:twoCellAnchor>
    <xdr:from>
      <xdr:col>9</xdr:col>
      <xdr:colOff>438154</xdr:colOff>
      <xdr:row>23</xdr:row>
      <xdr:rowOff>19050</xdr:rowOff>
    </xdr:from>
    <xdr:to>
      <xdr:col>9</xdr:col>
      <xdr:colOff>704854</xdr:colOff>
      <xdr:row>27</xdr:row>
      <xdr:rowOff>123826</xdr:rowOff>
    </xdr:to>
    <xdr:sp macro="" textlink="">
      <xdr:nvSpPr>
        <xdr:cNvPr id="4" name="TextBox 3"/>
        <xdr:cNvSpPr txBox="1"/>
      </xdr:nvSpPr>
      <xdr:spPr>
        <a:xfrm rot="16200000">
          <a:off x="7519991" y="3043238"/>
          <a:ext cx="714376"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WACC  %</a:t>
          </a:r>
        </a:p>
      </xdr:txBody>
    </xdr:sp>
    <xdr:clientData/>
  </xdr:twoCellAnchor>
  <xdr:twoCellAnchor>
    <xdr:from>
      <xdr:col>11</xdr:col>
      <xdr:colOff>742950</xdr:colOff>
      <xdr:row>18</xdr:row>
      <xdr:rowOff>123825</xdr:rowOff>
    </xdr:from>
    <xdr:to>
      <xdr:col>13</xdr:col>
      <xdr:colOff>571500</xdr:colOff>
      <xdr:row>20</xdr:row>
      <xdr:rowOff>76200</xdr:rowOff>
    </xdr:to>
    <xdr:sp macro="" textlink="">
      <xdr:nvSpPr>
        <xdr:cNvPr id="5" name="TextBox 4"/>
        <xdr:cNvSpPr txBox="1"/>
      </xdr:nvSpPr>
      <xdr:spPr>
        <a:xfrm>
          <a:off x="9610725" y="2924175"/>
          <a:ext cx="1276350"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Revenue Growth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9524</xdr:colOff>
      <xdr:row>3</xdr:row>
      <xdr:rowOff>66675</xdr:rowOff>
    </xdr:from>
    <xdr:to>
      <xdr:col>10</xdr:col>
      <xdr:colOff>9525</xdr:colOff>
      <xdr:row>5</xdr:row>
      <xdr:rowOff>28575</xdr:rowOff>
    </xdr:to>
    <xdr:sp macro="" textlink="">
      <xdr:nvSpPr>
        <xdr:cNvPr id="6" name="TextBox 5"/>
        <xdr:cNvSpPr txBox="1"/>
      </xdr:nvSpPr>
      <xdr:spPr>
        <a:xfrm>
          <a:off x="142874" y="581025"/>
          <a:ext cx="6791326"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What</a:t>
          </a:r>
          <a:r>
            <a:rPr lang="en-US" sz="1100" i="1" baseline="0"/>
            <a:t> if Costco Membership doesn't go well in the coming years? (for any reason)</a:t>
          </a:r>
          <a:endParaRPr lang="en-US" sz="1100" i="1"/>
        </a:p>
      </xdr:txBody>
    </xdr:sp>
    <xdr:clientData/>
  </xdr:twoCellAnchor>
  <xdr:twoCellAnchor>
    <xdr:from>
      <xdr:col>3</xdr:col>
      <xdr:colOff>123824</xdr:colOff>
      <xdr:row>6</xdr:row>
      <xdr:rowOff>19049</xdr:rowOff>
    </xdr:from>
    <xdr:to>
      <xdr:col>5</xdr:col>
      <xdr:colOff>285749</xdr:colOff>
      <xdr:row>10</xdr:row>
      <xdr:rowOff>9524</xdr:rowOff>
    </xdr:to>
    <xdr:sp macro="" textlink="">
      <xdr:nvSpPr>
        <xdr:cNvPr id="7" name="TextBox 6"/>
        <xdr:cNvSpPr txBox="1"/>
      </xdr:nvSpPr>
      <xdr:spPr>
        <a:xfrm>
          <a:off x="2028824" y="990599"/>
          <a:ext cx="1724025"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Fair Value:</a:t>
          </a:r>
          <a:r>
            <a:rPr lang="en-US" sz="1100" b="0" i="0" u="none" strike="noStrike">
              <a:solidFill>
                <a:schemeClr val="dk1"/>
              </a:solidFill>
              <a:effectLst/>
              <a:latin typeface="+mn-lt"/>
              <a:ea typeface="+mn-ea"/>
              <a:cs typeface="+mn-cs"/>
            </a:rPr>
            <a:t> </a:t>
          </a:r>
          <a:r>
            <a:rPr lang="en-US" sz="1800" b="1" i="0" u="none" strike="noStrike">
              <a:solidFill>
                <a:schemeClr val="dk1"/>
              </a:solidFill>
              <a:effectLst/>
              <a:latin typeface="+mn-lt"/>
              <a:ea typeface="+mn-ea"/>
              <a:cs typeface="+mn-cs"/>
            </a:rPr>
            <a:t>$</a:t>
          </a:r>
          <a:r>
            <a:rPr lang="en-US" sz="2000" b="1" i="0"/>
            <a:t>273.4/share</a:t>
          </a:r>
          <a:endParaRPr lang="en-US" sz="1100" i="1"/>
        </a:p>
      </xdr:txBody>
    </xdr:sp>
    <xdr:clientData/>
  </xdr:twoCellAnchor>
  <xdr:twoCellAnchor>
    <xdr:from>
      <xdr:col>1</xdr:col>
      <xdr:colOff>9524</xdr:colOff>
      <xdr:row>12</xdr:row>
      <xdr:rowOff>76200</xdr:rowOff>
    </xdr:from>
    <xdr:to>
      <xdr:col>9</xdr:col>
      <xdr:colOff>333374</xdr:colOff>
      <xdr:row>14</xdr:row>
      <xdr:rowOff>38100</xdr:rowOff>
    </xdr:to>
    <xdr:sp macro="" textlink="">
      <xdr:nvSpPr>
        <xdr:cNvPr id="8" name="TextBox 7"/>
        <xdr:cNvSpPr txBox="1"/>
      </xdr:nvSpPr>
      <xdr:spPr>
        <a:xfrm>
          <a:off x="142874" y="1962150"/>
          <a:ext cx="678180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What</a:t>
          </a:r>
          <a:r>
            <a:rPr lang="en-US" sz="1100" i="1" baseline="0"/>
            <a:t> if Costco's margins decline from base to Industry's 25th Percentile? (very low probability)</a:t>
          </a:r>
          <a:endParaRPr lang="en-US" sz="1100" i="1"/>
        </a:p>
      </xdr:txBody>
    </xdr:sp>
    <xdr:clientData/>
  </xdr:twoCellAnchor>
  <xdr:twoCellAnchor>
    <xdr:from>
      <xdr:col>3</xdr:col>
      <xdr:colOff>123826</xdr:colOff>
      <xdr:row>15</xdr:row>
      <xdr:rowOff>19049</xdr:rowOff>
    </xdr:from>
    <xdr:to>
      <xdr:col>5</xdr:col>
      <xdr:colOff>200026</xdr:colOff>
      <xdr:row>19</xdr:row>
      <xdr:rowOff>9524</xdr:rowOff>
    </xdr:to>
    <xdr:sp macro="" textlink="">
      <xdr:nvSpPr>
        <xdr:cNvPr id="9" name="TextBox 8"/>
        <xdr:cNvSpPr txBox="1"/>
      </xdr:nvSpPr>
      <xdr:spPr>
        <a:xfrm>
          <a:off x="2028826" y="2362199"/>
          <a:ext cx="1638300"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Fair Value:</a:t>
          </a:r>
          <a:r>
            <a:rPr lang="en-US" sz="1100" b="0" i="0" u="none" strike="noStrike">
              <a:solidFill>
                <a:schemeClr val="dk1"/>
              </a:solidFill>
              <a:effectLst/>
              <a:latin typeface="+mn-lt"/>
              <a:ea typeface="+mn-ea"/>
              <a:cs typeface="+mn-cs"/>
            </a:rPr>
            <a:t> </a:t>
          </a:r>
          <a:endParaRPr lang="en-US" sz="1800" b="1" i="0" u="none" strike="noStrike">
            <a:solidFill>
              <a:schemeClr val="dk1"/>
            </a:solidFill>
            <a:effectLst/>
            <a:latin typeface="+mn-lt"/>
            <a:ea typeface="+mn-ea"/>
            <a:cs typeface="+mn-cs"/>
          </a:endParaRPr>
        </a:p>
        <a:p>
          <a:r>
            <a:rPr lang="en-US" sz="1800" b="1" i="0" u="none" strike="noStrike">
              <a:solidFill>
                <a:schemeClr val="dk1"/>
              </a:solidFill>
              <a:effectLst/>
              <a:latin typeface="+mn-lt"/>
              <a:ea typeface="+mn-ea"/>
              <a:cs typeface="+mn-cs"/>
            </a:rPr>
            <a:t>$</a:t>
          </a:r>
          <a:r>
            <a:rPr lang="en-US" sz="2000" b="1" i="0"/>
            <a:t>39.67/share</a:t>
          </a:r>
          <a:endParaRPr lang="en-US" sz="1100" i="1"/>
        </a:p>
      </xdr:txBody>
    </xdr:sp>
    <xdr:clientData/>
  </xdr:twoCellAnchor>
  <xdr:twoCellAnchor>
    <xdr:from>
      <xdr:col>1</xdr:col>
      <xdr:colOff>9524</xdr:colOff>
      <xdr:row>21</xdr:row>
      <xdr:rowOff>85725</xdr:rowOff>
    </xdr:from>
    <xdr:to>
      <xdr:col>9</xdr:col>
      <xdr:colOff>314325</xdr:colOff>
      <xdr:row>23</xdr:row>
      <xdr:rowOff>47625</xdr:rowOff>
    </xdr:to>
    <xdr:sp macro="" textlink="">
      <xdr:nvSpPr>
        <xdr:cNvPr id="10" name="TextBox 9"/>
        <xdr:cNvSpPr txBox="1"/>
      </xdr:nvSpPr>
      <xdr:spPr>
        <a:xfrm>
          <a:off x="142874" y="3343275"/>
          <a:ext cx="6762751"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What</a:t>
          </a:r>
          <a:r>
            <a:rPr lang="en-US" sz="1100" i="1" baseline="0"/>
            <a:t> if Costco cannot achieve the operational efficiency that it did till now?</a:t>
          </a:r>
          <a:endParaRPr lang="en-US" sz="1100" i="1"/>
        </a:p>
      </xdr:txBody>
    </xdr:sp>
    <xdr:clientData/>
  </xdr:twoCellAnchor>
  <xdr:twoCellAnchor>
    <xdr:from>
      <xdr:col>3</xdr:col>
      <xdr:colOff>123825</xdr:colOff>
      <xdr:row>24</xdr:row>
      <xdr:rowOff>9524</xdr:rowOff>
    </xdr:from>
    <xdr:to>
      <xdr:col>5</xdr:col>
      <xdr:colOff>276225</xdr:colOff>
      <xdr:row>27</xdr:row>
      <xdr:rowOff>152399</xdr:rowOff>
    </xdr:to>
    <xdr:sp macro="" textlink="">
      <xdr:nvSpPr>
        <xdr:cNvPr id="11" name="TextBox 10"/>
        <xdr:cNvSpPr txBox="1"/>
      </xdr:nvSpPr>
      <xdr:spPr>
        <a:xfrm>
          <a:off x="2028825" y="3724274"/>
          <a:ext cx="1714500"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Fair Value:</a:t>
          </a:r>
          <a:r>
            <a:rPr lang="en-US" sz="1100" b="0" i="0" u="none" strike="noStrike">
              <a:solidFill>
                <a:schemeClr val="dk1"/>
              </a:solidFill>
              <a:effectLst/>
              <a:latin typeface="+mn-lt"/>
              <a:ea typeface="+mn-ea"/>
              <a:cs typeface="+mn-cs"/>
            </a:rPr>
            <a:t> </a:t>
          </a:r>
          <a:endParaRPr lang="en-US" sz="1100" b="1" i="0" u="none" strike="noStrike">
            <a:solidFill>
              <a:schemeClr val="dk1"/>
            </a:solidFill>
            <a:effectLst/>
            <a:latin typeface="+mn-lt"/>
            <a:ea typeface="+mn-ea"/>
            <a:cs typeface="+mn-cs"/>
          </a:endParaRPr>
        </a:p>
        <a:p>
          <a:r>
            <a:rPr lang="en-US" sz="1800" b="1" i="0" u="none" strike="noStrike">
              <a:solidFill>
                <a:schemeClr val="dk1"/>
              </a:solidFill>
              <a:effectLst/>
              <a:latin typeface="+mn-lt"/>
              <a:ea typeface="+mn-ea"/>
              <a:cs typeface="+mn-cs"/>
            </a:rPr>
            <a:t>$380.38</a:t>
          </a:r>
          <a:r>
            <a:rPr lang="en-US" sz="2000" b="1" i="0"/>
            <a:t>/share</a:t>
          </a:r>
          <a:endParaRPr lang="en-US" sz="1100" i="1"/>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9525</xdr:colOff>
      <xdr:row>13</xdr:row>
      <xdr:rowOff>142877</xdr:rowOff>
    </xdr:from>
    <xdr:to>
      <xdr:col>7</xdr:col>
      <xdr:colOff>171450</xdr:colOff>
      <xdr:row>29</xdr:row>
      <xdr:rowOff>47625</xdr:rowOff>
    </xdr:to>
    <xdr:sp macro="" textlink="">
      <xdr:nvSpPr>
        <xdr:cNvPr id="3" name="TextBox 2"/>
        <xdr:cNvSpPr txBox="1"/>
      </xdr:nvSpPr>
      <xdr:spPr>
        <a:xfrm>
          <a:off x="3657600" y="2181227"/>
          <a:ext cx="3676650" cy="23431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COST has</a:t>
          </a:r>
          <a:r>
            <a:rPr lang="en-US" sz="1100" baseline="0"/>
            <a:t> 93% debt as </a:t>
          </a:r>
          <a:r>
            <a:rPr lang="en-US" sz="1100"/>
            <a:t>Convertible</a:t>
          </a:r>
          <a:r>
            <a:rPr lang="en-US" sz="1100" baseline="0"/>
            <a:t> and 7% as Other Debt.</a:t>
          </a:r>
        </a:p>
        <a:p>
          <a:endParaRPr lang="en-US" sz="1100" baseline="0"/>
        </a:p>
        <a:p>
          <a:r>
            <a:rPr lang="en-US" sz="1100" baseline="0"/>
            <a:t>- COST has 100% debt in US$, which can be diversified with more currencies as operations exist outside of the US. But given the fact that it is operating mostly risk free countries.</a:t>
          </a:r>
        </a:p>
        <a:p>
          <a:endParaRPr lang="en-US" sz="1100" baseline="0"/>
        </a:p>
        <a:p>
          <a:r>
            <a:rPr lang="en-US" sz="1100"/>
            <a:t>- COST</a:t>
          </a:r>
          <a:r>
            <a:rPr lang="en-US" sz="1100" baseline="0"/>
            <a:t> has 100% Fixed Rate Debt which tells that their business is affected by inflation (No Pricing Power).</a:t>
          </a:r>
        </a:p>
        <a:p>
          <a:endParaRPr lang="en-US" sz="1100" baseline="0"/>
        </a:p>
        <a:p>
          <a:r>
            <a:rPr lang="en-US" sz="1100" baseline="0"/>
            <a:t>- COST has majority of debt as Medium term debt (5 years), but the duration of their operating assets is 8.95 years.</a:t>
          </a:r>
        </a:p>
        <a:p>
          <a:endParaRPr lang="en-US" sz="1100" baseline="0"/>
        </a:p>
        <a:p>
          <a:r>
            <a:rPr lang="en-US" sz="1100" baseline="0"/>
            <a:t>Debt design of COST is great!</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200026</xdr:colOff>
      <xdr:row>14</xdr:row>
      <xdr:rowOff>76200</xdr:rowOff>
    </xdr:from>
    <xdr:to>
      <xdr:col>17</xdr:col>
      <xdr:colOff>447676</xdr:colOff>
      <xdr:row>29</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18</xdr:row>
      <xdr:rowOff>114301</xdr:rowOff>
    </xdr:from>
    <xdr:to>
      <xdr:col>6</xdr:col>
      <xdr:colOff>19050</xdr:colOff>
      <xdr:row>24</xdr:row>
      <xdr:rowOff>133351</xdr:rowOff>
    </xdr:to>
    <xdr:sp macro="" textlink="">
      <xdr:nvSpPr>
        <xdr:cNvPr id="3" name="TextBox 2"/>
        <xdr:cNvSpPr txBox="1"/>
      </xdr:nvSpPr>
      <xdr:spPr>
        <a:xfrm>
          <a:off x="3028950" y="2914651"/>
          <a:ext cx="2105025"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i="1"/>
            <a:t>High</a:t>
          </a:r>
          <a:r>
            <a:rPr lang="en-US" sz="1050" i="1" baseline="0"/>
            <a:t> - Aviation, Consumer Durables</a:t>
          </a:r>
        </a:p>
        <a:p>
          <a:endParaRPr lang="en-US" sz="1050" i="1" baseline="0"/>
        </a:p>
        <a:p>
          <a:r>
            <a:rPr lang="en-US" sz="1050" i="1" baseline="0"/>
            <a:t>Medium - Technology</a:t>
          </a:r>
        </a:p>
        <a:p>
          <a:endParaRPr lang="en-US" sz="1050" i="1" baseline="0"/>
        </a:p>
        <a:p>
          <a:r>
            <a:rPr lang="en-US" sz="1050" i="1" baseline="0"/>
            <a:t>Low - Grocery Store</a:t>
          </a:r>
          <a:endParaRPr lang="en-US" sz="1050" i="1"/>
        </a:p>
      </xdr:txBody>
    </xdr:sp>
    <xdr:clientData/>
  </xdr:twoCellAnchor>
  <xdr:twoCellAnchor>
    <xdr:from>
      <xdr:col>9</xdr:col>
      <xdr:colOff>380999</xdr:colOff>
      <xdr:row>13</xdr:row>
      <xdr:rowOff>123825</xdr:rowOff>
    </xdr:from>
    <xdr:to>
      <xdr:col>13</xdr:col>
      <xdr:colOff>238124</xdr:colOff>
      <xdr:row>29</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428624</xdr:colOff>
      <xdr:row>10</xdr:row>
      <xdr:rowOff>123827</xdr:rowOff>
    </xdr:from>
    <xdr:to>
      <xdr:col>10</xdr:col>
      <xdr:colOff>0</xdr:colOff>
      <xdr:row>16</xdr:row>
      <xdr:rowOff>57150</xdr:rowOff>
    </xdr:to>
    <xdr:sp macro="" textlink="">
      <xdr:nvSpPr>
        <xdr:cNvPr id="3" name="TextBox 2"/>
        <xdr:cNvSpPr txBox="1"/>
      </xdr:nvSpPr>
      <xdr:spPr>
        <a:xfrm>
          <a:off x="5905499" y="1704977"/>
          <a:ext cx="2419351" cy="84772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COST returned 12.1 billion dollars as dividends</a:t>
          </a:r>
          <a:r>
            <a:rPr lang="en-US" sz="1100" baseline="0"/>
            <a:t> and buybacks in the last 5 years. Cash Return is </a:t>
          </a:r>
          <a:r>
            <a:rPr lang="en-US" sz="1100"/>
            <a:t>77.06% of</a:t>
          </a:r>
          <a:r>
            <a:rPr lang="en-US" sz="1100" baseline="0"/>
            <a:t> </a:t>
          </a:r>
          <a:r>
            <a:rPr lang="en-US" sz="1100"/>
            <a:t>15.7</a:t>
          </a:r>
          <a:r>
            <a:rPr lang="en-US" sz="1100" baseline="0"/>
            <a:t> </a:t>
          </a:r>
          <a:r>
            <a:rPr lang="en-US" sz="1100"/>
            <a:t>billion dollars it had available as FCFE.</a:t>
          </a:r>
          <a:endParaRPr lang="en-US" sz="1100" baseline="0"/>
        </a:p>
      </xdr:txBody>
    </xdr:sp>
    <xdr:clientData/>
  </xdr:twoCellAnchor>
  <xdr:twoCellAnchor>
    <xdr:from>
      <xdr:col>7</xdr:col>
      <xdr:colOff>800099</xdr:colOff>
      <xdr:row>2</xdr:row>
      <xdr:rowOff>38103</xdr:rowOff>
    </xdr:from>
    <xdr:to>
      <xdr:col>9</xdr:col>
      <xdr:colOff>723900</xdr:colOff>
      <xdr:row>5</xdr:row>
      <xdr:rowOff>38101</xdr:rowOff>
    </xdr:to>
    <xdr:sp macro="" textlink="">
      <xdr:nvSpPr>
        <xdr:cNvPr id="4" name="TextBox 3"/>
        <xdr:cNvSpPr txBox="1"/>
      </xdr:nvSpPr>
      <xdr:spPr>
        <a:xfrm>
          <a:off x="6276974" y="400053"/>
          <a:ext cx="2409826" cy="45719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i="1"/>
            <a:t>What</a:t>
          </a:r>
          <a:r>
            <a:rPr lang="en-US" sz="1100" i="1" baseline="0"/>
            <a:t> investment opportunities does the firm have?</a:t>
          </a:r>
          <a:endParaRPr lang="en-US" sz="1050" i="1" baseline="0"/>
        </a:p>
      </xdr:txBody>
    </xdr:sp>
    <xdr:clientData/>
  </xdr:twoCellAnchor>
  <xdr:twoCellAnchor>
    <xdr:from>
      <xdr:col>10</xdr:col>
      <xdr:colOff>495301</xdr:colOff>
      <xdr:row>2</xdr:row>
      <xdr:rowOff>114300</xdr:rowOff>
    </xdr:from>
    <xdr:to>
      <xdr:col>15</xdr:col>
      <xdr:colOff>257175</xdr:colOff>
      <xdr:row>24</xdr:row>
      <xdr:rowOff>85725</xdr:rowOff>
    </xdr:to>
    <xdr:graphicFrame macro="">
      <xdr:nvGraphicFramePr>
        <xdr:cNvPr id="6" name="Diagram 5"/>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11</xdr:col>
      <xdr:colOff>180974</xdr:colOff>
      <xdr:row>2</xdr:row>
      <xdr:rowOff>0</xdr:rowOff>
    </xdr:from>
    <xdr:to>
      <xdr:col>14</xdr:col>
      <xdr:colOff>476249</xdr:colOff>
      <xdr:row>4</xdr:row>
      <xdr:rowOff>9526</xdr:rowOff>
    </xdr:to>
    <xdr:sp macro="" textlink="">
      <xdr:nvSpPr>
        <xdr:cNvPr id="7" name="TextBox 6"/>
        <xdr:cNvSpPr txBox="1"/>
      </xdr:nvSpPr>
      <xdr:spPr>
        <a:xfrm>
          <a:off x="9191624" y="361950"/>
          <a:ext cx="2676525" cy="3143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1"/>
            <a:t>The Dividend Matrix</a:t>
          </a:r>
        </a:p>
      </xdr:txBody>
    </xdr:sp>
    <xdr:clientData/>
  </xdr:twoCellAnchor>
  <xdr:twoCellAnchor>
    <xdr:from>
      <xdr:col>11</xdr:col>
      <xdr:colOff>180974</xdr:colOff>
      <xdr:row>23</xdr:row>
      <xdr:rowOff>57150</xdr:rowOff>
    </xdr:from>
    <xdr:to>
      <xdr:col>14</xdr:col>
      <xdr:colOff>476249</xdr:colOff>
      <xdr:row>25</xdr:row>
      <xdr:rowOff>66676</xdr:rowOff>
    </xdr:to>
    <xdr:sp macro="" textlink="">
      <xdr:nvSpPr>
        <xdr:cNvPr id="10" name="TextBox 9"/>
        <xdr:cNvSpPr txBox="1"/>
      </xdr:nvSpPr>
      <xdr:spPr>
        <a:xfrm>
          <a:off x="9191624" y="3619500"/>
          <a:ext cx="2676525" cy="3143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i="1"/>
            <a:t>Quality of Projects</a:t>
          </a:r>
        </a:p>
      </xdr:txBody>
    </xdr:sp>
    <xdr:clientData/>
  </xdr:twoCellAnchor>
  <xdr:twoCellAnchor>
    <xdr:from>
      <xdr:col>10</xdr:col>
      <xdr:colOff>381000</xdr:colOff>
      <xdr:row>4</xdr:row>
      <xdr:rowOff>123825</xdr:rowOff>
    </xdr:from>
    <xdr:to>
      <xdr:col>11</xdr:col>
      <xdr:colOff>9526</xdr:colOff>
      <xdr:row>22</xdr:row>
      <xdr:rowOff>57150</xdr:rowOff>
    </xdr:to>
    <xdr:sp macro="" textlink="">
      <xdr:nvSpPr>
        <xdr:cNvPr id="11" name="TextBox 10"/>
        <xdr:cNvSpPr txBox="1"/>
      </xdr:nvSpPr>
      <xdr:spPr>
        <a:xfrm rot="16200000">
          <a:off x="7524750" y="1971675"/>
          <a:ext cx="2676525" cy="3143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i="1"/>
            <a:t>Amount of Cash Return</a:t>
          </a:r>
        </a:p>
      </xdr:txBody>
    </xdr:sp>
    <xdr:clientData/>
  </xdr:twoCellAnchor>
  <xdr:twoCellAnchor editAs="oneCell">
    <xdr:from>
      <xdr:col>13</xdr:col>
      <xdr:colOff>152400</xdr:colOff>
      <xdr:row>8</xdr:row>
      <xdr:rowOff>55958</xdr:rowOff>
    </xdr:from>
    <xdr:to>
      <xdr:col>14</xdr:col>
      <xdr:colOff>342900</xdr:colOff>
      <xdr:row>11</xdr:row>
      <xdr:rowOff>150613</xdr:rowOff>
    </xdr:to>
    <xdr:pic>
      <xdr:nvPicPr>
        <xdr:cNvPr id="9" name="Picture 8"/>
        <xdr:cNvPicPr>
          <a:picLocks noChangeAspect="1"/>
        </xdr:cNvPicPr>
      </xdr:nvPicPr>
      <xdr:blipFill>
        <a:blip xmlns:r="http://schemas.openxmlformats.org/officeDocument/2006/relationships" r:embed="rId6"/>
        <a:stretch>
          <a:fillRect/>
        </a:stretch>
      </xdr:blipFill>
      <xdr:spPr>
        <a:xfrm>
          <a:off x="10753725" y="1332308"/>
          <a:ext cx="981075" cy="55185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B1:AG30"/>
  <sheetViews>
    <sheetView tabSelected="1" zoomScaleNormal="100" workbookViewId="0"/>
  </sheetViews>
  <sheetFormatPr defaultColWidth="9.140625" defaultRowHeight="12.75"/>
  <cols>
    <col min="1" max="1" width="2" style="40" customWidth="1"/>
    <col min="2" max="2" width="9.28515625" style="40" customWidth="1"/>
    <col min="3" max="3" width="9.5703125" style="40" customWidth="1"/>
    <col min="4" max="4" width="1.42578125" style="40" customWidth="1"/>
    <col min="5" max="5" width="9.28515625" style="40" customWidth="1"/>
    <col min="6" max="6" width="9.85546875" style="40" customWidth="1"/>
    <col min="7" max="7" width="1.42578125" style="40" customWidth="1"/>
    <col min="8" max="8" width="10.140625" style="40" customWidth="1"/>
    <col min="9" max="9" width="9.7109375" style="40" customWidth="1"/>
    <col min="10" max="10" width="1.42578125" style="40" customWidth="1"/>
    <col min="11" max="12" width="9.140625" style="40"/>
    <col min="13" max="13" width="1.42578125" style="40" customWidth="1"/>
    <col min="14" max="14" width="10.42578125" style="40" customWidth="1"/>
    <col min="15" max="15" width="11.7109375" style="40" customWidth="1"/>
    <col min="16" max="16" width="1.42578125" style="40" customWidth="1"/>
    <col min="17" max="17" width="7.85546875" style="40" customWidth="1"/>
    <col min="18" max="18" width="9.140625" style="40" customWidth="1"/>
    <col min="19" max="19" width="3.28515625" style="40" customWidth="1"/>
    <col min="20" max="20" width="1.42578125" style="40" customWidth="1"/>
    <col min="21" max="21" width="11.42578125" style="40" customWidth="1"/>
    <col min="22" max="22" width="1.42578125" style="40" customWidth="1"/>
    <col min="23" max="23" width="11.28515625" style="40" customWidth="1"/>
    <col min="24" max="25" width="1.28515625" style="40" customWidth="1"/>
    <col min="26" max="26" width="12.5703125" style="40" customWidth="1"/>
    <col min="27" max="27" width="1.42578125" style="40" customWidth="1"/>
    <col min="28" max="28" width="17.28515625" style="40" customWidth="1"/>
    <col min="29" max="29" width="11.7109375" style="40" customWidth="1"/>
    <col min="30" max="16384" width="9.140625" style="40"/>
  </cols>
  <sheetData>
    <row r="1" spans="2:33" ht="5.25" customHeight="1">
      <c r="B1" s="187"/>
      <c r="C1" s="181"/>
    </row>
    <row r="2" spans="2:33" ht="16.5" customHeight="1">
      <c r="B2" s="632" t="s">
        <v>140</v>
      </c>
      <c r="C2" s="633"/>
      <c r="E2" s="632" t="s">
        <v>175</v>
      </c>
      <c r="F2" s="633"/>
      <c r="G2" s="182"/>
      <c r="H2" s="632" t="s">
        <v>174</v>
      </c>
      <c r="I2" s="633"/>
      <c r="J2" s="183"/>
      <c r="K2" s="632" t="s">
        <v>176</v>
      </c>
      <c r="L2" s="633"/>
      <c r="M2" s="183"/>
      <c r="N2" s="641"/>
      <c r="O2" s="642"/>
      <c r="P2" s="183"/>
      <c r="Q2" s="632" t="s">
        <v>177</v>
      </c>
      <c r="R2" s="638"/>
      <c r="S2" s="633"/>
      <c r="T2" s="183"/>
      <c r="U2" s="604" t="s">
        <v>178</v>
      </c>
      <c r="V2" s="183"/>
      <c r="W2" s="632" t="s">
        <v>179</v>
      </c>
      <c r="X2" s="633"/>
      <c r="Z2" s="604" t="s">
        <v>180</v>
      </c>
      <c r="AA2" s="188"/>
      <c r="AB2" s="604" t="s">
        <v>460</v>
      </c>
      <c r="AD2" s="188"/>
    </row>
    <row r="3" spans="2:33" ht="13.5" customHeight="1">
      <c r="B3" s="634" t="str">
        <f ca="1">CONCATENATE(ROUND('Bottom Up Beta'!C15,2))</f>
        <v>0.04</v>
      </c>
      <c r="C3" s="635"/>
      <c r="E3" s="647" t="str">
        <f>CONCATENATE("$",ROUND('Cost of Equity, Debt &amp; WACC'!C21/1000,2)," Bn")</f>
        <v>$222.18 Bn</v>
      </c>
      <c r="F3" s="648"/>
      <c r="G3" s="184"/>
      <c r="H3" s="647" t="str">
        <f>CONCATENATE("$",ROUND('Accounting Adjustments'!H5/1000,2)," Bn")</f>
        <v>$234.39 Bn</v>
      </c>
      <c r="I3" s="648"/>
      <c r="J3" s="183"/>
      <c r="K3" s="647" t="str">
        <f>CONCATENATE("$",ROUND('Accounting Adjustments'!H11/1000,2)," Bn")</f>
        <v>$7.94 Bn</v>
      </c>
      <c r="L3" s="648"/>
      <c r="M3" s="183"/>
      <c r="N3" s="643"/>
      <c r="O3" s="644"/>
      <c r="P3" s="183"/>
      <c r="Q3" s="634" t="str">
        <f>CONCATENATE(ROUND((('Accounting Adjustments'!F5-'Accounting Adjustments'!E5)/'Accounting Adjustments'!E5)*100,2),"%")</f>
        <v>17.49%</v>
      </c>
      <c r="R3" s="639"/>
      <c r="S3" s="635"/>
      <c r="T3" s="183"/>
      <c r="U3" s="651" t="str">
        <f ca="1">CONCATENATE(ROUND('Bottom Up Beta'!C18,2))</f>
        <v>0.59</v>
      </c>
      <c r="V3" s="183"/>
      <c r="W3" s="634" t="str">
        <f ca="1">CONCATENATE(ROUND('Cost of Equity, Debt &amp; WACC'!C29*100,2),"%")</f>
        <v>6.38%</v>
      </c>
      <c r="X3" s="635"/>
      <c r="Z3" s="651" t="str">
        <f>CONCATENATE(ROUND('Corporate Governance'!F20,2))</f>
        <v>3</v>
      </c>
      <c r="AA3" s="189"/>
      <c r="AB3" s="651" t="str">
        <f>CONCATENATE(ROUND('Expected Growth Rate'!C11*100,2),"%")</f>
        <v>3.21%</v>
      </c>
      <c r="AD3" s="189"/>
    </row>
    <row r="4" spans="2:33" ht="12.75" customHeight="1">
      <c r="B4" s="636"/>
      <c r="C4" s="637"/>
      <c r="E4" s="649"/>
      <c r="F4" s="650"/>
      <c r="G4" s="184"/>
      <c r="H4" s="649"/>
      <c r="I4" s="650"/>
      <c r="J4" s="183"/>
      <c r="K4" s="649"/>
      <c r="L4" s="650"/>
      <c r="M4" s="183"/>
      <c r="N4" s="645"/>
      <c r="O4" s="646"/>
      <c r="P4" s="183"/>
      <c r="Q4" s="636"/>
      <c r="R4" s="640"/>
      <c r="S4" s="637"/>
      <c r="T4" s="183"/>
      <c r="U4" s="652"/>
      <c r="V4" s="183"/>
      <c r="W4" s="636"/>
      <c r="X4" s="637"/>
      <c r="Z4" s="652"/>
      <c r="AA4" s="189"/>
      <c r="AB4" s="652"/>
      <c r="AD4" s="189"/>
    </row>
    <row r="5" spans="2:33" ht="4.5" customHeight="1">
      <c r="B5" s="186"/>
      <c r="C5" s="185"/>
    </row>
    <row r="6" spans="2:33" ht="8.25" customHeight="1">
      <c r="B6" s="653" t="s">
        <v>181</v>
      </c>
      <c r="C6" s="654"/>
      <c r="D6" s="654"/>
      <c r="E6" s="654"/>
      <c r="F6" s="655"/>
      <c r="G6" s="190"/>
      <c r="H6" s="653" t="s">
        <v>186</v>
      </c>
      <c r="I6" s="654"/>
      <c r="J6" s="654"/>
      <c r="K6" s="654"/>
      <c r="L6" s="654"/>
      <c r="M6" s="654"/>
      <c r="N6" s="654"/>
      <c r="O6" s="655"/>
      <c r="P6" s="190"/>
      <c r="Q6" s="653" t="s">
        <v>187</v>
      </c>
      <c r="R6" s="654"/>
      <c r="S6" s="654"/>
      <c r="T6" s="654"/>
      <c r="U6" s="654"/>
      <c r="V6" s="654"/>
      <c r="W6" s="654"/>
      <c r="X6" s="655"/>
      <c r="Z6" s="653" t="s">
        <v>119</v>
      </c>
      <c r="AA6" s="654"/>
      <c r="AB6" s="655"/>
      <c r="AC6" s="190"/>
      <c r="AD6" s="190"/>
      <c r="AE6" s="190"/>
      <c r="AF6" s="190"/>
      <c r="AG6" s="190"/>
    </row>
    <row r="7" spans="2:33" ht="8.25" customHeight="1">
      <c r="B7" s="656"/>
      <c r="C7" s="657"/>
      <c r="D7" s="657"/>
      <c r="E7" s="657"/>
      <c r="F7" s="658"/>
      <c r="G7" s="190"/>
      <c r="H7" s="656"/>
      <c r="I7" s="657"/>
      <c r="J7" s="657"/>
      <c r="K7" s="657"/>
      <c r="L7" s="657"/>
      <c r="M7" s="657"/>
      <c r="N7" s="657"/>
      <c r="O7" s="658"/>
      <c r="P7" s="190"/>
      <c r="Q7" s="656"/>
      <c r="R7" s="657"/>
      <c r="S7" s="657"/>
      <c r="T7" s="657"/>
      <c r="U7" s="657"/>
      <c r="V7" s="657"/>
      <c r="W7" s="657"/>
      <c r="X7" s="658"/>
      <c r="Z7" s="656"/>
      <c r="AA7" s="657"/>
      <c r="AB7" s="658"/>
      <c r="AC7" s="190"/>
      <c r="AD7" s="190"/>
      <c r="AE7" s="190"/>
      <c r="AF7" s="190"/>
      <c r="AG7" s="190"/>
    </row>
    <row r="8" spans="2:33" ht="15" customHeight="1"/>
    <row r="9" spans="2:33" ht="12.75" customHeight="1"/>
    <row r="10" spans="2:33">
      <c r="C10" s="41"/>
    </row>
    <row r="12" spans="2:33" ht="15">
      <c r="H12"/>
    </row>
    <row r="13" spans="2:33">
      <c r="M13" s="42"/>
    </row>
    <row r="15" spans="2:33" ht="15">
      <c r="H15"/>
    </row>
    <row r="18" spans="2:28" ht="8.25" customHeight="1">
      <c r="B18" s="653" t="s">
        <v>192</v>
      </c>
      <c r="C18" s="654"/>
      <c r="D18" s="654"/>
      <c r="E18" s="654"/>
      <c r="F18" s="655"/>
      <c r="H18" s="653" t="s">
        <v>419</v>
      </c>
      <c r="I18" s="654"/>
      <c r="J18" s="654"/>
      <c r="K18" s="654"/>
      <c r="L18" s="654"/>
      <c r="M18" s="654"/>
      <c r="N18" s="654"/>
      <c r="O18" s="655"/>
      <c r="Q18" s="653" t="s">
        <v>193</v>
      </c>
      <c r="R18" s="654"/>
      <c r="S18" s="654"/>
      <c r="T18" s="654"/>
      <c r="U18" s="654"/>
      <c r="V18" s="654"/>
      <c r="W18" s="654"/>
      <c r="X18" s="655"/>
      <c r="Y18" s="521"/>
      <c r="Z18" s="653" t="s">
        <v>195</v>
      </c>
      <c r="AA18" s="654"/>
      <c r="AB18" s="655"/>
    </row>
    <row r="19" spans="2:28" ht="8.25" customHeight="1">
      <c r="B19" s="656"/>
      <c r="C19" s="657"/>
      <c r="D19" s="657"/>
      <c r="E19" s="657"/>
      <c r="F19" s="658"/>
      <c r="H19" s="656"/>
      <c r="I19" s="657"/>
      <c r="J19" s="657"/>
      <c r="K19" s="657"/>
      <c r="L19" s="657"/>
      <c r="M19" s="657"/>
      <c r="N19" s="657"/>
      <c r="O19" s="658"/>
      <c r="Q19" s="656"/>
      <c r="R19" s="657"/>
      <c r="S19" s="657"/>
      <c r="T19" s="657"/>
      <c r="U19" s="657"/>
      <c r="V19" s="657"/>
      <c r="W19" s="657"/>
      <c r="X19" s="658"/>
      <c r="Y19" s="521"/>
      <c r="Z19" s="656"/>
      <c r="AA19" s="657"/>
      <c r="AB19" s="658"/>
    </row>
    <row r="20" spans="2:28" ht="12.75" customHeight="1"/>
    <row r="21" spans="2:28" ht="12.75" customHeight="1">
      <c r="V21" s="188"/>
      <c r="Y21" s="188"/>
      <c r="Z21" s="188"/>
      <c r="AA21" s="188"/>
    </row>
    <row r="22" spans="2:28" ht="12.75" customHeight="1">
      <c r="V22" s="192"/>
      <c r="Y22" s="188"/>
      <c r="Z22" s="192"/>
      <c r="AA22" s="192"/>
    </row>
    <row r="23" spans="2:28" ht="12.75" customHeight="1">
      <c r="V23" s="192"/>
      <c r="Y23" s="188"/>
      <c r="Z23" s="192"/>
      <c r="AA23" s="192"/>
    </row>
    <row r="25" spans="2:28" ht="12.75" customHeight="1">
      <c r="V25" s="188"/>
    </row>
    <row r="26" spans="2:28" ht="12.75" customHeight="1">
      <c r="V26" s="192"/>
    </row>
    <row r="27" spans="2:28" ht="12.75" customHeight="1">
      <c r="V27" s="192"/>
    </row>
    <row r="30" spans="2:28">
      <c r="Z30" s="602"/>
      <c r="AA30" s="603"/>
      <c r="AB30" s="603"/>
    </row>
  </sheetData>
  <mergeCells count="24">
    <mergeCell ref="B18:F19"/>
    <mergeCell ref="H18:O19"/>
    <mergeCell ref="H6:O7"/>
    <mergeCell ref="AB3:AB4"/>
    <mergeCell ref="Z3:Z4"/>
    <mergeCell ref="B6:F7"/>
    <mergeCell ref="Q6:X7"/>
    <mergeCell ref="Z6:AB7"/>
    <mergeCell ref="Z18:AB19"/>
    <mergeCell ref="Q18:X19"/>
    <mergeCell ref="W2:X2"/>
    <mergeCell ref="W3:X4"/>
    <mergeCell ref="U3:U4"/>
    <mergeCell ref="K2:L2"/>
    <mergeCell ref="K3:L4"/>
    <mergeCell ref="B2:C2"/>
    <mergeCell ref="B3:C4"/>
    <mergeCell ref="Q2:S2"/>
    <mergeCell ref="Q3:S4"/>
    <mergeCell ref="N2:O4"/>
    <mergeCell ref="E2:F2"/>
    <mergeCell ref="E3:F4"/>
    <mergeCell ref="H2:I2"/>
    <mergeCell ref="H3:I4"/>
  </mergeCells>
  <pageMargins left="0.7" right="0.7" top="0.75" bottom="0.75" header="0.3" footer="0.3"/>
  <pageSetup paperSize="8"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4"/>
  <sheetViews>
    <sheetView zoomScaleNormal="100" workbookViewId="0"/>
  </sheetViews>
  <sheetFormatPr defaultRowHeight="12"/>
  <cols>
    <col min="1" max="1" width="2" style="2" customWidth="1"/>
    <col min="2" max="2" width="25.5703125" style="2" bestFit="1" customWidth="1"/>
    <col min="3" max="3" width="19.5703125" style="2" bestFit="1" customWidth="1"/>
    <col min="4" max="4" width="5.85546875" style="2" customWidth="1"/>
    <col min="5" max="5" width="13.140625" style="2" customWidth="1"/>
    <col min="6" max="6" width="13.140625" style="12" customWidth="1"/>
    <col min="7" max="7" width="5.85546875" style="2" customWidth="1"/>
    <col min="8" max="8" width="24.140625" style="2" customWidth="1"/>
    <col min="9" max="14" width="11.7109375" style="2" customWidth="1"/>
    <col min="15" max="16384" width="9.140625" style="2"/>
  </cols>
  <sheetData>
    <row r="1" spans="2:14" ht="15.75">
      <c r="B1" s="15" t="s">
        <v>315</v>
      </c>
      <c r="E1" s="3"/>
      <c r="F1" s="45"/>
      <c r="G1" s="3"/>
      <c r="H1" s="3"/>
      <c r="I1" s="3"/>
      <c r="J1" s="3"/>
      <c r="K1" s="3"/>
      <c r="L1" s="3"/>
      <c r="M1" s="3"/>
      <c r="N1" s="3"/>
    </row>
    <row r="2" spans="2:14" ht="12.75" thickBot="1">
      <c r="E2" s="3"/>
      <c r="F2" s="45"/>
      <c r="G2" s="3"/>
      <c r="H2" s="3"/>
      <c r="I2" s="3"/>
      <c r="J2" s="3"/>
      <c r="K2" s="3"/>
      <c r="L2" s="3"/>
      <c r="M2" s="3"/>
      <c r="N2" s="3"/>
    </row>
    <row r="3" spans="2:14">
      <c r="B3" s="311" t="s">
        <v>329</v>
      </c>
      <c r="C3" s="238"/>
      <c r="D3" s="18"/>
      <c r="E3" s="262" t="s">
        <v>30</v>
      </c>
      <c r="F3" s="263" t="s">
        <v>159</v>
      </c>
      <c r="G3" s="61"/>
      <c r="H3" s="311" t="str">
        <f>$C$10&amp;"'s Inputs"</f>
        <v>Costco Wholesale's Inputs</v>
      </c>
      <c r="I3" s="238"/>
      <c r="J3" s="60"/>
      <c r="K3" s="3"/>
      <c r="L3" s="44"/>
      <c r="M3" s="57"/>
      <c r="N3" s="3"/>
    </row>
    <row r="4" spans="2:14" ht="12.75" thickBot="1">
      <c r="B4" s="293"/>
      <c r="C4" s="243"/>
      <c r="D4" s="5"/>
      <c r="E4" s="258" t="s">
        <v>15</v>
      </c>
      <c r="F4" s="259">
        <v>0</v>
      </c>
      <c r="G4" s="62"/>
      <c r="H4" s="293"/>
      <c r="I4" s="243"/>
      <c r="J4" s="47"/>
      <c r="K4" s="3"/>
      <c r="L4" s="3"/>
      <c r="M4" s="3"/>
      <c r="N4" s="3"/>
    </row>
    <row r="5" spans="2:14">
      <c r="B5" s="159" t="s">
        <v>318</v>
      </c>
      <c r="C5" s="312" t="s">
        <v>319</v>
      </c>
      <c r="D5" s="5"/>
      <c r="E5" s="258" t="s">
        <v>16</v>
      </c>
      <c r="F5" s="259">
        <v>3.3999999999999998E-3</v>
      </c>
      <c r="G5" s="62"/>
      <c r="H5" s="159" t="s">
        <v>163</v>
      </c>
      <c r="I5" s="269" t="str">
        <f>VLOOKUP(M15,'Optimal Cost of Capital'!J17:M30,3)</f>
        <v>AAA</v>
      </c>
      <c r="J5" s="47"/>
      <c r="K5" s="3"/>
      <c r="L5" s="3"/>
      <c r="M5" s="3"/>
      <c r="N5" s="3"/>
    </row>
    <row r="6" spans="2:14">
      <c r="B6" s="159" t="s">
        <v>320</v>
      </c>
      <c r="C6" s="312">
        <v>45055</v>
      </c>
      <c r="D6" s="20"/>
      <c r="E6" s="258" t="s">
        <v>9</v>
      </c>
      <c r="F6" s="259">
        <v>4.1999999999999997E-3</v>
      </c>
      <c r="G6" s="62"/>
      <c r="H6" s="63" t="s">
        <v>355</v>
      </c>
      <c r="I6" s="501">
        <v>0</v>
      </c>
      <c r="J6" s="47"/>
      <c r="K6" s="3"/>
      <c r="L6" s="3"/>
      <c r="M6" s="3"/>
      <c r="N6" s="3"/>
    </row>
    <row r="7" spans="2:14">
      <c r="C7" s="240"/>
      <c r="D7" s="5"/>
      <c r="E7" s="258" t="s">
        <v>20</v>
      </c>
      <c r="F7" s="259">
        <v>5.1000000000000004E-3</v>
      </c>
      <c r="G7" s="62"/>
      <c r="H7" s="63" t="s">
        <v>97</v>
      </c>
      <c r="I7" s="501">
        <v>0</v>
      </c>
      <c r="J7" s="47"/>
      <c r="K7" s="3"/>
      <c r="L7" s="3"/>
      <c r="M7" s="3"/>
      <c r="N7" s="3"/>
    </row>
    <row r="8" spans="2:14">
      <c r="B8" s="311" t="s">
        <v>321</v>
      </c>
      <c r="C8" s="238"/>
      <c r="D8" s="5"/>
      <c r="E8" s="258" t="s">
        <v>25</v>
      </c>
      <c r="F8" s="259">
        <v>6.0000000000000001E-3</v>
      </c>
      <c r="G8" s="62"/>
      <c r="H8" s="63"/>
      <c r="I8" s="269"/>
      <c r="J8" s="47"/>
      <c r="K8" s="3"/>
      <c r="L8" s="3"/>
      <c r="M8" s="3"/>
      <c r="N8" s="3"/>
    </row>
    <row r="9" spans="2:14" ht="12.75" thickBot="1">
      <c r="B9" s="293"/>
      <c r="C9" s="243"/>
      <c r="D9" s="5"/>
      <c r="E9" s="258" t="s">
        <v>22</v>
      </c>
      <c r="F9" s="259">
        <v>7.1999999999999998E-3</v>
      </c>
      <c r="G9" s="62"/>
      <c r="H9" s="328" t="s">
        <v>330</v>
      </c>
      <c r="I9" s="328"/>
      <c r="J9" s="328"/>
      <c r="K9" s="328"/>
      <c r="L9" s="328"/>
      <c r="M9" s="328"/>
      <c r="N9" s="3"/>
    </row>
    <row r="10" spans="2:14" ht="12.75" thickBot="1">
      <c r="B10" s="159" t="s">
        <v>316</v>
      </c>
      <c r="C10" s="313" t="s">
        <v>504</v>
      </c>
      <c r="D10" s="5"/>
      <c r="E10" s="258" t="s">
        <v>23</v>
      </c>
      <c r="F10" s="259">
        <v>1.0200000000000001E-2</v>
      </c>
      <c r="G10" s="62"/>
      <c r="H10" s="302" t="str">
        <f>Drivers!$C$5&amp;" in mil"</f>
        <v>$ in mil</v>
      </c>
      <c r="I10" s="243"/>
      <c r="J10" s="243"/>
      <c r="K10" s="243"/>
      <c r="L10" s="243"/>
      <c r="M10" s="243"/>
      <c r="N10" s="3"/>
    </row>
    <row r="11" spans="2:14">
      <c r="B11" s="159" t="s">
        <v>33</v>
      </c>
      <c r="C11" s="313" t="s">
        <v>505</v>
      </c>
      <c r="D11" s="5"/>
      <c r="E11" s="258" t="s">
        <v>24</v>
      </c>
      <c r="F11" s="259">
        <v>1.3599999999999999E-2</v>
      </c>
      <c r="G11" s="62"/>
      <c r="H11" s="329"/>
      <c r="I11" s="330">
        <v>2018</v>
      </c>
      <c r="J11" s="330">
        <v>2019</v>
      </c>
      <c r="K11" s="330">
        <v>2020</v>
      </c>
      <c r="L11" s="330">
        <v>2021</v>
      </c>
      <c r="M11" s="331">
        <v>2022</v>
      </c>
      <c r="N11" s="3"/>
    </row>
    <row r="12" spans="2:14">
      <c r="B12" s="159" t="s">
        <v>324</v>
      </c>
      <c r="C12" s="313" t="s">
        <v>291</v>
      </c>
      <c r="D12" s="5"/>
      <c r="E12" s="258" t="s">
        <v>11</v>
      </c>
      <c r="F12" s="259">
        <v>1.6199999999999999E-2</v>
      </c>
      <c r="G12" s="62"/>
      <c r="H12" s="2" t="s">
        <v>111</v>
      </c>
      <c r="I12" s="430">
        <f>-'Income Statement'!C19</f>
        <v>159</v>
      </c>
      <c r="J12" s="430">
        <f>-'Income Statement'!D19</f>
        <v>150</v>
      </c>
      <c r="K12" s="430">
        <f>-'Income Statement'!E19</f>
        <v>160</v>
      </c>
      <c r="L12" s="430">
        <f>-'Income Statement'!F19</f>
        <v>171</v>
      </c>
      <c r="M12" s="430">
        <f>-'Income Statement'!G19</f>
        <v>158</v>
      </c>
      <c r="N12" s="3"/>
    </row>
    <row r="13" spans="2:14">
      <c r="B13" s="149" t="s">
        <v>274</v>
      </c>
      <c r="C13" s="314" t="s">
        <v>506</v>
      </c>
      <c r="D13" s="5"/>
      <c r="E13" s="258" t="s">
        <v>28</v>
      </c>
      <c r="F13" s="259">
        <v>1.8700000000000001E-2</v>
      </c>
      <c r="G13" s="62"/>
      <c r="H13" s="2" t="s">
        <v>3</v>
      </c>
      <c r="I13" s="430">
        <f>'Income Statement'!C17</f>
        <v>4480</v>
      </c>
      <c r="J13" s="430">
        <f>'Income Statement'!D17</f>
        <v>4737</v>
      </c>
      <c r="K13" s="430">
        <f>'Income Statement'!E17</f>
        <v>5435</v>
      </c>
      <c r="L13" s="430">
        <f>'Income Statement'!F17</f>
        <v>6708</v>
      </c>
      <c r="M13" s="430">
        <f>'Income Statement'!G17</f>
        <v>7793</v>
      </c>
      <c r="N13" s="535"/>
    </row>
    <row r="14" spans="2:14">
      <c r="B14" s="159" t="s">
        <v>194</v>
      </c>
      <c r="C14" s="314" t="s">
        <v>507</v>
      </c>
      <c r="D14" s="20"/>
      <c r="E14" s="258" t="s">
        <v>27</v>
      </c>
      <c r="F14" s="259">
        <v>2.1299999999999999E-2</v>
      </c>
      <c r="G14" s="6"/>
      <c r="H14" s="282" t="s">
        <v>112</v>
      </c>
      <c r="I14" s="520">
        <f>I13/I12</f>
        <v>28.176100628930818</v>
      </c>
      <c r="J14" s="520">
        <f>J13/J12</f>
        <v>31.58</v>
      </c>
      <c r="K14" s="520">
        <f>K13/K12</f>
        <v>33.96875</v>
      </c>
      <c r="L14" s="520">
        <f>L13/L12</f>
        <v>39.228070175438596</v>
      </c>
      <c r="M14" s="520">
        <f>M13/M12</f>
        <v>49.322784810126585</v>
      </c>
      <c r="N14" s="3"/>
    </row>
    <row r="15" spans="2:14">
      <c r="C15" s="315"/>
      <c r="D15" s="5"/>
      <c r="E15" s="258" t="s">
        <v>17</v>
      </c>
      <c r="F15" s="259">
        <v>2.5600000000000001E-2</v>
      </c>
      <c r="G15" s="3"/>
      <c r="J15" s="159"/>
      <c r="K15" s="159"/>
      <c r="L15" s="159" t="s">
        <v>113</v>
      </c>
      <c r="M15" s="165">
        <f>MEDIAN(I14:M14)</f>
        <v>33.96875</v>
      </c>
    </row>
    <row r="16" spans="2:14">
      <c r="B16" s="159" t="s">
        <v>317</v>
      </c>
      <c r="C16" s="316" t="str">
        <f>C5&amp;500.79</f>
        <v>$500.79</v>
      </c>
      <c r="D16" s="5"/>
      <c r="E16" s="258" t="s">
        <v>14</v>
      </c>
      <c r="F16" s="259">
        <v>3.0599999999999999E-2</v>
      </c>
      <c r="G16" s="53"/>
      <c r="L16" s="3"/>
      <c r="M16" s="3"/>
    </row>
    <row r="17" spans="1:14">
      <c r="B17" s="159" t="s">
        <v>322</v>
      </c>
      <c r="C17" s="317">
        <f>'Income Statement'!G27</f>
        <v>443.65100000000001</v>
      </c>
      <c r="D17" s="5"/>
      <c r="E17" s="258" t="s">
        <v>10</v>
      </c>
      <c r="F17" s="259">
        <v>3.8300000000000001E-2</v>
      </c>
      <c r="G17" s="53"/>
      <c r="H17" s="311" t="s">
        <v>420</v>
      </c>
      <c r="I17" s="238"/>
      <c r="J17" s="238"/>
      <c r="K17" s="238"/>
    </row>
    <row r="18" spans="1:14" ht="12.75" thickBot="1">
      <c r="B18" s="159"/>
      <c r="C18" s="316"/>
      <c r="D18" s="20"/>
      <c r="E18" s="258" t="s">
        <v>18</v>
      </c>
      <c r="F18" s="259">
        <v>4.6800000000000001E-2</v>
      </c>
      <c r="G18" s="3"/>
      <c r="H18" s="293"/>
      <c r="I18" s="293" t="s">
        <v>421</v>
      </c>
      <c r="J18" s="293" t="s">
        <v>426</v>
      </c>
      <c r="K18" s="293" t="s">
        <v>422</v>
      </c>
    </row>
    <row r="19" spans="1:14">
      <c r="B19" s="311" t="s">
        <v>327</v>
      </c>
      <c r="C19" s="238"/>
      <c r="D19" s="5"/>
      <c r="E19" s="258" t="s">
        <v>12</v>
      </c>
      <c r="F19" s="259">
        <v>5.5300000000000002E-2</v>
      </c>
      <c r="G19" s="3"/>
      <c r="H19" s="159" t="s">
        <v>425</v>
      </c>
      <c r="I19" s="419">
        <v>406.51</v>
      </c>
      <c r="J19" s="522">
        <f>K19-I19</f>
        <v>158.24</v>
      </c>
      <c r="K19" s="522">
        <v>564.75</v>
      </c>
    </row>
    <row r="20" spans="1:14" ht="12.75" thickBot="1">
      <c r="B20" s="293"/>
      <c r="C20" s="243"/>
      <c r="D20" s="5"/>
      <c r="E20" s="258" t="s">
        <v>19</v>
      </c>
      <c r="F20" s="259">
        <v>6.3799999999999996E-2</v>
      </c>
      <c r="G20" s="66"/>
      <c r="H20" s="159" t="s">
        <v>423</v>
      </c>
      <c r="I20" s="419">
        <v>465</v>
      </c>
      <c r="J20" s="522">
        <f>K20-I20</f>
        <v>145</v>
      </c>
      <c r="K20" s="522">
        <v>610</v>
      </c>
      <c r="N20" s="3"/>
    </row>
    <row r="21" spans="1:14">
      <c r="B21" s="159" t="s">
        <v>325</v>
      </c>
      <c r="C21" s="318" t="s">
        <v>326</v>
      </c>
      <c r="D21" s="5"/>
      <c r="E21" s="258" t="s">
        <v>26</v>
      </c>
      <c r="F21" s="259">
        <v>7.6600000000000001E-2</v>
      </c>
      <c r="G21" s="6"/>
      <c r="H21" s="63" t="s">
        <v>424</v>
      </c>
      <c r="I21" s="524">
        <f ca="1">'Sensitivity Analysis'!C30</f>
        <v>415.42954828790141</v>
      </c>
      <c r="J21" s="522">
        <f ca="1">K21-I21</f>
        <v>68.968825756099079</v>
      </c>
      <c r="K21" s="522">
        <f>'Sensitivity Analysis'!H27</f>
        <v>484.39837404400049</v>
      </c>
    </row>
    <row r="22" spans="1:14">
      <c r="B22" s="159" t="str">
        <f>"10Y "&amp;C21&amp;" Gov Bond Yield"</f>
        <v>10Y USA Gov Bond Yield</v>
      </c>
      <c r="C22" s="318">
        <v>3.526E-2</v>
      </c>
      <c r="D22" s="5"/>
      <c r="E22" s="258" t="s">
        <v>21</v>
      </c>
      <c r="F22" s="259">
        <v>8.5099999999999995E-2</v>
      </c>
      <c r="G22" s="45"/>
      <c r="H22" s="63" t="s">
        <v>635</v>
      </c>
      <c r="I22" s="419">
        <f ca="1">((20.73*'Accounting Adjustments'!$H$11)+'Fair Value of Share'!$C$16+'Fair Value of Share'!$C$20)/'Fair Value of Share'!$C$25</f>
        <v>386.31230250064726</v>
      </c>
      <c r="J22" s="522">
        <f ca="1">K22-I22</f>
        <v>79.935137553120114</v>
      </c>
      <c r="K22" s="419">
        <f ca="1">((25.23*'Accounting Adjustments'!$H$11)+'Fair Value of Share'!$C$16+'Fair Value of Share'!$C$20)/'Fair Value of Share'!$C$25</f>
        <v>466.24744005376738</v>
      </c>
    </row>
    <row r="23" spans="1:14">
      <c r="B23" s="159" t="s">
        <v>30</v>
      </c>
      <c r="C23" s="318" t="s">
        <v>148</v>
      </c>
      <c r="D23" s="20"/>
      <c r="E23" s="258" t="s">
        <v>13</v>
      </c>
      <c r="F23" s="259">
        <v>0.1021</v>
      </c>
      <c r="G23" s="3"/>
    </row>
    <row r="24" spans="1:14" ht="12.75" thickBot="1">
      <c r="B24" s="3"/>
      <c r="C24" s="3"/>
      <c r="D24" s="5"/>
      <c r="E24" s="260" t="s">
        <v>29</v>
      </c>
      <c r="F24" s="261">
        <v>0.17499999999999999</v>
      </c>
      <c r="G24" s="3"/>
    </row>
    <row r="25" spans="1:14">
      <c r="B25" s="149" t="str">
        <f>$C$21&amp;" ERP (as of "&amp;TEXT(C6, "mmm")&amp;" "&amp;YEAR(C6)&amp;")"</f>
        <v>USA ERP (as of May 2023)</v>
      </c>
      <c r="C25" s="319">
        <v>4.7699999999999999E-2</v>
      </c>
      <c r="D25" s="5"/>
      <c r="E25" s="5"/>
      <c r="F25" s="45"/>
      <c r="G25" s="3"/>
    </row>
    <row r="26" spans="1:14">
      <c r="A26" s="2" t="s">
        <v>328</v>
      </c>
      <c r="B26" s="149" t="str">
        <f>$C$21&amp;" Spread (as of "&amp;TEXT(C6, "mmm")&amp;" "&amp;YEAR(C6)&amp;")"</f>
        <v>USA Spread (as of May 2023)</v>
      </c>
      <c r="C26" s="319">
        <v>0</v>
      </c>
      <c r="D26" s="5"/>
      <c r="E26" s="20"/>
      <c r="F26" s="36"/>
      <c r="G26" s="3"/>
    </row>
    <row r="27" spans="1:14">
      <c r="B27" s="149" t="str">
        <f>$C$21&amp;" CRP (as of "&amp;TEXT(C6, "mmm")&amp;" "&amp;YEAR(C6)&amp;")"</f>
        <v>USA CRP (as of May 2023)</v>
      </c>
      <c r="C27" s="319">
        <v>0</v>
      </c>
      <c r="D27" s="20"/>
      <c r="E27" s="19"/>
      <c r="F27" s="70"/>
      <c r="G27" s="3"/>
      <c r="H27" s="63"/>
      <c r="I27" s="523"/>
      <c r="J27" s="523"/>
    </row>
    <row r="28" spans="1:14">
      <c r="B28" s="149" t="str">
        <f>$C$21&amp;" Tax % (as of "&amp;TEXT(C6, "mmm")&amp;" "&amp;YEAR(C6)&amp;")"</f>
        <v>USA Tax % (as of May 2023)</v>
      </c>
      <c r="C28" s="319">
        <v>0.21</v>
      </c>
      <c r="D28" s="6"/>
      <c r="E28" s="19"/>
      <c r="F28" s="70"/>
      <c r="G28" s="3"/>
      <c r="H28" s="63"/>
      <c r="I28" s="501"/>
      <c r="J28" s="3"/>
    </row>
    <row r="29" spans="1:14">
      <c r="D29" s="3"/>
      <c r="E29" s="3"/>
      <c r="F29" s="45"/>
      <c r="G29" s="3"/>
      <c r="J29" s="3"/>
    </row>
    <row r="30" spans="1:14">
      <c r="B30" s="149" t="s">
        <v>414</v>
      </c>
      <c r="C30" s="319">
        <v>0.02</v>
      </c>
      <c r="D30" s="3"/>
      <c r="E30" s="3"/>
      <c r="F30" s="45"/>
    </row>
    <row r="31" spans="1:14">
      <c r="D31" s="3"/>
      <c r="E31" s="3"/>
      <c r="F31" s="45"/>
    </row>
    <row r="32" spans="1:14">
      <c r="D32" s="3"/>
      <c r="E32" s="3"/>
      <c r="F32" s="45"/>
    </row>
    <row r="33" spans="4:6">
      <c r="D33" s="3"/>
      <c r="E33" s="3"/>
      <c r="F33" s="45"/>
    </row>
    <row r="34" spans="4:6">
      <c r="D34" s="3"/>
      <c r="E34" s="3"/>
      <c r="F34" s="45"/>
    </row>
  </sheetData>
  <conditionalFormatting sqref="F4:F24">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V34"/>
  <sheetViews>
    <sheetView zoomScaleNormal="100" workbookViewId="0"/>
  </sheetViews>
  <sheetFormatPr defaultRowHeight="12"/>
  <cols>
    <col min="1" max="1" width="2" style="2" customWidth="1"/>
    <col min="2" max="2" width="22.85546875" style="2" customWidth="1"/>
    <col min="3" max="3" width="20.5703125" style="2" customWidth="1"/>
    <col min="4" max="4" width="10.7109375" style="2" customWidth="1"/>
    <col min="5" max="5" width="10" style="2" customWidth="1"/>
    <col min="6" max="6" width="10" style="12" bestFit="1" customWidth="1"/>
    <col min="7" max="8" width="11.42578125" style="2" customWidth="1"/>
    <col min="9" max="9" width="9.85546875" style="2" customWidth="1"/>
    <col min="10" max="10" width="10.42578125" style="2" customWidth="1"/>
    <col min="11" max="11" width="10.140625" style="2" customWidth="1"/>
    <col min="12" max="12" width="9.42578125" style="2" customWidth="1"/>
    <col min="13" max="13" width="13.42578125" style="2" customWidth="1"/>
    <col min="14" max="14" width="9.140625" style="2"/>
    <col min="15" max="15" width="2.42578125" style="2" customWidth="1"/>
    <col min="16" max="16" width="13.5703125" style="2" customWidth="1"/>
    <col min="17" max="17" width="9.42578125" style="2" customWidth="1"/>
    <col min="18" max="18" width="9" style="2" customWidth="1"/>
    <col min="19" max="19" width="9.140625" style="2" customWidth="1"/>
    <col min="20" max="16384" width="9.140625" style="2"/>
  </cols>
  <sheetData>
    <row r="1" spans="2:22" ht="15.75">
      <c r="B1" s="15" t="s">
        <v>323</v>
      </c>
      <c r="E1" s="3"/>
      <c r="F1" s="45"/>
      <c r="G1" s="3"/>
      <c r="H1" s="3"/>
      <c r="I1" s="3"/>
      <c r="J1" s="3"/>
      <c r="K1" s="3"/>
      <c r="L1" s="3"/>
      <c r="M1" s="3"/>
      <c r="N1" s="3"/>
    </row>
    <row r="2" spans="2:22">
      <c r="E2" s="3"/>
      <c r="F2" s="45"/>
      <c r="G2" s="3"/>
      <c r="H2" s="3"/>
      <c r="I2" s="3"/>
      <c r="J2" s="3"/>
      <c r="K2" s="3"/>
      <c r="L2" s="3"/>
      <c r="M2" s="73"/>
      <c r="N2" s="73"/>
      <c r="O2" s="73"/>
      <c r="P2" s="73"/>
      <c r="Q2" s="73"/>
      <c r="R2" s="73"/>
    </row>
    <row r="3" spans="2:22" ht="4.5" customHeight="1">
      <c r="B3" s="3"/>
      <c r="C3" s="54"/>
      <c r="D3" s="18"/>
      <c r="E3" s="37"/>
      <c r="F3" s="65"/>
      <c r="G3" s="61"/>
      <c r="H3" s="60"/>
      <c r="I3" s="60"/>
      <c r="J3" s="60"/>
      <c r="K3" s="3"/>
      <c r="L3" s="66"/>
      <c r="M3" s="3"/>
      <c r="N3" s="3"/>
      <c r="O3" s="3"/>
      <c r="P3" s="3"/>
      <c r="Q3" s="3"/>
    </row>
    <row r="4" spans="2:22" ht="12" customHeight="1">
      <c r="C4" s="128"/>
      <c r="D4" s="5"/>
      <c r="E4" s="3"/>
      <c r="F4" s="49"/>
      <c r="G4" s="62"/>
      <c r="H4" s="63"/>
      <c r="I4" s="37"/>
      <c r="J4" s="47"/>
      <c r="K4" s="3"/>
      <c r="L4" s="48"/>
      <c r="M4" s="630"/>
      <c r="N4" s="631"/>
      <c r="O4" s="3"/>
      <c r="P4" s="630"/>
      <c r="Q4" s="631"/>
      <c r="V4"/>
    </row>
    <row r="5" spans="2:22">
      <c r="C5" s="159"/>
      <c r="D5" s="5"/>
      <c r="E5" s="3"/>
      <c r="F5" s="49"/>
      <c r="G5" s="62"/>
      <c r="H5" s="63"/>
      <c r="I5" s="37"/>
      <c r="J5" s="47"/>
      <c r="K5" s="3"/>
      <c r="L5" s="48"/>
      <c r="M5" s="630"/>
      <c r="N5" s="631"/>
      <c r="O5" s="3"/>
      <c r="P5" s="630"/>
      <c r="Q5" s="631"/>
    </row>
    <row r="6" spans="2:22" ht="4.5" customHeight="1">
      <c r="C6" s="50"/>
      <c r="D6" s="20"/>
      <c r="E6" s="3"/>
      <c r="F6" s="49"/>
      <c r="G6" s="62"/>
      <c r="H6" s="63"/>
      <c r="I6" s="37"/>
      <c r="J6" s="47"/>
      <c r="K6" s="3"/>
      <c r="L6" s="48"/>
      <c r="M6" s="56"/>
      <c r="N6" s="3"/>
      <c r="O6" s="3"/>
      <c r="P6" s="3"/>
      <c r="Q6" s="3"/>
    </row>
    <row r="7" spans="2:22" ht="12" customHeight="1">
      <c r="C7" s="51"/>
      <c r="D7" s="5"/>
      <c r="E7" s="3"/>
      <c r="F7" s="49"/>
      <c r="G7" s="62"/>
      <c r="H7" s="63"/>
      <c r="I7" s="37"/>
      <c r="J7" s="47"/>
      <c r="K7" s="3"/>
      <c r="L7" s="48"/>
      <c r="M7" s="630"/>
      <c r="N7" s="3"/>
      <c r="O7" s="3"/>
      <c r="P7" s="630"/>
      <c r="Q7" s="3"/>
      <c r="T7"/>
    </row>
    <row r="8" spans="2:22">
      <c r="C8" s="36"/>
      <c r="D8" s="5"/>
      <c r="E8" s="3"/>
      <c r="F8" s="49"/>
      <c r="G8" s="62"/>
      <c r="H8" s="63"/>
      <c r="I8" s="37"/>
      <c r="J8" s="47"/>
      <c r="K8" s="3"/>
      <c r="L8" s="48"/>
      <c r="M8" s="630"/>
      <c r="N8" s="3"/>
      <c r="O8" s="3"/>
      <c r="P8" s="630"/>
      <c r="Q8" s="3"/>
    </row>
    <row r="9" spans="2:22" ht="4.5" customHeight="1">
      <c r="B9" s="3"/>
      <c r="C9" s="54"/>
      <c r="D9" s="5"/>
      <c r="E9" s="3"/>
      <c r="F9" s="49"/>
      <c r="G9" s="62"/>
      <c r="H9" s="63"/>
      <c r="I9" s="37"/>
      <c r="J9" s="47"/>
      <c r="K9" s="3"/>
      <c r="L9" s="48"/>
      <c r="M9" s="56"/>
      <c r="N9" s="3"/>
      <c r="O9" s="3"/>
      <c r="P9" s="3"/>
      <c r="Q9" s="3"/>
    </row>
    <row r="10" spans="2:22" ht="12" customHeight="1">
      <c r="B10" s="3"/>
      <c r="C10" s="54"/>
      <c r="D10" s="5"/>
      <c r="E10" s="3"/>
      <c r="F10" s="49"/>
      <c r="G10" s="62"/>
      <c r="H10" s="63"/>
      <c r="I10" s="37"/>
      <c r="J10" s="187"/>
      <c r="K10" s="3"/>
      <c r="L10" s="46"/>
      <c r="M10" s="630"/>
      <c r="N10" s="3"/>
      <c r="O10" s="3"/>
      <c r="P10" s="630"/>
      <c r="Q10" s="3"/>
    </row>
    <row r="11" spans="2:22" ht="12" customHeight="1">
      <c r="B11" s="3"/>
      <c r="C11" s="55"/>
      <c r="D11" s="5"/>
      <c r="E11" s="3"/>
      <c r="F11" s="49"/>
      <c r="G11" s="62"/>
      <c r="H11" s="63"/>
      <c r="I11" s="37"/>
      <c r="J11" s="187"/>
      <c r="K11" s="3"/>
      <c r="L11" s="52"/>
      <c r="M11" s="630"/>
      <c r="N11" s="3"/>
      <c r="O11" s="3"/>
      <c r="P11" s="630"/>
      <c r="Q11" s="3"/>
    </row>
    <row r="12" spans="2:22" ht="4.5" customHeight="1">
      <c r="B12" s="3"/>
      <c r="C12" s="3"/>
      <c r="D12" s="5"/>
      <c r="E12" s="3"/>
      <c r="F12" s="49"/>
      <c r="G12" s="62"/>
      <c r="H12" s="63"/>
      <c r="I12" s="37"/>
      <c r="J12" s="47"/>
      <c r="K12" s="3"/>
      <c r="L12" s="44"/>
      <c r="M12" s="57"/>
      <c r="N12" s="3"/>
      <c r="O12" s="3"/>
      <c r="P12" s="3"/>
      <c r="Q12" s="3"/>
    </row>
    <row r="13" spans="2:22">
      <c r="B13" s="3"/>
      <c r="C13" s="39"/>
      <c r="D13" s="5"/>
      <c r="E13" s="3"/>
      <c r="F13" s="49"/>
      <c r="G13" s="62"/>
      <c r="H13" s="63"/>
      <c r="I13" s="37"/>
      <c r="J13" s="47"/>
      <c r="K13" s="3"/>
      <c r="L13" s="3"/>
      <c r="M13" s="73"/>
      <c r="N13" s="73"/>
      <c r="O13" s="73"/>
      <c r="P13" s="73"/>
      <c r="Q13" s="73"/>
    </row>
    <row r="14" spans="2:22" ht="12" customHeight="1">
      <c r="B14" s="19"/>
      <c r="C14" s="19"/>
      <c r="D14" s="20"/>
      <c r="E14" s="3"/>
      <c r="F14" s="48"/>
      <c r="G14" s="6"/>
      <c r="H14"/>
      <c r="I14" s="37"/>
      <c r="J14" s="19"/>
      <c r="K14" s="3"/>
      <c r="L14" s="3"/>
      <c r="M14" s="659"/>
      <c r="N14" s="659"/>
      <c r="P14" s="660"/>
      <c r="Q14" s="660"/>
    </row>
    <row r="15" spans="2:22">
      <c r="B15" s="3"/>
      <c r="C15" s="71"/>
      <c r="D15" s="5"/>
      <c r="E15" s="37"/>
      <c r="F15" s="44"/>
      <c r="G15" s="3"/>
      <c r="H15" s="3"/>
      <c r="I15" s="3"/>
      <c r="J15" s="3"/>
      <c r="K15" s="3"/>
      <c r="L15" s="3"/>
      <c r="M15" s="659"/>
      <c r="N15" s="659"/>
      <c r="P15" s="660"/>
      <c r="Q15" s="660"/>
    </row>
    <row r="16" spans="2:22">
      <c r="B16" s="3"/>
      <c r="C16" s="3"/>
      <c r="D16" s="5"/>
      <c r="E16" s="37"/>
      <c r="F16" s="52"/>
      <c r="G16" s="53"/>
      <c r="H16" s="35"/>
      <c r="I16" s="3"/>
      <c r="J16" s="3"/>
      <c r="K16" s="3"/>
      <c r="L16" s="3"/>
      <c r="M16" s="660"/>
      <c r="N16" s="660"/>
      <c r="P16" s="660"/>
      <c r="Q16" s="660"/>
      <c r="R16" s="73"/>
    </row>
    <row r="17" spans="2:17">
      <c r="B17" s="3"/>
      <c r="C17" s="51"/>
      <c r="D17" s="5"/>
      <c r="E17" s="37"/>
      <c r="F17" s="44"/>
      <c r="G17" s="53"/>
      <c r="H17" s="3"/>
      <c r="I17" s="3"/>
      <c r="J17" s="3"/>
      <c r="K17" s="3"/>
      <c r="L17" s="3"/>
      <c r="M17" s="659"/>
      <c r="N17" s="659"/>
      <c r="P17" s="660"/>
      <c r="Q17" s="660"/>
    </row>
    <row r="18" spans="2:17" ht="4.5" customHeight="1">
      <c r="B18" s="3"/>
      <c r="C18" s="3"/>
      <c r="D18" s="20"/>
      <c r="E18" s="37"/>
      <c r="F18" s="44"/>
      <c r="G18" s="3"/>
      <c r="H18" s="3"/>
      <c r="I18" s="3"/>
      <c r="J18" s="3"/>
      <c r="K18" s="3"/>
      <c r="L18" s="3"/>
    </row>
    <row r="19" spans="2:17">
      <c r="B19" s="19"/>
      <c r="C19" s="19"/>
      <c r="D19" s="5"/>
      <c r="E19" s="37"/>
      <c r="F19" s="44"/>
      <c r="G19" s="3"/>
      <c r="H19" s="3"/>
      <c r="I19" s="3"/>
      <c r="J19" s="3"/>
      <c r="K19" s="3"/>
      <c r="L19" s="3"/>
      <c r="M19" s="73"/>
      <c r="N19" s="73"/>
      <c r="O19" s="73"/>
      <c r="P19" s="73"/>
      <c r="Q19" s="73"/>
    </row>
    <row r="20" spans="2:17">
      <c r="B20" s="3"/>
      <c r="C20" s="3"/>
      <c r="D20" s="5"/>
      <c r="E20" s="64"/>
      <c r="F20" s="66"/>
      <c r="G20" s="66"/>
      <c r="H20" s="66"/>
      <c r="I20" s="66"/>
      <c r="J20" s="66"/>
      <c r="K20" s="66"/>
      <c r="L20" s="3"/>
      <c r="M20" s="3"/>
      <c r="N20" s="3"/>
    </row>
    <row r="21" spans="2:17">
      <c r="B21" s="3"/>
      <c r="C21" s="3"/>
      <c r="D21" s="5"/>
      <c r="E21" s="58"/>
      <c r="F21" s="67"/>
      <c r="G21" s="6"/>
      <c r="H21" s="6"/>
      <c r="I21" s="6"/>
      <c r="J21" s="6"/>
      <c r="K21" s="6"/>
      <c r="L21" s="3"/>
      <c r="M21" s="3"/>
      <c r="N21" s="3"/>
    </row>
    <row r="22" spans="2:17">
      <c r="B22" s="3"/>
      <c r="C22" s="3"/>
      <c r="D22" s="5"/>
      <c r="E22" s="37"/>
      <c r="F22" s="45"/>
      <c r="G22" s="45"/>
      <c r="H22" s="45"/>
      <c r="I22" s="59"/>
      <c r="J22" s="44"/>
      <c r="K22" s="45"/>
      <c r="L22" s="3"/>
      <c r="M22" s="3"/>
      <c r="N22" s="3"/>
    </row>
    <row r="23" spans="2:17">
      <c r="B23" s="19"/>
      <c r="C23" s="19"/>
      <c r="D23" s="20"/>
      <c r="E23" s="37"/>
      <c r="F23" s="3"/>
      <c r="G23" s="3"/>
      <c r="H23" s="3"/>
      <c r="I23" s="3"/>
      <c r="J23" s="3"/>
      <c r="K23" s="3"/>
      <c r="L23" s="68"/>
      <c r="M23" s="3"/>
      <c r="N23" s="3"/>
    </row>
    <row r="24" spans="2:17">
      <c r="B24" s="3"/>
      <c r="C24" s="3"/>
      <c r="D24" s="5"/>
      <c r="E24" s="37"/>
      <c r="F24" s="3"/>
      <c r="G24" s="3"/>
      <c r="H24" s="3"/>
      <c r="I24" s="3"/>
      <c r="J24" s="3"/>
      <c r="K24" s="3"/>
      <c r="L24" s="3"/>
      <c r="M24" s="3"/>
      <c r="N24" s="3"/>
    </row>
    <row r="25" spans="2:17">
      <c r="B25" s="3"/>
      <c r="C25" s="3"/>
      <c r="D25" s="5"/>
      <c r="E25" s="5"/>
      <c r="F25" s="45"/>
      <c r="G25" s="3"/>
      <c r="H25" s="52"/>
      <c r="I25" s="53"/>
      <c r="J25" s="3"/>
      <c r="K25" s="3"/>
      <c r="L25" s="3"/>
      <c r="M25" s="3"/>
      <c r="N25" s="3"/>
    </row>
    <row r="26" spans="2:17">
      <c r="B26" s="3"/>
      <c r="C26" s="3"/>
      <c r="D26" s="5"/>
      <c r="E26" s="20"/>
      <c r="F26" s="36"/>
      <c r="G26" s="3"/>
      <c r="H26" s="44"/>
      <c r="I26" s="53"/>
      <c r="J26" s="3"/>
      <c r="K26" s="3"/>
      <c r="L26" s="69"/>
      <c r="M26" s="3"/>
      <c r="N26" s="3"/>
    </row>
    <row r="27" spans="2:17">
      <c r="B27" s="3"/>
      <c r="C27" s="3"/>
      <c r="D27" s="20"/>
      <c r="E27" s="19"/>
      <c r="F27" s="70"/>
      <c r="G27" s="3"/>
      <c r="H27" s="3"/>
      <c r="I27" s="3"/>
      <c r="J27" s="3"/>
      <c r="K27" s="3"/>
      <c r="L27" s="3"/>
      <c r="M27" s="3"/>
      <c r="N27" s="3"/>
    </row>
    <row r="28" spans="2:17">
      <c r="B28" s="3"/>
      <c r="C28" s="3"/>
      <c r="D28" s="6"/>
      <c r="E28" s="19"/>
      <c r="F28" s="70"/>
      <c r="G28" s="3"/>
      <c r="H28" s="3"/>
      <c r="I28" s="3"/>
      <c r="J28" s="3"/>
      <c r="K28" s="3"/>
      <c r="L28" s="3"/>
      <c r="M28" s="3"/>
      <c r="N28" s="3"/>
    </row>
    <row r="29" spans="2:17">
      <c r="B29" s="3"/>
      <c r="C29" s="3"/>
      <c r="D29" s="3"/>
      <c r="E29" s="3"/>
      <c r="F29" s="45"/>
      <c r="G29" s="3"/>
      <c r="H29" s="3"/>
      <c r="I29" s="3"/>
      <c r="J29" s="3"/>
      <c r="K29" s="3"/>
      <c r="L29" s="3"/>
      <c r="M29" s="3"/>
      <c r="N29" s="3"/>
    </row>
    <row r="30" spans="2:17">
      <c r="B30" s="3"/>
      <c r="C30" s="3"/>
      <c r="D30" s="3"/>
      <c r="E30" s="3"/>
      <c r="F30" s="45"/>
    </row>
    <row r="31" spans="2:17">
      <c r="D31" s="3"/>
      <c r="E31" s="3"/>
      <c r="F31" s="45"/>
    </row>
    <row r="32" spans="2:17">
      <c r="D32" s="3"/>
      <c r="E32" s="3"/>
      <c r="F32" s="45"/>
    </row>
    <row r="33" spans="4:6">
      <c r="D33" s="3"/>
      <c r="E33" s="3"/>
      <c r="F33" s="45"/>
    </row>
    <row r="34" spans="4:6">
      <c r="D34" s="3"/>
      <c r="E34" s="3"/>
      <c r="F34" s="45"/>
    </row>
  </sheetData>
  <mergeCells count="8">
    <mergeCell ref="M14:N14"/>
    <mergeCell ref="M15:N15"/>
    <mergeCell ref="M16:N16"/>
    <mergeCell ref="M17:N17"/>
    <mergeCell ref="P14:Q14"/>
    <mergeCell ref="P15:Q15"/>
    <mergeCell ref="P16:Q16"/>
    <mergeCell ref="P17:Q17"/>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L34"/>
  <sheetViews>
    <sheetView zoomScaleNormal="100" workbookViewId="0"/>
  </sheetViews>
  <sheetFormatPr defaultRowHeight="12"/>
  <cols>
    <col min="1" max="1" width="2" style="2" customWidth="1"/>
    <col min="2" max="2" width="22.28515625" style="2" customWidth="1"/>
    <col min="3" max="3" width="25" style="2" customWidth="1"/>
    <col min="4" max="4" width="3.28515625" style="2" customWidth="1"/>
    <col min="5" max="5" width="20.5703125" style="2" customWidth="1"/>
    <col min="6" max="6" width="10" style="12" bestFit="1" customWidth="1"/>
    <col min="7" max="7" width="11.42578125" style="2" customWidth="1"/>
    <col min="8" max="8" width="48.7109375" style="2" customWidth="1"/>
    <col min="9" max="9" width="10" style="2" customWidth="1"/>
    <col min="10" max="10" width="7.85546875" style="2" customWidth="1"/>
    <col min="11" max="11" width="10.28515625" style="2" customWidth="1"/>
    <col min="12" max="16384" width="9.140625" style="2"/>
  </cols>
  <sheetData>
    <row r="1" spans="2:12" ht="15.75">
      <c r="B1" s="15" t="s">
        <v>119</v>
      </c>
      <c r="E1" s="3"/>
      <c r="F1" s="45"/>
      <c r="G1" s="3"/>
      <c r="H1" s="3"/>
      <c r="I1" s="3"/>
      <c r="J1" s="3"/>
      <c r="K1" s="3"/>
      <c r="L1" s="3"/>
    </row>
    <row r="2" spans="2:12">
      <c r="E2" s="3"/>
      <c r="F2" s="45"/>
      <c r="G2" s="3"/>
      <c r="H2" s="3"/>
      <c r="I2" s="3"/>
      <c r="J2" s="3"/>
      <c r="K2" s="3"/>
    </row>
    <row r="3" spans="2:12">
      <c r="B3" s="237" t="s">
        <v>123</v>
      </c>
      <c r="C3" s="237"/>
      <c r="D3" s="18"/>
      <c r="E3" s="37"/>
      <c r="F3" s="65"/>
      <c r="G3" s="61"/>
      <c r="H3" s="237" t="s">
        <v>427</v>
      </c>
      <c r="I3" s="66"/>
      <c r="J3" s="60"/>
      <c r="K3" s="3"/>
    </row>
    <row r="4" spans="2:12" ht="12.75" thickBot="1">
      <c r="B4" s="242" t="s">
        <v>530</v>
      </c>
      <c r="C4" s="243"/>
      <c r="G4" s="62"/>
      <c r="H4" s="242"/>
      <c r="I4" s="48"/>
      <c r="J4" s="56"/>
      <c r="K4" s="3"/>
    </row>
    <row r="5" spans="2:12">
      <c r="B5" s="241" t="s">
        <v>120</v>
      </c>
      <c r="C5" s="241" t="s">
        <v>121</v>
      </c>
      <c r="D5" s="5"/>
      <c r="E5" s="3"/>
      <c r="F5" s="49"/>
      <c r="G5" s="62"/>
      <c r="H5" s="2" t="s">
        <v>428</v>
      </c>
      <c r="I5" s="48"/>
      <c r="J5" s="56"/>
      <c r="K5" s="3"/>
    </row>
    <row r="6" spans="2:12">
      <c r="B6" s="35" t="s">
        <v>508</v>
      </c>
      <c r="C6" s="239" t="s">
        <v>509</v>
      </c>
      <c r="E6" s="3"/>
      <c r="F6" s="49"/>
      <c r="G6" s="62"/>
      <c r="H6" s="2" t="s">
        <v>429</v>
      </c>
      <c r="I6" s="48"/>
      <c r="J6" s="56"/>
      <c r="K6" s="3"/>
    </row>
    <row r="7" spans="2:12">
      <c r="B7" s="240" t="s">
        <v>510</v>
      </c>
      <c r="C7" s="239" t="s">
        <v>511</v>
      </c>
      <c r="D7" s="20"/>
      <c r="E7" s="237" t="s">
        <v>188</v>
      </c>
      <c r="F7" s="237"/>
      <c r="G7" s="62"/>
      <c r="H7" s="2" t="s">
        <v>430</v>
      </c>
      <c r="I7" s="48"/>
      <c r="J7" s="56"/>
      <c r="K7" s="3"/>
    </row>
    <row r="8" spans="2:12" ht="12.75" thickBot="1">
      <c r="B8" s="240" t="s">
        <v>512</v>
      </c>
      <c r="C8" s="239" t="s">
        <v>511</v>
      </c>
      <c r="D8" s="5"/>
      <c r="E8" s="242" t="s">
        <v>530</v>
      </c>
      <c r="F8" s="243"/>
      <c r="G8" s="62"/>
      <c r="H8" s="2" t="s">
        <v>431</v>
      </c>
      <c r="J8" s="48"/>
      <c r="K8" s="56"/>
      <c r="L8" s="3"/>
    </row>
    <row r="9" spans="2:12">
      <c r="B9" s="240" t="s">
        <v>513</v>
      </c>
      <c r="C9" s="239" t="s">
        <v>514</v>
      </c>
      <c r="D9" s="5"/>
      <c r="E9" s="241" t="s">
        <v>120</v>
      </c>
      <c r="F9" s="246" t="s">
        <v>114</v>
      </c>
      <c r="G9" s="62"/>
      <c r="H9" s="2" t="s">
        <v>432</v>
      </c>
      <c r="I9" s="3"/>
      <c r="J9" s="48"/>
      <c r="K9" s="56"/>
      <c r="L9" s="3"/>
    </row>
    <row r="10" spans="2:12">
      <c r="B10" s="240" t="s">
        <v>515</v>
      </c>
      <c r="C10" s="239" t="s">
        <v>516</v>
      </c>
      <c r="D10" s="5"/>
      <c r="E10" s="38" t="s">
        <v>189</v>
      </c>
      <c r="F10" s="350">
        <v>0.67410000000000003</v>
      </c>
      <c r="G10" s="62"/>
      <c r="H10" s="2" t="s">
        <v>433</v>
      </c>
      <c r="I10" s="3"/>
      <c r="J10" s="46"/>
      <c r="K10" s="3"/>
      <c r="L10" s="3"/>
    </row>
    <row r="11" spans="2:12">
      <c r="B11" s="240" t="s">
        <v>517</v>
      </c>
      <c r="C11" s="239" t="s">
        <v>511</v>
      </c>
      <c r="D11" s="5"/>
      <c r="E11" s="38" t="s">
        <v>190</v>
      </c>
      <c r="F11" s="350">
        <v>7.7999999999999996E-3</v>
      </c>
      <c r="G11" s="62"/>
      <c r="H11" s="2" t="s">
        <v>434</v>
      </c>
      <c r="I11" s="3"/>
      <c r="J11" s="52"/>
      <c r="K11" s="57"/>
      <c r="L11" s="3"/>
    </row>
    <row r="12" spans="2:12">
      <c r="B12" s="35" t="s">
        <v>518</v>
      </c>
      <c r="C12" s="239" t="s">
        <v>511</v>
      </c>
      <c r="D12" s="5"/>
      <c r="E12" s="38" t="s">
        <v>191</v>
      </c>
      <c r="F12" s="350">
        <f>100%-F11-F10</f>
        <v>0.31809999999999994</v>
      </c>
      <c r="G12" s="62"/>
      <c r="H12" s="2" t="s">
        <v>435</v>
      </c>
      <c r="I12" s="3"/>
      <c r="J12" s="44"/>
      <c r="K12" s="57"/>
      <c r="L12" s="3"/>
    </row>
    <row r="13" spans="2:12">
      <c r="B13" s="240" t="s">
        <v>519</v>
      </c>
      <c r="C13" s="239" t="s">
        <v>511</v>
      </c>
      <c r="D13" s="5"/>
      <c r="E13" s="249" t="s">
        <v>306</v>
      </c>
      <c r="F13" s="247">
        <f>SUM(F10:F12)</f>
        <v>1</v>
      </c>
      <c r="G13" s="62"/>
      <c r="H13" s="2" t="s">
        <v>436</v>
      </c>
      <c r="I13" s="3"/>
      <c r="J13" s="3"/>
      <c r="K13" s="3"/>
      <c r="L13" s="3"/>
    </row>
    <row r="14" spans="2:12">
      <c r="B14" s="240" t="s">
        <v>520</v>
      </c>
      <c r="C14" s="239" t="s">
        <v>511</v>
      </c>
      <c r="D14" s="5"/>
      <c r="E14" s="525" t="s">
        <v>448</v>
      </c>
      <c r="F14" s="45"/>
      <c r="G14" s="6"/>
      <c r="H14" s="2" t="s">
        <v>437</v>
      </c>
      <c r="I14" s="3"/>
      <c r="J14" s="3"/>
      <c r="K14" s="3"/>
      <c r="L14" s="3"/>
    </row>
    <row r="15" spans="2:12">
      <c r="B15" s="240" t="s">
        <v>521</v>
      </c>
      <c r="C15" s="239" t="s">
        <v>522</v>
      </c>
      <c r="G15" s="3"/>
      <c r="H15" s="2" t="s">
        <v>438</v>
      </c>
      <c r="I15" s="3"/>
      <c r="J15" s="3"/>
      <c r="K15" s="3"/>
      <c r="L15" s="3"/>
    </row>
    <row r="16" spans="2:12">
      <c r="B16" s="240" t="s">
        <v>523</v>
      </c>
      <c r="C16" s="239" t="s">
        <v>511</v>
      </c>
      <c r="D16" s="5"/>
      <c r="E16" s="35" t="s">
        <v>124</v>
      </c>
      <c r="F16" s="35">
        <v>6</v>
      </c>
      <c r="G16" s="53"/>
      <c r="H16" s="2" t="s">
        <v>439</v>
      </c>
      <c r="I16" s="3"/>
      <c r="J16" s="3"/>
      <c r="K16" s="3"/>
      <c r="L16" s="3"/>
    </row>
    <row r="17" spans="2:12">
      <c r="E17" s="35" t="s">
        <v>125</v>
      </c>
      <c r="F17" s="35">
        <v>6</v>
      </c>
      <c r="G17" s="53"/>
      <c r="H17" s="2" t="s">
        <v>440</v>
      </c>
      <c r="I17" s="3"/>
      <c r="J17" s="3"/>
      <c r="K17" s="3"/>
      <c r="L17" s="3"/>
    </row>
    <row r="18" spans="2:12">
      <c r="B18" s="237" t="s">
        <v>122</v>
      </c>
      <c r="C18" s="237"/>
      <c r="E18" s="35" t="s">
        <v>126</v>
      </c>
      <c r="F18" s="35">
        <v>1</v>
      </c>
      <c r="G18" s="3"/>
      <c r="H18" s="2" t="s">
        <v>441</v>
      </c>
      <c r="I18" s="3"/>
      <c r="J18" s="3"/>
      <c r="K18" s="3"/>
      <c r="L18" s="3"/>
    </row>
    <row r="19" spans="2:12" ht="12.75" thickBot="1">
      <c r="B19" s="242" t="s">
        <v>530</v>
      </c>
      <c r="C19" s="243"/>
      <c r="E19" s="35" t="s">
        <v>127</v>
      </c>
      <c r="F19" s="35">
        <v>5</v>
      </c>
      <c r="G19" s="3"/>
      <c r="H19" s="2" t="s">
        <v>442</v>
      </c>
      <c r="I19" s="3"/>
      <c r="J19" s="3"/>
      <c r="K19" s="3"/>
      <c r="L19" s="3"/>
    </row>
    <row r="20" spans="2:12">
      <c r="B20" s="241" t="s">
        <v>120</v>
      </c>
      <c r="C20" s="241" t="s">
        <v>121</v>
      </c>
      <c r="D20" s="5"/>
      <c r="E20" s="250" t="s">
        <v>119</v>
      </c>
      <c r="F20" s="250">
        <v>3</v>
      </c>
      <c r="G20" s="66"/>
      <c r="H20" s="2" t="s">
        <v>443</v>
      </c>
      <c r="I20" s="66"/>
      <c r="J20" s="3"/>
      <c r="K20" s="3"/>
      <c r="L20" s="3"/>
    </row>
    <row r="21" spans="2:12">
      <c r="B21" s="240" t="s">
        <v>515</v>
      </c>
      <c r="C21" s="239" t="s">
        <v>459</v>
      </c>
      <c r="D21" s="5"/>
      <c r="G21" s="6"/>
      <c r="H21" s="2" t="s">
        <v>444</v>
      </c>
      <c r="I21" s="6"/>
      <c r="J21" s="3"/>
      <c r="K21" s="3"/>
      <c r="L21" s="3"/>
    </row>
    <row r="22" spans="2:12">
      <c r="B22" s="240" t="s">
        <v>513</v>
      </c>
      <c r="C22" s="239" t="s">
        <v>458</v>
      </c>
      <c r="D22" s="20"/>
      <c r="G22" s="45"/>
      <c r="H22" s="2" t="s">
        <v>445</v>
      </c>
      <c r="I22" s="45"/>
      <c r="J22" s="3"/>
      <c r="K22" s="3"/>
      <c r="L22" s="3"/>
    </row>
    <row r="23" spans="2:12">
      <c r="B23" s="240" t="s">
        <v>524</v>
      </c>
      <c r="C23" s="244" t="s">
        <v>525</v>
      </c>
      <c r="D23" s="5"/>
      <c r="G23" s="3"/>
      <c r="H23" s="2" t="s">
        <v>447</v>
      </c>
      <c r="I23" s="3"/>
      <c r="J23" s="68"/>
      <c r="K23" s="3"/>
      <c r="L23" s="3"/>
    </row>
    <row r="24" spans="2:12">
      <c r="B24" s="240" t="s">
        <v>526</v>
      </c>
      <c r="C24" s="245" t="s">
        <v>527</v>
      </c>
      <c r="D24" s="5"/>
      <c r="G24" s="3"/>
      <c r="H24" s="2" t="s">
        <v>446</v>
      </c>
      <c r="I24" s="3"/>
      <c r="J24" s="3"/>
      <c r="K24" s="3"/>
      <c r="L24" s="3"/>
    </row>
    <row r="25" spans="2:12">
      <c r="B25" s="35" t="s">
        <v>528</v>
      </c>
      <c r="C25" s="239" t="s">
        <v>529</v>
      </c>
      <c r="D25" s="6"/>
      <c r="G25" s="3"/>
      <c r="H25" s="3"/>
      <c r="I25" s="3"/>
      <c r="J25" s="3"/>
      <c r="K25" s="3"/>
      <c r="L25" s="3"/>
    </row>
    <row r="26" spans="2:12" ht="12" customHeight="1">
      <c r="B26" s="200"/>
      <c r="D26" s="3"/>
      <c r="G26" s="3"/>
      <c r="H26" s="3"/>
      <c r="I26" s="3"/>
      <c r="J26" s="69"/>
      <c r="K26" s="3"/>
      <c r="L26" s="3"/>
    </row>
    <row r="27" spans="2:12">
      <c r="G27" s="3"/>
      <c r="H27" s="3"/>
      <c r="I27" s="3"/>
      <c r="J27" s="3"/>
      <c r="K27" s="3"/>
      <c r="L27" s="3"/>
    </row>
    <row r="28" spans="2:12">
      <c r="G28" s="3"/>
      <c r="H28" s="3"/>
      <c r="I28" s="3"/>
      <c r="J28" s="3"/>
      <c r="K28" s="3"/>
      <c r="L28" s="3"/>
    </row>
    <row r="29" spans="2:12">
      <c r="G29" s="3"/>
      <c r="H29" s="3"/>
      <c r="I29" s="3"/>
      <c r="J29" s="3"/>
      <c r="K29" s="3"/>
      <c r="L29" s="3"/>
    </row>
    <row r="30" spans="2:12">
      <c r="D30" s="3"/>
      <c r="E30" s="3"/>
      <c r="F30" s="45"/>
    </row>
    <row r="31" spans="2:12">
      <c r="D31" s="3"/>
      <c r="E31" s="3"/>
      <c r="F31" s="45"/>
    </row>
    <row r="32" spans="2:12">
      <c r="D32" s="3"/>
      <c r="E32" s="3"/>
      <c r="F32" s="45"/>
    </row>
    <row r="33" spans="4:6">
      <c r="D33" s="3"/>
      <c r="E33" s="3"/>
      <c r="F33" s="45"/>
    </row>
    <row r="34" spans="4:6">
      <c r="D34" s="3"/>
      <c r="E34" s="3"/>
      <c r="F34" s="45"/>
    </row>
  </sheetData>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C35"/>
  <sheetViews>
    <sheetView workbookViewId="0">
      <pane xSplit="3" ySplit="4" topLeftCell="D5" activePane="bottomRight" state="frozen"/>
      <selection pane="topRight" activeCell="D1" sqref="D1"/>
      <selection pane="bottomLeft" activeCell="A5" sqref="A5"/>
      <selection pane="bottomRight"/>
    </sheetView>
  </sheetViews>
  <sheetFormatPr defaultRowHeight="12"/>
  <cols>
    <col min="1" max="1" width="2" style="1" customWidth="1"/>
    <col min="2" max="2" width="7.7109375" style="1" customWidth="1"/>
    <col min="3" max="3" width="28.5703125" style="1" customWidth="1"/>
    <col min="4" max="4" width="9.140625" style="1" customWidth="1"/>
    <col min="5" max="16384" width="9.140625" style="1"/>
  </cols>
  <sheetData>
    <row r="1" spans="2:3" ht="15.75">
      <c r="B1" s="30" t="s">
        <v>41</v>
      </c>
      <c r="C1" s="8"/>
    </row>
    <row r="2" spans="2:3">
      <c r="B2" s="31"/>
      <c r="C2" s="8"/>
    </row>
    <row r="3" spans="2:3">
      <c r="B3" s="8"/>
      <c r="C3" s="8"/>
    </row>
    <row r="4" spans="2:3">
      <c r="B4" s="43" t="s">
        <v>0</v>
      </c>
      <c r="C4" s="43" t="s">
        <v>1</v>
      </c>
    </row>
    <row r="5" spans="2:3">
      <c r="B5" s="252">
        <v>1</v>
      </c>
      <c r="C5" s="251" t="s">
        <v>6</v>
      </c>
    </row>
    <row r="6" spans="2:3">
      <c r="B6" s="32">
        <f>B5+1</f>
        <v>2</v>
      </c>
      <c r="C6" s="253" t="s">
        <v>146</v>
      </c>
    </row>
    <row r="7" spans="2:3">
      <c r="B7" s="32">
        <f t="shared" ref="B7:B35" si="0">B6+1</f>
        <v>3</v>
      </c>
      <c r="C7" s="253" t="s">
        <v>135</v>
      </c>
    </row>
    <row r="8" spans="2:3">
      <c r="B8" s="32">
        <f t="shared" si="0"/>
        <v>4</v>
      </c>
      <c r="C8" s="253" t="s">
        <v>147</v>
      </c>
    </row>
    <row r="9" spans="2:3">
      <c r="B9" s="32">
        <f t="shared" si="0"/>
        <v>5</v>
      </c>
      <c r="C9" s="253" t="s">
        <v>145</v>
      </c>
    </row>
    <row r="10" spans="2:3">
      <c r="B10" s="32">
        <f t="shared" si="0"/>
        <v>6</v>
      </c>
      <c r="C10" s="251" t="s">
        <v>40</v>
      </c>
    </row>
    <row r="11" spans="2:3">
      <c r="B11" s="32">
        <f t="shared" si="0"/>
        <v>7</v>
      </c>
      <c r="C11" s="253" t="s">
        <v>157</v>
      </c>
    </row>
    <row r="12" spans="2:3">
      <c r="B12" s="32">
        <f t="shared" si="0"/>
        <v>8</v>
      </c>
      <c r="C12" s="253" t="s">
        <v>48</v>
      </c>
    </row>
    <row r="13" spans="2:3">
      <c r="B13" s="32">
        <f t="shared" si="0"/>
        <v>9</v>
      </c>
      <c r="C13" s="253" t="s">
        <v>55</v>
      </c>
    </row>
    <row r="14" spans="2:3">
      <c r="B14" s="32">
        <f t="shared" si="0"/>
        <v>10</v>
      </c>
      <c r="C14" s="251" t="s">
        <v>65</v>
      </c>
    </row>
    <row r="15" spans="2:3">
      <c r="B15" s="32">
        <f t="shared" si="0"/>
        <v>11</v>
      </c>
      <c r="C15" s="253" t="s">
        <v>62</v>
      </c>
    </row>
    <row r="16" spans="2:3">
      <c r="B16" s="32">
        <f t="shared" si="0"/>
        <v>12</v>
      </c>
      <c r="C16" s="253" t="s">
        <v>482</v>
      </c>
    </row>
    <row r="17" spans="2:3">
      <c r="B17" s="32">
        <f t="shared" si="0"/>
        <v>13</v>
      </c>
      <c r="C17" s="253" t="s">
        <v>63</v>
      </c>
    </row>
    <row r="18" spans="2:3">
      <c r="B18" s="32">
        <f t="shared" si="0"/>
        <v>14</v>
      </c>
      <c r="C18" s="253" t="s">
        <v>64</v>
      </c>
    </row>
    <row r="19" spans="2:3">
      <c r="B19" s="32">
        <f t="shared" si="0"/>
        <v>15</v>
      </c>
      <c r="C19" s="251" t="s">
        <v>100</v>
      </c>
    </row>
    <row r="20" spans="2:3">
      <c r="B20" s="32">
        <f t="shared" si="0"/>
        <v>16</v>
      </c>
      <c r="C20" s="253" t="s">
        <v>85</v>
      </c>
    </row>
    <row r="21" spans="2:3">
      <c r="B21" s="32">
        <f t="shared" si="0"/>
        <v>17</v>
      </c>
      <c r="C21" s="253" t="s">
        <v>488</v>
      </c>
    </row>
    <row r="22" spans="2:3">
      <c r="B22" s="32">
        <f t="shared" si="0"/>
        <v>18</v>
      </c>
      <c r="C22" s="253" t="s">
        <v>99</v>
      </c>
    </row>
    <row r="23" spans="2:3">
      <c r="B23" s="32">
        <f t="shared" si="0"/>
        <v>19</v>
      </c>
      <c r="C23" s="251" t="s">
        <v>363</v>
      </c>
    </row>
    <row r="24" spans="2:3">
      <c r="B24" s="32">
        <f t="shared" si="0"/>
        <v>20</v>
      </c>
      <c r="C24" s="253" t="s">
        <v>357</v>
      </c>
    </row>
    <row r="25" spans="2:3">
      <c r="B25" s="32">
        <f t="shared" si="0"/>
        <v>21</v>
      </c>
      <c r="C25" s="253" t="s">
        <v>364</v>
      </c>
    </row>
    <row r="26" spans="2:3">
      <c r="B26" s="32">
        <f t="shared" si="0"/>
        <v>22</v>
      </c>
      <c r="C26" s="251" t="s">
        <v>226</v>
      </c>
    </row>
    <row r="27" spans="2:3">
      <c r="B27" s="32">
        <f t="shared" si="0"/>
        <v>23</v>
      </c>
      <c r="C27" s="253" t="s">
        <v>269</v>
      </c>
    </row>
    <row r="28" spans="2:3">
      <c r="B28" s="32">
        <f t="shared" si="0"/>
        <v>24</v>
      </c>
      <c r="C28" s="254" t="s">
        <v>224</v>
      </c>
    </row>
    <row r="29" spans="2:3">
      <c r="B29" s="32">
        <f t="shared" si="0"/>
        <v>25</v>
      </c>
      <c r="C29" s="254" t="s">
        <v>246</v>
      </c>
    </row>
    <row r="30" spans="2:3">
      <c r="B30" s="32">
        <f t="shared" si="0"/>
        <v>26</v>
      </c>
      <c r="C30" s="251" t="s">
        <v>280</v>
      </c>
    </row>
    <row r="31" spans="2:3">
      <c r="B31" s="32">
        <f>B30+1</f>
        <v>27</v>
      </c>
      <c r="C31" s="253" t="s">
        <v>462</v>
      </c>
    </row>
    <row r="32" spans="2:3">
      <c r="B32" s="32">
        <f t="shared" si="0"/>
        <v>28</v>
      </c>
      <c r="C32" s="251" t="s">
        <v>399</v>
      </c>
    </row>
    <row r="33" spans="2:3">
      <c r="B33" s="32">
        <f t="shared" si="0"/>
        <v>29</v>
      </c>
      <c r="C33" s="253" t="s">
        <v>331</v>
      </c>
    </row>
    <row r="34" spans="2:3">
      <c r="B34" s="32">
        <f t="shared" si="0"/>
        <v>30</v>
      </c>
      <c r="C34" s="253" t="s">
        <v>380</v>
      </c>
    </row>
    <row r="35" spans="2:3">
      <c r="B35" s="32">
        <f t="shared" si="0"/>
        <v>31</v>
      </c>
      <c r="C35" s="253" t="s">
        <v>401</v>
      </c>
    </row>
  </sheetData>
  <hyperlinks>
    <hyperlink ref="C15" location="'Expected Growth Rate'!A1" display="Expected Growth Rate"/>
    <hyperlink ref="C17" location="'Future Cashflows (10 Yrs)'!A1" display="Future Cash Flows (10 Yrs)"/>
    <hyperlink ref="C18" location="'Terminal Value'!A1" display="Terminal Value"/>
    <hyperlink ref="C20" location="'Cash &amp; Marketable Securities'!A1" display="Cash and Marketable Securities"/>
    <hyperlink ref="C8" location="'Bottom Up Beta'!A1" display="Bottom Up Beta"/>
    <hyperlink ref="C9" location="'Cost of Equity, Debt &amp; WACC'!A1" display="Cost of Equity, Debt &amp; WACC"/>
    <hyperlink ref="C6" location="'Risk Free Rate &amp; ERP'!A1" display="Risk Free Rate &amp; ERP"/>
    <hyperlink ref="C22" location="'Fair Value of Share'!A1" display="Fair Value of Share"/>
    <hyperlink ref="C11" location="'Accounting Adjustments'!A1" display="Accounting Adjustments"/>
    <hyperlink ref="C12" location="Reinvestment!A1" display="Reinvestment"/>
    <hyperlink ref="C13" location="'FCFF &amp; FCFE'!A1" display="FCFE &amp; FCFF"/>
    <hyperlink ref="C7" location="Index!A1" display="Beta Calculation Data"/>
    <hyperlink ref="C21" location="'Future Value (Equity Options)'!A1" display="Future Value of Equity Options"/>
    <hyperlink ref="C27" location="'Debt Design Explained'!A1" display="Debt Design Explained"/>
    <hyperlink ref="C29" location="'Adjusted Present Value'!A1" display="Adjusted Present Value"/>
    <hyperlink ref="C28" location="'Optimal Cost of Capital'!A1" display="Optimal Cost of Capital"/>
    <hyperlink ref="C16" location="'Revenue Projections'!A1" display="Revenue Projections"/>
    <hyperlink ref="C31" location="'Cash Return Explained'!A1" display="Cash Return Explained"/>
    <hyperlink ref="C24" location="'Sensitivity Analysis'!A1" display="Sensitivity Analysis"/>
    <hyperlink ref="C25" location="'Scenario Analysis'!A1" display="Scenario Analysis"/>
    <hyperlink ref="C33:C35" location="'Dividend-Buyback Explained'!A1" display="Dividend-Buyback Explained"/>
    <hyperlink ref="C33" location="'Income Statement'!A1" display="Income Statement"/>
    <hyperlink ref="C34" location="'Balance Sheet'!A1" display="Balance Sheet"/>
    <hyperlink ref="C35" location="'Cash Flow Statement'!A1" display="Cash Flow Statement"/>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J23"/>
  <sheetViews>
    <sheetView zoomScaleNormal="100" workbookViewId="0"/>
  </sheetViews>
  <sheetFormatPr defaultRowHeight="12"/>
  <cols>
    <col min="1" max="1" width="2" style="2" customWidth="1"/>
    <col min="2" max="2" width="24" style="2" customWidth="1"/>
    <col min="3" max="3" width="12.42578125" style="2" customWidth="1"/>
    <col min="4" max="4" width="9.28515625" style="2" customWidth="1"/>
    <col min="5" max="5" width="10.5703125" style="2" customWidth="1"/>
    <col min="6" max="6" width="10.42578125" style="2" customWidth="1"/>
    <col min="7" max="7" width="9.140625" style="2" customWidth="1"/>
    <col min="8" max="8" width="10.85546875" style="2" customWidth="1"/>
    <col min="9" max="18" width="10.7109375" style="2" customWidth="1"/>
    <col min="19" max="16384" width="9.140625" style="2"/>
  </cols>
  <sheetData>
    <row r="1" spans="2:8" ht="15.75">
      <c r="B1" s="15" t="s">
        <v>118</v>
      </c>
    </row>
    <row r="3" spans="2:8">
      <c r="B3" s="35" t="s">
        <v>270</v>
      </c>
      <c r="C3" s="322">
        <f>Drivers!C22</f>
        <v>3.526E-2</v>
      </c>
      <c r="D3" s="18"/>
    </row>
    <row r="4" spans="2:8">
      <c r="B4" s="35" t="s">
        <v>30</v>
      </c>
      <c r="C4" s="26" t="str">
        <f>Drivers!C23</f>
        <v>AAA</v>
      </c>
      <c r="D4" s="5"/>
    </row>
    <row r="5" spans="2:8">
      <c r="B5" s="35" t="s">
        <v>271</v>
      </c>
      <c r="C5" s="36">
        <f>VLOOKUP(C4,Drivers!$E$3:$F$24,2,0)</f>
        <v>0</v>
      </c>
      <c r="D5" s="5"/>
    </row>
    <row r="6" spans="2:8">
      <c r="B6" s="249" t="s">
        <v>292</v>
      </c>
      <c r="C6" s="323">
        <f>C3</f>
        <v>3.526E-2</v>
      </c>
      <c r="D6" s="20"/>
    </row>
    <row r="7" spans="2:8">
      <c r="D7" s="5"/>
    </row>
    <row r="8" spans="2:8">
      <c r="B8" s="264" t="s">
        <v>8</v>
      </c>
      <c r="C8" s="256">
        <f>E15</f>
        <v>5.0362362180618063E-2</v>
      </c>
    </row>
    <row r="10" spans="2:8">
      <c r="B10" s="265" t="s">
        <v>308</v>
      </c>
      <c r="C10" s="255" t="s">
        <v>4</v>
      </c>
      <c r="D10" s="255" t="s">
        <v>114</v>
      </c>
      <c r="E10" s="255" t="s">
        <v>105</v>
      </c>
      <c r="F10" s="255" t="s">
        <v>198</v>
      </c>
      <c r="G10" s="255" t="s">
        <v>110</v>
      </c>
      <c r="H10" s="255" t="s">
        <v>309</v>
      </c>
    </row>
    <row r="11" spans="2:8" ht="12.75" thickBot="1">
      <c r="B11" s="528"/>
      <c r="C11" s="529" t="str">
        <f>"in mil "&amp;Drivers!$C$5</f>
        <v>in mil $</v>
      </c>
      <c r="D11" s="450"/>
      <c r="E11" s="450"/>
      <c r="F11" s="450"/>
      <c r="G11" s="450"/>
      <c r="H11" s="450"/>
    </row>
    <row r="12" spans="2:8">
      <c r="B12" s="240" t="s">
        <v>326</v>
      </c>
      <c r="C12" s="266">
        <v>80290</v>
      </c>
      <c r="D12" s="63">
        <f>C12/$C$15</f>
        <v>0.7318851808975142</v>
      </c>
      <c r="E12" s="320">
        <f>Drivers!C25</f>
        <v>4.7699999999999999E-2</v>
      </c>
      <c r="F12" s="321">
        <f>Drivers!C26</f>
        <v>0</v>
      </c>
      <c r="G12" s="321">
        <f>Drivers!C27</f>
        <v>0</v>
      </c>
      <c r="H12" s="320">
        <f>Drivers!C28</f>
        <v>0.21</v>
      </c>
    </row>
    <row r="13" spans="2:8">
      <c r="B13" s="35" t="s">
        <v>531</v>
      </c>
      <c r="C13" s="266">
        <v>14655</v>
      </c>
      <c r="D13" s="63">
        <f>C13/$C$15</f>
        <v>0.13358796021986635</v>
      </c>
      <c r="E13" s="257">
        <f>$E$12+F13</f>
        <v>4.7699999999999999E-2</v>
      </c>
      <c r="F13" s="269">
        <v>0</v>
      </c>
      <c r="G13" s="269">
        <v>0</v>
      </c>
      <c r="H13" s="269">
        <v>0.25</v>
      </c>
    </row>
    <row r="14" spans="2:8">
      <c r="B14" s="35" t="s">
        <v>532</v>
      </c>
      <c r="C14" s="266">
        <v>14758</v>
      </c>
      <c r="D14" s="63">
        <f>C14/$C$15</f>
        <v>0.13452685888261945</v>
      </c>
      <c r="E14" s="257">
        <f>$E$12+F14</f>
        <v>6.7490562291661685E-2</v>
      </c>
      <c r="F14" s="268">
        <v>1.9790562291661686E-2</v>
      </c>
      <c r="G14" s="268">
        <v>2.7917054000421479E-2</v>
      </c>
      <c r="H14" s="268">
        <v>0.24552388835223496</v>
      </c>
    </row>
    <row r="15" spans="2:8">
      <c r="C15" s="267">
        <f>SUM(C12:C14)</f>
        <v>109703</v>
      </c>
      <c r="D15" s="131">
        <f>SUM(D12:D14)</f>
        <v>1</v>
      </c>
      <c r="E15" s="131">
        <f>SUMPRODUCT(E12:E14,$D$12:$D$14)</f>
        <v>5.0362362180618063E-2</v>
      </c>
      <c r="F15" s="131">
        <f>SUMPRODUCT(F12:F14,$D$12:$D$14)</f>
        <v>2.6623621806180615E-3</v>
      </c>
      <c r="G15" s="131">
        <f>SUMPRODUCT(G12:G14,$D$12:$D$14)</f>
        <v>3.7555935839331672E-3</v>
      </c>
      <c r="H15" s="131">
        <f>SUMPRODUCT(H12:H14,$D$12:$D$14)</f>
        <v>0.22012243552411767</v>
      </c>
    </row>
    <row r="16" spans="2:8">
      <c r="B16" s="240"/>
      <c r="C16" s="266"/>
      <c r="D16" s="63"/>
      <c r="E16" s="257"/>
      <c r="F16" s="268"/>
      <c r="G16" s="268"/>
      <c r="H16" s="268"/>
    </row>
    <row r="17" spans="8:10">
      <c r="H17" s="268"/>
    </row>
    <row r="18" spans="8:10">
      <c r="H18" s="268"/>
    </row>
    <row r="19" spans="8:10">
      <c r="J19" s="554"/>
    </row>
    <row r="23" spans="8:10">
      <c r="H23" s="555"/>
    </row>
  </sheetData>
  <pageMargins left="0.7" right="0.7" top="0.75" bottom="0.75" header="0.3" footer="0.3"/>
  <pageSetup paperSize="11"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625"/>
  <sheetViews>
    <sheetView zoomScaleNormal="100" workbookViewId="0">
      <pane ySplit="5" topLeftCell="A6" activePane="bottomLeft" state="frozen"/>
      <selection pane="bottomLeft"/>
    </sheetView>
  </sheetViews>
  <sheetFormatPr defaultRowHeight="12"/>
  <cols>
    <col min="1" max="1" width="2" style="2" customWidth="1"/>
    <col min="2" max="2" width="28.42578125" style="2" customWidth="1"/>
    <col min="3" max="3" width="12.140625" style="2" customWidth="1"/>
    <col min="4" max="4" width="13.28515625" style="2" customWidth="1"/>
    <col min="5" max="5" width="15.140625" style="2" customWidth="1"/>
    <col min="6" max="6" width="11.28515625" style="2" customWidth="1"/>
    <col min="7" max="7" width="13.28515625" style="12" customWidth="1"/>
    <col min="8" max="8" width="12.28515625" style="2" customWidth="1"/>
    <col min="9" max="9" width="10.42578125" style="2" customWidth="1"/>
    <col min="10" max="10" width="15.28515625" style="2" customWidth="1"/>
    <col min="11" max="11" width="10.28515625" style="2" customWidth="1"/>
    <col min="12" max="12" width="11.28515625" style="2" customWidth="1"/>
    <col min="13" max="13" width="11.140625" style="2" customWidth="1"/>
    <col min="14" max="14" width="10.85546875" style="2" customWidth="1"/>
    <col min="15" max="15" width="9.7109375" style="2" customWidth="1"/>
    <col min="16" max="16" width="9.140625" style="2"/>
    <col min="17" max="17" width="12.140625" style="2" customWidth="1"/>
    <col min="18" max="18" width="11.42578125" style="2" bestFit="1" customWidth="1"/>
    <col min="19" max="19" width="11.7109375" style="2" customWidth="1"/>
    <col min="20" max="20" width="9.140625" style="2"/>
    <col min="21" max="21" width="15" style="2" bestFit="1" customWidth="1"/>
    <col min="22" max="22" width="11.42578125" style="2" bestFit="1" customWidth="1"/>
    <col min="23" max="23" width="10" style="2" bestFit="1" customWidth="1"/>
    <col min="24" max="24" width="11.42578125" style="2" bestFit="1" customWidth="1"/>
    <col min="25" max="25" width="13.5703125" style="2" bestFit="1" customWidth="1"/>
    <col min="26" max="26" width="10" style="2" bestFit="1" customWidth="1"/>
    <col min="27" max="34" width="9.140625" style="2"/>
    <col min="35" max="35" width="10" style="2" bestFit="1" customWidth="1"/>
    <col min="36" max="38" width="9.140625" style="2"/>
    <col min="39" max="39" width="10" style="2" bestFit="1" customWidth="1"/>
    <col min="40" max="16384" width="9.140625" style="2"/>
  </cols>
  <sheetData>
    <row r="1" spans="2:24" ht="15.75">
      <c r="B1" s="15" t="s">
        <v>135</v>
      </c>
      <c r="E1" s="3"/>
      <c r="F1" s="3"/>
      <c r="G1" s="45"/>
      <c r="H1" s="3"/>
      <c r="I1" s="3"/>
      <c r="J1" s="3"/>
      <c r="K1" s="3"/>
      <c r="L1" s="3"/>
      <c r="M1" s="3"/>
      <c r="N1" s="3"/>
      <c r="O1" s="3"/>
      <c r="P1" s="3"/>
    </row>
    <row r="2" spans="2:24">
      <c r="M2" s="142"/>
      <c r="N2" s="73"/>
      <c r="O2" s="73"/>
      <c r="P2" s="73"/>
    </row>
    <row r="3" spans="2:24">
      <c r="B3" s="237" t="str">
        <f>CONCATENATE("Industry: ",Drivers!$C$14)</f>
        <v>Industry: Discount Stores</v>
      </c>
      <c r="C3" s="237"/>
      <c r="D3" s="237"/>
      <c r="E3" s="237"/>
      <c r="F3" s="237"/>
      <c r="G3" s="237"/>
      <c r="H3" s="237"/>
      <c r="I3" s="237"/>
      <c r="J3" s="237"/>
      <c r="K3" s="237"/>
      <c r="L3" s="237"/>
      <c r="M3" s="237"/>
      <c r="N3" s="237"/>
      <c r="O3" s="237"/>
      <c r="P3" s="73"/>
      <c r="Q3" s="73"/>
    </row>
    <row r="4" spans="2:24" ht="12.75" thickBot="1">
      <c r="B4" s="277" t="s">
        <v>310</v>
      </c>
      <c r="C4" s="276"/>
      <c r="D4" s="276"/>
      <c r="E4" s="276"/>
      <c r="F4" s="276"/>
      <c r="G4" s="276"/>
      <c r="H4" s="276"/>
      <c r="I4" s="276"/>
      <c r="J4" s="276"/>
      <c r="K4" s="276"/>
      <c r="L4" s="276"/>
      <c r="M4" s="276"/>
      <c r="N4" s="276"/>
      <c r="O4" s="276"/>
      <c r="V4" s="121"/>
      <c r="W4" s="121"/>
      <c r="X4" s="121"/>
    </row>
    <row r="5" spans="2:24">
      <c r="B5" s="37" t="s">
        <v>106</v>
      </c>
      <c r="C5" s="37" t="s">
        <v>33</v>
      </c>
      <c r="D5" s="146" t="s">
        <v>128</v>
      </c>
      <c r="E5" s="47" t="s">
        <v>136</v>
      </c>
      <c r="F5" s="47" t="s">
        <v>272</v>
      </c>
      <c r="G5" s="47" t="s">
        <v>129</v>
      </c>
      <c r="H5" s="47" t="s">
        <v>130</v>
      </c>
      <c r="I5" s="47" t="s">
        <v>131</v>
      </c>
      <c r="J5" s="47" t="s">
        <v>132</v>
      </c>
      <c r="K5" s="47" t="s">
        <v>133</v>
      </c>
      <c r="L5" s="47" t="s">
        <v>134</v>
      </c>
      <c r="M5" s="47" t="s">
        <v>34</v>
      </c>
      <c r="N5" s="47" t="s">
        <v>160</v>
      </c>
      <c r="O5" s="47" t="s">
        <v>161</v>
      </c>
      <c r="Q5" s="12"/>
      <c r="U5" s="221"/>
      <c r="V5" s="221"/>
    </row>
    <row r="6" spans="2:24">
      <c r="B6" s="121" t="s">
        <v>581</v>
      </c>
      <c r="C6" s="62" t="s">
        <v>580</v>
      </c>
      <c r="D6" s="531">
        <v>1.96</v>
      </c>
      <c r="E6" s="270">
        <v>244.59</v>
      </c>
      <c r="F6" s="271">
        <v>2067.7289999999998</v>
      </c>
      <c r="G6" s="271">
        <f>E6+F6</f>
        <v>2312.319</v>
      </c>
      <c r="H6" s="271">
        <v>44.73</v>
      </c>
      <c r="I6" s="271">
        <f>G6-H6</f>
        <v>2267.5889999999999</v>
      </c>
      <c r="J6" s="272">
        <f>H6/G6</f>
        <v>1.9344216779778222E-2</v>
      </c>
      <c r="K6" s="140">
        <f>F6/E6</f>
        <v>8.4538574757757878</v>
      </c>
      <c r="L6" s="271">
        <v>5468.3289999999997</v>
      </c>
      <c r="M6" s="99">
        <f>I6/L6</f>
        <v>0.41467676871673231</v>
      </c>
      <c r="N6" s="271">
        <v>0</v>
      </c>
      <c r="O6" s="606" t="str">
        <f>IF(N6=0,"N/A",L6/N6)</f>
        <v>N/A</v>
      </c>
      <c r="Q6" s="221"/>
      <c r="U6" s="12"/>
      <c r="V6" s="12"/>
      <c r="X6" s="221"/>
    </row>
    <row r="7" spans="2:24">
      <c r="B7" s="121" t="s">
        <v>584</v>
      </c>
      <c r="C7" s="62" t="s">
        <v>564</v>
      </c>
      <c r="D7" s="531">
        <v>0.48</v>
      </c>
      <c r="E7" s="270">
        <v>9710</v>
      </c>
      <c r="F7" s="556">
        <v>3088.91</v>
      </c>
      <c r="G7" s="271">
        <f t="shared" ref="G7:G33" si="0">E7+F7</f>
        <v>12798.91</v>
      </c>
      <c r="H7" s="271">
        <v>33.914999999999999</v>
      </c>
      <c r="I7" s="271">
        <f t="shared" ref="I7:I33" si="1">G7-H7</f>
        <v>12764.994999999999</v>
      </c>
      <c r="J7" s="272">
        <f t="shared" ref="J7:J33" si="2">H7/G7</f>
        <v>2.6498350250138488E-3</v>
      </c>
      <c r="K7" s="140">
        <f t="shared" ref="K7:K33" si="3">F7/E7</f>
        <v>0.3181163748712667</v>
      </c>
      <c r="L7" s="271">
        <v>19315.165000000001</v>
      </c>
      <c r="M7" s="99">
        <f t="shared" ref="M7:M33" si="4">I7/L7</f>
        <v>0.6608794178046109</v>
      </c>
      <c r="N7" s="271">
        <v>0</v>
      </c>
      <c r="O7" s="606" t="str">
        <f t="shared" ref="O7:O33" si="5">IF(N7=0,"N/A",L7/N7)</f>
        <v>N/A</v>
      </c>
      <c r="Q7" s="12"/>
      <c r="U7" s="12"/>
      <c r="V7" s="12"/>
      <c r="X7" s="221"/>
    </row>
    <row r="8" spans="2:24">
      <c r="B8" s="121" t="s">
        <v>542</v>
      </c>
      <c r="C8" s="147" t="s">
        <v>554</v>
      </c>
      <c r="D8" s="531">
        <v>0.32</v>
      </c>
      <c r="E8" s="270">
        <v>47810</v>
      </c>
      <c r="F8" s="557">
        <v>17661.098999999998</v>
      </c>
      <c r="G8" s="271">
        <f t="shared" si="0"/>
        <v>65471.099000000002</v>
      </c>
      <c r="H8" s="271">
        <v>381.57600000000002</v>
      </c>
      <c r="I8" s="271">
        <f t="shared" si="1"/>
        <v>65089.523000000001</v>
      </c>
      <c r="J8" s="272">
        <f t="shared" si="2"/>
        <v>5.8281593837305225E-3</v>
      </c>
      <c r="K8" s="140">
        <f t="shared" si="3"/>
        <v>0.3694017778707383</v>
      </c>
      <c r="L8" s="273">
        <v>37844.862999999998</v>
      </c>
      <c r="M8" s="99">
        <f t="shared" si="4"/>
        <v>1.7199037819214726</v>
      </c>
      <c r="N8" s="271">
        <v>0</v>
      </c>
      <c r="O8" s="606" t="str">
        <f t="shared" si="5"/>
        <v>N/A</v>
      </c>
      <c r="Q8" s="221"/>
      <c r="U8" s="12"/>
      <c r="V8" s="12"/>
      <c r="X8" s="221"/>
    </row>
    <row r="9" spans="2:24">
      <c r="B9" s="121" t="s">
        <v>545</v>
      </c>
      <c r="C9" s="147" t="s">
        <v>555</v>
      </c>
      <c r="D9" s="531">
        <v>0.66</v>
      </c>
      <c r="E9" s="270">
        <v>33490</v>
      </c>
      <c r="F9" s="556">
        <v>10126.5</v>
      </c>
      <c r="G9" s="271">
        <f t="shared" si="0"/>
        <v>43616.5</v>
      </c>
      <c r="H9" s="273">
        <v>642.79999999999995</v>
      </c>
      <c r="I9" s="271">
        <f t="shared" si="1"/>
        <v>42973.7</v>
      </c>
      <c r="J9" s="272">
        <f t="shared" si="2"/>
        <v>1.4737541985257872E-2</v>
      </c>
      <c r="K9" s="140">
        <f t="shared" si="3"/>
        <v>0.30237384293819053</v>
      </c>
      <c r="L9" s="271">
        <v>28331.7</v>
      </c>
      <c r="M9" s="99">
        <f t="shared" si="4"/>
        <v>1.5168062629492758</v>
      </c>
      <c r="N9" s="271">
        <v>0</v>
      </c>
      <c r="O9" s="606" t="str">
        <f t="shared" si="5"/>
        <v>N/A</v>
      </c>
      <c r="Q9" s="12"/>
      <c r="U9" s="12"/>
      <c r="V9" s="12"/>
      <c r="X9" s="221"/>
    </row>
    <row r="10" spans="2:24">
      <c r="B10" s="121" t="s">
        <v>585</v>
      </c>
      <c r="C10" s="147" t="s">
        <v>569</v>
      </c>
      <c r="D10" s="531">
        <v>0.97</v>
      </c>
      <c r="E10" s="270">
        <v>4059.9999999999995</v>
      </c>
      <c r="F10" s="556">
        <v>441.17500000000001</v>
      </c>
      <c r="G10" s="271">
        <f t="shared" si="0"/>
        <v>4501.1749999999993</v>
      </c>
      <c r="H10" s="271">
        <v>270.76100000000002</v>
      </c>
      <c r="I10" s="271">
        <f t="shared" si="1"/>
        <v>4230.4139999999989</v>
      </c>
      <c r="J10" s="272">
        <f t="shared" si="2"/>
        <v>6.015340438885404E-2</v>
      </c>
      <c r="K10" s="140">
        <f t="shared" si="3"/>
        <v>0.10866379310344829</v>
      </c>
      <c r="L10" s="271">
        <v>1827.009</v>
      </c>
      <c r="M10" s="99">
        <f t="shared" si="4"/>
        <v>2.3154861306101933</v>
      </c>
      <c r="N10" s="271">
        <v>0</v>
      </c>
      <c r="O10" s="606" t="str">
        <f t="shared" si="5"/>
        <v>N/A</v>
      </c>
      <c r="Q10" s="12"/>
      <c r="U10" s="12"/>
      <c r="V10" s="12"/>
      <c r="X10" s="221"/>
    </row>
    <row r="11" spans="2:24">
      <c r="B11" s="121" t="s">
        <v>574</v>
      </c>
      <c r="C11" s="62" t="s">
        <v>573</v>
      </c>
      <c r="D11" s="531">
        <v>0.89</v>
      </c>
      <c r="E11" s="270">
        <v>2160</v>
      </c>
      <c r="F11" s="556">
        <v>273.86599999999999</v>
      </c>
      <c r="G11" s="271">
        <f t="shared" si="0"/>
        <v>2433.866</v>
      </c>
      <c r="H11" s="271">
        <v>248.87</v>
      </c>
      <c r="I11" s="271">
        <f t="shared" si="1"/>
        <v>2184.9960000000001</v>
      </c>
      <c r="J11" s="272">
        <f t="shared" si="2"/>
        <v>0.10225295887283853</v>
      </c>
      <c r="K11" s="140">
        <f t="shared" si="3"/>
        <v>0.1267898148148148</v>
      </c>
      <c r="L11" s="271">
        <v>4145.5429999999997</v>
      </c>
      <c r="M11" s="99">
        <f t="shared" si="4"/>
        <v>0.52707112192540284</v>
      </c>
      <c r="N11" s="271">
        <v>0</v>
      </c>
      <c r="O11" s="606" t="str">
        <f t="shared" si="5"/>
        <v>N/A</v>
      </c>
      <c r="Q11" s="221"/>
      <c r="U11" s="12"/>
      <c r="V11" s="12"/>
      <c r="X11" s="221"/>
    </row>
    <row r="12" spans="2:24">
      <c r="B12" s="121" t="s">
        <v>534</v>
      </c>
      <c r="C12" s="147" t="s">
        <v>551</v>
      </c>
      <c r="D12" s="531">
        <v>1.02</v>
      </c>
      <c r="E12" s="270">
        <v>70910</v>
      </c>
      <c r="F12" s="234">
        <v>18777</v>
      </c>
      <c r="G12" s="271">
        <f t="shared" si="0"/>
        <v>89687</v>
      </c>
      <c r="H12" s="271">
        <v>2229</v>
      </c>
      <c r="I12" s="271">
        <f t="shared" si="1"/>
        <v>87458</v>
      </c>
      <c r="J12" s="272">
        <f t="shared" si="2"/>
        <v>2.4853100226342725E-2</v>
      </c>
      <c r="K12" s="140">
        <f t="shared" si="3"/>
        <v>0.26480045127626567</v>
      </c>
      <c r="L12" s="274">
        <v>109120</v>
      </c>
      <c r="M12" s="99">
        <f t="shared" si="4"/>
        <v>0.80148460410557187</v>
      </c>
      <c r="N12" s="271">
        <v>0</v>
      </c>
      <c r="O12" s="606" t="str">
        <f t="shared" si="5"/>
        <v>N/A</v>
      </c>
      <c r="Q12" s="221"/>
      <c r="U12" s="12"/>
      <c r="V12" s="12"/>
      <c r="X12" s="221"/>
    </row>
    <row r="13" spans="2:24">
      <c r="B13" s="121" t="s">
        <v>533</v>
      </c>
      <c r="C13" s="147" t="s">
        <v>548</v>
      </c>
      <c r="D13" s="531">
        <v>0.49</v>
      </c>
      <c r="E13" s="270">
        <v>409110</v>
      </c>
      <c r="F13" s="305">
        <v>58923</v>
      </c>
      <c r="G13" s="271">
        <f t="shared" si="0"/>
        <v>468033</v>
      </c>
      <c r="H13" s="274">
        <v>8885</v>
      </c>
      <c r="I13" s="271">
        <f t="shared" si="1"/>
        <v>459148</v>
      </c>
      <c r="J13" s="272">
        <f t="shared" si="2"/>
        <v>1.8983704140520006E-2</v>
      </c>
      <c r="K13" s="140">
        <f t="shared" si="3"/>
        <v>0.14402727872699275</v>
      </c>
      <c r="L13" s="275">
        <v>611289</v>
      </c>
      <c r="M13" s="99">
        <f t="shared" si="4"/>
        <v>0.75111444832149765</v>
      </c>
      <c r="N13" s="271">
        <v>0</v>
      </c>
      <c r="O13" s="606" t="str">
        <f t="shared" si="5"/>
        <v>N/A</v>
      </c>
      <c r="Q13" s="12"/>
      <c r="U13" s="12"/>
      <c r="V13" s="12"/>
      <c r="X13" s="221"/>
    </row>
    <row r="14" spans="2:24">
      <c r="B14" s="121" t="s">
        <v>536</v>
      </c>
      <c r="C14" s="147" t="s">
        <v>535</v>
      </c>
      <c r="D14" s="606" t="s">
        <v>101</v>
      </c>
      <c r="E14" s="270">
        <f>10.088*1000000</f>
        <v>10088000</v>
      </c>
      <c r="F14" s="305">
        <v>1991972</v>
      </c>
      <c r="G14" s="271">
        <f t="shared" si="0"/>
        <v>12079972</v>
      </c>
      <c r="H14" s="275">
        <v>416766</v>
      </c>
      <c r="I14" s="271">
        <f t="shared" si="1"/>
        <v>11663206</v>
      </c>
      <c r="J14" s="272">
        <f t="shared" si="2"/>
        <v>3.4500576656965765E-2</v>
      </c>
      <c r="K14" s="140">
        <f t="shared" si="3"/>
        <v>0.19745955590800951</v>
      </c>
      <c r="L14" s="275">
        <v>15623654</v>
      </c>
      <c r="M14" s="99">
        <f t="shared" si="4"/>
        <v>0.74650949131361977</v>
      </c>
      <c r="N14" s="271">
        <v>810518</v>
      </c>
      <c r="O14" s="168">
        <f t="shared" si="5"/>
        <v>19.276134521380154</v>
      </c>
      <c r="Q14" s="221"/>
      <c r="U14" s="221"/>
      <c r="V14" s="12"/>
      <c r="X14" s="221"/>
    </row>
    <row r="15" spans="2:24">
      <c r="B15" s="121" t="s">
        <v>538</v>
      </c>
      <c r="C15" s="147" t="s">
        <v>537</v>
      </c>
      <c r="D15" s="531">
        <v>0.5</v>
      </c>
      <c r="E15" s="270">
        <f>2.655*1000000</f>
        <v>2655000</v>
      </c>
      <c r="F15" s="234">
        <v>10987930.389</v>
      </c>
      <c r="G15" s="271">
        <f t="shared" si="0"/>
        <v>13642930.389</v>
      </c>
      <c r="H15" s="275">
        <v>1733375.0290000001</v>
      </c>
      <c r="I15" s="271">
        <f t="shared" si="1"/>
        <v>11909555.359999999</v>
      </c>
      <c r="J15" s="272">
        <f t="shared" si="2"/>
        <v>0.12705298492159595</v>
      </c>
      <c r="K15" s="140">
        <f t="shared" si="3"/>
        <v>4.1385801841807908</v>
      </c>
      <c r="L15" s="274">
        <v>29332413.846000001</v>
      </c>
      <c r="M15" s="99">
        <f t="shared" si="4"/>
        <v>0.40602029626771002</v>
      </c>
      <c r="N15" s="271">
        <v>2410523</v>
      </c>
      <c r="O15" s="168">
        <f t="shared" si="5"/>
        <v>12.168485364379432</v>
      </c>
      <c r="Q15" s="221"/>
      <c r="U15" s="221"/>
      <c r="V15" s="12"/>
      <c r="X15" s="221"/>
    </row>
    <row r="16" spans="2:24">
      <c r="B16" s="121" t="s">
        <v>540</v>
      </c>
      <c r="C16" s="147" t="s">
        <v>539</v>
      </c>
      <c r="D16" s="531">
        <v>7.0000000000000007E-2</v>
      </c>
      <c r="E16" s="270">
        <f>2.383*1000000</f>
        <v>2383000</v>
      </c>
      <c r="F16" s="235">
        <v>6469.4</v>
      </c>
      <c r="G16" s="271">
        <f t="shared" si="0"/>
        <v>2389469.4</v>
      </c>
      <c r="H16" s="274">
        <v>3036.5</v>
      </c>
      <c r="I16" s="271">
        <f t="shared" si="1"/>
        <v>2386432.9</v>
      </c>
      <c r="J16" s="272">
        <f t="shared" si="2"/>
        <v>1.270784216780512E-3</v>
      </c>
      <c r="K16" s="140">
        <f t="shared" si="3"/>
        <v>2.7148132605958873E-3</v>
      </c>
      <c r="L16" s="275">
        <v>409408.4</v>
      </c>
      <c r="M16" s="99">
        <f t="shared" si="4"/>
        <v>5.8289788387341339</v>
      </c>
      <c r="N16" s="271">
        <v>0</v>
      </c>
      <c r="O16" s="606" t="str">
        <f t="shared" si="5"/>
        <v>N/A</v>
      </c>
      <c r="Q16" s="12"/>
      <c r="U16" s="12"/>
      <c r="V16" s="12"/>
      <c r="X16" s="221"/>
    </row>
    <row r="17" spans="1:24">
      <c r="B17" s="121" t="s">
        <v>586</v>
      </c>
      <c r="C17" s="59" t="s">
        <v>541</v>
      </c>
      <c r="D17" s="531">
        <v>-0.31</v>
      </c>
      <c r="E17" s="270">
        <f>1.546*1000000</f>
        <v>1546000</v>
      </c>
      <c r="F17" s="234">
        <v>614370</v>
      </c>
      <c r="G17" s="271">
        <f t="shared" si="0"/>
        <v>2160370</v>
      </c>
      <c r="H17" s="275">
        <v>176777</v>
      </c>
      <c r="I17" s="271">
        <f t="shared" si="1"/>
        <v>1983593</v>
      </c>
      <c r="J17" s="272">
        <f t="shared" si="2"/>
        <v>8.182718700963261E-2</v>
      </c>
      <c r="K17" s="140">
        <f t="shared" si="3"/>
        <v>0.39739327296248383</v>
      </c>
      <c r="L17" s="274">
        <v>1892049</v>
      </c>
      <c r="M17" s="99">
        <f t="shared" si="4"/>
        <v>1.0483835249509923</v>
      </c>
      <c r="N17" s="271">
        <v>0</v>
      </c>
      <c r="O17" s="606" t="str">
        <f t="shared" si="5"/>
        <v>N/A</v>
      </c>
      <c r="Q17" s="221"/>
      <c r="U17" s="12"/>
      <c r="V17" s="12"/>
      <c r="X17" s="221"/>
    </row>
    <row r="18" spans="1:24">
      <c r="B18" s="121" t="s">
        <v>544</v>
      </c>
      <c r="C18" s="121" t="s">
        <v>543</v>
      </c>
      <c r="D18" s="531">
        <v>0.08</v>
      </c>
      <c r="E18" s="270">
        <f>625.45*1000</f>
        <v>625450</v>
      </c>
      <c r="F18" s="557">
        <v>391472</v>
      </c>
      <c r="G18" s="271">
        <f t="shared" si="0"/>
        <v>1016922</v>
      </c>
      <c r="H18" s="274">
        <v>388463</v>
      </c>
      <c r="I18" s="271">
        <f t="shared" si="1"/>
        <v>628459</v>
      </c>
      <c r="J18" s="272">
        <f t="shared" si="2"/>
        <v>0.38199881603505481</v>
      </c>
      <c r="K18" s="140">
        <f t="shared" si="3"/>
        <v>0.62590454872491808</v>
      </c>
      <c r="L18" s="273">
        <v>913267</v>
      </c>
      <c r="M18" s="99">
        <f t="shared" si="4"/>
        <v>0.68814377394562598</v>
      </c>
      <c r="N18" s="271">
        <v>0</v>
      </c>
      <c r="O18" s="606" t="str">
        <f t="shared" si="5"/>
        <v>N/A</v>
      </c>
      <c r="Q18" s="221"/>
      <c r="U18" s="12"/>
      <c r="V18" s="12"/>
      <c r="X18" s="221"/>
    </row>
    <row r="19" spans="1:24">
      <c r="B19" s="121" t="s">
        <v>547</v>
      </c>
      <c r="C19" s="121" t="s">
        <v>546</v>
      </c>
      <c r="D19" s="531">
        <v>1.0900000000000001</v>
      </c>
      <c r="E19" s="270">
        <f>480.888*1000</f>
        <v>480888</v>
      </c>
      <c r="F19" s="234">
        <v>2266</v>
      </c>
      <c r="G19" s="271">
        <f t="shared" si="0"/>
        <v>483154</v>
      </c>
      <c r="H19" s="273">
        <v>173</v>
      </c>
      <c r="I19" s="271">
        <f t="shared" si="1"/>
        <v>482981</v>
      </c>
      <c r="J19" s="272">
        <f t="shared" si="2"/>
        <v>3.5806388853243479E-4</v>
      </c>
      <c r="K19" s="140">
        <f t="shared" si="3"/>
        <v>4.7121159188833993E-3</v>
      </c>
      <c r="L19" s="274">
        <v>4714</v>
      </c>
      <c r="M19" s="99">
        <f t="shared" si="4"/>
        <v>102.45672464997878</v>
      </c>
      <c r="N19" s="271">
        <v>0</v>
      </c>
      <c r="O19" s="606" t="str">
        <f t="shared" si="5"/>
        <v>N/A</v>
      </c>
      <c r="Q19" s="221"/>
      <c r="U19" s="12"/>
      <c r="V19" s="12"/>
      <c r="X19" s="221"/>
    </row>
    <row r="20" spans="1:24">
      <c r="B20" s="121" t="s">
        <v>550</v>
      </c>
      <c r="C20" s="121" t="s">
        <v>549</v>
      </c>
      <c r="D20" s="531">
        <v>0.28000000000000003</v>
      </c>
      <c r="E20" s="270">
        <f>184.713*1000</f>
        <v>184713</v>
      </c>
      <c r="F20" s="557">
        <v>1983</v>
      </c>
      <c r="G20" s="271">
        <f t="shared" si="0"/>
        <v>186696</v>
      </c>
      <c r="H20" s="274">
        <v>58246</v>
      </c>
      <c r="I20" s="271">
        <f t="shared" si="1"/>
        <v>128450</v>
      </c>
      <c r="J20" s="272">
        <f t="shared" si="2"/>
        <v>0.31198311693876679</v>
      </c>
      <c r="K20" s="140">
        <f t="shared" si="3"/>
        <v>1.0735573565477254E-2</v>
      </c>
      <c r="L20" s="273">
        <v>211031</v>
      </c>
      <c r="M20" s="99">
        <f t="shared" si="4"/>
        <v>0.608678345835446</v>
      </c>
      <c r="N20" s="271">
        <v>0</v>
      </c>
      <c r="O20" s="606" t="str">
        <f t="shared" si="5"/>
        <v>N/A</v>
      </c>
      <c r="Q20" s="221"/>
      <c r="U20" s="12"/>
      <c r="V20" s="12"/>
      <c r="X20" s="221"/>
    </row>
    <row r="21" spans="1:24">
      <c r="A21" s="121"/>
      <c r="B21" s="121" t="s">
        <v>553</v>
      </c>
      <c r="C21" s="121" t="s">
        <v>552</v>
      </c>
      <c r="D21" s="531">
        <v>7.0000000000000007E-2</v>
      </c>
      <c r="E21" s="270">
        <v>558.173</v>
      </c>
      <c r="F21" s="557">
        <v>1167.0350000000001</v>
      </c>
      <c r="G21" s="271">
        <f t="shared" si="0"/>
        <v>1725.2080000000001</v>
      </c>
      <c r="H21" s="273">
        <v>115.989</v>
      </c>
      <c r="I21" s="271">
        <f t="shared" si="1"/>
        <v>1609.2190000000001</v>
      </c>
      <c r="J21" s="272">
        <f t="shared" si="2"/>
        <v>6.7231893197805717E-2</v>
      </c>
      <c r="K21" s="140">
        <f t="shared" si="3"/>
        <v>2.0908123467097122</v>
      </c>
      <c r="L21" s="273">
        <v>2315.2179999999998</v>
      </c>
      <c r="M21" s="99">
        <f t="shared" si="4"/>
        <v>0.695061544960345</v>
      </c>
      <c r="N21" s="271">
        <v>30.643000000000001</v>
      </c>
      <c r="O21" s="168">
        <f t="shared" si="5"/>
        <v>75.554547531246939</v>
      </c>
      <c r="Q21" s="221"/>
      <c r="U21" s="221"/>
      <c r="V21" s="12"/>
      <c r="X21" s="221"/>
    </row>
    <row r="22" spans="1:24">
      <c r="B22" s="121" t="s">
        <v>557</v>
      </c>
      <c r="C22" s="121" t="s">
        <v>556</v>
      </c>
      <c r="D22" s="605">
        <v>0.72</v>
      </c>
      <c r="E22" s="2">
        <f>23.856*1000</f>
        <v>23856</v>
      </c>
      <c r="F22" s="234">
        <v>4206.4790000000003</v>
      </c>
      <c r="G22" s="271">
        <f t="shared" si="0"/>
        <v>28062.478999999999</v>
      </c>
      <c r="H22" s="273">
        <v>101.261</v>
      </c>
      <c r="I22" s="271">
        <f t="shared" si="1"/>
        <v>27961.218000000001</v>
      </c>
      <c r="J22" s="272">
        <f t="shared" si="2"/>
        <v>3.6084124998365255E-3</v>
      </c>
      <c r="K22" s="140">
        <f t="shared" si="3"/>
        <v>0.17632792588866533</v>
      </c>
      <c r="L22" s="274">
        <v>5052.741</v>
      </c>
      <c r="M22" s="99">
        <f t="shared" si="4"/>
        <v>5.5338712196014006</v>
      </c>
      <c r="N22" s="271">
        <v>0</v>
      </c>
      <c r="O22" s="606" t="str">
        <f t="shared" si="5"/>
        <v>N/A</v>
      </c>
      <c r="Q22" s="221"/>
      <c r="U22" s="12"/>
      <c r="V22" s="12"/>
      <c r="X22" s="221"/>
    </row>
    <row r="23" spans="1:24">
      <c r="B23" s="121" t="s">
        <v>559</v>
      </c>
      <c r="C23" s="121" t="s">
        <v>558</v>
      </c>
      <c r="D23" s="606" t="s">
        <v>101</v>
      </c>
      <c r="E23" s="270">
        <f>23.057*1000</f>
        <v>23057</v>
      </c>
      <c r="F23" s="557">
        <v>1748.086</v>
      </c>
      <c r="G23" s="271">
        <f t="shared" si="0"/>
        <v>24805.085999999999</v>
      </c>
      <c r="H23" s="274">
        <v>343.93299999999999</v>
      </c>
      <c r="I23" s="271">
        <f t="shared" si="1"/>
        <v>24461.152999999998</v>
      </c>
      <c r="J23" s="272">
        <f t="shared" si="2"/>
        <v>1.3865422599220176E-2</v>
      </c>
      <c r="K23" s="140">
        <f t="shared" si="3"/>
        <v>7.5815847681831985E-2</v>
      </c>
      <c r="L23" s="273">
        <v>4822.8190000000004</v>
      </c>
      <c r="M23" s="99">
        <f t="shared" si="4"/>
        <v>5.0719616473270088</v>
      </c>
      <c r="N23" s="271">
        <v>1347.527</v>
      </c>
      <c r="O23" s="168">
        <f t="shared" si="5"/>
        <v>3.5790147433038451</v>
      </c>
      <c r="Q23" s="221"/>
      <c r="U23" s="221"/>
      <c r="V23" s="12"/>
      <c r="X23" s="221"/>
    </row>
    <row r="24" spans="1:24">
      <c r="B24" s="121" t="s">
        <v>561</v>
      </c>
      <c r="C24" s="121" t="s">
        <v>560</v>
      </c>
      <c r="D24" s="531">
        <v>0.73</v>
      </c>
      <c r="E24" s="270">
        <f>20.697*1000</f>
        <v>20697</v>
      </c>
      <c r="F24" s="557">
        <v>26797</v>
      </c>
      <c r="G24" s="271">
        <f t="shared" si="0"/>
        <v>47494</v>
      </c>
      <c r="H24" s="273">
        <v>2887</v>
      </c>
      <c r="I24" s="271">
        <f t="shared" si="1"/>
        <v>44607</v>
      </c>
      <c r="J24" s="272">
        <f t="shared" si="2"/>
        <v>6.0786625679033139E-2</v>
      </c>
      <c r="K24" s="140">
        <f t="shared" si="3"/>
        <v>1.294728704643185</v>
      </c>
      <c r="L24" s="273">
        <v>126669</v>
      </c>
      <c r="M24" s="99">
        <f t="shared" si="4"/>
        <v>0.35215403926769773</v>
      </c>
      <c r="N24" s="271">
        <v>0</v>
      </c>
      <c r="O24" s="606" t="str">
        <f t="shared" si="5"/>
        <v>N/A</v>
      </c>
      <c r="Q24" s="221"/>
      <c r="U24" s="12"/>
      <c r="V24" s="12"/>
      <c r="X24" s="221"/>
    </row>
    <row r="25" spans="1:24">
      <c r="B25" s="121" t="s">
        <v>563</v>
      </c>
      <c r="C25" s="121" t="s">
        <v>562</v>
      </c>
      <c r="D25" s="531">
        <v>0.71</v>
      </c>
      <c r="E25" s="270">
        <f>12.465*1000</f>
        <v>12465</v>
      </c>
      <c r="F25" s="556">
        <v>3627.34</v>
      </c>
      <c r="G25" s="271">
        <f t="shared" si="0"/>
        <v>16092.34</v>
      </c>
      <c r="H25" s="271">
        <v>461.42200000000003</v>
      </c>
      <c r="I25" s="271">
        <f t="shared" si="1"/>
        <v>15630.918</v>
      </c>
      <c r="J25" s="272">
        <f t="shared" si="2"/>
        <v>2.8673393676743097E-2</v>
      </c>
      <c r="K25" s="140">
        <f t="shared" si="3"/>
        <v>0.29100200561572404</v>
      </c>
      <c r="L25" s="271">
        <v>8928.8979999999992</v>
      </c>
      <c r="M25" s="99">
        <f t="shared" si="4"/>
        <v>1.7505987860987997</v>
      </c>
      <c r="N25" s="271">
        <v>459.96199999999999</v>
      </c>
      <c r="O25" s="168">
        <f t="shared" si="5"/>
        <v>19.412251446858651</v>
      </c>
      <c r="U25" s="221"/>
      <c r="V25" s="12"/>
      <c r="X25" s="221"/>
    </row>
    <row r="26" spans="1:24">
      <c r="B26" s="121" t="s">
        <v>566</v>
      </c>
      <c r="C26" s="121" t="s">
        <v>565</v>
      </c>
      <c r="D26" s="531">
        <v>0.43</v>
      </c>
      <c r="E26" s="270">
        <f>6.649*1000</f>
        <v>6649</v>
      </c>
      <c r="F26" s="556">
        <v>896.78399999999999</v>
      </c>
      <c r="G26" s="271">
        <f t="shared" si="0"/>
        <v>7545.7839999999997</v>
      </c>
      <c r="H26" s="271">
        <v>3684.7829999999999</v>
      </c>
      <c r="I26" s="271">
        <f t="shared" si="1"/>
        <v>3861.0009999999997</v>
      </c>
      <c r="J26" s="272">
        <f t="shared" si="2"/>
        <v>0.48832341344517682</v>
      </c>
      <c r="K26" s="140">
        <f t="shared" si="3"/>
        <v>0.13487501879981953</v>
      </c>
      <c r="L26" s="271">
        <v>26773.272000000001</v>
      </c>
      <c r="M26" s="99">
        <f t="shared" si="4"/>
        <v>0.14421102508501762</v>
      </c>
      <c r="N26" s="271">
        <v>0</v>
      </c>
      <c r="O26" s="606" t="str">
        <f t="shared" si="5"/>
        <v>N/A</v>
      </c>
      <c r="U26" s="12"/>
      <c r="V26" s="12"/>
      <c r="X26" s="221"/>
    </row>
    <row r="27" spans="1:24">
      <c r="B27" s="121" t="s">
        <v>568</v>
      </c>
      <c r="C27" s="121" t="s">
        <v>567</v>
      </c>
      <c r="D27" s="531">
        <v>0.67</v>
      </c>
      <c r="E27" s="270">
        <f>5.676*1000</f>
        <v>5676</v>
      </c>
      <c r="F27" s="557">
        <v>8851</v>
      </c>
      <c r="G27" s="271">
        <f t="shared" si="0"/>
        <v>14527</v>
      </c>
      <c r="H27" s="271">
        <v>6230</v>
      </c>
      <c r="I27" s="271">
        <f t="shared" si="1"/>
        <v>8297</v>
      </c>
      <c r="J27" s="272">
        <f t="shared" si="2"/>
        <v>0.42885661182625456</v>
      </c>
      <c r="K27" s="140">
        <f t="shared" si="3"/>
        <v>1.5593727977448908</v>
      </c>
      <c r="L27" s="273">
        <v>95330</v>
      </c>
      <c r="M27" s="99">
        <f t="shared" si="4"/>
        <v>8.7034511696213152E-2</v>
      </c>
      <c r="N27" s="271">
        <v>0</v>
      </c>
      <c r="O27" s="606" t="str">
        <f t="shared" si="5"/>
        <v>N/A</v>
      </c>
      <c r="T27" s="121"/>
      <c r="U27" s="12"/>
      <c r="V27" s="12"/>
      <c r="X27" s="221"/>
    </row>
    <row r="28" spans="1:24">
      <c r="B28" s="121" t="s">
        <v>587</v>
      </c>
      <c r="C28" s="121" t="s">
        <v>570</v>
      </c>
      <c r="D28" s="531">
        <v>0.36</v>
      </c>
      <c r="E28" s="270">
        <f>3.201*1000</f>
        <v>3201</v>
      </c>
      <c r="F28" s="556">
        <v>4262.1149999999998</v>
      </c>
      <c r="G28" s="271">
        <f t="shared" si="0"/>
        <v>7463.1149999999998</v>
      </c>
      <c r="H28" s="273">
        <v>1425.2260000000001</v>
      </c>
      <c r="I28" s="271">
        <f t="shared" si="1"/>
        <v>6037.8889999999992</v>
      </c>
      <c r="J28" s="272">
        <f t="shared" si="2"/>
        <v>0.1909693204513129</v>
      </c>
      <c r="K28" s="140">
        <f t="shared" si="3"/>
        <v>1.3314948453608246</v>
      </c>
      <c r="L28" s="271">
        <v>12197.406000000001</v>
      </c>
      <c r="M28" s="99">
        <f t="shared" si="4"/>
        <v>0.49501418580311246</v>
      </c>
      <c r="N28" s="271">
        <v>2468.3690000000001</v>
      </c>
      <c r="O28" s="168">
        <f t="shared" si="5"/>
        <v>4.9414840325737357</v>
      </c>
      <c r="T28" s="121"/>
      <c r="U28" s="221"/>
      <c r="V28" s="12"/>
      <c r="X28" s="221"/>
    </row>
    <row r="29" spans="1:24">
      <c r="B29" s="121" t="s">
        <v>572</v>
      </c>
      <c r="C29" s="121" t="s">
        <v>571</v>
      </c>
      <c r="D29" s="531">
        <v>1.72</v>
      </c>
      <c r="E29" s="270">
        <f>3.054*1000</f>
        <v>3054</v>
      </c>
      <c r="F29" s="556">
        <v>2536.7840000000001</v>
      </c>
      <c r="G29" s="271">
        <f t="shared" si="0"/>
        <v>5590.7839999999997</v>
      </c>
      <c r="H29" s="271">
        <v>1075.932</v>
      </c>
      <c r="I29" s="271">
        <f t="shared" si="1"/>
        <v>4514.8519999999999</v>
      </c>
      <c r="J29" s="272">
        <f t="shared" si="2"/>
        <v>0.19244742776683915</v>
      </c>
      <c r="K29" s="140">
        <f t="shared" si="3"/>
        <v>0.83064309102815981</v>
      </c>
      <c r="L29" s="271">
        <v>16185.609</v>
      </c>
      <c r="M29" s="99">
        <f t="shared" si="4"/>
        <v>0.27894236169921066</v>
      </c>
      <c r="N29" s="271">
        <v>0</v>
      </c>
      <c r="O29" s="606" t="str">
        <f t="shared" si="5"/>
        <v>N/A</v>
      </c>
      <c r="T29" s="121"/>
      <c r="U29" s="12"/>
      <c r="V29" s="12"/>
      <c r="X29" s="221"/>
    </row>
    <row r="30" spans="1:24">
      <c r="B30" s="121" t="s">
        <v>576</v>
      </c>
      <c r="C30" s="121" t="s">
        <v>575</v>
      </c>
      <c r="D30" s="531">
        <v>0.16</v>
      </c>
      <c r="E30" s="270">
        <f>1.2*1000</f>
        <v>1200</v>
      </c>
      <c r="F30" s="556">
        <v>40.765999999999998</v>
      </c>
      <c r="G30" s="271">
        <f t="shared" si="0"/>
        <v>1240.7660000000001</v>
      </c>
      <c r="H30" s="271">
        <v>390.59300000000002</v>
      </c>
      <c r="I30" s="271">
        <f t="shared" si="1"/>
        <v>850.173</v>
      </c>
      <c r="J30" s="272">
        <f t="shared" si="2"/>
        <v>0.31479988974552814</v>
      </c>
      <c r="K30" s="140">
        <f t="shared" si="3"/>
        <v>3.3971666666666664E-2</v>
      </c>
      <c r="L30" s="271">
        <v>109.199</v>
      </c>
      <c r="M30" s="99">
        <f t="shared" si="4"/>
        <v>7.7855383291055782</v>
      </c>
      <c r="N30" s="271">
        <v>-1.5640000000000001</v>
      </c>
      <c r="O30" s="168">
        <f t="shared" si="5"/>
        <v>-69.820332480818408</v>
      </c>
      <c r="T30" s="121"/>
      <c r="U30" s="221"/>
      <c r="V30" s="12"/>
      <c r="X30" s="221"/>
    </row>
    <row r="31" spans="1:24">
      <c r="B31" s="121" t="s">
        <v>588</v>
      </c>
      <c r="C31" s="121" t="s">
        <v>577</v>
      </c>
      <c r="D31" s="531">
        <v>0.72</v>
      </c>
      <c r="E31" s="270">
        <v>911.84</v>
      </c>
      <c r="F31" s="234">
        <v>1288.421</v>
      </c>
      <c r="G31" s="271">
        <f t="shared" si="0"/>
        <v>2200.261</v>
      </c>
      <c r="H31" s="271">
        <v>217.249</v>
      </c>
      <c r="I31" s="271">
        <f t="shared" si="1"/>
        <v>1983.0119999999999</v>
      </c>
      <c r="J31" s="272">
        <f t="shared" si="2"/>
        <v>9.8737831557256156E-2</v>
      </c>
      <c r="K31" s="140">
        <f t="shared" si="3"/>
        <v>1.4129902175820319</v>
      </c>
      <c r="L31" s="274">
        <v>6928.1210000000001</v>
      </c>
      <c r="M31" s="99">
        <f t="shared" si="4"/>
        <v>0.28622652520070013</v>
      </c>
      <c r="N31" s="271">
        <v>49.581000000000003</v>
      </c>
      <c r="O31" s="168">
        <f t="shared" si="5"/>
        <v>139.73338577277585</v>
      </c>
      <c r="T31" s="121"/>
      <c r="U31" s="221"/>
      <c r="V31" s="12"/>
      <c r="X31" s="221"/>
    </row>
    <row r="32" spans="1:24">
      <c r="B32" s="121" t="s">
        <v>579</v>
      </c>
      <c r="C32" s="121" t="s">
        <v>578</v>
      </c>
      <c r="D32" s="531">
        <v>1.1299999999999999</v>
      </c>
      <c r="E32" s="270">
        <v>737.94299999999998</v>
      </c>
      <c r="F32" s="235">
        <v>397.26299999999998</v>
      </c>
      <c r="G32" s="271">
        <f t="shared" si="0"/>
        <v>1135.2059999999999</v>
      </c>
      <c r="H32" s="274">
        <v>9.0510000000000002</v>
      </c>
      <c r="I32" s="271">
        <f t="shared" si="1"/>
        <v>1126.155</v>
      </c>
      <c r="J32" s="272">
        <f t="shared" si="2"/>
        <v>7.9730022568591085E-3</v>
      </c>
      <c r="K32" s="140">
        <f t="shared" si="3"/>
        <v>0.5383383269439509</v>
      </c>
      <c r="L32" s="275">
        <v>1168.0170000000001</v>
      </c>
      <c r="M32" s="99">
        <f t="shared" si="4"/>
        <v>0.96415976822255145</v>
      </c>
      <c r="N32" s="271">
        <v>16.460999999999999</v>
      </c>
      <c r="O32" s="168">
        <f t="shared" si="5"/>
        <v>70.956624749407695</v>
      </c>
      <c r="T32" s="121"/>
      <c r="U32" s="221"/>
      <c r="V32" s="12"/>
      <c r="X32" s="221"/>
    </row>
    <row r="33" spans="2:24">
      <c r="B33" s="121" t="s">
        <v>583</v>
      </c>
      <c r="C33" s="121" t="s">
        <v>582</v>
      </c>
      <c r="D33" s="531">
        <v>1.65</v>
      </c>
      <c r="E33" s="270">
        <v>172.905</v>
      </c>
      <c r="F33" s="235">
        <v>217.66499999999999</v>
      </c>
      <c r="G33" s="271">
        <f t="shared" si="0"/>
        <v>390.57</v>
      </c>
      <c r="H33" s="275">
        <v>77.468999999999994</v>
      </c>
      <c r="I33" s="271">
        <f t="shared" si="1"/>
        <v>313.101</v>
      </c>
      <c r="J33" s="272">
        <f t="shared" si="2"/>
        <v>0.19834856747830093</v>
      </c>
      <c r="K33" s="140">
        <f t="shared" si="3"/>
        <v>1.2588704780081548</v>
      </c>
      <c r="L33" s="275">
        <v>803.26</v>
      </c>
      <c r="M33" s="99">
        <f t="shared" si="4"/>
        <v>0.38978786445235664</v>
      </c>
      <c r="N33" s="271">
        <v>0</v>
      </c>
      <c r="O33" s="606" t="str">
        <f t="shared" si="5"/>
        <v>N/A</v>
      </c>
      <c r="T33" s="121"/>
      <c r="U33" s="12"/>
      <c r="V33" s="12"/>
      <c r="X33" s="221"/>
    </row>
    <row r="34" spans="2:24">
      <c r="B34" s="121"/>
      <c r="C34" s="121"/>
      <c r="D34" s="278">
        <f>MEDIAN(D6:D33)</f>
        <v>0.66500000000000004</v>
      </c>
      <c r="F34" s="225"/>
      <c r="G34" s="280"/>
      <c r="H34" s="281"/>
      <c r="I34" s="282"/>
      <c r="J34" s="247">
        <f>_xlfn.PERCENTILE.EXC(J6:J33,0.5)</f>
        <v>6.0470015033943586E-2</v>
      </c>
      <c r="K34" s="283">
        <f>_xlfn.PERCENTILE.EXC(K6:K33,0.5)</f>
        <v>0.31024510890472862</v>
      </c>
      <c r="L34" s="38"/>
      <c r="M34" s="278">
        <f>_xlfn.PERCENTILE.EXC(M6:M33,0.5)</f>
        <v>0.72078551813698244</v>
      </c>
      <c r="N34" s="284"/>
      <c r="O34" s="278">
        <f>_xlfn.PERCENTILE.EXC(O6:O33,0.5)</f>
        <v>19.276134521380154</v>
      </c>
      <c r="T34" s="121"/>
      <c r="U34" s="12"/>
      <c r="V34" s="12"/>
      <c r="X34" s="221"/>
    </row>
    <row r="35" spans="2:24">
      <c r="T35" s="121"/>
      <c r="U35" s="12"/>
      <c r="V35" s="12"/>
      <c r="X35" s="221"/>
    </row>
    <row r="36" spans="2:24" ht="12" customHeight="1">
      <c r="B36" s="121"/>
      <c r="C36" s="121"/>
      <c r="D36" s="531"/>
      <c r="E36" s="270"/>
      <c r="F36" s="234"/>
      <c r="G36" s="271"/>
      <c r="H36" s="275"/>
      <c r="I36" s="271"/>
      <c r="J36" s="272"/>
      <c r="K36" s="140"/>
      <c r="L36" s="169"/>
      <c r="M36" s="99"/>
      <c r="N36" s="271"/>
      <c r="O36" s="531"/>
      <c r="T36" s="121"/>
      <c r="U36" s="12"/>
      <c r="V36" s="12"/>
      <c r="X36" s="221"/>
    </row>
    <row r="37" spans="2:24">
      <c r="B37" s="121"/>
      <c r="C37" s="121"/>
      <c r="D37" s="531"/>
      <c r="E37" s="270"/>
      <c r="F37" s="557"/>
      <c r="G37" s="271"/>
      <c r="H37" s="274"/>
      <c r="I37" s="271"/>
      <c r="J37" s="272"/>
      <c r="K37" s="140"/>
      <c r="L37" s="168"/>
      <c r="M37" s="99"/>
      <c r="N37" s="271"/>
      <c r="O37" s="99"/>
      <c r="T37" s="121"/>
      <c r="U37" s="12"/>
      <c r="V37" s="221"/>
      <c r="X37" s="221"/>
    </row>
    <row r="38" spans="2:24">
      <c r="B38" s="121"/>
      <c r="C38" s="121"/>
      <c r="D38" s="531"/>
      <c r="E38" s="270"/>
      <c r="F38" s="234"/>
      <c r="G38" s="271"/>
      <c r="H38" s="273"/>
      <c r="I38" s="271"/>
      <c r="J38" s="272"/>
      <c r="K38" s="140"/>
      <c r="L38" s="169"/>
      <c r="M38" s="99"/>
      <c r="N38" s="271"/>
      <c r="O38" s="531"/>
      <c r="T38" s="121"/>
      <c r="U38" s="12"/>
      <c r="V38" s="12"/>
      <c r="X38" s="221"/>
    </row>
    <row r="39" spans="2:24" ht="12" customHeight="1">
      <c r="B39" s="121"/>
      <c r="C39" s="121"/>
      <c r="D39" s="531"/>
      <c r="E39" s="270"/>
      <c r="F39" s="557"/>
      <c r="G39" s="271"/>
      <c r="H39" s="274"/>
      <c r="I39" s="271"/>
      <c r="J39" s="272"/>
      <c r="K39" s="140"/>
      <c r="L39" s="168"/>
      <c r="M39" s="99"/>
      <c r="N39" s="271"/>
      <c r="O39" s="531"/>
      <c r="U39" s="12"/>
      <c r="V39" s="12"/>
      <c r="X39" s="221"/>
    </row>
    <row r="40" spans="2:24">
      <c r="B40" s="121"/>
      <c r="C40" s="121"/>
      <c r="D40" s="531"/>
      <c r="E40" s="270"/>
      <c r="F40" s="557"/>
      <c r="G40" s="271"/>
      <c r="H40" s="273"/>
      <c r="I40" s="271"/>
      <c r="J40" s="272"/>
      <c r="K40" s="140"/>
      <c r="L40" s="168"/>
      <c r="M40" s="99"/>
      <c r="N40" s="271"/>
      <c r="O40" s="531"/>
      <c r="U40" s="12"/>
      <c r="V40" s="12"/>
      <c r="X40" s="221"/>
    </row>
    <row r="41" spans="2:24">
      <c r="B41" s="121"/>
      <c r="C41" s="121"/>
      <c r="D41" s="531"/>
      <c r="E41" s="270"/>
      <c r="F41" s="234"/>
      <c r="G41" s="271"/>
      <c r="H41" s="273"/>
      <c r="I41" s="271"/>
      <c r="J41" s="272"/>
      <c r="K41" s="140"/>
      <c r="L41" s="169"/>
      <c r="M41" s="99"/>
      <c r="N41" s="271"/>
      <c r="O41" s="531"/>
      <c r="U41" s="12"/>
      <c r="V41" s="12"/>
      <c r="X41" s="221"/>
    </row>
    <row r="42" spans="2:24">
      <c r="B42" s="121"/>
      <c r="C42" s="121"/>
      <c r="D42" s="531"/>
      <c r="E42" s="99"/>
      <c r="F42" s="557"/>
      <c r="G42" s="271"/>
      <c r="H42" s="274"/>
      <c r="I42" s="271"/>
      <c r="J42" s="272"/>
      <c r="K42" s="140"/>
      <c r="L42" s="168"/>
      <c r="M42" s="99"/>
      <c r="N42" s="271"/>
      <c r="O42" s="531"/>
      <c r="U42" s="221"/>
      <c r="V42" s="12"/>
      <c r="X42" s="221"/>
    </row>
    <row r="43" spans="2:24">
      <c r="B43" s="121"/>
      <c r="C43" s="121"/>
      <c r="D43" s="531"/>
      <c r="E43" s="270"/>
      <c r="F43" s="557"/>
      <c r="G43" s="271"/>
      <c r="H43" s="273"/>
      <c r="I43" s="271"/>
      <c r="J43" s="272"/>
      <c r="K43" s="140"/>
      <c r="L43" s="168"/>
      <c r="M43" s="99"/>
      <c r="N43" s="271"/>
      <c r="O43" s="99"/>
      <c r="U43" s="12"/>
      <c r="V43" s="221"/>
      <c r="X43" s="221"/>
    </row>
    <row r="44" spans="2:24">
      <c r="B44" s="121"/>
      <c r="C44" s="121"/>
      <c r="D44" s="531"/>
      <c r="E44" s="532"/>
      <c r="F44" s="234"/>
      <c r="G44" s="271"/>
      <c r="H44" s="273"/>
      <c r="I44" s="271"/>
      <c r="J44" s="272"/>
      <c r="K44" s="140"/>
      <c r="L44" s="169"/>
      <c r="M44" s="99"/>
      <c r="N44" s="271"/>
      <c r="O44" s="531"/>
      <c r="U44" s="221"/>
      <c r="V44" s="12"/>
      <c r="X44" s="221"/>
    </row>
    <row r="45" spans="2:24">
      <c r="B45" s="121"/>
      <c r="C45" s="121"/>
      <c r="D45" s="531"/>
      <c r="E45" s="532"/>
      <c r="F45" s="234"/>
      <c r="G45" s="271"/>
      <c r="H45" s="273"/>
      <c r="I45" s="271"/>
      <c r="J45" s="272"/>
      <c r="K45" s="140"/>
      <c r="L45" s="169"/>
      <c r="M45" s="99"/>
      <c r="N45" s="271"/>
      <c r="O45" s="99"/>
      <c r="U45" s="12"/>
      <c r="V45" s="221"/>
      <c r="X45" s="221"/>
    </row>
    <row r="46" spans="2:24">
      <c r="B46" s="121"/>
      <c r="C46" s="121"/>
      <c r="D46" s="531"/>
      <c r="E46" s="270"/>
      <c r="F46" s="234"/>
      <c r="G46" s="271"/>
      <c r="H46" s="273"/>
      <c r="I46" s="271"/>
      <c r="J46" s="272"/>
      <c r="K46" s="140"/>
      <c r="L46" s="169"/>
      <c r="M46" s="99"/>
      <c r="N46" s="271"/>
      <c r="O46" s="99"/>
      <c r="U46" s="12"/>
      <c r="V46" s="221"/>
      <c r="X46" s="221"/>
    </row>
    <row r="47" spans="2:24">
      <c r="B47" s="121"/>
      <c r="C47" s="121"/>
      <c r="D47" s="531"/>
      <c r="E47" s="270"/>
      <c r="F47" s="234"/>
      <c r="G47" s="271"/>
      <c r="H47" s="273"/>
      <c r="I47" s="271"/>
      <c r="J47" s="272"/>
      <c r="K47" s="140"/>
      <c r="L47" s="169"/>
      <c r="M47" s="99"/>
      <c r="N47" s="271"/>
      <c r="O47" s="531"/>
      <c r="U47" s="12"/>
      <c r="V47" s="12"/>
      <c r="X47" s="221"/>
    </row>
    <row r="48" spans="2:24">
      <c r="B48" s="121"/>
      <c r="C48" s="121"/>
      <c r="D48" s="531"/>
      <c r="E48" s="270"/>
      <c r="F48" s="234"/>
      <c r="G48" s="271"/>
      <c r="H48" s="273"/>
      <c r="I48" s="271"/>
      <c r="J48" s="272"/>
      <c r="K48" s="140"/>
      <c r="L48" s="169"/>
      <c r="M48" s="99"/>
      <c r="N48" s="271"/>
      <c r="O48" s="99"/>
      <c r="U48" s="12"/>
      <c r="V48" s="221"/>
      <c r="X48" s="221"/>
    </row>
    <row r="49" spans="2:24">
      <c r="B49" s="121"/>
      <c r="U49" s="12"/>
      <c r="X49" s="221"/>
    </row>
    <row r="50" spans="2:24">
      <c r="F50" s="274"/>
      <c r="G50" s="271"/>
      <c r="H50" s="273"/>
      <c r="I50" s="271"/>
      <c r="J50" s="272"/>
      <c r="K50" s="140"/>
      <c r="L50" s="169"/>
      <c r="M50" s="140"/>
      <c r="N50" s="140"/>
      <c r="O50" s="99"/>
      <c r="U50" s="12"/>
    </row>
    <row r="51" spans="2:24">
      <c r="F51" s="274"/>
      <c r="G51" s="271"/>
      <c r="H51" s="273"/>
      <c r="I51" s="271"/>
      <c r="J51" s="272"/>
      <c r="K51" s="140"/>
      <c r="L51" s="169"/>
      <c r="M51" s="140"/>
      <c r="N51" s="140"/>
      <c r="O51" s="99"/>
      <c r="S51" s="221"/>
      <c r="U51" s="12"/>
    </row>
    <row r="52" spans="2:24">
      <c r="F52" s="274"/>
      <c r="G52" s="271"/>
      <c r="H52" s="273"/>
      <c r="I52" s="271"/>
      <c r="J52" s="272"/>
      <c r="K52" s="140"/>
      <c r="L52" s="169"/>
      <c r="M52" s="140"/>
      <c r="N52" s="140"/>
      <c r="O52" s="99"/>
      <c r="S52" s="221"/>
      <c r="U52" s="12"/>
    </row>
    <row r="53" spans="2:24">
      <c r="F53" s="274"/>
      <c r="G53" s="271"/>
      <c r="H53" s="273"/>
      <c r="I53" s="271"/>
      <c r="J53" s="272"/>
      <c r="K53" s="140"/>
      <c r="L53" s="169"/>
      <c r="M53" s="140"/>
      <c r="N53" s="140"/>
      <c r="O53" s="99"/>
      <c r="S53" s="221"/>
      <c r="U53" s="12"/>
      <c r="X53" s="221"/>
    </row>
    <row r="54" spans="2:24">
      <c r="F54" s="274"/>
      <c r="G54" s="271"/>
      <c r="H54" s="273"/>
      <c r="I54" s="271"/>
      <c r="J54" s="272"/>
      <c r="K54" s="140"/>
      <c r="L54" s="169"/>
      <c r="M54" s="140"/>
      <c r="N54" s="140"/>
      <c r="O54" s="99"/>
      <c r="S54" s="221"/>
      <c r="U54" s="12"/>
      <c r="X54" s="221"/>
    </row>
    <row r="55" spans="2:24">
      <c r="F55" s="274"/>
      <c r="G55" s="271"/>
      <c r="H55" s="273"/>
      <c r="I55" s="271"/>
      <c r="J55" s="272"/>
      <c r="K55" s="140"/>
      <c r="L55" s="169"/>
      <c r="M55" s="140"/>
      <c r="N55" s="140"/>
      <c r="O55" s="99"/>
      <c r="S55" s="221"/>
      <c r="U55" s="12"/>
      <c r="X55" s="221"/>
    </row>
    <row r="56" spans="2:24">
      <c r="B56" s="121"/>
      <c r="C56" s="121"/>
      <c r="D56" s="99"/>
      <c r="E56" s="270"/>
      <c r="F56" s="274"/>
      <c r="G56" s="271"/>
      <c r="H56" s="273"/>
      <c r="I56" s="271"/>
      <c r="J56" s="272"/>
      <c r="K56" s="140"/>
      <c r="L56" s="169"/>
      <c r="M56" s="99"/>
      <c r="N56" s="140"/>
      <c r="O56" s="99"/>
      <c r="S56" s="221"/>
      <c r="U56" s="12"/>
    </row>
    <row r="57" spans="2:24" ht="12" customHeight="1">
      <c r="B57" s="121"/>
      <c r="C57" s="121"/>
      <c r="D57" s="531"/>
      <c r="E57" s="270"/>
      <c r="F57" s="274"/>
      <c r="G57" s="271"/>
      <c r="H57" s="273"/>
      <c r="I57" s="271"/>
      <c r="J57" s="272"/>
      <c r="K57" s="140"/>
      <c r="L57" s="169"/>
      <c r="M57" s="140"/>
      <c r="N57" s="140"/>
      <c r="O57" s="99"/>
      <c r="S57" s="221"/>
      <c r="U57" s="221"/>
      <c r="X57" s="221"/>
    </row>
    <row r="58" spans="2:24">
      <c r="B58" s="121"/>
      <c r="C58" s="121"/>
      <c r="D58" s="531"/>
      <c r="E58" s="270"/>
      <c r="F58" s="274"/>
      <c r="G58" s="271"/>
      <c r="H58" s="273"/>
      <c r="I58" s="271"/>
      <c r="J58" s="272"/>
      <c r="K58" s="140"/>
      <c r="L58" s="169"/>
      <c r="M58" s="99"/>
      <c r="N58" s="140"/>
      <c r="O58" s="99"/>
      <c r="S58" s="221"/>
      <c r="U58" s="12"/>
      <c r="X58" s="221"/>
    </row>
    <row r="59" spans="2:24">
      <c r="B59" s="121"/>
      <c r="C59" s="121"/>
      <c r="D59" s="531"/>
      <c r="E59" s="270"/>
      <c r="F59" s="274"/>
      <c r="G59" s="271"/>
      <c r="H59" s="273"/>
      <c r="I59" s="271"/>
      <c r="J59" s="272"/>
      <c r="K59" s="140"/>
      <c r="L59" s="169"/>
      <c r="M59" s="140"/>
      <c r="N59" s="140"/>
      <c r="O59" s="99"/>
      <c r="S59" s="221"/>
      <c r="U59" s="221"/>
    </row>
    <row r="60" spans="2:24">
      <c r="B60" s="121"/>
      <c r="C60" s="121"/>
      <c r="D60" s="531"/>
      <c r="E60" s="532"/>
      <c r="F60" s="274"/>
      <c r="G60" s="271"/>
      <c r="H60" s="273"/>
      <c r="I60" s="271"/>
      <c r="J60" s="272"/>
      <c r="K60" s="140"/>
      <c r="L60" s="169"/>
      <c r="M60" s="140"/>
      <c r="N60" s="140"/>
      <c r="O60" s="99"/>
      <c r="S60" s="221"/>
      <c r="U60" s="12"/>
    </row>
    <row r="61" spans="2:24">
      <c r="B61" s="121"/>
      <c r="C61" s="121"/>
      <c r="D61" s="531"/>
      <c r="E61" s="532"/>
      <c r="F61" s="274"/>
      <c r="G61" s="271"/>
      <c r="H61" s="273"/>
      <c r="I61" s="271"/>
      <c r="J61" s="272"/>
      <c r="K61" s="140"/>
      <c r="L61" s="169"/>
      <c r="M61" s="140"/>
      <c r="N61" s="140"/>
      <c r="O61" s="99"/>
      <c r="S61" s="221"/>
      <c r="U61" s="12"/>
    </row>
    <row r="62" spans="2:24">
      <c r="B62" s="121"/>
      <c r="C62" s="121"/>
      <c r="D62" s="531"/>
      <c r="E62" s="270"/>
      <c r="F62" s="274"/>
      <c r="G62" s="271"/>
      <c r="H62" s="273"/>
      <c r="I62" s="271"/>
      <c r="J62" s="272"/>
      <c r="K62" s="140"/>
      <c r="L62" s="169"/>
      <c r="M62" s="140"/>
      <c r="N62" s="140"/>
      <c r="O62" s="99"/>
      <c r="S62" s="221"/>
      <c r="U62" s="12"/>
      <c r="X62" s="221"/>
    </row>
    <row r="63" spans="2:24" ht="12" customHeight="1">
      <c r="B63" s="121"/>
      <c r="C63" s="121"/>
      <c r="D63" s="99"/>
      <c r="E63" s="270"/>
      <c r="F63" s="274"/>
      <c r="G63" s="271"/>
      <c r="H63" s="273"/>
      <c r="I63" s="271"/>
      <c r="J63" s="272"/>
      <c r="K63" s="140"/>
      <c r="L63" s="169"/>
      <c r="M63" s="140"/>
      <c r="N63" s="140"/>
      <c r="O63" s="99"/>
      <c r="S63" s="221"/>
      <c r="U63" s="12"/>
      <c r="X63" s="221"/>
    </row>
    <row r="64" spans="2:24">
      <c r="B64" s="533"/>
      <c r="C64" s="121"/>
      <c r="D64" s="531"/>
      <c r="E64" s="270"/>
      <c r="F64" s="274"/>
      <c r="G64" s="271"/>
      <c r="H64" s="273"/>
      <c r="I64" s="271"/>
      <c r="J64" s="272"/>
      <c r="K64" s="140"/>
      <c r="L64" s="169"/>
      <c r="M64" s="140"/>
      <c r="N64" s="140"/>
      <c r="O64" s="99"/>
      <c r="U64" s="12"/>
    </row>
    <row r="65" spans="2:24">
      <c r="B65" s="533"/>
      <c r="C65" s="121"/>
      <c r="D65" s="531"/>
      <c r="E65" s="270"/>
      <c r="F65" s="274"/>
      <c r="G65" s="271"/>
      <c r="H65" s="273"/>
      <c r="I65" s="271"/>
      <c r="J65" s="272"/>
      <c r="K65" s="140"/>
      <c r="L65" s="169"/>
      <c r="M65" s="140"/>
      <c r="N65" s="140"/>
      <c r="O65" s="99"/>
      <c r="U65" s="12"/>
      <c r="X65" s="221"/>
    </row>
    <row r="66" spans="2:24">
      <c r="B66" s="533"/>
      <c r="C66" s="121"/>
      <c r="D66" s="531"/>
      <c r="E66" s="270"/>
      <c r="F66" s="274"/>
      <c r="G66" s="271"/>
      <c r="H66" s="273"/>
      <c r="I66" s="271"/>
      <c r="J66" s="272"/>
      <c r="K66" s="140"/>
      <c r="L66" s="169"/>
      <c r="M66" s="140"/>
      <c r="N66" s="140"/>
      <c r="O66" s="99"/>
      <c r="U66" s="12"/>
    </row>
    <row r="67" spans="2:24">
      <c r="B67" s="533"/>
      <c r="C67" s="121"/>
      <c r="D67" s="531"/>
      <c r="E67" s="270"/>
      <c r="F67" s="274"/>
      <c r="G67" s="271"/>
      <c r="H67" s="273"/>
      <c r="I67" s="271"/>
      <c r="J67" s="272"/>
      <c r="K67" s="140"/>
      <c r="L67" s="169"/>
      <c r="M67" s="140"/>
      <c r="N67" s="140"/>
      <c r="O67" s="99"/>
      <c r="U67" s="12"/>
    </row>
    <row r="68" spans="2:24">
      <c r="B68" s="533"/>
      <c r="C68" s="121"/>
      <c r="D68" s="531"/>
      <c r="E68" s="270"/>
      <c r="F68" s="274"/>
      <c r="G68" s="271"/>
      <c r="H68" s="273"/>
      <c r="I68" s="271"/>
      <c r="J68" s="272"/>
      <c r="K68" s="140"/>
      <c r="L68" s="169"/>
      <c r="M68" s="140"/>
      <c r="N68" s="140"/>
      <c r="O68" s="99"/>
      <c r="U68" s="221"/>
      <c r="X68" s="221"/>
    </row>
    <row r="69" spans="2:24">
      <c r="B69" s="121"/>
      <c r="C69" s="121"/>
      <c r="D69" s="99"/>
      <c r="E69" s="270"/>
      <c r="F69" s="274"/>
      <c r="G69" s="271"/>
      <c r="H69" s="273"/>
      <c r="I69" s="271"/>
      <c r="J69" s="272"/>
      <c r="K69" s="140"/>
      <c r="L69" s="169"/>
      <c r="M69" s="99"/>
      <c r="N69" s="140"/>
      <c r="O69" s="99"/>
      <c r="U69" s="12"/>
      <c r="X69" s="221"/>
    </row>
    <row r="70" spans="2:24">
      <c r="B70" s="121"/>
      <c r="C70" s="121"/>
      <c r="D70" s="531"/>
      <c r="E70" s="270"/>
      <c r="F70" s="274"/>
      <c r="G70" s="271"/>
      <c r="H70" s="273"/>
      <c r="I70" s="271"/>
      <c r="J70" s="272"/>
      <c r="K70" s="140"/>
      <c r="L70" s="169"/>
      <c r="M70" s="140"/>
      <c r="N70" s="140"/>
      <c r="O70" s="99"/>
      <c r="U70" s="12"/>
    </row>
    <row r="71" spans="2:24">
      <c r="B71" s="533"/>
      <c r="C71" s="121"/>
      <c r="D71" s="531"/>
      <c r="E71" s="530"/>
      <c r="F71" s="273"/>
      <c r="G71" s="271"/>
      <c r="H71" s="273"/>
      <c r="I71" s="271"/>
      <c r="J71" s="272"/>
      <c r="K71" s="140"/>
      <c r="L71" s="530"/>
      <c r="M71" s="140"/>
      <c r="N71" s="140"/>
      <c r="O71" s="99"/>
      <c r="U71" s="12"/>
    </row>
    <row r="72" spans="2:24">
      <c r="B72" s="533"/>
      <c r="C72" s="121"/>
      <c r="D72" s="531"/>
      <c r="E72" s="270"/>
      <c r="F72" s="273"/>
      <c r="G72" s="271"/>
      <c r="H72" s="273"/>
      <c r="I72" s="271"/>
      <c r="J72" s="272"/>
      <c r="K72" s="140"/>
      <c r="L72" s="530"/>
      <c r="M72" s="140"/>
      <c r="N72" s="140"/>
      <c r="O72" s="99"/>
      <c r="U72" s="12"/>
    </row>
    <row r="73" spans="2:24">
      <c r="B73" s="533"/>
      <c r="C73" s="121"/>
      <c r="D73" s="99"/>
      <c r="E73" s="270"/>
      <c r="F73" s="274"/>
      <c r="G73" s="271"/>
      <c r="H73" s="273"/>
      <c r="I73" s="271"/>
      <c r="J73" s="272"/>
      <c r="K73" s="140"/>
      <c r="L73" s="169"/>
      <c r="M73" s="140"/>
      <c r="N73" s="140"/>
      <c r="O73" s="99"/>
      <c r="U73" s="12"/>
      <c r="X73" s="221"/>
    </row>
    <row r="74" spans="2:24">
      <c r="B74" s="533"/>
      <c r="C74" s="121"/>
      <c r="D74" s="99"/>
      <c r="E74" s="99"/>
      <c r="F74" s="274"/>
      <c r="G74" s="99"/>
      <c r="H74" s="273"/>
      <c r="I74" s="99"/>
      <c r="J74" s="99"/>
      <c r="K74" s="99"/>
      <c r="L74" s="169"/>
      <c r="M74" s="99"/>
      <c r="N74" s="140"/>
      <c r="O74" s="99"/>
      <c r="U74" s="12"/>
      <c r="X74" s="221"/>
    </row>
    <row r="75" spans="2:24">
      <c r="B75" s="533"/>
      <c r="C75" s="121"/>
      <c r="D75" s="531"/>
      <c r="E75" s="270"/>
      <c r="F75" s="274"/>
      <c r="G75" s="271"/>
      <c r="H75" s="273"/>
      <c r="I75" s="271"/>
      <c r="J75" s="272"/>
      <c r="K75" s="140"/>
      <c r="L75" s="169"/>
      <c r="M75" s="140"/>
      <c r="N75" s="140"/>
      <c r="O75" s="99"/>
      <c r="U75" s="12"/>
      <c r="X75" s="221"/>
    </row>
    <row r="76" spans="2:24">
      <c r="B76" s="533"/>
      <c r="C76" s="121"/>
      <c r="D76" s="531"/>
      <c r="E76" s="270"/>
      <c r="F76" s="274"/>
      <c r="G76" s="271"/>
      <c r="H76" s="273"/>
      <c r="I76" s="271"/>
      <c r="J76" s="272"/>
      <c r="K76" s="140"/>
      <c r="L76" s="169"/>
      <c r="M76" s="140"/>
      <c r="N76" s="140"/>
      <c r="O76" s="99"/>
      <c r="U76" s="12"/>
      <c r="X76" s="221"/>
    </row>
    <row r="77" spans="2:24">
      <c r="B77" s="533"/>
      <c r="C77" s="121"/>
      <c r="D77" s="99"/>
      <c r="E77" s="270"/>
      <c r="F77" s="274"/>
      <c r="G77" s="271"/>
      <c r="H77" s="273"/>
      <c r="I77" s="271"/>
      <c r="J77" s="272"/>
      <c r="K77" s="140"/>
      <c r="L77" s="169"/>
      <c r="M77" s="140"/>
      <c r="N77" s="140"/>
      <c r="O77" s="99"/>
      <c r="U77" s="12"/>
    </row>
    <row r="78" spans="2:24">
      <c r="B78" s="533"/>
      <c r="C78" s="121"/>
      <c r="D78" s="531"/>
      <c r="E78" s="270"/>
      <c r="F78" s="274"/>
      <c r="G78" s="271"/>
      <c r="H78" s="273"/>
      <c r="I78" s="271"/>
      <c r="J78" s="272"/>
      <c r="K78" s="140"/>
      <c r="L78" s="169"/>
      <c r="M78" s="140"/>
      <c r="N78" s="140"/>
      <c r="O78" s="99"/>
      <c r="U78" s="12"/>
    </row>
    <row r="79" spans="2:24">
      <c r="U79" s="221"/>
      <c r="V79" s="221"/>
    </row>
    <row r="80" spans="2:24">
      <c r="B80" s="121"/>
      <c r="C80" s="121"/>
      <c r="D80" s="99"/>
      <c r="E80" s="270"/>
      <c r="F80" s="274"/>
      <c r="G80" s="271"/>
      <c r="H80" s="273"/>
      <c r="I80" s="271"/>
      <c r="J80" s="272"/>
      <c r="K80" s="140"/>
      <c r="L80" s="169"/>
      <c r="M80" s="140"/>
      <c r="N80" s="140"/>
      <c r="O80" s="99"/>
      <c r="S80" s="221"/>
      <c r="U80" s="221"/>
      <c r="V80" s="221"/>
    </row>
    <row r="81" spans="2:22">
      <c r="B81" s="121"/>
      <c r="C81" s="121"/>
      <c r="D81" s="99"/>
      <c r="E81" s="270"/>
      <c r="F81" s="274"/>
      <c r="G81" s="271"/>
      <c r="H81" s="273"/>
      <c r="I81" s="271"/>
      <c r="J81" s="272"/>
      <c r="K81" s="140"/>
      <c r="L81" s="169"/>
      <c r="M81" s="140"/>
      <c r="N81" s="140"/>
      <c r="O81" s="99"/>
      <c r="S81" s="221"/>
      <c r="U81" s="221"/>
      <c r="V81" s="221"/>
    </row>
    <row r="82" spans="2:22">
      <c r="B82" s="121"/>
      <c r="C82" s="121"/>
      <c r="D82" s="99"/>
      <c r="E82" s="270"/>
      <c r="F82" s="274"/>
      <c r="G82" s="271"/>
      <c r="H82" s="273"/>
      <c r="I82" s="271"/>
      <c r="J82" s="272"/>
      <c r="K82" s="140"/>
      <c r="L82" s="169"/>
      <c r="M82" s="140"/>
      <c r="N82" s="140"/>
      <c r="O82" s="99"/>
      <c r="S82" s="221"/>
      <c r="U82" s="221"/>
      <c r="V82" s="12"/>
    </row>
    <row r="83" spans="2:22">
      <c r="B83" s="121"/>
      <c r="C83" s="121"/>
      <c r="D83" s="99"/>
      <c r="E83" s="270"/>
      <c r="F83" s="274"/>
      <c r="G83" s="271"/>
      <c r="H83" s="273"/>
      <c r="I83" s="271"/>
      <c r="J83" s="272"/>
      <c r="K83" s="140"/>
      <c r="L83" s="169"/>
      <c r="M83" s="140"/>
      <c r="N83" s="140"/>
      <c r="O83" s="99"/>
      <c r="S83" s="221"/>
      <c r="U83" s="221"/>
      <c r="V83" s="221"/>
    </row>
    <row r="84" spans="2:22">
      <c r="B84" s="121"/>
      <c r="C84" s="121"/>
      <c r="D84" s="99"/>
      <c r="E84" s="270"/>
      <c r="F84" s="274"/>
      <c r="G84" s="271"/>
      <c r="H84" s="273"/>
      <c r="I84" s="271"/>
      <c r="J84" s="272"/>
      <c r="K84" s="140"/>
      <c r="L84" s="169"/>
      <c r="M84" s="140"/>
      <c r="N84" s="140"/>
      <c r="O84" s="99"/>
    </row>
    <row r="85" spans="2:22">
      <c r="B85" s="121"/>
      <c r="C85" s="121"/>
      <c r="D85" s="99"/>
      <c r="E85" s="270"/>
      <c r="F85" s="273"/>
      <c r="G85" s="530"/>
      <c r="H85" s="273"/>
      <c r="I85" s="273"/>
      <c r="J85" s="530"/>
      <c r="K85" s="530"/>
      <c r="L85" s="530"/>
      <c r="M85" s="99"/>
      <c r="N85" s="530"/>
      <c r="O85" s="99"/>
      <c r="S85" s="221"/>
      <c r="U85" s="221"/>
      <c r="V85" s="12"/>
    </row>
    <row r="86" spans="2:22">
      <c r="B86" s="121"/>
      <c r="C86" s="121"/>
      <c r="D86" s="99"/>
      <c r="E86" s="270"/>
      <c r="F86" s="274"/>
      <c r="G86" s="271"/>
      <c r="H86" s="273"/>
      <c r="I86" s="271"/>
      <c r="J86" s="272"/>
      <c r="K86" s="140"/>
      <c r="L86" s="169"/>
      <c r="M86" s="140"/>
      <c r="N86" s="140"/>
      <c r="O86" s="99"/>
      <c r="S86" s="221"/>
      <c r="U86" s="221"/>
      <c r="V86" s="12"/>
    </row>
    <row r="87" spans="2:22">
      <c r="B87" s="121"/>
      <c r="C87" s="121"/>
      <c r="D87" s="99"/>
      <c r="E87" s="270"/>
      <c r="F87" s="274"/>
      <c r="G87" s="271"/>
      <c r="H87" s="273"/>
      <c r="I87" s="271"/>
      <c r="J87" s="272"/>
      <c r="K87" s="140"/>
      <c r="L87" s="169"/>
      <c r="M87" s="140"/>
      <c r="N87" s="140"/>
      <c r="O87" s="99"/>
      <c r="S87" s="221"/>
      <c r="U87" s="221"/>
      <c r="V87" s="12"/>
    </row>
    <row r="88" spans="2:22">
      <c r="B88" s="121"/>
      <c r="C88" s="121"/>
      <c r="D88" s="99"/>
      <c r="E88" s="270"/>
      <c r="F88" s="274"/>
      <c r="G88" s="271"/>
      <c r="H88" s="273"/>
      <c r="I88" s="271"/>
      <c r="J88" s="272"/>
      <c r="K88" s="140"/>
      <c r="L88" s="169"/>
      <c r="M88" s="140"/>
      <c r="N88" s="140"/>
      <c r="O88" s="99"/>
      <c r="S88" s="221"/>
      <c r="V88" s="12"/>
    </row>
    <row r="89" spans="2:22">
      <c r="B89" s="121"/>
      <c r="C89" s="121"/>
      <c r="D89" s="99"/>
      <c r="E89" s="270"/>
      <c r="F89" s="274"/>
      <c r="G89" s="271"/>
      <c r="H89" s="273"/>
      <c r="I89" s="271"/>
      <c r="J89" s="272"/>
      <c r="K89" s="140"/>
      <c r="L89" s="169"/>
      <c r="M89" s="99"/>
      <c r="N89" s="140"/>
      <c r="O89" s="99"/>
      <c r="S89" s="221"/>
      <c r="U89" s="221"/>
      <c r="V89" s="12"/>
    </row>
    <row r="90" spans="2:22">
      <c r="B90" s="121"/>
      <c r="C90" s="121"/>
      <c r="D90" s="99"/>
      <c r="E90" s="270"/>
      <c r="F90" s="274"/>
      <c r="G90" s="271"/>
      <c r="H90" s="273"/>
      <c r="I90" s="271"/>
      <c r="J90" s="272"/>
      <c r="K90" s="140"/>
      <c r="L90" s="169"/>
      <c r="M90" s="140"/>
      <c r="N90" s="140"/>
      <c r="O90" s="99"/>
      <c r="S90" s="221"/>
      <c r="U90" s="221"/>
      <c r="V90" s="221"/>
    </row>
    <row r="91" spans="2:22">
      <c r="B91" s="121"/>
      <c r="C91" s="121"/>
      <c r="D91" s="99"/>
      <c r="E91" s="270"/>
      <c r="F91" s="274"/>
      <c r="G91" s="271"/>
      <c r="H91" s="273"/>
      <c r="I91" s="271"/>
      <c r="J91" s="272"/>
      <c r="K91" s="140"/>
      <c r="L91" s="169"/>
      <c r="M91" s="140"/>
      <c r="N91" s="140"/>
      <c r="O91" s="99"/>
      <c r="U91" s="221"/>
      <c r="V91" s="12"/>
    </row>
    <row r="92" spans="2:22">
      <c r="B92" s="121"/>
      <c r="C92" s="121"/>
      <c r="D92" s="99"/>
      <c r="E92" s="270"/>
      <c r="F92" s="274"/>
      <c r="G92" s="271"/>
      <c r="H92" s="273"/>
      <c r="I92" s="271"/>
      <c r="J92" s="272"/>
      <c r="K92" s="140"/>
      <c r="L92" s="169"/>
      <c r="M92" s="140"/>
      <c r="N92" s="140"/>
      <c r="O92" s="99"/>
      <c r="U92" s="221"/>
      <c r="V92" s="221"/>
    </row>
    <row r="93" spans="2:22">
      <c r="B93" s="121"/>
      <c r="C93" s="121"/>
      <c r="D93" s="99"/>
      <c r="E93" s="270"/>
      <c r="F93" s="274"/>
      <c r="G93" s="271"/>
      <c r="H93" s="273"/>
      <c r="I93" s="271"/>
      <c r="J93" s="272"/>
      <c r="K93" s="140"/>
      <c r="L93" s="169"/>
      <c r="M93" s="99"/>
      <c r="N93" s="140"/>
      <c r="O93" s="99"/>
      <c r="U93" s="221"/>
      <c r="V93" s="12"/>
    </row>
    <row r="94" spans="2:22">
      <c r="B94" s="121"/>
      <c r="C94" s="121"/>
      <c r="D94" s="99"/>
      <c r="E94" s="270"/>
      <c r="F94" s="274"/>
      <c r="G94" s="271"/>
      <c r="H94" s="273"/>
      <c r="I94" s="271"/>
      <c r="J94" s="272"/>
      <c r="K94" s="140"/>
      <c r="L94" s="169"/>
      <c r="M94" s="140"/>
      <c r="N94" s="140"/>
      <c r="O94" s="99"/>
      <c r="U94" s="221"/>
      <c r="V94" s="12"/>
    </row>
    <row r="95" spans="2:22">
      <c r="B95" s="121"/>
      <c r="C95" s="121"/>
      <c r="D95" s="99"/>
      <c r="E95" s="270"/>
      <c r="F95" s="274"/>
      <c r="G95" s="271"/>
      <c r="H95" s="273"/>
      <c r="I95" s="271"/>
      <c r="J95" s="272"/>
      <c r="K95" s="140"/>
      <c r="L95" s="169"/>
      <c r="M95" s="140"/>
      <c r="N95" s="140"/>
      <c r="O95" s="99"/>
      <c r="S95" s="221"/>
      <c r="U95" s="221"/>
      <c r="V95" s="221"/>
    </row>
    <row r="96" spans="2:22">
      <c r="B96" s="121"/>
      <c r="C96" s="121"/>
      <c r="D96" s="99"/>
      <c r="E96" s="270"/>
      <c r="F96" s="274"/>
      <c r="G96" s="271"/>
      <c r="H96" s="273"/>
      <c r="I96" s="271"/>
      <c r="J96" s="272"/>
      <c r="K96" s="140"/>
      <c r="L96" s="169"/>
      <c r="M96" s="140"/>
      <c r="N96" s="140"/>
      <c r="O96" s="99"/>
      <c r="S96" s="221"/>
      <c r="U96" s="221"/>
      <c r="V96" s="221"/>
    </row>
    <row r="97" spans="2:22">
      <c r="B97" s="121"/>
      <c r="C97" s="121"/>
      <c r="D97" s="99"/>
      <c r="E97" s="270"/>
      <c r="F97" s="274"/>
      <c r="G97" s="271"/>
      <c r="H97" s="273"/>
      <c r="I97" s="271"/>
      <c r="J97" s="272"/>
      <c r="K97" s="140"/>
      <c r="L97" s="169"/>
      <c r="M97" s="140"/>
      <c r="N97" s="140"/>
      <c r="O97" s="99"/>
      <c r="S97" s="221"/>
      <c r="U97" s="221"/>
      <c r="V97" s="221"/>
    </row>
    <row r="98" spans="2:22">
      <c r="B98" s="121"/>
      <c r="C98" s="121"/>
      <c r="D98" s="99"/>
      <c r="E98" s="270"/>
      <c r="F98" s="274"/>
      <c r="G98" s="271"/>
      <c r="H98" s="273"/>
      <c r="I98" s="271"/>
      <c r="J98" s="272"/>
      <c r="K98" s="140"/>
      <c r="L98" s="169"/>
      <c r="M98" s="140"/>
      <c r="N98" s="140"/>
      <c r="O98" s="99"/>
      <c r="S98" s="221"/>
      <c r="U98" s="221"/>
      <c r="V98" s="221"/>
    </row>
    <row r="99" spans="2:22">
      <c r="B99" s="121"/>
      <c r="C99" s="121"/>
      <c r="D99" s="99"/>
      <c r="E99" s="270"/>
      <c r="F99" s="274"/>
      <c r="G99" s="271"/>
      <c r="H99" s="273"/>
      <c r="I99" s="271"/>
      <c r="J99" s="272"/>
      <c r="K99" s="140"/>
      <c r="L99" s="169"/>
      <c r="M99" s="140"/>
      <c r="N99" s="140"/>
      <c r="O99" s="99"/>
      <c r="S99" s="221"/>
      <c r="U99" s="221"/>
      <c r="V99" s="221"/>
    </row>
    <row r="100" spans="2:22">
      <c r="B100" s="121"/>
      <c r="C100" s="121"/>
      <c r="D100" s="99"/>
      <c r="E100" s="270"/>
      <c r="F100" s="274"/>
      <c r="G100" s="271"/>
      <c r="H100" s="273"/>
      <c r="I100" s="271"/>
      <c r="J100" s="272"/>
      <c r="K100" s="140"/>
      <c r="L100" s="169"/>
      <c r="M100" s="99"/>
      <c r="N100" s="140"/>
      <c r="O100" s="99"/>
      <c r="S100" s="221"/>
      <c r="U100" s="221"/>
      <c r="V100" s="12"/>
    </row>
    <row r="101" spans="2:22">
      <c r="B101" s="121"/>
      <c r="C101" s="121"/>
      <c r="D101" s="99"/>
      <c r="E101" s="270"/>
      <c r="F101" s="274"/>
      <c r="G101" s="271"/>
      <c r="H101" s="273"/>
      <c r="I101" s="271"/>
      <c r="J101" s="272"/>
      <c r="K101" s="140"/>
      <c r="L101" s="169"/>
      <c r="M101" s="140"/>
      <c r="N101" s="140"/>
      <c r="O101" s="99"/>
      <c r="S101" s="221"/>
      <c r="U101" s="221"/>
      <c r="V101" s="12"/>
    </row>
    <row r="102" spans="2:22">
      <c r="B102" s="121"/>
      <c r="C102" s="121"/>
      <c r="D102" s="99"/>
      <c r="E102" s="270"/>
      <c r="F102" s="274"/>
      <c r="G102" s="271"/>
      <c r="H102" s="273"/>
      <c r="I102" s="271"/>
      <c r="J102" s="272"/>
      <c r="K102" s="140"/>
      <c r="L102" s="169"/>
      <c r="M102" s="140"/>
      <c r="N102" s="140"/>
      <c r="O102" s="99"/>
      <c r="S102" s="221"/>
      <c r="U102" s="221"/>
      <c r="V102" s="12"/>
    </row>
    <row r="103" spans="2:22">
      <c r="B103" s="121"/>
      <c r="C103" s="121"/>
      <c r="D103" s="99"/>
      <c r="E103" s="270"/>
      <c r="F103" s="274"/>
      <c r="G103" s="271"/>
      <c r="H103" s="273"/>
      <c r="I103" s="271"/>
      <c r="J103" s="272"/>
      <c r="K103" s="140"/>
      <c r="L103" s="169"/>
      <c r="M103" s="140"/>
      <c r="N103" s="140"/>
      <c r="O103" s="99"/>
      <c r="S103" s="221"/>
      <c r="U103" s="221"/>
      <c r="V103" s="12"/>
    </row>
    <row r="104" spans="2:22">
      <c r="B104" s="121"/>
      <c r="C104" s="121"/>
      <c r="D104" s="99"/>
      <c r="E104" s="270"/>
      <c r="F104" s="274"/>
      <c r="G104" s="271"/>
      <c r="H104" s="273"/>
      <c r="I104" s="271"/>
      <c r="J104" s="272"/>
      <c r="K104" s="140"/>
      <c r="L104" s="169"/>
      <c r="M104" s="140"/>
      <c r="N104" s="140"/>
      <c r="O104" s="99"/>
      <c r="S104" s="221"/>
      <c r="U104" s="221"/>
      <c r="V104" s="221"/>
    </row>
    <row r="105" spans="2:22">
      <c r="B105" s="121"/>
      <c r="C105" s="121"/>
      <c r="D105" s="99"/>
      <c r="E105" s="270"/>
      <c r="F105" s="274"/>
      <c r="G105" s="271"/>
      <c r="H105" s="273"/>
      <c r="I105" s="271"/>
      <c r="J105" s="272"/>
      <c r="K105" s="140"/>
      <c r="L105" s="169"/>
      <c r="M105" s="140"/>
      <c r="N105" s="140"/>
      <c r="O105" s="99"/>
      <c r="S105" s="221"/>
      <c r="U105" s="221"/>
      <c r="V105" s="12"/>
    </row>
    <row r="106" spans="2:22">
      <c r="B106" s="121"/>
      <c r="C106" s="121"/>
      <c r="D106" s="99"/>
      <c r="E106" s="270"/>
      <c r="F106" s="274"/>
      <c r="G106" s="271"/>
      <c r="H106" s="273"/>
      <c r="I106" s="271"/>
      <c r="J106" s="272"/>
      <c r="K106" s="140"/>
      <c r="L106" s="169"/>
      <c r="M106" s="140"/>
      <c r="N106" s="140"/>
      <c r="O106" s="99"/>
      <c r="S106" s="221"/>
      <c r="U106" s="221"/>
      <c r="V106" s="221"/>
    </row>
    <row r="107" spans="2:22">
      <c r="B107" s="121"/>
      <c r="C107" s="121"/>
      <c r="D107" s="99"/>
      <c r="E107" s="270"/>
      <c r="F107" s="274"/>
      <c r="G107" s="271"/>
      <c r="H107" s="273"/>
      <c r="I107" s="271"/>
      <c r="J107" s="272"/>
      <c r="K107" s="140"/>
      <c r="L107" s="169"/>
      <c r="M107" s="140"/>
      <c r="N107" s="140"/>
      <c r="O107" s="99"/>
      <c r="U107" s="221"/>
      <c r="V107" s="12"/>
    </row>
    <row r="108" spans="2:22">
      <c r="B108" s="121"/>
      <c r="C108" s="121"/>
      <c r="D108" s="99"/>
      <c r="E108" s="270"/>
      <c r="F108" s="274"/>
      <c r="G108" s="271"/>
      <c r="H108" s="273"/>
      <c r="I108" s="271"/>
      <c r="J108" s="272"/>
      <c r="K108" s="140"/>
      <c r="L108" s="169"/>
      <c r="M108" s="140"/>
      <c r="N108" s="140"/>
      <c r="O108" s="99"/>
      <c r="S108" s="221"/>
      <c r="U108" s="221"/>
      <c r="V108" s="221"/>
    </row>
    <row r="109" spans="2:22">
      <c r="B109" s="121"/>
      <c r="C109" s="121"/>
      <c r="D109" s="99"/>
      <c r="E109" s="270"/>
      <c r="F109" s="274"/>
      <c r="G109" s="271"/>
      <c r="H109" s="273"/>
      <c r="I109" s="271"/>
      <c r="J109" s="272"/>
      <c r="K109" s="140"/>
      <c r="L109" s="169"/>
      <c r="M109" s="140"/>
      <c r="N109" s="140"/>
      <c r="O109" s="99"/>
      <c r="U109" s="221"/>
      <c r="V109" s="221"/>
    </row>
    <row r="110" spans="2:22">
      <c r="B110" s="121"/>
      <c r="C110" s="121"/>
      <c r="D110" s="99"/>
      <c r="E110" s="270"/>
      <c r="F110" s="274"/>
      <c r="G110" s="271"/>
      <c r="H110" s="273"/>
      <c r="I110" s="271"/>
      <c r="J110" s="272"/>
      <c r="K110" s="140"/>
      <c r="L110" s="169"/>
      <c r="M110" s="140"/>
      <c r="N110" s="140"/>
      <c r="O110" s="99"/>
      <c r="S110" s="221"/>
      <c r="U110" s="221"/>
      <c r="V110" s="12"/>
    </row>
    <row r="111" spans="2:22">
      <c r="B111" s="121"/>
      <c r="C111" s="121"/>
      <c r="D111" s="99"/>
      <c r="E111" s="270"/>
      <c r="F111" s="274"/>
      <c r="G111" s="271"/>
      <c r="H111" s="273"/>
      <c r="I111" s="271"/>
      <c r="J111" s="272"/>
      <c r="K111" s="140"/>
      <c r="L111" s="169"/>
      <c r="M111" s="140"/>
      <c r="N111" s="140"/>
      <c r="O111" s="99"/>
      <c r="S111" s="221"/>
      <c r="U111" s="221"/>
      <c r="V111" s="221"/>
    </row>
    <row r="112" spans="2:22">
      <c r="B112" s="121"/>
      <c r="C112" s="121"/>
      <c r="D112" s="99"/>
      <c r="E112" s="270"/>
      <c r="F112" s="274"/>
      <c r="G112" s="271"/>
      <c r="H112" s="273"/>
      <c r="I112" s="271"/>
      <c r="J112" s="272"/>
      <c r="K112" s="140"/>
      <c r="L112" s="169"/>
      <c r="M112" s="140"/>
      <c r="N112" s="140"/>
      <c r="O112" s="99"/>
      <c r="S112" s="221"/>
      <c r="U112" s="221"/>
      <c r="V112" s="221"/>
    </row>
    <row r="113" spans="2:22">
      <c r="B113" s="121"/>
      <c r="C113" s="121"/>
      <c r="D113" s="99"/>
      <c r="E113" s="270"/>
      <c r="F113" s="274"/>
      <c r="G113" s="271"/>
      <c r="H113" s="273"/>
      <c r="I113" s="271"/>
      <c r="J113" s="272"/>
      <c r="K113" s="140"/>
      <c r="L113" s="169"/>
      <c r="M113" s="140"/>
      <c r="N113" s="140"/>
      <c r="O113" s="99"/>
      <c r="S113" s="221"/>
      <c r="U113" s="221"/>
      <c r="V113" s="221"/>
    </row>
    <row r="114" spans="2:22">
      <c r="B114" s="121"/>
      <c r="C114" s="121"/>
      <c r="D114" s="99"/>
      <c r="E114" s="270"/>
      <c r="F114" s="274"/>
      <c r="G114" s="271"/>
      <c r="H114" s="273"/>
      <c r="I114" s="271"/>
      <c r="J114" s="272"/>
      <c r="K114" s="140"/>
      <c r="L114" s="169"/>
      <c r="M114" s="140"/>
      <c r="N114" s="140"/>
      <c r="O114" s="99"/>
      <c r="S114" s="221"/>
      <c r="U114" s="221"/>
      <c r="V114" s="221"/>
    </row>
    <row r="115" spans="2:22">
      <c r="B115" s="121"/>
      <c r="C115" s="121"/>
      <c r="D115" s="99"/>
      <c r="E115" s="270"/>
      <c r="F115" s="274"/>
      <c r="G115" s="271"/>
      <c r="H115" s="273"/>
      <c r="I115" s="271"/>
      <c r="J115" s="272"/>
      <c r="K115" s="140"/>
      <c r="L115" s="169"/>
      <c r="M115" s="140"/>
      <c r="N115" s="140"/>
      <c r="O115" s="99"/>
      <c r="S115" s="221"/>
      <c r="U115" s="221"/>
      <c r="V115" s="221"/>
    </row>
    <row r="116" spans="2:22">
      <c r="B116" s="121"/>
      <c r="C116" s="121"/>
      <c r="D116" s="99"/>
      <c r="E116" s="270"/>
      <c r="F116" s="274"/>
      <c r="G116" s="271"/>
      <c r="H116" s="273"/>
      <c r="I116" s="271"/>
      <c r="J116" s="272"/>
      <c r="K116" s="140"/>
      <c r="L116" s="169"/>
      <c r="M116" s="140"/>
      <c r="N116" s="140"/>
      <c r="O116" s="99"/>
      <c r="S116" s="221"/>
      <c r="U116" s="221"/>
      <c r="V116" s="221"/>
    </row>
    <row r="117" spans="2:22">
      <c r="B117" s="121"/>
      <c r="C117" s="121"/>
      <c r="D117" s="99"/>
      <c r="E117" s="270"/>
      <c r="F117" s="274"/>
      <c r="G117" s="271"/>
      <c r="H117" s="273"/>
      <c r="I117" s="271"/>
      <c r="J117" s="272"/>
      <c r="K117" s="140"/>
      <c r="L117" s="169"/>
      <c r="M117" s="140"/>
      <c r="N117" s="140"/>
      <c r="O117" s="99"/>
      <c r="S117" s="221"/>
      <c r="U117" s="221"/>
      <c r="V117" s="221"/>
    </row>
    <row r="118" spans="2:22">
      <c r="B118" s="121"/>
      <c r="C118" s="121"/>
      <c r="D118" s="99"/>
      <c r="E118" s="270"/>
      <c r="F118" s="274"/>
      <c r="G118" s="271"/>
      <c r="H118" s="273"/>
      <c r="I118" s="271"/>
      <c r="J118" s="272"/>
      <c r="K118" s="140"/>
      <c r="L118" s="169"/>
      <c r="M118" s="140"/>
      <c r="N118" s="140"/>
      <c r="O118" s="99"/>
      <c r="S118" s="221"/>
      <c r="U118" s="221"/>
      <c r="V118" s="12"/>
    </row>
    <row r="119" spans="2:22">
      <c r="B119" s="121"/>
      <c r="C119" s="121"/>
      <c r="D119" s="99"/>
      <c r="E119" s="270"/>
      <c r="F119" s="274"/>
      <c r="G119" s="271"/>
      <c r="H119" s="273"/>
      <c r="I119" s="271"/>
      <c r="J119" s="272"/>
      <c r="K119" s="140"/>
      <c r="L119" s="169"/>
      <c r="M119" s="140"/>
      <c r="N119" s="140"/>
      <c r="O119" s="99"/>
      <c r="S119" s="221"/>
      <c r="U119" s="221"/>
      <c r="V119" s="12"/>
    </row>
    <row r="120" spans="2:22">
      <c r="B120" s="121"/>
      <c r="C120" s="121"/>
      <c r="D120" s="99"/>
      <c r="E120" s="270"/>
      <c r="F120" s="274"/>
      <c r="G120" s="271"/>
      <c r="H120" s="273"/>
      <c r="I120" s="271"/>
      <c r="J120" s="272"/>
      <c r="K120" s="140"/>
      <c r="L120" s="169"/>
      <c r="M120" s="140"/>
      <c r="N120" s="140"/>
      <c r="O120" s="99"/>
      <c r="S120" s="221"/>
      <c r="U120" s="221"/>
      <c r="V120" s="221"/>
    </row>
    <row r="121" spans="2:22">
      <c r="B121" s="121"/>
      <c r="C121" s="121"/>
      <c r="D121" s="99"/>
      <c r="E121" s="270"/>
      <c r="F121" s="274"/>
      <c r="G121" s="271"/>
      <c r="H121" s="273"/>
      <c r="I121" s="271"/>
      <c r="J121" s="272"/>
      <c r="K121" s="140"/>
      <c r="L121" s="169"/>
      <c r="M121" s="140"/>
      <c r="N121" s="140"/>
      <c r="O121" s="99"/>
      <c r="S121" s="221"/>
      <c r="U121" s="221"/>
      <c r="V121" s="221"/>
    </row>
    <row r="122" spans="2:22">
      <c r="B122" s="121"/>
      <c r="C122" s="121"/>
      <c r="D122" s="99"/>
      <c r="E122" s="270"/>
      <c r="F122" s="274"/>
      <c r="G122" s="271"/>
      <c r="H122" s="273"/>
      <c r="I122" s="271"/>
      <c r="J122" s="272"/>
      <c r="K122" s="140"/>
      <c r="L122" s="169"/>
      <c r="M122" s="140"/>
      <c r="N122" s="140"/>
      <c r="O122" s="99"/>
      <c r="S122" s="221"/>
      <c r="U122" s="221"/>
      <c r="V122" s="221"/>
    </row>
    <row r="123" spans="2:22">
      <c r="B123" s="121"/>
      <c r="C123" s="121"/>
      <c r="D123" s="99"/>
      <c r="E123" s="270"/>
      <c r="F123" s="274"/>
      <c r="G123" s="271"/>
      <c r="H123" s="273"/>
      <c r="I123" s="271"/>
      <c r="J123" s="272"/>
      <c r="K123" s="140"/>
      <c r="L123" s="169"/>
      <c r="M123" s="140"/>
      <c r="N123" s="140"/>
      <c r="O123" s="99"/>
      <c r="S123" s="221"/>
      <c r="U123" s="221"/>
      <c r="V123" s="12"/>
    </row>
    <row r="124" spans="2:22">
      <c r="B124" s="121"/>
      <c r="C124" s="121"/>
      <c r="D124" s="99"/>
      <c r="E124" s="270"/>
      <c r="F124" s="274"/>
      <c r="G124" s="271"/>
      <c r="H124" s="273"/>
      <c r="I124" s="271"/>
      <c r="J124" s="272"/>
      <c r="K124" s="140"/>
      <c r="L124" s="169"/>
      <c r="M124" s="99"/>
      <c r="N124" s="140"/>
      <c r="O124" s="99"/>
      <c r="S124" s="221"/>
      <c r="U124" s="221"/>
      <c r="V124" s="12"/>
    </row>
    <row r="125" spans="2:22">
      <c r="B125" s="121"/>
      <c r="C125" s="121"/>
      <c r="D125" s="99"/>
      <c r="E125" s="270"/>
      <c r="F125" s="274"/>
      <c r="G125" s="271"/>
      <c r="H125" s="273"/>
      <c r="I125" s="271"/>
      <c r="J125" s="272"/>
      <c r="K125" s="140"/>
      <c r="L125" s="169"/>
      <c r="M125" s="140"/>
      <c r="N125" s="140"/>
      <c r="O125" s="99"/>
      <c r="S125" s="221"/>
      <c r="U125" s="221"/>
      <c r="V125" s="12"/>
    </row>
    <row r="126" spans="2:22">
      <c r="B126" s="121"/>
      <c r="C126" s="121"/>
      <c r="D126" s="99"/>
      <c r="E126" s="270"/>
      <c r="F126" s="274"/>
      <c r="G126" s="271"/>
      <c r="H126" s="273"/>
      <c r="I126" s="271"/>
      <c r="J126" s="272"/>
      <c r="K126" s="140"/>
      <c r="L126" s="169"/>
      <c r="M126" s="140"/>
      <c r="N126" s="140"/>
      <c r="O126" s="99"/>
      <c r="S126" s="221"/>
      <c r="U126" s="221"/>
      <c r="V126" s="221"/>
    </row>
    <row r="127" spans="2:22">
      <c r="B127" s="121"/>
      <c r="C127" s="121"/>
      <c r="D127" s="99"/>
      <c r="E127" s="270"/>
      <c r="F127" s="274"/>
      <c r="G127" s="271"/>
      <c r="H127" s="273"/>
      <c r="I127" s="271"/>
      <c r="J127" s="272"/>
      <c r="K127" s="140"/>
      <c r="L127" s="169"/>
      <c r="M127" s="99"/>
      <c r="N127" s="140"/>
      <c r="O127" s="99"/>
      <c r="S127" s="221"/>
      <c r="U127" s="221"/>
      <c r="V127" s="12"/>
    </row>
    <row r="128" spans="2:22">
      <c r="B128" s="121"/>
      <c r="C128" s="121"/>
      <c r="D128" s="99"/>
      <c r="E128" s="270"/>
      <c r="F128" s="274"/>
      <c r="G128" s="271"/>
      <c r="H128" s="273"/>
      <c r="I128" s="271"/>
      <c r="J128" s="272"/>
      <c r="K128" s="140"/>
      <c r="L128" s="169"/>
      <c r="M128" s="140"/>
      <c r="N128" s="140"/>
      <c r="O128" s="99"/>
      <c r="S128" s="221"/>
      <c r="U128" s="221"/>
      <c r="V128" s="12"/>
    </row>
    <row r="129" spans="2:22">
      <c r="B129" s="121"/>
      <c r="C129" s="121"/>
      <c r="D129" s="99"/>
      <c r="E129" s="270"/>
      <c r="F129" s="274"/>
      <c r="G129" s="271"/>
      <c r="H129" s="273"/>
      <c r="I129" s="271"/>
      <c r="J129" s="272"/>
      <c r="K129" s="140"/>
      <c r="L129" s="169"/>
      <c r="M129" s="140"/>
      <c r="N129" s="140"/>
      <c r="O129" s="99"/>
      <c r="S129" s="221"/>
      <c r="U129" s="221"/>
      <c r="V129" s="221"/>
    </row>
    <row r="130" spans="2:22">
      <c r="B130" s="121"/>
      <c r="C130" s="121"/>
      <c r="D130" s="99"/>
      <c r="E130" s="270"/>
      <c r="F130" s="274"/>
      <c r="G130" s="271"/>
      <c r="H130" s="273"/>
      <c r="I130" s="271"/>
      <c r="J130" s="272"/>
      <c r="K130" s="140"/>
      <c r="L130" s="169"/>
      <c r="M130" s="140"/>
      <c r="N130" s="140"/>
      <c r="O130" s="99"/>
      <c r="S130" s="221"/>
      <c r="U130" s="221"/>
      <c r="V130" s="12"/>
    </row>
    <row r="131" spans="2:22">
      <c r="B131" s="121"/>
      <c r="C131" s="121"/>
      <c r="D131" s="99"/>
      <c r="E131" s="270"/>
      <c r="F131" s="274"/>
      <c r="G131" s="271"/>
      <c r="H131" s="273"/>
      <c r="I131" s="271"/>
      <c r="J131" s="272"/>
      <c r="K131" s="140"/>
      <c r="L131" s="169"/>
      <c r="M131" s="140"/>
      <c r="N131" s="140"/>
      <c r="O131" s="99"/>
      <c r="S131" s="221"/>
      <c r="U131" s="221"/>
    </row>
    <row r="132" spans="2:22">
      <c r="B132" s="121"/>
      <c r="C132" s="121"/>
      <c r="D132" s="99"/>
      <c r="E132" s="270"/>
      <c r="F132" s="274"/>
      <c r="G132" s="271"/>
      <c r="H132" s="273"/>
      <c r="I132" s="271"/>
      <c r="J132" s="272"/>
      <c r="K132" s="140"/>
      <c r="L132" s="169"/>
      <c r="M132" s="140"/>
      <c r="N132" s="140"/>
      <c r="O132" s="99"/>
      <c r="U132" s="221"/>
      <c r="V132" s="12"/>
    </row>
    <row r="133" spans="2:22">
      <c r="B133" s="121"/>
      <c r="C133" s="121"/>
      <c r="D133" s="99"/>
      <c r="E133" s="270"/>
      <c r="F133" s="274"/>
      <c r="G133" s="271"/>
      <c r="H133" s="273"/>
      <c r="I133" s="271"/>
      <c r="J133" s="272"/>
      <c r="K133" s="140"/>
      <c r="L133" s="169"/>
      <c r="M133" s="140"/>
      <c r="N133" s="140"/>
      <c r="O133" s="99"/>
      <c r="S133" s="221"/>
      <c r="T133" s="221"/>
      <c r="U133" s="221"/>
      <c r="V133" s="221"/>
    </row>
    <row r="134" spans="2:22">
      <c r="B134" s="121"/>
      <c r="C134" s="121"/>
      <c r="D134" s="99"/>
      <c r="E134" s="270"/>
      <c r="F134" s="274"/>
      <c r="G134" s="271"/>
      <c r="H134" s="273"/>
      <c r="I134" s="271"/>
      <c r="J134" s="272"/>
      <c r="K134" s="140"/>
      <c r="L134" s="169"/>
      <c r="M134" s="140"/>
      <c r="N134" s="140"/>
      <c r="O134" s="99"/>
      <c r="S134" s="221"/>
      <c r="T134" s="221"/>
      <c r="U134" s="221"/>
      <c r="V134" s="221"/>
    </row>
    <row r="135" spans="2:22">
      <c r="B135" s="121"/>
      <c r="C135" s="121"/>
      <c r="D135" s="99"/>
      <c r="E135" s="270"/>
      <c r="F135" s="274"/>
      <c r="G135" s="271"/>
      <c r="H135" s="273"/>
      <c r="I135" s="271"/>
      <c r="J135" s="272"/>
      <c r="K135" s="140"/>
      <c r="L135" s="169"/>
      <c r="M135" s="140"/>
      <c r="N135" s="140"/>
      <c r="O135" s="99"/>
      <c r="S135" s="221"/>
      <c r="T135" s="221"/>
      <c r="U135" s="221"/>
      <c r="V135" s="221"/>
    </row>
    <row r="136" spans="2:22">
      <c r="B136" s="121"/>
      <c r="C136" s="121"/>
      <c r="D136" s="99"/>
      <c r="E136" s="270"/>
      <c r="F136" s="169"/>
      <c r="G136" s="271"/>
      <c r="H136" s="273"/>
      <c r="I136" s="271"/>
      <c r="J136" s="272"/>
      <c r="K136" s="140"/>
      <c r="L136" s="169"/>
      <c r="M136" s="140"/>
      <c r="N136" s="140"/>
      <c r="O136" s="99"/>
      <c r="S136" s="221"/>
      <c r="T136" s="221"/>
      <c r="U136" s="221"/>
      <c r="V136" s="221"/>
    </row>
    <row r="137" spans="2:22">
      <c r="B137" s="121"/>
      <c r="C137" s="121"/>
      <c r="D137" s="99"/>
      <c r="E137" s="270"/>
      <c r="F137" s="169"/>
      <c r="G137" s="271"/>
      <c r="H137" s="273"/>
      <c r="I137" s="271"/>
      <c r="J137" s="272"/>
      <c r="K137" s="140"/>
      <c r="L137" s="169"/>
      <c r="M137" s="140"/>
      <c r="N137" s="140"/>
      <c r="O137" s="99"/>
      <c r="S137" s="12"/>
      <c r="T137" s="12"/>
      <c r="U137" s="221"/>
    </row>
    <row r="138" spans="2:22">
      <c r="B138" s="121"/>
      <c r="C138" s="121"/>
      <c r="D138" s="99"/>
      <c r="E138" s="270"/>
      <c r="F138" s="169"/>
      <c r="G138" s="271"/>
      <c r="H138" s="273"/>
      <c r="I138" s="271"/>
      <c r="J138" s="272"/>
      <c r="K138" s="140"/>
      <c r="L138" s="169"/>
      <c r="M138" s="140"/>
      <c r="N138" s="140"/>
      <c r="O138" s="99"/>
      <c r="S138" s="221"/>
      <c r="T138" s="221"/>
      <c r="U138" s="221"/>
      <c r="V138" s="221"/>
    </row>
    <row r="139" spans="2:22">
      <c r="B139" s="121"/>
      <c r="C139" s="121"/>
      <c r="D139" s="99"/>
      <c r="E139" s="270"/>
      <c r="F139" s="169"/>
      <c r="G139" s="271"/>
      <c r="H139" s="273"/>
      <c r="I139" s="271"/>
      <c r="J139" s="272"/>
      <c r="K139" s="140"/>
      <c r="L139" s="169"/>
      <c r="M139" s="140"/>
      <c r="N139" s="140"/>
      <c r="O139" s="99"/>
      <c r="S139" s="221"/>
      <c r="T139" s="221"/>
      <c r="U139" s="221"/>
      <c r="V139" s="221"/>
    </row>
    <row r="140" spans="2:22">
      <c r="B140" s="121"/>
      <c r="C140" s="121"/>
      <c r="D140" s="99"/>
      <c r="E140" s="270"/>
      <c r="F140" s="169"/>
      <c r="G140" s="271"/>
      <c r="H140" s="273"/>
      <c r="I140" s="271"/>
      <c r="J140" s="272"/>
      <c r="K140" s="140"/>
      <c r="L140" s="169"/>
      <c r="M140" s="140"/>
      <c r="N140" s="140"/>
      <c r="O140" s="99"/>
      <c r="S140" s="221"/>
      <c r="T140" s="221"/>
      <c r="U140" s="221"/>
      <c r="V140" s="221"/>
    </row>
    <row r="141" spans="2:22">
      <c r="B141" s="121"/>
      <c r="C141" s="121"/>
      <c r="D141" s="99"/>
      <c r="E141" s="270"/>
      <c r="F141" s="169"/>
      <c r="G141" s="271"/>
      <c r="H141" s="273"/>
      <c r="I141" s="271"/>
      <c r="J141" s="272"/>
      <c r="K141" s="140"/>
      <c r="L141" s="169"/>
      <c r="M141" s="140"/>
      <c r="N141" s="140"/>
      <c r="O141" s="99"/>
      <c r="S141" s="221"/>
      <c r="T141" s="221"/>
      <c r="U141" s="221"/>
      <c r="V141" s="221"/>
    </row>
    <row r="142" spans="2:22">
      <c r="B142" s="121"/>
      <c r="C142" s="121"/>
      <c r="D142" s="99"/>
      <c r="E142" s="270"/>
      <c r="F142" s="169"/>
      <c r="G142" s="271"/>
      <c r="H142" s="273"/>
      <c r="I142" s="271"/>
      <c r="J142" s="272"/>
      <c r="K142" s="140"/>
      <c r="L142" s="169"/>
      <c r="M142" s="140"/>
      <c r="N142" s="140"/>
      <c r="O142" s="99"/>
      <c r="S142" s="221"/>
      <c r="T142" s="221"/>
      <c r="U142" s="221"/>
      <c r="V142" s="221"/>
    </row>
    <row r="143" spans="2:22">
      <c r="B143" s="121"/>
      <c r="C143" s="121"/>
      <c r="D143" s="99"/>
      <c r="E143" s="270"/>
      <c r="F143" s="169"/>
      <c r="G143" s="271"/>
      <c r="H143" s="273"/>
      <c r="I143" s="271"/>
      <c r="J143" s="272"/>
      <c r="K143" s="140"/>
      <c r="L143" s="169"/>
      <c r="M143" s="140"/>
      <c r="N143" s="140"/>
      <c r="O143" s="99"/>
      <c r="S143" s="221"/>
      <c r="T143" s="221"/>
      <c r="U143" s="221"/>
    </row>
    <row r="144" spans="2:22">
      <c r="B144" s="121"/>
      <c r="C144" s="121"/>
      <c r="D144" s="99"/>
      <c r="E144" s="270"/>
      <c r="F144" s="169"/>
      <c r="G144" s="271"/>
      <c r="H144" s="273"/>
      <c r="I144" s="271"/>
      <c r="J144" s="272"/>
      <c r="K144" s="140"/>
      <c r="L144" s="169"/>
      <c r="M144" s="140"/>
      <c r="N144" s="140"/>
      <c r="O144" s="99"/>
      <c r="T144" s="221"/>
      <c r="U144" s="221"/>
      <c r="V144" s="12"/>
    </row>
    <row r="145" spans="2:22">
      <c r="B145" s="121"/>
      <c r="C145" s="121"/>
      <c r="D145" s="99"/>
      <c r="E145" s="270"/>
      <c r="F145" s="169"/>
      <c r="G145" s="271"/>
      <c r="H145" s="273"/>
      <c r="I145" s="271"/>
      <c r="J145" s="272"/>
      <c r="K145" s="140"/>
      <c r="L145" s="169"/>
      <c r="M145" s="140"/>
      <c r="N145" s="140"/>
      <c r="O145" s="99"/>
      <c r="S145" s="221"/>
      <c r="T145" s="221"/>
      <c r="U145" s="221"/>
      <c r="V145" s="221"/>
    </row>
    <row r="146" spans="2:22">
      <c r="B146" s="121"/>
      <c r="C146" s="121"/>
      <c r="D146" s="99"/>
      <c r="E146" s="270"/>
      <c r="F146" s="169"/>
      <c r="G146" s="271"/>
      <c r="H146" s="273"/>
      <c r="I146" s="271"/>
      <c r="J146" s="272"/>
      <c r="K146" s="140"/>
      <c r="L146" s="169"/>
      <c r="M146" s="140"/>
      <c r="N146" s="140"/>
      <c r="O146" s="99"/>
      <c r="S146" s="221"/>
      <c r="T146" s="221"/>
      <c r="U146" s="221"/>
      <c r="V146" s="221"/>
    </row>
    <row r="147" spans="2:22">
      <c r="B147" s="121"/>
      <c r="C147" s="121"/>
      <c r="D147" s="99"/>
      <c r="E147" s="270"/>
      <c r="F147" s="169"/>
      <c r="G147" s="271"/>
      <c r="H147" s="273"/>
      <c r="I147" s="271"/>
      <c r="J147" s="272"/>
      <c r="K147" s="140"/>
      <c r="L147" s="169"/>
      <c r="M147" s="140"/>
      <c r="N147" s="140"/>
      <c r="O147" s="99"/>
      <c r="S147" s="221"/>
      <c r="T147" s="221"/>
      <c r="U147" s="221"/>
      <c r="V147" s="221"/>
    </row>
    <row r="148" spans="2:22">
      <c r="B148" s="121"/>
      <c r="C148" s="121"/>
      <c r="D148" s="99"/>
      <c r="E148" s="270"/>
      <c r="F148" s="169"/>
      <c r="G148" s="271"/>
      <c r="H148" s="273"/>
      <c r="I148" s="271"/>
      <c r="J148" s="272"/>
      <c r="K148" s="140"/>
      <c r="L148" s="169"/>
      <c r="M148" s="140"/>
      <c r="N148" s="140"/>
      <c r="O148" s="99"/>
      <c r="S148" s="221"/>
      <c r="T148" s="221"/>
      <c r="U148" s="221"/>
      <c r="V148" s="221"/>
    </row>
    <row r="149" spans="2:22">
      <c r="B149" s="121"/>
      <c r="C149" s="121"/>
      <c r="D149" s="99"/>
      <c r="E149" s="270"/>
      <c r="F149" s="169"/>
      <c r="G149" s="271"/>
      <c r="H149" s="273"/>
      <c r="I149" s="271"/>
      <c r="J149" s="272"/>
      <c r="K149" s="140"/>
      <c r="L149" s="169"/>
      <c r="M149" s="140"/>
      <c r="N149" s="140"/>
      <c r="O149" s="99"/>
      <c r="S149" s="221"/>
      <c r="T149" s="221"/>
      <c r="U149" s="221"/>
      <c r="V149" s="12"/>
    </row>
    <row r="150" spans="2:22">
      <c r="B150" s="121"/>
      <c r="C150" s="121"/>
      <c r="D150" s="99"/>
      <c r="E150" s="270"/>
      <c r="F150" s="169"/>
      <c r="G150" s="271"/>
      <c r="H150" s="273"/>
      <c r="I150" s="271"/>
      <c r="J150" s="272"/>
      <c r="K150" s="140"/>
      <c r="L150" s="169"/>
      <c r="M150" s="140"/>
      <c r="N150" s="140"/>
      <c r="O150" s="99"/>
      <c r="S150" s="221"/>
      <c r="T150" s="12"/>
      <c r="U150" s="221"/>
      <c r="V150" s="12"/>
    </row>
    <row r="151" spans="2:22">
      <c r="B151" s="121"/>
      <c r="C151" s="121"/>
      <c r="D151" s="99"/>
      <c r="E151" s="270"/>
      <c r="F151" s="169"/>
      <c r="G151" s="271"/>
      <c r="H151" s="273"/>
      <c r="I151" s="271"/>
      <c r="J151" s="272"/>
      <c r="K151" s="140"/>
      <c r="L151" s="169"/>
      <c r="M151" s="140"/>
      <c r="N151" s="140"/>
      <c r="O151" s="99"/>
      <c r="S151" s="221"/>
      <c r="T151" s="221"/>
      <c r="U151" s="221"/>
      <c r="V151" s="221"/>
    </row>
    <row r="152" spans="2:22">
      <c r="B152" s="121"/>
      <c r="C152" s="121"/>
      <c r="D152" s="99"/>
      <c r="E152" s="270"/>
      <c r="F152" s="169"/>
      <c r="G152" s="271"/>
      <c r="H152" s="273"/>
      <c r="I152" s="271"/>
      <c r="J152" s="272"/>
      <c r="K152" s="140"/>
      <c r="L152" s="169"/>
      <c r="M152" s="140"/>
      <c r="N152" s="140"/>
      <c r="O152" s="99"/>
      <c r="S152" s="221"/>
      <c r="T152" s="221"/>
      <c r="U152" s="221"/>
      <c r="V152" s="221"/>
    </row>
    <row r="153" spans="2:22">
      <c r="B153" s="121"/>
      <c r="C153" s="121"/>
      <c r="D153" s="99"/>
      <c r="E153" s="270"/>
      <c r="F153" s="169"/>
      <c r="G153" s="271"/>
      <c r="H153" s="273"/>
      <c r="I153" s="271"/>
      <c r="J153" s="272"/>
      <c r="K153" s="140"/>
      <c r="L153" s="169"/>
      <c r="M153" s="140"/>
      <c r="N153" s="140"/>
      <c r="O153" s="99"/>
      <c r="S153" s="221"/>
      <c r="T153" s="221"/>
      <c r="U153" s="221"/>
      <c r="V153" s="221"/>
    </row>
    <row r="154" spans="2:22">
      <c r="B154" s="121"/>
      <c r="C154" s="121"/>
      <c r="D154" s="99"/>
      <c r="E154" s="270"/>
      <c r="F154" s="169"/>
      <c r="G154" s="271"/>
      <c r="H154" s="273"/>
      <c r="I154" s="271"/>
      <c r="J154" s="272"/>
      <c r="K154" s="140"/>
      <c r="L154" s="169"/>
      <c r="M154" s="140"/>
      <c r="N154" s="140"/>
      <c r="O154" s="99"/>
      <c r="S154" s="221"/>
      <c r="T154" s="221"/>
      <c r="U154" s="221"/>
      <c r="V154" s="221"/>
    </row>
    <row r="155" spans="2:22">
      <c r="B155" s="121"/>
      <c r="C155" s="121"/>
      <c r="D155" s="99"/>
      <c r="E155" s="270"/>
      <c r="F155" s="169"/>
      <c r="G155" s="271"/>
      <c r="H155" s="273"/>
      <c r="I155" s="271"/>
      <c r="J155" s="272"/>
      <c r="K155" s="140"/>
      <c r="L155" s="169"/>
      <c r="M155" s="140"/>
      <c r="N155" s="140"/>
      <c r="O155" s="99"/>
      <c r="S155" s="221"/>
      <c r="T155" s="221"/>
    </row>
    <row r="156" spans="2:22">
      <c r="B156" s="121"/>
      <c r="C156" s="121"/>
      <c r="D156" s="99"/>
      <c r="E156" s="270"/>
      <c r="F156" s="169"/>
      <c r="G156" s="271"/>
      <c r="H156" s="273"/>
      <c r="I156" s="271"/>
      <c r="J156" s="272"/>
      <c r="K156" s="140"/>
      <c r="L156" s="169"/>
      <c r="M156" s="99"/>
      <c r="N156" s="140"/>
      <c r="O156" s="99"/>
      <c r="S156" s="12"/>
      <c r="T156" s="221"/>
      <c r="U156" s="221"/>
      <c r="V156" s="221"/>
    </row>
    <row r="157" spans="2:22">
      <c r="B157" s="121"/>
      <c r="C157" s="121"/>
      <c r="D157" s="99"/>
      <c r="E157" s="270"/>
      <c r="F157" s="169"/>
      <c r="G157" s="271"/>
      <c r="H157" s="273"/>
      <c r="I157" s="271"/>
      <c r="J157" s="272"/>
      <c r="K157" s="140"/>
      <c r="L157" s="169"/>
      <c r="M157" s="140"/>
      <c r="N157" s="140"/>
      <c r="O157" s="99"/>
      <c r="S157" s="221"/>
      <c r="T157" s="221"/>
      <c r="U157" s="221"/>
      <c r="V157" s="221"/>
    </row>
    <row r="158" spans="2:22">
      <c r="B158" s="121"/>
      <c r="C158" s="121"/>
      <c r="D158" s="99"/>
      <c r="E158" s="270"/>
      <c r="F158" s="169"/>
      <c r="G158" s="271"/>
      <c r="H158" s="273"/>
      <c r="I158" s="271"/>
      <c r="J158" s="272"/>
      <c r="K158" s="140"/>
      <c r="L158" s="169"/>
      <c r="M158" s="140"/>
      <c r="N158" s="140"/>
      <c r="O158" s="99"/>
      <c r="S158" s="221"/>
      <c r="T158" s="221"/>
      <c r="U158" s="221"/>
      <c r="V158" s="221"/>
    </row>
    <row r="159" spans="2:22">
      <c r="B159" s="121"/>
      <c r="C159" s="121"/>
      <c r="D159" s="99"/>
      <c r="E159" s="270"/>
      <c r="F159" s="169"/>
      <c r="G159" s="271"/>
      <c r="H159" s="273"/>
      <c r="I159" s="271"/>
      <c r="J159" s="272"/>
      <c r="K159" s="140"/>
      <c r="L159" s="169"/>
      <c r="M159" s="140"/>
      <c r="N159" s="140"/>
      <c r="O159" s="99"/>
      <c r="S159" s="221"/>
      <c r="T159" s="221"/>
      <c r="U159" s="221"/>
      <c r="V159" s="221"/>
    </row>
    <row r="160" spans="2:22">
      <c r="B160" s="121"/>
      <c r="C160" s="121"/>
      <c r="D160" s="99"/>
      <c r="E160" s="270"/>
      <c r="F160" s="169"/>
      <c r="G160" s="271"/>
      <c r="H160" s="273"/>
      <c r="I160" s="271"/>
      <c r="J160" s="272"/>
      <c r="K160" s="140"/>
      <c r="L160" s="169"/>
      <c r="M160" s="140"/>
      <c r="N160" s="140"/>
      <c r="O160" s="99"/>
      <c r="S160" s="221"/>
      <c r="T160" s="221"/>
      <c r="U160" s="221"/>
      <c r="V160" s="12"/>
    </row>
    <row r="161" spans="2:22">
      <c r="B161" s="121"/>
      <c r="C161" s="121"/>
      <c r="D161" s="99"/>
      <c r="E161" s="270"/>
      <c r="F161" s="169"/>
      <c r="G161" s="271"/>
      <c r="H161" s="273"/>
      <c r="I161" s="271"/>
      <c r="J161" s="272"/>
      <c r="K161" s="140"/>
      <c r="L161" s="169"/>
      <c r="M161" s="140"/>
      <c r="N161" s="140"/>
      <c r="O161" s="99"/>
      <c r="S161" s="221"/>
      <c r="T161" s="12"/>
      <c r="U161" s="221"/>
      <c r="V161" s="221"/>
    </row>
    <row r="162" spans="2:22">
      <c r="B162" s="121"/>
      <c r="C162" s="121"/>
      <c r="D162" s="99"/>
      <c r="E162" s="270"/>
      <c r="F162" s="169"/>
      <c r="G162" s="271"/>
      <c r="H162" s="273"/>
      <c r="I162" s="271"/>
      <c r="J162" s="272"/>
      <c r="K162" s="140"/>
      <c r="L162" s="169"/>
      <c r="M162" s="140"/>
      <c r="N162" s="140"/>
      <c r="O162" s="99"/>
      <c r="S162" s="221"/>
      <c r="T162" s="221"/>
      <c r="U162" s="221"/>
      <c r="V162" s="12"/>
    </row>
    <row r="163" spans="2:22">
      <c r="B163" s="121"/>
      <c r="C163" s="121"/>
      <c r="D163" s="99"/>
      <c r="E163" s="270"/>
      <c r="F163" s="169"/>
      <c r="G163" s="271"/>
      <c r="H163" s="273"/>
      <c r="I163" s="271"/>
      <c r="J163" s="272"/>
      <c r="K163" s="140"/>
      <c r="L163" s="169"/>
      <c r="M163" s="140"/>
      <c r="N163" s="140"/>
      <c r="O163" s="99"/>
      <c r="U163" s="221"/>
      <c r="V163" s="221"/>
    </row>
    <row r="164" spans="2:22">
      <c r="B164" s="121"/>
      <c r="C164" s="121"/>
      <c r="D164" s="99"/>
      <c r="E164" s="270"/>
      <c r="F164" s="99"/>
      <c r="G164" s="99"/>
      <c r="H164" s="273"/>
      <c r="I164" s="273"/>
      <c r="J164" s="99"/>
      <c r="K164" s="530"/>
      <c r="L164" s="169"/>
      <c r="M164" s="99"/>
      <c r="N164" s="140"/>
      <c r="O164" s="99"/>
      <c r="S164" s="221"/>
      <c r="T164" s="221"/>
      <c r="U164" s="221"/>
      <c r="V164" s="12"/>
    </row>
    <row r="165" spans="2:22">
      <c r="B165" s="121"/>
      <c r="C165" s="121"/>
      <c r="D165" s="99"/>
      <c r="E165" s="270"/>
      <c r="F165" s="169"/>
      <c r="G165" s="271"/>
      <c r="H165" s="273"/>
      <c r="I165" s="271"/>
      <c r="J165" s="272"/>
      <c r="K165" s="140"/>
      <c r="L165" s="169"/>
      <c r="M165" s="140"/>
      <c r="N165" s="140"/>
      <c r="O165" s="99"/>
      <c r="U165" s="221"/>
      <c r="V165" s="12"/>
    </row>
    <row r="166" spans="2:22">
      <c r="B166" s="121"/>
      <c r="C166" s="121"/>
      <c r="D166" s="99"/>
      <c r="E166" s="270"/>
      <c r="F166" s="99"/>
      <c r="G166" s="99"/>
      <c r="H166" s="273"/>
      <c r="I166" s="273"/>
      <c r="J166" s="99"/>
      <c r="K166" s="530"/>
      <c r="L166" s="169"/>
      <c r="M166" s="530"/>
      <c r="N166" s="140"/>
      <c r="O166" s="99"/>
      <c r="S166" s="12"/>
      <c r="T166" s="12"/>
      <c r="U166" s="221"/>
      <c r="V166" s="12"/>
    </row>
    <row r="167" spans="2:22">
      <c r="B167" s="121"/>
      <c r="C167" s="121"/>
      <c r="D167" s="99"/>
      <c r="E167" s="270"/>
      <c r="F167" s="169"/>
      <c r="G167" s="271"/>
      <c r="H167" s="273"/>
      <c r="I167" s="271"/>
      <c r="J167" s="272"/>
      <c r="K167" s="140"/>
      <c r="L167" s="169"/>
      <c r="M167" s="140"/>
      <c r="N167" s="140"/>
      <c r="O167" s="99"/>
      <c r="S167" s="221"/>
      <c r="T167" s="221"/>
      <c r="U167" s="221"/>
      <c r="V167" s="221"/>
    </row>
    <row r="168" spans="2:22">
      <c r="B168" s="121"/>
      <c r="C168" s="121"/>
      <c r="D168" s="99"/>
      <c r="E168" s="270"/>
      <c r="F168" s="169"/>
      <c r="G168" s="271"/>
      <c r="H168" s="273"/>
      <c r="I168" s="271"/>
      <c r="J168" s="272"/>
      <c r="K168" s="140"/>
      <c r="L168" s="169"/>
      <c r="M168" s="140"/>
      <c r="N168" s="140"/>
      <c r="O168" s="99"/>
      <c r="S168" s="12"/>
      <c r="T168" s="221"/>
      <c r="U168" s="221"/>
      <c r="V168" s="12"/>
    </row>
    <row r="169" spans="2:22">
      <c r="B169" s="121"/>
      <c r="C169" s="121"/>
      <c r="D169" s="99"/>
      <c r="E169" s="270"/>
      <c r="F169" s="169"/>
      <c r="G169" s="271"/>
      <c r="H169" s="273"/>
      <c r="I169" s="271"/>
      <c r="J169" s="272"/>
      <c r="K169" s="140"/>
      <c r="L169" s="169"/>
      <c r="M169" s="140"/>
      <c r="N169" s="140"/>
      <c r="O169" s="99"/>
      <c r="S169" s="221"/>
      <c r="T169" s="221"/>
      <c r="U169" s="221"/>
      <c r="V169" s="221"/>
    </row>
    <row r="170" spans="2:22">
      <c r="B170" s="121"/>
      <c r="C170" s="121"/>
      <c r="D170" s="99"/>
      <c r="E170" s="270"/>
      <c r="F170" s="169"/>
      <c r="G170" s="271"/>
      <c r="H170" s="273"/>
      <c r="I170" s="271"/>
      <c r="J170" s="272"/>
      <c r="K170" s="140"/>
      <c r="L170" s="169"/>
      <c r="M170" s="140"/>
      <c r="N170" s="140"/>
      <c r="O170" s="99"/>
      <c r="S170" s="221"/>
      <c r="T170" s="221"/>
      <c r="U170" s="221"/>
      <c r="V170" s="221"/>
    </row>
    <row r="171" spans="2:22">
      <c r="B171" s="121"/>
      <c r="C171" s="121"/>
      <c r="D171" s="99"/>
      <c r="E171" s="270"/>
      <c r="F171" s="169"/>
      <c r="G171" s="271"/>
      <c r="H171" s="273"/>
      <c r="I171" s="271"/>
      <c r="J171" s="272"/>
      <c r="K171" s="140"/>
      <c r="L171" s="169"/>
      <c r="M171" s="140"/>
      <c r="N171" s="140"/>
      <c r="O171" s="99"/>
      <c r="S171" s="12"/>
      <c r="U171" s="12"/>
      <c r="V171" s="12"/>
    </row>
    <row r="172" spans="2:22">
      <c r="B172" s="121"/>
      <c r="C172" s="121"/>
      <c r="D172" s="99"/>
      <c r="E172" s="270"/>
      <c r="F172" s="169"/>
      <c r="G172" s="271"/>
      <c r="H172" s="168"/>
      <c r="I172" s="271"/>
      <c r="J172" s="272"/>
      <c r="K172" s="140"/>
      <c r="L172" s="169"/>
      <c r="M172" s="140"/>
      <c r="N172" s="140"/>
      <c r="O172" s="99"/>
      <c r="S172" s="221"/>
      <c r="U172" s="221"/>
      <c r="V172" s="12"/>
    </row>
    <row r="173" spans="2:22">
      <c r="B173" s="121"/>
      <c r="C173" s="121"/>
      <c r="D173" s="99"/>
      <c r="E173" s="270"/>
      <c r="F173" s="169"/>
      <c r="G173" s="271"/>
      <c r="H173" s="168"/>
      <c r="I173" s="271"/>
      <c r="J173" s="272"/>
      <c r="K173" s="140"/>
      <c r="L173" s="169"/>
      <c r="M173" s="140"/>
      <c r="N173" s="140"/>
      <c r="O173" s="99"/>
      <c r="U173" s="221"/>
      <c r="V173" s="12"/>
    </row>
    <row r="174" spans="2:22">
      <c r="B174" s="121"/>
      <c r="C174" s="121"/>
      <c r="D174" s="99"/>
      <c r="E174" s="270"/>
      <c r="F174" s="169"/>
      <c r="G174" s="271"/>
      <c r="H174" s="168"/>
      <c r="I174" s="271"/>
      <c r="J174" s="272"/>
      <c r="K174" s="140"/>
      <c r="L174" s="169"/>
      <c r="M174" s="140"/>
      <c r="N174" s="140"/>
      <c r="O174" s="99"/>
      <c r="S174" s="221"/>
      <c r="U174" s="221"/>
      <c r="V174" s="12"/>
    </row>
    <row r="175" spans="2:22">
      <c r="B175" s="121"/>
      <c r="C175" s="121"/>
      <c r="D175" s="99"/>
      <c r="E175" s="270"/>
      <c r="F175" s="169"/>
      <c r="G175" s="271"/>
      <c r="H175" s="168"/>
      <c r="I175" s="271"/>
      <c r="J175" s="272"/>
      <c r="K175" s="140"/>
      <c r="L175" s="169"/>
      <c r="M175" s="140"/>
      <c r="N175" s="140"/>
      <c r="O175" s="99"/>
      <c r="U175" s="221"/>
      <c r="V175" s="221"/>
    </row>
    <row r="176" spans="2:22">
      <c r="B176" s="121"/>
      <c r="C176" s="121"/>
      <c r="D176" s="99"/>
      <c r="E176" s="270"/>
      <c r="F176" s="169"/>
      <c r="G176" s="271"/>
      <c r="H176" s="168"/>
      <c r="I176" s="271"/>
      <c r="J176" s="272"/>
      <c r="K176" s="140"/>
      <c r="L176" s="169"/>
      <c r="M176" s="140"/>
      <c r="N176" s="140"/>
      <c r="O176" s="99"/>
      <c r="U176" s="221"/>
      <c r="V176" s="221"/>
    </row>
    <row r="177" spans="2:22">
      <c r="B177" s="121"/>
      <c r="C177" s="121"/>
      <c r="D177" s="99"/>
      <c r="E177" s="270"/>
      <c r="F177" s="169"/>
      <c r="G177" s="271"/>
      <c r="H177" s="168"/>
      <c r="I177" s="271"/>
      <c r="J177" s="272"/>
      <c r="K177" s="140"/>
      <c r="L177" s="169"/>
      <c r="M177" s="140"/>
      <c r="N177" s="140"/>
      <c r="O177" s="99"/>
      <c r="U177" s="221"/>
      <c r="V177" s="221"/>
    </row>
    <row r="178" spans="2:22">
      <c r="B178" s="121"/>
      <c r="C178" s="121"/>
      <c r="D178" s="99"/>
      <c r="E178" s="270"/>
      <c r="F178" s="169"/>
      <c r="G178" s="271"/>
      <c r="H178" s="168"/>
      <c r="I178" s="271"/>
      <c r="J178" s="272"/>
      <c r="K178" s="140"/>
      <c r="L178" s="169"/>
      <c r="M178" s="140"/>
      <c r="N178" s="140"/>
      <c r="O178" s="99"/>
      <c r="U178" s="221"/>
      <c r="V178" s="12"/>
    </row>
    <row r="179" spans="2:22">
      <c r="B179" s="121"/>
      <c r="C179" s="121"/>
      <c r="D179" s="99"/>
      <c r="E179" s="270"/>
      <c r="F179" s="169"/>
      <c r="G179" s="271"/>
      <c r="H179" s="168"/>
      <c r="I179" s="271"/>
      <c r="J179" s="272"/>
      <c r="K179" s="140"/>
      <c r="L179" s="169"/>
      <c r="M179" s="140"/>
      <c r="N179" s="140"/>
      <c r="O179" s="99"/>
      <c r="U179" s="221"/>
      <c r="V179" s="12"/>
    </row>
    <row r="180" spans="2:22">
      <c r="B180" s="121"/>
      <c r="C180" s="121"/>
      <c r="D180" s="99"/>
      <c r="E180" s="270"/>
      <c r="F180" s="99"/>
      <c r="G180" s="99"/>
      <c r="H180" s="99"/>
      <c r="I180" s="99"/>
      <c r="J180" s="99"/>
      <c r="K180" s="530"/>
      <c r="L180" s="169"/>
      <c r="M180" s="530"/>
      <c r="N180" s="140"/>
      <c r="O180" s="99"/>
      <c r="U180" s="221"/>
      <c r="V180" s="221"/>
    </row>
    <row r="181" spans="2:22">
      <c r="B181" s="121"/>
      <c r="C181" s="121"/>
      <c r="D181" s="99"/>
      <c r="E181" s="270"/>
      <c r="F181" s="169"/>
      <c r="G181" s="271"/>
      <c r="H181" s="168"/>
      <c r="I181" s="271"/>
      <c r="J181" s="272"/>
      <c r="K181" s="140"/>
      <c r="L181" s="169"/>
      <c r="M181" s="140"/>
      <c r="N181" s="140"/>
      <c r="O181" s="99"/>
      <c r="U181" s="221"/>
      <c r="V181" s="221"/>
    </row>
    <row r="182" spans="2:22">
      <c r="B182" s="121"/>
      <c r="C182" s="121"/>
      <c r="D182" s="99"/>
      <c r="E182" s="270"/>
      <c r="F182" s="169"/>
      <c r="G182" s="271"/>
      <c r="H182" s="168"/>
      <c r="I182" s="271"/>
      <c r="J182" s="272"/>
      <c r="K182" s="140"/>
      <c r="L182" s="169"/>
      <c r="M182" s="140"/>
      <c r="N182" s="140"/>
      <c r="O182" s="99"/>
      <c r="U182" s="221"/>
      <c r="V182" s="221"/>
    </row>
    <row r="183" spans="2:22">
      <c r="B183" s="121"/>
      <c r="C183" s="121"/>
      <c r="D183" s="99"/>
      <c r="E183" s="270"/>
      <c r="F183" s="169"/>
      <c r="G183" s="271"/>
      <c r="H183" s="168"/>
      <c r="I183" s="271"/>
      <c r="J183" s="272"/>
      <c r="K183" s="140"/>
      <c r="L183" s="169"/>
      <c r="M183" s="140"/>
      <c r="N183" s="140"/>
      <c r="O183" s="99"/>
      <c r="U183" s="221"/>
      <c r="V183" s="12"/>
    </row>
    <row r="184" spans="2:22">
      <c r="B184" s="121"/>
      <c r="C184" s="121"/>
      <c r="D184" s="99"/>
      <c r="E184" s="270"/>
      <c r="F184" s="169"/>
      <c r="G184" s="271"/>
      <c r="H184" s="168"/>
      <c r="I184" s="271"/>
      <c r="J184" s="272"/>
      <c r="K184" s="140"/>
      <c r="L184" s="169"/>
      <c r="M184" s="140"/>
      <c r="N184" s="140"/>
      <c r="O184" s="99"/>
    </row>
    <row r="185" spans="2:22">
      <c r="B185" s="121"/>
      <c r="C185" s="121"/>
      <c r="D185" s="99"/>
      <c r="E185" s="270"/>
      <c r="F185" s="99"/>
      <c r="G185" s="99"/>
      <c r="H185" s="99"/>
      <c r="I185" s="99"/>
      <c r="J185" s="99"/>
      <c r="K185" s="530"/>
      <c r="L185" s="530"/>
      <c r="M185" s="530"/>
      <c r="N185" s="530"/>
      <c r="O185" s="99"/>
      <c r="U185" s="221"/>
      <c r="V185" s="12"/>
    </row>
    <row r="186" spans="2:22">
      <c r="B186" s="121"/>
      <c r="C186" s="121"/>
      <c r="D186" s="99"/>
      <c r="E186" s="270"/>
      <c r="F186" s="169"/>
      <c r="G186" s="271"/>
      <c r="H186" s="168"/>
      <c r="I186" s="271"/>
      <c r="J186" s="272"/>
      <c r="K186" s="140"/>
      <c r="L186" s="169"/>
      <c r="M186" s="140"/>
      <c r="N186" s="140"/>
      <c r="O186" s="99"/>
      <c r="U186" s="221"/>
      <c r="V186" s="12"/>
    </row>
    <row r="187" spans="2:22">
      <c r="B187" s="121"/>
      <c r="C187" s="121"/>
      <c r="D187" s="99"/>
      <c r="E187" s="270"/>
      <c r="F187" s="169"/>
      <c r="G187" s="271"/>
      <c r="H187" s="168"/>
      <c r="I187" s="271"/>
      <c r="J187" s="272"/>
      <c r="K187" s="140"/>
      <c r="L187" s="169"/>
      <c r="M187" s="140"/>
      <c r="N187" s="140"/>
      <c r="O187" s="99"/>
      <c r="U187" s="221"/>
      <c r="V187" s="221"/>
    </row>
    <row r="188" spans="2:22">
      <c r="B188" s="121"/>
      <c r="C188" s="121"/>
      <c r="D188" s="99"/>
      <c r="E188" s="270"/>
      <c r="F188" s="169"/>
      <c r="G188" s="271"/>
      <c r="H188" s="168"/>
      <c r="I188" s="271"/>
      <c r="J188" s="272"/>
      <c r="K188" s="140"/>
      <c r="L188" s="169"/>
      <c r="M188" s="140"/>
      <c r="N188" s="140"/>
      <c r="O188" s="99"/>
      <c r="U188" s="221"/>
      <c r="V188" s="221"/>
    </row>
    <row r="189" spans="2:22">
      <c r="B189" s="121"/>
      <c r="C189" s="121"/>
      <c r="D189" s="99"/>
      <c r="E189" s="270"/>
      <c r="F189" s="169"/>
      <c r="G189" s="271"/>
      <c r="H189" s="168"/>
      <c r="I189" s="271"/>
      <c r="J189" s="272"/>
      <c r="K189" s="140"/>
      <c r="L189" s="169"/>
      <c r="M189" s="140"/>
      <c r="N189" s="140"/>
      <c r="O189" s="99"/>
      <c r="U189" s="221"/>
      <c r="V189" s="12"/>
    </row>
    <row r="190" spans="2:22">
      <c r="B190" s="121"/>
      <c r="C190" s="121"/>
      <c r="D190" s="99"/>
      <c r="E190" s="270"/>
      <c r="F190" s="169"/>
      <c r="G190" s="271"/>
      <c r="H190" s="168"/>
      <c r="I190" s="271"/>
      <c r="J190" s="272"/>
      <c r="K190" s="140"/>
      <c r="L190" s="169"/>
      <c r="M190" s="140"/>
      <c r="N190" s="140"/>
      <c r="O190" s="99"/>
      <c r="U190" s="221"/>
      <c r="V190" s="12"/>
    </row>
    <row r="191" spans="2:22">
      <c r="B191" s="121"/>
      <c r="C191" s="121"/>
      <c r="D191" s="99"/>
      <c r="E191" s="270"/>
      <c r="F191" s="169"/>
      <c r="G191" s="271"/>
      <c r="H191" s="168"/>
      <c r="I191" s="271"/>
      <c r="J191" s="272"/>
      <c r="K191" s="140"/>
      <c r="L191" s="169"/>
      <c r="M191" s="140"/>
      <c r="N191" s="140"/>
      <c r="O191" s="99"/>
      <c r="U191" s="221"/>
      <c r="V191" s="12"/>
    </row>
    <row r="192" spans="2:22">
      <c r="B192" s="121"/>
      <c r="C192" s="121"/>
      <c r="D192" s="99"/>
      <c r="E192" s="270"/>
      <c r="F192" s="169"/>
      <c r="G192" s="271"/>
      <c r="H192" s="168"/>
      <c r="I192" s="271"/>
      <c r="J192" s="272"/>
      <c r="K192" s="140"/>
      <c r="L192" s="169"/>
      <c r="M192" s="140"/>
      <c r="N192" s="140"/>
      <c r="O192" s="99"/>
      <c r="U192" s="221"/>
      <c r="V192" s="221"/>
    </row>
    <row r="193" spans="2:23">
      <c r="B193" s="121"/>
      <c r="C193" s="121"/>
      <c r="D193" s="99"/>
      <c r="E193" s="270"/>
      <c r="F193" s="169"/>
      <c r="G193" s="271"/>
      <c r="H193" s="168"/>
      <c r="I193" s="271"/>
      <c r="J193" s="272"/>
      <c r="K193" s="140"/>
      <c r="L193" s="169"/>
      <c r="M193" s="140"/>
      <c r="N193" s="140"/>
      <c r="O193" s="99"/>
    </row>
    <row r="194" spans="2:23">
      <c r="B194" s="121"/>
      <c r="C194" s="121"/>
      <c r="D194" s="99"/>
      <c r="E194" s="270"/>
      <c r="F194" s="99"/>
      <c r="G194" s="99"/>
      <c r="H194" s="99"/>
      <c r="I194" s="99"/>
      <c r="J194" s="99"/>
      <c r="K194" s="530"/>
      <c r="L194" s="530"/>
      <c r="M194" s="530"/>
      <c r="N194" s="530"/>
      <c r="O194" s="99"/>
      <c r="U194" s="221"/>
    </row>
    <row r="195" spans="2:23">
      <c r="B195" s="121"/>
      <c r="C195" s="121"/>
      <c r="D195" s="99"/>
      <c r="E195" s="270"/>
      <c r="F195" s="99"/>
      <c r="G195" s="99"/>
      <c r="H195" s="99"/>
      <c r="I195" s="99"/>
      <c r="J195" s="99"/>
      <c r="K195" s="530"/>
      <c r="L195" s="530"/>
      <c r="M195" s="530"/>
      <c r="N195" s="530"/>
      <c r="O195" s="99"/>
      <c r="U195" s="221"/>
      <c r="V195" s="221"/>
    </row>
    <row r="196" spans="2:23">
      <c r="B196" s="121"/>
      <c r="C196" s="121"/>
      <c r="D196" s="99"/>
      <c r="E196" s="270"/>
      <c r="F196" s="169"/>
      <c r="G196" s="271"/>
      <c r="H196" s="168"/>
      <c r="I196" s="271"/>
      <c r="J196" s="272"/>
      <c r="K196" s="140"/>
      <c r="L196" s="169"/>
      <c r="M196" s="140"/>
      <c r="N196" s="140"/>
      <c r="O196" s="99"/>
      <c r="U196" s="221"/>
      <c r="V196" s="221"/>
    </row>
    <row r="197" spans="2:23">
      <c r="B197" s="121"/>
      <c r="C197" s="121"/>
      <c r="D197" s="99"/>
      <c r="E197" s="270"/>
      <c r="F197" s="169"/>
      <c r="G197" s="271"/>
      <c r="H197" s="168"/>
      <c r="I197" s="271"/>
      <c r="J197" s="272"/>
      <c r="K197" s="140"/>
      <c r="L197" s="169"/>
      <c r="M197" s="140"/>
      <c r="N197" s="140"/>
      <c r="O197" s="99"/>
      <c r="U197" s="12"/>
      <c r="V197" s="12"/>
    </row>
    <row r="198" spans="2:23">
      <c r="B198" s="121"/>
      <c r="C198" s="121"/>
      <c r="D198" s="99"/>
      <c r="E198" s="270"/>
      <c r="F198" s="99"/>
      <c r="G198" s="99"/>
      <c r="H198" s="99"/>
      <c r="I198" s="99"/>
      <c r="J198" s="99"/>
      <c r="K198" s="530"/>
      <c r="L198" s="169"/>
      <c r="M198" s="530"/>
      <c r="N198" s="140"/>
      <c r="O198" s="99"/>
      <c r="U198" s="221"/>
    </row>
    <row r="199" spans="2:23">
      <c r="B199" s="121"/>
      <c r="C199" s="121"/>
      <c r="D199" s="99"/>
      <c r="E199" s="270"/>
      <c r="F199" s="99"/>
      <c r="G199" s="99"/>
      <c r="H199" s="99"/>
      <c r="I199" s="99"/>
      <c r="J199" s="99"/>
      <c r="K199" s="530"/>
      <c r="L199" s="530"/>
      <c r="M199" s="530"/>
      <c r="N199" s="530"/>
      <c r="O199" s="99"/>
      <c r="U199" s="221"/>
      <c r="V199" s="12"/>
    </row>
    <row r="200" spans="2:23">
      <c r="B200" s="121"/>
      <c r="C200" s="121"/>
      <c r="D200" s="99"/>
      <c r="E200" s="270"/>
      <c r="F200" s="169"/>
      <c r="G200" s="271"/>
      <c r="H200" s="168"/>
      <c r="I200" s="271"/>
      <c r="J200" s="272"/>
      <c r="K200" s="140"/>
      <c r="L200" s="169"/>
      <c r="M200" s="140"/>
      <c r="N200" s="140"/>
      <c r="O200" s="99"/>
      <c r="U200" s="12"/>
      <c r="V200" s="12"/>
    </row>
    <row r="201" spans="2:23">
      <c r="B201" s="121"/>
      <c r="C201" s="121"/>
      <c r="D201" s="99"/>
      <c r="E201" s="531"/>
      <c r="F201" s="99"/>
      <c r="G201" s="99"/>
      <c r="H201" s="99"/>
      <c r="I201" s="99"/>
      <c r="J201" s="99"/>
      <c r="K201" s="530"/>
      <c r="L201" s="169"/>
      <c r="M201" s="530"/>
      <c r="N201" s="140"/>
      <c r="O201" s="99"/>
      <c r="U201" s="221"/>
    </row>
    <row r="202" spans="2:23">
      <c r="B202" s="121"/>
      <c r="C202" s="121"/>
      <c r="D202" s="99"/>
      <c r="E202" s="531"/>
      <c r="F202" s="169"/>
      <c r="G202" s="99"/>
      <c r="H202" s="168"/>
      <c r="I202" s="99"/>
      <c r="J202" s="99"/>
      <c r="K202" s="530"/>
      <c r="L202" s="169"/>
      <c r="M202" s="530"/>
      <c r="N202" s="140"/>
      <c r="O202" s="99"/>
      <c r="U202" s="221"/>
      <c r="V202" s="12"/>
    </row>
    <row r="203" spans="2:23">
      <c r="B203" s="121"/>
      <c r="C203" s="121"/>
      <c r="D203" s="99"/>
      <c r="E203" s="531"/>
      <c r="F203" s="169"/>
      <c r="G203" s="99"/>
      <c r="H203" s="168"/>
      <c r="I203" s="99"/>
      <c r="J203" s="99"/>
      <c r="K203" s="530"/>
      <c r="L203" s="169"/>
      <c r="M203" s="530"/>
      <c r="N203" s="140"/>
      <c r="O203" s="99"/>
      <c r="U203" s="221"/>
      <c r="V203" s="12"/>
    </row>
    <row r="204" spans="2:23">
      <c r="E204" s="279"/>
      <c r="F204" s="169"/>
      <c r="G204" s="99"/>
      <c r="H204" s="168"/>
      <c r="I204" s="99"/>
      <c r="J204" s="99"/>
      <c r="K204" s="530"/>
      <c r="L204" s="169"/>
      <c r="M204" s="530"/>
      <c r="N204" s="140"/>
      <c r="O204" s="99"/>
    </row>
    <row r="205" spans="2:23">
      <c r="W205" s="2" t="str">
        <f>IF(COUNTIF($T$6:$T104, $T104)&gt;1, "Duplicate", "")</f>
        <v/>
      </c>
    </row>
    <row r="206" spans="2:23">
      <c r="W206" s="2" t="str">
        <f>IF(COUNTIF($T$6:$T105, $T105)&gt;1, "Duplicate", "")</f>
        <v/>
      </c>
    </row>
    <row r="207" spans="2:23">
      <c r="W207" s="2" t="str">
        <f>IF(COUNTIF($T$6:$T106, $T106)&gt;1, "Duplicate", "")</f>
        <v/>
      </c>
    </row>
    <row r="208" spans="2:23">
      <c r="W208" s="2" t="str">
        <f>IF(COUNTIF($T$6:$T107, $T107)&gt;1, "Duplicate", "")</f>
        <v/>
      </c>
    </row>
    <row r="210" spans="23:23">
      <c r="W210" s="2" t="str">
        <f>IF(COUNTIF($T$6:$T108, $T108)&gt;1, "Duplicate", "")</f>
        <v/>
      </c>
    </row>
    <row r="211" spans="23:23">
      <c r="W211" s="2" t="str">
        <f>IF(COUNTIF($T$6:$T109, $T109)&gt;1, "Duplicate", "")</f>
        <v/>
      </c>
    </row>
    <row r="213" spans="23:23">
      <c r="W213" s="2" t="str">
        <f>IF(COUNTIF($T$6:$T110, $T110)&gt;1, "Duplicate", "")</f>
        <v/>
      </c>
    </row>
    <row r="215" spans="23:23">
      <c r="W215" s="2" t="str">
        <f>IF(COUNTIF($T$6:$T111, $T111)&gt;1, "Duplicate", "")</f>
        <v/>
      </c>
    </row>
    <row r="216" spans="23:23">
      <c r="W216" s="2" t="str">
        <f>IF(COUNTIF($T$6:$T112, $T112)&gt;1, "Duplicate", "")</f>
        <v/>
      </c>
    </row>
    <row r="224" spans="23:23">
      <c r="W224" s="2" t="str">
        <f>IF(COUNTIF($T$6:$T113, $T113)&gt;1, "Duplicate", "")</f>
        <v/>
      </c>
    </row>
    <row r="225" spans="23:23">
      <c r="W225" s="2" t="str">
        <f>IF(COUNTIF($T$6:$T114, $T114)&gt;1, "Duplicate", "")</f>
        <v/>
      </c>
    </row>
    <row r="230" spans="23:23">
      <c r="W230" s="2" t="str">
        <f>IF(COUNTIF($T$6:$T115, $T115)&gt;1, "Duplicate", "")</f>
        <v/>
      </c>
    </row>
    <row r="232" spans="23:23">
      <c r="W232" s="2" t="str">
        <f>IF(COUNTIF($T$6:$T116, $T116)&gt;1, "Duplicate", "")</f>
        <v/>
      </c>
    </row>
    <row r="233" spans="23:23">
      <c r="W233" s="2" t="str">
        <f>IF(COUNTIF($T$6:$T117, $T117)&gt;1, "Duplicate", "")</f>
        <v/>
      </c>
    </row>
    <row r="234" spans="23:23">
      <c r="W234" s="2" t="str">
        <f>IF(COUNTIF($T$6:$T118, $T118)&gt;1, "Duplicate", "")</f>
        <v/>
      </c>
    </row>
    <row r="235" spans="23:23">
      <c r="W235" s="2" t="str">
        <f>IF(COUNTIF($T$6:$T119, $T119)&gt;1, "Duplicate", "")</f>
        <v/>
      </c>
    </row>
    <row r="238" spans="23:23">
      <c r="W238" s="2" t="str">
        <f>IF(COUNTIF($T$6:$T120, $T120)&gt;1, "Duplicate", "")</f>
        <v/>
      </c>
    </row>
    <row r="243" spans="23:23">
      <c r="W243" s="2" t="str">
        <f>IF(COUNTIF($T$6:$T121, $T121)&gt;1, "Duplicate", "")</f>
        <v/>
      </c>
    </row>
    <row r="246" spans="23:23">
      <c r="W246" s="2" t="str">
        <f>IF(COUNTIF($T$6:$T122, $T122)&gt;1, "Duplicate", "")</f>
        <v/>
      </c>
    </row>
    <row r="247" spans="23:23">
      <c r="W247" s="2" t="str">
        <f>IF(COUNTIF($T$6:$T123, $T123)&gt;1, "Duplicate", "")</f>
        <v/>
      </c>
    </row>
    <row r="248" spans="23:23">
      <c r="W248" s="2" t="str">
        <f>IF(COUNTIF($T$6:$T124, $T124)&gt;1, "Duplicate", "")</f>
        <v/>
      </c>
    </row>
    <row r="250" spans="23:23">
      <c r="W250" s="2" t="str">
        <f>IF(COUNTIF($T$6:$T125, $T125)&gt;1, "Duplicate", "")</f>
        <v/>
      </c>
    </row>
    <row r="251" spans="23:23">
      <c r="W251" s="2" t="str">
        <f>IF(COUNTIF($T$6:$T126, $T126)&gt;1, "Duplicate", "")</f>
        <v/>
      </c>
    </row>
    <row r="253" spans="23:23">
      <c r="W253" s="2" t="str">
        <f>IF(COUNTIF($T$6:$T127, $T127)&gt;1, "Duplicate", "")</f>
        <v/>
      </c>
    </row>
    <row r="254" spans="23:23">
      <c r="W254" s="2" t="str">
        <f>IF(COUNTIF($T$6:$T128, $T128)&gt;1, "Duplicate", "")</f>
        <v/>
      </c>
    </row>
    <row r="256" spans="23:23">
      <c r="W256" s="2" t="str">
        <f>IF(COUNTIF($T$6:$T129, $T129)&gt;1, "Duplicate", "")</f>
        <v/>
      </c>
    </row>
    <row r="257" spans="23:23">
      <c r="W257" s="2" t="str">
        <f>IF(COUNTIF($T$6:$T130, $T130)&gt;1, "Duplicate", "")</f>
        <v/>
      </c>
    </row>
    <row r="266" spans="23:23">
      <c r="W266" s="2" t="str">
        <f>IF(COUNTIF($T$6:$T131, $T131)&gt;1, "Duplicate", "")</f>
        <v/>
      </c>
    </row>
    <row r="267" spans="23:23">
      <c r="W267" s="2" t="str">
        <f>IF(COUNTIF($T$6:$T132, $T132)&gt;1, "Duplicate", "")</f>
        <v/>
      </c>
    </row>
    <row r="270" spans="23:23">
      <c r="W270" s="2" t="str">
        <f>IF(COUNTIF($T$6:$T133, $T133)&gt;1, "Duplicate", "")</f>
        <v/>
      </c>
    </row>
    <row r="278" spans="23:23">
      <c r="W278" s="2" t="str">
        <f>IF(COUNTIF($T$6:$T134, $T134)&gt;1, "Duplicate", "")</f>
        <v/>
      </c>
    </row>
    <row r="280" spans="23:23">
      <c r="W280" s="2" t="str">
        <f>IF(COUNTIF($T$6:$T135, $T135)&gt;1, "Duplicate", "")</f>
        <v/>
      </c>
    </row>
    <row r="281" spans="23:23">
      <c r="W281" s="2" t="str">
        <f>IF(COUNTIF($T$6:$T136, $T136)&gt;1, "Duplicate", "")</f>
        <v/>
      </c>
    </row>
    <row r="282" spans="23:23">
      <c r="W282" s="2" t="str">
        <f>IF(COUNTIF($T$6:$T137, $T137)&gt;1, "Duplicate", "")</f>
        <v/>
      </c>
    </row>
    <row r="283" spans="23:23">
      <c r="W283" s="2" t="str">
        <f>IF(COUNTIF($T$6:$T138, $T138)&gt;1, "Duplicate", "")</f>
        <v/>
      </c>
    </row>
    <row r="286" spans="23:23">
      <c r="W286" s="2" t="str">
        <f>IF(COUNTIF($T$6:$T139, $T139)&gt;1, "Duplicate", "")</f>
        <v/>
      </c>
    </row>
    <row r="287" spans="23:23">
      <c r="W287" s="2" t="str">
        <f>IF(COUNTIF($T$6:$T140, $T140)&gt;1, "Duplicate", "")</f>
        <v/>
      </c>
    </row>
    <row r="288" spans="23:23">
      <c r="W288" s="2" t="str">
        <f>IF(COUNTIF($T$6:$T141, $T141)&gt;1, "Duplicate", "")</f>
        <v/>
      </c>
    </row>
    <row r="290" spans="23:23">
      <c r="W290" s="2" t="str">
        <f>IF(COUNTIF($T$6:$T142, $T142)&gt;1, "Duplicate", "")</f>
        <v/>
      </c>
    </row>
    <row r="292" spans="23:23">
      <c r="W292" s="2" t="str">
        <f>IF(COUNTIF($T$6:$T143, $T143)&gt;1, "Duplicate", "")</f>
        <v/>
      </c>
    </row>
    <row r="293" spans="23:23">
      <c r="W293" s="2" t="str">
        <f>IF(COUNTIF($T$6:$T144, $T144)&gt;1, "Duplicate", "")</f>
        <v/>
      </c>
    </row>
    <row r="294" spans="23:23">
      <c r="W294" s="2" t="str">
        <f>IF(COUNTIF($T$6:$T145, $T145)&gt;1, "Duplicate", "")</f>
        <v/>
      </c>
    </row>
    <row r="299" spans="23:23">
      <c r="W299" s="2" t="str">
        <f>IF(COUNTIF($T$6:$T146, $T146)&gt;1, "Duplicate", "")</f>
        <v/>
      </c>
    </row>
    <row r="300" spans="23:23">
      <c r="W300" s="2" t="str">
        <f>IF(COUNTIF($T$6:$T147, $T147)&gt;1, "Duplicate", "")</f>
        <v/>
      </c>
    </row>
    <row r="303" spans="23:23">
      <c r="W303" s="2" t="str">
        <f>IF(COUNTIF($T$6:$T148, $T148)&gt;1, "Duplicate", "")</f>
        <v/>
      </c>
    </row>
    <row r="304" spans="23:23">
      <c r="W304" s="2" t="str">
        <f>IF(COUNTIF($T$6:$T149, $T149)&gt;1, "Duplicate", "")</f>
        <v/>
      </c>
    </row>
    <row r="307" spans="23:23">
      <c r="W307" s="2" t="str">
        <f>IF(COUNTIF($T$6:$T150, $T150)&gt;1, "Duplicate", "")</f>
        <v/>
      </c>
    </row>
    <row r="308" spans="23:23">
      <c r="W308" s="2" t="str">
        <f>IF(COUNTIF($T$6:$T151, $T151)&gt;1, "Duplicate", "")</f>
        <v/>
      </c>
    </row>
    <row r="312" spans="23:23">
      <c r="W312" s="2" t="str">
        <f>IF(COUNTIF($T$6:$T152, $T152)&gt;1, "Duplicate", "")</f>
        <v/>
      </c>
    </row>
    <row r="314" spans="23:23">
      <c r="W314" s="2" t="str">
        <f>IF(COUNTIF($T$6:$T153, $T153)&gt;1, "Duplicate", "")</f>
        <v/>
      </c>
    </row>
    <row r="315" spans="23:23">
      <c r="W315" s="2" t="str">
        <f>IF(COUNTIF($T$6:$T154, $T154)&gt;1, "Duplicate", "")</f>
        <v/>
      </c>
    </row>
    <row r="318" spans="23:23">
      <c r="W318" s="2" t="str">
        <f>IF(COUNTIF($T$6:$T155, $T155)&gt;1, "Duplicate", "")</f>
        <v/>
      </c>
    </row>
    <row r="319" spans="23:23">
      <c r="W319" s="2" t="str">
        <f>IF(COUNTIF($T$6:$T156, $T156)&gt;1, "Duplicate", "")</f>
        <v/>
      </c>
    </row>
    <row r="320" spans="23:23">
      <c r="W320" s="2" t="str">
        <f>IF(COUNTIF($T$6:$T157, $T157)&gt;1, "Duplicate", "")</f>
        <v/>
      </c>
    </row>
    <row r="321" spans="23:23">
      <c r="W321" s="2" t="str">
        <f>IF(COUNTIF($T$6:$T158, $T158)&gt;1, "Duplicate", "")</f>
        <v/>
      </c>
    </row>
    <row r="324" spans="23:23">
      <c r="W324" s="2" t="str">
        <f>IF(COUNTIF($T$6:$T159, $T159)&gt;1, "Duplicate", "")</f>
        <v/>
      </c>
    </row>
    <row r="325" spans="23:23">
      <c r="W325" s="2" t="str">
        <f>IF(COUNTIF($T$6:$T160, $T160)&gt;1, "Duplicate", "")</f>
        <v/>
      </c>
    </row>
    <row r="326" spans="23:23">
      <c r="W326" s="2" t="str">
        <f>IF(COUNTIF($T$6:$T161, $T161)&gt;1, "Duplicate", "")</f>
        <v/>
      </c>
    </row>
    <row r="330" spans="23:23">
      <c r="W330" s="2" t="str">
        <f>IF(COUNTIF($T$6:$T162, $T162)&gt;1, "Duplicate", "")</f>
        <v/>
      </c>
    </row>
    <row r="331" spans="23:23">
      <c r="W331" s="2" t="str">
        <f>IF(COUNTIF($T$6:$T163, $T163)&gt;1, "Duplicate", "")</f>
        <v/>
      </c>
    </row>
    <row r="333" spans="23:23">
      <c r="W333" s="2" t="str">
        <f>IF(COUNTIF($T$6:$T164, $T164)&gt;1, "Duplicate", "")</f>
        <v/>
      </c>
    </row>
    <row r="334" spans="23:23">
      <c r="W334" s="2" t="str">
        <f>IF(COUNTIF($T$6:$T165, $T165)&gt;1, "Duplicate", "")</f>
        <v/>
      </c>
    </row>
    <row r="335" spans="23:23">
      <c r="W335" s="2" t="str">
        <f>IF(COUNTIF($T$6:$T166, $T166)&gt;1, "Duplicate", "")</f>
        <v/>
      </c>
    </row>
    <row r="336" spans="23:23">
      <c r="W336" s="2" t="str">
        <f>IF(COUNTIF($T$6:$T167, $T167)&gt;1, "Duplicate", "")</f>
        <v/>
      </c>
    </row>
    <row r="337" spans="23:23">
      <c r="W337" s="2" t="str">
        <f>IF(COUNTIF($T$6:$T168, $T168)&gt;1, "Duplicate", "")</f>
        <v/>
      </c>
    </row>
    <row r="338" spans="23:23">
      <c r="W338" s="2" t="str">
        <f>IF(COUNTIF($T$6:$T169, $T169)&gt;1, "Duplicate", "")</f>
        <v/>
      </c>
    </row>
    <row r="339" spans="23:23">
      <c r="W339" s="2" t="str">
        <f>IF(COUNTIF($T$6:$T170, $T170)&gt;1, "Duplicate", "")</f>
        <v/>
      </c>
    </row>
    <row r="343" spans="23:23">
      <c r="W343" s="2" t="str">
        <f>IF(COUNTIF($T$6:$T171, $T171)&gt;1, "Duplicate", "")</f>
        <v/>
      </c>
    </row>
    <row r="344" spans="23:23">
      <c r="W344" s="2" t="str">
        <f>IF(COUNTIF($T$6:$T172, $T172)&gt;1, "Duplicate", "")</f>
        <v/>
      </c>
    </row>
    <row r="346" spans="23:23">
      <c r="W346" s="2" t="str">
        <f>IF(COUNTIF($T$6:$T173, $T173)&gt;1, "Duplicate", "")</f>
        <v/>
      </c>
    </row>
    <row r="348" spans="23:23">
      <c r="W348" s="2" t="str">
        <f>IF(COUNTIF($T$6:$T174, $T174)&gt;1, "Duplicate", "")</f>
        <v/>
      </c>
    </row>
    <row r="349" spans="23:23">
      <c r="W349" s="2" t="str">
        <f>IF(COUNTIF($T$6:$T175, $T175)&gt;1, "Duplicate", "")</f>
        <v/>
      </c>
    </row>
    <row r="351" spans="23:23">
      <c r="W351" s="2" t="str">
        <f>IF(COUNTIF($T$6:$T176, $T176)&gt;1, "Duplicate", "")</f>
        <v/>
      </c>
    </row>
    <row r="352" spans="23:23">
      <c r="W352" s="2" t="str">
        <f>IF(COUNTIF($T$6:$T177, $T177)&gt;1, "Duplicate", "")</f>
        <v/>
      </c>
    </row>
    <row r="354" spans="23:23">
      <c r="W354" s="2" t="str">
        <f>IF(COUNTIF($T$6:$T178, $T178)&gt;1, "Duplicate", "")</f>
        <v/>
      </c>
    </row>
    <row r="357" spans="23:23">
      <c r="W357" s="2" t="str">
        <f>IF(COUNTIF($T$6:$T179, $T179)&gt;1, "Duplicate", "")</f>
        <v/>
      </c>
    </row>
    <row r="359" spans="23:23">
      <c r="W359" s="2" t="str">
        <f>IF(COUNTIF($T$6:$T180, $T180)&gt;1, "Duplicate", "")</f>
        <v/>
      </c>
    </row>
    <row r="361" spans="23:23">
      <c r="W361" s="2" t="str">
        <f>IF(COUNTIF($T$6:$T181, $T181)&gt;1, "Duplicate", "")</f>
        <v/>
      </c>
    </row>
    <row r="362" spans="23:23">
      <c r="W362" s="2" t="str">
        <f>IF(COUNTIF($T$6:$T182, $T182)&gt;1, "Duplicate", "")</f>
        <v/>
      </c>
    </row>
    <row r="364" spans="23:23">
      <c r="W364" s="2" t="str">
        <f>IF(COUNTIF($T$6:$T183, $T183)&gt;1, "Duplicate", "")</f>
        <v/>
      </c>
    </row>
    <row r="365" spans="23:23">
      <c r="W365" s="2" t="str">
        <f>IF(COUNTIF($T$6:$T184, $T184)&gt;1, "Duplicate", "")</f>
        <v/>
      </c>
    </row>
    <row r="366" spans="23:23">
      <c r="W366" s="2" t="str">
        <f>IF(COUNTIF($T$6:$T185, $T185)&gt;1, "Duplicate", "")</f>
        <v/>
      </c>
    </row>
    <row r="367" spans="23:23">
      <c r="W367" s="2" t="str">
        <f>IF(COUNTIF($T$6:$T186, $T186)&gt;1, "Duplicate", "")</f>
        <v/>
      </c>
    </row>
    <row r="368" spans="23:23">
      <c r="W368" s="2" t="str">
        <f>IF(COUNTIF($T$6:$T187, $T187)&gt;1, "Duplicate", "")</f>
        <v/>
      </c>
    </row>
    <row r="369" spans="23:23">
      <c r="W369" s="2" t="str">
        <f>IF(COUNTIF($T$6:$T188, $T188)&gt;1, "Duplicate", "")</f>
        <v/>
      </c>
    </row>
    <row r="370" spans="23:23">
      <c r="W370" s="2" t="str">
        <f>IF(COUNTIF($T$6:$T189, $T189)&gt;1, "Duplicate", "")</f>
        <v/>
      </c>
    </row>
    <row r="371" spans="23:23">
      <c r="W371" s="2" t="str">
        <f>IF(COUNTIF($T$6:$T190, $T190)&gt;1, "Duplicate", "")</f>
        <v/>
      </c>
    </row>
    <row r="372" spans="23:23">
      <c r="W372" s="2" t="str">
        <f>IF(COUNTIF($T$6:$T191, $T191)&gt;1, "Duplicate", "")</f>
        <v/>
      </c>
    </row>
    <row r="373" spans="23:23">
      <c r="W373" s="2" t="str">
        <f>IF(COUNTIF($T$6:$T192, $T192)&gt;1, "Duplicate", "")</f>
        <v/>
      </c>
    </row>
    <row r="375" spans="23:23">
      <c r="W375" s="2" t="str">
        <f>IF(COUNTIF($T$6:$T193, $T193)&gt;1, "Duplicate", "")</f>
        <v/>
      </c>
    </row>
    <row r="376" spans="23:23">
      <c r="W376" s="2" t="str">
        <f>IF(COUNTIF($T$6:$T194, $T194)&gt;1, "Duplicate", "")</f>
        <v/>
      </c>
    </row>
    <row r="379" spans="23:23">
      <c r="W379" s="2" t="str">
        <f>IF(COUNTIF($T$6:$T195, $T195)&gt;1, "Duplicate", "")</f>
        <v/>
      </c>
    </row>
    <row r="380" spans="23:23">
      <c r="W380" s="2" t="str">
        <f>IF(COUNTIF($T$6:$T196, $T196)&gt;1, "Duplicate", "")</f>
        <v/>
      </c>
    </row>
    <row r="381" spans="23:23">
      <c r="W381" s="2" t="str">
        <f>IF(COUNTIF($T$6:$T197, $T197)&gt;1, "Duplicate", "")</f>
        <v/>
      </c>
    </row>
    <row r="382" spans="23:23">
      <c r="W382" s="2" t="str">
        <f>IF(COUNTIF($T$6:$T198, $T198)&gt;1, "Duplicate", "")</f>
        <v/>
      </c>
    </row>
    <row r="384" spans="23:23">
      <c r="W384" s="2" t="str">
        <f>IF(COUNTIF($T$6:$T199, $T199)&gt;1, "Duplicate", "")</f>
        <v/>
      </c>
    </row>
    <row r="385" spans="23:23">
      <c r="W385" s="2" t="str">
        <f>IF(COUNTIF($T$6:$T200, $T200)&gt;1, "Duplicate", "")</f>
        <v/>
      </c>
    </row>
    <row r="386" spans="23:23">
      <c r="W386" s="2" t="str">
        <f>IF(COUNTIF($T$6:$T201, $T201)&gt;1, "Duplicate", "")</f>
        <v/>
      </c>
    </row>
    <row r="389" spans="23:23">
      <c r="W389" s="2" t="str">
        <f>IF(COUNTIF($T$6:$T202, $T202)&gt;1, "Duplicate", "")</f>
        <v/>
      </c>
    </row>
    <row r="392" spans="23:23">
      <c r="W392" s="2" t="str">
        <f>IF(COUNTIF($T$6:$T203, $T203)&gt;1, "Duplicate", "")</f>
        <v/>
      </c>
    </row>
    <row r="393" spans="23:23">
      <c r="W393" s="2" t="str">
        <f>IF(COUNTIF($T$6:$T204, $T204)&gt;1, "Duplicate", "")</f>
        <v/>
      </c>
    </row>
    <row r="394" spans="23:23">
      <c r="W394" s="2" t="str">
        <f>IF(COUNTIF($T$6:$T205, $T205)&gt;1, "Duplicate", "")</f>
        <v/>
      </c>
    </row>
    <row r="396" spans="23:23">
      <c r="W396" s="2" t="str">
        <f>IF(COUNTIF($T$6:$T206, $T206)&gt;1, "Duplicate", "")</f>
        <v/>
      </c>
    </row>
    <row r="401" spans="23:23">
      <c r="W401" s="2" t="str">
        <f>IF(COUNTIF($T$6:$T207, $T207)&gt;1, "Duplicate", "")</f>
        <v/>
      </c>
    </row>
    <row r="403" spans="23:23">
      <c r="W403" s="2" t="str">
        <f>IF(COUNTIF($T$6:$T208, $T208)&gt;1, "Duplicate", "")</f>
        <v/>
      </c>
    </row>
    <row r="404" spans="23:23">
      <c r="W404" s="2" t="str">
        <f>IF(COUNTIF($T$6:$T209, $T209)&gt;1, "Duplicate", "")</f>
        <v/>
      </c>
    </row>
    <row r="406" spans="23:23">
      <c r="W406" s="2" t="str">
        <f>IF(COUNTIF($T$6:$T210, $T210)&gt;1, "Duplicate", "")</f>
        <v/>
      </c>
    </row>
    <row r="407" spans="23:23">
      <c r="W407" s="2" t="str">
        <f>IF(COUNTIF($T$6:$T211, $T211)&gt;1, "Duplicate", "")</f>
        <v/>
      </c>
    </row>
    <row r="408" spans="23:23">
      <c r="W408" s="2" t="str">
        <f>IF(COUNTIF($T$6:$T212, $T212)&gt;1, "Duplicate", "")</f>
        <v/>
      </c>
    </row>
    <row r="409" spans="23:23">
      <c r="W409" s="2" t="str">
        <f>IF(COUNTIF($T$6:$T213, $T213)&gt;1, "Duplicate", "")</f>
        <v/>
      </c>
    </row>
    <row r="411" spans="23:23">
      <c r="W411" s="2" t="str">
        <f>IF(COUNTIF($T$6:$T214, $T214)&gt;1, "Duplicate", "")</f>
        <v/>
      </c>
    </row>
    <row r="412" spans="23:23">
      <c r="W412" s="2" t="str">
        <f>IF(COUNTIF($T$6:$T215, $T215)&gt;1, "Duplicate", "")</f>
        <v/>
      </c>
    </row>
    <row r="414" spans="23:23">
      <c r="W414" s="2" t="str">
        <f>IF(COUNTIF($T$6:$T216, $T216)&gt;1, "Duplicate", "")</f>
        <v/>
      </c>
    </row>
    <row r="418" spans="23:23">
      <c r="W418" s="2" t="str">
        <f>IF(COUNTIF($T$6:$T217, $T217)&gt;1, "Duplicate", "")</f>
        <v/>
      </c>
    </row>
    <row r="424" spans="23:23">
      <c r="W424" s="2" t="str">
        <f>IF(COUNTIF($T$6:$T218, $T218)&gt;1, "Duplicate", "")</f>
        <v/>
      </c>
    </row>
    <row r="426" spans="23:23">
      <c r="W426" s="2" t="str">
        <f>IF(COUNTIF($T$6:$T219, $T219)&gt;1, "Duplicate", "")</f>
        <v/>
      </c>
    </row>
    <row r="429" spans="23:23">
      <c r="W429" s="2" t="str">
        <f>IF(COUNTIF($T$6:$T220, $T220)&gt;1, "Duplicate", "")</f>
        <v/>
      </c>
    </row>
    <row r="430" spans="23:23">
      <c r="W430" s="2" t="str">
        <f>IF(COUNTIF($T$6:$T221, $T221)&gt;1, "Duplicate", "")</f>
        <v/>
      </c>
    </row>
    <row r="431" spans="23:23">
      <c r="W431" s="2" t="str">
        <f>IF(COUNTIF($T$6:$T222, $T222)&gt;1, "Duplicate", "")</f>
        <v/>
      </c>
    </row>
    <row r="433" spans="23:23">
      <c r="W433" s="2" t="str">
        <f>IF(COUNTIF($T$6:$T223, $T223)&gt;1, "Duplicate", "")</f>
        <v/>
      </c>
    </row>
    <row r="434" spans="23:23">
      <c r="W434" s="2" t="str">
        <f>IF(COUNTIF($T$6:$T224, $T224)&gt;1, "Duplicate", "")</f>
        <v/>
      </c>
    </row>
    <row r="439" spans="23:23">
      <c r="W439" s="2" t="str">
        <f>IF(COUNTIF($T$6:$T225, $T225)&gt;1, "Duplicate", "")</f>
        <v/>
      </c>
    </row>
    <row r="440" spans="23:23">
      <c r="W440" s="2" t="str">
        <f>IF(COUNTIF($T$6:$T226, $T226)&gt;1, "Duplicate", "")</f>
        <v/>
      </c>
    </row>
    <row r="442" spans="23:23">
      <c r="W442" s="2" t="str">
        <f>IF(COUNTIF($T$6:$T227, $T227)&gt;1, "Duplicate", "")</f>
        <v/>
      </c>
    </row>
    <row r="443" spans="23:23">
      <c r="W443" s="2" t="str">
        <f>IF(COUNTIF($T$6:$T228, $T228)&gt;1, "Duplicate", "")</f>
        <v/>
      </c>
    </row>
    <row r="445" spans="23:23">
      <c r="W445" s="2" t="str">
        <f>IF(COUNTIF($T$6:$T229, $T229)&gt;1, "Duplicate", "")</f>
        <v/>
      </c>
    </row>
    <row r="447" spans="23:23">
      <c r="W447" s="2" t="str">
        <f>IF(COUNTIF($T$6:$T230, $T230)&gt;1, "Duplicate", "")</f>
        <v/>
      </c>
    </row>
    <row r="448" spans="23:23">
      <c r="W448" s="2" t="str">
        <f>IF(COUNTIF($T$6:$T231, $T231)&gt;1, "Duplicate", "")</f>
        <v/>
      </c>
    </row>
    <row r="451" spans="23:23">
      <c r="W451" s="2" t="str">
        <f>IF(COUNTIF($T$6:$T232, $T232)&gt;1, "Duplicate", "")</f>
        <v/>
      </c>
    </row>
    <row r="452" spans="23:23">
      <c r="W452" s="2" t="str">
        <f>IF(COUNTIF($T$6:$T233, $T233)&gt;1, "Duplicate", "")</f>
        <v/>
      </c>
    </row>
    <row r="454" spans="23:23">
      <c r="W454" s="2" t="str">
        <f>IF(COUNTIF($T$6:$T234, $T234)&gt;1, "Duplicate", "")</f>
        <v/>
      </c>
    </row>
    <row r="461" spans="23:23">
      <c r="W461" s="2" t="str">
        <f>IF(COUNTIF($T$6:$T235, $T235)&gt;1, "Duplicate", "")</f>
        <v/>
      </c>
    </row>
    <row r="462" spans="23:23">
      <c r="W462" s="2" t="str">
        <f>IF(COUNTIF($T$6:$T236, $T236)&gt;1, "Duplicate", "")</f>
        <v/>
      </c>
    </row>
    <row r="469" spans="23:23">
      <c r="W469" s="2" t="str">
        <f>IF(COUNTIF($T$6:$T237, $T237)&gt;1, "Duplicate", "")</f>
        <v/>
      </c>
    </row>
    <row r="470" spans="23:23">
      <c r="W470" s="2" t="str">
        <f>IF(COUNTIF($T$6:$T238, $T238)&gt;1, "Duplicate", "")</f>
        <v/>
      </c>
    </row>
    <row r="471" spans="23:23">
      <c r="W471" s="2" t="str">
        <f>IF(COUNTIF($T$6:$T239, $T239)&gt;1, "Duplicate", "")</f>
        <v/>
      </c>
    </row>
    <row r="474" spans="23:23">
      <c r="W474" s="2" t="str">
        <f>IF(COUNTIF($T$6:$T240, $T240)&gt;1, "Duplicate", "")</f>
        <v/>
      </c>
    </row>
    <row r="479" spans="23:23">
      <c r="W479" s="2" t="str">
        <f>IF(COUNTIF($T$6:$T241, $T241)&gt;1, "Duplicate", "")</f>
        <v/>
      </c>
    </row>
    <row r="480" spans="23:23">
      <c r="W480" s="2" t="str">
        <f>IF(COUNTIF($T$6:$T242, $T242)&gt;1, "Duplicate", "")</f>
        <v/>
      </c>
    </row>
    <row r="485" spans="23:23">
      <c r="W485" s="2" t="str">
        <f>IF(COUNTIF($T$6:$T243, $T243)&gt;1, "Duplicate", "")</f>
        <v/>
      </c>
    </row>
    <row r="486" spans="23:23">
      <c r="W486" s="2" t="str">
        <f>IF(COUNTIF($T$6:$T244, $T244)&gt;1, "Duplicate", "")</f>
        <v/>
      </c>
    </row>
    <row r="491" spans="23:23">
      <c r="W491" s="2" t="str">
        <f>IF(COUNTIF($T$6:$T245, $T245)&gt;1, "Duplicate", "")</f>
        <v/>
      </c>
    </row>
    <row r="500" spans="23:23">
      <c r="W500" s="2" t="str">
        <f>IF(COUNTIF($T$6:$T246, $T246)&gt;1, "Duplicate", "")</f>
        <v/>
      </c>
    </row>
    <row r="502" spans="23:23">
      <c r="W502" s="2" t="str">
        <f>IF(COUNTIF($T$6:$T247, $T247)&gt;1, "Duplicate", "")</f>
        <v/>
      </c>
    </row>
    <row r="503" spans="23:23">
      <c r="W503" s="2" t="str">
        <f>IF(COUNTIF($T$6:$T248, $T248)&gt;1, "Duplicate", "")</f>
        <v/>
      </c>
    </row>
    <row r="504" spans="23:23">
      <c r="W504" s="2" t="str">
        <f>IF(COUNTIF($T$6:$T249, $T249)&gt;1, "Duplicate", "")</f>
        <v/>
      </c>
    </row>
    <row r="516" spans="23:23">
      <c r="W516" s="2" t="str">
        <f>IF(COUNTIF($T$6:$T250, $T250)&gt;1, "Duplicate", "")</f>
        <v/>
      </c>
    </row>
    <row r="546" spans="23:23">
      <c r="W546" s="2" t="str">
        <f>IF(COUNTIF($T$6:$T251, $T251)&gt;1, "Duplicate", "")</f>
        <v/>
      </c>
    </row>
    <row r="549" spans="23:23">
      <c r="W549" s="2" t="str">
        <f>IF(COUNTIF($T$6:$T252, $T252)&gt;1, "Duplicate", "")</f>
        <v/>
      </c>
    </row>
    <row r="556" spans="23:23">
      <c r="W556" s="2" t="str">
        <f>IF(COUNTIF($T$6:$T253, $T253)&gt;1, "Duplicate", "")</f>
        <v/>
      </c>
    </row>
    <row r="561" spans="23:23">
      <c r="W561" s="2" t="str">
        <f>IF(COUNTIF($T$6:$T254, $T254)&gt;1, "Duplicate", "")</f>
        <v/>
      </c>
    </row>
    <row r="581" spans="23:23">
      <c r="W581" s="2" t="str">
        <f>IF(COUNTIF($T$6:$T255, $T255)&gt;1, "Duplicate", "")</f>
        <v/>
      </c>
    </row>
    <row r="622" spans="23:23">
      <c r="W622" s="2" t="str">
        <f>IF(COUNTIF($T$6:$T256, $T256)&gt;1, "Duplicate", "")</f>
        <v/>
      </c>
    </row>
    <row r="623" spans="23:23">
      <c r="W623" s="2" t="str">
        <f>IF(COUNTIF($T$6:$T257, $T257)&gt;1, "Duplicate", "")</f>
        <v/>
      </c>
    </row>
    <row r="624" spans="23:23">
      <c r="W624" s="2" t="str">
        <f>IF(COUNTIF($T$6:$T258, $T258)&gt;1, "Duplicate", "")</f>
        <v/>
      </c>
    </row>
    <row r="625" spans="23:23">
      <c r="W625" s="2" t="str">
        <f>IF(COUNTIF($T$6:$T259, $T259)&gt;1, "Duplicate", "")</f>
        <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P117"/>
  <sheetViews>
    <sheetView zoomScaleNormal="100" workbookViewId="0"/>
  </sheetViews>
  <sheetFormatPr defaultRowHeight="12"/>
  <cols>
    <col min="1" max="1" width="2" style="2" customWidth="1"/>
    <col min="2" max="2" width="27.5703125" style="2" bestFit="1" customWidth="1"/>
    <col min="3" max="3" width="19" style="2" bestFit="1" customWidth="1"/>
    <col min="4" max="4" width="6.85546875" style="2" customWidth="1"/>
    <col min="5" max="5" width="25.28515625" style="2" customWidth="1"/>
    <col min="6" max="6" width="12.7109375" style="2" customWidth="1"/>
    <col min="7" max="7" width="12.7109375" style="12" customWidth="1"/>
    <col min="8" max="10" width="12.7109375" style="2" customWidth="1"/>
    <col min="11" max="11" width="7.42578125" style="2" customWidth="1"/>
    <col min="12" max="12" width="18.42578125" style="2" customWidth="1"/>
    <col min="13" max="13" width="9" style="2" customWidth="1"/>
    <col min="14" max="14" width="12.140625" style="2" customWidth="1"/>
    <col min="15" max="15" width="9.7109375" style="2" customWidth="1"/>
    <col min="16" max="16384" width="9.140625" style="2"/>
  </cols>
  <sheetData>
    <row r="1" spans="2:16" ht="15.75">
      <c r="B1" s="15" t="s">
        <v>35</v>
      </c>
      <c r="E1" s="3"/>
      <c r="F1" s="3"/>
      <c r="G1" s="45"/>
      <c r="H1" s="3"/>
      <c r="I1" s="3"/>
      <c r="J1" s="3"/>
      <c r="K1" s="3"/>
      <c r="L1" s="3"/>
      <c r="M1" s="3"/>
      <c r="N1" s="3"/>
      <c r="O1" s="3"/>
      <c r="P1" s="3"/>
    </row>
    <row r="2" spans="2:16">
      <c r="M2" s="73"/>
      <c r="N2" s="73"/>
      <c r="O2" s="73"/>
      <c r="P2" s="73"/>
    </row>
    <row r="3" spans="2:16">
      <c r="B3" s="3" t="str">
        <f>"Sector of "&amp;Drivers!$C$10</f>
        <v>Sector of Costco Wholesale</v>
      </c>
      <c r="C3" s="54" t="str">
        <f>Drivers!C13</f>
        <v>Consumer Defensive</v>
      </c>
      <c r="D3" s="18"/>
      <c r="E3" s="285" t="s">
        <v>312</v>
      </c>
      <c r="F3" s="285" t="s">
        <v>314</v>
      </c>
      <c r="G3" s="286" t="s">
        <v>115</v>
      </c>
      <c r="H3" s="286" t="s">
        <v>116</v>
      </c>
      <c r="I3" s="286" t="s">
        <v>311</v>
      </c>
      <c r="J3" s="287"/>
      <c r="K3" s="164"/>
      <c r="L3" s="161"/>
      <c r="M3" s="73"/>
      <c r="N3" s="73"/>
      <c r="O3" s="73"/>
    </row>
    <row r="4" spans="2:16" ht="12.75" thickBot="1">
      <c r="B4" s="3" t="str">
        <f>"Industry of "&amp;Drivers!C10</f>
        <v>Industry of Costco Wholesale</v>
      </c>
      <c r="C4" s="128" t="str">
        <f>Drivers!C14</f>
        <v>Discount Stores</v>
      </c>
      <c r="D4" s="5"/>
      <c r="E4" s="291" t="s">
        <v>305</v>
      </c>
      <c r="F4" s="291"/>
      <c r="G4" s="292" t="s">
        <v>313</v>
      </c>
      <c r="H4" s="243"/>
      <c r="I4" s="291" t="s">
        <v>307</v>
      </c>
      <c r="J4" s="293" t="s">
        <v>114</v>
      </c>
      <c r="L4" s="161"/>
      <c r="M4" s="146"/>
      <c r="N4" s="47"/>
      <c r="O4" s="47"/>
    </row>
    <row r="5" spans="2:16">
      <c r="D5" s="5"/>
      <c r="E5" s="121" t="s">
        <v>589</v>
      </c>
      <c r="F5" s="289">
        <v>2.75E-2</v>
      </c>
      <c r="G5" s="290">
        <v>45413</v>
      </c>
      <c r="H5" s="99">
        <f ca="1">YEARFRAC(TODAY(),G5)</f>
        <v>0.9555555555555556</v>
      </c>
      <c r="I5" s="419">
        <v>1000</v>
      </c>
      <c r="J5" s="63">
        <f>I5/$I$11</f>
        <v>0.15124016938898971</v>
      </c>
      <c r="K5" s="230"/>
      <c r="L5" s="161"/>
      <c r="M5" s="99"/>
      <c r="N5" s="162"/>
      <c r="O5" s="162"/>
    </row>
    <row r="6" spans="2:16">
      <c r="B6" s="240" t="s">
        <v>137</v>
      </c>
      <c r="C6" s="306">
        <f>'Beta Calculation Data'!D34</f>
        <v>0.66500000000000004</v>
      </c>
      <c r="D6" s="20"/>
      <c r="E6" s="121" t="s">
        <v>589</v>
      </c>
      <c r="F6" s="289">
        <v>0.03</v>
      </c>
      <c r="G6" s="290">
        <v>46508</v>
      </c>
      <c r="H6" s="99">
        <f t="shared" ref="H6:H10" ca="1" si="0">YEARFRAC(TODAY(),G6)</f>
        <v>3.9555555555555557</v>
      </c>
      <c r="I6" s="419">
        <v>1000</v>
      </c>
      <c r="J6" s="63">
        <f t="shared" ref="J6:J10" si="1">I6/$I$11</f>
        <v>0.15124016938898971</v>
      </c>
      <c r="K6" s="200"/>
      <c r="L6" s="147"/>
      <c r="M6" s="99"/>
      <c r="N6" s="160"/>
      <c r="O6" s="160"/>
    </row>
    <row r="7" spans="2:16">
      <c r="B7" s="240" t="s">
        <v>138</v>
      </c>
      <c r="C7" s="306">
        <f>'Beta Calculation Data'!K34</f>
        <v>0.31024510890472862</v>
      </c>
      <c r="D7" s="5"/>
      <c r="E7" s="121" t="s">
        <v>589</v>
      </c>
      <c r="F7" s="289">
        <v>1.375E-2</v>
      </c>
      <c r="G7" s="290">
        <v>46539</v>
      </c>
      <c r="H7" s="99">
        <f t="shared" ca="1" si="0"/>
        <v>4.0388888888888888</v>
      </c>
      <c r="I7" s="419">
        <v>1250</v>
      </c>
      <c r="J7" s="63">
        <f t="shared" si="1"/>
        <v>0.18905021173623715</v>
      </c>
      <c r="K7" s="230"/>
      <c r="M7" s="99"/>
      <c r="N7" s="127"/>
      <c r="O7" s="127"/>
    </row>
    <row r="8" spans="2:16">
      <c r="B8" s="240" t="s">
        <v>144</v>
      </c>
      <c r="C8" s="257">
        <f>'Risk Free Rate &amp; ERP'!H15</f>
        <v>0.22012243552411767</v>
      </c>
      <c r="D8" s="5"/>
      <c r="E8" s="121" t="s">
        <v>589</v>
      </c>
      <c r="F8" s="289">
        <v>1.6E-2</v>
      </c>
      <c r="G8" s="290">
        <v>47574</v>
      </c>
      <c r="H8" s="99">
        <f t="shared" ca="1" si="0"/>
        <v>6.8722222222222218</v>
      </c>
      <c r="I8" s="419">
        <v>1750</v>
      </c>
      <c r="J8" s="63">
        <f t="shared" si="1"/>
        <v>0.26467029643073198</v>
      </c>
      <c r="L8" s="62"/>
      <c r="M8" s="99"/>
      <c r="N8" s="127"/>
      <c r="O8" s="127"/>
    </row>
    <row r="9" spans="2:16">
      <c r="B9" s="240" t="s">
        <v>107</v>
      </c>
      <c r="C9" s="306">
        <f>C6/(1+(C7*(1-C8)))</f>
        <v>0.5354469073723036</v>
      </c>
      <c r="D9" s="16"/>
      <c r="E9" s="121" t="s">
        <v>589</v>
      </c>
      <c r="F9" s="289">
        <v>1.7500000000000002E-2</v>
      </c>
      <c r="G9" s="290">
        <v>48305</v>
      </c>
      <c r="H9" s="99">
        <f t="shared" ca="1" si="0"/>
        <v>8.8722222222222218</v>
      </c>
      <c r="I9" s="419">
        <v>1000</v>
      </c>
      <c r="J9" s="63">
        <f t="shared" si="1"/>
        <v>0.15124016938898971</v>
      </c>
      <c r="L9" s="147"/>
      <c r="M9" s="99"/>
      <c r="N9" s="127"/>
      <c r="O9" s="127"/>
    </row>
    <row r="10" spans="2:16">
      <c r="B10" s="240" t="s">
        <v>139</v>
      </c>
      <c r="C10" s="257">
        <f>'Beta Calculation Data'!J34</f>
        <v>6.0470015033943586E-2</v>
      </c>
      <c r="D10" s="16"/>
      <c r="E10" s="121" t="s">
        <v>590</v>
      </c>
      <c r="F10" s="289">
        <v>0</v>
      </c>
      <c r="G10" s="290">
        <f ca="1">TODAY()</f>
        <v>45063</v>
      </c>
      <c r="H10" s="99">
        <f t="shared" ca="1" si="0"/>
        <v>0</v>
      </c>
      <c r="I10" s="419">
        <v>612</v>
      </c>
      <c r="J10" s="63">
        <f t="shared" si="1"/>
        <v>9.2558983666061703E-2</v>
      </c>
      <c r="L10" s="59"/>
      <c r="M10" s="99"/>
      <c r="N10" s="127"/>
      <c r="O10" s="127"/>
    </row>
    <row r="11" spans="2:16">
      <c r="B11" s="248" t="s">
        <v>273</v>
      </c>
      <c r="C11" s="308">
        <f>C9/(1-C10)</f>
        <v>0.56990933332654448</v>
      </c>
      <c r="D11" s="16"/>
      <c r="E11" s="294" t="s">
        <v>475</v>
      </c>
      <c r="F11" s="297">
        <f>SUMPRODUCT(F5:F10,$J$5:$J$10)</f>
        <v>1.8177177858439197E-2</v>
      </c>
      <c r="G11" s="295"/>
      <c r="H11" s="296">
        <f ca="1">SUMPRODUCT(H5:H10,$J$5:$J$10)</f>
        <v>4.6670195603952402</v>
      </c>
      <c r="I11" s="420">
        <f>SUM(I5:I10)</f>
        <v>6612</v>
      </c>
      <c r="J11" s="297">
        <f>SUM(J5:J10)</f>
        <v>1</v>
      </c>
      <c r="K11" s="229">
        <f>I11/$I$13</f>
        <v>0.72112553168284432</v>
      </c>
      <c r="L11" s="6"/>
      <c r="M11" s="99"/>
      <c r="N11" s="161"/>
      <c r="O11" s="161"/>
    </row>
    <row r="12" spans="2:16">
      <c r="D12" s="132"/>
      <c r="E12" s="121" t="s">
        <v>476</v>
      </c>
      <c r="F12" s="63"/>
      <c r="H12" s="99">
        <v>6</v>
      </c>
      <c r="I12" s="419">
        <v>2557</v>
      </c>
      <c r="J12" s="257"/>
      <c r="K12" s="229">
        <f>I12/$I$13</f>
        <v>0.27887446831715562</v>
      </c>
      <c r="L12" s="6"/>
      <c r="M12" s="99"/>
      <c r="N12" s="161"/>
      <c r="O12" s="161"/>
    </row>
    <row r="13" spans="2:16">
      <c r="B13" s="240" t="s">
        <v>39</v>
      </c>
      <c r="C13" s="415">
        <f>Drivers!C16*Drivers!C17</f>
        <v>222175.98429000002</v>
      </c>
      <c r="D13" s="5"/>
      <c r="E13" s="298" t="s">
        <v>117</v>
      </c>
      <c r="F13" s="300">
        <f>SUMPRODUCT(F11:F12,$K$11:$K$12)</f>
        <v>1.3108027047660592E-2</v>
      </c>
      <c r="G13" s="299"/>
      <c r="H13" s="301">
        <f ca="1">SUMPRODUCT(H11:H12,$K$11:$K$12)</f>
        <v>5.038753771767186</v>
      </c>
      <c r="I13" s="421">
        <f>I11+I12</f>
        <v>9169</v>
      </c>
      <c r="J13" s="300"/>
      <c r="K13" s="534">
        <f>SUM(K11:K12)</f>
        <v>1</v>
      </c>
    </row>
    <row r="14" spans="2:16">
      <c r="B14" s="240" t="s">
        <v>37</v>
      </c>
      <c r="C14" s="416">
        <f ca="1">F22+I12</f>
        <v>8554.2681890212934</v>
      </c>
      <c r="D14" s="5"/>
      <c r="L14" s="6"/>
      <c r="M14" s="99"/>
      <c r="N14" s="161"/>
      <c r="O14" s="161"/>
    </row>
    <row r="15" spans="2:16">
      <c r="B15" s="240" t="s">
        <v>140</v>
      </c>
      <c r="C15" s="307">
        <f ca="1">C14/C13</f>
        <v>3.8502218033861162E-2</v>
      </c>
      <c r="D15" s="5"/>
      <c r="E15" s="288" t="s">
        <v>37</v>
      </c>
      <c r="F15" s="285"/>
      <c r="L15" s="6"/>
      <c r="M15" s="99"/>
      <c r="N15" s="118"/>
      <c r="O15" s="118"/>
    </row>
    <row r="16" spans="2:16" ht="12.75" thickBot="1">
      <c r="B16" s="240" t="s">
        <v>265</v>
      </c>
      <c r="C16" s="257">
        <f ca="1">C15/(C15+1)</f>
        <v>3.7074757631962774E-2</v>
      </c>
      <c r="D16" s="5"/>
      <c r="E16" s="302" t="str">
        <f>"in mil "&amp;Drivers!C5</f>
        <v>in mil $</v>
      </c>
      <c r="F16" s="243"/>
      <c r="L16" s="6"/>
      <c r="M16" s="99"/>
      <c r="N16" s="141"/>
      <c r="O16" s="141"/>
    </row>
    <row r="17" spans="2:15">
      <c r="D17" s="20"/>
      <c r="E17" s="324" t="s">
        <v>162</v>
      </c>
      <c r="F17" s="417">
        <f>I11</f>
        <v>6612</v>
      </c>
      <c r="G17" s="150"/>
      <c r="K17" s="6"/>
      <c r="L17" s="6"/>
      <c r="M17" s="99"/>
      <c r="N17" s="127"/>
      <c r="O17" s="127"/>
    </row>
    <row r="18" spans="2:15">
      <c r="B18" s="309" t="s">
        <v>128</v>
      </c>
      <c r="C18" s="308">
        <f ca="1">C11*(1+(C15*(1-C8)))</f>
        <v>0.58702201001237264</v>
      </c>
      <c r="D18" s="5"/>
      <c r="E18" s="324" t="s">
        <v>294</v>
      </c>
      <c r="F18" s="417">
        <f>-'Income Statement'!G19</f>
        <v>158</v>
      </c>
      <c r="G18" s="150"/>
      <c r="L18" s="62"/>
      <c r="M18" s="99"/>
      <c r="N18" s="99"/>
      <c r="O18" s="99"/>
    </row>
    <row r="19" spans="2:15">
      <c r="D19" s="5"/>
      <c r="E19" s="324" t="s">
        <v>297</v>
      </c>
      <c r="F19" s="303">
        <f>'Cost of Equity, Debt &amp; WACC'!C16</f>
        <v>4.6515593583933167E-2</v>
      </c>
      <c r="G19" s="99"/>
      <c r="K19" s="6"/>
      <c r="L19" s="147"/>
      <c r="M19" s="99"/>
      <c r="N19" s="99"/>
      <c r="O19" s="99"/>
    </row>
    <row r="20" spans="2:15">
      <c r="D20" s="5"/>
      <c r="E20" s="324" t="s">
        <v>295</v>
      </c>
      <c r="F20" s="304">
        <f ca="1">H11</f>
        <v>4.6670195603952402</v>
      </c>
      <c r="K20" s="6"/>
      <c r="L20" s="147"/>
      <c r="M20" s="99"/>
      <c r="N20" s="127"/>
      <c r="O20" s="127"/>
    </row>
    <row r="21" spans="2:15" ht="12" customHeight="1">
      <c r="D21" s="5"/>
      <c r="E21" s="6"/>
      <c r="F21" s="305"/>
      <c r="I21" s="140"/>
      <c r="K21" s="6"/>
      <c r="L21" s="147"/>
      <c r="M21" s="99"/>
      <c r="N21" s="99"/>
      <c r="O21" s="168"/>
    </row>
    <row r="22" spans="2:15">
      <c r="D22" s="20"/>
      <c r="E22" s="325" t="s">
        <v>296</v>
      </c>
      <c r="F22" s="418">
        <f ca="1">F18*((1-(1+F19)^(-F20))/F19)+F17/(1+F19)^F20</f>
        <v>5997.2681890212934</v>
      </c>
      <c r="H22" s="140"/>
      <c r="K22" s="62"/>
      <c r="L22" s="147"/>
      <c r="M22" s="99"/>
      <c r="N22" s="127"/>
      <c r="O22" s="127"/>
    </row>
    <row r="23" spans="2:15">
      <c r="D23" s="5"/>
      <c r="H23" s="140"/>
      <c r="K23" s="161"/>
      <c r="L23" s="62"/>
      <c r="M23" s="99"/>
      <c r="N23" s="99"/>
      <c r="O23" s="168"/>
    </row>
    <row r="24" spans="2:15">
      <c r="D24" s="5"/>
      <c r="K24" s="62"/>
      <c r="L24" s="62"/>
      <c r="M24" s="99"/>
      <c r="N24" s="127"/>
      <c r="O24" s="127"/>
    </row>
    <row r="25" spans="2:15">
      <c r="D25" s="5"/>
      <c r="G25" s="99"/>
      <c r="H25" s="141"/>
      <c r="K25" s="62"/>
      <c r="L25" s="62"/>
      <c r="M25" s="99"/>
      <c r="N25" s="127"/>
      <c r="O25" s="169"/>
    </row>
    <row r="26" spans="2:15">
      <c r="D26" s="20"/>
      <c r="G26" s="99"/>
      <c r="H26" s="127"/>
      <c r="K26" s="62"/>
      <c r="L26" s="147"/>
      <c r="M26" s="99"/>
      <c r="N26" s="127"/>
      <c r="O26" s="127"/>
    </row>
    <row r="27" spans="2:15">
      <c r="D27" s="6"/>
      <c r="G27" s="99"/>
      <c r="H27" s="99"/>
      <c r="K27" s="62"/>
      <c r="L27" s="147"/>
      <c r="M27" s="99"/>
      <c r="N27" s="162"/>
      <c r="O27" s="162"/>
    </row>
    <row r="28" spans="2:15">
      <c r="D28" s="3"/>
      <c r="E28" s="136"/>
      <c r="F28" s="136"/>
      <c r="G28" s="99"/>
      <c r="H28" s="99"/>
      <c r="K28" s="62"/>
      <c r="L28" s="62"/>
      <c r="M28" s="99"/>
      <c r="N28" s="160"/>
      <c r="O28" s="168"/>
    </row>
    <row r="29" spans="2:15">
      <c r="D29" s="3"/>
      <c r="E29" s="136"/>
      <c r="F29" s="136"/>
      <c r="G29" s="99"/>
      <c r="H29" s="127"/>
      <c r="K29" s="62"/>
      <c r="L29" s="3"/>
      <c r="M29" s="99"/>
      <c r="N29" s="127"/>
      <c r="O29" s="127"/>
    </row>
    <row r="30" spans="2:15">
      <c r="D30" s="3"/>
      <c r="E30" s="136"/>
      <c r="F30" s="136"/>
      <c r="G30" s="99"/>
      <c r="H30" s="99"/>
      <c r="K30" s="62"/>
      <c r="L30" s="3"/>
      <c r="M30" s="140"/>
      <c r="O30" s="169"/>
    </row>
    <row r="31" spans="2:15">
      <c r="D31" s="3"/>
      <c r="E31" s="136"/>
      <c r="F31" s="136"/>
      <c r="G31" s="99"/>
      <c r="H31" s="140"/>
      <c r="K31" s="62"/>
      <c r="L31" s="3"/>
      <c r="M31" s="140"/>
      <c r="O31" s="169"/>
    </row>
    <row r="32" spans="2:15">
      <c r="D32" s="3"/>
      <c r="G32" s="99"/>
      <c r="H32" s="99"/>
      <c r="K32" s="62"/>
      <c r="L32" s="3"/>
      <c r="M32" s="99"/>
      <c r="N32" s="127"/>
      <c r="O32" s="169"/>
    </row>
    <row r="33" spans="4:15">
      <c r="D33" s="3"/>
      <c r="G33" s="99"/>
      <c r="H33" s="140"/>
      <c r="K33" s="6"/>
      <c r="L33" s="3"/>
      <c r="M33" s="99"/>
      <c r="N33" s="161"/>
      <c r="O33" s="161"/>
    </row>
    <row r="34" spans="4:15">
      <c r="D34" s="60"/>
      <c r="G34" s="137"/>
      <c r="H34" s="140"/>
      <c r="K34" s="6"/>
      <c r="L34" s="3"/>
      <c r="M34" s="99"/>
      <c r="N34" s="161"/>
      <c r="O34" s="161"/>
    </row>
    <row r="35" spans="4:15">
      <c r="D35" s="148"/>
      <c r="G35" s="137"/>
      <c r="H35" s="140"/>
      <c r="K35" s="6"/>
      <c r="L35" s="3"/>
      <c r="M35" s="99"/>
      <c r="N35" s="118"/>
      <c r="O35" s="118"/>
    </row>
    <row r="36" spans="4:15" ht="12" customHeight="1">
      <c r="D36" s="148"/>
      <c r="G36" s="137"/>
      <c r="H36" s="138"/>
      <c r="K36" s="62"/>
      <c r="L36" s="3"/>
      <c r="M36" s="99"/>
      <c r="N36" s="161"/>
      <c r="O36" s="161"/>
    </row>
    <row r="37" spans="4:15">
      <c r="D37" s="149"/>
      <c r="G37" s="137"/>
      <c r="H37" s="138"/>
      <c r="K37" s="6"/>
      <c r="L37" s="3"/>
      <c r="M37" s="99"/>
      <c r="N37" s="118"/>
      <c r="O37" s="118"/>
    </row>
    <row r="38" spans="4:15">
      <c r="D38" s="3"/>
      <c r="G38" s="137"/>
      <c r="H38" s="139"/>
      <c r="K38" s="6"/>
      <c r="L38" s="3"/>
      <c r="M38" s="3"/>
      <c r="N38" s="3"/>
      <c r="O38" s="3"/>
    </row>
    <row r="39" spans="4:15" ht="12" customHeight="1">
      <c r="H39" s="138"/>
      <c r="K39" s="6"/>
      <c r="M39" s="3"/>
      <c r="N39" s="3"/>
      <c r="O39" s="163"/>
    </row>
    <row r="40" spans="4:15">
      <c r="H40" s="138"/>
      <c r="K40" s="3"/>
      <c r="M40" s="3"/>
      <c r="N40" s="3"/>
      <c r="O40" s="3"/>
    </row>
    <row r="41" spans="4:15">
      <c r="K41" s="62"/>
      <c r="M41" s="3"/>
      <c r="N41" s="3"/>
      <c r="O41" s="3"/>
    </row>
    <row r="42" spans="4:15">
      <c r="K42" s="62"/>
      <c r="M42" s="3"/>
      <c r="N42" s="3"/>
      <c r="O42" s="3"/>
    </row>
    <row r="43" spans="4:15">
      <c r="K43" s="62"/>
      <c r="M43" s="3"/>
      <c r="N43" s="3"/>
      <c r="O43" s="3"/>
    </row>
    <row r="44" spans="4:15">
      <c r="K44" s="62"/>
      <c r="M44" s="3"/>
      <c r="N44" s="3"/>
      <c r="O44" s="3"/>
    </row>
    <row r="45" spans="4:15">
      <c r="K45" s="62"/>
      <c r="M45" s="3"/>
      <c r="N45" s="3"/>
      <c r="O45" s="3"/>
    </row>
    <row r="46" spans="4:15">
      <c r="K46" s="62"/>
      <c r="M46" s="3"/>
      <c r="N46" s="3"/>
      <c r="O46" s="3"/>
    </row>
    <row r="47" spans="4:15">
      <c r="K47" s="62"/>
      <c r="M47" s="3"/>
      <c r="N47" s="3"/>
      <c r="O47" s="3"/>
    </row>
    <row r="48" spans="4:15">
      <c r="K48" s="62"/>
    </row>
    <row r="49" spans="11:11">
      <c r="K49" s="62"/>
    </row>
    <row r="57" spans="11:11" ht="12" customHeight="1"/>
    <row r="63" spans="11:11" ht="12" customHeight="1"/>
    <row r="117" spans="15:15">
      <c r="O117" s="133"/>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2"/>
  <sheetViews>
    <sheetView zoomScaleNormal="100" workbookViewId="0"/>
  </sheetViews>
  <sheetFormatPr defaultRowHeight="12"/>
  <cols>
    <col min="1" max="1" width="2" style="2" customWidth="1"/>
    <col min="2" max="2" width="25.7109375" style="2" customWidth="1"/>
    <col min="3" max="3" width="12" style="2" bestFit="1" customWidth="1"/>
    <col min="4" max="4" width="5.85546875" style="2" customWidth="1"/>
    <col min="5" max="5" width="11.5703125" style="2" customWidth="1"/>
    <col min="6" max="6" width="11.28515625" style="2" customWidth="1"/>
    <col min="7" max="7" width="12.28515625" style="2" customWidth="1"/>
    <col min="8" max="8" width="9.85546875" style="2" bestFit="1" customWidth="1"/>
    <col min="9" max="9" width="11" style="2" bestFit="1" customWidth="1"/>
    <col min="10" max="12" width="10.5703125" style="2" bestFit="1" customWidth="1"/>
    <col min="13" max="16384" width="9.140625" style="2"/>
  </cols>
  <sheetData>
    <row r="1" spans="2:13" ht="15.75">
      <c r="B1" s="15" t="s">
        <v>145</v>
      </c>
    </row>
    <row r="3" spans="2:13" ht="12" customHeight="1">
      <c r="B3" s="310" t="s">
        <v>7</v>
      </c>
      <c r="C3" s="238"/>
      <c r="L3" s="231"/>
      <c r="M3" s="7"/>
    </row>
    <row r="4" spans="2:13" ht="12.75" thickBot="1">
      <c r="B4" s="243"/>
      <c r="C4" s="243"/>
    </row>
    <row r="5" spans="2:13">
      <c r="B5" s="35" t="str">
        <f>Drivers!$C$5&amp;" Risk Free Rate"</f>
        <v>$ Risk Free Rate</v>
      </c>
      <c r="C5" s="92">
        <f>'Risk Free Rate &amp; ERP'!C6</f>
        <v>3.526E-2</v>
      </c>
      <c r="D5" s="5"/>
    </row>
    <row r="6" spans="2:13">
      <c r="B6" s="35" t="str">
        <f>Drivers!$C$11&amp;"'s Equity Risk Premium"</f>
        <v>COST's Equity Risk Premium</v>
      </c>
      <c r="C6" s="92">
        <f>'Risk Free Rate &amp; ERP'!C8</f>
        <v>5.0362362180618063E-2</v>
      </c>
      <c r="D6" s="20"/>
    </row>
    <row r="7" spans="2:13">
      <c r="B7" s="35" t="str">
        <f>Drivers!$C$11&amp;"'s Bottom Up Beta"</f>
        <v>COST's Bottom Up Beta</v>
      </c>
      <c r="C7" s="100">
        <f ca="1">'Bottom Up Beta'!C18</f>
        <v>0.58702201001237264</v>
      </c>
      <c r="D7" s="5"/>
    </row>
    <row r="8" spans="2:13">
      <c r="B8" s="309" t="s">
        <v>7</v>
      </c>
      <c r="C8" s="256">
        <f ca="1">C5+C7*C6</f>
        <v>6.4823815076237509E-2</v>
      </c>
      <c r="D8" s="5"/>
    </row>
    <row r="9" spans="2:13">
      <c r="B9" s="3"/>
      <c r="C9" s="3"/>
      <c r="D9" s="5"/>
    </row>
    <row r="10" spans="2:13">
      <c r="B10" s="310" t="s">
        <v>36</v>
      </c>
      <c r="C10" s="238"/>
      <c r="D10" s="5"/>
      <c r="E10" s="5"/>
      <c r="F10" s="5"/>
    </row>
    <row r="11" spans="2:13" ht="12.75" thickBot="1">
      <c r="B11" s="243"/>
      <c r="C11" s="243"/>
      <c r="D11" s="5"/>
      <c r="E11" s="20"/>
      <c r="F11" s="5"/>
    </row>
    <row r="12" spans="2:13">
      <c r="B12" s="35" t="str">
        <f>Drivers!$C$5&amp;" Risk Free Rate"</f>
        <v>$ Risk Free Rate</v>
      </c>
      <c r="C12" s="63">
        <f>'Risk Free Rate &amp; ERP'!$C$6</f>
        <v>3.526E-2</v>
      </c>
      <c r="F12" s="20"/>
    </row>
    <row r="13" spans="2:13">
      <c r="B13" s="35" t="s">
        <v>261</v>
      </c>
      <c r="C13" s="63">
        <f>'Risk Free Rate &amp; ERP'!G15</f>
        <v>3.7555935839331672E-3</v>
      </c>
      <c r="D13" s="5"/>
      <c r="E13" s="5"/>
      <c r="F13" s="5"/>
    </row>
    <row r="14" spans="2:13">
      <c r="B14" s="240" t="s">
        <v>163</v>
      </c>
      <c r="C14" s="531" t="str">
        <f>Drivers!I5</f>
        <v>AAA</v>
      </c>
      <c r="D14" s="5"/>
      <c r="E14" s="5"/>
      <c r="F14" s="5"/>
    </row>
    <row r="15" spans="2:13">
      <c r="B15" s="35" t="str">
        <f>Drivers!$C$11&amp;"'s Default Spread"</f>
        <v>COST's Default Spread</v>
      </c>
      <c r="C15" s="92">
        <f>VLOOKUP(Drivers!M15,'Optimal Cost of Capital'!J17:M30,4)</f>
        <v>7.4999999999999997E-3</v>
      </c>
      <c r="D15" s="5"/>
      <c r="E15" s="5"/>
      <c r="F15" s="5"/>
    </row>
    <row r="16" spans="2:13">
      <c r="B16" s="309" t="s">
        <v>36</v>
      </c>
      <c r="C16" s="256">
        <f>C12+C13+C15</f>
        <v>4.6515593583933167E-2</v>
      </c>
      <c r="D16" s="5"/>
      <c r="E16" s="5"/>
      <c r="F16" s="20"/>
    </row>
    <row r="17" spans="2:12">
      <c r="D17" s="20"/>
      <c r="E17" s="20"/>
      <c r="G17" s="5"/>
      <c r="H17" s="5"/>
      <c r="I17" s="5"/>
    </row>
    <row r="18" spans="2:12">
      <c r="B18" s="310" t="s">
        <v>6</v>
      </c>
      <c r="C18" s="238"/>
      <c r="D18" s="5"/>
      <c r="E18" s="5"/>
      <c r="F18" s="20"/>
      <c r="G18" s="5"/>
      <c r="H18" s="5"/>
      <c r="I18" s="5"/>
    </row>
    <row r="19" spans="2:12" ht="12.75" thickBot="1">
      <c r="B19" s="243"/>
      <c r="C19" s="243"/>
      <c r="D19" s="5"/>
    </row>
    <row r="20" spans="2:12">
      <c r="B20" s="326" t="s">
        <v>7</v>
      </c>
      <c r="C20" s="320">
        <f ca="1">C8</f>
        <v>6.4823815076237509E-2</v>
      </c>
      <c r="D20" s="5"/>
    </row>
    <row r="21" spans="2:12">
      <c r="B21" s="326" t="str">
        <f>"Market Value of Equity ("&amp;Drivers!$C$5&amp;"m)"</f>
        <v>Market Value of Equity ($m)</v>
      </c>
      <c r="C21" s="415">
        <f>'Bottom Up Beta'!C13</f>
        <v>222175.98429000002</v>
      </c>
      <c r="D21" s="20"/>
    </row>
    <row r="22" spans="2:12">
      <c r="B22" s="326" t="s">
        <v>141</v>
      </c>
      <c r="C22" s="320">
        <f>C16</f>
        <v>4.6515593583933167E-2</v>
      </c>
    </row>
    <row r="23" spans="2:12">
      <c r="B23" s="326" t="str">
        <f>"Market Value of Debt ("&amp;Drivers!$C$5&amp;"m)"</f>
        <v>Market Value of Debt ($m)</v>
      </c>
      <c r="C23" s="415">
        <f ca="1">'Bottom Up Beta'!C14</f>
        <v>8554.2681890212934</v>
      </c>
    </row>
    <row r="24" spans="2:12">
      <c r="B24" s="326" t="s">
        <v>144</v>
      </c>
      <c r="C24" s="320">
        <f>'Risk Free Rate &amp; ERP'!H15</f>
        <v>0.22012243552411767</v>
      </c>
      <c r="F24" s="5"/>
      <c r="G24" s="38"/>
      <c r="H24" s="35"/>
      <c r="I24" s="35"/>
      <c r="J24" s="35"/>
      <c r="K24" s="35"/>
      <c r="L24" s="35"/>
    </row>
    <row r="25" spans="2:12">
      <c r="B25" s="327"/>
      <c r="C25" s="327"/>
      <c r="D25" s="3"/>
      <c r="F25" s="20"/>
      <c r="G25" s="38"/>
      <c r="H25" s="35"/>
      <c r="I25" s="35"/>
      <c r="J25" s="35"/>
      <c r="K25" s="35"/>
      <c r="L25" s="35"/>
    </row>
    <row r="26" spans="2:12">
      <c r="B26" s="326" t="s">
        <v>142</v>
      </c>
      <c r="C26" s="320">
        <f ca="1">C21/(C21+C23)</f>
        <v>0.96292524236803723</v>
      </c>
      <c r="F26" s="3"/>
      <c r="G26" s="74"/>
      <c r="H26" s="74"/>
      <c r="I26" s="74"/>
      <c r="J26" s="74"/>
      <c r="K26" s="74"/>
      <c r="L26" s="19"/>
    </row>
    <row r="27" spans="2:12">
      <c r="B27" s="326" t="s">
        <v>143</v>
      </c>
      <c r="C27" s="320">
        <f ca="1">C23/(C21+C23)</f>
        <v>3.7074757631962774E-2</v>
      </c>
      <c r="F27" s="3"/>
    </row>
    <row r="28" spans="2:12">
      <c r="B28" s="327"/>
      <c r="C28" s="327"/>
      <c r="D28" s="3"/>
      <c r="E28" s="3"/>
      <c r="F28" s="3"/>
    </row>
    <row r="29" spans="2:12">
      <c r="B29" s="309" t="s">
        <v>5</v>
      </c>
      <c r="C29" s="256">
        <f ca="1">(C20*C26)+(C22*(1-C24)*C27)</f>
        <v>6.3765429096210455E-2</v>
      </c>
      <c r="D29" s="3"/>
      <c r="E29" s="3"/>
      <c r="F29" s="3"/>
    </row>
    <row r="30" spans="2:12">
      <c r="D30" s="3"/>
      <c r="E30" s="3"/>
      <c r="F30" s="3"/>
    </row>
    <row r="31" spans="2:12">
      <c r="D31" s="3"/>
      <c r="E31" s="3"/>
      <c r="F31" s="3"/>
    </row>
    <row r="32" spans="2:12">
      <c r="D32" s="3"/>
      <c r="E32" s="3"/>
      <c r="F32" s="3"/>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B4"/>
  <sheetViews>
    <sheetView workbookViewId="0"/>
  </sheetViews>
  <sheetFormatPr defaultRowHeight="12"/>
  <cols>
    <col min="1" max="1" width="2" style="1" customWidth="1"/>
    <col min="2" max="2" width="36" style="1" customWidth="1"/>
    <col min="3" max="16384" width="9.140625" style="1"/>
  </cols>
  <sheetData>
    <row r="1" spans="2:2" ht="41.25">
      <c r="B1" s="29" t="s">
        <v>40</v>
      </c>
    </row>
    <row r="3" spans="2:2">
      <c r="B3" s="83"/>
    </row>
    <row r="4" spans="2:2">
      <c r="B4" s="83"/>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41"/>
  <sheetViews>
    <sheetView workbookViewId="0"/>
  </sheetViews>
  <sheetFormatPr defaultRowHeight="12"/>
  <cols>
    <col min="1" max="1" width="2" style="77" customWidth="1"/>
    <col min="2" max="2" width="25.42578125" style="77" customWidth="1"/>
    <col min="3" max="7" width="11.7109375" style="77" customWidth="1"/>
    <col min="8" max="8" width="12.28515625" style="77" customWidth="1"/>
    <col min="9" max="9" width="11" style="77" customWidth="1"/>
    <col min="10" max="10" width="10.7109375" style="77" customWidth="1" collapsed="1"/>
    <col min="11" max="15" width="10.7109375" style="77" customWidth="1"/>
    <col min="16" max="16" width="11.140625" style="77" customWidth="1"/>
    <col min="17" max="29" width="9.140625" style="77" customWidth="1"/>
    <col min="30" max="30" width="9.28515625" style="77" customWidth="1"/>
    <col min="31" max="31" width="9.42578125" style="77" customWidth="1"/>
    <col min="32" max="32" width="10" style="77" customWidth="1"/>
    <col min="33" max="33" width="11.42578125" style="77" customWidth="1"/>
    <col min="34" max="34" width="9.42578125" style="77" bestFit="1" customWidth="1" collapsed="1"/>
    <col min="35" max="16384" width="9.140625" style="77"/>
  </cols>
  <sheetData>
    <row r="1" spans="1:35" s="76" customFormat="1" ht="15" customHeight="1">
      <c r="B1" s="15" t="s">
        <v>157</v>
      </c>
      <c r="C1" s="15"/>
      <c r="D1" s="15"/>
      <c r="E1" s="15"/>
      <c r="F1" s="15"/>
      <c r="G1" s="75"/>
      <c r="H1" s="75"/>
      <c r="I1" s="75"/>
      <c r="J1" s="75"/>
      <c r="K1" s="75"/>
      <c r="L1" s="75"/>
      <c r="M1" s="75"/>
      <c r="N1" s="75"/>
      <c r="O1" s="75"/>
    </row>
    <row r="2" spans="1:35" ht="12" customHeight="1"/>
    <row r="3" spans="1:35" s="79" customFormat="1" ht="12" customHeight="1">
      <c r="A3" s="77"/>
      <c r="B3" s="333" t="s">
        <v>331</v>
      </c>
      <c r="C3" s="558"/>
      <c r="D3" s="558"/>
      <c r="E3" s="558"/>
      <c r="F3" s="558"/>
      <c r="G3" s="558"/>
      <c r="H3" s="558"/>
      <c r="I3" s="77"/>
      <c r="J3" s="77"/>
      <c r="K3" s="77"/>
      <c r="L3" s="77"/>
      <c r="M3" s="77"/>
      <c r="N3" s="77"/>
      <c r="O3" s="77"/>
      <c r="P3" s="170"/>
      <c r="Q3" s="78"/>
      <c r="R3" s="78"/>
      <c r="S3" s="78"/>
      <c r="T3" s="78"/>
      <c r="U3" s="78"/>
      <c r="V3" s="78"/>
      <c r="W3" s="78"/>
      <c r="X3" s="78"/>
      <c r="Y3" s="78"/>
      <c r="Z3" s="78"/>
      <c r="AA3" s="78"/>
      <c r="AB3" s="78"/>
      <c r="AC3" s="78"/>
      <c r="AD3" s="78"/>
    </row>
    <row r="4" spans="1:35" ht="12" customHeight="1" thickBot="1">
      <c r="B4" s="334" t="str">
        <f>Drivers!$C$5&amp;" in mil"</f>
        <v>$ in mil</v>
      </c>
      <c r="C4" s="351">
        <v>43343</v>
      </c>
      <c r="D4" s="351">
        <f>EDATE(C4,12)</f>
        <v>43708</v>
      </c>
      <c r="E4" s="351">
        <f>EDATE(D4,12)</f>
        <v>44074</v>
      </c>
      <c r="F4" s="351">
        <f>EDATE(E4,12)</f>
        <v>44439</v>
      </c>
      <c r="G4" s="351">
        <f>EDATE(F4,12)</f>
        <v>44804</v>
      </c>
      <c r="H4" s="351" t="s">
        <v>596</v>
      </c>
    </row>
    <row r="5" spans="1:35" ht="12" customHeight="1">
      <c r="A5" s="79"/>
      <c r="B5" s="342" t="s">
        <v>4</v>
      </c>
      <c r="C5" s="343">
        <f>'Income Statement'!C11</f>
        <v>141576</v>
      </c>
      <c r="D5" s="343">
        <f>'Income Statement'!D11</f>
        <v>152703</v>
      </c>
      <c r="E5" s="343">
        <f>'Income Statement'!E11</f>
        <v>166761</v>
      </c>
      <c r="F5" s="343">
        <f>'Income Statement'!F11</f>
        <v>195929</v>
      </c>
      <c r="G5" s="343">
        <f>'Income Statement'!G11</f>
        <v>226954</v>
      </c>
      <c r="H5" s="343">
        <f>'Income Statement'!H11</f>
        <v>234390</v>
      </c>
    </row>
    <row r="6" spans="1:35" ht="12" customHeight="1">
      <c r="A6" s="84"/>
      <c r="B6" s="340" t="s">
        <v>185</v>
      </c>
      <c r="C6" s="356">
        <f>'Income Statement'!C12</f>
        <v>-123152</v>
      </c>
      <c r="D6" s="356">
        <f>'Income Statement'!D12</f>
        <v>-132886</v>
      </c>
      <c r="E6" s="356">
        <f>'Income Statement'!E12</f>
        <v>-144939</v>
      </c>
      <c r="F6" s="356">
        <f>'Income Statement'!F12</f>
        <v>-170684</v>
      </c>
      <c r="G6" s="356">
        <f>'Income Statement'!G12</f>
        <v>-199382</v>
      </c>
      <c r="H6" s="356">
        <f>'Income Statement'!H12</f>
        <v>-206105</v>
      </c>
      <c r="Q6" s="81"/>
      <c r="R6" s="81"/>
      <c r="S6" s="81"/>
      <c r="T6" s="81"/>
      <c r="U6" s="81"/>
      <c r="V6" s="81"/>
      <c r="AA6" s="81"/>
    </row>
    <row r="7" spans="1:35" ht="12" customHeight="1">
      <c r="B7" s="335" t="s">
        <v>149</v>
      </c>
      <c r="C7" s="345">
        <f t="shared" ref="C7:H7" si="0">SUM(C5:C6)</f>
        <v>18424</v>
      </c>
      <c r="D7" s="345">
        <f t="shared" si="0"/>
        <v>19817</v>
      </c>
      <c r="E7" s="345">
        <f t="shared" si="0"/>
        <v>21822</v>
      </c>
      <c r="F7" s="345">
        <f t="shared" si="0"/>
        <v>25245</v>
      </c>
      <c r="G7" s="345">
        <f t="shared" si="0"/>
        <v>27572</v>
      </c>
      <c r="H7" s="345">
        <f t="shared" si="0"/>
        <v>28285</v>
      </c>
      <c r="P7" s="82"/>
      <c r="Q7" s="82"/>
      <c r="R7" s="82"/>
      <c r="S7" s="82"/>
      <c r="T7" s="82"/>
      <c r="U7" s="82"/>
      <c r="V7" s="82"/>
      <c r="W7" s="82"/>
      <c r="X7" s="82"/>
      <c r="Y7" s="82"/>
      <c r="Z7" s="82"/>
      <c r="AA7" s="82"/>
      <c r="AB7" s="82"/>
      <c r="AC7" s="82"/>
      <c r="AD7" s="82"/>
      <c r="AE7" s="82"/>
      <c r="AF7" s="82"/>
    </row>
    <row r="8" spans="1:35" ht="12" customHeight="1">
      <c r="A8" s="84"/>
      <c r="B8" s="341" t="s">
        <v>182</v>
      </c>
      <c r="C8" s="356">
        <f>'Income Statement'!C13</f>
        <v>0</v>
      </c>
      <c r="D8" s="356">
        <f>'Income Statement'!D13</f>
        <v>0</v>
      </c>
      <c r="E8" s="356">
        <f>'Income Statement'!E13</f>
        <v>0</v>
      </c>
      <c r="F8" s="356">
        <f>'Income Statement'!F13</f>
        <v>0</v>
      </c>
      <c r="G8" s="356">
        <f>'Income Statement'!G13</f>
        <v>0</v>
      </c>
      <c r="H8" s="356">
        <f>'Income Statement'!H13</f>
        <v>0</v>
      </c>
      <c r="P8" s="82"/>
      <c r="Q8" s="82"/>
      <c r="R8" s="82"/>
      <c r="S8" s="82"/>
      <c r="T8" s="82"/>
      <c r="U8" s="82"/>
      <c r="V8" s="82"/>
      <c r="W8" s="82"/>
      <c r="X8" s="82"/>
      <c r="Y8" s="82"/>
      <c r="Z8" s="82"/>
      <c r="AA8" s="82"/>
      <c r="AB8" s="82"/>
      <c r="AC8" s="82"/>
      <c r="AD8" s="82"/>
      <c r="AE8" s="82"/>
      <c r="AF8" s="82"/>
    </row>
    <row r="9" spans="1:35" ht="12" customHeight="1">
      <c r="A9" s="84"/>
      <c r="B9" s="341" t="s">
        <v>183</v>
      </c>
      <c r="C9" s="356">
        <f>'Income Statement'!C14</f>
        <v>0</v>
      </c>
      <c r="D9" s="356">
        <f>'Income Statement'!D14</f>
        <v>0</v>
      </c>
      <c r="E9" s="356">
        <f>'Income Statement'!E14</f>
        <v>0</v>
      </c>
      <c r="F9" s="356">
        <f>'Income Statement'!F14</f>
        <v>0</v>
      </c>
      <c r="G9" s="356">
        <f>'Income Statement'!G14</f>
        <v>0</v>
      </c>
      <c r="H9" s="356">
        <f>'Income Statement'!H14</f>
        <v>0</v>
      </c>
      <c r="P9" s="82"/>
      <c r="Q9" s="82"/>
      <c r="R9" s="82"/>
      <c r="S9" s="82"/>
      <c r="T9" s="82"/>
      <c r="U9" s="82"/>
      <c r="V9" s="82"/>
      <c r="W9" s="82"/>
      <c r="X9" s="82"/>
      <c r="Y9" s="82"/>
      <c r="Z9" s="82"/>
      <c r="AA9" s="82"/>
      <c r="AB9" s="82"/>
      <c r="AC9" s="82"/>
      <c r="AD9" s="82"/>
      <c r="AE9" s="82"/>
      <c r="AF9" s="82"/>
      <c r="AG9" s="82"/>
      <c r="AH9" s="82"/>
      <c r="AI9" s="82"/>
    </row>
    <row r="10" spans="1:35">
      <c r="B10" s="340" t="s">
        <v>184</v>
      </c>
      <c r="C10" s="356">
        <f>'Income Statement'!C15</f>
        <v>-13944</v>
      </c>
      <c r="D10" s="356">
        <f>'Income Statement'!D15</f>
        <v>-15080</v>
      </c>
      <c r="E10" s="356">
        <f>'Income Statement'!E15</f>
        <v>-16387</v>
      </c>
      <c r="F10" s="356">
        <f>'Income Statement'!F15</f>
        <v>-18537</v>
      </c>
      <c r="G10" s="356">
        <f>'Income Statement'!G15</f>
        <v>-19779</v>
      </c>
      <c r="H10" s="356">
        <f>'Income Statement'!H15</f>
        <v>-20343</v>
      </c>
      <c r="P10" s="82"/>
      <c r="Q10" s="92"/>
      <c r="R10" s="82"/>
      <c r="S10" s="82"/>
      <c r="T10" s="82"/>
      <c r="U10" s="82"/>
      <c r="V10" s="82"/>
      <c r="W10" s="82"/>
      <c r="X10" s="82"/>
      <c r="Y10" s="82"/>
      <c r="Z10" s="82"/>
      <c r="AA10" s="82"/>
      <c r="AB10" s="82"/>
      <c r="AC10" s="82"/>
      <c r="AD10" s="82"/>
      <c r="AE10" s="82"/>
      <c r="AF10" s="82"/>
      <c r="AG10" s="82"/>
      <c r="AH10" s="82"/>
      <c r="AI10" s="82"/>
    </row>
    <row r="11" spans="1:35">
      <c r="A11" s="84"/>
      <c r="B11" s="337" t="s">
        <v>3</v>
      </c>
      <c r="C11" s="347">
        <f>SUM(C7:C10)</f>
        <v>4480</v>
      </c>
      <c r="D11" s="347">
        <f t="shared" ref="D11:H11" si="1">SUM(D7:D10)</f>
        <v>4737</v>
      </c>
      <c r="E11" s="347">
        <f t="shared" si="1"/>
        <v>5435</v>
      </c>
      <c r="F11" s="347">
        <f t="shared" si="1"/>
        <v>6708</v>
      </c>
      <c r="G11" s="347">
        <f t="shared" si="1"/>
        <v>7793</v>
      </c>
      <c r="H11" s="347">
        <f t="shared" si="1"/>
        <v>7942</v>
      </c>
      <c r="P11" s="82"/>
      <c r="Q11" s="82"/>
      <c r="R11" s="82"/>
      <c r="S11" s="82"/>
      <c r="T11" s="82"/>
      <c r="U11" s="82"/>
      <c r="V11" s="82"/>
      <c r="W11" s="82"/>
      <c r="X11" s="82"/>
      <c r="Y11" s="82"/>
      <c r="Z11" s="82"/>
      <c r="AA11" s="82"/>
      <c r="AB11" s="82"/>
      <c r="AC11" s="82"/>
      <c r="AD11" s="82"/>
      <c r="AE11" s="82"/>
      <c r="AF11" s="82"/>
      <c r="AG11" s="82"/>
      <c r="AH11" s="82"/>
      <c r="AI11" s="82"/>
    </row>
    <row r="12" spans="1:35">
      <c r="A12" s="79"/>
      <c r="B12" s="82" t="s">
        <v>344</v>
      </c>
      <c r="C12" s="92">
        <f>MEDIAN('Income Statement'!$C$32:$H$32)</f>
        <v>0.24462364249780405</v>
      </c>
      <c r="D12" s="92">
        <f>MEDIAN('Income Statement'!$C$32:$H$32)</f>
        <v>0.24462364249780405</v>
      </c>
      <c r="E12" s="92">
        <f>MEDIAN('Income Statement'!$C$32:$H$32)</f>
        <v>0.24462364249780405</v>
      </c>
      <c r="F12" s="92">
        <f>MEDIAN('Income Statement'!$C$32:$H$32)</f>
        <v>0.24462364249780405</v>
      </c>
      <c r="G12" s="92">
        <f>MEDIAN('Income Statement'!$C$32:$H$32)</f>
        <v>0.24462364249780405</v>
      </c>
      <c r="H12" s="92">
        <f>MEDIAN('Income Statement'!$C$32:$H$32)</f>
        <v>0.24462364249780405</v>
      </c>
      <c r="P12" s="82"/>
      <c r="Q12" s="82"/>
      <c r="R12" s="82"/>
      <c r="S12" s="82"/>
      <c r="T12" s="82"/>
      <c r="U12" s="82"/>
      <c r="V12" s="82"/>
      <c r="W12" s="82"/>
      <c r="X12" s="82"/>
      <c r="Y12" s="82"/>
      <c r="Z12" s="82"/>
      <c r="AA12" s="82"/>
      <c r="AB12" s="82"/>
      <c r="AC12" s="82"/>
      <c r="AD12" s="82"/>
      <c r="AE12" s="82"/>
      <c r="AF12" s="82"/>
      <c r="AG12" s="82"/>
      <c r="AH12" s="82"/>
    </row>
    <row r="13" spans="1:35">
      <c r="B13" s="336" t="s">
        <v>275</v>
      </c>
      <c r="C13" s="346">
        <f>C11*(1-C12)</f>
        <v>3384.0860816098375</v>
      </c>
      <c r="D13" s="346">
        <f t="shared" ref="D13:G13" si="2">D11*(1-D12)</f>
        <v>3578.2178054879018</v>
      </c>
      <c r="E13" s="346">
        <f t="shared" si="2"/>
        <v>4105.4705030244349</v>
      </c>
      <c r="F13" s="346">
        <f t="shared" si="2"/>
        <v>5067.0646061247298</v>
      </c>
      <c r="G13" s="346">
        <f t="shared" si="2"/>
        <v>5886.6479540146129</v>
      </c>
      <c r="H13" s="346">
        <f>H11*(1-H12)</f>
        <v>5999.19903128244</v>
      </c>
      <c r="P13" s="82"/>
      <c r="Q13" s="82"/>
      <c r="R13" s="82"/>
      <c r="S13" s="82"/>
      <c r="T13" s="82"/>
      <c r="U13" s="82"/>
      <c r="V13" s="82"/>
      <c r="W13" s="82"/>
      <c r="X13" s="82"/>
      <c r="Y13" s="82"/>
      <c r="Z13" s="82"/>
      <c r="AA13" s="82"/>
      <c r="AB13" s="82"/>
      <c r="AC13" s="82"/>
      <c r="AD13" s="82"/>
      <c r="AE13" s="82"/>
      <c r="AF13" s="82"/>
      <c r="AG13" s="82"/>
      <c r="AH13" s="82"/>
    </row>
    <row r="14" spans="1:35">
      <c r="A14" s="84"/>
      <c r="C14" s="344"/>
      <c r="D14" s="344"/>
      <c r="E14" s="344"/>
      <c r="F14" s="344"/>
      <c r="G14" s="344"/>
      <c r="H14" s="344"/>
      <c r="P14" s="82"/>
      <c r="Q14" s="82"/>
      <c r="R14" s="82"/>
      <c r="S14" s="82"/>
      <c r="T14" s="82"/>
      <c r="U14" s="82"/>
      <c r="V14" s="82"/>
      <c r="W14" s="82"/>
      <c r="X14" s="82"/>
      <c r="Y14" s="82"/>
      <c r="Z14" s="82"/>
      <c r="AA14" s="82"/>
      <c r="AB14" s="82"/>
      <c r="AC14" s="82"/>
      <c r="AD14" s="82"/>
      <c r="AE14" s="82"/>
      <c r="AF14" s="82"/>
      <c r="AG14" s="82"/>
      <c r="AH14" s="82"/>
    </row>
    <row r="15" spans="1:35">
      <c r="A15" s="84"/>
      <c r="B15" s="333" t="s">
        <v>332</v>
      </c>
      <c r="C15" s="332"/>
      <c r="D15" s="332"/>
      <c r="E15" s="332"/>
      <c r="F15" s="332"/>
      <c r="G15" s="332"/>
      <c r="H15" s="332"/>
      <c r="P15" s="82"/>
      <c r="Q15" s="82"/>
      <c r="R15" s="82"/>
      <c r="S15" s="82"/>
      <c r="T15" s="82"/>
      <c r="U15" s="82"/>
      <c r="V15" s="82"/>
      <c r="W15" s="82"/>
      <c r="X15" s="82"/>
      <c r="Y15" s="82"/>
      <c r="Z15" s="82"/>
      <c r="AA15" s="82"/>
      <c r="AB15" s="82"/>
      <c r="AC15" s="82"/>
      <c r="AD15" s="82"/>
      <c r="AE15" s="82"/>
      <c r="AF15" s="82"/>
      <c r="AG15" s="82"/>
      <c r="AH15" s="82"/>
    </row>
    <row r="16" spans="1:35" ht="12.75" thickBot="1">
      <c r="B16" s="334" t="str">
        <f>Drivers!$C$5&amp;" in mil"</f>
        <v>$ in mil</v>
      </c>
      <c r="C16" s="351">
        <v>43101</v>
      </c>
      <c r="D16" s="351">
        <f>EDATE(C16,12)</f>
        <v>43466</v>
      </c>
      <c r="E16" s="351">
        <f>EDATE(D16,12)</f>
        <v>43831</v>
      </c>
      <c r="F16" s="351">
        <f>EDATE(E16,12)</f>
        <v>44197</v>
      </c>
      <c r="G16" s="351">
        <f>EDATE(F16,12)</f>
        <v>44562</v>
      </c>
      <c r="H16" s="351">
        <f>EDATE(G16,12)</f>
        <v>44927</v>
      </c>
      <c r="R16" s="82"/>
      <c r="S16" s="82"/>
      <c r="T16" s="82"/>
      <c r="U16" s="82"/>
      <c r="V16" s="82"/>
      <c r="W16" s="82"/>
      <c r="X16" s="82"/>
      <c r="Y16" s="82"/>
      <c r="Z16" s="82"/>
      <c r="AA16" s="82"/>
      <c r="AB16" s="82"/>
      <c r="AC16" s="82"/>
      <c r="AD16" s="82"/>
      <c r="AE16" s="82"/>
      <c r="AF16" s="82"/>
      <c r="AG16" s="82"/>
      <c r="AH16" s="82"/>
      <c r="AI16" s="82"/>
    </row>
    <row r="17" spans="1:35">
      <c r="A17" s="84"/>
      <c r="B17" s="77" t="s">
        <v>298</v>
      </c>
      <c r="C17" s="343">
        <f>Reinvestment!F23</f>
        <v>-6896</v>
      </c>
      <c r="D17" s="343">
        <f>Reinvestment!G23</f>
        <v>-7497</v>
      </c>
      <c r="E17" s="343">
        <f>Reinvestment!H23</f>
        <v>-9934</v>
      </c>
      <c r="F17" s="343">
        <f>Reinvestment!I23</f>
        <v>-11312</v>
      </c>
      <c r="G17" s="343">
        <f>Reinvestment!J23</f>
        <v>-10278</v>
      </c>
      <c r="H17" s="343">
        <f>Reinvestment!K23</f>
        <v>-11815</v>
      </c>
      <c r="R17" s="82"/>
      <c r="S17" s="82"/>
      <c r="T17" s="82"/>
      <c r="U17" s="82"/>
      <c r="V17" s="82"/>
      <c r="W17" s="82"/>
      <c r="X17" s="82"/>
      <c r="Y17" s="82"/>
      <c r="Z17" s="82"/>
      <c r="AA17" s="82"/>
      <c r="AB17" s="82"/>
      <c r="AC17" s="82"/>
      <c r="AD17" s="82"/>
      <c r="AE17" s="82"/>
      <c r="AF17" s="82"/>
      <c r="AG17" s="82"/>
      <c r="AH17" s="82"/>
      <c r="AI17" s="82"/>
    </row>
    <row r="18" spans="1:35">
      <c r="B18" s="77" t="s">
        <v>299</v>
      </c>
      <c r="C18" s="343">
        <f>'Balance Sheet'!C12</f>
        <v>19681</v>
      </c>
      <c r="D18" s="343">
        <f>'Balance Sheet'!D12</f>
        <v>20890</v>
      </c>
      <c r="E18" s="343">
        <f>'Balance Sheet'!E12</f>
        <v>21807</v>
      </c>
      <c r="F18" s="343">
        <f>'Balance Sheet'!F12</f>
        <v>23492</v>
      </c>
      <c r="G18" s="343">
        <f>'Balance Sheet'!G12</f>
        <v>24646</v>
      </c>
      <c r="H18" s="343">
        <f>'Balance Sheet'!H12</f>
        <v>25724</v>
      </c>
      <c r="P18" s="82"/>
      <c r="Q18" s="82"/>
      <c r="R18" s="82"/>
      <c r="S18" s="82"/>
      <c r="T18" s="82"/>
      <c r="U18" s="82"/>
      <c r="V18" s="82"/>
      <c r="W18" s="82"/>
      <c r="X18" s="82"/>
      <c r="Y18" s="82"/>
      <c r="Z18" s="82"/>
      <c r="AA18" s="82"/>
      <c r="AB18" s="82"/>
      <c r="AC18" s="82"/>
      <c r="AD18" s="82"/>
      <c r="AE18" s="82"/>
      <c r="AF18" s="82"/>
      <c r="AG18" s="82"/>
      <c r="AH18" s="82"/>
      <c r="AI18" s="82"/>
    </row>
    <row r="19" spans="1:35">
      <c r="B19" s="77" t="s">
        <v>477</v>
      </c>
      <c r="C19" s="343">
        <f>'Balance Sheet'!C13</f>
        <v>0</v>
      </c>
      <c r="D19" s="343">
        <f>'Balance Sheet'!D13</f>
        <v>0</v>
      </c>
      <c r="E19" s="343">
        <f>'Balance Sheet'!E13</f>
        <v>2788</v>
      </c>
      <c r="F19" s="343">
        <f>'Balance Sheet'!F13</f>
        <v>2890</v>
      </c>
      <c r="G19" s="343">
        <f>'Balance Sheet'!G13</f>
        <v>2774</v>
      </c>
      <c r="H19" s="343">
        <f>'Balance Sheet'!H13</f>
        <v>2859</v>
      </c>
      <c r="P19" s="82"/>
      <c r="Q19" s="82"/>
      <c r="R19" s="82"/>
      <c r="S19" s="82"/>
      <c r="T19" s="82"/>
      <c r="U19" s="82"/>
      <c r="V19" s="82"/>
      <c r="W19" s="82"/>
      <c r="X19" s="82"/>
      <c r="Y19" s="82"/>
      <c r="Z19" s="82"/>
      <c r="AA19" s="82"/>
      <c r="AB19" s="82"/>
      <c r="AC19" s="82"/>
      <c r="AD19" s="82"/>
      <c r="AE19" s="82"/>
      <c r="AF19" s="82"/>
      <c r="AG19" s="82"/>
      <c r="AH19" s="82"/>
      <c r="AI19" s="82"/>
    </row>
    <row r="20" spans="1:35">
      <c r="B20" s="385" t="s">
        <v>303</v>
      </c>
      <c r="C20" s="343">
        <f>'Balance Sheet'!C14</f>
        <v>860</v>
      </c>
      <c r="D20" s="343">
        <f>'Balance Sheet'!D14</f>
        <v>1025</v>
      </c>
      <c r="E20" s="343">
        <f>'Balance Sheet'!E14</f>
        <v>2841</v>
      </c>
      <c r="F20" s="343">
        <f>'Balance Sheet'!F14</f>
        <v>3381</v>
      </c>
      <c r="G20" s="343">
        <f>'Balance Sheet'!G14</f>
        <v>4050</v>
      </c>
      <c r="H20" s="343">
        <f>'Balance Sheet'!H14</f>
        <v>3935</v>
      </c>
      <c r="P20" s="82"/>
      <c r="Q20" s="82"/>
      <c r="R20" s="82"/>
      <c r="S20" s="82"/>
      <c r="T20" s="82"/>
      <c r="U20" s="82"/>
      <c r="V20" s="82"/>
      <c r="W20" s="82"/>
      <c r="X20" s="82"/>
      <c r="Y20" s="82"/>
      <c r="Z20" s="82"/>
      <c r="AA20" s="82"/>
      <c r="AB20" s="82"/>
      <c r="AC20" s="82"/>
      <c r="AD20" s="82"/>
      <c r="AE20" s="82"/>
      <c r="AF20" s="82"/>
      <c r="AG20" s="82"/>
      <c r="AH20" s="82"/>
      <c r="AI20" s="82"/>
    </row>
    <row r="21" spans="1:35">
      <c r="B21" s="338" t="s">
        <v>69</v>
      </c>
      <c r="C21" s="349">
        <f t="shared" ref="C21:G21" si="3">SUM(C17:C20)</f>
        <v>13645</v>
      </c>
      <c r="D21" s="349">
        <f t="shared" si="3"/>
        <v>14418</v>
      </c>
      <c r="E21" s="349">
        <f t="shared" si="3"/>
        <v>17502</v>
      </c>
      <c r="F21" s="349">
        <f t="shared" si="3"/>
        <v>18451</v>
      </c>
      <c r="G21" s="349">
        <f t="shared" si="3"/>
        <v>21192</v>
      </c>
      <c r="H21" s="349">
        <f>SUM(H17:H20)</f>
        <v>20703</v>
      </c>
      <c r="P21" s="82"/>
      <c r="Q21" s="82"/>
      <c r="R21" s="82"/>
      <c r="S21" s="82"/>
      <c r="T21" s="82"/>
      <c r="U21" s="82"/>
      <c r="V21" s="82"/>
      <c r="W21" s="82"/>
      <c r="X21" s="82"/>
      <c r="Y21" s="82"/>
      <c r="Z21" s="82"/>
      <c r="AA21" s="82"/>
      <c r="AB21" s="82"/>
      <c r="AC21" s="82"/>
      <c r="AD21" s="82"/>
      <c r="AE21" s="82"/>
      <c r="AF21" s="82"/>
      <c r="AG21" s="82"/>
      <c r="AH21" s="82"/>
      <c r="AI21" s="82"/>
    </row>
    <row r="22" spans="1:35">
      <c r="C22" s="343"/>
      <c r="D22" s="343"/>
      <c r="E22" s="343"/>
      <c r="F22" s="343"/>
      <c r="G22" s="343"/>
      <c r="H22" s="343"/>
      <c r="P22" s="82"/>
      <c r="Q22" s="82"/>
      <c r="R22" s="82"/>
      <c r="S22" s="82"/>
      <c r="T22" s="82"/>
      <c r="U22" s="82"/>
      <c r="V22" s="82"/>
      <c r="W22" s="82"/>
      <c r="X22" s="82"/>
      <c r="Y22" s="82"/>
      <c r="Z22" s="82"/>
      <c r="AA22" s="82"/>
      <c r="AB22" s="82"/>
      <c r="AC22" s="82"/>
      <c r="AD22" s="82"/>
      <c r="AE22" s="82"/>
      <c r="AF22" s="82"/>
      <c r="AG22" s="82"/>
      <c r="AH22" s="82"/>
      <c r="AI22" s="82"/>
    </row>
    <row r="23" spans="1:35">
      <c r="B23" s="333" t="s">
        <v>333</v>
      </c>
      <c r="C23" s="332"/>
      <c r="D23" s="332"/>
      <c r="E23" s="332"/>
      <c r="F23" s="332"/>
      <c r="G23" s="332"/>
      <c r="H23" s="332"/>
      <c r="P23" s="82"/>
      <c r="Q23" s="82"/>
      <c r="R23" s="82"/>
      <c r="S23" s="82"/>
      <c r="T23" s="82"/>
      <c r="U23" s="82"/>
      <c r="V23" s="82"/>
      <c r="W23" s="82"/>
      <c r="X23" s="82"/>
      <c r="Y23" s="82"/>
      <c r="Z23" s="82"/>
      <c r="AA23" s="82"/>
      <c r="AB23" s="82"/>
      <c r="AC23" s="82"/>
      <c r="AD23" s="82"/>
      <c r="AE23" s="82"/>
      <c r="AF23" s="82"/>
      <c r="AG23" s="82"/>
      <c r="AH23" s="82"/>
      <c r="AI23" s="82"/>
    </row>
    <row r="24" spans="1:35" ht="12.75" thickBot="1">
      <c r="B24" s="334" t="str">
        <f>Drivers!$C$5&amp;" in mil"</f>
        <v>$ in mil</v>
      </c>
      <c r="C24" s="351">
        <v>43101</v>
      </c>
      <c r="D24" s="351">
        <f>EDATE(C24,12)</f>
        <v>43466</v>
      </c>
      <c r="E24" s="351">
        <f>EDATE(D24,12)</f>
        <v>43831</v>
      </c>
      <c r="F24" s="351">
        <f>EDATE(E24,12)</f>
        <v>44197</v>
      </c>
      <c r="G24" s="351">
        <f>EDATE(F24,12)</f>
        <v>44562</v>
      </c>
      <c r="H24" s="351">
        <f>EDATE(G24,12)</f>
        <v>44927</v>
      </c>
      <c r="P24" s="82"/>
      <c r="Q24" s="82"/>
      <c r="R24" s="82"/>
      <c r="S24" s="82"/>
      <c r="T24" s="82"/>
      <c r="U24" s="82"/>
      <c r="V24" s="82"/>
      <c r="W24" s="82"/>
      <c r="X24" s="82"/>
      <c r="Y24" s="82"/>
      <c r="Z24" s="82"/>
      <c r="AA24" s="82"/>
      <c r="AB24" s="82"/>
      <c r="AC24" s="82"/>
      <c r="AD24" s="82"/>
      <c r="AE24" s="82"/>
      <c r="AF24" s="82"/>
      <c r="AG24" s="82"/>
      <c r="AH24" s="82"/>
      <c r="AI24" s="82"/>
    </row>
    <row r="25" spans="1:35">
      <c r="B25" s="77" t="s">
        <v>300</v>
      </c>
      <c r="C25" s="343">
        <f>'Balance Sheet'!C25</f>
        <v>6487</v>
      </c>
      <c r="D25" s="343">
        <f>'Balance Sheet'!D25</f>
        <v>5124</v>
      </c>
      <c r="E25" s="343">
        <f>'Balance Sheet'!E25</f>
        <v>7514</v>
      </c>
      <c r="F25" s="343">
        <f>'Balance Sheet'!F25</f>
        <v>6692</v>
      </c>
      <c r="G25" s="343">
        <f>'Balance Sheet'!G25</f>
        <v>6484</v>
      </c>
      <c r="H25" s="343">
        <f>'Balance Sheet'!H25</f>
        <v>6506</v>
      </c>
      <c r="P25" s="82"/>
      <c r="Q25" s="82"/>
      <c r="R25" s="82"/>
      <c r="S25" s="82"/>
      <c r="T25" s="82"/>
      <c r="U25" s="82"/>
      <c r="V25" s="82"/>
      <c r="W25" s="82"/>
      <c r="X25" s="82"/>
      <c r="Y25" s="82"/>
      <c r="Z25" s="82"/>
      <c r="AA25" s="82"/>
      <c r="AB25" s="82"/>
      <c r="AC25" s="82"/>
      <c r="AD25" s="82"/>
      <c r="AE25" s="82"/>
      <c r="AF25" s="82"/>
      <c r="AG25" s="82"/>
      <c r="AH25" s="82"/>
      <c r="AI25" s="82"/>
    </row>
    <row r="26" spans="1:35">
      <c r="B26" s="77" t="s">
        <v>452</v>
      </c>
      <c r="C26" s="343">
        <f>'Balance Sheet'!C18</f>
        <v>0</v>
      </c>
      <c r="D26" s="343">
        <f>'Balance Sheet'!D18</f>
        <v>1699</v>
      </c>
      <c r="E26" s="343">
        <f>'Balance Sheet'!E18</f>
        <v>95</v>
      </c>
      <c r="F26" s="343">
        <f>'Balance Sheet'!F18</f>
        <v>799</v>
      </c>
      <c r="G26" s="343">
        <f>'Balance Sheet'!G18</f>
        <v>73</v>
      </c>
      <c r="H26" s="343">
        <f>'Balance Sheet'!H18</f>
        <v>76</v>
      </c>
      <c r="P26" s="82"/>
      <c r="Q26" s="82"/>
      <c r="R26" s="82"/>
      <c r="S26" s="82"/>
      <c r="T26" s="82"/>
      <c r="U26" s="82"/>
      <c r="V26" s="82"/>
      <c r="W26" s="82"/>
      <c r="X26" s="82"/>
      <c r="Y26" s="82"/>
      <c r="Z26" s="82"/>
      <c r="AA26" s="82"/>
      <c r="AB26" s="82"/>
      <c r="AC26" s="82"/>
      <c r="AD26" s="82"/>
      <c r="AE26" s="82"/>
      <c r="AF26" s="82"/>
      <c r="AG26" s="82"/>
      <c r="AH26" s="82"/>
      <c r="AI26" s="82"/>
    </row>
    <row r="27" spans="1:35">
      <c r="B27" s="77" t="s">
        <v>478</v>
      </c>
      <c r="C27" s="344">
        <f>'Balance Sheet'!C24</f>
        <v>0</v>
      </c>
      <c r="D27" s="344">
        <f>'Balance Sheet'!D24</f>
        <v>0</v>
      </c>
      <c r="E27" s="344">
        <f>'Balance Sheet'!E24</f>
        <v>2558</v>
      </c>
      <c r="F27" s="344">
        <f>'Balance Sheet'!F24</f>
        <v>2642</v>
      </c>
      <c r="G27" s="344">
        <f>'Balance Sheet'!G24</f>
        <v>2482</v>
      </c>
      <c r="H27" s="344">
        <f>'Balance Sheet'!H24</f>
        <v>2557</v>
      </c>
      <c r="P27" s="82"/>
      <c r="Q27" s="82"/>
      <c r="R27" s="82"/>
      <c r="S27" s="82"/>
      <c r="T27" s="82"/>
      <c r="U27" s="82"/>
      <c r="V27" s="82"/>
      <c r="W27" s="82"/>
      <c r="X27" s="82"/>
      <c r="Y27" s="82"/>
      <c r="Z27" s="82"/>
      <c r="AA27" s="82"/>
      <c r="AB27" s="82"/>
      <c r="AC27" s="82"/>
      <c r="AD27" s="82"/>
      <c r="AE27" s="82"/>
      <c r="AF27" s="82"/>
      <c r="AG27" s="82"/>
      <c r="AH27" s="82"/>
      <c r="AI27" s="82"/>
    </row>
    <row r="28" spans="1:35">
      <c r="B28" s="77" t="s">
        <v>302</v>
      </c>
      <c r="C28" s="343">
        <f>'Balance Sheet'!C26</f>
        <v>1314</v>
      </c>
      <c r="D28" s="343">
        <f>'Balance Sheet'!D26</f>
        <v>1455</v>
      </c>
      <c r="E28" s="343">
        <f>'Balance Sheet'!E26</f>
        <v>1935</v>
      </c>
      <c r="F28" s="343">
        <f>'Balance Sheet'!F26</f>
        <v>2415</v>
      </c>
      <c r="G28" s="343">
        <f>'Balance Sheet'!G26</f>
        <v>2555</v>
      </c>
      <c r="H28" s="343">
        <f>'Balance Sheet'!H26</f>
        <v>2470</v>
      </c>
      <c r="P28" s="82"/>
      <c r="Q28" s="82"/>
      <c r="R28" s="82"/>
      <c r="S28" s="82"/>
      <c r="T28" s="82"/>
      <c r="U28" s="82"/>
      <c r="V28" s="82"/>
      <c r="W28" s="82"/>
      <c r="X28" s="82"/>
      <c r="Y28" s="82"/>
      <c r="Z28" s="82"/>
      <c r="AA28" s="82"/>
      <c r="AB28" s="82"/>
      <c r="AC28" s="82"/>
      <c r="AD28" s="82"/>
      <c r="AE28" s="82"/>
      <c r="AF28" s="82"/>
      <c r="AG28" s="82"/>
      <c r="AH28" s="82"/>
      <c r="AI28" s="82"/>
    </row>
    <row r="29" spans="1:35">
      <c r="B29" s="77" t="s">
        <v>301</v>
      </c>
      <c r="C29" s="343">
        <f>'Balance Sheet'!C36</f>
        <v>12799</v>
      </c>
      <c r="D29" s="343">
        <f>'Balance Sheet'!D36</f>
        <v>15243</v>
      </c>
      <c r="E29" s="343">
        <f>'Balance Sheet'!E36</f>
        <v>18284</v>
      </c>
      <c r="F29" s="343">
        <f>'Balance Sheet'!F36</f>
        <v>17564</v>
      </c>
      <c r="G29" s="343">
        <f>'Balance Sheet'!G36</f>
        <v>20642</v>
      </c>
      <c r="H29" s="343">
        <f>'Balance Sheet'!H36</f>
        <v>22794</v>
      </c>
      <c r="P29" s="82"/>
      <c r="Q29" s="82"/>
      <c r="R29" s="82"/>
      <c r="S29" s="82"/>
      <c r="T29" s="82"/>
      <c r="U29" s="82"/>
      <c r="V29" s="82"/>
      <c r="W29" s="82"/>
      <c r="X29" s="82"/>
      <c r="Y29" s="82"/>
      <c r="Z29" s="82"/>
      <c r="AA29" s="82"/>
      <c r="AB29" s="82"/>
      <c r="AC29" s="82"/>
      <c r="AD29" s="82"/>
      <c r="AE29" s="82"/>
      <c r="AF29" s="82"/>
      <c r="AG29" s="82"/>
      <c r="AH29" s="82"/>
      <c r="AI29" s="82"/>
    </row>
    <row r="30" spans="1:35">
      <c r="B30" s="338" t="s">
        <v>69</v>
      </c>
      <c r="C30" s="349">
        <f t="shared" ref="C30:H30" si="4">SUM(C25:C29)</f>
        <v>20600</v>
      </c>
      <c r="D30" s="349">
        <f t="shared" si="4"/>
        <v>23521</v>
      </c>
      <c r="E30" s="349">
        <f t="shared" si="4"/>
        <v>30386</v>
      </c>
      <c r="F30" s="349">
        <f t="shared" si="4"/>
        <v>30112</v>
      </c>
      <c r="G30" s="349">
        <f t="shared" si="4"/>
        <v>32236</v>
      </c>
      <c r="H30" s="349">
        <f t="shared" si="4"/>
        <v>34403</v>
      </c>
      <c r="P30" s="82"/>
      <c r="Q30" s="82"/>
      <c r="R30" s="82"/>
      <c r="S30" s="82"/>
      <c r="T30" s="82"/>
      <c r="U30" s="82"/>
      <c r="V30" s="82"/>
      <c r="W30" s="82"/>
      <c r="X30" s="82"/>
      <c r="Y30" s="82"/>
      <c r="Z30" s="82"/>
      <c r="AA30" s="82"/>
      <c r="AB30" s="82"/>
      <c r="AC30" s="82"/>
      <c r="AD30" s="82"/>
      <c r="AE30" s="82"/>
      <c r="AF30" s="82"/>
      <c r="AG30" s="82"/>
      <c r="AH30" s="82"/>
      <c r="AI30" s="82"/>
    </row>
    <row r="31" spans="1:35">
      <c r="P31" s="82"/>
      <c r="Q31" s="82"/>
      <c r="R31" s="82"/>
      <c r="S31" s="82"/>
      <c r="T31" s="82"/>
      <c r="U31" s="82"/>
      <c r="V31" s="82"/>
      <c r="W31" s="82"/>
      <c r="X31" s="82"/>
      <c r="Y31" s="82"/>
      <c r="Z31" s="82"/>
      <c r="AA31" s="82"/>
      <c r="AB31" s="82"/>
      <c r="AC31" s="82"/>
      <c r="AD31" s="82"/>
      <c r="AE31" s="82"/>
      <c r="AF31" s="82"/>
      <c r="AG31" s="82"/>
      <c r="AH31" s="82"/>
      <c r="AI31" s="82"/>
    </row>
    <row r="32" spans="1:35">
      <c r="B32" s="102" t="s">
        <v>165</v>
      </c>
      <c r="C32" s="617">
        <f t="shared" ref="C32:H32" si="5">C11/C5</f>
        <v>3.164378143188111E-2</v>
      </c>
      <c r="D32" s="617">
        <f t="shared" si="5"/>
        <v>3.1021001552032378E-2</v>
      </c>
      <c r="E32" s="617">
        <f t="shared" si="5"/>
        <v>3.259155318089961E-2</v>
      </c>
      <c r="F32" s="617">
        <f t="shared" si="5"/>
        <v>3.4236891935343926E-2</v>
      </c>
      <c r="G32" s="617">
        <f t="shared" si="5"/>
        <v>3.4337354706240032E-2</v>
      </c>
      <c r="H32" s="617">
        <f t="shared" si="5"/>
        <v>3.3883698109987627E-2</v>
      </c>
      <c r="P32" s="82"/>
      <c r="Q32" s="82"/>
      <c r="R32" s="82"/>
      <c r="S32" s="82"/>
      <c r="T32" s="82"/>
      <c r="U32" s="82"/>
      <c r="V32" s="82"/>
      <c r="W32" s="82"/>
      <c r="X32" s="82"/>
      <c r="Y32" s="82"/>
      <c r="Z32" s="82"/>
      <c r="AA32" s="82"/>
      <c r="AB32" s="82"/>
      <c r="AC32" s="82"/>
      <c r="AD32" s="82"/>
      <c r="AE32" s="82"/>
      <c r="AF32" s="82"/>
      <c r="AG32" s="82"/>
      <c r="AH32" s="82"/>
      <c r="AI32" s="82"/>
    </row>
    <row r="33" spans="2:35" ht="12.75" customHeight="1">
      <c r="B33" s="102" t="s">
        <v>626</v>
      </c>
      <c r="C33" s="617">
        <f t="shared" ref="C33:F33" si="6">C13/C21</f>
        <v>0.24800924013263742</v>
      </c>
      <c r="D33" s="617">
        <f t="shared" si="6"/>
        <v>0.24817712619558205</v>
      </c>
      <c r="E33" s="617">
        <f t="shared" si="6"/>
        <v>0.23457150628639212</v>
      </c>
      <c r="F33" s="617">
        <f t="shared" si="6"/>
        <v>0.27462276332582136</v>
      </c>
      <c r="G33" s="617">
        <f>G13/G21</f>
        <v>0.2777768947723015</v>
      </c>
      <c r="H33" s="617">
        <f>H13/H21</f>
        <v>0.28977438203557165</v>
      </c>
      <c r="K33" s="36"/>
      <c r="P33" s="82"/>
      <c r="Q33" s="82"/>
      <c r="R33" s="82"/>
      <c r="S33" s="82"/>
      <c r="T33" s="82"/>
      <c r="U33" s="82"/>
      <c r="V33" s="82"/>
      <c r="W33" s="82"/>
      <c r="X33" s="82"/>
      <c r="Y33" s="82"/>
      <c r="Z33" s="82"/>
      <c r="AA33" s="82"/>
      <c r="AB33" s="82"/>
      <c r="AC33" s="82"/>
      <c r="AD33" s="82"/>
      <c r="AE33" s="82"/>
      <c r="AF33" s="82"/>
      <c r="AG33" s="82"/>
      <c r="AH33" s="82"/>
      <c r="AI33" s="82"/>
    </row>
    <row r="34" spans="2:35">
      <c r="B34" s="102" t="s">
        <v>262</v>
      </c>
      <c r="C34" s="191">
        <f t="shared" ref="C34:H34" si="7">(SUM(C25:C27))/C29</f>
        <v>0.50683647159934375</v>
      </c>
      <c r="D34" s="191">
        <f t="shared" si="7"/>
        <v>0.44761529882569046</v>
      </c>
      <c r="E34" s="191">
        <f t="shared" si="7"/>
        <v>0.55605994311966744</v>
      </c>
      <c r="F34" s="191">
        <f t="shared" si="7"/>
        <v>0.57691869733545886</v>
      </c>
      <c r="G34" s="191">
        <f t="shared" si="7"/>
        <v>0.43789361495979073</v>
      </c>
      <c r="H34" s="191">
        <f t="shared" si="7"/>
        <v>0.40093884355532156</v>
      </c>
      <c r="P34" s="82"/>
      <c r="Q34" s="82"/>
      <c r="R34" s="82"/>
      <c r="S34" s="82"/>
      <c r="T34" s="82"/>
      <c r="U34" s="82"/>
      <c r="V34" s="82"/>
      <c r="W34" s="82"/>
      <c r="X34" s="82"/>
      <c r="Y34" s="82"/>
      <c r="Z34" s="82"/>
      <c r="AA34" s="82"/>
      <c r="AB34" s="82"/>
      <c r="AC34" s="82"/>
      <c r="AD34" s="82"/>
      <c r="AE34" s="82"/>
      <c r="AF34" s="82"/>
      <c r="AG34" s="82"/>
      <c r="AH34" s="82"/>
      <c r="AI34" s="82"/>
    </row>
    <row r="35" spans="2:35">
      <c r="B35" s="102" t="s">
        <v>67</v>
      </c>
      <c r="C35" s="191">
        <f t="shared" ref="C35:H35" si="8">C5/C21</f>
        <v>10.375668743129351</v>
      </c>
      <c r="D35" s="191">
        <f t="shared" si="8"/>
        <v>10.591136079900124</v>
      </c>
      <c r="E35" s="191">
        <f t="shared" si="8"/>
        <v>9.5281110730202254</v>
      </c>
      <c r="F35" s="191">
        <f t="shared" si="8"/>
        <v>10.618882445395913</v>
      </c>
      <c r="G35" s="191">
        <f t="shared" si="8"/>
        <v>10.709418648546622</v>
      </c>
      <c r="H35" s="191">
        <f t="shared" si="8"/>
        <v>11.321547601796841</v>
      </c>
      <c r="P35" s="82"/>
      <c r="Q35" s="82"/>
      <c r="R35" s="82"/>
      <c r="S35" s="82"/>
      <c r="T35" s="82"/>
      <c r="U35" s="82"/>
      <c r="V35" s="82"/>
      <c r="W35" s="82"/>
      <c r="X35" s="82"/>
      <c r="Y35" s="82"/>
      <c r="Z35" s="82"/>
      <c r="AA35" s="82"/>
      <c r="AB35" s="82"/>
      <c r="AC35" s="82"/>
      <c r="AD35" s="82"/>
      <c r="AE35" s="82"/>
      <c r="AF35" s="82"/>
      <c r="AG35" s="82"/>
      <c r="AH35" s="82"/>
      <c r="AI35" s="82"/>
    </row>
    <row r="36" spans="2:35">
      <c r="C36" s="36"/>
      <c r="P36" s="82"/>
      <c r="Q36" s="82"/>
      <c r="R36" s="82"/>
      <c r="S36" s="82"/>
      <c r="T36" s="82"/>
      <c r="U36" s="82"/>
      <c r="V36" s="82"/>
      <c r="W36" s="82"/>
      <c r="X36" s="82"/>
      <c r="Y36" s="82"/>
      <c r="Z36" s="82"/>
      <c r="AA36" s="82"/>
      <c r="AB36" s="82"/>
      <c r="AC36" s="82"/>
      <c r="AD36" s="82"/>
      <c r="AE36" s="82"/>
      <c r="AF36" s="82"/>
      <c r="AG36" s="82"/>
      <c r="AH36" s="82"/>
      <c r="AI36" s="82"/>
    </row>
    <row r="37" spans="2:35">
      <c r="B37" s="82" t="s">
        <v>166</v>
      </c>
      <c r="C37" s="339">
        <f>MEDIAN(C32:H32)</f>
        <v>3.3237625645443622E-2</v>
      </c>
      <c r="G37" s="36"/>
      <c r="H37" s="117"/>
      <c r="P37" s="82"/>
      <c r="Q37" s="82"/>
      <c r="R37" s="82"/>
      <c r="S37" s="82"/>
      <c r="T37" s="82"/>
      <c r="U37" s="82"/>
      <c r="V37" s="82"/>
      <c r="W37" s="82"/>
      <c r="X37" s="82"/>
      <c r="Y37" s="82"/>
      <c r="Z37" s="82"/>
      <c r="AA37" s="82"/>
      <c r="AB37" s="82"/>
      <c r="AC37" s="82"/>
      <c r="AD37" s="82"/>
      <c r="AE37" s="82"/>
      <c r="AF37" s="82"/>
      <c r="AG37" s="82"/>
      <c r="AH37" s="82"/>
      <c r="AI37" s="82"/>
    </row>
    <row r="38" spans="2:35">
      <c r="B38" s="336" t="s">
        <v>167</v>
      </c>
      <c r="C38" s="346">
        <f>H5*C37</f>
        <v>7790.5670750355303</v>
      </c>
      <c r="D38" s="117"/>
      <c r="F38" s="117"/>
      <c r="G38" s="117"/>
      <c r="P38" s="82"/>
      <c r="Q38" s="82"/>
      <c r="R38" s="82"/>
      <c r="S38" s="82"/>
      <c r="T38" s="82"/>
      <c r="U38" s="82"/>
      <c r="V38" s="82"/>
      <c r="W38" s="82"/>
      <c r="X38" s="82"/>
      <c r="Y38" s="82"/>
      <c r="Z38" s="82"/>
      <c r="AA38" s="82"/>
      <c r="AB38" s="82"/>
      <c r="AC38" s="82"/>
      <c r="AD38" s="82"/>
      <c r="AE38" s="82"/>
      <c r="AF38" s="82"/>
      <c r="AG38" s="82"/>
      <c r="AH38" s="82"/>
      <c r="AI38" s="82"/>
    </row>
    <row r="39" spans="2:35">
      <c r="P39" s="82"/>
      <c r="Q39" s="82"/>
      <c r="R39" s="82"/>
      <c r="S39" s="82"/>
      <c r="T39" s="82"/>
      <c r="U39" s="82"/>
      <c r="V39" s="82"/>
      <c r="W39" s="82"/>
      <c r="X39" s="82"/>
      <c r="Y39" s="82"/>
      <c r="Z39" s="82"/>
      <c r="AA39" s="82"/>
      <c r="AB39" s="82"/>
      <c r="AC39" s="82"/>
      <c r="AD39" s="82"/>
      <c r="AE39" s="82"/>
      <c r="AF39" s="82"/>
      <c r="AG39" s="82"/>
      <c r="AH39" s="82"/>
      <c r="AI39" s="82"/>
    </row>
    <row r="40" spans="2:35">
      <c r="P40" s="82"/>
      <c r="Q40" s="82"/>
      <c r="R40" s="82"/>
      <c r="S40" s="82"/>
      <c r="T40" s="82"/>
      <c r="U40" s="82"/>
      <c r="V40" s="82"/>
      <c r="W40" s="82"/>
      <c r="X40" s="82"/>
      <c r="Y40" s="82"/>
      <c r="Z40" s="82"/>
      <c r="AA40" s="82"/>
      <c r="AB40" s="82"/>
      <c r="AC40" s="82"/>
      <c r="AD40" s="82"/>
      <c r="AE40" s="82"/>
      <c r="AF40" s="82"/>
      <c r="AG40" s="82"/>
      <c r="AH40" s="82"/>
      <c r="AI40" s="82"/>
    </row>
    <row r="41" spans="2:35">
      <c r="P41" s="82"/>
      <c r="Q41" s="82"/>
      <c r="R41" s="82"/>
      <c r="S41" s="82"/>
      <c r="T41" s="82"/>
      <c r="U41" s="82"/>
      <c r="V41" s="82"/>
      <c r="W41" s="82"/>
      <c r="X41" s="82"/>
      <c r="Y41" s="82"/>
      <c r="Z41" s="82"/>
      <c r="AA41" s="82"/>
      <c r="AB41" s="82"/>
      <c r="AC41" s="82"/>
      <c r="AD41" s="82"/>
      <c r="AE41" s="82"/>
      <c r="AF41" s="82"/>
      <c r="AG41" s="82"/>
      <c r="AH41" s="82"/>
      <c r="AI41" s="82"/>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41"/>
  <sheetViews>
    <sheetView workbookViewId="0"/>
  </sheetViews>
  <sheetFormatPr defaultRowHeight="12"/>
  <cols>
    <col min="1" max="1" width="2" style="77" customWidth="1"/>
    <col min="2" max="2" width="25.42578125" style="77" customWidth="1"/>
    <col min="3" max="7" width="11.7109375" style="77" customWidth="1"/>
    <col min="8" max="8" width="12.28515625" style="77" customWidth="1"/>
    <col min="9" max="9" width="11" style="77" customWidth="1"/>
    <col min="10" max="10" width="10.7109375" style="77" customWidth="1" collapsed="1"/>
    <col min="11" max="15" width="10.7109375" style="77" customWidth="1"/>
    <col min="16" max="16" width="11.140625" style="77" customWidth="1"/>
    <col min="17" max="29" width="9.140625" style="77" customWidth="1"/>
    <col min="30" max="30" width="9.28515625" style="77" customWidth="1"/>
    <col min="31" max="31" width="9.42578125" style="77" customWidth="1"/>
    <col min="32" max="32" width="10" style="77" customWidth="1"/>
    <col min="33" max="33" width="11.42578125" style="77" customWidth="1"/>
    <col min="34" max="34" width="9.42578125" style="77" bestFit="1" customWidth="1" collapsed="1"/>
    <col min="35" max="16384" width="9.140625" style="77"/>
  </cols>
  <sheetData>
    <row r="1" spans="1:35" s="76" customFormat="1" ht="15" customHeight="1">
      <c r="B1" s="15" t="s">
        <v>193</v>
      </c>
      <c r="C1" s="15"/>
      <c r="D1" s="15"/>
      <c r="E1" s="15"/>
      <c r="F1" s="15"/>
      <c r="G1" s="75"/>
      <c r="H1" s="75"/>
      <c r="I1" s="75"/>
      <c r="J1" s="75"/>
      <c r="K1" s="75"/>
      <c r="L1" s="75"/>
      <c r="M1" s="75"/>
      <c r="N1" s="75"/>
      <c r="O1" s="75"/>
    </row>
    <row r="2" spans="1:35" ht="12" customHeight="1"/>
    <row r="3" spans="1:35" s="79" customFormat="1" ht="12" customHeight="1" thickBot="1">
      <c r="A3" s="77"/>
      <c r="B3" s="668" t="s">
        <v>636</v>
      </c>
      <c r="C3" s="351">
        <v>43343</v>
      </c>
      <c r="D3" s="351">
        <f>EDATE(C3,12)</f>
        <v>43708</v>
      </c>
      <c r="E3" s="351">
        <f>EDATE(D3,12)</f>
        <v>44074</v>
      </c>
      <c r="F3" s="351">
        <f>EDATE(E3,12)</f>
        <v>44439</v>
      </c>
      <c r="G3" s="351">
        <f>EDATE(F3,12)</f>
        <v>44804</v>
      </c>
      <c r="H3" s="351" t="s">
        <v>596</v>
      </c>
      <c r="I3" s="665" t="s">
        <v>662</v>
      </c>
      <c r="J3" s="665" t="s">
        <v>663</v>
      </c>
      <c r="K3" s="665" t="s">
        <v>664</v>
      </c>
      <c r="L3" s="77"/>
      <c r="M3" s="77"/>
      <c r="N3" s="77"/>
      <c r="O3" s="77"/>
      <c r="P3" s="170"/>
      <c r="Q3" s="78"/>
      <c r="R3" s="78"/>
      <c r="S3" s="78"/>
      <c r="T3" s="78"/>
      <c r="U3" s="78"/>
      <c r="V3" s="78"/>
      <c r="W3" s="78"/>
      <c r="X3" s="78"/>
      <c r="Y3" s="78"/>
      <c r="Z3" s="78"/>
      <c r="AA3" s="78"/>
      <c r="AB3" s="78"/>
      <c r="AC3" s="78"/>
      <c r="AD3" s="78"/>
    </row>
    <row r="4" spans="1:35" ht="12" customHeight="1">
      <c r="B4" s="365" t="s">
        <v>637</v>
      </c>
      <c r="C4" s="343"/>
      <c r="D4" s="343"/>
      <c r="E4" s="343"/>
      <c r="F4" s="343"/>
      <c r="G4" s="343"/>
      <c r="H4" s="343"/>
    </row>
    <row r="5" spans="1:35" ht="12" customHeight="1">
      <c r="A5" s="79"/>
      <c r="B5" s="340" t="s">
        <v>638</v>
      </c>
      <c r="C5" s="505">
        <f>'Balance Sheet'!C11/'Balance Sheet'!C23</f>
        <v>1.0182174043962662</v>
      </c>
      <c r="D5" s="505">
        <f>'Balance Sheet'!D11/'Balance Sheet'!D23</f>
        <v>1.0106726341610364</v>
      </c>
      <c r="E5" s="505">
        <f>'Balance Sheet'!E11/'Balance Sheet'!E23</f>
        <v>1.1318628240218966</v>
      </c>
      <c r="F5" s="505">
        <f>'Balance Sheet'!F11/'Balance Sheet'!F23</f>
        <v>1.0021738392038313</v>
      </c>
      <c r="G5" s="505">
        <f>'Balance Sheet'!G11/'Balance Sheet'!G23</f>
        <v>1.0218138633664604</v>
      </c>
      <c r="H5" s="505">
        <f>'Balance Sheet'!H11/'Balance Sheet'!H23</f>
        <v>1.0557879197933324</v>
      </c>
      <c r="J5" s="117">
        <f>MEDIAN(C5:H5)</f>
        <v>1.0200156338813633</v>
      </c>
      <c r="K5" s="117">
        <f>AVERAGE(C5:H5)</f>
        <v>1.040088080823804</v>
      </c>
    </row>
    <row r="6" spans="1:35" ht="12" customHeight="1">
      <c r="A6" s="84"/>
      <c r="B6" s="340" t="s">
        <v>639</v>
      </c>
      <c r="C6" s="669">
        <f>('Balance Sheet'!C11-'Balance Sheet'!C9)/'Balance Sheet'!C23</f>
        <v>0.46416741945197232</v>
      </c>
      <c r="D6" s="669">
        <f>('Balance Sheet'!D11-'Balance Sheet'!D9)/'Balance Sheet'!D23</f>
        <v>0.52029091535051852</v>
      </c>
      <c r="E6" s="669">
        <f>('Balance Sheet'!E11-'Balance Sheet'!E9)/'Balance Sheet'!E23</f>
        <v>0.63910803413298989</v>
      </c>
      <c r="F6" s="669">
        <f>('Balance Sheet'!F11-'Balance Sheet'!F9)/'Balance Sheet'!F23</f>
        <v>0.51934377229034345</v>
      </c>
      <c r="G6" s="669">
        <f>('Balance Sheet'!G11-'Balance Sheet'!G9)/'Balance Sheet'!G23</f>
        <v>0.46218513657103572</v>
      </c>
      <c r="H6" s="669">
        <f>('Balance Sheet'!H11-'Balance Sheet'!H9)/'Balance Sheet'!H23</f>
        <v>0.56123139377537212</v>
      </c>
      <c r="J6" s="117">
        <f t="shared" ref="J6:J7" si="0">MEDIAN(C6:H6)</f>
        <v>0.51981734382043099</v>
      </c>
      <c r="K6" s="117">
        <f t="shared" ref="K6:K7" si="1">AVERAGE(C6:H6)</f>
        <v>0.5277211119287053</v>
      </c>
      <c r="Q6" s="81"/>
      <c r="R6" s="81"/>
      <c r="S6" s="81"/>
      <c r="T6" s="81"/>
      <c r="U6" s="81"/>
      <c r="V6" s="81"/>
      <c r="AA6" s="81"/>
    </row>
    <row r="7" spans="1:35" ht="12" customHeight="1">
      <c r="B7" s="340" t="s">
        <v>640</v>
      </c>
      <c r="C7" s="505">
        <f>('Balance Sheet'!C6+'Balance Sheet'!C7)/'Balance Sheet'!C23</f>
        <v>0.36429790223828162</v>
      </c>
      <c r="D7" s="505">
        <f>('Balance Sheet'!D6+'Balance Sheet'!D7)/'Balance Sheet'!D23</f>
        <v>0.40642079442268797</v>
      </c>
      <c r="E7" s="505">
        <f>('Balance Sheet'!E6+'Balance Sheet'!E7)/'Balance Sheet'!E23</f>
        <v>0.5355417807116406</v>
      </c>
      <c r="F7" s="505">
        <f>('Balance Sheet'!F6+'Balance Sheet'!F7)/'Balance Sheet'!F23</f>
        <v>0.4135389422913624</v>
      </c>
      <c r="G7" s="505">
        <f>('Balance Sheet'!G6+'Balance Sheet'!G7)/'Balance Sheet'!G23</f>
        <v>0.34530283142696416</v>
      </c>
      <c r="H7" s="505">
        <f>('Balance Sheet'!H6+'Balance Sheet'!H7)/'Balance Sheet'!H23</f>
        <v>0.42148480747939476</v>
      </c>
      <c r="J7" s="117">
        <f t="shared" si="0"/>
        <v>0.40997986835702516</v>
      </c>
      <c r="K7" s="117">
        <f t="shared" si="1"/>
        <v>0.41443117642838861</v>
      </c>
      <c r="P7" s="82"/>
      <c r="Q7" s="82"/>
      <c r="R7" s="82"/>
      <c r="S7" s="82"/>
      <c r="T7" s="82"/>
      <c r="U7" s="82"/>
      <c r="V7" s="82"/>
      <c r="W7" s="82"/>
      <c r="X7" s="82"/>
      <c r="Y7" s="82"/>
      <c r="Z7" s="82"/>
      <c r="AA7" s="82"/>
      <c r="AB7" s="82"/>
      <c r="AC7" s="82"/>
      <c r="AD7" s="82"/>
      <c r="AE7" s="82"/>
      <c r="AF7" s="82"/>
    </row>
    <row r="8" spans="1:35" ht="12" customHeight="1">
      <c r="A8" s="84"/>
      <c r="B8" s="365" t="s">
        <v>641</v>
      </c>
      <c r="C8" s="356"/>
      <c r="D8" s="356"/>
      <c r="E8" s="356"/>
      <c r="F8" s="356"/>
      <c r="G8" s="356"/>
      <c r="H8" s="356"/>
      <c r="P8" s="82"/>
      <c r="Q8" s="82"/>
      <c r="R8" s="82"/>
      <c r="S8" s="82"/>
      <c r="T8" s="82"/>
      <c r="U8" s="82"/>
      <c r="V8" s="82"/>
      <c r="W8" s="82"/>
      <c r="X8" s="82"/>
      <c r="Y8" s="82"/>
      <c r="Z8" s="82"/>
      <c r="AA8" s="82"/>
      <c r="AB8" s="82"/>
      <c r="AC8" s="82"/>
      <c r="AD8" s="82"/>
      <c r="AE8" s="82"/>
      <c r="AF8" s="82"/>
    </row>
    <row r="9" spans="1:35" ht="12" customHeight="1">
      <c r="A9" s="84"/>
      <c r="B9" s="340" t="s">
        <v>642</v>
      </c>
      <c r="C9" s="505">
        <f>-'Income Statement'!C12/('Balance Sheet'!C9)</f>
        <v>11.155072463768116</v>
      </c>
      <c r="D9" s="505">
        <f>-'Income Statement'!D12/(AVERAGE('Balance Sheet'!C9+'Balance Sheet'!D9))</f>
        <v>5.9231557833741917</v>
      </c>
      <c r="E9" s="505">
        <f>-'Income Statement'!E12/(AVERAGE('Balance Sheet'!D9+'Balance Sheet'!E9))</f>
        <v>6.1318695265896688</v>
      </c>
      <c r="F9" s="505">
        <f>-'Income Statement'!F12/(AVERAGE('Balance Sheet'!E9+'Balance Sheet'!F9))</f>
        <v>6.4513739275050082</v>
      </c>
      <c r="G9" s="505">
        <f>-'Income Statement'!G12/(AVERAGE('Balance Sheet'!F9+'Balance Sheet'!G9))</f>
        <v>6.2070232239586574</v>
      </c>
      <c r="H9" s="505">
        <f>-'Income Statement'!H12/(AVERAGE('Balance Sheet'!G9+'Balance Sheet'!H9))</f>
        <v>6.0640520183594209</v>
      </c>
      <c r="J9" s="117">
        <f t="shared" ref="J9:J15" si="2">MEDIAN(C9:H9)</f>
        <v>6.1694463752741626</v>
      </c>
      <c r="K9" s="117">
        <f t="shared" ref="K9:K15" si="3">AVERAGE(C9:H9)</f>
        <v>6.9887578239258437</v>
      </c>
      <c r="P9" s="82"/>
      <c r="Q9" s="82"/>
      <c r="R9" s="82"/>
      <c r="S9" s="82"/>
      <c r="T9" s="82"/>
      <c r="U9" s="82"/>
      <c r="V9" s="82"/>
      <c r="W9" s="82"/>
      <c r="X9" s="82"/>
      <c r="Y9" s="82"/>
      <c r="Z9" s="82"/>
      <c r="AA9" s="82"/>
      <c r="AB9" s="82"/>
      <c r="AC9" s="82"/>
      <c r="AD9" s="82"/>
      <c r="AE9" s="82"/>
      <c r="AF9" s="82"/>
      <c r="AG9" s="82"/>
      <c r="AH9" s="82"/>
      <c r="AI9" s="82"/>
    </row>
    <row r="10" spans="1:35">
      <c r="B10" s="340" t="s">
        <v>643</v>
      </c>
      <c r="C10" s="505">
        <f>'Income Statement'!C11/('Balance Sheet'!C8)</f>
        <v>84.826842420611143</v>
      </c>
      <c r="D10" s="505">
        <f>'Income Statement'!D11/(AVERAGE('Balance Sheet'!C8,'Balance Sheet'!D8))</f>
        <v>95.32022471910112</v>
      </c>
      <c r="E10" s="505">
        <f>'Income Statement'!E11/(AVERAGE('Balance Sheet'!D8,'Balance Sheet'!E8))</f>
        <v>108.11085899513776</v>
      </c>
      <c r="F10" s="505">
        <f>'Income Statement'!F11/(AVERAGE('Balance Sheet'!E8,'Balance Sheet'!F8))</f>
        <v>116.86787951088577</v>
      </c>
      <c r="G10" s="505">
        <f>'Income Statement'!G11/(AVERAGE('Balance Sheet'!F8,'Balance Sheet'!G8))</f>
        <v>112.24233432245302</v>
      </c>
      <c r="H10" s="505">
        <f>'Income Statement'!H11/(AVERAGE('Balance Sheet'!G8,'Balance Sheet'!H8))</f>
        <v>94.607467204843587</v>
      </c>
      <c r="J10" s="117">
        <f t="shared" si="2"/>
        <v>101.71554185711943</v>
      </c>
      <c r="K10" s="117">
        <f t="shared" si="3"/>
        <v>101.99593452883873</v>
      </c>
      <c r="P10" s="82"/>
      <c r="Q10" s="92"/>
      <c r="R10" s="82"/>
      <c r="S10" s="82"/>
      <c r="T10" s="82"/>
      <c r="U10" s="82"/>
      <c r="V10" s="82"/>
      <c r="W10" s="82"/>
      <c r="X10" s="82"/>
      <c r="Y10" s="82"/>
      <c r="Z10" s="82"/>
      <c r="AA10" s="82"/>
      <c r="AB10" s="82"/>
      <c r="AC10" s="82"/>
      <c r="AD10" s="82"/>
      <c r="AE10" s="82"/>
      <c r="AF10" s="82"/>
      <c r="AG10" s="82"/>
      <c r="AH10" s="82"/>
      <c r="AI10" s="82"/>
    </row>
    <row r="11" spans="1:35">
      <c r="A11" s="84"/>
      <c r="B11" s="340" t="s">
        <v>661</v>
      </c>
      <c r="C11" s="670">
        <f>-'Income Statement'!C12/('Balance Sheet'!C17)</f>
        <v>10.959508765684792</v>
      </c>
      <c r="D11" s="670">
        <f>-'Income Statement'!D12/(AVERAGE('Balance Sheet'!C17,'Balance Sheet'!D17))</f>
        <v>11.59766102286612</v>
      </c>
      <c r="E11" s="670">
        <f>-'Income Statement'!E12/(AVERAGE('Balance Sheet'!D17,'Balance Sheet'!E17))</f>
        <v>11.213415341766275</v>
      </c>
      <c r="F11" s="670">
        <f>-'Income Statement'!F12/(AVERAGE('Balance Sheet'!E17,'Balance Sheet'!F17))</f>
        <v>11.210771756978653</v>
      </c>
      <c r="G11" s="670">
        <f>-'Income Statement'!G12/(AVERAGE('Balance Sheet'!F17,'Balance Sheet'!G17))</f>
        <v>11.68504952235832</v>
      </c>
      <c r="H11" s="670">
        <f>-'Income Statement'!H12/(AVERAGE('Balance Sheet'!G17,'Balance Sheet'!H17))</f>
        <v>12.033571741351627</v>
      </c>
      <c r="J11" s="117">
        <f t="shared" si="2"/>
        <v>11.405538182316198</v>
      </c>
      <c r="K11" s="117">
        <f t="shared" si="3"/>
        <v>11.449996358500963</v>
      </c>
      <c r="P11" s="82"/>
      <c r="Q11" s="82"/>
      <c r="R11" s="82"/>
      <c r="S11" s="82"/>
      <c r="T11" s="82"/>
      <c r="U11" s="82"/>
      <c r="V11" s="82"/>
      <c r="W11" s="82"/>
      <c r="X11" s="82"/>
      <c r="Y11" s="82"/>
      <c r="Z11" s="82"/>
      <c r="AA11" s="82"/>
      <c r="AB11" s="82"/>
      <c r="AC11" s="82"/>
      <c r="AD11" s="82"/>
      <c r="AE11" s="82"/>
      <c r="AF11" s="82"/>
      <c r="AG11" s="82"/>
      <c r="AH11" s="82"/>
      <c r="AI11" s="82"/>
    </row>
    <row r="12" spans="1:35">
      <c r="A12" s="79"/>
      <c r="B12" s="340" t="s">
        <v>644</v>
      </c>
      <c r="C12" s="670">
        <f>'Income Statement'!C11/'Balance Sheet'!C36</f>
        <v>11.061489178842097</v>
      </c>
      <c r="D12" s="670">
        <f>'Income Statement'!D11/'Balance Sheet'!D36</f>
        <v>10.017909860263728</v>
      </c>
      <c r="E12" s="670">
        <f>'Income Statement'!E11/'Balance Sheet'!E36</f>
        <v>9.1205972434915772</v>
      </c>
      <c r="F12" s="670">
        <f>'Income Statement'!F11/'Balance Sheet'!F36</f>
        <v>11.155146891368709</v>
      </c>
      <c r="G12" s="670">
        <f>'Income Statement'!G11/'Balance Sheet'!G36</f>
        <v>10.994767948842167</v>
      </c>
      <c r="H12" s="670">
        <f>'Income Statement'!H11/'Balance Sheet'!H36</f>
        <v>10.28296920242169</v>
      </c>
      <c r="J12" s="117">
        <f t="shared" si="2"/>
        <v>10.638868575631928</v>
      </c>
      <c r="K12" s="117">
        <f t="shared" si="3"/>
        <v>10.438813387538328</v>
      </c>
      <c r="P12" s="82"/>
      <c r="Q12" s="82"/>
      <c r="R12" s="82"/>
      <c r="S12" s="82"/>
      <c r="T12" s="82"/>
      <c r="U12" s="82"/>
      <c r="V12" s="82"/>
      <c r="W12" s="82"/>
      <c r="X12" s="82"/>
      <c r="Y12" s="82"/>
      <c r="Z12" s="82"/>
      <c r="AA12" s="82"/>
      <c r="AB12" s="82"/>
      <c r="AC12" s="82"/>
      <c r="AD12" s="82"/>
      <c r="AE12" s="82"/>
      <c r="AF12" s="82"/>
      <c r="AG12" s="82"/>
      <c r="AH12" s="82"/>
    </row>
    <row r="13" spans="1:35">
      <c r="B13" s="341" t="s">
        <v>645</v>
      </c>
      <c r="C13" s="505">
        <f>'Income Statement'!C11/'Balance Sheet'!C15</f>
        <v>3.4674504041146217</v>
      </c>
      <c r="D13" s="505">
        <f>'Income Statement'!D11/'Balance Sheet'!D15</f>
        <v>3.363502202643172</v>
      </c>
      <c r="E13" s="505">
        <f>'Income Statement'!E11/'Balance Sheet'!E15</f>
        <v>3.001673986608107</v>
      </c>
      <c r="F13" s="505">
        <f>'Income Statement'!F11/'Balance Sheet'!F15</f>
        <v>3.3058142673955593</v>
      </c>
      <c r="G13" s="505">
        <f>'Income Statement'!G11/'Balance Sheet'!G15</f>
        <v>3.5369822024124926</v>
      </c>
      <c r="H13" s="505">
        <f>'Income Statement'!H11/'Balance Sheet'!H15</f>
        <v>3.5063128291048349</v>
      </c>
      <c r="J13" s="117">
        <f t="shared" si="2"/>
        <v>3.4154763033788971</v>
      </c>
      <c r="K13" s="117">
        <f t="shared" si="3"/>
        <v>3.363622648713132</v>
      </c>
      <c r="P13" s="82"/>
      <c r="Q13" s="82"/>
      <c r="R13" s="82"/>
      <c r="S13" s="82"/>
      <c r="T13" s="82"/>
      <c r="U13" s="82"/>
      <c r="V13" s="82"/>
      <c r="W13" s="82"/>
      <c r="X13" s="82"/>
      <c r="Y13" s="82"/>
      <c r="Z13" s="82"/>
      <c r="AA13" s="82"/>
      <c r="AB13" s="82"/>
      <c r="AC13" s="82"/>
      <c r="AD13" s="82"/>
      <c r="AE13" s="82"/>
      <c r="AF13" s="82"/>
      <c r="AG13" s="82"/>
      <c r="AH13" s="82"/>
    </row>
    <row r="14" spans="1:35">
      <c r="A14" s="84"/>
      <c r="B14" s="341" t="s">
        <v>646</v>
      </c>
      <c r="C14" s="117">
        <f>365/C9+365/C10-365/C11</f>
        <v>3.7190112939467141</v>
      </c>
      <c r="D14" s="117">
        <f>365/D9+365/D10-365/D11</f>
        <v>33.979890929926569</v>
      </c>
      <c r="E14" s="117">
        <f>365/E9+365/E10-365/E11</f>
        <v>30.350943136101961</v>
      </c>
      <c r="F14" s="117">
        <f>365/F9+365/F10-365/F11</f>
        <v>27.142307987049008</v>
      </c>
      <c r="G14" s="117">
        <f>365/G9+365/G10-365/G11</f>
        <v>30.819752140408529</v>
      </c>
      <c r="H14" s="117">
        <f>365/H9+365/H10-365/H11</f>
        <v>33.717013934919649</v>
      </c>
      <c r="J14" s="117">
        <f>MEDIAN(C14:H14)</f>
        <v>30.585347638255243</v>
      </c>
      <c r="K14" s="117">
        <f>AVERAGE(C14:H14)</f>
        <v>26.621486570392069</v>
      </c>
      <c r="P14" s="82"/>
      <c r="Q14" s="82"/>
      <c r="R14" s="82"/>
      <c r="S14" s="82"/>
      <c r="T14" s="82"/>
      <c r="U14" s="82"/>
      <c r="V14" s="82"/>
      <c r="W14" s="82"/>
      <c r="X14" s="82"/>
      <c r="Y14" s="82"/>
      <c r="Z14" s="82"/>
      <c r="AA14" s="82"/>
      <c r="AB14" s="82"/>
      <c r="AC14" s="82"/>
      <c r="AD14" s="82"/>
      <c r="AE14" s="82"/>
      <c r="AF14" s="82"/>
      <c r="AG14" s="82"/>
      <c r="AH14" s="82"/>
    </row>
    <row r="15" spans="1:35">
      <c r="A15" s="84"/>
      <c r="B15" s="365" t="s">
        <v>659</v>
      </c>
      <c r="C15" s="667"/>
      <c r="D15" s="667"/>
      <c r="E15" s="667"/>
      <c r="F15" s="667"/>
      <c r="G15" s="667"/>
      <c r="H15" s="667"/>
      <c r="P15" s="82"/>
      <c r="Q15" s="82"/>
      <c r="R15" s="82"/>
      <c r="S15" s="82"/>
      <c r="T15" s="82"/>
      <c r="U15" s="82"/>
      <c r="V15" s="82"/>
      <c r="W15" s="82"/>
      <c r="X15" s="82"/>
      <c r="Y15" s="82"/>
      <c r="Z15" s="82"/>
      <c r="AA15" s="82"/>
      <c r="AB15" s="82"/>
      <c r="AC15" s="82"/>
      <c r="AD15" s="82"/>
      <c r="AE15" s="82"/>
      <c r="AF15" s="82"/>
      <c r="AG15" s="82"/>
      <c r="AH15" s="82"/>
    </row>
    <row r="16" spans="1:35">
      <c r="B16" s="340" t="s">
        <v>647</v>
      </c>
      <c r="C16" s="671">
        <f>'Income Statement'!C24/'Income Statement'!C11</f>
        <v>2.2454370797310278E-2</v>
      </c>
      <c r="D16" s="671">
        <f>'Income Statement'!D24/'Income Statement'!D11</f>
        <v>2.4256235961310518E-2</v>
      </c>
      <c r="E16" s="671">
        <f>'Income Statement'!E24/'Income Statement'!E11</f>
        <v>2.4340223433536617E-2</v>
      </c>
      <c r="F16" s="671">
        <f>'Income Statement'!F24/'Income Statement'!F11</f>
        <v>2.5922655655875343E-2</v>
      </c>
      <c r="G16" s="671">
        <f>'Income Statement'!G24/'Income Statement'!G11</f>
        <v>2.6062550120288693E-2</v>
      </c>
      <c r="H16" s="671">
        <f>'Income Statement'!H24/'Income Statement'!H11</f>
        <v>2.5939673194248902E-2</v>
      </c>
      <c r="J16" s="117">
        <f t="shared" ref="J16:J21" si="4">MEDIAN(C16:H16)</f>
        <v>2.513143954470598E-2</v>
      </c>
      <c r="K16" s="117">
        <f t="shared" ref="K16:K21" si="5">AVERAGE(C16:H16)</f>
        <v>2.4829284860428388E-2</v>
      </c>
      <c r="R16" s="82"/>
      <c r="S16" s="82"/>
      <c r="T16" s="82"/>
      <c r="U16" s="82"/>
      <c r="V16" s="82"/>
      <c r="W16" s="82"/>
      <c r="X16" s="82"/>
      <c r="Y16" s="82"/>
      <c r="Z16" s="82"/>
      <c r="AA16" s="82"/>
      <c r="AB16" s="82"/>
      <c r="AC16" s="82"/>
      <c r="AD16" s="82"/>
      <c r="AE16" s="82"/>
      <c r="AF16" s="82"/>
      <c r="AG16" s="82"/>
      <c r="AH16" s="82"/>
      <c r="AI16" s="82"/>
    </row>
    <row r="17" spans="1:35">
      <c r="A17" s="84"/>
      <c r="B17" s="340" t="s">
        <v>648</v>
      </c>
      <c r="C17" s="671">
        <f>'Income Statement'!C17/('Balance Sheet'!C15-'Balance Sheet'!C23)</f>
        <v>0.21431305013394567</v>
      </c>
      <c r="D17" s="671">
        <f>'Income Statement'!D17/('Balance Sheet'!D15-'Balance Sheet'!D23)</f>
        <v>0.21373460271623879</v>
      </c>
      <c r="E17" s="671">
        <f>'Income Statement'!E17/('Balance Sheet'!E15-'Balance Sheet'!E23)</f>
        <v>0.17696665798384997</v>
      </c>
      <c r="F17" s="671">
        <f>'Income Statement'!F17/('Balance Sheet'!F15-'Balance Sheet'!F23)</f>
        <v>0.22489690548831595</v>
      </c>
      <c r="G17" s="671">
        <f>'Income Statement'!G17/('Balance Sheet'!G15-'Balance Sheet'!G23)</f>
        <v>0.24225938821188758</v>
      </c>
      <c r="H17" s="671">
        <f>'Income Statement'!H17/('Balance Sheet'!H15-'Balance Sheet'!H23)</f>
        <v>0.23132937201444717</v>
      </c>
      <c r="J17" s="117">
        <f t="shared" si="4"/>
        <v>0.21960497781113081</v>
      </c>
      <c r="K17" s="117">
        <f t="shared" si="5"/>
        <v>0.21724999609144754</v>
      </c>
      <c r="R17" s="82"/>
      <c r="S17" s="82"/>
      <c r="T17" s="82"/>
      <c r="U17" s="82"/>
      <c r="V17" s="82"/>
      <c r="W17" s="82"/>
      <c r="X17" s="82"/>
      <c r="Y17" s="82"/>
      <c r="Z17" s="82"/>
      <c r="AA17" s="82"/>
      <c r="AB17" s="82"/>
      <c r="AC17" s="82"/>
      <c r="AD17" s="82"/>
      <c r="AE17" s="82"/>
      <c r="AF17" s="82"/>
      <c r="AG17" s="82"/>
      <c r="AH17" s="82"/>
      <c r="AI17" s="82"/>
    </row>
    <row r="18" spans="1:35">
      <c r="B18" s="340" t="s">
        <v>289</v>
      </c>
      <c r="C18" s="671">
        <f>'Accounting Adjustments'!C33</f>
        <v>0.24800924013263742</v>
      </c>
      <c r="D18" s="671">
        <f>'Accounting Adjustments'!D33</f>
        <v>0.24817712619558205</v>
      </c>
      <c r="E18" s="671">
        <f>'Accounting Adjustments'!E33</f>
        <v>0.23457150628639212</v>
      </c>
      <c r="F18" s="671">
        <f>'Accounting Adjustments'!F33</f>
        <v>0.27462276332582136</v>
      </c>
      <c r="G18" s="671">
        <f>'Accounting Adjustments'!G33</f>
        <v>0.2777768947723015</v>
      </c>
      <c r="H18" s="671">
        <f>'Accounting Adjustments'!H33</f>
        <v>0.28977438203557165</v>
      </c>
      <c r="J18" s="117">
        <f t="shared" si="4"/>
        <v>0.26139994476070172</v>
      </c>
      <c r="K18" s="117">
        <f t="shared" si="5"/>
        <v>0.26215531879138432</v>
      </c>
      <c r="P18" s="82"/>
      <c r="Q18" s="82"/>
      <c r="R18" s="82"/>
      <c r="S18" s="82"/>
      <c r="T18" s="82"/>
      <c r="U18" s="82"/>
      <c r="V18" s="82"/>
      <c r="W18" s="82"/>
      <c r="X18" s="82"/>
      <c r="Y18" s="82"/>
      <c r="Z18" s="82"/>
      <c r="AA18" s="82"/>
      <c r="AB18" s="82"/>
      <c r="AC18" s="82"/>
      <c r="AD18" s="82"/>
      <c r="AE18" s="82"/>
      <c r="AF18" s="82"/>
      <c r="AG18" s="82"/>
      <c r="AH18" s="82"/>
      <c r="AI18" s="82"/>
    </row>
    <row r="19" spans="1:35">
      <c r="B19" s="341" t="s">
        <v>649</v>
      </c>
      <c r="C19" s="671">
        <f>'Income Statement'!C24/'Balance Sheet'!C36</f>
        <v>0.24837877959215562</v>
      </c>
      <c r="D19" s="671">
        <f>'Income Statement'!D24/'Balance Sheet'!D36</f>
        <v>0.24299678540969624</v>
      </c>
      <c r="E19" s="671">
        <f>'Income Statement'!E24/'Balance Sheet'!E36</f>
        <v>0.22199737475388318</v>
      </c>
      <c r="F19" s="671">
        <f>'Income Statement'!F24/'Balance Sheet'!F36</f>
        <v>0.28917103165565933</v>
      </c>
      <c r="G19" s="671">
        <f>'Income Statement'!G24/'Balance Sheet'!G36</f>
        <v>0.28655169072764269</v>
      </c>
      <c r="H19" s="671">
        <f>'Income Statement'!H24/'Balance Sheet'!H36</f>
        <v>0.26673686057734491</v>
      </c>
      <c r="J19" s="117">
        <f t="shared" si="4"/>
        <v>0.25755782008475026</v>
      </c>
      <c r="K19" s="117">
        <f t="shared" si="5"/>
        <v>0.25930542045273031</v>
      </c>
      <c r="P19" s="82"/>
      <c r="Q19" s="82"/>
      <c r="R19" s="82"/>
      <c r="S19" s="82"/>
      <c r="T19" s="82"/>
      <c r="U19" s="82"/>
      <c r="V19" s="82"/>
      <c r="W19" s="82"/>
      <c r="X19" s="82"/>
      <c r="Y19" s="82"/>
      <c r="Z19" s="82"/>
      <c r="AA19" s="82"/>
      <c r="AB19" s="82"/>
      <c r="AC19" s="82"/>
      <c r="AD19" s="82"/>
      <c r="AE19" s="82"/>
      <c r="AF19" s="82"/>
      <c r="AG19" s="82"/>
      <c r="AH19" s="82"/>
      <c r="AI19" s="82"/>
    </row>
    <row r="20" spans="1:35">
      <c r="B20" s="341" t="s">
        <v>650</v>
      </c>
      <c r="C20" s="671">
        <f>'Income Statement'!C24/'Balance Sheet'!C15</f>
        <v>7.7859417095273081E-2</v>
      </c>
      <c r="D20" s="671">
        <f>'Income Statement'!D24/'Balance Sheet'!D15</f>
        <v>8.1585903083700437E-2</v>
      </c>
      <c r="E20" s="671">
        <f>'Income Statement'!E24/'Balance Sheet'!E15</f>
        <v>7.3061415508675925E-2</v>
      </c>
      <c r="F20" s="671">
        <f>'Income Statement'!F24/'Balance Sheet'!F15</f>
        <v>8.5695484915974895E-2</v>
      </c>
      <c r="G20" s="671">
        <f>'Income Statement'!G24/'Balance Sheet'!G15</f>
        <v>9.2182775924944671E-2</v>
      </c>
      <c r="H20" s="671">
        <f>'Income Statement'!H24/'Balance Sheet'!H15</f>
        <v>9.095260890378172E-2</v>
      </c>
      <c r="J20" s="117">
        <f t="shared" si="4"/>
        <v>8.3640693999837673E-2</v>
      </c>
      <c r="K20" s="117">
        <f t="shared" si="5"/>
        <v>8.355626757205846E-2</v>
      </c>
      <c r="P20" s="82"/>
      <c r="Q20" s="82"/>
      <c r="R20" s="82"/>
      <c r="S20" s="82"/>
      <c r="T20" s="82"/>
      <c r="U20" s="82"/>
      <c r="V20" s="82"/>
      <c r="W20" s="82"/>
      <c r="X20" s="82"/>
      <c r="Y20" s="82"/>
      <c r="Z20" s="82"/>
      <c r="AA20" s="82"/>
      <c r="AB20" s="82"/>
      <c r="AC20" s="82"/>
      <c r="AD20" s="82"/>
      <c r="AE20" s="82"/>
      <c r="AF20" s="82"/>
      <c r="AG20" s="82"/>
      <c r="AH20" s="82"/>
      <c r="AI20" s="82"/>
    </row>
    <row r="21" spans="1:35">
      <c r="B21" s="341" t="s">
        <v>651</v>
      </c>
      <c r="C21" s="673">
        <f>'Income Statement'!C26</f>
        <v>7.2494669509594889</v>
      </c>
      <c r="D21" s="673">
        <f>'Income Statement'!D26</f>
        <v>8.4228718263578592</v>
      </c>
      <c r="E21" s="673">
        <f>'Income Statement'!E26</f>
        <v>9.1770914114271633</v>
      </c>
      <c r="F21" s="673">
        <f>'Income Statement'!F26</f>
        <v>11.46270839492743</v>
      </c>
      <c r="G21" s="673">
        <f>'Income Statement'!G26</f>
        <v>13.332551938347935</v>
      </c>
      <c r="H21" s="673">
        <f>'Income Statement'!H26</f>
        <v>13.698105470906169</v>
      </c>
      <c r="J21" s="117">
        <f t="shared" si="4"/>
        <v>10.319899903177298</v>
      </c>
      <c r="K21" s="117">
        <f t="shared" si="5"/>
        <v>10.557132665487675</v>
      </c>
      <c r="P21" s="82"/>
      <c r="Q21" s="82"/>
      <c r="R21" s="82"/>
      <c r="S21" s="82"/>
      <c r="T21" s="82"/>
      <c r="U21" s="82"/>
      <c r="V21" s="82"/>
      <c r="W21" s="82"/>
      <c r="X21" s="82"/>
      <c r="Y21" s="82"/>
      <c r="Z21" s="82"/>
      <c r="AA21" s="82"/>
      <c r="AB21" s="82"/>
      <c r="AC21" s="82"/>
      <c r="AD21" s="82"/>
      <c r="AE21" s="82"/>
      <c r="AF21" s="82"/>
      <c r="AG21" s="82"/>
      <c r="AH21" s="82"/>
      <c r="AI21" s="82"/>
    </row>
    <row r="22" spans="1:35">
      <c r="B22" s="365" t="s">
        <v>652</v>
      </c>
      <c r="P22" s="82"/>
      <c r="Q22" s="82"/>
      <c r="R22" s="82"/>
      <c r="S22" s="82"/>
      <c r="T22" s="82"/>
      <c r="U22" s="82"/>
      <c r="V22" s="82"/>
      <c r="W22" s="82"/>
      <c r="X22" s="82"/>
      <c r="Y22" s="82"/>
      <c r="Z22" s="82"/>
      <c r="AA22" s="82"/>
      <c r="AB22" s="82"/>
      <c r="AC22" s="82"/>
      <c r="AD22" s="82"/>
      <c r="AE22" s="82"/>
      <c r="AF22" s="82"/>
      <c r="AG22" s="82"/>
      <c r="AH22" s="82"/>
      <c r="AI22" s="82"/>
    </row>
    <row r="23" spans="1:35">
      <c r="B23" s="340" t="s">
        <v>653</v>
      </c>
      <c r="D23" s="118">
        <f>(('Income Statement'!D17-'Income Statement'!C17)/'Income Statement'!C17)/(('Income Statement'!D11-'Income Statement'!C11)/'Income Statement'!C11)</f>
        <v>0.72990553865115737</v>
      </c>
      <c r="E23" s="118">
        <f>(('Income Statement'!E17-'Income Statement'!D17)/'Income Statement'!D17)/(('Income Statement'!E11-'Income Statement'!D11)/'Income Statement'!D11)</f>
        <v>1.6005751437251139</v>
      </c>
      <c r="F23" s="118">
        <f>(('Income Statement'!F17-'Income Statement'!E17)/'Income Statement'!E17)/(('Income Statement'!F11-'Income Statement'!E11)/'Income Statement'!E11)</f>
        <v>1.3391113612175205</v>
      </c>
      <c r="G23" s="118">
        <f>(('Income Statement'!G17-'Income Statement'!F17)/'Income Statement'!F17)/(('Income Statement'!G11-'Income Statement'!F11)/'Income Statement'!F11)</f>
        <v>1.0214652955062975</v>
      </c>
      <c r="H23" s="118">
        <f>(('Income Statement'!H17-'Income Statement'!G17)/'Income Statement'!G17)/(('Income Statement'!H11-'Income Statement'!G11)/'Income Statement'!G11)</f>
        <v>0.58355265932578904</v>
      </c>
      <c r="J23" s="117">
        <f t="shared" ref="J23:J25" si="6">MEDIAN(C23:H23)</f>
        <v>1.0214652955062975</v>
      </c>
      <c r="K23" s="117">
        <f t="shared" ref="K23:K25" si="7">AVERAGE(C23:H23)</f>
        <v>1.0549219996851755</v>
      </c>
      <c r="P23" s="82"/>
      <c r="Q23" s="82"/>
      <c r="R23" s="82"/>
      <c r="S23" s="82"/>
      <c r="T23" s="82"/>
      <c r="U23" s="82"/>
      <c r="V23" s="82"/>
      <c r="W23" s="82"/>
      <c r="X23" s="82"/>
      <c r="Y23" s="82"/>
      <c r="Z23" s="82"/>
      <c r="AA23" s="82"/>
      <c r="AB23" s="82"/>
      <c r="AC23" s="82"/>
      <c r="AD23" s="82"/>
      <c r="AE23" s="82"/>
      <c r="AF23" s="82"/>
      <c r="AG23" s="82"/>
      <c r="AH23" s="82"/>
      <c r="AI23" s="82"/>
    </row>
    <row r="24" spans="1:35">
      <c r="B24" s="340" t="s">
        <v>654</v>
      </c>
      <c r="C24" s="673"/>
      <c r="D24" s="673">
        <f>'Income Statement'!D17/'Income Statement'!D22</f>
        <v>0.99412381951731377</v>
      </c>
      <c r="E24" s="673">
        <f>'Income Statement'!E17/'Income Statement'!E22</f>
        <v>1.0126700204956214</v>
      </c>
      <c r="F24" s="673">
        <f>'Income Statement'!F17/'Income Statement'!F22</f>
        <v>1.0041916167664671</v>
      </c>
      <c r="G24" s="673">
        <f>'Income Statement'!G17/'Income Statement'!G22</f>
        <v>0.99400510204081638</v>
      </c>
      <c r="H24" s="673">
        <f>'Income Statement'!H17/'Income Statement'!H22</f>
        <v>0.98097826086956519</v>
      </c>
      <c r="J24" s="117">
        <f t="shared" si="6"/>
        <v>0.99412381951731377</v>
      </c>
      <c r="K24" s="117">
        <f t="shared" si="7"/>
        <v>0.99719376393795689</v>
      </c>
      <c r="P24" s="82"/>
      <c r="Q24" s="82"/>
      <c r="R24" s="82"/>
      <c r="S24" s="82"/>
      <c r="T24" s="82"/>
      <c r="U24" s="82"/>
      <c r="V24" s="82"/>
      <c r="W24" s="82"/>
      <c r="X24" s="82"/>
      <c r="Y24" s="82"/>
      <c r="Z24" s="82"/>
      <c r="AA24" s="82"/>
      <c r="AB24" s="82"/>
      <c r="AC24" s="82"/>
      <c r="AD24" s="82"/>
      <c r="AE24" s="82"/>
      <c r="AF24" s="82"/>
      <c r="AG24" s="82"/>
      <c r="AH24" s="82"/>
      <c r="AI24" s="82"/>
    </row>
    <row r="25" spans="1:35">
      <c r="B25" s="340" t="s">
        <v>655</v>
      </c>
      <c r="C25" s="343"/>
      <c r="D25" s="673">
        <f t="shared" ref="D25:H25" si="8">D24*D23</f>
        <v>0.72561648197073081</v>
      </c>
      <c r="E25" s="673">
        <f t="shared" si="8"/>
        <v>1.6208544636008932</v>
      </c>
      <c r="F25" s="673">
        <f t="shared" si="8"/>
        <v>1.3447244028513663</v>
      </c>
      <c r="G25" s="673">
        <f t="shared" si="8"/>
        <v>1.0153417152908899</v>
      </c>
      <c r="H25" s="673">
        <f t="shared" si="8"/>
        <v>0.57245247287122236</v>
      </c>
      <c r="J25" s="117">
        <f t="shared" si="6"/>
        <v>1.0153417152908899</v>
      </c>
      <c r="K25" s="117">
        <f t="shared" si="7"/>
        <v>1.0557979073170205</v>
      </c>
      <c r="P25" s="82"/>
      <c r="Q25" s="82"/>
      <c r="R25" s="82"/>
      <c r="S25" s="82"/>
      <c r="T25" s="82"/>
      <c r="U25" s="82"/>
      <c r="V25" s="82"/>
      <c r="W25" s="82"/>
      <c r="X25" s="82"/>
      <c r="Y25" s="82"/>
      <c r="Z25" s="82"/>
      <c r="AA25" s="82"/>
      <c r="AB25" s="82"/>
      <c r="AC25" s="82"/>
      <c r="AD25" s="82"/>
      <c r="AE25" s="82"/>
      <c r="AF25" s="82"/>
      <c r="AG25" s="82"/>
      <c r="AH25" s="82"/>
      <c r="AI25" s="82"/>
    </row>
    <row r="26" spans="1:35">
      <c r="B26" s="365" t="s">
        <v>660</v>
      </c>
      <c r="C26" s="344"/>
      <c r="D26" s="344"/>
      <c r="E26" s="344"/>
      <c r="F26" s="344"/>
      <c r="G26" s="344"/>
      <c r="H26" s="344"/>
      <c r="P26" s="82"/>
      <c r="Q26" s="82"/>
      <c r="R26" s="82"/>
      <c r="S26" s="82"/>
      <c r="T26" s="82"/>
      <c r="U26" s="82"/>
      <c r="V26" s="82"/>
      <c r="W26" s="82"/>
      <c r="X26" s="82"/>
      <c r="Y26" s="82"/>
      <c r="Z26" s="82"/>
      <c r="AA26" s="82"/>
      <c r="AB26" s="82"/>
      <c r="AC26" s="82"/>
      <c r="AD26" s="82"/>
      <c r="AE26" s="82"/>
      <c r="AF26" s="82"/>
      <c r="AG26" s="82"/>
      <c r="AH26" s="82"/>
      <c r="AI26" s="82"/>
    </row>
    <row r="27" spans="1:35">
      <c r="B27" s="340" t="s">
        <v>656</v>
      </c>
      <c r="C27" s="673">
        <f>'Accounting Adjustments'!C34</f>
        <v>0.50683647159934375</v>
      </c>
      <c r="D27" s="673">
        <f>'Accounting Adjustments'!D34</f>
        <v>0.44761529882569046</v>
      </c>
      <c r="E27" s="673">
        <f>'Accounting Adjustments'!E34</f>
        <v>0.55605994311966744</v>
      </c>
      <c r="F27" s="673">
        <f>'Accounting Adjustments'!F34</f>
        <v>0.57691869733545886</v>
      </c>
      <c r="G27" s="673">
        <f>'Accounting Adjustments'!G34</f>
        <v>0.43789361495979073</v>
      </c>
      <c r="H27" s="673">
        <f>'Accounting Adjustments'!H34</f>
        <v>0.40093884355532156</v>
      </c>
      <c r="J27" s="117">
        <f t="shared" ref="J27:J29" si="9">MEDIAN(C27:H27)</f>
        <v>0.47722588521251708</v>
      </c>
      <c r="K27" s="117">
        <f t="shared" ref="K27:K29" si="10">AVERAGE(C27:H27)</f>
        <v>0.48771047823254543</v>
      </c>
      <c r="P27" s="82"/>
      <c r="Q27" s="82"/>
      <c r="R27" s="82"/>
      <c r="S27" s="82"/>
      <c r="T27" s="82"/>
      <c r="U27" s="82"/>
      <c r="V27" s="82"/>
      <c r="W27" s="82"/>
      <c r="X27" s="82"/>
      <c r="Y27" s="82"/>
      <c r="Z27" s="82"/>
      <c r="AA27" s="82"/>
      <c r="AB27" s="82"/>
      <c r="AC27" s="82"/>
      <c r="AD27" s="82"/>
      <c r="AE27" s="82"/>
      <c r="AF27" s="82"/>
      <c r="AG27" s="82"/>
      <c r="AH27" s="82"/>
      <c r="AI27" s="82"/>
    </row>
    <row r="28" spans="1:35">
      <c r="B28" s="340" t="s">
        <v>657</v>
      </c>
      <c r="C28" s="673">
        <f>Drivers!I14</f>
        <v>28.176100628930818</v>
      </c>
      <c r="D28" s="673">
        <f>Drivers!J14</f>
        <v>31.58</v>
      </c>
      <c r="E28" s="673">
        <f>Drivers!K14</f>
        <v>33.96875</v>
      </c>
      <c r="F28" s="673">
        <f>Drivers!L14</f>
        <v>39.228070175438596</v>
      </c>
      <c r="G28" s="673">
        <f>Drivers!M14</f>
        <v>49.322784810126585</v>
      </c>
      <c r="H28" s="673">
        <f>-'Income Statement'!H17/'Income Statement'!H19</f>
        <v>52.596026490066222</v>
      </c>
      <c r="J28" s="117">
        <f t="shared" si="9"/>
        <v>36.598410087719301</v>
      </c>
      <c r="K28" s="117">
        <f t="shared" si="10"/>
        <v>39.145288684093707</v>
      </c>
      <c r="P28" s="82"/>
      <c r="Q28" s="82"/>
      <c r="R28" s="82"/>
      <c r="S28" s="82"/>
      <c r="T28" s="82"/>
      <c r="U28" s="82"/>
      <c r="V28" s="82"/>
      <c r="W28" s="82"/>
      <c r="X28" s="82"/>
      <c r="Y28" s="82"/>
      <c r="Z28" s="82"/>
      <c r="AA28" s="82"/>
      <c r="AB28" s="82"/>
      <c r="AC28" s="82"/>
      <c r="AD28" s="82"/>
      <c r="AE28" s="82"/>
      <c r="AF28" s="82"/>
      <c r="AG28" s="82"/>
      <c r="AH28" s="82"/>
      <c r="AI28" s="82"/>
    </row>
    <row r="29" spans="1:35">
      <c r="B29" s="340" t="s">
        <v>658</v>
      </c>
      <c r="C29" s="673">
        <f>('Income Statement'!C17+'Cash Flow Statement'!C8)/(-'Cash Flow Statement'!C30-'Income Statement'!C19)</f>
        <v>24.151020408163266</v>
      </c>
      <c r="D29" s="673">
        <f>('Income Statement'!D17+'Cash Flow Statement'!D8)/(-'Cash Flow Statement'!D30-'Income Statement'!D19)</f>
        <v>26.06276150627615</v>
      </c>
      <c r="E29" s="673">
        <f>('Income Statement'!E17+'Cash Flow Statement'!E8)/(-'Cash Flow Statement'!E30-'Income Statement'!E19)</f>
        <v>2.1071428571428572</v>
      </c>
      <c r="F29" s="673">
        <f>('Income Statement'!F17+'Cash Flow Statement'!F8)/(-'Cash Flow Statement'!F30-'Income Statement'!F19)</f>
        <v>32.033962264150944</v>
      </c>
      <c r="G29" s="673">
        <f>('Income Statement'!G17+'Cash Flow Statement'!G8)/(-'Cash Flow Statement'!G30-'Income Statement'!G19)</f>
        <v>10.117954070981211</v>
      </c>
      <c r="H29" s="673">
        <f>('Income Statement'!H17+'Cash Flow Statement'!H8)/(-'Cash Flow Statement'!H30-'Income Statement'!H19)</f>
        <v>52.596026490066222</v>
      </c>
      <c r="J29" s="117">
        <f t="shared" si="9"/>
        <v>25.106890957219708</v>
      </c>
      <c r="K29" s="117">
        <f t="shared" si="10"/>
        <v>24.511477932796776</v>
      </c>
      <c r="P29" s="82"/>
      <c r="Q29" s="82"/>
      <c r="R29" s="82"/>
      <c r="S29" s="82"/>
      <c r="T29" s="82"/>
      <c r="U29" s="82"/>
      <c r="V29" s="82"/>
      <c r="W29" s="82"/>
      <c r="X29" s="82"/>
      <c r="Y29" s="82"/>
      <c r="Z29" s="82"/>
      <c r="AA29" s="82"/>
      <c r="AB29" s="82"/>
      <c r="AC29" s="82"/>
      <c r="AD29" s="82"/>
      <c r="AE29" s="82"/>
      <c r="AF29" s="82"/>
      <c r="AG29" s="82"/>
      <c r="AH29" s="82"/>
      <c r="AI29" s="82"/>
    </row>
    <row r="30" spans="1:35">
      <c r="P30" s="82"/>
      <c r="Q30" s="82"/>
      <c r="R30" s="82"/>
      <c r="S30" s="82"/>
      <c r="T30" s="82"/>
      <c r="U30" s="82"/>
      <c r="V30" s="82"/>
      <c r="W30" s="82"/>
      <c r="X30" s="82"/>
      <c r="Y30" s="82"/>
      <c r="Z30" s="82"/>
      <c r="AA30" s="82"/>
      <c r="AB30" s="82"/>
      <c r="AC30" s="82"/>
      <c r="AD30" s="82"/>
      <c r="AE30" s="82"/>
      <c r="AF30" s="82"/>
      <c r="AG30" s="82"/>
      <c r="AH30" s="82"/>
      <c r="AI30" s="82"/>
    </row>
    <row r="31" spans="1:35">
      <c r="B31" s="365"/>
      <c r="P31" s="82"/>
      <c r="Q31" s="82"/>
      <c r="R31" s="82"/>
      <c r="S31" s="82"/>
      <c r="T31" s="82"/>
      <c r="U31" s="82"/>
      <c r="V31" s="82"/>
      <c r="W31" s="82"/>
      <c r="X31" s="82"/>
      <c r="Y31" s="82"/>
      <c r="Z31" s="82"/>
      <c r="AA31" s="82"/>
      <c r="AB31" s="82"/>
      <c r="AC31" s="82"/>
      <c r="AD31" s="82"/>
      <c r="AE31" s="82"/>
      <c r="AF31" s="82"/>
      <c r="AG31" s="82"/>
      <c r="AH31" s="82"/>
      <c r="AI31" s="82"/>
    </row>
    <row r="32" spans="1:35">
      <c r="B32" s="340"/>
      <c r="P32" s="82"/>
      <c r="Q32" s="82"/>
      <c r="R32" s="82"/>
      <c r="S32" s="82"/>
      <c r="T32" s="82"/>
      <c r="U32" s="82"/>
      <c r="V32" s="82"/>
      <c r="W32" s="82"/>
      <c r="X32" s="82"/>
      <c r="Y32" s="82"/>
      <c r="Z32" s="82"/>
      <c r="AA32" s="82"/>
      <c r="AB32" s="82"/>
      <c r="AC32" s="82"/>
      <c r="AD32" s="82"/>
      <c r="AE32" s="82"/>
      <c r="AF32" s="82"/>
      <c r="AG32" s="82"/>
      <c r="AH32" s="82"/>
      <c r="AI32" s="82"/>
    </row>
    <row r="33" spans="2:35" ht="12.75" customHeight="1">
      <c r="B33" s="340"/>
      <c r="C33" s="565"/>
      <c r="D33" s="565"/>
      <c r="E33" s="565"/>
      <c r="F33" s="565"/>
      <c r="G33" s="565"/>
      <c r="H33" s="565"/>
      <c r="K33" s="36"/>
      <c r="P33" s="82"/>
      <c r="Q33" s="82"/>
      <c r="R33" s="82"/>
      <c r="S33" s="82"/>
      <c r="T33" s="82"/>
      <c r="U33" s="82"/>
      <c r="V33" s="82"/>
      <c r="W33" s="82"/>
      <c r="X33" s="82"/>
      <c r="Y33" s="82"/>
      <c r="Z33" s="82"/>
      <c r="AA33" s="82"/>
      <c r="AB33" s="82"/>
      <c r="AC33" s="82"/>
      <c r="AD33" s="82"/>
      <c r="AE33" s="82"/>
      <c r="AF33" s="82"/>
      <c r="AG33" s="82"/>
      <c r="AH33" s="82"/>
      <c r="AI33" s="82"/>
    </row>
    <row r="34" spans="2:35">
      <c r="B34" s="340"/>
      <c r="C34" s="565"/>
      <c r="D34" s="565"/>
      <c r="E34" s="565"/>
      <c r="F34" s="565"/>
      <c r="G34" s="565"/>
      <c r="H34" s="565"/>
      <c r="P34" s="82"/>
      <c r="Q34" s="82"/>
      <c r="R34" s="82"/>
      <c r="S34" s="82"/>
      <c r="T34" s="82"/>
      <c r="U34" s="82"/>
      <c r="V34" s="82"/>
      <c r="W34" s="82"/>
      <c r="X34" s="82"/>
      <c r="Y34" s="82"/>
      <c r="Z34" s="82"/>
      <c r="AA34" s="82"/>
      <c r="AB34" s="82"/>
      <c r="AC34" s="82"/>
      <c r="AD34" s="82"/>
      <c r="AE34" s="82"/>
      <c r="AF34" s="82"/>
      <c r="AG34" s="82"/>
      <c r="AH34" s="82"/>
      <c r="AI34" s="82"/>
    </row>
    <row r="35" spans="2:35">
      <c r="B35" s="82"/>
      <c r="C35" s="666"/>
      <c r="D35" s="666"/>
      <c r="E35" s="666"/>
      <c r="F35" s="666"/>
      <c r="G35" s="666"/>
      <c r="H35" s="666"/>
      <c r="P35" s="82"/>
      <c r="Q35" s="82"/>
      <c r="R35" s="82"/>
      <c r="S35" s="82"/>
      <c r="T35" s="82"/>
      <c r="U35" s="82"/>
      <c r="V35" s="82"/>
      <c r="W35" s="82"/>
      <c r="X35" s="82"/>
      <c r="Y35" s="82"/>
      <c r="Z35" s="82"/>
      <c r="AA35" s="82"/>
      <c r="AB35" s="82"/>
      <c r="AC35" s="82"/>
      <c r="AD35" s="82"/>
      <c r="AE35" s="82"/>
      <c r="AF35" s="82"/>
      <c r="AG35" s="82"/>
      <c r="AH35" s="82"/>
      <c r="AI35" s="82"/>
    </row>
    <row r="36" spans="2:35">
      <c r="C36" s="36"/>
      <c r="P36" s="82"/>
      <c r="Q36" s="82"/>
      <c r="R36" s="82"/>
      <c r="S36" s="82"/>
      <c r="T36" s="82"/>
      <c r="U36" s="82"/>
      <c r="V36" s="82"/>
      <c r="W36" s="82"/>
      <c r="X36" s="82"/>
      <c r="Y36" s="82"/>
      <c r="Z36" s="82"/>
      <c r="AA36" s="82"/>
      <c r="AB36" s="82"/>
      <c r="AC36" s="82"/>
      <c r="AD36" s="82"/>
      <c r="AE36" s="82"/>
      <c r="AF36" s="82"/>
      <c r="AG36" s="82"/>
      <c r="AH36" s="82"/>
      <c r="AI36" s="82"/>
    </row>
    <row r="37" spans="2:35">
      <c r="B37" s="82"/>
      <c r="C37" s="339"/>
      <c r="G37" s="36"/>
      <c r="H37" s="117"/>
      <c r="P37" s="82"/>
      <c r="Q37" s="82"/>
      <c r="R37" s="82"/>
      <c r="S37" s="82"/>
      <c r="T37" s="82"/>
      <c r="U37" s="82"/>
      <c r="V37" s="82"/>
      <c r="W37" s="82"/>
      <c r="X37" s="82"/>
      <c r="Y37" s="82"/>
      <c r="Z37" s="82"/>
      <c r="AA37" s="82"/>
      <c r="AB37" s="82"/>
      <c r="AC37" s="82"/>
      <c r="AD37" s="82"/>
      <c r="AE37" s="82"/>
      <c r="AF37" s="82"/>
      <c r="AG37" s="82"/>
      <c r="AH37" s="82"/>
      <c r="AI37" s="82"/>
    </row>
    <row r="38" spans="2:35">
      <c r="B38" s="112"/>
      <c r="C38" s="561"/>
      <c r="D38" s="117"/>
      <c r="F38" s="117"/>
      <c r="G38" s="117"/>
      <c r="P38" s="82"/>
      <c r="Q38" s="82"/>
      <c r="R38" s="82"/>
      <c r="S38" s="82"/>
      <c r="T38" s="82"/>
      <c r="U38" s="82"/>
      <c r="V38" s="82"/>
      <c r="W38" s="82"/>
      <c r="X38" s="82"/>
      <c r="Y38" s="82"/>
      <c r="Z38" s="82"/>
      <c r="AA38" s="82"/>
      <c r="AB38" s="82"/>
      <c r="AC38" s="82"/>
      <c r="AD38" s="82"/>
      <c r="AE38" s="82"/>
      <c r="AF38" s="82"/>
      <c r="AG38" s="82"/>
      <c r="AH38" s="82"/>
      <c r="AI38" s="82"/>
    </row>
    <row r="39" spans="2:35">
      <c r="P39" s="82"/>
      <c r="Q39" s="82"/>
      <c r="R39" s="82"/>
      <c r="S39" s="82"/>
      <c r="T39" s="82"/>
      <c r="U39" s="82"/>
      <c r="V39" s="82"/>
      <c r="W39" s="82"/>
      <c r="X39" s="82"/>
      <c r="Y39" s="82"/>
      <c r="Z39" s="82"/>
      <c r="AA39" s="82"/>
      <c r="AB39" s="82"/>
      <c r="AC39" s="82"/>
      <c r="AD39" s="82"/>
      <c r="AE39" s="82"/>
      <c r="AF39" s="82"/>
      <c r="AG39" s="82"/>
      <c r="AH39" s="82"/>
      <c r="AI39" s="82"/>
    </row>
    <row r="40" spans="2:35">
      <c r="P40" s="82"/>
      <c r="Q40" s="82"/>
      <c r="R40" s="82"/>
      <c r="S40" s="82"/>
      <c r="T40" s="82"/>
      <c r="U40" s="82"/>
      <c r="V40" s="82"/>
      <c r="W40" s="82"/>
      <c r="X40" s="82"/>
      <c r="Y40" s="82"/>
      <c r="Z40" s="82"/>
      <c r="AA40" s="82"/>
      <c r="AB40" s="82"/>
      <c r="AC40" s="82"/>
      <c r="AD40" s="82"/>
      <c r="AE40" s="82"/>
      <c r="AF40" s="82"/>
      <c r="AG40" s="82"/>
      <c r="AH40" s="82"/>
      <c r="AI40" s="82"/>
    </row>
    <row r="41" spans="2:35">
      <c r="P41" s="82"/>
      <c r="Q41" s="82"/>
      <c r="R41" s="82"/>
      <c r="S41" s="82"/>
      <c r="T41" s="82"/>
      <c r="U41" s="82"/>
      <c r="V41" s="82"/>
      <c r="W41" s="82"/>
      <c r="X41" s="82"/>
      <c r="Y41" s="82"/>
      <c r="Z41" s="82"/>
      <c r="AA41" s="82"/>
      <c r="AB41" s="82"/>
      <c r="AC41" s="82"/>
      <c r="AD41" s="82"/>
      <c r="AE41" s="82"/>
      <c r="AF41" s="82"/>
      <c r="AG41" s="82"/>
      <c r="AH41" s="82"/>
      <c r="AI41" s="82"/>
    </row>
  </sheetData>
  <pageMargins left="0.7" right="0.7" top="0.75" bottom="0.75" header="0.3" footer="0.3"/>
  <pageSetup orientation="portrait" r:id="rId1"/>
  <extLst>
    <ext xmlns:x14="http://schemas.microsoft.com/office/spreadsheetml/2009/9/main" uri="{05C60535-1F16-4fd2-B633-F4F36F0B64E0}">
      <x14:sparklineGroups xmlns:xm="http://schemas.microsoft.com/office/excel/2006/main">
        <x14:sparklineGroup displayEmptyCellsAs="gap" markers="1">
          <x14:colorSeries theme="1" tint="4.9989318521683403E-2"/>
          <x14:colorNegative rgb="FFD00000"/>
          <x14:colorAxis rgb="FF000000"/>
          <x14:colorMarkers theme="1" tint="4.9989318521683403E-2"/>
          <x14:colorFirst rgb="FFD00000"/>
          <x14:colorLast rgb="FFD00000"/>
          <x14:colorHigh rgb="FFD00000"/>
          <x14:colorLow rgb="FFD00000"/>
          <x14:sparklines>
            <x14:sparkline>
              <xm:f>'Key Ratios'!C5:H5</xm:f>
              <xm:sqref>I5</xm:sqref>
            </x14:sparkline>
            <x14:sparkline>
              <xm:f>'Key Ratios'!C6:H6</xm:f>
              <xm:sqref>I6</xm:sqref>
            </x14:sparkline>
            <x14:sparkline>
              <xm:f>'Key Ratios'!C7:H7</xm:f>
              <xm:sqref>I7</xm:sqref>
            </x14:sparkline>
            <x14:sparkline>
              <xm:f>'Key Ratios'!C8:H8</xm:f>
              <xm:sqref>I8</xm:sqref>
            </x14:sparkline>
            <x14:sparkline>
              <xm:f>'Key Ratios'!C9:H9</xm:f>
              <xm:sqref>I9</xm:sqref>
            </x14:sparkline>
            <x14:sparkline>
              <xm:f>'Key Ratios'!C10:H10</xm:f>
              <xm:sqref>I10</xm:sqref>
            </x14:sparkline>
            <x14:sparkline>
              <xm:f>'Key Ratios'!C11:H11</xm:f>
              <xm:sqref>I11</xm:sqref>
            </x14:sparkline>
            <x14:sparkline>
              <xm:f>'Key Ratios'!C12:H12</xm:f>
              <xm:sqref>I12</xm:sqref>
            </x14:sparkline>
            <x14:sparkline>
              <xm:f>'Key Ratios'!C13:H13</xm:f>
              <xm:sqref>I13</xm:sqref>
            </x14:sparkline>
            <x14:sparkline>
              <xm:f>'Key Ratios'!C14:H14</xm:f>
              <xm:sqref>I14</xm:sqref>
            </x14:sparkline>
            <x14:sparkline>
              <xm:f>'Key Ratios'!C15:H15</xm:f>
              <xm:sqref>I15</xm:sqref>
            </x14:sparkline>
            <x14:sparkline>
              <xm:f>'Key Ratios'!C16:H16</xm:f>
              <xm:sqref>I16</xm:sqref>
            </x14:sparkline>
            <x14:sparkline>
              <xm:f>'Key Ratios'!C17:H17</xm:f>
              <xm:sqref>I17</xm:sqref>
            </x14:sparkline>
            <x14:sparkline>
              <xm:f>'Key Ratios'!C18:H18</xm:f>
              <xm:sqref>I18</xm:sqref>
            </x14:sparkline>
            <x14:sparkline>
              <xm:f>'Key Ratios'!C19:H19</xm:f>
              <xm:sqref>I19</xm:sqref>
            </x14:sparkline>
            <x14:sparkline>
              <xm:f>'Key Ratios'!C20:H20</xm:f>
              <xm:sqref>I20</xm:sqref>
            </x14:sparkline>
            <x14:sparkline>
              <xm:f>'Key Ratios'!C21:H21</xm:f>
              <xm:sqref>I21</xm:sqref>
            </x14:sparkline>
            <x14:sparkline>
              <xm:f>'Key Ratios'!C22:H22</xm:f>
              <xm:sqref>I22</xm:sqref>
            </x14:sparkline>
            <x14:sparkline>
              <xm:f>'Key Ratios'!C23:H23</xm:f>
              <xm:sqref>I23</xm:sqref>
            </x14:sparkline>
            <x14:sparkline>
              <xm:f>'Key Ratios'!C24:H24</xm:f>
              <xm:sqref>I24</xm:sqref>
            </x14:sparkline>
            <x14:sparkline>
              <xm:f>'Key Ratios'!C25:H25</xm:f>
              <xm:sqref>I25</xm:sqref>
            </x14:sparkline>
            <x14:sparkline>
              <xm:f>'Key Ratios'!C26:H26</xm:f>
              <xm:sqref>I26</xm:sqref>
            </x14:sparkline>
            <x14:sparkline>
              <xm:f>'Key Ratios'!C27:H27</xm:f>
              <xm:sqref>I27</xm:sqref>
            </x14:sparkline>
            <x14:sparkline>
              <xm:f>'Key Ratios'!C28:H28</xm:f>
              <xm:sqref>I28</xm:sqref>
            </x14:sparkline>
            <x14:sparkline>
              <xm:f>'Key Ratios'!C29:H29</xm:f>
              <xm:sqref>I29</xm:sqref>
            </x14:sparkline>
          </x14:sparklines>
        </x14:sparklineGroup>
      </x14:sparklineGroup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77" customWidth="1"/>
    <col min="2" max="2" width="30.42578125" style="77" customWidth="1"/>
    <col min="3" max="3" width="12" style="77" customWidth="1"/>
    <col min="4" max="4" width="9.85546875" style="77" customWidth="1"/>
    <col min="5" max="5" width="29.28515625" style="77" customWidth="1"/>
    <col min="6" max="6" width="11.7109375" style="77" customWidth="1" collapsed="1"/>
    <col min="7" max="10" width="11.7109375" style="77" customWidth="1"/>
    <col min="11" max="11" width="10.85546875" style="77" customWidth="1"/>
    <col min="12" max="12" width="9.5703125" style="77" customWidth="1"/>
    <col min="13" max="25" width="9.140625" style="77" customWidth="1"/>
    <col min="26" max="26" width="9.28515625" style="77" customWidth="1"/>
    <col min="27" max="27" width="9.42578125" style="77" customWidth="1"/>
    <col min="28" max="28" width="10" style="77" customWidth="1"/>
    <col min="29" max="29" width="11.42578125" style="77" customWidth="1"/>
    <col min="30" max="30" width="9.42578125" style="77" bestFit="1" customWidth="1" collapsed="1"/>
    <col min="31" max="16384" width="9.140625" style="77"/>
  </cols>
  <sheetData>
    <row r="1" spans="1:31" s="76" customFormat="1" ht="15" customHeight="1">
      <c r="B1" s="15" t="s">
        <v>48</v>
      </c>
      <c r="C1" s="75"/>
      <c r="D1" s="75"/>
      <c r="E1" s="75"/>
      <c r="F1" s="75"/>
      <c r="G1" s="75"/>
      <c r="H1" s="75"/>
      <c r="I1" s="75"/>
      <c r="J1" s="75"/>
      <c r="K1" s="75"/>
    </row>
    <row r="2" spans="1:31" ht="12.75" customHeight="1">
      <c r="C2" s="89"/>
    </row>
    <row r="3" spans="1:31">
      <c r="B3" s="333" t="s">
        <v>334</v>
      </c>
      <c r="C3" s="332"/>
      <c r="E3" s="333" t="s">
        <v>335</v>
      </c>
      <c r="F3" s="332"/>
      <c r="G3" s="332"/>
      <c r="H3" s="332"/>
      <c r="I3" s="332"/>
      <c r="J3" s="332"/>
      <c r="K3" s="332"/>
      <c r="L3" s="170"/>
    </row>
    <row r="4" spans="1:31" ht="12.75" thickBot="1">
      <c r="B4" s="334" t="str">
        <f>Drivers!$C$5&amp;" in mil"</f>
        <v>$ in mil</v>
      </c>
      <c r="C4" s="351"/>
      <c r="E4" s="334" t="str">
        <f>Drivers!$C$5&amp;" in mil"</f>
        <v>$ in mil</v>
      </c>
      <c r="F4" s="351">
        <v>43101</v>
      </c>
      <c r="G4" s="351">
        <f>EDATE(F4,12)</f>
        <v>43466</v>
      </c>
      <c r="H4" s="351">
        <f>EDATE(G4,12)</f>
        <v>43831</v>
      </c>
      <c r="I4" s="351">
        <f>EDATE(H4,12)</f>
        <v>44197</v>
      </c>
      <c r="J4" s="351">
        <f>EDATE(I4,12)</f>
        <v>44562</v>
      </c>
      <c r="K4" s="351"/>
      <c r="L4" s="81"/>
      <c r="N4" s="81"/>
      <c r="O4" s="81"/>
      <c r="P4" s="81"/>
      <c r="Q4" s="81"/>
      <c r="R4" s="81"/>
      <c r="S4" s="81"/>
      <c r="X4" s="81"/>
    </row>
    <row r="5" spans="1:31">
      <c r="A5" s="79"/>
      <c r="B5" s="77" t="s">
        <v>44</v>
      </c>
      <c r="C5" s="358">
        <f>J5</f>
        <v>3891</v>
      </c>
      <c r="E5" s="84" t="s">
        <v>150</v>
      </c>
      <c r="F5" s="356">
        <f>-'Cash Flow Statement'!C22</f>
        <v>2969</v>
      </c>
      <c r="G5" s="356">
        <f>-'Cash Flow Statement'!D22</f>
        <v>2998</v>
      </c>
      <c r="H5" s="356">
        <f>-'Cash Flow Statement'!E22</f>
        <v>2810</v>
      </c>
      <c r="I5" s="356">
        <f>-'Cash Flow Statement'!F22</f>
        <v>3588</v>
      </c>
      <c r="J5" s="356">
        <f>-'Cash Flow Statement'!G22</f>
        <v>3891</v>
      </c>
      <c r="K5" s="370">
        <f>AVERAGE(F5:J5)</f>
        <v>3251.2</v>
      </c>
      <c r="L5" s="82"/>
      <c r="M5" s="82"/>
      <c r="N5" s="82"/>
      <c r="O5" s="82"/>
      <c r="P5" s="82"/>
      <c r="Q5" s="82"/>
      <c r="R5" s="82"/>
      <c r="S5" s="82"/>
      <c r="T5" s="82"/>
      <c r="U5" s="82"/>
      <c r="V5" s="82"/>
      <c r="W5" s="82"/>
      <c r="X5" s="82"/>
      <c r="Y5" s="82"/>
      <c r="Z5" s="82"/>
      <c r="AA5" s="82"/>
      <c r="AB5" s="82"/>
      <c r="AC5" s="82"/>
    </row>
    <row r="6" spans="1:31">
      <c r="A6" s="84"/>
      <c r="B6" s="342" t="s">
        <v>2</v>
      </c>
      <c r="C6" s="343">
        <f>-J6</f>
        <v>-1900</v>
      </c>
      <c r="D6" s="85"/>
      <c r="E6" s="84" t="s">
        <v>151</v>
      </c>
      <c r="F6" s="356">
        <f>'Cash Flow Statement'!C8</f>
        <v>1437</v>
      </c>
      <c r="G6" s="356">
        <f>'Cash Flow Statement'!D8</f>
        <v>1492</v>
      </c>
      <c r="H6" s="356">
        <f>'Cash Flow Statement'!E8</f>
        <v>1645</v>
      </c>
      <c r="I6" s="356">
        <f>'Cash Flow Statement'!F8</f>
        <v>1781</v>
      </c>
      <c r="J6" s="356">
        <f>'Cash Flow Statement'!G8</f>
        <v>1900</v>
      </c>
      <c r="K6" s="370">
        <f>K5*K7</f>
        <v>1613.8202898550724</v>
      </c>
      <c r="L6" s="233"/>
      <c r="M6" s="82"/>
      <c r="N6" s="82"/>
      <c r="O6" s="82"/>
      <c r="P6" s="82"/>
      <c r="Q6" s="82"/>
      <c r="R6" s="82"/>
      <c r="S6" s="82"/>
      <c r="T6" s="82"/>
      <c r="U6" s="82"/>
      <c r="V6" s="82"/>
      <c r="W6" s="82"/>
      <c r="X6" s="82"/>
      <c r="Y6" s="82"/>
      <c r="Z6" s="82"/>
      <c r="AA6" s="82"/>
      <c r="AB6" s="82"/>
      <c r="AC6" s="82"/>
    </row>
    <row r="7" spans="1:31">
      <c r="A7" s="84"/>
      <c r="B7" s="359" t="s">
        <v>43</v>
      </c>
      <c r="C7" s="360">
        <f>C5+C6</f>
        <v>1991</v>
      </c>
      <c r="E7" s="84" t="s">
        <v>152</v>
      </c>
      <c r="F7" s="348">
        <f>F6/F5</f>
        <v>0.48400134725496802</v>
      </c>
      <c r="G7" s="348">
        <f>G6/G5</f>
        <v>0.49766511007338227</v>
      </c>
      <c r="H7" s="348">
        <f>H6/H5</f>
        <v>0.58540925266903909</v>
      </c>
      <c r="I7" s="348">
        <f>I6/I5</f>
        <v>0.49637681159420288</v>
      </c>
      <c r="J7" s="348">
        <f>J6/J5</f>
        <v>0.48830634798252376</v>
      </c>
      <c r="K7" s="92">
        <f>MEDIAN(F7:J7)</f>
        <v>0.49637681159420288</v>
      </c>
      <c r="L7" s="82"/>
      <c r="M7" s="82"/>
      <c r="N7" s="82"/>
      <c r="O7" s="82"/>
      <c r="P7" s="82"/>
      <c r="Q7" s="82"/>
      <c r="R7" s="82"/>
      <c r="S7" s="82"/>
      <c r="T7" s="82"/>
      <c r="U7" s="82"/>
      <c r="V7" s="82"/>
      <c r="W7" s="82"/>
      <c r="X7" s="82"/>
      <c r="Y7" s="82"/>
      <c r="Z7" s="82"/>
      <c r="AA7" s="82"/>
      <c r="AB7" s="82"/>
      <c r="AC7" s="82"/>
    </row>
    <row r="8" spans="1:31">
      <c r="A8" s="84"/>
      <c r="B8" s="77" t="s">
        <v>153</v>
      </c>
      <c r="C8" s="358">
        <f>K8</f>
        <v>232.6</v>
      </c>
      <c r="E8" s="84" t="s">
        <v>153</v>
      </c>
      <c r="F8" s="356">
        <f>-'Cash Flow Statement'!C23</f>
        <v>0</v>
      </c>
      <c r="G8" s="356">
        <f>-'Cash Flow Statement'!D23</f>
        <v>0</v>
      </c>
      <c r="H8" s="356">
        <f>-'Cash Flow Statement'!E23</f>
        <v>1163</v>
      </c>
      <c r="I8" s="356">
        <f>-'Cash Flow Statement'!F23</f>
        <v>0</v>
      </c>
      <c r="J8" s="356">
        <f>-'Cash Flow Statement'!G23</f>
        <v>0</v>
      </c>
      <c r="K8" s="371">
        <f>AVERAGE(F8:J8)</f>
        <v>232.6</v>
      </c>
      <c r="L8" s="82"/>
      <c r="M8" s="82"/>
      <c r="N8" s="82"/>
      <c r="O8" s="82"/>
      <c r="P8" s="82"/>
      <c r="Q8" s="82"/>
      <c r="R8" s="82"/>
      <c r="S8" s="82"/>
      <c r="T8" s="82"/>
      <c r="U8" s="82"/>
      <c r="V8" s="82"/>
      <c r="W8" s="82"/>
      <c r="X8" s="82"/>
      <c r="Y8" s="82"/>
      <c r="Z8" s="82"/>
      <c r="AA8" s="82"/>
      <c r="AB8" s="82"/>
      <c r="AC8" s="82"/>
    </row>
    <row r="9" spans="1:31">
      <c r="A9" s="84"/>
      <c r="B9" s="336" t="s">
        <v>164</v>
      </c>
      <c r="C9" s="353">
        <f>SUM(C7:C8)</f>
        <v>2223.6</v>
      </c>
      <c r="F9" s="232"/>
      <c r="G9" s="232"/>
      <c r="H9" s="366"/>
      <c r="I9" s="366"/>
      <c r="J9" s="366"/>
      <c r="L9" s="82"/>
      <c r="M9" s="82"/>
      <c r="N9" s="82"/>
      <c r="O9" s="82"/>
      <c r="P9" s="82"/>
      <c r="Q9" s="82"/>
      <c r="R9" s="82"/>
      <c r="S9" s="82"/>
      <c r="T9" s="82"/>
      <c r="U9" s="82"/>
      <c r="V9" s="82"/>
      <c r="W9" s="82"/>
      <c r="X9" s="82"/>
      <c r="Y9" s="82"/>
      <c r="Z9" s="82"/>
      <c r="AA9" s="82"/>
      <c r="AB9" s="82"/>
      <c r="AC9" s="82"/>
      <c r="AD9" s="82"/>
      <c r="AE9" s="82"/>
    </row>
    <row r="10" spans="1:31">
      <c r="A10" s="86"/>
      <c r="E10" s="333" t="s">
        <v>336</v>
      </c>
      <c r="F10" s="332"/>
      <c r="G10" s="332"/>
      <c r="H10" s="332"/>
      <c r="I10" s="332"/>
      <c r="J10" s="332"/>
      <c r="K10" s="332"/>
      <c r="L10" s="82"/>
      <c r="M10" s="82"/>
      <c r="N10" s="82"/>
      <c r="O10" s="82"/>
      <c r="P10" s="82"/>
      <c r="Q10" s="82"/>
      <c r="R10" s="82"/>
      <c r="S10" s="82"/>
      <c r="T10" s="82"/>
      <c r="U10" s="82"/>
      <c r="V10" s="82"/>
      <c r="W10" s="82"/>
      <c r="X10" s="82"/>
      <c r="Y10" s="82"/>
      <c r="Z10" s="82"/>
      <c r="AA10" s="82"/>
      <c r="AB10" s="82"/>
      <c r="AC10" s="82"/>
    </row>
    <row r="11" spans="1:31" ht="12.75" thickBot="1">
      <c r="A11" s="84"/>
      <c r="B11" s="333" t="s">
        <v>45</v>
      </c>
      <c r="C11" s="332"/>
      <c r="E11" s="334" t="str">
        <f>Drivers!$C$5&amp;" in mil"</f>
        <v>$ in mil</v>
      </c>
      <c r="F11" s="351">
        <v>43101</v>
      </c>
      <c r="G11" s="351">
        <f>EDATE(F11,12)</f>
        <v>43466</v>
      </c>
      <c r="H11" s="351">
        <f>EDATE(G11,12)</f>
        <v>43831</v>
      </c>
      <c r="I11" s="351">
        <f>EDATE(H11,12)</f>
        <v>44197</v>
      </c>
      <c r="J11" s="351">
        <f>EDATE(I11,12)</f>
        <v>44562</v>
      </c>
      <c r="K11" s="351">
        <f>EDATE(J11,12)</f>
        <v>44927</v>
      </c>
      <c r="L11" s="82"/>
      <c r="M11" s="82"/>
      <c r="N11" s="82"/>
      <c r="O11" s="82"/>
      <c r="P11" s="82"/>
      <c r="Q11" s="82"/>
      <c r="R11" s="82"/>
      <c r="S11" s="82"/>
      <c r="T11" s="82"/>
      <c r="U11" s="82"/>
      <c r="V11" s="82"/>
      <c r="W11" s="82"/>
      <c r="X11" s="82"/>
      <c r="Y11" s="82"/>
      <c r="Z11" s="82"/>
      <c r="AA11" s="82"/>
      <c r="AB11" s="82"/>
      <c r="AC11" s="82"/>
    </row>
    <row r="12" spans="1:31" ht="12.75" thickBot="1">
      <c r="A12" s="86"/>
      <c r="B12" s="334" t="str">
        <f>Drivers!$C$5&amp;" in mil"</f>
        <v>$ in mil</v>
      </c>
      <c r="C12" s="351"/>
      <c r="E12" s="84" t="s">
        <v>479</v>
      </c>
      <c r="F12" s="356">
        <f>'Balance Sheet'!C8</f>
        <v>1669</v>
      </c>
      <c r="G12" s="356">
        <f>'Balance Sheet'!D8</f>
        <v>1535</v>
      </c>
      <c r="H12" s="356">
        <f>'Balance Sheet'!E8</f>
        <v>1550</v>
      </c>
      <c r="I12" s="356">
        <f>'Balance Sheet'!F8</f>
        <v>1803</v>
      </c>
      <c r="J12" s="356">
        <f>'Balance Sheet'!G8</f>
        <v>2241</v>
      </c>
      <c r="K12" s="356">
        <f>'Balance Sheet'!H8</f>
        <v>2714</v>
      </c>
      <c r="L12" s="82"/>
      <c r="M12" s="82"/>
      <c r="N12" s="82"/>
      <c r="O12" s="82"/>
      <c r="P12" s="82"/>
      <c r="Q12" s="82"/>
      <c r="R12" s="82"/>
      <c r="S12" s="82"/>
      <c r="T12" s="82"/>
      <c r="U12" s="82"/>
      <c r="V12" s="82"/>
      <c r="W12" s="82"/>
      <c r="X12" s="82"/>
      <c r="Y12" s="82"/>
      <c r="Z12" s="82"/>
      <c r="AA12" s="82"/>
      <c r="AB12" s="82"/>
      <c r="AC12" s="82"/>
    </row>
    <row r="13" spans="1:31">
      <c r="A13" s="84"/>
      <c r="B13" s="365" t="s">
        <v>60</v>
      </c>
      <c r="C13" s="364">
        <f>Reinvestment!K29</f>
        <v>-4.975137161839116E-2</v>
      </c>
      <c r="E13" s="84" t="s">
        <v>449</v>
      </c>
      <c r="F13" s="356">
        <f>'Balance Sheet'!C9</f>
        <v>11040</v>
      </c>
      <c r="G13" s="356">
        <f>'Balance Sheet'!D9</f>
        <v>11395</v>
      </c>
      <c r="H13" s="356">
        <f>'Balance Sheet'!E9</f>
        <v>12242</v>
      </c>
      <c r="I13" s="356">
        <f>'Balance Sheet'!F9</f>
        <v>14215</v>
      </c>
      <c r="J13" s="356">
        <f>'Balance Sheet'!G9</f>
        <v>17907</v>
      </c>
      <c r="K13" s="356">
        <f>'Balance Sheet'!H9</f>
        <v>16081</v>
      </c>
      <c r="L13" s="82"/>
      <c r="M13" s="82"/>
      <c r="N13" s="82"/>
      <c r="O13" s="82"/>
      <c r="P13" s="82"/>
      <c r="Q13" s="82"/>
      <c r="R13" s="82"/>
      <c r="S13" s="82"/>
      <c r="T13" s="82"/>
      <c r="U13" s="82"/>
      <c r="V13" s="82"/>
      <c r="W13" s="82"/>
      <c r="X13" s="82"/>
      <c r="Y13" s="82"/>
      <c r="Z13" s="82"/>
      <c r="AA13" s="82"/>
      <c r="AB13" s="82"/>
      <c r="AC13" s="82"/>
    </row>
    <row r="14" spans="1:31">
      <c r="D14" s="82"/>
      <c r="E14" s="84" t="s">
        <v>480</v>
      </c>
      <c r="F14" s="356">
        <f>'Balance Sheet'!C10</f>
        <v>321</v>
      </c>
      <c r="G14" s="356">
        <f>'Balance Sheet'!D10</f>
        <v>1111</v>
      </c>
      <c r="H14" s="356">
        <f>'Balance Sheet'!E10</f>
        <v>1023</v>
      </c>
      <c r="I14" s="356">
        <f>'Balance Sheet'!F10</f>
        <v>1312</v>
      </c>
      <c r="J14" s="356">
        <f>'Balance Sheet'!G10</f>
        <v>1499</v>
      </c>
      <c r="K14" s="356">
        <f>'Balance Sheet'!H10</f>
        <v>1830</v>
      </c>
      <c r="L14" s="82"/>
      <c r="M14" s="82"/>
      <c r="N14" s="82"/>
      <c r="O14" s="82"/>
      <c r="P14" s="82"/>
      <c r="Q14" s="82"/>
      <c r="R14" s="82"/>
      <c r="S14" s="82"/>
      <c r="T14" s="82"/>
      <c r="U14" s="82"/>
      <c r="V14" s="82"/>
      <c r="W14" s="82"/>
      <c r="X14" s="82"/>
      <c r="Y14" s="82"/>
      <c r="Z14" s="82"/>
      <c r="AA14" s="82"/>
      <c r="AB14" s="82"/>
      <c r="AC14" s="82"/>
    </row>
    <row r="15" spans="1:31">
      <c r="B15" s="77" t="s">
        <v>263</v>
      </c>
      <c r="C15" s="344">
        <f>J27</f>
        <v>226954</v>
      </c>
      <c r="D15" s="87"/>
      <c r="E15" s="367" t="s">
        <v>58</v>
      </c>
      <c r="F15" s="355">
        <f t="shared" ref="F15:I15" si="0">SUM(F12:F14)</f>
        <v>13030</v>
      </c>
      <c r="G15" s="355">
        <f t="shared" si="0"/>
        <v>14041</v>
      </c>
      <c r="H15" s="355">
        <f t="shared" si="0"/>
        <v>14815</v>
      </c>
      <c r="I15" s="355">
        <f t="shared" si="0"/>
        <v>17330</v>
      </c>
      <c r="J15" s="355">
        <f>SUM(J12:J14)</f>
        <v>21647</v>
      </c>
      <c r="K15" s="355">
        <f>SUM(K12:K14)</f>
        <v>20625</v>
      </c>
      <c r="L15" s="82"/>
      <c r="M15" s="82"/>
      <c r="N15" s="82"/>
      <c r="O15" s="82"/>
      <c r="P15" s="82"/>
      <c r="Q15" s="82"/>
      <c r="R15" s="82"/>
      <c r="S15" s="82"/>
      <c r="T15" s="82"/>
      <c r="U15" s="82"/>
      <c r="V15" s="82"/>
      <c r="W15" s="82"/>
      <c r="X15" s="82"/>
      <c r="Y15" s="82"/>
      <c r="Z15" s="82"/>
      <c r="AA15" s="82"/>
      <c r="AB15" s="82"/>
      <c r="AC15" s="82"/>
    </row>
    <row r="16" spans="1:31">
      <c r="B16" s="361" t="str">
        <f>"Non Cash Working Capital ("&amp;YEAR($J$11)&amp;")"</f>
        <v>Non Cash Working Capital (2022)</v>
      </c>
      <c r="C16" s="362">
        <f>C15*C13</f>
        <v>-11291.272794280347</v>
      </c>
      <c r="D16" s="52"/>
      <c r="E16" s="368" t="s">
        <v>627</v>
      </c>
      <c r="F16" s="356">
        <f>'Balance Sheet'!C17</f>
        <v>11237</v>
      </c>
      <c r="G16" s="356">
        <f>'Balance Sheet'!D17</f>
        <v>11679</v>
      </c>
      <c r="H16" s="356">
        <f>'Balance Sheet'!E17</f>
        <v>14172</v>
      </c>
      <c r="I16" s="356">
        <f>'Balance Sheet'!F17</f>
        <v>16278</v>
      </c>
      <c r="J16" s="356">
        <f>'Balance Sheet'!G17</f>
        <v>17848</v>
      </c>
      <c r="K16" s="356">
        <f>'Balance Sheet'!H17</f>
        <v>16407</v>
      </c>
      <c r="L16" s="82"/>
      <c r="M16" s="82"/>
      <c r="N16" s="82"/>
      <c r="O16" s="82"/>
      <c r="P16" s="82"/>
      <c r="Q16" s="82"/>
      <c r="R16" s="82"/>
      <c r="S16" s="82"/>
      <c r="T16" s="82"/>
      <c r="U16" s="82"/>
      <c r="V16" s="82"/>
      <c r="W16" s="82"/>
      <c r="X16" s="82"/>
      <c r="Y16" s="82"/>
      <c r="Z16" s="82"/>
      <c r="AA16" s="82"/>
      <c r="AB16" s="82"/>
      <c r="AC16" s="82"/>
    </row>
    <row r="17" spans="2:31">
      <c r="C17" s="352"/>
      <c r="D17" s="88"/>
      <c r="E17" s="368" t="s">
        <v>604</v>
      </c>
      <c r="F17" s="356">
        <f>'Balance Sheet'!C19</f>
        <v>2994</v>
      </c>
      <c r="G17" s="356">
        <f>'Balance Sheet'!D19</f>
        <v>3176</v>
      </c>
      <c r="H17" s="356">
        <f>'Balance Sheet'!E19</f>
        <v>3605</v>
      </c>
      <c r="I17" s="356">
        <f>'Balance Sheet'!F19</f>
        <v>4090</v>
      </c>
      <c r="J17" s="356">
        <f>'Balance Sheet'!G19</f>
        <v>4381</v>
      </c>
      <c r="K17" s="356">
        <f>'Balance Sheet'!H19</f>
        <v>4483</v>
      </c>
      <c r="L17" s="82"/>
      <c r="M17" s="82"/>
      <c r="N17" s="82"/>
      <c r="O17" s="82"/>
      <c r="P17" s="82"/>
      <c r="Q17" s="82"/>
      <c r="R17" s="82"/>
      <c r="S17" s="82"/>
      <c r="T17" s="82"/>
      <c r="U17" s="82"/>
      <c r="V17" s="82"/>
      <c r="W17" s="82"/>
      <c r="X17" s="82"/>
      <c r="Y17" s="82"/>
      <c r="Z17" s="82"/>
      <c r="AA17" s="82"/>
      <c r="AB17" s="82"/>
      <c r="AC17" s="82"/>
    </row>
    <row r="18" spans="2:31">
      <c r="B18" s="77" t="s">
        <v>61</v>
      </c>
      <c r="C18" s="344">
        <f>I27</f>
        <v>195929</v>
      </c>
      <c r="E18" s="368" t="s">
        <v>605</v>
      </c>
      <c r="F18" s="356">
        <f>'Balance Sheet'!C20</f>
        <v>1057</v>
      </c>
      <c r="G18" s="356">
        <f>'Balance Sheet'!D20</f>
        <v>1180</v>
      </c>
      <c r="H18" s="356">
        <f>'Balance Sheet'!E20</f>
        <v>1393</v>
      </c>
      <c r="I18" s="356">
        <f>'Balance Sheet'!F20</f>
        <v>1671</v>
      </c>
      <c r="J18" s="356">
        <f>'Balance Sheet'!G20</f>
        <v>1911</v>
      </c>
      <c r="K18" s="356">
        <f>'Balance Sheet'!H20</f>
        <v>2016</v>
      </c>
      <c r="L18" s="82"/>
      <c r="M18" s="82"/>
      <c r="N18" s="82"/>
      <c r="O18" s="82"/>
      <c r="P18" s="82"/>
      <c r="Q18" s="82"/>
      <c r="R18" s="82"/>
      <c r="S18" s="82"/>
      <c r="T18" s="82"/>
      <c r="U18" s="82"/>
      <c r="V18" s="82"/>
      <c r="W18" s="82"/>
      <c r="X18" s="82"/>
      <c r="Y18" s="82"/>
      <c r="Z18" s="82"/>
      <c r="AA18" s="82"/>
      <c r="AB18" s="82"/>
      <c r="AC18" s="82"/>
    </row>
    <row r="19" spans="2:31">
      <c r="B19" s="361" t="str">
        <f>"Non Cash Working Capital ("&amp;YEAR(I11)&amp;")"</f>
        <v>Non Cash Working Capital (2021)</v>
      </c>
      <c r="C19" s="618">
        <f>C18*C13</f>
        <v>-9747.7364898197611</v>
      </c>
      <c r="E19" s="84" t="s">
        <v>629</v>
      </c>
      <c r="F19" s="356">
        <f>'Balance Sheet'!C21</f>
        <v>1624</v>
      </c>
      <c r="G19" s="356">
        <f>'Balance Sheet'!D21</f>
        <v>1711</v>
      </c>
      <c r="H19" s="356">
        <f>'Balance Sheet'!E21</f>
        <v>1851</v>
      </c>
      <c r="I19" s="356">
        <f>'Balance Sheet'!F21</f>
        <v>2042</v>
      </c>
      <c r="J19" s="356">
        <f>'Balance Sheet'!G21</f>
        <v>2174</v>
      </c>
      <c r="K19" s="356">
        <f>'Balance Sheet'!H21</f>
        <v>2412</v>
      </c>
      <c r="L19" s="82"/>
      <c r="M19" s="82"/>
      <c r="N19" s="82"/>
      <c r="O19" s="82"/>
      <c r="P19" s="82"/>
      <c r="Q19" s="82"/>
      <c r="R19" s="82"/>
      <c r="S19" s="82"/>
      <c r="T19" s="82"/>
      <c r="U19" s="82"/>
      <c r="V19" s="82"/>
      <c r="W19" s="82"/>
      <c r="X19" s="82"/>
      <c r="Y19" s="82"/>
      <c r="Z19" s="82"/>
      <c r="AA19" s="82"/>
      <c r="AB19" s="82"/>
      <c r="AC19" s="82"/>
    </row>
    <row r="20" spans="2:31">
      <c r="C20" s="352"/>
      <c r="E20" s="84" t="s">
        <v>628</v>
      </c>
      <c r="F20" s="356">
        <f>'Balance Sheet'!C22</f>
        <v>3014</v>
      </c>
      <c r="G20" s="356">
        <f>'Balance Sheet'!D22</f>
        <v>3792</v>
      </c>
      <c r="H20" s="356">
        <f>'Balance Sheet'!E22</f>
        <v>3728</v>
      </c>
      <c r="I20" s="356">
        <f>'Balance Sheet'!F22</f>
        <v>4561</v>
      </c>
      <c r="J20" s="356">
        <f>'Balance Sheet'!G22</f>
        <v>5611</v>
      </c>
      <c r="K20" s="356">
        <f>'Balance Sheet'!H22</f>
        <v>7122</v>
      </c>
      <c r="L20" s="82"/>
      <c r="M20" s="82"/>
      <c r="N20" s="82"/>
      <c r="O20" s="82"/>
      <c r="P20" s="82"/>
      <c r="Q20" s="82"/>
      <c r="R20" s="82"/>
      <c r="S20" s="82"/>
      <c r="T20" s="82"/>
      <c r="U20" s="82"/>
      <c r="V20" s="82"/>
      <c r="W20" s="82"/>
      <c r="X20" s="82"/>
      <c r="Y20" s="82"/>
      <c r="Z20" s="82"/>
      <c r="AA20" s="82"/>
      <c r="AB20" s="82"/>
      <c r="AC20" s="82"/>
    </row>
    <row r="21" spans="2:31">
      <c r="B21" s="336" t="s">
        <v>276</v>
      </c>
      <c r="C21" s="346">
        <f>C16-C19</f>
        <v>-1543.5363044605856</v>
      </c>
      <c r="E21" s="367" t="s">
        <v>59</v>
      </c>
      <c r="F21" s="355">
        <f t="shared" ref="F21:I21" si="1">SUM(F16:F20)</f>
        <v>19926</v>
      </c>
      <c r="G21" s="355">
        <f t="shared" si="1"/>
        <v>21538</v>
      </c>
      <c r="H21" s="355">
        <f t="shared" si="1"/>
        <v>24749</v>
      </c>
      <c r="I21" s="355">
        <f t="shared" si="1"/>
        <v>28642</v>
      </c>
      <c r="J21" s="355">
        <f>SUM(J16:J20)</f>
        <v>31925</v>
      </c>
      <c r="K21" s="355">
        <f>SUM(K16:K20)</f>
        <v>32440</v>
      </c>
      <c r="L21" s="82"/>
      <c r="M21" s="82"/>
      <c r="N21" s="82"/>
      <c r="O21" s="82"/>
      <c r="P21" s="82"/>
      <c r="Q21" s="82"/>
      <c r="R21" s="82"/>
      <c r="S21" s="82"/>
      <c r="T21" s="82"/>
      <c r="U21" s="82"/>
      <c r="V21" s="82"/>
      <c r="W21" s="82"/>
      <c r="X21" s="82"/>
      <c r="Y21" s="82"/>
      <c r="Z21" s="82"/>
      <c r="AA21" s="82"/>
      <c r="AB21" s="82"/>
      <c r="AC21" s="82"/>
    </row>
    <row r="22" spans="2:31">
      <c r="F22" s="369"/>
      <c r="G22" s="369"/>
      <c r="H22" s="369"/>
      <c r="I22" s="369"/>
      <c r="J22" s="369"/>
      <c r="K22" s="369"/>
      <c r="L22" s="82"/>
      <c r="M22" s="82"/>
      <c r="N22" s="82"/>
      <c r="O22" s="82"/>
      <c r="P22" s="82"/>
      <c r="Q22" s="82"/>
      <c r="R22" s="82"/>
      <c r="S22" s="82"/>
      <c r="T22" s="82"/>
      <c r="U22" s="82"/>
      <c r="V22" s="82"/>
      <c r="W22" s="82"/>
      <c r="X22" s="82"/>
      <c r="Y22" s="82"/>
      <c r="Z22" s="82"/>
      <c r="AA22" s="82"/>
      <c r="AB22" s="82"/>
      <c r="AC22" s="82"/>
    </row>
    <row r="23" spans="2:31">
      <c r="B23" s="333" t="s">
        <v>48</v>
      </c>
      <c r="C23" s="332"/>
      <c r="E23" s="367" t="s">
        <v>45</v>
      </c>
      <c r="F23" s="355">
        <f t="shared" ref="F23:K23" si="2">F15-F21</f>
        <v>-6896</v>
      </c>
      <c r="G23" s="355">
        <f t="shared" si="2"/>
        <v>-7497</v>
      </c>
      <c r="H23" s="355">
        <f t="shared" si="2"/>
        <v>-9934</v>
      </c>
      <c r="I23" s="355">
        <f t="shared" si="2"/>
        <v>-11312</v>
      </c>
      <c r="J23" s="355">
        <f t="shared" si="2"/>
        <v>-10278</v>
      </c>
      <c r="K23" s="355">
        <f t="shared" si="2"/>
        <v>-11815</v>
      </c>
      <c r="L23" s="82"/>
      <c r="M23" s="82"/>
      <c r="N23" s="82"/>
      <c r="O23" s="82"/>
      <c r="P23" s="82"/>
      <c r="Q23" s="82"/>
      <c r="R23" s="82"/>
      <c r="S23" s="82"/>
      <c r="T23" s="82"/>
      <c r="U23" s="82"/>
      <c r="V23" s="82"/>
      <c r="W23" s="82"/>
      <c r="X23" s="82"/>
      <c r="Y23" s="82"/>
      <c r="Z23" s="82"/>
      <c r="AA23" s="82"/>
      <c r="AB23" s="82"/>
      <c r="AC23" s="82"/>
    </row>
    <row r="24" spans="2:31" ht="12.75" thickBot="1">
      <c r="B24" s="334" t="str">
        <f>Drivers!$C$5&amp;" in mil"</f>
        <v>$ in mil</v>
      </c>
      <c r="C24" s="351"/>
      <c r="F24" s="344"/>
      <c r="G24" s="344"/>
      <c r="H24" s="344"/>
      <c r="I24" s="344"/>
      <c r="J24" s="344"/>
      <c r="K24" s="344"/>
      <c r="L24" s="82"/>
      <c r="M24" s="82"/>
      <c r="N24" s="82"/>
      <c r="O24" s="82"/>
      <c r="P24" s="82"/>
      <c r="Q24" s="82"/>
      <c r="R24" s="82"/>
      <c r="S24" s="82"/>
      <c r="T24" s="82"/>
      <c r="U24" s="82"/>
      <c r="V24" s="82"/>
      <c r="W24" s="82"/>
      <c r="X24" s="82"/>
      <c r="Y24" s="82"/>
      <c r="Z24" s="82"/>
      <c r="AA24" s="82"/>
      <c r="AB24" s="82"/>
      <c r="AC24" s="82"/>
    </row>
    <row r="25" spans="2:31">
      <c r="B25" s="336" t="s">
        <v>48</v>
      </c>
      <c r="C25" s="346">
        <f>C9+C21</f>
        <v>680.06369553941431</v>
      </c>
      <c r="E25" s="86" t="s">
        <v>158</v>
      </c>
      <c r="F25" s="354"/>
      <c r="G25" s="354">
        <f>G23-F23</f>
        <v>-601</v>
      </c>
      <c r="H25" s="354">
        <f>H23-G23</f>
        <v>-2437</v>
      </c>
      <c r="I25" s="354">
        <f>I23-H23</f>
        <v>-1378</v>
      </c>
      <c r="J25" s="354">
        <f>J23-I23</f>
        <v>1034</v>
      </c>
      <c r="K25" s="354">
        <f>K23-J23</f>
        <v>-1537</v>
      </c>
      <c r="L25" s="82"/>
      <c r="M25" s="82"/>
      <c r="N25" s="82"/>
      <c r="O25" s="82"/>
      <c r="P25" s="82"/>
      <c r="Q25" s="82"/>
      <c r="R25" s="82"/>
      <c r="S25" s="82"/>
      <c r="T25" s="82"/>
      <c r="U25" s="82"/>
      <c r="V25" s="82"/>
      <c r="W25" s="82"/>
      <c r="X25" s="82"/>
      <c r="Y25" s="82"/>
      <c r="Z25" s="82"/>
      <c r="AA25" s="82"/>
      <c r="AB25" s="82"/>
      <c r="AC25" s="82"/>
    </row>
    <row r="26" spans="2:31">
      <c r="K26" s="82"/>
      <c r="L26" s="82"/>
      <c r="M26" s="82"/>
      <c r="N26" s="82"/>
      <c r="O26" s="82"/>
      <c r="P26" s="82"/>
      <c r="Q26" s="82"/>
      <c r="R26" s="82"/>
      <c r="S26" s="82"/>
      <c r="T26" s="82"/>
      <c r="U26" s="82"/>
      <c r="V26" s="82"/>
      <c r="W26" s="82"/>
      <c r="X26" s="82"/>
      <c r="Y26" s="82"/>
      <c r="Z26" s="82"/>
      <c r="AA26" s="82"/>
      <c r="AB26" s="82"/>
      <c r="AC26" s="82"/>
    </row>
    <row r="27" spans="2:31">
      <c r="E27" s="84" t="s">
        <v>4</v>
      </c>
      <c r="F27" s="344">
        <f>'Income Statement'!C11</f>
        <v>141576</v>
      </c>
      <c r="G27" s="344">
        <f>'Income Statement'!D11</f>
        <v>152703</v>
      </c>
      <c r="H27" s="344">
        <f>'Income Statement'!E11</f>
        <v>166761</v>
      </c>
      <c r="I27" s="344">
        <f>'Income Statement'!F11</f>
        <v>195929</v>
      </c>
      <c r="J27" s="344">
        <f>'Income Statement'!G11</f>
        <v>226954</v>
      </c>
      <c r="K27" s="344">
        <f>'Income Statement'!H11</f>
        <v>234390</v>
      </c>
      <c r="L27" s="82"/>
      <c r="M27" s="82"/>
      <c r="N27" s="82"/>
      <c r="O27" s="82"/>
      <c r="P27" s="82"/>
      <c r="Q27" s="82"/>
      <c r="R27" s="82"/>
      <c r="S27" s="82"/>
      <c r="T27" s="82"/>
      <c r="U27" s="82"/>
      <c r="V27" s="82"/>
      <c r="W27" s="82"/>
      <c r="X27" s="82"/>
      <c r="Y27" s="82"/>
      <c r="Z27" s="82"/>
      <c r="AA27" s="82"/>
      <c r="AB27" s="82"/>
      <c r="AC27" s="82"/>
    </row>
    <row r="28" spans="2:31">
      <c r="E28" s="89" t="s">
        <v>57</v>
      </c>
      <c r="F28" s="350">
        <f t="shared" ref="F28:K28" si="3">F23/F27</f>
        <v>-4.8708820704074139E-2</v>
      </c>
      <c r="G28" s="350">
        <f t="shared" si="3"/>
        <v>-4.9095302646313434E-2</v>
      </c>
      <c r="H28" s="350">
        <f t="shared" si="3"/>
        <v>-5.9570283219697651E-2</v>
      </c>
      <c r="I28" s="350">
        <f t="shared" si="3"/>
        <v>-5.7735199995916892E-2</v>
      </c>
      <c r="J28" s="350">
        <f t="shared" si="3"/>
        <v>-4.5286710082219302E-2</v>
      </c>
      <c r="K28" s="350">
        <f t="shared" si="3"/>
        <v>-5.040744059046888E-2</v>
      </c>
      <c r="L28" s="82"/>
      <c r="M28" s="82"/>
      <c r="N28" s="82"/>
      <c r="O28" s="82"/>
      <c r="P28" s="82"/>
      <c r="Q28" s="82"/>
      <c r="R28" s="82"/>
      <c r="S28" s="82"/>
      <c r="T28" s="82"/>
      <c r="U28" s="82"/>
      <c r="V28" s="82"/>
      <c r="W28" s="82"/>
      <c r="X28" s="82"/>
      <c r="Y28" s="82"/>
      <c r="Z28" s="82"/>
      <c r="AA28" s="82"/>
      <c r="AB28" s="82"/>
      <c r="AC28" s="82"/>
    </row>
    <row r="29" spans="2:31">
      <c r="J29" s="89" t="s">
        <v>108</v>
      </c>
      <c r="K29" s="372">
        <f>MEDIAN(F28:K28)</f>
        <v>-4.975137161839116E-2</v>
      </c>
      <c r="L29" s="82"/>
      <c r="M29" s="82"/>
      <c r="N29" s="82"/>
      <c r="O29" s="82"/>
      <c r="P29" s="82"/>
      <c r="Q29" s="82"/>
      <c r="R29" s="82"/>
      <c r="S29" s="82"/>
      <c r="T29" s="82"/>
      <c r="U29" s="82"/>
      <c r="V29" s="82"/>
      <c r="W29" s="82"/>
      <c r="X29" s="82"/>
      <c r="Y29" s="82"/>
      <c r="Z29" s="82"/>
      <c r="AA29" s="82"/>
      <c r="AB29" s="82"/>
      <c r="AC29" s="82"/>
      <c r="AD29" s="82"/>
      <c r="AE29" s="82"/>
    </row>
    <row r="30" spans="2:31" ht="14.25" customHeight="1">
      <c r="K30" s="82"/>
      <c r="L30" s="82"/>
      <c r="M30" s="82"/>
      <c r="N30" s="82"/>
      <c r="O30" s="82"/>
      <c r="P30" s="82"/>
      <c r="Q30" s="82"/>
      <c r="R30" s="82"/>
      <c r="S30" s="82"/>
      <c r="T30" s="82"/>
      <c r="U30" s="82"/>
      <c r="V30" s="82"/>
      <c r="W30" s="82"/>
      <c r="X30" s="82"/>
      <c r="Y30" s="82"/>
      <c r="Z30" s="82"/>
      <c r="AA30" s="82"/>
      <c r="AB30" s="82"/>
      <c r="AC30" s="82"/>
      <c r="AD30" s="82"/>
      <c r="AE30" s="82"/>
    </row>
    <row r="31" spans="2:31">
      <c r="K31" s="82"/>
      <c r="L31" s="82"/>
      <c r="M31" s="82"/>
      <c r="N31" s="82"/>
      <c r="O31" s="82"/>
      <c r="P31" s="82"/>
      <c r="Q31" s="82"/>
      <c r="R31" s="82"/>
      <c r="S31" s="82"/>
      <c r="T31" s="82"/>
      <c r="U31" s="82"/>
      <c r="V31" s="82"/>
      <c r="W31" s="82"/>
      <c r="X31" s="82"/>
      <c r="Y31" s="82"/>
      <c r="Z31" s="82"/>
      <c r="AA31" s="82"/>
      <c r="AB31" s="82"/>
      <c r="AC31" s="82"/>
      <c r="AD31" s="82"/>
      <c r="AE31" s="82"/>
    </row>
    <row r="32" spans="2:31">
      <c r="F32" s="82"/>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row>
    <row r="33" spans="6:31">
      <c r="F33" s="82"/>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row>
    <row r="34" spans="6:31">
      <c r="F34" s="82"/>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row>
    <row r="35" spans="6:31">
      <c r="F35" s="82"/>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row>
    <row r="36" spans="6:31">
      <c r="I36" s="82"/>
      <c r="J36" s="82"/>
      <c r="K36" s="82"/>
      <c r="L36" s="82"/>
      <c r="M36" s="82"/>
      <c r="N36" s="82"/>
      <c r="O36" s="82"/>
      <c r="P36" s="82"/>
      <c r="Q36" s="82"/>
      <c r="R36" s="82"/>
      <c r="S36" s="82"/>
      <c r="T36" s="82"/>
      <c r="U36" s="82"/>
      <c r="V36" s="82"/>
      <c r="W36" s="82"/>
      <c r="X36" s="82"/>
      <c r="Y36" s="82"/>
      <c r="Z36" s="82"/>
      <c r="AA36" s="82"/>
      <c r="AB36" s="82"/>
      <c r="AC36" s="82"/>
      <c r="AD36" s="82"/>
      <c r="AE36" s="82"/>
    </row>
    <row r="37" spans="6:31">
      <c r="I37" s="82"/>
      <c r="J37" s="82"/>
      <c r="K37" s="82"/>
      <c r="L37" s="82"/>
      <c r="M37" s="82"/>
      <c r="N37" s="82"/>
      <c r="O37" s="82"/>
      <c r="P37" s="82"/>
      <c r="Q37" s="82"/>
      <c r="R37" s="82"/>
      <c r="S37" s="82"/>
      <c r="T37" s="82"/>
      <c r="U37" s="82"/>
      <c r="V37" s="82"/>
      <c r="W37" s="82"/>
      <c r="X37" s="82"/>
      <c r="Y37" s="82"/>
      <c r="Z37" s="82"/>
      <c r="AA37" s="82"/>
      <c r="AB37" s="82"/>
      <c r="AC37" s="82"/>
      <c r="AD37" s="82"/>
      <c r="AE37" s="82"/>
    </row>
    <row r="38" spans="6:31">
      <c r="K38" s="82"/>
      <c r="L38" s="82"/>
      <c r="M38" s="82"/>
      <c r="N38" s="82"/>
      <c r="O38" s="82"/>
      <c r="P38" s="82"/>
      <c r="Q38" s="82"/>
      <c r="R38" s="82"/>
      <c r="S38" s="82"/>
      <c r="T38" s="82"/>
      <c r="U38" s="82"/>
      <c r="V38" s="82"/>
      <c r="W38" s="82"/>
      <c r="X38" s="82"/>
      <c r="Y38" s="82"/>
      <c r="Z38" s="82"/>
      <c r="AA38" s="82"/>
      <c r="AB38" s="82"/>
      <c r="AC38" s="82"/>
      <c r="AD38" s="82"/>
      <c r="AE38" s="82"/>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38"/>
  <sheetViews>
    <sheetView workbookViewId="0"/>
  </sheetViews>
  <sheetFormatPr defaultRowHeight="12"/>
  <cols>
    <col min="1" max="1" width="2" style="77" customWidth="1"/>
    <col min="2" max="2" width="29.28515625" style="77" customWidth="1"/>
    <col min="3" max="3" width="11.7109375" style="77" customWidth="1"/>
    <col min="4" max="4" width="10.7109375" style="77" customWidth="1"/>
    <col min="5" max="5" width="24.140625" style="77" customWidth="1"/>
    <col min="6" max="6" width="11.7109375" style="77" customWidth="1" collapsed="1"/>
    <col min="7" max="11" width="11.7109375" style="77" customWidth="1"/>
    <col min="12" max="24" width="9.140625" style="77" customWidth="1"/>
    <col min="25" max="25" width="9.28515625" style="77" customWidth="1"/>
    <col min="26" max="26" width="9.42578125" style="77" customWidth="1"/>
    <col min="27" max="27" width="10" style="77" customWidth="1"/>
    <col min="28" max="28" width="11.42578125" style="77" customWidth="1"/>
    <col min="29" max="29" width="9.42578125" style="77" bestFit="1" customWidth="1" collapsed="1"/>
    <col min="30" max="16384" width="9.140625" style="77"/>
  </cols>
  <sheetData>
    <row r="1" spans="1:30" s="76" customFormat="1" ht="15" customHeight="1">
      <c r="B1" s="15" t="s">
        <v>56</v>
      </c>
      <c r="C1" s="75"/>
      <c r="D1" s="75"/>
      <c r="E1" s="75"/>
      <c r="F1" s="75"/>
      <c r="G1" s="75"/>
      <c r="H1" s="75"/>
      <c r="I1" s="75"/>
      <c r="J1" s="75"/>
    </row>
    <row r="2" spans="1:30" ht="12.75" customHeight="1">
      <c r="C2" s="89"/>
    </row>
    <row r="3" spans="1:30">
      <c r="A3" s="79"/>
      <c r="B3" s="333" t="s">
        <v>47</v>
      </c>
      <c r="C3" s="332"/>
      <c r="E3" s="333" t="s">
        <v>337</v>
      </c>
      <c r="F3" s="332"/>
      <c r="G3" s="332"/>
      <c r="H3" s="332"/>
      <c r="I3" s="332"/>
      <c r="J3" s="332"/>
      <c r="K3" s="332"/>
    </row>
    <row r="4" spans="1:30" ht="12.75" customHeight="1" thickBot="1">
      <c r="A4" s="84"/>
      <c r="B4" s="334" t="str">
        <f>Drivers!$C$5&amp;" in mil"</f>
        <v>$ in mil</v>
      </c>
      <c r="C4" s="351"/>
      <c r="E4" s="334" t="str">
        <f>Drivers!$C$5&amp;" in mil"</f>
        <v>$ in mil</v>
      </c>
      <c r="F4" s="351">
        <v>43101</v>
      </c>
      <c r="G4" s="351">
        <f>EDATE(F4,12)</f>
        <v>43466</v>
      </c>
      <c r="H4" s="351">
        <f>EDATE(G4,12)</f>
        <v>43831</v>
      </c>
      <c r="I4" s="351">
        <f>EDATE(H4,12)</f>
        <v>44197</v>
      </c>
      <c r="J4" s="351">
        <f>EDATE(I4,12)</f>
        <v>44562</v>
      </c>
      <c r="K4" s="351"/>
      <c r="M4" s="81"/>
      <c r="O4" s="81"/>
      <c r="P4" s="81"/>
      <c r="Q4" s="81"/>
      <c r="R4" s="81"/>
      <c r="S4" s="81"/>
      <c r="T4" s="81"/>
      <c r="Y4" s="81"/>
    </row>
    <row r="5" spans="1:30">
      <c r="A5" s="84"/>
      <c r="B5" s="77" t="s">
        <v>167</v>
      </c>
      <c r="C5" s="358">
        <f>'Accounting Adjustments'!C38</f>
        <v>7790.5670750355303</v>
      </c>
      <c r="E5" s="89" t="s">
        <v>53</v>
      </c>
      <c r="F5" s="356">
        <f>'Cash Flow Statement'!C29</f>
        <v>0</v>
      </c>
      <c r="G5" s="356">
        <f>'Cash Flow Statement'!D29</f>
        <v>298</v>
      </c>
      <c r="H5" s="356">
        <f>'Cash Flow Statement'!E29</f>
        <v>3992</v>
      </c>
      <c r="I5" s="356">
        <f>'Cash Flow Statement'!F29</f>
        <v>0</v>
      </c>
      <c r="J5" s="356">
        <f>'Cash Flow Statement'!G29</f>
        <v>0</v>
      </c>
      <c r="K5" s="370">
        <f>AVERAGE(F5:J5)</f>
        <v>858</v>
      </c>
      <c r="M5" s="82"/>
      <c r="N5" s="82"/>
      <c r="O5" s="82"/>
      <c r="P5" s="82"/>
      <c r="Q5" s="82"/>
      <c r="R5" s="82"/>
      <c r="S5" s="82"/>
      <c r="T5" s="82"/>
      <c r="U5" s="82"/>
      <c r="V5" s="82"/>
      <c r="W5" s="82"/>
      <c r="X5" s="82"/>
      <c r="Y5" s="82"/>
      <c r="Z5" s="82"/>
      <c r="AA5" s="82"/>
      <c r="AB5" s="82"/>
      <c r="AC5" s="82"/>
      <c r="AD5" s="82"/>
    </row>
    <row r="6" spans="1:30" ht="12" customHeight="1">
      <c r="A6" s="84"/>
      <c r="B6" s="340" t="s">
        <v>454</v>
      </c>
      <c r="C6" s="63">
        <f>MEDIAN('Income Statement'!C32:H32)</f>
        <v>0.24462364249780405</v>
      </c>
      <c r="E6" s="89" t="s">
        <v>304</v>
      </c>
      <c r="F6" s="356">
        <f>'Cash Flow Statement'!C30</f>
        <v>-86</v>
      </c>
      <c r="G6" s="356">
        <f>'Cash Flow Statement'!D30</f>
        <v>-89</v>
      </c>
      <c r="H6" s="356">
        <f>'Cash Flow Statement'!E30</f>
        <v>-3200</v>
      </c>
      <c r="I6" s="356">
        <f>'Cash Flow Statement'!F30</f>
        <v>-94</v>
      </c>
      <c r="J6" s="356">
        <f>'Cash Flow Statement'!G30</f>
        <v>-800</v>
      </c>
      <c r="K6" s="370">
        <f>AVERAGE(F6:J6)</f>
        <v>-853.8</v>
      </c>
      <c r="M6" s="82"/>
      <c r="N6" s="82"/>
      <c r="O6" s="82"/>
      <c r="P6" s="82"/>
      <c r="Q6" s="82"/>
      <c r="R6" s="82"/>
      <c r="S6" s="82"/>
      <c r="T6" s="82"/>
      <c r="U6" s="82"/>
      <c r="V6" s="82"/>
      <c r="W6" s="82"/>
      <c r="X6" s="82"/>
      <c r="Y6" s="82"/>
      <c r="Z6" s="82"/>
      <c r="AA6" s="82"/>
      <c r="AB6" s="82"/>
      <c r="AC6" s="82"/>
      <c r="AD6" s="82"/>
    </row>
    <row r="7" spans="1:30" ht="12" customHeight="1">
      <c r="B7" s="77" t="s">
        <v>46</v>
      </c>
      <c r="C7" s="344">
        <f>C5*(1-C6)</f>
        <v>5884.8101800168752</v>
      </c>
      <c r="M7" s="82"/>
      <c r="N7" s="82"/>
      <c r="O7" s="82"/>
      <c r="P7" s="82"/>
      <c r="Q7" s="82"/>
      <c r="R7" s="82"/>
      <c r="S7" s="82"/>
      <c r="T7" s="82"/>
      <c r="U7" s="82"/>
      <c r="V7" s="82"/>
      <c r="W7" s="82"/>
      <c r="X7" s="82"/>
      <c r="Y7" s="82"/>
      <c r="Z7" s="82"/>
      <c r="AA7" s="82"/>
      <c r="AB7" s="82"/>
      <c r="AC7" s="82"/>
      <c r="AD7" s="82"/>
    </row>
    <row r="8" spans="1:30">
      <c r="A8" s="84"/>
      <c r="B8" s="373"/>
      <c r="C8" s="374"/>
      <c r="F8" s="232"/>
      <c r="G8" s="232"/>
      <c r="H8" s="232"/>
      <c r="I8" s="232"/>
      <c r="J8" s="232"/>
      <c r="M8" s="82"/>
      <c r="N8" s="82"/>
      <c r="O8" s="82"/>
      <c r="P8" s="82"/>
      <c r="Q8" s="82"/>
      <c r="R8" s="82"/>
      <c r="S8" s="82"/>
      <c r="T8" s="82"/>
      <c r="U8" s="82"/>
      <c r="V8" s="82"/>
      <c r="W8" s="82"/>
      <c r="X8" s="82"/>
      <c r="Y8" s="82"/>
      <c r="Z8" s="82"/>
      <c r="AA8" s="82"/>
      <c r="AB8" s="82"/>
      <c r="AC8" s="82"/>
      <c r="AD8" s="82"/>
    </row>
    <row r="9" spans="1:30">
      <c r="A9" s="84"/>
      <c r="B9" s="77" t="s">
        <v>48</v>
      </c>
      <c r="C9" s="356">
        <f>Reinvestment!C25</f>
        <v>680.06369553941431</v>
      </c>
      <c r="K9" s="82"/>
      <c r="L9" s="82"/>
      <c r="M9" s="82"/>
      <c r="N9" s="82"/>
      <c r="O9" s="82"/>
      <c r="P9" s="82"/>
      <c r="Q9" s="82"/>
      <c r="R9" s="82"/>
      <c r="S9" s="82"/>
      <c r="T9" s="82"/>
      <c r="U9" s="82"/>
      <c r="V9" s="82"/>
      <c r="W9" s="82"/>
      <c r="X9" s="82"/>
      <c r="Y9" s="82"/>
      <c r="Z9" s="82"/>
      <c r="AA9" s="82"/>
      <c r="AB9" s="82"/>
    </row>
    <row r="10" spans="1:30">
      <c r="A10" s="80"/>
      <c r="K10" s="82"/>
      <c r="L10" s="82"/>
      <c r="M10" s="82"/>
      <c r="N10" s="82"/>
      <c r="O10" s="82"/>
      <c r="P10" s="82"/>
      <c r="Q10" s="82"/>
      <c r="R10" s="82"/>
      <c r="S10" s="82"/>
      <c r="T10" s="82"/>
      <c r="U10" s="82"/>
      <c r="V10" s="82"/>
      <c r="W10" s="82"/>
      <c r="X10" s="82"/>
      <c r="Y10" s="82"/>
      <c r="Z10" s="82"/>
      <c r="AA10" s="82"/>
      <c r="AB10" s="82"/>
    </row>
    <row r="11" spans="1:30">
      <c r="A11" s="84"/>
      <c r="B11" s="338" t="s">
        <v>47</v>
      </c>
      <c r="C11" s="346">
        <f>C7-C9</f>
        <v>5204.7464844774604</v>
      </c>
      <c r="K11" s="82"/>
      <c r="L11" s="82"/>
      <c r="M11" s="82"/>
      <c r="N11" s="82"/>
      <c r="O11" s="82"/>
      <c r="P11" s="82"/>
      <c r="Q11" s="82"/>
      <c r="R11" s="82"/>
      <c r="S11" s="82"/>
      <c r="T11" s="82"/>
      <c r="U11" s="82"/>
      <c r="V11" s="82"/>
      <c r="W11" s="82"/>
      <c r="X11" s="82"/>
      <c r="Y11" s="82"/>
      <c r="Z11" s="82"/>
      <c r="AA11" s="82"/>
      <c r="AB11" s="82"/>
    </row>
    <row r="12" spans="1:30">
      <c r="E12" s="97"/>
      <c r="F12" s="62"/>
      <c r="G12" s="62"/>
      <c r="H12" s="92"/>
      <c r="I12" s="82"/>
      <c r="K12" s="82"/>
      <c r="L12" s="82"/>
      <c r="M12" s="82"/>
      <c r="N12" s="82"/>
      <c r="O12" s="82"/>
      <c r="P12" s="82"/>
      <c r="Q12" s="82"/>
      <c r="R12" s="82"/>
      <c r="S12" s="82"/>
      <c r="T12" s="82"/>
      <c r="U12" s="82"/>
      <c r="V12" s="82"/>
      <c r="W12" s="82"/>
      <c r="X12" s="82"/>
      <c r="Y12" s="82"/>
      <c r="Z12" s="82"/>
      <c r="AA12" s="82"/>
      <c r="AB12" s="82"/>
    </row>
    <row r="13" spans="1:30">
      <c r="A13" s="84"/>
      <c r="F13" s="62"/>
      <c r="G13" s="62"/>
      <c r="H13" s="92"/>
      <c r="I13" s="82"/>
      <c r="K13" s="82"/>
      <c r="L13" s="82"/>
      <c r="M13" s="82"/>
      <c r="N13" s="82"/>
      <c r="O13" s="82"/>
      <c r="P13" s="82"/>
      <c r="Q13" s="82"/>
      <c r="R13" s="82"/>
      <c r="S13" s="82"/>
      <c r="T13" s="82"/>
      <c r="U13" s="82"/>
      <c r="V13" s="82"/>
      <c r="W13" s="82"/>
      <c r="X13" s="82"/>
      <c r="Y13" s="82"/>
      <c r="Z13" s="82"/>
      <c r="AA13" s="82"/>
      <c r="AB13" s="82"/>
    </row>
    <row r="14" spans="1:30">
      <c r="B14" s="333" t="s">
        <v>54</v>
      </c>
      <c r="C14" s="332"/>
      <c r="D14" s="82"/>
      <c r="F14" s="62"/>
      <c r="G14" s="62"/>
      <c r="H14" s="92"/>
      <c r="I14" s="82"/>
      <c r="L14" s="82"/>
      <c r="M14" s="82"/>
      <c r="N14" s="82"/>
      <c r="O14" s="82"/>
      <c r="P14" s="82"/>
      <c r="Q14" s="82"/>
      <c r="R14" s="82"/>
      <c r="S14" s="82"/>
      <c r="T14" s="82"/>
      <c r="U14" s="82"/>
      <c r="V14" s="82"/>
      <c r="W14" s="82"/>
      <c r="X14" s="82"/>
      <c r="Y14" s="82"/>
      <c r="Z14" s="82"/>
      <c r="AA14" s="82"/>
      <c r="AB14" s="82"/>
      <c r="AC14" s="82"/>
    </row>
    <row r="15" spans="1:30" ht="12.75" thickBot="1">
      <c r="B15" s="334" t="str">
        <f>Drivers!$C$5&amp;" in mil"</f>
        <v>$ in mil</v>
      </c>
      <c r="C15" s="351"/>
      <c r="F15" s="62"/>
      <c r="G15" s="62"/>
      <c r="H15" s="92"/>
      <c r="I15" s="82"/>
      <c r="L15" s="82"/>
      <c r="M15" s="82"/>
      <c r="N15" s="82"/>
      <c r="O15" s="82"/>
      <c r="P15" s="82"/>
      <c r="Q15" s="82"/>
      <c r="R15" s="82"/>
      <c r="S15" s="82"/>
      <c r="T15" s="82"/>
      <c r="U15" s="82"/>
      <c r="V15" s="82"/>
      <c r="W15" s="82"/>
      <c r="X15" s="82"/>
      <c r="Y15" s="82"/>
      <c r="Z15" s="82"/>
      <c r="AA15" s="82"/>
      <c r="AB15" s="82"/>
      <c r="AC15" s="82"/>
    </row>
    <row r="16" spans="1:30">
      <c r="B16" s="77" t="str">
        <f>B5</f>
        <v>Normalized EBIT</v>
      </c>
      <c r="C16" s="344">
        <f>C5</f>
        <v>7790.5670750355303</v>
      </c>
      <c r="F16" s="62"/>
      <c r="G16" s="62"/>
      <c r="H16" s="92"/>
      <c r="I16" s="82"/>
      <c r="L16" s="82"/>
      <c r="M16" s="82"/>
      <c r="N16" s="82"/>
      <c r="O16" s="82"/>
      <c r="P16" s="82"/>
      <c r="Q16" s="82"/>
      <c r="R16" s="82"/>
      <c r="S16" s="82"/>
      <c r="T16" s="82"/>
      <c r="U16" s="82"/>
      <c r="V16" s="82"/>
      <c r="W16" s="82"/>
      <c r="X16" s="82"/>
      <c r="Y16" s="82"/>
      <c r="Z16" s="82"/>
      <c r="AA16" s="82"/>
      <c r="AB16" s="82"/>
      <c r="AC16" s="82"/>
    </row>
    <row r="17" spans="1:30">
      <c r="B17" s="342" t="s">
        <v>49</v>
      </c>
      <c r="C17" s="344">
        <f>-Drivers!M12</f>
        <v>-158</v>
      </c>
      <c r="F17" s="94"/>
      <c r="G17" s="94"/>
      <c r="H17" s="93"/>
      <c r="I17" s="82"/>
      <c r="L17" s="82"/>
      <c r="M17" s="82"/>
      <c r="N17" s="82"/>
      <c r="O17" s="82"/>
      <c r="P17" s="82"/>
      <c r="Q17" s="82"/>
      <c r="R17" s="82"/>
      <c r="S17" s="82"/>
      <c r="T17" s="82"/>
      <c r="U17" s="82"/>
      <c r="V17" s="82"/>
      <c r="W17" s="82"/>
      <c r="X17" s="82"/>
      <c r="Y17" s="82"/>
      <c r="Z17" s="82"/>
      <c r="AA17" s="82"/>
      <c r="AB17" s="82"/>
      <c r="AC17" s="82"/>
    </row>
    <row r="18" spans="1:30">
      <c r="A18" s="84"/>
      <c r="B18" s="335" t="s">
        <v>50</v>
      </c>
      <c r="C18" s="345">
        <f>SUM(C16:C17)</f>
        <v>7632.5670750355303</v>
      </c>
      <c r="I18" s="82"/>
      <c r="J18" s="82"/>
      <c r="K18" s="82"/>
      <c r="L18" s="82"/>
      <c r="M18" s="82"/>
      <c r="N18" s="82"/>
      <c r="O18" s="82"/>
      <c r="P18" s="82"/>
      <c r="Q18" s="82"/>
      <c r="R18" s="82"/>
      <c r="S18" s="82"/>
      <c r="T18" s="82"/>
      <c r="U18" s="82"/>
      <c r="V18" s="82"/>
      <c r="W18" s="82"/>
      <c r="X18" s="82"/>
      <c r="Y18" s="82"/>
      <c r="Z18" s="82"/>
      <c r="AA18" s="82"/>
      <c r="AB18" s="82"/>
      <c r="AC18" s="82"/>
    </row>
    <row r="19" spans="1:30" ht="12" customHeight="1">
      <c r="B19" s="498" t="s">
        <v>454</v>
      </c>
      <c r="C19" s="164">
        <f>'FCFF &amp; FCFE'!C6</f>
        <v>0.24462364249780405</v>
      </c>
      <c r="I19" s="82"/>
      <c r="J19" s="82"/>
      <c r="K19" s="82"/>
      <c r="L19" s="82"/>
      <c r="M19" s="82"/>
      <c r="N19" s="82"/>
      <c r="O19" s="82"/>
      <c r="P19" s="82"/>
      <c r="Q19" s="82"/>
      <c r="R19" s="82"/>
      <c r="S19" s="82"/>
      <c r="T19" s="82"/>
      <c r="U19" s="82"/>
      <c r="V19" s="82"/>
      <c r="W19" s="82"/>
      <c r="X19" s="82"/>
      <c r="Y19" s="82"/>
      <c r="Z19" s="82"/>
      <c r="AA19" s="82"/>
      <c r="AB19" s="82"/>
      <c r="AC19" s="82"/>
      <c r="AD19" s="82"/>
    </row>
    <row r="20" spans="1:30" ht="12" customHeight="1">
      <c r="A20" s="84"/>
      <c r="B20" s="110" t="s">
        <v>51</v>
      </c>
      <c r="C20" s="355">
        <f>C18*(1-C19)</f>
        <v>5765.460715531528</v>
      </c>
      <c r="F20" s="82"/>
      <c r="G20" s="82"/>
      <c r="H20" s="82"/>
      <c r="I20" s="82"/>
      <c r="R20" s="82"/>
      <c r="S20" s="82"/>
      <c r="T20" s="82"/>
      <c r="U20" s="82"/>
      <c r="V20" s="82"/>
      <c r="W20" s="82"/>
      <c r="X20" s="82"/>
      <c r="Y20" s="82"/>
      <c r="Z20" s="82"/>
      <c r="AA20" s="82"/>
      <c r="AB20" s="82"/>
      <c r="AC20" s="82"/>
      <c r="AD20" s="82"/>
    </row>
    <row r="21" spans="1:30">
      <c r="C21" s="344"/>
      <c r="F21" s="82"/>
      <c r="G21" s="82"/>
      <c r="H21" s="82"/>
      <c r="I21" s="82"/>
      <c r="R21" s="82"/>
      <c r="S21" s="82"/>
      <c r="T21" s="82"/>
      <c r="U21" s="82"/>
      <c r="V21" s="82"/>
      <c r="W21" s="82"/>
      <c r="X21" s="82"/>
      <c r="Y21" s="82"/>
      <c r="Z21" s="82"/>
      <c r="AA21" s="82"/>
      <c r="AB21" s="82"/>
      <c r="AC21" s="82"/>
      <c r="AD21" s="82"/>
    </row>
    <row r="22" spans="1:30">
      <c r="B22" s="77" t="s">
        <v>48</v>
      </c>
      <c r="C22" s="344">
        <f>C9</f>
        <v>680.06369553941431</v>
      </c>
      <c r="F22" s="82"/>
      <c r="G22" s="82"/>
      <c r="H22" s="82"/>
      <c r="I22" s="82"/>
      <c r="R22" s="82"/>
      <c r="S22" s="82"/>
      <c r="T22" s="82"/>
      <c r="U22" s="82"/>
      <c r="V22" s="82"/>
      <c r="W22" s="82"/>
      <c r="X22" s="82"/>
      <c r="Y22" s="82"/>
      <c r="Z22" s="82"/>
      <c r="AA22" s="82"/>
      <c r="AB22" s="82"/>
      <c r="AC22" s="82"/>
      <c r="AD22" s="82"/>
    </row>
    <row r="23" spans="1:30">
      <c r="B23" s="80"/>
      <c r="C23" s="354"/>
      <c r="F23" s="82"/>
      <c r="G23" s="82"/>
      <c r="H23" s="82"/>
      <c r="I23" s="82"/>
      <c r="J23" s="82"/>
      <c r="K23" s="82"/>
      <c r="L23" s="82"/>
      <c r="M23" s="82"/>
      <c r="N23" s="82"/>
      <c r="O23" s="82"/>
      <c r="P23" s="82"/>
      <c r="Q23" s="82"/>
      <c r="R23" s="82"/>
      <c r="S23" s="82"/>
      <c r="T23" s="82"/>
      <c r="U23" s="82"/>
      <c r="V23" s="82"/>
      <c r="W23" s="82"/>
      <c r="X23" s="82"/>
      <c r="Y23" s="82"/>
      <c r="Z23" s="82"/>
      <c r="AA23" s="82"/>
      <c r="AB23" s="82"/>
      <c r="AC23" s="82"/>
      <c r="AD23" s="82"/>
    </row>
    <row r="24" spans="1:30">
      <c r="B24" s="77" t="s">
        <v>52</v>
      </c>
      <c r="C24" s="344">
        <f>K6</f>
        <v>-853.8</v>
      </c>
      <c r="F24" s="82"/>
      <c r="G24" s="82"/>
      <c r="H24" s="82"/>
      <c r="I24" s="82"/>
      <c r="J24" s="82"/>
      <c r="K24" s="82"/>
      <c r="L24" s="82"/>
      <c r="M24" s="82"/>
      <c r="N24" s="82"/>
      <c r="O24" s="82"/>
      <c r="P24" s="82"/>
      <c r="Q24" s="82"/>
      <c r="R24" s="82"/>
      <c r="S24" s="82"/>
      <c r="T24" s="82"/>
      <c r="U24" s="82"/>
      <c r="V24" s="82"/>
      <c r="W24" s="82"/>
      <c r="X24" s="82"/>
      <c r="Y24" s="82"/>
      <c r="Z24" s="82"/>
      <c r="AA24" s="82"/>
      <c r="AB24" s="82"/>
      <c r="AC24" s="82"/>
      <c r="AD24" s="82"/>
    </row>
    <row r="25" spans="1:30">
      <c r="B25" s="77" t="s">
        <v>53</v>
      </c>
      <c r="C25" s="344">
        <f>K5</f>
        <v>858</v>
      </c>
      <c r="F25" s="82"/>
      <c r="G25" s="82"/>
      <c r="H25" s="82"/>
      <c r="I25" s="82"/>
      <c r="J25" s="82"/>
      <c r="K25" s="82"/>
      <c r="L25" s="82"/>
      <c r="M25" s="82"/>
      <c r="N25" s="82"/>
      <c r="O25" s="82"/>
      <c r="P25" s="82"/>
      <c r="Q25" s="82"/>
      <c r="R25" s="82"/>
      <c r="S25" s="82"/>
      <c r="T25" s="82"/>
      <c r="U25" s="82"/>
      <c r="V25" s="82"/>
      <c r="W25" s="82"/>
      <c r="X25" s="82"/>
      <c r="Y25" s="82"/>
      <c r="Z25" s="82"/>
      <c r="AA25" s="82"/>
      <c r="AB25" s="82"/>
      <c r="AC25" s="82"/>
      <c r="AD25" s="82"/>
    </row>
    <row r="26" spans="1:30">
      <c r="B26" s="110" t="s">
        <v>277</v>
      </c>
      <c r="C26" s="355">
        <f>SUM(C24:C25)</f>
        <v>4.2000000000000455</v>
      </c>
      <c r="F26" s="82"/>
      <c r="G26" s="82"/>
      <c r="H26" s="82"/>
      <c r="I26" s="82"/>
      <c r="J26" s="82"/>
      <c r="K26" s="82"/>
      <c r="L26" s="82"/>
      <c r="M26" s="82"/>
      <c r="N26" s="82"/>
      <c r="O26" s="82"/>
      <c r="P26" s="82"/>
      <c r="Q26" s="82"/>
      <c r="R26" s="82"/>
      <c r="S26" s="82"/>
      <c r="T26" s="82"/>
      <c r="U26" s="82"/>
      <c r="V26" s="82"/>
      <c r="W26" s="82"/>
      <c r="X26" s="82"/>
      <c r="Y26" s="82"/>
      <c r="Z26" s="82"/>
      <c r="AA26" s="82"/>
      <c r="AB26" s="82"/>
      <c r="AC26" s="82"/>
      <c r="AD26" s="82"/>
    </row>
    <row r="27" spans="1:30">
      <c r="C27" s="344"/>
      <c r="F27" s="82"/>
      <c r="G27" s="82"/>
      <c r="H27" s="82"/>
      <c r="I27" s="82"/>
      <c r="J27" s="82"/>
      <c r="K27" s="82"/>
      <c r="L27" s="82"/>
      <c r="M27" s="82"/>
      <c r="N27" s="82"/>
      <c r="O27" s="82"/>
      <c r="P27" s="82"/>
      <c r="Q27" s="82"/>
      <c r="R27" s="82"/>
      <c r="S27" s="82"/>
      <c r="T27" s="82"/>
      <c r="U27" s="82"/>
      <c r="V27" s="82"/>
      <c r="W27" s="82"/>
      <c r="X27" s="82"/>
      <c r="Y27" s="82"/>
      <c r="Z27" s="82"/>
      <c r="AA27" s="82"/>
      <c r="AB27" s="82"/>
      <c r="AC27" s="82"/>
      <c r="AD27" s="82"/>
    </row>
    <row r="28" spans="1:30">
      <c r="B28" s="338" t="s">
        <v>54</v>
      </c>
      <c r="C28" s="346">
        <f>C20-C22+C26</f>
        <v>5089.597019992113</v>
      </c>
      <c r="J28" s="82"/>
      <c r="K28" s="82"/>
      <c r="L28" s="82"/>
      <c r="M28" s="82"/>
      <c r="N28" s="82"/>
      <c r="O28" s="82"/>
      <c r="P28" s="82"/>
      <c r="Q28" s="82"/>
      <c r="R28" s="82"/>
      <c r="S28" s="82"/>
      <c r="T28" s="82"/>
      <c r="U28" s="82"/>
      <c r="V28" s="82"/>
      <c r="W28" s="82"/>
      <c r="X28" s="82"/>
      <c r="Y28" s="82"/>
      <c r="Z28" s="82"/>
      <c r="AA28" s="82"/>
      <c r="AB28" s="82"/>
      <c r="AC28" s="82"/>
      <c r="AD28" s="82"/>
    </row>
    <row r="29" spans="1:30">
      <c r="J29" s="82"/>
      <c r="K29" s="82"/>
      <c r="L29" s="82"/>
      <c r="M29" s="82"/>
      <c r="N29" s="82"/>
      <c r="O29" s="82"/>
      <c r="P29" s="82"/>
      <c r="Q29" s="82"/>
      <c r="R29" s="82"/>
      <c r="S29" s="82"/>
      <c r="T29" s="82"/>
      <c r="U29" s="82"/>
      <c r="V29" s="82"/>
      <c r="W29" s="82"/>
      <c r="X29" s="82"/>
      <c r="Y29" s="82"/>
      <c r="Z29" s="82"/>
      <c r="AA29" s="82"/>
      <c r="AB29" s="82"/>
      <c r="AC29" s="82"/>
      <c r="AD29" s="82"/>
    </row>
    <row r="30" spans="1:30" ht="12" customHeight="1">
      <c r="J30" s="82"/>
      <c r="K30" s="82"/>
      <c r="L30" s="82"/>
      <c r="M30" s="82"/>
      <c r="N30" s="82"/>
      <c r="O30" s="82"/>
      <c r="P30" s="82"/>
      <c r="Q30" s="82"/>
      <c r="R30" s="82"/>
      <c r="S30" s="82"/>
      <c r="T30" s="82"/>
      <c r="U30" s="82"/>
      <c r="V30" s="82"/>
      <c r="W30" s="82"/>
      <c r="X30" s="82"/>
      <c r="Y30" s="82"/>
      <c r="Z30" s="82"/>
      <c r="AA30" s="82"/>
      <c r="AB30" s="82"/>
      <c r="AC30" s="82"/>
      <c r="AD30" s="82"/>
    </row>
    <row r="31" spans="1:30">
      <c r="J31" s="82"/>
      <c r="K31" s="82"/>
      <c r="L31" s="82"/>
      <c r="M31" s="82"/>
      <c r="N31" s="82"/>
      <c r="O31" s="82"/>
      <c r="P31" s="82"/>
      <c r="Q31" s="82"/>
      <c r="R31" s="82"/>
      <c r="S31" s="82"/>
      <c r="T31" s="82"/>
      <c r="U31" s="82"/>
      <c r="V31" s="82"/>
      <c r="W31" s="82"/>
      <c r="X31" s="82"/>
      <c r="Y31" s="82"/>
      <c r="Z31" s="82"/>
      <c r="AA31" s="82"/>
      <c r="AB31" s="82"/>
      <c r="AC31" s="82"/>
      <c r="AD31" s="82"/>
    </row>
    <row r="32" spans="1:30">
      <c r="J32" s="82"/>
      <c r="K32" s="82"/>
      <c r="L32" s="82"/>
      <c r="M32" s="82"/>
      <c r="N32" s="82"/>
      <c r="O32" s="82"/>
      <c r="P32" s="82"/>
      <c r="Q32" s="82"/>
      <c r="R32" s="82"/>
      <c r="S32" s="82"/>
      <c r="T32" s="82"/>
      <c r="U32" s="82"/>
      <c r="V32" s="82"/>
      <c r="W32" s="82"/>
      <c r="X32" s="82"/>
      <c r="Y32" s="82"/>
      <c r="Z32" s="82"/>
      <c r="AA32" s="82"/>
      <c r="AB32" s="82"/>
      <c r="AC32" s="82"/>
      <c r="AD32" s="82"/>
    </row>
    <row r="33" spans="10:30">
      <c r="J33" s="82"/>
      <c r="K33" s="82"/>
      <c r="L33" s="82"/>
      <c r="M33" s="82"/>
      <c r="N33" s="82"/>
      <c r="O33" s="82"/>
      <c r="P33" s="82"/>
      <c r="Q33" s="82"/>
      <c r="R33" s="82"/>
      <c r="S33" s="82"/>
      <c r="T33" s="82"/>
      <c r="U33" s="82"/>
      <c r="V33" s="82"/>
      <c r="W33" s="82"/>
      <c r="X33" s="82"/>
      <c r="Y33" s="82"/>
      <c r="Z33" s="82"/>
      <c r="AA33" s="82"/>
      <c r="AB33" s="82"/>
      <c r="AC33" s="82"/>
      <c r="AD33" s="82"/>
    </row>
    <row r="34" spans="10:30">
      <c r="J34" s="82"/>
      <c r="K34" s="82"/>
      <c r="L34" s="82"/>
      <c r="M34" s="82"/>
      <c r="N34" s="82"/>
      <c r="O34" s="82"/>
      <c r="P34" s="82"/>
      <c r="Q34" s="82"/>
      <c r="R34" s="82"/>
      <c r="S34" s="82"/>
      <c r="T34" s="82"/>
      <c r="U34" s="82"/>
      <c r="V34" s="82"/>
      <c r="W34" s="82"/>
      <c r="X34" s="82"/>
      <c r="Y34" s="82"/>
      <c r="Z34" s="82"/>
      <c r="AA34" s="82"/>
      <c r="AB34" s="82"/>
      <c r="AC34" s="82"/>
      <c r="AD34" s="82"/>
    </row>
    <row r="35" spans="10:30">
      <c r="J35" s="82"/>
      <c r="K35" s="82"/>
      <c r="L35" s="82"/>
      <c r="M35" s="82"/>
      <c r="N35" s="82"/>
      <c r="O35" s="82"/>
      <c r="P35" s="82"/>
      <c r="Q35" s="82"/>
      <c r="R35" s="82"/>
      <c r="S35" s="82"/>
      <c r="T35" s="82"/>
      <c r="U35" s="82"/>
      <c r="V35" s="82"/>
      <c r="W35" s="82"/>
      <c r="X35" s="82"/>
      <c r="Y35" s="82"/>
      <c r="Z35" s="82"/>
      <c r="AA35" s="82"/>
      <c r="AB35" s="82"/>
      <c r="AC35" s="82"/>
      <c r="AD35" s="82"/>
    </row>
    <row r="36" spans="10:30">
      <c r="J36" s="82"/>
      <c r="K36" s="82"/>
      <c r="L36" s="82"/>
      <c r="M36" s="82"/>
      <c r="N36" s="82"/>
      <c r="O36" s="82"/>
      <c r="P36" s="82"/>
      <c r="Q36" s="82"/>
      <c r="R36" s="82"/>
      <c r="S36" s="82"/>
      <c r="T36" s="82"/>
      <c r="U36" s="82"/>
      <c r="V36" s="82"/>
      <c r="W36" s="82"/>
      <c r="X36" s="82"/>
      <c r="Y36" s="82"/>
      <c r="Z36" s="82"/>
      <c r="AA36" s="82"/>
      <c r="AB36" s="82"/>
      <c r="AC36" s="82"/>
      <c r="AD36" s="82"/>
    </row>
    <row r="37" spans="10:30">
      <c r="J37" s="82"/>
      <c r="K37" s="82"/>
      <c r="L37" s="82"/>
      <c r="M37" s="82"/>
      <c r="N37" s="82"/>
      <c r="O37" s="82"/>
      <c r="P37" s="82"/>
      <c r="Q37" s="82"/>
      <c r="R37" s="82"/>
      <c r="S37" s="82"/>
      <c r="T37" s="82"/>
      <c r="U37" s="82"/>
      <c r="V37" s="82"/>
      <c r="W37" s="82"/>
      <c r="X37" s="82"/>
      <c r="Y37" s="82"/>
      <c r="Z37" s="82"/>
      <c r="AA37" s="82"/>
      <c r="AB37" s="82"/>
      <c r="AC37" s="82"/>
      <c r="AD37" s="82"/>
    </row>
    <row r="38" spans="10:30">
      <c r="J38" s="82"/>
      <c r="K38" s="82"/>
      <c r="L38" s="82"/>
      <c r="M38" s="82"/>
      <c r="N38" s="82"/>
      <c r="O38" s="82"/>
      <c r="P38" s="82"/>
      <c r="Q38" s="82"/>
      <c r="R38" s="82"/>
      <c r="S38" s="82"/>
      <c r="T38" s="82"/>
      <c r="U38" s="82"/>
      <c r="V38" s="82"/>
      <c r="W38" s="82"/>
      <c r="X38" s="82"/>
      <c r="Y38" s="82"/>
      <c r="Z38" s="82"/>
      <c r="AA38" s="82"/>
      <c r="AB38" s="82"/>
      <c r="AC38" s="82"/>
      <c r="AD38" s="82"/>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29" t="s">
        <v>71</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204"/>
  <sheetViews>
    <sheetView workbookViewId="0"/>
  </sheetViews>
  <sheetFormatPr defaultRowHeight="12"/>
  <cols>
    <col min="1" max="1" width="2" style="77" customWidth="1"/>
    <col min="2" max="2" width="26.140625" style="77" customWidth="1"/>
    <col min="3" max="3" width="12" style="77" bestFit="1" customWidth="1"/>
    <col min="4" max="4" width="10.28515625" style="77" customWidth="1"/>
    <col min="5" max="5" width="31.5703125" style="77" customWidth="1"/>
    <col min="6" max="6" width="11.85546875" style="77" bestFit="1" customWidth="1" collapsed="1"/>
    <col min="7" max="7" width="11.42578125" style="77" customWidth="1"/>
    <col min="8" max="8" width="13.5703125" style="77" customWidth="1"/>
    <col min="9" max="9" width="12.5703125" style="77" customWidth="1"/>
    <col min="10" max="10" width="9.28515625" style="77" customWidth="1"/>
    <col min="11" max="11" width="9.7109375" style="77" customWidth="1"/>
    <col min="12" max="12" width="13.42578125" style="77" customWidth="1"/>
    <col min="13" max="13" width="10.140625" style="77" customWidth="1"/>
    <col min="14" max="14" width="13.7109375" style="77" customWidth="1"/>
    <col min="15" max="15" width="11.28515625" style="77" customWidth="1"/>
    <col min="16" max="16" width="13.28515625" style="77" customWidth="1"/>
    <col min="17" max="17" width="12.28515625" style="77" customWidth="1"/>
    <col min="18" max="18" width="13.28515625" style="77" customWidth="1"/>
    <col min="19" max="19" width="11.42578125" style="77" customWidth="1"/>
    <col min="20" max="25" width="9.140625" style="77" customWidth="1"/>
    <col min="26" max="26" width="9.28515625" style="77" customWidth="1"/>
    <col min="27" max="27" width="9.42578125" style="77" customWidth="1"/>
    <col min="28" max="28" width="10" style="77" customWidth="1"/>
    <col min="29" max="29" width="11.42578125" style="77" customWidth="1"/>
    <col min="30" max="30" width="9.42578125" style="77" bestFit="1" customWidth="1" collapsed="1"/>
    <col min="31" max="16384" width="9.140625" style="77"/>
  </cols>
  <sheetData>
    <row r="1" spans="1:31" s="76" customFormat="1" ht="15" customHeight="1">
      <c r="B1" s="15" t="s">
        <v>62</v>
      </c>
      <c r="C1" s="75"/>
      <c r="D1" s="75"/>
      <c r="E1" s="75"/>
      <c r="F1" s="75"/>
      <c r="G1" s="75"/>
      <c r="H1" s="75"/>
      <c r="I1" s="75"/>
      <c r="J1" s="75"/>
      <c r="K1" s="75"/>
    </row>
    <row r="2" spans="1:31" ht="12" customHeight="1">
      <c r="C2" s="89"/>
    </row>
    <row r="3" spans="1:31" ht="12" customHeight="1">
      <c r="A3" s="79"/>
      <c r="B3" s="373" t="s">
        <v>48</v>
      </c>
      <c r="C3" s="344">
        <f>'FCFF &amp; FCFE'!C9</f>
        <v>680.06369553941431</v>
      </c>
      <c r="E3" s="237" t="str">
        <f>CONCATENATE("Industry: ",Drivers!$C$14)</f>
        <v>Industry: Discount Stores</v>
      </c>
      <c r="F3" s="332"/>
      <c r="G3" s="332"/>
      <c r="H3" s="332"/>
      <c r="I3" s="332"/>
      <c r="J3" s="332"/>
      <c r="K3" s="73"/>
      <c r="L3" s="73"/>
      <c r="M3" s="73"/>
      <c r="N3" s="73"/>
      <c r="O3" s="73"/>
      <c r="P3" s="73"/>
      <c r="Q3" s="73"/>
      <c r="R3" s="73"/>
      <c r="S3" s="73"/>
    </row>
    <row r="4" spans="1:31" ht="12" customHeight="1" thickBot="1">
      <c r="A4" s="84"/>
      <c r="B4" s="77" t="s">
        <v>102</v>
      </c>
      <c r="C4" s="344">
        <f>'FCFF &amp; FCFE'!C7</f>
        <v>5884.8101800168752</v>
      </c>
      <c r="E4" s="277" t="s">
        <v>310</v>
      </c>
      <c r="F4" s="351"/>
      <c r="G4" s="351"/>
      <c r="H4" s="351"/>
      <c r="I4" s="351"/>
      <c r="J4" s="351"/>
      <c r="K4" s="146"/>
      <c r="L4" s="37"/>
      <c r="M4" s="37"/>
      <c r="N4" s="37"/>
      <c r="O4" s="146"/>
      <c r="P4" s="146"/>
      <c r="Q4" s="146"/>
      <c r="R4" s="146"/>
      <c r="S4" s="146"/>
      <c r="T4" s="81"/>
      <c r="U4" s="81"/>
      <c r="Z4" s="81"/>
    </row>
    <row r="5" spans="1:31" ht="12" customHeight="1">
      <c r="A5" s="84"/>
      <c r="B5" s="375" t="s">
        <v>66</v>
      </c>
      <c r="C5" s="376">
        <f>C3/C4</f>
        <v>0.11556255422625444</v>
      </c>
      <c r="E5" s="379" t="s">
        <v>106</v>
      </c>
      <c r="F5" s="379" t="s">
        <v>33</v>
      </c>
      <c r="G5" s="380" t="s">
        <v>134</v>
      </c>
      <c r="H5" s="380" t="s">
        <v>154</v>
      </c>
      <c r="I5" s="380" t="s">
        <v>82</v>
      </c>
      <c r="J5" s="380" t="s">
        <v>103</v>
      </c>
      <c r="K5" s="99"/>
      <c r="L5" s="151"/>
      <c r="M5" s="151"/>
      <c r="N5" s="62"/>
      <c r="O5" s="171"/>
      <c r="P5" s="171"/>
      <c r="Q5" s="101"/>
      <c r="R5" s="63"/>
      <c r="S5" s="99"/>
      <c r="T5" s="82"/>
      <c r="U5" s="143"/>
      <c r="V5" s="82"/>
      <c r="W5" s="82"/>
      <c r="X5" s="82"/>
      <c r="Y5" s="82"/>
      <c r="Z5" s="82"/>
      <c r="AA5" s="82"/>
      <c r="AB5" s="82"/>
      <c r="AC5" s="82"/>
    </row>
    <row r="6" spans="1:31" ht="12" customHeight="1">
      <c r="A6" s="84"/>
      <c r="E6" s="62" t="str">
        <f>'Beta Calculation Data'!B6</f>
        <v>Big Lots, Inc.</v>
      </c>
      <c r="F6" s="62" t="str">
        <f>'Beta Calculation Data'!C6</f>
        <v>BIG</v>
      </c>
      <c r="G6" s="273">
        <f>'Beta Calculation Data'!L6</f>
        <v>5468.3289999999997</v>
      </c>
      <c r="H6" s="559">
        <v>301.39999999999998</v>
      </c>
      <c r="I6" s="101">
        <f>G6/H6</f>
        <v>18.143095554080958</v>
      </c>
      <c r="J6" s="63">
        <v>-3.5000000000000003E-2</v>
      </c>
      <c r="K6" s="173"/>
      <c r="L6" s="559"/>
      <c r="M6" s="151"/>
      <c r="N6" s="619"/>
      <c r="O6" s="171"/>
      <c r="P6" s="168"/>
      <c r="Q6" s="101"/>
      <c r="R6" s="172"/>
      <c r="S6" s="173"/>
      <c r="T6" s="82"/>
      <c r="U6" s="143"/>
      <c r="V6" s="82"/>
      <c r="W6" s="82"/>
      <c r="X6" s="82"/>
      <c r="Y6" s="82"/>
      <c r="Z6" s="82"/>
      <c r="AA6" s="82"/>
      <c r="AB6" s="82"/>
      <c r="AC6" s="82"/>
    </row>
    <row r="7" spans="1:31" ht="12" customHeight="1">
      <c r="B7" s="77" t="s">
        <v>102</v>
      </c>
      <c r="C7" s="344">
        <f>'FCFF &amp; FCFE'!C7</f>
        <v>5884.8101800168752</v>
      </c>
      <c r="E7" s="62" t="str">
        <f>'Beta Calculation Data'!B7</f>
        <v>BJ's Wholesale Club, Inc.</v>
      </c>
      <c r="F7" s="62" t="str">
        <f>'Beta Calculation Data'!C7</f>
        <v>BJ</v>
      </c>
      <c r="G7" s="273">
        <f>'Beta Calculation Data'!L7</f>
        <v>19315.165000000001</v>
      </c>
      <c r="H7" s="557">
        <v>852.88</v>
      </c>
      <c r="I7" s="101">
        <f t="shared" ref="I7:I33" si="0">G7/H7</f>
        <v>22.646990197917646</v>
      </c>
      <c r="J7" s="172">
        <v>3.8800000000000001E-2</v>
      </c>
      <c r="K7" s="99"/>
      <c r="L7" s="557"/>
      <c r="M7" s="151"/>
      <c r="N7" s="619"/>
      <c r="O7" s="171"/>
      <c r="P7" s="171"/>
      <c r="Q7" s="101"/>
      <c r="R7" s="63"/>
      <c r="S7" s="99"/>
      <c r="T7" s="82"/>
      <c r="U7" s="143"/>
      <c r="V7" s="82"/>
      <c r="W7" s="82"/>
      <c r="X7" s="82"/>
      <c r="Y7" s="82"/>
      <c r="Z7" s="82"/>
      <c r="AA7" s="82"/>
      <c r="AB7" s="82"/>
      <c r="AC7" s="82"/>
    </row>
    <row r="8" spans="1:31" ht="12" customHeight="1">
      <c r="A8" s="84"/>
      <c r="B8" s="77" t="s">
        <v>69</v>
      </c>
      <c r="C8" s="344">
        <f>'Accounting Adjustments'!G21</f>
        <v>21192</v>
      </c>
      <c r="E8" s="62" t="str">
        <f>'Beta Calculation Data'!B8</f>
        <v>Dollar General Corporation</v>
      </c>
      <c r="F8" s="62" t="str">
        <f>'Beta Calculation Data'!C8</f>
        <v>DG</v>
      </c>
      <c r="G8" s="273">
        <f>'Beta Calculation Data'!L8</f>
        <v>37844.862999999998</v>
      </c>
      <c r="H8" s="559">
        <v>12551.171</v>
      </c>
      <c r="I8" s="101">
        <f t="shared" si="0"/>
        <v>3.0152455894354397</v>
      </c>
      <c r="J8" s="63">
        <v>8.7999999999999995E-2</v>
      </c>
      <c r="K8" s="175"/>
      <c r="L8" s="559"/>
      <c r="M8" s="151"/>
      <c r="N8" s="619"/>
      <c r="O8" s="171"/>
      <c r="P8" s="168"/>
      <c r="Q8" s="101"/>
      <c r="R8" s="174"/>
      <c r="S8" s="175"/>
      <c r="T8" s="82"/>
      <c r="U8" s="143"/>
      <c r="V8" s="82"/>
      <c r="W8" s="82"/>
      <c r="X8" s="82"/>
      <c r="Y8" s="82"/>
      <c r="Z8" s="82"/>
      <c r="AA8" s="82"/>
      <c r="AB8" s="82"/>
      <c r="AC8" s="82"/>
    </row>
    <row r="9" spans="1:31" ht="12" customHeight="1">
      <c r="A9" s="84"/>
      <c r="B9" s="377" t="s">
        <v>289</v>
      </c>
      <c r="C9" s="130">
        <f>C7/C8</f>
        <v>0.2776901745949828</v>
      </c>
      <c r="E9" s="62" t="str">
        <f>'Beta Calculation Data'!B9</f>
        <v>Dollar Tree, Inc.</v>
      </c>
      <c r="F9" s="62" t="str">
        <f>'Beta Calculation Data'!C9</f>
        <v>DLTR</v>
      </c>
      <c r="G9" s="273">
        <f>'Beta Calculation Data'!L9</f>
        <v>28331.7</v>
      </c>
      <c r="H9" s="557">
        <v>3421.6</v>
      </c>
      <c r="I9" s="101">
        <f t="shared" si="0"/>
        <v>8.280249006312836</v>
      </c>
      <c r="J9" s="174">
        <v>8.0299999999999996E-2</v>
      </c>
      <c r="K9" s="99"/>
      <c r="L9" s="557"/>
      <c r="M9" s="151"/>
      <c r="N9" s="619"/>
      <c r="O9" s="171"/>
      <c r="P9" s="168"/>
      <c r="Q9" s="101"/>
      <c r="R9" s="63"/>
      <c r="S9" s="99"/>
      <c r="T9" s="82"/>
      <c r="U9" s="143"/>
      <c r="V9" s="82"/>
      <c r="W9" s="82"/>
      <c r="X9" s="82"/>
      <c r="Y9" s="82"/>
      <c r="Z9" s="82"/>
      <c r="AA9" s="82"/>
      <c r="AB9" s="82"/>
      <c r="AC9" s="82"/>
    </row>
    <row r="10" spans="1:31">
      <c r="A10" s="80"/>
      <c r="E10" s="62" t="str">
        <f>'Beta Calculation Data'!B10</f>
        <v>Ollie's Bargain Outlet, Inc.</v>
      </c>
      <c r="F10" s="62" t="str">
        <f>'Beta Calculation Data'!C10</f>
        <v>OLLI</v>
      </c>
      <c r="G10" s="273">
        <f>'Beta Calculation Data'!L10</f>
        <v>1827.009</v>
      </c>
      <c r="H10" s="557">
        <v>1363.357</v>
      </c>
      <c r="I10" s="101">
        <f t="shared" si="0"/>
        <v>1.340081137955796</v>
      </c>
      <c r="J10" s="63">
        <v>7.1199999999999999E-2</v>
      </c>
      <c r="K10" s="99"/>
      <c r="L10" s="557"/>
      <c r="M10" s="151"/>
      <c r="N10" s="619"/>
      <c r="O10" s="171"/>
      <c r="P10" s="168"/>
      <c r="Q10" s="101"/>
      <c r="R10" s="63"/>
      <c r="S10" s="99"/>
      <c r="T10" s="82"/>
      <c r="U10" s="143"/>
      <c r="V10" s="82"/>
      <c r="W10" s="82"/>
      <c r="X10" s="82"/>
      <c r="Y10" s="82"/>
      <c r="Z10" s="82"/>
      <c r="AA10" s="82"/>
      <c r="AB10" s="82"/>
      <c r="AC10" s="82"/>
    </row>
    <row r="11" spans="1:31">
      <c r="A11" s="84"/>
      <c r="B11" s="338" t="s">
        <v>62</v>
      </c>
      <c r="C11" s="256">
        <f>C5*C9</f>
        <v>3.2090585859730764E-2</v>
      </c>
      <c r="E11" s="62" t="str">
        <f>'Beta Calculation Data'!B11</f>
        <v>PriceSmart, Inc.</v>
      </c>
      <c r="F11" s="62" t="str">
        <f>'Beta Calculation Data'!C11</f>
        <v>PSMT</v>
      </c>
      <c r="G11" s="273">
        <f>'Beta Calculation Data'!L11</f>
        <v>4145.5429999999997</v>
      </c>
      <c r="H11" s="557">
        <v>1138.952</v>
      </c>
      <c r="I11" s="101">
        <f t="shared" si="0"/>
        <v>3.6397872781293676</v>
      </c>
      <c r="J11" s="63">
        <v>4.48E-2</v>
      </c>
      <c r="K11" s="99"/>
      <c r="L11" s="557"/>
      <c r="M11" s="151"/>
      <c r="N11" s="619"/>
      <c r="O11" s="171"/>
      <c r="P11" s="168"/>
      <c r="Q11" s="101"/>
      <c r="R11" s="63"/>
      <c r="S11" s="99"/>
      <c r="T11" s="82"/>
      <c r="U11" s="143"/>
      <c r="V11" s="82"/>
      <c r="W11" s="82"/>
      <c r="X11" s="82"/>
      <c r="Y11" s="82"/>
      <c r="Z11" s="82"/>
      <c r="AA11" s="82"/>
      <c r="AB11" s="82"/>
      <c r="AC11" s="82"/>
    </row>
    <row r="12" spans="1:31">
      <c r="B12" s="82"/>
      <c r="E12" s="62" t="str">
        <f>'Beta Calculation Data'!B12</f>
        <v>Target Corporation</v>
      </c>
      <c r="F12" s="62" t="str">
        <f>'Beta Calculation Data'!C12</f>
        <v>TGT</v>
      </c>
      <c r="G12" s="273">
        <f>'Beta Calculation Data'!L12</f>
        <v>109120</v>
      </c>
      <c r="H12" s="557">
        <v>27371</v>
      </c>
      <c r="I12" s="101">
        <f t="shared" si="0"/>
        <v>3.9867012531511454</v>
      </c>
      <c r="J12" s="63">
        <v>3.6299999999999999E-2</v>
      </c>
      <c r="K12" s="99"/>
      <c r="L12" s="557"/>
      <c r="M12" s="151"/>
      <c r="N12" s="619"/>
      <c r="O12" s="171"/>
      <c r="P12" s="168"/>
      <c r="Q12" s="101"/>
      <c r="R12" s="63"/>
      <c r="S12" s="99"/>
      <c r="T12" s="82"/>
      <c r="U12" s="143"/>
      <c r="V12" s="82"/>
      <c r="W12" s="82"/>
      <c r="X12" s="82"/>
      <c r="Y12" s="82"/>
      <c r="Z12" s="82"/>
      <c r="AA12" s="82"/>
      <c r="AB12" s="82"/>
      <c r="AC12" s="82"/>
    </row>
    <row r="13" spans="1:31">
      <c r="A13" s="84"/>
      <c r="B13" s="333" t="s">
        <v>155</v>
      </c>
      <c r="C13" s="332"/>
      <c r="E13" s="62" t="str">
        <f>'Beta Calculation Data'!B13</f>
        <v>Walmart Inc.</v>
      </c>
      <c r="F13" s="62" t="str">
        <f>'Beta Calculation Data'!C13</f>
        <v>WMT</v>
      </c>
      <c r="G13" s="273">
        <f>'Beta Calculation Data'!L13</f>
        <v>611289</v>
      </c>
      <c r="H13" s="273">
        <v>115905</v>
      </c>
      <c r="I13" s="101">
        <f t="shared" si="0"/>
        <v>5.2740520253656014</v>
      </c>
      <c r="J13" s="63">
        <v>4.0099999999999997E-2</v>
      </c>
      <c r="K13" s="99"/>
      <c r="L13" s="557"/>
      <c r="M13" s="151"/>
      <c r="N13" s="619"/>
      <c r="O13" s="171"/>
      <c r="P13" s="169"/>
      <c r="Q13" s="101"/>
      <c r="R13" s="63"/>
      <c r="S13" s="99"/>
      <c r="T13" s="82"/>
      <c r="U13" s="143"/>
      <c r="V13" s="82"/>
      <c r="W13" s="82"/>
      <c r="X13" s="82"/>
      <c r="Y13" s="82"/>
      <c r="Z13" s="82"/>
      <c r="AA13" s="82"/>
      <c r="AB13" s="82"/>
      <c r="AC13" s="82"/>
    </row>
    <row r="14" spans="1:31" ht="12.75" thickBot="1">
      <c r="B14" s="334"/>
      <c r="C14" s="351"/>
      <c r="D14" s="82"/>
      <c r="E14" s="62" t="str">
        <f>'Beta Calculation Data'!B14</f>
        <v>PT Midi Utama Indonesia Tbk</v>
      </c>
      <c r="F14" s="62" t="str">
        <f>'Beta Calculation Data'!C14</f>
        <v>MIDI.JK</v>
      </c>
      <c r="G14" s="273">
        <f>'Beta Calculation Data'!L14</f>
        <v>15623654</v>
      </c>
      <c r="H14" s="234">
        <v>3551467</v>
      </c>
      <c r="I14" s="101">
        <f t="shared" si="0"/>
        <v>4.399211368147304</v>
      </c>
      <c r="J14" s="63">
        <v>0</v>
      </c>
      <c r="K14" s="99"/>
      <c r="L14" s="234"/>
      <c r="M14" s="151"/>
      <c r="N14" s="619"/>
      <c r="O14" s="171"/>
      <c r="P14" s="168"/>
      <c r="Q14" s="101"/>
      <c r="R14" s="63"/>
      <c r="S14" s="99"/>
      <c r="T14" s="82"/>
      <c r="U14" s="143"/>
      <c r="V14" s="82"/>
      <c r="W14" s="82"/>
      <c r="X14" s="82"/>
      <c r="Y14" s="82"/>
      <c r="Z14" s="82"/>
      <c r="AA14" s="82"/>
      <c r="AB14" s="82"/>
      <c r="AC14" s="82"/>
    </row>
    <row r="15" spans="1:31">
      <c r="B15" s="77" t="s">
        <v>168</v>
      </c>
      <c r="C15" s="378">
        <f>_xlfn.PERCENTILE.EXC(I6:I33,0.9)</f>
        <v>10.081384362430862</v>
      </c>
      <c r="E15" s="62" t="str">
        <f>'Beta Calculation Data'!B15</f>
        <v>E-MART Inc.</v>
      </c>
      <c r="F15" s="62" t="str">
        <f>'Beta Calculation Data'!C15</f>
        <v>139480.KS</v>
      </c>
      <c r="G15" s="273">
        <f>'Beta Calculation Data'!L15</f>
        <v>29332413.846000001</v>
      </c>
      <c r="H15" s="557">
        <v>18554740.602000002</v>
      </c>
      <c r="I15" s="101">
        <f t="shared" si="0"/>
        <v>1.5808582008868548</v>
      </c>
      <c r="J15" s="63">
        <v>4.5999999999999999E-3</v>
      </c>
      <c r="K15" s="99"/>
      <c r="L15" s="557"/>
      <c r="M15" s="151"/>
      <c r="N15" s="619"/>
      <c r="O15" s="171"/>
      <c r="P15" s="169"/>
      <c r="Q15" s="101"/>
      <c r="R15" s="63"/>
      <c r="S15" s="99"/>
      <c r="T15" s="82"/>
      <c r="U15" s="143"/>
      <c r="V15" s="82"/>
      <c r="W15" s="82"/>
      <c r="X15" s="82"/>
      <c r="Y15" s="82"/>
      <c r="Z15" s="82"/>
      <c r="AA15" s="82"/>
      <c r="AB15" s="82"/>
      <c r="AC15" s="82"/>
    </row>
    <row r="16" spans="1:31">
      <c r="B16" s="77" t="s">
        <v>169</v>
      </c>
      <c r="C16" s="378">
        <f>_xlfn.PERCENTILE.EXC(I6:I33,0.75)</f>
        <v>4.5289678481140614</v>
      </c>
      <c r="E16" s="62" t="str">
        <f>'Beta Calculation Data'!B16</f>
        <v>Avenue Supermarts Limited</v>
      </c>
      <c r="F16" s="62" t="str">
        <f>'Beta Calculation Data'!C16</f>
        <v>DMART.NS</v>
      </c>
      <c r="G16" s="273">
        <f>'Beta Calculation Data'!L16</f>
        <v>409408.4</v>
      </c>
      <c r="H16" s="234">
        <v>136776.4</v>
      </c>
      <c r="I16" s="101">
        <f t="shared" si="0"/>
        <v>2.9932678444526983</v>
      </c>
      <c r="J16" s="63">
        <v>0</v>
      </c>
      <c r="K16" s="99"/>
      <c r="L16" s="234"/>
      <c r="M16" s="151"/>
      <c r="N16" s="619"/>
      <c r="O16" s="171"/>
      <c r="P16" s="168"/>
      <c r="Q16" s="101"/>
      <c r="R16" s="63"/>
      <c r="S16" s="99"/>
      <c r="T16" s="82"/>
      <c r="U16" s="143"/>
      <c r="V16" s="82"/>
      <c r="W16" s="82"/>
      <c r="X16" s="82"/>
      <c r="Y16" s="82"/>
      <c r="Z16" s="82"/>
      <c r="AA16" s="82"/>
      <c r="AB16" s="82"/>
      <c r="AC16" s="82"/>
      <c r="AD16" s="82"/>
      <c r="AE16" s="82"/>
    </row>
    <row r="17" spans="1:31">
      <c r="B17" s="77" t="s">
        <v>170</v>
      </c>
      <c r="C17" s="378">
        <f>_xlfn.PERCENTILE.EXC(I6:I33,0.5)</f>
        <v>3.1128828311081955</v>
      </c>
      <c r="E17" s="62" t="str">
        <f>'Beta Calculation Data'!B17</f>
        <v>Pan Pacific Intl Hold Corp</v>
      </c>
      <c r="F17" s="62" t="str">
        <f>'Beta Calculation Data'!C17</f>
        <v>7532.T</v>
      </c>
      <c r="G17" s="273">
        <f>'Beta Calculation Data'!L17</f>
        <v>1892049</v>
      </c>
      <c r="H17" s="557">
        <v>979586</v>
      </c>
      <c r="I17" s="101">
        <f t="shared" si="0"/>
        <v>1.9314781958909173</v>
      </c>
      <c r="J17" s="63">
        <v>0</v>
      </c>
      <c r="K17" s="99"/>
      <c r="L17" s="557"/>
      <c r="M17" s="151"/>
      <c r="N17" s="619"/>
      <c r="O17" s="171"/>
      <c r="P17" s="168"/>
      <c r="Q17" s="101"/>
      <c r="R17" s="63"/>
      <c r="S17" s="99"/>
      <c r="T17" s="82"/>
      <c r="U17" s="143"/>
      <c r="V17" s="82"/>
      <c r="W17" s="82"/>
      <c r="X17" s="82"/>
      <c r="Y17" s="82"/>
      <c r="Z17" s="82"/>
      <c r="AA17" s="82"/>
      <c r="AB17" s="82"/>
      <c r="AC17" s="82"/>
      <c r="AD17" s="82"/>
      <c r="AE17" s="82"/>
    </row>
    <row r="18" spans="1:31">
      <c r="A18" s="84"/>
      <c r="B18" s="77" t="s">
        <v>171</v>
      </c>
      <c r="C18" s="378">
        <f>_xlfn.PERCENTILE.EXC(I6:I33,0.25)</f>
        <v>2.2369774620027214</v>
      </c>
      <c r="E18" s="62" t="str">
        <f>'Beta Calculation Data'!B18</f>
        <v>Lawson, Inc.</v>
      </c>
      <c r="F18" s="62" t="str">
        <f>'Beta Calculation Data'!C18</f>
        <v>2651.T</v>
      </c>
      <c r="G18" s="273">
        <f>'Beta Calculation Data'!L18</f>
        <v>913267</v>
      </c>
      <c r="H18" s="557">
        <v>500330</v>
      </c>
      <c r="I18" s="101">
        <f t="shared" si="0"/>
        <v>1.8253292826734355</v>
      </c>
      <c r="J18" s="63">
        <v>5.57E-2</v>
      </c>
      <c r="K18" s="99"/>
      <c r="L18" s="557"/>
      <c r="M18" s="151"/>
      <c r="N18" s="619"/>
      <c r="O18" s="171"/>
      <c r="P18" s="168"/>
      <c r="Q18" s="101"/>
      <c r="R18" s="63"/>
      <c r="S18" s="99"/>
      <c r="T18" s="82"/>
      <c r="U18" s="143"/>
      <c r="V18" s="82"/>
      <c r="W18" s="82"/>
      <c r="X18" s="82"/>
      <c r="Y18" s="82"/>
      <c r="Z18" s="82"/>
      <c r="AA18" s="82"/>
      <c r="AB18" s="82"/>
      <c r="AC18" s="82"/>
      <c r="AD18" s="82"/>
      <c r="AE18" s="82"/>
    </row>
    <row r="19" spans="1:31">
      <c r="E19" s="62" t="str">
        <f>'Beta Calculation Data'!B19</f>
        <v>B&amp;M European Value Retail S.A.</v>
      </c>
      <c r="F19" s="62" t="str">
        <f>'Beta Calculation Data'!C19</f>
        <v>BMEL.XC</v>
      </c>
      <c r="G19" s="273">
        <f>'Beta Calculation Data'!L19</f>
        <v>4714</v>
      </c>
      <c r="H19" s="557">
        <v>1702</v>
      </c>
      <c r="I19" s="101">
        <f t="shared" si="0"/>
        <v>2.7696827262044654</v>
      </c>
      <c r="J19" s="63">
        <v>0.1222</v>
      </c>
      <c r="K19" s="127"/>
      <c r="L19" s="557"/>
      <c r="M19" s="151"/>
      <c r="N19" s="619"/>
      <c r="O19" s="171"/>
      <c r="P19" s="168"/>
      <c r="Q19" s="101"/>
      <c r="R19" s="63"/>
      <c r="S19" s="127"/>
      <c r="T19" s="82"/>
      <c r="U19" s="143"/>
      <c r="V19" s="82"/>
      <c r="W19" s="82"/>
      <c r="X19" s="82"/>
      <c r="Y19" s="82"/>
      <c r="Z19" s="82"/>
      <c r="AA19" s="82"/>
      <c r="AB19" s="82"/>
      <c r="AC19" s="82"/>
      <c r="AD19" s="82"/>
      <c r="AE19" s="82"/>
    </row>
    <row r="20" spans="1:31">
      <c r="A20" s="84"/>
      <c r="B20" s="333" t="s">
        <v>338</v>
      </c>
      <c r="C20" s="332"/>
      <c r="E20" s="62" t="str">
        <f>'Beta Calculation Data'!B20</f>
        <v>Seria Co., Ltd.</v>
      </c>
      <c r="F20" s="62" t="str">
        <f>'Beta Calculation Data'!C20</f>
        <v>2782.T</v>
      </c>
      <c r="G20" s="273">
        <f>'Beta Calculation Data'!L20</f>
        <v>211031</v>
      </c>
      <c r="H20" s="557">
        <v>92458</v>
      </c>
      <c r="I20" s="101">
        <f t="shared" si="0"/>
        <v>2.2824525730602003</v>
      </c>
      <c r="J20" s="63">
        <v>0</v>
      </c>
      <c r="K20" s="99"/>
      <c r="L20" s="557"/>
      <c r="M20" s="151"/>
      <c r="N20" s="619"/>
      <c r="O20" s="171"/>
      <c r="P20" s="168"/>
      <c r="Q20" s="101"/>
      <c r="R20" s="63"/>
      <c r="S20" s="99"/>
      <c r="T20" s="82"/>
      <c r="U20" s="143"/>
      <c r="V20" s="82"/>
      <c r="W20" s="82"/>
      <c r="X20" s="82"/>
      <c r="Y20" s="82"/>
      <c r="Z20" s="82"/>
      <c r="AA20" s="82"/>
      <c r="AB20" s="82"/>
      <c r="AC20" s="82"/>
      <c r="AD20" s="82"/>
      <c r="AE20" s="82"/>
    </row>
    <row r="21" spans="1:31" ht="12.75" thickBot="1">
      <c r="B21" s="334"/>
      <c r="C21" s="351"/>
      <c r="E21" s="62" t="str">
        <f>'Beta Calculation Data'!B21</f>
        <v>Victory Supermarket Chain Ltd</v>
      </c>
      <c r="F21" s="62" t="str">
        <f>'Beta Calculation Data'!C21</f>
        <v>VCTR.TA</v>
      </c>
      <c r="G21" s="273">
        <f>'Beta Calculation Data'!L21</f>
        <v>2315.2179999999998</v>
      </c>
      <c r="H21" s="557">
        <v>448.58100000000002</v>
      </c>
      <c r="I21" s="101">
        <f t="shared" si="0"/>
        <v>5.1612038851400301</v>
      </c>
      <c r="J21" s="63">
        <v>3.4599999999999999E-2</v>
      </c>
      <c r="K21" s="99"/>
      <c r="L21" s="557"/>
      <c r="M21" s="151"/>
      <c r="N21" s="619"/>
      <c r="O21" s="171"/>
      <c r="P21" s="168"/>
      <c r="Q21" s="101"/>
      <c r="R21" s="176"/>
      <c r="S21" s="99"/>
      <c r="T21" s="82"/>
      <c r="U21" s="143"/>
      <c r="V21" s="82"/>
      <c r="W21" s="82"/>
      <c r="X21" s="82"/>
      <c r="Y21" s="82"/>
      <c r="Z21" s="82"/>
      <c r="AA21" s="82"/>
      <c r="AB21" s="82"/>
      <c r="AC21" s="82"/>
      <c r="AD21" s="82"/>
      <c r="AE21" s="82"/>
    </row>
    <row r="22" spans="1:31">
      <c r="B22" s="77" t="s">
        <v>168</v>
      </c>
      <c r="C22" s="219">
        <f>_xlfn.PERCENTILE.EXC(J6:J33,0.9)</f>
        <v>0.12578000000000006</v>
      </c>
      <c r="E22" s="62" t="str">
        <f>'Beta Calculation Data'!B22</f>
        <v>Dollarama Inc.</v>
      </c>
      <c r="F22" s="62" t="str">
        <f>'Beta Calculation Data'!C22</f>
        <v>DOL.TO</v>
      </c>
      <c r="G22" s="273">
        <f>'Beta Calculation Data'!L22</f>
        <v>5052.741</v>
      </c>
      <c r="H22" s="557">
        <v>2274.1460000000002</v>
      </c>
      <c r="I22" s="101">
        <f t="shared" si="0"/>
        <v>2.2218190916502283</v>
      </c>
      <c r="J22" s="63">
        <v>0.2268</v>
      </c>
      <c r="K22" s="99"/>
      <c r="L22" s="557"/>
      <c r="M22" s="151"/>
      <c r="N22" s="619"/>
      <c r="O22" s="171"/>
      <c r="P22" s="168"/>
      <c r="Q22" s="101"/>
      <c r="R22" s="63"/>
      <c r="S22" s="99"/>
      <c r="T22" s="82"/>
      <c r="U22" s="143"/>
      <c r="V22" s="82"/>
      <c r="W22" s="82"/>
      <c r="X22" s="82"/>
      <c r="Y22" s="82"/>
      <c r="Z22" s="82"/>
      <c r="AA22" s="82"/>
      <c r="AB22" s="82"/>
      <c r="AC22" s="82"/>
      <c r="AD22" s="82"/>
      <c r="AE22" s="82"/>
    </row>
    <row r="23" spans="1:31">
      <c r="B23" s="77" t="s">
        <v>169</v>
      </c>
      <c r="C23" s="219">
        <f>_xlfn.PERCENTILE.EXC(J6:J33,0.75)</f>
        <v>6.7049999999999998E-2</v>
      </c>
      <c r="E23" s="62" t="str">
        <f>'Beta Calculation Data'!B23</f>
        <v>Pepco Group N.V.</v>
      </c>
      <c r="F23" s="62" t="str">
        <f>'Beta Calculation Data'!C23</f>
        <v>PCO.WA</v>
      </c>
      <c r="G23" s="273">
        <f>'Beta Calculation Data'!L23</f>
        <v>4822.8190000000004</v>
      </c>
      <c r="H23" s="557">
        <v>1759.296</v>
      </c>
      <c r="I23" s="101">
        <f t="shared" si="0"/>
        <v>2.7413346020226275</v>
      </c>
      <c r="J23" s="63">
        <v>5.9400000000000001E-2</v>
      </c>
      <c r="K23" s="127"/>
      <c r="L23" s="557"/>
      <c r="M23" s="151"/>
      <c r="N23" s="619"/>
      <c r="O23" s="171"/>
      <c r="P23" s="168"/>
      <c r="Q23" s="101"/>
      <c r="R23" s="63"/>
      <c r="S23" s="99"/>
      <c r="T23" s="82"/>
      <c r="U23" s="143"/>
      <c r="V23" s="82"/>
      <c r="W23" s="82"/>
      <c r="X23" s="82"/>
      <c r="Y23" s="82"/>
      <c r="Z23" s="82"/>
      <c r="AA23" s="82"/>
      <c r="AB23" s="82"/>
      <c r="AC23" s="82"/>
      <c r="AD23" s="82"/>
      <c r="AE23" s="82"/>
    </row>
    <row r="24" spans="1:31">
      <c r="B24" s="77" t="s">
        <v>170</v>
      </c>
      <c r="C24" s="219">
        <f>_xlfn.PERCENTILE.EXC(J6:J33,0.5)</f>
        <v>3.5449999999999995E-2</v>
      </c>
      <c r="E24" s="62" t="str">
        <f>'Beta Calculation Data'!B24</f>
        <v>Mr Max Holdings Ltd.</v>
      </c>
      <c r="F24" s="62" t="str">
        <f>'Beta Calculation Data'!C24</f>
        <v>8203.T</v>
      </c>
      <c r="G24" s="273">
        <f>'Beta Calculation Data'!L24</f>
        <v>126669</v>
      </c>
      <c r="H24" s="557">
        <v>52855</v>
      </c>
      <c r="I24" s="101">
        <f t="shared" si="0"/>
        <v>2.3965376974742219</v>
      </c>
      <c r="J24" s="63">
        <v>3.6499999999999998E-2</v>
      </c>
      <c r="K24" s="99"/>
      <c r="L24" s="557"/>
      <c r="M24" s="151"/>
      <c r="N24" s="619"/>
      <c r="O24" s="171"/>
      <c r="P24" s="168"/>
      <c r="Q24" s="101"/>
      <c r="R24" s="63"/>
      <c r="S24" s="99"/>
      <c r="T24" s="82"/>
      <c r="U24" s="143"/>
      <c r="V24" s="82"/>
      <c r="W24" s="82"/>
      <c r="X24" s="82"/>
      <c r="Y24" s="82"/>
      <c r="Z24" s="82"/>
      <c r="AA24" s="82"/>
      <c r="AB24" s="82"/>
      <c r="AC24" s="82"/>
      <c r="AD24" s="82"/>
      <c r="AE24" s="82"/>
    </row>
    <row r="25" spans="1:31">
      <c r="B25" s="77" t="s">
        <v>171</v>
      </c>
      <c r="C25" s="219">
        <f>_xlfn.PERCENTILE.EXC(J6:J33,0.25)</f>
        <v>0</v>
      </c>
      <c r="E25" s="62" t="str">
        <f>'Beta Calculation Data'!B25</f>
        <v>Europris ASA</v>
      </c>
      <c r="F25" s="62" t="str">
        <f>'Beta Calculation Data'!C25</f>
        <v>0RAI.IL</v>
      </c>
      <c r="G25" s="273">
        <f>'Beta Calculation Data'!L25</f>
        <v>8928.8979999999992</v>
      </c>
      <c r="H25" s="557">
        <v>4050.87</v>
      </c>
      <c r="I25" s="101">
        <f t="shared" si="0"/>
        <v>2.204192679597222</v>
      </c>
      <c r="J25" s="63">
        <v>0.158</v>
      </c>
      <c r="K25" s="99"/>
      <c r="L25" s="557"/>
      <c r="M25" s="151"/>
      <c r="N25" s="619"/>
      <c r="O25" s="171"/>
      <c r="P25" s="87"/>
      <c r="Q25" s="101"/>
      <c r="R25" s="176"/>
      <c r="S25" s="127"/>
      <c r="T25" s="82"/>
      <c r="U25" s="143"/>
      <c r="V25" s="82"/>
      <c r="W25" s="82"/>
      <c r="X25" s="82"/>
      <c r="Y25" s="82"/>
      <c r="Z25" s="82"/>
      <c r="AA25" s="82"/>
      <c r="AB25" s="82"/>
      <c r="AC25" s="82"/>
      <c r="AD25" s="82"/>
      <c r="AE25" s="82"/>
    </row>
    <row r="26" spans="1:31">
      <c r="E26" s="62" t="str">
        <f>'Beta Calculation Data'!B26</f>
        <v>Jason Co., Ltd.</v>
      </c>
      <c r="F26" s="62" t="str">
        <f>'Beta Calculation Data'!C26</f>
        <v>3080.T</v>
      </c>
      <c r="G26" s="273">
        <f>'Beta Calculation Data'!L26</f>
        <v>26773.272000000001</v>
      </c>
      <c r="H26" s="557">
        <v>5968.0169999999998</v>
      </c>
      <c r="I26" s="101">
        <f t="shared" si="0"/>
        <v>4.4861252908629448</v>
      </c>
      <c r="J26" s="63">
        <v>2.9399999999999999E-2</v>
      </c>
      <c r="K26" s="99"/>
      <c r="L26" s="557"/>
      <c r="M26" s="151"/>
      <c r="N26" s="619"/>
      <c r="O26" s="171"/>
      <c r="P26" s="168"/>
      <c r="Q26" s="101"/>
      <c r="R26" s="63"/>
      <c r="S26" s="127"/>
      <c r="T26" s="82"/>
      <c r="U26" s="143"/>
      <c r="V26" s="82"/>
      <c r="W26" s="82"/>
      <c r="X26" s="82"/>
      <c r="Y26" s="82"/>
      <c r="Z26" s="82"/>
      <c r="AA26" s="82"/>
      <c r="AB26" s="82"/>
      <c r="AC26" s="82"/>
      <c r="AD26" s="82"/>
      <c r="AE26" s="82"/>
    </row>
    <row r="27" spans="1:31">
      <c r="E27" s="62" t="str">
        <f>'Beta Calculation Data'!B27</f>
        <v>PLANT Co.,Ltd.</v>
      </c>
      <c r="F27" s="62" t="str">
        <f>'Beta Calculation Data'!C27</f>
        <v>7646.T</v>
      </c>
      <c r="G27" s="273">
        <f>'Beta Calculation Data'!L27</f>
        <v>95330</v>
      </c>
      <c r="H27" s="557">
        <v>23116</v>
      </c>
      <c r="I27" s="101">
        <f t="shared" si="0"/>
        <v>4.1239833881294343</v>
      </c>
      <c r="J27" s="63">
        <v>1.47E-2</v>
      </c>
      <c r="K27" s="99"/>
      <c r="L27" s="557"/>
      <c r="M27" s="151"/>
      <c r="N27" s="619"/>
      <c r="O27" s="171"/>
      <c r="P27" s="88"/>
      <c r="Q27" s="101"/>
      <c r="R27" s="36"/>
      <c r="S27" s="118"/>
      <c r="T27" s="82"/>
      <c r="U27" s="143"/>
      <c r="V27" s="82"/>
      <c r="W27" s="82"/>
      <c r="X27" s="82"/>
      <c r="Y27" s="82"/>
      <c r="Z27" s="82"/>
      <c r="AA27" s="82"/>
      <c r="AB27" s="82"/>
      <c r="AC27" s="82"/>
      <c r="AD27" s="82"/>
      <c r="AE27" s="82"/>
    </row>
    <row r="28" spans="1:31">
      <c r="E28" s="62" t="str">
        <f>'Beta Calculation Data'!B28</f>
        <v>Zhongbai Hold Group Co.,Ltd</v>
      </c>
      <c r="F28" s="62" t="str">
        <f>'Beta Calculation Data'!C28</f>
        <v>000759.SZ</v>
      </c>
      <c r="G28" s="273">
        <f>'Beta Calculation Data'!L28</f>
        <v>12197.406000000001</v>
      </c>
      <c r="H28" s="557">
        <v>4075.8029999999999</v>
      </c>
      <c r="I28" s="101">
        <f t="shared" si="0"/>
        <v>2.9926387511859631</v>
      </c>
      <c r="J28" s="63">
        <v>-4.1000000000000003E-3</v>
      </c>
      <c r="K28" s="99"/>
      <c r="L28" s="557"/>
      <c r="M28" s="151"/>
      <c r="N28" s="619"/>
      <c r="O28" s="171"/>
      <c r="P28" s="99"/>
      <c r="Q28" s="99"/>
      <c r="R28" s="63"/>
      <c r="S28" s="99"/>
      <c r="T28" s="82"/>
      <c r="U28" s="82"/>
      <c r="V28" s="82"/>
      <c r="W28" s="82"/>
      <c r="X28" s="82"/>
      <c r="Y28" s="82"/>
      <c r="Z28" s="82"/>
      <c r="AA28" s="82"/>
      <c r="AB28" s="82"/>
      <c r="AC28" s="82"/>
      <c r="AD28" s="82"/>
      <c r="AE28" s="82"/>
    </row>
    <row r="29" spans="1:31">
      <c r="E29" s="62" t="str">
        <f>'Beta Calculation Data'!B29</f>
        <v>IK HOLDINGS Co.,Ltd.</v>
      </c>
      <c r="F29" s="62" t="str">
        <f>'Beta Calculation Data'!C29</f>
        <v>2722.T</v>
      </c>
      <c r="G29" s="273">
        <f>'Beta Calculation Data'!L29</f>
        <v>16185.609</v>
      </c>
      <c r="H29" s="557">
        <v>5041.4290000000001</v>
      </c>
      <c r="I29" s="101">
        <f t="shared" si="0"/>
        <v>3.2105200727809518</v>
      </c>
      <c r="J29" s="63">
        <v>-1.38E-2</v>
      </c>
      <c r="K29" s="99"/>
      <c r="L29" s="557"/>
      <c r="M29" s="151"/>
      <c r="N29" s="619"/>
      <c r="O29" s="171"/>
      <c r="Q29" s="144"/>
      <c r="R29" s="145"/>
      <c r="S29" s="82"/>
      <c r="T29" s="82"/>
      <c r="U29" s="82"/>
      <c r="V29" s="82"/>
      <c r="W29" s="82"/>
      <c r="X29" s="82"/>
      <c r="Y29" s="82"/>
      <c r="Z29" s="82"/>
      <c r="AA29" s="82"/>
      <c r="AB29" s="82"/>
      <c r="AC29" s="82"/>
      <c r="AD29" s="82"/>
      <c r="AE29" s="82"/>
    </row>
    <row r="30" spans="1:31" ht="12" customHeight="1">
      <c r="E30" s="62" t="str">
        <f>'Beta Calculation Data'!B30</f>
        <v>Adese Gayrimenkul Yatirim A.S.</v>
      </c>
      <c r="F30" s="62" t="str">
        <f>'Beta Calculation Data'!C30</f>
        <v>ADESE.IS</v>
      </c>
      <c r="G30" s="273">
        <f>'Beta Calculation Data'!L30</f>
        <v>109.199</v>
      </c>
      <c r="H30" s="557">
        <v>4652.2389999999996</v>
      </c>
      <c r="I30" s="101">
        <f t="shared" si="0"/>
        <v>2.3472353849404558E-2</v>
      </c>
      <c r="J30" s="63">
        <v>0</v>
      </c>
      <c r="K30" s="99"/>
      <c r="L30" s="557"/>
      <c r="M30" s="151"/>
      <c r="N30" s="619"/>
      <c r="O30" s="171"/>
      <c r="P30" s="73"/>
      <c r="Q30" s="73"/>
      <c r="R30" s="73"/>
      <c r="S30" s="73"/>
      <c r="T30" s="82"/>
      <c r="U30" s="82"/>
      <c r="V30" s="82"/>
      <c r="W30" s="82"/>
      <c r="X30" s="82"/>
      <c r="Y30" s="82"/>
      <c r="Z30" s="82"/>
      <c r="AA30" s="82"/>
      <c r="AB30" s="82"/>
      <c r="AC30" s="82"/>
      <c r="AD30" s="82"/>
      <c r="AE30" s="82"/>
    </row>
    <row r="31" spans="1:31">
      <c r="E31" s="62" t="str">
        <f>'Beta Calculation Data'!B31</f>
        <v>Distribuidora Intl de Ali, S.A.</v>
      </c>
      <c r="F31" s="62" t="str">
        <f>'Beta Calculation Data'!C31</f>
        <v>0Q2F.IL</v>
      </c>
      <c r="G31" s="273">
        <f>'Beta Calculation Data'!L31</f>
        <v>6928.1210000000001</v>
      </c>
      <c r="H31" s="557">
        <v>754.23400000000004</v>
      </c>
      <c r="I31" s="101">
        <f t="shared" si="0"/>
        <v>9.1856386744697271</v>
      </c>
      <c r="J31" s="63">
        <v>-2.8E-3</v>
      </c>
      <c r="K31" s="99"/>
      <c r="L31" s="557"/>
      <c r="M31" s="151"/>
      <c r="N31" s="619"/>
      <c r="O31" s="171"/>
      <c r="P31" s="146"/>
      <c r="Q31" s="146"/>
      <c r="R31" s="146"/>
      <c r="S31" s="146"/>
      <c r="T31" s="82"/>
      <c r="U31" s="82"/>
      <c r="V31" s="82"/>
      <c r="W31" s="82"/>
      <c r="X31" s="82"/>
      <c r="Y31" s="82"/>
      <c r="Z31" s="82"/>
      <c r="AA31" s="82"/>
      <c r="AB31" s="82"/>
      <c r="AC31" s="82"/>
      <c r="AD31" s="82"/>
      <c r="AE31" s="82"/>
    </row>
    <row r="32" spans="1:31">
      <c r="E32" s="62" t="str">
        <f>'Beta Calculation Data'!B32</f>
        <v>Tokmanni Group Oyj</v>
      </c>
      <c r="F32" s="62" t="str">
        <f>'Beta Calculation Data'!C32</f>
        <v>0RG2.IL</v>
      </c>
      <c r="G32" s="273">
        <f>'Beta Calculation Data'!L32</f>
        <v>1168.0170000000001</v>
      </c>
      <c r="H32" s="557">
        <v>356.42399999999998</v>
      </c>
      <c r="I32" s="101">
        <f t="shared" si="0"/>
        <v>3.2770436334253588</v>
      </c>
      <c r="J32" s="63">
        <v>6.9599999999999995E-2</v>
      </c>
      <c r="K32" s="99"/>
      <c r="L32" s="557"/>
      <c r="M32" s="151"/>
      <c r="N32" s="619"/>
      <c r="O32" s="171"/>
      <c r="P32" s="171"/>
      <c r="Q32" s="101"/>
      <c r="R32" s="63"/>
      <c r="S32" s="99"/>
      <c r="T32" s="82"/>
      <c r="U32" s="143"/>
      <c r="V32" s="82"/>
      <c r="W32" s="82"/>
      <c r="X32" s="82"/>
      <c r="Y32" s="82"/>
      <c r="Z32" s="82"/>
      <c r="AA32" s="82"/>
      <c r="AB32" s="82"/>
      <c r="AC32" s="82"/>
      <c r="AD32" s="82"/>
      <c r="AE32" s="82"/>
    </row>
    <row r="33" spans="5:31">
      <c r="E33" s="62" t="str">
        <f>'Beta Calculation Data'!B33</f>
        <v>The Reject Shop Limited</v>
      </c>
      <c r="F33" s="62" t="str">
        <f>'Beta Calculation Data'!C33</f>
        <v>TRS.AX</v>
      </c>
      <c r="G33" s="273">
        <f>'Beta Calculation Data'!L33</f>
        <v>803.26</v>
      </c>
      <c r="H33" s="557">
        <v>176.803</v>
      </c>
      <c r="I33" s="101">
        <f t="shared" si="0"/>
        <v>4.5432487005311</v>
      </c>
      <c r="J33" s="63">
        <v>2.4299999999999999E-2</v>
      </c>
      <c r="K33" s="99"/>
      <c r="L33" s="557"/>
      <c r="M33" s="151"/>
      <c r="N33" s="619"/>
      <c r="O33" s="171"/>
      <c r="P33" s="168"/>
      <c r="Q33" s="101"/>
      <c r="R33" s="172"/>
      <c r="S33" s="173"/>
      <c r="T33" s="82"/>
      <c r="U33" s="143"/>
      <c r="V33" s="82"/>
      <c r="W33" s="82"/>
      <c r="X33" s="82"/>
      <c r="Y33" s="82"/>
      <c r="Z33" s="82"/>
      <c r="AA33" s="82"/>
      <c r="AB33" s="82"/>
      <c r="AC33" s="82"/>
      <c r="AD33" s="82"/>
      <c r="AE33" s="82"/>
    </row>
    <row r="34" spans="5:31">
      <c r="E34" s="62"/>
      <c r="F34" s="62"/>
      <c r="G34" s="273"/>
      <c r="H34" s="557"/>
      <c r="I34" s="72">
        <f>_xlfn.PERCENTILE.EXC(I6:I33,0.5)</f>
        <v>3.1128828311081955</v>
      </c>
      <c r="J34" s="129">
        <f>_xlfn.PERCENTILE.EXC(J6:J33,0.5)</f>
        <v>3.5449999999999995E-2</v>
      </c>
      <c r="K34" s="99"/>
      <c r="L34" s="531"/>
      <c r="M34" s="151"/>
      <c r="N34" s="62"/>
      <c r="O34" s="171"/>
      <c r="P34" s="99"/>
      <c r="Q34" s="99"/>
      <c r="R34" s="63"/>
      <c r="S34" s="99"/>
      <c r="T34" s="82"/>
      <c r="U34" s="82"/>
      <c r="V34" s="82"/>
      <c r="W34" s="82"/>
      <c r="X34" s="82"/>
      <c r="Y34" s="82"/>
      <c r="Z34" s="82"/>
      <c r="AA34" s="82"/>
      <c r="AB34" s="82"/>
      <c r="AC34" s="82"/>
      <c r="AD34" s="82"/>
      <c r="AE34" s="82"/>
    </row>
    <row r="35" spans="5:31">
      <c r="E35" s="62"/>
      <c r="F35" s="62"/>
      <c r="G35" s="273"/>
      <c r="H35" s="557"/>
      <c r="I35" s="101"/>
      <c r="J35" s="63"/>
      <c r="K35" s="99"/>
      <c r="L35" s="557"/>
      <c r="M35" s="151"/>
      <c r="N35" s="62"/>
      <c r="O35" s="171"/>
      <c r="T35" s="82"/>
      <c r="U35" s="82"/>
      <c r="V35" s="82"/>
      <c r="W35" s="82"/>
      <c r="X35" s="82"/>
      <c r="Y35" s="82"/>
      <c r="Z35" s="82"/>
      <c r="AA35" s="82"/>
      <c r="AB35" s="82"/>
      <c r="AC35" s="82"/>
      <c r="AD35" s="82"/>
      <c r="AE35" s="82"/>
    </row>
    <row r="36" spans="5:31">
      <c r="E36" s="62"/>
      <c r="F36" s="62"/>
      <c r="G36" s="273"/>
      <c r="H36" s="557"/>
      <c r="I36" s="101"/>
      <c r="J36" s="63"/>
      <c r="K36" s="99"/>
      <c r="L36" s="557"/>
      <c r="M36" s="151"/>
      <c r="N36" s="62"/>
      <c r="O36" s="171"/>
      <c r="P36" s="146"/>
      <c r="Q36" s="47"/>
      <c r="R36" s="146"/>
      <c r="S36" s="146"/>
      <c r="T36" s="82"/>
      <c r="U36" s="82"/>
      <c r="V36" s="82"/>
      <c r="W36" s="82"/>
      <c r="X36" s="82"/>
      <c r="Y36" s="82"/>
      <c r="Z36" s="82"/>
      <c r="AA36" s="82"/>
      <c r="AB36" s="82"/>
      <c r="AC36" s="82"/>
      <c r="AD36" s="82"/>
      <c r="AE36" s="82"/>
    </row>
    <row r="37" spans="5:31">
      <c r="E37" s="62"/>
      <c r="F37" s="62"/>
      <c r="G37" s="273"/>
      <c r="H37" s="557"/>
      <c r="I37" s="101"/>
      <c r="J37" s="63"/>
      <c r="K37" s="99"/>
      <c r="L37" s="557"/>
      <c r="M37" s="151"/>
      <c r="N37" s="62"/>
      <c r="O37" s="171"/>
      <c r="P37" s="179"/>
      <c r="Q37" s="63"/>
      <c r="R37" s="180"/>
      <c r="S37" s="56"/>
      <c r="T37" s="82"/>
      <c r="U37" s="82"/>
      <c r="V37" s="82"/>
      <c r="W37" s="82"/>
      <c r="X37" s="82"/>
      <c r="Y37" s="82"/>
      <c r="Z37" s="82"/>
      <c r="AA37" s="82"/>
      <c r="AB37" s="82"/>
      <c r="AC37" s="82"/>
      <c r="AD37" s="82"/>
      <c r="AE37" s="82"/>
    </row>
    <row r="38" spans="5:31">
      <c r="E38" s="62"/>
      <c r="F38" s="62"/>
      <c r="G38" s="273"/>
      <c r="H38" s="557"/>
      <c r="I38" s="101"/>
      <c r="J38" s="63"/>
      <c r="K38" s="99"/>
      <c r="L38" s="557"/>
      <c r="M38" s="151"/>
      <c r="N38" s="62"/>
      <c r="O38" s="171"/>
      <c r="P38" s="179"/>
      <c r="Q38" s="63"/>
      <c r="R38" s="180"/>
      <c r="S38" s="56"/>
      <c r="T38" s="82"/>
      <c r="U38" s="82"/>
      <c r="V38" s="82"/>
      <c r="W38" s="82"/>
      <c r="X38" s="82"/>
      <c r="Y38" s="82"/>
      <c r="Z38" s="82"/>
      <c r="AA38" s="82"/>
      <c r="AB38" s="82"/>
      <c r="AC38" s="82"/>
      <c r="AD38" s="82"/>
      <c r="AE38" s="82"/>
    </row>
    <row r="39" spans="5:31">
      <c r="E39" s="62"/>
      <c r="F39" s="62"/>
      <c r="G39" s="273"/>
      <c r="H39" s="557"/>
      <c r="I39" s="101"/>
      <c r="J39" s="63"/>
      <c r="K39" s="99"/>
      <c r="L39" s="557"/>
      <c r="M39" s="151"/>
      <c r="N39" s="62"/>
      <c r="O39" s="171"/>
      <c r="P39" s="179"/>
      <c r="Q39" s="63"/>
      <c r="R39" s="180"/>
      <c r="S39" s="56"/>
    </row>
    <row r="40" spans="5:31">
      <c r="E40" s="62"/>
      <c r="F40" s="62"/>
      <c r="G40" s="273"/>
      <c r="H40" s="557"/>
      <c r="I40" s="101"/>
      <c r="J40" s="63"/>
      <c r="K40" s="99"/>
      <c r="L40" s="557"/>
      <c r="M40" s="151"/>
      <c r="N40" s="62"/>
      <c r="O40" s="171"/>
      <c r="P40" s="179"/>
      <c r="Q40" s="63"/>
      <c r="R40" s="180"/>
      <c r="S40" s="56"/>
    </row>
    <row r="41" spans="5:31">
      <c r="E41" s="62"/>
      <c r="F41" s="62"/>
      <c r="G41" s="273"/>
      <c r="H41" s="557"/>
      <c r="I41" s="101"/>
      <c r="J41" s="63"/>
      <c r="K41" s="99"/>
      <c r="L41" s="557"/>
      <c r="M41" s="151"/>
      <c r="N41" s="62"/>
      <c r="O41" s="171"/>
      <c r="P41" s="179"/>
      <c r="Q41" s="63"/>
      <c r="R41" s="177"/>
      <c r="S41" s="178"/>
    </row>
    <row r="42" spans="5:31">
      <c r="E42" s="62"/>
      <c r="F42" s="62"/>
      <c r="G42" s="273"/>
      <c r="H42" s="557"/>
      <c r="I42" s="101"/>
      <c r="J42" s="63"/>
      <c r="K42" s="99"/>
      <c r="L42" s="557"/>
      <c r="M42" s="151"/>
      <c r="N42" s="62"/>
      <c r="O42" s="171"/>
    </row>
    <row r="43" spans="5:31">
      <c r="E43" s="62"/>
      <c r="F43" s="62"/>
      <c r="G43" s="273"/>
      <c r="H43" s="557"/>
      <c r="I43" s="101"/>
      <c r="J43" s="63"/>
      <c r="K43" s="99"/>
      <c r="L43" s="557"/>
      <c r="M43" s="151"/>
      <c r="N43" s="62"/>
      <c r="O43" s="171"/>
    </row>
    <row r="44" spans="5:31">
      <c r="E44" s="62"/>
      <c r="F44" s="62"/>
      <c r="G44" s="273"/>
      <c r="H44" s="557"/>
      <c r="I44" s="101"/>
      <c r="J44" s="63"/>
      <c r="K44" s="99"/>
      <c r="L44" s="557"/>
      <c r="M44" s="151"/>
      <c r="N44" s="62"/>
      <c r="O44" s="171"/>
    </row>
    <row r="45" spans="5:31">
      <c r="E45" s="62"/>
      <c r="F45" s="62"/>
      <c r="G45" s="273"/>
      <c r="H45" s="557"/>
      <c r="I45" s="101"/>
      <c r="J45" s="63"/>
      <c r="K45" s="99"/>
      <c r="L45" s="557"/>
      <c r="M45" s="151"/>
      <c r="N45" s="62"/>
      <c r="O45" s="171"/>
    </row>
    <row r="46" spans="5:31">
      <c r="E46" s="62"/>
      <c r="F46" s="62"/>
      <c r="G46" s="273"/>
      <c r="H46" s="557"/>
      <c r="I46" s="101"/>
      <c r="J46" s="63"/>
      <c r="K46" s="99"/>
      <c r="L46" s="557"/>
      <c r="M46" s="151"/>
      <c r="N46" s="62"/>
      <c r="O46" s="171"/>
    </row>
    <row r="47" spans="5:31">
      <c r="E47" s="62"/>
      <c r="F47" s="62"/>
      <c r="G47" s="273"/>
      <c r="H47" s="557"/>
      <c r="I47" s="101"/>
      <c r="J47" s="63"/>
      <c r="K47" s="99"/>
      <c r="L47" s="557"/>
      <c r="M47" s="151"/>
      <c r="N47" s="62"/>
      <c r="O47" s="171"/>
    </row>
    <row r="48" spans="5:31">
      <c r="E48" s="62"/>
      <c r="F48" s="62"/>
      <c r="G48" s="273"/>
      <c r="H48" s="557"/>
      <c r="I48" s="101"/>
      <c r="J48" s="63"/>
      <c r="K48" s="99"/>
      <c r="L48" s="557"/>
      <c r="M48" s="151"/>
      <c r="N48" s="62"/>
      <c r="O48" s="171"/>
    </row>
    <row r="49" spans="5:15">
      <c r="E49" s="84"/>
      <c r="F49" s="84"/>
      <c r="G49" s="273"/>
      <c r="H49" s="168"/>
      <c r="K49" s="99"/>
      <c r="L49" s="6"/>
      <c r="M49" s="144"/>
      <c r="N49" s="62"/>
      <c r="O49" s="171"/>
    </row>
    <row r="50" spans="5:15">
      <c r="E50" s="84"/>
      <c r="F50" s="84"/>
      <c r="G50" s="273"/>
      <c r="H50" s="168"/>
      <c r="I50" s="101"/>
      <c r="J50" s="538"/>
      <c r="K50" s="99"/>
      <c r="M50" s="144"/>
      <c r="N50" s="62"/>
      <c r="O50" s="171"/>
    </row>
    <row r="51" spans="5:15">
      <c r="E51" s="84"/>
      <c r="F51" s="84"/>
      <c r="G51" s="273"/>
      <c r="H51" s="168"/>
      <c r="I51" s="101"/>
      <c r="J51" s="538"/>
      <c r="K51" s="99"/>
      <c r="M51" s="144"/>
      <c r="N51" s="62"/>
      <c r="O51" s="171"/>
    </row>
    <row r="52" spans="5:15">
      <c r="E52" s="84"/>
      <c r="F52" s="84"/>
      <c r="G52" s="273"/>
      <c r="H52" s="168"/>
      <c r="I52" s="101"/>
      <c r="J52" s="538"/>
      <c r="K52" s="99"/>
      <c r="M52" s="144"/>
      <c r="N52" s="62"/>
      <c r="O52" s="171"/>
    </row>
    <row r="53" spans="5:15">
      <c r="E53" s="84"/>
      <c r="F53" s="84"/>
      <c r="G53" s="273"/>
      <c r="H53" s="168"/>
      <c r="I53" s="101"/>
      <c r="J53" s="538"/>
      <c r="K53" s="99"/>
      <c r="M53" s="144"/>
      <c r="N53" s="62"/>
      <c r="O53" s="171"/>
    </row>
    <row r="54" spans="5:15">
      <c r="E54" s="84"/>
      <c r="F54" s="84"/>
      <c r="G54" s="273"/>
      <c r="H54" s="168"/>
      <c r="I54" s="101"/>
      <c r="J54" s="538"/>
      <c r="K54" s="99"/>
      <c r="M54" s="144"/>
      <c r="N54" s="62"/>
      <c r="O54" s="171"/>
    </row>
    <row r="55" spans="5:15">
      <c r="E55" s="84"/>
      <c r="F55" s="84"/>
      <c r="G55" s="273"/>
      <c r="H55" s="168"/>
      <c r="I55" s="101"/>
      <c r="J55" s="538"/>
      <c r="K55" s="99"/>
      <c r="M55" s="144"/>
      <c r="N55" s="62"/>
      <c r="O55" s="171"/>
    </row>
    <row r="56" spans="5:15">
      <c r="E56" s="84"/>
      <c r="F56" s="84"/>
      <c r="G56" s="273"/>
      <c r="H56" s="168"/>
      <c r="I56" s="101"/>
      <c r="J56" s="538"/>
      <c r="K56" s="99"/>
      <c r="M56" s="144"/>
      <c r="N56" s="62"/>
      <c r="O56" s="171"/>
    </row>
    <row r="57" spans="5:15">
      <c r="E57" s="84"/>
      <c r="F57" s="84"/>
      <c r="G57" s="273"/>
      <c r="H57" s="168"/>
      <c r="I57" s="101"/>
      <c r="J57" s="538"/>
      <c r="K57" s="99"/>
      <c r="M57" s="144"/>
      <c r="N57" s="62"/>
      <c r="O57" s="171"/>
    </row>
    <row r="58" spans="5:15">
      <c r="E58" s="84"/>
      <c r="F58" s="84"/>
      <c r="G58" s="273"/>
      <c r="H58" s="168"/>
      <c r="I58" s="101"/>
      <c r="J58" s="538"/>
      <c r="K58" s="99"/>
      <c r="M58" s="144"/>
      <c r="N58" s="62"/>
      <c r="O58" s="171"/>
    </row>
    <row r="59" spans="5:15">
      <c r="E59" s="84"/>
      <c r="F59" s="84"/>
      <c r="G59" s="273"/>
      <c r="H59" s="168"/>
      <c r="I59" s="101"/>
      <c r="J59" s="538"/>
      <c r="K59" s="99"/>
      <c r="M59" s="144"/>
      <c r="N59" s="62"/>
      <c r="O59" s="171"/>
    </row>
    <row r="60" spans="5:15">
      <c r="E60" s="84"/>
      <c r="F60" s="84"/>
      <c r="G60" s="273"/>
      <c r="H60" s="168"/>
      <c r="I60" s="101"/>
      <c r="J60" s="538"/>
      <c r="K60" s="99"/>
      <c r="M60" s="144"/>
      <c r="N60" s="62"/>
      <c r="O60" s="171"/>
    </row>
    <row r="61" spans="5:15">
      <c r="E61" s="84"/>
      <c r="F61" s="84"/>
      <c r="G61" s="273"/>
      <c r="H61" s="168"/>
      <c r="I61" s="101"/>
      <c r="J61" s="538"/>
      <c r="K61" s="99"/>
      <c r="M61" s="144"/>
      <c r="N61" s="62"/>
      <c r="O61" s="171"/>
    </row>
    <row r="62" spans="5:15">
      <c r="E62" s="84"/>
      <c r="F62" s="84"/>
      <c r="G62" s="273"/>
      <c r="H62" s="168"/>
      <c r="I62" s="101"/>
      <c r="J62" s="538"/>
      <c r="K62" s="99"/>
      <c r="M62" s="144"/>
      <c r="N62" s="62"/>
      <c r="O62" s="171"/>
    </row>
    <row r="63" spans="5:15">
      <c r="E63" s="84"/>
      <c r="F63" s="84"/>
      <c r="G63" s="273"/>
      <c r="H63" s="168"/>
      <c r="I63" s="101"/>
      <c r="J63" s="538"/>
      <c r="K63" s="99"/>
      <c r="M63" s="144"/>
      <c r="N63" s="62"/>
      <c r="O63" s="171"/>
    </row>
    <row r="64" spans="5:15">
      <c r="E64" s="84"/>
      <c r="F64" s="84"/>
      <c r="G64" s="273"/>
      <c r="H64" s="168"/>
      <c r="I64" s="101"/>
      <c r="J64" s="538"/>
      <c r="K64" s="99"/>
      <c r="M64" s="144"/>
      <c r="N64" s="62"/>
      <c r="O64" s="171"/>
    </row>
    <row r="65" spans="5:15">
      <c r="E65" s="84"/>
      <c r="F65" s="84"/>
      <c r="G65" s="273"/>
      <c r="H65" s="168"/>
      <c r="I65" s="101"/>
      <c r="J65" s="538"/>
      <c r="K65" s="99"/>
      <c r="M65" s="144"/>
      <c r="N65" s="62"/>
      <c r="O65" s="171"/>
    </row>
    <row r="66" spans="5:15">
      <c r="E66" s="84"/>
      <c r="F66" s="84"/>
      <c r="G66" s="273"/>
      <c r="H66" s="168"/>
      <c r="I66" s="101"/>
      <c r="J66" s="176"/>
      <c r="K66" s="99"/>
      <c r="M66" s="144"/>
      <c r="N66" s="62"/>
      <c r="O66" s="171"/>
    </row>
    <row r="67" spans="5:15">
      <c r="E67" s="84"/>
      <c r="F67" s="84"/>
      <c r="G67" s="273"/>
      <c r="H67" s="168"/>
      <c r="I67" s="101"/>
      <c r="J67" s="538"/>
      <c r="K67" s="99"/>
      <c r="M67" s="144"/>
      <c r="N67" s="62"/>
      <c r="O67" s="171"/>
    </row>
    <row r="68" spans="5:15">
      <c r="E68" s="84"/>
      <c r="F68" s="84"/>
      <c r="G68" s="273"/>
      <c r="H68" s="168"/>
      <c r="I68" s="101"/>
      <c r="J68" s="538"/>
      <c r="K68" s="99"/>
      <c r="M68" s="144"/>
      <c r="N68" s="62"/>
      <c r="O68" s="171"/>
    </row>
    <row r="69" spans="5:15">
      <c r="E69" s="84"/>
      <c r="F69" s="84"/>
      <c r="G69" s="273"/>
      <c r="H69" s="168"/>
      <c r="I69" s="101"/>
      <c r="J69" s="538"/>
      <c r="K69" s="99"/>
      <c r="M69" s="144"/>
      <c r="N69" s="62"/>
      <c r="O69" s="171"/>
    </row>
    <row r="70" spans="5:15">
      <c r="E70" s="84"/>
      <c r="F70" s="84"/>
      <c r="G70" s="273"/>
      <c r="H70" s="168"/>
      <c r="I70" s="101"/>
      <c r="J70" s="538"/>
      <c r="K70" s="99"/>
      <c r="M70" s="144"/>
      <c r="N70" s="62"/>
      <c r="O70" s="171"/>
    </row>
    <row r="71" spans="5:15">
      <c r="E71" s="84"/>
      <c r="F71" s="84"/>
      <c r="G71" s="273"/>
      <c r="H71" s="99"/>
      <c r="I71" s="101"/>
      <c r="J71" s="538"/>
      <c r="K71" s="99"/>
      <c r="M71" s="144"/>
      <c r="N71" s="62"/>
      <c r="O71" s="171"/>
    </row>
    <row r="72" spans="5:15">
      <c r="E72" s="84"/>
      <c r="F72" s="84"/>
      <c r="G72" s="273"/>
      <c r="H72" s="99"/>
      <c r="I72" s="101"/>
      <c r="J72" s="538"/>
      <c r="K72" s="99"/>
      <c r="M72" s="144"/>
      <c r="N72" s="62"/>
      <c r="O72" s="171"/>
    </row>
    <row r="73" spans="5:15">
      <c r="E73" s="84"/>
      <c r="F73" s="84"/>
      <c r="G73" s="273"/>
      <c r="H73" s="168"/>
      <c r="I73" s="101"/>
      <c r="J73" s="538"/>
      <c r="K73" s="99"/>
      <c r="M73" s="144"/>
      <c r="N73" s="62"/>
      <c r="O73" s="171"/>
    </row>
    <row r="74" spans="5:15">
      <c r="E74" s="84"/>
      <c r="F74" s="84"/>
      <c r="G74" s="273"/>
      <c r="H74" s="168"/>
      <c r="I74" s="101"/>
      <c r="J74" s="538"/>
      <c r="K74" s="99"/>
      <c r="M74" s="144"/>
      <c r="N74" s="62"/>
      <c r="O74" s="171"/>
    </row>
    <row r="75" spans="5:15">
      <c r="E75" s="84"/>
      <c r="F75" s="84"/>
      <c r="G75" s="273"/>
      <c r="H75" s="168"/>
      <c r="I75" s="101"/>
      <c r="J75" s="538"/>
      <c r="K75" s="99"/>
      <c r="M75" s="144"/>
      <c r="N75" s="62"/>
      <c r="O75" s="171"/>
    </row>
    <row r="76" spans="5:15">
      <c r="E76" s="84"/>
      <c r="F76" s="84"/>
      <c r="G76" s="273"/>
      <c r="H76" s="168"/>
      <c r="I76" s="101"/>
      <c r="J76" s="538"/>
      <c r="K76" s="99"/>
      <c r="M76" s="144"/>
      <c r="N76" s="62"/>
      <c r="O76" s="171"/>
    </row>
    <row r="77" spans="5:15">
      <c r="E77" s="84"/>
      <c r="F77" s="84"/>
      <c r="G77" s="273"/>
      <c r="H77" s="168"/>
      <c r="I77" s="101"/>
      <c r="J77" s="538"/>
      <c r="K77" s="99"/>
      <c r="M77" s="144"/>
      <c r="N77" s="62"/>
      <c r="O77" s="171"/>
    </row>
    <row r="78" spans="5:15">
      <c r="E78" s="84"/>
      <c r="F78" s="84"/>
      <c r="G78" s="273"/>
      <c r="H78" s="168"/>
      <c r="I78" s="101"/>
      <c r="J78" s="538"/>
      <c r="K78" s="99"/>
      <c r="M78" s="144"/>
      <c r="N78" s="62"/>
      <c r="O78" s="171"/>
    </row>
    <row r="79" spans="5:15">
      <c r="G79" s="99"/>
      <c r="H79" s="99"/>
      <c r="K79" s="99"/>
      <c r="M79" s="144"/>
    </row>
    <row r="80" spans="5:15">
      <c r="K80" s="99"/>
      <c r="M80" s="144"/>
    </row>
    <row r="81" spans="11:13">
      <c r="K81" s="99"/>
      <c r="M81" s="144"/>
    </row>
    <row r="82" spans="11:13">
      <c r="K82" s="99"/>
      <c r="M82" s="144"/>
    </row>
    <row r="83" spans="11:13">
      <c r="K83" s="99"/>
      <c r="M83" s="144"/>
    </row>
    <row r="84" spans="11:13">
      <c r="K84" s="99"/>
    </row>
    <row r="85" spans="11:13">
      <c r="K85" s="99"/>
      <c r="M85" s="144"/>
    </row>
    <row r="86" spans="11:13">
      <c r="K86" s="99"/>
      <c r="M86" s="144"/>
    </row>
    <row r="87" spans="11:13">
      <c r="K87" s="99"/>
      <c r="M87" s="144"/>
    </row>
    <row r="88" spans="11:13">
      <c r="K88" s="99"/>
      <c r="M88" s="144"/>
    </row>
    <row r="89" spans="11:13">
      <c r="K89" s="99"/>
      <c r="M89" s="144"/>
    </row>
    <row r="90" spans="11:13">
      <c r="K90" s="99"/>
      <c r="M90" s="144"/>
    </row>
    <row r="91" spans="11:13">
      <c r="K91" s="99"/>
      <c r="M91" s="144"/>
    </row>
    <row r="92" spans="11:13">
      <c r="K92" s="99"/>
      <c r="M92" s="144"/>
    </row>
    <row r="93" spans="11:13">
      <c r="K93" s="99"/>
      <c r="M93" s="144"/>
    </row>
    <row r="94" spans="11:13">
      <c r="K94" s="99"/>
      <c r="M94" s="144"/>
    </row>
    <row r="95" spans="11:13">
      <c r="K95" s="99"/>
      <c r="M95" s="144"/>
    </row>
    <row r="96" spans="11:13">
      <c r="K96" s="99"/>
      <c r="M96" s="144"/>
    </row>
    <row r="97" spans="11:13">
      <c r="K97" s="99"/>
      <c r="M97" s="144"/>
    </row>
    <row r="98" spans="11:13">
      <c r="K98" s="99"/>
      <c r="M98" s="144"/>
    </row>
    <row r="99" spans="11:13">
      <c r="K99" s="99"/>
      <c r="M99" s="144"/>
    </row>
    <row r="100" spans="11:13">
      <c r="K100" s="99"/>
      <c r="M100" s="144"/>
    </row>
    <row r="101" spans="11:13">
      <c r="K101" s="99"/>
      <c r="M101" s="144"/>
    </row>
    <row r="102" spans="11:13">
      <c r="K102" s="99"/>
      <c r="M102" s="144"/>
    </row>
    <row r="103" spans="11:13">
      <c r="K103" s="99"/>
      <c r="M103" s="144"/>
    </row>
    <row r="104" spans="11:13">
      <c r="K104" s="99"/>
      <c r="M104" s="144"/>
    </row>
    <row r="105" spans="11:13">
      <c r="K105" s="99"/>
      <c r="M105" s="144"/>
    </row>
    <row r="106" spans="11:13">
      <c r="K106" s="99"/>
      <c r="M106" s="144"/>
    </row>
    <row r="107" spans="11:13">
      <c r="K107" s="99"/>
      <c r="M107" s="144"/>
    </row>
    <row r="108" spans="11:13">
      <c r="K108" s="99"/>
      <c r="M108" s="144"/>
    </row>
    <row r="109" spans="11:13">
      <c r="K109" s="99"/>
      <c r="M109" s="144"/>
    </row>
    <row r="110" spans="11:13">
      <c r="K110" s="99"/>
      <c r="M110" s="144"/>
    </row>
    <row r="111" spans="11:13">
      <c r="K111" s="99"/>
      <c r="M111" s="144"/>
    </row>
    <row r="112" spans="11:13">
      <c r="K112" s="99"/>
      <c r="M112" s="144"/>
    </row>
    <row r="113" spans="11:13">
      <c r="K113" s="99"/>
      <c r="M113" s="144"/>
    </row>
    <row r="114" spans="11:13">
      <c r="K114" s="99"/>
      <c r="M114" s="144"/>
    </row>
    <row r="115" spans="11:13">
      <c r="K115" s="99"/>
      <c r="M115" s="144"/>
    </row>
    <row r="116" spans="11:13">
      <c r="K116" s="99"/>
      <c r="M116" s="144"/>
    </row>
    <row r="117" spans="11:13">
      <c r="K117" s="99"/>
      <c r="M117" s="144"/>
    </row>
    <row r="118" spans="11:13">
      <c r="K118" s="99"/>
      <c r="M118" s="144"/>
    </row>
    <row r="119" spans="11:13">
      <c r="K119" s="99"/>
      <c r="M119" s="144"/>
    </row>
    <row r="120" spans="11:13">
      <c r="K120" s="99"/>
      <c r="M120" s="144"/>
    </row>
    <row r="121" spans="11:13">
      <c r="K121" s="99"/>
      <c r="M121" s="144"/>
    </row>
    <row r="122" spans="11:13">
      <c r="K122" s="99"/>
      <c r="M122" s="144"/>
    </row>
    <row r="123" spans="11:13">
      <c r="K123" s="99"/>
      <c r="M123" s="144"/>
    </row>
    <row r="124" spans="11:13">
      <c r="K124" s="99"/>
      <c r="M124" s="144"/>
    </row>
    <row r="125" spans="11:13">
      <c r="K125" s="99"/>
      <c r="M125" s="144"/>
    </row>
    <row r="126" spans="11:13">
      <c r="K126" s="99"/>
      <c r="M126" s="144"/>
    </row>
    <row r="127" spans="11:13">
      <c r="K127" s="99"/>
      <c r="M127" s="144"/>
    </row>
    <row r="128" spans="11:13">
      <c r="K128" s="99"/>
      <c r="M128" s="144"/>
    </row>
    <row r="129" spans="11:13">
      <c r="K129" s="99"/>
      <c r="M129" s="144"/>
    </row>
    <row r="130" spans="11:13">
      <c r="K130" s="99"/>
      <c r="M130" s="144"/>
    </row>
    <row r="131" spans="11:13">
      <c r="K131" s="99"/>
      <c r="M131" s="144"/>
    </row>
    <row r="132" spans="11:13">
      <c r="K132" s="99"/>
      <c r="M132" s="144"/>
    </row>
    <row r="133" spans="11:13">
      <c r="K133" s="99"/>
      <c r="M133" s="144"/>
    </row>
    <row r="134" spans="11:13">
      <c r="K134" s="99"/>
      <c r="M134" s="144"/>
    </row>
    <row r="135" spans="11:13">
      <c r="K135" s="99"/>
      <c r="M135" s="144"/>
    </row>
    <row r="136" spans="11:13">
      <c r="K136" s="99"/>
      <c r="M136" s="144"/>
    </row>
    <row r="137" spans="11:13">
      <c r="K137" s="99"/>
      <c r="M137" s="144"/>
    </row>
    <row r="138" spans="11:13">
      <c r="K138" s="99"/>
      <c r="M138" s="144"/>
    </row>
    <row r="139" spans="11:13">
      <c r="K139" s="99"/>
      <c r="M139" s="144"/>
    </row>
    <row r="140" spans="11:13">
      <c r="K140" s="99"/>
      <c r="M140" s="144"/>
    </row>
    <row r="141" spans="11:13">
      <c r="K141" s="99"/>
      <c r="M141" s="144"/>
    </row>
    <row r="142" spans="11:13">
      <c r="K142" s="99"/>
      <c r="M142" s="144"/>
    </row>
    <row r="143" spans="11:13">
      <c r="K143" s="99"/>
      <c r="M143" s="144"/>
    </row>
    <row r="144" spans="11:13">
      <c r="K144" s="99"/>
      <c r="M144" s="144"/>
    </row>
    <row r="145" spans="11:13">
      <c r="K145" s="99"/>
      <c r="M145" s="144"/>
    </row>
    <row r="146" spans="11:13">
      <c r="K146" s="99"/>
      <c r="M146" s="144"/>
    </row>
    <row r="147" spans="11:13">
      <c r="K147" s="99"/>
      <c r="M147" s="144"/>
    </row>
    <row r="148" spans="11:13">
      <c r="K148" s="99"/>
      <c r="M148" s="144"/>
    </row>
    <row r="149" spans="11:13">
      <c r="K149" s="99"/>
      <c r="M149" s="144"/>
    </row>
    <row r="150" spans="11:13">
      <c r="K150" s="99"/>
      <c r="M150" s="144"/>
    </row>
    <row r="151" spans="11:13">
      <c r="K151" s="99"/>
      <c r="M151" s="144"/>
    </row>
    <row r="152" spans="11:13">
      <c r="K152" s="99"/>
      <c r="M152" s="144"/>
    </row>
    <row r="153" spans="11:13">
      <c r="K153" s="99"/>
      <c r="M153" s="144"/>
    </row>
    <row r="154" spans="11:13">
      <c r="K154" s="99"/>
      <c r="M154" s="144"/>
    </row>
    <row r="155" spans="11:13">
      <c r="K155" s="99"/>
      <c r="M155" s="144"/>
    </row>
    <row r="156" spans="11:13">
      <c r="K156" s="99"/>
      <c r="M156" s="144"/>
    </row>
    <row r="157" spans="11:13">
      <c r="K157" s="99"/>
      <c r="M157" s="144"/>
    </row>
    <row r="158" spans="11:13">
      <c r="K158" s="99"/>
      <c r="M158" s="144"/>
    </row>
    <row r="159" spans="11:13">
      <c r="K159" s="99"/>
      <c r="M159" s="144"/>
    </row>
    <row r="160" spans="11:13">
      <c r="K160" s="99"/>
      <c r="M160" s="144"/>
    </row>
    <row r="161" spans="11:13">
      <c r="K161" s="99"/>
      <c r="M161" s="144"/>
    </row>
    <row r="162" spans="11:13">
      <c r="K162" s="99"/>
      <c r="M162" s="144"/>
    </row>
    <row r="163" spans="11:13">
      <c r="K163" s="99"/>
    </row>
    <row r="164" spans="11:13">
      <c r="K164" s="99"/>
      <c r="M164" s="144"/>
    </row>
    <row r="165" spans="11:13">
      <c r="K165" s="99"/>
    </row>
    <row r="166" spans="11:13">
      <c r="K166" s="99"/>
      <c r="M166" s="144"/>
    </row>
    <row r="167" spans="11:13">
      <c r="K167" s="99"/>
      <c r="M167" s="144"/>
    </row>
    <row r="168" spans="11:13">
      <c r="K168" s="99"/>
      <c r="M168" s="144"/>
    </row>
    <row r="169" spans="11:13">
      <c r="K169" s="99"/>
      <c r="M169" s="144"/>
    </row>
    <row r="170" spans="11:13">
      <c r="K170" s="99"/>
      <c r="M170" s="144"/>
    </row>
    <row r="171" spans="11:13">
      <c r="K171" s="99"/>
      <c r="M171" s="45"/>
    </row>
    <row r="172" spans="11:13">
      <c r="K172" s="99"/>
      <c r="M172" s="144"/>
    </row>
    <row r="173" spans="11:13">
      <c r="K173" s="99"/>
      <c r="M173" s="144"/>
    </row>
    <row r="174" spans="11:13">
      <c r="K174" s="99"/>
      <c r="M174" s="144"/>
    </row>
    <row r="175" spans="11:13">
      <c r="K175" s="99"/>
      <c r="M175" s="144"/>
    </row>
    <row r="176" spans="11:13">
      <c r="K176" s="99"/>
      <c r="M176" s="144"/>
    </row>
    <row r="177" spans="11:13">
      <c r="K177" s="99"/>
      <c r="M177" s="144"/>
    </row>
    <row r="178" spans="11:13">
      <c r="K178" s="99"/>
      <c r="M178" s="144"/>
    </row>
    <row r="179" spans="11:13">
      <c r="K179" s="99"/>
    </row>
    <row r="180" spans="11:13">
      <c r="K180" s="99"/>
      <c r="M180" s="144"/>
    </row>
    <row r="181" spans="11:13">
      <c r="K181" s="99"/>
      <c r="M181" s="144"/>
    </row>
    <row r="182" spans="11:13">
      <c r="K182" s="99"/>
      <c r="M182" s="144"/>
    </row>
    <row r="183" spans="11:13">
      <c r="K183" s="99"/>
      <c r="M183" s="144"/>
    </row>
    <row r="184" spans="11:13">
      <c r="K184" s="99"/>
    </row>
    <row r="185" spans="11:13">
      <c r="K185" s="99"/>
      <c r="M185" s="144"/>
    </row>
    <row r="186" spans="11:13">
      <c r="K186" s="99"/>
      <c r="M186" s="144"/>
    </row>
    <row r="187" spans="11:13">
      <c r="K187" s="99"/>
      <c r="M187" s="144"/>
    </row>
    <row r="188" spans="11:13">
      <c r="K188" s="99"/>
      <c r="M188" s="144"/>
    </row>
    <row r="189" spans="11:13">
      <c r="K189" s="99"/>
      <c r="M189" s="144"/>
    </row>
    <row r="190" spans="11:13">
      <c r="K190" s="99"/>
      <c r="M190" s="144"/>
    </row>
    <row r="191" spans="11:13">
      <c r="K191" s="99"/>
      <c r="M191" s="144"/>
    </row>
    <row r="192" spans="11:13">
      <c r="K192" s="99"/>
      <c r="M192" s="144"/>
    </row>
    <row r="193" spans="11:13">
      <c r="K193" s="99"/>
    </row>
    <row r="194" spans="11:13">
      <c r="K194" s="99"/>
    </row>
    <row r="195" spans="11:13">
      <c r="K195" s="99"/>
      <c r="M195" s="45"/>
    </row>
    <row r="196" spans="11:13">
      <c r="K196" s="99"/>
      <c r="M196" s="144"/>
    </row>
    <row r="197" spans="11:13">
      <c r="K197" s="99"/>
    </row>
    <row r="198" spans="11:13">
      <c r="K198" s="99"/>
    </row>
    <row r="199" spans="11:13">
      <c r="K199" s="99"/>
      <c r="M199" s="144"/>
    </row>
    <row r="200" spans="11:13">
      <c r="K200" s="99"/>
    </row>
    <row r="201" spans="11:13">
      <c r="K201" s="99"/>
      <c r="M201" s="144"/>
    </row>
    <row r="202" spans="11:13">
      <c r="K202" s="99"/>
      <c r="M202" s="144"/>
    </row>
    <row r="203" spans="11:13">
      <c r="K203" s="99"/>
      <c r="M203" s="144"/>
    </row>
    <row r="204" spans="11:13">
      <c r="K204" s="99"/>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48"/>
  <sheetViews>
    <sheetView zoomScaleNormal="100" workbookViewId="0"/>
  </sheetViews>
  <sheetFormatPr defaultRowHeight="12"/>
  <cols>
    <col min="1" max="1" width="2" style="77" customWidth="1"/>
    <col min="2" max="2" width="28.28515625" style="77" customWidth="1"/>
    <col min="3" max="6" width="11.7109375" style="77" customWidth="1"/>
    <col min="7" max="7" width="11.7109375" style="77" customWidth="1" collapsed="1"/>
    <col min="8" max="13" width="11.7109375" style="77" customWidth="1"/>
    <col min="14" max="14" width="2.85546875" style="77" customWidth="1"/>
    <col min="15" max="15" width="13" style="77" bestFit="1" customWidth="1"/>
    <col min="16" max="16" width="11.85546875" style="77" customWidth="1"/>
    <col min="17" max="17" width="11.7109375" style="77" customWidth="1"/>
    <col min="18" max="18" width="13.140625" style="77" customWidth="1"/>
    <col min="19" max="28" width="9.140625" style="77" customWidth="1"/>
    <col min="29" max="29" width="9.28515625" style="77" customWidth="1"/>
    <col min="30" max="30" width="9.42578125" style="77" customWidth="1"/>
    <col min="31" max="31" width="10" style="77" customWidth="1"/>
    <col min="32" max="32" width="11.42578125" style="77" customWidth="1"/>
    <col min="33" max="33" width="9.42578125" style="77" bestFit="1" customWidth="1" collapsed="1"/>
    <col min="34" max="16384" width="9.140625" style="77"/>
  </cols>
  <sheetData>
    <row r="1" spans="1:32" s="76" customFormat="1" ht="15" customHeight="1">
      <c r="B1" s="15" t="s">
        <v>482</v>
      </c>
      <c r="C1" s="75"/>
      <c r="D1" s="75"/>
      <c r="E1" s="75"/>
      <c r="F1" s="75"/>
      <c r="G1" s="75"/>
      <c r="H1" s="75"/>
      <c r="I1" s="75"/>
      <c r="J1" s="75"/>
      <c r="K1" s="75"/>
      <c r="L1" s="75"/>
      <c r="M1" s="75"/>
      <c r="N1" s="75"/>
    </row>
    <row r="2" spans="1:32" ht="12" customHeight="1"/>
    <row r="3" spans="1:32" ht="12" customHeight="1">
      <c r="A3" s="79"/>
      <c r="B3" s="237" t="s">
        <v>482</v>
      </c>
      <c r="C3" s="237"/>
      <c r="D3" s="237"/>
      <c r="E3" s="237"/>
      <c r="F3" s="237"/>
      <c r="G3" s="237"/>
      <c r="H3" s="237"/>
      <c r="I3" s="237"/>
      <c r="J3" s="237"/>
      <c r="K3" s="237"/>
      <c r="L3" s="237"/>
      <c r="M3" s="237"/>
      <c r="O3" s="237"/>
      <c r="P3" s="400"/>
    </row>
    <row r="4" spans="1:32" ht="12" customHeight="1" thickBot="1">
      <c r="A4" s="84"/>
      <c r="B4" s="334" t="str">
        <f>Drivers!$C$5&amp;" in mil"</f>
        <v>$ in mil</v>
      </c>
      <c r="C4" s="391">
        <v>44562</v>
      </c>
      <c r="D4" s="392">
        <v>44927</v>
      </c>
      <c r="E4" s="392">
        <v>45292</v>
      </c>
      <c r="F4" s="392">
        <v>45658</v>
      </c>
      <c r="G4" s="392">
        <v>46023</v>
      </c>
      <c r="H4" s="392">
        <v>46388</v>
      </c>
      <c r="I4" s="392">
        <v>46753</v>
      </c>
      <c r="J4" s="392">
        <v>47119</v>
      </c>
      <c r="K4" s="392">
        <v>47484</v>
      </c>
      <c r="L4" s="392">
        <v>47849</v>
      </c>
      <c r="M4" s="392">
        <v>48214</v>
      </c>
      <c r="O4" s="401" t="s">
        <v>630</v>
      </c>
      <c r="P4" s="402"/>
      <c r="Q4" s="220"/>
    </row>
    <row r="5" spans="1:32" ht="12" customHeight="1">
      <c r="A5" s="84"/>
      <c r="B5" s="562" t="str">
        <f>'Income Statement'!B5</f>
        <v>Food and Sundries</v>
      </c>
      <c r="C5" s="563">
        <f>'Income Statement'!G5</f>
        <v>85629</v>
      </c>
      <c r="D5" s="563">
        <f>C5*(1+D6)</f>
        <v>88648.278539999999</v>
      </c>
      <c r="E5" s="563">
        <f t="shared" ref="E5:M5" si="0">D5*(1+E6)</f>
        <v>91774.016841320408</v>
      </c>
      <c r="F5" s="563">
        <f t="shared" si="0"/>
        <v>95009.96867514537</v>
      </c>
      <c r="G5" s="563">
        <f t="shared" si="0"/>
        <v>98360.020170631004</v>
      </c>
      <c r="H5" s="563">
        <f t="shared" si="0"/>
        <v>101828.19448184746</v>
      </c>
      <c r="I5" s="563">
        <f t="shared" si="0"/>
        <v>105418.6566192774</v>
      </c>
      <c r="J5" s="563">
        <f t="shared" si="0"/>
        <v>109135.71845167314</v>
      </c>
      <c r="K5" s="563">
        <f t="shared" si="0"/>
        <v>112983.84388427914</v>
      </c>
      <c r="L5" s="563">
        <f t="shared" si="0"/>
        <v>116967.65421963883</v>
      </c>
      <c r="M5" s="563">
        <f t="shared" si="0"/>
        <v>121091.9337074233</v>
      </c>
      <c r="N5" s="386"/>
      <c r="O5" s="500"/>
      <c r="P5" s="92"/>
      <c r="Q5" s="222"/>
      <c r="R5" s="222"/>
      <c r="S5" s="82"/>
      <c r="T5" s="82"/>
    </row>
    <row r="6" spans="1:32" ht="12" customHeight="1">
      <c r="A6" s="84"/>
      <c r="B6" s="564" t="s">
        <v>339</v>
      </c>
      <c r="D6" s="113">
        <f>P7</f>
        <v>3.526E-2</v>
      </c>
      <c r="E6" s="113">
        <f>AVERAGE(D6,F6)</f>
        <v>3.526E-2</v>
      </c>
      <c r="F6" s="113">
        <f>AVERAGE(D6,H6)</f>
        <v>3.526E-2</v>
      </c>
      <c r="G6" s="113">
        <f>AVERAGE(F6,H6)</f>
        <v>3.526E-2</v>
      </c>
      <c r="H6" s="113">
        <f>AVERAGE(D6,M6)</f>
        <v>3.526E-2</v>
      </c>
      <c r="I6" s="113">
        <f>AVERAGE(H6,J6)</f>
        <v>3.526E-2</v>
      </c>
      <c r="J6" s="113">
        <f>AVERAGE(H6,K6)</f>
        <v>3.526E-2</v>
      </c>
      <c r="K6" s="113">
        <f>AVERAGE(H6,M6)</f>
        <v>3.526E-2</v>
      </c>
      <c r="L6" s="113">
        <f>AVERAGE(K6,M6)</f>
        <v>3.526E-2</v>
      </c>
      <c r="M6" s="113">
        <f>P8</f>
        <v>3.526E-2</v>
      </c>
      <c r="N6" s="389"/>
      <c r="O6" s="661" t="s">
        <v>595</v>
      </c>
      <c r="P6" s="661"/>
      <c r="Q6" s="51"/>
      <c r="R6" s="388"/>
      <c r="S6" s="82"/>
      <c r="T6" s="82"/>
    </row>
    <row r="7" spans="1:32" ht="12" customHeight="1">
      <c r="B7" s="562" t="str">
        <f>'Income Statement'!B6</f>
        <v>Non-Foods</v>
      </c>
      <c r="C7" s="563">
        <f>'Income Statement'!G6</f>
        <v>61100</v>
      </c>
      <c r="D7" s="356">
        <f>C7*(1+D8)</f>
        <v>63254.386000000006</v>
      </c>
      <c r="E7" s="356">
        <f t="shared" ref="E7:M7" si="1">D7*(1+E8)</f>
        <v>65484.735650360009</v>
      </c>
      <c r="F7" s="356">
        <f t="shared" si="1"/>
        <v>67793.727429391714</v>
      </c>
      <c r="G7" s="356">
        <f t="shared" si="1"/>
        <v>70184.134258552076</v>
      </c>
      <c r="H7" s="356">
        <f t="shared" si="1"/>
        <v>72658.826832508625</v>
      </c>
      <c r="I7" s="356">
        <f t="shared" si="1"/>
        <v>75220.77706662289</v>
      </c>
      <c r="J7" s="356">
        <f t="shared" si="1"/>
        <v>77873.06166599202</v>
      </c>
      <c r="K7" s="356">
        <f t="shared" si="1"/>
        <v>80618.865820334904</v>
      </c>
      <c r="L7" s="356">
        <f t="shared" si="1"/>
        <v>83461.487029159922</v>
      </c>
      <c r="M7" s="356">
        <f t="shared" si="1"/>
        <v>86404.339061808103</v>
      </c>
      <c r="N7" s="223"/>
      <c r="O7" s="82" t="s">
        <v>484</v>
      </c>
      <c r="P7" s="92">
        <f>P8</f>
        <v>3.526E-2</v>
      </c>
      <c r="Q7" s="51"/>
      <c r="R7" s="388"/>
      <c r="S7" s="82"/>
      <c r="T7" s="82"/>
    </row>
    <row r="8" spans="1:32" ht="12" customHeight="1">
      <c r="A8" s="84"/>
      <c r="B8" s="564" t="s">
        <v>339</v>
      </c>
      <c r="D8" s="113">
        <f>P11</f>
        <v>3.526E-2</v>
      </c>
      <c r="E8" s="113">
        <f>AVERAGE(D8,F8)</f>
        <v>3.526E-2</v>
      </c>
      <c r="F8" s="113">
        <f>AVERAGE(D8,H8)</f>
        <v>3.526E-2</v>
      </c>
      <c r="G8" s="113">
        <f>AVERAGE(F8,H8)</f>
        <v>3.526E-2</v>
      </c>
      <c r="H8" s="113">
        <f>AVERAGE(D8,M8)</f>
        <v>3.526E-2</v>
      </c>
      <c r="I8" s="113">
        <f>AVERAGE(H8,J8)</f>
        <v>3.526E-2</v>
      </c>
      <c r="J8" s="113">
        <f>AVERAGE(H8,K8)</f>
        <v>3.526E-2</v>
      </c>
      <c r="K8" s="113">
        <f>AVERAGE(H8,M8)</f>
        <v>3.526E-2</v>
      </c>
      <c r="L8" s="113">
        <f>AVERAGE(K8,M8)</f>
        <v>3.526E-2</v>
      </c>
      <c r="M8" s="113">
        <f>P12</f>
        <v>3.526E-2</v>
      </c>
      <c r="N8" s="223"/>
      <c r="O8" s="82" t="s">
        <v>485</v>
      </c>
      <c r="P8" s="339">
        <f>'Risk Free Rate &amp; ERP'!C6</f>
        <v>3.526E-2</v>
      </c>
      <c r="Q8" s="51"/>
      <c r="R8" s="388"/>
      <c r="S8" s="82"/>
      <c r="T8" s="82"/>
    </row>
    <row r="9" spans="1:32" ht="12" customHeight="1">
      <c r="A9" s="84"/>
      <c r="B9" s="562" t="str">
        <f>'Income Statement'!B7</f>
        <v>Fresh Foods</v>
      </c>
      <c r="C9" s="563">
        <f>'Income Statement'!G7</f>
        <v>29527</v>
      </c>
      <c r="D9" s="356">
        <f>C9*(1+D10)</f>
        <v>30568.122020000003</v>
      </c>
      <c r="E9" s="356">
        <f t="shared" ref="E9:M9" si="2">D9*(1+E10)</f>
        <v>31645.954002425206</v>
      </c>
      <c r="F9" s="356">
        <f t="shared" si="2"/>
        <v>32761.79034055072</v>
      </c>
      <c r="G9" s="356">
        <f t="shared" si="2"/>
        <v>33916.971067958541</v>
      </c>
      <c r="H9" s="356">
        <f t="shared" si="2"/>
        <v>35112.883467814761</v>
      </c>
      <c r="I9" s="356">
        <f t="shared" si="2"/>
        <v>36350.963738889914</v>
      </c>
      <c r="J9" s="356">
        <f t="shared" si="2"/>
        <v>37632.698720323177</v>
      </c>
      <c r="K9" s="356">
        <f t="shared" si="2"/>
        <v>38959.627677201774</v>
      </c>
      <c r="L9" s="356">
        <f t="shared" si="2"/>
        <v>40333.34414909991</v>
      </c>
      <c r="M9" s="356">
        <f t="shared" si="2"/>
        <v>41755.497863797173</v>
      </c>
      <c r="N9" s="223"/>
      <c r="Q9" s="51"/>
      <c r="R9" s="388"/>
      <c r="S9" s="82"/>
      <c r="T9" s="82"/>
    </row>
    <row r="10" spans="1:32">
      <c r="A10" s="80"/>
      <c r="B10" s="564" t="s">
        <v>339</v>
      </c>
      <c r="D10" s="113">
        <f>P15</f>
        <v>3.526E-2</v>
      </c>
      <c r="E10" s="113">
        <f>AVERAGE(D10,F10)</f>
        <v>3.526E-2</v>
      </c>
      <c r="F10" s="113">
        <f>AVERAGE(D10,H10)</f>
        <v>3.526E-2</v>
      </c>
      <c r="G10" s="113">
        <f>AVERAGE(F10,H10)</f>
        <v>3.526E-2</v>
      </c>
      <c r="H10" s="113">
        <f>AVERAGE(D10,M10)</f>
        <v>3.526E-2</v>
      </c>
      <c r="I10" s="113">
        <f>AVERAGE(H10,J10)</f>
        <v>3.526E-2</v>
      </c>
      <c r="J10" s="113">
        <f>AVERAGE(H10,K10)</f>
        <v>3.526E-2</v>
      </c>
      <c r="K10" s="113">
        <f>AVERAGE(H10,M10)</f>
        <v>3.526E-2</v>
      </c>
      <c r="L10" s="113">
        <f>AVERAGE(K10,M10)</f>
        <v>3.526E-2</v>
      </c>
      <c r="M10" s="113">
        <f>P16</f>
        <v>3.526E-2</v>
      </c>
      <c r="N10" s="223"/>
      <c r="O10" s="661" t="s">
        <v>631</v>
      </c>
      <c r="P10" s="661"/>
      <c r="Q10" s="51"/>
      <c r="R10" s="388"/>
      <c r="S10" s="82"/>
      <c r="T10" s="82"/>
    </row>
    <row r="11" spans="1:32" ht="12" customHeight="1">
      <c r="B11" s="562" t="str">
        <f>'Income Statement'!B8</f>
        <v>Warehouse Ancillary</v>
      </c>
      <c r="C11" s="563">
        <f>'Income Statement'!G8</f>
        <v>46474</v>
      </c>
      <c r="D11" s="356">
        <f>C11*(1+D12)</f>
        <v>48112.673240000004</v>
      </c>
      <c r="E11" s="356">
        <f t="shared" ref="E11:M11" si="3">D11*(1+E12)</f>
        <v>49809.126098442408</v>
      </c>
      <c r="F11" s="356">
        <f t="shared" si="3"/>
        <v>51565.395884673489</v>
      </c>
      <c r="G11" s="356">
        <f t="shared" si="3"/>
        <v>53383.591743567078</v>
      </c>
      <c r="H11" s="356">
        <f t="shared" si="3"/>
        <v>55265.897188445255</v>
      </c>
      <c r="I11" s="356">
        <f t="shared" si="3"/>
        <v>57214.572723309837</v>
      </c>
      <c r="J11" s="356">
        <f t="shared" si="3"/>
        <v>59231.958557533748</v>
      </c>
      <c r="K11" s="356">
        <f t="shared" si="3"/>
        <v>61320.477416272392</v>
      </c>
      <c r="L11" s="356">
        <f t="shared" si="3"/>
        <v>63482.637449970163</v>
      </c>
      <c r="M11" s="356">
        <f t="shared" si="3"/>
        <v>65721.035246456115</v>
      </c>
      <c r="N11" s="223"/>
      <c r="O11" s="82" t="s">
        <v>484</v>
      </c>
      <c r="P11" s="92">
        <f>P12</f>
        <v>3.526E-2</v>
      </c>
      <c r="Q11" s="51"/>
      <c r="R11" s="388"/>
      <c r="S11" s="82"/>
      <c r="T11" s="82"/>
    </row>
    <row r="12" spans="1:32">
      <c r="A12" s="84"/>
      <c r="B12" s="564" t="s">
        <v>339</v>
      </c>
      <c r="D12" s="113">
        <f>P19</f>
        <v>3.526E-2</v>
      </c>
      <c r="E12" s="113">
        <f>AVERAGE(D12,F12)</f>
        <v>3.526E-2</v>
      </c>
      <c r="F12" s="113">
        <f>AVERAGE(D12,H12)</f>
        <v>3.526E-2</v>
      </c>
      <c r="G12" s="113">
        <f>AVERAGE(F12,H12)</f>
        <v>3.526E-2</v>
      </c>
      <c r="H12" s="113">
        <f>AVERAGE(D12,M12)</f>
        <v>3.526E-2</v>
      </c>
      <c r="I12" s="113">
        <f>AVERAGE(H12,J12)</f>
        <v>3.526E-2</v>
      </c>
      <c r="J12" s="113">
        <f>AVERAGE(H12,K12)</f>
        <v>3.526E-2</v>
      </c>
      <c r="K12" s="113">
        <f>AVERAGE(H12,M12)</f>
        <v>3.526E-2</v>
      </c>
      <c r="L12" s="113">
        <f>AVERAGE(K12,M12)</f>
        <v>3.526E-2</v>
      </c>
      <c r="M12" s="113">
        <f>P20</f>
        <v>3.526E-2</v>
      </c>
      <c r="N12" s="223"/>
      <c r="O12" s="82" t="s">
        <v>485</v>
      </c>
      <c r="P12" s="92">
        <f>'Risk Free Rate &amp; ERP'!C6</f>
        <v>3.526E-2</v>
      </c>
      <c r="Q12" s="51"/>
      <c r="R12" s="388"/>
      <c r="S12" s="82"/>
      <c r="T12" s="82"/>
    </row>
    <row r="13" spans="1:32">
      <c r="B13" s="397" t="s">
        <v>594</v>
      </c>
      <c r="C13" s="347">
        <f>C5+C7+C9+C11</f>
        <v>222730</v>
      </c>
      <c r="D13" s="347">
        <f t="shared" ref="D13:M13" si="4">D5+D7+D9+D11</f>
        <v>230583.45980000001</v>
      </c>
      <c r="E13" s="347">
        <f t="shared" si="4"/>
        <v>238713.83259254805</v>
      </c>
      <c r="F13" s="347">
        <f t="shared" si="4"/>
        <v>247130.88232976128</v>
      </c>
      <c r="G13" s="347">
        <f t="shared" si="4"/>
        <v>255844.71724070871</v>
      </c>
      <c r="H13" s="347">
        <f t="shared" si="4"/>
        <v>264865.8019706161</v>
      </c>
      <c r="I13" s="347">
        <f t="shared" si="4"/>
        <v>274204.97014810005</v>
      </c>
      <c r="J13" s="347">
        <f t="shared" si="4"/>
        <v>283873.43739552208</v>
      </c>
      <c r="K13" s="347">
        <f t="shared" si="4"/>
        <v>293882.81479808822</v>
      </c>
      <c r="L13" s="347">
        <f t="shared" si="4"/>
        <v>304245.12284786883</v>
      </c>
      <c r="M13" s="347">
        <f t="shared" si="4"/>
        <v>314972.80587948469</v>
      </c>
      <c r="N13" s="223"/>
      <c r="Q13" s="51"/>
      <c r="R13" s="388"/>
      <c r="S13" s="82"/>
      <c r="T13" s="82"/>
    </row>
    <row r="14" spans="1:32">
      <c r="A14" s="84"/>
      <c r="B14" s="395"/>
      <c r="C14" s="382"/>
      <c r="D14" s="404"/>
      <c r="E14" s="404"/>
      <c r="F14" s="404"/>
      <c r="G14" s="404"/>
      <c r="H14" s="404"/>
      <c r="I14" s="404"/>
      <c r="J14" s="404"/>
      <c r="K14" s="404"/>
      <c r="L14" s="404"/>
      <c r="M14" s="404"/>
      <c r="N14" s="223"/>
      <c r="O14" s="661" t="s">
        <v>592</v>
      </c>
      <c r="P14" s="661"/>
      <c r="Q14" s="51"/>
      <c r="R14" s="388"/>
      <c r="S14" s="82"/>
      <c r="T14" s="82"/>
    </row>
    <row r="15" spans="1:32">
      <c r="B15" s="77" t="s">
        <v>632</v>
      </c>
      <c r="C15" s="344">
        <f>'Income Statement'!G10</f>
        <v>4224</v>
      </c>
      <c r="D15" s="344">
        <f>C15*(1+D16)</f>
        <v>4541.5418217396609</v>
      </c>
      <c r="E15" s="344">
        <f t="shared" ref="E15" si="5">D15*(1+E16)</f>
        <v>4860.295239438844</v>
      </c>
      <c r="F15" s="344">
        <f t="shared" ref="F15" si="6">E15*(1+F16)</f>
        <v>5177.1705254482213</v>
      </c>
      <c r="G15" s="344">
        <f t="shared" ref="G15" si="7">F15*(1+G16)</f>
        <v>5488.8737924717452</v>
      </c>
      <c r="H15" s="344">
        <f t="shared" ref="H15" si="8">G15*(1+H16)</f>
        <v>5791.9573845164214</v>
      </c>
      <c r="I15" s="344">
        <f t="shared" ref="I15" si="9">H15*(1+I16)</f>
        <v>6097.3272404922254</v>
      </c>
      <c r="J15" s="344">
        <f t="shared" ref="J15" si="10">I15*(1+J16)</f>
        <v>6403.5859744701238</v>
      </c>
      <c r="K15" s="344">
        <f t="shared" ref="K15" si="11">J15*(1+K16)</f>
        <v>6693.2771931123225</v>
      </c>
      <c r="L15" s="344">
        <f t="shared" ref="L15" si="12">K15*(1+L16)</f>
        <v>6962.6779361322506</v>
      </c>
      <c r="M15" s="344">
        <f>L15*(1+M16)</f>
        <v>7208.1819601602738</v>
      </c>
      <c r="N15" s="223"/>
      <c r="O15" s="82" t="s">
        <v>484</v>
      </c>
      <c r="P15" s="92">
        <f>P16</f>
        <v>3.526E-2</v>
      </c>
      <c r="Q15" s="51"/>
      <c r="R15" s="388"/>
      <c r="S15" s="82"/>
      <c r="T15" s="82"/>
      <c r="U15" s="82"/>
      <c r="V15" s="82"/>
      <c r="W15" s="82"/>
      <c r="X15" s="82"/>
      <c r="Y15" s="82"/>
      <c r="Z15" s="82"/>
    </row>
    <row r="16" spans="1:32">
      <c r="B16" s="409" t="s">
        <v>339</v>
      </c>
      <c r="D16" s="16">
        <f>P23</f>
        <v>7.5175620677003119E-2</v>
      </c>
      <c r="E16" s="16">
        <f>AVERAGE(D16,F16)</f>
        <v>7.0186168092377738E-2</v>
      </c>
      <c r="F16" s="16">
        <f>AVERAGE(D16,H16)</f>
        <v>6.5196715507752342E-2</v>
      </c>
      <c r="G16" s="16">
        <f>AVERAGE(F16,H16)</f>
        <v>6.0207262923126947E-2</v>
      </c>
      <c r="H16" s="16">
        <f>AVERAGE(D16,M16)</f>
        <v>5.5217810338501559E-2</v>
      </c>
      <c r="I16" s="16">
        <f>AVERAGE(H16,J16)</f>
        <v>5.2723084046188862E-2</v>
      </c>
      <c r="J16" s="16">
        <f>AVERAGE(H16,K16)</f>
        <v>5.0228357753876171E-2</v>
      </c>
      <c r="K16" s="16">
        <f>AVERAGE(H16,M16)</f>
        <v>4.5238905169250776E-2</v>
      </c>
      <c r="L16" s="16">
        <f>AVERAGE(K16,M16)</f>
        <v>4.0249452584625388E-2</v>
      </c>
      <c r="M16" s="16">
        <f>P24</f>
        <v>3.526E-2</v>
      </c>
      <c r="N16" s="223"/>
      <c r="O16" s="82" t="s">
        <v>485</v>
      </c>
      <c r="P16" s="92">
        <f>'Risk Free Rate &amp; ERP'!C6</f>
        <v>3.526E-2</v>
      </c>
      <c r="Q16" s="51"/>
      <c r="R16" s="388"/>
      <c r="S16" s="82"/>
      <c r="T16" s="82"/>
      <c r="U16" s="82"/>
      <c r="V16" s="82"/>
      <c r="W16" s="82"/>
      <c r="X16" s="82"/>
      <c r="Y16" s="82"/>
      <c r="Z16" s="82"/>
      <c r="AA16" s="82"/>
      <c r="AB16" s="82"/>
      <c r="AC16" s="82"/>
      <c r="AD16" s="82"/>
      <c r="AE16" s="82"/>
      <c r="AF16" s="82"/>
    </row>
    <row r="17" spans="1:34">
      <c r="N17" s="223"/>
      <c r="Q17" s="51"/>
      <c r="R17" s="388"/>
      <c r="S17" s="82"/>
      <c r="T17" s="82"/>
      <c r="U17" s="82"/>
      <c r="V17" s="82"/>
      <c r="W17" s="82"/>
      <c r="X17" s="82"/>
      <c r="Y17" s="82"/>
      <c r="Z17" s="82"/>
      <c r="AA17" s="82"/>
      <c r="AB17" s="82"/>
      <c r="AC17" s="82"/>
      <c r="AD17" s="82"/>
      <c r="AE17" s="82"/>
      <c r="AF17" s="82"/>
    </row>
    <row r="18" spans="1:34">
      <c r="B18" s="77" t="s">
        <v>465</v>
      </c>
      <c r="C18" s="369">
        <f>C13+C15</f>
        <v>226954</v>
      </c>
      <c r="D18" s="369">
        <f t="shared" ref="D18:M18" si="13">D13+D15</f>
        <v>235125.00162173968</v>
      </c>
      <c r="E18" s="369">
        <f t="shared" si="13"/>
        <v>243574.1278319869</v>
      </c>
      <c r="F18" s="369">
        <f t="shared" si="13"/>
        <v>252308.05285520951</v>
      </c>
      <c r="G18" s="369">
        <f t="shared" si="13"/>
        <v>261333.59103318045</v>
      </c>
      <c r="H18" s="369">
        <f t="shared" si="13"/>
        <v>270657.75935513253</v>
      </c>
      <c r="I18" s="369">
        <f t="shared" si="13"/>
        <v>280302.29738859227</v>
      </c>
      <c r="J18" s="369">
        <f t="shared" si="13"/>
        <v>290277.02336999221</v>
      </c>
      <c r="K18" s="369">
        <f t="shared" si="13"/>
        <v>300576.09199120052</v>
      </c>
      <c r="L18" s="369">
        <f t="shared" si="13"/>
        <v>311207.80078400107</v>
      </c>
      <c r="M18" s="369">
        <f t="shared" si="13"/>
        <v>322180.98783964495</v>
      </c>
      <c r="N18" s="236"/>
      <c r="O18" s="661" t="s">
        <v>593</v>
      </c>
      <c r="P18" s="661"/>
      <c r="R18" s="82"/>
      <c r="S18" s="82"/>
      <c r="T18" s="82"/>
      <c r="U18" s="82"/>
      <c r="V18" s="82"/>
      <c r="W18" s="82"/>
      <c r="X18" s="82"/>
      <c r="Y18" s="82"/>
      <c r="Z18" s="82"/>
      <c r="AA18" s="82"/>
      <c r="AB18" s="82"/>
      <c r="AC18" s="82"/>
      <c r="AD18" s="82"/>
      <c r="AE18" s="82"/>
      <c r="AF18" s="82"/>
    </row>
    <row r="19" spans="1:34">
      <c r="A19" s="84"/>
      <c r="B19" s="409" t="s">
        <v>339</v>
      </c>
      <c r="D19" s="16">
        <f>(D18-C18)/C18</f>
        <v>3.6002897599247762E-2</v>
      </c>
      <c r="E19" s="16">
        <f t="shared" ref="E19:M19" si="14">(E18-D18)/D18</f>
        <v>3.5934614149795367E-2</v>
      </c>
      <c r="F19" s="16">
        <f t="shared" si="14"/>
        <v>3.585735932203403E-2</v>
      </c>
      <c r="G19" s="16">
        <f t="shared" si="14"/>
        <v>3.5771898977597728E-2</v>
      </c>
      <c r="H19" s="16">
        <f t="shared" si="14"/>
        <v>3.5679180334564138E-2</v>
      </c>
      <c r="I19" s="16">
        <f t="shared" si="14"/>
        <v>3.563370234217101E-2</v>
      </c>
      <c r="J19" s="16">
        <f t="shared" si="14"/>
        <v>3.5585601953064448E-2</v>
      </c>
      <c r="K19" s="16">
        <f t="shared" si="14"/>
        <v>3.5480137220784899E-2</v>
      </c>
      <c r="L19" s="16">
        <f t="shared" si="14"/>
        <v>3.5371105939829027E-2</v>
      </c>
      <c r="M19" s="16">
        <f t="shared" si="14"/>
        <v>3.5260000000000007E-2</v>
      </c>
      <c r="N19" s="47"/>
      <c r="O19" s="82" t="s">
        <v>484</v>
      </c>
      <c r="P19" s="92">
        <f>P20</f>
        <v>3.526E-2</v>
      </c>
      <c r="R19" s="82"/>
      <c r="S19" s="82"/>
      <c r="T19" s="82"/>
      <c r="U19" s="82"/>
      <c r="V19" s="82"/>
      <c r="W19" s="82"/>
      <c r="X19" s="82"/>
      <c r="Y19" s="82"/>
      <c r="Z19" s="82"/>
      <c r="AA19" s="82"/>
      <c r="AB19" s="82"/>
      <c r="AC19" s="82"/>
      <c r="AD19" s="82"/>
      <c r="AE19" s="82"/>
      <c r="AF19" s="82"/>
    </row>
    <row r="20" spans="1:34" ht="12" customHeight="1">
      <c r="B20" s="562"/>
      <c r="C20" s="563"/>
      <c r="D20" s="563"/>
      <c r="E20" s="563"/>
      <c r="F20" s="563"/>
      <c r="G20" s="563"/>
      <c r="H20" s="563"/>
      <c r="I20" s="563"/>
      <c r="J20" s="563"/>
      <c r="K20" s="563"/>
      <c r="L20" s="563"/>
      <c r="M20" s="563"/>
      <c r="N20" s="224"/>
      <c r="O20" s="82" t="s">
        <v>485</v>
      </c>
      <c r="P20" s="92">
        <f>'Risk Free Rate &amp; ERP'!C6</f>
        <v>3.526E-2</v>
      </c>
      <c r="R20" s="82"/>
      <c r="S20" s="82"/>
      <c r="T20" s="82"/>
      <c r="U20" s="82"/>
      <c r="V20" s="82"/>
      <c r="W20" s="82"/>
      <c r="X20" s="82"/>
      <c r="Y20" s="82"/>
      <c r="Z20" s="82"/>
      <c r="AA20" s="82"/>
      <c r="AB20" s="82"/>
      <c r="AC20" s="82"/>
      <c r="AD20" s="82"/>
      <c r="AE20" s="82"/>
      <c r="AF20" s="82"/>
    </row>
    <row r="21" spans="1:34">
      <c r="A21" s="84"/>
      <c r="B21" s="564"/>
      <c r="D21" s="113"/>
      <c r="E21" s="113"/>
      <c r="F21" s="113"/>
      <c r="G21" s="113"/>
      <c r="H21" s="113"/>
      <c r="I21" s="113"/>
      <c r="J21" s="113"/>
      <c r="K21" s="113"/>
      <c r="L21" s="113"/>
      <c r="M21" s="623"/>
      <c r="N21" s="224"/>
      <c r="R21" s="82"/>
      <c r="S21" s="82"/>
      <c r="T21" s="82"/>
      <c r="U21" s="82"/>
      <c r="V21" s="82"/>
      <c r="W21" s="82"/>
      <c r="X21" s="82"/>
      <c r="Y21" s="82"/>
      <c r="Z21" s="82"/>
      <c r="AA21" s="82"/>
      <c r="AB21" s="82"/>
      <c r="AC21" s="82"/>
      <c r="AD21" s="82"/>
      <c r="AE21" s="82"/>
      <c r="AF21" s="82"/>
    </row>
    <row r="22" spans="1:34">
      <c r="B22" s="562"/>
      <c r="C22" s="563"/>
      <c r="D22" s="356"/>
      <c r="E22" s="356"/>
      <c r="F22" s="356"/>
      <c r="G22" s="356"/>
      <c r="H22" s="356"/>
      <c r="I22" s="356"/>
      <c r="J22" s="356"/>
      <c r="K22" s="356"/>
      <c r="L22" s="356"/>
      <c r="M22" s="356"/>
      <c r="N22" s="98"/>
      <c r="O22" s="661" t="s">
        <v>633</v>
      </c>
      <c r="P22" s="661"/>
      <c r="Q22" s="82"/>
      <c r="R22" s="82"/>
      <c r="S22" s="82"/>
      <c r="T22" s="82"/>
      <c r="U22" s="82"/>
      <c r="V22" s="82"/>
      <c r="W22" s="82"/>
      <c r="X22" s="82"/>
      <c r="Y22" s="82"/>
      <c r="Z22" s="82"/>
      <c r="AA22" s="82"/>
      <c r="AB22" s="82"/>
      <c r="AC22" s="82"/>
      <c r="AD22" s="82"/>
      <c r="AE22" s="82"/>
      <c r="AF22" s="82"/>
      <c r="AG22" s="82"/>
    </row>
    <row r="23" spans="1:34">
      <c r="B23" s="564"/>
      <c r="D23" s="113"/>
      <c r="E23" s="113"/>
      <c r="F23" s="113"/>
      <c r="G23" s="113"/>
      <c r="H23" s="113"/>
      <c r="I23" s="113"/>
      <c r="J23" s="113"/>
      <c r="K23" s="113"/>
      <c r="L23" s="113"/>
      <c r="M23" s="113"/>
      <c r="N23" s="98"/>
      <c r="O23" s="82" t="s">
        <v>484</v>
      </c>
      <c r="P23" s="92">
        <f>'Income Statement'!J10</f>
        <v>7.5175620677003119E-2</v>
      </c>
      <c r="Q23" s="82"/>
      <c r="R23" s="82"/>
      <c r="S23" s="82"/>
      <c r="T23" s="82"/>
      <c r="U23" s="82"/>
      <c r="V23" s="82"/>
      <c r="W23" s="82"/>
      <c r="X23" s="82"/>
      <c r="Y23" s="82"/>
      <c r="Z23" s="82"/>
      <c r="AA23" s="82"/>
      <c r="AB23" s="82"/>
      <c r="AC23" s="82"/>
      <c r="AD23" s="82"/>
      <c r="AE23" s="82"/>
      <c r="AF23" s="82"/>
      <c r="AG23" s="82"/>
      <c r="AH23" s="82"/>
    </row>
    <row r="24" spans="1:34">
      <c r="B24" s="620"/>
      <c r="C24" s="561"/>
      <c r="D24" s="561"/>
      <c r="E24" s="561"/>
      <c r="F24" s="561"/>
      <c r="G24" s="561"/>
      <c r="H24" s="561"/>
      <c r="I24" s="561"/>
      <c r="J24" s="561"/>
      <c r="K24" s="561"/>
      <c r="L24" s="561"/>
      <c r="M24" s="561"/>
      <c r="N24" s="98"/>
      <c r="O24" s="82" t="s">
        <v>485</v>
      </c>
      <c r="P24" s="92">
        <f>'Risk Free Rate &amp; ERP'!C6</f>
        <v>3.526E-2</v>
      </c>
      <c r="Q24" s="82"/>
      <c r="R24" s="82"/>
      <c r="S24" s="82"/>
      <c r="T24" s="82"/>
      <c r="U24" s="82"/>
      <c r="V24" s="82"/>
      <c r="W24" s="82"/>
      <c r="X24" s="82"/>
      <c r="Y24" s="82"/>
      <c r="Z24" s="82"/>
      <c r="AA24" s="82"/>
      <c r="AB24" s="82"/>
      <c r="AC24" s="82"/>
      <c r="AD24" s="82"/>
      <c r="AE24" s="82"/>
      <c r="AF24" s="82"/>
    </row>
    <row r="25" spans="1:34">
      <c r="L25" s="82"/>
      <c r="N25" s="99"/>
      <c r="Q25" s="82"/>
      <c r="R25" s="82"/>
      <c r="S25" s="82"/>
      <c r="T25" s="82"/>
      <c r="U25" s="82"/>
      <c r="V25" s="82"/>
      <c r="W25" s="82"/>
      <c r="X25" s="82"/>
      <c r="Y25" s="82"/>
      <c r="Z25" s="82"/>
      <c r="AA25" s="82"/>
      <c r="AB25" s="82"/>
      <c r="AC25" s="82"/>
      <c r="AD25" s="82"/>
      <c r="AE25" s="82"/>
      <c r="AF25" s="82"/>
    </row>
    <row r="26" spans="1:34">
      <c r="B26" s="396"/>
      <c r="C26" s="561"/>
      <c r="D26" s="561"/>
      <c r="E26" s="561"/>
      <c r="F26" s="561"/>
      <c r="G26" s="561"/>
      <c r="H26" s="561"/>
      <c r="I26" s="561"/>
      <c r="J26" s="561"/>
      <c r="K26" s="561"/>
      <c r="L26" s="561"/>
      <c r="M26" s="561"/>
      <c r="N26" s="82"/>
      <c r="Q26" s="82"/>
      <c r="R26" s="82"/>
      <c r="S26" s="82"/>
      <c r="T26" s="82"/>
      <c r="U26" s="82"/>
      <c r="V26" s="82"/>
      <c r="W26" s="82"/>
      <c r="X26" s="82"/>
      <c r="Y26" s="82"/>
      <c r="Z26" s="82"/>
      <c r="AA26" s="82"/>
      <c r="AB26" s="82"/>
      <c r="AC26" s="82"/>
      <c r="AD26" s="82"/>
      <c r="AE26" s="82"/>
      <c r="AF26" s="82"/>
    </row>
    <row r="27" spans="1:34">
      <c r="B27" s="562"/>
      <c r="C27" s="563"/>
      <c r="D27" s="563"/>
      <c r="E27" s="563"/>
      <c r="F27" s="563"/>
      <c r="G27" s="563"/>
      <c r="H27" s="563"/>
      <c r="I27" s="563"/>
      <c r="J27" s="563"/>
      <c r="K27" s="563"/>
      <c r="L27" s="563"/>
      <c r="M27" s="563"/>
      <c r="Q27" s="82"/>
      <c r="R27" s="82"/>
      <c r="S27" s="82"/>
      <c r="T27" s="82"/>
      <c r="U27" s="82"/>
      <c r="V27" s="82"/>
      <c r="W27" s="82"/>
      <c r="X27" s="82"/>
      <c r="Y27" s="82"/>
      <c r="Z27" s="82"/>
      <c r="AA27" s="82"/>
      <c r="AB27" s="82"/>
      <c r="AC27" s="82"/>
      <c r="AD27" s="82"/>
      <c r="AE27" s="82"/>
      <c r="AF27" s="82"/>
      <c r="AG27" s="82"/>
      <c r="AH27" s="82"/>
    </row>
    <row r="28" spans="1:34">
      <c r="B28" s="564"/>
      <c r="D28" s="113"/>
      <c r="E28" s="113"/>
      <c r="F28" s="113"/>
      <c r="G28" s="113"/>
      <c r="H28" s="113"/>
      <c r="I28" s="113"/>
      <c r="J28" s="113"/>
      <c r="K28" s="113"/>
      <c r="L28" s="113"/>
      <c r="M28" s="113"/>
      <c r="Q28" s="82"/>
      <c r="R28" s="82"/>
      <c r="S28" s="82"/>
      <c r="T28" s="82"/>
      <c r="U28" s="82"/>
      <c r="V28" s="82"/>
      <c r="W28" s="82"/>
      <c r="X28" s="82"/>
      <c r="Y28" s="82"/>
      <c r="Z28" s="82"/>
      <c r="AA28" s="82"/>
      <c r="AB28" s="82"/>
      <c r="AC28" s="82"/>
      <c r="AD28" s="82"/>
      <c r="AE28" s="82"/>
      <c r="AF28" s="82"/>
      <c r="AG28" s="82"/>
      <c r="AH28" s="82"/>
    </row>
    <row r="29" spans="1:34">
      <c r="B29" s="562"/>
      <c r="C29" s="563"/>
      <c r="D29" s="356"/>
      <c r="E29" s="356"/>
      <c r="F29" s="356"/>
      <c r="G29" s="356"/>
      <c r="H29" s="356"/>
      <c r="I29" s="356"/>
      <c r="J29" s="356"/>
      <c r="K29" s="356"/>
      <c r="L29" s="356"/>
      <c r="M29" s="356"/>
      <c r="Q29" s="82"/>
      <c r="R29" s="82"/>
      <c r="S29" s="82"/>
      <c r="T29" s="82"/>
      <c r="U29" s="82"/>
      <c r="V29" s="82"/>
      <c r="W29" s="82"/>
      <c r="X29" s="82"/>
      <c r="Y29" s="82"/>
      <c r="Z29" s="82"/>
      <c r="AA29" s="82"/>
      <c r="AB29" s="82"/>
      <c r="AC29" s="82"/>
      <c r="AD29" s="82"/>
      <c r="AE29" s="82"/>
      <c r="AF29" s="82"/>
      <c r="AG29" s="82"/>
      <c r="AH29" s="82"/>
    </row>
    <row r="30" spans="1:34" ht="12" customHeight="1">
      <c r="B30" s="564"/>
      <c r="D30" s="113"/>
      <c r="E30" s="113"/>
      <c r="F30" s="113"/>
      <c r="G30" s="113"/>
      <c r="H30" s="113"/>
      <c r="I30" s="113"/>
      <c r="J30" s="113"/>
      <c r="K30" s="113"/>
      <c r="L30" s="113"/>
      <c r="M30" s="113"/>
      <c r="Q30" s="82"/>
      <c r="R30" s="82"/>
      <c r="S30" s="82"/>
      <c r="T30" s="82"/>
      <c r="U30" s="82"/>
      <c r="V30" s="82"/>
      <c r="W30" s="82"/>
      <c r="X30" s="82"/>
      <c r="Y30" s="82"/>
      <c r="Z30" s="82"/>
      <c r="AA30" s="82"/>
      <c r="AB30" s="82"/>
      <c r="AC30" s="82"/>
      <c r="AD30" s="82"/>
      <c r="AE30" s="82"/>
      <c r="AF30" s="82"/>
      <c r="AG30" s="82"/>
      <c r="AH30" s="82"/>
    </row>
    <row r="31" spans="1:34">
      <c r="B31" s="562"/>
      <c r="C31" s="563"/>
      <c r="D31" s="563"/>
      <c r="E31" s="563"/>
      <c r="F31" s="563"/>
      <c r="G31" s="563"/>
      <c r="H31" s="563"/>
      <c r="I31" s="563"/>
      <c r="J31" s="563"/>
      <c r="K31" s="563"/>
      <c r="L31" s="563"/>
      <c r="M31" s="563"/>
      <c r="N31" s="82"/>
      <c r="Q31" s="82"/>
      <c r="R31" s="82"/>
      <c r="S31" s="82"/>
      <c r="T31" s="82"/>
      <c r="U31" s="82"/>
      <c r="V31" s="82"/>
      <c r="W31" s="82"/>
      <c r="X31" s="82"/>
      <c r="Y31" s="82"/>
      <c r="Z31" s="82"/>
      <c r="AA31" s="82"/>
      <c r="AB31" s="82"/>
      <c r="AC31" s="82"/>
      <c r="AD31" s="82"/>
      <c r="AE31" s="82"/>
      <c r="AF31" s="82"/>
      <c r="AG31" s="82"/>
      <c r="AH31" s="82"/>
    </row>
    <row r="32" spans="1:34">
      <c r="B32" s="564"/>
      <c r="D32" s="113"/>
      <c r="E32" s="113"/>
      <c r="F32" s="113"/>
      <c r="G32" s="113"/>
      <c r="H32" s="113"/>
      <c r="I32" s="113"/>
      <c r="J32" s="113"/>
      <c r="K32" s="113"/>
      <c r="L32" s="113"/>
      <c r="M32" s="113"/>
      <c r="N32" s="82"/>
      <c r="Q32" s="82"/>
      <c r="R32" s="82"/>
      <c r="S32" s="82"/>
      <c r="T32" s="82"/>
      <c r="U32" s="82"/>
      <c r="V32" s="82"/>
      <c r="W32" s="82"/>
      <c r="X32" s="82"/>
      <c r="Y32" s="82"/>
      <c r="Z32" s="82"/>
      <c r="AA32" s="82"/>
      <c r="AB32" s="82"/>
      <c r="AC32" s="82"/>
      <c r="AD32" s="82"/>
      <c r="AE32" s="82"/>
      <c r="AF32" s="82"/>
      <c r="AG32" s="82"/>
      <c r="AH32" s="82"/>
    </row>
    <row r="33" spans="2:34">
      <c r="B33" s="620"/>
      <c r="C33" s="561"/>
      <c r="D33" s="561"/>
      <c r="E33" s="561"/>
      <c r="F33" s="561"/>
      <c r="G33" s="561"/>
      <c r="H33" s="561"/>
      <c r="I33" s="561"/>
      <c r="J33" s="561"/>
      <c r="K33" s="561"/>
      <c r="L33" s="561"/>
      <c r="M33" s="561"/>
      <c r="N33" s="82"/>
      <c r="Q33" s="82"/>
      <c r="R33" s="82"/>
      <c r="S33" s="82"/>
      <c r="T33" s="82"/>
      <c r="U33" s="82"/>
      <c r="V33" s="82"/>
      <c r="W33" s="82"/>
      <c r="X33" s="82"/>
      <c r="Y33" s="82"/>
      <c r="Z33" s="82"/>
      <c r="AA33" s="82"/>
      <c r="AB33" s="82"/>
      <c r="AC33" s="82"/>
      <c r="AD33" s="82"/>
      <c r="AE33" s="82"/>
      <c r="AF33" s="82"/>
      <c r="AG33" s="82"/>
      <c r="AH33" s="82"/>
    </row>
    <row r="34" spans="2:34">
      <c r="B34" s="564"/>
      <c r="D34" s="113"/>
      <c r="E34" s="113"/>
      <c r="F34" s="113"/>
      <c r="G34" s="113"/>
      <c r="H34" s="113"/>
      <c r="I34" s="113"/>
      <c r="J34" s="113"/>
      <c r="K34" s="113"/>
      <c r="L34" s="113"/>
      <c r="M34" s="113"/>
      <c r="N34" s="82"/>
      <c r="Q34" s="82"/>
      <c r="R34" s="82"/>
      <c r="S34" s="82"/>
      <c r="T34" s="82"/>
      <c r="U34" s="82"/>
      <c r="V34" s="82"/>
      <c r="W34" s="82"/>
      <c r="X34" s="82"/>
      <c r="Y34" s="82"/>
      <c r="Z34" s="82"/>
      <c r="AA34" s="82"/>
      <c r="AB34" s="82"/>
      <c r="AC34" s="82"/>
      <c r="AD34" s="82"/>
      <c r="AE34" s="82"/>
      <c r="AF34" s="82"/>
      <c r="AG34" s="82"/>
      <c r="AH34" s="82"/>
    </row>
    <row r="35" spans="2:34">
      <c r="N35" s="82"/>
      <c r="Q35" s="82"/>
      <c r="R35" s="82"/>
      <c r="S35" s="82"/>
      <c r="T35" s="82"/>
      <c r="U35" s="82"/>
      <c r="V35" s="82"/>
      <c r="W35" s="82"/>
      <c r="X35" s="82"/>
      <c r="Y35" s="82"/>
      <c r="Z35" s="82"/>
      <c r="AA35" s="82"/>
      <c r="AB35" s="82"/>
      <c r="AC35" s="82"/>
      <c r="AD35" s="82"/>
      <c r="AE35" s="82"/>
      <c r="AF35" s="82"/>
      <c r="AG35" s="82"/>
      <c r="AH35" s="82"/>
    </row>
    <row r="36" spans="2:34">
      <c r="N36" s="82"/>
      <c r="Q36" s="82"/>
      <c r="R36" s="82"/>
      <c r="S36" s="82"/>
      <c r="T36" s="82"/>
      <c r="U36" s="82"/>
      <c r="V36" s="82"/>
      <c r="W36" s="82"/>
      <c r="X36" s="82"/>
      <c r="Y36" s="82"/>
      <c r="Z36" s="82"/>
      <c r="AA36" s="82"/>
      <c r="AB36" s="82"/>
      <c r="AC36" s="82"/>
      <c r="AD36" s="82"/>
      <c r="AE36" s="82"/>
      <c r="AF36" s="82"/>
      <c r="AG36" s="82"/>
      <c r="AH36" s="82"/>
    </row>
    <row r="37" spans="2:34">
      <c r="N37" s="82"/>
      <c r="Q37" s="82"/>
      <c r="R37" s="82"/>
      <c r="S37" s="82"/>
      <c r="T37" s="82"/>
      <c r="U37" s="82"/>
      <c r="V37" s="82"/>
      <c r="W37" s="82"/>
      <c r="X37" s="82"/>
      <c r="Y37" s="82"/>
      <c r="Z37" s="82"/>
      <c r="AA37" s="82"/>
      <c r="AB37" s="82"/>
      <c r="AC37" s="82"/>
      <c r="AD37" s="82"/>
      <c r="AE37" s="82"/>
      <c r="AF37" s="82"/>
      <c r="AG37" s="82"/>
      <c r="AH37" s="82"/>
    </row>
    <row r="38" spans="2:34">
      <c r="C38" s="144"/>
      <c r="D38" s="144"/>
      <c r="E38" s="144"/>
      <c r="Q38" s="82"/>
      <c r="R38" s="82"/>
      <c r="S38" s="82"/>
      <c r="T38" s="82"/>
      <c r="U38" s="82"/>
      <c r="V38" s="82"/>
      <c r="W38" s="82"/>
      <c r="X38" s="82"/>
      <c r="Y38" s="82"/>
      <c r="Z38" s="82"/>
      <c r="AA38" s="82"/>
      <c r="AB38" s="82"/>
      <c r="AC38" s="82"/>
      <c r="AD38" s="82"/>
      <c r="AE38" s="82"/>
      <c r="AF38" s="82"/>
      <c r="AG38" s="82"/>
      <c r="AH38" s="82"/>
    </row>
    <row r="39" spans="2:34">
      <c r="D39" s="144"/>
      <c r="E39" s="144"/>
    </row>
    <row r="40" spans="2:34">
      <c r="E40" s="144"/>
    </row>
    <row r="41" spans="2:34">
      <c r="C41" s="144"/>
      <c r="D41" s="144"/>
      <c r="E41" s="144"/>
    </row>
    <row r="42" spans="2:34">
      <c r="C42" s="144"/>
      <c r="D42" s="144"/>
      <c r="E42" s="144"/>
    </row>
    <row r="44" spans="2:34">
      <c r="C44" s="144"/>
      <c r="D44" s="144"/>
      <c r="E44" s="144"/>
    </row>
    <row r="45" spans="2:34">
      <c r="C45" s="144"/>
      <c r="D45" s="144"/>
      <c r="E45" s="144"/>
    </row>
    <row r="46" spans="2:34">
      <c r="C46" s="144"/>
      <c r="D46" s="144"/>
      <c r="E46" s="144"/>
    </row>
    <row r="47" spans="2:34">
      <c r="C47" s="144"/>
      <c r="D47" s="144"/>
      <c r="E47" s="144"/>
    </row>
    <row r="48" spans="2:34">
      <c r="C48" s="144"/>
      <c r="D48" s="144"/>
      <c r="E48" s="144"/>
    </row>
  </sheetData>
  <mergeCells count="5">
    <mergeCell ref="O10:P10"/>
    <mergeCell ref="O6:P6"/>
    <mergeCell ref="O14:P14"/>
    <mergeCell ref="O18:P18"/>
    <mergeCell ref="O22:P22"/>
  </mergeCells>
  <pageMargins left="0.7" right="0.7" top="0.75" bottom="0.75" header="0.3" footer="0.3"/>
  <pageSetup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38"/>
  <sheetViews>
    <sheetView zoomScaleNormal="100" workbookViewId="0"/>
  </sheetViews>
  <sheetFormatPr defaultRowHeight="12"/>
  <cols>
    <col min="1" max="1" width="2" style="77" customWidth="1"/>
    <col min="2" max="2" width="27" style="77" customWidth="1"/>
    <col min="3" max="6" width="11.7109375" style="77" customWidth="1"/>
    <col min="7" max="7" width="11.7109375" style="77" customWidth="1" collapsed="1"/>
    <col min="8" max="13" width="11.7109375" style="77" customWidth="1"/>
    <col min="14" max="14" width="11.5703125" style="77" customWidth="1"/>
    <col min="15" max="17" width="11.7109375" style="77" customWidth="1"/>
    <col min="18" max="18" width="13.140625" style="77" customWidth="1"/>
    <col min="19" max="28" width="9.140625" style="77" customWidth="1"/>
    <col min="29" max="29" width="9.28515625" style="77" customWidth="1"/>
    <col min="30" max="30" width="9.42578125" style="77" customWidth="1"/>
    <col min="31" max="31" width="10" style="77" customWidth="1"/>
    <col min="32" max="32" width="11.42578125" style="77" customWidth="1"/>
    <col min="33" max="33" width="9.42578125" style="77" bestFit="1" customWidth="1" collapsed="1"/>
    <col min="34" max="16384" width="9.140625" style="77"/>
  </cols>
  <sheetData>
    <row r="1" spans="1:32" s="76" customFormat="1" ht="15" customHeight="1">
      <c r="B1" s="15" t="s">
        <v>350</v>
      </c>
      <c r="C1" s="75"/>
      <c r="D1" s="75"/>
      <c r="E1" s="75"/>
      <c r="F1" s="75"/>
      <c r="G1" s="75"/>
      <c r="H1" s="75"/>
      <c r="I1" s="75"/>
      <c r="J1" s="75"/>
      <c r="K1" s="75"/>
      <c r="L1" s="75"/>
      <c r="M1" s="75"/>
      <c r="N1" s="75"/>
    </row>
    <row r="2" spans="1:32" ht="12" customHeight="1"/>
    <row r="3" spans="1:32" ht="12" customHeight="1">
      <c r="A3" s="79"/>
      <c r="B3" s="237" t="s">
        <v>481</v>
      </c>
      <c r="C3" s="237"/>
      <c r="D3" s="237"/>
      <c r="E3" s="237"/>
      <c r="F3" s="237"/>
      <c r="G3" s="237"/>
      <c r="H3" s="237"/>
      <c r="I3" s="237"/>
      <c r="J3" s="237"/>
      <c r="K3" s="237"/>
      <c r="L3" s="237"/>
      <c r="M3" s="237"/>
    </row>
    <row r="4" spans="1:32" ht="12" customHeight="1" thickBot="1">
      <c r="A4" s="84"/>
      <c r="B4" s="334" t="str">
        <f>Drivers!$C$5&amp;" in mil"</f>
        <v>$ in mil</v>
      </c>
      <c r="C4" s="391">
        <v>44562</v>
      </c>
      <c r="D4" s="392">
        <v>44927</v>
      </c>
      <c r="E4" s="392">
        <v>45292</v>
      </c>
      <c r="F4" s="392">
        <v>45658</v>
      </c>
      <c r="G4" s="392">
        <v>46023</v>
      </c>
      <c r="H4" s="392">
        <v>46388</v>
      </c>
      <c r="I4" s="392">
        <v>46753</v>
      </c>
      <c r="J4" s="392">
        <v>47119</v>
      </c>
      <c r="K4" s="392">
        <v>47484</v>
      </c>
      <c r="L4" s="392">
        <v>47849</v>
      </c>
      <c r="M4" s="392">
        <v>48214</v>
      </c>
      <c r="O4" s="220"/>
    </row>
    <row r="5" spans="1:32" ht="12" customHeight="1">
      <c r="A5" s="84"/>
      <c r="B5" s="397" t="s">
        <v>4</v>
      </c>
      <c r="C5" s="347">
        <f>'Revenue Projections'!C18</f>
        <v>226954</v>
      </c>
      <c r="D5" s="347">
        <f>'Revenue Projections'!D18</f>
        <v>235125.00162173968</v>
      </c>
      <c r="E5" s="347">
        <f>'Revenue Projections'!E18</f>
        <v>243574.1278319869</v>
      </c>
      <c r="F5" s="347">
        <f>'Revenue Projections'!F18</f>
        <v>252308.05285520951</v>
      </c>
      <c r="G5" s="347">
        <f>'Revenue Projections'!G18</f>
        <v>261333.59103318045</v>
      </c>
      <c r="H5" s="347">
        <f>'Revenue Projections'!H18</f>
        <v>270657.75935513253</v>
      </c>
      <c r="I5" s="347">
        <f>'Revenue Projections'!I18</f>
        <v>280302.29738859227</v>
      </c>
      <c r="J5" s="347">
        <f>'Revenue Projections'!J18</f>
        <v>290277.02336999221</v>
      </c>
      <c r="K5" s="347">
        <f>'Revenue Projections'!K18</f>
        <v>300576.09199120052</v>
      </c>
      <c r="L5" s="347">
        <f>'Revenue Projections'!L18</f>
        <v>311207.80078400107</v>
      </c>
      <c r="M5" s="347">
        <f>'Revenue Projections'!M18</f>
        <v>322180.98783964495</v>
      </c>
      <c r="N5" s="386"/>
      <c r="O5" s="222"/>
      <c r="P5" s="222"/>
      <c r="Q5" s="82"/>
      <c r="R5" s="82"/>
    </row>
    <row r="6" spans="1:32" ht="12" customHeight="1">
      <c r="A6" s="84"/>
      <c r="B6" s="399" t="s">
        <v>339</v>
      </c>
      <c r="C6" s="219"/>
      <c r="D6" s="219">
        <f>'Revenue Projections'!D19</f>
        <v>3.6002897599247762E-2</v>
      </c>
      <c r="E6" s="219">
        <f>'Revenue Projections'!E19</f>
        <v>3.5934614149795367E-2</v>
      </c>
      <c r="F6" s="219">
        <f>'Revenue Projections'!F19</f>
        <v>3.585735932203403E-2</v>
      </c>
      <c r="G6" s="219">
        <f>'Revenue Projections'!G19</f>
        <v>3.5771898977597728E-2</v>
      </c>
      <c r="H6" s="219">
        <f>'Revenue Projections'!H19</f>
        <v>3.5679180334564138E-2</v>
      </c>
      <c r="I6" s="219">
        <f>'Revenue Projections'!I19</f>
        <v>3.563370234217101E-2</v>
      </c>
      <c r="J6" s="219">
        <f>'Revenue Projections'!J19</f>
        <v>3.5585601953064448E-2</v>
      </c>
      <c r="K6" s="219">
        <f>'Revenue Projections'!K19</f>
        <v>3.5480137220784899E-2</v>
      </c>
      <c r="L6" s="219">
        <f>'Revenue Projections'!L19</f>
        <v>3.5371105939829027E-2</v>
      </c>
      <c r="M6" s="219">
        <f>'Revenue Projections'!M19</f>
        <v>3.5260000000000007E-2</v>
      </c>
      <c r="N6" s="389"/>
      <c r="O6" s="51"/>
      <c r="P6" s="388"/>
      <c r="Q6" s="82"/>
      <c r="R6" s="82"/>
    </row>
    <row r="7" spans="1:32" ht="12" customHeight="1">
      <c r="B7" s="395" t="s">
        <v>340</v>
      </c>
      <c r="C7" s="356">
        <f>-C5*(1-C8)</f>
        <v>-219410.587909264</v>
      </c>
      <c r="D7" s="356">
        <f t="shared" ref="D7:K7" si="0">-D5*(1-D8)</f>
        <v>-227277.49330522053</v>
      </c>
      <c r="E7" s="356">
        <f t="shared" si="0"/>
        <v>-235410.94250996076</v>
      </c>
      <c r="F7" s="356">
        <f t="shared" si="0"/>
        <v>-243782.38228068102</v>
      </c>
      <c r="G7" s="356">
        <f t="shared" si="0"/>
        <v>-252430.67006529542</v>
      </c>
      <c r="H7" s="356">
        <f t="shared" si="0"/>
        <v>-261362.33992882256</v>
      </c>
      <c r="I7" s="356">
        <f t="shared" si="0"/>
        <v>-270598.13105151633</v>
      </c>
      <c r="J7" s="356">
        <f t="shared" si="0"/>
        <v>-280147.25325208117</v>
      </c>
      <c r="K7" s="356">
        <f t="shared" si="0"/>
        <v>-290045.35456214636</v>
      </c>
      <c r="L7" s="356">
        <f>-L5*(1-L8)</f>
        <v>-300261.54776588228</v>
      </c>
      <c r="M7" s="356">
        <f>-M5*(1-M8)</f>
        <v>-310759.67182072956</v>
      </c>
      <c r="N7" s="223"/>
      <c r="Q7" s="51"/>
      <c r="R7" s="388"/>
      <c r="S7" s="82"/>
      <c r="T7" s="82"/>
    </row>
    <row r="8" spans="1:32" ht="12" customHeight="1">
      <c r="A8" s="84"/>
      <c r="B8" s="399" t="s">
        <v>341</v>
      </c>
      <c r="C8" s="219">
        <f>'Accounting Adjustments'!C37</f>
        <v>3.3237625645443622E-2</v>
      </c>
      <c r="D8" s="219">
        <f>AVERAGE(C8,E8)</f>
        <v>3.3375899042603394E-2</v>
      </c>
      <c r="E8" s="219">
        <f>AVERAGE(C8,F8)</f>
        <v>3.3514172439763165E-2</v>
      </c>
      <c r="F8" s="219">
        <f>AVERAGE(C8,H8)</f>
        <v>3.3790719234082715E-2</v>
      </c>
      <c r="G8" s="398">
        <f>AVERAGE(F8,H8)</f>
        <v>3.4067266028402265E-2</v>
      </c>
      <c r="H8" s="219">
        <f>AVERAGE(C8,M8)</f>
        <v>3.4343812822721809E-2</v>
      </c>
      <c r="I8" s="92">
        <f>AVERAGE(H8,J8)</f>
        <v>3.4620359617041352E-2</v>
      </c>
      <c r="J8" s="92">
        <f>AVERAGE(H8,M8)</f>
        <v>3.4896906411360902E-2</v>
      </c>
      <c r="K8" s="92">
        <f>AVERAGE(J8,L8)</f>
        <v>3.5035179808520681E-2</v>
      </c>
      <c r="L8" s="92">
        <f>AVERAGE(J8,M8)</f>
        <v>3.5173453205680452E-2</v>
      </c>
      <c r="M8" s="339">
        <f>'Expected Growth Rate'!C24</f>
        <v>3.5449999999999995E-2</v>
      </c>
      <c r="N8" s="223"/>
      <c r="Q8" s="51"/>
      <c r="R8" s="388"/>
      <c r="S8" s="82"/>
      <c r="T8" s="82"/>
    </row>
    <row r="9" spans="1:32" ht="12" customHeight="1">
      <c r="A9" s="84"/>
      <c r="N9" s="223"/>
      <c r="O9" s="223"/>
      <c r="P9" s="387"/>
      <c r="Q9" s="51"/>
      <c r="R9" s="388"/>
      <c r="S9" s="82"/>
      <c r="T9" s="82"/>
    </row>
    <row r="10" spans="1:32">
      <c r="A10" s="80"/>
      <c r="B10" s="395" t="s">
        <v>498</v>
      </c>
      <c r="C10" s="356"/>
      <c r="D10" s="356">
        <f>-'FV of RSU, PSU, PSU-TSR'!D24</f>
        <v>-1148.3182606468838</v>
      </c>
      <c r="E10" s="356">
        <f>-'FV of RSU, PSU, PSU-TSR'!E24</f>
        <v>-1126.5154005022332</v>
      </c>
      <c r="F10" s="356">
        <f>-'FV of RSU, PSU, PSU-TSR'!F24</f>
        <v>-1036.2519515506131</v>
      </c>
      <c r="G10" s="356">
        <f>-'FV of RSU, PSU, PSU-TSR'!G24</f>
        <v>-937.98947490288015</v>
      </c>
      <c r="H10" s="356">
        <f>-'FV of RSU, PSU, PSU-TSR'!H24</f>
        <v>-831.29648829491714</v>
      </c>
      <c r="I10" s="356">
        <f>-'FV of RSU, PSU, PSU-TSR'!I24</f>
        <v>-788.34161460087046</v>
      </c>
      <c r="J10" s="356">
        <f>-'FV of RSU, PSU, PSU-TSR'!J24</f>
        <v>-741.23548233950737</v>
      </c>
      <c r="K10" s="356">
        <f>-'FV of RSU, PSU, PSU-TSR'!K24</f>
        <v>-611.88177664095201</v>
      </c>
      <c r="L10" s="356">
        <f>-'FV of RSU, PSU, PSU-TSR'!L24</f>
        <v>-472.36625628458552</v>
      </c>
      <c r="M10" s="356">
        <f>-'FV of RSU, PSU, PSU-TSR'!M24</f>
        <v>-322.18098783964496</v>
      </c>
      <c r="N10" s="223"/>
      <c r="O10" s="223"/>
      <c r="P10" s="387"/>
      <c r="Q10" s="51"/>
      <c r="R10" s="388"/>
      <c r="S10" s="82"/>
      <c r="T10" s="82"/>
    </row>
    <row r="11" spans="1:32" ht="12" customHeight="1">
      <c r="B11" s="395" t="s">
        <v>499</v>
      </c>
      <c r="D11" s="344">
        <f>-'FV of RSU, PSU, PSU-TSR'!D25</f>
        <v>0</v>
      </c>
      <c r="E11" s="344">
        <f>-'FV of RSU, PSU, PSU-TSR'!E25</f>
        <v>0</v>
      </c>
      <c r="F11" s="344">
        <f>-'FV of RSU, PSU, PSU-TSR'!F25</f>
        <v>0</v>
      </c>
      <c r="G11" s="344">
        <f>-'FV of RSU, PSU, PSU-TSR'!G25</f>
        <v>0</v>
      </c>
      <c r="H11" s="344">
        <f>-'FV of RSU, PSU, PSU-TSR'!H25</f>
        <v>0</v>
      </c>
      <c r="I11" s="344">
        <f>-'FV of RSU, PSU, PSU-TSR'!I25</f>
        <v>0</v>
      </c>
      <c r="J11" s="344">
        <f>-'FV of RSU, PSU, PSU-TSR'!J25</f>
        <v>0</v>
      </c>
      <c r="K11" s="344">
        <f>-'FV of RSU, PSU, PSU-TSR'!K25</f>
        <v>0</v>
      </c>
      <c r="L11" s="344">
        <f>-'FV of RSU, PSU, PSU-TSR'!L25</f>
        <v>0</v>
      </c>
      <c r="M11" s="344">
        <f>-'FV of RSU, PSU, PSU-TSR'!M25</f>
        <v>0</v>
      </c>
      <c r="N11" s="223"/>
      <c r="O11" s="223"/>
      <c r="P11" s="387"/>
      <c r="Q11" s="51"/>
      <c r="R11" s="388"/>
      <c r="S11" s="82"/>
      <c r="T11" s="82"/>
    </row>
    <row r="12" spans="1:32">
      <c r="A12" s="84"/>
      <c r="B12" s="395" t="s">
        <v>500</v>
      </c>
      <c r="D12" s="344">
        <f>-'FV of RSU, PSU, PSU-TSR'!D26</f>
        <v>0</v>
      </c>
      <c r="E12" s="344">
        <f>-'FV of RSU, PSU, PSU-TSR'!E26</f>
        <v>0</v>
      </c>
      <c r="F12" s="344">
        <f>-'FV of RSU, PSU, PSU-TSR'!F26</f>
        <v>0</v>
      </c>
      <c r="G12" s="344">
        <f>-'FV of RSU, PSU, PSU-TSR'!G26</f>
        <v>0</v>
      </c>
      <c r="H12" s="344">
        <f>-'FV of RSU, PSU, PSU-TSR'!H26</f>
        <v>0</v>
      </c>
      <c r="I12" s="344">
        <f>-'FV of RSU, PSU, PSU-TSR'!I26</f>
        <v>0</v>
      </c>
      <c r="J12" s="344">
        <f>-'FV of RSU, PSU, PSU-TSR'!J26</f>
        <v>0</v>
      </c>
      <c r="K12" s="344">
        <f>-'FV of RSU, PSU, PSU-TSR'!K26</f>
        <v>0</v>
      </c>
      <c r="L12" s="344">
        <f>-'FV of RSU, PSU, PSU-TSR'!L26</f>
        <v>0</v>
      </c>
      <c r="M12" s="344">
        <f>-'FV of RSU, PSU, PSU-TSR'!M26</f>
        <v>0</v>
      </c>
      <c r="N12" s="223"/>
      <c r="O12" s="223"/>
      <c r="P12" s="387"/>
      <c r="Q12" s="51"/>
      <c r="R12" s="388"/>
      <c r="S12" s="82"/>
      <c r="T12" s="82"/>
    </row>
    <row r="13" spans="1:32">
      <c r="N13" s="223"/>
      <c r="O13" s="223"/>
      <c r="P13" s="387"/>
      <c r="Q13" s="51"/>
      <c r="R13" s="388"/>
      <c r="S13" s="82"/>
      <c r="T13" s="82"/>
    </row>
    <row r="14" spans="1:32">
      <c r="A14" s="84"/>
      <c r="B14" s="397" t="s">
        <v>342</v>
      </c>
      <c r="C14" s="347">
        <f>C5+C7+C10+C11+C12</f>
        <v>7543.4120907360048</v>
      </c>
      <c r="D14" s="347">
        <f t="shared" ref="D14:M14" si="1">D5+D7+D10+D11+D12</f>
        <v>6699.1900558722627</v>
      </c>
      <c r="E14" s="347">
        <f t="shared" si="1"/>
        <v>7036.6699215239069</v>
      </c>
      <c r="F14" s="347">
        <f t="shared" si="1"/>
        <v>7489.4186229778725</v>
      </c>
      <c r="G14" s="347">
        <f t="shared" si="1"/>
        <v>7964.9314929821512</v>
      </c>
      <c r="H14" s="347">
        <f t="shared" si="1"/>
        <v>8464.1229380150471</v>
      </c>
      <c r="I14" s="347">
        <f t="shared" si="1"/>
        <v>8915.824722475063</v>
      </c>
      <c r="J14" s="347">
        <f t="shared" si="1"/>
        <v>9388.5346355715374</v>
      </c>
      <c r="K14" s="347">
        <f t="shared" si="1"/>
        <v>9918.8556524132109</v>
      </c>
      <c r="L14" s="347">
        <f t="shared" si="1"/>
        <v>10473.886761834205</v>
      </c>
      <c r="M14" s="347">
        <f t="shared" si="1"/>
        <v>11099.135031075741</v>
      </c>
      <c r="N14" s="223"/>
      <c r="O14" s="223"/>
      <c r="P14" s="387"/>
      <c r="Q14" s="51"/>
      <c r="R14" s="388"/>
      <c r="S14" s="82"/>
      <c r="T14" s="82"/>
    </row>
    <row r="15" spans="1:32">
      <c r="B15" s="399" t="s">
        <v>343</v>
      </c>
      <c r="C15" s="356">
        <f>-C14*C16</f>
        <v>-1838.4168091452757</v>
      </c>
      <c r="D15" s="356">
        <f t="shared" ref="D15:M15" si="2">-D14*D16</f>
        <v>-1612.9166185178331</v>
      </c>
      <c r="E15" s="356">
        <f t="shared" si="2"/>
        <v>-1673.4206396325285</v>
      </c>
      <c r="F15" s="356">
        <f t="shared" si="2"/>
        <v>-1759.0071356747569</v>
      </c>
      <c r="G15" s="356">
        <f t="shared" si="2"/>
        <v>-1847.2030418846789</v>
      </c>
      <c r="H15" s="356">
        <f t="shared" si="2"/>
        <v>-1950.4951920349888</v>
      </c>
      <c r="I15" s="356">
        <f t="shared" si="2"/>
        <v>-2041.4417756190323</v>
      </c>
      <c r="J15" s="356">
        <f t="shared" si="2"/>
        <v>-2121.993963163251</v>
      </c>
      <c r="K15" s="356">
        <f t="shared" si="2"/>
        <v>-2227.23339386004</v>
      </c>
      <c r="L15" s="356">
        <f t="shared" si="2"/>
        <v>-2336.4212047619362</v>
      </c>
      <c r="M15" s="356">
        <f t="shared" si="2"/>
        <v>-2443.1686352514457</v>
      </c>
      <c r="N15" s="223"/>
      <c r="O15" s="223"/>
      <c r="P15" s="387"/>
      <c r="Q15" s="51"/>
      <c r="R15" s="388"/>
      <c r="S15" s="82"/>
      <c r="T15" s="82"/>
      <c r="U15" s="82"/>
      <c r="V15" s="82"/>
      <c r="W15" s="82"/>
      <c r="X15" s="82"/>
      <c r="Y15" s="82"/>
      <c r="Z15" s="82"/>
    </row>
    <row r="16" spans="1:32">
      <c r="B16" s="399" t="s">
        <v>344</v>
      </c>
      <c r="C16" s="219">
        <f>(MEDIAN('Income Statement'!C32:G32))</f>
        <v>0.2437115707098938</v>
      </c>
      <c r="D16" s="219">
        <f>AVERAGE(C16,E16)</f>
        <v>0.24076292881167177</v>
      </c>
      <c r="E16" s="219">
        <f>AVERAGE(C16,G16)</f>
        <v>0.23781428691344977</v>
      </c>
      <c r="F16" s="219">
        <f>AVERAGE(E16,G16)</f>
        <v>0.23486564501522778</v>
      </c>
      <c r="G16" s="219">
        <f>AVERAGE(C16,M16)</f>
        <v>0.23191700311700575</v>
      </c>
      <c r="H16" s="219">
        <f>AVERAGE(G16,I16)</f>
        <v>0.23044268216789474</v>
      </c>
      <c r="I16" s="219">
        <f>AVERAGE(G16,J16)</f>
        <v>0.22896836121878372</v>
      </c>
      <c r="J16" s="219">
        <f>AVERAGE(G16,M16)</f>
        <v>0.2260197193205617</v>
      </c>
      <c r="K16" s="219">
        <f>AVERAGE(J16,L16)</f>
        <v>0.22454539837145068</v>
      </c>
      <c r="L16" s="219">
        <f>AVERAGE(J16,M16)</f>
        <v>0.22307107742233967</v>
      </c>
      <c r="M16" s="219">
        <f>'Risk Free Rate &amp; ERP'!$H$15</f>
        <v>0.22012243552411767</v>
      </c>
      <c r="N16" s="223"/>
      <c r="O16" s="223"/>
      <c r="P16" s="387"/>
      <c r="Q16" s="51"/>
      <c r="R16" s="388"/>
      <c r="S16" s="82"/>
      <c r="T16" s="82"/>
      <c r="U16" s="82"/>
      <c r="V16" s="82"/>
      <c r="W16" s="82"/>
      <c r="X16" s="82"/>
      <c r="Y16" s="82"/>
      <c r="Z16" s="82"/>
      <c r="AA16" s="82"/>
      <c r="AB16" s="82"/>
      <c r="AC16" s="82"/>
      <c r="AD16" s="82"/>
      <c r="AE16" s="82"/>
      <c r="AF16" s="82"/>
    </row>
    <row r="17" spans="1:34">
      <c r="B17" s="397" t="s">
        <v>345</v>
      </c>
      <c r="C17" s="403">
        <f>C14+C15</f>
        <v>5704.9952815907291</v>
      </c>
      <c r="D17" s="403">
        <f t="shared" ref="D17:M17" si="3">D14+D15</f>
        <v>5086.2734373544299</v>
      </c>
      <c r="E17" s="403">
        <f t="shared" si="3"/>
        <v>5363.2492818913779</v>
      </c>
      <c r="F17" s="403">
        <f t="shared" si="3"/>
        <v>5730.4114873031158</v>
      </c>
      <c r="G17" s="403">
        <f t="shared" si="3"/>
        <v>6117.7284510974723</v>
      </c>
      <c r="H17" s="403">
        <f t="shared" si="3"/>
        <v>6513.6277459800585</v>
      </c>
      <c r="I17" s="403">
        <f t="shared" si="3"/>
        <v>6874.3829468560307</v>
      </c>
      <c r="J17" s="403">
        <f t="shared" si="3"/>
        <v>7266.5406724082859</v>
      </c>
      <c r="K17" s="403">
        <f t="shared" si="3"/>
        <v>7691.6222585531705</v>
      </c>
      <c r="L17" s="403">
        <f t="shared" si="3"/>
        <v>8137.465557072268</v>
      </c>
      <c r="M17" s="403">
        <f t="shared" si="3"/>
        <v>8655.9663958242945</v>
      </c>
      <c r="N17" s="223"/>
      <c r="O17" s="223"/>
      <c r="P17" s="387"/>
      <c r="Q17" s="51"/>
      <c r="R17" s="388"/>
      <c r="S17" s="82"/>
      <c r="T17" s="82"/>
      <c r="U17" s="82"/>
      <c r="V17" s="82"/>
      <c r="W17" s="82"/>
      <c r="X17" s="82"/>
      <c r="Y17" s="82"/>
      <c r="Z17" s="82"/>
      <c r="AA17" s="82"/>
      <c r="AB17" s="82"/>
      <c r="AC17" s="82"/>
      <c r="AD17" s="82"/>
      <c r="AE17" s="82"/>
      <c r="AF17" s="82"/>
    </row>
    <row r="18" spans="1:34">
      <c r="B18" s="146"/>
      <c r="C18" s="382"/>
      <c r="D18" s="50"/>
      <c r="E18" s="382"/>
      <c r="F18" s="219"/>
      <c r="G18" s="383"/>
      <c r="H18" s="384"/>
      <c r="J18" s="381"/>
      <c r="K18" s="51"/>
      <c r="L18" s="390"/>
      <c r="N18" s="236"/>
      <c r="R18" s="82"/>
      <c r="S18" s="82"/>
      <c r="T18" s="82"/>
      <c r="U18" s="82"/>
      <c r="V18" s="82"/>
      <c r="W18" s="82"/>
      <c r="X18" s="82"/>
      <c r="Y18" s="82"/>
      <c r="Z18" s="82"/>
      <c r="AA18" s="82"/>
      <c r="AB18" s="82"/>
      <c r="AC18" s="82"/>
      <c r="AD18" s="82"/>
      <c r="AE18" s="82"/>
      <c r="AF18" s="82"/>
    </row>
    <row r="19" spans="1:34">
      <c r="A19" s="84"/>
      <c r="B19" s="395" t="s">
        <v>346</v>
      </c>
      <c r="C19" s="382"/>
      <c r="D19" s="404">
        <f t="shared" ref="D19:M19" si="4">D5-C5</f>
        <v>8171.0016217396769</v>
      </c>
      <c r="E19" s="404">
        <f t="shared" si="4"/>
        <v>8449.1262102472247</v>
      </c>
      <c r="F19" s="404">
        <f t="shared" si="4"/>
        <v>8733.9250232226041</v>
      </c>
      <c r="G19" s="404">
        <f t="shared" si="4"/>
        <v>9025.5381779709423</v>
      </c>
      <c r="H19" s="404">
        <f t="shared" si="4"/>
        <v>9324.1683219520783</v>
      </c>
      <c r="I19" s="404">
        <f t="shared" si="4"/>
        <v>9644.538033459743</v>
      </c>
      <c r="J19" s="404">
        <f t="shared" si="4"/>
        <v>9974.7259813999408</v>
      </c>
      <c r="K19" s="404">
        <f t="shared" si="4"/>
        <v>10299.068621208309</v>
      </c>
      <c r="L19" s="404">
        <f t="shared" si="4"/>
        <v>10631.708792800549</v>
      </c>
      <c r="M19" s="404">
        <f t="shared" si="4"/>
        <v>10973.187055643881</v>
      </c>
      <c r="N19" s="47"/>
      <c r="O19" s="47"/>
      <c r="R19" s="82"/>
      <c r="S19" s="82"/>
      <c r="T19" s="82"/>
      <c r="U19" s="82"/>
      <c r="V19" s="82"/>
      <c r="W19" s="82"/>
      <c r="X19" s="82"/>
      <c r="Y19" s="82"/>
      <c r="Z19" s="82"/>
      <c r="AA19" s="82"/>
      <c r="AB19" s="82"/>
      <c r="AC19" s="82"/>
      <c r="AD19" s="82"/>
      <c r="AE19" s="82"/>
      <c r="AF19" s="82"/>
    </row>
    <row r="20" spans="1:34" ht="12" customHeight="1">
      <c r="B20" s="396" t="s">
        <v>347</v>
      </c>
      <c r="C20" s="98">
        <f>C5/C24</f>
        <v>10.709418648546622</v>
      </c>
      <c r="D20" s="98">
        <f>MEDIAN('Accounting Adjustments'!$C$35:$H$35)</f>
        <v>10.605009262648018</v>
      </c>
      <c r="E20" s="98">
        <f>MEDIAN('Accounting Adjustments'!$C$35:$H$35)</f>
        <v>10.605009262648018</v>
      </c>
      <c r="F20" s="98">
        <f>MEDIAN('Accounting Adjustments'!$C$35:$H$35)</f>
        <v>10.605009262648018</v>
      </c>
      <c r="G20" s="98">
        <f>MEDIAN('Accounting Adjustments'!$C$35:$H$35)</f>
        <v>10.605009262648018</v>
      </c>
      <c r="H20" s="98">
        <f>MEDIAN('Accounting Adjustments'!$C$35:$H$35)</f>
        <v>10.605009262648018</v>
      </c>
      <c r="I20" s="98">
        <f>MEDIAN('Accounting Adjustments'!$C$35:$H$35)</f>
        <v>10.605009262648018</v>
      </c>
      <c r="J20" s="98">
        <f>MEDIAN('Accounting Adjustments'!$C$35:$H$35)</f>
        <v>10.605009262648018</v>
      </c>
      <c r="K20" s="98">
        <f>MEDIAN('Accounting Adjustments'!$C$35:$H$35)</f>
        <v>10.605009262648018</v>
      </c>
      <c r="L20" s="98">
        <f>MEDIAN('Accounting Adjustments'!$C$35:$H$35)</f>
        <v>10.605009262648018</v>
      </c>
      <c r="M20" s="98">
        <f>MEDIAN('Accounting Adjustments'!$C$35:$H$35)</f>
        <v>10.605009262648018</v>
      </c>
      <c r="N20" s="224"/>
      <c r="O20" s="224"/>
      <c r="R20" s="82"/>
      <c r="S20" s="82"/>
      <c r="T20" s="82"/>
      <c r="U20" s="82"/>
      <c r="V20" s="82"/>
      <c r="W20" s="82"/>
      <c r="X20" s="82"/>
      <c r="Y20" s="82"/>
      <c r="Z20" s="82"/>
      <c r="AA20" s="82"/>
      <c r="AB20" s="82"/>
      <c r="AC20" s="82"/>
      <c r="AD20" s="82"/>
      <c r="AE20" s="82"/>
      <c r="AF20" s="82"/>
    </row>
    <row r="21" spans="1:34">
      <c r="A21" s="84"/>
      <c r="B21" s="337" t="s">
        <v>48</v>
      </c>
      <c r="C21" s="345">
        <f>'FCFF &amp; FCFE'!C9</f>
        <v>680.06369553941431</v>
      </c>
      <c r="D21" s="405">
        <f t="shared" ref="D21:M21" si="5">D19/D20</f>
        <v>770.48509995354959</v>
      </c>
      <c r="E21" s="405">
        <f t="shared" si="5"/>
        <v>796.71087511502276</v>
      </c>
      <c r="F21" s="405">
        <f t="shared" si="5"/>
        <v>823.56599668275885</v>
      </c>
      <c r="G21" s="405">
        <f t="shared" si="5"/>
        <v>851.06367702665364</v>
      </c>
      <c r="H21" s="405">
        <f t="shared" si="5"/>
        <v>879.2230248013833</v>
      </c>
      <c r="I21" s="405">
        <f t="shared" si="5"/>
        <v>909.43230643172012</v>
      </c>
      <c r="J21" s="405">
        <f t="shared" si="5"/>
        <v>940.56739926970147</v>
      </c>
      <c r="K21" s="405">
        <f t="shared" si="5"/>
        <v>971.15130841825248</v>
      </c>
      <c r="L21" s="405">
        <f t="shared" si="5"/>
        <v>1002.5176338361694</v>
      </c>
      <c r="M21" s="405">
        <f t="shared" si="5"/>
        <v>1034.7173476116259</v>
      </c>
      <c r="N21" s="224"/>
      <c r="O21" s="82"/>
      <c r="R21" s="82"/>
      <c r="S21" s="82"/>
      <c r="T21" s="82"/>
      <c r="U21" s="82"/>
      <c r="V21" s="82"/>
      <c r="W21" s="82"/>
      <c r="X21" s="82"/>
      <c r="Y21" s="82"/>
      <c r="Z21" s="82"/>
      <c r="AA21" s="82"/>
      <c r="AB21" s="82"/>
      <c r="AC21" s="82"/>
      <c r="AD21" s="82"/>
      <c r="AE21" s="82"/>
      <c r="AF21" s="82"/>
    </row>
    <row r="22" spans="1:34">
      <c r="N22" s="98"/>
      <c r="O22" s="82"/>
      <c r="P22" s="82"/>
      <c r="Q22" s="82"/>
      <c r="R22" s="82"/>
      <c r="S22" s="82"/>
      <c r="T22" s="82"/>
      <c r="U22" s="82"/>
      <c r="V22" s="82"/>
      <c r="W22" s="82"/>
      <c r="X22" s="82"/>
      <c r="Y22" s="82"/>
      <c r="Z22" s="82"/>
      <c r="AA22" s="82"/>
      <c r="AB22" s="82"/>
      <c r="AC22" s="82"/>
      <c r="AD22" s="82"/>
      <c r="AE22" s="82"/>
      <c r="AF22" s="82"/>
      <c r="AG22" s="82"/>
    </row>
    <row r="23" spans="1:34">
      <c r="B23" s="82" t="s">
        <v>351</v>
      </c>
      <c r="C23" s="348">
        <f>C21/C17</f>
        <v>0.11920495319845234</v>
      </c>
      <c r="D23" s="348">
        <f t="shared" ref="D23:M23" si="6">D21/D17</f>
        <v>0.15148322429835961</v>
      </c>
      <c r="E23" s="348">
        <f t="shared" si="6"/>
        <v>0.1485500362261846</v>
      </c>
      <c r="F23" s="348">
        <f t="shared" si="6"/>
        <v>0.14371847440755969</v>
      </c>
      <c r="G23" s="348">
        <f t="shared" si="6"/>
        <v>0.13911432712806654</v>
      </c>
      <c r="H23" s="348">
        <f t="shared" si="6"/>
        <v>0.1349820805071342</v>
      </c>
      <c r="I23" s="348">
        <f t="shared" si="6"/>
        <v>0.13229293646604967</v>
      </c>
      <c r="J23" s="348">
        <f t="shared" si="6"/>
        <v>0.12943812491700779</v>
      </c>
      <c r="K23" s="348">
        <f t="shared" si="6"/>
        <v>0.12626092074897741</v>
      </c>
      <c r="L23" s="348">
        <f t="shared" si="6"/>
        <v>0.12319777291897496</v>
      </c>
      <c r="M23" s="348">
        <f t="shared" si="6"/>
        <v>0.11953805043776297</v>
      </c>
      <c r="N23" s="98"/>
      <c r="O23" s="82"/>
      <c r="P23" s="82"/>
      <c r="Q23" s="82"/>
      <c r="R23" s="82"/>
      <c r="S23" s="82"/>
      <c r="T23" s="82"/>
      <c r="U23" s="82"/>
      <c r="V23" s="82"/>
      <c r="W23" s="82"/>
      <c r="X23" s="82"/>
      <c r="Y23" s="82"/>
      <c r="Z23" s="82"/>
      <c r="AA23" s="82"/>
      <c r="AB23" s="82"/>
      <c r="AC23" s="82"/>
      <c r="AD23" s="82"/>
      <c r="AE23" s="82"/>
      <c r="AF23" s="82"/>
      <c r="AG23" s="82"/>
      <c r="AH23" s="82"/>
    </row>
    <row r="24" spans="1:34">
      <c r="B24" s="395" t="s">
        <v>69</v>
      </c>
      <c r="C24" s="356">
        <f>'Expected Growth Rate'!C8</f>
        <v>21192</v>
      </c>
      <c r="D24" s="369">
        <f t="shared" ref="D24:M24" si="7">C24+D21</f>
        <v>21962.485099953548</v>
      </c>
      <c r="E24" s="369">
        <f t="shared" si="7"/>
        <v>22759.195975068571</v>
      </c>
      <c r="F24" s="369">
        <f t="shared" si="7"/>
        <v>23582.76197175133</v>
      </c>
      <c r="G24" s="369">
        <f t="shared" si="7"/>
        <v>24433.825648777984</v>
      </c>
      <c r="H24" s="369">
        <f t="shared" si="7"/>
        <v>25313.048673579367</v>
      </c>
      <c r="I24" s="369">
        <f t="shared" si="7"/>
        <v>26222.480980011089</v>
      </c>
      <c r="J24" s="369">
        <f t="shared" si="7"/>
        <v>27163.04837928079</v>
      </c>
      <c r="K24" s="369">
        <f t="shared" si="7"/>
        <v>28134.199687699042</v>
      </c>
      <c r="L24" s="369">
        <f t="shared" si="7"/>
        <v>29136.717321535212</v>
      </c>
      <c r="M24" s="369">
        <f t="shared" si="7"/>
        <v>30171.434669146838</v>
      </c>
      <c r="N24" s="98"/>
      <c r="O24" s="82"/>
      <c r="P24" s="82"/>
      <c r="Q24" s="82"/>
      <c r="R24" s="82"/>
      <c r="S24" s="82"/>
      <c r="T24" s="82"/>
      <c r="U24" s="82"/>
      <c r="V24" s="82"/>
      <c r="W24" s="82"/>
      <c r="X24" s="82"/>
      <c r="Y24" s="82"/>
      <c r="Z24" s="82"/>
      <c r="AA24" s="82"/>
      <c r="AB24" s="82"/>
      <c r="AC24" s="82"/>
      <c r="AD24" s="82"/>
      <c r="AE24" s="82"/>
      <c r="AF24" s="82"/>
    </row>
    <row r="25" spans="1:34">
      <c r="B25" s="82" t="s">
        <v>348</v>
      </c>
      <c r="C25" s="92">
        <f t="shared" ref="C25:M25" si="8">C17/C24</f>
        <v>0.26920513786290717</v>
      </c>
      <c r="D25" s="92">
        <f t="shared" si="8"/>
        <v>0.23158915824899923</v>
      </c>
      <c r="E25" s="92">
        <f t="shared" si="8"/>
        <v>0.23565196625427884</v>
      </c>
      <c r="F25" s="92">
        <f t="shared" si="8"/>
        <v>0.24299153314473104</v>
      </c>
      <c r="G25" s="92">
        <f t="shared" si="8"/>
        <v>0.25037947552856671</v>
      </c>
      <c r="H25" s="92">
        <f t="shared" si="8"/>
        <v>0.25732292581488586</v>
      </c>
      <c r="I25" s="92">
        <f t="shared" si="8"/>
        <v>0.26215608477688457</v>
      </c>
      <c r="J25" s="92">
        <f t="shared" si="8"/>
        <v>0.2675156547580646</v>
      </c>
      <c r="K25" s="92">
        <f t="shared" si="8"/>
        <v>0.27339047649953718</v>
      </c>
      <c r="L25" s="92">
        <f t="shared" si="8"/>
        <v>0.27928559924140095</v>
      </c>
      <c r="M25" s="92">
        <f t="shared" si="8"/>
        <v>0.28689276763745819</v>
      </c>
      <c r="N25" s="99"/>
      <c r="O25" s="82"/>
      <c r="P25" s="82"/>
      <c r="Q25" s="82"/>
      <c r="R25" s="82"/>
      <c r="S25" s="82"/>
      <c r="T25" s="82"/>
      <c r="U25" s="82"/>
      <c r="V25" s="82"/>
      <c r="W25" s="82"/>
      <c r="X25" s="82"/>
      <c r="Y25" s="82"/>
      <c r="Z25" s="82"/>
      <c r="AA25" s="82"/>
      <c r="AB25" s="82"/>
      <c r="AC25" s="82"/>
      <c r="AD25" s="82"/>
      <c r="AE25" s="82"/>
      <c r="AF25" s="82"/>
    </row>
    <row r="26" spans="1:34">
      <c r="N26" s="82"/>
      <c r="O26" s="82"/>
      <c r="P26" s="82"/>
      <c r="Q26" s="82"/>
      <c r="R26" s="82"/>
      <c r="S26" s="82"/>
      <c r="T26" s="82"/>
      <c r="U26" s="82"/>
      <c r="V26" s="82"/>
      <c r="W26" s="82"/>
      <c r="X26" s="82"/>
      <c r="Y26" s="82"/>
      <c r="Z26" s="82"/>
      <c r="AA26" s="82"/>
      <c r="AB26" s="82"/>
      <c r="AC26" s="82"/>
      <c r="AD26" s="82"/>
      <c r="AE26" s="82"/>
      <c r="AF26" s="82"/>
    </row>
    <row r="27" spans="1:34">
      <c r="B27" s="338" t="s">
        <v>349</v>
      </c>
      <c r="C27" s="406">
        <f>C17-C21</f>
        <v>5024.9315860513143</v>
      </c>
      <c r="D27" s="406">
        <f t="shared" ref="D27:M27" si="9">D17-D21</f>
        <v>4315.7883374008807</v>
      </c>
      <c r="E27" s="406">
        <f t="shared" si="9"/>
        <v>4566.5384067763553</v>
      </c>
      <c r="F27" s="406">
        <f t="shared" si="9"/>
        <v>4906.8454906203569</v>
      </c>
      <c r="G27" s="406">
        <f t="shared" si="9"/>
        <v>5266.6647740708186</v>
      </c>
      <c r="H27" s="406">
        <f t="shared" si="9"/>
        <v>5634.4047211786756</v>
      </c>
      <c r="I27" s="406">
        <f t="shared" si="9"/>
        <v>5964.9506404243102</v>
      </c>
      <c r="J27" s="406">
        <f t="shared" si="9"/>
        <v>6325.9732731385848</v>
      </c>
      <c r="K27" s="406">
        <f t="shared" si="9"/>
        <v>6720.470950134918</v>
      </c>
      <c r="L27" s="406">
        <f t="shared" si="9"/>
        <v>7134.9479232360991</v>
      </c>
      <c r="M27" s="406">
        <f t="shared" si="9"/>
        <v>7621.2490482126686</v>
      </c>
      <c r="N27" s="36"/>
      <c r="O27" s="82"/>
      <c r="P27" s="82"/>
      <c r="Q27" s="82"/>
      <c r="R27" s="82"/>
      <c r="S27" s="82"/>
      <c r="T27" s="82"/>
      <c r="U27" s="82"/>
      <c r="V27" s="82"/>
      <c r="W27" s="82"/>
      <c r="X27" s="82"/>
      <c r="Y27" s="82"/>
      <c r="Z27" s="82"/>
      <c r="AA27" s="82"/>
      <c r="AB27" s="82"/>
      <c r="AC27" s="82"/>
      <c r="AD27" s="82"/>
      <c r="AE27" s="82"/>
      <c r="AF27" s="82"/>
      <c r="AG27" s="82"/>
      <c r="AH27" s="82"/>
    </row>
    <row r="28" spans="1:34">
      <c r="D28" s="16"/>
      <c r="E28" s="16"/>
      <c r="F28" s="16"/>
      <c r="G28" s="16"/>
      <c r="H28" s="16"/>
      <c r="I28" s="16"/>
      <c r="J28" s="16"/>
      <c r="K28" s="16"/>
      <c r="L28" s="16"/>
      <c r="M28" s="16"/>
      <c r="O28" s="82"/>
      <c r="P28" s="82"/>
      <c r="Q28" s="82"/>
      <c r="R28" s="82"/>
      <c r="S28" s="82"/>
      <c r="T28" s="82"/>
      <c r="U28" s="82"/>
      <c r="V28" s="82"/>
      <c r="W28" s="82"/>
      <c r="X28" s="82"/>
      <c r="Y28" s="82"/>
      <c r="Z28" s="82"/>
      <c r="AA28" s="82"/>
      <c r="AB28" s="82"/>
      <c r="AC28" s="82"/>
      <c r="AD28" s="82"/>
      <c r="AE28" s="82"/>
      <c r="AF28" s="82"/>
      <c r="AG28" s="82"/>
      <c r="AH28" s="82"/>
    </row>
    <row r="29" spans="1:34">
      <c r="O29" s="82"/>
      <c r="P29" s="82"/>
      <c r="Q29" s="82"/>
      <c r="R29" s="82"/>
      <c r="S29" s="82"/>
      <c r="T29" s="82"/>
      <c r="U29" s="82"/>
      <c r="V29" s="82"/>
      <c r="W29" s="82"/>
      <c r="X29" s="82"/>
      <c r="Y29" s="82"/>
      <c r="Z29" s="82"/>
      <c r="AA29" s="82"/>
      <c r="AB29" s="82"/>
      <c r="AC29" s="82"/>
      <c r="AD29" s="82"/>
      <c r="AE29" s="82"/>
      <c r="AF29" s="82"/>
      <c r="AG29" s="82"/>
      <c r="AH29" s="82"/>
    </row>
    <row r="30" spans="1:34" ht="12" customHeight="1">
      <c r="L30" s="82"/>
      <c r="M30" s="82"/>
      <c r="P30" s="82"/>
      <c r="Q30" s="82"/>
      <c r="R30" s="82"/>
      <c r="S30" s="82"/>
      <c r="T30" s="82"/>
      <c r="U30" s="82"/>
      <c r="V30" s="82"/>
      <c r="W30" s="82"/>
      <c r="X30" s="82"/>
      <c r="Y30" s="82"/>
      <c r="Z30" s="82"/>
      <c r="AA30" s="82"/>
      <c r="AB30" s="82"/>
      <c r="AC30" s="82"/>
      <c r="AD30" s="82"/>
      <c r="AE30" s="82"/>
      <c r="AF30" s="82"/>
      <c r="AG30" s="82"/>
      <c r="AH30" s="82"/>
    </row>
    <row r="31" spans="1:34">
      <c r="L31" s="82"/>
      <c r="M31" s="82"/>
      <c r="N31" s="82"/>
      <c r="P31" s="82"/>
      <c r="Q31" s="82"/>
      <c r="R31" s="82"/>
      <c r="S31" s="82"/>
      <c r="T31" s="82"/>
      <c r="U31" s="82"/>
      <c r="V31" s="82"/>
      <c r="W31" s="82"/>
      <c r="X31" s="82"/>
      <c r="Y31" s="82"/>
      <c r="Z31" s="82"/>
      <c r="AA31" s="82"/>
      <c r="AB31" s="82"/>
      <c r="AC31" s="82"/>
      <c r="AD31" s="82"/>
      <c r="AE31" s="82"/>
      <c r="AF31" s="82"/>
      <c r="AG31" s="82"/>
      <c r="AH31" s="82"/>
    </row>
    <row r="32" spans="1:34">
      <c r="L32" s="82"/>
      <c r="N32" s="82"/>
      <c r="O32" s="82"/>
      <c r="P32" s="82"/>
      <c r="Q32" s="82"/>
      <c r="R32" s="82"/>
      <c r="S32" s="82"/>
      <c r="T32" s="82"/>
      <c r="U32" s="82"/>
      <c r="V32" s="82"/>
      <c r="W32" s="82"/>
      <c r="X32" s="82"/>
      <c r="Y32" s="82"/>
      <c r="Z32" s="82"/>
      <c r="AA32" s="82"/>
      <c r="AB32" s="82"/>
      <c r="AC32" s="82"/>
      <c r="AD32" s="82"/>
      <c r="AE32" s="82"/>
      <c r="AF32" s="82"/>
      <c r="AG32" s="82"/>
      <c r="AH32" s="82"/>
    </row>
    <row r="33" spans="14:34">
      <c r="N33" s="82"/>
      <c r="O33" s="82"/>
      <c r="P33" s="82"/>
      <c r="Q33" s="82"/>
      <c r="R33" s="82"/>
      <c r="S33" s="82"/>
      <c r="T33" s="82"/>
      <c r="U33" s="82"/>
      <c r="V33" s="82"/>
      <c r="W33" s="82"/>
      <c r="X33" s="82"/>
      <c r="Y33" s="82"/>
      <c r="Z33" s="82"/>
      <c r="AA33" s="82"/>
      <c r="AB33" s="82"/>
      <c r="AC33" s="82"/>
      <c r="AD33" s="82"/>
      <c r="AE33" s="82"/>
      <c r="AF33" s="82"/>
      <c r="AG33" s="82"/>
      <c r="AH33" s="82"/>
    </row>
    <row r="34" spans="14:34">
      <c r="N34" s="82"/>
      <c r="O34" s="82"/>
      <c r="P34" s="82"/>
      <c r="Q34" s="82"/>
      <c r="R34" s="82"/>
      <c r="S34" s="82"/>
      <c r="T34" s="82"/>
      <c r="U34" s="82"/>
      <c r="V34" s="82"/>
      <c r="W34" s="82"/>
      <c r="X34" s="82"/>
      <c r="Y34" s="82"/>
      <c r="Z34" s="82"/>
      <c r="AA34" s="82"/>
      <c r="AB34" s="82"/>
      <c r="AC34" s="82"/>
      <c r="AD34" s="82"/>
      <c r="AE34" s="82"/>
      <c r="AF34" s="82"/>
      <c r="AG34" s="82"/>
      <c r="AH34" s="82"/>
    </row>
    <row r="35" spans="14:34">
      <c r="N35" s="82"/>
      <c r="O35" s="82"/>
      <c r="P35" s="82"/>
      <c r="Q35" s="82"/>
      <c r="R35" s="82"/>
      <c r="S35" s="82"/>
      <c r="T35" s="82"/>
      <c r="U35" s="82"/>
      <c r="V35" s="82"/>
      <c r="W35" s="82"/>
      <c r="X35" s="82"/>
      <c r="Y35" s="82"/>
      <c r="Z35" s="82"/>
      <c r="AA35" s="82"/>
      <c r="AB35" s="82"/>
      <c r="AC35" s="82"/>
      <c r="AD35" s="82"/>
      <c r="AE35" s="82"/>
      <c r="AF35" s="82"/>
      <c r="AG35" s="82"/>
      <c r="AH35" s="82"/>
    </row>
    <row r="36" spans="14:34">
      <c r="N36" s="82"/>
      <c r="O36" s="82"/>
      <c r="P36" s="82"/>
      <c r="Q36" s="82"/>
      <c r="R36" s="82"/>
      <c r="S36" s="82"/>
      <c r="T36" s="82"/>
      <c r="U36" s="82"/>
      <c r="V36" s="82"/>
      <c r="W36" s="82"/>
      <c r="X36" s="82"/>
      <c r="Y36" s="82"/>
      <c r="Z36" s="82"/>
      <c r="AA36" s="82"/>
      <c r="AB36" s="82"/>
      <c r="AC36" s="82"/>
      <c r="AD36" s="82"/>
      <c r="AE36" s="82"/>
      <c r="AF36" s="82"/>
      <c r="AG36" s="82"/>
      <c r="AH36" s="82"/>
    </row>
    <row r="37" spans="14:34">
      <c r="N37" s="82"/>
      <c r="O37" s="82"/>
      <c r="P37" s="82"/>
      <c r="Q37" s="82"/>
      <c r="R37" s="82"/>
      <c r="S37" s="82"/>
      <c r="T37" s="82"/>
      <c r="U37" s="82"/>
      <c r="V37" s="82"/>
      <c r="W37" s="82"/>
      <c r="X37" s="82"/>
      <c r="Y37" s="82"/>
      <c r="Z37" s="82"/>
      <c r="AA37" s="82"/>
      <c r="AB37" s="82"/>
      <c r="AC37" s="82"/>
      <c r="AD37" s="82"/>
      <c r="AE37" s="82"/>
      <c r="AF37" s="82"/>
      <c r="AG37" s="82"/>
      <c r="AH37" s="82"/>
    </row>
    <row r="38" spans="14:34">
      <c r="O38" s="82"/>
      <c r="P38" s="82"/>
      <c r="Q38" s="82"/>
      <c r="R38" s="82"/>
      <c r="S38" s="82"/>
      <c r="T38" s="82"/>
      <c r="U38" s="82"/>
      <c r="V38" s="82"/>
      <c r="W38" s="82"/>
      <c r="X38" s="82"/>
      <c r="Y38" s="82"/>
      <c r="Z38" s="82"/>
      <c r="AA38" s="82"/>
      <c r="AB38" s="82"/>
      <c r="AC38" s="82"/>
      <c r="AD38" s="82"/>
      <c r="AE38" s="82"/>
      <c r="AF38" s="82"/>
      <c r="AG38" s="82"/>
      <c r="AH38" s="82"/>
    </row>
  </sheetData>
  <pageMargins left="0.7" right="0.7" top="0.75" bottom="0.75" header="0.3" footer="0.3"/>
  <pageSetup orientation="landscape" r:id="rId1"/>
  <ignoredErrors>
    <ignoredError sqref="H8 G7 I7"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77" customWidth="1"/>
    <col min="2" max="2" width="23.140625" style="77" customWidth="1"/>
    <col min="3" max="3" width="13.140625" style="77" customWidth="1"/>
    <col min="4" max="4" width="9.42578125" style="77" customWidth="1"/>
    <col min="5" max="5" width="21.5703125" style="77" customWidth="1"/>
    <col min="6" max="6" width="10.140625" style="77" customWidth="1" collapsed="1"/>
    <col min="7" max="8" width="10.42578125" style="77" customWidth="1"/>
    <col min="9" max="9" width="9.140625" style="77" customWidth="1"/>
    <col min="10" max="10" width="9" style="77" customWidth="1"/>
    <col min="11" max="11" width="9.85546875" style="77" customWidth="1"/>
    <col min="12" max="25" width="9.140625" style="77" customWidth="1"/>
    <col min="26" max="26" width="9.28515625" style="77" customWidth="1"/>
    <col min="27" max="27" width="9.42578125" style="77" customWidth="1"/>
    <col min="28" max="28" width="10" style="77" customWidth="1"/>
    <col min="29" max="29" width="11.42578125" style="77" customWidth="1"/>
    <col min="30" max="30" width="9.42578125" style="77" bestFit="1" customWidth="1" collapsed="1"/>
    <col min="31" max="16384" width="9.140625" style="77"/>
  </cols>
  <sheetData>
    <row r="1" spans="1:31" s="76" customFormat="1" ht="15" customHeight="1">
      <c r="B1" s="15" t="s">
        <v>64</v>
      </c>
      <c r="C1" s="75"/>
      <c r="D1" s="75"/>
      <c r="E1" s="75"/>
      <c r="F1" s="75"/>
      <c r="G1" s="75"/>
      <c r="H1" s="75"/>
      <c r="I1" s="75"/>
      <c r="J1" s="75"/>
      <c r="K1" s="75"/>
    </row>
    <row r="2" spans="1:31" ht="12" customHeight="1">
      <c r="C2" s="89"/>
    </row>
    <row r="3" spans="1:31" ht="12" customHeight="1">
      <c r="A3" s="79"/>
      <c r="B3" s="237" t="s">
        <v>64</v>
      </c>
      <c r="C3" s="237"/>
      <c r="E3" s="237" t="s">
        <v>352</v>
      </c>
      <c r="F3" s="237"/>
      <c r="G3" s="142"/>
      <c r="H3" s="142"/>
      <c r="I3" s="142"/>
      <c r="J3" s="142"/>
      <c r="K3" s="95"/>
      <c r="L3" s="95"/>
      <c r="M3" s="95"/>
      <c r="N3" s="95"/>
      <c r="O3" s="95"/>
      <c r="P3" s="95"/>
    </row>
    <row r="4" spans="1:31" ht="12" customHeight="1" thickBot="1">
      <c r="A4" s="84"/>
      <c r="B4" s="334" t="str">
        <f>Drivers!$C$5&amp;" in mil"</f>
        <v>$ in mil</v>
      </c>
      <c r="C4" s="391"/>
      <c r="E4" s="334"/>
      <c r="F4" s="391"/>
      <c r="G4" s="410"/>
      <c r="H4" s="410"/>
      <c r="I4" s="410"/>
      <c r="J4" s="410"/>
      <c r="K4" s="112"/>
      <c r="L4" s="112"/>
      <c r="M4" s="112"/>
      <c r="N4" s="112"/>
      <c r="O4" s="112"/>
      <c r="P4" s="78"/>
      <c r="R4" s="81"/>
      <c r="S4" s="81"/>
      <c r="T4" s="81"/>
      <c r="U4" s="81"/>
      <c r="Z4" s="81"/>
    </row>
    <row r="5" spans="1:31" ht="12" customHeight="1">
      <c r="A5" s="84"/>
      <c r="B5" s="77" t="s">
        <v>501</v>
      </c>
      <c r="C5" s="344">
        <f>('Future CashFlows (10Y)'!M5*(1+'Future CashFlows (10Y)'!M6))</f>
        <v>333541.08947087085</v>
      </c>
      <c r="E5" s="35" t="s">
        <v>197</v>
      </c>
      <c r="F5" s="92">
        <f>'Risk Free Rate &amp; ERP'!C6</f>
        <v>3.526E-2</v>
      </c>
      <c r="J5" s="90"/>
      <c r="K5" s="36"/>
      <c r="L5" s="36"/>
      <c r="M5" s="36"/>
      <c r="N5" s="36"/>
      <c r="O5" s="36"/>
      <c r="P5" s="36"/>
      <c r="R5" s="82"/>
      <c r="S5" s="82"/>
      <c r="T5" s="82"/>
      <c r="U5" s="82"/>
      <c r="V5" s="82"/>
      <c r="W5" s="82"/>
      <c r="X5" s="82"/>
      <c r="Y5" s="82"/>
      <c r="Z5" s="82"/>
      <c r="AA5" s="82"/>
      <c r="AB5" s="82"/>
      <c r="AC5" s="82"/>
      <c r="AD5" s="82"/>
      <c r="AE5" s="82"/>
    </row>
    <row r="6" spans="1:31" ht="12" customHeight="1">
      <c r="A6" s="84"/>
      <c r="B6" s="82" t="s">
        <v>341</v>
      </c>
      <c r="C6" s="339">
        <f>'Future CashFlows (10Y)'!M8</f>
        <v>3.5449999999999995E-2</v>
      </c>
      <c r="E6" s="35" t="s">
        <v>8</v>
      </c>
      <c r="F6" s="92">
        <f>'Risk Free Rate &amp; ERP'!C8</f>
        <v>5.0362362180618063E-2</v>
      </c>
      <c r="J6" s="90"/>
      <c r="K6" s="92"/>
      <c r="L6" s="92"/>
      <c r="M6" s="92"/>
      <c r="N6" s="92"/>
      <c r="O6" s="92"/>
      <c r="P6" s="92"/>
      <c r="R6" s="82"/>
      <c r="S6" s="82"/>
      <c r="T6" s="82"/>
      <c r="U6" s="82"/>
      <c r="V6" s="82"/>
      <c r="W6" s="82"/>
      <c r="X6" s="82"/>
      <c r="Y6" s="82"/>
      <c r="Z6" s="82"/>
      <c r="AA6" s="82"/>
      <c r="AB6" s="82"/>
      <c r="AC6" s="82"/>
      <c r="AD6" s="82"/>
      <c r="AE6" s="82"/>
    </row>
    <row r="7" spans="1:31" ht="12" customHeight="1">
      <c r="B7" s="77" t="s">
        <v>502</v>
      </c>
      <c r="C7" s="344">
        <f>-((C5*'FV of RSU, PSU, PSU-TSR'!M19)+('Terminal Value'!C5*'FV of RSU, PSU, PSU-TSR'!M20)+('Terminal Value'!C5*'FV of RSU, PSU, PSU-TSR'!M21))</f>
        <v>-333.54108947087087</v>
      </c>
      <c r="E7" s="35" t="s">
        <v>83</v>
      </c>
      <c r="F7" s="100">
        <f ca="1">((_xlfn.PERCENTILE.EXC('Beta Calculation Data'!D6:D33,0.25)/(1+(_xlfn.PERCENTILE.EXC('Beta Calculation Data'!K6:K33,0.25)*(1-'Bottom Up Beta'!C8))))/(1-_xlfn.PERCENTILE.EXC('Beta Calculation Data'!J6:J33,0.25)))*(1+('Bottom Up Beta'!C15*(1-'Bottom Up Beta'!C8)))</f>
        <v>0.29430464470189338</v>
      </c>
      <c r="G7" s="85" t="s">
        <v>156</v>
      </c>
      <c r="J7" s="90"/>
      <c r="M7" s="82"/>
      <c r="N7" s="82"/>
      <c r="O7" s="89"/>
      <c r="P7" s="92"/>
      <c r="R7" s="82"/>
      <c r="S7" s="82"/>
      <c r="T7" s="82"/>
      <c r="U7" s="82"/>
      <c r="V7" s="82"/>
      <c r="W7" s="82"/>
      <c r="X7" s="82"/>
      <c r="Y7" s="82"/>
      <c r="Z7" s="82"/>
      <c r="AA7" s="82"/>
      <c r="AB7" s="82"/>
      <c r="AC7" s="82"/>
      <c r="AD7" s="82"/>
      <c r="AE7" s="82"/>
    </row>
    <row r="8" spans="1:31" ht="12" customHeight="1">
      <c r="A8" s="84"/>
      <c r="B8" s="359" t="s">
        <v>74</v>
      </c>
      <c r="C8" s="622">
        <f>(C5*C6)+C7</f>
        <v>11490.490532271499</v>
      </c>
      <c r="E8" s="249" t="s">
        <v>7</v>
      </c>
      <c r="F8" s="323">
        <f ca="1">F5+F7*F6</f>
        <v>5.0081877107914868E-2</v>
      </c>
      <c r="N8" s="82"/>
      <c r="O8" s="82"/>
      <c r="P8" s="82"/>
      <c r="Q8" s="82"/>
      <c r="R8" s="82"/>
      <c r="S8" s="82"/>
      <c r="T8" s="82"/>
      <c r="U8" s="82"/>
      <c r="V8" s="82"/>
      <c r="W8" s="82"/>
      <c r="X8" s="82"/>
      <c r="Y8" s="82"/>
      <c r="Z8" s="82"/>
      <c r="AA8" s="82"/>
      <c r="AB8" s="82"/>
      <c r="AC8" s="82"/>
      <c r="AD8" s="82"/>
      <c r="AE8" s="82"/>
    </row>
    <row r="9" spans="1:31" ht="12" customHeight="1">
      <c r="A9" s="84"/>
      <c r="B9" s="409" t="s">
        <v>75</v>
      </c>
      <c r="C9" s="92">
        <f>'Future CashFlows (10Y)'!M16</f>
        <v>0.22012243552411767</v>
      </c>
      <c r="E9" s="82"/>
      <c r="F9" s="82"/>
      <c r="J9" s="106"/>
      <c r="N9" s="82"/>
      <c r="O9" s="82"/>
      <c r="P9" s="82"/>
      <c r="Q9" s="82"/>
      <c r="R9" s="82"/>
      <c r="S9" s="82"/>
      <c r="T9" s="82"/>
      <c r="U9" s="82"/>
      <c r="V9" s="82"/>
      <c r="W9" s="82"/>
      <c r="X9" s="82"/>
      <c r="Y9" s="82"/>
      <c r="Z9" s="82"/>
      <c r="AA9" s="82"/>
      <c r="AB9" s="82"/>
      <c r="AC9" s="82"/>
      <c r="AD9" s="82"/>
      <c r="AE9" s="82"/>
    </row>
    <row r="10" spans="1:31">
      <c r="A10" s="80"/>
      <c r="B10" s="359" t="s">
        <v>46</v>
      </c>
      <c r="C10" s="360">
        <f>C8*(1-C9)</f>
        <v>8961.1757709410813</v>
      </c>
      <c r="E10" s="35" t="s">
        <v>197</v>
      </c>
      <c r="F10" s="63">
        <f>'Risk Free Rate &amp; ERP'!C6</f>
        <v>3.526E-2</v>
      </c>
      <c r="J10" s="82"/>
      <c r="N10" s="82"/>
      <c r="O10" s="82"/>
      <c r="P10" s="82"/>
      <c r="Q10" s="82"/>
      <c r="R10" s="82"/>
      <c r="S10" s="82"/>
      <c r="T10" s="82"/>
      <c r="U10" s="82"/>
      <c r="V10" s="82"/>
      <c r="W10" s="82"/>
      <c r="X10" s="82"/>
      <c r="Y10" s="82"/>
      <c r="Z10" s="82"/>
      <c r="AA10" s="82"/>
      <c r="AB10" s="82"/>
      <c r="AC10" s="82"/>
      <c r="AD10" s="82"/>
      <c r="AE10" s="82"/>
    </row>
    <row r="11" spans="1:31" ht="12.75" customHeight="1">
      <c r="A11" s="84"/>
      <c r="B11" s="373" t="s">
        <v>72</v>
      </c>
      <c r="C11" s="499">
        <v>0.01</v>
      </c>
      <c r="E11" s="35" t="s">
        <v>264</v>
      </c>
      <c r="F11" s="92">
        <f>'Risk Free Rate &amp; ERP'!G15</f>
        <v>3.7555935839331672E-3</v>
      </c>
      <c r="I11" s="86"/>
      <c r="J11" s="82"/>
      <c r="N11" s="82"/>
      <c r="O11" s="82"/>
      <c r="P11" s="82"/>
      <c r="Q11" s="82"/>
      <c r="R11" s="82"/>
      <c r="S11" s="82"/>
      <c r="T11" s="82"/>
      <c r="U11" s="82"/>
      <c r="V11" s="82"/>
      <c r="W11" s="82"/>
      <c r="X11" s="82"/>
      <c r="Y11" s="82"/>
      <c r="Z11" s="82"/>
      <c r="AA11" s="82"/>
      <c r="AB11" s="82"/>
      <c r="AC11" s="82"/>
      <c r="AD11" s="82"/>
      <c r="AE11" s="82"/>
    </row>
    <row r="12" spans="1:31">
      <c r="B12" s="77" t="s">
        <v>73</v>
      </c>
      <c r="C12" s="36">
        <f>'Future CashFlows (10Y)'!M25</f>
        <v>0.28689276763745819</v>
      </c>
      <c r="E12" s="240" t="s">
        <v>104</v>
      </c>
      <c r="F12" s="92">
        <v>7.4999999999999997E-3</v>
      </c>
      <c r="G12" s="85" t="s">
        <v>173</v>
      </c>
      <c r="I12" s="92"/>
      <c r="J12" s="82"/>
      <c r="K12" s="95"/>
      <c r="L12" s="95"/>
      <c r="M12" s="95"/>
      <c r="N12" s="95"/>
      <c r="O12" s="95"/>
      <c r="P12" s="95"/>
      <c r="Q12" s="82"/>
      <c r="R12" s="82"/>
      <c r="S12" s="82"/>
      <c r="T12" s="82"/>
      <c r="U12" s="82"/>
      <c r="V12" s="82"/>
      <c r="W12" s="82"/>
      <c r="X12" s="82"/>
      <c r="Y12" s="82"/>
      <c r="Z12" s="82"/>
      <c r="AA12" s="82"/>
      <c r="AB12" s="82"/>
      <c r="AC12" s="82"/>
      <c r="AD12" s="82"/>
      <c r="AE12" s="82"/>
    </row>
    <row r="13" spans="1:31" ht="12" customHeight="1">
      <c r="A13" s="84"/>
      <c r="B13" s="359" t="s">
        <v>66</v>
      </c>
      <c r="C13" s="408">
        <f>C11/C12</f>
        <v>3.4856228974851119E-2</v>
      </c>
      <c r="D13" s="2"/>
      <c r="E13" s="249" t="s">
        <v>141</v>
      </c>
      <c r="F13" s="323">
        <f>F10+F11+F12</f>
        <v>4.6515593583933167E-2</v>
      </c>
      <c r="I13" s="92"/>
      <c r="J13" s="82"/>
      <c r="N13" s="82"/>
      <c r="O13" s="82"/>
      <c r="P13" s="82"/>
      <c r="Q13" s="82"/>
      <c r="R13" s="82"/>
      <c r="S13" s="82"/>
      <c r="T13" s="82"/>
      <c r="U13" s="82"/>
      <c r="V13" s="82"/>
      <c r="W13" s="82"/>
      <c r="X13" s="82"/>
      <c r="Y13" s="82"/>
      <c r="Z13" s="82"/>
      <c r="AA13" s="82"/>
      <c r="AB13" s="82"/>
      <c r="AC13" s="82"/>
      <c r="AD13" s="82"/>
      <c r="AE13" s="82"/>
    </row>
    <row r="14" spans="1:31">
      <c r="B14" s="77" t="s">
        <v>76</v>
      </c>
      <c r="C14" s="356">
        <f>C10*(1-C13)</f>
        <v>8648.8229763852705</v>
      </c>
      <c r="D14" s="2"/>
      <c r="E14" s="2"/>
      <c r="F14" s="3"/>
      <c r="I14" s="92"/>
      <c r="J14" s="82"/>
      <c r="N14" s="82"/>
      <c r="O14" s="82"/>
      <c r="P14" s="82"/>
      <c r="Q14" s="82"/>
      <c r="R14" s="82"/>
      <c r="S14" s="82"/>
      <c r="T14" s="82"/>
      <c r="U14" s="82"/>
      <c r="V14" s="82"/>
      <c r="W14" s="82"/>
      <c r="X14" s="82"/>
      <c r="Y14" s="82"/>
      <c r="Z14" s="82"/>
      <c r="AA14" s="82"/>
      <c r="AB14" s="82"/>
      <c r="AC14" s="82"/>
      <c r="AD14" s="82"/>
      <c r="AE14" s="82"/>
    </row>
    <row r="15" spans="1:31">
      <c r="B15" s="248" t="s">
        <v>64</v>
      </c>
      <c r="C15" s="346">
        <f ca="1">C14/(F19-C11)</f>
        <v>218569.95606474567</v>
      </c>
      <c r="D15" s="5"/>
      <c r="E15" s="80" t="s">
        <v>486</v>
      </c>
      <c r="F15" s="411">
        <f ca="1">'Bottom Up Beta'!C15</f>
        <v>3.8502218033861162E-2</v>
      </c>
      <c r="I15" s="92"/>
      <c r="J15" s="82"/>
      <c r="N15" s="82"/>
      <c r="O15" s="82"/>
      <c r="P15" s="82"/>
      <c r="Q15" s="82"/>
      <c r="R15" s="82"/>
      <c r="S15" s="82"/>
      <c r="T15" s="82"/>
      <c r="U15" s="82"/>
      <c r="V15" s="82"/>
      <c r="W15" s="82"/>
      <c r="X15" s="82"/>
      <c r="Y15" s="82"/>
      <c r="Z15" s="82"/>
      <c r="AA15" s="82"/>
      <c r="AB15" s="82"/>
      <c r="AC15" s="82"/>
      <c r="AD15" s="82"/>
      <c r="AE15" s="82"/>
    </row>
    <row r="16" spans="1:31">
      <c r="D16" s="20"/>
      <c r="I16" s="92"/>
      <c r="J16" s="82"/>
      <c r="N16" s="82"/>
      <c r="O16" s="82"/>
      <c r="P16" s="82"/>
      <c r="Q16" s="82"/>
      <c r="R16" s="82"/>
      <c r="S16" s="82"/>
      <c r="T16" s="82"/>
      <c r="U16" s="82"/>
      <c r="V16" s="82"/>
      <c r="W16" s="82"/>
      <c r="X16" s="82"/>
      <c r="Y16" s="82"/>
      <c r="Z16" s="82"/>
      <c r="AA16" s="82"/>
      <c r="AB16" s="82"/>
      <c r="AC16" s="82"/>
      <c r="AD16" s="82"/>
      <c r="AE16" s="82"/>
    </row>
    <row r="17" spans="1:31">
      <c r="D17" s="5"/>
      <c r="E17" s="80" t="s">
        <v>77</v>
      </c>
      <c r="F17" s="16">
        <f ca="1">F15/(1+F15)</f>
        <v>3.7074757631962774E-2</v>
      </c>
      <c r="G17" s="85" t="s">
        <v>487</v>
      </c>
      <c r="K17" s="82"/>
      <c r="N17" s="82"/>
      <c r="O17" s="82"/>
      <c r="P17" s="82"/>
      <c r="Q17" s="82"/>
      <c r="R17" s="82"/>
      <c r="S17" s="82"/>
      <c r="T17" s="82"/>
      <c r="U17" s="82"/>
      <c r="V17" s="82"/>
      <c r="W17" s="82"/>
      <c r="X17" s="82"/>
      <c r="Y17" s="82"/>
      <c r="Z17" s="82"/>
      <c r="AA17" s="82"/>
      <c r="AB17" s="82"/>
      <c r="AC17" s="82"/>
      <c r="AD17" s="82"/>
      <c r="AE17" s="82"/>
    </row>
    <row r="18" spans="1:31">
      <c r="A18" s="84"/>
      <c r="D18" s="5"/>
      <c r="E18" s="80" t="s">
        <v>78</v>
      </c>
      <c r="F18" s="113">
        <f ca="1">1-F17</f>
        <v>0.96292524236803723</v>
      </c>
      <c r="G18" s="70"/>
      <c r="K18" s="82"/>
      <c r="L18" s="82"/>
      <c r="M18" s="82"/>
      <c r="N18" s="82"/>
      <c r="O18" s="82"/>
      <c r="P18" s="82"/>
      <c r="Q18" s="82"/>
      <c r="R18" s="82"/>
      <c r="S18" s="82"/>
      <c r="T18" s="82"/>
      <c r="U18" s="82"/>
      <c r="V18" s="82"/>
      <c r="W18" s="82"/>
      <c r="X18" s="82"/>
      <c r="Y18" s="82"/>
      <c r="Z18" s="82"/>
      <c r="AA18" s="82"/>
      <c r="AB18" s="82"/>
      <c r="AC18" s="82"/>
      <c r="AD18" s="82"/>
      <c r="AE18" s="82"/>
    </row>
    <row r="19" spans="1:31">
      <c r="B19" s="19"/>
      <c r="C19" s="39"/>
      <c r="D19" s="5"/>
      <c r="E19" s="110" t="s">
        <v>79</v>
      </c>
      <c r="F19" s="109">
        <f ca="1">(F8*F18)+(F13*(1-C9)*F17)</f>
        <v>4.9570044905088796E-2</v>
      </c>
      <c r="I19" s="92"/>
      <c r="J19" s="82"/>
      <c r="K19" s="82"/>
      <c r="L19" s="82"/>
      <c r="M19" s="82"/>
      <c r="N19" s="82"/>
      <c r="O19" s="82"/>
      <c r="P19" s="82"/>
      <c r="Q19" s="82"/>
      <c r="R19" s="82"/>
      <c r="S19" s="82"/>
      <c r="T19" s="82"/>
      <c r="U19" s="82"/>
      <c r="V19" s="82"/>
      <c r="W19" s="82"/>
      <c r="X19" s="82"/>
      <c r="Y19" s="82"/>
      <c r="Z19" s="82"/>
      <c r="AA19" s="82"/>
      <c r="AB19" s="82"/>
      <c r="AC19" s="82"/>
      <c r="AD19" s="82"/>
      <c r="AE19" s="82"/>
    </row>
    <row r="20" spans="1:31">
      <c r="A20" s="84"/>
      <c r="B20" s="3"/>
      <c r="C20" s="3"/>
      <c r="D20" s="5"/>
      <c r="I20" s="92"/>
      <c r="J20" s="82"/>
      <c r="K20" s="82"/>
      <c r="L20" s="82"/>
      <c r="M20" s="82"/>
      <c r="N20" s="82"/>
      <c r="O20" s="82"/>
      <c r="P20" s="82"/>
      <c r="Q20" s="82"/>
      <c r="R20" s="82"/>
      <c r="S20" s="82"/>
      <c r="T20" s="82"/>
      <c r="U20" s="82"/>
      <c r="V20" s="82"/>
      <c r="W20" s="82"/>
      <c r="X20" s="82"/>
      <c r="Y20" s="82"/>
      <c r="Z20" s="82"/>
      <c r="AA20" s="82"/>
      <c r="AB20" s="82"/>
      <c r="AC20" s="82"/>
      <c r="AD20" s="82"/>
      <c r="AE20" s="82"/>
    </row>
    <row r="21" spans="1:31">
      <c r="B21" s="38"/>
      <c r="C21" s="3"/>
      <c r="D21" s="5"/>
      <c r="I21" s="93"/>
      <c r="J21" s="82"/>
      <c r="K21" s="82"/>
      <c r="L21" s="82"/>
      <c r="M21" s="82"/>
      <c r="N21" s="82"/>
      <c r="O21" s="82"/>
      <c r="P21" s="82"/>
      <c r="Q21" s="82"/>
      <c r="R21" s="82"/>
      <c r="S21" s="82"/>
      <c r="T21" s="82"/>
      <c r="U21" s="82"/>
      <c r="V21" s="82"/>
      <c r="W21" s="82"/>
      <c r="X21" s="82"/>
      <c r="Y21" s="82"/>
      <c r="Z21" s="82"/>
      <c r="AA21" s="82"/>
      <c r="AB21" s="82"/>
      <c r="AC21" s="82"/>
      <c r="AD21" s="82"/>
      <c r="AE21" s="82"/>
    </row>
    <row r="22" spans="1:31">
      <c r="B22" s="2"/>
      <c r="C22" s="2"/>
      <c r="D22" s="2"/>
      <c r="K22" s="82"/>
      <c r="L22" s="82"/>
      <c r="M22" s="82"/>
      <c r="N22" s="82"/>
      <c r="O22" s="82"/>
      <c r="P22" s="82"/>
      <c r="Q22" s="82"/>
      <c r="R22" s="82"/>
      <c r="S22" s="82"/>
      <c r="T22" s="82"/>
      <c r="U22" s="82"/>
      <c r="V22" s="82"/>
      <c r="W22" s="82"/>
      <c r="X22" s="82"/>
      <c r="Y22" s="82"/>
      <c r="Z22" s="82"/>
      <c r="AA22" s="82"/>
      <c r="AB22" s="82"/>
      <c r="AC22" s="82"/>
      <c r="AD22" s="82"/>
      <c r="AE22" s="82"/>
    </row>
    <row r="23" spans="1:31" ht="12" customHeight="1">
      <c r="B23" s="15"/>
      <c r="C23" s="3"/>
      <c r="D23" s="5"/>
      <c r="K23" s="82"/>
      <c r="L23" s="82"/>
      <c r="M23" s="82"/>
      <c r="N23" s="82"/>
      <c r="O23" s="82"/>
      <c r="P23" s="82"/>
      <c r="Q23" s="82"/>
      <c r="R23" s="82"/>
      <c r="S23" s="82"/>
      <c r="T23" s="82"/>
      <c r="U23" s="82"/>
      <c r="V23" s="82"/>
      <c r="W23" s="82"/>
      <c r="X23" s="82"/>
      <c r="Y23" s="82"/>
      <c r="Z23" s="82"/>
      <c r="AA23" s="82"/>
      <c r="AB23" s="82"/>
      <c r="AC23" s="82"/>
      <c r="AD23" s="82"/>
      <c r="AE23" s="82"/>
    </row>
    <row r="24" spans="1:31">
      <c r="B24" s="3"/>
      <c r="C24" s="3"/>
      <c r="D24" s="5"/>
      <c r="K24" s="82"/>
      <c r="L24" s="82"/>
      <c r="M24" s="82"/>
      <c r="N24" s="82"/>
      <c r="O24" s="82"/>
      <c r="P24" s="82"/>
      <c r="Q24" s="82"/>
      <c r="R24" s="82"/>
      <c r="S24" s="82"/>
      <c r="T24" s="82"/>
      <c r="U24" s="82"/>
      <c r="V24" s="82"/>
      <c r="W24" s="82"/>
      <c r="X24" s="82"/>
      <c r="Y24" s="82"/>
      <c r="Z24" s="82"/>
      <c r="AA24" s="82"/>
      <c r="AB24" s="82"/>
      <c r="AC24" s="82"/>
      <c r="AD24" s="82"/>
      <c r="AE24" s="82"/>
    </row>
    <row r="25" spans="1:31">
      <c r="D25" s="5"/>
      <c r="K25" s="82"/>
      <c r="L25" s="82"/>
      <c r="M25" s="82"/>
      <c r="N25" s="82"/>
      <c r="O25" s="82"/>
      <c r="P25" s="82"/>
      <c r="Q25" s="82"/>
      <c r="R25" s="82"/>
      <c r="S25" s="82"/>
      <c r="T25" s="82"/>
      <c r="U25" s="82"/>
      <c r="V25" s="82"/>
      <c r="W25" s="82"/>
      <c r="X25" s="82"/>
      <c r="Y25" s="82"/>
      <c r="Z25" s="82"/>
      <c r="AA25" s="82"/>
      <c r="AB25" s="82"/>
      <c r="AC25" s="82"/>
      <c r="AD25" s="82"/>
      <c r="AE25" s="82"/>
    </row>
    <row r="26" spans="1:31">
      <c r="D26" s="5"/>
      <c r="K26" s="82"/>
      <c r="L26" s="82"/>
      <c r="M26" s="82"/>
      <c r="N26" s="82"/>
      <c r="O26" s="82"/>
      <c r="P26" s="82"/>
      <c r="Q26" s="82"/>
      <c r="R26" s="82"/>
      <c r="S26" s="82"/>
      <c r="T26" s="82"/>
      <c r="U26" s="82"/>
      <c r="V26" s="82"/>
      <c r="W26" s="82"/>
      <c r="X26" s="82"/>
      <c r="Y26" s="82"/>
      <c r="Z26" s="82"/>
      <c r="AA26" s="82"/>
      <c r="AB26" s="82"/>
      <c r="AC26" s="82"/>
      <c r="AD26" s="82"/>
      <c r="AE26" s="82"/>
    </row>
    <row r="27" spans="1:31">
      <c r="D27" s="20"/>
      <c r="K27" s="82"/>
      <c r="L27" s="82"/>
      <c r="M27" s="82"/>
      <c r="N27" s="82"/>
      <c r="O27" s="82"/>
      <c r="P27" s="82"/>
      <c r="Q27" s="82"/>
      <c r="R27" s="82"/>
      <c r="S27" s="82"/>
      <c r="T27" s="82"/>
      <c r="U27" s="82"/>
      <c r="V27" s="82"/>
      <c r="W27" s="82"/>
      <c r="X27" s="82"/>
      <c r="Y27" s="82"/>
      <c r="Z27" s="82"/>
      <c r="AA27" s="82"/>
      <c r="AB27" s="82"/>
      <c r="AC27" s="82"/>
      <c r="AD27" s="82"/>
      <c r="AE27" s="82"/>
    </row>
    <row r="28" spans="1:31">
      <c r="D28" s="5"/>
      <c r="K28" s="82"/>
      <c r="L28" s="82"/>
      <c r="M28" s="82"/>
      <c r="N28" s="82"/>
      <c r="O28" s="82"/>
      <c r="P28" s="82"/>
      <c r="Q28" s="82"/>
      <c r="R28" s="82"/>
      <c r="S28" s="82"/>
      <c r="T28" s="82"/>
      <c r="U28" s="82"/>
      <c r="V28" s="82"/>
      <c r="W28" s="82"/>
      <c r="X28" s="82"/>
      <c r="Y28" s="82"/>
      <c r="Z28" s="82"/>
      <c r="AA28" s="82"/>
      <c r="AB28" s="82"/>
      <c r="AC28" s="82"/>
      <c r="AD28" s="82"/>
      <c r="AE28" s="82"/>
    </row>
    <row r="29" spans="1:31">
      <c r="D29" s="5"/>
      <c r="J29" s="82"/>
      <c r="K29" s="82"/>
      <c r="L29" s="82"/>
      <c r="M29" s="82"/>
      <c r="N29" s="82"/>
      <c r="O29" s="82"/>
      <c r="P29" s="82"/>
      <c r="Q29" s="82"/>
      <c r="R29" s="82"/>
      <c r="S29" s="82"/>
      <c r="T29" s="82"/>
      <c r="U29" s="82"/>
      <c r="V29" s="82"/>
      <c r="W29" s="82"/>
      <c r="X29" s="82"/>
      <c r="Y29" s="82"/>
      <c r="Z29" s="82"/>
      <c r="AA29" s="82"/>
      <c r="AB29" s="82"/>
      <c r="AC29" s="82"/>
      <c r="AD29" s="82"/>
      <c r="AE29" s="82"/>
    </row>
    <row r="30" spans="1:31" ht="14.25" customHeight="1">
      <c r="D30" s="5"/>
      <c r="J30" s="82"/>
      <c r="K30" s="82"/>
      <c r="L30" s="82"/>
      <c r="M30" s="82"/>
      <c r="N30" s="82"/>
      <c r="O30" s="82"/>
      <c r="P30" s="82"/>
      <c r="Q30" s="82"/>
      <c r="R30" s="82"/>
      <c r="S30" s="82"/>
      <c r="T30" s="82"/>
      <c r="U30" s="82"/>
      <c r="V30" s="82"/>
      <c r="W30" s="82"/>
      <c r="X30" s="82"/>
      <c r="Y30" s="82"/>
      <c r="Z30" s="82"/>
      <c r="AA30" s="82"/>
      <c r="AB30" s="82"/>
      <c r="AC30" s="82"/>
      <c r="AD30" s="82"/>
      <c r="AE30" s="82"/>
    </row>
    <row r="31" spans="1:31">
      <c r="B31" s="19"/>
      <c r="C31" s="19"/>
      <c r="D31" s="20"/>
      <c r="F31" s="82"/>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row>
    <row r="32" spans="1:31">
      <c r="B32" s="38"/>
      <c r="C32" s="3"/>
      <c r="D32" s="3"/>
      <c r="F32" s="82"/>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row>
    <row r="33" spans="6:31">
      <c r="F33" s="82"/>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row>
    <row r="34" spans="6:31">
      <c r="F34" s="82"/>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row>
    <row r="35" spans="6:31">
      <c r="F35" s="82"/>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row>
    <row r="36" spans="6:31">
      <c r="F36" s="8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row>
    <row r="37" spans="6:31">
      <c r="F37" s="8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row>
    <row r="38" spans="6:31">
      <c r="F38" s="8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29" t="s">
        <v>100</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77" customWidth="1"/>
    <col min="2" max="2" width="31.140625" style="77" customWidth="1"/>
    <col min="3" max="3" width="13.140625" style="77" customWidth="1"/>
    <col min="4" max="4" width="4.28515625" style="77" customWidth="1"/>
    <col min="5" max="5" width="10.7109375" style="77" customWidth="1"/>
    <col min="6" max="6" width="16.85546875" style="77" customWidth="1"/>
    <col min="7" max="7" width="10.140625" style="77" customWidth="1" collapsed="1"/>
    <col min="8" max="9" width="10.42578125" style="77" customWidth="1"/>
    <col min="10" max="10" width="9.140625" style="77" customWidth="1"/>
    <col min="11" max="11" width="9" style="77" customWidth="1"/>
    <col min="12" max="12" width="9.85546875" style="77" customWidth="1"/>
    <col min="13" max="26" width="9.140625" style="77" customWidth="1"/>
    <col min="27" max="27" width="9.28515625" style="77" customWidth="1"/>
    <col min="28" max="28" width="9.42578125" style="77" customWidth="1"/>
    <col min="29" max="29" width="10" style="77" customWidth="1"/>
    <col min="30" max="30" width="11.42578125" style="77" customWidth="1"/>
    <col min="31" max="31" width="9.42578125" style="77" bestFit="1" customWidth="1" collapsed="1"/>
    <col min="32" max="16384" width="9.140625" style="77"/>
  </cols>
  <sheetData>
    <row r="1" spans="1:32" s="76" customFormat="1" ht="15" customHeight="1">
      <c r="B1" s="15" t="s">
        <v>80</v>
      </c>
      <c r="C1" s="75"/>
      <c r="D1" s="75"/>
      <c r="E1" s="75"/>
      <c r="F1" s="75"/>
      <c r="G1" s="75"/>
      <c r="H1" s="75"/>
      <c r="I1" s="75"/>
      <c r="J1" s="75"/>
      <c r="K1" s="75"/>
      <c r="L1" s="75"/>
    </row>
    <row r="2" spans="1:32" ht="12" customHeight="1">
      <c r="C2" s="89"/>
    </row>
    <row r="3" spans="1:32" ht="12" customHeight="1">
      <c r="A3" s="79"/>
      <c r="B3" s="237" t="s">
        <v>85</v>
      </c>
      <c r="C3" s="237"/>
      <c r="D3" s="111"/>
      <c r="E3" s="86"/>
      <c r="F3" s="78"/>
      <c r="G3" s="95"/>
      <c r="H3" s="95"/>
      <c r="I3" s="95"/>
      <c r="J3" s="95"/>
      <c r="K3" s="95"/>
      <c r="L3" s="95"/>
      <c r="M3" s="95"/>
      <c r="N3" s="95"/>
      <c r="O3" s="95"/>
      <c r="P3" s="95"/>
      <c r="Q3" s="95"/>
    </row>
    <row r="4" spans="1:32" ht="12" customHeight="1" thickBot="1">
      <c r="A4" s="84"/>
      <c r="B4" s="334" t="str">
        <f>Drivers!$C$5&amp;" in mil"</f>
        <v>$ in mil</v>
      </c>
      <c r="C4" s="391"/>
      <c r="D4" s="114"/>
      <c r="E4" s="116"/>
      <c r="F4" s="115"/>
      <c r="G4" s="112"/>
      <c r="H4" s="112"/>
      <c r="I4" s="112"/>
      <c r="J4" s="112"/>
      <c r="K4" s="112"/>
      <c r="L4" s="112"/>
      <c r="M4" s="112"/>
      <c r="N4" s="112"/>
      <c r="O4" s="112"/>
      <c r="P4" s="112"/>
      <c r="Q4" s="78"/>
      <c r="S4" s="81"/>
      <c r="T4" s="81"/>
      <c r="U4" s="81"/>
      <c r="V4" s="81"/>
      <c r="AA4" s="81"/>
    </row>
    <row r="5" spans="1:32" ht="12" customHeight="1">
      <c r="A5" s="84"/>
      <c r="B5" s="77" t="s">
        <v>81</v>
      </c>
      <c r="C5" s="343">
        <f>'Balance Sheet'!H6</f>
        <v>12970</v>
      </c>
      <c r="D5" s="114"/>
      <c r="E5" s="114"/>
      <c r="F5" s="114"/>
      <c r="G5" s="36"/>
      <c r="H5" s="36"/>
      <c r="I5" s="36"/>
      <c r="J5" s="92"/>
      <c r="K5" s="36"/>
      <c r="L5" s="36"/>
      <c r="M5" s="36"/>
      <c r="N5" s="36"/>
      <c r="O5" s="36"/>
      <c r="P5" s="36"/>
      <c r="Q5" s="36"/>
      <c r="S5" s="82"/>
      <c r="T5" s="82"/>
      <c r="U5" s="82"/>
      <c r="V5" s="82"/>
      <c r="W5" s="82"/>
      <c r="X5" s="82"/>
      <c r="Y5" s="82"/>
      <c r="Z5" s="82"/>
      <c r="AA5" s="82"/>
      <c r="AB5" s="82"/>
      <c r="AC5" s="82"/>
      <c r="AD5" s="82"/>
      <c r="AE5" s="82"/>
      <c r="AF5" s="82"/>
    </row>
    <row r="6" spans="1:32" ht="12" customHeight="1">
      <c r="A6" s="84"/>
      <c r="B6" s="77" t="s">
        <v>278</v>
      </c>
      <c r="C6" s="343">
        <f>'Balance Sheet'!H7</f>
        <v>735</v>
      </c>
      <c r="D6" s="114"/>
      <c r="E6" s="114"/>
      <c r="F6" s="114"/>
      <c r="G6" s="92"/>
      <c r="H6" s="92"/>
      <c r="I6" s="92"/>
      <c r="J6" s="92"/>
      <c r="K6" s="92"/>
      <c r="L6" s="92"/>
      <c r="M6" s="92"/>
      <c r="N6" s="92"/>
      <c r="O6" s="92"/>
      <c r="P6" s="92"/>
      <c r="Q6" s="92"/>
      <c r="S6" s="82"/>
      <c r="T6" s="82"/>
      <c r="U6" s="82"/>
      <c r="V6" s="82"/>
      <c r="W6" s="82"/>
      <c r="X6" s="82"/>
      <c r="Y6" s="82"/>
      <c r="Z6" s="82"/>
      <c r="AA6" s="82"/>
      <c r="AB6" s="82"/>
      <c r="AC6" s="82"/>
      <c r="AD6" s="82"/>
      <c r="AE6" s="82"/>
      <c r="AF6" s="82"/>
    </row>
    <row r="7" spans="1:32" ht="12" customHeight="1">
      <c r="B7" s="361" t="s">
        <v>85</v>
      </c>
      <c r="C7" s="363">
        <f>SUM(C5:C6)</f>
        <v>13705</v>
      </c>
      <c r="D7" s="114"/>
      <c r="E7" s="114"/>
      <c r="F7" s="114"/>
      <c r="G7" s="92"/>
      <c r="I7" s="80"/>
      <c r="J7" s="90"/>
      <c r="N7" s="82"/>
      <c r="O7" s="82"/>
      <c r="P7" s="89"/>
      <c r="Q7" s="92"/>
      <c r="S7" s="82"/>
      <c r="T7" s="82"/>
      <c r="U7" s="82"/>
      <c r="V7" s="82"/>
      <c r="W7" s="82"/>
      <c r="X7" s="82"/>
      <c r="Y7" s="82"/>
      <c r="Z7" s="82"/>
      <c r="AA7" s="82"/>
      <c r="AB7" s="82"/>
      <c r="AC7" s="82"/>
      <c r="AD7" s="82"/>
      <c r="AE7" s="82"/>
      <c r="AF7" s="82"/>
    </row>
    <row r="8" spans="1:32" ht="12" customHeight="1">
      <c r="A8" s="84"/>
      <c r="B8" s="80"/>
      <c r="C8" s="114"/>
      <c r="D8" s="114"/>
      <c r="E8" s="114"/>
      <c r="F8" s="114"/>
      <c r="G8" s="107"/>
      <c r="H8" s="92"/>
      <c r="J8" s="104"/>
      <c r="K8" s="105"/>
      <c r="O8" s="82"/>
      <c r="P8" s="82"/>
      <c r="Q8" s="82"/>
      <c r="R8" s="82"/>
      <c r="S8" s="82"/>
      <c r="T8" s="82"/>
      <c r="U8" s="82"/>
      <c r="V8" s="82"/>
      <c r="W8" s="82"/>
      <c r="X8" s="82"/>
      <c r="Y8" s="82"/>
      <c r="Z8" s="82"/>
      <c r="AA8" s="82"/>
      <c r="AB8" s="82"/>
      <c r="AC8" s="82"/>
      <c r="AD8" s="82"/>
      <c r="AE8" s="82"/>
      <c r="AF8" s="82"/>
    </row>
    <row r="9" spans="1:32" ht="12" customHeight="1">
      <c r="A9" s="84"/>
      <c r="B9" s="77" t="s">
        <v>289</v>
      </c>
      <c r="C9" s="70">
        <f>'Expected Growth Rate'!C9</f>
        <v>0.2776901745949828</v>
      </c>
      <c r="D9" s="114"/>
      <c r="E9" s="114"/>
      <c r="F9" s="114"/>
      <c r="G9" s="107"/>
      <c r="H9" s="92"/>
      <c r="J9" s="80"/>
      <c r="K9" s="90"/>
      <c r="O9" s="82"/>
      <c r="P9" s="82"/>
      <c r="Q9" s="82"/>
      <c r="R9" s="82"/>
      <c r="S9" s="82"/>
      <c r="T9" s="82"/>
      <c r="U9" s="82"/>
      <c r="V9" s="82"/>
      <c r="W9" s="82"/>
      <c r="X9" s="82"/>
      <c r="Y9" s="82"/>
      <c r="Z9" s="82"/>
      <c r="AA9" s="82"/>
      <c r="AB9" s="82"/>
      <c r="AC9" s="82"/>
      <c r="AD9" s="82"/>
      <c r="AE9" s="82"/>
      <c r="AF9" s="82"/>
    </row>
    <row r="10" spans="1:32">
      <c r="A10" s="80"/>
      <c r="B10" s="77" t="s">
        <v>6</v>
      </c>
      <c r="C10" s="70">
        <f ca="1">'Cost of Equity, Debt &amp; WACC'!C29</f>
        <v>6.3765429096210455E-2</v>
      </c>
      <c r="D10" s="114"/>
      <c r="E10" s="114"/>
      <c r="F10" s="114"/>
      <c r="G10" s="95"/>
      <c r="H10" s="95"/>
      <c r="I10" s="95"/>
      <c r="J10" s="95"/>
      <c r="K10" s="95"/>
      <c r="O10" s="82"/>
      <c r="P10" s="82"/>
      <c r="Q10" s="82"/>
      <c r="R10" s="82"/>
      <c r="S10" s="82"/>
      <c r="T10" s="82"/>
      <c r="U10" s="82"/>
      <c r="V10" s="82"/>
      <c r="W10" s="82"/>
      <c r="X10" s="82"/>
      <c r="Y10" s="82"/>
      <c r="Z10" s="82"/>
      <c r="AA10" s="82"/>
      <c r="AB10" s="82"/>
      <c r="AC10" s="82"/>
      <c r="AD10" s="82"/>
      <c r="AE10" s="82"/>
      <c r="AF10" s="82"/>
    </row>
    <row r="11" spans="1:32" ht="12.75" customHeight="1">
      <c r="A11" s="84"/>
      <c r="B11" s="393" t="s">
        <v>353</v>
      </c>
      <c r="C11" s="412">
        <f ca="1">C9-C10</f>
        <v>0.21392474549877233</v>
      </c>
      <c r="D11" s="114"/>
      <c r="E11" s="114"/>
      <c r="F11" s="114"/>
      <c r="G11" s="51"/>
      <c r="K11" s="90"/>
      <c r="O11" s="82"/>
      <c r="P11" s="82"/>
      <c r="Q11" s="82"/>
      <c r="R11" s="82"/>
      <c r="S11" s="82"/>
      <c r="T11" s="82"/>
      <c r="U11" s="82"/>
      <c r="V11" s="82"/>
      <c r="W11" s="82"/>
      <c r="X11" s="82"/>
      <c r="Y11" s="82"/>
      <c r="Z11" s="82"/>
      <c r="AA11" s="82"/>
      <c r="AB11" s="82"/>
      <c r="AC11" s="82"/>
      <c r="AD11" s="82"/>
      <c r="AE11" s="82"/>
      <c r="AF11" s="82"/>
    </row>
    <row r="12" spans="1:32">
      <c r="B12" s="80"/>
      <c r="C12" s="114"/>
      <c r="D12" s="114"/>
      <c r="E12" s="114"/>
      <c r="F12" s="114"/>
      <c r="G12" s="51"/>
      <c r="K12" s="90"/>
      <c r="L12" s="95"/>
      <c r="M12" s="95"/>
      <c r="N12" s="95"/>
      <c r="O12" s="95"/>
      <c r="P12" s="95"/>
      <c r="Q12" s="95"/>
      <c r="R12" s="82"/>
      <c r="S12" s="82"/>
      <c r="T12" s="82"/>
      <c r="U12" s="82"/>
      <c r="V12" s="82"/>
      <c r="W12" s="82"/>
      <c r="X12" s="82"/>
      <c r="Y12" s="82"/>
      <c r="Z12" s="82"/>
      <c r="AA12" s="82"/>
      <c r="AB12" s="82"/>
      <c r="AC12" s="82"/>
      <c r="AD12" s="82"/>
      <c r="AE12" s="82"/>
      <c r="AF12" s="82"/>
    </row>
    <row r="13" spans="1:32" ht="12" customHeight="1">
      <c r="A13" s="84"/>
      <c r="B13" s="338" t="s">
        <v>354</v>
      </c>
      <c r="C13" s="349">
        <f ca="1">C7*(1+C11)</f>
        <v>16636.838637060675</v>
      </c>
      <c r="D13" s="114"/>
      <c r="E13" s="114"/>
      <c r="F13" s="114"/>
      <c r="G13" s="108"/>
      <c r="H13" s="85"/>
      <c r="K13" s="90"/>
      <c r="O13" s="82"/>
      <c r="P13" s="82"/>
      <c r="Q13" s="82"/>
      <c r="R13" s="82"/>
      <c r="S13" s="82"/>
      <c r="T13" s="82"/>
      <c r="U13" s="82"/>
      <c r="V13" s="82"/>
      <c r="W13" s="82"/>
      <c r="X13" s="82"/>
      <c r="Y13" s="82"/>
      <c r="Z13" s="82"/>
      <c r="AA13" s="82"/>
      <c r="AB13" s="82"/>
      <c r="AC13" s="82"/>
      <c r="AD13" s="82"/>
      <c r="AE13" s="82"/>
      <c r="AF13" s="82"/>
    </row>
    <row r="14" spans="1:32">
      <c r="C14" s="114"/>
      <c r="D14" s="114"/>
      <c r="E14" s="114"/>
      <c r="F14" s="114"/>
      <c r="G14" s="3"/>
      <c r="O14" s="82"/>
      <c r="P14" s="82"/>
      <c r="Q14" s="82"/>
      <c r="R14" s="82"/>
      <c r="S14" s="82"/>
      <c r="T14" s="82"/>
      <c r="U14" s="82"/>
      <c r="V14" s="82"/>
      <c r="W14" s="82"/>
      <c r="X14" s="82"/>
      <c r="Y14" s="82"/>
      <c r="Z14" s="82"/>
      <c r="AA14" s="82"/>
      <c r="AB14" s="82"/>
      <c r="AC14" s="82"/>
      <c r="AD14" s="82"/>
      <c r="AE14" s="82"/>
      <c r="AF14" s="82"/>
    </row>
    <row r="15" spans="1:32">
      <c r="C15" s="114"/>
      <c r="D15" s="114"/>
      <c r="E15" s="114"/>
      <c r="F15" s="114"/>
      <c r="G15" s="39"/>
      <c r="K15" s="106"/>
      <c r="O15" s="82"/>
      <c r="P15" s="82"/>
      <c r="Q15" s="82"/>
      <c r="R15" s="82"/>
      <c r="S15" s="82"/>
      <c r="T15" s="82"/>
      <c r="U15" s="82"/>
      <c r="V15" s="82"/>
      <c r="W15" s="82"/>
      <c r="X15" s="82"/>
      <c r="Y15" s="82"/>
      <c r="Z15" s="82"/>
      <c r="AA15" s="82"/>
      <c r="AB15" s="82"/>
      <c r="AC15" s="82"/>
      <c r="AD15" s="82"/>
      <c r="AE15" s="82"/>
      <c r="AF15" s="82"/>
    </row>
    <row r="16" spans="1:32">
      <c r="D16" s="114"/>
      <c r="E16" s="114"/>
      <c r="F16" s="114"/>
      <c r="K16" s="82"/>
      <c r="O16" s="82"/>
      <c r="P16" s="82"/>
      <c r="Q16" s="82"/>
      <c r="R16" s="82"/>
      <c r="S16" s="82"/>
      <c r="T16" s="82"/>
      <c r="U16" s="82"/>
      <c r="V16" s="82"/>
      <c r="W16" s="82"/>
      <c r="X16" s="82"/>
      <c r="Y16" s="82"/>
      <c r="Z16" s="82"/>
      <c r="AA16" s="82"/>
      <c r="AB16" s="82"/>
      <c r="AC16" s="82"/>
      <c r="AD16" s="82"/>
      <c r="AE16" s="82"/>
      <c r="AF16" s="82"/>
    </row>
    <row r="17" spans="1:32">
      <c r="D17" s="114"/>
      <c r="E17" s="114"/>
      <c r="F17" s="114"/>
      <c r="G17" s="55"/>
      <c r="J17" s="86"/>
      <c r="K17" s="82"/>
      <c r="L17" s="82"/>
      <c r="O17" s="82"/>
      <c r="P17" s="82"/>
      <c r="Q17" s="82"/>
      <c r="R17" s="82"/>
      <c r="S17" s="82"/>
      <c r="T17" s="82"/>
      <c r="U17" s="82"/>
      <c r="V17" s="82"/>
      <c r="W17" s="82"/>
      <c r="X17" s="82"/>
      <c r="Y17" s="82"/>
      <c r="Z17" s="82"/>
      <c r="AA17" s="82"/>
      <c r="AB17" s="82"/>
      <c r="AC17" s="82"/>
      <c r="AD17" s="82"/>
      <c r="AE17" s="82"/>
      <c r="AF17" s="82"/>
    </row>
    <row r="18" spans="1:32">
      <c r="A18" s="84"/>
      <c r="D18" s="114"/>
      <c r="E18" s="114"/>
      <c r="F18" s="114"/>
      <c r="G18" s="108"/>
      <c r="J18" s="92"/>
      <c r="K18" s="82"/>
      <c r="L18" s="82"/>
      <c r="M18" s="82"/>
      <c r="N18" s="82"/>
      <c r="O18" s="82"/>
      <c r="P18" s="82"/>
      <c r="Q18" s="82"/>
      <c r="R18" s="82"/>
      <c r="S18" s="82"/>
      <c r="T18" s="82"/>
      <c r="U18" s="82"/>
      <c r="V18" s="82"/>
      <c r="W18" s="82"/>
      <c r="X18" s="82"/>
      <c r="Y18" s="82"/>
      <c r="Z18" s="82"/>
      <c r="AA18" s="82"/>
      <c r="AB18" s="82"/>
      <c r="AC18" s="82"/>
      <c r="AD18" s="82"/>
      <c r="AE18" s="82"/>
      <c r="AF18" s="82"/>
    </row>
    <row r="19" spans="1:32">
      <c r="D19" s="114"/>
      <c r="E19" s="114"/>
      <c r="F19" s="114"/>
      <c r="G19" s="51"/>
      <c r="H19" s="85"/>
      <c r="J19" s="92"/>
      <c r="K19" s="82"/>
      <c r="L19" s="82"/>
      <c r="M19" s="82"/>
      <c r="N19" s="82"/>
      <c r="O19" s="82"/>
      <c r="P19" s="82"/>
      <c r="Q19" s="82"/>
      <c r="R19" s="82"/>
      <c r="S19" s="82"/>
      <c r="T19" s="82"/>
      <c r="U19" s="82"/>
      <c r="V19" s="82"/>
      <c r="W19" s="82"/>
      <c r="X19" s="82"/>
      <c r="Y19" s="82"/>
      <c r="Z19" s="82"/>
      <c r="AA19" s="82"/>
      <c r="AB19" s="82"/>
      <c r="AC19" s="82"/>
      <c r="AD19" s="82"/>
      <c r="AE19" s="82"/>
      <c r="AF19" s="82"/>
    </row>
    <row r="20" spans="1:32">
      <c r="A20" s="84"/>
      <c r="D20" s="114"/>
      <c r="E20" s="114"/>
      <c r="F20" s="114"/>
      <c r="G20" s="51"/>
      <c r="H20" s="85"/>
      <c r="J20" s="92"/>
      <c r="K20" s="82"/>
      <c r="L20" s="82"/>
      <c r="M20" s="82"/>
      <c r="N20" s="82"/>
      <c r="O20" s="82"/>
      <c r="P20" s="82"/>
      <c r="Q20" s="82"/>
      <c r="R20" s="82"/>
      <c r="S20" s="82"/>
      <c r="T20" s="82"/>
      <c r="U20" s="82"/>
      <c r="V20" s="82"/>
      <c r="W20" s="82"/>
      <c r="X20" s="82"/>
      <c r="Y20" s="82"/>
      <c r="Z20" s="82"/>
      <c r="AA20" s="82"/>
      <c r="AB20" s="82"/>
      <c r="AC20" s="82"/>
      <c r="AD20" s="82"/>
      <c r="AE20" s="82"/>
      <c r="AF20" s="82"/>
    </row>
    <row r="21" spans="1:32">
      <c r="D21" s="114"/>
      <c r="E21" s="114"/>
      <c r="F21" s="114"/>
      <c r="G21" s="3"/>
      <c r="J21" s="92"/>
      <c r="K21" s="82"/>
      <c r="L21" s="82"/>
      <c r="M21" s="82"/>
      <c r="N21" s="82"/>
      <c r="O21" s="82"/>
      <c r="P21" s="82"/>
      <c r="Q21" s="82"/>
      <c r="R21" s="82"/>
      <c r="S21" s="82"/>
      <c r="T21" s="82"/>
      <c r="U21" s="82"/>
      <c r="V21" s="82"/>
      <c r="W21" s="82"/>
      <c r="X21" s="82"/>
      <c r="Y21" s="82"/>
      <c r="Z21" s="82"/>
      <c r="AA21" s="82"/>
      <c r="AB21" s="82"/>
      <c r="AC21" s="82"/>
      <c r="AD21" s="82"/>
      <c r="AE21" s="82"/>
      <c r="AF21" s="82"/>
    </row>
    <row r="22" spans="1:32">
      <c r="E22" s="3"/>
      <c r="F22" s="19"/>
      <c r="G22" s="39"/>
      <c r="J22" s="92"/>
      <c r="K22" s="82"/>
      <c r="L22" s="82"/>
      <c r="M22" s="82"/>
      <c r="N22" s="82"/>
      <c r="O22" s="82"/>
      <c r="P22" s="82"/>
      <c r="Q22" s="82"/>
      <c r="R22" s="82"/>
      <c r="S22" s="82"/>
      <c r="T22" s="82"/>
      <c r="U22" s="82"/>
      <c r="V22" s="82"/>
      <c r="W22" s="82"/>
      <c r="X22" s="82"/>
      <c r="Y22" s="82"/>
      <c r="Z22" s="82"/>
      <c r="AA22" s="82"/>
      <c r="AB22" s="82"/>
      <c r="AC22" s="82"/>
      <c r="AD22" s="82"/>
      <c r="AE22" s="82"/>
      <c r="AF22" s="82"/>
    </row>
    <row r="23" spans="1:32" ht="12" customHeight="1">
      <c r="E23" s="5"/>
      <c r="J23" s="92"/>
      <c r="K23" s="82"/>
      <c r="L23" s="82"/>
      <c r="M23" s="82"/>
      <c r="N23" s="82"/>
      <c r="O23" s="82"/>
      <c r="P23" s="82"/>
      <c r="Q23" s="82"/>
      <c r="R23" s="82"/>
      <c r="S23" s="82"/>
      <c r="T23" s="82"/>
      <c r="U23" s="82"/>
      <c r="V23" s="82"/>
      <c r="W23" s="82"/>
      <c r="X23" s="82"/>
      <c r="Y23" s="82"/>
      <c r="Z23" s="82"/>
      <c r="AA23" s="82"/>
      <c r="AB23" s="82"/>
      <c r="AC23" s="82"/>
      <c r="AD23" s="82"/>
      <c r="AE23" s="82"/>
      <c r="AF23" s="82"/>
    </row>
    <row r="24" spans="1:32">
      <c r="E24" s="5"/>
      <c r="F24" s="80"/>
      <c r="G24" s="16"/>
      <c r="J24" s="92"/>
      <c r="K24" s="82"/>
      <c r="L24" s="82"/>
      <c r="M24" s="82"/>
      <c r="N24" s="82"/>
      <c r="O24" s="82"/>
      <c r="P24" s="82"/>
      <c r="Q24" s="82"/>
      <c r="R24" s="82"/>
      <c r="S24" s="82"/>
      <c r="T24" s="82"/>
      <c r="U24" s="82"/>
      <c r="V24" s="82"/>
      <c r="W24" s="82"/>
      <c r="X24" s="82"/>
      <c r="Y24" s="82"/>
      <c r="Z24" s="82"/>
      <c r="AA24" s="82"/>
      <c r="AB24" s="82"/>
      <c r="AC24" s="82"/>
      <c r="AD24" s="82"/>
      <c r="AE24" s="82"/>
      <c r="AF24" s="82"/>
    </row>
    <row r="25" spans="1:32">
      <c r="E25" s="5"/>
      <c r="F25" s="80"/>
      <c r="G25" s="113"/>
      <c r="J25" s="92"/>
      <c r="K25" s="82"/>
      <c r="L25" s="82"/>
      <c r="M25" s="82"/>
      <c r="N25" s="82"/>
      <c r="O25" s="82"/>
      <c r="P25" s="82"/>
      <c r="Q25" s="82"/>
      <c r="R25" s="82"/>
      <c r="S25" s="82"/>
      <c r="T25" s="82"/>
      <c r="U25" s="82"/>
      <c r="V25" s="82"/>
      <c r="W25" s="82"/>
      <c r="X25" s="82"/>
      <c r="Y25" s="82"/>
      <c r="Z25" s="82"/>
      <c r="AA25" s="82"/>
      <c r="AB25" s="82"/>
      <c r="AC25" s="82"/>
      <c r="AD25" s="82"/>
      <c r="AE25" s="82"/>
      <c r="AF25" s="82"/>
    </row>
    <row r="26" spans="1:32">
      <c r="D26" s="5"/>
      <c r="E26" s="5"/>
      <c r="F26" s="80"/>
      <c r="G26" s="51"/>
      <c r="J26" s="93"/>
      <c r="K26" s="82"/>
      <c r="L26" s="82"/>
      <c r="M26" s="82"/>
      <c r="N26" s="82"/>
      <c r="O26" s="82"/>
      <c r="P26" s="82"/>
      <c r="Q26" s="82"/>
      <c r="R26" s="82"/>
      <c r="S26" s="82"/>
      <c r="T26" s="82"/>
      <c r="U26" s="82"/>
      <c r="V26" s="82"/>
      <c r="W26" s="82"/>
      <c r="X26" s="82"/>
      <c r="Y26" s="82"/>
      <c r="Z26" s="82"/>
      <c r="AA26" s="82"/>
      <c r="AB26" s="82"/>
      <c r="AC26" s="82"/>
      <c r="AD26" s="82"/>
      <c r="AE26" s="82"/>
      <c r="AF26" s="82"/>
    </row>
    <row r="27" spans="1:32">
      <c r="D27" s="20"/>
      <c r="E27" s="20"/>
      <c r="L27" s="82"/>
      <c r="M27" s="82"/>
      <c r="N27" s="82"/>
      <c r="O27" s="82"/>
      <c r="P27" s="82"/>
      <c r="Q27" s="82"/>
      <c r="R27" s="82"/>
      <c r="S27" s="82"/>
      <c r="T27" s="82"/>
      <c r="U27" s="82"/>
      <c r="V27" s="82"/>
      <c r="W27" s="82"/>
      <c r="X27" s="82"/>
      <c r="Y27" s="82"/>
      <c r="Z27" s="82"/>
      <c r="AA27" s="82"/>
      <c r="AB27" s="82"/>
      <c r="AC27" s="82"/>
      <c r="AD27" s="82"/>
      <c r="AE27" s="82"/>
      <c r="AF27" s="82"/>
    </row>
    <row r="28" spans="1:32">
      <c r="D28" s="5"/>
      <c r="E28" s="5"/>
      <c r="L28" s="82"/>
      <c r="M28" s="82"/>
      <c r="N28" s="82"/>
      <c r="O28" s="82"/>
      <c r="P28" s="82"/>
      <c r="Q28" s="82"/>
      <c r="R28" s="82"/>
      <c r="S28" s="82"/>
      <c r="T28" s="82"/>
      <c r="U28" s="82"/>
      <c r="V28" s="82"/>
      <c r="W28" s="82"/>
      <c r="X28" s="82"/>
      <c r="Y28" s="82"/>
      <c r="Z28" s="82"/>
      <c r="AA28" s="82"/>
      <c r="AB28" s="82"/>
      <c r="AC28" s="82"/>
      <c r="AD28" s="82"/>
      <c r="AE28" s="82"/>
      <c r="AF28" s="82"/>
    </row>
    <row r="29" spans="1:32">
      <c r="D29" s="5"/>
      <c r="E29" s="5"/>
      <c r="K29" s="82"/>
      <c r="L29" s="82"/>
      <c r="M29" s="82"/>
      <c r="N29" s="82"/>
      <c r="O29" s="82"/>
      <c r="P29" s="82"/>
      <c r="Q29" s="82"/>
      <c r="R29" s="82"/>
      <c r="S29" s="82"/>
      <c r="T29" s="82"/>
      <c r="U29" s="82"/>
      <c r="V29" s="82"/>
      <c r="W29" s="82"/>
      <c r="X29" s="82"/>
      <c r="Y29" s="82"/>
      <c r="Z29" s="82"/>
      <c r="AA29" s="82"/>
      <c r="AB29" s="82"/>
      <c r="AC29" s="82"/>
      <c r="AD29" s="82"/>
      <c r="AE29" s="82"/>
      <c r="AF29" s="82"/>
    </row>
    <row r="30" spans="1:32" ht="14.25" customHeight="1">
      <c r="D30" s="5"/>
      <c r="E30" s="5"/>
      <c r="K30" s="82"/>
      <c r="L30" s="82"/>
      <c r="M30" s="82"/>
      <c r="N30" s="82"/>
      <c r="O30" s="82"/>
      <c r="P30" s="82"/>
      <c r="Q30" s="82"/>
      <c r="R30" s="82"/>
      <c r="S30" s="82"/>
      <c r="T30" s="82"/>
      <c r="U30" s="82"/>
      <c r="V30" s="82"/>
      <c r="W30" s="82"/>
      <c r="X30" s="82"/>
      <c r="Y30" s="82"/>
      <c r="Z30" s="82"/>
      <c r="AA30" s="82"/>
      <c r="AB30" s="82"/>
      <c r="AC30" s="82"/>
      <c r="AD30" s="82"/>
      <c r="AE30" s="82"/>
      <c r="AF30" s="82"/>
    </row>
    <row r="31" spans="1:32">
      <c r="D31" s="20"/>
      <c r="E31" s="20"/>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row>
    <row r="32" spans="1:32">
      <c r="D32" s="3"/>
      <c r="E32" s="3"/>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row>
    <row r="33" spans="4:32">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row>
    <row r="34" spans="4:32">
      <c r="D34" s="19"/>
      <c r="E34" s="19"/>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row>
    <row r="35" spans="4:32">
      <c r="D35" s="38"/>
      <c r="E35" s="3"/>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row>
    <row r="36" spans="4:3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row>
    <row r="37" spans="4:3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row>
    <row r="38" spans="4:3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77" customWidth="1"/>
    <col min="2" max="2" width="28.7109375" style="77" customWidth="1"/>
    <col min="3" max="6" width="11.7109375" style="77" customWidth="1"/>
    <col min="7" max="7" width="11.7109375" style="77" customWidth="1" collapsed="1"/>
    <col min="8" max="13" width="11.7109375" style="77" customWidth="1"/>
    <col min="14" max="26" width="9.140625" style="77" customWidth="1"/>
    <col min="27" max="27" width="9.28515625" style="77" customWidth="1"/>
    <col min="28" max="28" width="9.42578125" style="77" customWidth="1"/>
    <col min="29" max="29" width="10" style="77" customWidth="1"/>
    <col min="30" max="30" width="11.42578125" style="77" customWidth="1"/>
    <col min="31" max="31" width="9.42578125" style="77" bestFit="1" customWidth="1" collapsed="1"/>
    <col min="32" max="16384" width="9.140625" style="77"/>
  </cols>
  <sheetData>
    <row r="1" spans="1:32" s="76" customFormat="1" ht="15" customHeight="1">
      <c r="B1" s="15" t="s">
        <v>488</v>
      </c>
      <c r="C1" s="75"/>
      <c r="D1" s="75"/>
      <c r="E1" s="75"/>
      <c r="F1" s="75"/>
      <c r="G1" s="75"/>
      <c r="H1" s="75"/>
      <c r="I1" s="75"/>
      <c r="J1" s="75"/>
      <c r="K1" s="75"/>
      <c r="L1" s="75"/>
    </row>
    <row r="2" spans="1:32" ht="12" customHeight="1">
      <c r="C2" s="89"/>
    </row>
    <row r="3" spans="1:32" ht="12" customHeight="1">
      <c r="A3" s="79"/>
      <c r="G3" s="95"/>
      <c r="H3" s="95"/>
      <c r="I3" s="96"/>
      <c r="J3" s="95"/>
      <c r="K3" s="95"/>
      <c r="L3" s="95"/>
      <c r="M3" s="95"/>
      <c r="N3" s="95"/>
      <c r="O3" s="95"/>
      <c r="P3" s="95"/>
      <c r="Q3" s="95"/>
    </row>
    <row r="4" spans="1:32" ht="12" customHeight="1">
      <c r="A4" s="84"/>
      <c r="B4" s="237" t="s">
        <v>489</v>
      </c>
      <c r="C4" s="237"/>
      <c r="D4" s="237"/>
      <c r="E4" s="237"/>
      <c r="F4" s="237"/>
      <c r="G4" s="429"/>
      <c r="H4" s="134"/>
      <c r="I4" s="112"/>
      <c r="J4" s="112"/>
      <c r="K4" s="112"/>
      <c r="L4" s="112"/>
      <c r="M4" s="112"/>
      <c r="N4" s="112"/>
      <c r="O4" s="112"/>
      <c r="P4" s="78"/>
      <c r="R4" s="81"/>
      <c r="S4" s="81"/>
      <c r="T4" s="81"/>
      <c r="U4" s="81"/>
      <c r="Z4" s="81"/>
    </row>
    <row r="5" spans="1:32" ht="12" customHeight="1" thickBot="1">
      <c r="A5" s="84"/>
      <c r="B5" s="334" t="str">
        <f>Drivers!$C$5&amp;" in mil"</f>
        <v>$ in mil</v>
      </c>
      <c r="C5" s="351">
        <v>43101</v>
      </c>
      <c r="D5" s="351">
        <f>EDATE(C5,12)</f>
        <v>43466</v>
      </c>
      <c r="E5" s="351">
        <f>EDATE(D5,12)</f>
        <v>43831</v>
      </c>
      <c r="F5" s="351">
        <f>EDATE(E5,12)</f>
        <v>44197</v>
      </c>
      <c r="G5" s="351">
        <f>EDATE(F5,12)</f>
        <v>44562</v>
      </c>
      <c r="H5" s="134"/>
      <c r="I5" s="92"/>
      <c r="J5" s="36"/>
      <c r="K5" s="36"/>
      <c r="L5" s="36"/>
      <c r="M5" s="36"/>
      <c r="N5" s="36"/>
      <c r="O5" s="36"/>
      <c r="P5" s="36"/>
      <c r="R5" s="82"/>
      <c r="S5" s="82"/>
      <c r="T5" s="82"/>
      <c r="U5" s="82"/>
      <c r="V5" s="82"/>
      <c r="W5" s="82"/>
      <c r="X5" s="82"/>
      <c r="Y5" s="82"/>
      <c r="Z5" s="82"/>
      <c r="AA5" s="82"/>
      <c r="AB5" s="82"/>
      <c r="AC5" s="82"/>
      <c r="AD5" s="82"/>
      <c r="AE5" s="82"/>
    </row>
    <row r="6" spans="1:32" ht="12" customHeight="1">
      <c r="A6" s="84"/>
      <c r="B6" s="82" t="s">
        <v>490</v>
      </c>
      <c r="C6" s="357">
        <f>140.85*7.578</f>
        <v>1067.3613</v>
      </c>
      <c r="D6" s="357">
        <f>167.55*6.496</f>
        <v>1088.4048000000003</v>
      </c>
      <c r="E6" s="357">
        <f>207.55*5.174</f>
        <v>1073.8637000000001</v>
      </c>
      <c r="F6" s="357">
        <f>257.88*4.349</f>
        <v>1121.5201200000001</v>
      </c>
      <c r="G6" s="357">
        <f>338.41*3.449</f>
        <v>1167.1760899999999</v>
      </c>
      <c r="N6" s="92"/>
      <c r="O6" s="92"/>
      <c r="P6" s="92"/>
      <c r="R6" s="82"/>
      <c r="S6" s="82"/>
      <c r="T6" s="82"/>
      <c r="U6" s="82"/>
      <c r="V6" s="82"/>
      <c r="W6" s="82"/>
      <c r="X6" s="82"/>
      <c r="Y6" s="82"/>
      <c r="Z6" s="82"/>
      <c r="AA6" s="82"/>
      <c r="AB6" s="82"/>
      <c r="AC6" s="82"/>
      <c r="AD6" s="82"/>
      <c r="AE6" s="82"/>
    </row>
    <row r="7" spans="1:32" ht="12" customHeight="1">
      <c r="B7" s="82" t="s">
        <v>491</v>
      </c>
      <c r="C7" s="357">
        <v>0</v>
      </c>
      <c r="D7" s="357">
        <v>0</v>
      </c>
      <c r="E7" s="357">
        <v>0</v>
      </c>
      <c r="F7" s="357">
        <v>0</v>
      </c>
      <c r="G7" s="357">
        <v>0</v>
      </c>
      <c r="N7" s="82"/>
      <c r="O7" s="89"/>
      <c r="P7" s="92"/>
      <c r="R7" s="82"/>
      <c r="S7" s="82"/>
      <c r="T7" s="82"/>
      <c r="U7" s="82"/>
      <c r="V7" s="82"/>
      <c r="W7" s="82"/>
      <c r="X7" s="82"/>
      <c r="Y7" s="82"/>
      <c r="Z7" s="82"/>
      <c r="AA7" s="82"/>
      <c r="AB7" s="82"/>
      <c r="AC7" s="82"/>
      <c r="AD7" s="82"/>
      <c r="AE7" s="82"/>
    </row>
    <row r="8" spans="1:32" ht="12" customHeight="1">
      <c r="A8" s="84"/>
      <c r="B8" s="82" t="s">
        <v>492</v>
      </c>
      <c r="C8" s="357">
        <v>0</v>
      </c>
      <c r="D8" s="357">
        <v>0</v>
      </c>
      <c r="E8" s="357">
        <v>0</v>
      </c>
      <c r="F8" s="357">
        <v>0</v>
      </c>
      <c r="G8" s="357">
        <v>0</v>
      </c>
      <c r="O8" s="82"/>
      <c r="P8" s="82"/>
      <c r="Q8" s="82"/>
      <c r="R8" s="82"/>
      <c r="S8" s="82"/>
      <c r="T8" s="82"/>
      <c r="U8" s="82"/>
      <c r="V8" s="82"/>
      <c r="W8" s="82"/>
      <c r="X8" s="82"/>
      <c r="Y8" s="82"/>
      <c r="Z8" s="82"/>
      <c r="AA8" s="82"/>
      <c r="AB8" s="82"/>
      <c r="AC8" s="82"/>
      <c r="AD8" s="82"/>
      <c r="AE8" s="82"/>
      <c r="AF8" s="82"/>
    </row>
    <row r="9" spans="1:32" ht="12" customHeight="1">
      <c r="A9" s="84"/>
      <c r="B9" s="82"/>
      <c r="C9" s="357"/>
      <c r="D9" s="357"/>
      <c r="E9" s="357"/>
      <c r="F9" s="357"/>
      <c r="G9" s="357"/>
      <c r="I9" s="92"/>
      <c r="J9" s="92"/>
      <c r="K9" s="92"/>
      <c r="L9" s="92"/>
      <c r="M9" s="92"/>
      <c r="O9" s="82"/>
      <c r="P9" s="82"/>
      <c r="Q9" s="82"/>
      <c r="R9" s="82"/>
      <c r="S9" s="82"/>
      <c r="T9" s="82"/>
      <c r="U9" s="82"/>
      <c r="V9" s="82"/>
      <c r="W9" s="82"/>
      <c r="X9" s="82"/>
      <c r="Y9" s="82"/>
      <c r="Z9" s="82"/>
      <c r="AA9" s="82"/>
      <c r="AB9" s="82"/>
      <c r="AC9" s="82"/>
      <c r="AD9" s="82"/>
      <c r="AE9" s="82"/>
      <c r="AF9" s="82"/>
    </row>
    <row r="10" spans="1:32">
      <c r="A10" s="80"/>
      <c r="B10" s="82" t="s">
        <v>4</v>
      </c>
      <c r="C10" s="430">
        <f>'Accounting Adjustments'!C5</f>
        <v>141576</v>
      </c>
      <c r="D10" s="430">
        <f>'Accounting Adjustments'!D5</f>
        <v>152703</v>
      </c>
      <c r="E10" s="430">
        <f>'Accounting Adjustments'!E5</f>
        <v>166761</v>
      </c>
      <c r="F10" s="430">
        <f>'Accounting Adjustments'!F5</f>
        <v>195929</v>
      </c>
      <c r="G10" s="430">
        <f>'Accounting Adjustments'!G5</f>
        <v>226954</v>
      </c>
      <c r="H10" s="90"/>
      <c r="I10" s="90"/>
      <c r="M10" s="82"/>
      <c r="O10" s="82"/>
      <c r="P10" s="82"/>
      <c r="Q10" s="82"/>
      <c r="R10" s="82"/>
      <c r="S10" s="82"/>
      <c r="T10" s="82"/>
      <c r="U10" s="82"/>
      <c r="V10" s="82"/>
      <c r="W10" s="82"/>
      <c r="X10" s="82"/>
      <c r="Y10" s="82"/>
      <c r="Z10" s="82"/>
      <c r="AA10" s="82"/>
      <c r="AB10" s="82"/>
      <c r="AC10" s="82"/>
      <c r="AD10" s="82"/>
      <c r="AE10" s="82"/>
      <c r="AF10" s="82"/>
    </row>
    <row r="11" spans="1:32" ht="12.75" customHeight="1">
      <c r="A11" s="84"/>
      <c r="I11" s="220" t="s">
        <v>497</v>
      </c>
      <c r="N11" s="97"/>
      <c r="O11" s="82"/>
      <c r="P11" s="82"/>
      <c r="Q11" s="82"/>
      <c r="R11" s="82"/>
      <c r="S11" s="82"/>
      <c r="T11" s="82"/>
      <c r="U11" s="82"/>
      <c r="V11" s="82"/>
      <c r="W11" s="82"/>
      <c r="X11" s="82"/>
      <c r="Y11" s="82"/>
      <c r="Z11" s="82"/>
      <c r="AA11" s="82"/>
      <c r="AB11" s="82"/>
      <c r="AC11" s="82"/>
      <c r="AD11" s="82"/>
      <c r="AE11" s="82"/>
      <c r="AF11" s="82"/>
    </row>
    <row r="12" spans="1:32">
      <c r="B12" s="82" t="s">
        <v>493</v>
      </c>
      <c r="C12" s="92">
        <f t="shared" ref="C12:G14" si="0">C6/C$10</f>
        <v>7.5391401084929652E-3</v>
      </c>
      <c r="D12" s="92">
        <f t="shared" si="0"/>
        <v>7.1275927781379554E-3</v>
      </c>
      <c r="E12" s="92">
        <f t="shared" si="0"/>
        <v>6.4395374218192509E-3</v>
      </c>
      <c r="F12" s="92">
        <f t="shared" si="0"/>
        <v>5.7241149600110253E-3</v>
      </c>
      <c r="G12" s="92">
        <f t="shared" si="0"/>
        <v>5.1427870405456608E-3</v>
      </c>
      <c r="I12" s="566">
        <f>MEDIAN(C12:G12)</f>
        <v>6.4395374218192509E-3</v>
      </c>
      <c r="J12" s="104"/>
      <c r="K12" s="105"/>
      <c r="N12" s="97"/>
      <c r="O12" s="95"/>
      <c r="P12" s="95"/>
      <c r="Q12" s="95"/>
      <c r="R12" s="82"/>
      <c r="S12" s="82"/>
      <c r="T12" s="82"/>
      <c r="U12" s="82"/>
      <c r="V12" s="82"/>
      <c r="W12" s="82"/>
      <c r="X12" s="82"/>
      <c r="Y12" s="82"/>
      <c r="Z12" s="82"/>
      <c r="AA12" s="82"/>
      <c r="AB12" s="82"/>
      <c r="AC12" s="82"/>
      <c r="AD12" s="82"/>
      <c r="AE12" s="82"/>
      <c r="AF12" s="82"/>
    </row>
    <row r="13" spans="1:32" ht="12" customHeight="1">
      <c r="A13" s="84"/>
      <c r="B13" s="82" t="s">
        <v>494</v>
      </c>
      <c r="C13" s="92">
        <f t="shared" si="0"/>
        <v>0</v>
      </c>
      <c r="D13" s="92">
        <f t="shared" si="0"/>
        <v>0</v>
      </c>
      <c r="E13" s="92">
        <f t="shared" si="0"/>
        <v>0</v>
      </c>
      <c r="F13" s="92">
        <f t="shared" si="0"/>
        <v>0</v>
      </c>
      <c r="G13" s="92">
        <f t="shared" si="0"/>
        <v>0</v>
      </c>
      <c r="I13" s="568">
        <f>MEDIAN(C13:G13)</f>
        <v>0</v>
      </c>
      <c r="O13" s="82"/>
      <c r="P13" s="82"/>
      <c r="Q13" s="82"/>
      <c r="R13" s="82"/>
      <c r="S13" s="82"/>
      <c r="T13" s="82"/>
      <c r="U13" s="82"/>
      <c r="V13" s="82"/>
      <c r="W13" s="82"/>
      <c r="X13" s="82"/>
      <c r="Y13" s="82"/>
      <c r="Z13" s="82"/>
      <c r="AA13" s="82"/>
      <c r="AB13" s="82"/>
      <c r="AC13" s="82"/>
      <c r="AD13" s="82"/>
      <c r="AE13" s="82"/>
      <c r="AF13" s="82"/>
    </row>
    <row r="14" spans="1:32">
      <c r="B14" s="82" t="s">
        <v>495</v>
      </c>
      <c r="C14" s="92">
        <f t="shared" si="0"/>
        <v>0</v>
      </c>
      <c r="D14" s="92">
        <f t="shared" si="0"/>
        <v>0</v>
      </c>
      <c r="E14" s="92">
        <f t="shared" si="0"/>
        <v>0</v>
      </c>
      <c r="F14" s="92">
        <f t="shared" si="0"/>
        <v>0</v>
      </c>
      <c r="G14" s="92">
        <f t="shared" si="0"/>
        <v>0</v>
      </c>
      <c r="I14" s="567">
        <f>MEDIAN(C14:G14)</f>
        <v>0</v>
      </c>
      <c r="O14" s="82"/>
      <c r="P14" s="82"/>
      <c r="Q14" s="82"/>
      <c r="R14" s="82"/>
      <c r="S14" s="82"/>
      <c r="T14" s="82"/>
      <c r="U14" s="82"/>
      <c r="V14" s="82"/>
      <c r="W14" s="82"/>
      <c r="X14" s="82"/>
      <c r="Y14" s="82"/>
      <c r="Z14" s="82"/>
      <c r="AA14" s="82"/>
      <c r="AB14" s="82"/>
      <c r="AC14" s="82"/>
      <c r="AD14" s="82"/>
      <c r="AE14" s="82"/>
      <c r="AF14" s="82"/>
    </row>
    <row r="15" spans="1:32">
      <c r="B15" s="82"/>
      <c r="C15" s="97"/>
      <c r="D15" s="91"/>
      <c r="F15" s="135"/>
      <c r="G15" s="51"/>
      <c r="J15" s="80"/>
      <c r="K15" s="90"/>
      <c r="O15" s="82"/>
      <c r="P15" s="82"/>
      <c r="Q15" s="82"/>
      <c r="R15" s="82"/>
      <c r="S15" s="82"/>
      <c r="T15" s="82"/>
      <c r="U15" s="82"/>
      <c r="V15" s="82"/>
      <c r="W15" s="82"/>
      <c r="X15" s="82"/>
      <c r="Y15" s="82"/>
      <c r="Z15" s="82"/>
      <c r="AA15" s="82"/>
      <c r="AB15" s="82"/>
      <c r="AC15" s="82"/>
      <c r="AD15" s="82"/>
      <c r="AE15" s="82"/>
      <c r="AF15" s="82"/>
    </row>
    <row r="16" spans="1:32">
      <c r="O16" s="82"/>
      <c r="P16" s="82"/>
      <c r="Q16" s="82"/>
      <c r="R16" s="82"/>
      <c r="S16" s="82"/>
      <c r="T16" s="82"/>
      <c r="U16" s="82"/>
      <c r="V16" s="82"/>
      <c r="W16" s="82"/>
      <c r="X16" s="82"/>
      <c r="Y16" s="82"/>
      <c r="Z16" s="82"/>
      <c r="AA16" s="82"/>
      <c r="AB16" s="82"/>
      <c r="AC16" s="82"/>
      <c r="AD16" s="82"/>
      <c r="AE16" s="82"/>
      <c r="AF16" s="82"/>
    </row>
    <row r="17" spans="1:32">
      <c r="B17" s="237" t="s">
        <v>496</v>
      </c>
      <c r="C17" s="237"/>
      <c r="D17" s="237"/>
      <c r="E17" s="237"/>
      <c r="F17" s="237"/>
      <c r="G17" s="429"/>
      <c r="H17" s="237"/>
      <c r="I17" s="237"/>
      <c r="J17" s="237"/>
      <c r="K17" s="237"/>
      <c r="L17" s="429"/>
      <c r="M17" s="429"/>
      <c r="O17" s="82"/>
      <c r="P17" s="82"/>
      <c r="Q17" s="82"/>
      <c r="R17" s="82"/>
      <c r="S17" s="82"/>
      <c r="T17" s="82"/>
      <c r="U17" s="82"/>
      <c r="V17" s="82"/>
      <c r="W17" s="82"/>
      <c r="X17" s="82"/>
      <c r="Y17" s="82"/>
      <c r="Z17" s="82"/>
      <c r="AA17" s="82"/>
      <c r="AB17" s="82"/>
      <c r="AC17" s="82"/>
      <c r="AD17" s="82"/>
      <c r="AE17" s="82"/>
      <c r="AF17" s="82"/>
    </row>
    <row r="18" spans="1:32" ht="12.75" thickBot="1">
      <c r="A18" s="84"/>
      <c r="B18" s="334" t="str">
        <f>Drivers!$C$5&amp;" in mil"</f>
        <v>$ in mil</v>
      </c>
      <c r="C18" s="351">
        <v>44562</v>
      </c>
      <c r="D18" s="431">
        <f>EDATE(C18,12)</f>
        <v>44927</v>
      </c>
      <c r="E18" s="431">
        <f t="shared" ref="E18:M18" si="1">EDATE(D18,12)</f>
        <v>45292</v>
      </c>
      <c r="F18" s="431">
        <f t="shared" si="1"/>
        <v>45658</v>
      </c>
      <c r="G18" s="431">
        <f t="shared" si="1"/>
        <v>46023</v>
      </c>
      <c r="H18" s="431">
        <f t="shared" si="1"/>
        <v>46388</v>
      </c>
      <c r="I18" s="431">
        <f t="shared" si="1"/>
        <v>46753</v>
      </c>
      <c r="J18" s="431">
        <f t="shared" si="1"/>
        <v>47119</v>
      </c>
      <c r="K18" s="431">
        <f t="shared" si="1"/>
        <v>47484</v>
      </c>
      <c r="L18" s="431">
        <f t="shared" si="1"/>
        <v>47849</v>
      </c>
      <c r="M18" s="431">
        <f t="shared" si="1"/>
        <v>48214</v>
      </c>
      <c r="N18" s="82"/>
      <c r="O18" s="82"/>
      <c r="P18" s="82"/>
      <c r="Q18" s="82"/>
      <c r="R18" s="82"/>
      <c r="S18" s="82"/>
      <c r="T18" s="82"/>
      <c r="U18" s="82"/>
      <c r="V18" s="82"/>
      <c r="W18" s="82"/>
      <c r="X18" s="82"/>
      <c r="Y18" s="82"/>
      <c r="Z18" s="82"/>
      <c r="AA18" s="82"/>
      <c r="AB18" s="82"/>
      <c r="AC18" s="82"/>
      <c r="AD18" s="82"/>
      <c r="AE18" s="82"/>
      <c r="AF18" s="82"/>
    </row>
    <row r="19" spans="1:32">
      <c r="B19" s="82" t="s">
        <v>490</v>
      </c>
      <c r="C19" s="92">
        <f>G12</f>
        <v>5.1427870405456608E-3</v>
      </c>
      <c r="D19" s="92">
        <f>AVERAGE(C19,E19)</f>
        <v>4.8838628505115562E-3</v>
      </c>
      <c r="E19" s="92">
        <f>AVERAGE(C19,F19)</f>
        <v>4.6249386604774526E-3</v>
      </c>
      <c r="F19" s="92">
        <f>AVERAGE(C19,H19)</f>
        <v>4.1070902804092452E-3</v>
      </c>
      <c r="G19" s="92">
        <f>AVERAGE(F19,H19)</f>
        <v>3.5892419003410378E-3</v>
      </c>
      <c r="H19" s="92">
        <f>AVERAGE(C19,M19)</f>
        <v>3.0713935202728304E-3</v>
      </c>
      <c r="I19" s="92">
        <f>AVERAGE(H19,J19)</f>
        <v>2.8124693302387267E-3</v>
      </c>
      <c r="J19" s="92">
        <f>AVERAGE(H19,K19)</f>
        <v>2.553545140204623E-3</v>
      </c>
      <c r="K19" s="92">
        <f>AVERAGE(H19,M19)</f>
        <v>2.0356967601364152E-3</v>
      </c>
      <c r="L19" s="92">
        <f>AVERAGE(K19,M19)</f>
        <v>1.5178483800682076E-3</v>
      </c>
      <c r="M19" s="92">
        <v>1E-3</v>
      </c>
      <c r="N19" s="82"/>
      <c r="O19" s="82"/>
      <c r="P19" s="82"/>
      <c r="Q19" s="82"/>
      <c r="R19" s="82"/>
      <c r="S19" s="82"/>
      <c r="T19" s="82"/>
      <c r="U19" s="82"/>
      <c r="V19" s="82"/>
      <c r="W19" s="82"/>
      <c r="X19" s="82"/>
      <c r="Y19" s="82"/>
      <c r="Z19" s="82"/>
      <c r="AA19" s="82"/>
      <c r="AB19" s="82"/>
      <c r="AC19" s="82"/>
      <c r="AD19" s="82"/>
      <c r="AE19" s="82"/>
      <c r="AF19" s="82"/>
    </row>
    <row r="20" spans="1:32">
      <c r="A20" s="84"/>
      <c r="B20" s="82" t="s">
        <v>491</v>
      </c>
      <c r="C20" s="92">
        <f>$I$13</f>
        <v>0</v>
      </c>
      <c r="D20" s="92">
        <f>AVERAGE(C20,E20)</f>
        <v>0</v>
      </c>
      <c r="E20" s="92">
        <f>AVERAGE(C20,F20)</f>
        <v>0</v>
      </c>
      <c r="F20" s="92">
        <f>AVERAGE(C20,H20)</f>
        <v>0</v>
      </c>
      <c r="G20" s="92">
        <f>AVERAGE(F20,H20)</f>
        <v>0</v>
      </c>
      <c r="H20" s="92">
        <f>AVERAGE(C20,M20)</f>
        <v>0</v>
      </c>
      <c r="I20" s="92">
        <f>AVERAGE(H20,J20)</f>
        <v>0</v>
      </c>
      <c r="J20" s="92">
        <f>AVERAGE(H20,K20)</f>
        <v>0</v>
      </c>
      <c r="K20" s="92">
        <f>AVERAGE(H20,M20)</f>
        <v>0</v>
      </c>
      <c r="L20" s="92">
        <f>AVERAGE(K20,M20)</f>
        <v>0</v>
      </c>
      <c r="M20" s="92">
        <v>0</v>
      </c>
      <c r="N20" s="82"/>
      <c r="O20" s="82"/>
      <c r="P20" s="82"/>
      <c r="Q20" s="82"/>
      <c r="R20" s="82"/>
      <c r="S20" s="82"/>
      <c r="T20" s="82"/>
      <c r="U20" s="82"/>
      <c r="V20" s="82"/>
      <c r="W20" s="82"/>
      <c r="X20" s="82"/>
      <c r="Y20" s="82"/>
      <c r="Z20" s="82"/>
      <c r="AA20" s="82"/>
      <c r="AB20" s="82"/>
      <c r="AC20" s="82"/>
      <c r="AD20" s="82"/>
      <c r="AE20" s="82"/>
      <c r="AF20" s="82"/>
    </row>
    <row r="21" spans="1:32">
      <c r="B21" s="82" t="s">
        <v>492</v>
      </c>
      <c r="C21" s="92">
        <f>G14</f>
        <v>0</v>
      </c>
      <c r="D21" s="92">
        <f>AVERAGE(C21,E21)</f>
        <v>0</v>
      </c>
      <c r="E21" s="92">
        <f>AVERAGE(C21,F21)</f>
        <v>0</v>
      </c>
      <c r="F21" s="92">
        <f>AVERAGE(C21,H21)</f>
        <v>0</v>
      </c>
      <c r="G21" s="92">
        <f>AVERAGE(F21,H21)</f>
        <v>0</v>
      </c>
      <c r="H21" s="92">
        <f>AVERAGE(C21,M21)</f>
        <v>0</v>
      </c>
      <c r="I21" s="92">
        <f>AVERAGE(H21,J21)</f>
        <v>0</v>
      </c>
      <c r="J21" s="92">
        <f>AVERAGE(H21,K21)</f>
        <v>0</v>
      </c>
      <c r="K21" s="92">
        <f>AVERAGE(H21,M21)</f>
        <v>0</v>
      </c>
      <c r="L21" s="92">
        <f>AVERAGE(K21,M21)</f>
        <v>0</v>
      </c>
      <c r="M21" s="92">
        <v>0</v>
      </c>
      <c r="N21" s="82"/>
      <c r="O21" s="82"/>
      <c r="P21" s="82"/>
      <c r="Q21" s="82"/>
      <c r="R21" s="82"/>
      <c r="S21" s="82"/>
      <c r="T21" s="82"/>
      <c r="U21" s="82"/>
      <c r="V21" s="82"/>
      <c r="W21" s="82"/>
      <c r="X21" s="82"/>
      <c r="Y21" s="82"/>
      <c r="Z21" s="82"/>
      <c r="AA21" s="82"/>
      <c r="AB21" s="82"/>
      <c r="AC21" s="82"/>
      <c r="AD21" s="82"/>
      <c r="AE21" s="82"/>
      <c r="AF21" s="82"/>
    </row>
    <row r="22" spans="1:32">
      <c r="B22" s="82" t="s">
        <v>4</v>
      </c>
      <c r="C22" s="344">
        <f>'Future CashFlows (10Y)'!C5</f>
        <v>226954</v>
      </c>
      <c r="D22" s="344">
        <f>'Future CashFlows (10Y)'!D5</f>
        <v>235125.00162173968</v>
      </c>
      <c r="E22" s="344">
        <f>'Future CashFlows (10Y)'!E5</f>
        <v>243574.1278319869</v>
      </c>
      <c r="F22" s="344">
        <f>'Future CashFlows (10Y)'!F5</f>
        <v>252308.05285520951</v>
      </c>
      <c r="G22" s="344">
        <f>'Future CashFlows (10Y)'!G5</f>
        <v>261333.59103318045</v>
      </c>
      <c r="H22" s="344">
        <f>'Future CashFlows (10Y)'!H5</f>
        <v>270657.75935513253</v>
      </c>
      <c r="I22" s="344">
        <f>'Future CashFlows (10Y)'!I5</f>
        <v>280302.29738859227</v>
      </c>
      <c r="J22" s="344">
        <f>'Future CashFlows (10Y)'!J5</f>
        <v>290277.02336999221</v>
      </c>
      <c r="K22" s="344">
        <f>'Future CashFlows (10Y)'!K5</f>
        <v>300576.09199120052</v>
      </c>
      <c r="L22" s="344">
        <f>'Future CashFlows (10Y)'!L5</f>
        <v>311207.80078400107</v>
      </c>
      <c r="M22" s="344">
        <f>'Future CashFlows (10Y)'!M5</f>
        <v>322180.98783964495</v>
      </c>
      <c r="N22" s="82"/>
      <c r="O22" s="82"/>
      <c r="P22" s="82"/>
      <c r="Q22" s="82"/>
      <c r="R22" s="82"/>
      <c r="S22" s="82"/>
      <c r="T22" s="82"/>
      <c r="U22" s="82"/>
      <c r="V22" s="82"/>
      <c r="W22" s="82"/>
      <c r="X22" s="82"/>
      <c r="Y22" s="82"/>
      <c r="Z22" s="82"/>
      <c r="AA22" s="82"/>
      <c r="AB22" s="82"/>
      <c r="AC22" s="82"/>
      <c r="AD22" s="82"/>
      <c r="AE22" s="82"/>
      <c r="AF22" s="82"/>
    </row>
    <row r="23" spans="1:32" ht="12" customHeight="1">
      <c r="N23" s="82"/>
      <c r="O23" s="82"/>
      <c r="P23" s="82"/>
      <c r="Q23" s="82"/>
      <c r="R23" s="82"/>
      <c r="S23" s="82"/>
      <c r="T23" s="82"/>
      <c r="U23" s="82"/>
      <c r="V23" s="82"/>
      <c r="W23" s="82"/>
      <c r="X23" s="82"/>
      <c r="Y23" s="82"/>
      <c r="Z23" s="82"/>
      <c r="AA23" s="82"/>
      <c r="AB23" s="82"/>
      <c r="AC23" s="82"/>
      <c r="AD23" s="82"/>
      <c r="AE23" s="82"/>
      <c r="AF23" s="82"/>
    </row>
    <row r="24" spans="1:32">
      <c r="B24" s="569" t="s">
        <v>498</v>
      </c>
      <c r="C24" s="345"/>
      <c r="D24" s="345">
        <f>D19*D$22</f>
        <v>1148.3182606468838</v>
      </c>
      <c r="E24" s="345">
        <f t="shared" ref="E24:M24" si="2">E19*E$22</f>
        <v>1126.5154005022332</v>
      </c>
      <c r="F24" s="345">
        <f t="shared" si="2"/>
        <v>1036.2519515506131</v>
      </c>
      <c r="G24" s="345">
        <f t="shared" si="2"/>
        <v>937.98947490288015</v>
      </c>
      <c r="H24" s="345">
        <f t="shared" si="2"/>
        <v>831.29648829491714</v>
      </c>
      <c r="I24" s="345">
        <f t="shared" si="2"/>
        <v>788.34161460087046</v>
      </c>
      <c r="J24" s="345">
        <f t="shared" si="2"/>
        <v>741.23548233950737</v>
      </c>
      <c r="K24" s="345">
        <f t="shared" si="2"/>
        <v>611.88177664095201</v>
      </c>
      <c r="L24" s="345">
        <f t="shared" si="2"/>
        <v>472.36625628458552</v>
      </c>
      <c r="M24" s="345">
        <f t="shared" si="2"/>
        <v>322.18098783964496</v>
      </c>
      <c r="N24" s="82"/>
      <c r="O24" s="82"/>
      <c r="P24" s="82"/>
      <c r="Q24" s="82"/>
      <c r="R24" s="82"/>
      <c r="S24" s="82"/>
      <c r="T24" s="82"/>
      <c r="U24" s="82"/>
      <c r="V24" s="82"/>
      <c r="W24" s="82"/>
      <c r="X24" s="82"/>
      <c r="Y24" s="82"/>
      <c r="Z24" s="82"/>
      <c r="AA24" s="82"/>
      <c r="AB24" s="82"/>
      <c r="AC24" s="82"/>
      <c r="AD24" s="82"/>
      <c r="AE24" s="82"/>
      <c r="AF24" s="82"/>
    </row>
    <row r="25" spans="1:32">
      <c r="B25" s="570" t="s">
        <v>499</v>
      </c>
      <c r="C25" s="354"/>
      <c r="D25" s="354">
        <f t="shared" ref="D25:M25" si="3">D20*D$22</f>
        <v>0</v>
      </c>
      <c r="E25" s="354">
        <f t="shared" si="3"/>
        <v>0</v>
      </c>
      <c r="F25" s="354">
        <f t="shared" si="3"/>
        <v>0</v>
      </c>
      <c r="G25" s="354">
        <f t="shared" si="3"/>
        <v>0</v>
      </c>
      <c r="H25" s="354">
        <f t="shared" si="3"/>
        <v>0</v>
      </c>
      <c r="I25" s="354">
        <f t="shared" si="3"/>
        <v>0</v>
      </c>
      <c r="J25" s="354">
        <f t="shared" si="3"/>
        <v>0</v>
      </c>
      <c r="K25" s="354">
        <f t="shared" si="3"/>
        <v>0</v>
      </c>
      <c r="L25" s="354">
        <f t="shared" si="3"/>
        <v>0</v>
      </c>
      <c r="M25" s="354">
        <f t="shared" si="3"/>
        <v>0</v>
      </c>
      <c r="N25" s="82"/>
      <c r="O25" s="82"/>
      <c r="P25" s="82"/>
      <c r="Q25" s="82"/>
      <c r="R25" s="82"/>
      <c r="S25" s="82"/>
      <c r="T25" s="82"/>
      <c r="U25" s="82"/>
      <c r="V25" s="82"/>
      <c r="W25" s="82"/>
      <c r="X25" s="82"/>
      <c r="Y25" s="82"/>
      <c r="Z25" s="82"/>
      <c r="AA25" s="82"/>
      <c r="AB25" s="82"/>
      <c r="AC25" s="82"/>
      <c r="AD25" s="82"/>
      <c r="AE25" s="82"/>
      <c r="AF25" s="82"/>
    </row>
    <row r="26" spans="1:32">
      <c r="B26" s="570" t="s">
        <v>500</v>
      </c>
      <c r="C26" s="354"/>
      <c r="D26" s="354">
        <f t="shared" ref="D26:M26" si="4">D21*D$22</f>
        <v>0</v>
      </c>
      <c r="E26" s="354">
        <f t="shared" si="4"/>
        <v>0</v>
      </c>
      <c r="F26" s="354">
        <f t="shared" si="4"/>
        <v>0</v>
      </c>
      <c r="G26" s="354">
        <f t="shared" si="4"/>
        <v>0</v>
      </c>
      <c r="H26" s="354">
        <f t="shared" si="4"/>
        <v>0</v>
      </c>
      <c r="I26" s="354">
        <f t="shared" si="4"/>
        <v>0</v>
      </c>
      <c r="J26" s="354">
        <f t="shared" si="4"/>
        <v>0</v>
      </c>
      <c r="K26" s="354">
        <f t="shared" si="4"/>
        <v>0</v>
      </c>
      <c r="L26" s="354">
        <f t="shared" si="4"/>
        <v>0</v>
      </c>
      <c r="M26" s="354">
        <f t="shared" si="4"/>
        <v>0</v>
      </c>
      <c r="N26" s="82"/>
      <c r="O26" s="82"/>
      <c r="P26" s="82"/>
      <c r="Q26" s="82"/>
      <c r="R26" s="82"/>
      <c r="S26" s="82"/>
      <c r="T26" s="82"/>
      <c r="U26" s="82"/>
      <c r="V26" s="82"/>
      <c r="W26" s="82"/>
      <c r="X26" s="82"/>
      <c r="Y26" s="82"/>
      <c r="Z26" s="82"/>
      <c r="AA26" s="82"/>
      <c r="AB26" s="82"/>
      <c r="AC26" s="82"/>
      <c r="AD26" s="82"/>
      <c r="AE26" s="82"/>
      <c r="AF26" s="82"/>
    </row>
    <row r="27" spans="1:32">
      <c r="D27" s="19"/>
      <c r="E27" s="19"/>
      <c r="G27" s="82"/>
      <c r="H27" s="82"/>
      <c r="I27" s="82"/>
      <c r="J27" s="82"/>
      <c r="K27" s="82"/>
      <c r="L27" s="82"/>
      <c r="M27" s="82"/>
      <c r="N27" s="82"/>
      <c r="O27" s="82"/>
      <c r="P27" s="82"/>
      <c r="Q27" s="82"/>
      <c r="R27" s="82"/>
      <c r="S27" s="82"/>
      <c r="T27" s="82"/>
      <c r="U27" s="82"/>
      <c r="V27" s="82"/>
      <c r="W27" s="82"/>
      <c r="X27" s="82"/>
      <c r="Y27" s="82"/>
      <c r="Z27" s="82"/>
      <c r="AA27" s="82"/>
      <c r="AB27" s="82"/>
      <c r="AC27" s="82"/>
      <c r="AD27" s="82"/>
      <c r="AE27" s="82"/>
      <c r="AF27" s="82"/>
    </row>
    <row r="28" spans="1:32">
      <c r="D28" s="38"/>
      <c r="E28" s="3"/>
      <c r="G28" s="82"/>
      <c r="H28" s="82"/>
      <c r="I28" s="82"/>
      <c r="J28" s="82"/>
      <c r="K28" s="82"/>
      <c r="L28" s="82"/>
      <c r="M28" s="571"/>
      <c r="N28" s="82"/>
      <c r="O28" s="82"/>
      <c r="P28" s="82"/>
      <c r="Q28" s="82"/>
      <c r="R28" s="82"/>
      <c r="S28" s="82"/>
      <c r="T28" s="82"/>
      <c r="U28" s="82"/>
      <c r="V28" s="82"/>
      <c r="W28" s="82"/>
      <c r="X28" s="82"/>
      <c r="Y28" s="82"/>
      <c r="Z28" s="82"/>
      <c r="AA28" s="82"/>
      <c r="AB28" s="82"/>
      <c r="AC28" s="82"/>
      <c r="AD28" s="82"/>
      <c r="AE28" s="82"/>
      <c r="AF28" s="82"/>
    </row>
    <row r="29" spans="1:32">
      <c r="G29" s="82"/>
      <c r="H29" s="82"/>
      <c r="I29" s="82"/>
      <c r="J29" s="82"/>
      <c r="K29" s="82"/>
      <c r="L29" s="82"/>
      <c r="M29" s="82"/>
      <c r="N29" s="82"/>
      <c r="O29" s="82"/>
      <c r="P29" s="82"/>
      <c r="Q29" s="82"/>
      <c r="R29" s="82"/>
      <c r="S29" s="82"/>
      <c r="T29" s="82"/>
      <c r="U29" s="82"/>
      <c r="V29" s="82"/>
      <c r="W29" s="82"/>
      <c r="X29" s="82"/>
      <c r="Y29" s="82"/>
      <c r="Z29" s="82"/>
      <c r="AA29" s="82"/>
      <c r="AB29" s="82"/>
      <c r="AC29" s="82"/>
      <c r="AD29" s="82"/>
      <c r="AE29" s="82"/>
      <c r="AF29" s="82"/>
    </row>
    <row r="30" spans="1:32" ht="14.25" customHeight="1">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row>
    <row r="31" spans="1:32">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row>
    <row r="32" spans="1:32">
      <c r="N32" s="82"/>
      <c r="O32" s="82"/>
      <c r="P32" s="82"/>
      <c r="Q32" s="82"/>
      <c r="R32" s="82"/>
      <c r="S32" s="82"/>
      <c r="T32" s="82"/>
      <c r="U32" s="82"/>
      <c r="V32" s="82"/>
      <c r="W32" s="82"/>
      <c r="X32" s="82"/>
      <c r="Y32" s="82"/>
      <c r="Z32" s="82"/>
      <c r="AA32" s="82"/>
      <c r="AB32" s="82"/>
      <c r="AC32" s="82"/>
      <c r="AD32" s="82"/>
      <c r="AE32" s="82"/>
      <c r="AF32" s="82"/>
    </row>
    <row r="33" spans="14:32">
      <c r="N33" s="82"/>
      <c r="O33" s="82"/>
      <c r="P33" s="82"/>
      <c r="Q33" s="82"/>
      <c r="R33" s="82"/>
      <c r="S33" s="82"/>
      <c r="T33" s="82"/>
      <c r="U33" s="82"/>
      <c r="V33" s="82"/>
      <c r="W33" s="82"/>
      <c r="X33" s="82"/>
      <c r="Y33" s="82"/>
      <c r="Z33" s="82"/>
      <c r="AA33" s="82"/>
      <c r="AB33" s="82"/>
      <c r="AC33" s="82"/>
      <c r="AD33" s="82"/>
      <c r="AE33" s="82"/>
      <c r="AF33" s="82"/>
    </row>
    <row r="34" spans="14:32">
      <c r="N34" s="82"/>
      <c r="O34" s="82"/>
      <c r="P34" s="82"/>
      <c r="Q34" s="82"/>
      <c r="R34" s="82"/>
      <c r="S34" s="82"/>
      <c r="T34" s="82"/>
      <c r="U34" s="82"/>
      <c r="V34" s="82"/>
      <c r="W34" s="82"/>
      <c r="X34" s="82"/>
      <c r="Y34" s="82"/>
      <c r="Z34" s="82"/>
      <c r="AA34" s="82"/>
      <c r="AB34" s="82"/>
      <c r="AC34" s="82"/>
      <c r="AD34" s="82"/>
      <c r="AE34" s="82"/>
      <c r="AF34" s="82"/>
    </row>
    <row r="35" spans="14:32">
      <c r="N35" s="82"/>
      <c r="O35" s="82"/>
      <c r="P35" s="82"/>
      <c r="Q35" s="82"/>
      <c r="R35" s="82"/>
      <c r="S35" s="82"/>
      <c r="T35" s="82"/>
      <c r="U35" s="82"/>
      <c r="V35" s="82"/>
      <c r="W35" s="82"/>
      <c r="X35" s="82"/>
      <c r="Y35" s="82"/>
      <c r="Z35" s="82"/>
      <c r="AA35" s="82"/>
      <c r="AB35" s="82"/>
      <c r="AC35" s="82"/>
      <c r="AD35" s="82"/>
      <c r="AE35" s="82"/>
      <c r="AF35" s="82"/>
    </row>
    <row r="36" spans="14:32">
      <c r="N36" s="82"/>
      <c r="O36" s="82"/>
      <c r="P36" s="82"/>
      <c r="Q36" s="82"/>
      <c r="R36" s="82"/>
      <c r="S36" s="82"/>
      <c r="T36" s="82"/>
      <c r="U36" s="82"/>
      <c r="V36" s="82"/>
      <c r="W36" s="82"/>
      <c r="X36" s="82"/>
      <c r="Y36" s="82"/>
      <c r="Z36" s="82"/>
      <c r="AA36" s="82"/>
      <c r="AB36" s="82"/>
      <c r="AC36" s="82"/>
      <c r="AD36" s="82"/>
      <c r="AE36" s="82"/>
      <c r="AF36" s="82"/>
    </row>
    <row r="37" spans="14:32">
      <c r="N37" s="82"/>
      <c r="O37" s="82"/>
      <c r="P37" s="82"/>
      <c r="Q37" s="82"/>
      <c r="R37" s="82"/>
      <c r="S37" s="82"/>
      <c r="T37" s="82"/>
      <c r="U37" s="82"/>
      <c r="V37" s="82"/>
      <c r="W37" s="82"/>
      <c r="X37" s="82"/>
      <c r="Y37" s="82"/>
      <c r="Z37" s="82"/>
      <c r="AA37" s="82"/>
      <c r="AB37" s="82"/>
      <c r="AC37" s="82"/>
      <c r="AD37" s="82"/>
      <c r="AE37" s="82"/>
      <c r="AF37" s="82"/>
    </row>
    <row r="38" spans="14:32">
      <c r="N38" s="82"/>
      <c r="O38" s="82"/>
      <c r="P38" s="82"/>
      <c r="Q38" s="82"/>
      <c r="R38" s="82"/>
      <c r="S38" s="82"/>
      <c r="T38" s="82"/>
      <c r="U38" s="82"/>
      <c r="V38" s="82"/>
      <c r="W38" s="82"/>
      <c r="X38" s="82"/>
      <c r="Y38" s="82"/>
      <c r="Z38" s="82"/>
      <c r="AA38" s="82"/>
      <c r="AB38" s="82"/>
      <c r="AC38" s="82"/>
      <c r="AD38" s="82"/>
      <c r="AE38" s="82"/>
      <c r="AF38" s="82"/>
    </row>
  </sheetData>
  <pageMargins left="0.7" right="0.7" top="0.75" bottom="0.75" header="0.3" footer="0.3"/>
  <pageSetup paperSize="8" orientation="landscape" r:id="rId1"/>
  <extLst>
    <ext xmlns:x14="http://schemas.microsoft.com/office/spreadsheetml/2009/9/main" uri="{05C60535-1F16-4fd2-B633-F4F36F0B64E0}">
      <x14:sparklineGroups xmlns:xm="http://schemas.microsoft.com/office/excel/2006/main">
        <x14:sparklineGroup manualMax="0" manualMin="0" lineWeight="1.5" displayEmptyCellsAs="gap" markers="1">
          <x14:colorSeries theme="1" tint="4.9989318521683403E-2"/>
          <x14:colorNegative rgb="FFD00000"/>
          <x14:colorAxis rgb="FF000000"/>
          <x14:colorMarkers theme="1" tint="4.9989318521683403E-2"/>
          <x14:colorFirst rgb="FFD00000"/>
          <x14:colorLast rgb="FFD00000"/>
          <x14:colorHigh rgb="FFD00000"/>
          <x14:colorLow rgb="FFD00000"/>
          <x14:sparklines>
            <x14:sparkline>
              <xm:f>'FV of RSU, PSU, PSU-TSR'!C12:G12</xm:f>
              <xm:sqref>H12</xm:sqref>
            </x14:sparkline>
            <x14:sparkline>
              <xm:f>'FV of RSU, PSU, PSU-TSR'!C13:G13</xm:f>
              <xm:sqref>H13</xm:sqref>
            </x14:sparkline>
            <x14:sparkline>
              <xm:f>'FV of RSU, PSU, PSU-TSR'!C14:G14</xm:f>
              <xm:sqref>H14</xm:sqref>
            </x14:sparkline>
          </x14:sparklines>
        </x14:sparklineGroup>
      </x14:sparklineGroup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12" width="11.7109375" style="2" customWidth="1"/>
    <col min="13" max="13" width="10" style="2" bestFit="1" customWidth="1"/>
    <col min="14" max="14" width="11" style="2" customWidth="1"/>
    <col min="15" max="16" width="10" style="2" bestFit="1" customWidth="1"/>
    <col min="17" max="19" width="9.140625" style="2"/>
    <col min="20" max="20" width="10.140625" style="2" bestFit="1" customWidth="1"/>
    <col min="21" max="16384" width="9.140625" style="2"/>
  </cols>
  <sheetData>
    <row r="1" spans="1:20" ht="16.5" customHeight="1">
      <c r="B1" s="15" t="s">
        <v>91</v>
      </c>
    </row>
    <row r="3" spans="1:20" ht="12" customHeight="1">
      <c r="B3" s="237" t="s">
        <v>92</v>
      </c>
      <c r="C3" s="413">
        <v>1</v>
      </c>
      <c r="D3" s="413">
        <v>2</v>
      </c>
      <c r="E3" s="413">
        <v>3</v>
      </c>
      <c r="F3" s="413">
        <v>4</v>
      </c>
      <c r="G3" s="413">
        <v>5</v>
      </c>
      <c r="H3" s="413">
        <v>6</v>
      </c>
      <c r="I3" s="413">
        <v>7</v>
      </c>
      <c r="J3" s="413">
        <v>8</v>
      </c>
      <c r="K3" s="413">
        <v>9</v>
      </c>
      <c r="L3" s="413">
        <v>10</v>
      </c>
      <c r="M3" s="3"/>
      <c r="N3" s="3"/>
      <c r="O3" s="3"/>
      <c r="P3" s="3"/>
      <c r="Q3" s="3"/>
      <c r="R3" s="3"/>
      <c r="S3" s="3"/>
      <c r="T3" s="3"/>
    </row>
    <row r="4" spans="1:20" ht="12" customHeight="1" thickBot="1">
      <c r="B4" s="334" t="str">
        <f>Drivers!$C$5&amp;" in mil"</f>
        <v>$ in mil</v>
      </c>
      <c r="C4" s="392">
        <v>44927</v>
      </c>
      <c r="D4" s="392">
        <v>45292</v>
      </c>
      <c r="E4" s="392">
        <v>45658</v>
      </c>
      <c r="F4" s="392">
        <v>46023</v>
      </c>
      <c r="G4" s="392">
        <v>46388</v>
      </c>
      <c r="H4" s="392">
        <v>46753</v>
      </c>
      <c r="I4" s="392">
        <v>47119</v>
      </c>
      <c r="J4" s="392">
        <v>47484</v>
      </c>
      <c r="K4" s="392">
        <v>47849</v>
      </c>
      <c r="L4" s="392">
        <v>48214</v>
      </c>
      <c r="M4" s="3"/>
      <c r="N4" s="3"/>
      <c r="O4" s="3"/>
      <c r="P4" s="3"/>
      <c r="Q4" s="3"/>
      <c r="R4" s="3"/>
      <c r="S4" s="3"/>
      <c r="T4" s="3"/>
    </row>
    <row r="5" spans="1:20" ht="12" customHeight="1">
      <c r="B5" s="3" t="s">
        <v>93</v>
      </c>
      <c r="C5" s="344">
        <f>'Future CashFlows (10Y)'!D27</f>
        <v>4315.7883374008807</v>
      </c>
      <c r="D5" s="344">
        <f>'Future CashFlows (10Y)'!E27</f>
        <v>4566.5384067763553</v>
      </c>
      <c r="E5" s="344">
        <f>'Future CashFlows (10Y)'!F27</f>
        <v>4906.8454906203569</v>
      </c>
      <c r="F5" s="344">
        <f>'Future CashFlows (10Y)'!G27</f>
        <v>5266.6647740708186</v>
      </c>
      <c r="G5" s="344">
        <f>'Future CashFlows (10Y)'!H27</f>
        <v>5634.4047211786756</v>
      </c>
      <c r="H5" s="344">
        <f>'Future CashFlows (10Y)'!I27</f>
        <v>5964.9506404243102</v>
      </c>
      <c r="I5" s="344">
        <f>'Future CashFlows (10Y)'!J27</f>
        <v>6325.9732731385848</v>
      </c>
      <c r="J5" s="344">
        <f>'Future CashFlows (10Y)'!K27</f>
        <v>6720.470950134918</v>
      </c>
      <c r="K5" s="344">
        <f>'Future CashFlows (10Y)'!L27</f>
        <v>7134.9479232360991</v>
      </c>
      <c r="L5" s="344">
        <f>'Future CashFlows (10Y)'!M27</f>
        <v>7621.2490482126686</v>
      </c>
      <c r="M5" s="3"/>
      <c r="N5" s="3"/>
      <c r="O5" s="3"/>
      <c r="P5" s="3"/>
      <c r="Q5" s="3"/>
      <c r="R5" s="3"/>
      <c r="S5" s="3"/>
      <c r="T5" s="3"/>
    </row>
    <row r="6" spans="1:20" ht="12" customHeight="1">
      <c r="B6" s="240" t="s">
        <v>94</v>
      </c>
      <c r="C6" s="257">
        <f ca="1">'Cost of Equity, Debt &amp; WACC'!C29</f>
        <v>6.3765429096210455E-2</v>
      </c>
      <c r="D6" s="257">
        <f ca="1">C6</f>
        <v>6.3765429096210455E-2</v>
      </c>
      <c r="E6" s="257">
        <f ca="1">AVERAGE(F6,C6)</f>
        <v>6.1991006072320248E-2</v>
      </c>
      <c r="F6" s="219">
        <f ca="1">AVERAGE(C6,H6)</f>
        <v>6.0216583048430042E-2</v>
      </c>
      <c r="G6" s="219">
        <f ca="1">AVERAGE(F6,H6)</f>
        <v>5.8442160024539835E-2</v>
      </c>
      <c r="H6" s="219">
        <f ca="1">AVERAGE(C6,L6)</f>
        <v>5.6667737000649629E-2</v>
      </c>
      <c r="I6" s="257">
        <f ca="1">AVERAGE(H6,J6)</f>
        <v>5.4893313976759422E-2</v>
      </c>
      <c r="J6" s="257">
        <f ca="1">AVERAGE(H6,L6)</f>
        <v>5.3118890952869216E-2</v>
      </c>
      <c r="K6" s="257">
        <f ca="1">AVERAGE(J6,L6)</f>
        <v>5.134446792897901E-2</v>
      </c>
      <c r="L6" s="257">
        <f ca="1">'Terminal Value'!$F$19</f>
        <v>4.9570044905088796E-2</v>
      </c>
      <c r="M6" s="3"/>
      <c r="N6" s="3"/>
      <c r="O6" s="3"/>
      <c r="P6" s="3"/>
      <c r="Q6" s="3"/>
      <c r="R6" s="3"/>
      <c r="S6" s="3"/>
      <c r="T6" s="3"/>
    </row>
    <row r="7" spans="1:20" ht="12" customHeight="1">
      <c r="B7" s="414" t="s">
        <v>92</v>
      </c>
      <c r="C7" s="355">
        <f ca="1">C5/(1+C6)^C3</f>
        <v>4057.0864772956884</v>
      </c>
      <c r="D7" s="355">
        <f t="shared" ref="D7:L7" ca="1" si="0">D5/(1+D6)^D3</f>
        <v>4035.4815876892021</v>
      </c>
      <c r="E7" s="355">
        <f t="shared" ca="1" si="0"/>
        <v>4096.7538134503811</v>
      </c>
      <c r="F7" s="355">
        <f t="shared" ca="1" si="0"/>
        <v>4168.2840339806971</v>
      </c>
      <c r="G7" s="355">
        <f t="shared" ca="1" si="0"/>
        <v>4241.4308145094246</v>
      </c>
      <c r="H7" s="355">
        <f t="shared" ca="1" si="0"/>
        <v>4285.2500613433613</v>
      </c>
      <c r="I7" s="355">
        <f t="shared" ca="1" si="0"/>
        <v>4351.7864397364347</v>
      </c>
      <c r="J7" s="355">
        <f t="shared" ca="1" si="0"/>
        <v>4442.0197187183658</v>
      </c>
      <c r="K7" s="355">
        <f t="shared" ca="1" si="0"/>
        <v>4546.5869719250668</v>
      </c>
      <c r="L7" s="355">
        <f t="shared" ca="1" si="0"/>
        <v>4697.9877591567756</v>
      </c>
      <c r="M7" s="17"/>
      <c r="N7" s="3"/>
      <c r="O7" s="3"/>
      <c r="P7" s="3"/>
      <c r="Q7" s="3"/>
      <c r="R7" s="3"/>
      <c r="S7" s="3"/>
      <c r="T7" s="3"/>
    </row>
    <row r="8" spans="1:20" ht="12" customHeight="1">
      <c r="M8" s="3"/>
      <c r="N8" s="3"/>
      <c r="O8" s="3"/>
      <c r="P8" s="3"/>
      <c r="Q8" s="3"/>
      <c r="R8" s="3"/>
      <c r="S8" s="3"/>
      <c r="T8" s="3"/>
    </row>
    <row r="9" spans="1:20" ht="12" customHeight="1">
      <c r="M9" s="3"/>
      <c r="N9" s="3"/>
      <c r="O9" s="3"/>
      <c r="P9" s="3"/>
      <c r="Q9" s="3"/>
      <c r="R9" s="3"/>
      <c r="S9" s="3"/>
      <c r="T9" s="3"/>
    </row>
    <row r="10" spans="1:20" ht="12" customHeight="1">
      <c r="B10" s="237" t="s">
        <v>99</v>
      </c>
      <c r="C10" s="413"/>
      <c r="E10" s="25"/>
      <c r="F10" s="25"/>
      <c r="G10" s="25"/>
      <c r="H10" s="25"/>
      <c r="M10" s="3"/>
      <c r="N10" s="3"/>
      <c r="O10" s="3"/>
      <c r="P10" s="3"/>
      <c r="Q10" s="3"/>
      <c r="R10" s="3"/>
      <c r="S10" s="3"/>
      <c r="T10" s="3"/>
    </row>
    <row r="11" spans="1:20" ht="12" customHeight="1" thickBot="1">
      <c r="A11" s="3"/>
      <c r="B11" s="334" t="str">
        <f>Drivers!$C$5&amp;" in mil"</f>
        <v>$ in mil</v>
      </c>
      <c r="C11" s="392"/>
      <c r="E11" s="28"/>
      <c r="F11" s="28"/>
      <c r="G11" s="28"/>
      <c r="H11" s="28"/>
      <c r="L11" s="126"/>
      <c r="N11" s="3"/>
      <c r="O11" s="3"/>
      <c r="P11" s="3"/>
      <c r="Q11" s="3"/>
      <c r="R11" s="3"/>
      <c r="S11" s="3"/>
      <c r="T11" s="3"/>
    </row>
    <row r="12" spans="1:20" ht="12" customHeight="1">
      <c r="A12" s="3"/>
      <c r="B12" s="25" t="s">
        <v>90</v>
      </c>
      <c r="C12" s="356">
        <f ca="1">SUM(C7:L7)</f>
        <v>42922.667677805402</v>
      </c>
      <c r="E12" s="60"/>
      <c r="F12" s="60"/>
      <c r="G12" s="60"/>
      <c r="H12" s="60"/>
      <c r="I12" s="25"/>
      <c r="J12" s="25"/>
      <c r="K12" s="25"/>
      <c r="L12" s="3"/>
      <c r="M12" s="3"/>
      <c r="N12" s="3"/>
      <c r="O12" s="3"/>
      <c r="P12" s="3"/>
      <c r="Q12" s="3"/>
      <c r="R12" s="3"/>
      <c r="S12" s="3"/>
      <c r="T12" s="3"/>
    </row>
    <row r="13" spans="1:20" ht="12" customHeight="1">
      <c r="A13" s="3"/>
      <c r="B13" s="25" t="s">
        <v>64</v>
      </c>
      <c r="C13" s="356">
        <f ca="1">'Terminal Value'!$C$15</f>
        <v>218569.95606474567</v>
      </c>
      <c r="D13" s="25"/>
      <c r="E13" s="20"/>
      <c r="F13" s="155"/>
      <c r="G13" s="416"/>
      <c r="H13" s="125"/>
      <c r="I13" s="125"/>
      <c r="J13" s="125"/>
      <c r="K13" s="125"/>
      <c r="L13" s="125"/>
      <c r="M13" s="125"/>
      <c r="N13" s="125"/>
      <c r="O13" s="125"/>
      <c r="P13" s="125"/>
      <c r="Q13" s="3"/>
      <c r="R13" s="3"/>
      <c r="S13" s="3"/>
      <c r="T13" s="3"/>
    </row>
    <row r="14" spans="1:20" s="22" customFormat="1" ht="12" customHeight="1">
      <c r="A14" s="21"/>
      <c r="B14" s="25" t="s">
        <v>84</v>
      </c>
      <c r="C14" s="356">
        <f ca="1">C13/(1+L6)^L3</f>
        <v>134733.68625217979</v>
      </c>
      <c r="D14" s="34"/>
      <c r="E14" s="20"/>
      <c r="F14" s="155"/>
      <c r="G14" s="433"/>
      <c r="H14" s="428"/>
      <c r="I14" s="344"/>
      <c r="J14" s="428"/>
      <c r="K14" s="428"/>
      <c r="L14" s="344"/>
      <c r="M14" s="344"/>
      <c r="N14" s="344"/>
      <c r="O14" s="344"/>
      <c r="P14" s="344"/>
      <c r="Q14" s="21"/>
      <c r="R14" s="21"/>
      <c r="S14" s="21"/>
      <c r="T14" s="21"/>
    </row>
    <row r="15" spans="1:20" ht="12" customHeight="1">
      <c r="A15" s="3"/>
      <c r="B15" s="422" t="s">
        <v>95</v>
      </c>
      <c r="C15" s="423">
        <f ca="1">C14+C12</f>
        <v>177656.3539299852</v>
      </c>
      <c r="E15" s="156"/>
      <c r="F15" s="155"/>
      <c r="G15" s="433"/>
      <c r="H15" s="428"/>
      <c r="I15" s="428"/>
      <c r="J15" s="428"/>
      <c r="K15" s="428"/>
      <c r="L15" s="428"/>
      <c r="M15" s="428"/>
      <c r="N15" s="428"/>
      <c r="O15" s="428"/>
      <c r="P15" s="428"/>
    </row>
    <row r="16" spans="1:20" ht="12" customHeight="1">
      <c r="A16" s="120"/>
      <c r="B16" s="424" t="s">
        <v>80</v>
      </c>
      <c r="C16" s="356">
        <f ca="1">'Cash &amp; Marketable Securities'!C13</f>
        <v>16636.838637060675</v>
      </c>
      <c r="E16" s="156"/>
      <c r="F16" s="155"/>
      <c r="G16" s="433"/>
      <c r="H16" s="428"/>
      <c r="I16" s="428"/>
      <c r="J16" s="428"/>
      <c r="K16" s="428"/>
      <c r="L16" s="428"/>
      <c r="M16" s="428"/>
      <c r="N16" s="428"/>
      <c r="O16" s="428"/>
      <c r="P16" s="428"/>
    </row>
    <row r="17" spans="1:20" ht="12" customHeight="1">
      <c r="A17" s="120"/>
      <c r="B17" s="425" t="s">
        <v>89</v>
      </c>
      <c r="C17" s="356">
        <v>0</v>
      </c>
      <c r="E17" s="156"/>
      <c r="F17" s="155"/>
      <c r="G17" s="433"/>
      <c r="H17" s="428"/>
      <c r="I17" s="428"/>
      <c r="J17" s="428"/>
      <c r="K17" s="428"/>
      <c r="L17" s="428"/>
      <c r="M17" s="428"/>
      <c r="N17" s="428"/>
      <c r="O17" s="428"/>
      <c r="P17" s="428"/>
    </row>
    <row r="18" spans="1:20" ht="12" customHeight="1">
      <c r="A18" s="120"/>
      <c r="B18" s="2" t="s">
        <v>96</v>
      </c>
      <c r="C18" s="428">
        <v>0</v>
      </c>
      <c r="D18" s="25"/>
      <c r="E18" s="156"/>
      <c r="F18" s="155"/>
      <c r="G18" s="433"/>
      <c r="H18" s="428"/>
      <c r="I18" s="428"/>
      <c r="J18" s="428"/>
      <c r="K18" s="428"/>
      <c r="L18" s="428"/>
      <c r="M18" s="428"/>
      <c r="N18" s="428"/>
      <c r="O18" s="428"/>
      <c r="P18" s="428"/>
    </row>
    <row r="19" spans="1:20" ht="12" customHeight="1">
      <c r="A19" s="6"/>
      <c r="B19" s="422" t="s">
        <v>87</v>
      </c>
      <c r="C19" s="423">
        <f ca="1">SUM(C15:C18)</f>
        <v>194293.19256704586</v>
      </c>
      <c r="D19" s="25"/>
      <c r="E19" s="20"/>
      <c r="F19" s="157"/>
      <c r="G19" s="433"/>
      <c r="H19" s="428"/>
      <c r="I19" s="428"/>
      <c r="J19" s="428"/>
      <c r="K19" s="428"/>
      <c r="L19" s="428"/>
      <c r="M19" s="428"/>
      <c r="N19" s="428"/>
      <c r="O19" s="428"/>
      <c r="P19" s="428"/>
      <c r="Q19" s="25"/>
      <c r="R19" s="3"/>
      <c r="S19" s="3"/>
      <c r="T19" s="3"/>
    </row>
    <row r="20" spans="1:20" ht="12" customHeight="1">
      <c r="A20" s="6"/>
      <c r="B20" s="25" t="s">
        <v>86</v>
      </c>
      <c r="C20" s="407">
        <f ca="1">-'Bottom Up Beta'!C14</f>
        <v>-8554.2681890212934</v>
      </c>
      <c r="D20" s="25"/>
      <c r="E20" s="20"/>
      <c r="F20" s="157"/>
      <c r="G20" s="433"/>
      <c r="H20" s="428"/>
      <c r="I20" s="428"/>
      <c r="J20" s="428"/>
      <c r="K20" s="428"/>
      <c r="L20" s="428"/>
      <c r="M20" s="428"/>
      <c r="N20" s="428"/>
      <c r="O20" s="428"/>
      <c r="P20" s="428"/>
      <c r="Q20" s="3"/>
      <c r="R20" s="3"/>
      <c r="S20" s="3"/>
      <c r="T20" s="3"/>
    </row>
    <row r="21" spans="1:20" ht="12" customHeight="1">
      <c r="A21" s="6"/>
      <c r="B21" s="25" t="s">
        <v>355</v>
      </c>
      <c r="C21" s="407">
        <f>Drivers!I6</f>
        <v>0</v>
      </c>
      <c r="D21" s="27"/>
      <c r="E21" s="20"/>
      <c r="F21" s="157"/>
      <c r="G21" s="433"/>
      <c r="H21" s="428"/>
      <c r="I21" s="428"/>
      <c r="J21" s="428"/>
      <c r="K21" s="428"/>
      <c r="L21" s="428"/>
      <c r="M21" s="428"/>
      <c r="N21" s="428"/>
      <c r="O21" s="428"/>
      <c r="P21" s="428"/>
      <c r="Q21" s="3"/>
      <c r="R21" s="3"/>
      <c r="S21" s="3"/>
      <c r="T21" s="3"/>
    </row>
    <row r="22" spans="1:20" ht="12" customHeight="1">
      <c r="A22" s="6"/>
      <c r="B22" s="422" t="s">
        <v>88</v>
      </c>
      <c r="C22" s="345">
        <f ca="1">SUM(C19:C21)</f>
        <v>185738.92437802456</v>
      </c>
      <c r="D22" s="25"/>
      <c r="E22" s="20"/>
      <c r="F22" s="157"/>
      <c r="G22" s="433"/>
      <c r="H22" s="428"/>
      <c r="I22" s="428"/>
      <c r="J22" s="428"/>
      <c r="K22" s="428"/>
      <c r="L22" s="428"/>
      <c r="M22" s="428"/>
      <c r="N22" s="428"/>
      <c r="O22" s="428"/>
      <c r="P22" s="428"/>
      <c r="Q22" s="3"/>
      <c r="R22" s="3"/>
      <c r="S22" s="3"/>
      <c r="T22" s="3"/>
    </row>
    <row r="23" spans="1:20" s="24" customFormat="1" ht="12" customHeight="1">
      <c r="A23" s="121"/>
      <c r="B23" s="2" t="s">
        <v>97</v>
      </c>
      <c r="C23" s="407">
        <f>'FV of RSU, PSU, PSU-TSR'!G9</f>
        <v>0</v>
      </c>
      <c r="D23" s="25"/>
      <c r="E23" s="23"/>
      <c r="F23" s="23"/>
      <c r="G23" s="23"/>
      <c r="H23" s="158"/>
      <c r="I23" s="28"/>
      <c r="J23" s="28"/>
      <c r="K23" s="28"/>
      <c r="L23" s="23"/>
      <c r="M23" s="23"/>
      <c r="N23" s="23"/>
      <c r="O23" s="23"/>
      <c r="P23" s="23"/>
      <c r="Q23" s="23"/>
      <c r="R23" s="23"/>
      <c r="S23" s="23"/>
      <c r="T23" s="23"/>
    </row>
    <row r="24" spans="1:20" ht="12" customHeight="1">
      <c r="A24" s="24"/>
      <c r="B24" s="422" t="s">
        <v>98</v>
      </c>
      <c r="C24" s="426">
        <f ca="1">C22-C23</f>
        <v>185738.92437802456</v>
      </c>
      <c r="D24" s="166"/>
      <c r="I24" s="3"/>
      <c r="J24" s="3"/>
      <c r="K24" s="3"/>
      <c r="L24" s="3"/>
      <c r="M24" s="3"/>
      <c r="N24" s="3"/>
      <c r="O24" s="3"/>
      <c r="P24" s="3"/>
      <c r="Q24" s="3"/>
      <c r="R24" s="3"/>
      <c r="S24" s="3"/>
      <c r="T24" s="3"/>
    </row>
    <row r="25" spans="1:20" ht="12" customHeight="1">
      <c r="B25" s="2" t="s">
        <v>38</v>
      </c>
      <c r="C25" s="432">
        <f>Drivers!C17+3.449</f>
        <v>447.1</v>
      </c>
      <c r="D25" s="153"/>
      <c r="I25" s="25"/>
      <c r="J25" s="25"/>
      <c r="K25" s="13"/>
      <c r="L25" s="3"/>
      <c r="M25" s="3"/>
      <c r="N25" s="3"/>
      <c r="O25" s="3"/>
      <c r="P25" s="3"/>
      <c r="Q25" s="3"/>
      <c r="R25" s="3"/>
      <c r="S25" s="3"/>
      <c r="T25" s="3"/>
    </row>
    <row r="26" spans="1:20" ht="12" customHeight="1">
      <c r="B26" s="309" t="s">
        <v>99</v>
      </c>
      <c r="C26" s="427">
        <f ca="1">C24/C25</f>
        <v>415.43038331027634</v>
      </c>
      <c r="D26" s="28"/>
      <c r="I26" s="25"/>
      <c r="J26" s="25"/>
      <c r="K26" s="5"/>
      <c r="L26" s="3"/>
      <c r="M26" s="3"/>
      <c r="N26" s="3"/>
      <c r="O26" s="3"/>
      <c r="P26" s="3"/>
      <c r="Q26" s="3"/>
      <c r="R26" s="3"/>
      <c r="S26" s="3"/>
      <c r="T26" s="3"/>
    </row>
    <row r="27" spans="1:20" ht="12" customHeight="1">
      <c r="D27" s="3"/>
      <c r="I27" s="25"/>
      <c r="J27" s="25"/>
      <c r="K27" s="5"/>
      <c r="L27" s="3"/>
      <c r="M27" s="3"/>
      <c r="N27" s="3"/>
      <c r="O27" s="3"/>
      <c r="P27" s="3"/>
      <c r="Q27" s="3"/>
      <c r="R27" s="3"/>
      <c r="S27" s="3"/>
      <c r="T27" s="3"/>
    </row>
    <row r="28" spans="1:20" ht="12" customHeight="1">
      <c r="D28" s="3"/>
      <c r="E28" s="124"/>
      <c r="F28" s="125"/>
      <c r="G28" s="13"/>
      <c r="H28" s="5"/>
      <c r="I28" s="5"/>
      <c r="J28" s="5"/>
      <c r="K28" s="5"/>
      <c r="L28" s="3"/>
      <c r="M28" s="3"/>
      <c r="N28" s="3"/>
      <c r="O28" s="3"/>
      <c r="P28" s="3"/>
      <c r="Q28" s="3"/>
      <c r="R28" s="3"/>
      <c r="S28" s="3"/>
      <c r="T28" s="3"/>
    </row>
    <row r="29" spans="1:20" ht="12" customHeight="1">
      <c r="D29" s="3"/>
      <c r="E29" s="35"/>
      <c r="F29" s="98"/>
      <c r="G29" s="13"/>
      <c r="H29" s="5"/>
      <c r="I29" s="5"/>
      <c r="J29" s="5"/>
      <c r="K29" s="5"/>
      <c r="L29" s="3"/>
      <c r="M29" s="3"/>
      <c r="N29" s="3"/>
      <c r="O29" s="3"/>
      <c r="P29" s="3"/>
      <c r="Q29" s="3"/>
      <c r="R29" s="3"/>
      <c r="S29" s="3"/>
      <c r="T29" s="3"/>
    </row>
    <row r="30" spans="1:20" ht="12" customHeight="1">
      <c r="D30" s="3"/>
      <c r="E30" s="35"/>
      <c r="F30" s="92"/>
      <c r="G30" s="3"/>
      <c r="H30" s="3"/>
      <c r="I30" s="3"/>
      <c r="J30" s="3"/>
      <c r="K30" s="3"/>
      <c r="L30" s="3"/>
      <c r="M30" s="3"/>
      <c r="N30" s="3"/>
      <c r="O30" s="3"/>
      <c r="P30" s="3"/>
      <c r="Q30" s="3"/>
      <c r="R30" s="3"/>
      <c r="S30" s="3"/>
      <c r="T30" s="3"/>
    </row>
    <row r="31" spans="1:20" ht="12" customHeight="1">
      <c r="E31" s="27"/>
      <c r="F31" s="90"/>
      <c r="G31" s="3"/>
      <c r="H31" s="3"/>
      <c r="I31" s="3"/>
      <c r="J31" s="3"/>
      <c r="K31" s="3"/>
      <c r="L31" s="3"/>
      <c r="M31" s="3"/>
    </row>
    <row r="32" spans="1:20" ht="12" customHeight="1">
      <c r="E32" s="3"/>
      <c r="F32" s="90"/>
      <c r="G32" s="3"/>
      <c r="H32" s="3"/>
      <c r="I32" s="3"/>
      <c r="J32" s="3"/>
      <c r="K32" s="3"/>
      <c r="L32" s="3"/>
      <c r="M32" s="3"/>
    </row>
    <row r="33" spans="5:13" ht="12" customHeight="1">
      <c r="E33" s="3"/>
      <c r="F33" s="123"/>
    </row>
    <row r="34" spans="5:13" ht="12" customHeight="1">
      <c r="E34" s="3"/>
      <c r="F34" s="51"/>
      <c r="G34" s="7"/>
      <c r="K34" s="9"/>
    </row>
    <row r="35" spans="5:13" ht="12" customHeight="1">
      <c r="E35" s="25"/>
      <c r="F35" s="122"/>
      <c r="G35" s="10"/>
      <c r="K35" s="7"/>
      <c r="M35" s="7"/>
    </row>
    <row r="36" spans="5:13" ht="12" customHeight="1">
      <c r="E36" s="25"/>
      <c r="M36" s="7"/>
    </row>
    <row r="37" spans="5:13" ht="12" customHeight="1">
      <c r="E37" s="25"/>
      <c r="F37" s="5"/>
      <c r="G37" s="14"/>
      <c r="K37" s="4"/>
    </row>
    <row r="40" spans="5:13" ht="12" customHeight="1">
      <c r="G40" s="11"/>
    </row>
    <row r="41" spans="5:13" ht="12" customHeight="1">
      <c r="G41" s="7"/>
    </row>
    <row r="42" spans="5:13" ht="12" customHeight="1">
      <c r="G42" s="11"/>
    </row>
    <row r="44" spans="5:13" ht="12" customHeight="1">
      <c r="G44" s="14"/>
    </row>
  </sheetData>
  <pageMargins left="0.7" right="0.7" top="0.75" bottom="0.75" header="0.3" footer="0.3"/>
  <pageSetup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29" t="s">
        <v>363</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12" width="11.7109375" style="2" customWidth="1"/>
    <col min="13" max="13" width="10.28515625" style="2" customWidth="1"/>
    <col min="14" max="14" width="11" style="2" customWidth="1"/>
    <col min="15" max="15" width="11.28515625" style="2" customWidth="1"/>
    <col min="16" max="16" width="10" style="2" bestFit="1" customWidth="1"/>
    <col min="17" max="19" width="9.140625" style="2"/>
    <col min="20" max="20" width="10.140625" style="2" bestFit="1" customWidth="1"/>
    <col min="21" max="16384" width="9.140625" style="2"/>
  </cols>
  <sheetData>
    <row r="1" spans="1:20" ht="16.5" customHeight="1">
      <c r="B1" s="15" t="s">
        <v>357</v>
      </c>
    </row>
    <row r="3" spans="1:20" ht="12" customHeight="1">
      <c r="B3" s="237" t="s">
        <v>357</v>
      </c>
      <c r="C3" s="413">
        <v>1</v>
      </c>
      <c r="D3" s="413">
        <v>1</v>
      </c>
      <c r="E3" s="413">
        <v>2</v>
      </c>
      <c r="F3" s="413">
        <v>3</v>
      </c>
      <c r="G3" s="413">
        <v>4</v>
      </c>
      <c r="H3" s="413">
        <v>5</v>
      </c>
      <c r="I3" s="413">
        <v>6</v>
      </c>
      <c r="J3" s="413">
        <v>7</v>
      </c>
      <c r="K3" s="413">
        <v>8</v>
      </c>
      <c r="L3" s="413">
        <v>9</v>
      </c>
      <c r="M3" s="413">
        <v>10</v>
      </c>
      <c r="N3" s="3"/>
      <c r="O3" s="437" t="s">
        <v>360</v>
      </c>
      <c r="P3" s="413">
        <v>10</v>
      </c>
      <c r="Q3" s="3"/>
    </row>
    <row r="4" spans="1:20" ht="12" customHeight="1" thickBot="1">
      <c r="B4" s="334" t="str">
        <f>Drivers!$C$5&amp;" in mil"</f>
        <v>$ in mil</v>
      </c>
      <c r="C4" s="391">
        <v>44562</v>
      </c>
      <c r="D4" s="392">
        <v>44927</v>
      </c>
      <c r="E4" s="392">
        <v>45292</v>
      </c>
      <c r="F4" s="392">
        <v>45658</v>
      </c>
      <c r="G4" s="392">
        <v>46023</v>
      </c>
      <c r="H4" s="392">
        <v>46388</v>
      </c>
      <c r="I4" s="392">
        <v>46753</v>
      </c>
      <c r="J4" s="392">
        <v>47119</v>
      </c>
      <c r="K4" s="392">
        <v>47484</v>
      </c>
      <c r="L4" s="392">
        <v>47849</v>
      </c>
      <c r="M4" s="392">
        <v>48214</v>
      </c>
      <c r="O4" s="392"/>
      <c r="P4" s="392"/>
      <c r="Q4" s="3"/>
    </row>
    <row r="5" spans="1:20" ht="12" customHeight="1">
      <c r="B5" s="3" t="s">
        <v>4</v>
      </c>
      <c r="C5" s="344">
        <f>'Future CashFlows (10Y)'!C5</f>
        <v>226954</v>
      </c>
      <c r="D5" s="344">
        <f>C5*(1+D6)</f>
        <v>234822.49518</v>
      </c>
      <c r="E5" s="344">
        <f t="shared" ref="E5:M5" si="0">D5*(1+E6)</f>
        <v>242963.7910878906</v>
      </c>
      <c r="F5" s="344">
        <f t="shared" si="0"/>
        <v>251387.34572490776</v>
      </c>
      <c r="G5" s="344">
        <f t="shared" si="0"/>
        <v>260102.9450011903</v>
      </c>
      <c r="H5" s="344">
        <f t="shared" si="0"/>
        <v>269120.71410438156</v>
      </c>
      <c r="I5" s="344">
        <f t="shared" si="0"/>
        <v>278451.12926238048</v>
      </c>
      <c r="J5" s="344">
        <f t="shared" si="0"/>
        <v>288105.02991390723</v>
      </c>
      <c r="K5" s="344">
        <f t="shared" si="0"/>
        <v>298093.63130102237</v>
      </c>
      <c r="L5" s="344">
        <f t="shared" si="0"/>
        <v>308428.53749822883</v>
      </c>
      <c r="M5" s="344">
        <f t="shared" si="0"/>
        <v>319121.75489329244</v>
      </c>
      <c r="O5" s="92" t="s">
        <v>362</v>
      </c>
      <c r="P5" s="92">
        <v>3.4669999999999999E-2</v>
      </c>
      <c r="Q5" s="3"/>
    </row>
    <row r="6" spans="1:20" ht="12" customHeight="1">
      <c r="B6" s="434" t="s">
        <v>177</v>
      </c>
      <c r="C6" s="257"/>
      <c r="D6" s="257">
        <f t="shared" ref="D6:M6" si="1">$P$5</f>
        <v>3.4669999999999999E-2</v>
      </c>
      <c r="E6" s="257">
        <f t="shared" si="1"/>
        <v>3.4669999999999999E-2</v>
      </c>
      <c r="F6" s="257">
        <f t="shared" si="1"/>
        <v>3.4669999999999999E-2</v>
      </c>
      <c r="G6" s="257">
        <f t="shared" si="1"/>
        <v>3.4669999999999999E-2</v>
      </c>
      <c r="H6" s="257">
        <f t="shared" si="1"/>
        <v>3.4669999999999999E-2</v>
      </c>
      <c r="I6" s="257">
        <f t="shared" si="1"/>
        <v>3.4669999999999999E-2</v>
      </c>
      <c r="J6" s="257">
        <f t="shared" si="1"/>
        <v>3.4669999999999999E-2</v>
      </c>
      <c r="K6" s="257">
        <f t="shared" si="1"/>
        <v>3.4669999999999999E-2</v>
      </c>
      <c r="L6" s="257">
        <f t="shared" si="1"/>
        <v>3.4669999999999999E-2</v>
      </c>
      <c r="M6" s="257">
        <f t="shared" si="1"/>
        <v>3.4669999999999999E-2</v>
      </c>
      <c r="N6" s="3"/>
      <c r="O6" s="92" t="s">
        <v>109</v>
      </c>
      <c r="P6" s="92">
        <f>'Future CashFlows (10Y)'!M8</f>
        <v>3.5449999999999995E-2</v>
      </c>
      <c r="Q6" s="3"/>
    </row>
    <row r="7" spans="1:20" ht="12" customHeight="1">
      <c r="B7" s="2" t="s">
        <v>356</v>
      </c>
      <c r="C7" s="11">
        <f>'Future CashFlows (10Y)'!C8</f>
        <v>3.3237625645443622E-2</v>
      </c>
      <c r="D7" s="11">
        <f>AVERAGE(C7,E7)</f>
        <v>3.3375899042603394E-2</v>
      </c>
      <c r="E7" s="11">
        <f>AVERAGE(C7,F7)</f>
        <v>3.3514172439763165E-2</v>
      </c>
      <c r="F7" s="11">
        <f>AVERAGE(C7,H7)</f>
        <v>3.3790719234082715E-2</v>
      </c>
      <c r="G7" s="11">
        <f>AVERAGE(F7,H7)</f>
        <v>3.4067266028402265E-2</v>
      </c>
      <c r="H7" s="11">
        <f>AVERAGE(C7,M7)</f>
        <v>3.4343812822721809E-2</v>
      </c>
      <c r="I7" s="11">
        <f>AVERAGE(H7,J7)</f>
        <v>3.4620359617041352E-2</v>
      </c>
      <c r="J7" s="11">
        <f>AVERAGE(H7,M7)</f>
        <v>3.4896906411360902E-2</v>
      </c>
      <c r="K7" s="11">
        <f>AVERAGE(J7,L7)</f>
        <v>3.5035179808520681E-2</v>
      </c>
      <c r="L7" s="11">
        <f>AVERAGE(J7,M7)</f>
        <v>3.5173453205680452E-2</v>
      </c>
      <c r="M7" s="435">
        <f>P6</f>
        <v>3.5449999999999995E-2</v>
      </c>
      <c r="N7" s="3"/>
      <c r="O7" s="240" t="s">
        <v>82</v>
      </c>
      <c r="P7" s="307">
        <f>'Future CashFlows (10Y)'!M20</f>
        <v>10.605009262648018</v>
      </c>
      <c r="Q7" s="3"/>
    </row>
    <row r="8" spans="1:20" ht="12" customHeight="1">
      <c r="B8" s="2" t="s">
        <v>502</v>
      </c>
      <c r="D8" s="428">
        <f>-((D5*'FV of RSU, PSU, PSU-TSR'!D19)+(D5*'FV of RSU, PSU, PSU-TSR'!D20)+(D5*'FV of RSU, PSU, PSU-TSR'!D21))</f>
        <v>-1146.8408606740309</v>
      </c>
      <c r="E8" s="428">
        <f>-((E5*'FV of RSU, PSU, PSU-TSR'!E19)+(E5*'FV of RSU, PSU, PSU-TSR'!E20)+(E5*'FV of RSU, PSU, PSU-TSR'!E21))</f>
        <v>-1123.6926304985523</v>
      </c>
      <c r="F8" s="428">
        <f>-((F5*'FV of RSU, PSU, PSU-TSR'!F19)+(F5*'FV of RSU, PSU, PSU-TSR'!F20)+(F5*'FV of RSU, PSU, PSU-TSR'!F21))</f>
        <v>-1032.4705242446473</v>
      </c>
      <c r="G8" s="428">
        <f>-((G5*'FV of RSU, PSU, PSU-TSR'!G19)+(G5*'FV of RSU, PSU, PSU-TSR'!G20)+(G5*'FV of RSU, PSU, PSU-TSR'!G21))</f>
        <v>-933.57238860037273</v>
      </c>
      <c r="H8" s="428">
        <f>-((H5*'FV of RSU, PSU, PSU-TSR'!H19)+(H5*'FV of RSU, PSU, PSU-TSR'!H20)+(H5*'FV of RSU, PSU, PSU-TSR'!H21))</f>
        <v>-826.57561747139448</v>
      </c>
      <c r="I8" s="428">
        <f>-((I5*'FV of RSU, PSU, PSU-TSR'!I19)+(I5*'FV of RSU, PSU, PSU-TSR'!I20)+(I5*'FV of RSU, PSU, PSU-TSR'!I21))</f>
        <v>-783.13526102078436</v>
      </c>
      <c r="J8" s="428">
        <f>-((J5*'FV of RSU, PSU, PSU-TSR'!J19)+(J5*'FV of RSU, PSU, PSU-TSR'!J20)+(J5*'FV of RSU, PSU, PSU-TSR'!J21))</f>
        <v>-735.68919900516539</v>
      </c>
      <c r="K8" s="428">
        <f>-((K5*'FV of RSU, PSU, PSU-TSR'!K19)+(K5*'FV of RSU, PSU, PSU-TSR'!K20)+(K5*'FV of RSU, PSU, PSU-TSR'!K21))</f>
        <v>-606.82823945679036</v>
      </c>
      <c r="L8" s="428">
        <f>-((L5*'FV of RSU, PSU, PSU-TSR'!L19)+(L5*'FV of RSU, PSU, PSU-TSR'!L20)+(L5*'FV of RSU, PSU, PSU-TSR'!L21))</f>
        <v>-468.14775600849305</v>
      </c>
      <c r="M8" s="428">
        <f>-((M5*'FV of RSU, PSU, PSU-TSR'!M19)+(M5*'FV of RSU, PSU, PSU-TSR'!M20)+(M5*'FV of RSU, PSU, PSU-TSR'!M21))</f>
        <v>-319.12175489329246</v>
      </c>
      <c r="O8" s="35" t="s">
        <v>5</v>
      </c>
      <c r="P8" s="92">
        <f ca="1">'Terminal Value'!F19</f>
        <v>4.9570044905088796E-2</v>
      </c>
      <c r="Q8" s="3"/>
    </row>
    <row r="9" spans="1:20" ht="12" customHeight="1">
      <c r="B9" s="572" t="s">
        <v>455</v>
      </c>
      <c r="C9" s="345">
        <f>(C5*C7)</f>
        <v>7543.412090736012</v>
      </c>
      <c r="D9" s="573">
        <f>(D5*D7)+D8</f>
        <v>6690.5710313858708</v>
      </c>
      <c r="E9" s="345">
        <f t="shared" ref="E9:L9" si="2">(E5*E7)+E8</f>
        <v>7019.0377606396069</v>
      </c>
      <c r="F9" s="345">
        <f t="shared" si="2"/>
        <v>7462.0886941469944</v>
      </c>
      <c r="G9" s="345">
        <f t="shared" si="2"/>
        <v>7927.4238335260598</v>
      </c>
      <c r="H9" s="345">
        <f t="shared" si="2"/>
        <v>8416.0558144467141</v>
      </c>
      <c r="I9" s="345">
        <f t="shared" si="2"/>
        <v>8856.9429698140939</v>
      </c>
      <c r="J9" s="345">
        <f t="shared" si="2"/>
        <v>9318.2850665427868</v>
      </c>
      <c r="K9" s="345">
        <f t="shared" si="2"/>
        <v>9836.935732949396</v>
      </c>
      <c r="L9" s="345">
        <f t="shared" si="2"/>
        <v>10380.348974981918</v>
      </c>
      <c r="M9" s="345">
        <f>(M5*M7)+M8</f>
        <v>10993.744456073922</v>
      </c>
      <c r="N9" s="3"/>
      <c r="O9" s="35"/>
      <c r="P9" s="35"/>
      <c r="Q9" s="3"/>
    </row>
    <row r="10" spans="1:20" ht="12" customHeight="1">
      <c r="B10" s="2" t="s">
        <v>344</v>
      </c>
      <c r="C10" s="257">
        <f>'Future CashFlows (10Y)'!C16</f>
        <v>0.2437115707098938</v>
      </c>
      <c r="D10" s="257">
        <f>AVERAGE(C10,E10)</f>
        <v>0.24076292881167177</v>
      </c>
      <c r="E10" s="257">
        <f>AVERAGE(C10,G10)</f>
        <v>0.23781428691344977</v>
      </c>
      <c r="F10" s="257">
        <f>AVERAGE(E10,G10)</f>
        <v>0.23486564501522778</v>
      </c>
      <c r="G10" s="257">
        <f>AVERAGE(C10,M10)</f>
        <v>0.23191700311700575</v>
      </c>
      <c r="H10" s="257">
        <f>AVERAGE(G10,I10)</f>
        <v>0.23044268216789474</v>
      </c>
      <c r="I10" s="257">
        <f>AVERAGE(G10,J10)</f>
        <v>0.22896836121878372</v>
      </c>
      <c r="J10" s="257">
        <f>AVERAGE(G10,M10)</f>
        <v>0.2260197193205617</v>
      </c>
      <c r="K10" s="257">
        <f>AVERAGE(J10,L10)</f>
        <v>0.22454539837145068</v>
      </c>
      <c r="L10" s="257">
        <f>AVERAGE(J10,M10)</f>
        <v>0.22307107742233967</v>
      </c>
      <c r="M10" s="257">
        <f>P10</f>
        <v>0.22012243552411767</v>
      </c>
      <c r="O10" s="35" t="s">
        <v>344</v>
      </c>
      <c r="P10" s="92">
        <f>'Risk Free Rate &amp; ERP'!H15</f>
        <v>0.22012243552411767</v>
      </c>
      <c r="Q10" s="3"/>
    </row>
    <row r="11" spans="1:20" ht="12" customHeight="1">
      <c r="B11" s="572" t="s">
        <v>456</v>
      </c>
      <c r="C11" s="574">
        <f>C9*(1-C10)</f>
        <v>5704.9952815907345</v>
      </c>
      <c r="D11" s="574">
        <f>D9*(1-D10)</f>
        <v>5079.7295544468816</v>
      </c>
      <c r="E11" s="574">
        <f t="shared" ref="E11:M11" si="3">E9*(1-E10)</f>
        <v>5349.8103007745212</v>
      </c>
      <c r="F11" s="574">
        <f t="shared" si="3"/>
        <v>5709.5004198353217</v>
      </c>
      <c r="G11" s="574">
        <f t="shared" si="3"/>
        <v>6088.9194556163711</v>
      </c>
      <c r="H11" s="574">
        <f t="shared" si="3"/>
        <v>6476.6373392909072</v>
      </c>
      <c r="I11" s="574">
        <f t="shared" si="3"/>
        <v>6828.9832526075334</v>
      </c>
      <c r="J11" s="574">
        <f t="shared" si="3"/>
        <v>7212.1688912538038</v>
      </c>
      <c r="K11" s="574">
        <f t="shared" si="3"/>
        <v>7628.0970800399155</v>
      </c>
      <c r="L11" s="574">
        <f t="shared" si="3"/>
        <v>8064.7933451128229</v>
      </c>
      <c r="M11" s="574">
        <f t="shared" si="3"/>
        <v>8573.7746508731634</v>
      </c>
      <c r="O11" s="3"/>
      <c r="P11" s="3"/>
      <c r="Q11" s="3"/>
    </row>
    <row r="12" spans="1:20" ht="12" customHeight="1">
      <c r="B12" s="240" t="s">
        <v>67</v>
      </c>
      <c r="C12" s="257"/>
      <c r="D12" s="539">
        <f t="shared" ref="D12:M12" si="4">$P$7</f>
        <v>10.605009262648018</v>
      </c>
      <c r="E12" s="539">
        <f t="shared" si="4"/>
        <v>10.605009262648018</v>
      </c>
      <c r="F12" s="539">
        <f t="shared" si="4"/>
        <v>10.605009262648018</v>
      </c>
      <c r="G12" s="539">
        <f t="shared" si="4"/>
        <v>10.605009262648018</v>
      </c>
      <c r="H12" s="539">
        <f t="shared" si="4"/>
        <v>10.605009262648018</v>
      </c>
      <c r="I12" s="539">
        <f t="shared" si="4"/>
        <v>10.605009262648018</v>
      </c>
      <c r="J12" s="539">
        <f t="shared" si="4"/>
        <v>10.605009262648018</v>
      </c>
      <c r="K12" s="539">
        <f t="shared" si="4"/>
        <v>10.605009262648018</v>
      </c>
      <c r="L12" s="539">
        <f t="shared" si="4"/>
        <v>10.605009262648018</v>
      </c>
      <c r="M12" s="539">
        <f t="shared" si="4"/>
        <v>10.605009262648018</v>
      </c>
      <c r="N12" s="3"/>
      <c r="O12" s="3" t="s">
        <v>361</v>
      </c>
      <c r="P12" s="565">
        <v>0.01</v>
      </c>
      <c r="Q12" s="3"/>
    </row>
    <row r="13" spans="1:20" ht="12" customHeight="1">
      <c r="A13" s="3"/>
      <c r="B13" s="3" t="s">
        <v>48</v>
      </c>
      <c r="C13" s="354"/>
      <c r="D13" s="344">
        <f t="shared" ref="D13:M13" si="5">(D5-C5)/D12</f>
        <v>741.96023644351578</v>
      </c>
      <c r="E13" s="344">
        <f>(E5-D5)/E12</f>
        <v>767.68399784101257</v>
      </c>
      <c r="F13" s="344">
        <f t="shared" si="5"/>
        <v>794.29960204616032</v>
      </c>
      <c r="G13" s="344">
        <f t="shared" si="5"/>
        <v>821.83796924909916</v>
      </c>
      <c r="H13" s="344">
        <f t="shared" si="5"/>
        <v>850.33109164296729</v>
      </c>
      <c r="I13" s="344">
        <f t="shared" si="5"/>
        <v>879.81207059022915</v>
      </c>
      <c r="J13" s="344">
        <f t="shared" si="5"/>
        <v>910.31515507759423</v>
      </c>
      <c r="K13" s="344">
        <f t="shared" si="5"/>
        <v>941.8757815041298</v>
      </c>
      <c r="L13" s="344">
        <f t="shared" si="5"/>
        <v>974.53061484888246</v>
      </c>
      <c r="M13" s="344">
        <f t="shared" si="5"/>
        <v>1008.3175912656924</v>
      </c>
      <c r="N13" s="3"/>
      <c r="O13" s="125" t="s">
        <v>70</v>
      </c>
      <c r="P13" s="125">
        <f>'Terminal Value'!C12</f>
        <v>0.28689276763745819</v>
      </c>
      <c r="Q13" s="3"/>
    </row>
    <row r="14" spans="1:20" s="22" customFormat="1" ht="12" customHeight="1">
      <c r="A14" s="3"/>
      <c r="B14" s="2" t="s">
        <v>69</v>
      </c>
      <c r="C14" s="428">
        <f>'Expected Growth Rate'!C8</f>
        <v>21192</v>
      </c>
      <c r="D14" s="428">
        <f>C14+D13</f>
        <v>21933.960236443516</v>
      </c>
      <c r="E14" s="428">
        <f t="shared" ref="E14:M14" si="6">D14+E13</f>
        <v>22701.644234284529</v>
      </c>
      <c r="F14" s="428">
        <f t="shared" si="6"/>
        <v>23495.943836330691</v>
      </c>
      <c r="G14" s="428">
        <f t="shared" si="6"/>
        <v>24317.781805579791</v>
      </c>
      <c r="H14" s="428">
        <f t="shared" si="6"/>
        <v>25168.11289722276</v>
      </c>
      <c r="I14" s="428">
        <f t="shared" si="6"/>
        <v>26047.924967812989</v>
      </c>
      <c r="J14" s="428">
        <f t="shared" si="6"/>
        <v>26958.240122890584</v>
      </c>
      <c r="K14" s="428">
        <f t="shared" si="6"/>
        <v>27900.115904394712</v>
      </c>
      <c r="L14" s="428">
        <f t="shared" si="6"/>
        <v>28874.646519243594</v>
      </c>
      <c r="M14" s="428">
        <f t="shared" si="6"/>
        <v>29882.964110509285</v>
      </c>
      <c r="N14" s="3"/>
      <c r="O14" s="2"/>
      <c r="Q14" s="21"/>
      <c r="R14" s="21"/>
      <c r="S14" s="2"/>
      <c r="T14" s="344"/>
    </row>
    <row r="15" spans="1:20" ht="12" customHeight="1">
      <c r="A15" s="3"/>
      <c r="B15" s="572" t="s">
        <v>93</v>
      </c>
      <c r="C15" s="572"/>
      <c r="D15" s="345">
        <f>D11-D13</f>
        <v>4337.7693180033657</v>
      </c>
      <c r="E15" s="345">
        <f t="shared" ref="E15:L15" si="7">E11-E13</f>
        <v>4582.1263029335087</v>
      </c>
      <c r="F15" s="345">
        <f t="shared" si="7"/>
        <v>4915.2008177891612</v>
      </c>
      <c r="G15" s="345">
        <f t="shared" si="7"/>
        <v>5267.0814863672722</v>
      </c>
      <c r="H15" s="345">
        <f t="shared" si="7"/>
        <v>5626.3062476479399</v>
      </c>
      <c r="I15" s="345">
        <f t="shared" si="7"/>
        <v>5949.1711820173041</v>
      </c>
      <c r="J15" s="345">
        <f t="shared" si="7"/>
        <v>6301.8537361762101</v>
      </c>
      <c r="K15" s="345">
        <f t="shared" si="7"/>
        <v>6686.2212985357855</v>
      </c>
      <c r="L15" s="345">
        <f t="shared" si="7"/>
        <v>7090.2627302639403</v>
      </c>
      <c r="M15" s="345">
        <f>M11-M13</f>
        <v>7565.4570596074709</v>
      </c>
      <c r="N15" s="3"/>
      <c r="O15" s="22" t="s">
        <v>503</v>
      </c>
      <c r="P15" s="428">
        <f>-(((M5*(1+P5))*'FV of RSU, PSU, PSU-TSR'!M19)+((M5*(1+P5))*'FV of RSU, PSU, PSU-TSR'!M20)+((M5*(1+P5))*'FV of RSU, PSU, PSU-TSR'!M21))</f>
        <v>-330.1857061354429</v>
      </c>
    </row>
    <row r="16" spans="1:20" ht="12" customHeight="1">
      <c r="A16" s="21"/>
      <c r="B16" s="2" t="s">
        <v>358</v>
      </c>
      <c r="D16" s="11">
        <f ca="1">'Fair Value of Share'!C6</f>
        <v>6.3765429096210455E-2</v>
      </c>
      <c r="E16" s="11">
        <f ca="1">D16</f>
        <v>6.3765429096210455E-2</v>
      </c>
      <c r="F16" s="11">
        <f ca="1">AVERAGE(G16,D16)</f>
        <v>6.1991006072320248E-2</v>
      </c>
      <c r="G16" s="11">
        <f ca="1">AVERAGE(D16,I16)</f>
        <v>6.0216583048430042E-2</v>
      </c>
      <c r="H16" s="11">
        <f ca="1">AVERAGE(G16,I16)</f>
        <v>5.8442160024539835E-2</v>
      </c>
      <c r="I16" s="11">
        <f ca="1">AVERAGE(D16,M16)</f>
        <v>5.6667737000649629E-2</v>
      </c>
      <c r="J16" s="11">
        <f ca="1">AVERAGE(I16,K16)</f>
        <v>5.4893313976759422E-2</v>
      </c>
      <c r="K16" s="11">
        <f ca="1">AVERAGE(I16,M16)</f>
        <v>5.3118890952869216E-2</v>
      </c>
      <c r="L16" s="11">
        <f ca="1">AVERAGE(K16,M16)</f>
        <v>5.134446792897901E-2</v>
      </c>
      <c r="M16" s="11">
        <f ca="1">$P$8</f>
        <v>4.9570044905088796E-2</v>
      </c>
      <c r="N16" s="125"/>
      <c r="P16" s="428"/>
    </row>
    <row r="17" spans="1:20" ht="12" customHeight="1">
      <c r="A17" s="3"/>
      <c r="B17" s="248" t="s">
        <v>359</v>
      </c>
      <c r="C17" s="248"/>
      <c r="D17" s="346">
        <f t="shared" ref="D17:L17" ca="1" si="8">D15/(1+D16)^D3</f>
        <v>4077.7498491267888</v>
      </c>
      <c r="E17" s="346">
        <f t="shared" ca="1" si="8"/>
        <v>4049.2567193818772</v>
      </c>
      <c r="F17" s="346">
        <f t="shared" ca="1" si="8"/>
        <v>4103.7297246558301</v>
      </c>
      <c r="G17" s="346">
        <f t="shared" ca="1" si="8"/>
        <v>4168.6138395192274</v>
      </c>
      <c r="H17" s="346">
        <f t="shared" ca="1" si="8"/>
        <v>4235.3344978826408</v>
      </c>
      <c r="I17" s="346">
        <f t="shared" ca="1" si="8"/>
        <v>4273.9140203293191</v>
      </c>
      <c r="J17" s="346">
        <f t="shared" ca="1" si="8"/>
        <v>4335.1940405349897</v>
      </c>
      <c r="K17" s="346">
        <f t="shared" ca="1" si="8"/>
        <v>4419.3817772866687</v>
      </c>
      <c r="L17" s="346">
        <f t="shared" ca="1" si="8"/>
        <v>4518.1123259443248</v>
      </c>
      <c r="M17" s="346">
        <f ca="1">M15/(1+M16)^M3</f>
        <v>4663.5957483632565</v>
      </c>
      <c r="N17" s="344"/>
      <c r="O17" s="125"/>
      <c r="P17" s="428"/>
    </row>
    <row r="18" spans="1:20" ht="12" customHeight="1">
      <c r="A18" s="120"/>
      <c r="B18" s="22"/>
      <c r="C18" s="22"/>
      <c r="D18" s="34"/>
      <c r="E18" s="20"/>
      <c r="F18" s="155"/>
      <c r="G18" s="433"/>
      <c r="H18" s="428"/>
      <c r="I18" s="344"/>
      <c r="J18" s="428"/>
      <c r="K18" s="428"/>
      <c r="L18" s="344"/>
      <c r="M18" s="344"/>
      <c r="N18" s="428"/>
      <c r="O18" s="428"/>
      <c r="P18" s="428"/>
    </row>
    <row r="19" spans="1:20" ht="12" customHeight="1">
      <c r="A19" s="120"/>
      <c r="B19" s="237" t="s">
        <v>99</v>
      </c>
      <c r="C19" s="413"/>
      <c r="E19" s="156"/>
      <c r="F19" s="155"/>
      <c r="G19" s="433"/>
      <c r="H19" s="428"/>
      <c r="I19" s="428"/>
      <c r="J19" s="428"/>
      <c r="K19" s="428"/>
      <c r="L19" s="428"/>
      <c r="M19" s="428"/>
      <c r="N19" s="428"/>
      <c r="O19" s="428"/>
      <c r="P19" s="428"/>
      <c r="Q19" s="25"/>
      <c r="R19" s="3"/>
      <c r="S19" s="3"/>
      <c r="T19" s="3"/>
    </row>
    <row r="20" spans="1:20" ht="12" customHeight="1">
      <c r="A20" s="120"/>
      <c r="B20" s="25" t="s">
        <v>90</v>
      </c>
      <c r="C20" s="356">
        <f ca="1">SUM(D17:M17)</f>
        <v>42844.882543024927</v>
      </c>
      <c r="J20" s="428"/>
      <c r="K20" s="428"/>
      <c r="L20" s="428"/>
      <c r="M20" s="428"/>
      <c r="N20" s="428"/>
      <c r="O20" s="428"/>
      <c r="P20" s="428"/>
      <c r="Q20" s="3"/>
      <c r="R20" s="3"/>
      <c r="S20" s="3"/>
      <c r="T20" s="3"/>
    </row>
    <row r="21" spans="1:20" ht="12" customHeight="1">
      <c r="A21" s="6"/>
      <c r="B21" s="25" t="s">
        <v>64</v>
      </c>
      <c r="C21" s="356">
        <f ca="1">((((((M5*(1+$P$5))*$P$6)+P15)*(1-P10)))*(1-(P12/P13)))/(P8-P12)</f>
        <v>216371.16853494447</v>
      </c>
      <c r="P21" s="428"/>
      <c r="Q21" s="3"/>
      <c r="R21" s="3"/>
      <c r="S21" s="3"/>
      <c r="T21" s="3"/>
    </row>
    <row r="22" spans="1:20" ht="12" customHeight="1">
      <c r="A22" s="6"/>
      <c r="B22" s="25" t="s">
        <v>84</v>
      </c>
      <c r="C22" s="356">
        <f ca="1">C21/(1+M16)^M3</f>
        <v>133378.28153641144</v>
      </c>
      <c r="D22" s="25"/>
      <c r="F22" s="238"/>
      <c r="G22" s="238"/>
      <c r="H22" s="238"/>
      <c r="I22" s="238"/>
      <c r="L22" s="238"/>
      <c r="M22" s="238"/>
      <c r="N22" s="238"/>
      <c r="O22" s="238"/>
      <c r="P22" s="428"/>
      <c r="Q22" s="3"/>
      <c r="R22" s="3"/>
      <c r="S22" s="3"/>
      <c r="T22" s="3"/>
    </row>
    <row r="23" spans="1:20" s="24" customFormat="1" ht="12" customHeight="1">
      <c r="A23" s="6"/>
      <c r="B23" s="422" t="s">
        <v>95</v>
      </c>
      <c r="C23" s="423">
        <f ca="1">C22+C20</f>
        <v>176223.16407943636</v>
      </c>
      <c r="D23" s="25"/>
      <c r="E23" s="394">
        <f ca="1">$C$30</f>
        <v>415.42954828790141</v>
      </c>
      <c r="F23" s="440">
        <v>0.02</v>
      </c>
      <c r="G23" s="440">
        <v>0.03</v>
      </c>
      <c r="H23" s="442">
        <v>0.04</v>
      </c>
      <c r="I23" s="441">
        <v>0.05</v>
      </c>
      <c r="J23" s="428"/>
      <c r="K23" s="394">
        <f ca="1">$C$30</f>
        <v>415.42954828790141</v>
      </c>
      <c r="L23" s="440">
        <v>0.02</v>
      </c>
      <c r="M23" s="440">
        <v>0.03</v>
      </c>
      <c r="N23" s="442">
        <v>0.04</v>
      </c>
      <c r="O23" s="441">
        <v>0.05</v>
      </c>
      <c r="P23" s="23"/>
      <c r="Q23" s="23"/>
      <c r="R23" s="23"/>
      <c r="S23" s="23"/>
      <c r="T23" s="23"/>
    </row>
    <row r="24" spans="1:20" ht="12" customHeight="1">
      <c r="A24" s="6"/>
      <c r="B24" s="424" t="s">
        <v>80</v>
      </c>
      <c r="C24" s="356">
        <f ca="1">'Cash &amp; Marketable Securities'!C13</f>
        <v>16636.838637060675</v>
      </c>
      <c r="D24" s="25"/>
      <c r="E24" s="455">
        <v>2.5000000000000001E-2</v>
      </c>
      <c r="F24" s="578">
        <f t="dataTable" ref="F24:I28" dt2D="1" dtr="1" r1="P5" r2="P6" ca="1"/>
        <v>274.31166257576143</v>
      </c>
      <c r="G24" s="579">
        <v>294.55240189778038</v>
      </c>
      <c r="H24" s="580">
        <v>316.74248356308891</v>
      </c>
      <c r="I24" s="580">
        <v>341.05583652696345</v>
      </c>
      <c r="J24" s="428"/>
      <c r="K24" s="455">
        <v>7.0000000000000007E-2</v>
      </c>
      <c r="L24" s="583">
        <f t="dataTable" ref="L24:O28" dt2D="1" dtr="1" r1="P5" r2="P8" ca="1"/>
        <v>246.83294883794264</v>
      </c>
      <c r="M24" s="583">
        <v>263.63962004137471</v>
      </c>
      <c r="N24" s="583">
        <v>282.02615708394211</v>
      </c>
      <c r="O24" s="583">
        <v>302.13166953279244</v>
      </c>
      <c r="P24" s="3"/>
      <c r="Q24" s="3"/>
      <c r="R24" s="3"/>
      <c r="S24" s="3"/>
      <c r="T24" s="3"/>
    </row>
    <row r="25" spans="1:20" ht="12" customHeight="1">
      <c r="A25" s="121"/>
      <c r="B25" s="25" t="s">
        <v>86</v>
      </c>
      <c r="C25" s="407">
        <f ca="1">-'Bottom Up Beta'!C14+'Fair Value of Share'!C21</f>
        <v>-8554.2681890212934</v>
      </c>
      <c r="D25" s="27"/>
      <c r="E25" s="456">
        <v>0.03</v>
      </c>
      <c r="F25" s="581">
        <v>320.06751787946376</v>
      </c>
      <c r="G25" s="582">
        <v>345.13683395865775</v>
      </c>
      <c r="H25" s="625">
        <v>372.62778039005946</v>
      </c>
      <c r="I25" s="625">
        <v>402.75607774351397</v>
      </c>
      <c r="J25" s="428"/>
      <c r="K25" s="456">
        <v>0.06</v>
      </c>
      <c r="L25" s="584">
        <v>294.07704634763621</v>
      </c>
      <c r="M25" s="584">
        <v>316.03652204548808</v>
      </c>
      <c r="N25" s="584">
        <v>340.09065996823148</v>
      </c>
      <c r="O25" s="584">
        <v>366.42483644197966</v>
      </c>
      <c r="P25" s="3"/>
      <c r="Q25" s="3"/>
      <c r="R25" s="3"/>
      <c r="S25" s="3"/>
      <c r="T25" s="3"/>
    </row>
    <row r="26" spans="1:20" ht="12" customHeight="1">
      <c r="A26" s="24"/>
      <c r="B26" s="422" t="s">
        <v>88</v>
      </c>
      <c r="C26" s="345">
        <f ca="1">SUM(C23:C25)</f>
        <v>184305.73452747575</v>
      </c>
      <c r="D26" s="25"/>
      <c r="E26" s="456">
        <v>3.5000000000000003E-2</v>
      </c>
      <c r="F26" s="581">
        <v>365.82337318316593</v>
      </c>
      <c r="G26" s="624">
        <v>395.72126601953522</v>
      </c>
      <c r="H26" s="625">
        <v>428.51307721703006</v>
      </c>
      <c r="I26" s="575">
        <v>464.45631896006461</v>
      </c>
      <c r="J26" s="428"/>
      <c r="K26" s="456">
        <v>0.05</v>
      </c>
      <c r="L26" s="584">
        <v>366.00739866266474</v>
      </c>
      <c r="M26" s="584">
        <v>395.90361011090954</v>
      </c>
      <c r="N26" s="584">
        <v>428.69227775915061</v>
      </c>
      <c r="O26" s="584">
        <v>464.63070549376027</v>
      </c>
      <c r="P26" s="3"/>
      <c r="Q26" s="3"/>
      <c r="R26" s="3"/>
      <c r="S26" s="3"/>
      <c r="T26" s="3"/>
    </row>
    <row r="27" spans="1:20" ht="12" customHeight="1">
      <c r="B27" s="2" t="s">
        <v>97</v>
      </c>
      <c r="C27" s="428">
        <f>'Fair Value of Share'!C23</f>
        <v>0</v>
      </c>
      <c r="D27" s="25"/>
      <c r="E27" s="456">
        <v>0.04</v>
      </c>
      <c r="F27" s="626">
        <v>411.57922848686809</v>
      </c>
      <c r="G27" s="576">
        <v>446.30569808041253</v>
      </c>
      <c r="H27" s="575">
        <v>484.39837404400049</v>
      </c>
      <c r="I27" s="575">
        <v>526.15656017661502</v>
      </c>
      <c r="J27" s="428"/>
      <c r="K27" s="456">
        <v>0.08</v>
      </c>
      <c r="L27" s="584">
        <v>213.62700996655397</v>
      </c>
      <c r="M27" s="584">
        <v>226.85952458466187</v>
      </c>
      <c r="N27" s="584">
        <v>241.31729974133239</v>
      </c>
      <c r="O27" s="627">
        <v>257.1076878976113</v>
      </c>
      <c r="P27" s="3"/>
      <c r="Q27" s="3"/>
      <c r="R27" s="3"/>
      <c r="S27" s="3"/>
      <c r="T27" s="3"/>
    </row>
    <row r="28" spans="1:20" ht="12" customHeight="1">
      <c r="B28" s="422" t="s">
        <v>98</v>
      </c>
      <c r="C28" s="426">
        <f ca="1">C26-C27</f>
        <v>184305.73452747575</v>
      </c>
      <c r="D28" s="166"/>
      <c r="E28" s="455">
        <v>4.4999999999999998E-2</v>
      </c>
      <c r="F28" s="577">
        <v>457.33508379057037</v>
      </c>
      <c r="G28" s="576">
        <v>496.89013014128989</v>
      </c>
      <c r="H28" s="575">
        <v>540.28367087097104</v>
      </c>
      <c r="I28" s="575">
        <v>587.85680139316548</v>
      </c>
      <c r="J28" s="428"/>
      <c r="K28" s="455">
        <v>0.09</v>
      </c>
      <c r="L28" s="584">
        <v>189.14203599856964</v>
      </c>
      <c r="M28" s="627">
        <v>199.77758974482714</v>
      </c>
      <c r="N28" s="628">
        <v>211.38273666490761</v>
      </c>
      <c r="O28" s="628">
        <v>224.04202155592773</v>
      </c>
      <c r="P28" s="3"/>
      <c r="Q28" s="3"/>
      <c r="R28" s="3"/>
      <c r="S28" s="3"/>
      <c r="T28" s="3"/>
    </row>
    <row r="29" spans="1:20" ht="12" customHeight="1">
      <c r="B29" s="2" t="s">
        <v>38</v>
      </c>
      <c r="C29" s="432">
        <f>Drivers!C17</f>
        <v>443.65100000000001</v>
      </c>
      <c r="D29" s="153"/>
      <c r="I29" s="25"/>
      <c r="J29" s="25"/>
      <c r="K29" s="13"/>
      <c r="L29" s="3"/>
      <c r="M29" s="3"/>
      <c r="N29" s="3"/>
      <c r="O29" s="3"/>
      <c r="P29" s="3"/>
      <c r="Q29" s="3"/>
      <c r="R29" s="3"/>
      <c r="S29" s="3"/>
      <c r="T29" s="3"/>
    </row>
    <row r="30" spans="1:20" ht="12" customHeight="1">
      <c r="B30" s="309" t="s">
        <v>99</v>
      </c>
      <c r="C30" s="427">
        <f ca="1">C28/C29</f>
        <v>415.42954828790141</v>
      </c>
      <c r="D30" s="28"/>
      <c r="I30" s="25"/>
      <c r="J30" s="25"/>
      <c r="K30" s="5"/>
      <c r="L30" s="3"/>
      <c r="M30" s="3"/>
      <c r="N30" s="3"/>
      <c r="O30" s="3"/>
      <c r="P30" s="3"/>
      <c r="Q30" s="3"/>
      <c r="R30" s="3"/>
      <c r="S30" s="3"/>
      <c r="T30" s="3"/>
    </row>
    <row r="31" spans="1:20" ht="12" customHeight="1">
      <c r="D31" s="3"/>
      <c r="I31" s="25"/>
      <c r="J31" s="25"/>
      <c r="K31" s="5"/>
      <c r="L31" s="3"/>
      <c r="M31" s="3"/>
      <c r="N31" s="3"/>
      <c r="O31" s="3"/>
    </row>
    <row r="32" spans="1:20" ht="12" customHeight="1">
      <c r="D32" s="6"/>
      <c r="E32" s="124"/>
      <c r="F32" s="125"/>
      <c r="G32" s="13"/>
      <c r="H32" s="5"/>
      <c r="I32" s="5"/>
      <c r="J32" s="5"/>
      <c r="K32" s="5"/>
      <c r="L32" s="3"/>
      <c r="M32" s="3"/>
      <c r="N32" s="3"/>
      <c r="O32" s="3"/>
    </row>
    <row r="33" spans="5:13" ht="12" customHeight="1">
      <c r="E33" s="3"/>
      <c r="F33" s="123"/>
    </row>
    <row r="34" spans="5:13" ht="12" customHeight="1">
      <c r="E34" s="3"/>
      <c r="F34" s="51"/>
      <c r="G34" s="7"/>
      <c r="K34" s="9"/>
    </row>
    <row r="35" spans="5:13" ht="12" customHeight="1">
      <c r="E35" s="25"/>
      <c r="F35" s="122"/>
      <c r="G35" s="10"/>
      <c r="K35" s="7"/>
      <c r="M35" s="7"/>
    </row>
    <row r="36" spans="5:13" ht="12" customHeight="1">
      <c r="E36" s="25"/>
      <c r="M36" s="7"/>
    </row>
    <row r="37" spans="5:13" ht="12" customHeight="1">
      <c r="E37" s="25"/>
      <c r="F37" s="5"/>
      <c r="G37" s="14"/>
      <c r="K37" s="4"/>
    </row>
    <row r="40" spans="5:13" ht="12" customHeight="1">
      <c r="G40" s="11"/>
    </row>
    <row r="41" spans="5:13" ht="12" customHeight="1">
      <c r="G41" s="7"/>
    </row>
    <row r="42" spans="5:13" ht="12" customHeight="1">
      <c r="G42" s="11"/>
    </row>
    <row r="44" spans="5:13" ht="12" customHeight="1">
      <c r="G44" s="14"/>
    </row>
  </sheetData>
  <pageMargins left="0.7" right="0.7" top="0.75" bottom="0.75" header="0.3" footer="0.3"/>
  <pageSetup orientation="landscape"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30"/>
  <sheetViews>
    <sheetView workbookViewId="0"/>
  </sheetViews>
  <sheetFormatPr defaultRowHeight="12" customHeight="1"/>
  <cols>
    <col min="1" max="1" width="2" style="2" customWidth="1"/>
    <col min="2" max="2" width="14.85546875" style="2" customWidth="1"/>
    <col min="3" max="9" width="11.7109375" style="2" customWidth="1"/>
    <col min="10" max="10" width="5" style="2" customWidth="1"/>
    <col min="11" max="12" width="11.7109375" style="2" customWidth="1"/>
    <col min="13" max="13" width="10" style="2" bestFit="1" customWidth="1"/>
    <col min="14" max="14" width="11" style="2" customWidth="1"/>
    <col min="15" max="15" width="11.28515625" style="2" customWidth="1"/>
    <col min="16" max="16" width="10" style="2" bestFit="1" customWidth="1"/>
    <col min="17" max="19" width="9.140625" style="2"/>
    <col min="20" max="20" width="10.140625" style="2" bestFit="1" customWidth="1"/>
    <col min="21" max="16384" width="9.140625" style="2"/>
  </cols>
  <sheetData>
    <row r="1" spans="1:20" ht="16.5" customHeight="1">
      <c r="B1" s="15" t="s">
        <v>364</v>
      </c>
    </row>
    <row r="3" spans="1:20" ht="12" customHeight="1" thickBot="1">
      <c r="B3" s="443" t="s">
        <v>365</v>
      </c>
      <c r="C3" s="444"/>
      <c r="D3" s="444"/>
      <c r="E3" s="443"/>
      <c r="F3" s="445"/>
      <c r="G3" s="446"/>
      <c r="H3" s="447"/>
      <c r="I3" s="447"/>
      <c r="J3" s="447"/>
      <c r="K3" s="5"/>
      <c r="L3" s="3"/>
      <c r="M3" s="3"/>
      <c r="N3" s="3"/>
      <c r="O3" s="3"/>
      <c r="P3" s="3"/>
      <c r="Q3" s="3"/>
      <c r="R3" s="3"/>
      <c r="S3" s="3"/>
      <c r="T3" s="3"/>
    </row>
    <row r="4" spans="1:20" ht="12" customHeight="1">
      <c r="D4" s="3"/>
      <c r="E4" s="35"/>
      <c r="F4" s="92"/>
      <c r="G4" s="3"/>
      <c r="H4" s="3"/>
      <c r="I4" s="3"/>
      <c r="J4" s="3"/>
      <c r="K4" s="3"/>
      <c r="L4" s="3"/>
      <c r="M4" s="3"/>
      <c r="Q4" s="3"/>
      <c r="R4" s="3"/>
      <c r="S4" s="3"/>
      <c r="T4" s="3"/>
    </row>
    <row r="5" spans="1:20" ht="12" customHeight="1">
      <c r="E5" s="3"/>
      <c r="F5" s="90"/>
      <c r="G5" s="3"/>
      <c r="H5" s="3"/>
      <c r="I5" s="3"/>
      <c r="J5" s="3"/>
      <c r="K5" s="3"/>
      <c r="L5" s="3"/>
      <c r="M5" s="3"/>
      <c r="Q5" s="3"/>
      <c r="R5" s="3"/>
      <c r="S5" s="3"/>
      <c r="T5" s="3"/>
    </row>
    <row r="6" spans="1:20" ht="12" customHeight="1">
      <c r="E6" s="3"/>
      <c r="F6" s="123"/>
      <c r="Q6" s="3"/>
      <c r="R6" s="3"/>
      <c r="S6" s="3"/>
      <c r="T6" s="3"/>
    </row>
    <row r="7" spans="1:20" ht="12" customHeight="1">
      <c r="B7" s="240" t="s">
        <v>362</v>
      </c>
      <c r="C7" s="540">
        <v>-0.02</v>
      </c>
      <c r="E7" s="3"/>
      <c r="F7" s="51"/>
      <c r="G7" s="7"/>
      <c r="K7" s="9"/>
      <c r="Q7" s="3"/>
      <c r="R7" s="3"/>
      <c r="S7" s="3"/>
      <c r="T7" s="3"/>
    </row>
    <row r="8" spans="1:20" ht="12" customHeight="1">
      <c r="B8" s="240" t="s">
        <v>109</v>
      </c>
      <c r="C8" s="257">
        <f>'Sensitivity Analysis'!P6</f>
        <v>3.5449999999999995E-2</v>
      </c>
      <c r="E8" s="25"/>
      <c r="F8" s="122"/>
      <c r="G8" s="10"/>
      <c r="K8" s="7"/>
      <c r="M8" s="7"/>
      <c r="Q8" s="3"/>
      <c r="R8" s="3"/>
      <c r="S8" s="3"/>
      <c r="T8" s="3"/>
    </row>
    <row r="9" spans="1:20" ht="12" customHeight="1">
      <c r="B9" s="240" t="s">
        <v>82</v>
      </c>
      <c r="C9" s="306">
        <f>'Sensitivity Analysis'!P7</f>
        <v>10.605009262648018</v>
      </c>
      <c r="E9" s="25"/>
      <c r="M9" s="7"/>
      <c r="Q9" s="3"/>
      <c r="R9" s="3"/>
      <c r="S9" s="3"/>
      <c r="T9" s="3"/>
    </row>
    <row r="10" spans="1:20" ht="12" customHeight="1">
      <c r="B10" s="240" t="s">
        <v>79</v>
      </c>
      <c r="C10" s="257">
        <f ca="1">'Sensitivity Analysis'!P8</f>
        <v>4.9570044905088796E-2</v>
      </c>
      <c r="E10" s="25"/>
      <c r="F10" s="5"/>
      <c r="G10" s="14"/>
      <c r="K10" s="4"/>
      <c r="Q10" s="3"/>
      <c r="R10" s="3"/>
      <c r="S10" s="3"/>
      <c r="T10" s="3"/>
    </row>
    <row r="11" spans="1:20" ht="12" customHeight="1">
      <c r="A11" s="3"/>
      <c r="Q11" s="3"/>
      <c r="R11" s="3"/>
      <c r="S11" s="3"/>
      <c r="T11" s="3"/>
    </row>
    <row r="12" spans="1:20" ht="12" customHeight="1" thickBot="1">
      <c r="A12" s="3"/>
      <c r="B12" s="443" t="s">
        <v>366</v>
      </c>
      <c r="C12" s="444"/>
      <c r="D12" s="444"/>
      <c r="E12" s="444"/>
      <c r="F12" s="444"/>
      <c r="G12" s="444"/>
      <c r="H12" s="444"/>
      <c r="I12" s="444"/>
      <c r="J12" s="444"/>
      <c r="Q12" s="3"/>
      <c r="R12" s="3"/>
      <c r="S12" s="3"/>
      <c r="T12" s="3"/>
    </row>
    <row r="13" spans="1:20" ht="12" customHeight="1">
      <c r="A13" s="3"/>
      <c r="G13" s="11"/>
      <c r="Q13" s="3"/>
      <c r="R13" s="3"/>
      <c r="S13" s="3"/>
      <c r="T13" s="3"/>
    </row>
    <row r="14" spans="1:20" s="22" customFormat="1" ht="12" customHeight="1">
      <c r="A14" s="21"/>
      <c r="B14" s="2"/>
      <c r="C14" s="2"/>
      <c r="D14" s="2"/>
      <c r="E14" s="2"/>
      <c r="F14" s="2"/>
      <c r="G14" s="7"/>
      <c r="H14" s="2"/>
      <c r="I14" s="2"/>
      <c r="J14" s="2"/>
      <c r="K14" s="2"/>
      <c r="L14" s="2"/>
      <c r="M14" s="2"/>
      <c r="N14" s="2"/>
      <c r="O14" s="2"/>
      <c r="P14" s="2"/>
      <c r="Q14" s="21"/>
      <c r="R14" s="21"/>
      <c r="S14" s="21"/>
      <c r="T14" s="21"/>
    </row>
    <row r="15" spans="1:20" ht="12" customHeight="1">
      <c r="A15" s="3"/>
      <c r="G15" s="11"/>
    </row>
    <row r="16" spans="1:20" ht="12" customHeight="1">
      <c r="A16" s="120"/>
      <c r="B16" s="240" t="s">
        <v>362</v>
      </c>
      <c r="C16" s="257">
        <f>'Sensitivity Analysis'!P5</f>
        <v>3.4669999999999999E-2</v>
      </c>
    </row>
    <row r="17" spans="1:20" ht="12" customHeight="1">
      <c r="A17" s="120"/>
      <c r="B17" s="240" t="s">
        <v>109</v>
      </c>
      <c r="C17" s="585">
        <v>0</v>
      </c>
      <c r="G17" s="14"/>
    </row>
    <row r="18" spans="1:20" ht="12" customHeight="1">
      <c r="A18" s="120"/>
      <c r="B18" s="240" t="s">
        <v>82</v>
      </c>
      <c r="C18" s="306">
        <f>'Sensitivity Analysis'!P7</f>
        <v>10.605009262648018</v>
      </c>
    </row>
    <row r="19" spans="1:20" ht="12" customHeight="1">
      <c r="A19" s="6"/>
      <c r="B19" s="240" t="s">
        <v>79</v>
      </c>
      <c r="C19" s="257">
        <f ca="1">'Sensitivity Analysis'!P8</f>
        <v>4.9570044905088796E-2</v>
      </c>
      <c r="Q19" s="25"/>
      <c r="R19" s="3"/>
      <c r="S19" s="3"/>
      <c r="T19" s="3"/>
    </row>
    <row r="20" spans="1:20" ht="12" customHeight="1">
      <c r="A20" s="6"/>
      <c r="Q20" s="3"/>
      <c r="R20" s="3"/>
      <c r="S20" s="3"/>
      <c r="T20" s="3"/>
    </row>
    <row r="21" spans="1:20" ht="12" customHeight="1" thickBot="1">
      <c r="A21" s="6"/>
      <c r="B21" s="443" t="s">
        <v>367</v>
      </c>
      <c r="C21" s="444"/>
      <c r="D21" s="444"/>
      <c r="E21" s="444"/>
      <c r="F21" s="444"/>
      <c r="G21" s="444"/>
      <c r="H21" s="444"/>
      <c r="I21" s="444"/>
      <c r="J21" s="444"/>
      <c r="Q21" s="3"/>
      <c r="R21" s="3"/>
      <c r="S21" s="3"/>
      <c r="T21" s="3"/>
    </row>
    <row r="22" spans="1:20" ht="12" customHeight="1">
      <c r="A22" s="6"/>
      <c r="Q22" s="3"/>
      <c r="R22" s="3"/>
      <c r="S22" s="3"/>
      <c r="T22" s="3"/>
    </row>
    <row r="23" spans="1:20" s="24" customFormat="1" ht="12" customHeight="1">
      <c r="A23" s="121"/>
      <c r="B23" s="2"/>
      <c r="C23" s="2"/>
      <c r="D23" s="2"/>
      <c r="E23" s="2"/>
      <c r="F23" s="2"/>
      <c r="G23" s="2"/>
      <c r="H23" s="2"/>
      <c r="I23" s="2"/>
      <c r="J23" s="2"/>
      <c r="K23" s="2"/>
      <c r="L23" s="2"/>
      <c r="M23" s="2"/>
      <c r="N23" s="2"/>
      <c r="O23" s="2"/>
      <c r="P23" s="2"/>
      <c r="Q23" s="23"/>
      <c r="R23" s="23"/>
      <c r="S23" s="23"/>
      <c r="T23" s="23"/>
    </row>
    <row r="24" spans="1:20" ht="12" customHeight="1">
      <c r="A24" s="24"/>
      <c r="Q24" s="3"/>
      <c r="R24" s="3"/>
      <c r="S24" s="3"/>
      <c r="T24" s="3"/>
    </row>
    <row r="25" spans="1:20" ht="12" customHeight="1">
      <c r="B25" s="240" t="s">
        <v>362</v>
      </c>
      <c r="C25" s="257">
        <f>'Sensitivity Analysis'!P5</f>
        <v>3.4669999999999999E-2</v>
      </c>
      <c r="Q25" s="3"/>
      <c r="R25" s="3"/>
      <c r="S25" s="3"/>
      <c r="T25" s="3"/>
    </row>
    <row r="26" spans="1:20" ht="12" customHeight="1">
      <c r="B26" s="240" t="s">
        <v>109</v>
      </c>
      <c r="C26" s="257">
        <f>'Sensitivity Analysis'!P6</f>
        <v>3.5449999999999995E-2</v>
      </c>
      <c r="Q26" s="3"/>
      <c r="R26" s="3"/>
      <c r="S26" s="3"/>
      <c r="T26" s="3"/>
    </row>
    <row r="27" spans="1:20" ht="12" customHeight="1">
      <c r="B27" s="240" t="s">
        <v>82</v>
      </c>
      <c r="C27" s="541">
        <v>3.11</v>
      </c>
      <c r="Q27" s="3"/>
      <c r="R27" s="3"/>
      <c r="S27" s="3"/>
      <c r="T27" s="3"/>
    </row>
    <row r="28" spans="1:20" ht="12" customHeight="1">
      <c r="B28" s="240" t="s">
        <v>79</v>
      </c>
      <c r="C28" s="257">
        <f ca="1">'Sensitivity Analysis'!P8</f>
        <v>4.9570044905088796E-2</v>
      </c>
      <c r="Q28" s="3"/>
      <c r="R28" s="3"/>
      <c r="S28" s="3"/>
      <c r="T28" s="3"/>
    </row>
    <row r="29" spans="1:20" ht="12" customHeight="1">
      <c r="Q29" s="3"/>
      <c r="R29" s="3"/>
      <c r="S29" s="3"/>
      <c r="T29" s="3"/>
    </row>
    <row r="30" spans="1:20" ht="12" customHeight="1">
      <c r="Q30" s="3"/>
      <c r="R30" s="3"/>
      <c r="S30" s="3"/>
      <c r="T30" s="3"/>
    </row>
  </sheetData>
  <pageMargins left="0.7" right="0.7" top="0.75" bottom="0.75" header="0.3" footer="0.3"/>
  <pageSetup orientation="landscape"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29" t="s">
        <v>226</v>
      </c>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28"/>
  <sheetViews>
    <sheetView workbookViewId="0"/>
  </sheetViews>
  <sheetFormatPr defaultRowHeight="12" customHeight="1"/>
  <cols>
    <col min="1" max="1" width="2" style="2" customWidth="1"/>
    <col min="2" max="2" width="31" style="2" customWidth="1"/>
    <col min="3" max="3" width="13.5703125" style="2" customWidth="1"/>
    <col min="4" max="4" width="8.140625" style="2" customWidth="1"/>
    <col min="5" max="5" width="27" style="2" customWidth="1"/>
    <col min="6" max="6" width="14.5703125" style="2" customWidth="1"/>
    <col min="7" max="7" width="11.140625" style="2" customWidth="1"/>
    <col min="8" max="8" width="11.5703125" style="2" customWidth="1"/>
    <col min="9" max="9" width="12.85546875" style="2" customWidth="1"/>
    <col min="10" max="10" width="10.42578125" style="2" customWidth="1"/>
    <col min="11" max="11" width="11" style="2" customWidth="1"/>
    <col min="12" max="12" width="16" style="2" customWidth="1"/>
    <col min="13" max="13" width="12.28515625" style="2" customWidth="1"/>
    <col min="14" max="14" width="11.5703125" style="2" customWidth="1"/>
    <col min="15" max="15" width="11.85546875" style="2" customWidth="1"/>
    <col min="16" max="17" width="9.140625" style="2"/>
    <col min="18" max="18" width="11.5703125" style="2" customWidth="1"/>
    <col min="19" max="19" width="12.7109375" style="2" customWidth="1"/>
    <col min="20" max="20" width="10.140625" style="2" bestFit="1" customWidth="1"/>
    <col min="21" max="16384" width="9.140625" style="2"/>
  </cols>
  <sheetData>
    <row r="1" spans="1:16" ht="16.5" customHeight="1">
      <c r="B1" s="15" t="s">
        <v>245</v>
      </c>
    </row>
    <row r="3" spans="1:16" ht="12" customHeight="1">
      <c r="B3" s="2" t="s">
        <v>227</v>
      </c>
      <c r="C3" s="416">
        <f>I11</f>
        <v>6612</v>
      </c>
      <c r="D3" s="28"/>
      <c r="E3" s="285" t="s">
        <v>312</v>
      </c>
      <c r="F3" s="285" t="s">
        <v>314</v>
      </c>
      <c r="G3" s="286" t="s">
        <v>115</v>
      </c>
      <c r="H3" s="286" t="s">
        <v>116</v>
      </c>
      <c r="I3" s="286" t="s">
        <v>311</v>
      </c>
      <c r="J3" s="287"/>
      <c r="K3" s="164"/>
    </row>
    <row r="4" spans="1:16" ht="12" customHeight="1" thickBot="1">
      <c r="B4" s="2" t="s">
        <v>228</v>
      </c>
      <c r="C4" s="416">
        <f ca="1">'Bottom Up Beta'!F22</f>
        <v>5997.2681890212934</v>
      </c>
      <c r="D4" s="3"/>
      <c r="E4" s="291" t="s">
        <v>634</v>
      </c>
      <c r="F4" s="291"/>
      <c r="G4" s="292" t="s">
        <v>313</v>
      </c>
      <c r="H4" s="243"/>
      <c r="I4" s="291" t="s">
        <v>307</v>
      </c>
      <c r="J4" s="293" t="s">
        <v>114</v>
      </c>
    </row>
    <row r="5" spans="1:16" ht="12" customHeight="1">
      <c r="B5" s="2" t="s">
        <v>229</v>
      </c>
      <c r="C5" s="416">
        <f>I12</f>
        <v>2557</v>
      </c>
      <c r="D5" s="3"/>
      <c r="E5" s="121" t="s">
        <v>589</v>
      </c>
      <c r="F5" s="289">
        <v>2.75E-2</v>
      </c>
      <c r="G5" s="290">
        <v>45413</v>
      </c>
      <c r="H5" s="99">
        <f ca="1">YEARFRAC(TODAY(),G5)</f>
        <v>0.9555555555555556</v>
      </c>
      <c r="I5" s="419">
        <v>1000</v>
      </c>
      <c r="J5" s="63">
        <f>I5/$I$11</f>
        <v>0.15124016938898971</v>
      </c>
      <c r="K5" s="230"/>
    </row>
    <row r="6" spans="1:16" ht="12" customHeight="1">
      <c r="B6" s="210"/>
      <c r="C6" s="3"/>
      <c r="D6" s="3"/>
      <c r="E6" s="121" t="s">
        <v>589</v>
      </c>
      <c r="F6" s="289">
        <v>0.03</v>
      </c>
      <c r="G6" s="290">
        <v>46508</v>
      </c>
      <c r="H6" s="99">
        <f t="shared" ref="H6:H10" ca="1" si="0">YEARFRAC(TODAY(),G6)</f>
        <v>3.9555555555555557</v>
      </c>
      <c r="I6" s="419">
        <v>1000</v>
      </c>
      <c r="J6" s="63">
        <f t="shared" ref="J6:J10" si="1">I6/$I$11</f>
        <v>0.15124016938898971</v>
      </c>
      <c r="K6" s="200"/>
    </row>
    <row r="7" spans="1:16" ht="12" customHeight="1" thickBot="1">
      <c r="B7" s="276" t="s">
        <v>230</v>
      </c>
      <c r="C7" s="276"/>
      <c r="D7" s="3"/>
      <c r="E7" s="121" t="s">
        <v>589</v>
      </c>
      <c r="F7" s="289">
        <v>1.375E-2</v>
      </c>
      <c r="G7" s="290">
        <v>46539</v>
      </c>
      <c r="H7" s="99">
        <f t="shared" ca="1" si="0"/>
        <v>4.0388888888888888</v>
      </c>
      <c r="I7" s="419">
        <v>1250</v>
      </c>
      <c r="J7" s="63">
        <f t="shared" si="1"/>
        <v>0.18905021173623715</v>
      </c>
      <c r="K7" s="230"/>
    </row>
    <row r="8" spans="1:16" ht="12" customHeight="1">
      <c r="B8" s="2" t="s">
        <v>231</v>
      </c>
      <c r="C8" s="217">
        <f>I10/I13</f>
        <v>6.6746646308212448E-2</v>
      </c>
      <c r="E8" s="121" t="s">
        <v>589</v>
      </c>
      <c r="F8" s="289">
        <v>1.6E-2</v>
      </c>
      <c r="G8" s="290">
        <v>47574</v>
      </c>
      <c r="H8" s="99">
        <f t="shared" ca="1" si="0"/>
        <v>6.8722222222222218</v>
      </c>
      <c r="I8" s="419">
        <v>1750</v>
      </c>
      <c r="J8" s="63">
        <f t="shared" si="1"/>
        <v>0.26467029643073198</v>
      </c>
      <c r="L8" s="3"/>
    </row>
    <row r="9" spans="1:16" ht="12" customHeight="1">
      <c r="B9" s="2" t="s">
        <v>232</v>
      </c>
      <c r="C9" s="257">
        <f>100%-C8</f>
        <v>0.93325335369178752</v>
      </c>
      <c r="E9" s="121" t="s">
        <v>589</v>
      </c>
      <c r="F9" s="289">
        <v>1.7500000000000002E-2</v>
      </c>
      <c r="G9" s="290">
        <v>48305</v>
      </c>
      <c r="H9" s="99">
        <f t="shared" ca="1" si="0"/>
        <v>8.8722222222222218</v>
      </c>
      <c r="I9" s="419">
        <v>1000</v>
      </c>
      <c r="J9" s="63">
        <f t="shared" si="1"/>
        <v>0.15124016938898971</v>
      </c>
      <c r="L9" s="3"/>
    </row>
    <row r="10" spans="1:16" ht="12" customHeight="1">
      <c r="A10" s="3"/>
      <c r="B10" s="214"/>
      <c r="C10" s="103"/>
      <c r="E10" s="121" t="s">
        <v>590</v>
      </c>
      <c r="F10" s="289">
        <v>0</v>
      </c>
      <c r="G10" s="290">
        <f ca="1">TODAY()</f>
        <v>45063</v>
      </c>
      <c r="H10" s="99">
        <f t="shared" ca="1" si="0"/>
        <v>0</v>
      </c>
      <c r="I10" s="419">
        <v>612</v>
      </c>
      <c r="J10" s="63">
        <f t="shared" si="1"/>
        <v>9.2558983666061703E-2</v>
      </c>
    </row>
    <row r="11" spans="1:16" ht="12" customHeight="1" thickBot="1">
      <c r="A11" s="3"/>
      <c r="B11" s="276" t="s">
        <v>238</v>
      </c>
      <c r="C11" s="448"/>
      <c r="D11" s="211"/>
      <c r="E11" s="294" t="s">
        <v>475</v>
      </c>
      <c r="F11" s="297">
        <f>SUMPRODUCT(F5:F10,$J$5:$J$10)</f>
        <v>1.8177177858439197E-2</v>
      </c>
      <c r="G11" s="295"/>
      <c r="H11" s="296">
        <f ca="1">SUMPRODUCT(H5:H10,$J$5:$J$10)</f>
        <v>4.6670195603952402</v>
      </c>
      <c r="I11" s="420">
        <f>SUM(I5:I10)</f>
        <v>6612</v>
      </c>
      <c r="J11" s="297">
        <f>SUM(J5:J10)</f>
        <v>1</v>
      </c>
      <c r="K11" s="229">
        <f>I11/$I$13</f>
        <v>0.72112553168284432</v>
      </c>
      <c r="L11" s="33"/>
      <c r="M11" s="212"/>
      <c r="N11" s="212"/>
      <c r="O11" s="212"/>
    </row>
    <row r="12" spans="1:16" ht="12" customHeight="1">
      <c r="A12" s="3"/>
      <c r="B12" s="2" t="s">
        <v>233</v>
      </c>
      <c r="C12" s="217">
        <f>(I5+I10)/I13</f>
        <v>0.1758097938706511</v>
      </c>
      <c r="D12" s="194"/>
      <c r="E12" s="121" t="s">
        <v>476</v>
      </c>
      <c r="F12" s="63"/>
      <c r="G12" s="12"/>
      <c r="H12" s="99">
        <v>6</v>
      </c>
      <c r="I12" s="419">
        <v>2557</v>
      </c>
      <c r="J12" s="257"/>
      <c r="K12" s="229">
        <f>I12/$I$13</f>
        <v>0.27887446831715562</v>
      </c>
      <c r="L12" s="208"/>
      <c r="M12" s="208"/>
      <c r="N12" s="208"/>
      <c r="O12" s="209"/>
    </row>
    <row r="13" spans="1:16" ht="12" customHeight="1">
      <c r="A13" s="3"/>
      <c r="B13" s="2" t="s">
        <v>236</v>
      </c>
      <c r="C13" s="217">
        <f>(I6+I7)/I13</f>
        <v>0.24539208201548696</v>
      </c>
      <c r="D13" s="194"/>
      <c r="E13" s="298" t="s">
        <v>117</v>
      </c>
      <c r="F13" s="300">
        <f>SUMPRODUCT(F11:F12,$K$11:$K$12)</f>
        <v>1.3108027047660592E-2</v>
      </c>
      <c r="G13" s="299"/>
      <c r="H13" s="301">
        <f ca="1">SUMPRODUCT(H11:H12,$K$11:$K$12)</f>
        <v>5.038753771767186</v>
      </c>
      <c r="I13" s="421">
        <f>I11+I12</f>
        <v>9169</v>
      </c>
      <c r="J13" s="300"/>
      <c r="K13" s="534">
        <f>SUM(K11:K12)</f>
        <v>1</v>
      </c>
      <c r="N13" s="208"/>
      <c r="O13" s="216"/>
    </row>
    <row r="14" spans="1:16" s="22" customFormat="1" ht="12" customHeight="1">
      <c r="A14" s="21"/>
      <c r="B14" s="2" t="s">
        <v>235</v>
      </c>
      <c r="C14" s="217">
        <f>(I8+I9+I12)/I13</f>
        <v>0.57879812411386189</v>
      </c>
      <c r="D14" s="2"/>
      <c r="E14" s="47"/>
      <c r="F14" s="55"/>
      <c r="G14" s="46"/>
      <c r="H14" s="281"/>
      <c r="N14" s="2"/>
      <c r="O14" s="2"/>
      <c r="P14" s="2"/>
    </row>
    <row r="15" spans="1:16" ht="12" customHeight="1" thickBot="1">
      <c r="A15" s="3"/>
      <c r="B15" s="2" t="s">
        <v>234</v>
      </c>
      <c r="C15" s="217">
        <v>0</v>
      </c>
      <c r="E15" s="103"/>
      <c r="I15" s="450" t="s">
        <v>31</v>
      </c>
      <c r="J15" s="450" t="s">
        <v>68</v>
      </c>
      <c r="K15" s="450" t="s">
        <v>5</v>
      </c>
      <c r="L15" s="451" t="s">
        <v>266</v>
      </c>
      <c r="M15" s="451" t="s">
        <v>267</v>
      </c>
      <c r="N15" s="11"/>
      <c r="O15" s="216"/>
    </row>
    <row r="16" spans="1:16" ht="12" customHeight="1">
      <c r="A16" s="120"/>
      <c r="B16" s="2" t="s">
        <v>237</v>
      </c>
      <c r="C16" s="217">
        <v>0</v>
      </c>
      <c r="I16" s="5">
        <v>1</v>
      </c>
      <c r="J16" s="344">
        <f>'Fair Value of Share'!C5</f>
        <v>4315.7883374008807</v>
      </c>
      <c r="K16" s="11">
        <f ca="1">'Fair Value of Share'!C6</f>
        <v>6.3765429096210455E-2</v>
      </c>
      <c r="L16" s="454">
        <f ca="1">J16/(1+K16)^I16</f>
        <v>4057.0864772956884</v>
      </c>
      <c r="M16" s="454">
        <f ca="1">L16*I16</f>
        <v>4057.0864772956884</v>
      </c>
    </row>
    <row r="17" spans="1:16" ht="12" customHeight="1">
      <c r="A17" s="120"/>
      <c r="C17" s="11"/>
      <c r="G17" s="11"/>
      <c r="I17" s="5">
        <v>2</v>
      </c>
      <c r="J17" s="344">
        <f>'Fair Value of Share'!D5</f>
        <v>4566.5384067763553</v>
      </c>
      <c r="K17" s="11">
        <f ca="1">'Fair Value of Share'!D6</f>
        <v>6.3765429096210455E-2</v>
      </c>
      <c r="L17" s="454">
        <f t="shared" ref="L17:L24" ca="1" si="2">J17/(1+K17)^I17</f>
        <v>4035.4815876892021</v>
      </c>
      <c r="M17" s="454">
        <f t="shared" ref="M17:M24" ca="1" si="3">L17*I17</f>
        <v>8070.9631753784042</v>
      </c>
    </row>
    <row r="18" spans="1:16" ht="12" customHeight="1" thickBot="1">
      <c r="A18" s="120"/>
      <c r="B18" s="276" t="s">
        <v>239</v>
      </c>
      <c r="C18" s="448"/>
      <c r="G18" s="7"/>
      <c r="I18" s="5">
        <v>3</v>
      </c>
      <c r="J18" s="344">
        <f>'Fair Value of Share'!E5</f>
        <v>4906.8454906203569</v>
      </c>
      <c r="K18" s="11">
        <f ca="1">'Fair Value of Share'!E6</f>
        <v>6.1991006072320248E-2</v>
      </c>
      <c r="L18" s="454">
        <f t="shared" ca="1" si="2"/>
        <v>4096.7538134503811</v>
      </c>
      <c r="M18" s="454">
        <f t="shared" ca="1" si="3"/>
        <v>12290.261440351143</v>
      </c>
    </row>
    <row r="19" spans="1:16" ht="12" customHeight="1">
      <c r="A19" s="6"/>
      <c r="B19" s="2" t="s">
        <v>240</v>
      </c>
      <c r="C19" s="217">
        <v>1</v>
      </c>
      <c r="G19" s="11"/>
      <c r="I19" s="436">
        <v>4</v>
      </c>
      <c r="J19" s="428">
        <f>'Fair Value of Share'!F5</f>
        <v>5266.6647740708186</v>
      </c>
      <c r="K19" s="11">
        <f ca="1">'Fair Value of Share'!F6</f>
        <v>6.0216583048430042E-2</v>
      </c>
      <c r="L19" s="454">
        <f t="shared" ca="1" si="2"/>
        <v>4168.2840339806971</v>
      </c>
      <c r="M19" s="454">
        <f t="shared" ca="1" si="3"/>
        <v>16673.136135922789</v>
      </c>
    </row>
    <row r="20" spans="1:16" ht="12" customHeight="1">
      <c r="A20" s="6"/>
      <c r="B20" s="2" t="s">
        <v>241</v>
      </c>
      <c r="C20" s="217">
        <v>0</v>
      </c>
      <c r="I20" s="436">
        <v>5</v>
      </c>
      <c r="J20" s="428">
        <f>'Fair Value of Share'!G5</f>
        <v>5634.4047211786756</v>
      </c>
      <c r="K20" s="11">
        <f ca="1">'Fair Value of Share'!G6</f>
        <v>5.8442160024539835E-2</v>
      </c>
      <c r="L20" s="454">
        <f t="shared" ca="1" si="2"/>
        <v>4241.4308145094246</v>
      </c>
      <c r="M20" s="454">
        <f ca="1">L20*I20</f>
        <v>21207.154072547124</v>
      </c>
    </row>
    <row r="21" spans="1:16" ht="12" customHeight="1">
      <c r="A21" s="6"/>
      <c r="C21" s="217"/>
      <c r="G21" s="14"/>
      <c r="I21" s="436">
        <v>6</v>
      </c>
      <c r="J21" s="428">
        <f>'Fair Value of Share'!H5</f>
        <v>5964.9506404243102</v>
      </c>
      <c r="K21" s="11">
        <f ca="1">'Fair Value of Share'!H6</f>
        <v>5.6667737000649629E-2</v>
      </c>
      <c r="L21" s="454">
        <f t="shared" ca="1" si="2"/>
        <v>4285.2500613433613</v>
      </c>
      <c r="M21" s="454">
        <f t="shared" ca="1" si="3"/>
        <v>25711.500368060166</v>
      </c>
    </row>
    <row r="22" spans="1:16" ht="12" customHeight="1" thickBot="1">
      <c r="A22" s="121"/>
      <c r="B22" s="276" t="s">
        <v>242</v>
      </c>
      <c r="C22" s="448"/>
      <c r="I22" s="436">
        <v>7</v>
      </c>
      <c r="J22" s="428">
        <f>'Fair Value of Share'!I5</f>
        <v>6325.9732731385848</v>
      </c>
      <c r="K22" s="11">
        <f ca="1">'Fair Value of Share'!I6</f>
        <v>5.4893313976759422E-2</v>
      </c>
      <c r="L22" s="454">
        <f t="shared" ca="1" si="2"/>
        <v>4351.7864397364347</v>
      </c>
      <c r="M22" s="454">
        <f t="shared" ca="1" si="3"/>
        <v>30462.505078155042</v>
      </c>
    </row>
    <row r="23" spans="1:16" s="24" customFormat="1" ht="12" customHeight="1">
      <c r="B23" s="2" t="s">
        <v>243</v>
      </c>
      <c r="C23" s="217">
        <v>1</v>
      </c>
      <c r="D23" s="2"/>
      <c r="E23" s="2"/>
      <c r="F23" s="2"/>
      <c r="G23" s="2"/>
      <c r="H23" s="2"/>
      <c r="I23" s="436">
        <v>8</v>
      </c>
      <c r="J23" s="428">
        <f>'Fair Value of Share'!J5</f>
        <v>6720.470950134918</v>
      </c>
      <c r="K23" s="11">
        <f ca="1">'Fair Value of Share'!J6</f>
        <v>5.3118890952869216E-2</v>
      </c>
      <c r="L23" s="454">
        <f t="shared" ca="1" si="2"/>
        <v>4442.0197187183658</v>
      </c>
      <c r="M23" s="454">
        <f t="shared" ca="1" si="3"/>
        <v>35536.157749746926</v>
      </c>
      <c r="N23" s="2"/>
      <c r="O23" s="2"/>
      <c r="P23" s="2"/>
    </row>
    <row r="24" spans="1:16" ht="12" customHeight="1">
      <c r="B24" s="2" t="s">
        <v>244</v>
      </c>
      <c r="C24" s="217">
        <v>0</v>
      </c>
      <c r="I24" s="436">
        <v>9</v>
      </c>
      <c r="J24" s="428">
        <f>'Fair Value of Share'!K5</f>
        <v>7134.9479232360991</v>
      </c>
      <c r="K24" s="11">
        <f ca="1">'Fair Value of Share'!K6</f>
        <v>5.134446792897901E-2</v>
      </c>
      <c r="L24" s="454">
        <f t="shared" ca="1" si="2"/>
        <v>4546.5869719250668</v>
      </c>
      <c r="M24" s="454">
        <f t="shared" ca="1" si="3"/>
        <v>40919.282747325604</v>
      </c>
    </row>
    <row r="25" spans="1:16" ht="12" customHeight="1">
      <c r="I25" s="436">
        <v>10</v>
      </c>
      <c r="J25" s="428">
        <f>'Fair Value of Share'!L5</f>
        <v>7621.2490482126686</v>
      </c>
      <c r="K25" s="11">
        <f ca="1">'Fair Value of Share'!L6</f>
        <v>4.9570044905088796E-2</v>
      </c>
      <c r="L25" s="454">
        <f ca="1">(J25/(1+K25)^I25)+'Fair Value of Share'!C14</f>
        <v>139431.67401133655</v>
      </c>
      <c r="M25" s="454">
        <f ca="1">L25*I25</f>
        <v>1394316.7401133655</v>
      </c>
    </row>
    <row r="26" spans="1:16" ht="12" customHeight="1">
      <c r="L26" s="371">
        <f ca="1">SUM(L16:L25)</f>
        <v>177656.35392998517</v>
      </c>
      <c r="M26" s="371">
        <f ca="1">SUM(M16:M25)</f>
        <v>1589244.7873581483</v>
      </c>
    </row>
    <row r="28" spans="1:16" ht="12" customHeight="1">
      <c r="L28" s="159" t="s">
        <v>268</v>
      </c>
      <c r="M28" s="452" t="str">
        <f ca="1">CONCATENATE(ROUND(M26/L26,2)," years")</f>
        <v>8.95 years</v>
      </c>
    </row>
  </sheetData>
  <pageMargins left="0.7" right="0.7" top="0.75" bottom="0.75" header="0.3" footer="0.3"/>
  <pageSetup orientation="landscape"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58"/>
  <sheetViews>
    <sheetView workbookViewId="0"/>
  </sheetViews>
  <sheetFormatPr defaultRowHeight="12" customHeight="1"/>
  <cols>
    <col min="1" max="1" width="2" style="2" customWidth="1"/>
    <col min="2" max="2" width="14.42578125" style="2" customWidth="1"/>
    <col min="3" max="3" width="13.5703125" style="2" customWidth="1"/>
    <col min="4" max="4" width="8.7109375" style="2" customWidth="1"/>
    <col min="5" max="5" width="13.140625" style="2" customWidth="1"/>
    <col min="6" max="6" width="11.7109375" style="2" customWidth="1"/>
    <col min="7" max="7" width="11.42578125" style="2" customWidth="1"/>
    <col min="8" max="8" width="11.85546875" style="2" customWidth="1"/>
    <col min="9" max="9" width="7" style="2" customWidth="1"/>
    <col min="10" max="10" width="9.85546875" style="2" customWidth="1"/>
    <col min="11" max="11" width="11" style="2" customWidth="1"/>
    <col min="12" max="12" width="12.85546875" style="2" customWidth="1"/>
    <col min="13" max="13" width="10.7109375" style="2" customWidth="1"/>
    <col min="14" max="14" width="11.5703125" style="2" customWidth="1"/>
    <col min="15" max="15" width="11.85546875" style="2" customWidth="1"/>
    <col min="16" max="17" width="9.140625" style="2"/>
    <col min="18" max="18" width="11.5703125" style="2" customWidth="1"/>
    <col min="19" max="19" width="12.7109375" style="2" customWidth="1"/>
    <col min="20" max="20" width="10.140625" style="2" bestFit="1" customWidth="1"/>
    <col min="21" max="16384" width="9.140625" style="2"/>
  </cols>
  <sheetData>
    <row r="1" spans="1:16" ht="16.5" customHeight="1">
      <c r="B1" s="15" t="s">
        <v>224</v>
      </c>
    </row>
    <row r="3" spans="1:16" ht="12" customHeight="1">
      <c r="B3" s="255" t="s">
        <v>196</v>
      </c>
      <c r="C3" s="255" t="s">
        <v>140</v>
      </c>
      <c r="D3" s="255" t="s">
        <v>178</v>
      </c>
      <c r="E3" s="449" t="s">
        <v>7</v>
      </c>
      <c r="F3" s="449" t="s">
        <v>279</v>
      </c>
      <c r="G3" s="449" t="s">
        <v>3</v>
      </c>
      <c r="H3" s="449" t="s">
        <v>111</v>
      </c>
      <c r="I3" s="449" t="s">
        <v>225</v>
      </c>
      <c r="J3" s="457" t="s">
        <v>219</v>
      </c>
      <c r="K3" s="449" t="s">
        <v>198</v>
      </c>
      <c r="L3" s="449" t="s">
        <v>204</v>
      </c>
      <c r="M3" s="449" t="s">
        <v>222</v>
      </c>
      <c r="N3" s="449" t="s">
        <v>221</v>
      </c>
      <c r="O3" s="449" t="s">
        <v>5</v>
      </c>
    </row>
    <row r="4" spans="1:16" ht="12" customHeight="1">
      <c r="B4" s="461">
        <v>0</v>
      </c>
      <c r="C4" s="439">
        <f>B4/(100%-B4)</f>
        <v>0</v>
      </c>
      <c r="D4" s="462">
        <f t="shared" ref="D4:D13" si="0">$C$16*(1+(1-$C$15)*C4)</f>
        <v>0.56990933332654448</v>
      </c>
      <c r="E4" s="438">
        <f t="shared" ref="E4:E13" si="1">$C$17+($C$18*D4)</f>
        <v>6.3961980255106021E-2</v>
      </c>
      <c r="F4" s="463">
        <f ca="1">B4*$C$19</f>
        <v>0</v>
      </c>
      <c r="G4" s="463">
        <f t="shared" ref="G4:G13" si="2">$C$20</f>
        <v>7790.5670750355303</v>
      </c>
      <c r="H4" s="463">
        <f ca="1">F4*$C$21</f>
        <v>0</v>
      </c>
      <c r="I4" s="453" t="s">
        <v>101</v>
      </c>
      <c r="J4" s="459" t="s">
        <v>148</v>
      </c>
      <c r="K4" s="464">
        <v>7.4999999999999997E-3</v>
      </c>
      <c r="L4" s="465">
        <f t="shared" ref="L4:L13" si="3">$C$17+K4</f>
        <v>4.2759999999999999E-2</v>
      </c>
      <c r="M4" s="465">
        <f>C15</f>
        <v>0.22012243552411767</v>
      </c>
      <c r="N4" s="465">
        <f t="shared" ref="N4:N13" si="4">L4*(1-M4)</f>
        <v>3.3347564656988724E-2</v>
      </c>
      <c r="O4" s="321">
        <f t="shared" ref="O4:O13" si="5">(E4*(100%-B4))+(N4*B4)</f>
        <v>6.3961980255106021E-2</v>
      </c>
      <c r="P4" s="200"/>
    </row>
    <row r="5" spans="1:16" ht="12" customHeight="1">
      <c r="B5" s="586">
        <v>0.1</v>
      </c>
      <c r="C5" s="587">
        <f t="shared" ref="C5:C13" si="6">B5/(100%-B5)</f>
        <v>0.11111111111111112</v>
      </c>
      <c r="D5" s="588">
        <f t="shared" si="0"/>
        <v>0.6192937225317422</v>
      </c>
      <c r="E5" s="589">
        <f t="shared" si="1"/>
        <v>6.6449094750326787E-2</v>
      </c>
      <c r="F5" s="629">
        <f ca="1">B5*$C$19</f>
        <v>23073.025247902133</v>
      </c>
      <c r="G5" s="590">
        <f t="shared" si="2"/>
        <v>7790.5670750355303</v>
      </c>
      <c r="H5" s="590">
        <f ca="1">F5*L5</f>
        <v>1044.2851227200506</v>
      </c>
      <c r="I5" s="591">
        <f t="shared" ref="I5:I13" ca="1" si="7">G5/H5</f>
        <v>7.4601915755952088</v>
      </c>
      <c r="J5" s="592" t="str">
        <f ca="1">IF($C$21=1,VLOOKUP(I5,$J$17:$M$30,3),(IF($C$21=0,VLOOKUP(I5,$E$17:$H$30,3),VLOOKUP(I5,#REF!,3))))</f>
        <v>AA</v>
      </c>
      <c r="K5" s="593">
        <v>0.01</v>
      </c>
      <c r="L5" s="594">
        <f t="shared" si="3"/>
        <v>4.5260000000000002E-2</v>
      </c>
      <c r="M5" s="594">
        <f t="shared" ref="M5:M13" ca="1" si="8">IF(H5&lt;G5,$C$15,$C$15*(G5/H5))</f>
        <v>0.22012243552411767</v>
      </c>
      <c r="N5" s="594">
        <f t="shared" ca="1" si="4"/>
        <v>3.5297258568178433E-2</v>
      </c>
      <c r="O5" s="595">
        <f t="shared" ca="1" si="5"/>
        <v>6.3333911132111953E-2</v>
      </c>
      <c r="P5" s="200" t="s">
        <v>223</v>
      </c>
    </row>
    <row r="6" spans="1:16" ht="12" customHeight="1">
      <c r="B6" s="119">
        <v>0.2</v>
      </c>
      <c r="C6" s="439">
        <f t="shared" si="6"/>
        <v>0.25</v>
      </c>
      <c r="D6" s="462">
        <f t="shared" si="0"/>
        <v>0.68102420903823924</v>
      </c>
      <c r="E6" s="438">
        <f t="shared" si="1"/>
        <v>6.9557987869352744E-2</v>
      </c>
      <c r="F6" s="463">
        <f t="shared" ref="F6:F13" ca="1" si="9">B6*$C$19</f>
        <v>46146.050495804266</v>
      </c>
      <c r="G6" s="463">
        <f t="shared" si="2"/>
        <v>7790.5670750355303</v>
      </c>
      <c r="H6" s="463">
        <f t="shared" ref="H6:H13" ca="1" si="10">F6*L6</f>
        <v>2550.0307503981439</v>
      </c>
      <c r="I6" s="466">
        <f t="shared" ca="1" si="7"/>
        <v>3.0550875019131301</v>
      </c>
      <c r="J6" s="460" t="str">
        <f ca="1">IF($C$21=1,VLOOKUP(I6,$J$17:$M$30,3),(IF($C$21=0,VLOOKUP(I6,$E$17:$H$30,3),VLOOKUP(I6,#REF!,3))))</f>
        <v>A-</v>
      </c>
      <c r="K6" s="464">
        <v>0.02</v>
      </c>
      <c r="L6" s="465">
        <f t="shared" si="3"/>
        <v>5.5260000000000004E-2</v>
      </c>
      <c r="M6" s="465">
        <f t="shared" ca="1" si="8"/>
        <v>0.22012243552411767</v>
      </c>
      <c r="N6" s="465">
        <f t="shared" ca="1" si="4"/>
        <v>4.3096034212937256E-2</v>
      </c>
      <c r="O6" s="321">
        <f t="shared" ca="1" si="5"/>
        <v>6.4265597138069647E-2</v>
      </c>
    </row>
    <row r="7" spans="1:16" ht="12" customHeight="1">
      <c r="B7" s="119">
        <v>0.3</v>
      </c>
      <c r="C7" s="439">
        <f t="shared" si="6"/>
        <v>0.4285714285714286</v>
      </c>
      <c r="D7" s="462">
        <f t="shared" si="0"/>
        <v>0.76039197740373554</v>
      </c>
      <c r="E7" s="438">
        <f t="shared" si="1"/>
        <v>7.3555136165243284E-2</v>
      </c>
      <c r="F7" s="463">
        <f t="shared" ca="1" si="9"/>
        <v>69219.075743706388</v>
      </c>
      <c r="G7" s="463">
        <f t="shared" si="2"/>
        <v>7790.5670750355303</v>
      </c>
      <c r="H7" s="463">
        <f t="shared" ca="1" si="10"/>
        <v>9362.5721850937261</v>
      </c>
      <c r="I7" s="466">
        <f t="shared" ca="1" si="7"/>
        <v>0.83209687690728773</v>
      </c>
      <c r="J7" s="460" t="str">
        <f ca="1">IF($C$21=1,VLOOKUP(I7,$J$17:$M$30,3),(IF($C$21=0,VLOOKUP(I7,$E$17:$H$30,3),VLOOKUP(I7,#REF!,3))))</f>
        <v>CCC</v>
      </c>
      <c r="K7" s="464">
        <v>0.1</v>
      </c>
      <c r="L7" s="465">
        <f t="shared" si="3"/>
        <v>0.13525999999999999</v>
      </c>
      <c r="M7" s="465">
        <f t="shared" ca="1" si="8"/>
        <v>0.18316319113684412</v>
      </c>
      <c r="N7" s="465">
        <f t="shared" ca="1" si="4"/>
        <v>0.11048534676683046</v>
      </c>
      <c r="O7" s="321">
        <f t="shared" ca="1" si="5"/>
        <v>8.4634199345719432E-2</v>
      </c>
    </row>
    <row r="8" spans="1:16" ht="12" customHeight="1">
      <c r="B8" s="119">
        <v>0.4</v>
      </c>
      <c r="C8" s="439">
        <f t="shared" si="6"/>
        <v>0.66666666666666674</v>
      </c>
      <c r="D8" s="462">
        <f t="shared" si="0"/>
        <v>0.86621566855773058</v>
      </c>
      <c r="E8" s="438">
        <f t="shared" si="1"/>
        <v>7.8884667226430644E-2</v>
      </c>
      <c r="F8" s="463">
        <f t="shared" ca="1" si="9"/>
        <v>92292.100991608531</v>
      </c>
      <c r="G8" s="463">
        <f t="shared" si="2"/>
        <v>7790.5670750355303</v>
      </c>
      <c r="H8" s="463">
        <f t="shared" ca="1" si="10"/>
        <v>14975.316306898401</v>
      </c>
      <c r="I8" s="466">
        <f t="shared" ca="1" si="7"/>
        <v>0.52022721359459989</v>
      </c>
      <c r="J8" s="460" t="str">
        <f ca="1">IF($C$21=1,VLOOKUP(I8,$J$17:$M$30,3),(IF($C$21=0,VLOOKUP(I8,$E$17:$H$30,3),VLOOKUP(I8,#REF!,3))))</f>
        <v>C</v>
      </c>
      <c r="K8" s="464">
        <v>0.127</v>
      </c>
      <c r="L8" s="465">
        <f t="shared" si="3"/>
        <v>0.16226000000000002</v>
      </c>
      <c r="M8" s="465">
        <f t="shared" ca="1" si="8"/>
        <v>0.1145136812823687</v>
      </c>
      <c r="N8" s="465">
        <f t="shared" ca="1" si="4"/>
        <v>0.14367901007512288</v>
      </c>
      <c r="O8" s="321">
        <f t="shared" ca="1" si="5"/>
        <v>0.10480240436590754</v>
      </c>
    </row>
    <row r="9" spans="1:16" ht="12" customHeight="1">
      <c r="B9" s="119">
        <v>0.5</v>
      </c>
      <c r="C9" s="439">
        <f t="shared" si="6"/>
        <v>1</v>
      </c>
      <c r="D9" s="462">
        <f t="shared" si="0"/>
        <v>1.0143688361733239</v>
      </c>
      <c r="E9" s="438">
        <f t="shared" si="1"/>
        <v>8.6346010712092969E-2</v>
      </c>
      <c r="F9" s="463">
        <f ca="1">B9*$C$19</f>
        <v>115365.12623951066</v>
      </c>
      <c r="G9" s="463">
        <f t="shared" si="2"/>
        <v>7790.5670750355303</v>
      </c>
      <c r="H9" s="463">
        <f t="shared" ca="1" si="10"/>
        <v>18719.145383623003</v>
      </c>
      <c r="I9" s="466">
        <f t="shared" ca="1" si="7"/>
        <v>0.41618177087567992</v>
      </c>
      <c r="J9" s="460" t="str">
        <f ca="1">IF($C$21=1,VLOOKUP(I9,$J$17:$M$30,3),(IF($C$21=0,VLOOKUP(I9,$E$17:$H$30,3),VLOOKUP(I9,#REF!,3))))</f>
        <v>C</v>
      </c>
      <c r="K9" s="464">
        <v>0.127</v>
      </c>
      <c r="L9" s="465">
        <f t="shared" si="3"/>
        <v>0.16226000000000002</v>
      </c>
      <c r="M9" s="465">
        <f t="shared" ca="1" si="8"/>
        <v>9.1610945025894966E-2</v>
      </c>
      <c r="N9" s="465">
        <f t="shared" ca="1" si="4"/>
        <v>0.14739520806009829</v>
      </c>
      <c r="O9" s="321">
        <f t="shared" ca="1" si="5"/>
        <v>0.11687060938609563</v>
      </c>
    </row>
    <row r="10" spans="1:16" ht="12" customHeight="1">
      <c r="A10" s="3"/>
      <c r="B10" s="119">
        <v>0.6</v>
      </c>
      <c r="C10" s="439">
        <f t="shared" si="6"/>
        <v>1.4999999999999998</v>
      </c>
      <c r="D10" s="462">
        <f t="shared" si="0"/>
        <v>1.2365985875967132</v>
      </c>
      <c r="E10" s="438">
        <f t="shared" si="1"/>
        <v>9.7538025940586415E-2</v>
      </c>
      <c r="F10" s="463">
        <f t="shared" ca="1" si="9"/>
        <v>138438.15148741278</v>
      </c>
      <c r="G10" s="463">
        <f t="shared" si="2"/>
        <v>7790.5670750355303</v>
      </c>
      <c r="H10" s="463">
        <f t="shared" ca="1" si="10"/>
        <v>22462.974460347599</v>
      </c>
      <c r="I10" s="466">
        <f t="shared" ca="1" si="7"/>
        <v>0.34681814239640002</v>
      </c>
      <c r="J10" s="460" t="str">
        <f ca="1">IF($C$21=1,VLOOKUP(I10,$J$17:$M$30,3),(IF($C$21=0,VLOOKUP(I10,$E$17:$H$30,3),VLOOKUP(I10,#REF!,3))))</f>
        <v>C</v>
      </c>
      <c r="K10" s="464">
        <v>0.127</v>
      </c>
      <c r="L10" s="465">
        <f t="shared" si="3"/>
        <v>0.16226000000000002</v>
      </c>
      <c r="M10" s="465">
        <f t="shared" ca="1" si="8"/>
        <v>7.6342454188245826E-2</v>
      </c>
      <c r="N10" s="465">
        <f t="shared" ca="1" si="4"/>
        <v>0.14987267338341526</v>
      </c>
      <c r="O10" s="321">
        <f t="shared" ca="1" si="5"/>
        <v>0.12893881440628371</v>
      </c>
    </row>
    <row r="11" spans="1:16" ht="12" customHeight="1">
      <c r="A11" s="3"/>
      <c r="B11" s="119">
        <v>0.7</v>
      </c>
      <c r="C11" s="439">
        <f t="shared" si="6"/>
        <v>2.333333333333333</v>
      </c>
      <c r="D11" s="462">
        <f t="shared" si="0"/>
        <v>1.6069815066356958</v>
      </c>
      <c r="E11" s="438">
        <f t="shared" si="1"/>
        <v>0.1161913846547422</v>
      </c>
      <c r="F11" s="463">
        <f t="shared" ca="1" si="9"/>
        <v>161511.17673531492</v>
      </c>
      <c r="G11" s="463">
        <f t="shared" si="2"/>
        <v>7790.5670750355303</v>
      </c>
      <c r="H11" s="463">
        <f t="shared" ca="1" si="10"/>
        <v>26206.803537072203</v>
      </c>
      <c r="I11" s="466">
        <f t="shared" ca="1" si="7"/>
        <v>0.29727269348262852</v>
      </c>
      <c r="J11" s="460" t="str">
        <f ca="1">IF($C$21=1,VLOOKUP(I11,$J$17:$M$30,3),(IF($C$21=0,VLOOKUP(I11,$E$17:$H$30,3),VLOOKUP(I11,#REF!,3))))</f>
        <v>C</v>
      </c>
      <c r="K11" s="464">
        <v>0.127</v>
      </c>
      <c r="L11" s="465">
        <f t="shared" si="3"/>
        <v>0.16226000000000002</v>
      </c>
      <c r="M11" s="465">
        <f t="shared" ca="1" si="8"/>
        <v>6.5436389304210696E-2</v>
      </c>
      <c r="N11" s="465">
        <f t="shared" ca="1" si="4"/>
        <v>0.1516422914714988</v>
      </c>
      <c r="O11" s="321">
        <f t="shared" ca="1" si="5"/>
        <v>0.14100701942647181</v>
      </c>
    </row>
    <row r="12" spans="1:16" ht="12" customHeight="1">
      <c r="A12" s="3"/>
      <c r="B12" s="119">
        <v>0.8</v>
      </c>
      <c r="C12" s="439">
        <f t="shared" si="6"/>
        <v>4.0000000000000009</v>
      </c>
      <c r="D12" s="462">
        <f t="shared" si="0"/>
        <v>2.3477473447136621</v>
      </c>
      <c r="E12" s="438">
        <f t="shared" si="1"/>
        <v>0.15349810208305381</v>
      </c>
      <c r="F12" s="463">
        <f t="shared" ca="1" si="9"/>
        <v>184584.20198321706</v>
      </c>
      <c r="G12" s="463">
        <f t="shared" si="2"/>
        <v>7790.5670750355303</v>
      </c>
      <c r="H12" s="463">
        <f t="shared" ca="1" si="10"/>
        <v>29950.632613796803</v>
      </c>
      <c r="I12" s="466">
        <f ca="1">G12/H12</f>
        <v>0.26011360679729995</v>
      </c>
      <c r="J12" s="460" t="str">
        <f ca="1">IF($C$21=1,VLOOKUP(I12,$J$17:$M$30,3),(IF($C$21=0,VLOOKUP(I12,$E$17:$H$30,3),VLOOKUP(I12,#REF!,3))))</f>
        <v>C</v>
      </c>
      <c r="K12" s="464">
        <v>0.127</v>
      </c>
      <c r="L12" s="465">
        <f t="shared" si="3"/>
        <v>0.16226000000000002</v>
      </c>
      <c r="M12" s="465">
        <f t="shared" ca="1" si="8"/>
        <v>5.7256840641184352E-2</v>
      </c>
      <c r="N12" s="465">
        <f t="shared" ca="1" si="4"/>
        <v>0.15296950503756146</v>
      </c>
      <c r="O12" s="321">
        <f t="shared" ca="1" si="5"/>
        <v>0.15307522444665994</v>
      </c>
    </row>
    <row r="13" spans="1:16" ht="12" customHeight="1">
      <c r="A13" s="3"/>
      <c r="B13" s="119">
        <v>0.9</v>
      </c>
      <c r="C13" s="439">
        <f t="shared" si="6"/>
        <v>9.0000000000000018</v>
      </c>
      <c r="D13" s="462">
        <f t="shared" si="0"/>
        <v>4.5700448589475586</v>
      </c>
      <c r="E13" s="438">
        <f t="shared" si="1"/>
        <v>0.26541825436798855</v>
      </c>
      <c r="F13" s="463">
        <f t="shared" ca="1" si="9"/>
        <v>207657.22723111921</v>
      </c>
      <c r="G13" s="463">
        <f t="shared" si="2"/>
        <v>7790.5670750355303</v>
      </c>
      <c r="H13" s="463">
        <f t="shared" ca="1" si="10"/>
        <v>33694.461690521406</v>
      </c>
      <c r="I13" s="466">
        <f t="shared" ca="1" si="7"/>
        <v>0.23121209493093328</v>
      </c>
      <c r="J13" s="460" t="str">
        <f ca="1">IF($C$21=1,VLOOKUP(I13,$J$17:$M$30,3),(IF($C$21=0,VLOOKUP(I13,$E$17:$H$30,3),VLOOKUP(I13,#REF!,3))))</f>
        <v>C</v>
      </c>
      <c r="K13" s="464">
        <v>0.127</v>
      </c>
      <c r="L13" s="465">
        <f t="shared" si="3"/>
        <v>0.16226000000000002</v>
      </c>
      <c r="M13" s="465">
        <f t="shared" ca="1" si="8"/>
        <v>5.0894969458830534E-2</v>
      </c>
      <c r="N13" s="465">
        <f t="shared" ca="1" si="4"/>
        <v>0.15400178225561018</v>
      </c>
      <c r="O13" s="321">
        <f t="shared" ca="1" si="5"/>
        <v>0.16514342946684801</v>
      </c>
    </row>
    <row r="14" spans="1:16" s="22" customFormat="1" ht="12" customHeight="1">
      <c r="A14" s="21"/>
    </row>
    <row r="15" spans="1:16" ht="12" customHeight="1">
      <c r="A15" s="3"/>
      <c r="B15" s="503" t="s">
        <v>172</v>
      </c>
      <c r="C15" s="504">
        <f>'Risk Free Rate &amp; ERP'!H15</f>
        <v>0.22012243552411767</v>
      </c>
      <c r="D15" s="3"/>
      <c r="E15" s="662" t="s">
        <v>202</v>
      </c>
      <c r="F15" s="663"/>
      <c r="G15" s="663"/>
      <c r="H15" s="664"/>
      <c r="J15" s="662" t="s">
        <v>203</v>
      </c>
      <c r="K15" s="663"/>
      <c r="L15" s="663"/>
      <c r="M15" s="664"/>
    </row>
    <row r="16" spans="1:16" ht="12" customHeight="1">
      <c r="A16" s="120"/>
      <c r="B16" s="503" t="s">
        <v>107</v>
      </c>
      <c r="C16" s="505">
        <f>'Bottom Up Beta'!C11</f>
        <v>0.56990933332654448</v>
      </c>
      <c r="D16" s="3"/>
      <c r="E16" s="201" t="s">
        <v>200</v>
      </c>
      <c r="F16" s="202"/>
      <c r="G16" s="203" t="s">
        <v>201</v>
      </c>
      <c r="H16" s="204" t="s">
        <v>198</v>
      </c>
      <c r="J16" s="201" t="s">
        <v>200</v>
      </c>
      <c r="K16" s="202"/>
      <c r="L16" s="203" t="s">
        <v>201</v>
      </c>
      <c r="M16" s="204" t="s">
        <v>198</v>
      </c>
    </row>
    <row r="17" spans="1:15" ht="12" customHeight="1">
      <c r="A17" s="120"/>
      <c r="B17" s="503" t="s">
        <v>197</v>
      </c>
      <c r="C17" s="322">
        <f>'Risk Free Rate &amp; ERP'!C6</f>
        <v>3.526E-2</v>
      </c>
      <c r="D17" s="3"/>
      <c r="E17" s="203">
        <v>-10000000</v>
      </c>
      <c r="F17" s="203">
        <v>0.4999999</v>
      </c>
      <c r="G17" s="203" t="s">
        <v>199</v>
      </c>
      <c r="H17" s="205">
        <v>0.14000000000000001</v>
      </c>
      <c r="J17" s="203">
        <v>-10000000</v>
      </c>
      <c r="K17" s="203">
        <v>0.19999990000000001</v>
      </c>
      <c r="L17" s="203" t="s">
        <v>199</v>
      </c>
      <c r="M17" s="205">
        <v>0.14000000000000001</v>
      </c>
    </row>
    <row r="18" spans="1:15" ht="12" customHeight="1">
      <c r="A18" s="120"/>
      <c r="B18" s="503" t="s">
        <v>105</v>
      </c>
      <c r="C18" s="322">
        <f>'Risk Free Rate &amp; ERP'!C8</f>
        <v>5.0362362180618063E-2</v>
      </c>
      <c r="D18" s="25"/>
      <c r="E18" s="203">
        <v>0.5</v>
      </c>
      <c r="F18" s="206">
        <v>0.79999989999999999</v>
      </c>
      <c r="G18" s="203" t="s">
        <v>29</v>
      </c>
      <c r="H18" s="205">
        <v>0.127</v>
      </c>
      <c r="I18" s="90"/>
      <c r="J18" s="206">
        <v>0.2</v>
      </c>
      <c r="K18" s="206">
        <v>0.64999989999999996</v>
      </c>
      <c r="L18" s="203" t="s">
        <v>29</v>
      </c>
      <c r="M18" s="205">
        <v>0.127</v>
      </c>
    </row>
    <row r="19" spans="1:15" ht="12" customHeight="1">
      <c r="A19" s="6"/>
      <c r="B19" s="503" t="s">
        <v>220</v>
      </c>
      <c r="C19" s="356">
        <f ca="1">'Bottom Up Beta'!C13+'Bottom Up Beta'!C14</f>
        <v>230730.25247902132</v>
      </c>
      <c r="D19" s="25"/>
      <c r="E19" s="206">
        <v>0.8</v>
      </c>
      <c r="F19" s="206">
        <v>1.2499998999999999</v>
      </c>
      <c r="G19" s="203" t="s">
        <v>208</v>
      </c>
      <c r="H19" s="205">
        <v>0.115</v>
      </c>
      <c r="I19" s="198"/>
      <c r="J19" s="206">
        <v>0.65</v>
      </c>
      <c r="K19" s="206">
        <v>0.79999989999999999</v>
      </c>
      <c r="L19" s="203" t="s">
        <v>208</v>
      </c>
      <c r="M19" s="205">
        <v>0.115</v>
      </c>
    </row>
    <row r="20" spans="1:15" ht="12" customHeight="1">
      <c r="A20" s="6"/>
      <c r="B20" s="503" t="s">
        <v>205</v>
      </c>
      <c r="C20" s="356">
        <f>'Accounting Adjustments'!C38</f>
        <v>7790.5670750355303</v>
      </c>
      <c r="D20" s="25"/>
      <c r="E20" s="206">
        <v>1.25</v>
      </c>
      <c r="F20" s="206">
        <v>1.4999998999999999</v>
      </c>
      <c r="G20" s="203" t="s">
        <v>209</v>
      </c>
      <c r="H20" s="205">
        <v>0.1</v>
      </c>
      <c r="I20" s="197"/>
      <c r="J20" s="206">
        <v>0.8</v>
      </c>
      <c r="K20" s="206">
        <v>1.2499998999999999</v>
      </c>
      <c r="L20" s="203" t="s">
        <v>209</v>
      </c>
      <c r="M20" s="205">
        <v>0.1</v>
      </c>
    </row>
    <row r="21" spans="1:15" ht="12" customHeight="1">
      <c r="A21" s="6"/>
      <c r="B21" s="503" t="s">
        <v>218</v>
      </c>
      <c r="C21" s="458">
        <v>1</v>
      </c>
      <c r="E21" s="206">
        <v>1.5</v>
      </c>
      <c r="F21" s="206">
        <v>1.9999998999999999</v>
      </c>
      <c r="G21" s="203" t="s">
        <v>210</v>
      </c>
      <c r="H21" s="205">
        <v>0.08</v>
      </c>
      <c r="I21" s="55"/>
      <c r="J21" s="206">
        <v>1.25</v>
      </c>
      <c r="K21" s="206">
        <v>1.4999998999999999</v>
      </c>
      <c r="L21" s="203" t="s">
        <v>210</v>
      </c>
      <c r="M21" s="205">
        <v>0.08</v>
      </c>
    </row>
    <row r="22" spans="1:15" ht="12" customHeight="1">
      <c r="A22" s="121"/>
      <c r="B22" s="199" t="s">
        <v>217</v>
      </c>
      <c r="C22" s="167"/>
      <c r="D22" s="25"/>
      <c r="E22" s="206">
        <v>2</v>
      </c>
      <c r="F22" s="206">
        <v>2.4999999000000002</v>
      </c>
      <c r="G22" s="203" t="s">
        <v>211</v>
      </c>
      <c r="H22" s="205">
        <v>6.5000000000000002E-2</v>
      </c>
      <c r="I22" s="195"/>
      <c r="J22" s="206">
        <v>1.5</v>
      </c>
      <c r="K22" s="206">
        <v>1.7499998999999999</v>
      </c>
      <c r="L22" s="203" t="s">
        <v>211</v>
      </c>
      <c r="M22" s="205">
        <v>6.5000000000000002E-2</v>
      </c>
    </row>
    <row r="23" spans="1:15" s="24" customFormat="1" ht="12" customHeight="1">
      <c r="B23" s="193"/>
      <c r="C23" s="152"/>
      <c r="D23" s="25"/>
      <c r="E23" s="206">
        <v>2.5</v>
      </c>
      <c r="F23" s="206">
        <v>2.9999999000000002</v>
      </c>
      <c r="G23" s="203" t="s">
        <v>212</v>
      </c>
      <c r="H23" s="205">
        <v>4.7500000000000001E-2</v>
      </c>
      <c r="I23" s="198"/>
      <c r="J23" s="206">
        <v>1.75</v>
      </c>
      <c r="K23" s="206">
        <v>1.9999998999999999</v>
      </c>
      <c r="L23" s="203" t="s">
        <v>212</v>
      </c>
      <c r="M23" s="205">
        <v>4.7500000000000001E-2</v>
      </c>
    </row>
    <row r="24" spans="1:15" ht="12" customHeight="1">
      <c r="B24" s="207"/>
      <c r="C24" s="154"/>
      <c r="D24" s="166"/>
      <c r="E24" s="206">
        <v>3</v>
      </c>
      <c r="F24" s="206">
        <v>3.4999999000000002</v>
      </c>
      <c r="G24" s="203" t="s">
        <v>213</v>
      </c>
      <c r="H24" s="205">
        <v>3.5000000000000003E-2</v>
      </c>
      <c r="I24" s="197"/>
      <c r="J24" s="206">
        <v>2</v>
      </c>
      <c r="K24" s="206">
        <v>2.4999999000000002</v>
      </c>
      <c r="L24" s="203" t="s">
        <v>213</v>
      </c>
      <c r="M24" s="205">
        <v>3.5000000000000003E-2</v>
      </c>
    </row>
    <row r="25" spans="1:15" ht="12" customHeight="1">
      <c r="B25" s="207"/>
      <c r="C25" s="154"/>
      <c r="E25" s="206">
        <v>3.5</v>
      </c>
      <c r="F25" s="206">
        <v>4.4999998999999997</v>
      </c>
      <c r="G25" s="203" t="s">
        <v>207</v>
      </c>
      <c r="H25" s="205">
        <v>2.2499999999999999E-2</v>
      </c>
      <c r="I25" s="55"/>
      <c r="J25" s="206">
        <v>2.5</v>
      </c>
      <c r="K25" s="206">
        <v>2.9999999000000002</v>
      </c>
      <c r="L25" s="203" t="s">
        <v>207</v>
      </c>
      <c r="M25" s="205">
        <v>2.2499999999999999E-2</v>
      </c>
    </row>
    <row r="26" spans="1:15" ht="12" customHeight="1">
      <c r="B26" s="200"/>
      <c r="D26" s="28"/>
      <c r="E26" s="206">
        <v>4.5</v>
      </c>
      <c r="F26" s="206">
        <v>5.9999998999999997</v>
      </c>
      <c r="G26" s="203" t="s">
        <v>206</v>
      </c>
      <c r="H26" s="205">
        <v>0.02</v>
      </c>
      <c r="I26" s="195"/>
      <c r="J26" s="206">
        <v>3</v>
      </c>
      <c r="K26" s="206">
        <v>4.2499998999999997</v>
      </c>
      <c r="L26" s="203" t="s">
        <v>206</v>
      </c>
      <c r="M26" s="205">
        <v>0.02</v>
      </c>
    </row>
    <row r="27" spans="1:15" ht="12" customHeight="1">
      <c r="B27" s="207"/>
      <c r="D27" s="3"/>
      <c r="E27" s="206">
        <v>6</v>
      </c>
      <c r="F27" s="206">
        <v>7.4999998999999997</v>
      </c>
      <c r="G27" s="203" t="s">
        <v>214</v>
      </c>
      <c r="H27" s="205">
        <v>1.7999999999999999E-2</v>
      </c>
      <c r="I27" s="25"/>
      <c r="J27" s="206">
        <v>4.25</v>
      </c>
      <c r="K27" s="206">
        <v>5.4999998999999997</v>
      </c>
      <c r="L27" s="203" t="s">
        <v>214</v>
      </c>
      <c r="M27" s="205">
        <v>1.7999999999999999E-2</v>
      </c>
    </row>
    <row r="28" spans="1:15" ht="12" customHeight="1">
      <c r="B28" s="200"/>
      <c r="D28" s="3"/>
      <c r="E28" s="206">
        <v>7.5</v>
      </c>
      <c r="F28" s="206">
        <v>9.4999999000000006</v>
      </c>
      <c r="G28" s="203" t="s">
        <v>215</v>
      </c>
      <c r="H28" s="205">
        <v>1.4999999999999999E-2</v>
      </c>
      <c r="I28" s="5"/>
      <c r="J28" s="206">
        <v>5.5</v>
      </c>
      <c r="K28" s="206">
        <v>6.4999998999999997</v>
      </c>
      <c r="L28" s="203" t="s">
        <v>215</v>
      </c>
      <c r="M28" s="205">
        <v>1.4999999999999999E-2</v>
      </c>
    </row>
    <row r="29" spans="1:15" ht="12" customHeight="1">
      <c r="B29" s="3"/>
      <c r="C29" s="3"/>
      <c r="D29" s="3"/>
      <c r="E29" s="206">
        <v>9.5</v>
      </c>
      <c r="F29" s="206">
        <v>12.499999000000001</v>
      </c>
      <c r="G29" s="203" t="s">
        <v>216</v>
      </c>
      <c r="H29" s="205">
        <v>0.01</v>
      </c>
      <c r="I29" s="5"/>
      <c r="J29" s="206">
        <v>6.5</v>
      </c>
      <c r="K29" s="206">
        <v>8.4999999000000006</v>
      </c>
      <c r="L29" s="203" t="s">
        <v>216</v>
      </c>
      <c r="M29" s="205">
        <v>0.01</v>
      </c>
    </row>
    <row r="30" spans="1:15" ht="12" customHeight="1">
      <c r="B30" s="210"/>
      <c r="C30" s="3"/>
      <c r="D30" s="3"/>
      <c r="E30" s="206">
        <v>12.5</v>
      </c>
      <c r="F30" s="206">
        <v>100000000</v>
      </c>
      <c r="G30" s="203" t="s">
        <v>148</v>
      </c>
      <c r="H30" s="205">
        <v>7.4999999999999997E-3</v>
      </c>
      <c r="I30" s="3"/>
      <c r="J30" s="206">
        <v>8.5</v>
      </c>
      <c r="K30" s="206">
        <v>100000000</v>
      </c>
      <c r="L30" s="203" t="s">
        <v>148</v>
      </c>
      <c r="M30" s="205">
        <v>7.4999999999999997E-3</v>
      </c>
    </row>
    <row r="31" spans="1:15" ht="12" customHeight="1">
      <c r="E31" s="27"/>
      <c r="F31" s="90"/>
      <c r="G31" s="3"/>
      <c r="H31" s="3"/>
      <c r="I31" s="3"/>
      <c r="J31" s="3"/>
      <c r="K31" s="3"/>
      <c r="L31" s="3"/>
    </row>
    <row r="32" spans="1:15" ht="12" customHeight="1">
      <c r="B32" s="211"/>
      <c r="C32" s="211"/>
      <c r="D32" s="211"/>
      <c r="E32" s="212"/>
      <c r="F32" s="212"/>
      <c r="G32" s="212"/>
      <c r="H32" s="212"/>
      <c r="I32" s="212"/>
      <c r="J32" s="213"/>
      <c r="K32" s="212"/>
      <c r="L32" s="212"/>
      <c r="M32" s="212"/>
      <c r="N32" s="212"/>
      <c r="O32" s="212"/>
    </row>
    <row r="34" spans="2:16" ht="12" customHeight="1">
      <c r="B34" s="255" t="s">
        <v>196</v>
      </c>
      <c r="C34" s="255" t="s">
        <v>140</v>
      </c>
      <c r="D34" s="255" t="s">
        <v>178</v>
      </c>
      <c r="E34" s="449" t="s">
        <v>7</v>
      </c>
      <c r="F34" s="449" t="s">
        <v>279</v>
      </c>
      <c r="G34" s="449" t="s">
        <v>3</v>
      </c>
      <c r="H34" s="449" t="s">
        <v>111</v>
      </c>
      <c r="I34" s="449" t="s">
        <v>225</v>
      </c>
      <c r="J34" s="457" t="s">
        <v>219</v>
      </c>
      <c r="K34" s="449" t="s">
        <v>198</v>
      </c>
      <c r="L34" s="449" t="s">
        <v>204</v>
      </c>
      <c r="M34" s="449" t="s">
        <v>222</v>
      </c>
      <c r="N34" s="449" t="s">
        <v>221</v>
      </c>
      <c r="O34" s="449" t="s">
        <v>5</v>
      </c>
    </row>
    <row r="35" spans="2:16" ht="12" customHeight="1">
      <c r="B35" s="119">
        <v>0.05</v>
      </c>
      <c r="C35" s="439">
        <f>B35/(100%-B35)</f>
        <v>5.2631578947368425E-2</v>
      </c>
      <c r="D35" s="462">
        <f>$C$16*(1+(1-$C$15)*C35)</f>
        <v>0.59330193873953285</v>
      </c>
      <c r="E35" s="438">
        <f>$C$17+($C$18*D35)</f>
        <v>6.5140087121263221E-2</v>
      </c>
      <c r="F35" s="463">
        <f ca="1">B35*$C$19</f>
        <v>11536.512623951066</v>
      </c>
      <c r="G35" s="463">
        <f t="shared" ref="G35:G45" si="11">$C$20</f>
        <v>7790.5670750355303</v>
      </c>
      <c r="H35" s="463">
        <f ca="1">F35*L35</f>
        <v>493.3012798001476</v>
      </c>
      <c r="I35" s="466">
        <f ca="1">G35/H35</f>
        <v>15.792716123079474</v>
      </c>
      <c r="J35" s="460" t="str">
        <f ca="1">IF($C$21=1,VLOOKUP(I35,$J$17:$M$30,3),(IF($C$21=0,VLOOKUP(I35,$E$17:$H$30,3),VLOOKUP(I35,#REF!,3))))</f>
        <v>AAA</v>
      </c>
      <c r="K35" s="464">
        <v>7.4999999999999997E-3</v>
      </c>
      <c r="L35" s="465">
        <f>$C$17+K35</f>
        <v>4.2759999999999999E-2</v>
      </c>
      <c r="M35" s="465">
        <f ca="1">IF(H35&lt;G35,$C$15,$C$15*(G35/H35))</f>
        <v>0.22012243552411767</v>
      </c>
      <c r="N35" s="465">
        <f ca="1">L35*(1-M35)</f>
        <v>3.3347564656988724E-2</v>
      </c>
      <c r="O35" s="468">
        <f ca="1">(E35*(100%-B35))+(N35*B35)</f>
        <v>6.3550460998049493E-2</v>
      </c>
    </row>
    <row r="36" spans="2:16" ht="12" customHeight="1">
      <c r="B36" s="119">
        <v>0.06</v>
      </c>
      <c r="C36" s="439">
        <f>B36/(100%-B36)</f>
        <v>6.3829787234042548E-2</v>
      </c>
      <c r="D36" s="462">
        <f>$C$16*(1+(1-$C$15)*C36)</f>
        <v>0.59827908882740266</v>
      </c>
      <c r="E36" s="438">
        <f>$C$17+($C$18*D36)</f>
        <v>6.5390748156615816E-2</v>
      </c>
      <c r="F36" s="463">
        <f ca="1">B36*$C$19</f>
        <v>13843.815148741278</v>
      </c>
      <c r="G36" s="463">
        <f t="shared" si="11"/>
        <v>7790.5670750355303</v>
      </c>
      <c r="H36" s="463">
        <f ca="1">F36*L36</f>
        <v>591.96153576017707</v>
      </c>
      <c r="I36" s="466">
        <f ca="1">G36/H36</f>
        <v>13.160596769232896</v>
      </c>
      <c r="J36" s="460" t="str">
        <f ca="1">IF($C$21=1,VLOOKUP(I36,$J$17:$M$30,3),(IF($C$21=0,VLOOKUP(I36,$E$17:$H$30,3),VLOOKUP(I36,#REF!,3))))</f>
        <v>AAA</v>
      </c>
      <c r="K36" s="464">
        <v>7.4999999999999997E-3</v>
      </c>
      <c r="L36" s="465">
        <f>$C$17+K36</f>
        <v>4.2759999999999999E-2</v>
      </c>
      <c r="M36" s="465">
        <f ca="1">IF(H36&lt;G36,$C$15,$C$15*(G36/H36))</f>
        <v>0.22012243552411767</v>
      </c>
      <c r="N36" s="465">
        <f ca="1">L36*(1-M36)</f>
        <v>3.3347564656988724E-2</v>
      </c>
      <c r="O36" s="468">
        <f ca="1">(E36*(100%-B36))+(N36*B36)</f>
        <v>6.3468157146638185E-2</v>
      </c>
    </row>
    <row r="37" spans="2:16" ht="12" customHeight="1">
      <c r="B37" s="119">
        <v>7.0000000000000007E-2</v>
      </c>
      <c r="C37" s="439">
        <f>B37/(100%-B37)</f>
        <v>7.5268817204301092E-2</v>
      </c>
      <c r="D37" s="462">
        <f t="shared" ref="D37:D45" si="12">$C$16*(1+(1-$C$15)*C37)</f>
        <v>0.60336327440103321</v>
      </c>
      <c r="E37" s="438">
        <f t="shared" ref="E37:E45" si="13">$C$17+($C$18*D37)</f>
        <v>6.5646799751868476E-2</v>
      </c>
      <c r="F37" s="463">
        <f t="shared" ref="F37:F45" ca="1" si="14">B37*$C$19</f>
        <v>16151.117673531495</v>
      </c>
      <c r="G37" s="463">
        <f t="shared" si="11"/>
        <v>7790.5670750355303</v>
      </c>
      <c r="H37" s="463">
        <f t="shared" ref="H37:H45" ca="1" si="15">F37*L37</f>
        <v>690.62179172020672</v>
      </c>
      <c r="I37" s="466">
        <f t="shared" ref="I37:I45" ca="1" si="16">G37/H37</f>
        <v>11.280511516485339</v>
      </c>
      <c r="J37" s="460" t="str">
        <f ca="1">IF($C$21=1,VLOOKUP(I37,$J$17:$M$30,3),(IF($C$21=0,VLOOKUP(I37,$E$17:$H$30,3),VLOOKUP(I37,#REF!,3))))</f>
        <v>AAA</v>
      </c>
      <c r="K37" s="464">
        <v>7.4999999999999997E-3</v>
      </c>
      <c r="L37" s="465">
        <f t="shared" ref="L37:L45" si="17">$C$17+K37</f>
        <v>4.2759999999999999E-2</v>
      </c>
      <c r="M37" s="465">
        <f t="shared" ref="M37:M45" ca="1" si="18">IF(H37&lt;G37,$C$15,$C$15*(G37/H37))</f>
        <v>0.22012243552411767</v>
      </c>
      <c r="N37" s="465">
        <f t="shared" ref="N37:N45" ca="1" si="19">L37*(1-M37)</f>
        <v>3.3347564656988724E-2</v>
      </c>
      <c r="O37" s="468">
        <f t="shared" ref="O37:O45" ca="1" si="20">(E37*(100%-B37))+(N37*B37)</f>
        <v>6.338585329522689E-2</v>
      </c>
    </row>
    <row r="38" spans="2:16" ht="12" customHeight="1">
      <c r="B38" s="586">
        <v>0.08</v>
      </c>
      <c r="C38" s="587">
        <f>B38/(100%-B38)</f>
        <v>8.6956521739130432E-2</v>
      </c>
      <c r="D38" s="588">
        <f t="shared" si="12"/>
        <v>0.60855798574800346</v>
      </c>
      <c r="E38" s="589">
        <f t="shared" si="13"/>
        <v>6.5908417686148357E-2</v>
      </c>
      <c r="F38" s="590">
        <f t="shared" ca="1" si="14"/>
        <v>18458.420198321706</v>
      </c>
      <c r="G38" s="590">
        <f t="shared" si="11"/>
        <v>7790.5670750355303</v>
      </c>
      <c r="H38" s="590">
        <f t="shared" ca="1" si="15"/>
        <v>789.28204768023613</v>
      </c>
      <c r="I38" s="591">
        <f t="shared" ca="1" si="16"/>
        <v>9.870447576924672</v>
      </c>
      <c r="J38" s="592" t="str">
        <f ca="1">IF($C$21=1,VLOOKUP(I38,$J$17:$M$30,3),(IF($C$21=0,VLOOKUP(I38,$E$17:$H$30,3),VLOOKUP(I38,#REF!,3))))</f>
        <v>AAA</v>
      </c>
      <c r="K38" s="593">
        <v>7.4999999999999997E-3</v>
      </c>
      <c r="L38" s="594">
        <f t="shared" si="17"/>
        <v>4.2759999999999999E-2</v>
      </c>
      <c r="M38" s="594">
        <f t="shared" ca="1" si="18"/>
        <v>0.22012243552411767</v>
      </c>
      <c r="N38" s="594">
        <f t="shared" ca="1" si="19"/>
        <v>3.3347564656988724E-2</v>
      </c>
      <c r="O38" s="597">
        <f t="shared" ca="1" si="20"/>
        <v>6.3303549443815582E-2</v>
      </c>
      <c r="P38" s="200" t="s">
        <v>223</v>
      </c>
    </row>
    <row r="39" spans="2:16" ht="12" customHeight="1">
      <c r="B39" s="119">
        <v>0.09</v>
      </c>
      <c r="C39" s="439">
        <f t="shared" ref="C39:C45" si="21">B39/(100%-B39)</f>
        <v>9.8901098901098897E-2</v>
      </c>
      <c r="D39" s="462">
        <f t="shared" si="12"/>
        <v>0.61386686657512712</v>
      </c>
      <c r="E39" s="438">
        <f t="shared" si="13"/>
        <v>6.6175785465137693E-2</v>
      </c>
      <c r="F39" s="463">
        <f t="shared" ca="1" si="14"/>
        <v>20765.722723111918</v>
      </c>
      <c r="G39" s="463">
        <f t="shared" si="11"/>
        <v>7790.5670750355303</v>
      </c>
      <c r="H39" s="463">
        <f t="shared" ca="1" si="15"/>
        <v>939.85661044804544</v>
      </c>
      <c r="I39" s="466">
        <f t="shared" ca="1" si="16"/>
        <v>8.2891017506613434</v>
      </c>
      <c r="J39" s="460" t="str">
        <f ca="1">IF($C$21=1,VLOOKUP(I39,$J$17:$M$30,3),(IF($C$21=0,VLOOKUP(I39,$E$17:$H$30,3),VLOOKUP(I39,#REF!,3))))</f>
        <v>AA</v>
      </c>
      <c r="K39" s="464">
        <v>0.01</v>
      </c>
      <c r="L39" s="465">
        <f t="shared" si="17"/>
        <v>4.5260000000000002E-2</v>
      </c>
      <c r="M39" s="465">
        <f t="shared" ca="1" si="18"/>
        <v>0.22012243552411767</v>
      </c>
      <c r="N39" s="465">
        <f t="shared" ca="1" si="19"/>
        <v>3.5297258568178433E-2</v>
      </c>
      <c r="O39" s="468">
        <f t="shared" ca="1" si="20"/>
        <v>6.3396718044411368E-2</v>
      </c>
      <c r="P39" s="200"/>
    </row>
    <row r="40" spans="2:16" ht="12" customHeight="1">
      <c r="B40" s="119">
        <v>0.1</v>
      </c>
      <c r="C40" s="439">
        <f t="shared" si="21"/>
        <v>0.11111111111111112</v>
      </c>
      <c r="D40" s="462">
        <f t="shared" si="12"/>
        <v>0.6192937225317422</v>
      </c>
      <c r="E40" s="438">
        <f t="shared" si="13"/>
        <v>6.6449094750326787E-2</v>
      </c>
      <c r="F40" s="463">
        <f t="shared" ca="1" si="14"/>
        <v>23073.025247902133</v>
      </c>
      <c r="G40" s="463">
        <f t="shared" si="11"/>
        <v>7790.5670750355303</v>
      </c>
      <c r="H40" s="463">
        <f t="shared" ca="1" si="15"/>
        <v>1044.2851227200506</v>
      </c>
      <c r="I40" s="466">
        <f t="shared" ca="1" si="16"/>
        <v>7.4601915755952088</v>
      </c>
      <c r="J40" s="460" t="str">
        <f ca="1">IF($C$21=1,VLOOKUP(I40,$J$17:$M$30,3),(IF($C$21=0,VLOOKUP(I40,$E$17:$H$30,3),VLOOKUP(I40,#REF!,3))))</f>
        <v>AA</v>
      </c>
      <c r="K40" s="464">
        <v>0.01</v>
      </c>
      <c r="L40" s="465">
        <f t="shared" si="17"/>
        <v>4.5260000000000002E-2</v>
      </c>
      <c r="M40" s="465">
        <f t="shared" ca="1" si="18"/>
        <v>0.22012243552411767</v>
      </c>
      <c r="N40" s="465">
        <f t="shared" ca="1" si="19"/>
        <v>3.5297258568178433E-2</v>
      </c>
      <c r="O40" s="468">
        <f t="shared" ca="1" si="20"/>
        <v>6.3333911132111953E-2</v>
      </c>
      <c r="P40" s="200"/>
    </row>
    <row r="41" spans="2:16" ht="12" customHeight="1">
      <c r="B41" s="119">
        <v>0.11</v>
      </c>
      <c r="C41" s="439">
        <f t="shared" si="21"/>
        <v>0.12359550561797752</v>
      </c>
      <c r="D41" s="462">
        <f t="shared" si="12"/>
        <v>0.62484253030760706</v>
      </c>
      <c r="E41" s="438">
        <f t="shared" si="13"/>
        <v>6.6728545817205526E-2</v>
      </c>
      <c r="F41" s="463">
        <f t="shared" ca="1" si="14"/>
        <v>25380.327772692344</v>
      </c>
      <c r="G41" s="463">
        <f t="shared" si="11"/>
        <v>7790.5670750355303</v>
      </c>
      <c r="H41" s="463">
        <f t="shared" ca="1" si="15"/>
        <v>1275.6152738555172</v>
      </c>
      <c r="I41" s="466">
        <f t="shared" ca="1" si="16"/>
        <v>6.1073014996823645</v>
      </c>
      <c r="J41" s="460" t="str">
        <f ca="1">IF($C$21=1,VLOOKUP(I41,$J$17:$M$30,3),(IF($C$21=0,VLOOKUP(I41,$E$17:$H$30,3),VLOOKUP(I41,#REF!,3))))</f>
        <v>A+</v>
      </c>
      <c r="K41" s="464">
        <v>1.4999999999999999E-2</v>
      </c>
      <c r="L41" s="465">
        <f t="shared" si="17"/>
        <v>5.0259999999999999E-2</v>
      </c>
      <c r="M41" s="465">
        <f t="shared" ca="1" si="18"/>
        <v>0.22012243552411767</v>
      </c>
      <c r="N41" s="465">
        <f t="shared" ca="1" si="19"/>
        <v>3.9196646390557845E-2</v>
      </c>
      <c r="O41" s="468">
        <f t="shared" ca="1" si="20"/>
        <v>6.3700036880274286E-2</v>
      </c>
    </row>
    <row r="42" spans="2:16" ht="12" customHeight="1">
      <c r="B42" s="119">
        <v>0.12</v>
      </c>
      <c r="C42" s="439">
        <f t="shared" si="21"/>
        <v>0.13636363636363635</v>
      </c>
      <c r="D42" s="462">
        <f t="shared" si="12"/>
        <v>0.63051744735110538</v>
      </c>
      <c r="E42" s="438">
        <f t="shared" si="13"/>
        <v>6.7014348044695152E-2</v>
      </c>
      <c r="F42" s="463">
        <f t="shared" ca="1" si="14"/>
        <v>27687.630297482556</v>
      </c>
      <c r="G42" s="463">
        <f t="shared" si="11"/>
        <v>7790.5670750355303</v>
      </c>
      <c r="H42" s="463">
        <f t="shared" ca="1" si="15"/>
        <v>1474.643189643921</v>
      </c>
      <c r="I42" s="466">
        <f t="shared" ca="1" si="16"/>
        <v>5.2830183801389285</v>
      </c>
      <c r="J42" s="460" t="str">
        <f ca="1">IF($C$21=1,VLOOKUP(I42,$J$17:$M$30,3),(IF($C$21=0,VLOOKUP(I42,$E$17:$H$30,3),VLOOKUP(I42,#REF!,3))))</f>
        <v>A</v>
      </c>
      <c r="K42" s="464">
        <v>1.7999999999999999E-2</v>
      </c>
      <c r="L42" s="465">
        <f t="shared" si="17"/>
        <v>5.3260000000000002E-2</v>
      </c>
      <c r="M42" s="465">
        <f t="shared" ca="1" si="18"/>
        <v>0.22012243552411767</v>
      </c>
      <c r="N42" s="465">
        <f t="shared" ca="1" si="19"/>
        <v>4.1536279083985495E-2</v>
      </c>
      <c r="O42" s="468">
        <f t="shared" ca="1" si="20"/>
        <v>6.3956979769409991E-2</v>
      </c>
    </row>
    <row r="43" spans="2:16" ht="12" customHeight="1">
      <c r="B43" s="119">
        <v>0.13</v>
      </c>
      <c r="C43" s="439">
        <f t="shared" si="21"/>
        <v>0.14942528735632185</v>
      </c>
      <c r="D43" s="462">
        <f t="shared" si="12"/>
        <v>0.63632282225767245</v>
      </c>
      <c r="E43" s="438">
        <f t="shared" si="13"/>
        <v>6.7306720438333953E-2</v>
      </c>
      <c r="F43" s="463">
        <f t="shared" ca="1" si="14"/>
        <v>29994.932822272775</v>
      </c>
      <c r="G43" s="463">
        <f t="shared" si="11"/>
        <v>7790.5670750355303</v>
      </c>
      <c r="H43" s="463">
        <f t="shared" ca="1" si="15"/>
        <v>1597.5301221142481</v>
      </c>
      <c r="I43" s="466">
        <f t="shared" ca="1" si="16"/>
        <v>4.8766323508974709</v>
      </c>
      <c r="J43" s="460" t="str">
        <f ca="1">IF($C$21=1,VLOOKUP(I43,$J$17:$M$30,3),(IF($C$21=0,VLOOKUP(I43,$E$17:$H$30,3),VLOOKUP(I43,#REF!,3))))</f>
        <v>A</v>
      </c>
      <c r="K43" s="464">
        <v>1.7999999999999999E-2</v>
      </c>
      <c r="L43" s="465">
        <f t="shared" si="17"/>
        <v>5.3260000000000002E-2</v>
      </c>
      <c r="M43" s="465">
        <f t="shared" ca="1" si="18"/>
        <v>0.22012243552411767</v>
      </c>
      <c r="N43" s="465">
        <f t="shared" ca="1" si="19"/>
        <v>4.1536279083985495E-2</v>
      </c>
      <c r="O43" s="468">
        <f t="shared" ca="1" si="20"/>
        <v>6.3956563062268657E-2</v>
      </c>
    </row>
    <row r="44" spans="2:16" ht="12" customHeight="1">
      <c r="B44" s="119">
        <v>0.14000000000000001</v>
      </c>
      <c r="C44" s="439">
        <f t="shared" si="21"/>
        <v>0.16279069767441862</v>
      </c>
      <c r="D44" s="462">
        <f t="shared" si="12"/>
        <v>0.6422632058829969</v>
      </c>
      <c r="E44" s="438">
        <f t="shared" si="13"/>
        <v>6.7605892189964351E-2</v>
      </c>
      <c r="F44" s="463">
        <f t="shared" ca="1" si="14"/>
        <v>32302.23534706299</v>
      </c>
      <c r="G44" s="463">
        <f t="shared" si="11"/>
        <v>7790.5670750355303</v>
      </c>
      <c r="H44" s="463">
        <f t="shared" ca="1" si="15"/>
        <v>1720.4170545845748</v>
      </c>
      <c r="I44" s="466">
        <f t="shared" ca="1" si="16"/>
        <v>4.5283014686905094</v>
      </c>
      <c r="J44" s="460" t="str">
        <f ca="1">IF($C$21=1,VLOOKUP(I44,$J$17:$M$30,3),(IF($C$21=0,VLOOKUP(I44,$E$17:$H$30,3),VLOOKUP(I44,#REF!,3))))</f>
        <v>A</v>
      </c>
      <c r="K44" s="464">
        <v>1.7999999999999999E-2</v>
      </c>
      <c r="L44" s="465">
        <f t="shared" si="17"/>
        <v>5.3260000000000002E-2</v>
      </c>
      <c r="M44" s="465">
        <f t="shared" ca="1" si="18"/>
        <v>0.22012243552411767</v>
      </c>
      <c r="N44" s="465">
        <f t="shared" ca="1" si="19"/>
        <v>4.1536279083985495E-2</v>
      </c>
      <c r="O44" s="468">
        <f t="shared" ca="1" si="20"/>
        <v>6.3956146355127308E-2</v>
      </c>
    </row>
    <row r="45" spans="2:16" ht="12" customHeight="1">
      <c r="B45" s="119">
        <v>0.15</v>
      </c>
      <c r="C45" s="439">
        <f t="shared" si="21"/>
        <v>0.17647058823529413</v>
      </c>
      <c r="D45" s="462">
        <f t="shared" si="12"/>
        <v>0.64834336324068198</v>
      </c>
      <c r="E45" s="438">
        <f t="shared" si="13"/>
        <v>6.7912103276927233E-2</v>
      </c>
      <c r="F45" s="463">
        <f t="shared" ca="1" si="14"/>
        <v>34609.537871853194</v>
      </c>
      <c r="G45" s="463">
        <f t="shared" si="11"/>
        <v>7790.5670750355303</v>
      </c>
      <c r="H45" s="463">
        <f t="shared" ca="1" si="15"/>
        <v>1912.5230627986077</v>
      </c>
      <c r="I45" s="466">
        <f t="shared" ca="1" si="16"/>
        <v>4.0734500025508407</v>
      </c>
      <c r="J45" s="460" t="str">
        <f ca="1">IF($C$21=1,VLOOKUP(I45,$J$17:$M$30,3),(IF($C$21=0,VLOOKUP(I45,$E$17:$H$30,3),VLOOKUP(I45,#REF!,3))))</f>
        <v>A-</v>
      </c>
      <c r="K45" s="464">
        <v>0.02</v>
      </c>
      <c r="L45" s="465">
        <f t="shared" si="17"/>
        <v>5.5260000000000004E-2</v>
      </c>
      <c r="M45" s="465">
        <f t="shared" ca="1" si="18"/>
        <v>0.22012243552411767</v>
      </c>
      <c r="N45" s="465">
        <f t="shared" ca="1" si="19"/>
        <v>4.3096034212937256E-2</v>
      </c>
      <c r="O45" s="468">
        <f t="shared" ca="1" si="20"/>
        <v>6.4189692917328733E-2</v>
      </c>
    </row>
    <row r="46" spans="2:16" ht="12" customHeight="1">
      <c r="B46" s="119"/>
      <c r="C46" s="439"/>
    </row>
    <row r="47" spans="2:16" ht="12" customHeight="1">
      <c r="B47" s="119"/>
      <c r="C47" s="439"/>
      <c r="O47" s="596"/>
    </row>
    <row r="48" spans="2:16" ht="12" customHeight="1">
      <c r="B48" s="119">
        <v>0.12</v>
      </c>
      <c r="C48" s="439">
        <f t="shared" ref="C48:C57" si="22">B48/(100%-B48)</f>
        <v>0.13636363636363635</v>
      </c>
      <c r="D48" s="462">
        <f t="shared" ref="D48:D57" si="23">$C$16*(1+(1-$C$15)*C48)</f>
        <v>0.63051744735110538</v>
      </c>
      <c r="E48" s="438">
        <f t="shared" ref="E48:E57" si="24">$C$17+($C$18*D48)</f>
        <v>6.7014348044695152E-2</v>
      </c>
      <c r="F48" s="463">
        <f ca="1">B48*$C$19</f>
        <v>27687.630297482556</v>
      </c>
      <c r="G48" s="463">
        <f t="shared" ref="G48:G57" si="25">$C$20</f>
        <v>7790.5670750355303</v>
      </c>
      <c r="H48" s="463">
        <f ca="1">F48*L48</f>
        <v>1474.643189643921</v>
      </c>
      <c r="I48" s="466">
        <f ca="1">G48/H48</f>
        <v>5.2830183801389285</v>
      </c>
      <c r="J48" s="460" t="str">
        <f ca="1">IF($C$21=1,VLOOKUP(I48,$J$17:$M$30,3),(IF($C$21=0,VLOOKUP(I48,$E$17:$H$30,3),VLOOKUP(I48,#REF!,3))))</f>
        <v>A</v>
      </c>
      <c r="K48" s="464">
        <v>1.7999999999999999E-2</v>
      </c>
      <c r="L48" s="465">
        <f>$C$17+K48</f>
        <v>5.3260000000000002E-2</v>
      </c>
      <c r="M48" s="465">
        <f ca="1">IF(H48&lt;G48,$C$15,$C$15*(G48/H48))</f>
        <v>0.22012243552411767</v>
      </c>
      <c r="N48" s="465">
        <f ca="1">L48*(1-M48)</f>
        <v>4.1536279083985495E-2</v>
      </c>
      <c r="O48" s="468">
        <f ca="1">(E48*(100%-B48))+(N48*B48)</f>
        <v>6.3956979769409991E-2</v>
      </c>
    </row>
    <row r="49" spans="2:15" ht="12" customHeight="1">
      <c r="B49" s="119">
        <v>0.13</v>
      </c>
      <c r="C49" s="439">
        <f t="shared" si="22"/>
        <v>0.14942528735632185</v>
      </c>
      <c r="D49" s="462">
        <f t="shared" si="23"/>
        <v>0.63632282225767245</v>
      </c>
      <c r="E49" s="438">
        <f t="shared" si="24"/>
        <v>6.7306720438333953E-2</v>
      </c>
      <c r="F49" s="463">
        <f ca="1">B49*$C$19</f>
        <v>29994.932822272775</v>
      </c>
      <c r="G49" s="463">
        <f t="shared" si="25"/>
        <v>7790.5670750355303</v>
      </c>
      <c r="H49" s="463">
        <f ca="1">F49*L49</f>
        <v>1597.5301221142481</v>
      </c>
      <c r="I49" s="466">
        <f ca="1">G49/H49</f>
        <v>4.8766323508974709</v>
      </c>
      <c r="J49" s="460" t="str">
        <f ca="1">IF($C$21=1,VLOOKUP(I49,$J$17:$M$30,3),(IF($C$21=0,VLOOKUP(I49,$E$17:$H$30,3),VLOOKUP(I49,#REF!,3))))</f>
        <v>A</v>
      </c>
      <c r="K49" s="464">
        <v>1.7999999999999999E-2</v>
      </c>
      <c r="L49" s="465">
        <f>$C$17+K49</f>
        <v>5.3260000000000002E-2</v>
      </c>
      <c r="M49" s="465">
        <f ca="1">IF(H49&lt;G49,$C$15,$C$15*(G49/H49))</f>
        <v>0.22012243552411767</v>
      </c>
      <c r="N49" s="465">
        <f ca="1">L49*(1-M49)</f>
        <v>4.1536279083985495E-2</v>
      </c>
      <c r="O49" s="468">
        <f ca="1">(E49*(100%-B49))+(N49*B49)</f>
        <v>6.3956563062268657E-2</v>
      </c>
    </row>
    <row r="50" spans="2:15" ht="12" customHeight="1">
      <c r="B50" s="119">
        <v>0.14000000000000001</v>
      </c>
      <c r="C50" s="439">
        <f t="shared" si="22"/>
        <v>0.16279069767441862</v>
      </c>
      <c r="D50" s="462">
        <f t="shared" si="23"/>
        <v>0.6422632058829969</v>
      </c>
      <c r="E50" s="438">
        <f t="shared" si="24"/>
        <v>6.7605892189964351E-2</v>
      </c>
      <c r="F50" s="463">
        <f t="shared" ref="F50:F57" ca="1" si="26">B50*$C$19</f>
        <v>32302.23534706299</v>
      </c>
      <c r="G50" s="463">
        <f t="shared" si="25"/>
        <v>7790.5670750355303</v>
      </c>
      <c r="H50" s="463">
        <f t="shared" ref="H50:H57" ca="1" si="27">F50*L50</f>
        <v>1720.4170545845748</v>
      </c>
      <c r="I50" s="466">
        <f t="shared" ref="I50:I57" ca="1" si="28">G50/H50</f>
        <v>4.5283014686905094</v>
      </c>
      <c r="J50" s="460" t="str">
        <f ca="1">IF($C$21=1,VLOOKUP(I50,$J$17:$M$30,3),(IF($C$21=0,VLOOKUP(I50,$E$17:$H$30,3),VLOOKUP(I50,#REF!,3))))</f>
        <v>A</v>
      </c>
      <c r="K50" s="464">
        <v>1.7999999999999999E-2</v>
      </c>
      <c r="L50" s="465">
        <f t="shared" ref="L50:L57" si="29">$C$17+K50</f>
        <v>5.3260000000000002E-2</v>
      </c>
      <c r="M50" s="465">
        <f t="shared" ref="M50:M57" ca="1" si="30">IF(H50&lt;G50,$C$15,$C$15*(G50/H50))</f>
        <v>0.22012243552411767</v>
      </c>
      <c r="N50" s="465">
        <f t="shared" ref="N50:N57" ca="1" si="31">L50*(1-M50)</f>
        <v>4.1536279083985495E-2</v>
      </c>
      <c r="O50" s="468">
        <f t="shared" ref="O50:O57" ca="1" si="32">(E50*(100%-B50))+(N50*B50)</f>
        <v>6.3956146355127308E-2</v>
      </c>
    </row>
    <row r="51" spans="2:15" ht="12" customHeight="1">
      <c r="B51" s="119">
        <v>0.15</v>
      </c>
      <c r="C51" s="439">
        <f t="shared" si="22"/>
        <v>0.17647058823529413</v>
      </c>
      <c r="D51" s="462">
        <f t="shared" si="23"/>
        <v>0.64834336324068198</v>
      </c>
      <c r="E51" s="438">
        <f t="shared" si="24"/>
        <v>6.7912103276927233E-2</v>
      </c>
      <c r="F51" s="463">
        <f t="shared" ca="1" si="26"/>
        <v>34609.537871853194</v>
      </c>
      <c r="G51" s="463">
        <f t="shared" si="25"/>
        <v>7790.5670750355303</v>
      </c>
      <c r="H51" s="463">
        <f t="shared" ca="1" si="27"/>
        <v>1912.5230627986077</v>
      </c>
      <c r="I51" s="466">
        <f t="shared" ca="1" si="28"/>
        <v>4.0734500025508407</v>
      </c>
      <c r="J51" s="460" t="str">
        <f ca="1">IF($C$21=1,VLOOKUP(I51,$J$17:$M$30,3),(IF($C$21=0,VLOOKUP(I51,$E$17:$H$30,3),VLOOKUP(I51,#REF!,3))))</f>
        <v>A-</v>
      </c>
      <c r="K51" s="464">
        <v>0.02</v>
      </c>
      <c r="L51" s="465">
        <f t="shared" si="29"/>
        <v>5.5260000000000004E-2</v>
      </c>
      <c r="M51" s="465">
        <f t="shared" ca="1" si="30"/>
        <v>0.22012243552411767</v>
      </c>
      <c r="N51" s="465">
        <f t="shared" ca="1" si="31"/>
        <v>4.3096034212937256E-2</v>
      </c>
      <c r="O51" s="468">
        <f t="shared" ca="1" si="32"/>
        <v>6.4189692917328733E-2</v>
      </c>
    </row>
    <row r="52" spans="2:15" ht="12" customHeight="1">
      <c r="B52" s="119">
        <v>0.16</v>
      </c>
      <c r="C52" s="439">
        <f t="shared" si="22"/>
        <v>0.19047619047619049</v>
      </c>
      <c r="D52" s="462">
        <f t="shared" si="23"/>
        <v>0.65456828624974051</v>
      </c>
      <c r="E52" s="438">
        <f t="shared" si="24"/>
        <v>6.8225605104055911E-2</v>
      </c>
      <c r="F52" s="463">
        <f t="shared" ca="1" si="26"/>
        <v>36916.840396643413</v>
      </c>
      <c r="G52" s="463">
        <f t="shared" si="25"/>
        <v>7790.5670750355303</v>
      </c>
      <c r="H52" s="463">
        <f t="shared" ca="1" si="27"/>
        <v>2040.024600318515</v>
      </c>
      <c r="I52" s="466">
        <f t="shared" ca="1" si="28"/>
        <v>3.818859377391413</v>
      </c>
      <c r="J52" s="460" t="str">
        <f ca="1">IF($C$21=1,VLOOKUP(I52,$J$17:$M$30,3),(IF($C$21=0,VLOOKUP(I52,$E$17:$H$30,3),VLOOKUP(I52,#REF!,3))))</f>
        <v>A-</v>
      </c>
      <c r="K52" s="464">
        <v>0.02</v>
      </c>
      <c r="L52" s="465">
        <f t="shared" si="29"/>
        <v>5.5260000000000004E-2</v>
      </c>
      <c r="M52" s="465">
        <f t="shared" ca="1" si="30"/>
        <v>0.22012243552411767</v>
      </c>
      <c r="N52" s="465">
        <f t="shared" ca="1" si="31"/>
        <v>4.3096034212937256E-2</v>
      </c>
      <c r="O52" s="468">
        <f t="shared" ca="1" si="32"/>
        <v>6.4204873761476919E-2</v>
      </c>
    </row>
    <row r="53" spans="2:15" ht="12" customHeight="1">
      <c r="B53" s="119">
        <v>0.17</v>
      </c>
      <c r="C53" s="439">
        <f t="shared" si="22"/>
        <v>0.20481927710843376</v>
      </c>
      <c r="D53" s="462">
        <f t="shared" si="23"/>
        <v>0.66094320740359558</v>
      </c>
      <c r="E53" s="438">
        <f t="shared" si="24"/>
        <v>6.854666119207925E-2</v>
      </c>
      <c r="F53" s="463">
        <f t="shared" ca="1" si="26"/>
        <v>39224.142921433624</v>
      </c>
      <c r="G53" s="463">
        <f t="shared" si="25"/>
        <v>7790.5670750355303</v>
      </c>
      <c r="H53" s="463">
        <f t="shared" ca="1" si="27"/>
        <v>2167.5261378384221</v>
      </c>
      <c r="I53" s="466">
        <f t="shared" ca="1" si="28"/>
        <v>3.594220590486036</v>
      </c>
      <c r="J53" s="460" t="str">
        <f ca="1">IF($C$21=1,VLOOKUP(I53,$J$17:$M$30,3),(IF($C$21=0,VLOOKUP(I53,$E$17:$H$30,3),VLOOKUP(I53,#REF!,3))))</f>
        <v>A-</v>
      </c>
      <c r="K53" s="464">
        <v>0.02</v>
      </c>
      <c r="L53" s="465">
        <f t="shared" si="29"/>
        <v>5.5260000000000004E-2</v>
      </c>
      <c r="M53" s="465">
        <f t="shared" ca="1" si="30"/>
        <v>0.22012243552411767</v>
      </c>
      <c r="N53" s="465">
        <f t="shared" ca="1" si="31"/>
        <v>4.3096034212937256E-2</v>
      </c>
      <c r="O53" s="468">
        <f t="shared" ca="1" si="32"/>
        <v>6.4220054605625104E-2</v>
      </c>
    </row>
    <row r="54" spans="2:15" ht="12" customHeight="1">
      <c r="B54" s="119">
        <v>0.18</v>
      </c>
      <c r="C54" s="439">
        <f t="shared" si="22"/>
        <v>0.21951219512195119</v>
      </c>
      <c r="D54" s="462">
        <f t="shared" si="23"/>
        <v>0.66747361443925213</v>
      </c>
      <c r="E54" s="438">
        <f t="shared" si="24"/>
        <v>6.887554791639583E-2</v>
      </c>
      <c r="F54" s="463">
        <f t="shared" ca="1" si="26"/>
        <v>41531.445446223835</v>
      </c>
      <c r="G54" s="463">
        <f t="shared" si="25"/>
        <v>7790.5670750355303</v>
      </c>
      <c r="H54" s="463">
        <f t="shared" ca="1" si="27"/>
        <v>2295.0276753583294</v>
      </c>
      <c r="I54" s="466">
        <f t="shared" ca="1" si="28"/>
        <v>3.3945416687923671</v>
      </c>
      <c r="J54" s="460" t="str">
        <f ca="1">IF($C$21=1,VLOOKUP(I54,$J$17:$M$30,3),(IF($C$21=0,VLOOKUP(I54,$E$17:$H$30,3),VLOOKUP(I54,#REF!,3))))</f>
        <v>A-</v>
      </c>
      <c r="K54" s="464">
        <v>0.02</v>
      </c>
      <c r="L54" s="465">
        <f t="shared" si="29"/>
        <v>5.5260000000000004E-2</v>
      </c>
      <c r="M54" s="465">
        <f t="shared" ca="1" si="30"/>
        <v>0.22012243552411767</v>
      </c>
      <c r="N54" s="465">
        <f t="shared" ca="1" si="31"/>
        <v>4.3096034212937256E-2</v>
      </c>
      <c r="O54" s="468">
        <f t="shared" ca="1" si="32"/>
        <v>6.423523544977329E-2</v>
      </c>
    </row>
    <row r="55" spans="2:15" ht="12" customHeight="1">
      <c r="B55" s="119">
        <v>0.19</v>
      </c>
      <c r="C55" s="439">
        <f t="shared" si="22"/>
        <v>0.23456790123456789</v>
      </c>
      <c r="D55" s="462">
        <f t="shared" si="23"/>
        <v>0.67416526609307303</v>
      </c>
      <c r="E55" s="438">
        <f t="shared" si="24"/>
        <v>6.9212555300572104E-2</v>
      </c>
      <c r="F55" s="463">
        <f t="shared" ca="1" si="26"/>
        <v>43838.747971014054</v>
      </c>
      <c r="G55" s="463">
        <f t="shared" si="25"/>
        <v>7790.5670750355303</v>
      </c>
      <c r="H55" s="463">
        <f t="shared" ca="1" si="27"/>
        <v>2422.5292128782366</v>
      </c>
      <c r="I55" s="466">
        <f t="shared" ca="1" si="28"/>
        <v>3.2158815809611898</v>
      </c>
      <c r="J55" s="460" t="str">
        <f ca="1">IF($C$21=1,VLOOKUP(I55,$J$17:$M$30,3),(IF($C$21=0,VLOOKUP(I55,$E$17:$H$30,3),VLOOKUP(I55,#REF!,3))))</f>
        <v>A-</v>
      </c>
      <c r="K55" s="464">
        <v>0.02</v>
      </c>
      <c r="L55" s="465">
        <f t="shared" si="29"/>
        <v>5.5260000000000004E-2</v>
      </c>
      <c r="M55" s="465">
        <f t="shared" ca="1" si="30"/>
        <v>0.22012243552411767</v>
      </c>
      <c r="N55" s="465">
        <f t="shared" ca="1" si="31"/>
        <v>4.3096034212937256E-2</v>
      </c>
      <c r="O55" s="468">
        <f t="shared" ca="1" si="32"/>
        <v>6.4250416293921489E-2</v>
      </c>
    </row>
    <row r="56" spans="2:15" ht="12" customHeight="1">
      <c r="B56" s="119">
        <v>0.2</v>
      </c>
      <c r="C56" s="439">
        <f t="shared" si="22"/>
        <v>0.25</v>
      </c>
      <c r="D56" s="462">
        <f t="shared" si="23"/>
        <v>0.68102420903823924</v>
      </c>
      <c r="E56" s="438">
        <f t="shared" si="24"/>
        <v>6.9557987869352744E-2</v>
      </c>
      <c r="F56" s="463">
        <f t="shared" ca="1" si="26"/>
        <v>46146.050495804266</v>
      </c>
      <c r="G56" s="463">
        <f t="shared" si="25"/>
        <v>7790.5670750355303</v>
      </c>
      <c r="H56" s="463">
        <f t="shared" ca="1" si="27"/>
        <v>5318.7937801463995</v>
      </c>
      <c r="I56" s="466">
        <f t="shared" ca="1" si="28"/>
        <v>1.4647244087777165</v>
      </c>
      <c r="J56" s="460" t="str">
        <f ca="1">IF($C$21=1,VLOOKUP(I56,$J$17:$M$30,3),(IF($C$21=0,VLOOKUP(I56,$E$17:$H$30,3),VLOOKUP(I56,#REF!,3))))</f>
        <v>B-</v>
      </c>
      <c r="K56" s="464">
        <v>0.08</v>
      </c>
      <c r="L56" s="465">
        <f t="shared" si="29"/>
        <v>0.11526</v>
      </c>
      <c r="M56" s="465">
        <f t="shared" ca="1" si="30"/>
        <v>0.22012243552411767</v>
      </c>
      <c r="N56" s="465">
        <f t="shared" ca="1" si="31"/>
        <v>8.9888688081490198E-2</v>
      </c>
      <c r="O56" s="468">
        <f t="shared" ca="1" si="32"/>
        <v>7.3624127911780246E-2</v>
      </c>
    </row>
    <row r="57" spans="2:15" ht="12" customHeight="1">
      <c r="B57" s="119">
        <v>0.21</v>
      </c>
      <c r="C57" s="439">
        <f t="shared" si="22"/>
        <v>0.26582278481012656</v>
      </c>
      <c r="D57" s="462">
        <f t="shared" si="23"/>
        <v>0.68805679610859971</v>
      </c>
      <c r="E57" s="438">
        <f t="shared" si="24"/>
        <v>6.9912165566456977E-2</v>
      </c>
      <c r="F57" s="463">
        <f t="shared" ca="1" si="26"/>
        <v>48453.353020594477</v>
      </c>
      <c r="G57" s="463">
        <f t="shared" si="25"/>
        <v>7790.5670750355303</v>
      </c>
      <c r="H57" s="463">
        <f t="shared" ca="1" si="27"/>
        <v>5584.7334691537199</v>
      </c>
      <c r="I57" s="466">
        <f t="shared" ca="1" si="28"/>
        <v>1.3949756274073488</v>
      </c>
      <c r="J57" s="460" t="str">
        <f ca="1">IF($C$21=1,VLOOKUP(I57,$J$17:$M$30,3),(IF($C$21=0,VLOOKUP(I57,$E$17:$H$30,3),VLOOKUP(I57,#REF!,3))))</f>
        <v>B-</v>
      </c>
      <c r="K57" s="464">
        <v>0.08</v>
      </c>
      <c r="L57" s="465">
        <f t="shared" si="29"/>
        <v>0.11526</v>
      </c>
      <c r="M57" s="465">
        <f t="shared" ca="1" si="30"/>
        <v>0.22012243552411767</v>
      </c>
      <c r="N57" s="465">
        <f t="shared" ca="1" si="31"/>
        <v>8.9888688081490198E-2</v>
      </c>
      <c r="O57" s="468">
        <f t="shared" ca="1" si="32"/>
        <v>7.4107235294613952E-2</v>
      </c>
    </row>
    <row r="58" spans="2:15" ht="12" customHeight="1">
      <c r="B58" s="119"/>
      <c r="C58" s="439"/>
      <c r="D58" s="462"/>
      <c r="E58" s="438"/>
      <c r="F58" s="463"/>
      <c r="G58" s="463"/>
      <c r="H58" s="463"/>
      <c r="I58" s="466"/>
      <c r="J58" s="460"/>
      <c r="K58" s="464"/>
      <c r="L58" s="465"/>
      <c r="M58" s="465"/>
      <c r="N58" s="465"/>
      <c r="O58" s="468"/>
    </row>
  </sheetData>
  <mergeCells count="2">
    <mergeCell ref="E15:H15"/>
    <mergeCell ref="J15:M15"/>
  </mergeCells>
  <pageMargins left="0.7" right="0.7" top="0.75" bottom="0.75" header="0.3" footer="0.3"/>
  <pageSetup orientation="landscape"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42"/>
  <sheetViews>
    <sheetView workbookViewId="0"/>
  </sheetViews>
  <sheetFormatPr defaultRowHeight="12" customHeight="1"/>
  <cols>
    <col min="1" max="1" width="2" style="2" customWidth="1"/>
    <col min="2" max="2" width="18.5703125" style="2" customWidth="1"/>
    <col min="3" max="3" width="13.5703125" style="2" customWidth="1"/>
    <col min="4" max="4" width="11.28515625" style="2" customWidth="1"/>
    <col min="5" max="5" width="14.28515625" style="2" customWidth="1"/>
    <col min="6" max="6" width="17" style="2" customWidth="1"/>
    <col min="7" max="7" width="9.5703125" style="2" customWidth="1"/>
    <col min="8" max="8" width="14.42578125" style="2" customWidth="1"/>
    <col min="9" max="9" width="16" style="2" customWidth="1"/>
    <col min="10" max="10" width="23.85546875" style="2" customWidth="1"/>
    <col min="11" max="11" width="15.140625" style="2" customWidth="1"/>
    <col min="12" max="12" width="12.85546875" style="2" customWidth="1"/>
    <col min="13" max="13" width="10.7109375" style="2" customWidth="1"/>
    <col min="14" max="14" width="11.5703125" style="2" customWidth="1"/>
    <col min="15" max="15" width="11.85546875" style="2" customWidth="1"/>
    <col min="16" max="17" width="9.140625" style="2"/>
    <col min="18" max="18" width="11.5703125" style="2" customWidth="1"/>
    <col min="19" max="19" width="12.7109375" style="2" customWidth="1"/>
    <col min="20" max="20" width="10.140625" style="2" bestFit="1" customWidth="1"/>
    <col min="21" max="16384" width="9.140625" style="2"/>
  </cols>
  <sheetData>
    <row r="1" spans="1:13" ht="16.5" customHeight="1">
      <c r="B1" s="15" t="s">
        <v>246</v>
      </c>
    </row>
    <row r="3" spans="1:13" ht="12" customHeight="1">
      <c r="B3" s="255" t="s">
        <v>196</v>
      </c>
      <c r="C3" s="449" t="s">
        <v>279</v>
      </c>
      <c r="D3" s="449" t="s">
        <v>222</v>
      </c>
      <c r="E3" s="449" t="s">
        <v>256</v>
      </c>
      <c r="F3" s="449" t="s">
        <v>247</v>
      </c>
      <c r="G3" s="457" t="s">
        <v>219</v>
      </c>
      <c r="H3" s="449" t="s">
        <v>250</v>
      </c>
      <c r="I3" s="449" t="s">
        <v>248</v>
      </c>
      <c r="J3" s="449" t="s">
        <v>259</v>
      </c>
      <c r="K3" s="22"/>
      <c r="L3" s="22"/>
    </row>
    <row r="4" spans="1:13" ht="12" customHeight="1">
      <c r="B4" s="461">
        <v>0</v>
      </c>
      <c r="C4" s="463">
        <f t="shared" ref="C4:C13" ca="1" si="0">B4*$C$19</f>
        <v>0</v>
      </c>
      <c r="D4" s="467">
        <f>'Optimal Cost of Capital'!M4</f>
        <v>0.22012243552411767</v>
      </c>
      <c r="E4" s="463">
        <f ca="1">$C$22</f>
        <v>228863.41724880098</v>
      </c>
      <c r="F4" s="343">
        <f ca="1">C4*D4</f>
        <v>0</v>
      </c>
      <c r="G4" s="459" t="str">
        <f>'Optimal Cost of Capital'!J4</f>
        <v>AAA</v>
      </c>
      <c r="H4" s="469">
        <f t="shared" ref="H4:H13" si="1">VLOOKUP(G4,$H$16:$I$29,2,)</f>
        <v>6.9999999999999999E-4</v>
      </c>
      <c r="I4" s="343">
        <f t="shared" ref="I4:I13" ca="1" si="2">H4*VLOOKUP($C$16,$E$16:$F$18,2,)*E4</f>
        <v>16.020439207416072</v>
      </c>
      <c r="J4" s="343">
        <f ca="1">E4+F4-I4</f>
        <v>228847.39680959357</v>
      </c>
      <c r="M4" s="200"/>
    </row>
    <row r="5" spans="1:13" ht="12" customHeight="1">
      <c r="B5" s="119">
        <v>0.1</v>
      </c>
      <c r="C5" s="463">
        <f t="shared" ca="1" si="0"/>
        <v>23073.025247902133</v>
      </c>
      <c r="D5" s="467">
        <f ca="1">'Optimal Cost of Capital'!M5</f>
        <v>0.22012243552411767</v>
      </c>
      <c r="E5" s="463">
        <f t="shared" ref="E5:E13" ca="1" si="3">$C$22</f>
        <v>228863.41724880098</v>
      </c>
      <c r="F5" s="343">
        <f t="shared" ref="F5:F13" ca="1" si="4">C5*D5</f>
        <v>5078.8905124776766</v>
      </c>
      <c r="G5" s="459" t="str">
        <f ca="1">'Optimal Cost of Capital'!J5</f>
        <v>AA</v>
      </c>
      <c r="H5" s="469">
        <f t="shared" ca="1" si="1"/>
        <v>5.1000000000000004E-3</v>
      </c>
      <c r="I5" s="343">
        <f t="shared" ca="1" si="2"/>
        <v>116.7203427968885</v>
      </c>
      <c r="J5" s="343">
        <f ca="1">E5+F5-I5</f>
        <v>233825.58741848177</v>
      </c>
    </row>
    <row r="6" spans="1:13" ht="12" customHeight="1">
      <c r="B6" s="586">
        <v>0.2</v>
      </c>
      <c r="C6" s="590">
        <f t="shared" ca="1" si="0"/>
        <v>46146.050495804266</v>
      </c>
      <c r="D6" s="598">
        <f ca="1">'Optimal Cost of Capital'!M6</f>
        <v>0.22012243552411767</v>
      </c>
      <c r="E6" s="590">
        <f t="shared" ca="1" si="3"/>
        <v>228863.41724880098</v>
      </c>
      <c r="F6" s="599">
        <f t="shared" ca="1" si="4"/>
        <v>10157.781024955353</v>
      </c>
      <c r="G6" s="600" t="str">
        <f ca="1">'Optimal Cost of Capital'!J6</f>
        <v>A-</v>
      </c>
      <c r="H6" s="601">
        <f t="shared" ca="1" si="1"/>
        <v>2.5000000000000001E-2</v>
      </c>
      <c r="I6" s="599">
        <f t="shared" ca="1" si="2"/>
        <v>572.15854312200258</v>
      </c>
      <c r="J6" s="599">
        <f t="shared" ref="J6:J13" ca="1" si="5">E6+F6-I6</f>
        <v>238449.03973063434</v>
      </c>
      <c r="K6" s="200" t="s">
        <v>223</v>
      </c>
    </row>
    <row r="7" spans="1:13" ht="12" customHeight="1">
      <c r="B7" s="119">
        <v>0.3</v>
      </c>
      <c r="C7" s="463">
        <f t="shared" ca="1" si="0"/>
        <v>69219.075743706388</v>
      </c>
      <c r="D7" s="467">
        <f ca="1">'Optimal Cost of Capital'!M7</f>
        <v>0.18316319113684412</v>
      </c>
      <c r="E7" s="463">
        <f t="shared" ca="1" si="3"/>
        <v>228863.41724880098</v>
      </c>
      <c r="F7" s="343">
        <f t="shared" ca="1" si="4"/>
        <v>12678.386800760183</v>
      </c>
      <c r="G7" s="459" t="str">
        <f ca="1">'Optimal Cost of Capital'!J7</f>
        <v>CCC</v>
      </c>
      <c r="H7" s="469">
        <f t="shared" ca="1" si="1"/>
        <v>0.59009999999999996</v>
      </c>
      <c r="I7" s="343">
        <f t="shared" ca="1" si="2"/>
        <v>13505.230251851746</v>
      </c>
      <c r="J7" s="343">
        <f ca="1">E7+F7-I7</f>
        <v>228036.5737977094</v>
      </c>
    </row>
    <row r="8" spans="1:13" ht="12" customHeight="1">
      <c r="B8" s="119">
        <v>0.4</v>
      </c>
      <c r="C8" s="463">
        <f t="shared" ca="1" si="0"/>
        <v>92292.100991608531</v>
      </c>
      <c r="D8" s="467">
        <f ca="1">'Optimal Cost of Capital'!M8</f>
        <v>0.1145136812823687</v>
      </c>
      <c r="E8" s="463">
        <f t="shared" ca="1" si="3"/>
        <v>228863.41724880098</v>
      </c>
      <c r="F8" s="343">
        <f ca="1">C8*D8</f>
        <v>10568.708237833243</v>
      </c>
      <c r="G8" s="459" t="str">
        <f ca="1">'Optimal Cost of Capital'!J8</f>
        <v>C</v>
      </c>
      <c r="H8" s="469">
        <f t="shared" ca="1" si="1"/>
        <v>0.85</v>
      </c>
      <c r="I8" s="343">
        <f t="shared" ca="1" si="2"/>
        <v>19453.390466148085</v>
      </c>
      <c r="J8" s="343">
        <f t="shared" ca="1" si="5"/>
        <v>219978.73502048614</v>
      </c>
    </row>
    <row r="9" spans="1:13" ht="12" customHeight="1">
      <c r="B9" s="119">
        <v>0.5</v>
      </c>
      <c r="C9" s="463">
        <f t="shared" ca="1" si="0"/>
        <v>115365.12623951066</v>
      </c>
      <c r="D9" s="467">
        <f ca="1">'Optimal Cost of Capital'!M9</f>
        <v>9.1610945025894966E-2</v>
      </c>
      <c r="E9" s="463">
        <f t="shared" ca="1" si="3"/>
        <v>228863.41724880098</v>
      </c>
      <c r="F9" s="343">
        <f ca="1">C9*D9</f>
        <v>10568.708237833243</v>
      </c>
      <c r="G9" s="459" t="str">
        <f ca="1">'Optimal Cost of Capital'!J9</f>
        <v>C</v>
      </c>
      <c r="H9" s="469">
        <f t="shared" ca="1" si="1"/>
        <v>0.85</v>
      </c>
      <c r="I9" s="343">
        <f t="shared" ca="1" si="2"/>
        <v>19453.390466148085</v>
      </c>
      <c r="J9" s="343">
        <f t="shared" ca="1" si="5"/>
        <v>219978.73502048614</v>
      </c>
    </row>
    <row r="10" spans="1:13" ht="12" customHeight="1">
      <c r="A10" s="3"/>
      <c r="B10" s="119">
        <v>0.6</v>
      </c>
      <c r="C10" s="463">
        <f t="shared" ca="1" si="0"/>
        <v>138438.15148741278</v>
      </c>
      <c r="D10" s="467">
        <f ca="1">'Optimal Cost of Capital'!M10</f>
        <v>7.6342454188245826E-2</v>
      </c>
      <c r="E10" s="463">
        <f t="shared" ca="1" si="3"/>
        <v>228863.41724880098</v>
      </c>
      <c r="F10" s="343">
        <f t="shared" ca="1" si="4"/>
        <v>10568.708237833245</v>
      </c>
      <c r="G10" s="459" t="str">
        <f ca="1">'Optimal Cost of Capital'!J10</f>
        <v>C</v>
      </c>
      <c r="H10" s="469">
        <f t="shared" ca="1" si="1"/>
        <v>0.85</v>
      </c>
      <c r="I10" s="343">
        <f t="shared" ca="1" si="2"/>
        <v>19453.390466148085</v>
      </c>
      <c r="J10" s="343">
        <f t="shared" ca="1" si="5"/>
        <v>219978.73502048614</v>
      </c>
    </row>
    <row r="11" spans="1:13" ht="12" customHeight="1">
      <c r="A11" s="3"/>
      <c r="B11" s="119">
        <v>0.7</v>
      </c>
      <c r="C11" s="463">
        <f t="shared" ca="1" si="0"/>
        <v>161511.17673531492</v>
      </c>
      <c r="D11" s="467">
        <f ca="1">'Optimal Cost of Capital'!M11</f>
        <v>6.5436389304210696E-2</v>
      </c>
      <c r="E11" s="463">
        <f t="shared" ca="1" si="3"/>
        <v>228863.41724880098</v>
      </c>
      <c r="F11" s="343">
        <f t="shared" ca="1" si="4"/>
        <v>10568.708237833245</v>
      </c>
      <c r="G11" s="459" t="str">
        <f ca="1">'Optimal Cost of Capital'!J11</f>
        <v>C</v>
      </c>
      <c r="H11" s="469">
        <f t="shared" ca="1" si="1"/>
        <v>0.85</v>
      </c>
      <c r="I11" s="343">
        <f t="shared" ca="1" si="2"/>
        <v>19453.390466148085</v>
      </c>
      <c r="J11" s="343">
        <f t="shared" ca="1" si="5"/>
        <v>219978.73502048614</v>
      </c>
    </row>
    <row r="12" spans="1:13" ht="12" customHeight="1">
      <c r="A12" s="3"/>
      <c r="B12" s="119">
        <v>0.8</v>
      </c>
      <c r="C12" s="463">
        <f t="shared" ca="1" si="0"/>
        <v>184584.20198321706</v>
      </c>
      <c r="D12" s="467">
        <f ca="1">'Optimal Cost of Capital'!M12</f>
        <v>5.7256840641184352E-2</v>
      </c>
      <c r="E12" s="463">
        <f t="shared" ca="1" si="3"/>
        <v>228863.41724880098</v>
      </c>
      <c r="F12" s="343">
        <f t="shared" ca="1" si="4"/>
        <v>10568.708237833243</v>
      </c>
      <c r="G12" s="459" t="str">
        <f ca="1">'Optimal Cost of Capital'!J12</f>
        <v>C</v>
      </c>
      <c r="H12" s="469">
        <f t="shared" ca="1" si="1"/>
        <v>0.85</v>
      </c>
      <c r="I12" s="343">
        <f t="shared" ca="1" si="2"/>
        <v>19453.390466148085</v>
      </c>
      <c r="J12" s="343">
        <f t="shared" ca="1" si="5"/>
        <v>219978.73502048614</v>
      </c>
      <c r="K12" s="24"/>
      <c r="L12" s="24"/>
    </row>
    <row r="13" spans="1:13" ht="12" customHeight="1">
      <c r="A13" s="3"/>
      <c r="B13" s="119">
        <v>0.9</v>
      </c>
      <c r="C13" s="463">
        <f t="shared" ca="1" si="0"/>
        <v>207657.22723111921</v>
      </c>
      <c r="D13" s="467">
        <f ca="1">'Optimal Cost of Capital'!M13</f>
        <v>5.0894969458830534E-2</v>
      </c>
      <c r="E13" s="463">
        <f t="shared" ca="1" si="3"/>
        <v>228863.41724880098</v>
      </c>
      <c r="F13" s="343">
        <f t="shared" ca="1" si="4"/>
        <v>10568.708237833245</v>
      </c>
      <c r="G13" s="459" t="str">
        <f ca="1">'Optimal Cost of Capital'!J13</f>
        <v>C</v>
      </c>
      <c r="H13" s="469">
        <f t="shared" ca="1" si="1"/>
        <v>0.85</v>
      </c>
      <c r="I13" s="343">
        <f t="shared" ca="1" si="2"/>
        <v>19453.390466148085</v>
      </c>
      <c r="J13" s="343">
        <f t="shared" ca="1" si="5"/>
        <v>219978.73502048614</v>
      </c>
    </row>
    <row r="14" spans="1:13" s="22" customFormat="1" ht="12" customHeight="1">
      <c r="A14" s="21"/>
      <c r="K14" s="2"/>
      <c r="L14" s="2"/>
    </row>
    <row r="15" spans="1:13" ht="12" customHeight="1">
      <c r="B15" s="503" t="s">
        <v>260</v>
      </c>
      <c r="C15" s="458" t="str">
        <f>'Cost of Equity, Debt &amp; WACC'!C14</f>
        <v>AAA</v>
      </c>
      <c r="D15" s="3"/>
      <c r="E15" s="203"/>
      <c r="F15" s="204" t="s">
        <v>254</v>
      </c>
      <c r="H15" s="203" t="s">
        <v>201</v>
      </c>
      <c r="I15" s="204" t="s">
        <v>250</v>
      </c>
    </row>
    <row r="16" spans="1:13" ht="12" customHeight="1">
      <c r="B16" s="503" t="s">
        <v>258</v>
      </c>
      <c r="C16" s="458" t="s">
        <v>253</v>
      </c>
      <c r="D16" s="3"/>
      <c r="E16" s="203" t="s">
        <v>251</v>
      </c>
      <c r="F16" s="205">
        <v>0.4</v>
      </c>
      <c r="H16" s="203" t="s">
        <v>199</v>
      </c>
      <c r="I16" s="205">
        <v>1</v>
      </c>
    </row>
    <row r="17" spans="1:12" ht="12" customHeight="1">
      <c r="B17" s="199" t="s">
        <v>257</v>
      </c>
      <c r="C17" s="167"/>
      <c r="D17" s="3"/>
      <c r="E17" s="203" t="s">
        <v>252</v>
      </c>
      <c r="F17" s="205">
        <v>0.25</v>
      </c>
      <c r="H17" s="203" t="s">
        <v>29</v>
      </c>
      <c r="I17" s="205">
        <v>0.85</v>
      </c>
    </row>
    <row r="18" spans="1:12" ht="12" customHeight="1">
      <c r="D18" s="25"/>
      <c r="E18" s="203" t="s">
        <v>253</v>
      </c>
      <c r="F18" s="205">
        <v>0.1</v>
      </c>
      <c r="G18" s="90"/>
      <c r="H18" s="203" t="s">
        <v>208</v>
      </c>
      <c r="I18" s="205">
        <v>0.7</v>
      </c>
    </row>
    <row r="19" spans="1:12" ht="12" customHeight="1">
      <c r="A19" s="3"/>
      <c r="B19" s="503" t="s">
        <v>220</v>
      </c>
      <c r="C19" s="356">
        <f ca="1">'Bottom Up Beta'!C13+'Bottom Up Beta'!C14</f>
        <v>230730.25247902132</v>
      </c>
      <c r="D19" s="25"/>
      <c r="E19" s="196"/>
      <c r="F19" s="196"/>
      <c r="G19" s="198"/>
      <c r="H19" s="203" t="s">
        <v>209</v>
      </c>
      <c r="I19" s="205">
        <v>0.59009999999999996</v>
      </c>
      <c r="K19" s="3"/>
      <c r="L19" s="3"/>
    </row>
    <row r="20" spans="1:12" ht="12" customHeight="1">
      <c r="A20" s="6" t="s">
        <v>32</v>
      </c>
      <c r="B20" s="503" t="s">
        <v>247</v>
      </c>
      <c r="C20" s="356">
        <f ca="1">-'Bottom Up Beta'!C14*C24</f>
        <v>-1882.9863478938505</v>
      </c>
      <c r="D20" s="25"/>
      <c r="E20" s="196"/>
      <c r="F20" s="196"/>
      <c r="G20" s="197"/>
      <c r="H20" s="203" t="s">
        <v>210</v>
      </c>
      <c r="I20" s="205">
        <v>0.45</v>
      </c>
      <c r="K20" s="3"/>
      <c r="L20" s="3"/>
    </row>
    <row r="21" spans="1:12" ht="12" customHeight="1">
      <c r="A21" s="120" t="s">
        <v>42</v>
      </c>
      <c r="B21" s="503" t="s">
        <v>249</v>
      </c>
      <c r="C21" s="356">
        <f ca="1">VLOOKUP($C$16,$E$16:$F$18,2,)*C19*VLOOKUP($C$15,$H$16:$I$29,2,)</f>
        <v>16.151117673531491</v>
      </c>
      <c r="G21" s="55"/>
      <c r="H21" s="203" t="s">
        <v>211</v>
      </c>
      <c r="I21" s="205">
        <v>0.36799999999999999</v>
      </c>
    </row>
    <row r="22" spans="1:12" ht="12" customHeight="1">
      <c r="A22" s="120"/>
      <c r="B22" s="502" t="s">
        <v>255</v>
      </c>
      <c r="C22" s="346">
        <f ca="1">C19+C20+C21</f>
        <v>228863.41724880098</v>
      </c>
      <c r="D22" s="25"/>
      <c r="G22" s="195"/>
      <c r="H22" s="203" t="s">
        <v>212</v>
      </c>
      <c r="I22" s="205">
        <v>0.25</v>
      </c>
      <c r="K22" s="212"/>
      <c r="L22" s="212"/>
    </row>
    <row r="23" spans="1:12" s="24" customFormat="1" ht="12" customHeight="1">
      <c r="A23" s="121"/>
      <c r="B23" s="2"/>
      <c r="C23" s="2"/>
      <c r="D23" s="25"/>
      <c r="E23" s="2"/>
      <c r="F23" s="2"/>
      <c r="G23" s="198"/>
      <c r="H23" s="203" t="s">
        <v>213</v>
      </c>
      <c r="I23" s="205">
        <v>0.1663</v>
      </c>
      <c r="K23" s="208"/>
      <c r="L23" s="208"/>
    </row>
    <row r="24" spans="1:12" ht="12" customHeight="1">
      <c r="A24" s="24"/>
      <c r="B24" s="218" t="s">
        <v>172</v>
      </c>
      <c r="C24" s="219">
        <f>'Risk Free Rate &amp; ERP'!H15</f>
        <v>0.22012243552411767</v>
      </c>
      <c r="D24" s="166"/>
      <c r="E24" s="11"/>
      <c r="G24" s="197"/>
      <c r="H24" s="203" t="s">
        <v>207</v>
      </c>
      <c r="I24" s="205">
        <v>7.5399999999999995E-2</v>
      </c>
      <c r="K24" s="208"/>
      <c r="L24" s="208"/>
    </row>
    <row r="25" spans="1:12" ht="12" customHeight="1">
      <c r="E25" s="7"/>
      <c r="G25" s="55"/>
      <c r="H25" s="203" t="s">
        <v>206</v>
      </c>
      <c r="I25" s="205">
        <v>2.5000000000000001E-2</v>
      </c>
      <c r="K25" s="11"/>
      <c r="L25" s="11"/>
    </row>
    <row r="26" spans="1:12" ht="12" customHeight="1">
      <c r="D26" s="28"/>
      <c r="E26" s="11"/>
      <c r="G26" s="195"/>
      <c r="H26" s="203" t="s">
        <v>214</v>
      </c>
      <c r="I26" s="205">
        <v>6.6E-3</v>
      </c>
      <c r="K26" s="11"/>
      <c r="L26" s="11"/>
    </row>
    <row r="27" spans="1:12" ht="12" customHeight="1">
      <c r="C27" s="12"/>
      <c r="D27" s="3"/>
      <c r="G27" s="25"/>
      <c r="H27" s="203" t="s">
        <v>215</v>
      </c>
      <c r="I27" s="205">
        <v>6.0000000000000001E-3</v>
      </c>
    </row>
    <row r="28" spans="1:12" ht="12" customHeight="1">
      <c r="D28" s="3"/>
      <c r="E28" s="14"/>
      <c r="G28" s="5"/>
      <c r="H28" s="203" t="s">
        <v>216</v>
      </c>
      <c r="I28" s="205">
        <v>5.1000000000000004E-3</v>
      </c>
    </row>
    <row r="29" spans="1:12" ht="12" customHeight="1">
      <c r="B29" s="211"/>
      <c r="C29" s="211"/>
      <c r="D29" s="3"/>
      <c r="G29" s="5"/>
      <c r="H29" s="203" t="s">
        <v>148</v>
      </c>
      <c r="I29" s="205">
        <v>6.9999999999999999E-4</v>
      </c>
    </row>
    <row r="30" spans="1:12" ht="12" customHeight="1">
      <c r="B30" s="214"/>
      <c r="C30" s="103"/>
      <c r="D30" s="3"/>
      <c r="I30" s="3"/>
      <c r="J30" s="3"/>
    </row>
    <row r="31" spans="1:12" ht="12" customHeight="1">
      <c r="B31" s="207"/>
      <c r="C31" s="103"/>
      <c r="I31" s="3"/>
      <c r="J31" s="3"/>
    </row>
    <row r="32" spans="1:12" ht="12" customHeight="1">
      <c r="B32" s="255" t="s">
        <v>196</v>
      </c>
      <c r="C32" s="449" t="s">
        <v>279</v>
      </c>
      <c r="D32" s="449" t="s">
        <v>222</v>
      </c>
      <c r="E32" s="449" t="s">
        <v>256</v>
      </c>
      <c r="F32" s="449" t="s">
        <v>247</v>
      </c>
      <c r="G32" s="457" t="s">
        <v>219</v>
      </c>
      <c r="H32" s="449" t="s">
        <v>250</v>
      </c>
      <c r="I32" s="449" t="s">
        <v>248</v>
      </c>
      <c r="J32" s="449" t="s">
        <v>259</v>
      </c>
    </row>
    <row r="33" spans="2:15" ht="12" customHeight="1">
      <c r="B33" s="119">
        <f>'Optimal Cost of Capital'!B48</f>
        <v>0.12</v>
      </c>
      <c r="C33" s="463">
        <f t="shared" ref="C33:C42" ca="1" si="6">B33*$C$19</f>
        <v>27687.630297482556</v>
      </c>
      <c r="D33" s="467">
        <f ca="1">'Optimal Cost of Capital'!M35</f>
        <v>0.22012243552411767</v>
      </c>
      <c r="E33" s="463">
        <f t="shared" ref="E33:E42" ca="1" si="7">$C$22</f>
        <v>228863.41724880098</v>
      </c>
      <c r="F33" s="343">
        <f t="shared" ref="F33:F42" ca="1" si="8">C33*D33</f>
        <v>6094.6686149732104</v>
      </c>
      <c r="G33" s="459" t="str">
        <f ca="1">'Optimal Cost of Capital'!J48</f>
        <v>A</v>
      </c>
      <c r="H33" s="469">
        <f t="shared" ref="H33:H42" ca="1" si="9">VLOOKUP(G33,$H$16:$I$29,2,)</f>
        <v>6.6E-3</v>
      </c>
      <c r="I33" s="343">
        <f t="shared" ref="I33:I42" ca="1" si="10">H33*VLOOKUP($C$16,$E$16:$F$18,2,)*E33</f>
        <v>151.04985538420866</v>
      </c>
      <c r="J33" s="343">
        <f t="shared" ref="J33:J42" ca="1" si="11">E33+F33-I33</f>
        <v>234807.03600838996</v>
      </c>
      <c r="M33" s="212"/>
    </row>
    <row r="34" spans="2:15" ht="12" customHeight="1">
      <c r="B34" s="119">
        <f>'Optimal Cost of Capital'!B49</f>
        <v>0.13</v>
      </c>
      <c r="C34" s="463">
        <f t="shared" ca="1" si="6"/>
        <v>29994.932822272775</v>
      </c>
      <c r="D34" s="467">
        <f ca="1">'Optimal Cost of Capital'!M36</f>
        <v>0.22012243552411767</v>
      </c>
      <c r="E34" s="463">
        <f t="shared" ca="1" si="7"/>
        <v>228863.41724880098</v>
      </c>
      <c r="F34" s="343">
        <f t="shared" ca="1" si="8"/>
        <v>6602.5576662209796</v>
      </c>
      <c r="G34" s="459" t="str">
        <f ca="1">'Optimal Cost of Capital'!J49</f>
        <v>A</v>
      </c>
      <c r="H34" s="469">
        <f t="shared" ca="1" si="9"/>
        <v>6.6E-3</v>
      </c>
      <c r="I34" s="343">
        <f t="shared" ca="1" si="10"/>
        <v>151.04985538420866</v>
      </c>
      <c r="J34" s="343">
        <f t="shared" ca="1" si="11"/>
        <v>235314.92505963775</v>
      </c>
      <c r="M34" s="208"/>
      <c r="N34" s="212"/>
      <c r="O34" s="212"/>
    </row>
    <row r="35" spans="2:15" ht="12" customHeight="1">
      <c r="B35" s="119">
        <f>'Optimal Cost of Capital'!B50</f>
        <v>0.14000000000000001</v>
      </c>
      <c r="C35" s="463">
        <f t="shared" ca="1" si="6"/>
        <v>32302.23534706299</v>
      </c>
      <c r="D35" s="467">
        <f ca="1">'Optimal Cost of Capital'!M37</f>
        <v>0.22012243552411767</v>
      </c>
      <c r="E35" s="463">
        <f t="shared" ca="1" si="7"/>
        <v>228863.41724880098</v>
      </c>
      <c r="F35" s="343">
        <f t="shared" ca="1" si="8"/>
        <v>7110.4467174687479</v>
      </c>
      <c r="G35" s="459" t="str">
        <f ca="1">'Optimal Cost of Capital'!J50</f>
        <v>A</v>
      </c>
      <c r="H35" s="469">
        <f t="shared" ca="1" si="9"/>
        <v>6.6E-3</v>
      </c>
      <c r="I35" s="343">
        <f t="shared" ca="1" si="10"/>
        <v>151.04985538420866</v>
      </c>
      <c r="J35" s="343">
        <f t="shared" ca="1" si="11"/>
        <v>235822.81411088552</v>
      </c>
      <c r="M35" s="208"/>
      <c r="N35" s="208"/>
      <c r="O35" s="209"/>
    </row>
    <row r="36" spans="2:15" ht="12" customHeight="1">
      <c r="B36" s="119">
        <f>'Optimal Cost of Capital'!B51</f>
        <v>0.15</v>
      </c>
      <c r="C36" s="463">
        <f t="shared" ca="1" si="6"/>
        <v>34609.537871853194</v>
      </c>
      <c r="D36" s="467">
        <f ca="1">'Optimal Cost of Capital'!M38</f>
        <v>0.22012243552411767</v>
      </c>
      <c r="E36" s="463">
        <f t="shared" ca="1" si="7"/>
        <v>228863.41724880098</v>
      </c>
      <c r="F36" s="343">
        <f t="shared" ca="1" si="8"/>
        <v>7618.3357687165135</v>
      </c>
      <c r="G36" s="459" t="str">
        <f ca="1">'Optimal Cost of Capital'!J51</f>
        <v>A-</v>
      </c>
      <c r="H36" s="469">
        <f t="shared" ca="1" si="9"/>
        <v>2.5000000000000001E-2</v>
      </c>
      <c r="I36" s="343">
        <f t="shared" ca="1" si="10"/>
        <v>572.15854312200258</v>
      </c>
      <c r="J36" s="343">
        <f t="shared" ca="1" si="11"/>
        <v>235909.5944743955</v>
      </c>
      <c r="N36" s="208"/>
      <c r="O36" s="216"/>
    </row>
    <row r="37" spans="2:15" ht="12" customHeight="1">
      <c r="B37" s="119">
        <f>'Optimal Cost of Capital'!B52</f>
        <v>0.16</v>
      </c>
      <c r="C37" s="463">
        <f t="shared" ca="1" si="6"/>
        <v>36916.840396643413</v>
      </c>
      <c r="D37" s="467">
        <f ca="1">'Optimal Cost of Capital'!M39</f>
        <v>0.22012243552411767</v>
      </c>
      <c r="E37" s="463">
        <f t="shared" ca="1" si="7"/>
        <v>228863.41724880098</v>
      </c>
      <c r="F37" s="343">
        <f t="shared" ca="1" si="8"/>
        <v>8126.2248199642818</v>
      </c>
      <c r="G37" s="459" t="str">
        <f ca="1">'Optimal Cost of Capital'!J52</f>
        <v>A-</v>
      </c>
      <c r="H37" s="469">
        <f t="shared" ca="1" si="9"/>
        <v>2.5000000000000001E-2</v>
      </c>
      <c r="I37" s="343">
        <f t="shared" ca="1" si="10"/>
        <v>572.15854312200258</v>
      </c>
      <c r="J37" s="343">
        <f t="shared" ca="1" si="11"/>
        <v>236417.48352564327</v>
      </c>
      <c r="M37" s="208"/>
    </row>
    <row r="38" spans="2:15" ht="12" customHeight="1">
      <c r="B38" s="119">
        <f>'Optimal Cost of Capital'!B53</f>
        <v>0.17</v>
      </c>
      <c r="C38" s="463">
        <f t="shared" ca="1" si="6"/>
        <v>39224.142921433624</v>
      </c>
      <c r="D38" s="467">
        <f ca="1">'Optimal Cost of Capital'!M40</f>
        <v>0.22012243552411767</v>
      </c>
      <c r="E38" s="463">
        <f t="shared" ca="1" si="7"/>
        <v>228863.41724880098</v>
      </c>
      <c r="F38" s="343">
        <f t="shared" ca="1" si="8"/>
        <v>8634.1138712120501</v>
      </c>
      <c r="G38" s="459" t="str">
        <f ca="1">'Optimal Cost of Capital'!J53</f>
        <v>A-</v>
      </c>
      <c r="H38" s="469">
        <f t="shared" ca="1" si="9"/>
        <v>2.5000000000000001E-2</v>
      </c>
      <c r="I38" s="343">
        <f t="shared" ca="1" si="10"/>
        <v>572.15854312200258</v>
      </c>
      <c r="J38" s="343">
        <f t="shared" ca="1" si="11"/>
        <v>236925.37257689104</v>
      </c>
      <c r="N38" s="11"/>
      <c r="O38" s="216"/>
    </row>
    <row r="39" spans="2:15" ht="12" customHeight="1">
      <c r="B39" s="119">
        <f>'Optimal Cost of Capital'!B54</f>
        <v>0.18</v>
      </c>
      <c r="C39" s="463">
        <f t="shared" ca="1" si="6"/>
        <v>41531.445446223835</v>
      </c>
      <c r="D39" s="467">
        <f ca="1">'Optimal Cost of Capital'!M41</f>
        <v>0.22012243552411767</v>
      </c>
      <c r="E39" s="463">
        <f t="shared" ca="1" si="7"/>
        <v>228863.41724880098</v>
      </c>
      <c r="F39" s="343">
        <f t="shared" ca="1" si="8"/>
        <v>9142.0029224598165</v>
      </c>
      <c r="G39" s="459" t="str">
        <f ca="1">'Optimal Cost of Capital'!J54</f>
        <v>A-</v>
      </c>
      <c r="H39" s="469">
        <f t="shared" ca="1" si="9"/>
        <v>2.5000000000000001E-2</v>
      </c>
      <c r="I39" s="343">
        <f t="shared" ca="1" si="10"/>
        <v>572.15854312200258</v>
      </c>
      <c r="J39" s="343">
        <f t="shared" ca="1" si="11"/>
        <v>237433.2616281388</v>
      </c>
    </row>
    <row r="40" spans="2:15" ht="12" customHeight="1">
      <c r="B40" s="586">
        <f>'Optimal Cost of Capital'!B55</f>
        <v>0.19</v>
      </c>
      <c r="C40" s="590">
        <f t="shared" ca="1" si="6"/>
        <v>43838.747971014054</v>
      </c>
      <c r="D40" s="598">
        <f ca="1">'Optimal Cost of Capital'!M42</f>
        <v>0.22012243552411767</v>
      </c>
      <c r="E40" s="590">
        <f t="shared" ca="1" si="7"/>
        <v>228863.41724880098</v>
      </c>
      <c r="F40" s="599">
        <f t="shared" ca="1" si="8"/>
        <v>9649.8919737075848</v>
      </c>
      <c r="G40" s="600" t="str">
        <f ca="1">'Optimal Cost of Capital'!J55</f>
        <v>A-</v>
      </c>
      <c r="H40" s="601">
        <f t="shared" ca="1" si="9"/>
        <v>2.5000000000000001E-2</v>
      </c>
      <c r="I40" s="599">
        <f t="shared" ca="1" si="10"/>
        <v>572.15854312200258</v>
      </c>
      <c r="J40" s="599">
        <f t="shared" ca="1" si="11"/>
        <v>237941.15067938657</v>
      </c>
      <c r="K40" s="200" t="s">
        <v>223</v>
      </c>
    </row>
    <row r="41" spans="2:15" ht="12" customHeight="1">
      <c r="B41" s="119">
        <f>'Optimal Cost of Capital'!B56</f>
        <v>0.2</v>
      </c>
      <c r="C41" s="463">
        <f t="shared" ca="1" si="6"/>
        <v>46146.050495804266</v>
      </c>
      <c r="D41" s="467">
        <f ca="1">'Optimal Cost of Capital'!M43</f>
        <v>0.22012243552411767</v>
      </c>
      <c r="E41" s="463">
        <f t="shared" ca="1" si="7"/>
        <v>228863.41724880098</v>
      </c>
      <c r="F41" s="343">
        <f t="shared" ca="1" si="8"/>
        <v>10157.781024955353</v>
      </c>
      <c r="G41" s="459" t="str">
        <f ca="1">'Optimal Cost of Capital'!J56</f>
        <v>B-</v>
      </c>
      <c r="H41" s="469">
        <f t="shared" ca="1" si="9"/>
        <v>0.45</v>
      </c>
      <c r="I41" s="343">
        <f t="shared" ca="1" si="10"/>
        <v>10298.853776196045</v>
      </c>
      <c r="J41" s="343">
        <f t="shared" ca="1" si="11"/>
        <v>228722.34449756029</v>
      </c>
    </row>
    <row r="42" spans="2:15" ht="12" customHeight="1">
      <c r="B42" s="119">
        <f>'Optimal Cost of Capital'!B57</f>
        <v>0.21</v>
      </c>
      <c r="C42" s="463">
        <f t="shared" ca="1" si="6"/>
        <v>48453.353020594477</v>
      </c>
      <c r="D42" s="467">
        <f ca="1">'Optimal Cost of Capital'!M44</f>
        <v>0.22012243552411767</v>
      </c>
      <c r="E42" s="463">
        <f t="shared" ca="1" si="7"/>
        <v>228863.41724880098</v>
      </c>
      <c r="F42" s="343">
        <f t="shared" ca="1" si="8"/>
        <v>10665.67007620312</v>
      </c>
      <c r="G42" s="459" t="str">
        <f ca="1">'Optimal Cost of Capital'!J57</f>
        <v>B-</v>
      </c>
      <c r="H42" s="469">
        <f t="shared" ca="1" si="9"/>
        <v>0.45</v>
      </c>
      <c r="I42" s="343">
        <f t="shared" ca="1" si="10"/>
        <v>10298.853776196045</v>
      </c>
      <c r="J42" s="343">
        <f t="shared" ca="1" si="11"/>
        <v>229230.23354880806</v>
      </c>
    </row>
  </sheetData>
  <pageMargins left="0.7" right="0.7" top="0.75" bottom="0.75" header="0.3" footer="0.3"/>
  <pageSetup orientation="landscape"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29" t="s">
        <v>280</v>
      </c>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6"/>
  <sheetViews>
    <sheetView workbookViewId="0"/>
  </sheetViews>
  <sheetFormatPr defaultRowHeight="12" customHeight="1"/>
  <cols>
    <col min="1" max="1" width="2" style="2" customWidth="1"/>
    <col min="2" max="2" width="21.5703125" style="2" customWidth="1"/>
    <col min="3" max="7" width="11.7109375" style="2" customWidth="1"/>
    <col min="8" max="8" width="6.5703125" style="2" customWidth="1"/>
    <col min="9" max="9" width="25.140625" style="2" customWidth="1"/>
    <col min="10" max="10" width="11" style="2" customWidth="1"/>
    <col min="11" max="11" width="10.28515625" style="2" customWidth="1"/>
    <col min="12" max="12" width="12.28515625" style="2" customWidth="1"/>
    <col min="13" max="13" width="11.5703125" style="2" customWidth="1"/>
    <col min="14" max="14" width="11.85546875" style="2" customWidth="1"/>
    <col min="15" max="16" width="9.140625" style="2"/>
    <col min="17" max="17" width="11.5703125" style="2" customWidth="1"/>
    <col min="18" max="18" width="12.7109375" style="2" customWidth="1"/>
    <col min="19" max="19" width="10.140625" style="2" bestFit="1" customWidth="1"/>
    <col min="20" max="16384" width="9.140625" style="2"/>
  </cols>
  <sheetData>
    <row r="1" spans="1:14" ht="16.5" customHeight="1">
      <c r="B1" s="15" t="s">
        <v>462</v>
      </c>
    </row>
    <row r="3" spans="1:14" ht="12" customHeight="1">
      <c r="B3" s="237" t="s">
        <v>417</v>
      </c>
      <c r="C3" s="413">
        <v>1</v>
      </c>
      <c r="D3" s="413">
        <v>2</v>
      </c>
      <c r="E3" s="413"/>
      <c r="F3" s="413">
        <v>3</v>
      </c>
      <c r="G3" s="413">
        <v>3</v>
      </c>
    </row>
    <row r="4" spans="1:14" ht="12" customHeight="1" thickBot="1">
      <c r="B4" s="334" t="str">
        <f>Drivers!$C$5&amp;" in mil"</f>
        <v>$ in mil</v>
      </c>
      <c r="C4" s="391">
        <v>43101</v>
      </c>
      <c r="D4" s="391">
        <f>EDATE(C4,12)</f>
        <v>43466</v>
      </c>
      <c r="E4" s="391">
        <f>EDATE(D4,12)</f>
        <v>43831</v>
      </c>
      <c r="F4" s="391">
        <f>EDATE(E4,12)</f>
        <v>44197</v>
      </c>
      <c r="G4" s="391">
        <f>EDATE(F4,12)</f>
        <v>44562</v>
      </c>
    </row>
    <row r="5" spans="1:14" ht="12" customHeight="1">
      <c r="B5" s="508" t="s">
        <v>281</v>
      </c>
      <c r="C5" s="509">
        <f>-'Cash Flow Statement'!C33</f>
        <v>689</v>
      </c>
      <c r="D5" s="509">
        <f>-'Cash Flow Statement'!D33</f>
        <v>1038</v>
      </c>
      <c r="E5" s="509">
        <f>-'Cash Flow Statement'!E33</f>
        <v>1479</v>
      </c>
      <c r="F5" s="509">
        <f>-'Cash Flow Statement'!F33</f>
        <v>5748</v>
      </c>
      <c r="G5" s="509">
        <f>-'Cash Flow Statement'!G33</f>
        <v>1498</v>
      </c>
    </row>
    <row r="6" spans="1:14" ht="12" customHeight="1">
      <c r="B6" s="510" t="s">
        <v>415</v>
      </c>
      <c r="C6" s="509">
        <f>-'Cash Flow Statement'!C32</f>
        <v>328</v>
      </c>
      <c r="D6" s="509">
        <f>-'Cash Flow Statement'!D32</f>
        <v>247</v>
      </c>
      <c r="E6" s="509">
        <f>-'Cash Flow Statement'!E32</f>
        <v>196</v>
      </c>
      <c r="F6" s="509">
        <f>-'Cash Flow Statement'!F32</f>
        <v>496</v>
      </c>
      <c r="G6" s="509">
        <f>-'Cash Flow Statement'!G32</f>
        <v>439</v>
      </c>
      <c r="H6" s="3"/>
    </row>
    <row r="7" spans="1:14" ht="12" customHeight="1">
      <c r="B7" s="511" t="s">
        <v>416</v>
      </c>
      <c r="C7" s="371">
        <f>SUM(C5:C6)</f>
        <v>1017</v>
      </c>
      <c r="D7" s="371">
        <f>SUM(D5:D6)</f>
        <v>1285</v>
      </c>
      <c r="E7" s="371">
        <f>SUM(E5:E6)</f>
        <v>1675</v>
      </c>
      <c r="F7" s="371">
        <f>SUM(F5:F6)</f>
        <v>6244</v>
      </c>
      <c r="G7" s="371">
        <f>SUM(G5:G6)</f>
        <v>1937</v>
      </c>
      <c r="H7" s="3"/>
      <c r="I7" s="517" t="s">
        <v>290</v>
      </c>
      <c r="J7" s="517"/>
    </row>
    <row r="8" spans="1:14" ht="12" customHeight="1">
      <c r="B8" s="506"/>
      <c r="C8" s="507"/>
      <c r="D8" s="507"/>
      <c r="E8" s="103"/>
      <c r="F8" s="196"/>
      <c r="G8" s="370">
        <f>SUM(C7:G7)</f>
        <v>12158</v>
      </c>
      <c r="I8" s="519" t="s">
        <v>289</v>
      </c>
      <c r="J8" s="36">
        <f>'Expected Growth Rate'!C9</f>
        <v>0.2776901745949828</v>
      </c>
      <c r="K8" s="3"/>
    </row>
    <row r="9" spans="1:14" ht="12" customHeight="1">
      <c r="H9" s="213"/>
      <c r="I9" s="519" t="s">
        <v>463</v>
      </c>
      <c r="J9" s="36">
        <f ca="1">'Cost of Equity, Debt &amp; WACC'!C29</f>
        <v>6.3765429096210455E-2</v>
      </c>
      <c r="K9" s="3"/>
    </row>
    <row r="10" spans="1:14" ht="12" customHeight="1">
      <c r="A10" s="3"/>
      <c r="B10" s="237" t="s">
        <v>418</v>
      </c>
      <c r="C10" s="413">
        <v>1</v>
      </c>
      <c r="D10" s="413">
        <v>2</v>
      </c>
      <c r="E10" s="413"/>
      <c r="F10" s="413">
        <v>3</v>
      </c>
      <c r="G10" s="413">
        <v>3</v>
      </c>
      <c r="H10" s="215"/>
      <c r="I10" s="518" t="s">
        <v>457</v>
      </c>
      <c r="J10" s="226" t="str">
        <f ca="1">IF(J8&gt;J9,"Good","Bad")</f>
        <v>Good</v>
      </c>
    </row>
    <row r="11" spans="1:14" ht="12" customHeight="1" thickBot="1">
      <c r="A11" s="3"/>
      <c r="B11" s="334" t="str">
        <f>Drivers!$C$5&amp;" in mil"</f>
        <v>$ in mil</v>
      </c>
      <c r="C11" s="391">
        <v>43466</v>
      </c>
      <c r="D11" s="391">
        <f>EDATE(C11,12)</f>
        <v>43831</v>
      </c>
      <c r="E11" s="391">
        <f>EDATE(D11,12)</f>
        <v>44197</v>
      </c>
      <c r="F11" s="391">
        <f>EDATE(E11,12)</f>
        <v>44562</v>
      </c>
      <c r="G11" s="512" t="s">
        <v>282</v>
      </c>
      <c r="K11" s="212"/>
      <c r="L11" s="212"/>
      <c r="M11" s="212"/>
    </row>
    <row r="12" spans="1:14" ht="12" customHeight="1">
      <c r="B12" s="508" t="s">
        <v>283</v>
      </c>
      <c r="C12" s="344">
        <f>'Income Statement'!D24</f>
        <v>3704</v>
      </c>
      <c r="D12" s="344">
        <f>'Income Statement'!E24</f>
        <v>4059</v>
      </c>
      <c r="E12" s="344">
        <f>'Income Statement'!F24</f>
        <v>5079</v>
      </c>
      <c r="F12" s="344">
        <f>'Income Statement'!G24</f>
        <v>5915</v>
      </c>
      <c r="G12" s="344">
        <f>SUM(C12:F12)</f>
        <v>18757</v>
      </c>
      <c r="K12" s="208"/>
      <c r="L12" s="208"/>
      <c r="M12" s="209"/>
    </row>
    <row r="13" spans="1:14" ht="12" customHeight="1">
      <c r="B13" s="510"/>
      <c r="C13" s="509"/>
      <c r="D13" s="509"/>
      <c r="E13" s="509"/>
      <c r="F13" s="509"/>
      <c r="G13" s="509"/>
      <c r="M13" s="216"/>
    </row>
    <row r="14" spans="1:14" s="22" customFormat="1" ht="12" customHeight="1">
      <c r="B14" s="508" t="s">
        <v>284</v>
      </c>
      <c r="C14" s="344">
        <f>Reinvestment!G5</f>
        <v>2998</v>
      </c>
      <c r="D14" s="344">
        <f>Reinvestment!H5</f>
        <v>2810</v>
      </c>
      <c r="E14" s="344">
        <f>Reinvestment!I5</f>
        <v>3588</v>
      </c>
      <c r="F14" s="344">
        <f>Reinvestment!J5</f>
        <v>3891</v>
      </c>
      <c r="G14" s="344">
        <f>SUM(C14:F14)</f>
        <v>13287</v>
      </c>
      <c r="H14" s="2"/>
      <c r="K14" s="2"/>
      <c r="L14" s="2"/>
      <c r="M14" s="2"/>
      <c r="N14" s="2"/>
    </row>
    <row r="15" spans="1:14" ht="12" customHeight="1">
      <c r="B15" s="508" t="s">
        <v>151</v>
      </c>
      <c r="C15" s="344">
        <f>Reinvestment!G6</f>
        <v>1492</v>
      </c>
      <c r="D15" s="344">
        <f>Reinvestment!H6</f>
        <v>1645</v>
      </c>
      <c r="E15" s="344">
        <f>Reinvestment!I6</f>
        <v>1781</v>
      </c>
      <c r="F15" s="344">
        <f>Reinvestment!J6</f>
        <v>1900</v>
      </c>
      <c r="G15" s="344">
        <f>SUM(C15:F15)</f>
        <v>6818</v>
      </c>
      <c r="M15" s="216"/>
    </row>
    <row r="16" spans="1:14" ht="12" customHeight="1">
      <c r="A16" s="6" t="s">
        <v>32</v>
      </c>
      <c r="B16" s="513" t="s">
        <v>43</v>
      </c>
      <c r="C16" s="514">
        <f>C14-C15</f>
        <v>1506</v>
      </c>
      <c r="D16" s="514">
        <f>D14-D15</f>
        <v>1165</v>
      </c>
      <c r="E16" s="514">
        <f>E14-E15</f>
        <v>1807</v>
      </c>
      <c r="F16" s="514">
        <f>F14-F15</f>
        <v>1991</v>
      </c>
      <c r="G16" s="345">
        <f>SUM(C16:F16)</f>
        <v>6469</v>
      </c>
    </row>
    <row r="17" spans="1:15" ht="12" customHeight="1">
      <c r="C17" s="428"/>
      <c r="D17" s="428"/>
      <c r="E17" s="428"/>
      <c r="F17" s="428"/>
      <c r="G17" s="428"/>
    </row>
    <row r="18" spans="1:15" ht="12" customHeight="1">
      <c r="A18" s="2" t="s">
        <v>32</v>
      </c>
      <c r="B18" s="513" t="s">
        <v>285</v>
      </c>
      <c r="C18" s="345">
        <f>Reinvestment!G25</f>
        <v>-601</v>
      </c>
      <c r="D18" s="345">
        <f>Reinvestment!H25</f>
        <v>-2437</v>
      </c>
      <c r="E18" s="345">
        <f>Reinvestment!I25</f>
        <v>-1378</v>
      </c>
      <c r="F18" s="345">
        <f>Reinvestment!J25</f>
        <v>1034</v>
      </c>
      <c r="G18" s="345">
        <f>SUM(C18:F18)</f>
        <v>-3382</v>
      </c>
    </row>
    <row r="19" spans="1:15" ht="12" customHeight="1">
      <c r="C19" s="428"/>
      <c r="D19" s="428"/>
      <c r="E19" s="428"/>
      <c r="F19" s="428"/>
      <c r="G19" s="428"/>
    </row>
    <row r="20" spans="1:15" ht="12" customHeight="1">
      <c r="A20" s="24"/>
      <c r="B20" s="508" t="s">
        <v>286</v>
      </c>
      <c r="C20" s="344">
        <f>'FCFF &amp; FCFE'!G6</f>
        <v>-89</v>
      </c>
      <c r="D20" s="344">
        <f>'FCFF &amp; FCFE'!H6</f>
        <v>-3200</v>
      </c>
      <c r="E20" s="344">
        <f>'FCFF &amp; FCFE'!I6</f>
        <v>-94</v>
      </c>
      <c r="F20" s="344">
        <f>'FCFF &amp; FCFE'!J6</f>
        <v>-800</v>
      </c>
      <c r="G20" s="344">
        <f>SUM(C20:F20)</f>
        <v>-4183</v>
      </c>
    </row>
    <row r="21" spans="1:15" ht="12" customHeight="1">
      <c r="A21" s="6"/>
      <c r="B21" s="508" t="s">
        <v>53</v>
      </c>
      <c r="C21" s="344">
        <f>'FCFF &amp; FCFE'!G5</f>
        <v>298</v>
      </c>
      <c r="D21" s="344">
        <f>'FCFF &amp; FCFE'!H5</f>
        <v>3992</v>
      </c>
      <c r="E21" s="344">
        <f>'FCFF &amp; FCFE'!I5</f>
        <v>0</v>
      </c>
      <c r="F21" s="344">
        <f>'FCFF &amp; FCFE'!J5</f>
        <v>0</v>
      </c>
      <c r="G21" s="344">
        <f>SUM(C21:F21)</f>
        <v>4290</v>
      </c>
    </row>
    <row r="22" spans="1:15" ht="12" customHeight="1">
      <c r="A22" s="24" t="s">
        <v>42</v>
      </c>
      <c r="B22" s="513" t="s">
        <v>277</v>
      </c>
      <c r="C22" s="345">
        <f>C21+C20</f>
        <v>209</v>
      </c>
      <c r="D22" s="345">
        <f>D21+D20</f>
        <v>792</v>
      </c>
      <c r="E22" s="345">
        <f>E21+E20</f>
        <v>-94</v>
      </c>
      <c r="F22" s="345">
        <f>F21+F20</f>
        <v>-800</v>
      </c>
      <c r="G22" s="345">
        <f>SUM(C22:F22)</f>
        <v>107</v>
      </c>
    </row>
    <row r="23" spans="1:15" s="24" customFormat="1" ht="12" customHeight="1">
      <c r="B23" s="2"/>
      <c r="C23" s="428"/>
      <c r="D23" s="428"/>
      <c r="E23" s="428"/>
      <c r="F23" s="428"/>
      <c r="G23" s="428"/>
      <c r="H23" s="2"/>
      <c r="I23" s="2"/>
      <c r="J23" s="2"/>
      <c r="K23" s="2"/>
      <c r="L23" s="2"/>
      <c r="M23" s="2"/>
      <c r="N23" s="2"/>
      <c r="O23" s="2"/>
    </row>
    <row r="24" spans="1:15" ht="12" customHeight="1">
      <c r="B24" s="511" t="s">
        <v>287</v>
      </c>
      <c r="C24" s="371">
        <f>C12-C16-C18+C22</f>
        <v>3008</v>
      </c>
      <c r="D24" s="371">
        <f>D12-D16-D18+D22</f>
        <v>6123</v>
      </c>
      <c r="E24" s="371">
        <f>E12-E16-E18+E22</f>
        <v>4556</v>
      </c>
      <c r="F24" s="371">
        <f>F12-F16-F18+F22</f>
        <v>2090</v>
      </c>
      <c r="G24" s="371">
        <f>SUM(C24:F24)</f>
        <v>15777</v>
      </c>
    </row>
    <row r="26" spans="1:15" ht="12" customHeight="1">
      <c r="A26" s="327"/>
      <c r="B26" s="515" t="s">
        <v>288</v>
      </c>
      <c r="C26" s="516">
        <f>G8/G24</f>
        <v>0.77061545287443745</v>
      </c>
    </row>
  </sheetData>
  <pageMargins left="0.7" right="0.7" top="0.75" bottom="0.75" header="0.3" footer="0.3"/>
  <pageSetup orientation="landscape"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B4"/>
  <sheetViews>
    <sheetView workbookViewId="0"/>
  </sheetViews>
  <sheetFormatPr defaultRowHeight="12"/>
  <cols>
    <col min="1" max="1" width="2" style="1" customWidth="1"/>
    <col min="2" max="2" width="36" style="1" customWidth="1"/>
    <col min="3" max="16384" width="9.140625" style="1"/>
  </cols>
  <sheetData>
    <row r="1" spans="2:2" ht="41.25">
      <c r="B1" s="29" t="s">
        <v>399</v>
      </c>
    </row>
    <row r="3" spans="2:2">
      <c r="B3" s="83"/>
    </row>
    <row r="4" spans="2:2">
      <c r="B4" s="83"/>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Y32"/>
  <sheetViews>
    <sheetView workbookViewId="0"/>
  </sheetViews>
  <sheetFormatPr defaultColWidth="9.140625" defaultRowHeight="12.95" customHeight="1"/>
  <cols>
    <col min="1" max="1" width="2" style="228" customWidth="1"/>
    <col min="2" max="2" width="35.140625" style="228" customWidth="1"/>
    <col min="3" max="8" width="11.7109375" style="228" customWidth="1"/>
    <col min="9" max="9" width="10.85546875" style="228" customWidth="1"/>
    <col min="10" max="10" width="11.7109375" style="228" customWidth="1"/>
    <col min="11" max="11" width="11.28515625" style="228" customWidth="1"/>
    <col min="12" max="24" width="10.7109375" style="228" customWidth="1"/>
    <col min="25" max="16384" width="9.140625" style="228"/>
  </cols>
  <sheetData>
    <row r="1" spans="2:25" ht="16.5" customHeight="1">
      <c r="B1" s="227" t="s">
        <v>331</v>
      </c>
      <c r="J1" s="611"/>
    </row>
    <row r="3" spans="2:25" ht="12.95" customHeight="1">
      <c r="B3" s="237" t="s">
        <v>331</v>
      </c>
      <c r="C3" s="237"/>
      <c r="D3" s="237"/>
      <c r="E3" s="237"/>
      <c r="F3" s="237"/>
      <c r="G3" s="237"/>
      <c r="H3" s="612">
        <v>44969</v>
      </c>
    </row>
    <row r="4" spans="2:25" ht="12.95" customHeight="1" thickBot="1">
      <c r="B4" s="334" t="str">
        <f>Drivers!$C$5&amp;" in mil"</f>
        <v>$ in mil</v>
      </c>
      <c r="C4" s="391">
        <v>43343</v>
      </c>
      <c r="D4" s="391">
        <f>EDATE(C4,12)</f>
        <v>43708</v>
      </c>
      <c r="E4" s="391">
        <f>EDATE(D4,12)</f>
        <v>44074</v>
      </c>
      <c r="F4" s="391">
        <f>EDATE(E4,12)</f>
        <v>44439</v>
      </c>
      <c r="G4" s="391">
        <f>EDATE(F4,12)</f>
        <v>44804</v>
      </c>
      <c r="H4" s="512" t="s">
        <v>596</v>
      </c>
      <c r="I4" s="542" t="s">
        <v>461</v>
      </c>
      <c r="J4" s="542" t="s">
        <v>483</v>
      </c>
    </row>
    <row r="5" spans="2:25" ht="12.95" customHeight="1">
      <c r="B5" s="228" t="s">
        <v>595</v>
      </c>
      <c r="C5" s="472">
        <v>56073</v>
      </c>
      <c r="D5" s="472">
        <v>59672</v>
      </c>
      <c r="E5" s="472">
        <v>68659</v>
      </c>
      <c r="F5" s="472">
        <v>77277</v>
      </c>
      <c r="G5" s="472">
        <v>85629</v>
      </c>
      <c r="H5" s="472">
        <f>G5+43374-39052</f>
        <v>89951</v>
      </c>
      <c r="J5" s="610">
        <f>_xlfn.RRI(YEARFRAC($C$4,$H$3),C5,H5)</f>
        <v>0.11204942710794086</v>
      </c>
      <c r="L5" s="527"/>
      <c r="M5" s="527"/>
      <c r="N5" s="527"/>
      <c r="O5" s="527"/>
    </row>
    <row r="6" spans="2:25" ht="12.95" customHeight="1">
      <c r="B6" s="228" t="s">
        <v>591</v>
      </c>
      <c r="C6" s="472">
        <f>22620+15387</f>
        <v>38007</v>
      </c>
      <c r="D6" s="472">
        <f>24570+16590</f>
        <v>41160</v>
      </c>
      <c r="E6" s="472">
        <v>44807</v>
      </c>
      <c r="F6" s="472">
        <v>55966</v>
      </c>
      <c r="G6" s="472">
        <v>61100</v>
      </c>
      <c r="H6" s="472">
        <f>G6+28773-29267</f>
        <v>60606</v>
      </c>
      <c r="J6" s="610">
        <f t="shared" ref="J6:J23" si="0">_xlfn.RRI(YEARFRAC($C$4,$H$3),C6,H6)</f>
        <v>0.11055425946192043</v>
      </c>
      <c r="L6" s="527"/>
      <c r="M6" s="527"/>
      <c r="N6" s="527"/>
      <c r="O6" s="527"/>
    </row>
    <row r="7" spans="2:25" ht="12.95" customHeight="1">
      <c r="B7" s="228" t="s">
        <v>592</v>
      </c>
      <c r="C7" s="472">
        <v>18879</v>
      </c>
      <c r="D7" s="472">
        <v>19948</v>
      </c>
      <c r="E7" s="472">
        <v>23204</v>
      </c>
      <c r="F7" s="472">
        <v>27183</v>
      </c>
      <c r="G7" s="472">
        <v>29527</v>
      </c>
      <c r="H7" s="472">
        <f>G7+14093-13398</f>
        <v>30222</v>
      </c>
      <c r="J7" s="610">
        <f t="shared" si="0"/>
        <v>0.11152708111578691</v>
      </c>
      <c r="K7" s="527"/>
      <c r="L7" s="527"/>
      <c r="M7" s="527"/>
      <c r="N7" s="527"/>
      <c r="O7" s="527"/>
    </row>
    <row r="8" spans="2:25" ht="12.95" customHeight="1">
      <c r="B8" s="228" t="s">
        <v>593</v>
      </c>
      <c r="C8" s="472">
        <v>25475</v>
      </c>
      <c r="D8" s="472">
        <v>28571</v>
      </c>
      <c r="E8" s="472">
        <v>26550</v>
      </c>
      <c r="F8" s="472">
        <v>31626</v>
      </c>
      <c r="G8" s="472">
        <v>46474</v>
      </c>
      <c r="H8" s="472">
        <f>G8+21436-18637</f>
        <v>49273</v>
      </c>
      <c r="J8" s="610">
        <f t="shared" si="0"/>
        <v>0.15979399754872103</v>
      </c>
      <c r="K8" s="527"/>
      <c r="L8" s="527"/>
      <c r="M8" s="527"/>
      <c r="N8" s="527"/>
      <c r="O8" s="527"/>
      <c r="P8" s="608"/>
      <c r="Q8" s="607"/>
      <c r="Y8" s="543"/>
    </row>
    <row r="9" spans="2:25" ht="12.95" customHeight="1">
      <c r="B9" s="474" t="s">
        <v>594</v>
      </c>
      <c r="C9" s="609">
        <f t="shared" ref="C9" si="1">SUM(C5:C8)</f>
        <v>138434</v>
      </c>
      <c r="D9" s="609">
        <f t="shared" ref="D9" si="2">SUM(D5:D8)</f>
        <v>149351</v>
      </c>
      <c r="E9" s="609">
        <f t="shared" ref="E9:F9" si="3">SUM(E5:E8)</f>
        <v>163220</v>
      </c>
      <c r="F9" s="609">
        <f t="shared" si="3"/>
        <v>192052</v>
      </c>
      <c r="G9" s="609">
        <f>SUM(G5:G8)</f>
        <v>222730</v>
      </c>
      <c r="H9" s="609">
        <f>SUM(H5:H8)</f>
        <v>230052</v>
      </c>
      <c r="J9" s="610">
        <f t="shared" si="0"/>
        <v>0.12090619294508387</v>
      </c>
      <c r="K9" s="527"/>
      <c r="L9" s="527"/>
      <c r="M9" s="527"/>
      <c r="N9" s="527"/>
      <c r="P9" s="527"/>
      <c r="Y9" s="543"/>
    </row>
    <row r="10" spans="2:25" ht="12.95" customHeight="1">
      <c r="B10" s="228" t="s">
        <v>597</v>
      </c>
      <c r="C10" s="472">
        <v>3142</v>
      </c>
      <c r="D10" s="472">
        <v>3352</v>
      </c>
      <c r="E10" s="472">
        <v>3541</v>
      </c>
      <c r="F10" s="472">
        <v>3877</v>
      </c>
      <c r="G10" s="472">
        <v>4224</v>
      </c>
      <c r="H10" s="472">
        <f>G10+2027-1913</f>
        <v>4338</v>
      </c>
      <c r="J10" s="610">
        <f t="shared" si="0"/>
        <v>7.5175620677003119E-2</v>
      </c>
      <c r="L10" s="527"/>
      <c r="M10" s="527"/>
      <c r="N10" s="527"/>
      <c r="O10" s="527"/>
      <c r="Y10" s="543"/>
    </row>
    <row r="11" spans="2:25" ht="12.95" customHeight="1">
      <c r="B11" s="474" t="s">
        <v>598</v>
      </c>
      <c r="C11" s="475">
        <f t="shared" ref="C11:G11" si="4">SUM(C9:C10)</f>
        <v>141576</v>
      </c>
      <c r="D11" s="475">
        <f t="shared" si="4"/>
        <v>152703</v>
      </c>
      <c r="E11" s="475">
        <f t="shared" si="4"/>
        <v>166761</v>
      </c>
      <c r="F11" s="475">
        <f t="shared" si="4"/>
        <v>195929</v>
      </c>
      <c r="G11" s="475">
        <f t="shared" si="4"/>
        <v>226954</v>
      </c>
      <c r="H11" s="475">
        <f>SUM(H9:H10)</f>
        <v>234390</v>
      </c>
      <c r="J11" s="610">
        <f t="shared" si="0"/>
        <v>0.11995899357198558</v>
      </c>
      <c r="L11" s="527"/>
      <c r="M11" s="527"/>
      <c r="N11" s="527"/>
      <c r="O11" s="527"/>
      <c r="P11" s="527"/>
      <c r="Y11" s="543"/>
    </row>
    <row r="12" spans="2:25" ht="12.95" customHeight="1">
      <c r="B12" s="471" t="s">
        <v>599</v>
      </c>
      <c r="C12" s="483">
        <v>-123152</v>
      </c>
      <c r="D12" s="483">
        <v>-132886</v>
      </c>
      <c r="E12" s="483">
        <v>-144939</v>
      </c>
      <c r="F12" s="483">
        <v>-170684</v>
      </c>
      <c r="G12" s="483">
        <v>-199382</v>
      </c>
      <c r="H12" s="483">
        <f>G12-96192+89469</f>
        <v>-206105</v>
      </c>
      <c r="J12" s="610">
        <f>_xlfn.RRI(YEARFRAC($C$4,$H$3),C12,H12)</f>
        <v>0.12268460136194492</v>
      </c>
      <c r="L12" s="543"/>
      <c r="M12" s="543"/>
      <c r="N12" s="543"/>
      <c r="O12" s="621"/>
      <c r="Y12" s="543"/>
    </row>
    <row r="13" spans="2:25" ht="12.95" customHeight="1">
      <c r="B13" s="545" t="s">
        <v>370</v>
      </c>
      <c r="C13" s="483">
        <v>0</v>
      </c>
      <c r="D13" s="483">
        <v>0</v>
      </c>
      <c r="E13" s="483">
        <v>0</v>
      </c>
      <c r="F13" s="483">
        <v>0</v>
      </c>
      <c r="G13" s="483">
        <v>0</v>
      </c>
      <c r="H13" s="483">
        <v>0</v>
      </c>
      <c r="I13" s="610"/>
      <c r="J13" s="610"/>
      <c r="L13" s="543"/>
      <c r="M13" s="543"/>
      <c r="N13" s="543"/>
      <c r="Y13" s="543"/>
    </row>
    <row r="14" spans="2:25" ht="12.95" customHeight="1">
      <c r="B14" s="545" t="s">
        <v>369</v>
      </c>
      <c r="C14" s="483">
        <v>0</v>
      </c>
      <c r="D14" s="483">
        <v>0</v>
      </c>
      <c r="E14" s="483">
        <v>0</v>
      </c>
      <c r="F14" s="483">
        <v>0</v>
      </c>
      <c r="G14" s="483">
        <v>0</v>
      </c>
      <c r="H14" s="483">
        <v>0</v>
      </c>
      <c r="I14" s="610"/>
      <c r="J14" s="610"/>
      <c r="L14" s="527"/>
      <c r="M14" s="543"/>
      <c r="N14" s="543"/>
      <c r="O14" s="621"/>
      <c r="Y14" s="543"/>
    </row>
    <row r="15" spans="2:25" ht="12.95" customHeight="1">
      <c r="B15" s="545" t="s">
        <v>600</v>
      </c>
      <c r="C15" s="483">
        <f>-(13876+68)</f>
        <v>-13944</v>
      </c>
      <c r="D15" s="483">
        <f>-(14994+86)</f>
        <v>-15080</v>
      </c>
      <c r="E15" s="483">
        <v>-16387</v>
      </c>
      <c r="F15" s="483">
        <v>-18537</v>
      </c>
      <c r="G15" s="483">
        <v>-19779</v>
      </c>
      <c r="H15" s="483">
        <f>G15-9857+9293</f>
        <v>-20343</v>
      </c>
      <c r="J15" s="610">
        <f t="shared" si="0"/>
        <v>8.8579472358684574E-2</v>
      </c>
      <c r="L15" s="543"/>
      <c r="M15" s="543"/>
      <c r="N15" s="672"/>
      <c r="Y15" s="543"/>
    </row>
    <row r="16" spans="2:25" ht="12.95" customHeight="1">
      <c r="B16" s="485" t="s">
        <v>371</v>
      </c>
      <c r="C16" s="478">
        <f t="shared" ref="C16:H16" si="5">SUM(C12:C15)</f>
        <v>-137096</v>
      </c>
      <c r="D16" s="478">
        <f t="shared" si="5"/>
        <v>-147966</v>
      </c>
      <c r="E16" s="478">
        <f t="shared" si="5"/>
        <v>-161326</v>
      </c>
      <c r="F16" s="478">
        <f t="shared" si="5"/>
        <v>-189221</v>
      </c>
      <c r="G16" s="478">
        <f t="shared" si="5"/>
        <v>-219161</v>
      </c>
      <c r="H16" s="478">
        <f t="shared" si="5"/>
        <v>-226448</v>
      </c>
      <c r="J16" s="610">
        <f t="shared" si="0"/>
        <v>0.11937631560014816</v>
      </c>
      <c r="L16" s="527"/>
      <c r="Y16" s="543"/>
    </row>
    <row r="17" spans="2:25" ht="12.95" customHeight="1">
      <c r="B17" s="474" t="s">
        <v>342</v>
      </c>
      <c r="C17" s="475">
        <f t="shared" ref="C17:H17" si="6">C11+C16</f>
        <v>4480</v>
      </c>
      <c r="D17" s="475">
        <f t="shared" si="6"/>
        <v>4737</v>
      </c>
      <c r="E17" s="475">
        <f t="shared" si="6"/>
        <v>5435</v>
      </c>
      <c r="F17" s="475">
        <f t="shared" si="6"/>
        <v>6708</v>
      </c>
      <c r="G17" s="475">
        <f t="shared" si="6"/>
        <v>7793</v>
      </c>
      <c r="H17" s="475">
        <f t="shared" si="6"/>
        <v>7942</v>
      </c>
      <c r="J17" s="615">
        <f t="shared" si="0"/>
        <v>0.13730467519571654</v>
      </c>
      <c r="L17" s="543"/>
      <c r="M17" s="543"/>
      <c r="N17" s="543"/>
      <c r="Y17" s="543"/>
    </row>
    <row r="18" spans="2:25" ht="12.95" customHeight="1">
      <c r="B18" s="471" t="s">
        <v>372</v>
      </c>
      <c r="C18" s="471"/>
      <c r="D18" s="471"/>
      <c r="E18" s="472"/>
      <c r="F18" s="472"/>
      <c r="G18" s="472"/>
      <c r="H18" s="472"/>
      <c r="J18" s="560"/>
      <c r="K18" s="527"/>
      <c r="L18" s="527"/>
      <c r="M18" s="527"/>
      <c r="N18" s="527"/>
      <c r="O18" s="527"/>
      <c r="Y18" s="543"/>
    </row>
    <row r="19" spans="2:25" ht="12.95" customHeight="1">
      <c r="B19" s="476" t="s">
        <v>373</v>
      </c>
      <c r="C19" s="483">
        <v>-159</v>
      </c>
      <c r="D19" s="483">
        <v>-150</v>
      </c>
      <c r="E19" s="483">
        <v>-160</v>
      </c>
      <c r="F19" s="483">
        <v>-171</v>
      </c>
      <c r="G19" s="483">
        <v>-158</v>
      </c>
      <c r="H19" s="483">
        <f>G19-68+75</f>
        <v>-151</v>
      </c>
      <c r="J19" s="613">
        <f t="shared" si="0"/>
        <v>-1.1533949072391247E-2</v>
      </c>
      <c r="K19" s="527"/>
      <c r="L19" s="527"/>
      <c r="M19" s="527"/>
      <c r="N19" s="527"/>
    </row>
    <row r="20" spans="2:25" ht="12.95" customHeight="1">
      <c r="B20" s="476" t="s">
        <v>464</v>
      </c>
      <c r="C20" s="483">
        <v>121</v>
      </c>
      <c r="D20" s="483">
        <v>178</v>
      </c>
      <c r="E20" s="483">
        <v>92</v>
      </c>
      <c r="F20" s="483">
        <v>143</v>
      </c>
      <c r="G20" s="483">
        <v>205</v>
      </c>
      <c r="H20" s="483">
        <f>G20+167-67</f>
        <v>305</v>
      </c>
      <c r="J20" s="613">
        <f t="shared" si="0"/>
        <v>0.23091473502996718</v>
      </c>
      <c r="K20" s="527"/>
      <c r="L20" s="527"/>
      <c r="M20" s="527"/>
      <c r="N20" s="527"/>
    </row>
    <row r="21" spans="2:25" ht="12.95" customHeight="1">
      <c r="B21" s="477" t="s">
        <v>374</v>
      </c>
      <c r="C21" s="478">
        <f t="shared" ref="C21:G21" si="7">SUM(C19:C20)</f>
        <v>-38</v>
      </c>
      <c r="D21" s="478">
        <f t="shared" si="7"/>
        <v>28</v>
      </c>
      <c r="E21" s="478">
        <f t="shared" si="7"/>
        <v>-68</v>
      </c>
      <c r="F21" s="478">
        <f t="shared" si="7"/>
        <v>-28</v>
      </c>
      <c r="G21" s="478">
        <f t="shared" si="7"/>
        <v>47</v>
      </c>
      <c r="H21" s="478">
        <f>SUM(H19:H20)</f>
        <v>154</v>
      </c>
      <c r="J21" s="613"/>
      <c r="L21" s="543"/>
      <c r="M21" s="543"/>
      <c r="N21" s="527"/>
    </row>
    <row r="22" spans="2:25" ht="12.95" customHeight="1">
      <c r="B22" s="474" t="s">
        <v>379</v>
      </c>
      <c r="C22" s="475">
        <f t="shared" ref="C22:G22" si="8">C17+C21</f>
        <v>4442</v>
      </c>
      <c r="D22" s="475">
        <f t="shared" si="8"/>
        <v>4765</v>
      </c>
      <c r="E22" s="475">
        <f t="shared" si="8"/>
        <v>5367</v>
      </c>
      <c r="F22" s="475">
        <f t="shared" si="8"/>
        <v>6680</v>
      </c>
      <c r="G22" s="475">
        <f t="shared" si="8"/>
        <v>7840</v>
      </c>
      <c r="H22" s="475">
        <f>H17+H21</f>
        <v>8096</v>
      </c>
      <c r="J22" s="613">
        <f t="shared" si="0"/>
        <v>0.14441214904327437</v>
      </c>
      <c r="K22" s="527"/>
      <c r="L22" s="527"/>
      <c r="M22" s="527"/>
      <c r="N22" s="527"/>
      <c r="O22" s="527"/>
      <c r="Y22" s="543"/>
    </row>
    <row r="23" spans="2:25" ht="12.95" customHeight="1">
      <c r="B23" s="471" t="s">
        <v>375</v>
      </c>
      <c r="C23" s="484">
        <v>-1263</v>
      </c>
      <c r="D23" s="484">
        <v>-1061</v>
      </c>
      <c r="E23" s="483">
        <v>-1308</v>
      </c>
      <c r="F23" s="483">
        <v>-1601</v>
      </c>
      <c r="G23" s="483">
        <v>-1925</v>
      </c>
      <c r="H23" s="483">
        <f>G23-923+832</f>
        <v>-2016</v>
      </c>
      <c r="J23" s="613">
        <f t="shared" si="0"/>
        <v>0.1108043400253953</v>
      </c>
      <c r="L23" s="543"/>
      <c r="M23" s="543"/>
      <c r="N23" s="543"/>
      <c r="Y23" s="543"/>
    </row>
    <row r="24" spans="2:25" ht="12.95" customHeight="1">
      <c r="B24" s="480" t="s">
        <v>283</v>
      </c>
      <c r="C24" s="481">
        <f t="shared" ref="C24:H24" si="9">SUM(C22:C23)</f>
        <v>3179</v>
      </c>
      <c r="D24" s="481">
        <f t="shared" si="9"/>
        <v>3704</v>
      </c>
      <c r="E24" s="481">
        <f t="shared" si="9"/>
        <v>4059</v>
      </c>
      <c r="F24" s="481">
        <f t="shared" si="9"/>
        <v>5079</v>
      </c>
      <c r="G24" s="481">
        <f t="shared" si="9"/>
        <v>5915</v>
      </c>
      <c r="H24" s="481">
        <f t="shared" si="9"/>
        <v>6080</v>
      </c>
      <c r="J24" s="616">
        <f t="shared" ref="J24" si="10">_xlfn.RRI(YEARFRAC($C$4,$H$3),C24,H24)</f>
        <v>0.15686806259534603</v>
      </c>
      <c r="L24" s="543"/>
      <c r="M24" s="543"/>
      <c r="N24" s="543"/>
    </row>
    <row r="25" spans="2:25" ht="12.95" customHeight="1">
      <c r="B25" s="471"/>
      <c r="C25" s="471"/>
      <c r="D25" s="471"/>
      <c r="E25" s="471"/>
      <c r="F25" s="471"/>
      <c r="G25" s="471"/>
      <c r="H25" s="471"/>
      <c r="J25" s="614"/>
      <c r="L25" s="543"/>
      <c r="M25" s="543"/>
      <c r="N25" s="543"/>
    </row>
    <row r="26" spans="2:25" ht="12.95" customHeight="1">
      <c r="B26" s="486" t="s">
        <v>377</v>
      </c>
      <c r="C26" s="547">
        <f t="shared" ref="C26:F26" si="11">C$24/C27</f>
        <v>7.2494669509594889</v>
      </c>
      <c r="D26" s="547">
        <f>D$24/D27</f>
        <v>8.4228718263578592</v>
      </c>
      <c r="E26" s="547">
        <f t="shared" si="11"/>
        <v>9.1770914114271633</v>
      </c>
      <c r="F26" s="547">
        <f t="shared" si="11"/>
        <v>11.46270839492743</v>
      </c>
      <c r="G26" s="547">
        <f>G$24/G27</f>
        <v>13.332551938347935</v>
      </c>
      <c r="H26" s="547">
        <f>H$24/H27</f>
        <v>13.698105470906169</v>
      </c>
      <c r="J26" s="613">
        <f t="shared" ref="J26" si="12">_xlfn.RRI(YEARFRAC($C$4,$H$3),C26,H26)</f>
        <v>0.15372451119657971</v>
      </c>
      <c r="L26" s="543"/>
      <c r="M26" s="543"/>
      <c r="N26" s="543"/>
    </row>
    <row r="27" spans="2:25" ht="12.95" customHeight="1">
      <c r="B27" s="486" t="s">
        <v>378</v>
      </c>
      <c r="C27" s="488">
        <v>438.51499999999999</v>
      </c>
      <c r="D27" s="488">
        <v>439.755</v>
      </c>
      <c r="E27" s="488">
        <v>442.29700000000003</v>
      </c>
      <c r="F27" s="488">
        <v>443.089</v>
      </c>
      <c r="G27" s="488">
        <v>443.65100000000001</v>
      </c>
      <c r="H27" s="488">
        <v>443.85700000000003</v>
      </c>
      <c r="J27" s="613"/>
      <c r="L27" s="543"/>
      <c r="M27" s="543"/>
      <c r="N27" s="543"/>
    </row>
    <row r="29" spans="2:25" ht="12.95" customHeight="1">
      <c r="B29" s="486" t="s">
        <v>466</v>
      </c>
      <c r="C29" s="547">
        <f t="shared" ref="C29:F29" si="13">C24/C30</f>
        <v>7.1950098905923943</v>
      </c>
      <c r="D29" s="547">
        <f t="shared" si="13"/>
        <v>8.3626273641242381</v>
      </c>
      <c r="E29" s="547">
        <f t="shared" si="13"/>
        <v>9.143930741313941</v>
      </c>
      <c r="F29" s="547">
        <f t="shared" si="13"/>
        <v>11.430281807420343</v>
      </c>
      <c r="G29" s="547">
        <f>G24/G30</f>
        <v>13.299397198919859</v>
      </c>
      <c r="H29" s="547">
        <f>H24/H30</f>
        <v>13.678197897427015</v>
      </c>
      <c r="J29" s="613">
        <f t="shared" ref="J29" si="14">_xlfn.RRI(YEARFRAC($C$4,$H$3),C29,H29)</f>
        <v>0.15530343504454169</v>
      </c>
    </row>
    <row r="30" spans="2:25" ht="12.95" customHeight="1">
      <c r="B30" s="486" t="s">
        <v>467</v>
      </c>
      <c r="C30" s="488">
        <f>441.834</f>
        <v>441.834</v>
      </c>
      <c r="D30" s="488">
        <v>442.923</v>
      </c>
      <c r="E30" s="488">
        <v>443.90100000000001</v>
      </c>
      <c r="F30" s="488">
        <v>444.346</v>
      </c>
      <c r="G30" s="488">
        <v>444.75700000000001</v>
      </c>
      <c r="H30" s="488">
        <v>444.50299999999999</v>
      </c>
      <c r="J30" s="613"/>
    </row>
    <row r="32" spans="2:25" ht="12.95" customHeight="1">
      <c r="B32" s="486" t="s">
        <v>468</v>
      </c>
      <c r="C32" s="546">
        <f t="shared" ref="C32:H32" si="15">-C23/C22</f>
        <v>0.28433138226024313</v>
      </c>
      <c r="D32" s="546">
        <f t="shared" si="15"/>
        <v>0.22266526757607555</v>
      </c>
      <c r="E32" s="546">
        <f t="shared" si="15"/>
        <v>0.2437115707098938</v>
      </c>
      <c r="F32" s="546">
        <f t="shared" si="15"/>
        <v>0.23967065868263474</v>
      </c>
      <c r="G32" s="546">
        <f t="shared" si="15"/>
        <v>0.24553571428571427</v>
      </c>
      <c r="H32" s="546">
        <f t="shared" si="15"/>
        <v>0.24901185770750989</v>
      </c>
      <c r="J32" s="613"/>
    </row>
  </sheetData>
  <conditionalFormatting sqref="J18 J25">
    <cfRule type="dataBar" priority="19">
      <dataBar>
        <cfvo type="min"/>
        <cfvo type="max"/>
        <color rgb="FF63C384"/>
      </dataBar>
      <extLst>
        <ext xmlns:x14="http://schemas.microsoft.com/office/spreadsheetml/2009/9/main" uri="{B025F937-C7B1-47D3-B67F-A62EFF666E3E}">
          <x14:id>{E426594C-90E5-4748-BDF3-A383DEAF2897}</x14:id>
        </ext>
      </extLst>
    </cfRule>
  </conditionalFormatting>
  <conditionalFormatting sqref="J5">
    <cfRule type="dataBar" priority="17">
      <dataBar>
        <cfvo type="min"/>
        <cfvo type="max"/>
        <color rgb="FF63C384"/>
      </dataBar>
      <extLst>
        <ext xmlns:x14="http://schemas.microsoft.com/office/spreadsheetml/2009/9/main" uri="{B025F937-C7B1-47D3-B67F-A62EFF666E3E}">
          <x14:id>{37402CEF-301F-4B20-B7DA-AAB357FB88A1}</x14:id>
        </ext>
      </extLst>
    </cfRule>
  </conditionalFormatting>
  <conditionalFormatting sqref="J6:J11">
    <cfRule type="dataBar" priority="13">
      <dataBar>
        <cfvo type="min"/>
        <cfvo type="max"/>
        <color rgb="FF63C384"/>
      </dataBar>
      <extLst>
        <ext xmlns:x14="http://schemas.microsoft.com/office/spreadsheetml/2009/9/main" uri="{B025F937-C7B1-47D3-B67F-A62EFF666E3E}">
          <x14:id>{AB9E20CF-623B-4EB9-AA12-C61C0FA3AA83}</x14:id>
        </ext>
      </extLst>
    </cfRule>
  </conditionalFormatting>
  <conditionalFormatting sqref="J12:J15">
    <cfRule type="dataBar" priority="11">
      <dataBar>
        <cfvo type="min"/>
        <cfvo type="max"/>
        <color rgb="FF63C384"/>
      </dataBar>
      <extLst>
        <ext xmlns:x14="http://schemas.microsoft.com/office/spreadsheetml/2009/9/main" uri="{B025F937-C7B1-47D3-B67F-A62EFF666E3E}">
          <x14:id>{8C3A9E54-33AA-4034-A1FC-1AA12DBEB1CD}</x14:id>
        </ext>
      </extLst>
    </cfRule>
  </conditionalFormatting>
  <conditionalFormatting sqref="I13:I14">
    <cfRule type="dataBar" priority="10">
      <dataBar>
        <cfvo type="min"/>
        <cfvo type="max"/>
        <color rgb="FF63C384"/>
      </dataBar>
      <extLst>
        <ext xmlns:x14="http://schemas.microsoft.com/office/spreadsheetml/2009/9/main" uri="{B025F937-C7B1-47D3-B67F-A62EFF666E3E}">
          <x14:id>{52D6FDFB-6A7A-43B4-9CDF-A51222089D48}</x14:id>
        </ext>
      </extLst>
    </cfRule>
  </conditionalFormatting>
  <conditionalFormatting sqref="J16">
    <cfRule type="dataBar" priority="9">
      <dataBar>
        <cfvo type="min"/>
        <cfvo type="max"/>
        <color rgb="FF63C384"/>
      </dataBar>
      <extLst>
        <ext xmlns:x14="http://schemas.microsoft.com/office/spreadsheetml/2009/9/main" uri="{B025F937-C7B1-47D3-B67F-A62EFF666E3E}">
          <x14:id>{0B693693-0684-4DE1-B79C-5888CEBEFC82}</x14:id>
        </ext>
      </extLst>
    </cfRule>
  </conditionalFormatting>
  <conditionalFormatting sqref="J17">
    <cfRule type="dataBar" priority="8">
      <dataBar>
        <cfvo type="min"/>
        <cfvo type="max"/>
        <color rgb="FF63C384"/>
      </dataBar>
      <extLst>
        <ext xmlns:x14="http://schemas.microsoft.com/office/spreadsheetml/2009/9/main" uri="{B025F937-C7B1-47D3-B67F-A62EFF666E3E}">
          <x14:id>{CDC9B20C-E808-4799-81C8-92493B4B84B6}</x14:id>
        </ext>
      </extLst>
    </cfRule>
  </conditionalFormatting>
  <conditionalFormatting sqref="J19:J20">
    <cfRule type="dataBar" priority="7">
      <dataBar>
        <cfvo type="min"/>
        <cfvo type="max"/>
        <color rgb="FF63C384"/>
      </dataBar>
      <extLst>
        <ext xmlns:x14="http://schemas.microsoft.com/office/spreadsheetml/2009/9/main" uri="{B025F937-C7B1-47D3-B67F-A62EFF666E3E}">
          <x14:id>{87C6213D-EBD6-4671-B76F-A779BBC453EB}</x14:id>
        </ext>
      </extLst>
    </cfRule>
  </conditionalFormatting>
  <conditionalFormatting sqref="J21">
    <cfRule type="dataBar" priority="6">
      <dataBar>
        <cfvo type="min"/>
        <cfvo type="max"/>
        <color rgb="FF63C384"/>
      </dataBar>
      <extLst>
        <ext xmlns:x14="http://schemas.microsoft.com/office/spreadsheetml/2009/9/main" uri="{B025F937-C7B1-47D3-B67F-A62EFF666E3E}">
          <x14:id>{B7BD2A5C-4AF2-48D7-BC43-7C55207803D0}</x14:id>
        </ext>
      </extLst>
    </cfRule>
  </conditionalFormatting>
  <conditionalFormatting sqref="J24">
    <cfRule type="dataBar" priority="5">
      <dataBar>
        <cfvo type="min"/>
        <cfvo type="max"/>
        <color rgb="FF63C384"/>
      </dataBar>
      <extLst>
        <ext xmlns:x14="http://schemas.microsoft.com/office/spreadsheetml/2009/9/main" uri="{B025F937-C7B1-47D3-B67F-A62EFF666E3E}">
          <x14:id>{EC0E2DFA-B6AB-418D-B6E3-4D4D6F0D849A}</x14:id>
        </ext>
      </extLst>
    </cfRule>
  </conditionalFormatting>
  <conditionalFormatting sqref="J22:J23">
    <cfRule type="dataBar" priority="4">
      <dataBar>
        <cfvo type="min"/>
        <cfvo type="max"/>
        <color rgb="FF63C384"/>
      </dataBar>
      <extLst>
        <ext xmlns:x14="http://schemas.microsoft.com/office/spreadsheetml/2009/9/main" uri="{B025F937-C7B1-47D3-B67F-A62EFF666E3E}">
          <x14:id>{8B6B0F34-0D4F-4C54-A9CE-FFB845283ED6}</x14:id>
        </ext>
      </extLst>
    </cfRule>
  </conditionalFormatting>
  <conditionalFormatting sqref="J26:J27">
    <cfRule type="dataBar" priority="3">
      <dataBar>
        <cfvo type="min"/>
        <cfvo type="max"/>
        <color rgb="FF63C384"/>
      </dataBar>
      <extLst>
        <ext xmlns:x14="http://schemas.microsoft.com/office/spreadsheetml/2009/9/main" uri="{B025F937-C7B1-47D3-B67F-A62EFF666E3E}">
          <x14:id>{F1EBB4AE-E89C-451A-AF14-E8DB0979E6D7}</x14:id>
        </ext>
      </extLst>
    </cfRule>
  </conditionalFormatting>
  <conditionalFormatting sqref="J29:J30">
    <cfRule type="dataBar" priority="2">
      <dataBar>
        <cfvo type="min"/>
        <cfvo type="max"/>
        <color rgb="FF63C384"/>
      </dataBar>
      <extLst>
        <ext xmlns:x14="http://schemas.microsoft.com/office/spreadsheetml/2009/9/main" uri="{B025F937-C7B1-47D3-B67F-A62EFF666E3E}">
          <x14:id>{428F3CC0-C48E-4C28-BC30-84FF69577AD2}</x14:id>
        </ext>
      </extLst>
    </cfRule>
  </conditionalFormatting>
  <conditionalFormatting sqref="J32">
    <cfRule type="dataBar" priority="1">
      <dataBar>
        <cfvo type="min"/>
        <cfvo type="max"/>
        <color rgb="FF63C384"/>
      </dataBar>
      <extLst>
        <ext xmlns:x14="http://schemas.microsoft.com/office/spreadsheetml/2009/9/main" uri="{B025F937-C7B1-47D3-B67F-A62EFF666E3E}">
          <x14:id>{BBF2F043-2B4E-4C71-8463-1DDDBA54A254}</x14:id>
        </ext>
      </extLst>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E426594C-90E5-4748-BDF3-A383DEAF2897}">
            <x14:dataBar minLength="0" maxLength="100" gradient="0">
              <x14:cfvo type="autoMin"/>
              <x14:cfvo type="autoMax"/>
              <x14:negativeFillColor rgb="FFFF0000"/>
              <x14:axisColor rgb="FF000000"/>
            </x14:dataBar>
          </x14:cfRule>
          <xm:sqref>J18 J25</xm:sqref>
        </x14:conditionalFormatting>
        <x14:conditionalFormatting xmlns:xm="http://schemas.microsoft.com/office/excel/2006/main">
          <x14:cfRule type="dataBar" id="{37402CEF-301F-4B20-B7DA-AAB357FB88A1}">
            <x14:dataBar minLength="0" maxLength="100" gradient="0">
              <x14:cfvo type="autoMin"/>
              <x14:cfvo type="autoMax"/>
              <x14:negativeFillColor rgb="FFFF0000"/>
              <x14:axisColor rgb="FF000000"/>
            </x14:dataBar>
          </x14:cfRule>
          <xm:sqref>J5</xm:sqref>
        </x14:conditionalFormatting>
        <x14:conditionalFormatting xmlns:xm="http://schemas.microsoft.com/office/excel/2006/main">
          <x14:cfRule type="dataBar" id="{AB9E20CF-623B-4EB9-AA12-C61C0FA3AA83}">
            <x14:dataBar minLength="0" maxLength="100" gradient="0">
              <x14:cfvo type="autoMin"/>
              <x14:cfvo type="autoMax"/>
              <x14:negativeFillColor rgb="FFFF0000"/>
              <x14:axisColor rgb="FF000000"/>
            </x14:dataBar>
          </x14:cfRule>
          <xm:sqref>J6:J11</xm:sqref>
        </x14:conditionalFormatting>
        <x14:conditionalFormatting xmlns:xm="http://schemas.microsoft.com/office/excel/2006/main">
          <x14:cfRule type="dataBar" id="{8C3A9E54-33AA-4034-A1FC-1AA12DBEB1CD}">
            <x14:dataBar minLength="0" maxLength="100" gradient="0">
              <x14:cfvo type="autoMin"/>
              <x14:cfvo type="autoMax"/>
              <x14:negativeFillColor rgb="FFFF0000"/>
              <x14:axisColor rgb="FF000000"/>
            </x14:dataBar>
          </x14:cfRule>
          <xm:sqref>J12:J15</xm:sqref>
        </x14:conditionalFormatting>
        <x14:conditionalFormatting xmlns:xm="http://schemas.microsoft.com/office/excel/2006/main">
          <x14:cfRule type="dataBar" id="{52D6FDFB-6A7A-43B4-9CDF-A51222089D48}">
            <x14:dataBar minLength="0" maxLength="100" gradient="0">
              <x14:cfvo type="autoMin"/>
              <x14:cfvo type="autoMax"/>
              <x14:negativeFillColor rgb="FFFF0000"/>
              <x14:axisColor rgb="FF000000"/>
            </x14:dataBar>
          </x14:cfRule>
          <xm:sqref>I13:I14</xm:sqref>
        </x14:conditionalFormatting>
        <x14:conditionalFormatting xmlns:xm="http://schemas.microsoft.com/office/excel/2006/main">
          <x14:cfRule type="dataBar" id="{0B693693-0684-4DE1-B79C-5888CEBEFC82}">
            <x14:dataBar minLength="0" maxLength="100" gradient="0">
              <x14:cfvo type="autoMin"/>
              <x14:cfvo type="autoMax"/>
              <x14:negativeFillColor rgb="FFFF0000"/>
              <x14:axisColor rgb="FF000000"/>
            </x14:dataBar>
          </x14:cfRule>
          <xm:sqref>J16</xm:sqref>
        </x14:conditionalFormatting>
        <x14:conditionalFormatting xmlns:xm="http://schemas.microsoft.com/office/excel/2006/main">
          <x14:cfRule type="dataBar" id="{CDC9B20C-E808-4799-81C8-92493B4B84B6}">
            <x14:dataBar minLength="0" maxLength="100" gradient="0">
              <x14:cfvo type="autoMin"/>
              <x14:cfvo type="autoMax"/>
              <x14:negativeFillColor rgb="FFFF0000"/>
              <x14:axisColor rgb="FF000000"/>
            </x14:dataBar>
          </x14:cfRule>
          <xm:sqref>J17</xm:sqref>
        </x14:conditionalFormatting>
        <x14:conditionalFormatting xmlns:xm="http://schemas.microsoft.com/office/excel/2006/main">
          <x14:cfRule type="dataBar" id="{87C6213D-EBD6-4671-B76F-A779BBC453EB}">
            <x14:dataBar minLength="0" maxLength="100" gradient="0">
              <x14:cfvo type="autoMin"/>
              <x14:cfvo type="autoMax"/>
              <x14:negativeFillColor rgb="FFFF0000"/>
              <x14:axisColor rgb="FF000000"/>
            </x14:dataBar>
          </x14:cfRule>
          <xm:sqref>J19:J20</xm:sqref>
        </x14:conditionalFormatting>
        <x14:conditionalFormatting xmlns:xm="http://schemas.microsoft.com/office/excel/2006/main">
          <x14:cfRule type="dataBar" id="{B7BD2A5C-4AF2-48D7-BC43-7C55207803D0}">
            <x14:dataBar minLength="0" maxLength="100" gradient="0">
              <x14:cfvo type="autoMin"/>
              <x14:cfvo type="autoMax"/>
              <x14:negativeFillColor rgb="FFFF0000"/>
              <x14:axisColor rgb="FF000000"/>
            </x14:dataBar>
          </x14:cfRule>
          <xm:sqref>J21</xm:sqref>
        </x14:conditionalFormatting>
        <x14:conditionalFormatting xmlns:xm="http://schemas.microsoft.com/office/excel/2006/main">
          <x14:cfRule type="dataBar" id="{EC0E2DFA-B6AB-418D-B6E3-4D4D6F0D849A}">
            <x14:dataBar minLength="0" maxLength="100" gradient="0">
              <x14:cfvo type="autoMin"/>
              <x14:cfvo type="autoMax"/>
              <x14:negativeFillColor rgb="FFFF0000"/>
              <x14:axisColor rgb="FF000000"/>
            </x14:dataBar>
          </x14:cfRule>
          <xm:sqref>J24</xm:sqref>
        </x14:conditionalFormatting>
        <x14:conditionalFormatting xmlns:xm="http://schemas.microsoft.com/office/excel/2006/main">
          <x14:cfRule type="dataBar" id="{8B6B0F34-0D4F-4C54-A9CE-FFB845283ED6}">
            <x14:dataBar minLength="0" maxLength="100" gradient="0">
              <x14:cfvo type="autoMin"/>
              <x14:cfvo type="autoMax"/>
              <x14:negativeFillColor rgb="FFFF0000"/>
              <x14:axisColor rgb="FF000000"/>
            </x14:dataBar>
          </x14:cfRule>
          <xm:sqref>J22:J23</xm:sqref>
        </x14:conditionalFormatting>
        <x14:conditionalFormatting xmlns:xm="http://schemas.microsoft.com/office/excel/2006/main">
          <x14:cfRule type="dataBar" id="{F1EBB4AE-E89C-451A-AF14-E8DB0979E6D7}">
            <x14:dataBar minLength="0" maxLength="100" gradient="0">
              <x14:cfvo type="autoMin"/>
              <x14:cfvo type="autoMax"/>
              <x14:negativeFillColor rgb="FFFF0000"/>
              <x14:axisColor rgb="FF000000"/>
            </x14:dataBar>
          </x14:cfRule>
          <xm:sqref>J26:J27</xm:sqref>
        </x14:conditionalFormatting>
        <x14:conditionalFormatting xmlns:xm="http://schemas.microsoft.com/office/excel/2006/main">
          <x14:cfRule type="dataBar" id="{428F3CC0-C48E-4C28-BC30-84FF69577AD2}">
            <x14:dataBar minLength="0" maxLength="100" gradient="0">
              <x14:cfvo type="autoMin"/>
              <x14:cfvo type="autoMax"/>
              <x14:negativeFillColor rgb="FFFF0000"/>
              <x14:axisColor rgb="FF000000"/>
            </x14:dataBar>
          </x14:cfRule>
          <xm:sqref>J29:J30</xm:sqref>
        </x14:conditionalFormatting>
        <x14:conditionalFormatting xmlns:xm="http://schemas.microsoft.com/office/excel/2006/main">
          <x14:cfRule type="dataBar" id="{BBF2F043-2B4E-4C71-8463-1DDDBA54A254}">
            <x14:dataBar minLength="0" maxLength="100" gradient="0">
              <x14:cfvo type="autoMin"/>
              <x14:cfvo type="autoMax"/>
              <x14:negativeFillColor rgb="FFFF0000"/>
              <x14:axisColor rgb="FF000000"/>
            </x14:dataBar>
          </x14:cfRule>
          <xm:sqref>J32</xm:sqref>
        </x14:conditionalFormatting>
      </x14:conditionalFormattings>
    </ext>
    <ext xmlns:x14="http://schemas.microsoft.com/office/spreadsheetml/2009/9/main" uri="{05C60535-1F16-4fd2-B633-F4F36F0B64E0}">
      <x14:sparklineGroups xmlns:xm="http://schemas.microsoft.com/office/excel/2006/main">
        <x14:sparklineGroup manualMax="0" manualMin="0" lineWeight="1.5" displayEmptyCellsAs="gap" markers="1">
          <x14:colorSeries theme="1" tint="4.9989318521683403E-2"/>
          <x14:colorNegative rgb="FFD00000"/>
          <x14:colorAxis rgb="FF000000"/>
          <x14:colorMarkers theme="1" tint="4.9989318521683403E-2"/>
          <x14:colorFirst rgb="FFD00000"/>
          <x14:colorLast rgb="FFD00000"/>
          <x14:colorHigh rgb="FFD00000"/>
          <x14:colorLow rgb="FFD00000"/>
          <x14:sparklines>
            <x14:sparkline>
              <xm:f>'Income Statement'!C6:G6</xm:f>
              <xm:sqref>I6</xm:sqref>
            </x14:sparkline>
            <x14:sparkline>
              <xm:f>'Income Statement'!C7:G7</xm:f>
              <xm:sqref>I7</xm:sqref>
            </x14:sparkline>
            <x14:sparkline>
              <xm:f>'Income Statement'!C8:G8</xm:f>
              <xm:sqref>I8</xm:sqref>
            </x14:sparkline>
            <x14:sparkline>
              <xm:f>'Income Statement'!C9:G9</xm:f>
              <xm:sqref>I9</xm:sqref>
            </x14:sparkline>
            <x14:sparkline>
              <xm:f>'Income Statement'!C10:G10</xm:f>
              <xm:sqref>I10</xm:sqref>
            </x14:sparkline>
          </x14:sparklines>
        </x14:sparklineGroup>
        <x14:sparklineGroup manualMax="0" manualMin="0" lineWeight="1.5" displayEmptyCellsAs="gap" markers="1">
          <x14:colorSeries theme="1" tint="4.9989318521683403E-2"/>
          <x14:colorNegative rgb="FFD00000"/>
          <x14:colorAxis rgb="FF000000"/>
          <x14:colorMarkers theme="1" tint="4.9989318521683403E-2"/>
          <x14:colorFirst rgb="FFD00000"/>
          <x14:colorLast rgb="FFD00000"/>
          <x14:colorHigh rgb="FFD00000"/>
          <x14:colorLow rgb="FFD00000"/>
          <x14:sparklines>
            <x14:sparkline>
              <xm:f>'Income Statement'!C5:G5</xm:f>
              <xm:sqref>I5</xm:sqref>
            </x14:sparkline>
          </x14:sparklines>
        </x14:sparklineGroup>
        <x14:sparklineGroup manualMax="0" manualMin="0" lineWeight="1.5" displayEmptyCellsAs="gap" markers="1">
          <x14:colorSeries theme="1" tint="4.9989318521683403E-2"/>
          <x14:colorNegative rgb="FFD00000"/>
          <x14:colorAxis rgb="FF000000"/>
          <x14:colorMarkers theme="1" tint="4.9989318521683403E-2"/>
          <x14:colorFirst rgb="FFD00000"/>
          <x14:colorLast rgb="FFD00000"/>
          <x14:colorHigh rgb="FFD00000"/>
          <x14:colorLow rgb="FFD00000"/>
          <x14:sparklines>
            <x14:sparkline>
              <xm:f>'Income Statement'!C11:G11</xm:f>
              <xm:sqref>I11</xm:sqref>
            </x14:sparkline>
            <x14:sparkline>
              <xm:f>'Income Statement'!C12:G12</xm:f>
              <xm:sqref>I12</xm:sqref>
            </x14:sparkline>
            <x14:sparkline>
              <xm:f>'Income Statement'!C15:G15</xm:f>
              <xm:sqref>I15</xm:sqref>
            </x14:sparkline>
            <x14:sparkline>
              <xm:f>'Income Statement'!C16:G16</xm:f>
              <xm:sqref>I16</xm:sqref>
            </x14:sparkline>
            <x14:sparkline>
              <xm:f>'Income Statement'!C17:G17</xm:f>
              <xm:sqref>I17</xm:sqref>
            </x14:sparkline>
            <x14:sparkline>
              <xm:f>'Income Statement'!C18:G18</xm:f>
              <xm:sqref>I18</xm:sqref>
            </x14:sparkline>
            <x14:sparkline>
              <xm:f>'Income Statement'!C19:G19</xm:f>
              <xm:sqref>I19</xm:sqref>
            </x14:sparkline>
            <x14:sparkline>
              <xm:f>'Income Statement'!C20:G20</xm:f>
              <xm:sqref>I20</xm:sqref>
            </x14:sparkline>
            <x14:sparkline>
              <xm:f>'Income Statement'!C21:G21</xm:f>
              <xm:sqref>I21</xm:sqref>
            </x14:sparkline>
            <x14:sparkline>
              <xm:f>'Income Statement'!C22:G22</xm:f>
              <xm:sqref>I22</xm:sqref>
            </x14:sparkline>
            <x14:sparkline>
              <xm:f>'Income Statement'!C23:G23</xm:f>
              <xm:sqref>I23</xm:sqref>
            </x14:sparkline>
            <x14:sparkline>
              <xm:f>'Income Statement'!C24:G24</xm:f>
              <xm:sqref>I24</xm:sqref>
            </x14:sparkline>
            <x14:sparkline>
              <xm:f>'Income Statement'!C25:G25</xm:f>
              <xm:sqref>I25</xm:sqref>
            </x14:sparkline>
            <x14:sparkline>
              <xm:f>'Income Statement'!C26:G26</xm:f>
              <xm:sqref>I26</xm:sqref>
            </x14:sparkline>
            <x14:sparkline>
              <xm:f>'Income Statement'!C27:G27</xm:f>
              <xm:sqref>I27</xm:sqref>
            </x14:sparkline>
            <x14:sparkline>
              <xm:f>'Income Statement'!C28:G28</xm:f>
              <xm:sqref>I28</xm:sqref>
            </x14:sparkline>
            <x14:sparkline>
              <xm:f>'Income Statement'!C29:G29</xm:f>
              <xm:sqref>I29</xm:sqref>
            </x14:sparkline>
            <x14:sparkline>
              <xm:f>'Income Statement'!C30:G30</xm:f>
              <xm:sqref>I30</xm:sqref>
            </x14:sparkline>
            <x14:sparkline>
              <xm:f>'Income Statement'!C31:G31</xm:f>
              <xm:sqref>I31</xm:sqref>
            </x14:sparkline>
            <x14:sparkline>
              <xm:f>'Income Statement'!C32:G32</xm:f>
              <xm:sqref>I32</xm:sqref>
            </x14:sparkline>
          </x14:sparklines>
        </x14:sparklineGroup>
      </x14:sparklineGroup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B48"/>
  <sheetViews>
    <sheetView workbookViewId="0"/>
  </sheetViews>
  <sheetFormatPr defaultColWidth="9.140625" defaultRowHeight="12.95" customHeight="1"/>
  <cols>
    <col min="1" max="1" width="2" style="228" customWidth="1"/>
    <col min="2" max="2" width="35.140625" style="228" customWidth="1"/>
    <col min="3" max="8" width="11.7109375" style="228" customWidth="1"/>
    <col min="9" max="11" width="10.7109375" style="228" customWidth="1"/>
    <col min="12" max="12" width="19.7109375" style="228" customWidth="1"/>
    <col min="13" max="15" width="10.7109375" style="228" customWidth="1"/>
    <col min="16" max="16" width="11.140625" style="228" customWidth="1"/>
    <col min="17" max="18" width="10.7109375" style="228" customWidth="1"/>
    <col min="19" max="19" width="10.42578125" style="228" customWidth="1"/>
    <col min="20" max="24" width="10.7109375" style="228" customWidth="1"/>
    <col min="25" max="16384" width="9.140625" style="228"/>
  </cols>
  <sheetData>
    <row r="1" spans="2:26" ht="16.5" customHeight="1">
      <c r="B1" s="227" t="s">
        <v>380</v>
      </c>
    </row>
    <row r="3" spans="2:26" ht="12.95" customHeight="1">
      <c r="B3" s="237" t="s">
        <v>380</v>
      </c>
      <c r="C3" s="237"/>
      <c r="D3" s="237"/>
      <c r="E3" s="237"/>
      <c r="F3" s="237"/>
      <c r="G3" s="237"/>
      <c r="H3" s="237"/>
    </row>
    <row r="4" spans="2:26" ht="12.95" customHeight="1" thickBot="1">
      <c r="B4" s="334" t="str">
        <f>Drivers!$C$5&amp;" in mil"</f>
        <v>$ in mil</v>
      </c>
      <c r="C4" s="489">
        <v>43343</v>
      </c>
      <c r="D4" s="489">
        <f>EDATE(C4,12)</f>
        <v>43708</v>
      </c>
      <c r="E4" s="489">
        <f>EDATE(D4,12)</f>
        <v>44074</v>
      </c>
      <c r="F4" s="489">
        <f>EDATE(E4,12)</f>
        <v>44439</v>
      </c>
      <c r="G4" s="489">
        <f>EDATE(F4,12)</f>
        <v>44804</v>
      </c>
      <c r="H4" s="489">
        <f>EDATE(G4,6)</f>
        <v>44985</v>
      </c>
    </row>
    <row r="5" spans="2:26" ht="12.95" customHeight="1">
      <c r="B5" s="471" t="s">
        <v>381</v>
      </c>
      <c r="C5" s="536"/>
      <c r="D5" s="483"/>
      <c r="E5" s="483"/>
      <c r="F5" s="471" t="s">
        <v>368</v>
      </c>
      <c r="G5" s="483"/>
      <c r="H5" s="483"/>
    </row>
    <row r="6" spans="2:26" ht="12.95" customHeight="1">
      <c r="B6" s="476" t="s">
        <v>81</v>
      </c>
      <c r="C6" s="483">
        <v>6055</v>
      </c>
      <c r="D6" s="483">
        <v>8384</v>
      </c>
      <c r="E6" s="483">
        <v>12277</v>
      </c>
      <c r="F6" s="483">
        <v>11258</v>
      </c>
      <c r="G6" s="483">
        <v>10203</v>
      </c>
      <c r="H6" s="483">
        <v>12970</v>
      </c>
      <c r="L6" s="543"/>
      <c r="Q6" s="543"/>
      <c r="R6" s="543"/>
    </row>
    <row r="7" spans="2:26" ht="12.95" customHeight="1">
      <c r="B7" s="476" t="s">
        <v>382</v>
      </c>
      <c r="C7" s="483">
        <v>1204</v>
      </c>
      <c r="D7" s="483">
        <v>1060</v>
      </c>
      <c r="E7" s="483">
        <v>1028</v>
      </c>
      <c r="F7" s="483">
        <v>917</v>
      </c>
      <c r="G7" s="483">
        <v>846</v>
      </c>
      <c r="H7" s="483">
        <v>735</v>
      </c>
      <c r="L7" s="543"/>
      <c r="Q7" s="543"/>
      <c r="R7" s="543"/>
      <c r="Z7" s="543"/>
    </row>
    <row r="8" spans="2:26" ht="12.95" customHeight="1">
      <c r="B8" s="476" t="s">
        <v>383</v>
      </c>
      <c r="C8" s="483">
        <v>1669</v>
      </c>
      <c r="D8" s="483">
        <v>1535</v>
      </c>
      <c r="E8" s="483">
        <v>1550</v>
      </c>
      <c r="F8" s="483">
        <v>1803</v>
      </c>
      <c r="G8" s="483">
        <v>2241</v>
      </c>
      <c r="H8" s="483">
        <v>2714</v>
      </c>
      <c r="L8" s="543"/>
      <c r="Q8" s="543"/>
      <c r="R8" s="543"/>
      <c r="Z8" s="543"/>
    </row>
    <row r="9" spans="2:26" ht="12.95" customHeight="1">
      <c r="B9" s="476" t="s">
        <v>449</v>
      </c>
      <c r="C9" s="483">
        <v>11040</v>
      </c>
      <c r="D9" s="483">
        <v>11395</v>
      </c>
      <c r="E9" s="483">
        <v>12242</v>
      </c>
      <c r="F9" s="483">
        <v>14215</v>
      </c>
      <c r="G9" s="483">
        <v>17907</v>
      </c>
      <c r="H9" s="483">
        <v>16081</v>
      </c>
      <c r="L9" s="543"/>
      <c r="Q9" s="543"/>
      <c r="R9" s="543"/>
      <c r="Z9" s="543"/>
    </row>
    <row r="10" spans="2:26" ht="12.95" customHeight="1">
      <c r="B10" s="476" t="s">
        <v>471</v>
      </c>
      <c r="C10" s="483">
        <v>321</v>
      </c>
      <c r="D10" s="483">
        <v>1111</v>
      </c>
      <c r="E10" s="483">
        <v>1023</v>
      </c>
      <c r="F10" s="483">
        <v>1312</v>
      </c>
      <c r="G10" s="483">
        <v>1499</v>
      </c>
      <c r="H10" s="483">
        <v>1830</v>
      </c>
      <c r="L10" s="543"/>
      <c r="Q10" s="543"/>
      <c r="R10" s="543"/>
    </row>
    <row r="11" spans="2:26" ht="12.95" customHeight="1">
      <c r="B11" s="480" t="s">
        <v>384</v>
      </c>
      <c r="C11" s="481">
        <f t="shared" ref="C11:H11" si="0">SUM(C6:C10)</f>
        <v>20289</v>
      </c>
      <c r="D11" s="481">
        <f t="shared" si="0"/>
        <v>23485</v>
      </c>
      <c r="E11" s="481">
        <f t="shared" si="0"/>
        <v>28120</v>
      </c>
      <c r="F11" s="481">
        <f t="shared" si="0"/>
        <v>29505</v>
      </c>
      <c r="G11" s="481">
        <f t="shared" si="0"/>
        <v>32696</v>
      </c>
      <c r="H11" s="481">
        <f t="shared" si="0"/>
        <v>34330</v>
      </c>
      <c r="L11" s="543"/>
      <c r="Q11" s="543"/>
      <c r="R11" s="543"/>
      <c r="Z11" s="543"/>
    </row>
    <row r="12" spans="2:26" ht="12.95" customHeight="1">
      <c r="B12" s="476" t="s">
        <v>385</v>
      </c>
      <c r="C12" s="483">
        <v>19681</v>
      </c>
      <c r="D12" s="483">
        <v>20890</v>
      </c>
      <c r="E12" s="483">
        <v>21807</v>
      </c>
      <c r="F12" s="483">
        <v>23492</v>
      </c>
      <c r="G12" s="483">
        <v>24646</v>
      </c>
      <c r="H12" s="483">
        <v>25724</v>
      </c>
      <c r="Q12" s="543"/>
      <c r="R12" s="543"/>
      <c r="Z12" s="543"/>
    </row>
    <row r="13" spans="2:26" ht="12.95" customHeight="1">
      <c r="B13" s="526" t="s">
        <v>602</v>
      </c>
      <c r="C13" s="483">
        <v>0</v>
      </c>
      <c r="D13" s="483">
        <v>0</v>
      </c>
      <c r="E13" s="483">
        <v>2788</v>
      </c>
      <c r="F13" s="483">
        <v>2890</v>
      </c>
      <c r="G13" s="483">
        <v>2774</v>
      </c>
      <c r="H13" s="483">
        <v>2859</v>
      </c>
      <c r="L13" s="543"/>
      <c r="Q13" s="543"/>
      <c r="R13" s="543"/>
      <c r="Z13" s="543"/>
    </row>
    <row r="14" spans="2:26" ht="12.95" customHeight="1">
      <c r="B14" s="476" t="s">
        <v>386</v>
      </c>
      <c r="C14" s="483">
        <v>860</v>
      </c>
      <c r="D14" s="483">
        <v>1025</v>
      </c>
      <c r="E14" s="483">
        <v>2841</v>
      </c>
      <c r="F14" s="483">
        <v>3381</v>
      </c>
      <c r="G14" s="483">
        <v>4050</v>
      </c>
      <c r="H14" s="483">
        <v>3935</v>
      </c>
      <c r="L14" s="543"/>
      <c r="Q14" s="543"/>
      <c r="R14" s="543"/>
      <c r="Z14" s="543"/>
    </row>
    <row r="15" spans="2:26" ht="12.95" customHeight="1">
      <c r="B15" s="480" t="s">
        <v>387</v>
      </c>
      <c r="C15" s="481">
        <f t="shared" ref="C15:H15" si="1">SUM(C12:C14)+C11</f>
        <v>40830</v>
      </c>
      <c r="D15" s="481">
        <f t="shared" si="1"/>
        <v>45400</v>
      </c>
      <c r="E15" s="481">
        <f t="shared" si="1"/>
        <v>55556</v>
      </c>
      <c r="F15" s="481">
        <f t="shared" si="1"/>
        <v>59268</v>
      </c>
      <c r="G15" s="481">
        <f t="shared" si="1"/>
        <v>64166</v>
      </c>
      <c r="H15" s="481">
        <f t="shared" si="1"/>
        <v>66848</v>
      </c>
      <c r="L15" s="543"/>
      <c r="Q15" s="543"/>
      <c r="R15" s="543"/>
      <c r="Z15" s="543"/>
    </row>
    <row r="16" spans="2:26" ht="12.95" customHeight="1">
      <c r="B16" s="471" t="s">
        <v>388</v>
      </c>
      <c r="C16" s="483"/>
      <c r="D16" s="483"/>
      <c r="E16" s="483"/>
      <c r="F16" s="483" t="s">
        <v>368</v>
      </c>
      <c r="G16" s="483" t="s">
        <v>368</v>
      </c>
      <c r="H16" s="483" t="s">
        <v>368</v>
      </c>
      <c r="L16" s="543"/>
      <c r="Q16" s="543"/>
      <c r="R16" s="543"/>
      <c r="Z16" s="543"/>
    </row>
    <row r="17" spans="2:28" ht="12.95" customHeight="1">
      <c r="B17" s="476" t="s">
        <v>603</v>
      </c>
      <c r="C17" s="483">
        <v>11237</v>
      </c>
      <c r="D17" s="483">
        <v>11679</v>
      </c>
      <c r="E17" s="483">
        <v>14172</v>
      </c>
      <c r="F17" s="483">
        <v>16278</v>
      </c>
      <c r="G17" s="483">
        <v>17848</v>
      </c>
      <c r="H17" s="483">
        <v>16407</v>
      </c>
      <c r="L17" s="543"/>
      <c r="Q17" s="543"/>
      <c r="R17" s="543"/>
      <c r="Z17" s="543"/>
      <c r="AA17" s="543"/>
      <c r="AB17" s="543"/>
    </row>
    <row r="18" spans="2:28" ht="12.95" customHeight="1">
      <c r="B18" s="476" t="s">
        <v>469</v>
      </c>
      <c r="C18" s="483">
        <v>0</v>
      </c>
      <c r="D18" s="483">
        <v>1699</v>
      </c>
      <c r="E18" s="483">
        <v>95</v>
      </c>
      <c r="F18" s="483">
        <v>799</v>
      </c>
      <c r="G18" s="483">
        <v>73</v>
      </c>
      <c r="H18" s="483">
        <v>76</v>
      </c>
      <c r="Q18" s="543"/>
      <c r="R18" s="543"/>
      <c r="Z18" s="543"/>
    </row>
    <row r="19" spans="2:28" ht="12.95" customHeight="1">
      <c r="B19" s="476" t="s">
        <v>604</v>
      </c>
      <c r="C19" s="483">
        <v>2994</v>
      </c>
      <c r="D19" s="483">
        <v>3176</v>
      </c>
      <c r="E19" s="483">
        <v>3605</v>
      </c>
      <c r="F19" s="483">
        <v>4090</v>
      </c>
      <c r="G19" s="483">
        <v>4381</v>
      </c>
      <c r="H19" s="483">
        <v>4483</v>
      </c>
      <c r="L19" s="543"/>
      <c r="Q19" s="543"/>
      <c r="R19" s="543"/>
      <c r="Z19" s="543"/>
    </row>
    <row r="20" spans="2:28" ht="12.95" customHeight="1">
      <c r="B20" s="476" t="s">
        <v>605</v>
      </c>
      <c r="C20" s="483">
        <v>1057</v>
      </c>
      <c r="D20" s="483">
        <v>1180</v>
      </c>
      <c r="E20" s="483">
        <v>1393</v>
      </c>
      <c r="F20" s="483">
        <v>1671</v>
      </c>
      <c r="G20" s="357">
        <v>1911</v>
      </c>
      <c r="H20" s="357">
        <v>2016</v>
      </c>
      <c r="Z20" s="543"/>
    </row>
    <row r="21" spans="2:28" ht="12.95" customHeight="1">
      <c r="B21" s="526" t="s">
        <v>606</v>
      </c>
      <c r="C21" s="483">
        <v>1624</v>
      </c>
      <c r="D21" s="483">
        <v>1711</v>
      </c>
      <c r="E21" s="483">
        <v>1851</v>
      </c>
      <c r="F21" s="483">
        <v>2042</v>
      </c>
      <c r="G21" s="483">
        <v>2174</v>
      </c>
      <c r="H21" s="483">
        <v>2412</v>
      </c>
      <c r="L21" s="543"/>
      <c r="Q21" s="543"/>
      <c r="R21" s="543"/>
      <c r="Z21" s="543"/>
    </row>
    <row r="22" spans="2:28" ht="12.95" customHeight="1">
      <c r="B22" s="526" t="s">
        <v>607</v>
      </c>
      <c r="C22" s="483">
        <v>3014</v>
      </c>
      <c r="D22" s="483">
        <v>3792</v>
      </c>
      <c r="E22" s="483">
        <v>3728</v>
      </c>
      <c r="F22" s="483">
        <v>4561</v>
      </c>
      <c r="G22" s="483">
        <v>5611</v>
      </c>
      <c r="H22" s="483">
        <v>7122</v>
      </c>
      <c r="Q22" s="543"/>
      <c r="R22" s="543"/>
    </row>
    <row r="23" spans="2:28" ht="12.95" customHeight="1">
      <c r="B23" s="480" t="s">
        <v>389</v>
      </c>
      <c r="C23" s="481">
        <f t="shared" ref="C23:E23" si="2">SUM(C17:C22)</f>
        <v>19926</v>
      </c>
      <c r="D23" s="481">
        <f t="shared" si="2"/>
        <v>23237</v>
      </c>
      <c r="E23" s="481">
        <f t="shared" si="2"/>
        <v>24844</v>
      </c>
      <c r="F23" s="481">
        <f>SUM(F17:F22)</f>
        <v>29441</v>
      </c>
      <c r="G23" s="481">
        <f t="shared" ref="G23:H23" si="3">SUM(G17:G22)</f>
        <v>31998</v>
      </c>
      <c r="H23" s="481">
        <f t="shared" si="3"/>
        <v>32516</v>
      </c>
      <c r="L23" s="543"/>
      <c r="Q23" s="543"/>
      <c r="R23" s="543"/>
    </row>
    <row r="24" spans="2:28" ht="12.95" customHeight="1">
      <c r="B24" s="476" t="s">
        <v>470</v>
      </c>
      <c r="C24" s="483">
        <v>0</v>
      </c>
      <c r="D24" s="483">
        <v>0</v>
      </c>
      <c r="E24" s="483">
        <v>2558</v>
      </c>
      <c r="F24" s="483">
        <v>2642</v>
      </c>
      <c r="G24" s="483">
        <v>2482</v>
      </c>
      <c r="H24" s="483">
        <v>2557</v>
      </c>
      <c r="Q24" s="543"/>
      <c r="R24" s="543"/>
      <c r="Z24" s="543"/>
    </row>
    <row r="25" spans="2:28" ht="12.95" customHeight="1">
      <c r="B25" s="476" t="s">
        <v>293</v>
      </c>
      <c r="C25" s="483">
        <v>6487</v>
      </c>
      <c r="D25" s="483">
        <v>5124</v>
      </c>
      <c r="E25" s="483">
        <v>7514</v>
      </c>
      <c r="F25" s="483">
        <v>6692</v>
      </c>
      <c r="G25" s="483">
        <v>6484</v>
      </c>
      <c r="H25" s="483">
        <v>6506</v>
      </c>
      <c r="Q25" s="543"/>
      <c r="R25" s="543"/>
      <c r="Z25" s="543"/>
    </row>
    <row r="26" spans="2:28" ht="12.95" customHeight="1">
      <c r="B26" s="476" t="s">
        <v>390</v>
      </c>
      <c r="C26" s="483">
        <v>1314</v>
      </c>
      <c r="D26" s="483">
        <v>1455</v>
      </c>
      <c r="E26" s="483">
        <v>1935</v>
      </c>
      <c r="F26" s="483">
        <v>2415</v>
      </c>
      <c r="G26" s="483">
        <v>2555</v>
      </c>
      <c r="H26" s="483">
        <v>2470</v>
      </c>
      <c r="Q26" s="543"/>
      <c r="R26" s="543"/>
      <c r="Z26" s="543"/>
    </row>
    <row r="27" spans="2:28" ht="12.95" customHeight="1">
      <c r="B27" s="480" t="s">
        <v>391</v>
      </c>
      <c r="C27" s="481">
        <f t="shared" ref="C27:H27" si="4">SUM(C24:C26)+C23</f>
        <v>27727</v>
      </c>
      <c r="D27" s="481">
        <f t="shared" si="4"/>
        <v>29816</v>
      </c>
      <c r="E27" s="481">
        <f t="shared" si="4"/>
        <v>36851</v>
      </c>
      <c r="F27" s="481">
        <f t="shared" si="4"/>
        <v>41190</v>
      </c>
      <c r="G27" s="481">
        <f t="shared" si="4"/>
        <v>43519</v>
      </c>
      <c r="H27" s="481">
        <f t="shared" si="4"/>
        <v>44049</v>
      </c>
      <c r="L27" s="543"/>
      <c r="Q27" s="543"/>
      <c r="R27" s="543"/>
      <c r="Z27" s="543"/>
    </row>
    <row r="28" spans="2:28" ht="12.95" customHeight="1">
      <c r="B28" s="471" t="s">
        <v>400</v>
      </c>
      <c r="C28" s="483"/>
      <c r="D28" s="483"/>
      <c r="E28" s="483"/>
      <c r="F28" s="483"/>
      <c r="G28" s="483"/>
      <c r="H28" s="483"/>
      <c r="Z28" s="543"/>
    </row>
    <row r="29" spans="2:28" ht="12.95" customHeight="1">
      <c r="B29" s="471" t="s">
        <v>392</v>
      </c>
      <c r="C29" s="483"/>
      <c r="D29" s="483"/>
      <c r="E29" s="483"/>
      <c r="F29" s="483" t="s">
        <v>368</v>
      </c>
      <c r="G29" s="483"/>
      <c r="H29" s="483" t="s">
        <v>368</v>
      </c>
      <c r="Q29" s="543"/>
      <c r="R29" s="543"/>
      <c r="Z29" s="543"/>
    </row>
    <row r="30" spans="2:28" ht="12.95" customHeight="1">
      <c r="B30" s="476" t="s">
        <v>608</v>
      </c>
      <c r="C30" s="483">
        <v>0</v>
      </c>
      <c r="D30" s="483">
        <v>0</v>
      </c>
      <c r="E30" s="483">
        <v>0</v>
      </c>
      <c r="F30" s="483">
        <v>0</v>
      </c>
      <c r="G30" s="483">
        <v>0</v>
      </c>
      <c r="H30" s="483">
        <v>0</v>
      </c>
      <c r="L30" s="543"/>
      <c r="Z30" s="543"/>
    </row>
    <row r="31" spans="2:28" ht="12.95" customHeight="1">
      <c r="B31" s="476" t="s">
        <v>609</v>
      </c>
      <c r="C31" s="483">
        <v>4</v>
      </c>
      <c r="D31" s="483">
        <v>4</v>
      </c>
      <c r="E31" s="483">
        <v>4</v>
      </c>
      <c r="F31" s="483">
        <v>4</v>
      </c>
      <c r="G31" s="483">
        <v>2</v>
      </c>
      <c r="H31" s="483">
        <v>2</v>
      </c>
      <c r="Q31" s="543"/>
      <c r="R31" s="543"/>
      <c r="Z31" s="543"/>
    </row>
    <row r="32" spans="2:28" ht="12.95" customHeight="1">
      <c r="B32" s="476" t="s">
        <v>393</v>
      </c>
      <c r="C32" s="483">
        <v>6107</v>
      </c>
      <c r="D32" s="483">
        <v>6417</v>
      </c>
      <c r="E32" s="483">
        <v>6698</v>
      </c>
      <c r="F32" s="483">
        <v>7031</v>
      </c>
      <c r="G32" s="483">
        <v>6884</v>
      </c>
      <c r="H32" s="483">
        <v>7123</v>
      </c>
      <c r="K32" s="545"/>
      <c r="Z32" s="543"/>
    </row>
    <row r="33" spans="2:26" ht="12.95" customHeight="1">
      <c r="B33" s="476" t="s">
        <v>450</v>
      </c>
      <c r="C33" s="483">
        <v>0</v>
      </c>
      <c r="D33" s="483">
        <v>0</v>
      </c>
      <c r="E33" s="483">
        <v>0</v>
      </c>
      <c r="F33" s="483">
        <v>0</v>
      </c>
      <c r="G33" s="483">
        <v>0</v>
      </c>
      <c r="H33" s="483">
        <v>0</v>
      </c>
      <c r="K33" s="476"/>
      <c r="S33" s="545"/>
      <c r="Z33" s="543"/>
    </row>
    <row r="34" spans="2:26" ht="12.95" customHeight="1">
      <c r="B34" s="476" t="s">
        <v>394</v>
      </c>
      <c r="C34" s="483">
        <v>7887</v>
      </c>
      <c r="D34" s="483">
        <v>10258</v>
      </c>
      <c r="E34" s="483">
        <v>12879</v>
      </c>
      <c r="F34" s="483">
        <v>11666</v>
      </c>
      <c r="G34" s="483">
        <v>15585</v>
      </c>
      <c r="H34" s="483">
        <v>17341</v>
      </c>
    </row>
    <row r="35" spans="2:26" ht="12.95" customHeight="1">
      <c r="B35" s="476" t="s">
        <v>395</v>
      </c>
      <c r="C35" s="483">
        <v>-1199</v>
      </c>
      <c r="D35" s="483">
        <v>-1436</v>
      </c>
      <c r="E35" s="483">
        <v>-1297</v>
      </c>
      <c r="F35" s="483">
        <v>-1137</v>
      </c>
      <c r="G35" s="483">
        <v>-1829</v>
      </c>
      <c r="H35" s="483">
        <v>-1672</v>
      </c>
      <c r="Z35" s="543"/>
    </row>
    <row r="36" spans="2:26" ht="12.95" customHeight="1">
      <c r="B36" s="474" t="s">
        <v>665</v>
      </c>
      <c r="C36" s="475">
        <f t="shared" ref="C36:H36" si="5">SUM(C30:C35)</f>
        <v>12799</v>
      </c>
      <c r="D36" s="475">
        <f t="shared" si="5"/>
        <v>15243</v>
      </c>
      <c r="E36" s="475">
        <f t="shared" si="5"/>
        <v>18284</v>
      </c>
      <c r="F36" s="475">
        <f t="shared" si="5"/>
        <v>17564</v>
      </c>
      <c r="G36" s="475">
        <f t="shared" si="5"/>
        <v>20642</v>
      </c>
      <c r="H36" s="475">
        <f t="shared" si="5"/>
        <v>22794</v>
      </c>
    </row>
    <row r="37" spans="2:26" ht="12.95" customHeight="1">
      <c r="B37" s="476" t="s">
        <v>451</v>
      </c>
      <c r="C37" s="483">
        <v>304</v>
      </c>
      <c r="D37" s="483">
        <v>341</v>
      </c>
      <c r="E37" s="483">
        <v>421</v>
      </c>
      <c r="F37" s="483">
        <v>514</v>
      </c>
      <c r="G37" s="483">
        <v>5</v>
      </c>
      <c r="H37" s="483">
        <v>5</v>
      </c>
      <c r="I37" s="476"/>
      <c r="L37" s="543"/>
      <c r="Q37" s="543"/>
      <c r="R37" s="543"/>
    </row>
    <row r="38" spans="2:26" ht="12.95" customHeight="1">
      <c r="B38" s="480" t="s">
        <v>396</v>
      </c>
      <c r="C38" s="537">
        <f t="shared" ref="C38:H38" si="6">SUM(C36:C37)</f>
        <v>13103</v>
      </c>
      <c r="D38" s="537">
        <f t="shared" si="6"/>
        <v>15584</v>
      </c>
      <c r="E38" s="537">
        <f t="shared" si="6"/>
        <v>18705</v>
      </c>
      <c r="F38" s="537">
        <f t="shared" si="6"/>
        <v>18078</v>
      </c>
      <c r="G38" s="537">
        <f t="shared" si="6"/>
        <v>20647</v>
      </c>
      <c r="H38" s="537">
        <f t="shared" si="6"/>
        <v>22799</v>
      </c>
    </row>
    <row r="39" spans="2:26" ht="12.95" customHeight="1">
      <c r="B39" s="480" t="s">
        <v>397</v>
      </c>
      <c r="C39" s="481">
        <f t="shared" ref="C39:H39" si="7">C27+C38</f>
        <v>40830</v>
      </c>
      <c r="D39" s="481">
        <f t="shared" si="7"/>
        <v>45400</v>
      </c>
      <c r="E39" s="481">
        <f t="shared" si="7"/>
        <v>55556</v>
      </c>
      <c r="F39" s="481">
        <f t="shared" si="7"/>
        <v>59268</v>
      </c>
      <c r="G39" s="481">
        <f t="shared" si="7"/>
        <v>64166</v>
      </c>
      <c r="H39" s="481">
        <f t="shared" si="7"/>
        <v>66848</v>
      </c>
      <c r="L39" s="543"/>
      <c r="Q39" s="543"/>
      <c r="R39" s="543"/>
    </row>
    <row r="40" spans="2:26" ht="12.95" customHeight="1">
      <c r="C40" s="470"/>
    </row>
    <row r="41" spans="2:26" ht="12.95" customHeight="1">
      <c r="B41" s="487" t="s">
        <v>398</v>
      </c>
      <c r="C41" s="548">
        <f t="shared" ref="C41:H41" si="8">C39-C15</f>
        <v>0</v>
      </c>
      <c r="D41" s="549">
        <f t="shared" si="8"/>
        <v>0</v>
      </c>
      <c r="E41" s="549">
        <f t="shared" si="8"/>
        <v>0</v>
      </c>
      <c r="F41" s="549">
        <f t="shared" si="8"/>
        <v>0</v>
      </c>
      <c r="G41" s="549">
        <f t="shared" si="8"/>
        <v>0</v>
      </c>
      <c r="H41" s="549">
        <f t="shared" si="8"/>
        <v>0</v>
      </c>
      <c r="I41" s="476"/>
      <c r="P41" s="543"/>
    </row>
    <row r="44" spans="2:26" ht="12.95" customHeight="1">
      <c r="L44" s="543"/>
      <c r="M44" s="543"/>
      <c r="N44" s="543"/>
      <c r="O44" s="543"/>
      <c r="P44" s="543"/>
      <c r="Z44" s="543"/>
    </row>
    <row r="45" spans="2:26" ht="12.95" customHeight="1">
      <c r="Z45" s="543"/>
    </row>
    <row r="46" spans="2:26" ht="12.95" customHeight="1">
      <c r="Z46" s="543"/>
    </row>
    <row r="47" spans="2:26" ht="12.95" customHeight="1">
      <c r="Z47" s="543"/>
    </row>
    <row r="48" spans="2:26" ht="12.95" customHeight="1">
      <c r="Z48" s="543"/>
    </row>
  </sheetData>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P68"/>
  <sheetViews>
    <sheetView workbookViewId="0"/>
  </sheetViews>
  <sheetFormatPr defaultColWidth="9.140625" defaultRowHeight="12.95" customHeight="1"/>
  <cols>
    <col min="1" max="1" width="2" style="228" customWidth="1"/>
    <col min="2" max="2" width="35.140625" style="228" customWidth="1"/>
    <col min="3" max="8" width="11.7109375" style="228" customWidth="1"/>
    <col min="9" max="9" width="13.85546875" style="228" customWidth="1"/>
    <col min="10" max="22" width="10.7109375" style="228" customWidth="1"/>
    <col min="23" max="16384" width="9.140625" style="228"/>
  </cols>
  <sheetData>
    <row r="1" spans="2:16" ht="16.5" customHeight="1">
      <c r="B1" s="227" t="s">
        <v>401</v>
      </c>
    </row>
    <row r="3" spans="2:16" ht="12.95" customHeight="1">
      <c r="B3" s="237" t="s">
        <v>401</v>
      </c>
      <c r="C3" s="237"/>
      <c r="D3" s="237"/>
      <c r="E3" s="237"/>
      <c r="F3" s="237"/>
      <c r="G3" s="237"/>
    </row>
    <row r="4" spans="2:16" ht="12.95" customHeight="1" thickBot="1">
      <c r="B4" s="334" t="str">
        <f>Drivers!$C$5&amp;" in mil"</f>
        <v>$ in mil</v>
      </c>
      <c r="C4" s="489">
        <v>43465</v>
      </c>
      <c r="D4" s="489">
        <f>EDATE(C4,12)</f>
        <v>43830</v>
      </c>
      <c r="E4" s="489">
        <f>EDATE(D4,12)</f>
        <v>44196</v>
      </c>
      <c r="F4" s="489">
        <f>EDATE(E4,12)</f>
        <v>44561</v>
      </c>
      <c r="G4" s="489">
        <f>EDATE(F4,12)</f>
        <v>44926</v>
      </c>
    </row>
    <row r="5" spans="2:16" ht="12.95" customHeight="1">
      <c r="B5" s="487" t="s">
        <v>402</v>
      </c>
      <c r="C5" s="471"/>
      <c r="D5" s="471"/>
      <c r="E5" s="471"/>
      <c r="F5" s="471"/>
      <c r="G5" s="471"/>
      <c r="L5" s="552"/>
      <c r="M5" s="552"/>
      <c r="N5" s="552"/>
      <c r="P5" s="551"/>
    </row>
    <row r="6" spans="2:16" ht="12.95" customHeight="1">
      <c r="B6" s="473" t="s">
        <v>376</v>
      </c>
      <c r="C6" s="491">
        <f>3179</f>
        <v>3179</v>
      </c>
      <c r="D6" s="491">
        <f>'Income Statement'!D24</f>
        <v>3704</v>
      </c>
      <c r="E6" s="491">
        <f>'Income Statement'!E24</f>
        <v>4059</v>
      </c>
      <c r="F6" s="491">
        <f>'Income Statement'!F24</f>
        <v>5079</v>
      </c>
      <c r="G6" s="491">
        <f>'Income Statement'!G24</f>
        <v>5915</v>
      </c>
      <c r="L6" s="552"/>
      <c r="M6" s="552"/>
      <c r="N6" s="552"/>
    </row>
    <row r="7" spans="2:16" ht="12.95" customHeight="1">
      <c r="B7" s="487" t="s">
        <v>407</v>
      </c>
      <c r="C7" s="492"/>
      <c r="D7" s="492"/>
      <c r="E7" s="492"/>
      <c r="F7" s="492"/>
      <c r="G7" s="492"/>
      <c r="L7" s="552"/>
      <c r="M7" s="552"/>
      <c r="N7" s="552"/>
    </row>
    <row r="8" spans="2:16" ht="12.95" customHeight="1">
      <c r="B8" s="476" t="s">
        <v>453</v>
      </c>
      <c r="C8" s="492">
        <v>1437</v>
      </c>
      <c r="D8" s="492">
        <v>1492</v>
      </c>
      <c r="E8" s="492">
        <v>1645</v>
      </c>
      <c r="F8" s="492">
        <v>1781</v>
      </c>
      <c r="G8" s="492">
        <v>1900</v>
      </c>
      <c r="L8" s="552"/>
      <c r="M8" s="552"/>
      <c r="N8" s="552"/>
    </row>
    <row r="9" spans="2:16" ht="12.95" customHeight="1">
      <c r="B9" s="476" t="s">
        <v>610</v>
      </c>
      <c r="C9" s="492">
        <v>0</v>
      </c>
      <c r="D9" s="492">
        <v>0</v>
      </c>
      <c r="E9" s="492">
        <v>194</v>
      </c>
      <c r="F9" s="492">
        <v>286</v>
      </c>
      <c r="G9" s="492">
        <v>377</v>
      </c>
      <c r="L9" s="552"/>
      <c r="M9" s="552"/>
      <c r="N9" s="552"/>
    </row>
    <row r="10" spans="2:16" ht="12.95" customHeight="1">
      <c r="B10" s="476" t="s">
        <v>472</v>
      </c>
      <c r="C10" s="492">
        <v>544</v>
      </c>
      <c r="D10" s="492">
        <v>595</v>
      </c>
      <c r="E10" s="492">
        <v>619</v>
      </c>
      <c r="F10" s="492">
        <v>665</v>
      </c>
      <c r="G10" s="492">
        <v>724</v>
      </c>
      <c r="L10" s="552"/>
      <c r="M10" s="552"/>
      <c r="N10" s="552"/>
    </row>
    <row r="11" spans="2:16" ht="12.95" customHeight="1">
      <c r="B11" s="476" t="s">
        <v>611</v>
      </c>
      <c r="C11" s="492">
        <v>-6</v>
      </c>
      <c r="D11" s="492">
        <v>9</v>
      </c>
      <c r="E11" s="492">
        <v>42</v>
      </c>
      <c r="F11" s="492">
        <v>85</v>
      </c>
      <c r="G11" s="492">
        <v>76</v>
      </c>
      <c r="L11" s="552"/>
      <c r="M11" s="552"/>
      <c r="N11" s="552"/>
    </row>
    <row r="12" spans="2:16" ht="12.95" customHeight="1">
      <c r="B12" s="476" t="s">
        <v>612</v>
      </c>
      <c r="C12" s="492">
        <v>-49</v>
      </c>
      <c r="D12" s="492">
        <v>147</v>
      </c>
      <c r="E12" s="492">
        <v>104</v>
      </c>
      <c r="F12" s="492">
        <v>59</v>
      </c>
      <c r="G12" s="492">
        <v>-37</v>
      </c>
      <c r="L12" s="552"/>
      <c r="M12" s="552"/>
      <c r="N12" s="552"/>
    </row>
    <row r="13" spans="2:16" ht="12.95" customHeight="1">
      <c r="B13" s="487" t="s">
        <v>408</v>
      </c>
      <c r="C13" s="492"/>
      <c r="D13" s="492"/>
      <c r="E13" s="492" t="s">
        <v>368</v>
      </c>
      <c r="F13" s="492" t="s">
        <v>368</v>
      </c>
      <c r="G13" s="497" t="s">
        <v>368</v>
      </c>
      <c r="I13" s="471"/>
      <c r="L13" s="552"/>
      <c r="M13" s="552"/>
      <c r="N13" s="552"/>
    </row>
    <row r="14" spans="2:16" ht="12.95" customHeight="1">
      <c r="B14" s="476" t="s">
        <v>601</v>
      </c>
      <c r="C14" s="492">
        <v>-1313</v>
      </c>
      <c r="D14" s="492">
        <v>-536</v>
      </c>
      <c r="E14" s="492">
        <v>-791</v>
      </c>
      <c r="F14" s="492">
        <v>-1892</v>
      </c>
      <c r="G14" s="492">
        <v>-4003</v>
      </c>
      <c r="I14" s="471"/>
      <c r="L14" s="552"/>
      <c r="M14" s="552"/>
      <c r="N14" s="552"/>
    </row>
    <row r="15" spans="2:16" ht="12.95" customHeight="1">
      <c r="B15" s="476" t="s">
        <v>603</v>
      </c>
      <c r="C15" s="492">
        <v>1561</v>
      </c>
      <c r="D15" s="492">
        <v>322</v>
      </c>
      <c r="E15" s="492">
        <v>2261</v>
      </c>
      <c r="F15" s="492">
        <v>1838</v>
      </c>
      <c r="G15" s="492">
        <v>1891</v>
      </c>
      <c r="L15" s="552"/>
      <c r="M15" s="552"/>
      <c r="N15" s="552"/>
    </row>
    <row r="16" spans="2:16" ht="12.95" customHeight="1">
      <c r="B16" s="476" t="s">
        <v>613</v>
      </c>
      <c r="C16" s="492">
        <v>421</v>
      </c>
      <c r="D16" s="492">
        <v>623</v>
      </c>
      <c r="E16" s="492">
        <v>728</v>
      </c>
      <c r="F16" s="492">
        <v>1057</v>
      </c>
      <c r="G16" s="492">
        <v>549</v>
      </c>
      <c r="L16" s="552"/>
      <c r="M16" s="552"/>
      <c r="N16" s="552"/>
    </row>
    <row r="17" spans="2:14" ht="12.95" customHeight="1">
      <c r="B17" s="474" t="s">
        <v>413</v>
      </c>
      <c r="C17" s="494">
        <f>SUM(C6:C16)</f>
        <v>5774</v>
      </c>
      <c r="D17" s="494">
        <f>SUM(D6:D16)</f>
        <v>6356</v>
      </c>
      <c r="E17" s="494">
        <f>SUM(E6:E16)</f>
        <v>8861</v>
      </c>
      <c r="F17" s="494">
        <f>SUM(F6:F16)</f>
        <v>8958</v>
      </c>
      <c r="G17" s="494">
        <f>SUM(G6:G16)</f>
        <v>7392</v>
      </c>
      <c r="L17" s="552"/>
      <c r="M17" s="552"/>
      <c r="N17" s="552"/>
    </row>
    <row r="18" spans="2:14" ht="12.95" customHeight="1">
      <c r="C18" s="495"/>
      <c r="D18" s="496"/>
      <c r="E18" s="496"/>
      <c r="F18" s="496"/>
      <c r="G18" s="496"/>
    </row>
    <row r="19" spans="2:14" ht="12.95" customHeight="1">
      <c r="B19" s="487" t="s">
        <v>403</v>
      </c>
      <c r="C19" s="492"/>
      <c r="D19" s="492"/>
      <c r="E19" s="492" t="s">
        <v>368</v>
      </c>
      <c r="F19" s="492"/>
      <c r="G19" s="492" t="s">
        <v>368</v>
      </c>
      <c r="L19" s="552"/>
      <c r="M19" s="552"/>
      <c r="N19" s="552"/>
    </row>
    <row r="20" spans="2:14" ht="12.95" customHeight="1">
      <c r="B20" s="471" t="s">
        <v>473</v>
      </c>
      <c r="C20" s="492">
        <v>-1060</v>
      </c>
      <c r="D20" s="492">
        <v>-1094</v>
      </c>
      <c r="E20" s="492">
        <v>-1626</v>
      </c>
      <c r="F20" s="492">
        <v>-1331</v>
      </c>
      <c r="G20" s="492">
        <v>-1121</v>
      </c>
      <c r="H20" s="479"/>
      <c r="L20" s="552"/>
      <c r="M20" s="552"/>
      <c r="N20" s="552"/>
    </row>
    <row r="21" spans="2:14" ht="12.95" customHeight="1">
      <c r="B21" s="471" t="s">
        <v>614</v>
      </c>
      <c r="C21" s="492">
        <v>1078</v>
      </c>
      <c r="D21" s="492">
        <v>1231</v>
      </c>
      <c r="E21" s="492">
        <v>1678</v>
      </c>
      <c r="F21" s="492">
        <v>1446</v>
      </c>
      <c r="G21" s="492">
        <v>1145</v>
      </c>
      <c r="H21" s="479"/>
      <c r="L21" s="552"/>
      <c r="M21" s="552"/>
      <c r="N21" s="552"/>
    </row>
    <row r="22" spans="2:14" ht="12.95" customHeight="1">
      <c r="B22" s="471" t="s">
        <v>615</v>
      </c>
      <c r="C22" s="492">
        <v>-2969</v>
      </c>
      <c r="D22" s="492">
        <v>-2998</v>
      </c>
      <c r="E22" s="472">
        <v>-2810</v>
      </c>
      <c r="F22" s="492">
        <v>-3588</v>
      </c>
      <c r="G22" s="472">
        <v>-3891</v>
      </c>
      <c r="L22" s="552"/>
      <c r="M22" s="552"/>
      <c r="N22" s="552"/>
    </row>
    <row r="23" spans="2:14" ht="12.95" customHeight="1">
      <c r="B23" s="471" t="s">
        <v>153</v>
      </c>
      <c r="C23" s="472">
        <v>0</v>
      </c>
      <c r="D23" s="472">
        <v>0</v>
      </c>
      <c r="E23" s="472">
        <v>-1163</v>
      </c>
      <c r="F23" s="472">
        <v>0</v>
      </c>
      <c r="G23" s="472">
        <v>0</v>
      </c>
      <c r="L23" s="552"/>
      <c r="M23" s="552"/>
      <c r="N23" s="552"/>
    </row>
    <row r="24" spans="2:14" ht="12.95" customHeight="1">
      <c r="B24" s="471" t="s">
        <v>616</v>
      </c>
      <c r="C24" s="492">
        <v>4</v>
      </c>
      <c r="D24" s="492">
        <v>-4</v>
      </c>
      <c r="E24" s="492">
        <v>30</v>
      </c>
      <c r="F24" s="492">
        <v>-62</v>
      </c>
      <c r="G24" s="492">
        <v>-48</v>
      </c>
      <c r="L24" s="552"/>
      <c r="M24" s="552"/>
      <c r="N24" s="552"/>
    </row>
    <row r="25" spans="2:14" ht="12.95" customHeight="1">
      <c r="B25" s="474" t="s">
        <v>404</v>
      </c>
      <c r="C25" s="494">
        <f>SUM(C20:C24)</f>
        <v>-2947</v>
      </c>
      <c r="D25" s="494">
        <f>SUM(D20:D24)</f>
        <v>-2865</v>
      </c>
      <c r="E25" s="494">
        <f>SUM(E20:E24)</f>
        <v>-3891</v>
      </c>
      <c r="F25" s="494">
        <f>SUM(F20:F24)</f>
        <v>-3535</v>
      </c>
      <c r="G25" s="494">
        <f>SUM(G20:G24)</f>
        <v>-3915</v>
      </c>
      <c r="L25" s="552"/>
      <c r="M25" s="552"/>
      <c r="N25" s="552"/>
    </row>
    <row r="26" spans="2:14" ht="12.95" customHeight="1">
      <c r="C26" s="495"/>
      <c r="D26" s="496"/>
      <c r="E26" s="496"/>
      <c r="F26" s="496"/>
      <c r="G26" s="496"/>
    </row>
    <row r="27" spans="2:14" ht="12.95" customHeight="1">
      <c r="B27" s="487" t="s">
        <v>405</v>
      </c>
      <c r="C27" s="492"/>
      <c r="D27" s="492"/>
      <c r="E27" s="492" t="s">
        <v>368</v>
      </c>
      <c r="F27" s="492" t="s">
        <v>368</v>
      </c>
      <c r="G27" s="492" t="s">
        <v>368</v>
      </c>
      <c r="L27" s="552"/>
      <c r="M27" s="552"/>
      <c r="N27" s="552"/>
    </row>
    <row r="28" spans="2:14" ht="12.95" customHeight="1">
      <c r="B28" s="471" t="s">
        <v>625</v>
      </c>
      <c r="C28" s="492">
        <v>80</v>
      </c>
      <c r="D28" s="492">
        <v>210</v>
      </c>
      <c r="E28" s="492">
        <v>0</v>
      </c>
      <c r="F28" s="492">
        <v>0</v>
      </c>
      <c r="G28" s="492">
        <v>0</v>
      </c>
    </row>
    <row r="29" spans="2:14" ht="12.95" customHeight="1">
      <c r="B29" s="471" t="s">
        <v>617</v>
      </c>
      <c r="C29" s="492">
        <v>0</v>
      </c>
      <c r="D29" s="492">
        <v>298</v>
      </c>
      <c r="E29" s="492">
        <v>3992</v>
      </c>
      <c r="F29" s="492">
        <v>0</v>
      </c>
      <c r="G29" s="492">
        <v>0</v>
      </c>
      <c r="L29" s="552"/>
      <c r="M29" s="552"/>
      <c r="N29" s="552"/>
    </row>
    <row r="30" spans="2:14" ht="12.95" customHeight="1">
      <c r="B30" s="471" t="s">
        <v>618</v>
      </c>
      <c r="C30" s="492">
        <v>-86</v>
      </c>
      <c r="D30" s="492">
        <v>-89</v>
      </c>
      <c r="E30" s="492">
        <v>-3200</v>
      </c>
      <c r="F30" s="492">
        <v>-94</v>
      </c>
      <c r="G30" s="492">
        <v>-800</v>
      </c>
      <c r="H30" s="490"/>
      <c r="L30" s="552"/>
      <c r="M30" s="552"/>
      <c r="N30" s="552"/>
    </row>
    <row r="31" spans="2:14" ht="12.95" customHeight="1">
      <c r="B31" s="471" t="s">
        <v>619</v>
      </c>
      <c r="C31" s="472">
        <v>-217</v>
      </c>
      <c r="D31" s="472">
        <v>-272</v>
      </c>
      <c r="E31" s="472">
        <v>-330</v>
      </c>
      <c r="F31" s="472">
        <v>-312</v>
      </c>
      <c r="G31" s="472">
        <v>-363</v>
      </c>
      <c r="L31" s="552"/>
      <c r="M31" s="552"/>
      <c r="N31" s="552"/>
    </row>
    <row r="32" spans="2:14" ht="12.95" customHeight="1">
      <c r="B32" s="471" t="s">
        <v>620</v>
      </c>
      <c r="C32" s="492">
        <v>-328</v>
      </c>
      <c r="D32" s="492">
        <v>-247</v>
      </c>
      <c r="E32" s="492">
        <v>-196</v>
      </c>
      <c r="F32" s="492">
        <v>-496</v>
      </c>
      <c r="G32" s="492">
        <v>-439</v>
      </c>
      <c r="L32" s="552"/>
      <c r="M32" s="552"/>
      <c r="N32" s="552"/>
    </row>
    <row r="33" spans="2:14" ht="12.95" customHeight="1">
      <c r="B33" s="471" t="s">
        <v>621</v>
      </c>
      <c r="C33" s="492">
        <v>-689</v>
      </c>
      <c r="D33" s="492">
        <v>-1038</v>
      </c>
      <c r="E33" s="492">
        <v>-1479</v>
      </c>
      <c r="F33" s="492">
        <v>-5748</v>
      </c>
      <c r="G33" s="492">
        <v>-1498</v>
      </c>
      <c r="L33" s="552"/>
      <c r="M33" s="552"/>
      <c r="N33" s="552"/>
    </row>
    <row r="34" spans="2:14" ht="12.95" customHeight="1">
      <c r="B34" s="471" t="s">
        <v>622</v>
      </c>
      <c r="C34" s="472">
        <v>0</v>
      </c>
      <c r="D34" s="472">
        <v>0</v>
      </c>
      <c r="E34" s="472">
        <v>0</v>
      </c>
      <c r="F34" s="472">
        <v>0</v>
      </c>
      <c r="G34" s="472">
        <v>-208</v>
      </c>
      <c r="L34" s="552"/>
      <c r="M34" s="552"/>
      <c r="N34" s="552"/>
    </row>
    <row r="35" spans="2:14" ht="12.95" customHeight="1">
      <c r="B35" s="471" t="s">
        <v>623</v>
      </c>
      <c r="C35" s="492">
        <v>0</v>
      </c>
      <c r="D35" s="492">
        <v>0</v>
      </c>
      <c r="E35" s="492">
        <v>0</v>
      </c>
      <c r="F35" s="472">
        <v>0</v>
      </c>
      <c r="G35" s="472">
        <v>-842</v>
      </c>
      <c r="L35" s="552"/>
      <c r="M35" s="552"/>
      <c r="N35" s="552"/>
    </row>
    <row r="36" spans="2:14" ht="12.95" customHeight="1">
      <c r="B36" s="471" t="s">
        <v>624</v>
      </c>
      <c r="C36" s="472">
        <v>-41</v>
      </c>
      <c r="D36" s="472">
        <v>-9</v>
      </c>
      <c r="E36" s="472">
        <v>66</v>
      </c>
      <c r="F36" s="472">
        <v>162</v>
      </c>
      <c r="G36" s="472">
        <v>-133</v>
      </c>
      <c r="L36" s="552"/>
      <c r="M36" s="552"/>
      <c r="N36" s="552"/>
    </row>
    <row r="37" spans="2:14" ht="12.95" customHeight="1">
      <c r="B37" s="474" t="s">
        <v>409</v>
      </c>
      <c r="C37" s="494">
        <f>SUM(C28:C36)</f>
        <v>-1281</v>
      </c>
      <c r="D37" s="494">
        <f t="shared" ref="D37:G37" si="0">SUM(D28:D36)</f>
        <v>-1147</v>
      </c>
      <c r="E37" s="494">
        <f t="shared" si="0"/>
        <v>-1147</v>
      </c>
      <c r="F37" s="494">
        <f t="shared" si="0"/>
        <v>-6488</v>
      </c>
      <c r="G37" s="494">
        <f t="shared" si="0"/>
        <v>-4283</v>
      </c>
      <c r="L37" s="552"/>
      <c r="M37" s="552"/>
      <c r="N37" s="552"/>
    </row>
    <row r="38" spans="2:14" ht="12.95" customHeight="1">
      <c r="B38" s="471"/>
      <c r="C38" s="493"/>
      <c r="D38" s="493"/>
      <c r="E38" s="493"/>
      <c r="F38" s="493"/>
      <c r="G38" s="493"/>
      <c r="H38" s="479"/>
    </row>
    <row r="39" spans="2:14" ht="12.95" customHeight="1">
      <c r="B39" s="471" t="s">
        <v>406</v>
      </c>
      <c r="C39" s="492">
        <v>-37</v>
      </c>
      <c r="D39" s="492">
        <v>-15</v>
      </c>
      <c r="E39" s="492">
        <v>70</v>
      </c>
      <c r="F39" s="492">
        <v>46</v>
      </c>
      <c r="G39" s="492">
        <v>-249</v>
      </c>
      <c r="L39" s="552"/>
      <c r="M39" s="552"/>
      <c r="N39" s="552"/>
    </row>
    <row r="40" spans="2:14" ht="12.95" customHeight="1">
      <c r="C40" s="495"/>
      <c r="D40" s="496"/>
      <c r="E40" s="496"/>
      <c r="F40" s="496"/>
      <c r="G40" s="496"/>
    </row>
    <row r="41" spans="2:14" ht="12.95" customHeight="1">
      <c r="B41" s="474" t="s">
        <v>410</v>
      </c>
      <c r="C41" s="494">
        <f>C17+C25+C37+C39</f>
        <v>1509</v>
      </c>
      <c r="D41" s="494">
        <f>D17+D25+D37+D39</f>
        <v>2329</v>
      </c>
      <c r="E41" s="494">
        <f>E17+E25+E37+E39</f>
        <v>3893</v>
      </c>
      <c r="F41" s="494">
        <f>F17+F25+F37+F39</f>
        <v>-1019</v>
      </c>
      <c r="G41" s="494">
        <f>G17+G25+G37+G39</f>
        <v>-1055</v>
      </c>
      <c r="L41" s="552"/>
      <c r="M41" s="552"/>
      <c r="N41" s="552"/>
    </row>
    <row r="43" spans="2:14" ht="12.95" customHeight="1">
      <c r="B43" s="471" t="s">
        <v>412</v>
      </c>
      <c r="C43" s="492">
        <v>4546</v>
      </c>
      <c r="D43" s="492">
        <f>'Balance Sheet'!C6</f>
        <v>6055</v>
      </c>
      <c r="E43" s="492">
        <f>'Balance Sheet'!D6</f>
        <v>8384</v>
      </c>
      <c r="F43" s="492">
        <f>'Balance Sheet'!E6</f>
        <v>12277</v>
      </c>
      <c r="G43" s="492">
        <f>'Balance Sheet'!F6</f>
        <v>11258</v>
      </c>
      <c r="L43" s="552"/>
      <c r="M43" s="552"/>
      <c r="N43" s="552"/>
    </row>
    <row r="44" spans="2:14" ht="12.95" customHeight="1">
      <c r="B44" s="471" t="s">
        <v>411</v>
      </c>
      <c r="C44" s="492">
        <f>C43+C41</f>
        <v>6055</v>
      </c>
      <c r="D44" s="492">
        <f>D43+D41</f>
        <v>8384</v>
      </c>
      <c r="E44" s="492">
        <f>E43+E41</f>
        <v>12277</v>
      </c>
      <c r="F44" s="492">
        <f>F43+F41</f>
        <v>11258</v>
      </c>
      <c r="G44" s="492">
        <f>G43+G41</f>
        <v>10203</v>
      </c>
      <c r="L44" s="552"/>
      <c r="M44" s="552"/>
      <c r="N44" s="552"/>
    </row>
    <row r="45" spans="2:14" ht="12.95" customHeight="1">
      <c r="B45" s="544"/>
      <c r="C45" s="550"/>
      <c r="D45" s="550"/>
      <c r="E45" s="550"/>
      <c r="F45" s="550"/>
      <c r="G45" s="550"/>
      <c r="L45" s="552"/>
      <c r="M45" s="552"/>
      <c r="N45" s="552"/>
    </row>
    <row r="46" spans="2:14" ht="12.95" customHeight="1">
      <c r="B46" s="487" t="s">
        <v>474</v>
      </c>
      <c r="C46" s="553">
        <f>C44-'Balance Sheet'!C6</f>
        <v>0</v>
      </c>
      <c r="D46" s="553">
        <v>0</v>
      </c>
      <c r="E46" s="553">
        <f>E44-'Balance Sheet'!E6</f>
        <v>0</v>
      </c>
      <c r="F46" s="553">
        <f>F44-'Balance Sheet'!F6</f>
        <v>0</v>
      </c>
      <c r="G46" s="553">
        <f>G44-'Balance Sheet'!G6</f>
        <v>0</v>
      </c>
      <c r="L46" s="552"/>
      <c r="M46" s="552"/>
      <c r="N46" s="552"/>
    </row>
    <row r="47" spans="2:14" ht="12.95" customHeight="1">
      <c r="L47" s="552"/>
      <c r="M47" s="552"/>
      <c r="N47" s="552"/>
    </row>
    <row r="48" spans="2:14" ht="12.95" customHeight="1">
      <c r="L48" s="552"/>
      <c r="M48" s="552"/>
      <c r="N48" s="552"/>
    </row>
    <row r="49" spans="2:14" ht="12.95" customHeight="1">
      <c r="J49" s="552"/>
      <c r="K49" s="552"/>
      <c r="L49" s="552"/>
      <c r="M49" s="552"/>
      <c r="N49" s="552"/>
    </row>
    <row r="50" spans="2:14" ht="12.95" customHeight="1">
      <c r="J50" s="552"/>
      <c r="K50" s="552"/>
      <c r="L50" s="552"/>
      <c r="M50" s="552"/>
      <c r="N50" s="552"/>
    </row>
    <row r="53" spans="2:14" ht="12.95" customHeight="1">
      <c r="I53" s="471"/>
    </row>
    <row r="57" spans="2:14" ht="12.95" customHeight="1">
      <c r="H57" s="479"/>
    </row>
    <row r="58" spans="2:14" ht="12.95" customHeight="1">
      <c r="H58" s="479"/>
    </row>
    <row r="61" spans="2:14" ht="12.95" customHeight="1">
      <c r="B61" s="476"/>
      <c r="C61" s="483"/>
      <c r="D61" s="472"/>
      <c r="E61" s="472"/>
      <c r="F61" s="472"/>
      <c r="G61" s="472"/>
    </row>
    <row r="62" spans="2:14" ht="12.95" customHeight="1">
      <c r="B62" s="487"/>
      <c r="C62" s="483"/>
      <c r="D62" s="472"/>
      <c r="E62" s="472"/>
      <c r="F62" s="472"/>
      <c r="G62" s="472"/>
      <c r="I62" s="471"/>
    </row>
    <row r="63" spans="2:14" ht="12.95" customHeight="1">
      <c r="B63" s="476"/>
      <c r="C63" s="483"/>
      <c r="D63" s="472"/>
      <c r="E63" s="472"/>
      <c r="F63" s="472"/>
      <c r="G63" s="472"/>
      <c r="I63" s="471"/>
    </row>
    <row r="64" spans="2:14" ht="12.95" customHeight="1">
      <c r="B64" s="476"/>
      <c r="C64" s="483"/>
      <c r="D64" s="472"/>
      <c r="E64" s="472"/>
      <c r="F64" s="472"/>
      <c r="G64" s="472"/>
      <c r="I64" s="471"/>
    </row>
    <row r="65" spans="2:11" ht="12.95" customHeight="1">
      <c r="B65" s="476"/>
      <c r="C65" s="483"/>
      <c r="D65" s="472"/>
      <c r="E65" s="482"/>
      <c r="F65" s="482"/>
      <c r="G65" s="482"/>
    </row>
    <row r="66" spans="2:11" ht="12.95" customHeight="1">
      <c r="B66" s="476"/>
      <c r="C66" s="483"/>
      <c r="D66" s="472"/>
      <c r="E66" s="472"/>
      <c r="F66" s="472"/>
      <c r="G66" s="472"/>
    </row>
    <row r="67" spans="2:11" ht="12.95" customHeight="1">
      <c r="B67" s="476"/>
      <c r="C67" s="483"/>
      <c r="D67" s="472"/>
      <c r="E67" s="472"/>
      <c r="F67" s="472"/>
      <c r="G67" s="472"/>
      <c r="H67" s="479"/>
      <c r="I67" s="479"/>
      <c r="J67" s="479"/>
      <c r="K67" s="479"/>
    </row>
    <row r="68" spans="2:11" ht="12.95" customHeight="1">
      <c r="H68" s="479"/>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9</vt:i4>
      </vt:variant>
    </vt:vector>
  </HeadingPairs>
  <TitlesOfParts>
    <vt:vector size="45" baseType="lpstr">
      <vt:lpstr>Dashboard</vt:lpstr>
      <vt:lpstr>Drivers</vt:lpstr>
      <vt:lpstr>About</vt:lpstr>
      <vt:lpstr>Corporate Governance</vt:lpstr>
      <vt:lpstr>Index</vt:lpstr>
      <vt:lpstr>Risk Free Rate &amp; ERP</vt:lpstr>
      <vt:lpstr>Beta Calculation Data</vt:lpstr>
      <vt:lpstr>Bottom Up Beta</vt:lpstr>
      <vt:lpstr>Cost of Equity, Debt &amp; WACC</vt:lpstr>
      <vt:lpstr>Cash Flows</vt:lpstr>
      <vt:lpstr>Accounting Adjustments</vt:lpstr>
      <vt:lpstr>Key Ratios</vt:lpstr>
      <vt:lpstr>Reinvestment</vt:lpstr>
      <vt:lpstr>FCFF &amp; FCFE</vt:lpstr>
      <vt:lpstr>Growth Rate &amp; TV</vt:lpstr>
      <vt:lpstr>Expected Growth Rate</vt:lpstr>
      <vt:lpstr>Revenue Projections</vt:lpstr>
      <vt:lpstr>Future CashFlows (10Y)</vt:lpstr>
      <vt:lpstr>Terminal Value</vt:lpstr>
      <vt:lpstr>Road to Fair Value of Share</vt:lpstr>
      <vt:lpstr>Cash &amp; Marketable Securities</vt:lpstr>
      <vt:lpstr>FV of RSU, PSU, PSU-TSR</vt:lpstr>
      <vt:lpstr>Fair Value of Share</vt:lpstr>
      <vt:lpstr>What If Analysis</vt:lpstr>
      <vt:lpstr>Sensitivity Analysis</vt:lpstr>
      <vt:lpstr>Scenario Analysis</vt:lpstr>
      <vt:lpstr>Financing Decision</vt:lpstr>
      <vt:lpstr>Debt Design Explained</vt:lpstr>
      <vt:lpstr>Optimal Cost of Capital</vt:lpstr>
      <vt:lpstr>Adjusted Present Value</vt:lpstr>
      <vt:lpstr>Dividend Decision</vt:lpstr>
      <vt:lpstr>Cash Return Explained</vt:lpstr>
      <vt:lpstr>Resources</vt:lpstr>
      <vt:lpstr>Income Statement</vt:lpstr>
      <vt:lpstr>Balance Sheet</vt:lpstr>
      <vt:lpstr>Cash Flow Statement</vt:lpstr>
      <vt:lpstr>'Adjusted Present Value'!Print_Area</vt:lpstr>
      <vt:lpstr>'Cash Return Explained'!Print_Area</vt:lpstr>
      <vt:lpstr>Dashboard!Print_Area</vt:lpstr>
      <vt:lpstr>'Debt Design Explained'!Print_Area</vt:lpstr>
      <vt:lpstr>'Fair Value of Share'!Print_Area</vt:lpstr>
      <vt:lpstr>'FV of RSU, PSU, PSU-TSR'!Print_Area</vt:lpstr>
      <vt:lpstr>'Optimal Cost of Capital'!Print_Area</vt:lpstr>
      <vt:lpstr>'Scenario Analysis'!Print_Area</vt:lpstr>
      <vt:lpstr>'Sensitivity Analysis'!Print_Area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2023-05-17T15:13:41Z</dcterms:modified>
</cp:coreProperties>
</file>