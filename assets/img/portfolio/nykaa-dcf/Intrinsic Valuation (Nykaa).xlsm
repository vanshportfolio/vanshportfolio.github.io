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50" r:id="rId3"/>
    <sheet name="Index" sheetId="4" r:id="rId4"/>
    <sheet name="Risk Free Rate" sheetId="24" r:id="rId5"/>
    <sheet name="Equity Risk Premium" sheetId="26" r:id="rId6"/>
    <sheet name="Beta" sheetId="30" r:id="rId7"/>
    <sheet name="Cost of Equity &amp; Debt" sheetId="23" r:id="rId8"/>
    <sheet name="WACC" sheetId="31" r:id="rId9"/>
    <sheet name="Cash Flows" sheetId="17" r:id="rId10"/>
    <sheet name="EBIT &amp; Advertising Expense" sheetId="49" r:id="rId11"/>
    <sheet name="Net CapEx" sheetId="32" r:id="rId12"/>
    <sheet name="Working Capital Changes" sheetId="34" r:id="rId13"/>
    <sheet name="FCFF &amp; FCFE" sheetId="35" r:id="rId14"/>
    <sheet name="Growth Rate &amp; TV" sheetId="36" r:id="rId15"/>
    <sheet name="Expected Growth Rate" sheetId="39" r:id="rId16"/>
    <sheet name="Industry &amp; Revenues" sheetId="53" r:id="rId17"/>
    <sheet name="Future Cashflows (10 Yrs)" sheetId="37" r:id="rId18"/>
    <sheet name="Terminal Value" sheetId="40" r:id="rId19"/>
    <sheet name="Road to Fair Value of Share" sheetId="42" r:id="rId20"/>
    <sheet name="Cash &amp; Marketable Securities" sheetId="43" r:id="rId21"/>
    <sheet name="Value of Cross Holdings" sheetId="41" r:id="rId22"/>
    <sheet name="Nykaa KK Beauty Pvt Ltd" sheetId="44" r:id="rId23"/>
    <sheet name="Dot &amp; Key Wellness Pvt Ltd" sheetId="45" r:id="rId24"/>
    <sheet name="Fair Value of Share" sheetId="48" r:id="rId25"/>
  </sheets>
  <externalReferences>
    <externalReference r:id="rId26"/>
  </externalReferences>
  <definedNames>
    <definedName name="_xlnm.Print_Area" localSheetId="16">'Industry &amp; Revenues'!$A$21:$R$47</definedName>
  </definedNames>
  <calcPr calcId="162913" iterate="1"/>
</workbook>
</file>

<file path=xl/calcChain.xml><?xml version="1.0" encoding="utf-8"?>
<calcChain xmlns="http://schemas.openxmlformats.org/spreadsheetml/2006/main">
  <c r="B19" i="4" l="1"/>
  <c r="B20" i="4" s="1"/>
  <c r="B21" i="4" s="1"/>
  <c r="B22" i="4" s="1"/>
  <c r="B23" i="4" s="1"/>
  <c r="B24" i="4" s="1"/>
  <c r="B25" i="4" s="1"/>
  <c r="B26" i="4" s="1"/>
  <c r="B27" i="4" s="1"/>
  <c r="B18" i="4"/>
  <c r="C20" i="48"/>
  <c r="L15" i="39" l="1"/>
  <c r="G26" i="39"/>
  <c r="C4" i="53" l="1"/>
  <c r="C22" i="48" l="1"/>
  <c r="C25" i="45"/>
  <c r="F17" i="45"/>
  <c r="J23" i="45"/>
  <c r="J20" i="45"/>
  <c r="K6" i="45"/>
  <c r="K7" i="45"/>
  <c r="L7" i="45" s="1"/>
  <c r="K8" i="45"/>
  <c r="K9" i="45"/>
  <c r="K10" i="45"/>
  <c r="K11" i="45"/>
  <c r="K12" i="45"/>
  <c r="K13" i="45"/>
  <c r="K14" i="45"/>
  <c r="K5" i="45"/>
  <c r="K4" i="45"/>
  <c r="H9" i="45"/>
  <c r="H11" i="45" s="1"/>
  <c r="I4" i="45"/>
  <c r="J4" i="45" s="1"/>
  <c r="C16" i="45"/>
  <c r="C15" i="45"/>
  <c r="C13" i="45"/>
  <c r="C5" i="45"/>
  <c r="C12" i="45"/>
  <c r="K6" i="44"/>
  <c r="K7" i="44"/>
  <c r="K8" i="44"/>
  <c r="K9" i="44"/>
  <c r="K10" i="44"/>
  <c r="K11" i="44"/>
  <c r="K12" i="44"/>
  <c r="K13" i="44"/>
  <c r="K14" i="44"/>
  <c r="K5" i="44"/>
  <c r="F17" i="44"/>
  <c r="J18" i="44"/>
  <c r="J17" i="44"/>
  <c r="J23" i="44"/>
  <c r="K4" i="44"/>
  <c r="I4" i="44"/>
  <c r="H4" i="44" s="1"/>
  <c r="H9" i="44" s="1"/>
  <c r="H11" i="44" s="1"/>
  <c r="F4" i="44"/>
  <c r="C17" i="44"/>
  <c r="C16" i="44"/>
  <c r="C13" i="44"/>
  <c r="C5" i="44"/>
  <c r="C6" i="44" s="1"/>
  <c r="C12" i="44"/>
  <c r="F11" i="41"/>
  <c r="F10" i="41"/>
  <c r="C6" i="43"/>
  <c r="H26" i="39"/>
  <c r="M20" i="39" s="1"/>
  <c r="M15" i="39"/>
  <c r="M21" i="39" s="1"/>
  <c r="C8" i="39"/>
  <c r="G18" i="37" s="1"/>
  <c r="D4" i="37"/>
  <c r="E4" i="53"/>
  <c r="I4" i="53"/>
  <c r="J4" i="53" s="1"/>
  <c r="J9" i="53" s="1"/>
  <c r="J11" i="53" s="1"/>
  <c r="H4" i="45" l="1"/>
  <c r="H12" i="45"/>
  <c r="H13" i="45" s="1"/>
  <c r="H10" i="45"/>
  <c r="H12" i="44"/>
  <c r="H13" i="44" s="1"/>
  <c r="H10" i="44"/>
  <c r="C4" i="37"/>
  <c r="J12" i="53"/>
  <c r="J10" i="53"/>
  <c r="C5" i="53"/>
  <c r="D4" i="53"/>
  <c r="P19" i="53"/>
  <c r="J13" i="53" l="1"/>
  <c r="C6" i="53"/>
  <c r="I5" i="53"/>
  <c r="C5" i="37" s="1"/>
  <c r="D9" i="53"/>
  <c r="I6" i="53" l="1"/>
  <c r="C6" i="37" s="1"/>
  <c r="D11" i="53"/>
  <c r="C7" i="53"/>
  <c r="C8" i="53" s="1"/>
  <c r="D10" i="53" l="1"/>
  <c r="D12" i="53"/>
  <c r="D13" i="53" s="1"/>
  <c r="I7" i="53"/>
  <c r="C7" i="37" s="1"/>
  <c r="I8" i="53" l="1"/>
  <c r="C8" i="37" s="1"/>
  <c r="C9" i="53"/>
  <c r="C10" i="53" s="1"/>
  <c r="C11" i="53" s="1"/>
  <c r="C12" i="53" s="1"/>
  <c r="C13" i="53" s="1"/>
  <c r="C14" i="53" s="1"/>
  <c r="C15" i="53" s="1"/>
  <c r="E9" i="53" l="1"/>
  <c r="I9" i="53"/>
  <c r="K9" i="53" l="1"/>
  <c r="D9" i="37" s="1"/>
  <c r="C9" i="37"/>
  <c r="E10" i="53"/>
  <c r="I10" i="53"/>
  <c r="K10" i="53" l="1"/>
  <c r="D10" i="37" s="1"/>
  <c r="C10" i="37"/>
  <c r="I11" i="53"/>
  <c r="E11" i="53"/>
  <c r="K11" i="53" l="1"/>
  <c r="D11" i="37" s="1"/>
  <c r="C11" i="37"/>
  <c r="E12" i="53"/>
  <c r="I12" i="53"/>
  <c r="K12" i="53" l="1"/>
  <c r="D12" i="37" s="1"/>
  <c r="C12" i="37"/>
  <c r="I13" i="53"/>
  <c r="E13" i="53"/>
  <c r="K13" i="53" l="1"/>
  <c r="D13" i="37" s="1"/>
  <c r="C13" i="37"/>
  <c r="E15" i="53"/>
  <c r="G15" i="53" s="1"/>
  <c r="E14" i="53"/>
  <c r="G14" i="53" s="1"/>
  <c r="I14" i="53"/>
  <c r="K14" i="53" l="1"/>
  <c r="D14" i="37" s="1"/>
  <c r="C14" i="37"/>
  <c r="I15" i="53"/>
  <c r="M14" i="53" l="1"/>
  <c r="O14" i="53" s="1"/>
  <c r="E14" i="37" s="1"/>
  <c r="K15" i="53"/>
  <c r="M15" i="53" s="1"/>
  <c r="O15" i="53" s="1"/>
  <c r="L14" i="39"/>
  <c r="L13" i="39"/>
  <c r="L12" i="39"/>
  <c r="L11" i="39"/>
  <c r="L10" i="39"/>
  <c r="L9" i="39"/>
  <c r="L8" i="39"/>
  <c r="L7" i="39"/>
  <c r="L6" i="39"/>
  <c r="L21" i="39"/>
  <c r="G25" i="39"/>
  <c r="G24" i="39"/>
  <c r="G23" i="39"/>
  <c r="G22" i="39"/>
  <c r="G21" i="39"/>
  <c r="G20" i="39"/>
  <c r="G19" i="39"/>
  <c r="G18" i="39"/>
  <c r="G17" i="39"/>
  <c r="G16" i="39"/>
  <c r="G15" i="39"/>
  <c r="G14" i="39"/>
  <c r="G13" i="39"/>
  <c r="G12" i="39"/>
  <c r="G11" i="39"/>
  <c r="G10" i="39"/>
  <c r="G9" i="39"/>
  <c r="G8" i="39"/>
  <c r="G7" i="39"/>
  <c r="G6" i="39"/>
  <c r="L20" i="39" s="1"/>
  <c r="I8" i="49"/>
  <c r="H8" i="49"/>
  <c r="K13" i="35" l="1"/>
  <c r="K14" i="35"/>
  <c r="K6" i="35"/>
  <c r="C11" i="34"/>
  <c r="F8" i="34"/>
  <c r="G8" i="34"/>
  <c r="F10" i="34"/>
  <c r="F7" i="34"/>
  <c r="F6" i="34"/>
  <c r="G10" i="34"/>
  <c r="H10" i="34"/>
  <c r="H15" i="34" s="1"/>
  <c r="C7" i="49"/>
  <c r="C6" i="49"/>
  <c r="C5" i="49"/>
  <c r="C4" i="49"/>
  <c r="E4" i="37" s="1"/>
  <c r="C4" i="32"/>
  <c r="H6" i="49"/>
  <c r="C12" i="49"/>
  <c r="C7" i="32" s="1"/>
  <c r="F22" i="31"/>
  <c r="F19" i="31"/>
  <c r="F17" i="31"/>
  <c r="L27" i="23"/>
  <c r="H25" i="23"/>
  <c r="I25" i="23"/>
  <c r="J25" i="23"/>
  <c r="K25" i="23"/>
  <c r="L25" i="23"/>
  <c r="F9" i="31"/>
  <c r="N18" i="30"/>
  <c r="O13" i="30"/>
  <c r="P13" i="30"/>
  <c r="N13" i="30"/>
  <c r="C18" i="30" s="1"/>
  <c r="I24" i="30"/>
  <c r="H24" i="30"/>
  <c r="C17" i="30" s="1"/>
  <c r="N22" i="30" s="1"/>
  <c r="G4" i="53" l="1"/>
  <c r="F4" i="53" s="1"/>
  <c r="F9" i="53" s="1"/>
  <c r="M4" i="53"/>
  <c r="L4" i="53" s="1"/>
  <c r="L9" i="53" s="1"/>
  <c r="P4" i="53"/>
  <c r="J8" i="49"/>
  <c r="C11" i="49" s="1"/>
  <c r="C8" i="49"/>
  <c r="C14" i="49" s="1"/>
  <c r="C9" i="30"/>
  <c r="C4" i="26"/>
  <c r="F21" i="26"/>
  <c r="O4" i="53" l="1"/>
  <c r="Q4" i="53" s="1"/>
  <c r="L11" i="53"/>
  <c r="M9" i="53"/>
  <c r="F11" i="53"/>
  <c r="G9" i="53"/>
  <c r="C12" i="30"/>
  <c r="D9" i="30" s="1"/>
  <c r="M17" i="30"/>
  <c r="D11" i="30"/>
  <c r="O9" i="53" l="1"/>
  <c r="E9" i="37" s="1"/>
  <c r="L10" i="53"/>
  <c r="M10" i="53" s="1"/>
  <c r="L12" i="53"/>
  <c r="M11" i="53"/>
  <c r="F12" i="53"/>
  <c r="F10" i="53"/>
  <c r="G10" i="53" s="1"/>
  <c r="G11" i="53"/>
  <c r="O11" i="53" l="1"/>
  <c r="E11" i="37" s="1"/>
  <c r="L13" i="53"/>
  <c r="M13" i="53" s="1"/>
  <c r="M12" i="53"/>
  <c r="F13" i="53"/>
  <c r="G13" i="53" s="1"/>
  <c r="G12" i="53"/>
  <c r="O10" i="53"/>
  <c r="E10" i="37" s="1"/>
  <c r="O12" i="53" l="1"/>
  <c r="E12" i="37" s="1"/>
  <c r="O13" i="53"/>
  <c r="E13" i="37" s="1"/>
  <c r="H7" i="49" l="1"/>
  <c r="I7" i="49"/>
  <c r="G7" i="49"/>
  <c r="J7" i="49" l="1"/>
  <c r="C10" i="49" s="1"/>
  <c r="C17" i="45"/>
  <c r="C19" i="45"/>
  <c r="C7" i="45"/>
  <c r="F5" i="45"/>
  <c r="F6" i="45" s="1"/>
  <c r="C19" i="44"/>
  <c r="F5" i="44"/>
  <c r="F6" i="44" s="1"/>
  <c r="C18" i="44"/>
  <c r="C7" i="44"/>
  <c r="L6" i="45" l="1"/>
  <c r="L5" i="45"/>
  <c r="L6" i="44"/>
  <c r="F7" i="45"/>
  <c r="C18" i="45"/>
  <c r="F8" i="45"/>
  <c r="G17" i="45"/>
  <c r="J4" i="44"/>
  <c r="G17" i="44" s="1"/>
  <c r="F7" i="44"/>
  <c r="L7" i="44" l="1"/>
  <c r="F18" i="45"/>
  <c r="F9" i="45"/>
  <c r="L8" i="45"/>
  <c r="F8" i="44"/>
  <c r="L8" i="44" s="1"/>
  <c r="F19" i="45" l="1"/>
  <c r="I9" i="45"/>
  <c r="L9" i="45"/>
  <c r="F10" i="45"/>
  <c r="F9" i="44"/>
  <c r="L9" i="44" s="1"/>
  <c r="G12" i="40"/>
  <c r="G15" i="40" s="1"/>
  <c r="G11" i="40"/>
  <c r="F20" i="45" l="1"/>
  <c r="L10" i="45"/>
  <c r="F11" i="45"/>
  <c r="I10" i="45"/>
  <c r="F10" i="44"/>
  <c r="L10" i="44" s="1"/>
  <c r="I9" i="44"/>
  <c r="J9" i="44" s="1"/>
  <c r="M9" i="44" s="1"/>
  <c r="B20" i="37"/>
  <c r="B21" i="37" s="1"/>
  <c r="B22" i="37" s="1"/>
  <c r="B23" i="37" s="1"/>
  <c r="B24" i="37" s="1"/>
  <c r="B25" i="37" s="1"/>
  <c r="B26" i="37" s="1"/>
  <c r="B27" i="37" s="1"/>
  <c r="B28" i="37" s="1"/>
  <c r="K4" i="37"/>
  <c r="K3" i="37"/>
  <c r="B6" i="37"/>
  <c r="B7" i="37" s="1"/>
  <c r="B8" i="37" s="1"/>
  <c r="B9" i="37" s="1"/>
  <c r="B10" i="37" s="1"/>
  <c r="B11" i="37" s="1"/>
  <c r="B12" i="37" s="1"/>
  <c r="B13" i="37" s="1"/>
  <c r="B14" i="37" s="1"/>
  <c r="C8" i="40" l="1"/>
  <c r="F21" i="45"/>
  <c r="I11" i="45"/>
  <c r="F12" i="45"/>
  <c r="L11" i="45"/>
  <c r="F11" i="44"/>
  <c r="L11" i="44" s="1"/>
  <c r="I10" i="44"/>
  <c r="J10" i="44" s="1"/>
  <c r="C25" i="37"/>
  <c r="C24" i="37"/>
  <c r="F22" i="45" l="1"/>
  <c r="L12" i="45"/>
  <c r="F13" i="45"/>
  <c r="F14" i="45" s="1"/>
  <c r="M21" i="45" s="1"/>
  <c r="I12" i="45"/>
  <c r="M10" i="44"/>
  <c r="F12" i="44"/>
  <c r="L12" i="44" s="1"/>
  <c r="I11" i="44"/>
  <c r="J11" i="44" s="1"/>
  <c r="F23" i="45" l="1"/>
  <c r="I14" i="45"/>
  <c r="I13" i="45"/>
  <c r="L13" i="45"/>
  <c r="L14" i="45"/>
  <c r="F13" i="44"/>
  <c r="F14" i="44" s="1"/>
  <c r="I12" i="44"/>
  <c r="J12" i="44" s="1"/>
  <c r="F11" i="35"/>
  <c r="C8" i="34"/>
  <c r="C5" i="34"/>
  <c r="H8" i="34"/>
  <c r="F15" i="34"/>
  <c r="F17" i="34" s="1"/>
  <c r="G15" i="34"/>
  <c r="B5" i="35"/>
  <c r="B3" i="35"/>
  <c r="I14" i="44" l="1"/>
  <c r="M21" i="44"/>
  <c r="F24" i="45"/>
  <c r="L13" i="44"/>
  <c r="L14" i="44"/>
  <c r="I13" i="44"/>
  <c r="H17" i="34"/>
  <c r="H22" i="34" s="1"/>
  <c r="F22" i="34"/>
  <c r="G17" i="34"/>
  <c r="K15" i="35"/>
  <c r="J11" i="35"/>
  <c r="F10" i="35"/>
  <c r="K8" i="35"/>
  <c r="F6" i="35"/>
  <c r="J5" i="35"/>
  <c r="C5" i="32"/>
  <c r="F25" i="45" l="1"/>
  <c r="G19" i="34"/>
  <c r="G22" i="34"/>
  <c r="H23" i="34" s="1"/>
  <c r="H19" i="34"/>
  <c r="C3" i="34" l="1"/>
  <c r="C9" i="34" s="1"/>
  <c r="F26" i="45"/>
  <c r="C11" i="31"/>
  <c r="B11" i="31"/>
  <c r="B9" i="31"/>
  <c r="B8" i="31"/>
  <c r="B6" i="31"/>
  <c r="B5" i="31"/>
  <c r="F29" i="31"/>
  <c r="C6" i="31" s="1"/>
  <c r="C6" i="34" l="1"/>
  <c r="G11" i="35" s="1"/>
  <c r="M22" i="44"/>
  <c r="M22" i="45"/>
  <c r="F27" i="45"/>
  <c r="H26" i="23"/>
  <c r="I26" i="23"/>
  <c r="J26" i="23"/>
  <c r="K26" i="23"/>
  <c r="L26" i="23"/>
  <c r="C17" i="23"/>
  <c r="C16" i="23"/>
  <c r="M18" i="30"/>
  <c r="C4" i="30"/>
  <c r="C3" i="30"/>
  <c r="C8" i="45" l="1"/>
  <c r="C8" i="44"/>
  <c r="L23" i="30"/>
  <c r="M19" i="30"/>
  <c r="J9" i="45"/>
  <c r="J10" i="45"/>
  <c r="J11" i="45"/>
  <c r="J12" i="45"/>
  <c r="M23" i="45"/>
  <c r="J14" i="45"/>
  <c r="M14" i="45" s="1"/>
  <c r="J13" i="45"/>
  <c r="M11" i="44"/>
  <c r="J14" i="44"/>
  <c r="M23" i="44"/>
  <c r="J13" i="44"/>
  <c r="C9" i="44"/>
  <c r="C9" i="45"/>
  <c r="N23" i="30"/>
  <c r="C20" i="23"/>
  <c r="D10" i="30"/>
  <c r="J4" i="26"/>
  <c r="J5" i="26"/>
  <c r="J6" i="26"/>
  <c r="J7" i="26"/>
  <c r="J8" i="26"/>
  <c r="I14" i="26"/>
  <c r="J13" i="26"/>
  <c r="J12" i="26"/>
  <c r="J11" i="26"/>
  <c r="E21" i="26"/>
  <c r="M4" i="26"/>
  <c r="C11" i="26"/>
  <c r="J9" i="26"/>
  <c r="J10" i="26"/>
  <c r="C7" i="26"/>
  <c r="C6" i="26"/>
  <c r="C3" i="26"/>
  <c r="B6" i="4"/>
  <c r="B7" i="4" s="1"/>
  <c r="B8" i="4" s="1"/>
  <c r="B9" i="4" s="1"/>
  <c r="B10" i="4" s="1"/>
  <c r="B11" i="4" s="1"/>
  <c r="B12" i="4" s="1"/>
  <c r="B13" i="4" s="1"/>
  <c r="B14" i="4" s="1"/>
  <c r="B15" i="4" s="1"/>
  <c r="B16" i="4" s="1"/>
  <c r="B17" i="4" s="1"/>
  <c r="M13" i="45" l="1"/>
  <c r="G26" i="45"/>
  <c r="M11" i="45"/>
  <c r="G24" i="45"/>
  <c r="M13" i="44"/>
  <c r="M14" i="44"/>
  <c r="M10" i="45"/>
  <c r="G23" i="45"/>
  <c r="G27" i="45"/>
  <c r="M18" i="45" s="1"/>
  <c r="M19" i="45" s="1"/>
  <c r="M25" i="45" s="1"/>
  <c r="M9" i="45"/>
  <c r="G22" i="45"/>
  <c r="M12" i="44"/>
  <c r="M12" i="45"/>
  <c r="G25" i="45"/>
  <c r="J18" i="45"/>
  <c r="C11" i="45"/>
  <c r="C11" i="44"/>
  <c r="C8" i="31"/>
  <c r="M6" i="26"/>
  <c r="M7" i="26" s="1"/>
  <c r="J14" i="26"/>
  <c r="C8" i="24"/>
  <c r="C4" i="24" s="1"/>
  <c r="C20" i="45" l="1"/>
  <c r="C22" i="45" s="1"/>
  <c r="C28" i="45" s="1"/>
  <c r="C14" i="45"/>
  <c r="C20" i="44"/>
  <c r="C22" i="44" s="1"/>
  <c r="C14" i="44"/>
  <c r="C3" i="44"/>
  <c r="C3" i="45"/>
  <c r="F27" i="26"/>
  <c r="G4" i="40"/>
  <c r="C5" i="23"/>
  <c r="C26" i="37"/>
  <c r="M5" i="26"/>
  <c r="M9" i="26" s="1"/>
  <c r="C13" i="26" s="1"/>
  <c r="F8" i="41" l="1"/>
  <c r="C28" i="44"/>
  <c r="C27" i="37"/>
  <c r="G21" i="26"/>
  <c r="H21" i="26" s="1"/>
  <c r="C28" i="37" l="1"/>
  <c r="I21" i="26"/>
  <c r="J21" i="26" s="1"/>
  <c r="K21" i="26" s="1"/>
  <c r="F24" i="26" l="1"/>
  <c r="F23" i="26"/>
  <c r="F26" i="26" l="1"/>
  <c r="F28" i="26" s="1"/>
  <c r="C4" i="45" l="1"/>
  <c r="C4" i="44"/>
  <c r="C6" i="23"/>
  <c r="G5" i="40"/>
  <c r="J26" i="44" l="1"/>
  <c r="J17" i="45"/>
  <c r="J26" i="45" s="1"/>
  <c r="M27" i="45" s="1"/>
  <c r="C24" i="45" s="1"/>
  <c r="C6" i="45"/>
  <c r="F12" i="31" l="1"/>
  <c r="C9" i="31" l="1"/>
  <c r="G17" i="40" s="1"/>
  <c r="G18" i="40" s="1"/>
  <c r="C15" i="49" l="1"/>
  <c r="C16" i="49" s="1"/>
  <c r="C19" i="49" l="1"/>
  <c r="G5" i="35"/>
  <c r="G4" i="37" s="1"/>
  <c r="F4" i="37" s="1"/>
  <c r="C8" i="32"/>
  <c r="C9" i="32" l="1"/>
  <c r="G10" i="35" s="1"/>
  <c r="G8" i="35"/>
  <c r="K5" i="35"/>
  <c r="K7" i="35" s="1"/>
  <c r="K9" i="35" s="1"/>
  <c r="H4" i="37"/>
  <c r="H18" i="37" s="1"/>
  <c r="C7" i="39" l="1"/>
  <c r="C9" i="39" s="1"/>
  <c r="C8" i="43" s="1"/>
  <c r="C4" i="39"/>
  <c r="G12" i="35"/>
  <c r="C3" i="39" s="1"/>
  <c r="C5" i="39" l="1"/>
  <c r="C11" i="39" s="1"/>
  <c r="K11" i="35"/>
  <c r="K17" i="35" s="1"/>
  <c r="C5" i="35" s="1"/>
  <c r="G14" i="35"/>
  <c r="C3" i="35" s="1"/>
  <c r="F18" i="37" s="1"/>
  <c r="G8" i="40"/>
  <c r="G19" i="40"/>
  <c r="L7" i="48" s="1"/>
  <c r="L5" i="44"/>
  <c r="F18" i="44" s="1"/>
  <c r="F19" i="44" s="1"/>
  <c r="F20" i="44" s="1"/>
  <c r="F21" i="44" s="1"/>
  <c r="F22" i="44" s="1"/>
  <c r="G22" i="44" l="1"/>
  <c r="F23" i="44"/>
  <c r="F24" i="44" l="1"/>
  <c r="G23" i="44"/>
  <c r="G24" i="44" l="1"/>
  <c r="F25" i="44"/>
  <c r="G25" i="44" l="1"/>
  <c r="F26" i="44"/>
  <c r="F27" i="44" l="1"/>
  <c r="G27" i="44" s="1"/>
  <c r="M18" i="44" s="1"/>
  <c r="M19" i="44" s="1"/>
  <c r="M25" i="44" s="1"/>
  <c r="M27" i="44" s="1"/>
  <c r="C24" i="44" s="1"/>
  <c r="G26" i="44"/>
  <c r="I5" i="45"/>
  <c r="J5" i="45" s="1"/>
  <c r="H8" i="45" l="1"/>
  <c r="I8" i="45" s="1"/>
  <c r="J8" i="45" s="1"/>
  <c r="M8" i="45" s="1"/>
  <c r="M5" i="45"/>
  <c r="G18" i="45"/>
  <c r="G21" i="45"/>
  <c r="I6" i="45"/>
  <c r="J6" i="45" s="1"/>
  <c r="I7" i="45"/>
  <c r="J7" i="45" s="1"/>
  <c r="M7" i="45" l="1"/>
  <c r="G20" i="45"/>
  <c r="M6" i="45"/>
  <c r="G19" i="45"/>
  <c r="C23" i="45" l="1"/>
  <c r="C27" i="45" s="1"/>
  <c r="C29" i="45" s="1"/>
  <c r="F14" i="41" s="1"/>
  <c r="N17" i="30"/>
  <c r="C20" i="30"/>
  <c r="L22" i="30"/>
  <c r="M22" i="30"/>
  <c r="M23" i="30"/>
  <c r="J24" i="30"/>
  <c r="L24" i="30"/>
  <c r="M24" i="30"/>
  <c r="N24" i="30"/>
  <c r="C9" i="43"/>
  <c r="C10" i="43"/>
  <c r="C12" i="43"/>
  <c r="C7" i="23"/>
  <c r="C9" i="23"/>
  <c r="K20" i="39"/>
  <c r="K21" i="39"/>
  <c r="L22" i="39"/>
  <c r="M22" i="39"/>
  <c r="C6" i="48"/>
  <c r="D6" i="48"/>
  <c r="E6" i="48"/>
  <c r="F6" i="48"/>
  <c r="G6" i="48"/>
  <c r="H6" i="48"/>
  <c r="I6" i="48"/>
  <c r="J6" i="48"/>
  <c r="K6" i="48"/>
  <c r="L6" i="48"/>
  <c r="C7" i="48"/>
  <c r="D7" i="48"/>
  <c r="E7" i="48"/>
  <c r="F7" i="48"/>
  <c r="G7" i="48"/>
  <c r="H7" i="48"/>
  <c r="I7" i="48"/>
  <c r="J7" i="48"/>
  <c r="K7" i="48"/>
  <c r="C8" i="48"/>
  <c r="D8" i="48"/>
  <c r="E8" i="48"/>
  <c r="F8" i="48"/>
  <c r="G8" i="48"/>
  <c r="H8" i="48"/>
  <c r="I8" i="48"/>
  <c r="J8" i="48"/>
  <c r="K8" i="48"/>
  <c r="L8" i="48"/>
  <c r="C12" i="48"/>
  <c r="C13" i="48"/>
  <c r="C14" i="48"/>
  <c r="C15" i="48"/>
  <c r="C16" i="48"/>
  <c r="C17" i="48"/>
  <c r="C19" i="48"/>
  <c r="C21" i="48"/>
  <c r="C23" i="48"/>
  <c r="C25" i="48"/>
  <c r="D5" i="37"/>
  <c r="E5" i="37"/>
  <c r="F5" i="37"/>
  <c r="G5" i="37"/>
  <c r="H5" i="37"/>
  <c r="D6" i="37"/>
  <c r="E6" i="37"/>
  <c r="F6" i="37"/>
  <c r="G6" i="37"/>
  <c r="H6" i="37"/>
  <c r="D7" i="37"/>
  <c r="E7" i="37"/>
  <c r="F7" i="37"/>
  <c r="G7" i="37"/>
  <c r="H7" i="37"/>
  <c r="D8" i="37"/>
  <c r="E8" i="37"/>
  <c r="F8" i="37"/>
  <c r="G8" i="37"/>
  <c r="H8" i="37"/>
  <c r="F9" i="37"/>
  <c r="G9" i="37"/>
  <c r="H9" i="37"/>
  <c r="F10" i="37"/>
  <c r="G10" i="37"/>
  <c r="H10" i="37"/>
  <c r="F11" i="37"/>
  <c r="G11" i="37"/>
  <c r="H11" i="37"/>
  <c r="F12" i="37"/>
  <c r="G12" i="37"/>
  <c r="H12" i="37"/>
  <c r="F13" i="37"/>
  <c r="G13" i="37"/>
  <c r="H13" i="37"/>
  <c r="F14" i="37"/>
  <c r="G14" i="37"/>
  <c r="H14" i="37"/>
  <c r="C19" i="37"/>
  <c r="D19" i="37"/>
  <c r="E19" i="37"/>
  <c r="F19" i="37"/>
  <c r="G19" i="37"/>
  <c r="H19" i="37"/>
  <c r="C20" i="37"/>
  <c r="D20" i="37"/>
  <c r="E20" i="37"/>
  <c r="F20" i="37"/>
  <c r="G20" i="37"/>
  <c r="H20" i="37"/>
  <c r="C21" i="37"/>
  <c r="D21" i="37"/>
  <c r="E21" i="37"/>
  <c r="F21" i="37"/>
  <c r="G21" i="37"/>
  <c r="H21" i="37"/>
  <c r="C22" i="37"/>
  <c r="D22" i="37"/>
  <c r="E22" i="37"/>
  <c r="F22" i="37"/>
  <c r="G22" i="37"/>
  <c r="H22" i="37"/>
  <c r="C23" i="37"/>
  <c r="D23" i="37"/>
  <c r="E23" i="37"/>
  <c r="F23" i="37"/>
  <c r="G23" i="37"/>
  <c r="H23" i="37"/>
  <c r="D24" i="37"/>
  <c r="E24" i="37"/>
  <c r="F24" i="37"/>
  <c r="G24" i="37"/>
  <c r="H24" i="37"/>
  <c r="D25" i="37"/>
  <c r="E25" i="37"/>
  <c r="F25" i="37"/>
  <c r="G25" i="37"/>
  <c r="H25" i="37"/>
  <c r="D26" i="37"/>
  <c r="E26" i="37"/>
  <c r="F26" i="37"/>
  <c r="G26" i="37"/>
  <c r="H26" i="37"/>
  <c r="D27" i="37"/>
  <c r="E27" i="37"/>
  <c r="F27" i="37"/>
  <c r="G27" i="37"/>
  <c r="H27" i="37"/>
  <c r="D28" i="37"/>
  <c r="E28" i="37"/>
  <c r="F28" i="37"/>
  <c r="G28" i="37"/>
  <c r="H28" i="37"/>
  <c r="D5" i="53"/>
  <c r="E5" i="53"/>
  <c r="F5" i="53"/>
  <c r="G5" i="53"/>
  <c r="J5" i="53"/>
  <c r="K5" i="53"/>
  <c r="L5" i="53"/>
  <c r="M5" i="53"/>
  <c r="O5" i="53"/>
  <c r="D6" i="53"/>
  <c r="E6" i="53"/>
  <c r="F6" i="53"/>
  <c r="G6" i="53"/>
  <c r="J6" i="53"/>
  <c r="K6" i="53"/>
  <c r="L6" i="53"/>
  <c r="M6" i="53"/>
  <c r="O6" i="53"/>
  <c r="D7" i="53"/>
  <c r="E7" i="53"/>
  <c r="F7" i="53"/>
  <c r="G7" i="53"/>
  <c r="J7" i="53"/>
  <c r="K7" i="53"/>
  <c r="L7" i="53"/>
  <c r="M7" i="53"/>
  <c r="O7" i="53"/>
  <c r="D8" i="53"/>
  <c r="E8" i="53"/>
  <c r="F8" i="53"/>
  <c r="G8" i="53"/>
  <c r="J8" i="53"/>
  <c r="K8" i="53"/>
  <c r="L8" i="53"/>
  <c r="M8" i="53"/>
  <c r="O8" i="53"/>
  <c r="H5" i="44"/>
  <c r="I5" i="44"/>
  <c r="J5" i="44"/>
  <c r="M5" i="44"/>
  <c r="H6" i="44"/>
  <c r="I6" i="44"/>
  <c r="J6" i="44"/>
  <c r="M6" i="44"/>
  <c r="H7" i="44"/>
  <c r="I7" i="44"/>
  <c r="J7" i="44"/>
  <c r="M7" i="44"/>
  <c r="H8" i="44"/>
  <c r="I8" i="44"/>
  <c r="J8" i="44"/>
  <c r="M8" i="44"/>
  <c r="G18" i="44"/>
  <c r="G19" i="44"/>
  <c r="G20" i="44"/>
  <c r="G21" i="44"/>
  <c r="C23" i="44"/>
  <c r="C27" i="44"/>
  <c r="C29" i="44"/>
  <c r="C4" i="40"/>
  <c r="C5" i="40"/>
  <c r="C7" i="40"/>
  <c r="C9" i="40"/>
  <c r="C11" i="40"/>
  <c r="C13" i="40"/>
  <c r="F9" i="41"/>
  <c r="F13" i="41"/>
  <c r="F16" i="41"/>
  <c r="C5" i="31"/>
  <c r="C13" i="31"/>
</calcChain>
</file>

<file path=xl/sharedStrings.xml><?xml version="1.0" encoding="utf-8"?>
<sst xmlns="http://schemas.openxmlformats.org/spreadsheetml/2006/main" count="700" uniqueCount="399">
  <si>
    <t xml:space="preserve">#                </t>
  </si>
  <si>
    <t>Worksheet</t>
  </si>
  <si>
    <t>D&amp;A</t>
  </si>
  <si>
    <t>EBIT</t>
  </si>
  <si>
    <t>Inventory</t>
  </si>
  <si>
    <t>Total Equity</t>
  </si>
  <si>
    <t>Revenues</t>
  </si>
  <si>
    <t>WACC</t>
  </si>
  <si>
    <t>Other Assets</t>
  </si>
  <si>
    <t>Other Financial Assets</t>
  </si>
  <si>
    <t>Debt</t>
  </si>
  <si>
    <t>Beta</t>
  </si>
  <si>
    <t>Growth Rate</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</si>
  <si>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</si>
  <si>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</si>
  <si>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</si>
  <si>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</si>
  <si>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</si>
  <si>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</si>
  <si>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</si>
  <si>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</si>
  <si>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</si>
  <si>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</si>
  <si>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</si>
  <si>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</si>
  <si>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</si>
  <si>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</si>
  <si>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</si>
  <si>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</si>
  <si>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</si>
  <si>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</si>
  <si>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</si>
  <si>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</si>
  <si>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</si>
  <si>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</si>
  <si>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</si>
  <si>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</si>
  <si>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</si>
  <si>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</si>
  <si>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</si>
  <si>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</si>
  <si>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</si>
  <si>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</si>
  <si>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</si>
  <si>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</si>
  <si>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</si>
  <si>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</si>
  <si>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</si>
  <si>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</si>
  <si>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</si>
  <si>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</si>
  <si>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</si>
  <si>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</si>
  <si>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</si>
  <si>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</si>
  <si>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</si>
  <si>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</si>
  <si>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</si>
  <si>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</si>
  <si>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</si>
  <si>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</si>
  <si>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</si>
  <si>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</si>
  <si>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</si>
  <si>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</si>
  <si>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</si>
  <si>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</si>
  <si>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</si>
  <si>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</si>
  <si>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</si>
  <si>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</si>
  <si>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</si>
  <si>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</si>
  <si>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</si>
  <si>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</si>
  <si>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</si>
  <si>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</si>
  <si>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</si>
  <si>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</si>
  <si>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</si>
  <si>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</si>
  <si>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</si>
  <si>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</si>
  <si>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</si>
  <si>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</si>
  <si>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</si>
  <si>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</si>
  <si>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</si>
  <si>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</si>
  <si>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Nifty50 (as on 31st March 2022)</t>
  </si>
  <si>
    <t>Investment Outflow</t>
  </si>
  <si>
    <t>NPV @ 10%</t>
  </si>
  <si>
    <t>NPV @ 9%</t>
  </si>
  <si>
    <t>Exp Return on Stocks</t>
  </si>
  <si>
    <t>-</t>
  </si>
  <si>
    <t>Trent Ltd</t>
  </si>
  <si>
    <t>#1 Industry</t>
  </si>
  <si>
    <t>#2 Industry</t>
  </si>
  <si>
    <t>Vedant Fashions Ltd</t>
  </si>
  <si>
    <t>Ticker</t>
  </si>
  <si>
    <t>MANYAVAR</t>
  </si>
  <si>
    <t>Aditya Birla Fashion &amp; Retail Ltd</t>
  </si>
  <si>
    <t>ABFRL</t>
  </si>
  <si>
    <t>Metro Brands Ltd</t>
  </si>
  <si>
    <t>METROBRAND</t>
  </si>
  <si>
    <t>VMART</t>
  </si>
  <si>
    <t>V-Mart Retail Ltd</t>
  </si>
  <si>
    <t>Shoppers Stop Ltd</t>
  </si>
  <si>
    <t>SHOPERSTOP</t>
  </si>
  <si>
    <t>Arvind Fashions Ltd</t>
  </si>
  <si>
    <t>ARVINDFASN</t>
  </si>
  <si>
    <t>Future Lifestyle Fashions Ltd</t>
  </si>
  <si>
    <t>FLFL</t>
  </si>
  <si>
    <t>V2 Retail Ltd</t>
  </si>
  <si>
    <t>V2RETAIL</t>
  </si>
  <si>
    <t>Regression Beta using Python (skLearn.LinearModel)</t>
  </si>
  <si>
    <t>D/E Ratio</t>
  </si>
  <si>
    <t>Yahoo Finance (yahoofinancials module)</t>
  </si>
  <si>
    <t>EV/Sales</t>
  </si>
  <si>
    <t>Annual Report 2022</t>
  </si>
  <si>
    <t>Bottom-Up Beta</t>
  </si>
  <si>
    <t>Marginal Corporate Tax Rate (%)</t>
  </si>
  <si>
    <t>India Corporate Tax Rate</t>
  </si>
  <si>
    <t>Business</t>
  </si>
  <si>
    <t>Value</t>
  </si>
  <si>
    <t>Levered Bottom-Up Beta</t>
  </si>
  <si>
    <t>Risk Free Rate - Rf</t>
  </si>
  <si>
    <t>(Cost of Equity = Risk Free Rate + Beta * Equity Risk Premium)</t>
  </si>
  <si>
    <t>Lambda (λ)</t>
  </si>
  <si>
    <t>US Risk Free Rate - Rf</t>
  </si>
  <si>
    <t>Interest</t>
  </si>
  <si>
    <t>ICR (%)</t>
  </si>
  <si>
    <t>Average ICR (%)</t>
  </si>
  <si>
    <t>"Synthetic" Trent Ltd Risk Premium</t>
  </si>
  <si>
    <t>(Cost of Debt = Rf + λ* India's Default Spread + Co. Risk Premium)</t>
  </si>
  <si>
    <t>10 Year Bond Yield Historical Data (Investing.com)</t>
  </si>
  <si>
    <t>ICR Synthetic Rating</t>
  </si>
  <si>
    <t>Standard Deviation with Python</t>
  </si>
  <si>
    <t>Cost of Equity &amp; Debt</t>
  </si>
  <si>
    <t>Pre-Tax Cost of Debt</t>
  </si>
  <si>
    <t>Market Value of Debt</t>
  </si>
  <si>
    <t>Book Value of Debt</t>
  </si>
  <si>
    <t>Interest Expense</t>
  </si>
  <si>
    <t>Est. Market Value of Debt</t>
  </si>
  <si>
    <t>Average Maturity of Debt (Yrs)</t>
  </si>
  <si>
    <t>Market Value of Equity</t>
  </si>
  <si>
    <t>Number of Shares Outstanding</t>
  </si>
  <si>
    <t>Market Capitalization</t>
  </si>
  <si>
    <t>Long Term Financial Lease</t>
  </si>
  <si>
    <t>Short Term Financial Lease</t>
  </si>
  <si>
    <t>Cash Flows</t>
  </si>
  <si>
    <t>Valuation Index</t>
  </si>
  <si>
    <t>Revenues (TTM)</t>
  </si>
  <si>
    <t>COGS</t>
  </si>
  <si>
    <t>Operating Expenses</t>
  </si>
  <si>
    <t>+</t>
  </si>
  <si>
    <t>Adjusted EBIT</t>
  </si>
  <si>
    <t>Net CapEx</t>
  </si>
  <si>
    <t>Capital Expenditures (CapEx)</t>
  </si>
  <si>
    <t>Adjusted Net Capital Expenditures</t>
  </si>
  <si>
    <t>Working Capital Changes</t>
  </si>
  <si>
    <t>Account Payables</t>
  </si>
  <si>
    <t>Non Cash Working Capital</t>
  </si>
  <si>
    <t>Cash Flows - FCFF</t>
  </si>
  <si>
    <t>EBIT * (1 - Tax Rate)</t>
  </si>
  <si>
    <t>Aquistion of Companies</t>
  </si>
  <si>
    <t>Free Cash Flow to Firm (FCFF)</t>
  </si>
  <si>
    <t>Reinvestment</t>
  </si>
  <si>
    <t>Cash Flows - FCFE</t>
  </si>
  <si>
    <t>Finance Cost</t>
  </si>
  <si>
    <t>Adjusted EBT</t>
  </si>
  <si>
    <t>Effective Tax (%)</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</si>
  <si>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</si>
  <si>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</si>
  <si>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</si>
  <si>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</si>
  <si>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</si>
  <si>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</si>
  <si>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</si>
  <si>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</si>
  <si>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</si>
  <si>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</si>
  <si>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</si>
  <si>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</si>
  <si>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Current Tax Liabilities</t>
  </si>
  <si>
    <t>Other Current Assets</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</si>
  <si>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</si>
  <si>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</si>
  <si>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</si>
  <si>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</si>
  <si>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</si>
  <si>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</si>
  <si>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</si>
  <si>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</si>
  <si>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</si>
  <si>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Average WC as % of Revenues</t>
  </si>
  <si>
    <t>Adj Change in Non Cash WC</t>
  </si>
  <si>
    <t>Expected Growth Rate</t>
  </si>
  <si>
    <t>Future Cash Flows (10 Yrs)</t>
  </si>
  <si>
    <t>Terminal Value</t>
  </si>
  <si>
    <t>Growth &amp; TV</t>
  </si>
  <si>
    <t>Reinvestment Rate</t>
  </si>
  <si>
    <t>Return on Invested Capital (ROIC)</t>
  </si>
  <si>
    <t>LTM</t>
  </si>
  <si>
    <t>Rev. Growth</t>
  </si>
  <si>
    <t>Op. Margin</t>
  </si>
  <si>
    <t>Change in Sales</t>
  </si>
  <si>
    <t>Sales to Capital</t>
  </si>
  <si>
    <t>FCFF</t>
  </si>
  <si>
    <t>Invested Capital</t>
  </si>
  <si>
    <t>ROIC</t>
  </si>
  <si>
    <t>Growth Rate &amp; TV</t>
  </si>
  <si>
    <t>Risk Free Rate - India</t>
  </si>
  <si>
    <t>Growth Rate in perpetuity</t>
  </si>
  <si>
    <t>ROIC in perpetuity</t>
  </si>
  <si>
    <t>EBIT (11th Year)</t>
  </si>
  <si>
    <t>Marginal Tax Rate (%)</t>
  </si>
  <si>
    <t>Mature Company Cost of Capital Estimation</t>
  </si>
  <si>
    <t>FCFF (11th Year)</t>
  </si>
  <si>
    <t>Mature Company's Beta</t>
  </si>
  <si>
    <t>% of Debt</t>
  </si>
  <si>
    <t>% of Equity</t>
  </si>
  <si>
    <t>Mature WACC</t>
  </si>
  <si>
    <t>Interest Coverage Ratio will be above 12.5</t>
  </si>
  <si>
    <t>Cross Holdings</t>
  </si>
  <si>
    <t>Holding Type</t>
  </si>
  <si>
    <t>% Owner</t>
  </si>
  <si>
    <t>Majority Active</t>
  </si>
  <si>
    <t>Fully Owned</t>
  </si>
  <si>
    <t>How to Deal?</t>
  </si>
  <si>
    <t>Cash &amp; Marketable Securities</t>
  </si>
  <si>
    <t>Cash and cash equivalents</t>
  </si>
  <si>
    <t>Other Bank Balances</t>
  </si>
  <si>
    <t>Return on Capital</t>
  </si>
  <si>
    <t>Adjusted Cash &amp; Marketable Securities</t>
  </si>
  <si>
    <t>ICR</t>
  </si>
  <si>
    <t>Book Value of Equity</t>
  </si>
  <si>
    <t>Sales to Cap</t>
  </si>
  <si>
    <t>Inv. Capital</t>
  </si>
  <si>
    <t>Terminal Value Calculation</t>
  </si>
  <si>
    <t>Marginal Tax Rate</t>
  </si>
  <si>
    <t>EBIT * (1 - t)</t>
  </si>
  <si>
    <t>Reinv. Rate</t>
  </si>
  <si>
    <t>Mature Beta</t>
  </si>
  <si>
    <t>% Debt</t>
  </si>
  <si>
    <t>% Equity</t>
  </si>
  <si>
    <t>Risk Premium</t>
  </si>
  <si>
    <t>Present Value of FCFF</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</si>
  <si>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</si>
  <si>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</si>
  <si>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</si>
  <si>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</si>
  <si>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</si>
  <si>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</si>
  <si>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</si>
  <si>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</si>
  <si>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</si>
  <si>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</si>
  <si>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</si>
  <si>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</si>
  <si>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</si>
  <si>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</si>
  <si>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</si>
  <si>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</si>
  <si>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</si>
  <si>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Fair Value of Share</t>
  </si>
  <si>
    <t>Road to Fair Value of Share</t>
  </si>
  <si>
    <t>Net Capital Expenditure</t>
  </si>
  <si>
    <t>EBIT &amp; Advertising Expense</t>
  </si>
  <si>
    <t xml:space="preserve">Current </t>
  </si>
  <si>
    <t>Amortization (This Year)</t>
  </si>
  <si>
    <t>Advertising Expense</t>
  </si>
  <si>
    <t>Amortization (weights)</t>
  </si>
  <si>
    <t>Amortized Value</t>
  </si>
  <si>
    <t>Capitalizing Advertising Expense as Asset</t>
  </si>
  <si>
    <t>Value of Advertising Asset</t>
  </si>
  <si>
    <t>Amortization Asset</t>
  </si>
  <si>
    <t>Advertising Expense (Current)</t>
  </si>
  <si>
    <t>Amortization: Ad Expense</t>
  </si>
  <si>
    <t>EBIT (1 - Tax)</t>
  </si>
  <si>
    <t>Advertising Expense (Current Year)</t>
  </si>
  <si>
    <t>Sensitivity Analysis</t>
  </si>
  <si>
    <t>Nykaa Company Analysis</t>
  </si>
  <si>
    <t>Sector of Nykaa</t>
  </si>
  <si>
    <t>Industry of Nykaa</t>
  </si>
  <si>
    <t>Nykaa</t>
  </si>
  <si>
    <t>Nykaa Narrative</t>
  </si>
  <si>
    <t>Industry #1 - Beauty and Personal Care</t>
  </si>
  <si>
    <t>L'Oréal</t>
  </si>
  <si>
    <t>International Flavors</t>
  </si>
  <si>
    <t>Givaudan</t>
  </si>
  <si>
    <t>Kaō</t>
  </si>
  <si>
    <t>ULTA Beauty</t>
  </si>
  <si>
    <t>Shiseido</t>
  </si>
  <si>
    <t>Amorepacific</t>
  </si>
  <si>
    <t>Kosé</t>
  </si>
  <si>
    <t>The Beauty Health Company</t>
  </si>
  <si>
    <t>e.l.f. Cosmetics</t>
  </si>
  <si>
    <t>Yatsen Holding</t>
  </si>
  <si>
    <t>Amyris</t>
  </si>
  <si>
    <t>Revlon</t>
  </si>
  <si>
    <t>OR.PA</t>
  </si>
  <si>
    <t>IFF</t>
  </si>
  <si>
    <t>GIVN.SW</t>
  </si>
  <si>
    <t>4452.T</t>
  </si>
  <si>
    <t>ULTA</t>
  </si>
  <si>
    <t>4911.T</t>
  </si>
  <si>
    <t>090430.KS</t>
  </si>
  <si>
    <t>4922.T</t>
  </si>
  <si>
    <t>SKIN</t>
  </si>
  <si>
    <t>ELF</t>
  </si>
  <si>
    <t>YSG</t>
  </si>
  <si>
    <t>AMRS</t>
  </si>
  <si>
    <t>REV</t>
  </si>
  <si>
    <t>Natura &amp;Co Holding S.A.</t>
  </si>
  <si>
    <t>NTCO</t>
  </si>
  <si>
    <t>Inter Parfums, Inc.</t>
  </si>
  <si>
    <t>IPAR</t>
  </si>
  <si>
    <t>Nu Skin Enterprises, Inc.</t>
  </si>
  <si>
    <t>NUS</t>
  </si>
  <si>
    <t>Unilever PLC</t>
  </si>
  <si>
    <t>UL</t>
  </si>
  <si>
    <t>Coty Inc.</t>
  </si>
  <si>
    <t>COTY</t>
  </si>
  <si>
    <t>EL</t>
  </si>
  <si>
    <t>The Estée Lauder Inc.</t>
  </si>
  <si>
    <t>Gillette</t>
  </si>
  <si>
    <t>GILLETTE</t>
  </si>
  <si>
    <t>Revenues (Beauty Care)</t>
  </si>
  <si>
    <t>Revenues (Fashion)</t>
  </si>
  <si>
    <t>Beauty Care</t>
  </si>
  <si>
    <t>Fashion</t>
  </si>
  <si>
    <t>Others</t>
  </si>
  <si>
    <t>Unlevered Beta (Beauty Care)</t>
  </si>
  <si>
    <t>Unlevered Beta (Fashion)</t>
  </si>
  <si>
    <t>TRENT</t>
  </si>
  <si>
    <t>N/A</t>
  </si>
  <si>
    <t>Beauty &amp; Personal Care Co.</t>
  </si>
  <si>
    <t>Industry #2 - Fashion</t>
  </si>
  <si>
    <t>Fashion Co.</t>
  </si>
  <si>
    <t>Un. Beta</t>
  </si>
  <si>
    <t>Nykaa Risk Premium</t>
  </si>
  <si>
    <t>Beta (Nykaa)</t>
  </si>
  <si>
    <t>(in millions)</t>
  </si>
  <si>
    <t>Long Term Borrowings</t>
  </si>
  <si>
    <t>Short Term Borrowings</t>
  </si>
  <si>
    <t>Debt to Equity (Nykaa)</t>
  </si>
  <si>
    <t>Stock Price (as on 08/06/2022)</t>
  </si>
  <si>
    <t>Amortization Asset: Ad Expense</t>
  </si>
  <si>
    <t>FSN E-Commerce</t>
  </si>
  <si>
    <t>Contract Liabilities</t>
  </si>
  <si>
    <t>Total Revenues</t>
  </si>
  <si>
    <t>Effective Tax Rate</t>
  </si>
  <si>
    <t>Effective Tax Rate (%)</t>
  </si>
  <si>
    <t>EBIT * (1 - Tax)</t>
  </si>
  <si>
    <t>Beauty and Personal Care</t>
  </si>
  <si>
    <t>Median Sales to Capital Ratio</t>
  </si>
  <si>
    <t>Industry</t>
  </si>
  <si>
    <t>EBIT*(1-Tax)</t>
  </si>
  <si>
    <t>E-commerce</t>
  </si>
  <si>
    <t>Cosmetics Retail</t>
  </si>
  <si>
    <t>Market Share</t>
  </si>
  <si>
    <t>Industry and Revenues</t>
  </si>
  <si>
    <t>Other</t>
  </si>
  <si>
    <t>Other %</t>
  </si>
  <si>
    <t>Beauty Industry</t>
  </si>
  <si>
    <t>Fashion Industry</t>
  </si>
  <si>
    <t>Growth Rate Beauty %</t>
  </si>
  <si>
    <t>Growth Rate Fashion %</t>
  </si>
  <si>
    <t>GMV</t>
  </si>
  <si>
    <t>Indian</t>
  </si>
  <si>
    <t>%</t>
  </si>
  <si>
    <t>OPM %</t>
  </si>
  <si>
    <t>Industry Sales to Capital Ratio and OPM</t>
  </si>
  <si>
    <t>Mature Risk Premium</t>
  </si>
  <si>
    <t>Total Cash &amp; Cash Equivalents</t>
  </si>
  <si>
    <t>Premium for Getting Good Returns on Projects</t>
  </si>
  <si>
    <t>Dot &amp; Key Wellness - 51%</t>
  </si>
  <si>
    <t>Nykaa KK Beauty Pvt Ltd - 51%</t>
  </si>
  <si>
    <t>Nykaa E-Retail Private Limited</t>
  </si>
  <si>
    <t>FSN Brands Marketing Private Limited</t>
  </si>
  <si>
    <t>Nykaa Fashion Private Limited</t>
  </si>
  <si>
    <t>Nykaa KK Beauty Private Limited</t>
  </si>
  <si>
    <t>FSN International Private Limited</t>
  </si>
  <si>
    <t>FSN Distribution Private Limited</t>
  </si>
  <si>
    <t>Dot &amp; Key Wellness Private Limited</t>
  </si>
  <si>
    <t>Nykaa International UK Limited</t>
  </si>
  <si>
    <t>FSN Global FZE</t>
  </si>
  <si>
    <t>EBIT*(1-T)</t>
  </si>
  <si>
    <t>Nykaa KK Beauty Pvt Ltd</t>
  </si>
  <si>
    <t>Dot &amp; Key Wellness Pvt Ltd</t>
  </si>
  <si>
    <t>Industry &amp; Revenues</t>
  </si>
  <si>
    <t>Nykaa Revenues</t>
  </si>
  <si>
    <t>FY28</t>
  </si>
  <si>
    <t>FY29</t>
  </si>
  <si>
    <t>FY30</t>
  </si>
  <si>
    <t>FY31</t>
  </si>
  <si>
    <t>FY32</t>
  </si>
  <si>
    <t>FY33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</si>
</sst>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 numFmtId="189" formatCode="[$₹-4009]\ #,##0"/>
    <numFmt numFmtId="190" formatCode="0.0000%"/>
  </numFmts>
  <fonts count="7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b/>
      <sz val="11"/>
      <color theme="1"/>
      <name val="Arial"/>
      <family val="2"/>
    </font>
  </fonts>
  <fills count="50">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0" tint="-4.9989318521683403E-2"/>
        <bgColor indexed="64"/>
      </patternFill>
    </fill>
    <fill>
      <patternFill patternType="solid">
        <fgColor theme="2"/>
        <bgColor indexed="64"/>
      </patternFill>
    </fill>
    <fill>
      <patternFill patternType="solid">
        <fgColor rgb="FFDDDDDD"/>
        <bgColor indexed="64"/>
      </patternFill>
    </fill>
  </fills>
  <borders count="21">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431">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7"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6" borderId="0" xfId="0" applyNumberFormat="1" applyFont="1" applyFill="1" applyBorder="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5"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165" fontId="2" fillId="46"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6" borderId="2" xfId="0" applyNumberFormat="1" applyFont="1" applyFill="1" applyBorder="1"/>
    <xf numFmtId="165" fontId="2" fillId="46" borderId="0" xfId="0" applyNumberFormat="1" applyFont="1" applyFill="1" applyBorder="1" applyAlignment="1">
      <alignment horizontal="right"/>
    </xf>
    <xf numFmtId="164" fontId="2" fillId="46" borderId="0" xfId="0" applyNumberFormat="1" applyFont="1" applyFill="1"/>
    <xf numFmtId="164" fontId="64"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6" fontId="1" fillId="46"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6" borderId="0" xfId="2" applyNumberFormat="1" applyFont="1" applyFill="1" applyBorder="1" applyAlignment="1">
      <alignment horizontal="right" vertical="center"/>
    </xf>
    <xf numFmtId="0" fontId="8" fillId="45" borderId="0" xfId="0" applyNumberFormat="1" applyFont="1" applyFill="1" applyAlignment="1">
      <alignment horizontal="right" vertical="center"/>
    </xf>
    <xf numFmtId="164" fontId="8" fillId="45" borderId="0" xfId="0"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64" fontId="8" fillId="45" borderId="0" xfId="0" applyNumberFormat="1" applyFont="1" applyFill="1" applyBorder="1" applyAlignment="1">
      <alignment horizontal="right"/>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6"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6" borderId="0" xfId="2" applyNumberFormat="1" applyFont="1" applyFill="1" applyBorder="1" applyAlignment="1">
      <alignment horizontal="right"/>
    </xf>
    <xf numFmtId="10" fontId="1" fillId="46" borderId="0" xfId="2" applyNumberFormat="1" applyFont="1" applyFill="1" applyBorder="1" applyAlignment="1">
      <alignment horizontal="right"/>
    </xf>
    <xf numFmtId="0" fontId="8" fillId="45"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6" borderId="0" xfId="0"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82" fontId="8" fillId="45" borderId="0" xfId="0" applyNumberFormat="1" applyFont="1" applyFill="1" applyBorder="1"/>
    <xf numFmtId="182" fontId="1" fillId="46" borderId="0" xfId="0" applyNumberFormat="1" applyFont="1" applyFill="1" applyAlignment="1">
      <alignment horizontal="right"/>
    </xf>
    <xf numFmtId="164" fontId="1" fillId="46" borderId="0" xfId="0" applyNumberFormat="1" applyFont="1" applyFill="1" applyAlignment="1">
      <alignment horizontal="right"/>
    </xf>
    <xf numFmtId="178" fontId="8" fillId="45" borderId="0" xfId="0" applyNumberFormat="1" applyFont="1" applyFill="1" applyBorder="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9" fontId="1" fillId="2" borderId="0" xfId="2" applyNumberFormat="1" applyFont="1" applyFill="1"/>
    <xf numFmtId="183" fontId="1" fillId="2" borderId="0" xfId="0" applyNumberFormat="1" applyFont="1" applyFill="1"/>
    <xf numFmtId="164" fontId="8" fillId="2" borderId="0" xfId="0" applyNumberFormat="1" applyFont="1" applyFill="1" applyBorder="1" applyAlignment="1">
      <alignment horizontal="right"/>
    </xf>
    <xf numFmtId="178" fontId="2" fillId="46" borderId="0" xfId="0" applyNumberFormat="1" applyFont="1" applyFill="1" applyBorder="1" applyAlignment="1">
      <alignment horizontal="right"/>
    </xf>
    <xf numFmtId="0" fontId="1" fillId="46" borderId="0" xfId="0" applyNumberFormat="1" applyFont="1" applyFill="1"/>
    <xf numFmtId="0" fontId="1" fillId="46" borderId="0" xfId="0" applyNumberFormat="1" applyFont="1" applyFill="1" applyBorder="1" applyAlignment="1">
      <alignment horizontal="right"/>
    </xf>
    <xf numFmtId="0" fontId="1" fillId="46" borderId="0" xfId="2" applyNumberFormat="1" applyFont="1" applyFill="1"/>
    <xf numFmtId="10" fontId="1" fillId="46" borderId="0" xfId="2" applyNumberFormat="1" applyFont="1" applyFill="1"/>
    <xf numFmtId="164" fontId="2" fillId="46" borderId="0" xfId="0" applyNumberFormat="1" applyFont="1" applyFill="1" applyBorder="1"/>
    <xf numFmtId="10" fontId="1" fillId="46" borderId="0" xfId="0" applyNumberFormat="1" applyFont="1" applyFill="1"/>
    <xf numFmtId="164" fontId="2" fillId="46" borderId="18" xfId="0" applyNumberFormat="1" applyFont="1" applyFill="1" applyBorder="1"/>
    <xf numFmtId="10" fontId="1" fillId="46" borderId="18" xfId="0" applyNumberFormat="1" applyFont="1" applyFill="1" applyBorder="1"/>
    <xf numFmtId="0" fontId="64" fillId="46" borderId="0" xfId="2" applyNumberFormat="1" applyFont="1" applyFill="1" applyBorder="1"/>
    <xf numFmtId="164" fontId="66" fillId="46" borderId="0" xfId="165" applyNumberFormat="1" applyFont="1" applyFill="1" applyBorder="1"/>
    <xf numFmtId="0" fontId="1" fillId="46"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0" fontId="1" fillId="46" borderId="0" xfId="0" applyNumberFormat="1" applyFont="1" applyFill="1" applyBorder="1"/>
    <xf numFmtId="164" fontId="64" fillId="2" borderId="0" xfId="0" applyNumberFormat="1" applyFont="1" applyFill="1" applyBorder="1" applyAlignment="1">
      <alignment horizontal="left"/>
    </xf>
    <xf numFmtId="178" fontId="1" fillId="46" borderId="0" xfId="0" applyNumberFormat="1" applyFont="1" applyFill="1"/>
    <xf numFmtId="2" fontId="64" fillId="46" borderId="0" xfId="2" applyNumberFormat="1" applyFont="1" applyFill="1" applyBorder="1" applyAlignment="1">
      <alignment horizontal="right"/>
    </xf>
    <xf numFmtId="2" fontId="64" fillId="46" borderId="0" xfId="0" applyNumberFormat="1" applyFont="1" applyFill="1"/>
    <xf numFmtId="2" fontId="64" fillId="2" borderId="18" xfId="2" applyNumberFormat="1" applyFont="1" applyFill="1" applyBorder="1" applyAlignment="1">
      <alignment horizontal="right"/>
    </xf>
    <xf numFmtId="179" fontId="64" fillId="46" borderId="0" xfId="0" applyNumberFormat="1" applyFont="1" applyFill="1"/>
    <xf numFmtId="182" fontId="64" fillId="2" borderId="0" xfId="0" applyNumberFormat="1" applyFont="1" applyFill="1" applyBorder="1" applyAlignment="1">
      <alignment horizontal="left" vertical="center"/>
    </xf>
    <xf numFmtId="182" fontId="40" fillId="46" borderId="0" xfId="0" applyNumberFormat="1" applyFont="1" applyFill="1" applyBorder="1"/>
    <xf numFmtId="0" fontId="8" fillId="45" borderId="0" xfId="2" applyNumberFormat="1" applyFont="1" applyFill="1" applyBorder="1" applyAlignment="1">
      <alignment horizontal="right"/>
    </xf>
    <xf numFmtId="184" fontId="40" fillId="46" borderId="18" xfId="2" applyNumberFormat="1" applyFont="1" applyFill="1" applyBorder="1" applyAlignment="1">
      <alignment horizontal="right"/>
    </xf>
    <xf numFmtId="9" fontId="64" fillId="46" borderId="18" xfId="2" applyFont="1" applyFill="1" applyBorder="1"/>
    <xf numFmtId="10" fontId="2" fillId="46" borderId="0" xfId="2" applyNumberFormat="1" applyFont="1" applyFill="1"/>
    <xf numFmtId="183" fontId="8" fillId="45" borderId="0" xfId="0" applyNumberFormat="1" applyFont="1" applyFill="1" applyAlignment="1">
      <alignment horizontal="right"/>
    </xf>
    <xf numFmtId="185" fontId="64" fillId="46" borderId="0" xfId="0" applyNumberFormat="1" applyFont="1" applyFill="1" applyBorder="1" applyAlignment="1">
      <alignment horizontal="right" vertical="center"/>
    </xf>
    <xf numFmtId="178" fontId="64" fillId="46" borderId="0" xfId="2" applyNumberFormat="1" applyFont="1" applyFill="1" applyBorder="1" applyAlignment="1">
      <alignment horizontal="right"/>
    </xf>
    <xf numFmtId="165" fontId="64" fillId="46" borderId="0" xfId="0" applyNumberFormat="1" applyFont="1" applyFill="1"/>
    <xf numFmtId="9" fontId="1" fillId="46" borderId="0" xfId="2" applyNumberFormat="1" applyFont="1" applyFill="1"/>
    <xf numFmtId="9" fontId="1" fillId="46" borderId="0" xfId="2" applyFont="1" applyFill="1" applyBorder="1" applyAlignment="1">
      <alignment horizontal="right"/>
    </xf>
    <xf numFmtId="178" fontId="1" fillId="46" borderId="0" xfId="0" applyNumberFormat="1" applyFont="1" applyFill="1" applyBorder="1"/>
    <xf numFmtId="178" fontId="8" fillId="45" borderId="0" xfId="0" applyNumberFormat="1" applyFont="1" applyFill="1" applyBorder="1"/>
    <xf numFmtId="164" fontId="64" fillId="46" borderId="18" xfId="0" applyNumberFormat="1" applyFont="1" applyFill="1" applyBorder="1"/>
    <xf numFmtId="2" fontId="40" fillId="46" borderId="0" xfId="0" applyNumberFormat="1" applyFont="1" applyFill="1" applyBorder="1" applyAlignment="1">
      <alignment horizontal="right"/>
    </xf>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64" fontId="65" fillId="46" borderId="0" xfId="0" applyNumberFormat="1" applyFont="1" applyFill="1"/>
    <xf numFmtId="0" fontId="2" fillId="46" borderId="0" xfId="0" applyNumberFormat="1" applyFont="1" applyFill="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2" fontId="8" fillId="45" borderId="0" xfId="2" applyNumberFormat="1" applyFont="1" applyFill="1" applyBorder="1"/>
    <xf numFmtId="180" fontId="2" fillId="46" borderId="0" xfId="2" applyNumberFormat="1" applyFont="1" applyFill="1" applyBorder="1"/>
    <xf numFmtId="180" fontId="2" fillId="46" borderId="18" xfId="2" applyNumberFormat="1" applyFont="1" applyFill="1" applyBorder="1"/>
    <xf numFmtId="164" fontId="64" fillId="46" borderId="0" xfId="0" applyNumberFormat="1" applyFont="1" applyFill="1" applyAlignment="1">
      <alignment horizontal="right"/>
    </xf>
    <xf numFmtId="0" fontId="2" fillId="46" borderId="0" xfId="2" applyNumberFormat="1" applyFont="1" applyFill="1" applyBorder="1"/>
    <xf numFmtId="186" fontId="8" fillId="45" borderId="0" xfId="2" applyNumberFormat="1" applyFont="1" applyFill="1" applyBorder="1" applyAlignment="1">
      <alignment horizontal="right"/>
    </xf>
    <xf numFmtId="187" fontId="2" fillId="46" borderId="0" xfId="0" applyNumberFormat="1" applyFont="1" applyFill="1"/>
    <xf numFmtId="188" fontId="8" fillId="45" borderId="0" xfId="2" applyNumberFormat="1" applyFont="1" applyFill="1" applyBorder="1" applyAlignment="1">
      <alignment horizontal="right"/>
    </xf>
    <xf numFmtId="10" fontId="8" fillId="45"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180" fontId="40" fillId="46" borderId="0" xfId="0" applyNumberFormat="1" applyFont="1" applyFill="1" applyBorder="1" applyAlignment="1">
      <alignment horizontal="righ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180" fontId="2" fillId="46" borderId="19" xfId="0" applyNumberFormat="1" applyFont="1" applyFill="1" applyBorder="1"/>
    <xf numFmtId="0" fontId="2" fillId="46" borderId="18" xfId="0" applyFont="1" applyFill="1" applyBorder="1"/>
    <xf numFmtId="180" fontId="2" fillId="46" borderId="18" xfId="0" applyNumberFormat="1" applyFont="1" applyFill="1" applyBorder="1"/>
    <xf numFmtId="0" fontId="74" fillId="46" borderId="0" xfId="0" applyFont="1" applyFill="1" applyBorder="1"/>
    <xf numFmtId="180" fontId="8" fillId="45" borderId="0" xfId="0" applyNumberFormat="1" applyFont="1" applyFill="1" applyBorder="1"/>
    <xf numFmtId="0" fontId="74"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6" borderId="0" xfId="0" applyFont="1" applyFill="1" applyBorder="1" applyAlignment="1">
      <alignment horizontal="left" vertical="center"/>
    </xf>
    <xf numFmtId="180" fontId="2" fillId="46" borderId="0" xfId="0" applyNumberFormat="1" applyFont="1" applyFill="1" applyBorder="1" applyAlignment="1">
      <alignment horizontal="right" vertical="center"/>
    </xf>
    <xf numFmtId="180" fontId="2" fillId="46" borderId="18" xfId="0" applyNumberFormat="1" applyFont="1" applyFill="1" applyBorder="1" applyAlignment="1">
      <alignment horizontal="right" vertical="center"/>
    </xf>
    <xf numFmtId="180" fontId="64" fillId="2" borderId="0" xfId="0" applyNumberFormat="1" applyFont="1" applyFill="1" applyBorder="1"/>
    <xf numFmtId="0" fontId="2" fillId="46" borderId="0" xfId="0" applyFont="1" applyFill="1" applyBorder="1" applyAlignment="1">
      <alignment horizontal="right"/>
    </xf>
    <xf numFmtId="10" fontId="64" fillId="2" borderId="0" xfId="2" applyNumberFormat="1" applyFont="1" applyFill="1" applyBorder="1"/>
    <xf numFmtId="10" fontId="64" fillId="46" borderId="0" xfId="2" applyNumberFormat="1" applyFont="1" applyFill="1" applyBorder="1"/>
    <xf numFmtId="181" fontId="40" fillId="46" borderId="0" xfId="0" applyNumberFormat="1" applyFont="1" applyFill="1" applyBorder="1" applyAlignment="1">
      <alignment horizontal="right"/>
    </xf>
    <xf numFmtId="181" fontId="2" fillId="46"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6" borderId="0" xfId="0" applyNumberFormat="1" applyFont="1" applyFill="1" applyBorder="1" applyAlignment="1">
      <alignment horizontal="right"/>
    </xf>
    <xf numFmtId="180" fontId="1" fillId="2" borderId="0" xfId="0" applyNumberFormat="1" applyFont="1" applyFill="1" applyBorder="1"/>
    <xf numFmtId="180" fontId="40" fillId="46" borderId="18" xfId="2"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8" fillId="45" borderId="0" xfId="0" applyNumberFormat="1" applyFont="1" applyFill="1" applyBorder="1" applyAlignment="1">
      <alignment horizontal="left" vertical="center"/>
    </xf>
    <xf numFmtId="180" fontId="8" fillId="45" borderId="0" xfId="0" applyNumberFormat="1"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2" fontId="2" fillId="46" borderId="18" xfId="0" applyNumberFormat="1" applyFont="1" applyFill="1" applyBorder="1"/>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2" fontId="2" fillId="46" borderId="0" xfId="0" applyNumberFormat="1" applyFont="1" applyFill="1" applyBorder="1"/>
    <xf numFmtId="181" fontId="2" fillId="2" borderId="0" xfId="0" applyNumberFormat="1" applyFont="1" applyFill="1" applyBorder="1"/>
    <xf numFmtId="2" fontId="64" fillId="2" borderId="0" xfId="0" applyNumberFormat="1" applyFont="1" applyFill="1" applyBorder="1"/>
    <xf numFmtId="10" fontId="40" fillId="46"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0" fontId="40" fillId="2" borderId="0" xfId="0" applyNumberFormat="1" applyFont="1" applyFill="1" applyBorder="1" applyAlignment="1">
      <alignment horizontal="right"/>
    </xf>
    <xf numFmtId="179" fontId="64" fillId="2" borderId="0" xfId="0" applyNumberFormat="1" applyFont="1" applyFill="1"/>
    <xf numFmtId="2" fontId="64" fillId="2" borderId="0" xfId="0" applyNumberFormat="1" applyFont="1" applyFill="1"/>
    <xf numFmtId="2" fontId="64" fillId="2" borderId="0" xfId="2" applyNumberFormat="1" applyFont="1" applyFill="1" applyBorder="1" applyAlignment="1"/>
    <xf numFmtId="178" fontId="64" fillId="2" borderId="0" xfId="0" applyNumberFormat="1" applyFont="1" applyFill="1"/>
    <xf numFmtId="182" fontId="1" fillId="2" borderId="0" xfId="0" applyNumberFormat="1" applyFont="1" applyFill="1" applyBorder="1"/>
    <xf numFmtId="182" fontId="2" fillId="48" borderId="0" xfId="0" applyNumberFormat="1" applyFont="1" applyFill="1" applyBorder="1"/>
    <xf numFmtId="0" fontId="1" fillId="48" borderId="0" xfId="0" applyFont="1" applyFill="1" applyBorder="1"/>
    <xf numFmtId="182" fontId="1" fillId="46"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84" fontId="2" fillId="48" borderId="0" xfId="0" applyNumberFormat="1" applyFont="1" applyFill="1" applyBorder="1"/>
    <xf numFmtId="184" fontId="2" fillId="46" borderId="0" xfId="0" applyNumberFormat="1" applyFont="1" applyFill="1" applyBorder="1"/>
    <xf numFmtId="184" fontId="1" fillId="46" borderId="0" xfId="0" applyNumberFormat="1" applyFont="1" applyFill="1" applyBorder="1"/>
    <xf numFmtId="10" fontId="40" fillId="2" borderId="0" xfId="2" applyNumberFormat="1" applyFont="1" applyFill="1" applyBorder="1" applyAlignment="1"/>
    <xf numFmtId="0" fontId="2" fillId="48" borderId="0" xfId="0" applyNumberFormat="1" applyFont="1" applyFill="1" applyBorder="1" applyAlignment="1">
      <alignment horizontal="right"/>
    </xf>
    <xf numFmtId="180" fontId="1" fillId="48" borderId="0" xfId="0" applyNumberFormat="1" applyFont="1" applyFill="1" applyBorder="1"/>
    <xf numFmtId="180" fontId="1" fillId="46" borderId="0" xfId="0" applyNumberFormat="1" applyFont="1" applyFill="1" applyBorder="1"/>
    <xf numFmtId="180" fontId="2" fillId="48" borderId="0" xfId="0" applyNumberFormat="1" applyFont="1" applyFill="1" applyBorder="1"/>
    <xf numFmtId="2" fontId="2" fillId="48" borderId="0" xfId="0" applyNumberFormat="1" applyFont="1" applyFill="1" applyBorder="1"/>
    <xf numFmtId="182" fontId="2" fillId="48" borderId="0" xfId="0" applyNumberFormat="1" applyFont="1" applyFill="1" applyBorder="1" applyAlignment="1">
      <alignment horizontal="right" vertical="center"/>
    </xf>
    <xf numFmtId="10" fontId="65" fillId="48" borderId="0" xfId="2" applyNumberFormat="1" applyFont="1" applyFill="1" applyBorder="1" applyAlignment="1">
      <alignment horizontal="right"/>
    </xf>
    <xf numFmtId="10" fontId="67" fillId="45" borderId="0" xfId="0" applyNumberFormat="1" applyFont="1" applyFill="1" applyBorder="1"/>
    <xf numFmtId="164" fontId="63" fillId="2" borderId="0" xfId="0" applyNumberFormat="1" applyFont="1" applyFill="1" applyBorder="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2" borderId="0" xfId="0" applyNumberFormat="1" applyFont="1" applyFill="1" applyBorder="1"/>
    <xf numFmtId="10" fontId="65" fillId="48" borderId="0" xfId="0" applyNumberFormat="1"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80" fontId="40" fillId="46" borderId="0" xfId="0" applyNumberFormat="1" applyFont="1" applyFill="1" applyBorder="1"/>
    <xf numFmtId="180" fontId="8" fillId="45" borderId="0" xfId="2" applyNumberFormat="1" applyFont="1" applyFill="1"/>
    <xf numFmtId="2" fontId="64" fillId="2" borderId="0" xfId="2" quotePrefix="1" applyNumberFormat="1" applyFont="1" applyFill="1" applyBorder="1" applyAlignment="1">
      <alignment horizontal="right"/>
    </xf>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9" fontId="64" fillId="46" borderId="0" xfId="0" applyNumberFormat="1" applyFont="1" applyFill="1" applyBorder="1"/>
    <xf numFmtId="10" fontId="8" fillId="45" borderId="0" xfId="2" applyNumberFormat="1" applyFont="1" applyFill="1" applyBorder="1" applyAlignment="1">
      <alignment horizontal="right"/>
    </xf>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6" borderId="0" xfId="2" applyNumberFormat="1" applyFont="1" applyFill="1" applyBorder="1" applyAlignment="1">
      <alignment horizontal="right"/>
    </xf>
    <xf numFmtId="180" fontId="40" fillId="46" borderId="0" xfId="2" applyNumberFormat="1" applyFont="1" applyFill="1" applyBorder="1" applyAlignment="1">
      <alignment horizontal="right"/>
    </xf>
    <xf numFmtId="10" fontId="66" fillId="46" borderId="0" xfId="2" applyNumberFormat="1" applyFont="1" applyFill="1" applyBorder="1" applyAlignment="1">
      <alignment horizontal="right" vertical="center"/>
    </xf>
    <xf numFmtId="10" fontId="2" fillId="46" borderId="18" xfId="0" applyNumberFormat="1" applyFont="1" applyFill="1" applyBorder="1"/>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10" fontId="2" fillId="46" borderId="0" xfId="0" applyNumberFormat="1" applyFont="1" applyFill="1" applyBorder="1"/>
    <xf numFmtId="2" fontId="2" fillId="46" borderId="0" xfId="2" applyNumberFormat="1" applyFont="1" applyFill="1" applyBorder="1" applyAlignment="1">
      <alignment horizontal="right"/>
    </xf>
    <xf numFmtId="184" fontId="64" fillId="2" borderId="0" xfId="0" applyNumberFormat="1" applyFont="1" applyFill="1" applyBorder="1"/>
    <xf numFmtId="10" fontId="2" fillId="48" borderId="0" xfId="2" applyNumberFormat="1" applyFont="1" applyFill="1" applyBorder="1"/>
    <xf numFmtId="184" fontId="1" fillId="46" borderId="0" xfId="2" applyNumberFormat="1" applyFont="1" applyFill="1" applyBorder="1"/>
    <xf numFmtId="2" fontId="2" fillId="46" borderId="18" xfId="2" applyNumberFormat="1" applyFont="1" applyFill="1" applyBorder="1"/>
    <xf numFmtId="9" fontId="64" fillId="46" borderId="0" xfId="2" applyNumberFormat="1" applyFont="1" applyFill="1" applyBorder="1"/>
    <xf numFmtId="0" fontId="64" fillId="46" borderId="18" xfId="0" applyFont="1" applyFill="1" applyBorder="1"/>
    <xf numFmtId="10" fontId="64" fillId="46" borderId="18" xfId="2" applyNumberFormat="1" applyFont="1" applyFill="1" applyBorder="1"/>
    <xf numFmtId="184" fontId="1" fillId="2" borderId="0" xfId="0" applyNumberFormat="1" applyFont="1" applyFill="1" applyBorder="1"/>
    <xf numFmtId="0" fontId="2" fillId="2" borderId="0" xfId="0" applyNumberFormat="1" applyFont="1" applyFill="1" applyBorder="1" applyAlignment="1">
      <alignment horizontal="right" vertical="center"/>
    </xf>
    <xf numFmtId="2" fontId="1" fillId="2" borderId="0" xfId="0" applyNumberFormat="1" applyFont="1" applyFill="1" applyBorder="1" applyAlignment="1">
      <alignment horizontal="right"/>
    </xf>
    <xf numFmtId="10" fontId="2" fillId="46" borderId="18" xfId="2" applyNumberFormat="1" applyFont="1" applyFill="1" applyBorder="1" applyAlignment="1">
      <alignment horizontal="right"/>
    </xf>
    <xf numFmtId="164" fontId="2" fillId="48" borderId="0" xfId="0" applyNumberFormat="1" applyFont="1" applyFill="1"/>
    <xf numFmtId="180" fontId="2" fillId="46" borderId="0" xfId="2" applyNumberFormat="1" applyFont="1" applyFill="1" applyBorder="1" applyAlignment="1">
      <alignment horizontal="right"/>
    </xf>
    <xf numFmtId="180" fontId="8" fillId="45" borderId="18" xfId="0" applyNumberFormat="1" applyFont="1" applyFill="1" applyBorder="1"/>
    <xf numFmtId="180" fontId="40" fillId="46" borderId="0" xfId="0" applyNumberFormat="1" applyFont="1" applyFill="1" applyBorder="1" applyAlignment="1"/>
    <xf numFmtId="9" fontId="1" fillId="2" borderId="0" xfId="0" applyNumberFormat="1" applyFont="1" applyFill="1" applyBorder="1"/>
    <xf numFmtId="2" fontId="2" fillId="48" borderId="0" xfId="0" applyNumberFormat="1" applyFont="1" applyFill="1" applyBorder="1" applyAlignment="1">
      <alignment horizontal="right"/>
    </xf>
    <xf numFmtId="9" fontId="60" fillId="2" borderId="0" xfId="2" applyFont="1" applyFill="1" applyBorder="1"/>
    <xf numFmtId="180" fontId="2" fillId="46" borderId="0" xfId="0" applyNumberFormat="1" applyFont="1" applyFill="1"/>
    <xf numFmtId="0" fontId="2" fillId="48" borderId="0" xfId="0" applyNumberFormat="1" applyFont="1" applyFill="1"/>
    <xf numFmtId="0" fontId="40" fillId="48" borderId="0" xfId="2" applyNumberFormat="1" applyFont="1" applyFill="1" applyBorder="1" applyAlignment="1">
      <alignment horizontal="right"/>
    </xf>
    <xf numFmtId="0" fontId="40" fillId="48" borderId="0" xfId="0" applyNumberFormat="1" applyFont="1" applyFill="1" applyBorder="1" applyAlignment="1">
      <alignment horizontal="right"/>
    </xf>
    <xf numFmtId="0" fontId="40" fillId="48" borderId="0" xfId="2" applyNumberFormat="1" applyFont="1" applyFill="1" applyBorder="1"/>
    <xf numFmtId="0" fontId="40" fillId="48" borderId="0" xfId="0" applyNumberFormat="1" applyFont="1" applyFill="1" applyBorder="1"/>
    <xf numFmtId="164" fontId="1" fillId="2" borderId="0" xfId="0" applyNumberFormat="1" applyFont="1" applyFill="1" applyBorder="1" applyAlignment="1">
      <alignment horizontal="left"/>
    </xf>
    <xf numFmtId="2" fontId="64" fillId="46" borderId="0" xfId="0" applyNumberFormat="1" applyFont="1" applyFill="1" applyBorder="1"/>
    <xf numFmtId="0" fontId="40" fillId="46" borderId="0" xfId="0" applyFont="1" applyFill="1" applyBorder="1" applyAlignment="1"/>
    <xf numFmtId="0" fontId="40" fillId="46" borderId="2" xfId="0" applyFont="1" applyFill="1" applyBorder="1" applyAlignment="1"/>
    <xf numFmtId="0" fontId="2" fillId="48" borderId="0" xfId="0" applyFont="1" applyFill="1" applyBorder="1"/>
    <xf numFmtId="0" fontId="2" fillId="48" borderId="0" xfId="0" applyFont="1" applyFill="1" applyBorder="1" applyAlignment="1">
      <alignment horizontal="right"/>
    </xf>
    <xf numFmtId="0" fontId="2" fillId="48"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180"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40" fillId="46" borderId="0" xfId="0" applyNumberFormat="1" applyFont="1" applyFill="1"/>
    <xf numFmtId="180" fontId="2" fillId="46" borderId="19" xfId="0" applyNumberFormat="1" applyFont="1" applyFill="1" applyBorder="1" applyAlignment="1">
      <alignment horizontal="left" vertical="center"/>
    </xf>
    <xf numFmtId="43" fontId="1" fillId="2" borderId="0" xfId="0" applyNumberFormat="1" applyFont="1" applyFill="1" applyBorder="1"/>
    <xf numFmtId="0" fontId="2" fillId="47" borderId="0" xfId="0" applyFont="1" applyFill="1" applyBorder="1"/>
    <xf numFmtId="10" fontId="2" fillId="47" borderId="0" xfId="2" applyNumberFormat="1" applyFont="1" applyFill="1" applyBorder="1" applyAlignment="1">
      <alignment horizontal="right"/>
    </xf>
    <xf numFmtId="9" fontId="64" fillId="47" borderId="0" xfId="0" applyNumberFormat="1" applyFont="1" applyFill="1" applyBorder="1"/>
    <xf numFmtId="0" fontId="1" fillId="47" borderId="0" xfId="0" applyFont="1" applyFill="1" applyBorder="1" applyAlignment="1">
      <alignment horizontal="right"/>
    </xf>
    <xf numFmtId="180" fontId="40" fillId="47" borderId="0" xfId="0" applyNumberFormat="1" applyFont="1" applyFill="1" applyBorder="1" applyAlignment="1"/>
    <xf numFmtId="0" fontId="1" fillId="47" borderId="0" xfId="0" applyFont="1" applyFill="1" applyBorder="1"/>
    <xf numFmtId="189" fontId="2" fillId="48" borderId="0" xfId="0" applyNumberFormat="1" applyFont="1" applyFill="1" applyBorder="1"/>
    <xf numFmtId="189" fontId="1" fillId="46" borderId="0" xfId="0" applyNumberFormat="1" applyFont="1" applyFill="1" applyBorder="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64" fontId="60" fillId="2" borderId="0" xfId="0" applyNumberFormat="1" applyFont="1" applyFill="1" applyBorder="1" applyAlignment="1"/>
    <xf numFmtId="10" fontId="1" fillId="2" borderId="0" xfId="0" applyNumberFormat="1" applyFont="1" applyFill="1"/>
    <xf numFmtId="166" fontId="60" fillId="2" borderId="0" xfId="2" applyNumberFormat="1" applyFont="1" applyFill="1" applyBorder="1" applyAlignment="1"/>
    <xf numFmtId="164" fontId="64" fillId="2" borderId="0" xfId="0" applyNumberFormat="1" applyFont="1" applyFill="1"/>
    <xf numFmtId="166" fontId="64" fillId="2" borderId="0" xfId="2"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0" fontId="60" fillId="2" borderId="0" xfId="2" applyNumberFormat="1" applyFont="1" applyFill="1" applyBorder="1"/>
    <xf numFmtId="180" fontId="60" fillId="2" borderId="0" xfId="0" applyNumberFormat="1" applyFont="1" applyFill="1" applyBorder="1"/>
    <xf numFmtId="10" fontId="60" fillId="2" borderId="0" xfId="2" applyNumberFormat="1" applyFont="1" applyFill="1" applyBorder="1"/>
    <xf numFmtId="0" fontId="1" fillId="2" borderId="0" xfId="2" applyNumberFormat="1" applyFont="1" applyFill="1"/>
    <xf numFmtId="2" fontId="2" fillId="46" borderId="0" xfId="0" applyNumberFormat="1" applyFont="1" applyFill="1"/>
    <xf numFmtId="9" fontId="8" fillId="2" borderId="0" xfId="2" applyFont="1" applyFill="1" applyBorder="1" applyAlignment="1">
      <alignment horizontal="right"/>
    </xf>
    <xf numFmtId="164" fontId="8" fillId="2" borderId="0" xfId="0" applyNumberFormat="1" applyFont="1" applyFill="1"/>
    <xf numFmtId="2" fontId="64" fillId="46" borderId="0" xfId="2" applyNumberFormat="1" applyFont="1" applyFill="1" applyBorder="1" applyAlignment="1"/>
    <xf numFmtId="189" fontId="40" fillId="46" borderId="0" xfId="2" applyNumberFormat="1" applyFont="1" applyFill="1" applyBorder="1" applyAlignment="1">
      <alignment horizontal="right"/>
    </xf>
    <xf numFmtId="165" fontId="2" fillId="48" borderId="0" xfId="0" applyNumberFormat="1" applyFont="1" applyFill="1" applyBorder="1" applyAlignment="1">
      <alignment horizontal="right"/>
    </xf>
    <xf numFmtId="164" fontId="2" fillId="48" borderId="0" xfId="0" applyNumberFormat="1" applyFont="1" applyFill="1" applyBorder="1" applyAlignment="1">
      <alignment horizontal="right"/>
    </xf>
    <xf numFmtId="2" fontId="64" fillId="2" borderId="20" xfId="2" applyNumberFormat="1" applyFont="1" applyFill="1" applyBorder="1" applyAlignment="1">
      <alignment horizontal="right"/>
    </xf>
    <xf numFmtId="178" fontId="64" fillId="2" borderId="20" xfId="0" applyNumberFormat="1" applyFont="1" applyFill="1" applyBorder="1" applyAlignment="1">
      <alignment horizontal="right"/>
    </xf>
    <xf numFmtId="183" fontId="7" fillId="2" borderId="0" xfId="0" applyNumberFormat="1" applyFont="1" applyFill="1"/>
    <xf numFmtId="2" fontId="64" fillId="46" borderId="0" xfId="0" applyNumberFormat="1" applyFont="1" applyFill="1" applyAlignment="1">
      <alignment horizontal="right"/>
    </xf>
    <xf numFmtId="2" fontId="64" fillId="49" borderId="0" xfId="0" applyNumberFormat="1" applyFont="1" applyFill="1" applyAlignment="1">
      <alignment horizontal="right"/>
    </xf>
    <xf numFmtId="183" fontId="8" fillId="2" borderId="0" xfId="0" applyNumberFormat="1" applyFont="1" applyFill="1" applyBorder="1" applyAlignment="1">
      <alignment horizontal="right"/>
    </xf>
    <xf numFmtId="165" fontId="64" fillId="2" borderId="0" xfId="0" applyNumberFormat="1" applyFont="1" applyFill="1" applyBorder="1"/>
    <xf numFmtId="165" fontId="64" fillId="46" borderId="18" xfId="0" applyNumberFormat="1" applyFont="1" applyFill="1" applyBorder="1"/>
    <xf numFmtId="9" fontId="6" fillId="46" borderId="18" xfId="2" applyFont="1" applyFill="1" applyBorder="1"/>
    <xf numFmtId="178" fontId="8" fillId="45" borderId="20" xfId="0" applyNumberFormat="1" applyFont="1" applyFill="1" applyBorder="1"/>
    <xf numFmtId="0" fontId="2" fillId="46" borderId="20" xfId="0" applyFont="1" applyFill="1" applyBorder="1"/>
    <xf numFmtId="180" fontId="2" fillId="46" borderId="20" xfId="0" applyNumberFormat="1" applyFont="1" applyFill="1" applyBorder="1"/>
    <xf numFmtId="4" fontId="1" fillId="46" borderId="0" xfId="0" applyNumberFormat="1" applyFont="1" applyFill="1" applyBorder="1"/>
    <xf numFmtId="0" fontId="8" fillId="2" borderId="0" xfId="0" applyFont="1" applyFill="1" applyBorder="1" applyAlignment="1">
      <alignment vertical="center"/>
    </xf>
    <xf numFmtId="2" fontId="1" fillId="46" borderId="0" xfId="0" applyNumberFormat="1" applyFont="1" applyFill="1" applyBorder="1" applyAlignment="1">
      <alignment horizontal="right"/>
    </xf>
    <xf numFmtId="184" fontId="2" fillId="46" borderId="18" xfId="0" applyNumberFormat="1" applyFont="1" applyFill="1" applyBorder="1"/>
    <xf numFmtId="184" fontId="1" fillId="46" borderId="0" xfId="0" applyNumberFormat="1" applyFont="1" applyFill="1" applyBorder="1" applyAlignment="1">
      <alignment horizontal="right"/>
    </xf>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4" fillId="2" borderId="0" xfId="0" applyNumberFormat="1" applyFont="1" applyFill="1" applyBorder="1" applyAlignment="1">
      <alignment horizontal="right"/>
    </xf>
    <xf numFmtId="2" fontId="2" fillId="2" borderId="0" xfId="0" applyNumberFormat="1" applyFont="1" applyFill="1" applyBorder="1" applyAlignment="1">
      <alignment horizontal="right"/>
    </xf>
    <xf numFmtId="178" fontId="64" fillId="46" borderId="0" xfId="0" applyNumberFormat="1" applyFont="1" applyFill="1" applyBorder="1"/>
    <xf numFmtId="43" fontId="64" fillId="2" borderId="0" xfId="0" applyNumberFormat="1" applyFont="1" applyFill="1" applyBorder="1"/>
    <xf numFmtId="43" fontId="64" fillId="2" borderId="20" xfId="0" applyNumberFormat="1" applyFont="1" applyFill="1" applyBorder="1"/>
    <xf numFmtId="182" fontId="40" fillId="2" borderId="0" xfId="0" applyNumberFormat="1" applyFont="1" applyFill="1" applyBorder="1" applyAlignment="1">
      <alignment horizontal="right"/>
    </xf>
    <xf numFmtId="0" fontId="6" fillId="2" borderId="0" xfId="0" applyFont="1" applyFill="1" applyBorder="1" applyAlignment="1">
      <alignment horizontal="right"/>
    </xf>
    <xf numFmtId="0" fontId="67" fillId="45" borderId="0" xfId="0" applyFont="1" applyFill="1" applyBorder="1" applyAlignment="1">
      <alignment horizontal="right"/>
    </xf>
    <xf numFmtId="10" fontId="2" fillId="48" borderId="0" xfId="2" applyNumberFormat="1" applyFont="1" applyFill="1" applyBorder="1" applyAlignment="1">
      <alignment horizontal="right"/>
    </xf>
    <xf numFmtId="10" fontId="6" fillId="48" borderId="0" xfId="2" applyNumberFormat="1" applyFont="1" applyFill="1" applyBorder="1"/>
    <xf numFmtId="10" fontId="2" fillId="46" borderId="0" xfId="0" applyNumberFormat="1" applyFont="1" applyFill="1" applyBorder="1" applyAlignment="1">
      <alignment horizontal="right" vertical="center"/>
    </xf>
    <xf numFmtId="0" fontId="7" fillId="2" borderId="0" xfId="0" applyFont="1" applyFill="1" applyBorder="1"/>
    <xf numFmtId="0" fontId="2" fillId="2" borderId="0" xfId="0" applyNumberFormat="1" applyFont="1" applyFill="1" applyBorder="1" applyAlignment="1">
      <alignment horizontal="right"/>
    </xf>
    <xf numFmtId="2" fontId="2" fillId="2" borderId="0" xfId="0" applyNumberFormat="1" applyFont="1" applyFill="1" applyBorder="1"/>
    <xf numFmtId="182" fontId="2" fillId="2" borderId="0" xfId="0" applyNumberFormat="1" applyFont="1" applyFill="1" applyBorder="1"/>
    <xf numFmtId="189" fontId="2" fillId="48" borderId="0" xfId="0" applyNumberFormat="1" applyFont="1" applyFill="1" applyBorder="1" applyAlignment="1">
      <alignment horizontal="right"/>
    </xf>
    <xf numFmtId="10" fontId="1" fillId="2" borderId="0" xfId="2" applyNumberFormat="1" applyFont="1" applyFill="1" applyBorder="1" applyAlignment="1">
      <alignment horizontal="right" vertical="center"/>
    </xf>
    <xf numFmtId="184" fontId="2" fillId="48" borderId="0" xfId="2" applyNumberFormat="1" applyFont="1" applyFill="1" applyBorder="1"/>
    <xf numFmtId="190" fontId="64" fillId="2" borderId="0" xfId="2" applyNumberFormat="1" applyFont="1" applyFill="1"/>
    <xf numFmtId="10" fontId="64" fillId="46" borderId="0" xfId="0" applyNumberFormat="1" applyFont="1" applyFill="1" applyBorder="1" applyAlignment="1">
      <alignment horizontal="right" vertical="center"/>
    </xf>
    <xf numFmtId="10" fontId="64" fillId="46" borderId="0" xfId="2" applyNumberFormat="1" applyFont="1" applyFill="1" applyBorder="1" applyAlignment="1">
      <alignment horizontal="right" vertical="center"/>
    </xf>
    <xf numFmtId="10" fontId="64" fillId="46" borderId="0" xfId="2" applyNumberFormat="1" applyFont="1" applyFill="1" applyBorder="1" applyAlignment="1"/>
    <xf numFmtId="10" fontId="64" fillId="2" borderId="18" xfId="2" applyNumberFormat="1" applyFont="1" applyFill="1" applyBorder="1" applyAlignment="1">
      <alignment horizontal="right"/>
    </xf>
    <xf numFmtId="10" fontId="64" fillId="2" borderId="20" xfId="2" applyNumberFormat="1" applyFont="1" applyFill="1" applyBorder="1" applyAlignment="1">
      <alignment horizontal="right"/>
    </xf>
    <xf numFmtId="10" fontId="64" fillId="2" borderId="20" xfId="2" applyNumberFormat="1" applyFont="1" applyFill="1" applyBorder="1"/>
    <xf numFmtId="179" fontId="2" fillId="46" borderId="0" xfId="2" applyNumberFormat="1" applyFont="1" applyFill="1" applyBorder="1"/>
    <xf numFmtId="164" fontId="63" fillId="2" borderId="0" xfId="0" applyNumberFormat="1" applyFont="1" applyFill="1" applyAlignment="1">
      <alignment wrapText="1"/>
    </xf>
    <xf numFmtId="180" fontId="40" fillId="2" borderId="0" xfId="0" applyNumberFormat="1" applyFont="1" applyFill="1" applyBorder="1" applyAlignment="1"/>
    <xf numFmtId="0" fontId="64" fillId="47" borderId="0" xfId="0" applyFont="1" applyFill="1" applyBorder="1" applyAlignment="1">
      <alignment horizontal="right"/>
    </xf>
    <xf numFmtId="180" fontId="2" fillId="2" borderId="20" xfId="0" applyNumberFormat="1" applyFont="1" applyFill="1" applyBorder="1"/>
    <xf numFmtId="164" fontId="8" fillId="45" borderId="0" xfId="0" applyNumberFormat="1" applyFont="1" applyFill="1" applyBorder="1" applyAlignment="1">
      <alignment horizontal="center"/>
    </xf>
    <xf numFmtId="164" fontId="8" fillId="45" borderId="0" xfId="0" applyNumberFormat="1" applyFont="1" applyFill="1" applyAlignment="1">
      <alignment horizontal="center"/>
    </xf>
    <xf numFmtId="164" fontId="64" fillId="2" borderId="0" xfId="0" applyNumberFormat="1" applyFont="1" applyFill="1" applyAlignment="1">
      <alignment horizontal="right"/>
    </xf>
    <xf numFmtId="0" fontId="8" fillId="45" borderId="0" xfId="0" applyFont="1" applyFill="1" applyBorder="1" applyAlignment="1">
      <alignment horizontal="center" vertical="center"/>
    </xf>
    <xf numFmtId="164" fontId="8" fillId="2" borderId="0" xfId="0" applyNumberFormat="1" applyFont="1" applyFill="1" applyBorder="1" applyAlignment="1">
      <alignment horizontal="center"/>
    </xf>
    <xf numFmtId="0" fontId="8" fillId="45" borderId="0" xfId="0" applyFont="1" applyFill="1" applyBorder="1" applyAlignment="1">
      <alignment horizontal="center"/>
    </xf>
    <xf numFmtId="0" fontId="2" fillId="47" borderId="0" xfId="0" applyNumberFormat="1" applyFont="1" applyFill="1" applyBorder="1" applyAlignment="1">
      <alignment horizontal="right"/>
    </xf>
    <xf numFmtId="164" fontId="40" fillId="2" borderId="0" xfId="0" applyNumberFormat="1" applyFont="1" applyFill="1" applyBorder="1" applyAlignment="1"/>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6600CC"/>
      <color rgb="FFFFCC66"/>
      <color rgb="FFFF33CC"/>
      <color rgb="FFCC0099"/>
      <color rgb="FFEC2E79"/>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Nykaa's Market Size and Revenues</a:t>
            </a:r>
          </a:p>
        </c:rich>
      </c:tx>
      <c:layout/>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stacked"/>
        <c:varyColors val="0"/>
        <c:ser>
          <c:idx val="0"/>
          <c:order val="0"/>
          <c:tx>
            <c:strRef>
              <c:f>'Industry &amp; Revenues'!$C$3</c:f>
              <c:strCache>
                <c:ptCount val="1"/>
                <c:pt idx="0">
                  <c:v>Beauty Industry</c:v>
                </c:pt>
              </c:strCache>
            </c:strRef>
          </c:tx>
          <c:spPr>
            <a:solidFill>
              <a:srgbClr val="EC2E79"/>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Revenues'!$C$4:$C$15</c:f>
              <c:numCache>
                <c:formatCode>[$₹-4009]\ #,##0</c:formatCode>
                <c:ptCount val="12"/>
                <c:pt idx="0">
                  <c:v>20730000</c:v>
                </c:pt>
                <c:pt idx="1">
                  <c:v>22473393</c:v>
                </c:pt>
                <c:pt idx="2">
                  <c:v>24363405.351300001</c:v>
                </c:pt>
                <c:pt idx="3">
                  <c:v>26412367.741344333</c:v>
                </c:pt>
                <c:pt idx="4">
                  <c:v>28633647.868391395</c:v>
                </c:pt>
                <c:pt idx="5">
                  <c:v>31041737.654123113</c:v>
                </c:pt>
                <c:pt idx="6">
                  <c:v>33031513.037752405</c:v>
                </c:pt>
                <c:pt idx="7">
                  <c:v>35148833.023472339</c:v>
                </c:pt>
                <c:pt idx="8">
                  <c:v>37401873.220276915</c:v>
                </c:pt>
                <c:pt idx="9">
                  <c:v>39799333.293696664</c:v>
                </c:pt>
                <c:pt idx="10">
                  <c:v>42350470.557822622</c:v>
                </c:pt>
                <c:pt idx="11">
                  <c:v>45065135.720579058</c:v>
                </c:pt>
              </c:numCache>
            </c:numRef>
          </c:val>
          <c:extLst>
            <c:ext xmlns:c16="http://schemas.microsoft.com/office/drawing/2014/chart" uri="{C3380CC4-5D6E-409C-BE32-E72D297353CC}">
              <c16:uniqueId val="{00000000-D109-4F1D-9AC5-0241F72841E9}"/>
            </c:ext>
          </c:extLst>
        </c:ser>
        <c:ser>
          <c:idx val="1"/>
          <c:order val="1"/>
          <c:tx>
            <c:strRef>
              <c:f>'Industry &amp; Revenues'!$I$3</c:f>
              <c:strCache>
                <c:ptCount val="1"/>
                <c:pt idx="0">
                  <c:v>Fashion Industry</c:v>
                </c:pt>
              </c:strCache>
            </c:strRef>
          </c:tx>
          <c:spPr>
            <a:solidFill>
              <a:srgbClr val="FFCC66"/>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Revenues'!$I$4:$I$15</c:f>
              <c:numCache>
                <c:formatCode>[$₹-4009]\ #,##0</c:formatCode>
                <c:ptCount val="12"/>
                <c:pt idx="0">
                  <c:v>8965584</c:v>
                </c:pt>
                <c:pt idx="1">
                  <c:v>9484691.3136</c:v>
                </c:pt>
                <c:pt idx="2">
                  <c:v>10033854.940657441</c:v>
                </c:pt>
                <c:pt idx="3">
                  <c:v>10614815.141721508</c:v>
                </c:pt>
                <c:pt idx="4">
                  <c:v>11229412.938427184</c:v>
                </c:pt>
                <c:pt idx="5">
                  <c:v>11879595.947562119</c:v>
                </c:pt>
                <c:pt idx="6">
                  <c:v>12567424.552925967</c:v>
                </c:pt>
                <c:pt idx="7">
                  <c:v>13295078.434540382</c:v>
                </c:pt>
                <c:pt idx="8">
                  <c:v>14064863.47590027</c:v>
                </c:pt>
                <c:pt idx="9">
                  <c:v>14879219.071154896</c:v>
                </c:pt>
                <c:pt idx="10">
                  <c:v>15740725.855374767</c:v>
                </c:pt>
                <c:pt idx="11">
                  <c:v>16652113.882400967</c:v>
                </c:pt>
              </c:numCache>
            </c:numRef>
          </c:val>
          <c:extLst>
            <c:ext xmlns:c16="http://schemas.microsoft.com/office/drawing/2014/chart" uri="{C3380CC4-5D6E-409C-BE32-E72D297353CC}">
              <c16:uniqueId val="{00000001-D109-4F1D-9AC5-0241F72841E9}"/>
            </c:ext>
          </c:extLst>
        </c:ser>
        <c:ser>
          <c:idx val="3"/>
          <c:order val="3"/>
          <c:tx>
            <c:strRef>
              <c:f>'Industry &amp; Revenues'!$P$3</c:f>
              <c:strCache>
                <c:ptCount val="1"/>
                <c:pt idx="0">
                  <c:v>Other</c:v>
                </c:pt>
              </c:strCache>
            </c:strRef>
          </c:tx>
          <c:spPr>
            <a:solidFill>
              <a:schemeClr val="accent2"/>
            </a:solidFill>
            <a:ln>
              <a:noFill/>
            </a:ln>
            <a:effectLst/>
          </c:spPr>
          <c:invertIfNegative val="0"/>
          <c:cat>
            <c:strRef>
              <c:f>'Industry &amp; Revenues'!$B$4:$B$15</c:f>
              <c:strCache>
                <c:ptCount val="12"/>
                <c:pt idx="0">
                  <c:v>FY22</c:v>
                </c:pt>
                <c:pt idx="1">
                  <c:v>FY23</c:v>
                </c:pt>
                <c:pt idx="2">
                  <c:v>FY24</c:v>
                </c:pt>
                <c:pt idx="3">
                  <c:v>FY25</c:v>
                </c:pt>
                <c:pt idx="4">
                  <c:v>FY26</c:v>
                </c:pt>
                <c:pt idx="5">
                  <c:v>FY27</c:v>
                </c:pt>
                <c:pt idx="6">
                  <c:v>FY28</c:v>
                </c:pt>
                <c:pt idx="7">
                  <c:v>FY29</c:v>
                </c:pt>
                <c:pt idx="8">
                  <c:v>FY30</c:v>
                </c:pt>
                <c:pt idx="9">
                  <c:v>FY31</c:v>
                </c:pt>
                <c:pt idx="10">
                  <c:v>FY32</c:v>
                </c:pt>
                <c:pt idx="11">
                  <c:v>FY33</c:v>
                </c:pt>
              </c:strCache>
            </c:strRef>
          </c:cat>
          <c:val>
            <c:numRef>
              <c:f>'Industry &amp; Revenues'!$P$4:$P$15</c:f>
              <c:numCache>
                <c:formatCode>0.00</c:formatCode>
                <c:ptCount val="12"/>
                <c:pt idx="0" formatCode="[$₹-4009]\ #,##0.00">
                  <c:v>711.44140279286682</c:v>
                </c:pt>
                <c:pt idx="1">
                  <c:v>585.95658537263535</c:v>
                </c:pt>
                <c:pt idx="2">
                  <c:v>798.11553168516195</c:v>
                </c:pt>
                <c:pt idx="3">
                  <c:v>1043.7945480937151</c:v>
                </c:pt>
                <c:pt idx="4">
                  <c:v>1327.3560926902003</c:v>
                </c:pt>
                <c:pt idx="5">
                  <c:v>1653.6825210856998</c:v>
                </c:pt>
                <c:pt idx="6">
                  <c:v>2085.4285263377019</c:v>
                </c:pt>
                <c:pt idx="7">
                  <c:v>2582.1011996124521</c:v>
                </c:pt>
                <c:pt idx="8">
                  <c:v>3152.0081086020364</c:v>
                </c:pt>
                <c:pt idx="9">
                  <c:v>3617.7791336687246</c:v>
                </c:pt>
                <c:pt idx="10">
                  <c:v>4142.0506092029354</c:v>
                </c:pt>
                <c:pt idx="11">
                  <c:v>4509.8628864282928</c:v>
                </c:pt>
              </c:numCache>
            </c:numRef>
          </c:val>
          <c:extLst>
            <c:ext xmlns:c16="http://schemas.microsoft.com/office/drawing/2014/chart" uri="{C3380CC4-5D6E-409C-BE32-E72D297353CC}">
              <c16:uniqueId val="{00000003-D109-4F1D-9AC5-0241F72841E9}"/>
            </c:ext>
          </c:extLst>
        </c:ser>
        <c:dLbls>
          <c:showLegendKey val="0"/>
          <c:showVal val="0"/>
          <c:showCatName val="0"/>
          <c:showSerName val="0"/>
          <c:showPercent val="0"/>
          <c:showBubbleSize val="0"/>
        </c:dLbls>
        <c:gapWidth val="269"/>
        <c:overlap val="100"/>
        <c:axId val="90869664"/>
        <c:axId val="90871328"/>
      </c:barChart>
      <c:lineChart>
        <c:grouping val="standard"/>
        <c:varyColors val="0"/>
        <c:ser>
          <c:idx val="2"/>
          <c:order val="2"/>
          <c:tx>
            <c:strRef>
              <c:f>'Industry &amp; Revenues'!$O$3</c:f>
              <c:strCache>
                <c:ptCount val="1"/>
                <c:pt idx="0">
                  <c:v>Nykaa Revenues</c:v>
                </c:pt>
              </c:strCache>
            </c:strRef>
          </c:tx>
          <c:spPr>
            <a:ln w="38100" cap="rnd">
              <a:solidFill>
                <a:srgbClr val="6600CC"/>
              </a:solidFill>
              <a:round/>
            </a:ln>
            <a:effectLst/>
          </c:spPr>
          <c:marker>
            <c:symbol val="none"/>
          </c:marker>
          <c:val>
            <c:numRef>
              <c:f>'Industry &amp; Revenues'!$O$4:$O$15</c:f>
              <c:numCache>
                <c:formatCode>[$₹-4009]\ #,##0.00</c:formatCode>
                <c:ptCount val="12"/>
                <c:pt idx="0">
                  <c:v>41053.65</c:v>
                </c:pt>
                <c:pt idx="1">
                  <c:v>58036.15074823195</c:v>
                </c:pt>
                <c:pt idx="2">
                  <c:v>77938.839973998925</c:v>
                </c:pt>
                <c:pt idx="3">
                  <c:v>100772.67369811982</c:v>
                </c:pt>
                <c:pt idx="4">
                  <c:v>126892.08684919075</c:v>
                </c:pt>
                <c:pt idx="5">
                  <c:v>156690.71180114496</c:v>
                </c:pt>
                <c:pt idx="6">
                  <c:v>192568.1496836915</c:v>
                </c:pt>
                <c:pt idx="7">
                  <c:v>232504.09508485775</c:v>
                </c:pt>
                <c:pt idx="8">
                  <c:v>276879.04801120993</c:v>
                </c:pt>
                <c:pt idx="9">
                  <c:v>310326.37227765756</c:v>
                </c:pt>
                <c:pt idx="10">
                  <c:v>346955.74116147228</c:v>
                </c:pt>
                <c:pt idx="11">
                  <c:v>369141.7630026128</c:v>
                </c:pt>
              </c:numCache>
            </c:numRef>
          </c:val>
          <c:smooth val="0"/>
          <c:extLst>
            <c:ext xmlns:c16="http://schemas.microsoft.com/office/drawing/2014/chart" uri="{C3380CC4-5D6E-409C-BE32-E72D297353CC}">
              <c16:uniqueId val="{00000002-D109-4F1D-9AC5-0241F72841E9}"/>
            </c:ext>
          </c:extLst>
        </c:ser>
        <c:dLbls>
          <c:showLegendKey val="0"/>
          <c:showVal val="0"/>
          <c:showCatName val="0"/>
          <c:showSerName val="0"/>
          <c:showPercent val="0"/>
          <c:showBubbleSize val="0"/>
        </c:dLbls>
        <c:marker val="1"/>
        <c:smooth val="0"/>
        <c:axId val="87449376"/>
        <c:axId val="87453120"/>
      </c:lineChart>
      <c:catAx>
        <c:axId val="90869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90871328"/>
        <c:crosses val="autoZero"/>
        <c:auto val="1"/>
        <c:lblAlgn val="ctr"/>
        <c:lblOffset val="100"/>
        <c:noMultiLvlLbl val="0"/>
      </c:catAx>
      <c:valAx>
        <c:axId val="9087132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4009]\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869664"/>
        <c:crosses val="autoZero"/>
        <c:crossBetween val="between"/>
      </c:valAx>
      <c:valAx>
        <c:axId val="87453120"/>
        <c:scaling>
          <c:orientation val="minMax"/>
        </c:scaling>
        <c:delete val="0"/>
        <c:axPos val="r"/>
        <c:numFmt formatCode="[$₹-4009]\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449376"/>
        <c:crosses val="max"/>
        <c:crossBetween val="between"/>
      </c:valAx>
      <c:catAx>
        <c:axId val="87449376"/>
        <c:scaling>
          <c:orientation val="minMax"/>
        </c:scaling>
        <c:delete val="1"/>
        <c:axPos val="b"/>
        <c:majorTickMark val="out"/>
        <c:minorTickMark val="none"/>
        <c:tickLblPos val="nextTo"/>
        <c:crossAx val="87453120"/>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195511</xdr:colOff>
      <xdr:row>4</xdr:row>
      <xdr:rowOff>19050</xdr:rowOff>
    </xdr:from>
    <xdr:to>
      <xdr:col>10</xdr:col>
      <xdr:colOff>181938</xdr:colOff>
      <xdr:row>14</xdr:row>
      <xdr:rowOff>180974</xdr:rowOff>
    </xdr:to>
    <xdr:pic>
      <xdr:nvPicPr>
        <xdr:cNvPr id="5" name="Picture 4" descr="Nykaa – Logos Download"/>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8861" y="1152525"/>
          <a:ext cx="5625227" cy="18383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28575</xdr:colOff>
      <xdr:row>5</xdr:row>
      <xdr:rowOff>0</xdr:rowOff>
    </xdr:from>
    <xdr:to>
      <xdr:col>7</xdr:col>
      <xdr:colOff>685800</xdr:colOff>
      <xdr:row>10</xdr:row>
      <xdr:rowOff>47625</xdr:rowOff>
    </xdr:to>
    <xdr:sp macro="" textlink="">
      <xdr:nvSpPr>
        <xdr:cNvPr id="2" name="TextBox 1"/>
        <xdr:cNvSpPr txBox="1"/>
      </xdr:nvSpPr>
      <xdr:spPr>
        <a:xfrm>
          <a:off x="161925" y="809625"/>
          <a:ext cx="6029325"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Nykaa Ltd:</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"Nykaa" is a digitally native consumer technology platform, delivering a content-led, lifestyle retail experience to consumers. The company has a diverse portfolio of beauty, personal care, and fashion products, including owned brand products manufactured by it.</a:t>
          </a:r>
        </a:p>
      </xdr:txBody>
    </xdr:sp>
    <xdr:clientData/>
  </xdr:twoCellAnchor>
  <xdr:twoCellAnchor>
    <xdr:from>
      <xdr:col>1</xdr:col>
      <xdr:colOff>28573</xdr:colOff>
      <xdr:row>11</xdr:row>
      <xdr:rowOff>19050</xdr:rowOff>
    </xdr:from>
    <xdr:to>
      <xdr:col>12</xdr:col>
      <xdr:colOff>714374</xdr:colOff>
      <xdr:row>27</xdr:row>
      <xdr:rowOff>133350</xdr:rowOff>
    </xdr:to>
    <xdr:sp macro="" textlink="">
      <xdr:nvSpPr>
        <xdr:cNvPr id="6" name="TextBox 5"/>
        <xdr:cNvSpPr txBox="1"/>
      </xdr:nvSpPr>
      <xdr:spPr>
        <a:xfrm>
          <a:off x="161923" y="1743075"/>
          <a:ext cx="9486901"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A)Nykaa - Beauty and Personal care (90% of the revenue)</a:t>
          </a:r>
          <a:r>
            <a:rPr lang="en-US" sz="900" b="0">
              <a:latin typeface="Arial" panose="020B0604020202020204" pitchFamily="34" charset="0"/>
              <a:cs typeface="Arial" panose="020B0604020202020204" pitchFamily="34" charset="0"/>
            </a:rPr>
            <a:t> - The company offers 256,149 SKUs from 2,644 brands primarily across make-up, skincare, haircare, bath and body, fragrance, grooming appliances, personal care, and health and wellness categories online beauty and personal care platforms in India.</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Apart from the tie ups with several suppliers, the company also has its own brands such as “Nykaa Cosmetics”, “Nykaa Naturals” and “Kay Beauty”.</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The segment operates based on the "Inventory led model" where the company procures products in bulk and stores them at their warehouse and sells them upon receiving orders from its customers.</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B) Nykaa Fashion - Apparel and Accessories (10% of the revenue)</a:t>
          </a:r>
          <a:br>
            <a:rPr lang="en-US" sz="900" b="1">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segment was only launched in 2018 and now it has 1,434 brands and 2.8 million SKUs with fashion products across four divisions: women, men, kids, and home. Within these consumer divisions, we merchandise across several categories including western wear, Indian wear, lingerie, footwear, bags, jewelry, accessories, athleisure, home décor, bath, bed, and kitchen in order to cater to the diverse consumers’ journeys across its platform.</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The segment is based on the </a:t>
          </a:r>
          <a:r>
            <a:rPr lang="en-US" sz="900" b="0" i="1">
              <a:latin typeface="Arial" panose="020B0604020202020204" pitchFamily="34" charset="0"/>
              <a:cs typeface="Arial" panose="020B0604020202020204" pitchFamily="34" charset="0"/>
            </a:rPr>
            <a:t>‘’Managed Market place’’</a:t>
          </a:r>
          <a:r>
            <a:rPr lang="en-US" sz="900" b="0">
              <a:latin typeface="Arial" panose="020B0604020202020204" pitchFamily="34" charset="0"/>
              <a:cs typeface="Arial" panose="020B0604020202020204" pitchFamily="34" charset="0"/>
            </a:rPr>
            <a:t> model where the company doesn’t maintain any inventory, instead it receives the order from its customers and redirects them to its vendors and the vendors ship the product to the Customers.</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Online Channel (90% of GMV)-</a:t>
          </a:r>
          <a:r>
            <a:rPr lang="en-US" sz="900" b="1"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Mobile applications, websites, and mobile sites. As of August 31, 2021, cumulative downloads of 55.8 million. 88.2% of online GMV came through mobile apps. They have one of the highest shares of mobile application-led transactions, among the leading online retail platforms in India.</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Offline Channel</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1. Nykaa Luxe – Average 1134 sq feet in size. Present in A-grade malls and high streets. showcases luxury beauty experience. 38 Nykaa luxe stores.</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2. Nykaa on-trend – Average 732 sq feet in size. Showcases current best-selling products across beauty and personal care brands. 32 Nykaa on-trend stores.</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3. Nykaa Kiosks – Free-standing units in the atriums of Shopping Malls. Showcases Nykaa owned brands. 9 such Kiosks.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2</xdr:rowOff>
    </xdr:from>
    <xdr:to>
      <xdr:col>17</xdr:col>
      <xdr:colOff>9525</xdr:colOff>
      <xdr:row>29</xdr:row>
      <xdr:rowOff>104776</xdr:rowOff>
    </xdr:to>
    <xdr:sp macro="" textlink="">
      <xdr:nvSpPr>
        <xdr:cNvPr id="9" name="TextBox 8"/>
        <xdr:cNvSpPr txBox="1"/>
      </xdr:nvSpPr>
      <xdr:spPr>
        <a:xfrm>
          <a:off x="133350" y="352427"/>
          <a:ext cx="12106275" cy="42195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How Nykaa started?: </a:t>
          </a:r>
          <a:r>
            <a:rPr lang="en-US" sz="900" b="0">
              <a:latin typeface="Arial" panose="020B0604020202020204" pitchFamily="34" charset="0"/>
              <a:cs typeface="Arial" panose="020B0604020202020204" pitchFamily="34" charset="0"/>
            </a:rPr>
            <a:t>The problem of counterfeit makeup was a much larger problem back then. Women thought they were paying for authentic product. You’d get swarmed by hawkers selling the Maybelline Colossal Kajal counterfeit and even if you used the original product all these years, you couldn’t recognise any difference in its packaging. This was the same problem in buying things online. Amazon and Flipkart had dodgy sellers for makeup with inconsistent pricing. Falguni Nayar, the Founder &amp; CEO spotted this problem and started the company in 2012 and invested a couple of million dollars of her own money.</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Nykaa would buy in bulk from the makeup companies, warehouse it and when the item was sold, do the shipping and fulfilment for the order.</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In 2012 the company was having 10 orders per day to a 100 orders per day in October 2013. The company in 2014 raised $3.5 Million in Series A, $9.5 Million in Series B in 2015, Rs 100 crores from Harsh Mariwala in 2016 for Series C. Valuation of Nykaa for Series C was 775 Crores. The company had expanded to physical stores by then for increasing brand visibility. By 2017 the company was processing 10-15,000 orders per day. The company now has 18 warehouses and 73 retail stores.</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Nykaa pre-IPO has raised $341 Million dollars through 13 rounds.</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a:solidFill>
              <a:schemeClr val="dk1"/>
            </a:solidFill>
            <a:effectLst/>
            <a:latin typeface="Arial" panose="020B0604020202020204" pitchFamily="34" charset="0"/>
            <a:ea typeface="+mn-ea"/>
            <a:cs typeface="Arial" panose="020B0604020202020204" pitchFamily="34" charset="0"/>
          </a:endParaRPr>
        </a:p>
        <a:p>
          <a:r>
            <a:rPr lang="en-US" sz="900" b="1">
              <a:solidFill>
                <a:schemeClr val="dk1"/>
              </a:solidFill>
              <a:effectLst/>
              <a:latin typeface="Arial" panose="020B0604020202020204" pitchFamily="34" charset="0"/>
              <a:ea typeface="+mn-ea"/>
              <a:cs typeface="Arial" panose="020B0604020202020204" pitchFamily="34" charset="0"/>
            </a:rPr>
            <a:t>Nykaa's Market: </a:t>
          </a:r>
          <a:r>
            <a:rPr lang="en-US" sz="900" b="0">
              <a:solidFill>
                <a:schemeClr val="dk1"/>
              </a:solidFill>
              <a:effectLst/>
              <a:latin typeface="Arial" panose="020B0604020202020204" pitchFamily="34" charset="0"/>
              <a:ea typeface="+mn-ea"/>
              <a:cs typeface="Arial" panose="020B0604020202020204" pitchFamily="34" charset="0"/>
            </a:rPr>
            <a:t>Major</a:t>
          </a:r>
          <a:r>
            <a:rPr lang="en-US" sz="900" b="0" baseline="0">
              <a:solidFill>
                <a:schemeClr val="dk1"/>
              </a:solidFill>
              <a:effectLst/>
              <a:latin typeface="Arial" panose="020B0604020202020204" pitchFamily="34" charset="0"/>
              <a:ea typeface="+mn-ea"/>
              <a:cs typeface="Arial" panose="020B0604020202020204" pitchFamily="34" charset="0"/>
            </a:rPr>
            <a:t> revenues comes from Nykaa's beauty care and personal care products market. However, the supply of the Beauty and Personal Products (BCP) category is very scattered. No brand has more than 1-2% market share in categories as consumer loyalty is very fickle and susceptible to new launches and trends. This gives the retailer an advantage over the brand. Market share plays a major role in Nykaa's valuation. Nykaa is a margin and a sales story. Mostly sales, because the management is focused on sales growth and covering TAM as much as possible without taking on debt. A "Big Market Illusion" can be an argument which can affect valuations.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(Strong Networking) - </a:t>
          </a:r>
          <a:r>
            <a:rPr lang="en-US" sz="900" b="0" baseline="0">
              <a:solidFill>
                <a:schemeClr val="dk1"/>
              </a:solidFill>
              <a:effectLst/>
              <a:latin typeface="Arial" panose="020B0604020202020204" pitchFamily="34" charset="0"/>
              <a:ea typeface="+mn-ea"/>
              <a:cs typeface="Arial" panose="020B0604020202020204" pitchFamily="34" charset="0"/>
            </a:rPr>
            <a:t>Nykaa’s biggest moat isn’t its platform or the network of offline stores or even its brand, its something else entirely, something that even its closest competitors do not excel at - content. Nykaa is a content generating machine. Nykaa Network is the company’s social media platform, where users can talk about everything related to beauty and fashion. A quick glance at the platform and you will notice it looks very similar to any other social media platform - except users can directly buy products while navigating the platform. This type of commerce is already huge in China and has transformed the online shopping experience. Taobao Live, is an app by Alibaba, that helps influencers sell products while live streaming. Last year it sold Gross Merchandise Value worth over USD 70 Billion.</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 and Pain Points:</a:t>
          </a:r>
          <a:r>
            <a:rPr lang="en-US" sz="900" b="0" baseline="0">
              <a:solidFill>
                <a:schemeClr val="dk1"/>
              </a:solidFill>
              <a:effectLst/>
              <a:latin typeface="Arial" panose="020B0604020202020204" pitchFamily="34" charset="0"/>
              <a:ea typeface="+mn-ea"/>
              <a:cs typeface="Arial" panose="020B0604020202020204" pitchFamily="34" charset="0"/>
            </a:rPr>
            <a:t> Nykaa is a discretionary spend, but, if sales are increasing and if one believes the management and also sees their products everywhere in physical stores and/or online, then may be it is not a discretionary spend and part of lifestyle. There is a clear gap in the options available to the target consumer - women, esp. the ones residing in Tier 2 and Tier 3 cities and towns across India. High prevalence of counterfeit goods sold by small stores and unavailability of every single product that a customer may demand, is hurting their growth and diverting the sales to online platforms like Nykaa.</a:t>
          </a:r>
        </a:p>
        <a:p>
          <a:endParaRPr lang="en-US" sz="900" b="1">
            <a:solidFill>
              <a:schemeClr val="dk1"/>
            </a:solidFill>
            <a:effectLst/>
            <a:latin typeface="Arial" panose="020B0604020202020204" pitchFamily="34" charset="0"/>
            <a:ea typeface="+mn-ea"/>
            <a:cs typeface="Arial" panose="020B0604020202020204" pitchFamily="34" charset="0"/>
          </a:endParaRPr>
        </a:p>
        <a:p>
          <a:r>
            <a:rPr lang="en-US" sz="900" b="1">
              <a:latin typeface="Arial" panose="020B0604020202020204" pitchFamily="34" charset="0"/>
              <a:cs typeface="Arial" panose="020B0604020202020204" pitchFamily="34" charset="0"/>
            </a:rPr>
            <a:t>Pricing: </a:t>
          </a:r>
          <a:r>
            <a:rPr lang="en-US" sz="900" b="0">
              <a:latin typeface="Arial" panose="020B0604020202020204" pitchFamily="34" charset="0"/>
              <a:cs typeface="Arial" panose="020B0604020202020204" pitchFamily="34" charset="0"/>
            </a:rPr>
            <a:t>Nykaa makes a profit of about Rs 250 to Rs 300 per average order value of Rs 2000, in the Beauty and Personal Products (BPC) Category.</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Nykaa biggest expenditure is also their biggest asset aka Advertising and Marketing Expense. They make 8.94% Operating Profit Margin in FY22.</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Competition: </a:t>
          </a:r>
          <a:r>
            <a:rPr lang="en-US" sz="900" b="0" baseline="0">
              <a:latin typeface="Arial" panose="020B0604020202020204" pitchFamily="34" charset="0"/>
              <a:cs typeface="Arial" panose="020B0604020202020204" pitchFamily="34" charset="0"/>
            </a:rPr>
            <a:t>Myntra was the latest to announce its foray into Beauty and Product Category. Then there are startups like Purplle, who have been trying to compete with Nykaa since the beginning. Even though Purplle started before Nykaa, it has lost market share and struggled to keep up with Nykaa’s pace. Though entry of these new players mean increased competition, I believe Nykaa will still be able to protect its market share, thanks to its content moat. Nykaa is more than a platform to its customers today, it’s a platform built on their trust. International Players like L'Oréal, International Flavors and Givaudan can also enter the market</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Nykaa makes Rs. 2.46 for every Rs. 1 of Invested Capital in FY22. However, the 75th percentile of gross industry makes Rs. 1.56 for every Rs. 1 of Invested Capital in FY22. Nykaa spent Rs. 510.84 millions in acquitions like Dot &amp; Key Wellness at 51% stake in FY22. I projected Nykaa to reinvest roughly Rs.19,580 million on average for the next 10 years to achieve a Sales CAGR of 23.79% in next 10 years. Nykaa has a reinvestment rate of 178.98% in FY22 which is mostly due to their advertising and marketing expenditure (which I treated as an asset rather than an expense in my valuation).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647699</xdr:colOff>
      <xdr:row>32</xdr:row>
      <xdr:rowOff>114300</xdr:rowOff>
    </xdr:from>
    <xdr:to>
      <xdr:col>5</xdr:col>
      <xdr:colOff>266699</xdr:colOff>
      <xdr:row>37</xdr:row>
      <xdr:rowOff>0</xdr:rowOff>
    </xdr:to>
    <xdr:sp macro="" textlink="">
      <xdr:nvSpPr>
        <xdr:cNvPr id="2" name="TextBox 1"/>
        <xdr:cNvSpPr txBox="1"/>
      </xdr:nvSpPr>
      <xdr:spPr>
        <a:xfrm>
          <a:off x="3714749" y="5038725"/>
          <a:ext cx="10763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 Free Rate:</a:t>
          </a:r>
        </a:p>
        <a:p>
          <a:r>
            <a:rPr lang="en-US" sz="2400" b="1"/>
            <a:t>5.43%</a:t>
          </a:r>
          <a:endParaRPr lang="en-US" sz="1100" b="1"/>
        </a:p>
      </xdr:txBody>
    </xdr:sp>
    <xdr:clientData/>
  </xdr:twoCellAnchor>
  <xdr:twoCellAnchor>
    <xdr:from>
      <xdr:col>5</xdr:col>
      <xdr:colOff>371474</xdr:colOff>
      <xdr:row>32</xdr:row>
      <xdr:rowOff>114300</xdr:rowOff>
    </xdr:from>
    <xdr:to>
      <xdr:col>6</xdr:col>
      <xdr:colOff>104775</xdr:colOff>
      <xdr:row>37</xdr:row>
      <xdr:rowOff>0</xdr:rowOff>
    </xdr:to>
    <xdr:sp macro="" textlink="">
      <xdr:nvSpPr>
        <xdr:cNvPr id="3" name="TextBox 2"/>
        <xdr:cNvSpPr txBox="1"/>
      </xdr:nvSpPr>
      <xdr:spPr>
        <a:xfrm>
          <a:off x="4895849" y="5038725"/>
          <a:ext cx="99060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India </a:t>
          </a:r>
          <a:r>
            <a:rPr lang="en-US" sz="1100" baseline="0"/>
            <a:t>ERP</a:t>
          </a:r>
          <a:r>
            <a:rPr lang="en-US" sz="1100"/>
            <a:t>:</a:t>
          </a:r>
        </a:p>
        <a:p>
          <a:r>
            <a:rPr lang="en-US" sz="2400" b="1"/>
            <a:t>3.96%</a:t>
          </a:r>
          <a:endParaRPr lang="en-US" sz="1100" b="1"/>
        </a:p>
      </xdr:txBody>
    </xdr:sp>
    <xdr:clientData/>
  </xdr:twoCellAnchor>
  <xdr:twoCellAnchor>
    <xdr:from>
      <xdr:col>7</xdr:col>
      <xdr:colOff>9525</xdr:colOff>
      <xdr:row>32</xdr:row>
      <xdr:rowOff>114300</xdr:rowOff>
    </xdr:from>
    <xdr:to>
      <xdr:col>7</xdr:col>
      <xdr:colOff>781051</xdr:colOff>
      <xdr:row>37</xdr:row>
      <xdr:rowOff>0</xdr:rowOff>
    </xdr:to>
    <xdr:sp macro="" textlink="">
      <xdr:nvSpPr>
        <xdr:cNvPr id="4" name="TextBox 3"/>
        <xdr:cNvSpPr txBox="1"/>
      </xdr:nvSpPr>
      <xdr:spPr>
        <a:xfrm>
          <a:off x="5972175" y="5038725"/>
          <a:ext cx="771526"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Beta:</a:t>
          </a:r>
        </a:p>
        <a:p>
          <a:r>
            <a:rPr lang="en-US" sz="2400" b="1"/>
            <a:t>0.88</a:t>
          </a:r>
          <a:endParaRPr lang="en-US" sz="1100" b="1"/>
        </a:p>
      </xdr:txBody>
    </xdr:sp>
    <xdr:clientData/>
  </xdr:twoCellAnchor>
  <xdr:twoCellAnchor>
    <xdr:from>
      <xdr:col>7</xdr:col>
      <xdr:colOff>876299</xdr:colOff>
      <xdr:row>32</xdr:row>
      <xdr:rowOff>114300</xdr:rowOff>
    </xdr:from>
    <xdr:to>
      <xdr:col>7</xdr:col>
      <xdr:colOff>1952624</xdr:colOff>
      <xdr:row>37</xdr:row>
      <xdr:rowOff>0</xdr:rowOff>
    </xdr:to>
    <xdr:sp macro="" textlink="">
      <xdr:nvSpPr>
        <xdr:cNvPr id="5" name="TextBox 4"/>
        <xdr:cNvSpPr txBox="1"/>
      </xdr:nvSpPr>
      <xdr:spPr>
        <a:xfrm>
          <a:off x="6838949" y="5038725"/>
          <a:ext cx="10763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 Risk Free:</a:t>
          </a:r>
        </a:p>
        <a:p>
          <a:r>
            <a:rPr lang="en-US" sz="2400" b="1"/>
            <a:t>2.83%</a:t>
          </a:r>
          <a:endParaRPr lang="en-US" sz="1100" b="1"/>
        </a:p>
      </xdr:txBody>
    </xdr:sp>
    <xdr:clientData/>
  </xdr:twoCellAnchor>
  <xdr:twoCellAnchor>
    <xdr:from>
      <xdr:col>8</xdr:col>
      <xdr:colOff>28574</xdr:colOff>
      <xdr:row>32</xdr:row>
      <xdr:rowOff>114300</xdr:rowOff>
    </xdr:from>
    <xdr:to>
      <xdr:col>9</xdr:col>
      <xdr:colOff>409575</xdr:colOff>
      <xdr:row>37</xdr:row>
      <xdr:rowOff>0</xdr:rowOff>
    </xdr:to>
    <xdr:sp macro="" textlink="">
      <xdr:nvSpPr>
        <xdr:cNvPr id="6" name="TextBox 5"/>
        <xdr:cNvSpPr txBox="1"/>
      </xdr:nvSpPr>
      <xdr:spPr>
        <a:xfrm>
          <a:off x="8020049" y="5038725"/>
          <a:ext cx="99060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India's Risk:</a:t>
          </a:r>
        </a:p>
        <a:p>
          <a:r>
            <a:rPr lang="en-US" sz="2400" b="1"/>
            <a:t>3.01%</a:t>
          </a:r>
          <a:endParaRPr lang="en-US" sz="1100" b="1"/>
        </a:p>
      </xdr:txBody>
    </xdr:sp>
    <xdr:clientData/>
  </xdr:twoCellAnchor>
  <xdr:twoCellAnchor>
    <xdr:from>
      <xdr:col>9</xdr:col>
      <xdr:colOff>495300</xdr:colOff>
      <xdr:row>32</xdr:row>
      <xdr:rowOff>114300</xdr:rowOff>
    </xdr:from>
    <xdr:to>
      <xdr:col>11</xdr:col>
      <xdr:colOff>266700</xdr:colOff>
      <xdr:row>37</xdr:row>
      <xdr:rowOff>0</xdr:rowOff>
    </xdr:to>
    <xdr:sp macro="" textlink="">
      <xdr:nvSpPr>
        <xdr:cNvPr id="7" name="TextBox 6"/>
        <xdr:cNvSpPr txBox="1"/>
      </xdr:nvSpPr>
      <xdr:spPr>
        <a:xfrm>
          <a:off x="9096375" y="5038725"/>
          <a:ext cx="99060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Nykaa's Risk:</a:t>
          </a:r>
        </a:p>
        <a:p>
          <a:r>
            <a:rPr lang="en-US" sz="2400" b="1"/>
            <a:t>7.78%</a:t>
          </a:r>
          <a:endParaRPr lang="en-US" sz="1100" b="1"/>
        </a:p>
      </xdr:txBody>
    </xdr:sp>
    <xdr:clientData/>
  </xdr:twoCellAnchor>
  <xdr:twoCellAnchor>
    <xdr:from>
      <xdr:col>5</xdr:col>
      <xdr:colOff>352424</xdr:colOff>
      <xdr:row>38</xdr:row>
      <xdr:rowOff>38100</xdr:rowOff>
    </xdr:from>
    <xdr:to>
      <xdr:col>6</xdr:col>
      <xdr:colOff>171450</xdr:colOff>
      <xdr:row>42</xdr:row>
      <xdr:rowOff>76200</xdr:rowOff>
    </xdr:to>
    <xdr:sp macro="" textlink="">
      <xdr:nvSpPr>
        <xdr:cNvPr id="8" name="TextBox 7"/>
        <xdr:cNvSpPr txBox="1"/>
      </xdr:nvSpPr>
      <xdr:spPr>
        <a:xfrm>
          <a:off x="4876799" y="5876925"/>
          <a:ext cx="1076326"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Equity:</a:t>
          </a:r>
        </a:p>
        <a:p>
          <a:r>
            <a:rPr lang="en-US" sz="2400" b="1"/>
            <a:t>8.93%</a:t>
          </a:r>
          <a:endParaRPr lang="en-US" sz="1100" b="1"/>
        </a:p>
      </xdr:txBody>
    </xdr:sp>
    <xdr:clientData/>
  </xdr:twoCellAnchor>
  <xdr:twoCellAnchor>
    <xdr:from>
      <xdr:col>7</xdr:col>
      <xdr:colOff>2028823</xdr:colOff>
      <xdr:row>38</xdr:row>
      <xdr:rowOff>38100</xdr:rowOff>
    </xdr:from>
    <xdr:to>
      <xdr:col>9</xdr:col>
      <xdr:colOff>514349</xdr:colOff>
      <xdr:row>42</xdr:row>
      <xdr:rowOff>76200</xdr:rowOff>
    </xdr:to>
    <xdr:sp macro="" textlink="">
      <xdr:nvSpPr>
        <xdr:cNvPr id="9" name="TextBox 8"/>
        <xdr:cNvSpPr txBox="1"/>
      </xdr:nvSpPr>
      <xdr:spPr>
        <a:xfrm>
          <a:off x="7991473" y="5876925"/>
          <a:ext cx="112395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Debt:</a:t>
          </a:r>
        </a:p>
        <a:p>
          <a:r>
            <a:rPr lang="en-US" sz="2400" b="1"/>
            <a:t>13.62%</a:t>
          </a:r>
          <a:endParaRPr lang="en-US" sz="1100" b="1"/>
        </a:p>
      </xdr:txBody>
    </xdr:sp>
    <xdr:clientData/>
  </xdr:twoCellAnchor>
  <xdr:twoCellAnchor>
    <xdr:from>
      <xdr:col>7</xdr:col>
      <xdr:colOff>438148</xdr:colOff>
      <xdr:row>38</xdr:row>
      <xdr:rowOff>38100</xdr:rowOff>
    </xdr:from>
    <xdr:to>
      <xdr:col>7</xdr:col>
      <xdr:colOff>1457325</xdr:colOff>
      <xdr:row>42</xdr:row>
      <xdr:rowOff>76200</xdr:rowOff>
    </xdr:to>
    <xdr:sp macro="" textlink="">
      <xdr:nvSpPr>
        <xdr:cNvPr id="10" name="TextBox 9"/>
        <xdr:cNvSpPr txBox="1"/>
      </xdr:nvSpPr>
      <xdr:spPr>
        <a:xfrm>
          <a:off x="6400798" y="5876925"/>
          <a:ext cx="1019177" cy="6477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WACC:</a:t>
          </a:r>
        </a:p>
        <a:p>
          <a:r>
            <a:rPr lang="en-US" sz="2400" b="1">
              <a:solidFill>
                <a:schemeClr val="bg1"/>
              </a:solidFill>
            </a:rPr>
            <a:t>8.94%</a:t>
          </a:r>
          <a:endParaRPr lang="en-US" sz="1100" b="1">
            <a:solidFill>
              <a:schemeClr val="bg1"/>
            </a:solidFill>
          </a:endParaRPr>
        </a:p>
      </xdr:txBody>
    </xdr:sp>
    <xdr:clientData/>
  </xdr:twoCellAnchor>
  <xdr:twoCellAnchor>
    <xdr:from>
      <xdr:col>4</xdr:col>
      <xdr:colOff>500062</xdr:colOff>
      <xdr:row>37</xdr:row>
      <xdr:rowOff>0</xdr:rowOff>
    </xdr:from>
    <xdr:to>
      <xdr:col>5</xdr:col>
      <xdr:colOff>352424</xdr:colOff>
      <xdr:row>40</xdr:row>
      <xdr:rowOff>57150</xdr:rowOff>
    </xdr:to>
    <xdr:cxnSp macro="">
      <xdr:nvCxnSpPr>
        <xdr:cNvPr id="12" name="Straight Connector 11"/>
        <xdr:cNvCxnSpPr>
          <a:stCxn id="2" idx="2"/>
          <a:endCxn id="8" idx="1"/>
        </xdr:cNvCxnSpPr>
      </xdr:nvCxnSpPr>
      <xdr:spPr>
        <a:xfrm>
          <a:off x="4252912" y="5686425"/>
          <a:ext cx="623887"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866775</xdr:colOff>
      <xdr:row>37</xdr:row>
      <xdr:rowOff>0</xdr:rowOff>
    </xdr:from>
    <xdr:to>
      <xdr:col>5</xdr:col>
      <xdr:colOff>890587</xdr:colOff>
      <xdr:row>38</xdr:row>
      <xdr:rowOff>38100</xdr:rowOff>
    </xdr:to>
    <xdr:cxnSp macro="">
      <xdr:nvCxnSpPr>
        <xdr:cNvPr id="14" name="Straight Connector 13"/>
        <xdr:cNvCxnSpPr>
          <a:stCxn id="3" idx="2"/>
          <a:endCxn id="8" idx="0"/>
        </xdr:cNvCxnSpPr>
      </xdr:nvCxnSpPr>
      <xdr:spPr>
        <a:xfrm>
          <a:off x="5391150" y="5686425"/>
          <a:ext cx="23812" cy="19050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171450</xdr:colOff>
      <xdr:row>37</xdr:row>
      <xdr:rowOff>0</xdr:rowOff>
    </xdr:from>
    <xdr:to>
      <xdr:col>7</xdr:col>
      <xdr:colOff>395288</xdr:colOff>
      <xdr:row>40</xdr:row>
      <xdr:rowOff>57150</xdr:rowOff>
    </xdr:to>
    <xdr:cxnSp macro="">
      <xdr:nvCxnSpPr>
        <xdr:cNvPr id="16" name="Straight Connector 15"/>
        <xdr:cNvCxnSpPr>
          <a:stCxn id="4" idx="2"/>
          <a:endCxn id="8" idx="3"/>
        </xdr:cNvCxnSpPr>
      </xdr:nvCxnSpPr>
      <xdr:spPr>
        <a:xfrm flipH="1">
          <a:off x="5953125" y="5686425"/>
          <a:ext cx="404813"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1414462</xdr:colOff>
      <xdr:row>37</xdr:row>
      <xdr:rowOff>0</xdr:rowOff>
    </xdr:from>
    <xdr:to>
      <xdr:col>7</xdr:col>
      <xdr:colOff>2028823</xdr:colOff>
      <xdr:row>40</xdr:row>
      <xdr:rowOff>57150</xdr:rowOff>
    </xdr:to>
    <xdr:cxnSp macro="">
      <xdr:nvCxnSpPr>
        <xdr:cNvPr id="18" name="Straight Connector 17"/>
        <xdr:cNvCxnSpPr>
          <a:stCxn id="5" idx="2"/>
          <a:endCxn id="9" idx="1"/>
        </xdr:cNvCxnSpPr>
      </xdr:nvCxnSpPr>
      <xdr:spPr>
        <a:xfrm>
          <a:off x="7377112" y="5686425"/>
          <a:ext cx="614361"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523875</xdr:colOff>
      <xdr:row>37</xdr:row>
      <xdr:rowOff>0</xdr:rowOff>
    </xdr:from>
    <xdr:to>
      <xdr:col>8</xdr:col>
      <xdr:colOff>561974</xdr:colOff>
      <xdr:row>38</xdr:row>
      <xdr:rowOff>38100</xdr:rowOff>
    </xdr:to>
    <xdr:cxnSp macro="">
      <xdr:nvCxnSpPr>
        <xdr:cNvPr id="20" name="Straight Connector 19"/>
        <xdr:cNvCxnSpPr>
          <a:stCxn id="6" idx="2"/>
          <a:endCxn id="9" idx="0"/>
        </xdr:cNvCxnSpPr>
      </xdr:nvCxnSpPr>
      <xdr:spPr>
        <a:xfrm>
          <a:off x="8515350" y="5686425"/>
          <a:ext cx="38099" cy="19050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514349</xdr:colOff>
      <xdr:row>37</xdr:row>
      <xdr:rowOff>0</xdr:rowOff>
    </xdr:from>
    <xdr:to>
      <xdr:col>10</xdr:col>
      <xdr:colOff>381000</xdr:colOff>
      <xdr:row>40</xdr:row>
      <xdr:rowOff>57150</xdr:rowOff>
    </xdr:to>
    <xdr:cxnSp macro="">
      <xdr:nvCxnSpPr>
        <xdr:cNvPr id="22" name="Straight Connector 21"/>
        <xdr:cNvCxnSpPr>
          <a:stCxn id="7" idx="2"/>
          <a:endCxn id="9" idx="3"/>
        </xdr:cNvCxnSpPr>
      </xdr:nvCxnSpPr>
      <xdr:spPr>
        <a:xfrm flipH="1">
          <a:off x="9115424" y="5686425"/>
          <a:ext cx="476251"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171450</xdr:colOff>
      <xdr:row>40</xdr:row>
      <xdr:rowOff>57150</xdr:rowOff>
    </xdr:from>
    <xdr:to>
      <xdr:col>7</xdr:col>
      <xdr:colOff>438148</xdr:colOff>
      <xdr:row>40</xdr:row>
      <xdr:rowOff>57150</xdr:rowOff>
    </xdr:to>
    <xdr:cxnSp macro="">
      <xdr:nvCxnSpPr>
        <xdr:cNvPr id="24" name="Straight Connector 23"/>
        <xdr:cNvCxnSpPr>
          <a:stCxn id="8" idx="3"/>
          <a:endCxn id="10" idx="1"/>
        </xdr:cNvCxnSpPr>
      </xdr:nvCxnSpPr>
      <xdr:spPr>
        <a:xfrm>
          <a:off x="5953125" y="6200775"/>
          <a:ext cx="44767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1457325</xdr:colOff>
      <xdr:row>40</xdr:row>
      <xdr:rowOff>57150</xdr:rowOff>
    </xdr:from>
    <xdr:to>
      <xdr:col>7</xdr:col>
      <xdr:colOff>2028823</xdr:colOff>
      <xdr:row>40</xdr:row>
      <xdr:rowOff>57150</xdr:rowOff>
    </xdr:to>
    <xdr:cxnSp macro="">
      <xdr:nvCxnSpPr>
        <xdr:cNvPr id="26" name="Straight Connector 25"/>
        <xdr:cNvCxnSpPr>
          <a:stCxn id="10" idx="3"/>
          <a:endCxn id="9" idx="1"/>
        </xdr:cNvCxnSpPr>
      </xdr:nvCxnSpPr>
      <xdr:spPr>
        <a:xfrm>
          <a:off x="7419975" y="6200775"/>
          <a:ext cx="571498"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12</xdr:col>
      <xdr:colOff>352426</xdr:colOff>
      <xdr:row>15</xdr:row>
      <xdr:rowOff>19051</xdr:rowOff>
    </xdr:from>
    <xdr:to>
      <xdr:col>18</xdr:col>
      <xdr:colOff>28576</xdr:colOff>
      <xdr:row>29</xdr:row>
      <xdr:rowOff>63396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01101" y="2447926"/>
          <a:ext cx="3333750" cy="2177945"/>
        </a:xfrm>
        <a:prstGeom prst="rect">
          <a:avLst/>
        </a:prstGeom>
      </xdr:spPr>
    </xdr:pic>
    <xdr:clientData/>
  </xdr:twoCellAnchor>
  <xdr:twoCellAnchor editAs="oneCell">
    <xdr:from>
      <xdr:col>6</xdr:col>
      <xdr:colOff>57811</xdr:colOff>
      <xdr:row>1</xdr:row>
      <xdr:rowOff>95250</xdr:rowOff>
    </xdr:from>
    <xdr:to>
      <xdr:col>12</xdr:col>
      <xdr:colOff>545</xdr:colOff>
      <xdr:row>20</xdr:row>
      <xdr:rowOff>28575</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48886" y="295275"/>
          <a:ext cx="3600334" cy="2924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28575</xdr:colOff>
      <xdr:row>20</xdr:row>
      <xdr:rowOff>57150</xdr:rowOff>
    </xdr:from>
    <xdr:to>
      <xdr:col>17</xdr:col>
      <xdr:colOff>390525</xdr:colOff>
      <xdr:row>45</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133349</xdr:colOff>
      <xdr:row>11</xdr:row>
      <xdr:rowOff>66676</xdr:rowOff>
    </xdr:from>
    <xdr:to>
      <xdr:col>4</xdr:col>
      <xdr:colOff>1609725</xdr:colOff>
      <xdr:row>14</xdr:row>
      <xdr:rowOff>38100</xdr:rowOff>
    </xdr:to>
    <xdr:sp macro="" textlink="">
      <xdr:nvSpPr>
        <xdr:cNvPr id="4" name="TextBox 3"/>
        <xdr:cNvSpPr txBox="1"/>
      </xdr:nvSpPr>
      <xdr:spPr>
        <a:xfrm>
          <a:off x="4486274" y="1790701"/>
          <a:ext cx="1476376" cy="428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Value Company</a:t>
          </a:r>
          <a:r>
            <a:rPr lang="en-US" sz="1050" baseline="0">
              <a:solidFill>
                <a:schemeClr val="dk1"/>
              </a:solidFill>
              <a:effectLst/>
              <a:latin typeface="+mn-lt"/>
              <a:ea typeface="+mn-ea"/>
              <a:cs typeface="+mn-cs"/>
            </a:rPr>
            <a:t> and </a:t>
          </a:r>
          <a:r>
            <a:rPr lang="en-US" sz="1050">
              <a:solidFill>
                <a:schemeClr val="dk1"/>
              </a:solidFill>
              <a:effectLst/>
              <a:latin typeface="+mn-lt"/>
              <a:ea typeface="+mn-ea"/>
              <a:cs typeface="+mn-cs"/>
            </a:rPr>
            <a:t>Substract</a:t>
          </a:r>
          <a:r>
            <a:rPr lang="en-US" sz="1050" baseline="0">
              <a:solidFill>
                <a:schemeClr val="dk1"/>
              </a:solidFill>
              <a:effectLst/>
              <a:latin typeface="+mn-lt"/>
              <a:ea typeface="+mn-ea"/>
              <a:cs typeface="+mn-cs"/>
            </a:rPr>
            <a:t> Non Owner.</a:t>
          </a:r>
          <a:endParaRPr lang="en-US" sz="1050">
            <a:effectLst/>
          </a:endParaRPr>
        </a:p>
        <a:p>
          <a:endParaRPr lang="en-US" sz="1050"/>
        </a:p>
      </xdr:txBody>
    </xdr:sp>
    <xdr:clientData/>
  </xdr:twoCellAnchor>
  <xdr:twoCellAnchor>
    <xdr:from>
      <xdr:col>4</xdr:col>
      <xdr:colOff>133349</xdr:colOff>
      <xdr:row>4</xdr:row>
      <xdr:rowOff>57150</xdr:rowOff>
    </xdr:from>
    <xdr:to>
      <xdr:col>4</xdr:col>
      <xdr:colOff>1609724</xdr:colOff>
      <xdr:row>10</xdr:row>
      <xdr:rowOff>133350</xdr:rowOff>
    </xdr:to>
    <xdr:sp macro="" textlink="">
      <xdr:nvSpPr>
        <xdr:cNvPr id="6" name="TextBox 5"/>
        <xdr:cNvSpPr txBox="1"/>
      </xdr:nvSpPr>
      <xdr:spPr>
        <a:xfrm>
          <a:off x="4486274" y="704850"/>
          <a:ext cx="1476375"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solidFill>
                <a:schemeClr val="dk1"/>
              </a:solidFill>
              <a:effectLst/>
              <a:latin typeface="+mn-lt"/>
              <a:ea typeface="+mn-ea"/>
              <a:cs typeface="+mn-cs"/>
            </a:rPr>
            <a:t>Do Nothing!</a:t>
          </a:r>
          <a:r>
            <a:rPr lang="en-US" sz="1050" baseline="0">
              <a:solidFill>
                <a:schemeClr val="dk1"/>
              </a:solidFill>
              <a:effectLst/>
              <a:latin typeface="+mn-lt"/>
              <a:ea typeface="+mn-ea"/>
              <a:cs typeface="+mn-cs"/>
            </a:rPr>
            <a:t> It's a</a:t>
          </a:r>
          <a:r>
            <a:rPr lang="en-US" sz="1050">
              <a:solidFill>
                <a:schemeClr val="dk1"/>
              </a:solidFill>
              <a:effectLst/>
              <a:latin typeface="+mn-lt"/>
              <a:ea typeface="+mn-ea"/>
              <a:cs typeface="+mn-cs"/>
            </a:rPr>
            <a:t>lready 100% part of the company.</a:t>
          </a:r>
          <a:endParaRPr lang="en-US" sz="105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515306</xdr:colOff>
      <xdr:row>77</xdr:row>
      <xdr:rowOff>123825</xdr:rowOff>
    </xdr:to>
    <xdr:pic>
      <xdr:nvPicPr>
        <xdr:cNvPr id="5" name="Picture 4"/>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91275" y="7534275"/>
          <a:ext cx="5449256" cy="4371975"/>
        </a:xfrm>
        <a:prstGeom prst="rect">
          <a:avLst/>
        </a:prstGeom>
      </xdr:spPr>
    </xdr:pic>
    <xdr:clientData/>
  </xdr:twoCellAnchor>
  <xdr:twoCellAnchor editAs="oneCell">
    <xdr:from>
      <xdr:col>7</xdr:col>
      <xdr:colOff>90678</xdr:colOff>
      <xdr:row>78</xdr:row>
      <xdr:rowOff>0</xdr:rowOff>
    </xdr:from>
    <xdr:to>
      <xdr:col>13</xdr:col>
      <xdr:colOff>467660</xdr:colOff>
      <xdr:row>99</xdr:row>
      <xdr:rowOff>47625</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443853" y="11934825"/>
          <a:ext cx="5349032" cy="3248025"/>
        </a:xfrm>
        <a:prstGeom prst="rect">
          <a:avLst/>
        </a:prstGeom>
      </xdr:spPr>
    </xdr:pic>
    <xdr:clientData/>
  </xdr:twoCellAnchor>
  <xdr:twoCellAnchor editAs="oneCell">
    <xdr:from>
      <xdr:col>7</xdr:col>
      <xdr:colOff>85725</xdr:colOff>
      <xdr:row>99</xdr:row>
      <xdr:rowOff>57149</xdr:rowOff>
    </xdr:from>
    <xdr:to>
      <xdr:col>13</xdr:col>
      <xdr:colOff>516576</xdr:colOff>
      <xdr:row>118</xdr:row>
      <xdr:rowOff>57896</xdr:rowOff>
    </xdr:to>
    <xdr:pic>
      <xdr:nvPicPr>
        <xdr:cNvPr id="7" name="Picture 6"/>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438900" y="15192374"/>
          <a:ext cx="5402901" cy="2896347"/>
        </a:xfrm>
        <a:prstGeom prst="rect">
          <a:avLst/>
        </a:prstGeom>
      </xdr:spPr>
    </xdr:pic>
    <xdr:clientData/>
  </xdr:twoCellAnchor>
  <xdr:twoCellAnchor editAs="oneCell">
    <xdr:from>
      <xdr:col>1</xdr:col>
      <xdr:colOff>200026</xdr:colOff>
      <xdr:row>49</xdr:row>
      <xdr:rowOff>9524</xdr:rowOff>
    </xdr:from>
    <xdr:to>
      <xdr:col>6</xdr:col>
      <xdr:colOff>598946</xdr:colOff>
      <xdr:row>76</xdr:row>
      <xdr:rowOff>114969</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596544</xdr:colOff>
      <xdr:row>105</xdr:row>
      <xdr:rowOff>103078</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619125</xdr:colOff>
      <xdr:row>133</xdr:row>
      <xdr:rowOff>119723</xdr:rowOff>
    </xdr:to>
    <xdr:pic>
      <xdr:nvPicPr>
        <xdr:cNvPr id="11" name="Pictur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486731</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439085</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488001</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627521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625119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647700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tock%20Analysis/Voltas/Intrinsic%20Valuation%20(Volta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About"/>
      <sheetName val="Narrative"/>
      <sheetName val="Index"/>
      <sheetName val="Risk Free Rate"/>
      <sheetName val="Equity Risk Premium - India"/>
      <sheetName val="Voltas ERP"/>
      <sheetName val="Beta"/>
      <sheetName val="Cost of Equity &amp; Debt"/>
      <sheetName val="WACC"/>
      <sheetName val="Cash Flows"/>
      <sheetName val="EBIT &amp; Operating Lease"/>
      <sheetName val="EBIT &amp; Advertising Expense"/>
      <sheetName val="EBIT &amp; R&amp;D Expense"/>
      <sheetName val="Net CapEx"/>
      <sheetName val="Working Capital Changes"/>
      <sheetName val="FCFF &amp; FCFE"/>
      <sheetName val="Growth Rate &amp; TV"/>
      <sheetName val="Expected Growth Rate"/>
      <sheetName val="Industry &amp; Revenues"/>
      <sheetName val="Future Cashflows (10 Yrs)"/>
      <sheetName val="Terminal Value"/>
      <sheetName val="Road to Fair Value of Share"/>
      <sheetName val="Cash &amp; Marketable Securities"/>
      <sheetName val="Value of Cross Holdings"/>
      <sheetName val="Fair Value of Shar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6">
          <cell r="G6">
            <v>0.25168000000000001</v>
          </cell>
        </row>
      </sheetData>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pages.stern.nyu.edu/~adamodar/New_Home_Page/datafile/ratings.html"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59" customWidth="1"/>
    <col min="2" max="8" width="9.140625" style="59"/>
    <col min="9" max="9" width="11.42578125" style="59" customWidth="1"/>
    <col min="10" max="16384" width="9.140625" style="59"/>
  </cols>
  <sheetData>
    <row r="1" spans="2:15" ht="50.25">
      <c r="B1" s="60" t="s">
        <v>282</v>
      </c>
    </row>
    <row r="3" spans="2:15" ht="13.5" customHeight="1">
      <c r="F3" s="60"/>
      <c r="H3" s="60"/>
    </row>
    <row r="9" spans="2:15" ht="15">
      <c r="C9" s="61"/>
      <c r="F9"/>
    </row>
    <row r="10" spans="2:15">
      <c r="C10" s="61"/>
    </row>
    <row r="12" spans="2:15" ht="15">
      <c r="J12"/>
    </row>
    <row r="13" spans="2:15">
      <c r="O13" s="62"/>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5.85546875" style="2" customWidth="1"/>
    <col min="4" max="4" width="2.85546875" style="2" customWidth="1"/>
    <col min="5" max="5" width="17.5703125" style="2" customWidth="1"/>
    <col min="6" max="6" width="10" style="14"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7" t="s">
        <v>285</v>
      </c>
      <c r="E1" s="3"/>
      <c r="F1" s="65"/>
      <c r="G1" s="3"/>
      <c r="H1" s="3"/>
      <c r="I1" s="3"/>
      <c r="J1" s="3"/>
      <c r="K1" s="3"/>
      <c r="L1" s="3"/>
      <c r="M1" s="3"/>
      <c r="N1" s="3"/>
    </row>
    <row r="2" spans="2:14">
      <c r="E2" s="3"/>
      <c r="F2" s="65"/>
      <c r="G2" s="3"/>
      <c r="H2" s="3"/>
      <c r="I2" s="3"/>
      <c r="J2" s="3"/>
      <c r="K2" s="3"/>
      <c r="L2" s="3"/>
      <c r="M2" s="3"/>
      <c r="N2" s="3"/>
    </row>
    <row r="3" spans="2:14">
      <c r="B3" s="3" t="s">
        <v>283</v>
      </c>
      <c r="C3" s="83" t="s">
        <v>359</v>
      </c>
      <c r="D3" s="23"/>
      <c r="E3" s="48"/>
      <c r="F3" s="122"/>
      <c r="G3" s="118"/>
      <c r="H3" s="105"/>
      <c r="I3" s="105"/>
      <c r="J3" s="105"/>
      <c r="K3" s="3"/>
      <c r="L3" s="123"/>
      <c r="M3" s="105"/>
      <c r="N3" s="3"/>
    </row>
    <row r="4" spans="2:14">
      <c r="B4" s="2" t="s">
        <v>284</v>
      </c>
      <c r="C4" s="398" t="s">
        <v>360</v>
      </c>
      <c r="D4" s="6"/>
      <c r="E4" s="3"/>
      <c r="F4" s="69"/>
      <c r="G4" s="119"/>
      <c r="H4" s="120"/>
      <c r="I4" s="48"/>
      <c r="J4" s="67"/>
      <c r="K4" s="3"/>
      <c r="L4" s="68"/>
      <c r="M4" s="85"/>
      <c r="N4" s="3"/>
    </row>
    <row r="5" spans="2:14">
      <c r="D5" s="6"/>
      <c r="E5" s="3"/>
      <c r="F5" s="69"/>
      <c r="G5" s="119"/>
      <c r="H5" s="120"/>
      <c r="I5" s="48"/>
      <c r="J5" s="67"/>
      <c r="K5" s="3"/>
      <c r="L5" s="68"/>
      <c r="M5" s="85"/>
      <c r="N5" s="3"/>
    </row>
    <row r="6" spans="2:14">
      <c r="C6" s="76"/>
      <c r="D6" s="25"/>
      <c r="E6" s="3"/>
      <c r="F6" s="69"/>
      <c r="G6" s="119"/>
      <c r="H6" s="120"/>
      <c r="I6" s="48"/>
      <c r="J6" s="67"/>
      <c r="K6" s="3"/>
      <c r="L6" s="68"/>
      <c r="M6" s="85"/>
      <c r="N6" s="3"/>
    </row>
    <row r="7" spans="2:14">
      <c r="C7" s="77"/>
      <c r="D7" s="6"/>
      <c r="E7" s="3"/>
      <c r="F7" s="69"/>
      <c r="G7" s="119"/>
      <c r="H7" s="120"/>
      <c r="I7" s="48"/>
      <c r="J7" s="67"/>
      <c r="K7" s="3"/>
      <c r="L7" s="68"/>
      <c r="M7" s="85"/>
      <c r="N7" s="3"/>
    </row>
    <row r="8" spans="2:14">
      <c r="C8" s="47"/>
      <c r="D8" s="6"/>
      <c r="E8" s="3"/>
      <c r="F8" s="69"/>
      <c r="G8" s="119"/>
      <c r="H8" s="120"/>
      <c r="I8" s="48"/>
      <c r="J8" s="67"/>
      <c r="K8" s="3"/>
      <c r="L8" s="68"/>
      <c r="M8" s="85"/>
      <c r="N8" s="3"/>
    </row>
    <row r="9" spans="2:14">
      <c r="B9" s="3"/>
      <c r="C9" s="83"/>
      <c r="D9" s="6"/>
      <c r="E9" s="3"/>
      <c r="F9" s="69"/>
      <c r="G9" s="119"/>
      <c r="H9" s="120"/>
      <c r="I9" s="48"/>
      <c r="J9" s="67"/>
      <c r="K9" s="3"/>
      <c r="L9" s="68"/>
      <c r="M9" s="85"/>
      <c r="N9" s="3"/>
    </row>
    <row r="10" spans="2:14">
      <c r="B10" s="3"/>
      <c r="C10" s="83"/>
      <c r="D10" s="6"/>
      <c r="E10" s="3"/>
      <c r="F10" s="69"/>
      <c r="G10" s="119"/>
      <c r="H10" s="120"/>
      <c r="I10" s="48"/>
      <c r="J10" s="67"/>
      <c r="K10" s="3"/>
      <c r="L10" s="66"/>
      <c r="M10" s="3"/>
      <c r="N10" s="3"/>
    </row>
    <row r="11" spans="2:14">
      <c r="B11" s="3"/>
      <c r="C11" s="84"/>
      <c r="D11" s="6"/>
      <c r="E11" s="3"/>
      <c r="F11" s="69"/>
      <c r="G11" s="119"/>
      <c r="H11" s="120"/>
      <c r="I11" s="48"/>
      <c r="J11" s="67"/>
      <c r="K11" s="3"/>
      <c r="L11" s="81"/>
      <c r="M11" s="90"/>
      <c r="N11" s="3"/>
    </row>
    <row r="12" spans="2:14">
      <c r="B12" s="3"/>
      <c r="C12" s="3"/>
      <c r="D12" s="6"/>
      <c r="E12" s="3"/>
      <c r="F12" s="69"/>
      <c r="G12" s="119"/>
      <c r="H12" s="120"/>
      <c r="I12" s="48"/>
      <c r="J12" s="67"/>
      <c r="K12" s="3"/>
      <c r="L12" s="64"/>
      <c r="M12" s="90"/>
      <c r="N12" s="3"/>
    </row>
    <row r="13" spans="2:14">
      <c r="B13" s="3"/>
      <c r="C13" s="58"/>
      <c r="D13" s="6"/>
      <c r="E13" s="3"/>
      <c r="F13" s="69"/>
      <c r="G13" s="119"/>
      <c r="H13" s="120"/>
      <c r="I13" s="48"/>
      <c r="J13" s="67"/>
      <c r="K13" s="3"/>
      <c r="L13" s="3"/>
      <c r="M13" s="3"/>
      <c r="N13" s="3"/>
    </row>
    <row r="14" spans="2:14">
      <c r="B14" s="24"/>
      <c r="C14" s="24"/>
      <c r="D14" s="25"/>
      <c r="E14" s="3"/>
      <c r="F14" s="68"/>
      <c r="G14" s="8"/>
      <c r="H14" s="3"/>
      <c r="I14" s="48"/>
      <c r="J14" s="24"/>
      <c r="K14" s="3"/>
      <c r="L14" s="3"/>
      <c r="M14" s="3"/>
      <c r="N14" s="3"/>
    </row>
    <row r="15" spans="2:14">
      <c r="B15" s="3"/>
      <c r="C15" s="128"/>
      <c r="D15" s="6"/>
      <c r="E15" s="48"/>
      <c r="F15" s="64"/>
      <c r="G15" s="3"/>
      <c r="H15" s="3"/>
      <c r="I15" s="3"/>
      <c r="J15" s="3"/>
      <c r="K15" s="3"/>
      <c r="L15" s="3"/>
      <c r="M15" s="3"/>
      <c r="N15" s="3"/>
    </row>
    <row r="16" spans="2:14">
      <c r="B16" s="3"/>
      <c r="C16" s="3"/>
      <c r="D16" s="6"/>
      <c r="E16" s="48"/>
      <c r="F16" s="81"/>
      <c r="G16" s="82"/>
      <c r="H16" s="46"/>
      <c r="I16" s="3"/>
      <c r="J16" s="3"/>
      <c r="K16" s="3"/>
      <c r="L16" s="3"/>
      <c r="M16" s="3"/>
      <c r="N16" s="3"/>
    </row>
    <row r="17" spans="2:14">
      <c r="B17" s="3"/>
      <c r="C17" s="77"/>
      <c r="D17" s="6"/>
      <c r="E17" s="48"/>
      <c r="F17" s="64"/>
      <c r="G17" s="82"/>
      <c r="H17" s="3"/>
      <c r="I17" s="3"/>
      <c r="J17" s="3"/>
      <c r="K17" s="3"/>
      <c r="L17" s="3"/>
      <c r="M17" s="3"/>
      <c r="N17" s="3"/>
    </row>
    <row r="18" spans="2:14">
      <c r="B18" s="3"/>
      <c r="C18" s="3"/>
      <c r="D18" s="25"/>
      <c r="E18" s="48"/>
      <c r="F18" s="64"/>
      <c r="G18" s="3"/>
      <c r="H18" s="3"/>
      <c r="I18" s="3"/>
      <c r="J18" s="3"/>
      <c r="K18" s="3"/>
      <c r="L18" s="3"/>
      <c r="M18" s="3"/>
      <c r="N18" s="3"/>
    </row>
    <row r="19" spans="2:14">
      <c r="B19" s="24"/>
      <c r="C19" s="24"/>
      <c r="D19" s="6"/>
      <c r="E19" s="48"/>
      <c r="F19" s="64"/>
      <c r="G19" s="3"/>
      <c r="H19" s="3"/>
      <c r="I19" s="3"/>
      <c r="J19" s="3"/>
      <c r="K19" s="3"/>
      <c r="L19" s="3"/>
      <c r="M19" s="3"/>
      <c r="N19" s="3"/>
    </row>
    <row r="20" spans="2:14">
      <c r="B20" s="3"/>
      <c r="C20" s="3"/>
      <c r="D20" s="6"/>
      <c r="E20" s="121"/>
      <c r="F20" s="123"/>
      <c r="G20" s="123"/>
      <c r="H20" s="123"/>
      <c r="I20" s="123"/>
      <c r="J20" s="123"/>
      <c r="K20" s="123"/>
      <c r="L20" s="3"/>
      <c r="M20" s="3"/>
      <c r="N20" s="3"/>
    </row>
    <row r="21" spans="2:14">
      <c r="B21" s="3"/>
      <c r="C21" s="3"/>
      <c r="D21" s="6"/>
      <c r="E21" s="101"/>
      <c r="F21" s="124"/>
      <c r="G21" s="8"/>
      <c r="H21" s="8"/>
      <c r="I21" s="8"/>
      <c r="J21" s="8"/>
      <c r="K21" s="8"/>
      <c r="L21" s="3"/>
      <c r="M21" s="3"/>
      <c r="N21" s="3"/>
    </row>
    <row r="22" spans="2:14">
      <c r="B22" s="3"/>
      <c r="C22" s="3"/>
      <c r="D22" s="6"/>
      <c r="E22" s="48"/>
      <c r="F22" s="65"/>
      <c r="G22" s="65"/>
      <c r="H22" s="65"/>
      <c r="I22" s="102"/>
      <c r="J22" s="64"/>
      <c r="K22" s="65"/>
      <c r="L22" s="3"/>
      <c r="M22" s="3"/>
      <c r="N22" s="3"/>
    </row>
    <row r="23" spans="2:14">
      <c r="B23" s="24"/>
      <c r="C23" s="24"/>
      <c r="D23" s="25"/>
      <c r="E23" s="48"/>
      <c r="F23" s="3"/>
      <c r="G23" s="3"/>
      <c r="H23" s="3"/>
      <c r="I23" s="3"/>
      <c r="J23" s="3"/>
      <c r="K23" s="3"/>
      <c r="L23" s="125"/>
      <c r="M23" s="3"/>
      <c r="N23" s="3"/>
    </row>
    <row r="24" spans="2:14">
      <c r="B24" s="3"/>
      <c r="C24" s="3"/>
      <c r="D24" s="6"/>
      <c r="E24" s="48"/>
      <c r="F24" s="3"/>
      <c r="G24" s="3"/>
      <c r="H24" s="3"/>
      <c r="I24" s="3"/>
      <c r="J24" s="3"/>
      <c r="K24" s="3"/>
      <c r="L24" s="3"/>
      <c r="M24" s="3"/>
      <c r="N24" s="3"/>
    </row>
    <row r="25" spans="2:14">
      <c r="B25" s="3"/>
      <c r="C25" s="3"/>
      <c r="D25" s="6"/>
      <c r="E25" s="6"/>
      <c r="F25" s="65"/>
      <c r="G25" s="3"/>
      <c r="H25" s="81"/>
      <c r="I25" s="82"/>
      <c r="J25" s="3"/>
      <c r="K25" s="3"/>
      <c r="L25" s="3"/>
      <c r="M25" s="3"/>
      <c r="N25" s="3"/>
    </row>
    <row r="26" spans="2:14">
      <c r="B26" s="3"/>
      <c r="C26" s="3"/>
      <c r="D26" s="6"/>
      <c r="E26" s="25"/>
      <c r="F26" s="47"/>
      <c r="G26" s="3"/>
      <c r="H26" s="64"/>
      <c r="I26" s="82"/>
      <c r="J26" s="3"/>
      <c r="K26" s="3"/>
      <c r="L26" s="126"/>
      <c r="M26" s="3"/>
      <c r="N26" s="3"/>
    </row>
    <row r="27" spans="2:14">
      <c r="B27" s="3"/>
      <c r="C27" s="3"/>
      <c r="D27" s="25"/>
      <c r="E27" s="24"/>
      <c r="F27" s="127"/>
      <c r="G27" s="3"/>
      <c r="H27" s="3"/>
      <c r="I27" s="3"/>
      <c r="J27" s="3"/>
      <c r="K27" s="3"/>
      <c r="L27" s="3"/>
      <c r="M27" s="3"/>
      <c r="N27" s="3"/>
    </row>
    <row r="28" spans="2:14">
      <c r="B28" s="3"/>
      <c r="C28" s="3"/>
      <c r="D28" s="8" t="s">
        <v>94</v>
      </c>
      <c r="E28" s="24"/>
      <c r="F28" s="127"/>
      <c r="G28" s="3"/>
      <c r="H28" s="3"/>
      <c r="I28" s="3"/>
      <c r="J28" s="3"/>
      <c r="K28" s="3"/>
      <c r="L28" s="3"/>
      <c r="M28" s="3"/>
      <c r="N28" s="3"/>
    </row>
    <row r="29" spans="2:14">
      <c r="B29" s="3"/>
      <c r="C29" s="3"/>
      <c r="D29" s="3"/>
      <c r="E29" s="3"/>
      <c r="F29" s="65"/>
      <c r="G29" s="3"/>
      <c r="H29" s="3"/>
      <c r="I29" s="3"/>
      <c r="J29" s="3"/>
      <c r="K29" s="3"/>
      <c r="L29" s="3"/>
      <c r="M29" s="3"/>
      <c r="N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4"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7" t="s">
        <v>286</v>
      </c>
      <c r="E1" s="3"/>
      <c r="F1" s="65"/>
      <c r="G1" s="3"/>
      <c r="H1" s="3"/>
      <c r="I1" s="3"/>
      <c r="J1" s="3"/>
      <c r="K1" s="3"/>
      <c r="L1" s="3"/>
      <c r="M1" s="3"/>
      <c r="N1" s="3"/>
    </row>
    <row r="2" spans="2:14">
      <c r="E2" s="3"/>
      <c r="F2" s="65"/>
      <c r="G2" s="3"/>
      <c r="H2" s="3"/>
      <c r="I2" s="3"/>
      <c r="J2" s="3"/>
      <c r="K2" s="3"/>
      <c r="L2" s="3"/>
      <c r="M2" s="3"/>
      <c r="N2" s="3"/>
    </row>
    <row r="3" spans="2:14">
      <c r="B3" s="3"/>
      <c r="C3" s="83"/>
      <c r="D3" s="23"/>
      <c r="E3" s="48"/>
      <c r="F3" s="122"/>
      <c r="G3" s="118"/>
      <c r="H3" s="105"/>
      <c r="I3" s="105"/>
      <c r="J3" s="105"/>
      <c r="K3" s="3"/>
      <c r="L3" s="123"/>
      <c r="M3" s="105"/>
      <c r="N3" s="3"/>
    </row>
    <row r="4" spans="2:14">
      <c r="C4" s="129"/>
      <c r="D4" s="6"/>
      <c r="E4" s="3"/>
      <c r="F4" s="69"/>
      <c r="G4" s="119"/>
      <c r="H4" s="120"/>
      <c r="I4" s="48"/>
      <c r="J4" s="67"/>
      <c r="K4" s="3"/>
      <c r="L4" s="68"/>
      <c r="M4" s="85"/>
      <c r="N4" s="3"/>
    </row>
    <row r="5" spans="2:14">
      <c r="D5" s="6"/>
      <c r="E5" s="3"/>
      <c r="F5" s="69"/>
      <c r="G5" s="119"/>
      <c r="H5" s="120"/>
      <c r="I5" s="48"/>
      <c r="J5" s="67"/>
      <c r="K5" s="3"/>
      <c r="L5" s="68"/>
      <c r="M5" s="85"/>
      <c r="N5" s="3"/>
    </row>
    <row r="6" spans="2:14">
      <c r="C6" s="76"/>
      <c r="D6" s="25"/>
      <c r="E6" s="3"/>
      <c r="F6" s="69"/>
      <c r="G6" s="119"/>
      <c r="H6" s="120"/>
      <c r="I6" s="48"/>
      <c r="J6" s="67"/>
      <c r="K6" s="3"/>
      <c r="L6" s="68"/>
      <c r="M6" s="85"/>
      <c r="N6" s="3"/>
    </row>
    <row r="7" spans="2:14">
      <c r="C7" s="77"/>
      <c r="D7" s="6"/>
      <c r="E7" s="3"/>
      <c r="F7" s="69"/>
      <c r="G7" s="119"/>
      <c r="H7" s="120"/>
      <c r="I7" s="48"/>
      <c r="J7" s="67"/>
      <c r="K7" s="3"/>
      <c r="L7" s="68"/>
      <c r="M7" s="85"/>
      <c r="N7" s="3"/>
    </row>
    <row r="8" spans="2:14">
      <c r="C8" s="47"/>
      <c r="D8" s="6"/>
      <c r="E8" s="3"/>
      <c r="F8" s="69"/>
      <c r="G8" s="119"/>
      <c r="H8" s="120"/>
      <c r="I8" s="48"/>
      <c r="J8" s="67"/>
      <c r="K8" s="3"/>
      <c r="L8" s="68"/>
      <c r="M8" s="85"/>
      <c r="N8" s="3"/>
    </row>
    <row r="9" spans="2:14">
      <c r="B9" s="3"/>
      <c r="C9" s="83"/>
      <c r="D9" s="6"/>
      <c r="E9" s="3"/>
      <c r="F9" s="69"/>
      <c r="G9" s="119"/>
      <c r="H9" s="120"/>
      <c r="I9" s="48"/>
      <c r="J9" s="67"/>
      <c r="K9" s="3"/>
      <c r="L9" s="68"/>
      <c r="M9" s="85"/>
      <c r="N9" s="3"/>
    </row>
    <row r="10" spans="2:14">
      <c r="B10" s="3"/>
      <c r="C10" s="83"/>
      <c r="D10" s="6"/>
      <c r="E10" s="3"/>
      <c r="F10" s="69"/>
      <c r="G10" s="119"/>
      <c r="H10" s="120"/>
      <c r="I10" s="48"/>
      <c r="J10" s="67"/>
      <c r="K10" s="3"/>
      <c r="L10" s="66"/>
      <c r="M10" s="3"/>
      <c r="N10" s="3"/>
    </row>
    <row r="11" spans="2:14">
      <c r="B11" s="3"/>
      <c r="C11" s="84"/>
      <c r="D11" s="6"/>
      <c r="E11" s="3"/>
      <c r="F11" s="69"/>
      <c r="G11" s="119"/>
      <c r="H11" s="120"/>
      <c r="I11" s="48"/>
      <c r="J11" s="67"/>
      <c r="K11" s="3"/>
      <c r="L11" s="81"/>
      <c r="M11" s="90"/>
      <c r="N11" s="3"/>
    </row>
    <row r="12" spans="2:14">
      <c r="B12" s="3"/>
      <c r="C12" s="3"/>
      <c r="D12" s="6"/>
      <c r="E12" s="3"/>
      <c r="F12" s="69"/>
      <c r="G12" s="119"/>
      <c r="H12" s="120"/>
      <c r="I12" s="48"/>
      <c r="J12" s="67"/>
      <c r="K12" s="3"/>
      <c r="L12" s="64"/>
      <c r="M12" s="90"/>
      <c r="N12" s="3"/>
    </row>
    <row r="13" spans="2:14">
      <c r="B13" s="3"/>
      <c r="C13" s="58"/>
      <c r="D13" s="6"/>
      <c r="E13" s="3"/>
      <c r="F13" s="69"/>
      <c r="G13" s="119"/>
      <c r="H13" s="120"/>
      <c r="I13" s="48"/>
      <c r="J13" s="67"/>
      <c r="K13" s="3"/>
      <c r="L13" s="3"/>
      <c r="M13" s="3"/>
      <c r="N13" s="3"/>
    </row>
    <row r="14" spans="2:14">
      <c r="B14" s="24"/>
      <c r="C14" s="24"/>
      <c r="D14" s="25"/>
      <c r="E14" s="3"/>
      <c r="F14" s="68"/>
      <c r="G14" s="8"/>
      <c r="H14" s="3"/>
      <c r="I14" s="48"/>
      <c r="J14" s="24"/>
      <c r="K14" s="3"/>
      <c r="L14" s="3"/>
      <c r="M14" s="3"/>
      <c r="N14" s="3"/>
    </row>
    <row r="15" spans="2:14">
      <c r="B15" s="3"/>
      <c r="C15" s="128"/>
      <c r="D15" s="6"/>
      <c r="E15" s="48"/>
      <c r="F15" s="64"/>
      <c r="G15" s="3"/>
      <c r="H15" s="3"/>
      <c r="I15" s="3"/>
      <c r="J15" s="3"/>
      <c r="K15" s="3"/>
      <c r="L15" s="3"/>
      <c r="M15" s="3"/>
      <c r="N15" s="3"/>
    </row>
    <row r="16" spans="2:14">
      <c r="B16" s="3"/>
      <c r="C16" s="3"/>
      <c r="D16" s="6"/>
      <c r="E16" s="48"/>
      <c r="F16" s="81"/>
      <c r="G16" s="82"/>
      <c r="H16" s="46"/>
      <c r="I16" s="3"/>
      <c r="J16" s="3"/>
      <c r="K16" s="3"/>
      <c r="L16" s="3"/>
      <c r="M16" s="3"/>
      <c r="N16" s="3"/>
    </row>
    <row r="17" spans="2:14">
      <c r="B17" s="3"/>
      <c r="C17" s="77"/>
      <c r="D17" s="6"/>
      <c r="E17" s="48"/>
      <c r="F17" s="64"/>
      <c r="G17" s="82"/>
      <c r="H17" s="3"/>
      <c r="I17" s="3"/>
      <c r="J17" s="3"/>
      <c r="K17" s="3"/>
      <c r="L17" s="3"/>
      <c r="M17" s="3"/>
      <c r="N17" s="3"/>
    </row>
    <row r="18" spans="2:14">
      <c r="B18" s="3"/>
      <c r="C18" s="3"/>
      <c r="D18" s="25"/>
      <c r="E18" s="48"/>
      <c r="F18" s="64"/>
      <c r="G18" s="3"/>
      <c r="H18" s="3"/>
      <c r="I18" s="3"/>
      <c r="J18" s="3"/>
      <c r="K18" s="3"/>
      <c r="L18" s="3"/>
      <c r="M18" s="3"/>
      <c r="N18" s="3"/>
    </row>
    <row r="19" spans="2:14">
      <c r="B19" s="24"/>
      <c r="C19" s="24"/>
      <c r="D19" s="6"/>
      <c r="E19" s="48"/>
      <c r="F19" s="64"/>
      <c r="G19" s="3"/>
      <c r="H19" s="3"/>
      <c r="I19" s="3"/>
      <c r="J19" s="3"/>
      <c r="K19" s="3"/>
      <c r="L19" s="3"/>
      <c r="M19" s="3"/>
      <c r="N19" s="3"/>
    </row>
    <row r="20" spans="2:14">
      <c r="B20" s="3"/>
      <c r="C20" s="3"/>
      <c r="D20" s="6"/>
      <c r="E20" s="121"/>
      <c r="F20" s="123"/>
      <c r="G20" s="123"/>
      <c r="H20" s="123"/>
      <c r="I20" s="123"/>
      <c r="J20" s="123"/>
      <c r="K20" s="123"/>
      <c r="L20" s="3"/>
      <c r="M20" s="3"/>
      <c r="N20" s="3"/>
    </row>
    <row r="21" spans="2:14">
      <c r="B21" s="3"/>
      <c r="C21" s="3"/>
      <c r="D21" s="6"/>
      <c r="E21" s="101"/>
      <c r="F21" s="124"/>
      <c r="G21" s="8"/>
      <c r="H21" s="8"/>
      <c r="I21" s="8"/>
      <c r="J21" s="8"/>
      <c r="K21" s="8"/>
      <c r="L21" s="3"/>
      <c r="M21" s="3"/>
      <c r="N21" s="3"/>
    </row>
    <row r="22" spans="2:14">
      <c r="B22" s="3"/>
      <c r="C22" s="3"/>
      <c r="D22" s="6"/>
      <c r="E22" s="48"/>
      <c r="F22" s="65"/>
      <c r="G22" s="65"/>
      <c r="H22" s="65"/>
      <c r="I22" s="102"/>
      <c r="J22" s="64"/>
      <c r="K22" s="65"/>
      <c r="L22" s="3"/>
      <c r="M22" s="3"/>
      <c r="N22" s="3"/>
    </row>
    <row r="23" spans="2:14">
      <c r="B23" s="24"/>
      <c r="C23" s="24"/>
      <c r="D23" s="25"/>
      <c r="E23" s="48"/>
      <c r="F23" s="3"/>
      <c r="G23" s="3"/>
      <c r="H23" s="3"/>
      <c r="I23" s="3"/>
      <c r="J23" s="3"/>
      <c r="K23" s="3"/>
      <c r="L23" s="125"/>
      <c r="M23" s="3"/>
      <c r="N23" s="3"/>
    </row>
    <row r="24" spans="2:14">
      <c r="B24" s="3"/>
      <c r="C24" s="3"/>
      <c r="D24" s="6"/>
      <c r="E24" s="48"/>
      <c r="F24" s="3"/>
      <c r="G24" s="3"/>
      <c r="H24" s="3"/>
      <c r="I24" s="3"/>
      <c r="J24" s="3"/>
      <c r="K24" s="3"/>
      <c r="L24" s="3"/>
      <c r="M24" s="3"/>
      <c r="N24" s="3"/>
    </row>
    <row r="25" spans="2:14">
      <c r="B25" s="3"/>
      <c r="C25" s="3"/>
      <c r="D25" s="6"/>
      <c r="E25" s="6"/>
      <c r="F25" s="65"/>
      <c r="G25" s="3"/>
      <c r="H25" s="81"/>
      <c r="I25" s="82"/>
      <c r="J25" s="3"/>
      <c r="K25" s="3"/>
      <c r="L25" s="3"/>
      <c r="M25" s="3"/>
      <c r="N25" s="3"/>
    </row>
    <row r="26" spans="2:14">
      <c r="B26" s="3"/>
      <c r="C26" s="3"/>
      <c r="D26" s="6"/>
      <c r="E26" s="25"/>
      <c r="F26" s="47"/>
      <c r="G26" s="3"/>
      <c r="H26" s="64"/>
      <c r="I26" s="82"/>
      <c r="J26" s="3"/>
      <c r="K26" s="3"/>
      <c r="L26" s="126"/>
      <c r="M26" s="3"/>
      <c r="N26" s="3"/>
    </row>
    <row r="27" spans="2:14">
      <c r="B27" s="3"/>
      <c r="C27" s="3"/>
      <c r="D27" s="25"/>
      <c r="E27" s="24"/>
      <c r="F27" s="127"/>
      <c r="G27" s="3"/>
      <c r="H27" s="3"/>
      <c r="I27" s="3"/>
      <c r="J27" s="3"/>
      <c r="K27" s="3"/>
      <c r="L27" s="3"/>
      <c r="M27" s="3"/>
      <c r="N27" s="3"/>
    </row>
    <row r="28" spans="2:14">
      <c r="B28" s="3"/>
      <c r="C28" s="3"/>
      <c r="D28" s="8"/>
      <c r="E28" s="24"/>
      <c r="F28" s="127"/>
      <c r="G28" s="3"/>
      <c r="H28" s="3"/>
      <c r="I28" s="3"/>
      <c r="J28" s="3"/>
      <c r="K28" s="3"/>
      <c r="L28" s="3"/>
      <c r="M28" s="3"/>
      <c r="N28" s="3"/>
    </row>
    <row r="29" spans="2:14">
      <c r="B29" s="3"/>
      <c r="C29" s="3"/>
      <c r="D29" s="3"/>
      <c r="E29" s="3"/>
      <c r="F29" s="65"/>
      <c r="G29" s="3"/>
      <c r="H29" s="3"/>
      <c r="I29" s="3"/>
      <c r="J29" s="3"/>
      <c r="K29" s="3"/>
      <c r="L29" s="3"/>
      <c r="M29" s="3"/>
      <c r="N29" s="3"/>
    </row>
    <row r="30" spans="2:14">
      <c r="B30" s="3"/>
      <c r="C30" s="3"/>
      <c r="D30" s="3"/>
      <c r="E30" s="3"/>
      <c r="F30" s="65"/>
    </row>
    <row r="31" spans="2:14">
      <c r="D31" s="3"/>
      <c r="E31" s="3"/>
      <c r="F31" s="65"/>
    </row>
    <row r="32" spans="2:14">
      <c r="D32" s="3"/>
      <c r="E32" s="3"/>
      <c r="F32" s="65"/>
    </row>
    <row r="33" spans="4:6">
      <c r="D33" s="3"/>
      <c r="E33" s="3"/>
      <c r="F33" s="65"/>
    </row>
    <row r="34" spans="4:6">
      <c r="D34" s="3"/>
      <c r="E34" s="3"/>
      <c r="F34" s="65"/>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37" t="s">
        <v>151</v>
      </c>
      <c r="C1" s="10"/>
    </row>
    <row r="2" spans="2:3">
      <c r="B2" s="38"/>
      <c r="C2" s="10"/>
    </row>
    <row r="3" spans="2:3">
      <c r="B3" s="10"/>
      <c r="C3" s="10"/>
    </row>
    <row r="4" spans="2:3">
      <c r="B4" s="63" t="s">
        <v>0</v>
      </c>
      <c r="C4" s="63" t="s">
        <v>1</v>
      </c>
    </row>
    <row r="5" spans="2:3">
      <c r="B5" s="41">
        <v>1</v>
      </c>
      <c r="C5" s="42" t="s">
        <v>13</v>
      </c>
    </row>
    <row r="6" spans="2:3">
      <c r="B6" s="39">
        <f>B5+1</f>
        <v>2</v>
      </c>
      <c r="C6" s="40" t="s">
        <v>16</v>
      </c>
    </row>
    <row r="7" spans="2:3">
      <c r="B7" s="39">
        <f t="shared" ref="B7:B27" si="0">B6+1</f>
        <v>3</v>
      </c>
      <c r="C7" s="40" t="s">
        <v>17</v>
      </c>
    </row>
    <row r="8" spans="2:3">
      <c r="B8" s="39">
        <f t="shared" si="0"/>
        <v>4</v>
      </c>
      <c r="C8" s="40" t="s">
        <v>11</v>
      </c>
    </row>
    <row r="9" spans="2:3">
      <c r="B9" s="39">
        <f t="shared" si="0"/>
        <v>5</v>
      </c>
      <c r="C9" s="40" t="s">
        <v>138</v>
      </c>
    </row>
    <row r="10" spans="2:3">
      <c r="B10" s="39">
        <f t="shared" si="0"/>
        <v>6</v>
      </c>
      <c r="C10" s="40" t="s">
        <v>7</v>
      </c>
    </row>
    <row r="11" spans="2:3">
      <c r="B11" s="39">
        <f t="shared" si="0"/>
        <v>7</v>
      </c>
      <c r="C11" s="42" t="s">
        <v>150</v>
      </c>
    </row>
    <row r="12" spans="2:3">
      <c r="B12" s="39">
        <f t="shared" si="0"/>
        <v>8</v>
      </c>
      <c r="C12" s="40" t="s">
        <v>268</v>
      </c>
    </row>
    <row r="13" spans="2:3">
      <c r="B13" s="39">
        <f t="shared" si="0"/>
        <v>9</v>
      </c>
      <c r="C13" s="40" t="s">
        <v>267</v>
      </c>
    </row>
    <row r="14" spans="2:3">
      <c r="B14" s="39">
        <f t="shared" si="0"/>
        <v>10</v>
      </c>
      <c r="C14" s="40" t="s">
        <v>160</v>
      </c>
    </row>
    <row r="15" spans="2:3">
      <c r="B15" s="39">
        <f t="shared" si="0"/>
        <v>11</v>
      </c>
      <c r="C15" s="40" t="s">
        <v>179</v>
      </c>
    </row>
    <row r="16" spans="2:3">
      <c r="B16" s="39">
        <f t="shared" si="0"/>
        <v>12</v>
      </c>
      <c r="C16" s="42" t="s">
        <v>200</v>
      </c>
    </row>
    <row r="17" spans="2:3">
      <c r="B17" s="39">
        <f t="shared" si="0"/>
        <v>13</v>
      </c>
      <c r="C17" s="40" t="s">
        <v>197</v>
      </c>
    </row>
    <row r="18" spans="2:3">
      <c r="B18" s="39">
        <f t="shared" si="0"/>
        <v>14</v>
      </c>
      <c r="C18" s="40" t="s">
        <v>391</v>
      </c>
    </row>
    <row r="19" spans="2:3">
      <c r="B19" s="39">
        <f t="shared" si="0"/>
        <v>15</v>
      </c>
      <c r="C19" s="40" t="s">
        <v>198</v>
      </c>
    </row>
    <row r="20" spans="2:3">
      <c r="B20" s="39">
        <f t="shared" si="0"/>
        <v>16</v>
      </c>
      <c r="C20" s="40" t="s">
        <v>199</v>
      </c>
    </row>
    <row r="21" spans="2:3">
      <c r="B21" s="39">
        <f t="shared" si="0"/>
        <v>17</v>
      </c>
      <c r="C21" s="42" t="s">
        <v>266</v>
      </c>
    </row>
    <row r="22" spans="2:3">
      <c r="B22" s="39">
        <f t="shared" si="0"/>
        <v>18</v>
      </c>
      <c r="C22" s="40" t="s">
        <v>249</v>
      </c>
    </row>
    <row r="23" spans="2:3">
      <c r="B23" s="39">
        <f t="shared" si="0"/>
        <v>19</v>
      </c>
      <c r="C23" s="40" t="s">
        <v>253</v>
      </c>
    </row>
    <row r="24" spans="2:3">
      <c r="B24" s="39">
        <f t="shared" si="0"/>
        <v>20</v>
      </c>
      <c r="C24" s="40" t="s">
        <v>389</v>
      </c>
    </row>
    <row r="25" spans="2:3">
      <c r="B25" s="39">
        <f t="shared" si="0"/>
        <v>21</v>
      </c>
      <c r="C25" s="40" t="s">
        <v>390</v>
      </c>
    </row>
    <row r="26" spans="2:3">
      <c r="B26" s="39">
        <f t="shared" si="0"/>
        <v>22</v>
      </c>
      <c r="C26" s="40" t="s">
        <v>265</v>
      </c>
    </row>
    <row r="27" spans="2:3">
      <c r="B27" s="39">
        <f t="shared" si="0"/>
        <v>23</v>
      </c>
      <c r="C27" s="40" t="s">
        <v>281</v>
      </c>
    </row>
    <row r="28" spans="2:3">
      <c r="B28" s="39"/>
      <c r="C28" s="40"/>
    </row>
    <row r="29" spans="2:3">
      <c r="B29" s="10"/>
      <c r="C29" s="10"/>
    </row>
  </sheetData>
  <hyperlinks>
    <hyperlink ref="C17" location="'Expected Growth Rate'!A1" display="Expected Growth Rate"/>
    <hyperlink ref="C19" location="'Future Cashflows (10 Yrs)'!A1" display="Future Cash Flows (10 Yrs)"/>
    <hyperlink ref="C20" location="'Terminal Value'!A1" display="Terminal Value"/>
    <hyperlink ref="C22" location="'Cash &amp; Marketable Securities'!A1" display="Cash and Marketable Securities"/>
    <hyperlink ref="C23" location="'Value of Cross Holdings'!A1" display="Value of Cross Holdings"/>
    <hyperlink ref="C7" location="'Equity Risk Premium'!A1" display="Equity Risk Premium"/>
    <hyperlink ref="C8" location="'BS assumptions'!A1" display="BS assumptions"/>
    <hyperlink ref="C10" location="WACC!A1" display="WACC"/>
    <hyperlink ref="C9" location="'Cost of Equity &amp; Debt'!A1" display="Cost of Equity &amp; Debt"/>
    <hyperlink ref="C6" location="'Risk Free Rate'!A1" display="Risk Free Rate"/>
    <hyperlink ref="C26" location="'Fair Value of Share'!A1" display="Fair Value of Share"/>
    <hyperlink ref="C12" location="'EBIT &amp; Advertising Expense'!A1" display="EBIT &amp; Advertising Expense"/>
    <hyperlink ref="C13" location="'Net CapEx'!A1" display="Reinvestment (Net CapEx)"/>
    <hyperlink ref="C14" location="'Working Capital Changes'!A1" display="Working Capital Changes"/>
    <hyperlink ref="C15" location="'FCFF &amp; FCFE'!A1" display="FCFE &amp; FCFF"/>
    <hyperlink ref="C27" location="'Sensitivity Analysis'!A1" display="Sensitivity Analysis"/>
    <hyperlink ref="C24" location="'Nykaa KK Beauty Pvt Ltd'!A1" display="Nykaa KK Beauty Pvt Ltd"/>
    <hyperlink ref="C25" location="'Dot &amp; Key Wellness Pvt Ltd'!A1" display="Dot &amp; Key Wellness Pvt Ltd"/>
    <hyperlink ref="C18" location="'Industry &amp; Revenues'!A1" display="Industry &amp; Revenues"/>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10.28515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7" t="s">
        <v>212</v>
      </c>
    </row>
    <row r="3" spans="2:13">
      <c r="B3" s="24"/>
      <c r="C3" s="24"/>
      <c r="D3" s="23"/>
      <c r="E3" s="50" t="s">
        <v>51</v>
      </c>
      <c r="F3" s="51" t="s">
        <v>52</v>
      </c>
      <c r="I3" s="3"/>
      <c r="J3" s="3"/>
      <c r="K3" s="3"/>
    </row>
    <row r="4" spans="2:13">
      <c r="B4" s="19" t="s">
        <v>16</v>
      </c>
      <c r="C4" s="55">
        <f>C6-C8</f>
        <v>5.4299999999999994E-2</v>
      </c>
      <c r="D4" s="6"/>
      <c r="E4" s="50" t="s">
        <v>36</v>
      </c>
      <c r="F4" s="13">
        <v>0</v>
      </c>
      <c r="I4" s="3"/>
      <c r="J4" s="3"/>
      <c r="K4" s="3"/>
    </row>
    <row r="5" spans="2:13">
      <c r="B5" s="3"/>
      <c r="C5" s="3"/>
      <c r="D5" s="6"/>
      <c r="E5" s="50" t="s">
        <v>37</v>
      </c>
      <c r="F5" s="13">
        <v>3.3999999999999998E-3</v>
      </c>
      <c r="I5" s="3"/>
      <c r="J5" s="3"/>
      <c r="K5" s="3"/>
      <c r="M5" s="3"/>
    </row>
    <row r="6" spans="2:13">
      <c r="B6" s="19" t="s">
        <v>18</v>
      </c>
      <c r="C6" s="56">
        <v>7.2999999999999995E-2</v>
      </c>
      <c r="D6" s="25"/>
      <c r="E6" s="50" t="s">
        <v>30</v>
      </c>
      <c r="F6" s="13">
        <v>4.1999999999999997E-3</v>
      </c>
      <c r="I6" s="3"/>
      <c r="J6" s="3"/>
      <c r="K6" s="3"/>
    </row>
    <row r="7" spans="2:13">
      <c r="B7" s="19" t="s">
        <v>19</v>
      </c>
      <c r="C7" s="57" t="s">
        <v>49</v>
      </c>
      <c r="D7" s="6"/>
      <c r="E7" s="50" t="s">
        <v>41</v>
      </c>
      <c r="F7" s="13">
        <v>5.1000000000000004E-3</v>
      </c>
      <c r="I7" s="3"/>
      <c r="J7" s="3"/>
      <c r="K7" s="3"/>
    </row>
    <row r="8" spans="2:13">
      <c r="B8" s="19" t="s">
        <v>20</v>
      </c>
      <c r="C8" s="54">
        <f>VLOOKUP(C7,$E$3:$F$24,2,0)</f>
        <v>1.8700000000000001E-2</v>
      </c>
      <c r="D8" s="6"/>
      <c r="E8" s="50" t="s">
        <v>46</v>
      </c>
      <c r="F8" s="47">
        <v>6.0000000000000001E-3</v>
      </c>
      <c r="I8" s="3"/>
      <c r="J8" s="3"/>
      <c r="K8" s="3"/>
    </row>
    <row r="9" spans="2:13">
      <c r="B9" s="3"/>
      <c r="C9" s="3"/>
      <c r="D9" s="6"/>
      <c r="E9" s="50" t="s">
        <v>43</v>
      </c>
      <c r="F9" s="13">
        <v>7.1999999999999998E-3</v>
      </c>
      <c r="I9" s="3"/>
      <c r="J9" s="3"/>
      <c r="K9" s="3"/>
    </row>
    <row r="10" spans="2:13">
      <c r="B10" s="53" t="s">
        <v>54</v>
      </c>
      <c r="C10" s="24"/>
      <c r="D10" s="6"/>
      <c r="E10" s="50" t="s">
        <v>44</v>
      </c>
      <c r="F10" s="13">
        <v>1.0200000000000001E-2</v>
      </c>
      <c r="I10" s="3"/>
      <c r="J10" s="3"/>
      <c r="K10" s="3"/>
    </row>
    <row r="11" spans="2:13">
      <c r="B11" s="3"/>
      <c r="C11" s="3"/>
      <c r="D11" s="6"/>
      <c r="E11" s="50" t="s">
        <v>45</v>
      </c>
      <c r="F11" s="13">
        <v>1.3599999999999999E-2</v>
      </c>
      <c r="I11" s="3"/>
      <c r="J11" s="3"/>
      <c r="K11" s="3"/>
    </row>
    <row r="12" spans="2:13">
      <c r="B12" s="49" t="s">
        <v>53</v>
      </c>
      <c r="C12" s="3"/>
      <c r="D12" s="6"/>
      <c r="E12" s="50" t="s">
        <v>32</v>
      </c>
      <c r="F12" s="13">
        <v>1.6199999999999999E-2</v>
      </c>
      <c r="I12" s="3"/>
      <c r="J12" s="3"/>
      <c r="K12" s="3"/>
    </row>
    <row r="13" spans="2:13">
      <c r="B13" s="52" t="s">
        <v>21</v>
      </c>
      <c r="C13" s="3"/>
      <c r="D13" s="6"/>
      <c r="E13" s="50" t="s">
        <v>49</v>
      </c>
      <c r="F13" s="13">
        <v>1.8700000000000001E-2</v>
      </c>
    </row>
    <row r="14" spans="2:13">
      <c r="B14" s="52" t="s">
        <v>22</v>
      </c>
      <c r="C14" s="24"/>
      <c r="D14" s="25"/>
      <c r="E14" s="50" t="s">
        <v>48</v>
      </c>
      <c r="F14" s="13">
        <v>2.1299999999999999E-2</v>
      </c>
    </row>
    <row r="15" spans="2:13">
      <c r="B15" s="52" t="s">
        <v>23</v>
      </c>
      <c r="C15" s="3"/>
      <c r="D15" s="6"/>
      <c r="E15" s="50" t="s">
        <v>38</v>
      </c>
      <c r="F15" s="13">
        <v>2.5600000000000001E-2</v>
      </c>
    </row>
    <row r="16" spans="2:13">
      <c r="B16" s="52" t="s">
        <v>24</v>
      </c>
      <c r="C16" s="3"/>
      <c r="D16" s="6"/>
      <c r="E16" s="50" t="s">
        <v>35</v>
      </c>
      <c r="F16" s="13">
        <v>3.0599999999999999E-2</v>
      </c>
    </row>
    <row r="17" spans="2:9">
      <c r="B17" s="52" t="s">
        <v>25</v>
      </c>
      <c r="C17" s="3"/>
      <c r="D17" s="6"/>
      <c r="E17" s="50" t="s">
        <v>31</v>
      </c>
      <c r="F17" s="13">
        <v>3.8300000000000001E-2</v>
      </c>
    </row>
    <row r="18" spans="2:9">
      <c r="B18" s="52" t="s">
        <v>26</v>
      </c>
      <c r="C18" s="3"/>
      <c r="D18" s="25"/>
      <c r="E18" s="50" t="s">
        <v>39</v>
      </c>
      <c r="F18" s="13">
        <v>4.6800000000000001E-2</v>
      </c>
    </row>
    <row r="19" spans="2:9">
      <c r="B19" s="52" t="s">
        <v>27</v>
      </c>
      <c r="C19" s="24"/>
      <c r="D19" s="6"/>
      <c r="E19" s="50" t="s">
        <v>33</v>
      </c>
      <c r="F19" s="13">
        <v>5.5300000000000002E-2</v>
      </c>
    </row>
    <row r="20" spans="2:9">
      <c r="B20" s="52" t="s">
        <v>28</v>
      </c>
      <c r="C20" s="3"/>
      <c r="D20" s="6"/>
      <c r="E20" s="50" t="s">
        <v>40</v>
      </c>
      <c r="F20" s="13">
        <v>6.3799999999999996E-2</v>
      </c>
    </row>
    <row r="21" spans="2:9">
      <c r="B21" s="52" t="s">
        <v>29</v>
      </c>
      <c r="C21" s="3"/>
      <c r="D21" s="6"/>
      <c r="E21" s="50" t="s">
        <v>47</v>
      </c>
      <c r="F21" s="13">
        <v>7.6600000000000001E-2</v>
      </c>
    </row>
    <row r="22" spans="2:9">
      <c r="B22" s="3"/>
      <c r="C22" s="3"/>
      <c r="D22" s="6"/>
      <c r="E22" s="50" t="s">
        <v>42</v>
      </c>
      <c r="F22" s="13">
        <v>8.5099999999999995E-2</v>
      </c>
    </row>
    <row r="23" spans="2:9">
      <c r="B23" s="24"/>
      <c r="C23" s="24"/>
      <c r="D23" s="25"/>
      <c r="E23" s="50" t="s">
        <v>34</v>
      </c>
      <c r="F23" s="13">
        <v>0.1021</v>
      </c>
      <c r="I23" s="4"/>
    </row>
    <row r="24" spans="2:9">
      <c r="B24" s="3"/>
      <c r="C24" s="3"/>
      <c r="D24" s="6"/>
      <c r="E24" s="50" t="s">
        <v>50</v>
      </c>
      <c r="F24" s="13">
        <v>0.17499999999999999</v>
      </c>
    </row>
    <row r="25" spans="2:9">
      <c r="B25" s="3"/>
      <c r="C25" s="3"/>
      <c r="D25" s="6"/>
      <c r="E25" s="6"/>
    </row>
    <row r="26" spans="2:9">
      <c r="B26" s="3"/>
      <c r="C26" s="3"/>
      <c r="D26" s="6"/>
      <c r="E26" s="6"/>
    </row>
    <row r="27" spans="2:9">
      <c r="B27" s="3"/>
      <c r="C27" s="3"/>
      <c r="D27" s="25"/>
      <c r="E27" s="25"/>
      <c r="F27" s="25"/>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 style="2" bestFit="1" customWidth="1"/>
    <col min="4" max="4" width="2.85546875" style="2" customWidth="1"/>
    <col min="5" max="5" width="18.5703125" style="2" customWidth="1"/>
    <col min="6" max="6" width="10" style="14"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7" t="s">
        <v>17</v>
      </c>
    </row>
    <row r="3" spans="2:13">
      <c r="B3" s="19" t="s">
        <v>56</v>
      </c>
      <c r="C3" s="91">
        <f>G13</f>
        <v>189.17</v>
      </c>
      <c r="D3" s="23"/>
      <c r="E3" s="48"/>
      <c r="F3" s="71" t="s">
        <v>55</v>
      </c>
      <c r="G3" s="72" t="s">
        <v>57</v>
      </c>
      <c r="H3" s="74" t="s">
        <v>58</v>
      </c>
      <c r="I3" s="74" t="s">
        <v>61</v>
      </c>
      <c r="J3" s="74" t="s">
        <v>88</v>
      </c>
      <c r="K3" s="3"/>
      <c r="L3" s="88" t="s">
        <v>55</v>
      </c>
      <c r="M3" s="74" t="s">
        <v>84</v>
      </c>
    </row>
    <row r="4" spans="2:13">
      <c r="B4" s="31" t="s">
        <v>62</v>
      </c>
      <c r="C4" s="96">
        <f>J14/I14</f>
        <v>138.95218181818183</v>
      </c>
      <c r="D4" s="6"/>
      <c r="F4" s="70" t="s">
        <v>66</v>
      </c>
      <c r="G4" s="73">
        <v>77.72</v>
      </c>
      <c r="H4" s="75">
        <v>1.47E-2</v>
      </c>
      <c r="I4" s="50">
        <v>1</v>
      </c>
      <c r="J4" s="79">
        <f t="shared" ref="J4:J13" si="0">G4*I4</f>
        <v>77.72</v>
      </c>
      <c r="K4" s="3"/>
      <c r="L4" s="86" t="s">
        <v>76</v>
      </c>
      <c r="M4" s="87">
        <f>C11</f>
        <v>0.172634108417556</v>
      </c>
    </row>
    <row r="5" spans="2:13">
      <c r="D5" s="6"/>
      <c r="F5" s="70" t="s">
        <v>67</v>
      </c>
      <c r="G5" s="73">
        <v>97.24</v>
      </c>
      <c r="H5" s="75">
        <v>1.37E-2</v>
      </c>
      <c r="I5" s="50">
        <v>2</v>
      </c>
      <c r="J5" s="79">
        <f t="shared" si="0"/>
        <v>194.48</v>
      </c>
      <c r="K5" s="3"/>
      <c r="L5" s="86" t="s">
        <v>77</v>
      </c>
      <c r="M5" s="87">
        <f>(M4+M6)/2</f>
        <v>0.146583081313167</v>
      </c>
    </row>
    <row r="6" spans="2:13">
      <c r="B6" s="31" t="s">
        <v>60</v>
      </c>
      <c r="C6" s="92">
        <f>H13</f>
        <v>1.11E-2</v>
      </c>
      <c r="D6" s="25"/>
      <c r="F6" s="70" t="s">
        <v>68</v>
      </c>
      <c r="G6" s="73">
        <v>122.26</v>
      </c>
      <c r="H6" s="75">
        <v>1.2800000000000001E-2</v>
      </c>
      <c r="I6" s="50">
        <v>3</v>
      </c>
      <c r="J6" s="79">
        <f t="shared" si="0"/>
        <v>366.78000000000003</v>
      </c>
      <c r="K6" s="3"/>
      <c r="L6" s="86" t="s">
        <v>78</v>
      </c>
      <c r="M6" s="87">
        <f>(M4+M8)/2</f>
        <v>0.12053205420877799</v>
      </c>
    </row>
    <row r="7" spans="2:13">
      <c r="B7" s="31" t="s">
        <v>59</v>
      </c>
      <c r="C7" s="93">
        <f>AVERAGE(H4:H13)</f>
        <v>1.315E-2</v>
      </c>
      <c r="D7" s="6"/>
      <c r="F7" s="70" t="s">
        <v>69</v>
      </c>
      <c r="G7" s="73">
        <v>121.01</v>
      </c>
      <c r="H7" s="75">
        <v>1.49E-2</v>
      </c>
      <c r="I7" s="50">
        <v>4</v>
      </c>
      <c r="J7" s="79">
        <f t="shared" si="0"/>
        <v>484.04</v>
      </c>
      <c r="K7" s="3"/>
      <c r="L7" s="86" t="s">
        <v>79</v>
      </c>
      <c r="M7" s="87">
        <f>(M6+M8)/2</f>
        <v>9.4481027104388993E-2</v>
      </c>
    </row>
    <row r="8" spans="2:13">
      <c r="C8" s="47"/>
      <c r="D8" s="6"/>
      <c r="F8" s="70" t="s">
        <v>70</v>
      </c>
      <c r="G8" s="73">
        <v>112.54</v>
      </c>
      <c r="H8" s="75">
        <v>1.23E-2</v>
      </c>
      <c r="I8" s="50">
        <v>5</v>
      </c>
      <c r="J8" s="79">
        <f t="shared" si="0"/>
        <v>562.70000000000005</v>
      </c>
      <c r="K8" s="3"/>
      <c r="L8" s="86" t="s">
        <v>80</v>
      </c>
      <c r="M8" s="87">
        <v>6.8430000000000005E-2</v>
      </c>
    </row>
    <row r="9" spans="2:13">
      <c r="B9" s="19" t="s">
        <v>81</v>
      </c>
      <c r="C9" s="94">
        <v>282.98</v>
      </c>
      <c r="D9" s="6"/>
      <c r="F9" s="70" t="s">
        <v>71</v>
      </c>
      <c r="G9" s="73">
        <v>137.75</v>
      </c>
      <c r="H9" s="75">
        <v>1.2500000000000001E-2</v>
      </c>
      <c r="I9" s="50">
        <v>6</v>
      </c>
      <c r="J9" s="79">
        <f t="shared" si="0"/>
        <v>826.5</v>
      </c>
      <c r="K9" s="3"/>
      <c r="L9" s="68"/>
      <c r="M9" s="89">
        <f>AVERAGE(M4:M8)</f>
        <v>0.12053205420877799</v>
      </c>
    </row>
    <row r="10" spans="2:13">
      <c r="B10" s="19" t="s">
        <v>82</v>
      </c>
      <c r="C10" s="94">
        <v>771.5</v>
      </c>
      <c r="D10" s="6"/>
      <c r="F10" s="70" t="s">
        <v>72</v>
      </c>
      <c r="G10" s="73">
        <v>142.54</v>
      </c>
      <c r="H10" s="75">
        <v>1.1299999999999999E-2</v>
      </c>
      <c r="I10" s="50">
        <v>7</v>
      </c>
      <c r="J10" s="79">
        <f t="shared" si="0"/>
        <v>997.78</v>
      </c>
      <c r="K10" s="3"/>
      <c r="L10" s="66"/>
    </row>
    <row r="11" spans="2:13">
      <c r="B11" s="19" t="s">
        <v>83</v>
      </c>
      <c r="C11" s="95">
        <f>((C10-C9)/C9)/10</f>
        <v>0.172634108417556</v>
      </c>
      <c r="D11" s="6"/>
      <c r="F11" s="70" t="s">
        <v>73</v>
      </c>
      <c r="G11" s="73">
        <v>149.1</v>
      </c>
      <c r="H11" s="75">
        <v>1.83E-2</v>
      </c>
      <c r="I11" s="50">
        <v>8</v>
      </c>
      <c r="J11" s="79">
        <f t="shared" si="0"/>
        <v>1192.8</v>
      </c>
      <c r="K11" s="3"/>
      <c r="L11" s="81" t="s">
        <v>63</v>
      </c>
      <c r="M11" s="90" t="s">
        <v>86</v>
      </c>
    </row>
    <row r="12" spans="2:13">
      <c r="B12" s="3"/>
      <c r="C12" s="3"/>
      <c r="D12" s="6"/>
      <c r="F12" s="70" t="s">
        <v>74</v>
      </c>
      <c r="G12" s="73">
        <v>116.43</v>
      </c>
      <c r="H12" s="75">
        <v>9.9000000000000008E-3</v>
      </c>
      <c r="I12" s="50">
        <v>9</v>
      </c>
      <c r="J12" s="79">
        <f t="shared" si="0"/>
        <v>1047.8700000000001</v>
      </c>
      <c r="K12" s="3"/>
      <c r="L12" s="64"/>
      <c r="M12" s="90" t="s">
        <v>87</v>
      </c>
    </row>
    <row r="13" spans="2:13">
      <c r="B13" s="19" t="s">
        <v>85</v>
      </c>
      <c r="C13" s="55">
        <f>M9</f>
        <v>0.12053205420877799</v>
      </c>
      <c r="D13" s="6"/>
      <c r="F13" s="70" t="s">
        <v>75</v>
      </c>
      <c r="G13" s="73">
        <v>189.17</v>
      </c>
      <c r="H13" s="75">
        <v>1.11E-2</v>
      </c>
      <c r="I13" s="50">
        <v>10</v>
      </c>
      <c r="J13" s="79">
        <f t="shared" si="0"/>
        <v>1891.6999999999998</v>
      </c>
    </row>
    <row r="14" spans="2:13">
      <c r="B14" s="24"/>
      <c r="C14" s="24"/>
      <c r="D14" s="25"/>
      <c r="F14" s="68"/>
      <c r="G14" s="8"/>
      <c r="I14" s="78">
        <f>SUM(I4:I13)</f>
        <v>55</v>
      </c>
      <c r="J14" s="80">
        <f>SUM(J4:J13)</f>
        <v>7642.37</v>
      </c>
    </row>
    <row r="15" spans="2:13">
      <c r="B15" s="19" t="s">
        <v>89</v>
      </c>
      <c r="C15" s="99">
        <v>17397.5</v>
      </c>
      <c r="D15" s="6"/>
      <c r="E15" s="48"/>
      <c r="F15" s="64"/>
      <c r="G15" s="3"/>
      <c r="H15" s="3"/>
    </row>
    <row r="16" spans="2:13">
      <c r="B16" s="3"/>
      <c r="C16" s="3"/>
      <c r="D16" s="6"/>
      <c r="E16" s="48"/>
      <c r="F16" s="81" t="s">
        <v>63</v>
      </c>
      <c r="G16" s="82" t="s">
        <v>65</v>
      </c>
      <c r="H16" s="46"/>
    </row>
    <row r="17" spans="2:12">
      <c r="B17" s="3"/>
      <c r="C17" s="77"/>
      <c r="D17" s="6"/>
      <c r="E17" s="48"/>
      <c r="F17" s="64"/>
      <c r="G17" s="82" t="s">
        <v>64</v>
      </c>
    </row>
    <row r="18" spans="2:12">
      <c r="B18" s="3"/>
      <c r="C18" s="3"/>
      <c r="D18" s="25"/>
      <c r="E18" s="48"/>
      <c r="F18" s="64"/>
      <c r="G18" s="3"/>
      <c r="H18" s="3"/>
    </row>
    <row r="19" spans="2:12">
      <c r="B19" s="24"/>
      <c r="C19" s="24"/>
      <c r="D19" s="6"/>
      <c r="E19" s="48"/>
      <c r="F19" s="64"/>
      <c r="G19" s="3"/>
      <c r="H19" s="3"/>
    </row>
    <row r="20" spans="2:12">
      <c r="B20" s="3"/>
      <c r="C20" s="3"/>
      <c r="D20" s="6"/>
      <c r="E20" s="100" t="s">
        <v>90</v>
      </c>
      <c r="F20" s="88" t="s">
        <v>75</v>
      </c>
      <c r="G20" s="88" t="s">
        <v>76</v>
      </c>
      <c r="H20" s="88" t="s">
        <v>77</v>
      </c>
      <c r="I20" s="88" t="s">
        <v>78</v>
      </c>
      <c r="J20" s="88" t="s">
        <v>79</v>
      </c>
      <c r="K20" s="88" t="s">
        <v>80</v>
      </c>
    </row>
    <row r="21" spans="2:12">
      <c r="B21" s="3"/>
      <c r="C21" s="3"/>
      <c r="D21" s="6"/>
      <c r="E21" s="106">
        <f>-C15</f>
        <v>-17397.5</v>
      </c>
      <c r="F21" s="97">
        <f>$C$4</f>
        <v>138.95218181818183</v>
      </c>
      <c r="G21" s="98">
        <f>F21*(1+$C$13)</f>
        <v>155.7003737295189</v>
      </c>
      <c r="H21" s="98">
        <f>G21*(1+$C$13)</f>
        <v>174.46725961621226</v>
      </c>
      <c r="I21" s="98">
        <f t="shared" ref="I21:K21" si="1">H21*(1+$C$13)</f>
        <v>195.49615680993051</v>
      </c>
      <c r="J21" s="98">
        <f t="shared" si="1"/>
        <v>219.05971018015282</v>
      </c>
      <c r="K21" s="98">
        <f t="shared" si="1"/>
        <v>245.46342704254619</v>
      </c>
    </row>
    <row r="22" spans="2:12">
      <c r="B22" s="3"/>
      <c r="C22" s="3"/>
      <c r="D22" s="6"/>
      <c r="E22" s="50"/>
      <c r="F22" s="107"/>
      <c r="G22" s="107"/>
      <c r="H22" s="107"/>
      <c r="I22" s="108"/>
      <c r="J22" s="109"/>
      <c r="K22" s="107"/>
    </row>
    <row r="23" spans="2:12">
      <c r="B23" s="24"/>
      <c r="C23" s="24"/>
      <c r="D23" s="25"/>
      <c r="E23" s="50" t="s">
        <v>91</v>
      </c>
      <c r="F23" s="31">
        <f>NPV(10%,$G$21:$K$21)+($K$21*(1+$M$8))/(10%-$M$8)*((1+10%)^5)+$E$21</f>
        <v>-3283.9128706754473</v>
      </c>
      <c r="G23" s="31"/>
      <c r="H23" s="31"/>
      <c r="I23" s="31"/>
      <c r="J23" s="31"/>
      <c r="K23" s="31"/>
      <c r="L23" s="103"/>
    </row>
    <row r="24" spans="2:12">
      <c r="B24" s="3"/>
      <c r="C24" s="3"/>
      <c r="D24" s="6"/>
      <c r="E24" s="50" t="s">
        <v>92</v>
      </c>
      <c r="F24" s="31">
        <f>NPV(9%,$G$21:$K$21)+($K$21*(1+$M$8))/(9%-$M$8)*((1+9%)^5)+$E$21</f>
        <v>2065.3473412469721</v>
      </c>
      <c r="G24" s="31"/>
      <c r="H24" s="31"/>
      <c r="I24" s="31"/>
      <c r="J24" s="31"/>
      <c r="K24" s="31"/>
    </row>
    <row r="25" spans="2:12">
      <c r="B25" s="3"/>
      <c r="C25" s="3"/>
      <c r="D25" s="6"/>
      <c r="E25" s="18"/>
      <c r="F25" s="107"/>
      <c r="G25" s="31"/>
      <c r="H25" s="115"/>
      <c r="I25" s="116"/>
      <c r="J25" s="31"/>
      <c r="K25" s="31"/>
    </row>
    <row r="26" spans="2:12">
      <c r="B26" s="3"/>
      <c r="C26" s="3"/>
      <c r="D26" s="6"/>
      <c r="E26" s="43" t="s">
        <v>93</v>
      </c>
      <c r="F26" s="110">
        <f>9%+($F$24/($F$24-$F$23)*(10%-9%))</f>
        <v>9.3860996211483097E-2</v>
      </c>
      <c r="G26" s="31"/>
      <c r="H26" s="117"/>
      <c r="I26" s="116"/>
      <c r="J26" s="31"/>
      <c r="K26" s="31"/>
      <c r="L26" s="104"/>
    </row>
    <row r="27" spans="2:12">
      <c r="B27" s="3"/>
      <c r="C27" s="3"/>
      <c r="D27" s="8" t="s">
        <v>94</v>
      </c>
      <c r="E27" s="111" t="s">
        <v>16</v>
      </c>
      <c r="F27" s="112">
        <f>'Risk Free Rate'!C4</f>
        <v>5.4299999999999994E-2</v>
      </c>
      <c r="G27" s="31"/>
      <c r="H27" s="31"/>
      <c r="I27" s="31"/>
      <c r="J27" s="31"/>
      <c r="K27" s="31"/>
    </row>
    <row r="28" spans="2:12">
      <c r="B28" s="3"/>
      <c r="C28" s="3"/>
      <c r="E28" s="113" t="s">
        <v>17</v>
      </c>
      <c r="F28" s="114">
        <f>F26-F27</f>
        <v>3.9560996211483103E-2</v>
      </c>
      <c r="G28" s="31"/>
      <c r="H28" s="31"/>
      <c r="I28" s="31"/>
      <c r="J28" s="31"/>
      <c r="K28" s="31"/>
    </row>
    <row r="29" spans="2:12">
      <c r="B29" s="3"/>
      <c r="C29" s="3"/>
      <c r="D29" s="3"/>
    </row>
    <row r="30" spans="2:12">
      <c r="B30" s="3"/>
      <c r="C30" s="3"/>
      <c r="D30" s="3"/>
      <c r="E30" s="3"/>
      <c r="F30" s="65"/>
    </row>
    <row r="31" spans="2:12">
      <c r="D31" s="3"/>
      <c r="E31" s="3"/>
      <c r="F31" s="65"/>
    </row>
    <row r="32" spans="2:12">
      <c r="D32" s="3"/>
      <c r="E32" s="3"/>
      <c r="F32" s="65"/>
    </row>
    <row r="33" spans="4:6">
      <c r="D33" s="3"/>
      <c r="E33" s="3"/>
      <c r="F33" s="65"/>
    </row>
    <row r="34" spans="4:6">
      <c r="D34" s="3"/>
      <c r="E34" s="3"/>
      <c r="F34" s="65"/>
    </row>
  </sheetData>
  <hyperlinks>
    <hyperlink ref="G16" r:id="rId1"/>
    <hyperlink ref="G17" r:id="rId2"/>
    <hyperlink ref="M11" r:id="rId3"/>
    <hyperlink ref="M12" r:id="rId4"/>
  </hyperlinks>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S48"/>
  <sheetViews>
    <sheetView zoomScaleNormal="100" workbookViewId="0"/>
  </sheetViews>
  <sheetFormatPr defaultRowHeight="12"/>
  <cols>
    <col min="1" max="1" width="2" style="2" customWidth="1"/>
    <col min="2" max="2" width="26.28515625" style="2" customWidth="1"/>
    <col min="3" max="3" width="14.85546875" style="2" customWidth="1"/>
    <col min="4" max="4" width="6.7109375" style="2" customWidth="1"/>
    <col min="5" max="5" width="2.7109375" style="2" customWidth="1"/>
    <col min="6" max="6" width="25.140625" style="2" customWidth="1"/>
    <col min="7" max="7" width="10.42578125" style="2" customWidth="1"/>
    <col min="8" max="8" width="8.140625" style="14" customWidth="1"/>
    <col min="9" max="9" width="10.85546875" style="2" customWidth="1"/>
    <col min="10" max="10" width="9.42578125" style="2" customWidth="1"/>
    <col min="11" max="11" width="2.5703125" style="2" customWidth="1"/>
    <col min="12" max="12" width="26.5703125" style="2" customWidth="1"/>
    <col min="13" max="13" width="13.7109375" style="2" customWidth="1"/>
    <col min="14" max="14" width="9.7109375" style="2" customWidth="1"/>
    <col min="15" max="15" width="9.140625" style="2" customWidth="1"/>
    <col min="16" max="16384" width="9.140625" style="2"/>
  </cols>
  <sheetData>
    <row r="1" spans="2:19" ht="15.75">
      <c r="B1" s="17" t="s">
        <v>120</v>
      </c>
      <c r="E1" s="3"/>
      <c r="F1" s="3"/>
      <c r="G1" s="3"/>
      <c r="H1" s="65"/>
      <c r="I1" s="3"/>
      <c r="J1" s="3"/>
      <c r="K1" s="3"/>
      <c r="L1" s="3"/>
      <c r="M1" s="3"/>
      <c r="N1" s="3"/>
      <c r="O1" s="3"/>
      <c r="P1" s="3"/>
    </row>
    <row r="2" spans="2:19">
      <c r="E2" s="3"/>
      <c r="F2" s="423" t="s">
        <v>287</v>
      </c>
      <c r="G2" s="423"/>
      <c r="H2" s="423"/>
      <c r="I2" s="423"/>
      <c r="J2" s="423"/>
      <c r="K2" s="162"/>
      <c r="L2" s="423" t="s">
        <v>338</v>
      </c>
      <c r="M2" s="423"/>
      <c r="N2" s="423"/>
      <c r="O2" s="423"/>
      <c r="P2" s="423"/>
    </row>
    <row r="3" spans="2:19">
      <c r="B3" s="19" t="s">
        <v>283</v>
      </c>
      <c r="C3" s="94" t="str">
        <f>About!C3</f>
        <v>E-commerce</v>
      </c>
      <c r="D3" s="23"/>
      <c r="F3" s="371" t="s">
        <v>337</v>
      </c>
      <c r="G3" s="371" t="s">
        <v>99</v>
      </c>
      <c r="H3" s="326" t="s">
        <v>11</v>
      </c>
      <c r="I3" s="372" t="s">
        <v>116</v>
      </c>
      <c r="J3" s="372" t="s">
        <v>118</v>
      </c>
      <c r="K3" s="123"/>
      <c r="L3" s="371" t="s">
        <v>339</v>
      </c>
      <c r="M3" s="371" t="s">
        <v>99</v>
      </c>
      <c r="N3" s="326" t="s">
        <v>11</v>
      </c>
      <c r="O3" s="372" t="s">
        <v>116</v>
      </c>
      <c r="P3" s="372" t="s">
        <v>118</v>
      </c>
    </row>
    <row r="4" spans="2:19">
      <c r="B4" s="31" t="s">
        <v>284</v>
      </c>
      <c r="C4" s="141" t="str">
        <f>About!C4</f>
        <v>Cosmetics Retail</v>
      </c>
      <c r="D4" s="6"/>
      <c r="E4" s="3"/>
      <c r="F4" s="73" t="s">
        <v>288</v>
      </c>
      <c r="G4" s="73" t="s">
        <v>301</v>
      </c>
      <c r="H4" s="369">
        <v>0.59</v>
      </c>
      <c r="I4" s="137">
        <v>0.30830000000000002</v>
      </c>
      <c r="J4" s="139">
        <v>5.69</v>
      </c>
      <c r="K4" s="131"/>
      <c r="L4" s="73" t="s">
        <v>95</v>
      </c>
      <c r="M4" s="73" t="s">
        <v>335</v>
      </c>
      <c r="N4" s="369">
        <v>0.44</v>
      </c>
      <c r="O4" s="137">
        <v>1.9608000000000001</v>
      </c>
      <c r="P4" s="139">
        <v>11.44</v>
      </c>
    </row>
    <row r="5" spans="2:19">
      <c r="D5" s="6"/>
      <c r="E5" s="3"/>
      <c r="F5" s="73" t="s">
        <v>289</v>
      </c>
      <c r="G5" s="73" t="s">
        <v>302</v>
      </c>
      <c r="H5" s="136">
        <v>1</v>
      </c>
      <c r="I5" s="137">
        <v>0.59060000000000001</v>
      </c>
      <c r="J5" s="137">
        <v>3.55</v>
      </c>
      <c r="K5" s="132"/>
      <c r="L5" s="73" t="s">
        <v>98</v>
      </c>
      <c r="M5" s="73" t="s">
        <v>100</v>
      </c>
      <c r="N5" s="377" t="s">
        <v>336</v>
      </c>
      <c r="O5" s="137">
        <v>0.24</v>
      </c>
      <c r="P5" s="139">
        <v>28.15</v>
      </c>
    </row>
    <row r="6" spans="2:19">
      <c r="B6" s="31" t="s">
        <v>96</v>
      </c>
      <c r="C6" s="236" t="s">
        <v>330</v>
      </c>
      <c r="D6" s="25"/>
      <c r="E6" s="3"/>
      <c r="F6" s="73" t="s">
        <v>290</v>
      </c>
      <c r="G6" s="73" t="s">
        <v>303</v>
      </c>
      <c r="H6" s="369">
        <v>0.41</v>
      </c>
      <c r="I6" s="137">
        <v>1.3526</v>
      </c>
      <c r="J6" s="137">
        <v>5.0999999999999996</v>
      </c>
      <c r="K6" s="131"/>
      <c r="L6" s="73" t="s">
        <v>101</v>
      </c>
      <c r="M6" s="73" t="s">
        <v>102</v>
      </c>
      <c r="N6" s="136">
        <v>0.78820000000000001</v>
      </c>
      <c r="O6" s="137">
        <v>1.48</v>
      </c>
      <c r="P6" s="137">
        <v>3.15</v>
      </c>
    </row>
    <row r="7" spans="2:19">
      <c r="B7" s="31" t="s">
        <v>97</v>
      </c>
      <c r="C7" s="95" t="s">
        <v>331</v>
      </c>
      <c r="D7" s="6"/>
      <c r="E7" s="3"/>
      <c r="F7" s="73" t="s">
        <v>291</v>
      </c>
      <c r="G7" s="73" t="s">
        <v>304</v>
      </c>
      <c r="H7" s="136">
        <v>0.14000000000000001</v>
      </c>
      <c r="I7" s="137">
        <v>0.25779999999999997</v>
      </c>
      <c r="J7" s="137">
        <v>1.86</v>
      </c>
      <c r="K7" s="68"/>
      <c r="L7" s="73" t="s">
        <v>103</v>
      </c>
      <c r="M7" s="73" t="s">
        <v>104</v>
      </c>
      <c r="N7" s="377" t="s">
        <v>336</v>
      </c>
      <c r="O7" s="137">
        <v>0.55000000000000004</v>
      </c>
      <c r="P7" s="137">
        <v>11.1</v>
      </c>
    </row>
    <row r="8" spans="2:19">
      <c r="C8" s="47"/>
      <c r="D8" s="6"/>
      <c r="E8" s="3"/>
      <c r="F8" s="73" t="s">
        <v>292</v>
      </c>
      <c r="G8" s="73" t="s">
        <v>305</v>
      </c>
      <c r="H8" s="136">
        <v>1.45</v>
      </c>
      <c r="I8" s="137">
        <v>1.0568</v>
      </c>
      <c r="J8" s="137">
        <v>2.2999999999999998</v>
      </c>
      <c r="K8" s="131"/>
      <c r="L8" s="73" t="s">
        <v>106</v>
      </c>
      <c r="M8" s="73" t="s">
        <v>105</v>
      </c>
      <c r="N8" s="136">
        <v>1.0954999999999999</v>
      </c>
      <c r="O8" s="137">
        <v>1.06</v>
      </c>
      <c r="P8" s="137">
        <v>3.55</v>
      </c>
    </row>
    <row r="9" spans="2:19">
      <c r="B9" s="31" t="s">
        <v>328</v>
      </c>
      <c r="C9" s="370">
        <f>33831</f>
        <v>33831</v>
      </c>
      <c r="D9" s="21">
        <f>C9/C12</f>
        <v>0.89644664670500018</v>
      </c>
      <c r="E9" s="3"/>
      <c r="F9" s="73" t="s">
        <v>293</v>
      </c>
      <c r="G9" s="73" t="s">
        <v>306</v>
      </c>
      <c r="H9" s="136">
        <v>0.43</v>
      </c>
      <c r="I9" s="137">
        <v>0.58930000000000005</v>
      </c>
      <c r="J9" s="137">
        <v>2.2999999999999998</v>
      </c>
      <c r="K9" s="68"/>
      <c r="L9" s="73" t="s">
        <v>107</v>
      </c>
      <c r="M9" s="73" t="s">
        <v>108</v>
      </c>
      <c r="N9" s="136">
        <v>1.2392000000000001</v>
      </c>
      <c r="O9" s="137">
        <v>27.9</v>
      </c>
      <c r="P9" s="137">
        <v>2.71</v>
      </c>
    </row>
    <row r="10" spans="2:19">
      <c r="B10" s="31" t="s">
        <v>329</v>
      </c>
      <c r="C10" s="370">
        <v>3254</v>
      </c>
      <c r="D10" s="21">
        <f>C10/C12</f>
        <v>8.622380031267389E-2</v>
      </c>
      <c r="E10" s="3"/>
      <c r="F10" s="73" t="s">
        <v>294</v>
      </c>
      <c r="G10" s="73" t="s">
        <v>307</v>
      </c>
      <c r="H10" s="136">
        <v>0.93</v>
      </c>
      <c r="I10" s="137">
        <v>8.1900000000000001E-2</v>
      </c>
      <c r="J10" s="137">
        <v>1.53</v>
      </c>
      <c r="K10" s="131"/>
      <c r="L10" s="73" t="s">
        <v>109</v>
      </c>
      <c r="M10" s="73" t="s">
        <v>110</v>
      </c>
      <c r="N10" s="136">
        <v>0.6724</v>
      </c>
      <c r="O10" s="137">
        <v>1.28</v>
      </c>
      <c r="P10" s="137">
        <v>1.33</v>
      </c>
    </row>
    <row r="11" spans="2:19">
      <c r="B11" s="31" t="s">
        <v>332</v>
      </c>
      <c r="C11" s="370">
        <v>654</v>
      </c>
      <c r="D11" s="21">
        <f>C11/C12</f>
        <v>1.7329552982325976E-2</v>
      </c>
      <c r="E11" s="3"/>
      <c r="F11" s="73" t="s">
        <v>295</v>
      </c>
      <c r="G11" s="73" t="s">
        <v>308</v>
      </c>
      <c r="H11" s="136">
        <v>0.41</v>
      </c>
      <c r="I11" s="137">
        <v>7.7999999999999996E-3</v>
      </c>
      <c r="J11" s="137">
        <v>2.15</v>
      </c>
      <c r="K11" s="81"/>
      <c r="L11" s="73" t="s">
        <v>111</v>
      </c>
      <c r="M11" s="73" t="s">
        <v>112</v>
      </c>
      <c r="N11" s="136">
        <v>1.0973999999999999</v>
      </c>
      <c r="O11" s="137">
        <v>10.3</v>
      </c>
      <c r="P11" s="137">
        <v>0.59</v>
      </c>
    </row>
    <row r="12" spans="2:19">
      <c r="B12" s="19" t="s">
        <v>351</v>
      </c>
      <c r="C12" s="143">
        <f>SUM(C9:C11)</f>
        <v>37739</v>
      </c>
      <c r="D12" s="381">
        <v>1</v>
      </c>
      <c r="E12" s="3"/>
      <c r="F12" s="73" t="s">
        <v>296</v>
      </c>
      <c r="G12" s="73" t="s">
        <v>309</v>
      </c>
      <c r="H12" s="377" t="s">
        <v>336</v>
      </c>
      <c r="I12" s="137">
        <v>2.1922000000000001</v>
      </c>
      <c r="J12" s="137">
        <v>7.09</v>
      </c>
      <c r="K12" s="64"/>
      <c r="L12" s="73" t="s">
        <v>113</v>
      </c>
      <c r="M12" s="73" t="s">
        <v>114</v>
      </c>
      <c r="N12" s="136">
        <v>1.7248000000000001</v>
      </c>
      <c r="O12" s="137">
        <v>1.47</v>
      </c>
      <c r="P12" s="137">
        <v>1.18</v>
      </c>
    </row>
    <row r="13" spans="2:19">
      <c r="D13" s="6"/>
      <c r="E13" s="3"/>
      <c r="F13" s="73" t="s">
        <v>297</v>
      </c>
      <c r="G13" s="73" t="s">
        <v>310</v>
      </c>
      <c r="H13" s="136">
        <v>1.67</v>
      </c>
      <c r="I13" s="137">
        <v>0.33019999999999999</v>
      </c>
      <c r="J13" s="137">
        <v>4.63</v>
      </c>
      <c r="K13" s="3"/>
      <c r="L13" s="119"/>
      <c r="M13" s="119"/>
      <c r="N13" s="373">
        <f>MEDIAN(N4,N6,N8:N12)</f>
        <v>1.0954999999999999</v>
      </c>
      <c r="O13" s="374">
        <f>MEDIAN(O4:O12)</f>
        <v>1.47</v>
      </c>
      <c r="P13" s="374">
        <f>MEDIAN(P4:P12)</f>
        <v>3.15</v>
      </c>
    </row>
    <row r="14" spans="2:19">
      <c r="B14" s="31" t="s">
        <v>121</v>
      </c>
      <c r="C14" s="145">
        <v>0.25169999999999998</v>
      </c>
      <c r="D14" s="6"/>
      <c r="E14" s="48"/>
      <c r="F14" s="73" t="s">
        <v>298</v>
      </c>
      <c r="G14" s="73" t="s">
        <v>311</v>
      </c>
      <c r="H14" s="377" t="s">
        <v>336</v>
      </c>
      <c r="I14" s="137">
        <v>6.1699999999999998E-2</v>
      </c>
      <c r="J14" s="137">
        <v>0.09</v>
      </c>
      <c r="K14" s="3"/>
      <c r="L14" s="3"/>
      <c r="M14" s="3"/>
    </row>
    <row r="15" spans="2:19">
      <c r="B15" s="31" t="s">
        <v>352</v>
      </c>
      <c r="C15" s="145">
        <v>0.20039999999999999</v>
      </c>
      <c r="D15" s="6"/>
      <c r="E15" s="48"/>
      <c r="F15" s="73" t="s">
        <v>299</v>
      </c>
      <c r="G15" s="73" t="s">
        <v>312</v>
      </c>
      <c r="H15" s="136">
        <v>1.76</v>
      </c>
      <c r="I15" s="137">
        <v>1.77</v>
      </c>
      <c r="J15" s="137">
        <v>4.91</v>
      </c>
      <c r="K15" s="3"/>
      <c r="L15" s="3"/>
      <c r="M15" s="3"/>
    </row>
    <row r="16" spans="2:19">
      <c r="D16" s="6"/>
      <c r="E16" s="48"/>
      <c r="F16" s="73" t="s">
        <v>300</v>
      </c>
      <c r="G16" s="73" t="s">
        <v>313</v>
      </c>
      <c r="H16" s="136">
        <v>2.12</v>
      </c>
      <c r="I16" s="377" t="s">
        <v>336</v>
      </c>
      <c r="J16" s="137">
        <v>1.8</v>
      </c>
      <c r="K16" s="3"/>
      <c r="L16" s="74" t="s">
        <v>123</v>
      </c>
      <c r="M16" s="74" t="s">
        <v>6</v>
      </c>
      <c r="N16" s="142" t="s">
        <v>118</v>
      </c>
      <c r="O16" s="378"/>
      <c r="R16" s="375"/>
      <c r="S16" s="375"/>
    </row>
    <row r="17" spans="2:19">
      <c r="B17" s="19" t="s">
        <v>333</v>
      </c>
      <c r="C17" s="155">
        <f>H24/(1+(I24*(1-C14)))</f>
        <v>0.68356580596756278</v>
      </c>
      <c r="D17" s="25"/>
      <c r="E17" s="48"/>
      <c r="F17" s="73" t="s">
        <v>325</v>
      </c>
      <c r="G17" s="73" t="s">
        <v>324</v>
      </c>
      <c r="H17" s="136">
        <v>0.97</v>
      </c>
      <c r="I17" s="137">
        <v>1.1052</v>
      </c>
      <c r="J17" s="137">
        <v>5.54</v>
      </c>
      <c r="K17" s="3"/>
      <c r="L17" s="73" t="s">
        <v>330</v>
      </c>
      <c r="M17" s="147">
        <f>C9</f>
        <v>33831</v>
      </c>
      <c r="N17" s="148">
        <f ca="1">J24</f>
        <v>2.2999999999999998</v>
      </c>
      <c r="O17" s="379"/>
      <c r="R17" s="104"/>
      <c r="S17" s="104"/>
    </row>
    <row r="18" spans="2:19">
      <c r="B18" s="19" t="s">
        <v>334</v>
      </c>
      <c r="C18" s="155">
        <f>N13/(1+(O13*(1-C14)))</f>
        <v>0.52166641825408655</v>
      </c>
      <c r="D18" s="6"/>
      <c r="E18" s="48"/>
      <c r="F18" s="73" t="s">
        <v>314</v>
      </c>
      <c r="G18" s="73" t="s">
        <v>315</v>
      </c>
      <c r="H18" s="136">
        <v>1.93</v>
      </c>
      <c r="I18" s="137">
        <v>0.62619999999999998</v>
      </c>
      <c r="J18" s="137">
        <v>0.17</v>
      </c>
      <c r="K18" s="3"/>
      <c r="L18" s="73" t="s">
        <v>331</v>
      </c>
      <c r="M18" s="147">
        <f>C10</f>
        <v>3254</v>
      </c>
      <c r="N18" s="136">
        <f>P13</f>
        <v>3.15</v>
      </c>
      <c r="O18" s="379"/>
      <c r="R18" s="3"/>
      <c r="S18" s="3"/>
    </row>
    <row r="19" spans="2:19">
      <c r="B19" s="3"/>
      <c r="C19" s="3"/>
      <c r="D19" s="6"/>
      <c r="E19" s="121"/>
      <c r="F19" s="73" t="s">
        <v>316</v>
      </c>
      <c r="G19" s="73" t="s">
        <v>317</v>
      </c>
      <c r="H19" s="136">
        <v>1.01</v>
      </c>
      <c r="I19" s="137">
        <v>0.2278</v>
      </c>
      <c r="J19" s="137">
        <v>2.82</v>
      </c>
      <c r="K19" s="3"/>
      <c r="L19" s="19"/>
      <c r="M19" s="380">
        <f>SUM(M17:M18)</f>
        <v>37085</v>
      </c>
      <c r="N19" s="133"/>
      <c r="O19" s="46"/>
      <c r="R19" s="3"/>
      <c r="S19" s="3"/>
    </row>
    <row r="20" spans="2:19">
      <c r="B20" s="111" t="s">
        <v>125</v>
      </c>
      <c r="C20" s="153">
        <f ca="1">N24*(1+(1-C14)*WACC!F12)</f>
        <v>0.88472050824833159</v>
      </c>
      <c r="D20" s="6"/>
      <c r="E20" s="101"/>
      <c r="F20" s="73" t="s">
        <v>318</v>
      </c>
      <c r="G20" s="73" t="s">
        <v>319</v>
      </c>
      <c r="H20" s="136">
        <v>1.1599999999999999</v>
      </c>
      <c r="I20" s="137">
        <v>0.54430000000000001</v>
      </c>
      <c r="J20" s="137">
        <v>0.92</v>
      </c>
      <c r="K20" s="3"/>
      <c r="L20" s="85"/>
      <c r="M20" s="3"/>
    </row>
    <row r="21" spans="2:19">
      <c r="C21" s="140"/>
      <c r="D21" s="6"/>
      <c r="E21" s="48"/>
      <c r="F21" s="73" t="s">
        <v>320</v>
      </c>
      <c r="G21" s="73" t="s">
        <v>321</v>
      </c>
      <c r="H21" s="136">
        <v>0.13</v>
      </c>
      <c r="I21" s="137">
        <v>1.4852000000000001</v>
      </c>
      <c r="J21" s="137">
        <v>2.64</v>
      </c>
      <c r="K21" s="3"/>
      <c r="L21" s="146" t="s">
        <v>124</v>
      </c>
      <c r="M21" s="146" t="s">
        <v>61</v>
      </c>
      <c r="N21" s="146" t="s">
        <v>340</v>
      </c>
    </row>
    <row r="22" spans="2:19">
      <c r="B22" s="134" t="s">
        <v>63</v>
      </c>
      <c r="C22" s="140"/>
      <c r="D22" s="25"/>
      <c r="E22" s="48"/>
      <c r="F22" s="73" t="s">
        <v>322</v>
      </c>
      <c r="G22" s="73" t="s">
        <v>323</v>
      </c>
      <c r="H22" s="136">
        <v>1.99</v>
      </c>
      <c r="I22" s="137">
        <v>1.3002</v>
      </c>
      <c r="J22" s="137">
        <v>2.11</v>
      </c>
      <c r="K22" s="3"/>
      <c r="L22" s="149">
        <f ca="1">M17*N17</f>
        <v>77811.299999999988</v>
      </c>
      <c r="M22" s="150">
        <f ca="1">L22/L24</f>
        <v>0.88360280440692507</v>
      </c>
      <c r="N22" s="135">
        <f>C17</f>
        <v>0.68356580596756278</v>
      </c>
    </row>
    <row r="23" spans="2:19">
      <c r="B23" s="134" t="s">
        <v>115</v>
      </c>
      <c r="C23" s="46"/>
      <c r="D23" s="6"/>
      <c r="E23" s="48"/>
      <c r="F23" s="73" t="s">
        <v>326</v>
      </c>
      <c r="G23" s="73" t="s">
        <v>327</v>
      </c>
      <c r="H23" s="136">
        <v>0.18</v>
      </c>
      <c r="I23" s="137">
        <v>1E-4</v>
      </c>
      <c r="J23" s="137">
        <v>7.6</v>
      </c>
      <c r="K23" s="3"/>
      <c r="L23" s="149">
        <f>M18*N18</f>
        <v>10250.1</v>
      </c>
      <c r="M23" s="151">
        <f ca="1">L23/L24</f>
        <v>0.11639719559307485</v>
      </c>
      <c r="N23" s="152">
        <f>C18</f>
        <v>0.52166641825408655</v>
      </c>
    </row>
    <row r="24" spans="2:19">
      <c r="B24" s="140" t="s">
        <v>117</v>
      </c>
      <c r="C24" s="82"/>
      <c r="D24" s="6"/>
      <c r="E24" s="6"/>
      <c r="H24" s="138">
        <f>MEDIAN(H4:H11,H13,H15:H23)</f>
        <v>0.98499999999999999</v>
      </c>
      <c r="I24" s="138">
        <f>MEDIAN(I4:I15,I17:I23)</f>
        <v>0.58930000000000005</v>
      </c>
      <c r="J24" s="138">
        <f ca="1">MEDIAN(J4:J24)</f>
        <v>2.2999999999999998</v>
      </c>
      <c r="K24" s="3"/>
      <c r="L24" s="154">
        <f ca="1">SUM(L22:L23)</f>
        <v>88061.4</v>
      </c>
      <c r="M24" s="144">
        <f ca="1">SUM(M22:M23)</f>
        <v>0.99999999999999989</v>
      </c>
      <c r="N24" s="382">
        <f ca="1">(M22*N22)+(M23*N23)</f>
        <v>0.66472117126947816</v>
      </c>
    </row>
    <row r="25" spans="2:19">
      <c r="B25" s="140" t="s">
        <v>119</v>
      </c>
      <c r="C25" s="3"/>
      <c r="D25" s="6"/>
      <c r="E25" s="25"/>
      <c r="K25" s="46"/>
      <c r="L25" s="244"/>
      <c r="M25" s="244"/>
      <c r="O25" s="90"/>
      <c r="P25" s="3"/>
    </row>
    <row r="26" spans="2:19">
      <c r="B26" s="82" t="s">
        <v>122</v>
      </c>
      <c r="C26" s="3"/>
      <c r="D26" s="25"/>
      <c r="E26" s="24"/>
      <c r="F26" s="119"/>
      <c r="G26" s="119"/>
      <c r="H26" s="242"/>
      <c r="I26" s="248"/>
      <c r="J26" s="248"/>
      <c r="K26" s="248"/>
      <c r="L26" s="248"/>
      <c r="M26" s="248"/>
      <c r="O26" s="3"/>
      <c r="P26" s="3"/>
    </row>
    <row r="27" spans="2:19">
      <c r="C27" s="3"/>
      <c r="D27" s="8"/>
      <c r="E27" s="24"/>
      <c r="K27" s="162"/>
      <c r="L27" s="241"/>
      <c r="M27" s="241"/>
      <c r="N27" s="3"/>
      <c r="O27" s="3"/>
      <c r="P27" s="3"/>
    </row>
    <row r="28" spans="2:19">
      <c r="C28" s="3"/>
      <c r="D28" s="3"/>
      <c r="E28" s="3"/>
      <c r="K28" s="123"/>
      <c r="L28" s="3"/>
      <c r="M28" s="3"/>
    </row>
    <row r="29" spans="2:19">
      <c r="B29" s="3"/>
      <c r="C29" s="3"/>
      <c r="D29" s="3"/>
      <c r="E29" s="3"/>
    </row>
    <row r="30" spans="2:19">
      <c r="D30" s="3"/>
      <c r="E30" s="3"/>
      <c r="K30" s="131"/>
    </row>
    <row r="31" spans="2:19">
      <c r="D31" s="3"/>
      <c r="E31" s="3"/>
      <c r="K31" s="132"/>
    </row>
    <row r="32" spans="2:19">
      <c r="D32" s="3"/>
      <c r="E32" s="3"/>
      <c r="K32" s="131"/>
    </row>
    <row r="33" spans="4:14">
      <c r="D33" s="3"/>
      <c r="E33" s="3"/>
      <c r="K33" s="68"/>
    </row>
    <row r="34" spans="4:14">
      <c r="K34" s="131"/>
    </row>
    <row r="35" spans="4:14">
      <c r="K35" s="68"/>
    </row>
    <row r="36" spans="4:14">
      <c r="K36" s="131"/>
    </row>
    <row r="37" spans="4:14">
      <c r="K37" s="81"/>
    </row>
    <row r="38" spans="4:14">
      <c r="K38" s="46"/>
      <c r="N38" s="64"/>
    </row>
    <row r="39" spans="4:14">
      <c r="N39" s="131"/>
    </row>
    <row r="40" spans="4:14">
      <c r="N40" s="131"/>
    </row>
    <row r="41" spans="4:14">
      <c r="N41" s="131"/>
    </row>
    <row r="42" spans="4:14">
      <c r="N42" s="68"/>
    </row>
    <row r="43" spans="4:14">
      <c r="N43" s="68"/>
    </row>
    <row r="44" spans="4:14">
      <c r="N44" s="66"/>
    </row>
    <row r="45" spans="4:14">
      <c r="N45" s="81"/>
    </row>
    <row r="46" spans="4:14">
      <c r="N46" s="64"/>
    </row>
    <row r="47" spans="4:14">
      <c r="N47" s="3"/>
    </row>
    <row r="48" spans="4:14">
      <c r="N48" s="3"/>
    </row>
  </sheetData>
  <mergeCells count="2">
    <mergeCell ref="L2:P2"/>
    <mergeCell ref="F2:J2"/>
  </mergeCells>
  <hyperlinks>
    <hyperlink ref="B26"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7" t="s">
        <v>138</v>
      </c>
    </row>
    <row r="3" spans="2:13" ht="15.75">
      <c r="B3" s="157" t="s">
        <v>14</v>
      </c>
      <c r="C3" s="31"/>
      <c r="D3" s="31"/>
      <c r="E3" s="18"/>
      <c r="F3" s="6"/>
      <c r="J3" s="9"/>
      <c r="K3" s="9"/>
      <c r="L3" s="9"/>
      <c r="M3" s="9"/>
    </row>
    <row r="4" spans="2:13">
      <c r="B4" s="31"/>
      <c r="C4" s="31"/>
      <c r="D4" s="31"/>
      <c r="E4" s="18"/>
      <c r="F4" s="25"/>
      <c r="G4" s="3"/>
    </row>
    <row r="5" spans="2:13">
      <c r="B5" s="111" t="s">
        <v>126</v>
      </c>
      <c r="C5" s="93">
        <f>'Risk Free Rate'!C4</f>
        <v>5.4299999999999994E-2</v>
      </c>
      <c r="D5" s="18"/>
      <c r="E5" s="18"/>
      <c r="F5" s="6"/>
    </row>
    <row r="6" spans="2:13">
      <c r="B6" s="111" t="s">
        <v>17</v>
      </c>
      <c r="C6" s="93">
        <f>'Equity Risk Premium'!F28</f>
        <v>3.9560996211483103E-2</v>
      </c>
      <c r="D6" s="43"/>
      <c r="E6" s="18"/>
      <c r="F6" s="6"/>
    </row>
    <row r="7" spans="2:13">
      <c r="B7" s="111" t="s">
        <v>342</v>
      </c>
      <c r="C7" s="156">
        <f ca="1">Beta!C20</f>
        <v>0.88472050824833159</v>
      </c>
      <c r="D7" s="18"/>
      <c r="E7" s="43"/>
      <c r="F7" s="6"/>
    </row>
    <row r="8" spans="2:13">
      <c r="B8" s="19"/>
      <c r="C8" s="19"/>
      <c r="D8" s="18"/>
      <c r="E8" s="18"/>
      <c r="F8" s="6"/>
    </row>
    <row r="9" spans="2:13">
      <c r="B9" s="111" t="s">
        <v>14</v>
      </c>
      <c r="C9" s="55">
        <f ca="1">C5+C7*C6</f>
        <v>8.9300424675033643E-2</v>
      </c>
      <c r="D9" s="18"/>
      <c r="E9" s="18"/>
      <c r="F9" s="6"/>
    </row>
    <row r="10" spans="2:13">
      <c r="B10" s="19"/>
      <c r="C10" s="19"/>
      <c r="D10" s="18"/>
      <c r="E10" s="18"/>
      <c r="F10" s="6"/>
    </row>
    <row r="11" spans="2:13">
      <c r="B11" s="158" t="s">
        <v>127</v>
      </c>
      <c r="C11" s="19"/>
      <c r="D11" s="18"/>
      <c r="E11" s="43"/>
      <c r="F11" s="6"/>
    </row>
    <row r="12" spans="2:13">
      <c r="F12" s="25"/>
    </row>
    <row r="13" spans="2:13" ht="15.75">
      <c r="B13" s="157" t="s">
        <v>139</v>
      </c>
      <c r="C13" s="19"/>
      <c r="D13" s="18"/>
      <c r="E13" s="18"/>
      <c r="F13" s="6"/>
    </row>
    <row r="14" spans="2:13">
      <c r="B14" s="19"/>
      <c r="C14" s="19"/>
      <c r="D14" s="18"/>
      <c r="E14" s="18"/>
      <c r="F14" s="6"/>
    </row>
    <row r="15" spans="2:13">
      <c r="B15" s="111" t="s">
        <v>129</v>
      </c>
      <c r="C15" s="95">
        <v>2.827E-2</v>
      </c>
      <c r="D15" s="18"/>
      <c r="E15" s="18"/>
      <c r="F15" s="6"/>
    </row>
    <row r="16" spans="2:13">
      <c r="B16" s="111" t="s">
        <v>128</v>
      </c>
      <c r="C16" s="156">
        <f>17.31/10.75</f>
        <v>1.6102325581395347</v>
      </c>
      <c r="D16" s="18"/>
      <c r="E16" s="18"/>
      <c r="F16" s="25"/>
    </row>
    <row r="17" spans="2:12">
      <c r="B17" s="111" t="s">
        <v>20</v>
      </c>
      <c r="C17" s="93">
        <f>'Risk Free Rate'!C8</f>
        <v>1.8700000000000001E-2</v>
      </c>
      <c r="D17" s="43"/>
      <c r="E17" s="43"/>
      <c r="F17" s="6"/>
    </row>
    <row r="18" spans="2:12">
      <c r="B18" s="51" t="s">
        <v>341</v>
      </c>
      <c r="C18" s="93">
        <v>7.7799999999999994E-2</v>
      </c>
      <c r="D18" s="18"/>
      <c r="E18" s="18"/>
      <c r="F18" s="6"/>
    </row>
    <row r="19" spans="2:12">
      <c r="B19" s="31"/>
      <c r="C19" s="19"/>
      <c r="D19" s="18"/>
      <c r="E19" s="18"/>
      <c r="F19" s="6"/>
    </row>
    <row r="20" spans="2:12">
      <c r="B20" s="111" t="s">
        <v>15</v>
      </c>
      <c r="C20" s="55">
        <f>C15+(C16*C17)+C18</f>
        <v>0.13618134883720928</v>
      </c>
      <c r="D20" s="18"/>
      <c r="E20" s="18"/>
      <c r="F20" s="6"/>
    </row>
    <row r="21" spans="2:12">
      <c r="B21" s="111"/>
      <c r="C21" s="111"/>
      <c r="D21" s="43"/>
      <c r="E21" s="43"/>
      <c r="F21" s="25"/>
    </row>
    <row r="22" spans="2:12">
      <c r="B22" s="158" t="s">
        <v>134</v>
      </c>
      <c r="C22" s="19"/>
      <c r="D22" s="19"/>
      <c r="E22" s="19"/>
      <c r="F22" s="6"/>
      <c r="G22" s="424" t="s">
        <v>133</v>
      </c>
      <c r="H22" s="424"/>
      <c r="I22" s="424"/>
      <c r="J22" s="424"/>
      <c r="K22" s="424"/>
      <c r="L22" s="424"/>
    </row>
    <row r="23" spans="2:12">
      <c r="F23" s="6"/>
      <c r="G23" s="31"/>
      <c r="H23" s="160">
        <v>2018</v>
      </c>
      <c r="I23" s="160">
        <v>2019</v>
      </c>
      <c r="J23" s="160">
        <v>2020</v>
      </c>
      <c r="K23" s="160">
        <v>2021</v>
      </c>
      <c r="L23" s="160">
        <v>2022</v>
      </c>
    </row>
    <row r="24" spans="2:12">
      <c r="B24" s="134" t="s">
        <v>63</v>
      </c>
      <c r="F24" s="6"/>
      <c r="G24" s="159" t="s">
        <v>130</v>
      </c>
      <c r="H24" s="52">
        <v>27</v>
      </c>
      <c r="I24" s="52">
        <v>46</v>
      </c>
      <c r="J24" s="52">
        <v>32</v>
      </c>
      <c r="K24" s="278">
        <v>47</v>
      </c>
      <c r="L24" s="278">
        <v>53</v>
      </c>
    </row>
    <row r="25" spans="2:12">
      <c r="B25" s="134" t="s">
        <v>135</v>
      </c>
      <c r="F25" s="25"/>
      <c r="G25" s="159" t="s">
        <v>3</v>
      </c>
      <c r="H25" s="52">
        <f>21-31</f>
        <v>-10</v>
      </c>
      <c r="I25" s="52">
        <f>83-60</f>
        <v>23</v>
      </c>
      <c r="J25" s="52">
        <f>158-72</f>
        <v>86</v>
      </c>
      <c r="K25" s="52">
        <f>164-96</f>
        <v>68</v>
      </c>
      <c r="L25" s="52">
        <f>182-108</f>
        <v>74</v>
      </c>
    </row>
    <row r="26" spans="2:12">
      <c r="B26" s="161" t="s">
        <v>136</v>
      </c>
      <c r="F26" s="3"/>
      <c r="G26" s="159" t="s">
        <v>131</v>
      </c>
      <c r="H26" s="52">
        <f t="shared" ref="H26:I26" si="0">H25/H24</f>
        <v>-0.37037037037037035</v>
      </c>
      <c r="I26" s="52">
        <f t="shared" si="0"/>
        <v>0.5</v>
      </c>
      <c r="J26" s="52">
        <f>J25/J24</f>
        <v>2.6875</v>
      </c>
      <c r="K26" s="52">
        <f>K25/K24</f>
        <v>1.446808510638298</v>
      </c>
      <c r="L26" s="52">
        <f>L25/L24</f>
        <v>1.3962264150943395</v>
      </c>
    </row>
    <row r="27" spans="2:12">
      <c r="B27" s="140" t="s">
        <v>137</v>
      </c>
      <c r="C27" s="3"/>
      <c r="D27" s="3"/>
      <c r="E27" s="3"/>
      <c r="F27" s="3"/>
      <c r="G27" s="425" t="s">
        <v>132</v>
      </c>
      <c r="H27" s="425"/>
      <c r="I27" s="425"/>
      <c r="J27" s="425"/>
      <c r="K27" s="425"/>
      <c r="L27" s="80">
        <f>MEDIAN(H26:L26)</f>
        <v>1.3962264150943395</v>
      </c>
    </row>
    <row r="28" spans="2:12">
      <c r="B28" s="46"/>
      <c r="C28" s="3"/>
      <c r="D28" s="3"/>
      <c r="E28" s="3"/>
      <c r="F28" s="3"/>
    </row>
    <row r="29" spans="2:12">
      <c r="B29" s="82"/>
      <c r="C29" s="3"/>
      <c r="D29" s="3"/>
      <c r="E29" s="3"/>
      <c r="F29" s="3"/>
    </row>
    <row r="30" spans="2:12">
      <c r="B30" s="3"/>
      <c r="C30" s="3"/>
      <c r="D30" s="3"/>
      <c r="E30" s="3"/>
      <c r="F30" s="3"/>
    </row>
    <row r="31" spans="2:12">
      <c r="B31" s="3"/>
      <c r="C31" s="3"/>
      <c r="D31" s="3"/>
      <c r="E31" s="3"/>
      <c r="F31" s="3"/>
    </row>
    <row r="32" spans="2:12">
      <c r="B32" s="3"/>
      <c r="C32" s="3"/>
      <c r="D32" s="3"/>
      <c r="E32" s="3"/>
      <c r="F32" s="3"/>
    </row>
  </sheetData>
  <mergeCells count="2">
    <mergeCell ref="G22:L22"/>
    <mergeCell ref="G27:K27"/>
  </mergeCells>
  <hyperlinks>
    <hyperlink ref="B26" r:id="rId1"/>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1.140625" style="2" bestFit="1" customWidth="1"/>
    <col min="4" max="4" width="3.7109375" style="2" customWidth="1"/>
    <col min="5" max="5" width="30.28515625" style="2" customWidth="1"/>
    <col min="6" max="6" width="11.5703125" style="2" bestFit="1" customWidth="1"/>
    <col min="7" max="7" width="4" style="2" customWidth="1"/>
    <col min="8" max="16384" width="9.140625" style="2"/>
  </cols>
  <sheetData>
    <row r="1" spans="2:13" ht="15.75">
      <c r="B1" s="17" t="s">
        <v>7</v>
      </c>
    </row>
    <row r="3" spans="2:13" ht="15.75">
      <c r="B3" s="157" t="s">
        <v>13</v>
      </c>
      <c r="C3" s="168"/>
      <c r="E3" s="157" t="s">
        <v>141</v>
      </c>
      <c r="F3" s="168" t="s">
        <v>343</v>
      </c>
      <c r="J3" s="9"/>
      <c r="K3" s="9"/>
      <c r="L3" s="9"/>
      <c r="M3" s="9"/>
    </row>
    <row r="4" spans="2:13" ht="8.25" customHeight="1">
      <c r="B4" s="31"/>
      <c r="C4" s="31"/>
      <c r="E4" s="31"/>
      <c r="F4" s="31"/>
      <c r="G4" s="3"/>
    </row>
    <row r="5" spans="2:13">
      <c r="B5" s="51" t="str">
        <f>'Cost of Equity &amp; Debt'!B9</f>
        <v>Cost of Equity</v>
      </c>
      <c r="C5" s="145">
        <f ca="1">'Cost of Equity &amp; Debt'!C9</f>
        <v>8.9300424675033643E-2</v>
      </c>
      <c r="D5" s="6"/>
      <c r="E5" s="111" t="s">
        <v>344</v>
      </c>
      <c r="F5" s="166">
        <v>9.2200000000000006</v>
      </c>
    </row>
    <row r="6" spans="2:13">
      <c r="B6" s="51" t="str">
        <f>E25</f>
        <v>Market Value of Equity</v>
      </c>
      <c r="C6" s="171">
        <f>F29</f>
        <v>673228.92391999997</v>
      </c>
      <c r="D6" s="25"/>
      <c r="E6" s="111" t="s">
        <v>345</v>
      </c>
      <c r="F6" s="166">
        <v>3321.12</v>
      </c>
    </row>
    <row r="7" spans="2:13">
      <c r="B7" s="51"/>
      <c r="C7" s="51"/>
      <c r="D7" s="6"/>
      <c r="E7" s="111" t="s">
        <v>148</v>
      </c>
      <c r="F7" s="166">
        <v>2043.19</v>
      </c>
    </row>
    <row r="8" spans="2:13">
      <c r="B8" s="51" t="str">
        <f>'Cost of Equity &amp; Debt'!B20</f>
        <v>Cost of Debt</v>
      </c>
      <c r="C8" s="145">
        <f>'Cost of Equity &amp; Debt'!C20</f>
        <v>0.13618134883720928</v>
      </c>
      <c r="D8" s="6"/>
      <c r="E8" s="111" t="s">
        <v>149</v>
      </c>
      <c r="F8" s="166">
        <v>552.70000000000005</v>
      </c>
    </row>
    <row r="9" spans="2:13">
      <c r="B9" s="51" t="str">
        <f>E15</f>
        <v>Market Value of Debt</v>
      </c>
      <c r="C9" s="171">
        <f>F22</f>
        <v>5592.6309272417893</v>
      </c>
      <c r="D9" s="6"/>
      <c r="E9" s="113" t="s">
        <v>141</v>
      </c>
      <c r="F9" s="167">
        <f>SUM(F5:F8)</f>
        <v>5926.23</v>
      </c>
    </row>
    <row r="10" spans="2:13">
      <c r="B10" s="51"/>
      <c r="C10" s="51"/>
      <c r="D10" s="6"/>
      <c r="E10" s="111" t="s">
        <v>5</v>
      </c>
      <c r="F10" s="166">
        <v>13399</v>
      </c>
    </row>
    <row r="11" spans="2:13">
      <c r="B11" s="51" t="str">
        <f>Beta!B14</f>
        <v>Marginal Corporate Tax Rate (%)</v>
      </c>
      <c r="C11" s="145">
        <f>Beta!C14</f>
        <v>0.25169999999999998</v>
      </c>
      <c r="D11" s="6"/>
      <c r="E11" s="31"/>
      <c r="F11" s="31"/>
    </row>
    <row r="12" spans="2:13">
      <c r="B12" s="31"/>
      <c r="C12" s="31"/>
      <c r="D12" s="6"/>
      <c r="E12" s="111" t="s">
        <v>346</v>
      </c>
      <c r="F12" s="165">
        <f>F9/F10</f>
        <v>0.44228897678931262</v>
      </c>
    </row>
    <row r="13" spans="2:13">
      <c r="B13" s="51" t="s">
        <v>7</v>
      </c>
      <c r="C13" s="173">
        <f ca="1">C5*(C6/(C6+C9))+C8*(1-C11)*(C9/(C6+C9))</f>
        <v>8.9404266339487462E-2</v>
      </c>
      <c r="F13" s="164"/>
    </row>
    <row r="14" spans="2:13" ht="12.75" customHeight="1">
      <c r="D14" s="6"/>
    </row>
    <row r="15" spans="2:13" ht="15.75">
      <c r="B15" s="134"/>
      <c r="D15" s="6"/>
      <c r="E15" s="157" t="s">
        <v>140</v>
      </c>
      <c r="F15" s="168" t="s">
        <v>343</v>
      </c>
    </row>
    <row r="16" spans="2:13" ht="7.5" customHeight="1">
      <c r="B16" s="134"/>
      <c r="D16" s="6"/>
      <c r="E16" s="31"/>
      <c r="F16" s="168"/>
    </row>
    <row r="17" spans="2:12">
      <c r="D17" s="6"/>
      <c r="E17" s="111" t="s">
        <v>141</v>
      </c>
      <c r="F17" s="166">
        <f>F9</f>
        <v>5926.23</v>
      </c>
    </row>
    <row r="18" spans="2:12">
      <c r="D18" s="25"/>
      <c r="E18" s="111" t="s">
        <v>142</v>
      </c>
      <c r="F18" s="166">
        <v>465.11</v>
      </c>
    </row>
    <row r="19" spans="2:12">
      <c r="D19" s="6"/>
      <c r="E19" s="111" t="s">
        <v>15</v>
      </c>
      <c r="F19" s="93">
        <f>'Cost of Equity &amp; Debt'!C20</f>
        <v>0.13618134883720928</v>
      </c>
    </row>
    <row r="20" spans="2:12">
      <c r="D20" s="6"/>
      <c r="E20" s="51" t="s">
        <v>144</v>
      </c>
      <c r="F20" s="169">
        <v>10</v>
      </c>
    </row>
    <row r="21" spans="2:12">
      <c r="D21" s="6"/>
      <c r="E21" s="31"/>
      <c r="F21" s="19"/>
    </row>
    <row r="22" spans="2:12">
      <c r="D22" s="25"/>
      <c r="E22" s="111" t="s">
        <v>143</v>
      </c>
      <c r="F22" s="170">
        <f>F18*((1-(1+F19)^(-F20))/F19)+F17/(1+F19)^5</f>
        <v>5592.6309272417893</v>
      </c>
    </row>
    <row r="23" spans="2:12">
      <c r="D23" s="3"/>
      <c r="E23" s="24"/>
      <c r="F23" s="24"/>
      <c r="G23" s="162"/>
      <c r="H23" s="162"/>
      <c r="J23" s="162"/>
      <c r="K23" s="162"/>
      <c r="L23" s="162"/>
    </row>
    <row r="24" spans="2:12">
      <c r="G24" s="3"/>
      <c r="H24" s="66"/>
      <c r="J24" s="66"/>
      <c r="K24" s="66"/>
      <c r="L24" s="66"/>
    </row>
    <row r="25" spans="2:12" ht="15.75">
      <c r="E25" s="157" t="s">
        <v>145</v>
      </c>
      <c r="F25" s="168" t="s">
        <v>343</v>
      </c>
      <c r="G25" s="53"/>
      <c r="H25" s="46"/>
      <c r="I25" s="46"/>
      <c r="J25" s="46"/>
      <c r="K25" s="46"/>
      <c r="L25" s="46"/>
    </row>
    <row r="26" spans="2:12" ht="7.5" customHeight="1">
      <c r="B26" s="161"/>
      <c r="E26" s="31"/>
      <c r="F26" s="31"/>
      <c r="G26" s="53"/>
      <c r="H26" s="46"/>
      <c r="I26" s="46"/>
      <c r="J26" s="46"/>
      <c r="K26" s="46"/>
      <c r="L26" s="46"/>
    </row>
    <row r="27" spans="2:12">
      <c r="E27" s="51" t="s">
        <v>347</v>
      </c>
      <c r="F27" s="166">
        <v>1420</v>
      </c>
      <c r="G27" s="53"/>
      <c r="H27" s="46"/>
      <c r="I27" s="46"/>
      <c r="J27" s="46"/>
      <c r="K27" s="46"/>
      <c r="L27" s="46"/>
    </row>
    <row r="28" spans="2:12">
      <c r="D28" s="3"/>
      <c r="E28" s="51" t="s">
        <v>146</v>
      </c>
      <c r="F28" s="418">
        <v>474.10487599999999</v>
      </c>
      <c r="G28" s="53"/>
      <c r="H28" s="46"/>
      <c r="I28" s="46"/>
      <c r="J28" s="46"/>
      <c r="K28" s="46"/>
      <c r="L28" s="46"/>
    </row>
    <row r="29" spans="2:12">
      <c r="D29" s="3"/>
      <c r="E29" s="51" t="s">
        <v>147</v>
      </c>
      <c r="F29" s="172">
        <f>F27*F28</f>
        <v>673228.92391999997</v>
      </c>
      <c r="G29" s="163"/>
      <c r="H29" s="163"/>
      <c r="I29" s="163"/>
      <c r="J29" s="163"/>
      <c r="K29" s="163"/>
      <c r="L29" s="24"/>
    </row>
    <row r="30" spans="2:12">
      <c r="B30" s="82"/>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6" t="s">
        <v>150</v>
      </c>
    </row>
    <row r="3" spans="2:2">
      <c r="B3" s="182" t="s">
        <v>178</v>
      </c>
    </row>
    <row r="4" spans="2:2">
      <c r="B4" s="182" t="s">
        <v>177</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76" customWidth="1"/>
    <col min="2" max="2" width="29.140625" style="176" customWidth="1"/>
    <col min="3" max="3" width="11.42578125" style="176" customWidth="1"/>
    <col min="4" max="4" width="9.7109375" style="176" customWidth="1"/>
    <col min="5" max="5" width="9.28515625" style="176" customWidth="1"/>
    <col min="6" max="6" width="22.42578125" style="176" customWidth="1"/>
    <col min="7" max="7" width="10.140625" style="176" bestFit="1" customWidth="1" collapsed="1"/>
    <col min="8" max="11" width="9" style="176" customWidth="1"/>
    <col min="12" max="12" width="9.28515625" style="176" customWidth="1"/>
    <col min="13" max="26" width="9.140625" style="176" customWidth="1"/>
    <col min="27" max="27" width="9.28515625" style="176" customWidth="1"/>
    <col min="28" max="28" width="9.42578125" style="176" customWidth="1"/>
    <col min="29" max="29" width="10" style="176" customWidth="1"/>
    <col min="30" max="30" width="11.42578125" style="176" customWidth="1"/>
    <col min="31" max="31" width="9.42578125" style="176" bestFit="1" customWidth="1" collapsed="1"/>
    <col min="32" max="16384" width="9.140625" style="176"/>
  </cols>
  <sheetData>
    <row r="1" spans="1:32" s="175" customFormat="1" ht="15" customHeight="1">
      <c r="B1" s="17" t="s">
        <v>268</v>
      </c>
      <c r="C1" s="174"/>
      <c r="D1" s="174"/>
      <c r="E1" s="174"/>
      <c r="F1" s="174"/>
      <c r="G1" s="174"/>
      <c r="H1" s="174"/>
      <c r="I1" s="174"/>
      <c r="J1" s="174"/>
      <c r="K1" s="174"/>
      <c r="L1" s="174"/>
    </row>
    <row r="2" spans="1:32" ht="12" customHeight="1"/>
    <row r="3" spans="1:32" s="178" customFormat="1" ht="12" customHeight="1">
      <c r="A3" s="176"/>
      <c r="B3" s="189"/>
      <c r="C3" s="190" t="s">
        <v>343</v>
      </c>
      <c r="D3" s="177"/>
      <c r="E3" s="177"/>
      <c r="F3" s="426" t="s">
        <v>274</v>
      </c>
      <c r="G3" s="426"/>
      <c r="H3" s="426"/>
      <c r="I3" s="426"/>
      <c r="J3" s="426"/>
      <c r="K3" s="386"/>
      <c r="L3" s="386"/>
      <c r="M3" s="386"/>
      <c r="N3" s="177"/>
      <c r="O3" s="177"/>
      <c r="P3" s="177"/>
      <c r="Q3" s="177"/>
      <c r="R3" s="177"/>
      <c r="S3" s="177"/>
      <c r="T3" s="177"/>
      <c r="U3" s="177"/>
      <c r="V3" s="177"/>
      <c r="W3" s="177"/>
      <c r="X3" s="177"/>
      <c r="Y3" s="177"/>
      <c r="Z3" s="177"/>
      <c r="AA3" s="177"/>
    </row>
    <row r="4" spans="1:32" ht="12" customHeight="1">
      <c r="A4" s="178"/>
      <c r="B4" s="191" t="s">
        <v>152</v>
      </c>
      <c r="C4" s="192">
        <f>11484.21+9733.2+10983.6+8852.64</f>
        <v>41053.65</v>
      </c>
      <c r="F4" s="333" t="s">
        <v>55</v>
      </c>
      <c r="G4" s="334" t="s">
        <v>269</v>
      </c>
      <c r="H4" s="334" t="s">
        <v>74</v>
      </c>
      <c r="I4" s="334" t="s">
        <v>73</v>
      </c>
      <c r="J4" s="335"/>
    </row>
    <row r="5" spans="1:32" ht="12" customHeight="1">
      <c r="A5" s="183" t="s">
        <v>94</v>
      </c>
      <c r="B5" s="193" t="s">
        <v>153</v>
      </c>
      <c r="C5" s="194">
        <f>-(176.56+6902.15-1182.69+179.32+5023.14-132.24+232.97+7415.45-1263+257.87+6643.6-1420.88)</f>
        <v>-22832.249999999996</v>
      </c>
      <c r="F5" s="256" t="s">
        <v>271</v>
      </c>
      <c r="G5" s="189">
        <v>4781.1099999999997</v>
      </c>
      <c r="H5" s="385">
        <v>1689.03</v>
      </c>
      <c r="I5" s="234">
        <v>2019.8019999999999</v>
      </c>
      <c r="J5" s="331"/>
    </row>
    <row r="6" spans="1:32" ht="12" customHeight="1">
      <c r="A6" s="183" t="s">
        <v>94</v>
      </c>
      <c r="B6" s="193" t="s">
        <v>154</v>
      </c>
      <c r="C6" s="194">
        <f>-(1147.09+3491.18+908+2959.42+1159.08+3238.73+922.63+2571.55)</f>
        <v>-16397.679999999997</v>
      </c>
      <c r="F6" s="256" t="s">
        <v>272</v>
      </c>
      <c r="G6" s="133">
        <v>1</v>
      </c>
      <c r="H6" s="133">
        <f>MEDIAN(G6,I6)</f>
        <v>0.5</v>
      </c>
      <c r="I6" s="133">
        <v>0</v>
      </c>
      <c r="J6" s="332"/>
      <c r="L6" s="180"/>
      <c r="M6" s="180"/>
      <c r="O6" s="180"/>
      <c r="P6" s="180"/>
      <c r="Q6" s="180"/>
      <c r="R6" s="180"/>
      <c r="S6" s="180"/>
      <c r="T6" s="180"/>
      <c r="Y6" s="180"/>
    </row>
    <row r="7" spans="1:32" ht="12" customHeight="1">
      <c r="A7" s="183" t="s">
        <v>94</v>
      </c>
      <c r="B7" s="193" t="s">
        <v>2</v>
      </c>
      <c r="C7" s="194">
        <f>-(310.12+304.84+251.24+213.08)</f>
        <v>-1079.28</v>
      </c>
      <c r="F7" s="256" t="s">
        <v>273</v>
      </c>
      <c r="G7" s="234">
        <f>G5*G6</f>
        <v>4781.1099999999997</v>
      </c>
      <c r="H7" s="234">
        <f t="shared" ref="H7:I7" si="0">H5*H6</f>
        <v>844.51499999999999</v>
      </c>
      <c r="I7" s="234">
        <f t="shared" si="0"/>
        <v>0</v>
      </c>
      <c r="J7" s="231">
        <f>SUM(G7:I7)</f>
        <v>5625.625</v>
      </c>
      <c r="L7" s="181"/>
      <c r="M7" s="239"/>
      <c r="N7" s="181"/>
      <c r="O7" s="181"/>
      <c r="P7" s="181"/>
      <c r="Q7" s="181"/>
      <c r="R7" s="181"/>
      <c r="S7" s="181"/>
      <c r="T7" s="181"/>
      <c r="U7" s="181"/>
      <c r="V7" s="181"/>
      <c r="W7" s="181"/>
      <c r="X7" s="181"/>
      <c r="Y7" s="181"/>
      <c r="Z7" s="181"/>
      <c r="AA7" s="181"/>
      <c r="AB7" s="181"/>
      <c r="AC7" s="181"/>
      <c r="AD7" s="181"/>
    </row>
    <row r="8" spans="1:32" ht="12" customHeight="1">
      <c r="B8" s="383" t="s">
        <v>3</v>
      </c>
      <c r="C8" s="384">
        <f>SUM(C4:C7)</f>
        <v>744.44000000000847</v>
      </c>
      <c r="D8" s="184"/>
      <c r="F8" s="256" t="s">
        <v>270</v>
      </c>
      <c r="G8" s="189">
        <v>0</v>
      </c>
      <c r="H8" s="330">
        <f>H5/2</f>
        <v>844.51499999999999</v>
      </c>
      <c r="I8" s="330">
        <f>I5/2</f>
        <v>1009.901</v>
      </c>
      <c r="J8" s="231">
        <f>SUM(G8:I8)</f>
        <v>1854.4159999999999</v>
      </c>
      <c r="L8" s="181"/>
      <c r="M8" s="181"/>
      <c r="N8" s="181"/>
      <c r="O8" s="181"/>
      <c r="P8" s="181"/>
      <c r="Q8" s="181"/>
      <c r="R8" s="181"/>
      <c r="S8" s="181"/>
      <c r="T8" s="181"/>
      <c r="U8" s="181"/>
      <c r="V8" s="181"/>
      <c r="W8" s="181"/>
      <c r="X8" s="181"/>
      <c r="Y8" s="181"/>
      <c r="Z8" s="181"/>
      <c r="AA8" s="181"/>
      <c r="AB8" s="181"/>
      <c r="AC8" s="181"/>
      <c r="AD8" s="181"/>
    </row>
    <row r="9" spans="1:32" ht="12" customHeight="1">
      <c r="B9" s="179"/>
      <c r="C9" s="203"/>
      <c r="H9" s="181"/>
      <c r="I9" s="181"/>
      <c r="J9" s="181"/>
      <c r="K9" s="181"/>
      <c r="M9" s="181"/>
      <c r="N9" s="181"/>
      <c r="O9" s="181"/>
      <c r="P9" s="181"/>
      <c r="Q9" s="181"/>
      <c r="R9" s="181"/>
      <c r="S9" s="181"/>
      <c r="T9" s="181"/>
      <c r="U9" s="181"/>
      <c r="V9" s="181"/>
      <c r="W9" s="181"/>
      <c r="X9" s="181"/>
      <c r="Y9" s="181"/>
      <c r="Z9" s="181"/>
      <c r="AA9" s="181"/>
      <c r="AB9" s="181"/>
      <c r="AC9" s="181"/>
      <c r="AD9" s="181"/>
      <c r="AE9" s="181"/>
      <c r="AF9" s="181"/>
    </row>
    <row r="10" spans="1:32">
      <c r="A10" s="178"/>
      <c r="B10" s="193" t="s">
        <v>275</v>
      </c>
      <c r="C10" s="194">
        <f>J7</f>
        <v>5625.625</v>
      </c>
      <c r="H10" s="181"/>
      <c r="I10" s="181"/>
      <c r="J10" s="181"/>
      <c r="K10" s="181"/>
      <c r="M10" s="181"/>
      <c r="N10" s="210"/>
      <c r="O10" s="181"/>
      <c r="P10" s="181"/>
      <c r="Q10" s="181"/>
      <c r="R10" s="181"/>
      <c r="S10" s="181"/>
      <c r="T10" s="181"/>
      <c r="U10" s="181"/>
      <c r="V10" s="181"/>
      <c r="W10" s="181"/>
      <c r="X10" s="181"/>
      <c r="Y10" s="181"/>
      <c r="Z10" s="181"/>
      <c r="AA10" s="181"/>
      <c r="AB10" s="181"/>
      <c r="AC10" s="181"/>
      <c r="AD10" s="181"/>
      <c r="AE10" s="181"/>
      <c r="AF10" s="181"/>
    </row>
    <row r="11" spans="1:32">
      <c r="B11" s="193" t="s">
        <v>276</v>
      </c>
      <c r="C11" s="194">
        <f>J8</f>
        <v>1854.4159999999999</v>
      </c>
      <c r="H11" s="181"/>
      <c r="I11" s="181"/>
      <c r="J11" s="181"/>
      <c r="K11" s="181"/>
      <c r="M11" s="181"/>
      <c r="N11" s="181"/>
      <c r="O11" s="181"/>
      <c r="P11" s="181"/>
      <c r="Q11" s="181"/>
      <c r="R11" s="181"/>
      <c r="S11" s="181"/>
      <c r="T11" s="181"/>
      <c r="U11" s="181"/>
      <c r="V11" s="181"/>
      <c r="W11" s="181"/>
      <c r="X11" s="181"/>
      <c r="Y11" s="181"/>
      <c r="Z11" s="181"/>
      <c r="AA11" s="181"/>
      <c r="AB11" s="181"/>
      <c r="AC11" s="181"/>
      <c r="AD11" s="181"/>
      <c r="AE11" s="181"/>
      <c r="AF11" s="181"/>
    </row>
    <row r="12" spans="1:32">
      <c r="A12" s="183"/>
      <c r="B12" s="193" t="s">
        <v>277</v>
      </c>
      <c r="C12" s="194">
        <f>G5</f>
        <v>4781.1099999999997</v>
      </c>
      <c r="H12" s="181"/>
      <c r="I12" s="181"/>
      <c r="J12" s="181"/>
      <c r="K12" s="181"/>
      <c r="M12" s="181"/>
      <c r="N12" s="181"/>
      <c r="O12" s="181"/>
      <c r="P12" s="181"/>
      <c r="Q12" s="181"/>
      <c r="R12" s="181"/>
      <c r="S12" s="181"/>
      <c r="T12" s="181"/>
      <c r="U12" s="181"/>
      <c r="V12" s="181"/>
      <c r="W12" s="181"/>
      <c r="X12" s="181"/>
      <c r="Y12" s="181"/>
      <c r="Z12" s="181"/>
      <c r="AA12" s="181"/>
      <c r="AB12" s="181"/>
      <c r="AC12" s="181"/>
      <c r="AD12" s="181"/>
      <c r="AE12" s="181"/>
      <c r="AF12" s="181"/>
    </row>
    <row r="13" spans="1:32">
      <c r="A13" s="183"/>
      <c r="B13" s="179"/>
      <c r="C13" s="203"/>
      <c r="G13" s="181"/>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row>
    <row r="14" spans="1:32">
      <c r="A14" s="183"/>
      <c r="B14" s="193" t="s">
        <v>268</v>
      </c>
      <c r="C14" s="194">
        <f>C8+C12</f>
        <v>5525.5500000000084</v>
      </c>
      <c r="G14" s="181"/>
      <c r="H14" s="181"/>
      <c r="I14" s="181"/>
      <c r="J14" s="181"/>
      <c r="K14" s="181"/>
      <c r="L14" s="181"/>
      <c r="M14" s="181"/>
      <c r="N14" s="181"/>
      <c r="O14" s="181"/>
      <c r="P14" s="181"/>
      <c r="Q14" s="181"/>
      <c r="R14" s="181"/>
      <c r="S14" s="181"/>
      <c r="T14" s="181"/>
      <c r="U14" s="181"/>
      <c r="V14" s="181"/>
      <c r="W14" s="181"/>
      <c r="X14" s="181"/>
      <c r="Y14" s="181"/>
      <c r="Z14" s="181"/>
      <c r="AA14" s="181"/>
      <c r="AB14" s="181"/>
      <c r="AC14" s="181"/>
      <c r="AD14" s="181"/>
      <c r="AE14" s="181"/>
      <c r="AF14" s="181"/>
    </row>
    <row r="15" spans="1:32">
      <c r="A15" s="183" t="s">
        <v>94</v>
      </c>
      <c r="B15" s="193" t="s">
        <v>278</v>
      </c>
      <c r="C15" s="194">
        <f>C11</f>
        <v>1854.4159999999999</v>
      </c>
      <c r="G15" s="181"/>
      <c r="H15" s="181"/>
      <c r="I15" s="181"/>
      <c r="J15" s="181"/>
      <c r="K15" s="181"/>
      <c r="L15" s="181"/>
      <c r="M15" s="181"/>
      <c r="N15" s="181"/>
      <c r="O15" s="181"/>
      <c r="P15" s="181"/>
      <c r="Q15" s="181"/>
      <c r="R15" s="181"/>
      <c r="S15" s="181"/>
      <c r="T15" s="181"/>
      <c r="U15" s="181"/>
      <c r="V15" s="181"/>
      <c r="W15" s="181"/>
      <c r="X15" s="181"/>
      <c r="Y15" s="181"/>
      <c r="Z15" s="181"/>
      <c r="AA15" s="181"/>
      <c r="AB15" s="181"/>
      <c r="AC15" s="181"/>
      <c r="AD15" s="181"/>
      <c r="AE15" s="181"/>
      <c r="AF15" s="181"/>
    </row>
    <row r="16" spans="1:32">
      <c r="A16" s="179"/>
      <c r="B16" s="197" t="s">
        <v>156</v>
      </c>
      <c r="C16" s="198">
        <f>C14-C15</f>
        <v>3671.1340000000082</v>
      </c>
      <c r="D16" s="181"/>
      <c r="E16" s="181"/>
      <c r="F16" s="181"/>
      <c r="G16" s="181"/>
      <c r="H16" s="181"/>
      <c r="I16" s="181"/>
      <c r="O16" s="181"/>
      <c r="P16" s="181"/>
      <c r="Q16" s="181"/>
      <c r="R16" s="181"/>
      <c r="S16" s="181"/>
      <c r="T16" s="181"/>
      <c r="U16" s="181"/>
      <c r="V16" s="181"/>
      <c r="W16" s="181"/>
      <c r="X16" s="181"/>
      <c r="Y16" s="181"/>
      <c r="Z16" s="181"/>
      <c r="AA16" s="181"/>
      <c r="AB16" s="181"/>
      <c r="AC16" s="181"/>
      <c r="AD16" s="181"/>
      <c r="AE16" s="181"/>
      <c r="AF16" s="181"/>
    </row>
    <row r="17" spans="1:32">
      <c r="A17" s="183"/>
      <c r="B17" s="179"/>
      <c r="C17" s="203"/>
      <c r="D17" s="186"/>
      <c r="E17" s="186"/>
      <c r="F17" s="186"/>
      <c r="G17" s="186"/>
      <c r="H17" s="186"/>
      <c r="I17" s="187"/>
      <c r="O17" s="181"/>
      <c r="P17" s="181"/>
      <c r="Q17" s="181"/>
      <c r="R17" s="181"/>
      <c r="S17" s="181"/>
      <c r="T17" s="181"/>
      <c r="U17" s="181"/>
      <c r="V17" s="181"/>
      <c r="W17" s="181"/>
      <c r="X17" s="181"/>
      <c r="Y17" s="181"/>
      <c r="Z17" s="181"/>
      <c r="AA17" s="181"/>
      <c r="AB17" s="181"/>
      <c r="AC17" s="181"/>
      <c r="AD17" s="181"/>
      <c r="AE17" s="181"/>
      <c r="AF17" s="181"/>
    </row>
    <row r="18" spans="1:32">
      <c r="B18" s="193" t="s">
        <v>353</v>
      </c>
      <c r="C18" s="145">
        <v>0.20039999999999999</v>
      </c>
      <c r="D18" s="81"/>
      <c r="E18" s="81"/>
      <c r="F18" s="81"/>
      <c r="G18" s="81"/>
      <c r="H18" s="81"/>
      <c r="I18" s="81"/>
      <c r="J18" s="181"/>
      <c r="K18" s="181"/>
      <c r="L18" s="181"/>
      <c r="M18" s="181"/>
      <c r="N18" s="181"/>
      <c r="O18" s="181"/>
      <c r="P18" s="181"/>
      <c r="Q18" s="181"/>
      <c r="R18" s="181"/>
      <c r="S18" s="181"/>
      <c r="T18" s="181"/>
      <c r="U18" s="181"/>
      <c r="V18" s="181"/>
      <c r="W18" s="181"/>
      <c r="X18" s="181"/>
      <c r="Y18" s="181"/>
      <c r="Z18" s="181"/>
      <c r="AA18" s="181"/>
      <c r="AB18" s="181"/>
      <c r="AC18" s="181"/>
      <c r="AD18" s="181"/>
      <c r="AE18" s="181"/>
      <c r="AF18" s="181"/>
    </row>
    <row r="19" spans="1:32">
      <c r="B19" s="193" t="s">
        <v>279</v>
      </c>
      <c r="C19" s="200">
        <f>C16*(1-C18)</f>
        <v>2935.4387464000065</v>
      </c>
      <c r="D19" s="81"/>
      <c r="E19" s="81"/>
      <c r="F19" s="81"/>
      <c r="G19" s="81"/>
      <c r="H19" s="81"/>
      <c r="I19" s="81"/>
      <c r="J19" s="181"/>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1:32">
      <c r="D20" s="188"/>
      <c r="E20" s="188"/>
      <c r="F20" s="188"/>
      <c r="G20" s="188"/>
      <c r="H20" s="188"/>
      <c r="I20" s="186"/>
      <c r="J20" s="181"/>
      <c r="K20" s="181"/>
      <c r="L20" s="181"/>
      <c r="M20" s="181"/>
      <c r="N20" s="181"/>
      <c r="O20" s="181"/>
      <c r="P20" s="181"/>
      <c r="Q20" s="181"/>
      <c r="R20" s="181"/>
      <c r="S20" s="181"/>
      <c r="T20" s="181"/>
      <c r="U20" s="181"/>
      <c r="V20" s="181"/>
      <c r="W20" s="181"/>
      <c r="X20" s="181"/>
      <c r="Y20" s="181"/>
      <c r="Z20" s="181"/>
      <c r="AA20" s="181"/>
      <c r="AB20" s="181"/>
      <c r="AC20" s="181"/>
      <c r="AD20" s="181"/>
      <c r="AE20" s="181"/>
      <c r="AF20" s="181"/>
    </row>
    <row r="21" spans="1:32">
      <c r="G21" s="181"/>
      <c r="H21" s="186"/>
      <c r="I21" s="181"/>
      <c r="J21" s="181"/>
      <c r="K21" s="181"/>
      <c r="L21" s="181"/>
      <c r="M21" s="181"/>
      <c r="N21" s="181"/>
      <c r="O21" s="181"/>
      <c r="P21" s="181"/>
      <c r="Q21" s="181"/>
      <c r="R21" s="181"/>
      <c r="S21" s="181"/>
      <c r="T21" s="181"/>
      <c r="U21" s="181"/>
      <c r="V21" s="181"/>
      <c r="W21" s="181"/>
      <c r="X21" s="181"/>
      <c r="Y21" s="181"/>
      <c r="Z21" s="181"/>
      <c r="AA21" s="181"/>
      <c r="AB21" s="181"/>
      <c r="AC21" s="181"/>
      <c r="AD21" s="181"/>
      <c r="AE21" s="181"/>
      <c r="AF21" s="181"/>
    </row>
    <row r="22" spans="1:32">
      <c r="G22" s="181"/>
      <c r="H22" s="181"/>
      <c r="I22" s="181"/>
      <c r="J22" s="181"/>
      <c r="K22" s="181"/>
      <c r="L22" s="181"/>
      <c r="M22" s="181"/>
      <c r="N22" s="181"/>
      <c r="O22" s="181"/>
      <c r="P22" s="181"/>
      <c r="Q22" s="181"/>
      <c r="R22" s="181"/>
      <c r="S22" s="181"/>
      <c r="T22" s="181"/>
      <c r="U22" s="181"/>
      <c r="V22" s="181"/>
      <c r="W22" s="181"/>
      <c r="X22" s="181"/>
      <c r="Y22" s="181"/>
      <c r="Z22" s="181"/>
      <c r="AA22" s="181"/>
      <c r="AB22" s="181"/>
      <c r="AC22" s="181"/>
      <c r="AD22" s="181"/>
      <c r="AE22" s="181"/>
      <c r="AF22" s="181"/>
    </row>
    <row r="23" spans="1:32">
      <c r="G23" s="181"/>
      <c r="H23" s="181"/>
      <c r="I23" s="181"/>
      <c r="J23" s="181"/>
      <c r="K23" s="181"/>
      <c r="L23" s="181"/>
      <c r="M23" s="181"/>
      <c r="N23" s="181"/>
      <c r="O23" s="181"/>
      <c r="P23" s="181"/>
      <c r="Q23" s="181"/>
      <c r="R23" s="181"/>
      <c r="S23" s="181"/>
      <c r="T23" s="181"/>
      <c r="U23" s="181"/>
      <c r="V23" s="181"/>
      <c r="W23" s="181"/>
      <c r="X23" s="181"/>
      <c r="Y23" s="181"/>
      <c r="Z23" s="181"/>
      <c r="AA23" s="181"/>
      <c r="AB23" s="181"/>
      <c r="AC23" s="181"/>
      <c r="AD23" s="181"/>
      <c r="AE23" s="181"/>
      <c r="AF23" s="181"/>
    </row>
    <row r="24" spans="1:32">
      <c r="G24" s="181"/>
      <c r="H24" s="181"/>
      <c r="I24" s="181"/>
      <c r="J24" s="181"/>
      <c r="K24" s="181"/>
      <c r="L24" s="181"/>
      <c r="M24" s="181"/>
      <c r="N24" s="181"/>
      <c r="O24" s="181"/>
      <c r="P24" s="181"/>
      <c r="Q24" s="181"/>
      <c r="R24" s="181"/>
      <c r="S24" s="181"/>
      <c r="T24" s="181"/>
      <c r="U24" s="181"/>
      <c r="V24" s="181"/>
      <c r="W24" s="181"/>
      <c r="X24" s="181"/>
      <c r="Y24" s="181"/>
      <c r="Z24" s="181"/>
      <c r="AA24" s="181"/>
      <c r="AB24" s="181"/>
      <c r="AC24" s="181"/>
      <c r="AD24" s="181"/>
      <c r="AE24" s="181"/>
      <c r="AF24" s="181"/>
    </row>
    <row r="25" spans="1:32">
      <c r="G25" s="181"/>
      <c r="H25" s="181"/>
      <c r="I25" s="181"/>
      <c r="J25" s="181"/>
      <c r="K25" s="181"/>
      <c r="L25" s="181"/>
      <c r="M25" s="181"/>
      <c r="N25" s="181"/>
      <c r="O25" s="181"/>
      <c r="P25" s="181"/>
      <c r="Q25" s="181"/>
      <c r="R25" s="181"/>
      <c r="S25" s="181"/>
      <c r="T25" s="181"/>
      <c r="U25" s="181"/>
      <c r="V25" s="181"/>
      <c r="W25" s="181"/>
      <c r="X25" s="181"/>
      <c r="Y25" s="181"/>
      <c r="Z25" s="181"/>
      <c r="AA25" s="181"/>
      <c r="AB25" s="181"/>
      <c r="AC25" s="181"/>
      <c r="AD25" s="181"/>
      <c r="AE25" s="181"/>
      <c r="AF25" s="181"/>
    </row>
    <row r="26" spans="1:32">
      <c r="G26" s="181"/>
      <c r="H26" s="181"/>
      <c r="I26" s="181"/>
      <c r="J26" s="181"/>
      <c r="K26" s="181"/>
      <c r="L26" s="181"/>
      <c r="M26" s="181"/>
      <c r="N26" s="181"/>
      <c r="O26" s="181"/>
      <c r="P26" s="181"/>
      <c r="Q26" s="181"/>
      <c r="R26" s="181"/>
      <c r="S26" s="181"/>
      <c r="T26" s="181"/>
      <c r="U26" s="181"/>
      <c r="V26" s="181"/>
      <c r="W26" s="181"/>
      <c r="X26" s="181"/>
      <c r="Y26" s="181"/>
      <c r="Z26" s="181"/>
      <c r="AA26" s="181"/>
      <c r="AB26" s="181"/>
      <c r="AC26" s="181"/>
      <c r="AD26" s="181"/>
      <c r="AE26" s="181"/>
      <c r="AF26" s="181"/>
    </row>
    <row r="27" spans="1:32">
      <c r="G27" s="181"/>
      <c r="H27" s="181"/>
      <c r="I27" s="181"/>
      <c r="J27" s="181"/>
      <c r="K27" s="181"/>
      <c r="L27" s="181"/>
      <c r="M27" s="181"/>
      <c r="N27" s="181"/>
      <c r="O27" s="181"/>
      <c r="P27" s="181"/>
      <c r="Q27" s="181"/>
      <c r="R27" s="181"/>
      <c r="S27" s="181"/>
      <c r="T27" s="181"/>
      <c r="U27" s="181"/>
      <c r="V27" s="181"/>
      <c r="W27" s="181"/>
      <c r="X27" s="181"/>
      <c r="Y27" s="181"/>
      <c r="Z27" s="181"/>
      <c r="AA27" s="181"/>
      <c r="AB27" s="181"/>
      <c r="AC27" s="181"/>
      <c r="AD27" s="181"/>
      <c r="AE27" s="181"/>
      <c r="AF27" s="181"/>
    </row>
    <row r="28" spans="1:32">
      <c r="G28" s="181"/>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row>
    <row r="29" spans="1:32">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1:32">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1:32">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1:32">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7:32" ht="14.25" customHeight="1">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7:32">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7:32">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7:32">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7:32">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7:32">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row r="39" spans="7:32">
      <c r="G39" s="181"/>
      <c r="H39" s="181"/>
      <c r="I39" s="181"/>
      <c r="J39" s="181"/>
      <c r="K39" s="181"/>
      <c r="L39" s="181"/>
      <c r="M39" s="181"/>
      <c r="N39" s="181"/>
      <c r="O39" s="181"/>
      <c r="P39" s="181"/>
      <c r="Q39" s="181"/>
      <c r="R39" s="181"/>
      <c r="S39" s="181"/>
      <c r="T39" s="181"/>
      <c r="U39" s="181"/>
      <c r="V39" s="181"/>
      <c r="W39" s="181"/>
      <c r="X39" s="181"/>
      <c r="Y39" s="181"/>
      <c r="Z39" s="181"/>
      <c r="AA39" s="181"/>
      <c r="AB39" s="181"/>
      <c r="AC39" s="181"/>
      <c r="AD39" s="181"/>
      <c r="AE39" s="181"/>
      <c r="AF39" s="181"/>
    </row>
    <row r="40" spans="7:32">
      <c r="G40" s="181"/>
      <c r="H40" s="181"/>
      <c r="I40" s="181"/>
      <c r="J40" s="181"/>
      <c r="K40" s="181"/>
      <c r="L40" s="181"/>
      <c r="M40" s="181"/>
      <c r="N40" s="181"/>
      <c r="O40" s="181"/>
      <c r="P40" s="181"/>
      <c r="Q40" s="181"/>
      <c r="R40" s="181"/>
      <c r="S40" s="181"/>
      <c r="T40" s="181"/>
      <c r="U40" s="181"/>
      <c r="V40" s="181"/>
      <c r="W40" s="181"/>
      <c r="X40" s="181"/>
      <c r="Y40" s="181"/>
      <c r="Z40" s="181"/>
      <c r="AA40" s="181"/>
      <c r="AB40" s="181"/>
      <c r="AC40" s="181"/>
      <c r="AD40" s="181"/>
      <c r="AE40" s="181"/>
      <c r="AF40" s="181"/>
    </row>
    <row r="41" spans="7:32">
      <c r="G41" s="181"/>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row>
  </sheetData>
  <mergeCells count="1">
    <mergeCell ref="F3:J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6" customWidth="1"/>
    <col min="2" max="2" width="40" style="176" customWidth="1"/>
    <col min="3" max="3" width="10.5703125" style="176" customWidth="1"/>
    <col min="4" max="4" width="4" style="176" customWidth="1"/>
    <col min="5" max="5" width="9.28515625" style="176" customWidth="1"/>
    <col min="6" max="6" width="9.85546875" style="176" customWidth="1"/>
    <col min="7" max="7" width="10.140625" style="176" bestFit="1" customWidth="1" collapsed="1"/>
    <col min="8" max="11" width="9" style="176" customWidth="1"/>
    <col min="12" max="12" width="9.28515625" style="176" customWidth="1"/>
    <col min="13" max="26" width="9.140625" style="176" customWidth="1"/>
    <col min="27" max="27" width="9.28515625" style="176" customWidth="1"/>
    <col min="28" max="28" width="9.42578125" style="176" customWidth="1"/>
    <col min="29" max="29" width="10" style="176" customWidth="1"/>
    <col min="30" max="30" width="11.42578125" style="176" customWidth="1"/>
    <col min="31" max="31" width="9.42578125" style="176" bestFit="1" customWidth="1" collapsed="1"/>
    <col min="32" max="16384" width="9.140625" style="176"/>
  </cols>
  <sheetData>
    <row r="1" spans="1:32" s="175" customFormat="1" ht="15" customHeight="1">
      <c r="B1" s="17" t="s">
        <v>157</v>
      </c>
      <c r="C1" s="174"/>
      <c r="D1" s="174"/>
      <c r="E1" s="174"/>
      <c r="F1" s="174"/>
      <c r="G1" s="174"/>
      <c r="H1" s="174"/>
      <c r="I1" s="174"/>
      <c r="J1" s="174"/>
      <c r="K1" s="174"/>
      <c r="L1" s="174"/>
    </row>
    <row r="2" spans="1:32" ht="12.75" customHeight="1">
      <c r="C2" s="202" t="s">
        <v>343</v>
      </c>
    </row>
    <row r="3" spans="1:32">
      <c r="A3" s="178"/>
      <c r="B3" s="193" t="s">
        <v>158</v>
      </c>
      <c r="C3" s="206">
        <v>939.73</v>
      </c>
    </row>
    <row r="4" spans="1:32">
      <c r="A4" s="183" t="s">
        <v>94</v>
      </c>
      <c r="B4" s="191" t="s">
        <v>2</v>
      </c>
      <c r="C4" s="192">
        <f>'EBIT &amp; Advertising Expense'!C7</f>
        <v>-1079.28</v>
      </c>
      <c r="L4" s="180"/>
      <c r="N4" s="180"/>
      <c r="O4" s="180"/>
      <c r="Q4" s="180"/>
      <c r="R4" s="180"/>
      <c r="S4" s="180"/>
      <c r="T4" s="180"/>
      <c r="U4" s="180"/>
      <c r="V4" s="180"/>
      <c r="AA4" s="180"/>
    </row>
    <row r="5" spans="1:32">
      <c r="A5" s="183"/>
      <c r="B5" s="195" t="s">
        <v>157</v>
      </c>
      <c r="C5" s="196">
        <f>C3+C4</f>
        <v>-139.54999999999995</v>
      </c>
      <c r="H5" s="181"/>
      <c r="I5" s="181"/>
      <c r="J5" s="181"/>
      <c r="K5" s="181"/>
      <c r="L5" s="181"/>
      <c r="M5" s="181"/>
      <c r="N5" s="181"/>
      <c r="O5" s="181"/>
      <c r="P5" s="181"/>
      <c r="Q5" s="181"/>
      <c r="R5" s="181"/>
      <c r="S5" s="181"/>
      <c r="T5" s="181"/>
      <c r="U5" s="181"/>
      <c r="V5" s="181"/>
      <c r="W5" s="181"/>
      <c r="X5" s="181"/>
      <c r="Y5" s="181"/>
      <c r="Z5" s="181"/>
      <c r="AA5" s="181"/>
      <c r="AB5" s="181"/>
      <c r="AC5" s="181"/>
      <c r="AD5" s="181"/>
      <c r="AE5" s="181"/>
      <c r="AF5" s="181"/>
    </row>
    <row r="6" spans="1:32">
      <c r="A6" s="183" t="s">
        <v>155</v>
      </c>
      <c r="B6" s="205" t="s">
        <v>165</v>
      </c>
      <c r="C6" s="206">
        <v>510.84</v>
      </c>
      <c r="D6" s="184"/>
      <c r="H6" s="181"/>
      <c r="I6" s="181"/>
      <c r="J6" s="181"/>
      <c r="K6" s="181"/>
      <c r="L6" s="181"/>
      <c r="M6" s="181"/>
      <c r="N6" s="181"/>
      <c r="O6" s="181"/>
      <c r="P6" s="181"/>
      <c r="Q6" s="181"/>
      <c r="R6" s="181"/>
      <c r="S6" s="181"/>
      <c r="T6" s="181"/>
      <c r="U6" s="181"/>
      <c r="V6" s="181"/>
      <c r="W6" s="181"/>
      <c r="X6" s="181"/>
      <c r="Y6" s="181"/>
      <c r="Z6" s="181"/>
      <c r="AA6" s="181"/>
      <c r="AB6" s="181"/>
      <c r="AC6" s="181"/>
      <c r="AD6" s="181"/>
      <c r="AE6" s="181"/>
      <c r="AF6" s="181"/>
    </row>
    <row r="7" spans="1:32">
      <c r="A7" s="183" t="s">
        <v>155</v>
      </c>
      <c r="B7" s="193" t="s">
        <v>280</v>
      </c>
      <c r="C7" s="206">
        <f>'EBIT &amp; Advertising Expense'!C12</f>
        <v>4781.1099999999997</v>
      </c>
      <c r="H7" s="181"/>
      <c r="I7" s="181"/>
      <c r="J7" s="181"/>
      <c r="K7" s="181"/>
      <c r="L7" s="181"/>
      <c r="M7" s="181"/>
      <c r="N7" s="181"/>
      <c r="O7" s="181"/>
      <c r="P7" s="181"/>
      <c r="Q7" s="181"/>
      <c r="R7" s="181"/>
      <c r="S7" s="181"/>
      <c r="T7" s="181"/>
      <c r="U7" s="181"/>
      <c r="V7" s="181"/>
      <c r="W7" s="181"/>
      <c r="X7" s="181"/>
      <c r="Y7" s="181"/>
      <c r="Z7" s="181"/>
      <c r="AA7" s="181"/>
      <c r="AB7" s="181"/>
      <c r="AC7" s="181"/>
      <c r="AD7" s="181"/>
      <c r="AE7" s="181"/>
      <c r="AF7" s="181"/>
    </row>
    <row r="8" spans="1:32">
      <c r="A8" s="185" t="s">
        <v>94</v>
      </c>
      <c r="B8" s="193" t="s">
        <v>348</v>
      </c>
      <c r="C8" s="206">
        <f>-'EBIT &amp; Advertising Expense'!C11</f>
        <v>-1854.4159999999999</v>
      </c>
      <c r="H8" s="181"/>
      <c r="I8" s="181"/>
      <c r="J8" s="181"/>
      <c r="K8" s="181"/>
      <c r="L8" s="181"/>
      <c r="M8" s="181"/>
      <c r="N8" s="181"/>
      <c r="O8" s="181"/>
      <c r="P8" s="181"/>
      <c r="Q8" s="181"/>
      <c r="R8" s="181"/>
      <c r="S8" s="181"/>
      <c r="T8" s="181"/>
      <c r="U8" s="181"/>
      <c r="V8" s="181"/>
      <c r="W8" s="181"/>
      <c r="X8" s="181"/>
      <c r="Y8" s="181"/>
      <c r="Z8" s="181"/>
      <c r="AA8" s="181"/>
      <c r="AB8" s="181"/>
      <c r="AC8" s="181"/>
      <c r="AD8" s="181"/>
      <c r="AE8" s="181"/>
      <c r="AF8" s="181"/>
    </row>
    <row r="9" spans="1:32">
      <c r="A9" s="183"/>
      <c r="B9" s="197" t="s">
        <v>159</v>
      </c>
      <c r="C9" s="207">
        <f>C5+C6+C7+C8</f>
        <v>3297.9839999999995</v>
      </c>
      <c r="H9" s="181"/>
      <c r="I9" s="181"/>
      <c r="J9" s="181"/>
      <c r="K9" s="181"/>
      <c r="L9" s="181"/>
      <c r="M9" s="181"/>
      <c r="N9" s="181"/>
      <c r="O9" s="181"/>
      <c r="P9" s="181"/>
      <c r="Q9" s="181"/>
      <c r="R9" s="181"/>
      <c r="S9" s="181"/>
      <c r="T9" s="181"/>
      <c r="U9" s="181"/>
      <c r="V9" s="181"/>
      <c r="W9" s="181"/>
      <c r="X9" s="181"/>
      <c r="Y9" s="181"/>
      <c r="Z9" s="181"/>
      <c r="AA9" s="181"/>
      <c r="AB9" s="181"/>
      <c r="AC9" s="181"/>
      <c r="AD9" s="181"/>
      <c r="AE9" s="181"/>
      <c r="AF9" s="181"/>
    </row>
    <row r="10" spans="1:32">
      <c r="A10" s="179"/>
      <c r="B10" s="179"/>
      <c r="C10" s="203"/>
      <c r="H10" s="181"/>
      <c r="I10" s="181"/>
      <c r="J10" s="181"/>
      <c r="K10" s="181"/>
      <c r="L10" s="181"/>
      <c r="M10" s="181"/>
      <c r="N10" s="181"/>
      <c r="O10" s="181"/>
      <c r="P10" s="181"/>
      <c r="Q10" s="181"/>
      <c r="R10" s="181"/>
      <c r="S10" s="181"/>
      <c r="T10" s="181"/>
      <c r="U10" s="181"/>
      <c r="V10" s="181"/>
      <c r="W10" s="181"/>
      <c r="X10" s="181"/>
      <c r="Y10" s="181"/>
      <c r="Z10" s="181"/>
      <c r="AA10" s="181"/>
      <c r="AB10" s="181"/>
      <c r="AC10" s="181"/>
      <c r="AD10" s="181"/>
      <c r="AE10" s="181"/>
      <c r="AF10" s="181"/>
    </row>
    <row r="11" spans="1:32">
      <c r="A11" s="183"/>
      <c r="B11" s="179"/>
      <c r="C11" s="203"/>
      <c r="G11" s="181"/>
      <c r="H11" s="181"/>
      <c r="I11" s="181"/>
      <c r="J11" s="181"/>
      <c r="K11" s="181"/>
      <c r="L11" s="181"/>
      <c r="M11" s="181"/>
      <c r="N11" s="181"/>
      <c r="O11" s="181"/>
      <c r="P11" s="181"/>
      <c r="Q11" s="181"/>
      <c r="R11" s="181"/>
      <c r="S11" s="181"/>
      <c r="T11" s="181"/>
      <c r="U11" s="181"/>
      <c r="V11" s="181"/>
      <c r="W11" s="181"/>
      <c r="X11" s="181"/>
      <c r="Y11" s="181"/>
      <c r="Z11" s="181"/>
      <c r="AA11" s="181"/>
      <c r="AB11" s="181"/>
      <c r="AC11" s="181"/>
      <c r="AD11" s="181"/>
      <c r="AE11" s="181"/>
      <c r="AF11" s="181"/>
    </row>
    <row r="12" spans="1:32">
      <c r="B12" s="179"/>
      <c r="C12" s="203"/>
      <c r="G12" s="181"/>
      <c r="H12" s="181"/>
      <c r="I12" s="181"/>
      <c r="J12" s="181"/>
      <c r="K12" s="181"/>
      <c r="L12" s="181"/>
      <c r="M12" s="181"/>
      <c r="N12" s="181"/>
      <c r="O12" s="181"/>
      <c r="P12" s="181"/>
      <c r="Q12" s="181"/>
      <c r="R12" s="181"/>
      <c r="S12" s="181"/>
      <c r="T12" s="181"/>
      <c r="U12" s="181"/>
      <c r="V12" s="181"/>
      <c r="W12" s="181"/>
      <c r="X12" s="181"/>
      <c r="Y12" s="181"/>
      <c r="Z12" s="181"/>
      <c r="AA12" s="181"/>
      <c r="AB12" s="181"/>
      <c r="AC12" s="181"/>
      <c r="AD12" s="181"/>
      <c r="AE12" s="181"/>
      <c r="AF12" s="181"/>
    </row>
    <row r="13" spans="1:32">
      <c r="A13" s="183"/>
      <c r="B13" s="179"/>
      <c r="C13" s="203"/>
      <c r="G13" s="181"/>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row>
    <row r="14" spans="1:32">
      <c r="B14" s="179"/>
      <c r="C14" s="203"/>
      <c r="D14" s="181"/>
      <c r="E14" s="181"/>
      <c r="F14" s="181"/>
      <c r="G14" s="181"/>
      <c r="H14" s="181"/>
      <c r="I14" s="181"/>
      <c r="O14" s="181"/>
      <c r="P14" s="181"/>
      <c r="Q14" s="181"/>
      <c r="R14" s="181"/>
      <c r="S14" s="181"/>
      <c r="T14" s="181"/>
      <c r="U14" s="181"/>
      <c r="V14" s="181"/>
      <c r="W14" s="181"/>
      <c r="X14" s="181"/>
      <c r="Y14" s="181"/>
      <c r="Z14" s="181"/>
      <c r="AA14" s="181"/>
      <c r="AB14" s="181"/>
      <c r="AC14" s="181"/>
      <c r="AD14" s="181"/>
      <c r="AE14" s="181"/>
      <c r="AF14" s="181"/>
    </row>
    <row r="15" spans="1:32">
      <c r="D15" s="186"/>
      <c r="E15" s="186"/>
      <c r="F15" s="186"/>
      <c r="G15" s="186"/>
      <c r="H15" s="186"/>
      <c r="I15" s="187"/>
      <c r="O15" s="181"/>
      <c r="P15" s="181"/>
      <c r="Q15" s="181"/>
      <c r="R15" s="181"/>
      <c r="S15" s="181"/>
      <c r="T15" s="181"/>
      <c r="U15" s="181"/>
      <c r="V15" s="181"/>
      <c r="W15" s="181"/>
      <c r="X15" s="181"/>
      <c r="Y15" s="181"/>
      <c r="Z15" s="181"/>
      <c r="AA15" s="181"/>
      <c r="AB15" s="181"/>
      <c r="AC15" s="181"/>
      <c r="AD15" s="181"/>
      <c r="AE15" s="181"/>
      <c r="AF15" s="181"/>
    </row>
    <row r="16" spans="1:32">
      <c r="D16" s="81"/>
      <c r="E16" s="81"/>
      <c r="F16" s="81"/>
      <c r="G16" s="81"/>
      <c r="H16" s="81"/>
      <c r="I16" s="81"/>
      <c r="J16" s="181"/>
      <c r="K16" s="181"/>
      <c r="L16" s="181"/>
      <c r="M16" s="181"/>
      <c r="N16" s="181"/>
      <c r="O16" s="181"/>
      <c r="P16" s="181"/>
      <c r="Q16" s="181"/>
      <c r="R16" s="181"/>
      <c r="S16" s="181"/>
      <c r="T16" s="181"/>
      <c r="U16" s="181"/>
      <c r="V16" s="181"/>
      <c r="W16" s="181"/>
      <c r="X16" s="181"/>
      <c r="Y16" s="181"/>
      <c r="Z16" s="181"/>
      <c r="AA16" s="181"/>
      <c r="AB16" s="181"/>
      <c r="AC16" s="181"/>
      <c r="AD16" s="181"/>
      <c r="AE16" s="181"/>
      <c r="AF16" s="181"/>
    </row>
    <row r="17" spans="2:32" ht="15">
      <c r="B17" s="201"/>
      <c r="D17" s="188"/>
      <c r="E17" s="188"/>
      <c r="F17" s="188"/>
      <c r="G17" s="188"/>
      <c r="H17" s="188"/>
      <c r="I17" s="186"/>
      <c r="J17" s="181"/>
      <c r="K17" s="181"/>
      <c r="L17" s="181"/>
      <c r="M17" s="181"/>
      <c r="N17" s="181"/>
      <c r="O17" s="181"/>
      <c r="P17" s="181"/>
      <c r="Q17" s="181"/>
      <c r="R17" s="181"/>
      <c r="S17" s="181"/>
      <c r="T17" s="181"/>
      <c r="U17" s="181"/>
      <c r="V17" s="181"/>
      <c r="W17" s="181"/>
      <c r="X17" s="181"/>
      <c r="Y17" s="181"/>
      <c r="Z17" s="181"/>
      <c r="AA17" s="181"/>
      <c r="AB17" s="181"/>
      <c r="AC17" s="181"/>
      <c r="AD17" s="181"/>
      <c r="AE17" s="181"/>
      <c r="AF17" s="181"/>
    </row>
    <row r="18" spans="2:32">
      <c r="B18" s="177"/>
      <c r="C18" s="202"/>
      <c r="G18" s="181"/>
      <c r="H18" s="186"/>
      <c r="I18" s="181"/>
      <c r="J18" s="181"/>
      <c r="K18" s="181"/>
      <c r="L18" s="181"/>
      <c r="M18" s="181"/>
      <c r="N18" s="181"/>
      <c r="O18" s="181"/>
      <c r="P18" s="181"/>
      <c r="Q18" s="181"/>
      <c r="R18" s="181"/>
      <c r="S18" s="181"/>
      <c r="T18" s="181"/>
      <c r="U18" s="181"/>
      <c r="V18" s="181"/>
      <c r="W18" s="181"/>
      <c r="X18" s="181"/>
      <c r="Y18" s="181"/>
      <c r="Z18" s="181"/>
      <c r="AA18" s="181"/>
      <c r="AB18" s="181"/>
      <c r="AC18" s="181"/>
      <c r="AD18" s="181"/>
      <c r="AE18" s="181"/>
      <c r="AF18" s="181"/>
    </row>
    <row r="19" spans="2:32">
      <c r="B19" s="179"/>
      <c r="C19" s="203"/>
      <c r="G19" s="181"/>
      <c r="H19" s="181"/>
      <c r="I19" s="181"/>
      <c r="J19" s="181"/>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2:32">
      <c r="B20" s="179"/>
      <c r="C20" s="203"/>
      <c r="G20" s="181"/>
      <c r="H20" s="181"/>
      <c r="I20" s="181"/>
      <c r="J20" s="181"/>
      <c r="K20" s="181"/>
      <c r="L20" s="181"/>
      <c r="M20" s="181"/>
      <c r="N20" s="181"/>
      <c r="O20" s="181"/>
      <c r="P20" s="181"/>
      <c r="Q20" s="181"/>
      <c r="R20" s="181"/>
      <c r="S20" s="181"/>
      <c r="T20" s="181"/>
      <c r="U20" s="181"/>
      <c r="V20" s="181"/>
      <c r="W20" s="181"/>
      <c r="X20" s="181"/>
      <c r="Y20" s="181"/>
      <c r="Z20" s="181"/>
      <c r="AA20" s="181"/>
      <c r="AB20" s="181"/>
      <c r="AC20" s="181"/>
      <c r="AD20" s="181"/>
      <c r="AE20" s="181"/>
      <c r="AF20" s="181"/>
    </row>
    <row r="21" spans="2:32">
      <c r="B21" s="179"/>
      <c r="C21" s="204"/>
      <c r="G21" s="181"/>
      <c r="H21" s="181"/>
      <c r="I21" s="181"/>
      <c r="J21" s="181"/>
      <c r="K21" s="181"/>
      <c r="L21" s="181"/>
      <c r="M21" s="181"/>
      <c r="N21" s="181"/>
      <c r="O21" s="181"/>
      <c r="P21" s="181"/>
      <c r="Q21" s="181"/>
      <c r="R21" s="181"/>
      <c r="S21" s="181"/>
      <c r="T21" s="181"/>
      <c r="U21" s="181"/>
      <c r="V21" s="181"/>
      <c r="W21" s="181"/>
      <c r="X21" s="181"/>
      <c r="Y21" s="181"/>
      <c r="Z21" s="181"/>
      <c r="AA21" s="181"/>
      <c r="AB21" s="181"/>
      <c r="AC21" s="181"/>
      <c r="AD21" s="181"/>
      <c r="AE21" s="181"/>
      <c r="AF21" s="181"/>
    </row>
    <row r="22" spans="2:32">
      <c r="B22" s="179"/>
      <c r="C22" s="179"/>
      <c r="G22" s="181"/>
      <c r="H22" s="181"/>
      <c r="I22" s="181"/>
      <c r="J22" s="181"/>
      <c r="K22" s="181"/>
      <c r="L22" s="181"/>
      <c r="M22" s="181"/>
      <c r="N22" s="181"/>
      <c r="O22" s="181"/>
      <c r="P22" s="181"/>
      <c r="Q22" s="181"/>
      <c r="R22" s="181"/>
      <c r="S22" s="181"/>
      <c r="T22" s="181"/>
      <c r="U22" s="181"/>
      <c r="V22" s="181"/>
      <c r="W22" s="181"/>
      <c r="X22" s="181"/>
      <c r="Y22" s="181"/>
      <c r="Z22" s="181"/>
      <c r="AA22" s="181"/>
      <c r="AB22" s="181"/>
      <c r="AC22" s="181"/>
      <c r="AD22" s="181"/>
      <c r="AE22" s="181"/>
      <c r="AF22" s="181"/>
    </row>
    <row r="23" spans="2:32">
      <c r="B23" s="179"/>
      <c r="C23" s="203"/>
      <c r="G23" s="181"/>
      <c r="H23" s="181"/>
      <c r="I23" s="181"/>
      <c r="J23" s="181"/>
      <c r="K23" s="181"/>
      <c r="L23" s="181"/>
      <c r="M23" s="181"/>
      <c r="N23" s="181"/>
      <c r="O23" s="181"/>
      <c r="P23" s="181"/>
      <c r="Q23" s="181"/>
      <c r="R23" s="181"/>
      <c r="S23" s="181"/>
      <c r="T23" s="181"/>
      <c r="U23" s="181"/>
      <c r="V23" s="181"/>
      <c r="W23" s="181"/>
      <c r="X23" s="181"/>
      <c r="Y23" s="181"/>
      <c r="Z23" s="181"/>
      <c r="AA23" s="181"/>
      <c r="AB23" s="181"/>
      <c r="AC23" s="181"/>
      <c r="AD23" s="181"/>
      <c r="AE23" s="181"/>
      <c r="AF23" s="181"/>
    </row>
    <row r="24" spans="2:32">
      <c r="B24" s="179"/>
      <c r="C24" s="203"/>
      <c r="G24" s="181"/>
      <c r="H24" s="181"/>
      <c r="I24" s="181"/>
      <c r="J24" s="181"/>
      <c r="K24" s="181"/>
      <c r="L24" s="181"/>
      <c r="M24" s="181"/>
      <c r="N24" s="181"/>
      <c r="O24" s="181"/>
      <c r="P24" s="181"/>
      <c r="Q24" s="181"/>
      <c r="R24" s="181"/>
      <c r="S24" s="181"/>
      <c r="T24" s="181"/>
      <c r="U24" s="181"/>
      <c r="V24" s="181"/>
      <c r="W24" s="181"/>
      <c r="X24" s="181"/>
      <c r="Y24" s="181"/>
      <c r="Z24" s="181"/>
      <c r="AA24" s="181"/>
      <c r="AB24" s="181"/>
      <c r="AC24" s="181"/>
      <c r="AD24" s="181"/>
      <c r="AE24" s="181"/>
      <c r="AF24" s="181"/>
    </row>
    <row r="25" spans="2:32">
      <c r="B25" s="179"/>
      <c r="C25" s="179"/>
      <c r="G25" s="181"/>
      <c r="H25" s="181"/>
      <c r="I25" s="181"/>
      <c r="J25" s="181"/>
      <c r="K25" s="181"/>
      <c r="L25" s="181"/>
      <c r="M25" s="181"/>
      <c r="N25" s="181"/>
      <c r="O25" s="181"/>
      <c r="P25" s="181"/>
      <c r="Q25" s="181"/>
      <c r="R25" s="181"/>
      <c r="S25" s="181"/>
      <c r="T25" s="181"/>
      <c r="U25" s="181"/>
      <c r="V25" s="181"/>
      <c r="W25" s="181"/>
      <c r="X25" s="181"/>
      <c r="Y25" s="181"/>
      <c r="Z25" s="181"/>
      <c r="AA25" s="181"/>
      <c r="AB25" s="181"/>
      <c r="AC25" s="181"/>
      <c r="AD25" s="181"/>
      <c r="AE25" s="181"/>
      <c r="AF25" s="181"/>
    </row>
    <row r="26" spans="2:32">
      <c r="B26" s="179"/>
      <c r="C26" s="203"/>
      <c r="G26" s="181"/>
      <c r="H26" s="181"/>
      <c r="I26" s="181"/>
      <c r="J26" s="181"/>
      <c r="K26" s="181"/>
      <c r="L26" s="181"/>
      <c r="M26" s="181"/>
      <c r="N26" s="181"/>
      <c r="O26" s="181"/>
      <c r="P26" s="181"/>
      <c r="Q26" s="181"/>
      <c r="R26" s="181"/>
      <c r="S26" s="181"/>
      <c r="T26" s="181"/>
      <c r="U26" s="181"/>
      <c r="V26" s="181"/>
      <c r="W26" s="181"/>
      <c r="X26" s="181"/>
      <c r="Y26" s="181"/>
      <c r="Z26" s="181"/>
      <c r="AA26" s="181"/>
      <c r="AB26" s="181"/>
      <c r="AC26" s="181"/>
      <c r="AD26" s="181"/>
      <c r="AE26" s="181"/>
      <c r="AF26" s="181"/>
    </row>
    <row r="27" spans="2:32">
      <c r="G27" s="181"/>
      <c r="H27" s="181"/>
      <c r="I27" s="181"/>
      <c r="J27" s="181"/>
      <c r="K27" s="181"/>
      <c r="L27" s="181"/>
      <c r="M27" s="181"/>
      <c r="N27" s="181"/>
      <c r="O27" s="181"/>
      <c r="P27" s="181"/>
      <c r="Q27" s="181"/>
      <c r="R27" s="181"/>
      <c r="S27" s="181"/>
      <c r="T27" s="181"/>
      <c r="U27" s="181"/>
      <c r="V27" s="181"/>
      <c r="W27" s="181"/>
      <c r="X27" s="181"/>
      <c r="Y27" s="181"/>
      <c r="Z27" s="181"/>
      <c r="AA27" s="181"/>
      <c r="AB27" s="181"/>
      <c r="AC27" s="181"/>
      <c r="AD27" s="181"/>
      <c r="AE27" s="181"/>
      <c r="AF27" s="181"/>
    </row>
    <row r="28" spans="2:32">
      <c r="G28" s="181"/>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row>
    <row r="29" spans="2:32">
      <c r="G29" s="181"/>
      <c r="H29" s="181"/>
      <c r="I29" s="181"/>
      <c r="J29" s="181"/>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2:32" ht="14.25" customHeight="1">
      <c r="G30" s="181"/>
      <c r="H30" s="181"/>
      <c r="I30" s="181"/>
      <c r="J30" s="181"/>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2:32">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2:32">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7:32">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7:32">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7:32">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7:32">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7:32">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7:32">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76" customWidth="1"/>
    <col min="2" max="2" width="30.5703125" style="176" customWidth="1"/>
    <col min="3" max="3" width="11.7109375" style="176" customWidth="1"/>
    <col min="4" max="4" width="4.85546875" style="176" customWidth="1"/>
    <col min="5" max="5" width="31.140625" style="176" bestFit="1" customWidth="1"/>
    <col min="6" max="6" width="12.5703125" style="176" customWidth="1" collapsed="1"/>
    <col min="7" max="7" width="13.5703125" style="176" customWidth="1"/>
    <col min="8" max="8" width="15.28515625" style="176" customWidth="1"/>
    <col min="9" max="9" width="13.42578125" style="176" customWidth="1"/>
    <col min="10" max="10" width="10" style="176" customWidth="1"/>
    <col min="11" max="11" width="9.42578125" style="176" customWidth="1"/>
    <col min="12" max="25" width="9.140625" style="176" customWidth="1"/>
    <col min="26" max="26" width="9.28515625" style="176" customWidth="1"/>
    <col min="27" max="27" width="9.42578125" style="176" customWidth="1"/>
    <col min="28" max="28" width="10" style="176" customWidth="1"/>
    <col min="29" max="29" width="11.42578125" style="176" customWidth="1"/>
    <col min="30" max="30" width="9.42578125" style="176" bestFit="1" customWidth="1" collapsed="1"/>
    <col min="31" max="16384" width="9.140625" style="176"/>
  </cols>
  <sheetData>
    <row r="1" spans="1:29" s="175" customFormat="1" ht="15" customHeight="1">
      <c r="B1" s="17" t="s">
        <v>160</v>
      </c>
      <c r="C1" s="174"/>
      <c r="D1" s="174"/>
      <c r="E1" s="174"/>
      <c r="F1" s="174"/>
      <c r="G1" s="174"/>
      <c r="H1" s="174"/>
      <c r="I1" s="174"/>
      <c r="J1" s="174"/>
      <c r="K1" s="174"/>
    </row>
    <row r="2" spans="1:29" ht="12.75" customHeight="1">
      <c r="C2" s="202"/>
    </row>
    <row r="3" spans="1:29">
      <c r="A3" s="178"/>
      <c r="B3" s="191" t="s">
        <v>190</v>
      </c>
      <c r="C3" s="236">
        <f>H23</f>
        <v>0.14671183619932318</v>
      </c>
      <c r="E3" s="232" t="s">
        <v>349</v>
      </c>
      <c r="F3" s="233">
        <v>2020</v>
      </c>
      <c r="G3" s="233">
        <v>2021</v>
      </c>
      <c r="H3" s="233">
        <v>2022</v>
      </c>
    </row>
    <row r="4" spans="1:29">
      <c r="A4" s="183"/>
      <c r="B4" s="189"/>
      <c r="C4" s="189"/>
      <c r="E4" s="228" t="s">
        <v>4</v>
      </c>
      <c r="F4" s="259">
        <v>4500.8710000000001</v>
      </c>
      <c r="G4" s="259">
        <v>4980.8999999999996</v>
      </c>
      <c r="H4" s="259">
        <v>8756.2099999999991</v>
      </c>
      <c r="K4" s="180"/>
      <c r="L4" s="180"/>
      <c r="N4" s="180"/>
      <c r="O4" s="180"/>
      <c r="P4" s="180"/>
      <c r="Q4" s="180"/>
      <c r="R4" s="180"/>
      <c r="S4" s="180"/>
      <c r="X4" s="180"/>
    </row>
    <row r="5" spans="1:29">
      <c r="A5" s="183"/>
      <c r="B5" s="193" t="s">
        <v>191</v>
      </c>
      <c r="C5" s="194">
        <f>H21</f>
        <v>37739.35</v>
      </c>
      <c r="E5" s="228" t="s">
        <v>181</v>
      </c>
      <c r="F5" s="259">
        <v>984.33199999999999</v>
      </c>
      <c r="G5" s="259">
        <v>766.35</v>
      </c>
      <c r="H5" s="259">
        <v>945.33</v>
      </c>
      <c r="J5" s="181"/>
      <c r="K5" s="181"/>
      <c r="L5" s="181"/>
      <c r="M5" s="181"/>
      <c r="N5" s="181"/>
      <c r="O5" s="181"/>
      <c r="P5" s="181"/>
      <c r="Q5" s="181"/>
      <c r="R5" s="181"/>
      <c r="S5" s="181"/>
      <c r="T5" s="181"/>
      <c r="U5" s="181"/>
      <c r="V5" s="181"/>
      <c r="W5" s="181"/>
      <c r="X5" s="181"/>
      <c r="Y5" s="181"/>
      <c r="Z5" s="181"/>
      <c r="AA5" s="181"/>
      <c r="AB5" s="181"/>
      <c r="AC5" s="181"/>
    </row>
    <row r="6" spans="1:29">
      <c r="A6" s="183"/>
      <c r="B6" s="197" t="s">
        <v>192</v>
      </c>
      <c r="C6" s="207">
        <f>C5*C3</f>
        <v>5536.8093354689272</v>
      </c>
      <c r="D6" s="184"/>
      <c r="E6" s="228" t="s">
        <v>9</v>
      </c>
      <c r="F6" s="259">
        <f>257.932+74.111</f>
        <v>332.04300000000001</v>
      </c>
      <c r="G6" s="259">
        <v>574.39</v>
      </c>
      <c r="H6" s="259">
        <v>4878.78</v>
      </c>
      <c r="J6" s="181"/>
      <c r="K6" s="181"/>
      <c r="L6" s="181"/>
      <c r="M6" s="181"/>
      <c r="N6" s="181"/>
      <c r="O6" s="181"/>
      <c r="P6" s="181"/>
      <c r="Q6" s="181"/>
      <c r="R6" s="181"/>
      <c r="S6" s="181"/>
      <c r="T6" s="181"/>
      <c r="U6" s="181"/>
      <c r="V6" s="181"/>
      <c r="W6" s="181"/>
      <c r="X6" s="181"/>
      <c r="Y6" s="181"/>
      <c r="Z6" s="181"/>
      <c r="AA6" s="181"/>
      <c r="AB6" s="181"/>
      <c r="AC6" s="181"/>
    </row>
    <row r="7" spans="1:29">
      <c r="B7" s="189"/>
      <c r="C7" s="189"/>
      <c r="E7" s="228" t="s">
        <v>185</v>
      </c>
      <c r="F7" s="259">
        <f>630.503</f>
        <v>630.50300000000004</v>
      </c>
      <c r="G7" s="259">
        <v>831.81</v>
      </c>
      <c r="H7" s="259">
        <v>2019.78</v>
      </c>
      <c r="J7" s="181"/>
      <c r="K7" s="181"/>
      <c r="L7" s="181"/>
      <c r="M7" s="181"/>
      <c r="N7" s="181"/>
      <c r="O7" s="181"/>
      <c r="P7" s="181"/>
      <c r="Q7" s="181"/>
      <c r="R7" s="181"/>
      <c r="S7" s="181"/>
      <c r="T7" s="181"/>
      <c r="U7" s="181"/>
      <c r="V7" s="181"/>
      <c r="W7" s="181"/>
      <c r="X7" s="181"/>
      <c r="Y7" s="181"/>
      <c r="Z7" s="181"/>
      <c r="AA7" s="181"/>
      <c r="AB7" s="181"/>
      <c r="AC7" s="181"/>
    </row>
    <row r="8" spans="1:29">
      <c r="A8" s="183"/>
      <c r="B8" s="193" t="s">
        <v>194</v>
      </c>
      <c r="C8" s="194">
        <f>G21</f>
        <v>24408.95</v>
      </c>
      <c r="E8" s="230" t="s">
        <v>187</v>
      </c>
      <c r="F8" s="388">
        <f>SUM(F4:F7)</f>
        <v>6447.7489999999998</v>
      </c>
      <c r="G8" s="388">
        <f>SUM(G4:G7)</f>
        <v>7153.4500000000007</v>
      </c>
      <c r="H8" s="388">
        <f>SUM(H4:H7)</f>
        <v>16600.099999999999</v>
      </c>
      <c r="J8" s="181"/>
      <c r="K8" s="181"/>
      <c r="L8" s="181"/>
      <c r="M8" s="181"/>
      <c r="N8" s="181"/>
      <c r="O8" s="181"/>
      <c r="P8" s="181"/>
      <c r="Q8" s="181"/>
      <c r="R8" s="181"/>
      <c r="S8" s="181"/>
      <c r="T8" s="181"/>
      <c r="U8" s="181"/>
      <c r="V8" s="181"/>
      <c r="W8" s="181"/>
      <c r="X8" s="181"/>
      <c r="Y8" s="181"/>
      <c r="Z8" s="181"/>
      <c r="AA8" s="181"/>
      <c r="AB8" s="181"/>
      <c r="AC8" s="181"/>
    </row>
    <row r="9" spans="1:29">
      <c r="A9" s="183"/>
      <c r="B9" s="197" t="s">
        <v>193</v>
      </c>
      <c r="C9" s="198">
        <f>C8*C3</f>
        <v>3581.0818741974695</v>
      </c>
      <c r="J9" s="181"/>
      <c r="K9" s="181"/>
      <c r="L9" s="181"/>
      <c r="M9" s="181"/>
      <c r="N9" s="181"/>
      <c r="O9" s="181"/>
      <c r="P9" s="181"/>
      <c r="Q9" s="181"/>
      <c r="R9" s="181"/>
      <c r="S9" s="181"/>
      <c r="T9" s="181"/>
      <c r="U9" s="181"/>
      <c r="V9" s="181"/>
      <c r="W9" s="181"/>
      <c r="X9" s="181"/>
      <c r="Y9" s="181"/>
      <c r="Z9" s="181"/>
      <c r="AA9" s="181"/>
      <c r="AB9" s="181"/>
      <c r="AC9" s="181"/>
    </row>
    <row r="10" spans="1:29">
      <c r="A10" s="179"/>
      <c r="B10" s="189"/>
      <c r="C10" s="189"/>
      <c r="E10" s="229" t="s">
        <v>161</v>
      </c>
      <c r="F10" s="259">
        <f>104.589+3029.526</f>
        <v>3134.1149999999998</v>
      </c>
      <c r="G10" s="259">
        <f>90.75+3071.37</f>
        <v>3162.12</v>
      </c>
      <c r="H10" s="259">
        <f>560.7+3059.84</f>
        <v>3620.54</v>
      </c>
      <c r="J10" s="181"/>
      <c r="K10" s="181"/>
      <c r="L10" s="181"/>
      <c r="M10" s="181"/>
      <c r="N10" s="181"/>
      <c r="O10" s="181"/>
      <c r="P10" s="181"/>
      <c r="Q10" s="181"/>
      <c r="R10" s="181"/>
      <c r="S10" s="181"/>
      <c r="T10" s="181"/>
      <c r="U10" s="181"/>
      <c r="V10" s="181"/>
      <c r="W10" s="181"/>
      <c r="X10" s="181"/>
      <c r="Y10" s="181"/>
      <c r="Z10" s="181"/>
      <c r="AA10" s="181"/>
      <c r="AB10" s="181"/>
      <c r="AC10" s="181"/>
    </row>
    <row r="11" spans="1:29">
      <c r="A11" s="183"/>
      <c r="B11" s="193" t="s">
        <v>196</v>
      </c>
      <c r="C11" s="200">
        <f>C6-C9</f>
        <v>1955.7274612714577</v>
      </c>
      <c r="E11" s="228" t="s">
        <v>186</v>
      </c>
      <c r="F11" s="389">
        <v>470.524</v>
      </c>
      <c r="G11" s="389">
        <v>850.13</v>
      </c>
      <c r="H11" s="389">
        <v>1666.92</v>
      </c>
      <c r="J11" s="181"/>
      <c r="K11" s="181"/>
      <c r="L11" s="181"/>
      <c r="M11" s="181"/>
      <c r="N11" s="181"/>
      <c r="O11" s="181"/>
      <c r="P11" s="181"/>
      <c r="Q11" s="181"/>
      <c r="R11" s="181"/>
      <c r="S11" s="181"/>
      <c r="T11" s="181"/>
      <c r="U11" s="181"/>
      <c r="V11" s="181"/>
      <c r="W11" s="181"/>
      <c r="X11" s="181"/>
      <c r="Y11" s="181"/>
      <c r="Z11" s="181"/>
      <c r="AA11" s="181"/>
      <c r="AB11" s="181"/>
      <c r="AC11" s="181"/>
    </row>
    <row r="12" spans="1:29">
      <c r="B12" s="179"/>
      <c r="C12" s="238"/>
      <c r="E12" s="228" t="s">
        <v>350</v>
      </c>
      <c r="F12" s="389">
        <v>148.697</v>
      </c>
      <c r="G12" s="389">
        <v>169.14</v>
      </c>
      <c r="H12" s="389">
        <v>160.41</v>
      </c>
      <c r="J12" s="181"/>
      <c r="K12" s="181"/>
      <c r="L12" s="181"/>
      <c r="M12" s="181"/>
      <c r="N12" s="181"/>
      <c r="O12" s="181"/>
      <c r="P12" s="181"/>
      <c r="Q12" s="181"/>
      <c r="R12" s="181"/>
      <c r="S12" s="181"/>
      <c r="T12" s="181"/>
      <c r="U12" s="181"/>
      <c r="V12" s="181"/>
      <c r="W12" s="181"/>
      <c r="X12" s="181"/>
      <c r="Y12" s="181"/>
      <c r="Z12" s="181"/>
      <c r="AA12" s="181"/>
      <c r="AB12" s="181"/>
      <c r="AC12" s="181"/>
    </row>
    <row r="13" spans="1:29">
      <c r="A13" s="183"/>
      <c r="E13" s="228" t="s">
        <v>183</v>
      </c>
      <c r="F13" s="259">
        <v>17.911000000000001</v>
      </c>
      <c r="G13" s="259">
        <v>175.17</v>
      </c>
      <c r="H13" s="259">
        <v>220.49</v>
      </c>
      <c r="J13" s="181"/>
      <c r="K13" s="181"/>
      <c r="L13" s="181"/>
      <c r="M13" s="181"/>
      <c r="N13" s="181"/>
      <c r="O13" s="181"/>
      <c r="P13" s="181"/>
      <c r="Q13" s="181"/>
      <c r="R13" s="181"/>
      <c r="S13" s="181"/>
      <c r="T13" s="181"/>
      <c r="U13" s="181"/>
      <c r="V13" s="181"/>
      <c r="W13" s="181"/>
      <c r="X13" s="181"/>
      <c r="Y13" s="181"/>
      <c r="Z13" s="181"/>
      <c r="AA13" s="181"/>
      <c r="AB13" s="181"/>
      <c r="AC13" s="181"/>
    </row>
    <row r="14" spans="1:29">
      <c r="E14" s="228" t="s">
        <v>184</v>
      </c>
      <c r="F14" s="259">
        <v>83.320999999999998</v>
      </c>
      <c r="G14" s="259">
        <v>246.93</v>
      </c>
      <c r="H14" s="259">
        <v>21.73</v>
      </c>
      <c r="L14" s="181"/>
      <c r="M14" s="181"/>
      <c r="N14" s="181"/>
      <c r="O14" s="181"/>
      <c r="P14" s="181"/>
      <c r="Q14" s="181"/>
      <c r="R14" s="181"/>
      <c r="S14" s="181"/>
      <c r="T14" s="181"/>
      <c r="U14" s="181"/>
      <c r="V14" s="181"/>
      <c r="W14" s="181"/>
      <c r="X14" s="181"/>
      <c r="Y14" s="181"/>
      <c r="Z14" s="181"/>
      <c r="AA14" s="181"/>
      <c r="AB14" s="181"/>
      <c r="AC14" s="181"/>
    </row>
    <row r="15" spans="1:29">
      <c r="B15" s="217"/>
      <c r="C15" s="217"/>
      <c r="D15" s="217"/>
      <c r="E15" s="230" t="s">
        <v>188</v>
      </c>
      <c r="F15" s="388">
        <f>SUM(F10:F14)</f>
        <v>3854.5679999999998</v>
      </c>
      <c r="G15" s="388">
        <f>SUM(G10:G14)</f>
        <v>4603.4900000000007</v>
      </c>
      <c r="H15" s="388">
        <f>SUM(H10:H14)</f>
        <v>5690.0899999999992</v>
      </c>
      <c r="L15" s="181"/>
      <c r="M15" s="181"/>
      <c r="N15" s="181"/>
      <c r="O15" s="181"/>
      <c r="P15" s="181"/>
      <c r="Q15" s="181"/>
      <c r="R15" s="181"/>
      <c r="S15" s="181"/>
      <c r="T15" s="181"/>
      <c r="U15" s="181"/>
      <c r="V15" s="181"/>
      <c r="W15" s="181"/>
      <c r="X15" s="181"/>
      <c r="Y15" s="181"/>
      <c r="Z15" s="181"/>
      <c r="AA15" s="181"/>
      <c r="AB15" s="181"/>
      <c r="AC15" s="181"/>
    </row>
    <row r="16" spans="1:29">
      <c r="B16" s="48"/>
      <c r="C16" s="185"/>
      <c r="D16" s="185"/>
      <c r="J16" s="181"/>
      <c r="K16" s="181"/>
      <c r="L16" s="181"/>
      <c r="M16" s="181"/>
      <c r="N16" s="181"/>
      <c r="O16" s="181"/>
      <c r="P16" s="181"/>
      <c r="Q16" s="181"/>
      <c r="R16" s="181"/>
      <c r="S16" s="181"/>
      <c r="T16" s="181"/>
      <c r="U16" s="181"/>
      <c r="V16" s="181"/>
      <c r="W16" s="181"/>
      <c r="X16" s="181"/>
      <c r="Y16" s="181"/>
      <c r="Z16" s="181"/>
      <c r="AA16" s="181"/>
      <c r="AB16" s="181"/>
      <c r="AC16" s="181"/>
    </row>
    <row r="17" spans="2:31">
      <c r="B17" s="119"/>
      <c r="C17" s="208"/>
      <c r="D17" s="210"/>
      <c r="E17" s="230" t="s">
        <v>162</v>
      </c>
      <c r="F17" s="388">
        <f>F8-F15</f>
        <v>2593.181</v>
      </c>
      <c r="G17" s="388">
        <f>G8-G15</f>
        <v>2549.96</v>
      </c>
      <c r="H17" s="388">
        <f>H8-H15</f>
        <v>10910.009999999998</v>
      </c>
      <c r="J17" s="181"/>
      <c r="K17" s="181"/>
      <c r="L17" s="181"/>
      <c r="M17" s="181"/>
      <c r="N17" s="181"/>
      <c r="O17" s="181"/>
      <c r="P17" s="181"/>
      <c r="Q17" s="181"/>
      <c r="R17" s="181"/>
      <c r="S17" s="181"/>
      <c r="T17" s="181"/>
      <c r="U17" s="181"/>
      <c r="V17" s="181"/>
      <c r="W17" s="181"/>
      <c r="X17" s="181"/>
      <c r="Y17" s="181"/>
      <c r="Z17" s="181"/>
      <c r="AA17" s="181"/>
      <c r="AB17" s="181"/>
      <c r="AC17" s="181"/>
    </row>
    <row r="18" spans="2:31">
      <c r="B18" s="119"/>
      <c r="C18" s="208"/>
      <c r="D18" s="210"/>
      <c r="E18" s="189"/>
      <c r="F18" s="189"/>
      <c r="G18" s="189"/>
      <c r="H18" s="189"/>
      <c r="J18" s="181"/>
      <c r="K18" s="181"/>
      <c r="L18" s="181"/>
      <c r="M18" s="181"/>
      <c r="N18" s="181"/>
      <c r="O18" s="181"/>
      <c r="P18" s="181"/>
      <c r="Q18" s="181"/>
      <c r="R18" s="181"/>
      <c r="S18" s="181"/>
      <c r="T18" s="181"/>
      <c r="U18" s="181"/>
      <c r="V18" s="181"/>
      <c r="W18" s="181"/>
      <c r="X18" s="181"/>
      <c r="Y18" s="181"/>
      <c r="Z18" s="181"/>
      <c r="AA18" s="181"/>
      <c r="AB18" s="181"/>
      <c r="AC18" s="181"/>
    </row>
    <row r="19" spans="2:31">
      <c r="B19" s="119"/>
      <c r="C19" s="208"/>
      <c r="D19" s="210"/>
      <c r="E19" s="209" t="s">
        <v>189</v>
      </c>
      <c r="F19" s="237"/>
      <c r="G19" s="258">
        <f t="shared" ref="G19" si="0">G17-F17</f>
        <v>-43.221000000000004</v>
      </c>
      <c r="H19" s="258">
        <f>H17-G17</f>
        <v>8360.0499999999993</v>
      </c>
      <c r="J19" s="181"/>
      <c r="K19" s="181"/>
      <c r="L19" s="181"/>
      <c r="M19" s="181"/>
      <c r="N19" s="181"/>
      <c r="O19" s="181"/>
      <c r="P19" s="181"/>
      <c r="Q19" s="181"/>
      <c r="R19" s="181"/>
      <c r="S19" s="181"/>
      <c r="T19" s="181"/>
      <c r="U19" s="181"/>
      <c r="V19" s="181"/>
      <c r="W19" s="181"/>
      <c r="X19" s="181"/>
      <c r="Y19" s="181"/>
      <c r="Z19" s="181"/>
      <c r="AA19" s="181"/>
      <c r="AB19" s="181"/>
      <c r="AC19" s="181"/>
    </row>
    <row r="20" spans="2:31">
      <c r="B20" s="119"/>
      <c r="C20" s="208"/>
      <c r="D20" s="210"/>
      <c r="E20" s="189"/>
      <c r="F20" s="189"/>
      <c r="G20" s="189"/>
      <c r="H20" s="189"/>
      <c r="J20" s="181"/>
      <c r="K20" s="181"/>
      <c r="L20" s="181"/>
      <c r="M20" s="181"/>
      <c r="N20" s="181"/>
      <c r="O20" s="181"/>
      <c r="P20" s="181"/>
      <c r="Q20" s="181"/>
      <c r="R20" s="181"/>
      <c r="S20" s="181"/>
      <c r="T20" s="181"/>
      <c r="U20" s="181"/>
      <c r="V20" s="181"/>
      <c r="W20" s="181"/>
      <c r="X20" s="181"/>
      <c r="Y20" s="181"/>
      <c r="Z20" s="181"/>
      <c r="AA20" s="181"/>
      <c r="AB20" s="181"/>
      <c r="AC20" s="181"/>
    </row>
    <row r="21" spans="2:31">
      <c r="B21" s="119"/>
      <c r="C21" s="208"/>
      <c r="D21" s="210"/>
      <c r="E21" s="228" t="s">
        <v>6</v>
      </c>
      <c r="F21" s="259">
        <v>17675.335999999999</v>
      </c>
      <c r="G21" s="259">
        <v>24408.95</v>
      </c>
      <c r="H21" s="259">
        <v>37739.35</v>
      </c>
      <c r="J21" s="181"/>
      <c r="K21" s="181"/>
      <c r="L21" s="181"/>
      <c r="M21" s="181"/>
      <c r="N21" s="181"/>
      <c r="O21" s="181"/>
      <c r="P21" s="181"/>
      <c r="Q21" s="181"/>
      <c r="R21" s="181"/>
      <c r="S21" s="181"/>
      <c r="T21" s="181"/>
      <c r="U21" s="181"/>
      <c r="V21" s="181"/>
      <c r="W21" s="181"/>
      <c r="X21" s="181"/>
      <c r="Y21" s="181"/>
      <c r="Z21" s="181"/>
      <c r="AA21" s="181"/>
      <c r="AB21" s="181"/>
      <c r="AC21" s="181"/>
    </row>
    <row r="22" spans="2:31">
      <c r="B22" s="119"/>
      <c r="C22" s="208"/>
      <c r="D22" s="210"/>
      <c r="E22" s="190" t="s">
        <v>182</v>
      </c>
      <c r="F22" s="211">
        <f>F17/F21</f>
        <v>0.14671183619932318</v>
      </c>
      <c r="G22" s="211">
        <f>G17/G21</f>
        <v>0.10446823808480087</v>
      </c>
      <c r="H22" s="211">
        <f>H17/H21</f>
        <v>0.28908844481953183</v>
      </c>
      <c r="J22" s="239"/>
      <c r="K22" s="181"/>
      <c r="L22" s="181"/>
      <c r="M22" s="181"/>
      <c r="N22" s="181"/>
      <c r="O22" s="181"/>
      <c r="P22" s="181"/>
      <c r="Q22" s="181"/>
      <c r="R22" s="181"/>
      <c r="S22" s="181"/>
      <c r="T22" s="181"/>
      <c r="U22" s="181"/>
      <c r="V22" s="181"/>
      <c r="W22" s="181"/>
      <c r="X22" s="181"/>
      <c r="Y22" s="181"/>
      <c r="Z22" s="181"/>
      <c r="AA22" s="181"/>
      <c r="AB22" s="181"/>
      <c r="AC22" s="181"/>
    </row>
    <row r="23" spans="2:31">
      <c r="B23" s="119"/>
      <c r="C23" s="208"/>
      <c r="D23" s="210"/>
      <c r="G23" s="202" t="s">
        <v>195</v>
      </c>
      <c r="H23" s="235">
        <f>MEDIAN(F22:H22)</f>
        <v>0.14671183619932318</v>
      </c>
      <c r="L23" s="181"/>
      <c r="M23" s="181"/>
      <c r="N23" s="181"/>
      <c r="O23" s="181"/>
      <c r="P23" s="181"/>
      <c r="Q23" s="181"/>
      <c r="R23" s="181"/>
      <c r="S23" s="181"/>
      <c r="T23" s="181"/>
      <c r="U23" s="181"/>
      <c r="V23" s="181"/>
      <c r="W23" s="181"/>
      <c r="X23" s="181"/>
      <c r="Y23" s="181"/>
      <c r="Z23" s="181"/>
      <c r="AA23" s="181"/>
      <c r="AB23" s="181"/>
      <c r="AC23" s="181"/>
      <c r="AD23" s="181"/>
      <c r="AE23" s="181"/>
    </row>
    <row r="24" spans="2:31">
      <c r="B24" s="119"/>
      <c r="C24" s="208"/>
      <c r="D24" s="210"/>
      <c r="J24" s="181"/>
      <c r="K24" s="181"/>
      <c r="L24" s="181"/>
      <c r="M24" s="181"/>
      <c r="N24" s="181"/>
      <c r="O24" s="181"/>
      <c r="P24" s="181"/>
      <c r="Q24" s="181"/>
      <c r="R24" s="181"/>
      <c r="S24" s="181"/>
      <c r="T24" s="181"/>
      <c r="U24" s="181"/>
      <c r="V24" s="181"/>
      <c r="W24" s="181"/>
      <c r="X24" s="181"/>
      <c r="Y24" s="181"/>
      <c r="Z24" s="181"/>
      <c r="AA24" s="181"/>
      <c r="AB24" s="181"/>
      <c r="AC24" s="181"/>
      <c r="AD24" s="181"/>
      <c r="AE24" s="181"/>
    </row>
    <row r="25" spans="2:31">
      <c r="B25" s="216"/>
      <c r="C25" s="216"/>
      <c r="D25" s="215"/>
      <c r="J25" s="181"/>
      <c r="K25" s="181"/>
      <c r="L25" s="181"/>
      <c r="M25" s="181"/>
      <c r="N25" s="181"/>
      <c r="O25" s="181"/>
      <c r="P25" s="181"/>
      <c r="Q25" s="181"/>
      <c r="R25" s="181"/>
      <c r="S25" s="181"/>
      <c r="T25" s="181"/>
      <c r="U25" s="181"/>
      <c r="V25" s="181"/>
      <c r="W25" s="181"/>
      <c r="X25" s="181"/>
      <c r="Y25" s="181"/>
      <c r="Z25" s="181"/>
      <c r="AA25" s="181"/>
      <c r="AB25" s="181"/>
      <c r="AC25" s="181"/>
      <c r="AD25" s="181"/>
      <c r="AE25" s="181"/>
    </row>
    <row r="26" spans="2:31">
      <c r="J26" s="181"/>
      <c r="K26" s="181"/>
      <c r="L26" s="181"/>
      <c r="M26" s="181"/>
      <c r="N26" s="181"/>
      <c r="O26" s="181"/>
      <c r="P26" s="181"/>
      <c r="Q26" s="181"/>
      <c r="R26" s="181"/>
      <c r="S26" s="181"/>
      <c r="T26" s="181"/>
      <c r="U26" s="181"/>
      <c r="V26" s="181"/>
      <c r="W26" s="181"/>
      <c r="X26" s="181"/>
      <c r="Y26" s="181"/>
      <c r="Z26" s="181"/>
      <c r="AA26" s="181"/>
      <c r="AB26" s="181"/>
      <c r="AC26" s="181"/>
      <c r="AD26" s="181"/>
      <c r="AE26" s="181"/>
    </row>
    <row r="27" spans="2:31">
      <c r="J27" s="181"/>
      <c r="K27" s="181"/>
      <c r="L27" s="181"/>
      <c r="M27" s="181"/>
      <c r="N27" s="181"/>
      <c r="O27" s="181"/>
      <c r="P27" s="181"/>
      <c r="Q27" s="181"/>
      <c r="R27" s="181"/>
      <c r="S27" s="181"/>
      <c r="T27" s="181"/>
      <c r="U27" s="181"/>
      <c r="V27" s="181"/>
      <c r="W27" s="181"/>
      <c r="X27" s="181"/>
      <c r="Y27" s="181"/>
      <c r="Z27" s="181"/>
      <c r="AA27" s="181"/>
      <c r="AB27" s="181"/>
      <c r="AC27" s="181"/>
      <c r="AD27" s="181"/>
      <c r="AE27" s="181"/>
    </row>
    <row r="28" spans="2:31">
      <c r="J28" s="181"/>
      <c r="K28" s="181"/>
      <c r="L28" s="181"/>
      <c r="M28" s="181"/>
      <c r="N28" s="181"/>
      <c r="O28" s="181"/>
      <c r="P28" s="181"/>
      <c r="Q28" s="181"/>
      <c r="R28" s="181"/>
      <c r="S28" s="181"/>
      <c r="T28" s="181"/>
      <c r="U28" s="181"/>
      <c r="V28" s="181"/>
      <c r="W28" s="181"/>
      <c r="X28" s="181"/>
      <c r="Y28" s="181"/>
      <c r="Z28" s="181"/>
      <c r="AA28" s="181"/>
      <c r="AB28" s="181"/>
      <c r="AC28" s="181"/>
      <c r="AD28" s="181"/>
      <c r="AE28" s="181"/>
    </row>
    <row r="29" spans="2:31">
      <c r="J29" s="181"/>
      <c r="K29" s="181"/>
      <c r="L29" s="181"/>
      <c r="M29" s="181"/>
      <c r="N29" s="181"/>
      <c r="O29" s="181"/>
      <c r="P29" s="181"/>
      <c r="Q29" s="181"/>
      <c r="R29" s="181"/>
      <c r="S29" s="181"/>
      <c r="T29" s="181"/>
      <c r="U29" s="181"/>
      <c r="V29" s="181"/>
      <c r="W29" s="181"/>
      <c r="X29" s="181"/>
      <c r="Y29" s="181"/>
      <c r="Z29" s="181"/>
      <c r="AA29" s="181"/>
      <c r="AB29" s="181"/>
      <c r="AC29" s="181"/>
      <c r="AD29" s="181"/>
      <c r="AE29" s="181"/>
    </row>
    <row r="30" spans="2:31" ht="14.25" customHeight="1">
      <c r="J30" s="181"/>
      <c r="K30" s="181"/>
      <c r="L30" s="181"/>
      <c r="M30" s="181"/>
      <c r="N30" s="181"/>
      <c r="O30" s="181"/>
      <c r="P30" s="181"/>
      <c r="Q30" s="181"/>
      <c r="R30" s="181"/>
      <c r="S30" s="181"/>
      <c r="T30" s="181"/>
      <c r="U30" s="181"/>
      <c r="V30" s="181"/>
      <c r="W30" s="181"/>
      <c r="X30" s="181"/>
      <c r="Y30" s="181"/>
      <c r="Z30" s="181"/>
      <c r="AA30" s="181"/>
      <c r="AB30" s="181"/>
      <c r="AC30" s="181"/>
      <c r="AD30" s="181"/>
      <c r="AE30" s="181"/>
    </row>
    <row r="31" spans="2:31">
      <c r="J31" s="181"/>
      <c r="K31" s="181"/>
      <c r="L31" s="181"/>
      <c r="M31" s="181"/>
      <c r="N31" s="181"/>
      <c r="O31" s="181"/>
      <c r="P31" s="181"/>
      <c r="Q31" s="181"/>
      <c r="R31" s="181"/>
      <c r="S31" s="181"/>
      <c r="T31" s="181"/>
      <c r="U31" s="181"/>
      <c r="V31" s="181"/>
      <c r="W31" s="181"/>
      <c r="X31" s="181"/>
      <c r="Y31" s="181"/>
      <c r="Z31" s="181"/>
      <c r="AA31" s="181"/>
      <c r="AB31" s="181"/>
      <c r="AC31" s="181"/>
      <c r="AD31" s="181"/>
      <c r="AE31" s="181"/>
    </row>
    <row r="32" spans="2:31">
      <c r="J32" s="181"/>
      <c r="K32" s="181"/>
      <c r="L32" s="181"/>
      <c r="M32" s="181"/>
      <c r="N32" s="181"/>
      <c r="O32" s="181"/>
      <c r="P32" s="181"/>
      <c r="Q32" s="181"/>
      <c r="R32" s="181"/>
      <c r="S32" s="181"/>
      <c r="T32" s="181"/>
      <c r="U32" s="181"/>
      <c r="V32" s="181"/>
      <c r="W32" s="181"/>
      <c r="X32" s="181"/>
      <c r="Y32" s="181"/>
      <c r="Z32" s="181"/>
      <c r="AA32" s="181"/>
      <c r="AB32" s="181"/>
      <c r="AC32" s="181"/>
      <c r="AD32" s="181"/>
      <c r="AE32" s="181"/>
    </row>
    <row r="33" spans="6:31">
      <c r="J33" s="181"/>
      <c r="K33" s="181"/>
      <c r="L33" s="181"/>
      <c r="M33" s="181"/>
      <c r="N33" s="181"/>
      <c r="O33" s="181"/>
      <c r="P33" s="181"/>
      <c r="Q33" s="181"/>
      <c r="R33" s="181"/>
      <c r="S33" s="181"/>
      <c r="T33" s="181"/>
      <c r="U33" s="181"/>
      <c r="V33" s="181"/>
      <c r="W33" s="181"/>
      <c r="X33" s="181"/>
      <c r="Y33" s="181"/>
      <c r="Z33" s="181"/>
      <c r="AA33" s="181"/>
      <c r="AB33" s="181"/>
      <c r="AC33" s="181"/>
      <c r="AD33" s="181"/>
      <c r="AE33" s="181"/>
    </row>
    <row r="34" spans="6:31">
      <c r="J34" s="181"/>
      <c r="K34" s="181"/>
      <c r="L34" s="181"/>
      <c r="M34" s="181"/>
      <c r="N34" s="181"/>
      <c r="O34" s="181"/>
      <c r="P34" s="181"/>
      <c r="Q34" s="181"/>
      <c r="R34" s="181"/>
      <c r="S34" s="181"/>
      <c r="T34" s="181"/>
      <c r="U34" s="181"/>
      <c r="V34" s="181"/>
      <c r="W34" s="181"/>
      <c r="X34" s="181"/>
      <c r="Y34" s="181"/>
      <c r="Z34" s="181"/>
      <c r="AA34" s="181"/>
      <c r="AB34" s="181"/>
      <c r="AC34" s="181"/>
      <c r="AD34" s="181"/>
      <c r="AE34" s="181"/>
    </row>
    <row r="35" spans="6:31">
      <c r="F35" s="181"/>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row>
    <row r="36" spans="6:31">
      <c r="L36" s="181"/>
      <c r="M36" s="181"/>
      <c r="N36" s="181"/>
      <c r="O36" s="181"/>
      <c r="P36" s="181"/>
      <c r="Q36" s="181"/>
      <c r="R36" s="181"/>
      <c r="S36" s="181"/>
      <c r="T36" s="181"/>
      <c r="U36" s="181"/>
      <c r="V36" s="181"/>
      <c r="W36" s="181"/>
      <c r="X36" s="181"/>
      <c r="Y36" s="181"/>
      <c r="Z36" s="181"/>
      <c r="AA36" s="181"/>
      <c r="AB36" s="181"/>
      <c r="AC36" s="181"/>
      <c r="AD36" s="181"/>
      <c r="AE36" s="181"/>
    </row>
    <row r="37" spans="6:31">
      <c r="L37" s="181"/>
      <c r="M37" s="181"/>
      <c r="N37" s="181"/>
      <c r="O37" s="181"/>
      <c r="P37" s="181"/>
      <c r="Q37" s="181"/>
      <c r="R37" s="181"/>
      <c r="S37" s="181"/>
      <c r="T37" s="181"/>
      <c r="U37" s="181"/>
      <c r="V37" s="181"/>
      <c r="W37" s="181"/>
      <c r="X37" s="181"/>
      <c r="Y37" s="181"/>
      <c r="Z37" s="181"/>
      <c r="AA37" s="181"/>
      <c r="AB37" s="181"/>
      <c r="AC37" s="181"/>
      <c r="AD37" s="181"/>
      <c r="AE37" s="181"/>
    </row>
    <row r="38" spans="6:31">
      <c r="L38" s="181"/>
      <c r="M38" s="181"/>
      <c r="N38" s="181"/>
      <c r="O38" s="181"/>
      <c r="P38" s="181"/>
      <c r="Q38" s="181"/>
      <c r="R38" s="181"/>
      <c r="S38" s="181"/>
      <c r="T38" s="181"/>
      <c r="U38" s="181"/>
      <c r="V38" s="181"/>
      <c r="W38" s="181"/>
      <c r="X38" s="181"/>
      <c r="Y38" s="181"/>
      <c r="Z38" s="181"/>
      <c r="AA38" s="181"/>
      <c r="AB38" s="181"/>
      <c r="AC38" s="181"/>
      <c r="AD38" s="181"/>
      <c r="AE38" s="181"/>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6" customWidth="1"/>
    <col min="2" max="2" width="29.28515625" style="176" customWidth="1"/>
    <col min="3" max="3" width="11.7109375" style="176" customWidth="1"/>
    <col min="4" max="4" width="4.85546875" style="176" customWidth="1"/>
    <col min="5" max="5" width="10.140625" style="176" customWidth="1"/>
    <col min="6" max="6" width="32.42578125" style="176" customWidth="1"/>
    <col min="7" max="7" width="11.85546875" style="176" customWidth="1" collapsed="1"/>
    <col min="8" max="8" width="5.42578125" style="176" customWidth="1"/>
    <col min="9" max="9" width="5" style="176" customWidth="1"/>
    <col min="10" max="10" width="31.5703125" style="176" customWidth="1"/>
    <col min="11" max="11" width="11.5703125" style="176" bestFit="1" customWidth="1"/>
    <col min="12" max="12" width="9.85546875" style="176" customWidth="1"/>
    <col min="13" max="26" width="9.140625" style="176" customWidth="1"/>
    <col min="27" max="27" width="9.28515625" style="176" customWidth="1"/>
    <col min="28" max="28" width="9.42578125" style="176" customWidth="1"/>
    <col min="29" max="29" width="10" style="176" customWidth="1"/>
    <col min="30" max="30" width="11.42578125" style="176" customWidth="1"/>
    <col min="31" max="31" width="9.42578125" style="176" bestFit="1" customWidth="1" collapsed="1"/>
    <col min="32" max="16384" width="9.140625" style="176"/>
  </cols>
  <sheetData>
    <row r="1" spans="1:32" s="175" customFormat="1" ht="15" customHeight="1">
      <c r="B1" s="17" t="s">
        <v>180</v>
      </c>
      <c r="C1" s="174"/>
      <c r="D1" s="174"/>
      <c r="E1" s="174"/>
      <c r="F1" s="174"/>
      <c r="G1" s="174"/>
      <c r="H1" s="174"/>
      <c r="I1" s="174"/>
      <c r="J1" s="174"/>
      <c r="K1" s="174"/>
      <c r="L1" s="174"/>
    </row>
    <row r="2" spans="1:32" ht="12.75" customHeight="1">
      <c r="C2" s="202"/>
    </row>
    <row r="3" spans="1:32" ht="15.75">
      <c r="A3" s="178"/>
      <c r="B3" s="205" t="str">
        <f>F14</f>
        <v>Free Cash Flow to Firm (FCFF)</v>
      </c>
      <c r="C3" s="225">
        <f>G14</f>
        <v>-2318.2727148714512</v>
      </c>
      <c r="F3" s="157" t="s">
        <v>163</v>
      </c>
      <c r="G3" s="189"/>
      <c r="J3" s="157" t="s">
        <v>168</v>
      </c>
      <c r="K3" s="189"/>
      <c r="L3" s="186"/>
    </row>
    <row r="4" spans="1:32" ht="15">
      <c r="A4" s="183"/>
      <c r="F4" s="199"/>
      <c r="G4" s="227" t="s">
        <v>343</v>
      </c>
      <c r="J4" s="199"/>
      <c r="K4" s="227" t="s">
        <v>343</v>
      </c>
      <c r="L4" s="81"/>
      <c r="O4" s="180"/>
      <c r="Q4" s="180"/>
      <c r="R4" s="180"/>
      <c r="S4" s="180"/>
      <c r="T4" s="180"/>
      <c r="U4" s="180"/>
      <c r="V4" s="180"/>
      <c r="AA4" s="180"/>
    </row>
    <row r="5" spans="1:32">
      <c r="A5" s="183"/>
      <c r="B5" s="224" t="str">
        <f>J17</f>
        <v>Free Cash Flow to Equity (FCFE)</v>
      </c>
      <c r="C5" s="226">
        <f>K17</f>
        <v>-1684.2946708714514</v>
      </c>
      <c r="F5" s="193" t="s">
        <v>156</v>
      </c>
      <c r="G5" s="206">
        <f>'EBIT &amp; Advertising Expense'!C16</f>
        <v>3671.1340000000082</v>
      </c>
      <c r="J5" s="193" t="str">
        <f>F5</f>
        <v>Adjusted EBIT</v>
      </c>
      <c r="K5" s="194">
        <f>G5</f>
        <v>3671.1340000000082</v>
      </c>
      <c r="L5" s="188"/>
      <c r="O5" s="181"/>
      <c r="P5" s="181"/>
      <c r="Q5" s="181"/>
      <c r="R5" s="181"/>
      <c r="S5" s="181"/>
      <c r="T5" s="181"/>
      <c r="U5" s="181"/>
      <c r="V5" s="181"/>
      <c r="W5" s="181"/>
      <c r="X5" s="181"/>
      <c r="Y5" s="181"/>
      <c r="Z5" s="181"/>
      <c r="AA5" s="181"/>
      <c r="AB5" s="181"/>
      <c r="AC5" s="181"/>
      <c r="AD5" s="181"/>
      <c r="AE5" s="181"/>
      <c r="AF5" s="181"/>
    </row>
    <row r="6" spans="1:32">
      <c r="A6" s="183"/>
      <c r="F6" s="193" t="str">
        <f>Beta!B15</f>
        <v>Effective Tax Rate</v>
      </c>
      <c r="G6" s="220">
        <v>0.20039999999999999</v>
      </c>
      <c r="J6" s="191" t="s">
        <v>169</v>
      </c>
      <c r="K6" s="194">
        <f xml:space="preserve"> 465.11</f>
        <v>465.11</v>
      </c>
      <c r="O6" s="181"/>
      <c r="P6" s="181"/>
      <c r="Q6" s="181"/>
      <c r="R6" s="181"/>
      <c r="S6" s="181"/>
      <c r="T6" s="181"/>
      <c r="U6" s="181"/>
      <c r="V6" s="181"/>
      <c r="W6" s="181"/>
      <c r="X6" s="181"/>
      <c r="Y6" s="181"/>
      <c r="Z6" s="181"/>
      <c r="AA6" s="181"/>
      <c r="AB6" s="181"/>
      <c r="AC6" s="181"/>
      <c r="AD6" s="181"/>
      <c r="AE6" s="181"/>
      <c r="AF6" s="181"/>
    </row>
    <row r="7" spans="1:32">
      <c r="F7" s="191"/>
      <c r="G7" s="212"/>
      <c r="J7" s="195" t="s">
        <v>170</v>
      </c>
      <c r="K7" s="196">
        <f>K5-K6</f>
        <v>3206.0240000000081</v>
      </c>
      <c r="O7" s="181"/>
      <c r="P7" s="181"/>
      <c r="Q7" s="181"/>
      <c r="R7" s="181"/>
      <c r="S7" s="181"/>
      <c r="T7" s="181"/>
      <c r="U7" s="181"/>
      <c r="V7" s="181"/>
      <c r="W7" s="181"/>
      <c r="X7" s="181"/>
      <c r="Y7" s="181"/>
      <c r="Z7" s="181"/>
      <c r="AA7" s="181"/>
      <c r="AB7" s="181"/>
      <c r="AC7" s="181"/>
      <c r="AD7" s="181"/>
      <c r="AE7" s="181"/>
      <c r="AF7" s="181"/>
    </row>
    <row r="8" spans="1:32">
      <c r="A8" s="183"/>
      <c r="F8" s="193" t="s">
        <v>164</v>
      </c>
      <c r="G8" s="194">
        <f>G5*(1-G6)</f>
        <v>2935.4387464000065</v>
      </c>
      <c r="H8" s="184"/>
      <c r="J8" s="205" t="s">
        <v>171</v>
      </c>
      <c r="K8" s="223">
        <f>'FCFF &amp; FCFE'!G6</f>
        <v>0.20039999999999999</v>
      </c>
      <c r="O8" s="181"/>
      <c r="P8" s="181"/>
      <c r="Q8" s="181"/>
      <c r="R8" s="181"/>
      <c r="S8" s="181"/>
      <c r="T8" s="181"/>
      <c r="U8" s="181"/>
      <c r="V8" s="181"/>
      <c r="W8" s="181"/>
      <c r="X8" s="181"/>
      <c r="Y8" s="181"/>
      <c r="Z8" s="181"/>
      <c r="AA8" s="181"/>
      <c r="AB8" s="181"/>
      <c r="AC8" s="181"/>
      <c r="AD8" s="181"/>
      <c r="AE8" s="181"/>
      <c r="AF8" s="181"/>
    </row>
    <row r="9" spans="1:32">
      <c r="A9" s="183"/>
      <c r="F9" s="205"/>
      <c r="G9" s="213"/>
      <c r="J9" s="197" t="s">
        <v>172</v>
      </c>
      <c r="K9" s="198">
        <f>K7*(1-K8)</f>
        <v>2563.5367904000063</v>
      </c>
      <c r="O9" s="181"/>
      <c r="P9" s="181"/>
      <c r="Q9" s="181"/>
      <c r="R9" s="181"/>
      <c r="S9" s="181"/>
      <c r="T9" s="181"/>
      <c r="U9" s="181"/>
      <c r="V9" s="181"/>
      <c r="W9" s="181"/>
      <c r="X9" s="181"/>
      <c r="Y9" s="181"/>
      <c r="Z9" s="181"/>
      <c r="AA9" s="181"/>
      <c r="AB9" s="181"/>
      <c r="AC9" s="181"/>
      <c r="AD9" s="181"/>
      <c r="AE9" s="181"/>
      <c r="AF9" s="181"/>
    </row>
    <row r="10" spans="1:32">
      <c r="A10" s="179"/>
      <c r="F10" s="193" t="str">
        <f>'Net CapEx'!B9</f>
        <v>Adjusted Net Capital Expenditures</v>
      </c>
      <c r="G10" s="194">
        <f>'Net CapEx'!C9</f>
        <v>3297.9839999999995</v>
      </c>
      <c r="J10" s="189"/>
      <c r="K10" s="189"/>
      <c r="O10" s="181"/>
      <c r="P10" s="181"/>
      <c r="Q10" s="181"/>
      <c r="R10" s="181"/>
      <c r="S10" s="181"/>
      <c r="T10" s="181"/>
      <c r="U10" s="181"/>
      <c r="V10" s="181"/>
      <c r="W10" s="181"/>
      <c r="X10" s="181"/>
      <c r="Y10" s="181"/>
      <c r="Z10" s="181"/>
      <c r="AA10" s="181"/>
      <c r="AB10" s="181"/>
      <c r="AC10" s="181"/>
      <c r="AD10" s="181"/>
      <c r="AE10" s="181"/>
      <c r="AF10" s="181"/>
    </row>
    <row r="11" spans="1:32">
      <c r="A11" s="183"/>
      <c r="F11" s="193" t="str">
        <f>'Working Capital Changes'!B11</f>
        <v>Adj Change in Non Cash WC</v>
      </c>
      <c r="G11" s="194">
        <f>'Working Capital Changes'!C11</f>
        <v>1955.7274612714577</v>
      </c>
      <c r="J11" s="193" t="str">
        <f>F12</f>
        <v>Reinvestment</v>
      </c>
      <c r="K11" s="194">
        <f>G12</f>
        <v>5253.7114612714577</v>
      </c>
      <c r="O11" s="181"/>
      <c r="P11" s="181"/>
      <c r="Q11" s="181"/>
      <c r="R11" s="181"/>
      <c r="S11" s="181"/>
      <c r="T11" s="181"/>
      <c r="U11" s="181"/>
      <c r="V11" s="181"/>
      <c r="W11" s="181"/>
      <c r="X11" s="181"/>
      <c r="Y11" s="181"/>
      <c r="Z11" s="181"/>
      <c r="AA11" s="181"/>
      <c r="AB11" s="181"/>
      <c r="AC11" s="181"/>
      <c r="AD11" s="181"/>
      <c r="AE11" s="181"/>
      <c r="AF11" s="181"/>
    </row>
    <row r="12" spans="1:32">
      <c r="F12" s="197" t="s">
        <v>167</v>
      </c>
      <c r="G12" s="222">
        <f>G10+G11</f>
        <v>5253.7114612714577</v>
      </c>
      <c r="J12" s="193"/>
      <c r="K12" s="166"/>
      <c r="O12" s="181"/>
      <c r="P12" s="181"/>
      <c r="Q12" s="181"/>
      <c r="R12" s="181"/>
      <c r="S12" s="181"/>
      <c r="T12" s="181"/>
      <c r="U12" s="181"/>
      <c r="V12" s="181"/>
      <c r="W12" s="181"/>
      <c r="X12" s="181"/>
      <c r="Y12" s="181"/>
      <c r="Z12" s="181"/>
      <c r="AA12" s="181"/>
      <c r="AB12" s="181"/>
      <c r="AC12" s="181"/>
      <c r="AD12" s="181"/>
      <c r="AE12" s="181"/>
      <c r="AF12" s="181"/>
    </row>
    <row r="13" spans="1:32">
      <c r="A13" s="183"/>
      <c r="B13" s="179"/>
      <c r="C13" s="219"/>
      <c r="F13" s="189"/>
      <c r="G13" s="189"/>
      <c r="J13" s="193" t="s">
        <v>173</v>
      </c>
      <c r="K13" s="194">
        <f>7.38+449.8</f>
        <v>457.18</v>
      </c>
      <c r="O13" s="181"/>
      <c r="P13" s="181"/>
      <c r="Q13" s="181"/>
      <c r="R13" s="181"/>
      <c r="S13" s="181"/>
      <c r="T13" s="181"/>
      <c r="U13" s="181"/>
      <c r="V13" s="181"/>
      <c r="W13" s="181"/>
      <c r="X13" s="181"/>
      <c r="Y13" s="181"/>
      <c r="Z13" s="181"/>
      <c r="AA13" s="181"/>
      <c r="AB13" s="181"/>
      <c r="AC13" s="181"/>
      <c r="AD13" s="181"/>
      <c r="AE13" s="181"/>
      <c r="AF13" s="181"/>
    </row>
    <row r="14" spans="1:32">
      <c r="D14" s="181"/>
      <c r="E14" s="181"/>
      <c r="F14" s="193" t="s">
        <v>166</v>
      </c>
      <c r="G14" s="200">
        <f>G8-G12</f>
        <v>-2318.2727148714512</v>
      </c>
      <c r="H14" s="181"/>
      <c r="J14" s="193" t="s">
        <v>174</v>
      </c>
      <c r="K14" s="194">
        <f>1463.06</f>
        <v>1463.06</v>
      </c>
      <c r="O14" s="181"/>
      <c r="P14" s="181"/>
      <c r="Q14" s="181"/>
      <c r="R14" s="181"/>
      <c r="S14" s="181"/>
      <c r="T14" s="181"/>
      <c r="U14" s="181"/>
      <c r="V14" s="181"/>
      <c r="W14" s="181"/>
      <c r="X14" s="181"/>
      <c r="Y14" s="181"/>
      <c r="Z14" s="181"/>
      <c r="AA14" s="181"/>
      <c r="AB14" s="181"/>
      <c r="AC14" s="181"/>
      <c r="AD14" s="181"/>
      <c r="AE14" s="181"/>
      <c r="AF14" s="181"/>
    </row>
    <row r="15" spans="1:32">
      <c r="E15" s="186"/>
      <c r="F15" s="186"/>
      <c r="J15" s="197" t="s">
        <v>176</v>
      </c>
      <c r="K15" s="198">
        <f>K14-K13</f>
        <v>1005.8799999999999</v>
      </c>
      <c r="O15" s="181"/>
      <c r="P15" s="181"/>
      <c r="Q15" s="181"/>
      <c r="R15" s="181"/>
      <c r="S15" s="181"/>
      <c r="T15" s="181"/>
      <c r="U15" s="181"/>
      <c r="V15" s="181"/>
      <c r="W15" s="181"/>
      <c r="X15" s="181"/>
      <c r="Y15" s="181"/>
      <c r="Z15" s="181"/>
      <c r="AA15" s="181"/>
      <c r="AB15" s="181"/>
      <c r="AC15" s="181"/>
      <c r="AD15" s="181"/>
      <c r="AE15" s="181"/>
      <c r="AF15" s="181"/>
    </row>
    <row r="16" spans="1:32">
      <c r="E16" s="81"/>
      <c r="F16" s="81"/>
      <c r="J16" s="189"/>
      <c r="K16" s="189"/>
      <c r="O16" s="181"/>
      <c r="P16" s="181"/>
      <c r="Q16" s="181"/>
      <c r="R16" s="181"/>
      <c r="S16" s="181"/>
      <c r="T16" s="181"/>
      <c r="U16" s="181"/>
      <c r="V16" s="181"/>
      <c r="W16" s="181"/>
      <c r="X16" s="181"/>
      <c r="Y16" s="181"/>
      <c r="Z16" s="181"/>
      <c r="AA16" s="181"/>
      <c r="AB16" s="181"/>
      <c r="AC16" s="181"/>
      <c r="AD16" s="181"/>
      <c r="AE16" s="181"/>
      <c r="AF16" s="181"/>
    </row>
    <row r="17" spans="1:32">
      <c r="E17" s="188"/>
      <c r="F17" s="188"/>
      <c r="J17" s="193" t="s">
        <v>175</v>
      </c>
      <c r="K17" s="200">
        <f>K9-K11+K15</f>
        <v>-1684.2946708714514</v>
      </c>
      <c r="L17" s="181"/>
      <c r="O17" s="181"/>
      <c r="P17" s="181"/>
      <c r="Q17" s="181"/>
      <c r="R17" s="181"/>
      <c r="S17" s="181"/>
      <c r="T17" s="181"/>
      <c r="U17" s="181"/>
      <c r="V17" s="181"/>
      <c r="W17" s="181"/>
      <c r="X17" s="181"/>
      <c r="Y17" s="181"/>
      <c r="Z17" s="181"/>
      <c r="AA17" s="181"/>
      <c r="AB17" s="181"/>
      <c r="AC17" s="181"/>
      <c r="AD17" s="181"/>
      <c r="AE17" s="181"/>
      <c r="AF17" s="181"/>
    </row>
    <row r="18" spans="1:32">
      <c r="A18" s="183" t="s">
        <v>94</v>
      </c>
      <c r="G18" s="217"/>
      <c r="H18" s="218"/>
      <c r="I18" s="218"/>
      <c r="J18" s="218"/>
      <c r="K18" s="181"/>
      <c r="L18" s="181"/>
      <c r="M18" s="181"/>
      <c r="N18" s="181"/>
      <c r="O18" s="181"/>
      <c r="P18" s="181"/>
      <c r="Q18" s="181"/>
      <c r="R18" s="181"/>
      <c r="S18" s="181"/>
      <c r="T18" s="181"/>
      <c r="U18" s="181"/>
      <c r="V18" s="181"/>
      <c r="W18" s="181"/>
      <c r="X18" s="181"/>
      <c r="Y18" s="181"/>
      <c r="Z18" s="181"/>
      <c r="AA18" s="181"/>
      <c r="AB18" s="181"/>
      <c r="AC18" s="181"/>
      <c r="AD18" s="181"/>
      <c r="AE18" s="181"/>
      <c r="AF18" s="181"/>
    </row>
    <row r="19" spans="1:32">
      <c r="G19" s="48"/>
      <c r="H19" s="48"/>
      <c r="I19" s="185"/>
      <c r="J19" s="185"/>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1:32">
      <c r="A20" s="183"/>
      <c r="G20" s="119"/>
      <c r="H20" s="119"/>
      <c r="I20" s="208"/>
      <c r="J20" s="210"/>
      <c r="K20" s="181"/>
      <c r="L20" s="181"/>
      <c r="M20" s="181"/>
      <c r="N20" s="181"/>
      <c r="O20" s="181"/>
      <c r="P20" s="181"/>
      <c r="Q20" s="181"/>
      <c r="R20" s="181"/>
      <c r="S20" s="181"/>
      <c r="T20" s="181"/>
      <c r="U20" s="181"/>
      <c r="V20" s="181"/>
      <c r="W20" s="181"/>
      <c r="X20" s="181"/>
      <c r="Y20" s="181"/>
      <c r="Z20" s="181"/>
      <c r="AA20" s="181"/>
      <c r="AB20" s="181"/>
      <c r="AC20" s="181"/>
      <c r="AD20" s="181"/>
      <c r="AE20" s="181"/>
      <c r="AF20" s="181"/>
    </row>
    <row r="21" spans="1:32">
      <c r="G21" s="119"/>
      <c r="H21" s="119"/>
      <c r="I21" s="208"/>
      <c r="J21" s="210"/>
      <c r="K21" s="181"/>
      <c r="L21" s="181"/>
      <c r="M21" s="181"/>
      <c r="N21" s="181"/>
      <c r="O21" s="181"/>
      <c r="P21" s="181"/>
      <c r="Q21" s="181"/>
      <c r="R21" s="181"/>
      <c r="S21" s="181"/>
      <c r="T21" s="181"/>
      <c r="U21" s="181"/>
      <c r="V21" s="181"/>
      <c r="W21" s="181"/>
      <c r="X21" s="181"/>
      <c r="Y21" s="181"/>
      <c r="Z21" s="181"/>
      <c r="AA21" s="181"/>
      <c r="AB21" s="181"/>
      <c r="AC21" s="181"/>
      <c r="AD21" s="181"/>
      <c r="AE21" s="181"/>
      <c r="AF21" s="181"/>
    </row>
    <row r="22" spans="1:32">
      <c r="E22" s="214"/>
      <c r="G22" s="119"/>
      <c r="H22" s="119"/>
      <c r="I22" s="208"/>
      <c r="J22" s="210"/>
      <c r="K22" s="181"/>
      <c r="L22" s="181"/>
      <c r="M22" s="181"/>
      <c r="N22" s="181"/>
      <c r="O22" s="181"/>
      <c r="P22" s="181"/>
      <c r="Q22" s="181"/>
      <c r="R22" s="181"/>
      <c r="S22" s="181"/>
      <c r="T22" s="181"/>
      <c r="U22" s="181"/>
      <c r="V22" s="181"/>
      <c r="W22" s="181"/>
      <c r="X22" s="181"/>
      <c r="Y22" s="181"/>
      <c r="Z22" s="181"/>
      <c r="AA22" s="181"/>
      <c r="AB22" s="181"/>
      <c r="AC22" s="181"/>
      <c r="AD22" s="181"/>
      <c r="AE22" s="181"/>
      <c r="AF22" s="181"/>
    </row>
    <row r="23" spans="1:32">
      <c r="F23" s="221"/>
      <c r="G23" s="119"/>
      <c r="H23" s="119"/>
      <c r="I23" s="208"/>
      <c r="J23" s="210"/>
      <c r="K23" s="181"/>
      <c r="L23" s="181"/>
      <c r="M23" s="181"/>
      <c r="N23" s="181"/>
      <c r="O23" s="181"/>
      <c r="P23" s="181"/>
      <c r="Q23" s="181"/>
      <c r="R23" s="181"/>
      <c r="S23" s="181"/>
      <c r="T23" s="181"/>
      <c r="U23" s="181"/>
      <c r="V23" s="181"/>
      <c r="W23" s="181"/>
      <c r="X23" s="181"/>
      <c r="Y23" s="181"/>
      <c r="Z23" s="181"/>
      <c r="AA23" s="181"/>
      <c r="AB23" s="181"/>
      <c r="AC23" s="181"/>
      <c r="AD23" s="181"/>
      <c r="AE23" s="181"/>
      <c r="AF23" s="181"/>
    </row>
    <row r="24" spans="1:32">
      <c r="G24" s="119"/>
      <c r="H24" s="119"/>
      <c r="I24" s="208"/>
      <c r="J24" s="210"/>
      <c r="K24" s="181"/>
      <c r="L24" s="181"/>
      <c r="M24" s="181"/>
      <c r="N24" s="181"/>
      <c r="O24" s="181"/>
      <c r="P24" s="181"/>
      <c r="Q24" s="181"/>
      <c r="R24" s="181"/>
      <c r="S24" s="181"/>
      <c r="T24" s="181"/>
      <c r="U24" s="181"/>
      <c r="V24" s="181"/>
      <c r="W24" s="181"/>
      <c r="X24" s="181"/>
      <c r="Y24" s="181"/>
      <c r="Z24" s="181"/>
      <c r="AA24" s="181"/>
      <c r="AB24" s="181"/>
      <c r="AC24" s="181"/>
      <c r="AD24" s="181"/>
      <c r="AE24" s="181"/>
      <c r="AF24" s="181"/>
    </row>
    <row r="25" spans="1:32">
      <c r="G25" s="119"/>
      <c r="H25" s="119"/>
      <c r="I25" s="208"/>
      <c r="J25" s="210"/>
      <c r="K25" s="181"/>
      <c r="L25" s="181"/>
      <c r="M25" s="181"/>
      <c r="N25" s="181"/>
      <c r="O25" s="181"/>
      <c r="P25" s="181"/>
      <c r="Q25" s="181"/>
      <c r="R25" s="181"/>
      <c r="S25" s="181"/>
      <c r="T25" s="181"/>
      <c r="U25" s="181"/>
      <c r="V25" s="181"/>
      <c r="W25" s="181"/>
      <c r="X25" s="181"/>
      <c r="Y25" s="181"/>
      <c r="Z25" s="181"/>
      <c r="AA25" s="181"/>
      <c r="AB25" s="181"/>
      <c r="AC25" s="181"/>
      <c r="AD25" s="181"/>
      <c r="AE25" s="181"/>
      <c r="AF25" s="181"/>
    </row>
    <row r="26" spans="1:32">
      <c r="G26" s="119"/>
      <c r="H26" s="119"/>
      <c r="I26" s="208"/>
      <c r="J26" s="210"/>
      <c r="K26" s="181"/>
      <c r="L26" s="181"/>
      <c r="M26" s="181"/>
      <c r="N26" s="181"/>
      <c r="O26" s="181"/>
      <c r="P26" s="181"/>
      <c r="Q26" s="181"/>
      <c r="R26" s="181"/>
      <c r="S26" s="181"/>
      <c r="T26" s="181"/>
      <c r="U26" s="181"/>
      <c r="V26" s="181"/>
      <c r="W26" s="181"/>
      <c r="X26" s="181"/>
      <c r="Y26" s="181"/>
      <c r="Z26" s="181"/>
      <c r="AA26" s="181"/>
      <c r="AB26" s="181"/>
      <c r="AC26" s="181"/>
      <c r="AD26" s="181"/>
      <c r="AE26" s="181"/>
      <c r="AF26" s="181"/>
    </row>
    <row r="27" spans="1:32">
      <c r="G27" s="119"/>
      <c r="H27" s="119"/>
      <c r="I27" s="208"/>
      <c r="J27" s="210"/>
      <c r="K27" s="181"/>
      <c r="L27" s="181"/>
      <c r="M27" s="181"/>
      <c r="N27" s="181"/>
      <c r="O27" s="181"/>
      <c r="P27" s="181"/>
      <c r="Q27" s="181"/>
      <c r="R27" s="181"/>
      <c r="S27" s="181"/>
      <c r="T27" s="181"/>
      <c r="U27" s="181"/>
      <c r="V27" s="181"/>
      <c r="W27" s="181"/>
      <c r="X27" s="181"/>
      <c r="Y27" s="181"/>
      <c r="Z27" s="181"/>
      <c r="AA27" s="181"/>
      <c r="AB27" s="181"/>
      <c r="AC27" s="181"/>
      <c r="AD27" s="181"/>
      <c r="AE27" s="181"/>
      <c r="AF27" s="181"/>
    </row>
    <row r="28" spans="1:32">
      <c r="G28" s="216"/>
      <c r="H28" s="216"/>
      <c r="I28" s="216"/>
      <c r="J28" s="215"/>
      <c r="K28" s="181"/>
      <c r="L28" s="181"/>
      <c r="M28" s="181"/>
      <c r="N28" s="181"/>
      <c r="O28" s="181"/>
      <c r="P28" s="181"/>
      <c r="Q28" s="181"/>
      <c r="R28" s="181"/>
      <c r="S28" s="181"/>
      <c r="T28" s="181"/>
      <c r="U28" s="181"/>
      <c r="V28" s="181"/>
      <c r="W28" s="181"/>
      <c r="X28" s="181"/>
      <c r="Y28" s="181"/>
      <c r="Z28" s="181"/>
      <c r="AA28" s="181"/>
      <c r="AB28" s="181"/>
      <c r="AC28" s="181"/>
      <c r="AD28" s="181"/>
      <c r="AE28" s="181"/>
      <c r="AF28" s="181"/>
    </row>
    <row r="29" spans="1:32">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1:32" ht="14.25" customHeight="1">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1:32">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1:32">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7:32">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7:32">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7:32">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7:32">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7:32">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7:32">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6" t="s">
        <v>211</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76" customWidth="1"/>
    <col min="2" max="2" width="29.28515625" style="176" customWidth="1"/>
    <col min="3" max="3" width="11.7109375" style="176" customWidth="1"/>
    <col min="4" max="4" width="4.85546875" style="176" customWidth="1"/>
    <col min="5" max="5" width="26.7109375" style="176" customWidth="1"/>
    <col min="6" max="6" width="11.7109375" style="176" customWidth="1" collapsed="1"/>
    <col min="7" max="7" width="14.140625" style="176" customWidth="1"/>
    <col min="8" max="8" width="11.5703125" style="176" customWidth="1"/>
    <col min="9" max="9" width="3" style="176" customWidth="1"/>
    <col min="10" max="10" width="27.5703125" style="176" customWidth="1"/>
    <col min="11" max="11" width="14.5703125" style="176" customWidth="1"/>
    <col min="12" max="12" width="13.7109375" style="176" bestFit="1" customWidth="1"/>
    <col min="13" max="13" width="11" style="176" customWidth="1"/>
    <col min="14" max="25" width="9.140625" style="176" customWidth="1"/>
    <col min="26" max="26" width="9.28515625" style="176" customWidth="1"/>
    <col min="27" max="27" width="9.42578125" style="176" customWidth="1"/>
    <col min="28" max="28" width="10" style="176" customWidth="1"/>
    <col min="29" max="29" width="11.42578125" style="176" customWidth="1"/>
    <col min="30" max="30" width="9.42578125" style="176" bestFit="1" customWidth="1" collapsed="1"/>
    <col min="31" max="16384" width="9.140625" style="176"/>
  </cols>
  <sheetData>
    <row r="1" spans="1:31" s="175" customFormat="1" ht="15" customHeight="1">
      <c r="B1" s="17" t="s">
        <v>197</v>
      </c>
      <c r="C1" s="174"/>
      <c r="D1" s="174"/>
      <c r="E1" s="174"/>
      <c r="F1" s="174"/>
      <c r="G1" s="174"/>
      <c r="H1" s="174"/>
      <c r="I1" s="174"/>
      <c r="J1" s="174"/>
      <c r="K1" s="174"/>
    </row>
    <row r="2" spans="1:31" ht="12" customHeight="1">
      <c r="C2" s="202"/>
    </row>
    <row r="3" spans="1:31" ht="12" customHeight="1">
      <c r="A3" s="178"/>
      <c r="B3" s="205" t="s">
        <v>167</v>
      </c>
      <c r="C3" s="194">
        <f>'FCFF &amp; FCFE'!G12</f>
        <v>5253.7114612714577</v>
      </c>
      <c r="E3" s="217"/>
      <c r="F3" s="217"/>
      <c r="G3" s="217"/>
      <c r="I3" s="269"/>
      <c r="K3" s="186"/>
    </row>
    <row r="4" spans="1:31" ht="12" customHeight="1">
      <c r="A4" s="183"/>
      <c r="B4" s="193" t="s">
        <v>354</v>
      </c>
      <c r="C4" s="194">
        <f>'FCFF &amp; FCFE'!G8</f>
        <v>2935.4387464000065</v>
      </c>
      <c r="E4" s="423" t="s">
        <v>287</v>
      </c>
      <c r="F4" s="423"/>
      <c r="G4" s="423"/>
      <c r="H4" s="423"/>
      <c r="J4" s="423" t="s">
        <v>338</v>
      </c>
      <c r="K4" s="423"/>
      <c r="L4" s="423"/>
      <c r="M4" s="423"/>
      <c r="P4" s="180"/>
      <c r="Q4" s="180"/>
      <c r="R4" s="180"/>
      <c r="S4" s="180"/>
      <c r="T4" s="180"/>
      <c r="U4" s="180"/>
      <c r="Z4" s="180"/>
    </row>
    <row r="5" spans="1:31" ht="12" customHeight="1">
      <c r="A5" s="183"/>
      <c r="B5" s="390" t="s">
        <v>201</v>
      </c>
      <c r="C5" s="391">
        <f>C3/C4</f>
        <v>1.7897533946891442</v>
      </c>
      <c r="E5" s="371" t="s">
        <v>337</v>
      </c>
      <c r="F5" s="371" t="s">
        <v>99</v>
      </c>
      <c r="G5" s="326" t="s">
        <v>237</v>
      </c>
      <c r="H5" s="326" t="s">
        <v>372</v>
      </c>
      <c r="J5" s="371" t="s">
        <v>339</v>
      </c>
      <c r="K5" s="371" t="s">
        <v>99</v>
      </c>
      <c r="L5" s="372" t="s">
        <v>237</v>
      </c>
      <c r="M5" s="372" t="s">
        <v>372</v>
      </c>
      <c r="O5" s="181"/>
      <c r="P5" s="181"/>
      <c r="Q5" s="181"/>
      <c r="R5" s="181"/>
      <c r="S5" s="181"/>
      <c r="T5" s="181"/>
      <c r="U5" s="181"/>
      <c r="V5" s="181"/>
      <c r="W5" s="181"/>
      <c r="X5" s="181"/>
      <c r="Y5" s="181"/>
      <c r="Z5" s="181"/>
      <c r="AA5" s="181"/>
      <c r="AB5" s="181"/>
      <c r="AC5" s="181"/>
    </row>
    <row r="6" spans="1:31" ht="12" customHeight="1">
      <c r="A6" s="183"/>
      <c r="E6" s="73" t="s">
        <v>288</v>
      </c>
      <c r="F6" s="73" t="s">
        <v>301</v>
      </c>
      <c r="G6" s="369">
        <f>35457300/28215800</f>
        <v>1.2566469850225761</v>
      </c>
      <c r="H6" s="414">
        <v>0.1948</v>
      </c>
      <c r="J6" s="73" t="s">
        <v>95</v>
      </c>
      <c r="K6" s="73" t="s">
        <v>335</v>
      </c>
      <c r="L6" s="139">
        <f>44503900/28613800</f>
        <v>1.5553299456905409</v>
      </c>
      <c r="M6" s="414">
        <v>5.8599999999999999E-2</v>
      </c>
      <c r="O6" s="181"/>
      <c r="P6" s="181"/>
      <c r="Q6" s="181"/>
      <c r="R6" s="181"/>
      <c r="S6" s="181"/>
      <c r="T6" s="181"/>
      <c r="U6" s="181"/>
      <c r="V6" s="181"/>
      <c r="W6" s="181"/>
      <c r="X6" s="181"/>
      <c r="Y6" s="181"/>
      <c r="Z6" s="181"/>
      <c r="AA6" s="181"/>
      <c r="AB6" s="181"/>
      <c r="AC6" s="181"/>
    </row>
    <row r="7" spans="1:31" ht="12" customHeight="1">
      <c r="B7" s="193" t="s">
        <v>354</v>
      </c>
      <c r="C7" s="194">
        <f>'FCFF &amp; FCFE'!G8</f>
        <v>2935.4387464000065</v>
      </c>
      <c r="E7" s="73" t="s">
        <v>289</v>
      </c>
      <c r="F7" s="73" t="s">
        <v>302</v>
      </c>
      <c r="G7" s="136">
        <f>12417000/32482000</f>
        <v>0.38227325903577364</v>
      </c>
      <c r="H7" s="414">
        <v>0.1293</v>
      </c>
      <c r="J7" s="73" t="s">
        <v>98</v>
      </c>
      <c r="K7" s="73" t="s">
        <v>100</v>
      </c>
      <c r="L7" s="139">
        <f>10408410/10827160</f>
        <v>0.96132411454157873</v>
      </c>
      <c r="M7" s="414">
        <v>0.38579999999999998</v>
      </c>
      <c r="O7" s="181"/>
      <c r="P7" s="181"/>
      <c r="Q7" s="181"/>
      <c r="R7" s="181"/>
      <c r="S7" s="181"/>
      <c r="T7" s="181"/>
      <c r="U7" s="181"/>
      <c r="V7" s="181"/>
      <c r="W7" s="181"/>
      <c r="X7" s="181"/>
      <c r="Y7" s="181"/>
      <c r="Z7" s="181"/>
      <c r="AA7" s="181"/>
      <c r="AB7" s="181"/>
      <c r="AC7" s="181"/>
    </row>
    <row r="8" spans="1:31" ht="12" customHeight="1">
      <c r="A8" s="183"/>
      <c r="B8" s="193" t="s">
        <v>209</v>
      </c>
      <c r="C8" s="194">
        <f>WACC!F9+WACC!F10-(658.9+2011.53)</f>
        <v>16654.8</v>
      </c>
      <c r="E8" s="73" t="s">
        <v>290</v>
      </c>
      <c r="F8" s="73" t="s">
        <v>303</v>
      </c>
      <c r="G8" s="369">
        <f>6963000/8192000</f>
        <v>0.8499755859375</v>
      </c>
      <c r="H8" s="414">
        <v>0.159</v>
      </c>
      <c r="J8" s="73" t="s">
        <v>101</v>
      </c>
      <c r="K8" s="73" t="s">
        <v>102</v>
      </c>
      <c r="L8" s="137">
        <f>81362200/40056500</f>
        <v>2.0311859498458427</v>
      </c>
      <c r="M8" s="414">
        <v>7.0000000000000007E-2</v>
      </c>
      <c r="O8" s="181"/>
      <c r="P8" s="181"/>
      <c r="Q8" s="181"/>
      <c r="R8" s="181"/>
      <c r="S8" s="181"/>
      <c r="T8" s="181"/>
      <c r="U8" s="181"/>
      <c r="V8" s="181"/>
      <c r="W8" s="181"/>
      <c r="X8" s="181"/>
      <c r="Y8" s="181"/>
      <c r="Z8" s="181"/>
      <c r="AA8" s="181"/>
      <c r="AB8" s="181"/>
      <c r="AC8" s="181"/>
    </row>
    <row r="9" spans="1:31" ht="12" customHeight="1">
      <c r="A9" s="183"/>
      <c r="B9" s="383" t="s">
        <v>202</v>
      </c>
      <c r="C9" s="392">
        <f>C7/C8</f>
        <v>0.17625181607704726</v>
      </c>
      <c r="E9" s="73" t="s">
        <v>291</v>
      </c>
      <c r="F9" s="73" t="s">
        <v>304</v>
      </c>
      <c r="G9" s="136">
        <f>1445005000/1092874000</f>
        <v>1.3222064025679081</v>
      </c>
      <c r="H9" s="414">
        <v>8.5699999999999998E-2</v>
      </c>
      <c r="J9" s="73" t="s">
        <v>103</v>
      </c>
      <c r="K9" s="73" t="s">
        <v>104</v>
      </c>
      <c r="L9" s="137">
        <f>17194900/12646900</f>
        <v>1.3596138184060915</v>
      </c>
      <c r="M9" s="414">
        <v>0.25340000000000001</v>
      </c>
      <c r="O9" s="181"/>
      <c r="P9" s="181"/>
      <c r="Q9" s="181"/>
      <c r="R9" s="181"/>
      <c r="S9" s="181"/>
      <c r="T9" s="181"/>
      <c r="U9" s="181"/>
      <c r="V9" s="181"/>
      <c r="W9" s="181"/>
      <c r="X9" s="181"/>
      <c r="Y9" s="181"/>
      <c r="Z9" s="181"/>
      <c r="AA9" s="181"/>
      <c r="AB9" s="181"/>
      <c r="AC9" s="181"/>
    </row>
    <row r="10" spans="1:31">
      <c r="A10" s="179"/>
      <c r="E10" s="73" t="s">
        <v>292</v>
      </c>
      <c r="F10" s="73" t="s">
        <v>305</v>
      </c>
      <c r="G10" s="136">
        <f>9038271/1535373</f>
        <v>5.8866939825045774</v>
      </c>
      <c r="H10" s="414">
        <v>0.1578</v>
      </c>
      <c r="J10" s="73" t="s">
        <v>106</v>
      </c>
      <c r="K10" s="73" t="s">
        <v>105</v>
      </c>
      <c r="L10" s="137">
        <f>16661773/8496180</f>
        <v>1.9610899251192888</v>
      </c>
      <c r="M10" s="414">
        <v>4.4200000000000003E-2</v>
      </c>
      <c r="O10" s="181"/>
      <c r="P10" s="181"/>
      <c r="Q10" s="181"/>
      <c r="R10" s="181"/>
      <c r="S10" s="181"/>
      <c r="T10" s="181"/>
      <c r="U10" s="181"/>
      <c r="V10" s="181"/>
      <c r="W10" s="181"/>
      <c r="X10" s="181"/>
      <c r="Y10" s="181"/>
      <c r="Z10" s="181"/>
      <c r="AA10" s="181"/>
      <c r="AB10" s="181"/>
      <c r="AC10" s="181"/>
    </row>
    <row r="11" spans="1:31">
      <c r="A11" s="183"/>
      <c r="B11" s="193" t="s">
        <v>197</v>
      </c>
      <c r="C11" s="55">
        <f>C5*C9</f>
        <v>0.31544728614402201</v>
      </c>
      <c r="E11" s="73" t="s">
        <v>293</v>
      </c>
      <c r="F11" s="73" t="s">
        <v>306</v>
      </c>
      <c r="G11" s="136">
        <f>1032202000/707732000</f>
        <v>1.4584645035126291</v>
      </c>
      <c r="H11" s="414">
        <v>3.4200000000000001E-2</v>
      </c>
      <c r="J11" s="73" t="s">
        <v>107</v>
      </c>
      <c r="K11" s="73" t="s">
        <v>108</v>
      </c>
      <c r="L11" s="137">
        <f>32346600/2918100</f>
        <v>11.08481546211576</v>
      </c>
      <c r="M11" s="414">
        <v>4.7199999999999999E-2</v>
      </c>
      <c r="O11" s="181"/>
      <c r="P11" s="181"/>
      <c r="Q11" s="181"/>
      <c r="R11" s="181"/>
      <c r="S11" s="181"/>
      <c r="T11" s="181"/>
      <c r="U11" s="181"/>
      <c r="V11" s="181"/>
      <c r="W11" s="181"/>
      <c r="X11" s="181"/>
      <c r="Y11" s="181"/>
      <c r="Z11" s="181"/>
      <c r="AA11" s="181"/>
      <c r="AB11" s="181"/>
      <c r="AC11" s="181"/>
    </row>
    <row r="12" spans="1:31">
      <c r="B12" s="181"/>
      <c r="E12" s="73" t="s">
        <v>294</v>
      </c>
      <c r="F12" s="73" t="s">
        <v>307</v>
      </c>
      <c r="G12" s="136">
        <f>4775374978/4954853488</f>
        <v>0.96377723167099227</v>
      </c>
      <c r="H12" s="414">
        <v>6.8099999999999994E-2</v>
      </c>
      <c r="J12" s="73" t="s">
        <v>109</v>
      </c>
      <c r="K12" s="73" t="s">
        <v>110</v>
      </c>
      <c r="L12" s="137">
        <f>30560400/12519800</f>
        <v>2.4409655106311603</v>
      </c>
      <c r="M12" s="414">
        <v>-1.7299999999999999E-2</v>
      </c>
      <c r="O12" s="181"/>
      <c r="P12" s="181"/>
      <c r="Q12" s="181"/>
      <c r="R12" s="181"/>
      <c r="S12" s="181"/>
      <c r="T12" s="181"/>
      <c r="U12" s="181"/>
      <c r="V12" s="181"/>
      <c r="W12" s="181"/>
      <c r="X12" s="181"/>
      <c r="Y12" s="181"/>
      <c r="Z12" s="181"/>
      <c r="AA12" s="181"/>
      <c r="AB12" s="181"/>
      <c r="AC12" s="181"/>
    </row>
    <row r="13" spans="1:31">
      <c r="A13" s="183"/>
      <c r="B13" s="179"/>
      <c r="C13" s="219"/>
      <c r="E13" s="73" t="s">
        <v>295</v>
      </c>
      <c r="F13" s="73" t="s">
        <v>308</v>
      </c>
      <c r="G13" s="136">
        <f>272032000/233105000</f>
        <v>1.1669934149846635</v>
      </c>
      <c r="H13" s="414">
        <v>6.8699999999999997E-2</v>
      </c>
      <c r="J13" s="73" t="s">
        <v>111</v>
      </c>
      <c r="K13" s="73" t="s">
        <v>112</v>
      </c>
      <c r="L13" s="137">
        <f>31903200/24135100</f>
        <v>1.3218590351811264</v>
      </c>
      <c r="M13" s="414">
        <v>-0.1366</v>
      </c>
      <c r="O13" s="181"/>
      <c r="P13" s="181"/>
      <c r="Q13" s="181"/>
      <c r="R13" s="181"/>
      <c r="S13" s="181"/>
      <c r="T13" s="181"/>
      <c r="U13" s="181"/>
      <c r="V13" s="181"/>
      <c r="W13" s="181"/>
      <c r="X13" s="181"/>
      <c r="Y13" s="181"/>
      <c r="Z13" s="181"/>
      <c r="AA13" s="181"/>
      <c r="AB13" s="181"/>
      <c r="AC13" s="181"/>
    </row>
    <row r="14" spans="1:31">
      <c r="D14" s="181"/>
      <c r="E14" s="73" t="s">
        <v>296</v>
      </c>
      <c r="F14" s="73" t="s">
        <v>309</v>
      </c>
      <c r="G14" s="376">
        <f>287959/1032211</f>
        <v>0.27897300067524955</v>
      </c>
      <c r="H14" s="414">
        <v>-0.18049999999999999</v>
      </c>
      <c r="J14" s="73" t="s">
        <v>113</v>
      </c>
      <c r="K14" s="73" t="s">
        <v>114</v>
      </c>
      <c r="L14" s="137">
        <f>6292249/3127327</f>
        <v>2.0120214483487016</v>
      </c>
      <c r="M14" s="414"/>
      <c r="O14" s="181"/>
      <c r="P14" s="181"/>
      <c r="Q14" s="181"/>
      <c r="R14" s="181"/>
      <c r="S14" s="181"/>
      <c r="T14" s="181"/>
      <c r="U14" s="181"/>
      <c r="V14" s="181"/>
      <c r="W14" s="181"/>
      <c r="X14" s="181"/>
      <c r="Y14" s="181"/>
      <c r="Z14" s="181"/>
      <c r="AA14" s="181"/>
      <c r="AB14" s="181"/>
      <c r="AC14" s="181"/>
    </row>
    <row r="15" spans="1:31">
      <c r="E15" s="73" t="s">
        <v>297</v>
      </c>
      <c r="F15" s="73" t="s">
        <v>310</v>
      </c>
      <c r="G15" s="136">
        <f>417709/409295</f>
        <v>1.0205572997471262</v>
      </c>
      <c r="H15" s="414">
        <v>9.6000000000000002E-2</v>
      </c>
      <c r="J15" s="119"/>
      <c r="K15" s="119"/>
      <c r="L15" s="374">
        <f>_xlfn.PERCENTILE.EXC(L6:L14, 0.75)</f>
        <v>2.2360757302385013</v>
      </c>
      <c r="M15" s="416">
        <f>_xlfn.PERCENTILE.EXC(M6:M14,0.75)</f>
        <v>0.20755000000000001</v>
      </c>
      <c r="O15" s="181"/>
      <c r="P15" s="181"/>
      <c r="Q15" s="181"/>
      <c r="R15" s="181"/>
      <c r="S15" s="181"/>
      <c r="T15" s="181"/>
      <c r="U15" s="181"/>
      <c r="V15" s="181"/>
      <c r="W15" s="181"/>
      <c r="X15" s="181"/>
      <c r="Y15" s="181"/>
      <c r="Z15" s="181"/>
      <c r="AA15" s="181"/>
      <c r="AB15" s="181"/>
      <c r="AC15" s="181"/>
    </row>
    <row r="16" spans="1:31">
      <c r="E16" s="73" t="s">
        <v>298</v>
      </c>
      <c r="F16" s="73" t="s">
        <v>311</v>
      </c>
      <c r="G16" s="376">
        <f>5286462/5659188</f>
        <v>0.93413790105576988</v>
      </c>
      <c r="H16" s="414">
        <v>-0.30059999999999998</v>
      </c>
      <c r="J16" s="239"/>
      <c r="O16" s="181"/>
      <c r="P16" s="181"/>
      <c r="Q16" s="181"/>
      <c r="R16" s="181"/>
      <c r="S16" s="181"/>
      <c r="T16" s="181"/>
      <c r="U16" s="181"/>
      <c r="V16" s="181"/>
      <c r="W16" s="181"/>
      <c r="X16" s="181"/>
      <c r="Y16" s="181"/>
      <c r="Z16" s="181"/>
      <c r="AA16" s="181"/>
      <c r="AB16" s="181"/>
      <c r="AC16" s="181"/>
      <c r="AD16" s="181"/>
      <c r="AE16" s="181"/>
    </row>
    <row r="17" spans="1:31">
      <c r="E17" s="73" t="s">
        <v>299</v>
      </c>
      <c r="F17" s="73" t="s">
        <v>312</v>
      </c>
      <c r="G17" s="136">
        <f>222667/668823</f>
        <v>0.33292365842681848</v>
      </c>
      <c r="H17" s="414">
        <v>-1.7197</v>
      </c>
      <c r="J17" s="239"/>
      <c r="K17" s="272"/>
      <c r="L17" s="181"/>
      <c r="O17" s="181"/>
      <c r="P17" s="181"/>
      <c r="Q17" s="181"/>
      <c r="R17" s="181"/>
      <c r="S17" s="181"/>
      <c r="T17" s="181"/>
      <c r="U17" s="181"/>
      <c r="V17" s="181"/>
      <c r="W17" s="181"/>
      <c r="X17" s="181"/>
      <c r="Y17" s="181"/>
      <c r="Z17" s="181"/>
      <c r="AA17" s="181"/>
      <c r="AB17" s="181"/>
      <c r="AC17" s="181"/>
      <c r="AD17" s="181"/>
      <c r="AE17" s="181"/>
    </row>
    <row r="18" spans="1:31">
      <c r="A18" s="183"/>
      <c r="E18" s="73" t="s">
        <v>300</v>
      </c>
      <c r="F18" s="73" t="s">
        <v>313</v>
      </c>
      <c r="G18" s="136">
        <f>2113300/1429300</f>
        <v>1.478555936472399</v>
      </c>
      <c r="H18" s="414">
        <v>7.5600000000000001E-2</v>
      </c>
      <c r="J18" s="423" t="s">
        <v>373</v>
      </c>
      <c r="K18" s="423"/>
      <c r="L18" s="423"/>
      <c r="M18" s="423"/>
      <c r="O18" s="181"/>
      <c r="P18" s="181"/>
      <c r="Q18" s="181"/>
      <c r="R18" s="181"/>
      <c r="S18" s="181"/>
      <c r="T18" s="181"/>
      <c r="U18" s="181"/>
      <c r="V18" s="181"/>
      <c r="W18" s="181"/>
      <c r="X18" s="181"/>
      <c r="Y18" s="181"/>
      <c r="Z18" s="181"/>
      <c r="AA18" s="181"/>
      <c r="AB18" s="181"/>
      <c r="AC18" s="181"/>
      <c r="AD18" s="181"/>
      <c r="AE18" s="181"/>
    </row>
    <row r="19" spans="1:31">
      <c r="E19" s="73" t="s">
        <v>325</v>
      </c>
      <c r="F19" s="73" t="s">
        <v>324</v>
      </c>
      <c r="G19" s="136">
        <f>18112000/11626000</f>
        <v>1.557887493548942</v>
      </c>
      <c r="H19" s="414">
        <v>0.2074</v>
      </c>
      <c r="J19" s="321" t="s">
        <v>123</v>
      </c>
      <c r="K19" s="334" t="s">
        <v>61</v>
      </c>
      <c r="L19" s="334" t="s">
        <v>207</v>
      </c>
      <c r="M19" s="334" t="s">
        <v>372</v>
      </c>
      <c r="O19" s="181"/>
      <c r="P19" s="181"/>
      <c r="Q19" s="181"/>
      <c r="R19" s="181"/>
      <c r="S19" s="181"/>
      <c r="T19" s="181"/>
      <c r="U19" s="181"/>
      <c r="V19" s="181"/>
      <c r="W19" s="181"/>
      <c r="X19" s="181"/>
      <c r="Y19" s="181"/>
      <c r="Z19" s="181"/>
      <c r="AA19" s="181"/>
      <c r="AB19" s="181"/>
      <c r="AC19" s="181"/>
      <c r="AD19" s="181"/>
      <c r="AE19" s="181"/>
    </row>
    <row r="20" spans="1:31">
      <c r="A20" s="183"/>
      <c r="E20" s="73" t="s">
        <v>314</v>
      </c>
      <c r="F20" s="73" t="s">
        <v>315</v>
      </c>
      <c r="G20" s="136">
        <f>38962910/41262402</f>
        <v>0.94427149442245262</v>
      </c>
      <c r="H20" s="414">
        <v>3.3700000000000001E-2</v>
      </c>
      <c r="J20" s="387" t="s">
        <v>355</v>
      </c>
      <c r="K20" s="291">
        <f ca="1">Beta!M22</f>
        <v>0.88360280440692507</v>
      </c>
      <c r="L20" s="330">
        <f>G26</f>
        <v>1.4735330782324565</v>
      </c>
      <c r="M20" s="211">
        <f>H26</f>
        <v>0.169575</v>
      </c>
      <c r="O20" s="181"/>
      <c r="P20" s="181"/>
      <c r="Q20" s="181"/>
      <c r="R20" s="181"/>
      <c r="S20" s="181"/>
      <c r="T20" s="181"/>
      <c r="U20" s="181"/>
      <c r="V20" s="181"/>
      <c r="W20" s="181"/>
      <c r="X20" s="181"/>
      <c r="Y20" s="181"/>
      <c r="Z20" s="181"/>
      <c r="AA20" s="181"/>
      <c r="AB20" s="181"/>
      <c r="AC20" s="181"/>
      <c r="AD20" s="181"/>
      <c r="AE20" s="181"/>
    </row>
    <row r="21" spans="1:31">
      <c r="E21" s="73" t="s">
        <v>316</v>
      </c>
      <c r="F21" s="73" t="s">
        <v>317</v>
      </c>
      <c r="G21" s="136">
        <f>931666/720733</f>
        <v>1.2926645512277084</v>
      </c>
      <c r="H21" s="414">
        <v>0.1731</v>
      </c>
      <c r="J21" s="387" t="s">
        <v>331</v>
      </c>
      <c r="K21" s="291">
        <f ca="1">Beta!M23</f>
        <v>0.11639719559307485</v>
      </c>
      <c r="L21" s="395">
        <f>L15</f>
        <v>2.2360757302385013</v>
      </c>
      <c r="M21" s="211">
        <f>M15</f>
        <v>0.20755000000000001</v>
      </c>
      <c r="O21" s="181"/>
      <c r="P21" s="181"/>
      <c r="Q21" s="181"/>
      <c r="R21" s="181"/>
      <c r="S21" s="181"/>
      <c r="T21" s="181"/>
      <c r="U21" s="181"/>
      <c r="V21" s="181"/>
      <c r="W21" s="181"/>
      <c r="X21" s="181"/>
      <c r="Y21" s="181"/>
      <c r="Z21" s="181"/>
      <c r="AA21" s="181"/>
      <c r="AB21" s="181"/>
      <c r="AC21" s="181"/>
      <c r="AD21" s="181"/>
      <c r="AE21" s="181"/>
    </row>
    <row r="22" spans="1:31">
      <c r="E22" s="73" t="s">
        <v>318</v>
      </c>
      <c r="F22" s="73" t="s">
        <v>319</v>
      </c>
      <c r="G22" s="136">
        <f>2623542/1289053</f>
        <v>2.0352475809761121</v>
      </c>
      <c r="H22" s="414">
        <v>0.1074</v>
      </c>
      <c r="J22" s="239"/>
      <c r="K22" s="202" t="s">
        <v>356</v>
      </c>
      <c r="L22" s="397">
        <f ca="1">(K20*L20)+(K21*L21)</f>
        <v>1.562290904446066</v>
      </c>
      <c r="M22" s="417">
        <f ca="1">(K20*M20)+(K21*M21)</f>
        <v>0.17399518350264701</v>
      </c>
      <c r="O22" s="181"/>
      <c r="P22" s="181"/>
      <c r="Q22" s="181"/>
      <c r="R22" s="181"/>
      <c r="S22" s="181"/>
      <c r="T22" s="181"/>
      <c r="U22" s="181"/>
      <c r="V22" s="181"/>
      <c r="W22" s="181"/>
      <c r="X22" s="181"/>
      <c r="Y22" s="181"/>
      <c r="Z22" s="181"/>
      <c r="AA22" s="181"/>
      <c r="AB22" s="181"/>
      <c r="AC22" s="181"/>
      <c r="AD22" s="181"/>
      <c r="AE22" s="181"/>
    </row>
    <row r="23" spans="1:31">
      <c r="E23" s="73" t="s">
        <v>320</v>
      </c>
      <c r="F23" s="73" t="s">
        <v>321</v>
      </c>
      <c r="G23" s="136">
        <f>56276000/45130000</f>
        <v>1.2469754043873256</v>
      </c>
      <c r="H23" s="414">
        <v>0.17499999999999999</v>
      </c>
      <c r="I23" s="239"/>
      <c r="J23" s="181"/>
      <c r="K23" s="181"/>
      <c r="L23" s="181"/>
      <c r="N23" s="181"/>
      <c r="O23" s="181"/>
      <c r="P23" s="181"/>
      <c r="Q23" s="181"/>
      <c r="R23" s="181"/>
      <c r="S23" s="181"/>
      <c r="T23" s="181"/>
      <c r="U23" s="181"/>
      <c r="V23" s="181"/>
      <c r="W23" s="181"/>
      <c r="X23" s="181"/>
      <c r="Y23" s="181"/>
      <c r="Z23" s="181"/>
      <c r="AA23" s="181"/>
      <c r="AB23" s="181"/>
      <c r="AC23" s="181"/>
      <c r="AD23" s="181"/>
      <c r="AE23" s="181"/>
    </row>
    <row r="24" spans="1:31">
      <c r="E24" s="73" t="s">
        <v>322</v>
      </c>
      <c r="F24" s="73" t="s">
        <v>323</v>
      </c>
      <c r="G24" s="136">
        <f>5198500/8285900</f>
        <v>0.6273911101992542</v>
      </c>
      <c r="H24" s="414">
        <v>6.2899999999999998E-2</v>
      </c>
      <c r="I24" s="239"/>
      <c r="J24" s="181"/>
      <c r="K24" s="181"/>
      <c r="L24" s="181"/>
      <c r="N24" s="181"/>
      <c r="O24" s="181"/>
      <c r="P24" s="181"/>
      <c r="Q24" s="181"/>
      <c r="R24" s="181"/>
      <c r="S24" s="181"/>
      <c r="T24" s="181"/>
      <c r="U24" s="181"/>
      <c r="V24" s="181"/>
      <c r="W24" s="181"/>
      <c r="X24" s="181"/>
      <c r="Y24" s="181"/>
      <c r="Z24" s="181"/>
      <c r="AA24" s="181"/>
      <c r="AB24" s="181"/>
      <c r="AC24" s="181"/>
      <c r="AD24" s="181"/>
      <c r="AE24" s="181"/>
    </row>
    <row r="25" spans="1:31">
      <c r="E25" s="73" t="s">
        <v>326</v>
      </c>
      <c r="F25" s="73" t="s">
        <v>327</v>
      </c>
      <c r="G25" s="136">
        <f>21392500/7890100</f>
        <v>2.7113091088832841</v>
      </c>
      <c r="H25" s="414">
        <v>0.17419999999999999</v>
      </c>
      <c r="I25" s="239"/>
      <c r="J25" s="181"/>
      <c r="K25" s="181"/>
      <c r="L25" s="181"/>
      <c r="N25" s="181"/>
      <c r="O25" s="181"/>
      <c r="P25" s="181"/>
      <c r="Q25" s="181"/>
      <c r="R25" s="181"/>
      <c r="S25" s="181"/>
      <c r="T25" s="181"/>
      <c r="U25" s="181"/>
      <c r="V25" s="181"/>
      <c r="W25" s="181"/>
      <c r="X25" s="181"/>
      <c r="Y25" s="181"/>
      <c r="Z25" s="181"/>
      <c r="AA25" s="181"/>
      <c r="AB25" s="181"/>
      <c r="AC25" s="181"/>
      <c r="AD25" s="181"/>
      <c r="AE25" s="181"/>
    </row>
    <row r="26" spans="1:31">
      <c r="E26" s="2"/>
      <c r="F26" s="2"/>
      <c r="G26" s="138">
        <f>_xlfn.PERCENTILE.EXC(G6:G25, 0.75)</f>
        <v>1.4735330782324565</v>
      </c>
      <c r="H26" s="415">
        <f>_xlfn.PERCENTILE.EXC(H6:H25,0.75)</f>
        <v>0.169575</v>
      </c>
      <c r="I26" s="242"/>
      <c r="J26" s="181"/>
      <c r="K26" s="181"/>
      <c r="L26" s="181"/>
      <c r="M26" s="181"/>
      <c r="N26" s="181"/>
      <c r="O26" s="181"/>
      <c r="P26" s="181"/>
      <c r="Q26" s="181"/>
      <c r="R26" s="181"/>
      <c r="S26" s="181"/>
      <c r="T26" s="181"/>
      <c r="U26" s="181"/>
      <c r="V26" s="181"/>
      <c r="W26" s="181"/>
      <c r="X26" s="181"/>
      <c r="Y26" s="181"/>
      <c r="Z26" s="181"/>
      <c r="AA26" s="181"/>
      <c r="AB26" s="181"/>
      <c r="AC26" s="181"/>
      <c r="AD26" s="181"/>
      <c r="AE26" s="181"/>
    </row>
    <row r="27" spans="1:31">
      <c r="F27" s="119"/>
      <c r="G27" s="119"/>
      <c r="H27" s="208"/>
      <c r="I27" s="210"/>
      <c r="J27" s="181"/>
      <c r="K27" s="181"/>
      <c r="L27" s="181"/>
      <c r="M27" s="181"/>
      <c r="N27" s="181"/>
      <c r="O27" s="181"/>
      <c r="P27" s="181"/>
      <c r="Q27" s="181"/>
      <c r="R27" s="181"/>
      <c r="S27" s="181"/>
      <c r="T27" s="181"/>
      <c r="U27" s="181"/>
      <c r="V27" s="181"/>
      <c r="W27" s="181"/>
      <c r="X27" s="181"/>
      <c r="Y27" s="181"/>
      <c r="Z27" s="181"/>
      <c r="AA27" s="181"/>
      <c r="AB27" s="181"/>
      <c r="AC27" s="181"/>
      <c r="AD27" s="181"/>
      <c r="AE27" s="181"/>
    </row>
    <row r="28" spans="1:31">
      <c r="F28" s="216"/>
      <c r="G28" s="216"/>
      <c r="H28" s="216"/>
      <c r="I28" s="215"/>
      <c r="J28" s="181"/>
      <c r="K28" s="181"/>
      <c r="L28" s="181"/>
      <c r="M28" s="181"/>
      <c r="N28" s="181"/>
      <c r="O28" s="181"/>
      <c r="P28" s="181"/>
      <c r="Q28" s="181"/>
      <c r="R28" s="181"/>
      <c r="S28" s="181"/>
      <c r="T28" s="181"/>
      <c r="U28" s="181"/>
      <c r="V28" s="181"/>
      <c r="W28" s="181"/>
      <c r="X28" s="181"/>
      <c r="Y28" s="181"/>
      <c r="Z28" s="181"/>
      <c r="AA28" s="181"/>
      <c r="AB28" s="181"/>
      <c r="AC28" s="181"/>
      <c r="AD28" s="181"/>
      <c r="AE28" s="181"/>
    </row>
    <row r="29" spans="1:31">
      <c r="J29" s="181"/>
      <c r="K29" s="181"/>
      <c r="L29" s="181"/>
      <c r="M29" s="181"/>
      <c r="N29" s="181"/>
      <c r="O29" s="181"/>
      <c r="P29" s="181"/>
      <c r="Q29" s="181"/>
      <c r="R29" s="181"/>
      <c r="S29" s="181"/>
      <c r="T29" s="181"/>
      <c r="U29" s="181"/>
      <c r="V29" s="181"/>
      <c r="W29" s="181"/>
      <c r="X29" s="181"/>
      <c r="Y29" s="181"/>
      <c r="Z29" s="181"/>
      <c r="AA29" s="181"/>
      <c r="AB29" s="181"/>
      <c r="AC29" s="181"/>
      <c r="AD29" s="181"/>
      <c r="AE29" s="181"/>
    </row>
    <row r="30" spans="1:31" ht="14.25" customHeight="1">
      <c r="J30" s="181"/>
      <c r="K30" s="181"/>
      <c r="L30" s="181"/>
      <c r="M30" s="181"/>
      <c r="N30" s="181"/>
      <c r="O30" s="181"/>
      <c r="P30" s="181"/>
      <c r="Q30" s="181"/>
      <c r="R30" s="181"/>
      <c r="S30" s="181"/>
      <c r="T30" s="181"/>
      <c r="U30" s="181"/>
      <c r="V30" s="181"/>
      <c r="W30" s="181"/>
      <c r="X30" s="181"/>
      <c r="Y30" s="181"/>
      <c r="Z30" s="181"/>
      <c r="AA30" s="181"/>
      <c r="AB30" s="181"/>
      <c r="AC30" s="181"/>
      <c r="AD30" s="181"/>
      <c r="AE30" s="181"/>
    </row>
    <row r="31" spans="1:31">
      <c r="F31" s="181"/>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row>
    <row r="32" spans="1:31">
      <c r="F32" s="181"/>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row>
    <row r="33" spans="6:31">
      <c r="F33" s="181"/>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row>
    <row r="34" spans="6:31">
      <c r="F34" s="181"/>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row>
    <row r="35" spans="6:31">
      <c r="F35" s="181"/>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row>
    <row r="36" spans="6:31">
      <c r="F36" s="181"/>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row>
    <row r="37" spans="6:3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row>
    <row r="38" spans="6:3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row>
  </sheetData>
  <mergeCells count="3">
    <mergeCell ref="E4:H4"/>
    <mergeCell ref="J4:M4"/>
    <mergeCell ref="J18:M18"/>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176" customWidth="1"/>
    <col min="2" max="2" width="7" style="176" customWidth="1"/>
    <col min="3" max="3" width="14.7109375" style="176" customWidth="1"/>
    <col min="4" max="4" width="14.28515625" style="176" bestFit="1" customWidth="1"/>
    <col min="5" max="5" width="12.28515625" style="176" customWidth="1"/>
    <col min="6" max="6" width="8" style="176" customWidth="1"/>
    <col min="7" max="7" width="11.85546875" style="176" customWidth="1" collapsed="1"/>
    <col min="8" max="8" width="2.7109375" style="176" customWidth="1"/>
    <col min="9" max="9" width="16.140625" style="176" customWidth="1"/>
    <col min="10" max="10" width="13" style="176" customWidth="1"/>
    <col min="11" max="11" width="11" style="176" customWidth="1"/>
    <col min="12" max="12" width="7.85546875" style="176" customWidth="1"/>
    <col min="13" max="13" width="11.5703125" style="176" customWidth="1"/>
    <col min="14" max="14" width="3" style="176" customWidth="1"/>
    <col min="15" max="15" width="21.28515625" style="176" customWidth="1"/>
    <col min="16" max="16" width="10.5703125" style="176" customWidth="1"/>
    <col min="17" max="28" width="9.140625" style="176" customWidth="1"/>
    <col min="29" max="29" width="9.28515625" style="176" customWidth="1"/>
    <col min="30" max="30" width="9.42578125" style="176" customWidth="1"/>
    <col min="31" max="31" width="10" style="176" customWidth="1"/>
    <col min="32" max="32" width="11.42578125" style="176" customWidth="1"/>
    <col min="33" max="33" width="9.42578125" style="176" bestFit="1" customWidth="1" collapsed="1"/>
    <col min="34" max="16384" width="9.140625" style="176"/>
  </cols>
  <sheetData>
    <row r="1" spans="1:32" s="175" customFormat="1" ht="15" customHeight="1">
      <c r="B1" s="17" t="s">
        <v>362</v>
      </c>
      <c r="C1" s="174"/>
      <c r="D1" s="174"/>
      <c r="E1" s="174"/>
      <c r="F1" s="174"/>
      <c r="G1" s="174"/>
      <c r="H1" s="174"/>
      <c r="I1" s="174"/>
      <c r="J1" s="174"/>
      <c r="K1" s="174"/>
      <c r="L1" s="174"/>
      <c r="M1" s="174"/>
      <c r="N1" s="174"/>
    </row>
    <row r="2" spans="1:32" ht="12" customHeight="1">
      <c r="C2" s="399" t="s">
        <v>370</v>
      </c>
      <c r="H2" s="399"/>
      <c r="I2" s="399" t="s">
        <v>370</v>
      </c>
    </row>
    <row r="3" spans="1:32" ht="12" customHeight="1">
      <c r="A3" s="178"/>
      <c r="B3" s="273"/>
      <c r="C3" s="232" t="s">
        <v>365</v>
      </c>
      <c r="D3" s="232" t="s">
        <v>361</v>
      </c>
      <c r="E3" s="232" t="s">
        <v>369</v>
      </c>
      <c r="F3" s="232" t="s">
        <v>371</v>
      </c>
      <c r="G3" s="232" t="s">
        <v>6</v>
      </c>
      <c r="I3" s="232" t="s">
        <v>366</v>
      </c>
      <c r="J3" s="232" t="s">
        <v>361</v>
      </c>
      <c r="K3" s="232" t="s">
        <v>369</v>
      </c>
      <c r="L3" s="232" t="s">
        <v>371</v>
      </c>
      <c r="M3" s="232" t="s">
        <v>6</v>
      </c>
      <c r="O3" s="232" t="s">
        <v>392</v>
      </c>
      <c r="P3" s="232" t="s">
        <v>363</v>
      </c>
      <c r="Q3" s="400" t="s">
        <v>364</v>
      </c>
    </row>
    <row r="4" spans="1:32" ht="12" customHeight="1">
      <c r="A4" s="183"/>
      <c r="B4" s="261" t="s">
        <v>75</v>
      </c>
      <c r="C4" s="351">
        <f>2073*10000</f>
        <v>20730000</v>
      </c>
      <c r="D4" s="401">
        <f>E4/C4</f>
        <v>2.4113362276893392E-3</v>
      </c>
      <c r="E4" s="351">
        <f>49987</f>
        <v>49987</v>
      </c>
      <c r="F4" s="401">
        <f>G4/E4</f>
        <v>0.73623955983557188</v>
      </c>
      <c r="G4" s="257">
        <f>'Future Cashflows (10 Yrs)'!E4*Beta!D9</f>
        <v>36802.406877500733</v>
      </c>
      <c r="I4" s="408">
        <f>896558.4*10</f>
        <v>8965584</v>
      </c>
      <c r="J4" s="401">
        <f>K4/I4</f>
        <v>1.953693144807968E-3</v>
      </c>
      <c r="K4" s="351">
        <v>17516</v>
      </c>
      <c r="L4" s="401">
        <f>M4/K4</f>
        <v>0.20208961633400346</v>
      </c>
      <c r="M4" s="257">
        <f>'Future Cashflows (10 Yrs)'!E4*Beta!D10</f>
        <v>3539.8017197064046</v>
      </c>
      <c r="O4" s="257">
        <f t="shared" ref="O4:O15" si="0">G4+M4+P4</f>
        <v>41053.65</v>
      </c>
      <c r="P4" s="257">
        <f>'Future Cashflows (10 Yrs)'!E4*Beta!D11</f>
        <v>711.44140279286682</v>
      </c>
      <c r="Q4" s="402">
        <f>P4/O4</f>
        <v>1.7329552982325976E-2</v>
      </c>
      <c r="R4" s="180"/>
      <c r="W4" s="180"/>
    </row>
    <row r="5" spans="1:32" ht="12" customHeight="1">
      <c r="A5" s="183"/>
      <c r="B5" s="429" t="s">
        <v>76</v>
      </c>
      <c r="C5" s="352">
        <f>C4*(1+$P$18)</f>
        <v>22473393</v>
      </c>
      <c r="D5" s="403">
        <f ca="1">AVERAGE(D4,D6)</f>
        <v>3.170202604920405E-3</v>
      </c>
      <c r="E5" s="352">
        <f t="shared" ref="E5:E15" ca="1" si="1">C5*D5</f>
        <v>71245.209029999998</v>
      </c>
      <c r="F5" s="403">
        <f ca="1">AVERAGE(F4,F6)</f>
        <v>0.73761560385201475</v>
      </c>
      <c r="G5" s="259">
        <f ca="1">E5*F5</f>
        <v>52551.577880226461</v>
      </c>
      <c r="I5" s="352">
        <f t="shared" ref="I5:I15" si="2">I4*(1+$P$17)</f>
        <v>9484691.3136</v>
      </c>
      <c r="J5" s="403">
        <f ca="1">AVERAGE(J4,J6)</f>
        <v>2.5583238303271711E-3</v>
      </c>
      <c r="K5" s="352">
        <f ca="1">I5*J5</f>
        <v>24264.911810879999</v>
      </c>
      <c r="L5" s="403">
        <f ca="1">AVERAGE(L4,L6)</f>
        <v>0.20188065470060312</v>
      </c>
      <c r="M5" s="259">
        <f ca="1">K5*L5</f>
        <v>4898.6162826328518</v>
      </c>
      <c r="O5" s="258">
        <f t="shared" ca="1" si="0"/>
        <v>58036.15074823195</v>
      </c>
      <c r="P5" s="387">
        <v>585.95658537263535</v>
      </c>
      <c r="Q5" s="21">
        <v>0.01</v>
      </c>
      <c r="R5" s="181"/>
      <c r="S5" s="181"/>
      <c r="T5" s="181"/>
      <c r="U5" s="181"/>
      <c r="V5" s="181"/>
      <c r="W5" s="181"/>
      <c r="X5" s="181"/>
      <c r="Y5" s="181"/>
      <c r="Z5" s="181"/>
      <c r="AA5" s="181"/>
      <c r="AB5" s="181"/>
    </row>
    <row r="6" spans="1:32" ht="12" customHeight="1">
      <c r="A6" s="183"/>
      <c r="B6" s="429" t="s">
        <v>77</v>
      </c>
      <c r="C6" s="352">
        <f>C5*(1+$P$18)</f>
        <v>24363405.351300001</v>
      </c>
      <c r="D6" s="403">
        <f ca="1">AVERAGE(D5,D7)</f>
        <v>3.9290689821514712E-3</v>
      </c>
      <c r="E6" s="352">
        <f t="shared" ca="1" si="1"/>
        <v>95725.500265376002</v>
      </c>
      <c r="F6" s="403">
        <f ca="1">AVERAGE(F5,F7)</f>
        <v>0.7389916478684575</v>
      </c>
      <c r="G6" s="259">
        <f t="shared" ref="G6:G14" ca="1" si="3">E6*F6</f>
        <v>70740.345184142672</v>
      </c>
      <c r="I6" s="352">
        <f t="shared" si="2"/>
        <v>10033854.940657441</v>
      </c>
      <c r="J6" s="403">
        <f ca="1">AVERAGE(J5,J7)</f>
        <v>3.1629545158463742E-3</v>
      </c>
      <c r="K6" s="352">
        <f t="shared" ref="K6:K15" ca="1" si="4">I6*J6</f>
        <v>31736.626795899905</v>
      </c>
      <c r="L6" s="403">
        <f ca="1">AVERAGE(L5,L7)</f>
        <v>0.20167169306720278</v>
      </c>
      <c r="M6" s="259">
        <f ca="1">K6*L6</f>
        <v>6400.3792581710886</v>
      </c>
      <c r="O6" s="258">
        <f t="shared" ca="1" si="0"/>
        <v>77938.839973998925</v>
      </c>
      <c r="P6" s="387">
        <v>798.11553168516195</v>
      </c>
      <c r="Q6" s="21">
        <v>0.01</v>
      </c>
      <c r="R6" s="181"/>
      <c r="S6" s="181"/>
      <c r="T6" s="181"/>
      <c r="U6" s="181"/>
      <c r="V6" s="181"/>
      <c r="W6" s="181"/>
      <c r="X6" s="181"/>
      <c r="Y6" s="181"/>
      <c r="Z6" s="181"/>
      <c r="AA6" s="181"/>
      <c r="AB6" s="181"/>
    </row>
    <row r="7" spans="1:32" ht="12" customHeight="1">
      <c r="B7" s="429" t="s">
        <v>78</v>
      </c>
      <c r="C7" s="352">
        <f>C6*(1+$P$18)</f>
        <v>26412367.741344333</v>
      </c>
      <c r="D7" s="403">
        <f ca="1">AVERAGE(D9,D5)</f>
        <v>4.6879353593825375E-3</v>
      </c>
      <c r="E7" s="352">
        <f t="shared" ca="1" si="1"/>
        <v>123819.47265966279</v>
      </c>
      <c r="F7" s="403">
        <f ca="1">AVERAGE(F9,F5)</f>
        <v>0.74036769188490037</v>
      </c>
      <c r="G7" s="259">
        <f t="shared" ca="1" si="3"/>
        <v>91671.937183440066</v>
      </c>
      <c r="I7" s="352">
        <f t="shared" si="2"/>
        <v>10614815.141721508</v>
      </c>
      <c r="J7" s="403">
        <f ca="1">AVERAGE(J9,J5)</f>
        <v>3.7675852013655774E-3</v>
      </c>
      <c r="K7" s="352">
        <f t="shared" ca="1" si="4"/>
        <v>39992.220443181206</v>
      </c>
      <c r="L7" s="403">
        <f ca="1">AVERAGE(L9,L5)</f>
        <v>0.20146273143380244</v>
      </c>
      <c r="M7" s="259">
        <f ca="1">K7*L7</f>
        <v>8056.9419665860387</v>
      </c>
      <c r="O7" s="258">
        <f t="shared" ca="1" si="0"/>
        <v>100772.67369811982</v>
      </c>
      <c r="P7" s="387">
        <v>1043.7945480937151</v>
      </c>
      <c r="Q7" s="21">
        <v>0.01</v>
      </c>
      <c r="R7" s="181"/>
      <c r="S7" s="181"/>
      <c r="T7" s="181"/>
      <c r="U7" s="181"/>
      <c r="V7" s="181"/>
      <c r="W7" s="181"/>
      <c r="X7" s="181"/>
      <c r="Y7" s="181"/>
      <c r="Z7" s="181"/>
      <c r="AA7" s="181"/>
      <c r="AB7" s="181"/>
    </row>
    <row r="8" spans="1:32" ht="12" customHeight="1">
      <c r="A8" s="183"/>
      <c r="B8" s="429" t="s">
        <v>79</v>
      </c>
      <c r="C8" s="352">
        <f>C7*(1+$P$18)</f>
        <v>28633647.868391395</v>
      </c>
      <c r="D8" s="403">
        <f ca="1">AVERAGE(D7,D9)</f>
        <v>5.4468017366136037E-3</v>
      </c>
      <c r="E8" s="352">
        <f t="shared" ca="1" si="1"/>
        <v>155961.80293513666</v>
      </c>
      <c r="F8" s="403">
        <f ca="1">AVERAGE(F7,F9)</f>
        <v>0.74174373590134324</v>
      </c>
      <c r="G8" s="259">
        <f t="shared" ca="1" si="3"/>
        <v>115683.69036701735</v>
      </c>
      <c r="I8" s="352">
        <f t="shared" si="2"/>
        <v>11229412.938427184</v>
      </c>
      <c r="J8" s="403">
        <f ca="1">AVERAGE(J7,J9)</f>
        <v>4.3722158868847805E-3</v>
      </c>
      <c r="K8" s="352">
        <f t="shared" ca="1" si="4"/>
        <v>49097.417649780837</v>
      </c>
      <c r="L8" s="403">
        <f ca="1">AVERAGE(L7,L9)</f>
        <v>0.2012537698004021</v>
      </c>
      <c r="M8" s="259">
        <f t="shared" ref="M8:M15" ca="1" si="5">K8*L8</f>
        <v>9881.0403894831925</v>
      </c>
      <c r="O8" s="258">
        <f t="shared" ca="1" si="0"/>
        <v>126892.08684919075</v>
      </c>
      <c r="P8" s="387">
        <v>1327.3560926902003</v>
      </c>
      <c r="Q8" s="21">
        <v>0.01</v>
      </c>
      <c r="R8" s="181"/>
      <c r="S8" s="181"/>
      <c r="T8" s="181"/>
      <c r="U8" s="181"/>
      <c r="V8" s="181"/>
      <c r="W8" s="181"/>
      <c r="X8" s="181"/>
      <c r="Y8" s="181"/>
      <c r="Z8" s="181"/>
      <c r="AA8" s="181"/>
      <c r="AB8" s="181"/>
    </row>
    <row r="9" spans="1:32" ht="12" customHeight="1">
      <c r="A9" s="183"/>
      <c r="B9" s="429" t="s">
        <v>80</v>
      </c>
      <c r="C9" s="352">
        <f>C8*(1+$P$18)</f>
        <v>31041737.654123113</v>
      </c>
      <c r="D9" s="403">
        <f>AVERAGE(D14,D4)</f>
        <v>6.2056681138446699E-3</v>
      </c>
      <c r="E9" s="352">
        <f t="shared" si="1"/>
        <v>192634.72155852325</v>
      </c>
      <c r="F9" s="403">
        <f>AVERAGE(F14,F4)</f>
        <v>0.74311977991778599</v>
      </c>
      <c r="G9" s="259">
        <f t="shared" si="3"/>
        <v>143150.67188909379</v>
      </c>
      <c r="I9" s="352">
        <f t="shared" si="2"/>
        <v>11879595.947562119</v>
      </c>
      <c r="J9" s="403">
        <f>AVERAGE(J14,J4)</f>
        <v>4.9768465724039836E-3</v>
      </c>
      <c r="K9" s="352">
        <f t="shared" si="4"/>
        <v>59122.926373168782</v>
      </c>
      <c r="L9" s="403">
        <f>AVERAGE(L14,L4)</f>
        <v>0.20104480816700174</v>
      </c>
      <c r="M9" s="259">
        <f t="shared" si="5"/>
        <v>11886.357390965486</v>
      </c>
      <c r="O9" s="258">
        <f t="shared" si="0"/>
        <v>156690.71180114496</v>
      </c>
      <c r="P9" s="387">
        <v>1653.6825210856998</v>
      </c>
      <c r="Q9" s="21">
        <v>0.01</v>
      </c>
      <c r="R9" s="181"/>
      <c r="S9" s="181"/>
      <c r="T9" s="181"/>
      <c r="U9" s="181"/>
      <c r="V9" s="181"/>
      <c r="W9" s="181"/>
      <c r="X9" s="181"/>
      <c r="Y9" s="181"/>
      <c r="Z9" s="181"/>
      <c r="AA9" s="181"/>
      <c r="AB9" s="181"/>
    </row>
    <row r="10" spans="1:32">
      <c r="A10" s="179"/>
      <c r="B10" s="429" t="s">
        <v>393</v>
      </c>
      <c r="C10" s="352">
        <f>C9*(1+($P$18-2%))</f>
        <v>33031513.037752405</v>
      </c>
      <c r="D10" s="403">
        <f>AVERAGE(D11,D9)</f>
        <v>7.1542510853835027E-3</v>
      </c>
      <c r="E10" s="352">
        <f t="shared" si="1"/>
        <v>236315.73800219948</v>
      </c>
      <c r="F10" s="403">
        <f>AVERAGE(F11,F9)</f>
        <v>0.7448398349383395</v>
      </c>
      <c r="G10" s="259">
        <f t="shared" si="3"/>
        <v>176017.37528689014</v>
      </c>
      <c r="I10" s="352">
        <f t="shared" si="2"/>
        <v>12567424.552925967</v>
      </c>
      <c r="J10" s="403">
        <f>AVERAGE(J11,J9)</f>
        <v>5.7326349293029873E-3</v>
      </c>
      <c r="K10" s="352">
        <f t="shared" si="4"/>
        <v>72044.456963483375</v>
      </c>
      <c r="L10" s="403">
        <f>AVERAGE(L11,L9)</f>
        <v>0.20078360612525131</v>
      </c>
      <c r="M10" s="259">
        <f t="shared" si="5"/>
        <v>14465.345870463665</v>
      </c>
      <c r="O10" s="258">
        <f t="shared" si="0"/>
        <v>192568.1496836915</v>
      </c>
      <c r="P10" s="387">
        <v>2085.4285263377019</v>
      </c>
      <c r="Q10" s="21">
        <v>0.01</v>
      </c>
      <c r="R10" s="181"/>
      <c r="S10" s="181"/>
      <c r="T10" s="181"/>
      <c r="U10" s="181"/>
      <c r="V10" s="181"/>
      <c r="W10" s="181"/>
      <c r="X10" s="181"/>
      <c r="Y10" s="181"/>
      <c r="Z10" s="181"/>
      <c r="AA10" s="181"/>
      <c r="AB10" s="181"/>
    </row>
    <row r="11" spans="1:32">
      <c r="A11" s="183"/>
      <c r="B11" s="429" t="s">
        <v>394</v>
      </c>
      <c r="C11" s="352">
        <f t="shared" ref="C11:C15" si="6">C10*(1+($P$18-2%))</f>
        <v>35148833.023472339</v>
      </c>
      <c r="D11" s="403">
        <f>AVERAGE(D9,D14)</f>
        <v>8.1028340569223346E-3</v>
      </c>
      <c r="E11" s="352">
        <f t="shared" si="1"/>
        <v>284805.16128366807</v>
      </c>
      <c r="F11" s="403">
        <f>AVERAGE(F9,F14)</f>
        <v>0.746559889958893</v>
      </c>
      <c r="G11" s="259">
        <f t="shared" si="3"/>
        <v>212624.10986766001</v>
      </c>
      <c r="I11" s="352">
        <f t="shared" si="2"/>
        <v>13295078.434540382</v>
      </c>
      <c r="J11" s="403">
        <f>AVERAGE(J9,J14)</f>
        <v>6.4884232862019919E-3</v>
      </c>
      <c r="K11" s="352">
        <f t="shared" si="4"/>
        <v>86264.096506553731</v>
      </c>
      <c r="L11" s="403">
        <f>AVERAGE(L9,L14)</f>
        <v>0.20052240408350086</v>
      </c>
      <c r="M11" s="259">
        <f t="shared" si="5"/>
        <v>17297.884017585282</v>
      </c>
      <c r="O11" s="258">
        <f t="shared" si="0"/>
        <v>232504.09508485775</v>
      </c>
      <c r="P11" s="387">
        <v>2582.1011996124521</v>
      </c>
      <c r="Q11" s="21">
        <v>0.01</v>
      </c>
      <c r="R11" s="181"/>
      <c r="S11" s="181"/>
      <c r="T11" s="181"/>
      <c r="U11" s="181"/>
      <c r="V11" s="181"/>
      <c r="W11" s="181"/>
      <c r="X11" s="181"/>
      <c r="Y11" s="181"/>
      <c r="Z11" s="181"/>
      <c r="AA11" s="181"/>
      <c r="AB11" s="181"/>
    </row>
    <row r="12" spans="1:32">
      <c r="B12" s="429" t="s">
        <v>395</v>
      </c>
      <c r="C12" s="352">
        <f t="shared" si="6"/>
        <v>37401873.220276915</v>
      </c>
      <c r="D12" s="403">
        <f>AVERAGE(D11,D14)</f>
        <v>9.0514170284611666E-3</v>
      </c>
      <c r="E12" s="352">
        <f t="shared" si="1"/>
        <v>338539.95216236013</v>
      </c>
      <c r="F12" s="403">
        <f>AVERAGE(F11,F14)</f>
        <v>0.7482799449794465</v>
      </c>
      <c r="G12" s="259">
        <f t="shared" si="3"/>
        <v>253322.65677739528</v>
      </c>
      <c r="I12" s="352">
        <f t="shared" si="2"/>
        <v>14064863.47590027</v>
      </c>
      <c r="J12" s="403">
        <f>AVERAGE(J11,J14)</f>
        <v>7.2442116431009965E-3</v>
      </c>
      <c r="K12" s="352">
        <f t="shared" si="4"/>
        <v>101888.84775074269</v>
      </c>
      <c r="L12" s="403">
        <f>AVERAGE(L11,L14)</f>
        <v>0.20026120204175044</v>
      </c>
      <c r="M12" s="259">
        <f t="shared" si="5"/>
        <v>20404.383125212629</v>
      </c>
      <c r="O12" s="258">
        <f t="shared" si="0"/>
        <v>276879.04801120993</v>
      </c>
      <c r="P12" s="387">
        <v>3152.0081086020364</v>
      </c>
      <c r="Q12" s="21">
        <v>0.01</v>
      </c>
      <c r="R12" s="181"/>
      <c r="S12" s="181"/>
      <c r="T12" s="181"/>
      <c r="U12" s="181"/>
      <c r="V12" s="181"/>
      <c r="W12" s="181"/>
      <c r="X12" s="181"/>
      <c r="Y12" s="181"/>
      <c r="Z12" s="181"/>
      <c r="AA12" s="181"/>
      <c r="AB12" s="181"/>
    </row>
    <row r="13" spans="1:32">
      <c r="A13" s="183"/>
      <c r="B13" s="429" t="s">
        <v>396</v>
      </c>
      <c r="C13" s="352">
        <f t="shared" si="6"/>
        <v>39799333.293696664</v>
      </c>
      <c r="D13" s="403">
        <f>AVERAGE(D12,D14)</f>
        <v>9.5257085142305825E-3</v>
      </c>
      <c r="E13" s="352">
        <f t="shared" si="1"/>
        <v>379116.848016467</v>
      </c>
      <c r="F13" s="403">
        <f>AVERAGE(F12,F14)</f>
        <v>0.74913997248972319</v>
      </c>
      <c r="G13" s="259">
        <f t="shared" si="3"/>
        <v>284011.58509344666</v>
      </c>
      <c r="I13" s="352">
        <f t="shared" si="2"/>
        <v>14879219.071154896</v>
      </c>
      <c r="J13" s="403">
        <f>AVERAGE(J12,J14)</f>
        <v>7.6221058215504983E-3</v>
      </c>
      <c r="K13" s="352">
        <f t="shared" si="4"/>
        <v>113410.98230237493</v>
      </c>
      <c r="L13" s="403">
        <f>AVERAGE(L12,L14)</f>
        <v>0.20013060102087521</v>
      </c>
      <c r="M13" s="259">
        <f t="shared" si="5"/>
        <v>22697.008050542136</v>
      </c>
      <c r="O13" s="258">
        <f t="shared" si="0"/>
        <v>310326.37227765756</v>
      </c>
      <c r="P13" s="387">
        <v>3617.7791336687246</v>
      </c>
      <c r="Q13" s="21">
        <v>0.01</v>
      </c>
      <c r="R13" s="181"/>
      <c r="S13" s="181"/>
      <c r="T13" s="181"/>
      <c r="U13" s="181"/>
      <c r="V13" s="181"/>
      <c r="W13" s="181"/>
      <c r="X13" s="181"/>
      <c r="Y13" s="181"/>
      <c r="Z13" s="181"/>
      <c r="AA13" s="181"/>
      <c r="AB13" s="181"/>
    </row>
    <row r="14" spans="1:32">
      <c r="B14" s="429" t="s">
        <v>397</v>
      </c>
      <c r="C14" s="352">
        <f t="shared" si="6"/>
        <v>42350470.557822622</v>
      </c>
      <c r="D14" s="223">
        <v>0.01</v>
      </c>
      <c r="E14" s="352">
        <f t="shared" si="1"/>
        <v>423504.70557822625</v>
      </c>
      <c r="F14" s="223">
        <v>0.75</v>
      </c>
      <c r="G14" s="259">
        <f t="shared" si="3"/>
        <v>317628.52918366971</v>
      </c>
      <c r="I14" s="352">
        <f t="shared" si="2"/>
        <v>15740725.855374767</v>
      </c>
      <c r="J14" s="223">
        <v>8.0000000000000002E-3</v>
      </c>
      <c r="K14" s="352">
        <f t="shared" si="4"/>
        <v>125925.80684299814</v>
      </c>
      <c r="L14" s="223">
        <v>0.2</v>
      </c>
      <c r="M14" s="259">
        <f t="shared" si="5"/>
        <v>25185.161368599627</v>
      </c>
      <c r="O14" s="258">
        <f t="shared" si="0"/>
        <v>346955.74116147228</v>
      </c>
      <c r="P14" s="387">
        <v>4142.0506092029354</v>
      </c>
      <c r="Q14" s="21">
        <v>0.01</v>
      </c>
      <c r="R14" s="181"/>
      <c r="S14" s="181"/>
      <c r="T14" s="181"/>
      <c r="U14" s="181"/>
      <c r="V14" s="181"/>
      <c r="W14" s="181"/>
      <c r="X14" s="181"/>
      <c r="Y14" s="181"/>
      <c r="Z14" s="181"/>
      <c r="AA14" s="181"/>
      <c r="AB14" s="181"/>
    </row>
    <row r="15" spans="1:32">
      <c r="B15" s="429" t="s">
        <v>398</v>
      </c>
      <c r="C15" s="352">
        <f t="shared" si="6"/>
        <v>45065135.720579058</v>
      </c>
      <c r="D15" s="223">
        <v>0.01</v>
      </c>
      <c r="E15" s="352">
        <f t="shared" si="1"/>
        <v>450651.35720579058</v>
      </c>
      <c r="F15" s="223">
        <v>0.75</v>
      </c>
      <c r="G15" s="259">
        <f>E15*F15</f>
        <v>337988.51790434297</v>
      </c>
      <c r="I15" s="352">
        <f t="shared" si="2"/>
        <v>16652113.882400967</v>
      </c>
      <c r="J15" s="223">
        <v>8.0000000000000002E-3</v>
      </c>
      <c r="K15" s="352">
        <f t="shared" si="4"/>
        <v>133216.91105920775</v>
      </c>
      <c r="L15" s="223">
        <v>0.2</v>
      </c>
      <c r="M15" s="259">
        <f t="shared" si="5"/>
        <v>26643.382211841552</v>
      </c>
      <c r="O15" s="258">
        <f t="shared" si="0"/>
        <v>369141.7630026128</v>
      </c>
      <c r="P15" s="387">
        <v>4509.8628864282928</v>
      </c>
      <c r="Q15" s="21">
        <v>0.01</v>
      </c>
      <c r="R15" s="181"/>
      <c r="S15" s="181"/>
      <c r="T15" s="181"/>
      <c r="U15" s="181"/>
      <c r="V15" s="181"/>
      <c r="W15" s="181"/>
      <c r="X15" s="181"/>
      <c r="Y15" s="181"/>
      <c r="Z15" s="181"/>
      <c r="AA15" s="181"/>
      <c r="AB15" s="181"/>
      <c r="AC15" s="181"/>
      <c r="AD15" s="181"/>
      <c r="AE15" s="181"/>
      <c r="AF15" s="181"/>
    </row>
    <row r="16" spans="1:32">
      <c r="F16" s="409"/>
      <c r="G16" s="312"/>
      <c r="H16" s="260"/>
      <c r="I16" s="430"/>
      <c r="J16" s="245"/>
      <c r="K16" s="245"/>
      <c r="L16" s="245"/>
      <c r="O16" s="241"/>
      <c r="P16" s="245"/>
      <c r="R16" s="181"/>
      <c r="S16" s="181"/>
      <c r="T16" s="181"/>
      <c r="U16" s="181"/>
      <c r="V16" s="181"/>
      <c r="W16" s="181"/>
      <c r="X16" s="181"/>
      <c r="Y16" s="181"/>
      <c r="Z16" s="181"/>
      <c r="AA16" s="181"/>
      <c r="AB16" s="181"/>
      <c r="AC16" s="181"/>
      <c r="AD16" s="181"/>
      <c r="AE16" s="181"/>
      <c r="AF16" s="181"/>
    </row>
    <row r="17" spans="1:34">
      <c r="B17" s="404"/>
      <c r="C17" s="121"/>
      <c r="D17" s="121"/>
      <c r="E17" s="121"/>
      <c r="F17" s="121"/>
      <c r="H17" s="121"/>
      <c r="I17" s="121"/>
      <c r="J17" s="48"/>
      <c r="K17" s="246"/>
      <c r="O17" s="256" t="s">
        <v>368</v>
      </c>
      <c r="P17" s="268">
        <v>5.79E-2</v>
      </c>
      <c r="R17" s="181"/>
      <c r="S17" s="181"/>
      <c r="T17" s="181"/>
      <c r="U17" s="181"/>
      <c r="V17" s="181"/>
      <c r="W17" s="181"/>
      <c r="X17" s="181"/>
      <c r="Y17" s="181"/>
      <c r="Z17" s="181"/>
      <c r="AA17" s="181"/>
      <c r="AB17" s="181"/>
      <c r="AC17" s="181"/>
      <c r="AD17" s="181"/>
      <c r="AE17" s="181"/>
      <c r="AF17" s="181"/>
    </row>
    <row r="18" spans="1:34">
      <c r="A18" s="183"/>
      <c r="B18" s="405"/>
      <c r="D18" s="406"/>
      <c r="E18" s="221"/>
      <c r="F18" s="407"/>
      <c r="J18" s="242"/>
      <c r="K18" s="287"/>
      <c r="O18" s="256" t="s">
        <v>367</v>
      </c>
      <c r="P18" s="268">
        <v>8.4099999999999994E-2</v>
      </c>
      <c r="R18" s="181"/>
      <c r="S18" s="181"/>
      <c r="T18" s="181"/>
      <c r="U18" s="181"/>
      <c r="V18" s="181"/>
      <c r="W18" s="181"/>
      <c r="X18" s="181"/>
      <c r="Y18" s="181"/>
      <c r="Z18" s="181"/>
      <c r="AA18" s="181"/>
      <c r="AB18" s="181"/>
      <c r="AC18" s="181"/>
      <c r="AD18" s="181"/>
      <c r="AE18" s="181"/>
      <c r="AF18" s="181"/>
    </row>
    <row r="19" spans="1:34">
      <c r="B19" s="313"/>
      <c r="C19" s="251"/>
      <c r="D19" s="302"/>
      <c r="E19" s="251"/>
      <c r="F19" s="251"/>
      <c r="J19" s="120"/>
      <c r="K19" s="242"/>
      <c r="O19" s="256" t="s">
        <v>240</v>
      </c>
      <c r="P19" s="268">
        <f>'[1]FCFF &amp; FCFE'!G6</f>
        <v>0.25168000000000001</v>
      </c>
      <c r="R19" s="181"/>
      <c r="S19" s="181"/>
      <c r="T19" s="181"/>
      <c r="U19" s="181"/>
      <c r="V19" s="181"/>
      <c r="W19" s="181"/>
      <c r="X19" s="181"/>
      <c r="Y19" s="181"/>
      <c r="Z19" s="181"/>
      <c r="AA19" s="181"/>
      <c r="AB19" s="181"/>
      <c r="AC19" s="181"/>
      <c r="AD19" s="181"/>
      <c r="AE19" s="181"/>
      <c r="AF19" s="181"/>
    </row>
    <row r="20" spans="1:34">
      <c r="A20" s="183"/>
      <c r="B20" s="313"/>
      <c r="C20" s="251"/>
      <c r="D20" s="302"/>
      <c r="E20" s="251"/>
      <c r="F20" s="251"/>
      <c r="J20" s="130"/>
      <c r="K20" s="242"/>
      <c r="O20" s="181"/>
      <c r="P20" s="181"/>
      <c r="Q20" s="181"/>
      <c r="R20" s="181"/>
      <c r="S20" s="181"/>
      <c r="T20" s="181"/>
      <c r="U20" s="181"/>
      <c r="V20" s="181"/>
      <c r="W20" s="181"/>
      <c r="X20" s="181"/>
      <c r="Y20" s="181"/>
      <c r="Z20" s="181"/>
      <c r="AA20" s="181"/>
      <c r="AB20" s="181"/>
      <c r="AC20" s="181"/>
      <c r="AD20" s="181"/>
      <c r="AE20" s="181"/>
      <c r="AF20" s="181"/>
    </row>
    <row r="21" spans="1:34">
      <c r="B21" s="313"/>
      <c r="C21" s="251"/>
      <c r="D21" s="302"/>
      <c r="E21" s="251"/>
      <c r="F21" s="251"/>
      <c r="G21" s="119"/>
      <c r="H21" s="120"/>
      <c r="I21" s="120"/>
      <c r="J21" s="249"/>
      <c r="K21" s="250"/>
      <c r="L21" s="250"/>
      <c r="M21" s="250"/>
      <c r="N21" s="250"/>
      <c r="Q21" s="181"/>
      <c r="R21" s="181"/>
      <c r="S21" s="181"/>
      <c r="T21" s="181"/>
      <c r="U21" s="181"/>
      <c r="V21" s="181"/>
      <c r="W21" s="181"/>
      <c r="X21" s="181"/>
      <c r="Y21" s="181"/>
      <c r="Z21" s="181"/>
      <c r="AA21" s="181"/>
      <c r="AB21" s="181"/>
      <c r="AC21" s="181"/>
      <c r="AD21" s="181"/>
      <c r="AE21" s="181"/>
      <c r="AF21" s="181"/>
    </row>
    <row r="22" spans="1:34">
      <c r="B22" s="313"/>
      <c r="C22" s="251"/>
      <c r="D22" s="302"/>
      <c r="E22" s="251"/>
      <c r="F22" s="251"/>
      <c r="G22" s="119"/>
      <c r="H22" s="120"/>
      <c r="I22" s="120"/>
      <c r="J22" s="242"/>
      <c r="K22" s="243"/>
      <c r="L22" s="243"/>
      <c r="M22" s="243"/>
      <c r="N22" s="243"/>
      <c r="Q22" s="181"/>
      <c r="R22" s="181"/>
      <c r="S22" s="181"/>
      <c r="T22" s="181"/>
      <c r="U22" s="181"/>
      <c r="V22" s="181"/>
      <c r="W22" s="181"/>
      <c r="X22" s="181"/>
      <c r="Y22" s="181"/>
      <c r="Z22" s="181"/>
      <c r="AA22" s="181"/>
      <c r="AB22" s="181"/>
      <c r="AC22" s="181"/>
      <c r="AD22" s="181"/>
      <c r="AE22" s="181"/>
      <c r="AF22" s="181"/>
      <c r="AG22" s="181"/>
    </row>
    <row r="23" spans="1:34">
      <c r="B23" s="313"/>
      <c r="C23" s="251"/>
      <c r="D23" s="302"/>
      <c r="E23" s="251"/>
      <c r="F23" s="251"/>
      <c r="G23" s="119"/>
      <c r="H23" s="120"/>
      <c r="I23" s="120"/>
      <c r="J23" s="119"/>
      <c r="K23" s="181"/>
      <c r="L23" s="181"/>
      <c r="Q23" s="181"/>
      <c r="R23" s="181"/>
      <c r="S23" s="181"/>
      <c r="T23" s="181"/>
      <c r="U23" s="181"/>
      <c r="V23" s="181"/>
      <c r="W23" s="181"/>
      <c r="X23" s="181"/>
      <c r="Y23" s="181"/>
      <c r="Z23" s="181"/>
      <c r="AA23" s="181"/>
      <c r="AB23" s="181"/>
      <c r="AC23" s="181"/>
      <c r="AD23" s="181"/>
      <c r="AE23" s="181"/>
      <c r="AF23" s="181"/>
      <c r="AG23" s="181"/>
      <c r="AH23" s="181"/>
    </row>
    <row r="24" spans="1:34">
      <c r="B24" s="313"/>
      <c r="C24" s="251"/>
      <c r="D24" s="302"/>
      <c r="E24" s="251"/>
      <c r="F24" s="251"/>
      <c r="G24" s="119"/>
      <c r="H24" s="120"/>
      <c r="I24" s="120"/>
      <c r="J24" s="119"/>
      <c r="K24" s="181"/>
      <c r="L24" s="181"/>
      <c r="Q24" s="181"/>
      <c r="R24" s="181"/>
      <c r="S24" s="181"/>
      <c r="T24" s="181"/>
      <c r="U24" s="181"/>
      <c r="V24" s="181"/>
      <c r="W24" s="181"/>
      <c r="X24" s="181"/>
      <c r="Y24" s="181"/>
      <c r="Z24" s="181"/>
      <c r="AA24" s="181"/>
      <c r="AB24" s="181"/>
      <c r="AC24" s="181"/>
      <c r="AD24" s="181"/>
      <c r="AE24" s="181"/>
      <c r="AF24" s="181"/>
      <c r="AG24" s="181"/>
      <c r="AH24" s="181"/>
    </row>
    <row r="25" spans="1:34">
      <c r="B25" s="313"/>
      <c r="C25" s="251"/>
      <c r="D25" s="302"/>
      <c r="E25" s="251"/>
      <c r="F25" s="251"/>
      <c r="G25" s="119"/>
      <c r="H25" s="120"/>
      <c r="I25" s="120"/>
      <c r="J25" s="119"/>
      <c r="K25" s="181"/>
      <c r="L25" s="181"/>
      <c r="Q25" s="181"/>
      <c r="R25" s="181"/>
      <c r="S25" s="181"/>
      <c r="T25" s="181"/>
      <c r="U25" s="181"/>
      <c r="V25" s="181"/>
      <c r="W25" s="181"/>
      <c r="X25" s="181"/>
      <c r="Y25" s="181"/>
      <c r="Z25" s="181"/>
      <c r="AA25" s="181"/>
      <c r="AB25" s="181"/>
      <c r="AC25" s="181"/>
      <c r="AD25" s="181"/>
      <c r="AE25" s="181"/>
      <c r="AF25" s="181"/>
      <c r="AG25" s="181"/>
      <c r="AH25" s="181"/>
    </row>
    <row r="26" spans="1:34">
      <c r="B26" s="313"/>
      <c r="C26" s="251"/>
      <c r="D26" s="302"/>
      <c r="E26" s="251"/>
      <c r="F26" s="251"/>
      <c r="G26" s="119"/>
      <c r="H26" s="120"/>
      <c r="I26" s="120"/>
      <c r="J26" s="119"/>
      <c r="K26" s="181"/>
      <c r="L26" s="181"/>
      <c r="Q26" s="181"/>
      <c r="R26" s="181"/>
      <c r="S26" s="181"/>
      <c r="T26" s="181"/>
      <c r="U26" s="181"/>
      <c r="V26" s="181"/>
      <c r="W26" s="181"/>
      <c r="X26" s="181"/>
      <c r="Y26" s="181"/>
      <c r="Z26" s="181"/>
      <c r="AA26" s="181"/>
      <c r="AB26" s="181"/>
      <c r="AC26" s="181"/>
      <c r="AD26" s="181"/>
      <c r="AE26" s="181"/>
      <c r="AF26" s="181"/>
      <c r="AG26" s="181"/>
      <c r="AH26" s="181"/>
    </row>
    <row r="27" spans="1:34">
      <c r="B27" s="313"/>
      <c r="C27" s="251"/>
      <c r="D27" s="302"/>
      <c r="E27" s="251"/>
      <c r="F27" s="251"/>
      <c r="G27" s="119"/>
      <c r="H27" s="120"/>
      <c r="I27" s="120"/>
      <c r="J27" s="119"/>
      <c r="K27" s="181"/>
      <c r="L27" s="181"/>
      <c r="O27" s="181"/>
      <c r="P27" s="181"/>
      <c r="Q27" s="181"/>
      <c r="R27" s="181"/>
      <c r="S27" s="181"/>
      <c r="T27" s="181"/>
      <c r="U27" s="181"/>
      <c r="V27" s="181"/>
      <c r="W27" s="181"/>
      <c r="X27" s="181"/>
      <c r="Y27" s="181"/>
      <c r="Z27" s="181"/>
      <c r="AA27" s="181"/>
      <c r="AB27" s="181"/>
      <c r="AC27" s="181"/>
      <c r="AD27" s="181"/>
      <c r="AE27" s="181"/>
      <c r="AF27" s="181"/>
      <c r="AG27" s="181"/>
      <c r="AH27" s="181"/>
    </row>
    <row r="28" spans="1:34">
      <c r="B28" s="313"/>
      <c r="C28" s="251"/>
      <c r="D28" s="302"/>
      <c r="E28" s="251"/>
      <c r="F28" s="251"/>
      <c r="G28" s="119"/>
      <c r="H28" s="120"/>
      <c r="I28" s="120"/>
      <c r="J28" s="216"/>
      <c r="K28" s="181"/>
      <c r="L28" s="181"/>
      <c r="O28" s="181"/>
      <c r="P28" s="181"/>
      <c r="Q28" s="181"/>
      <c r="R28" s="181"/>
      <c r="S28" s="181"/>
      <c r="T28" s="181"/>
      <c r="U28" s="181"/>
      <c r="V28" s="181"/>
      <c r="W28" s="181"/>
      <c r="X28" s="181"/>
      <c r="Y28" s="181"/>
      <c r="Z28" s="181"/>
      <c r="AA28" s="181"/>
      <c r="AB28" s="181"/>
      <c r="AC28" s="181"/>
      <c r="AD28" s="181"/>
      <c r="AE28" s="181"/>
      <c r="AF28" s="181"/>
      <c r="AG28" s="181"/>
      <c r="AH28" s="181"/>
    </row>
    <row r="29" spans="1:34">
      <c r="E29" s="251"/>
      <c r="K29" s="181"/>
      <c r="L29" s="181"/>
      <c r="P29" s="181"/>
      <c r="Q29" s="181"/>
      <c r="R29" s="181"/>
      <c r="S29" s="181"/>
      <c r="T29" s="181"/>
      <c r="U29" s="181"/>
      <c r="V29" s="181"/>
      <c r="W29" s="181"/>
      <c r="X29" s="181"/>
      <c r="Y29" s="181"/>
      <c r="Z29" s="181"/>
      <c r="AA29" s="181"/>
      <c r="AB29" s="181"/>
      <c r="AC29" s="181"/>
      <c r="AD29" s="181"/>
      <c r="AE29" s="181"/>
      <c r="AF29" s="181"/>
      <c r="AG29" s="181"/>
      <c r="AH29" s="181"/>
    </row>
    <row r="30" spans="1:34" ht="14.25" customHeight="1">
      <c r="J30" s="127"/>
      <c r="K30" s="181"/>
      <c r="L30" s="181"/>
      <c r="M30" s="181"/>
      <c r="N30" s="181"/>
      <c r="P30" s="181"/>
      <c r="Q30" s="181"/>
      <c r="R30" s="181"/>
      <c r="S30" s="181"/>
      <c r="T30" s="181"/>
      <c r="U30" s="181"/>
      <c r="V30" s="181"/>
      <c r="W30" s="181"/>
      <c r="X30" s="181"/>
      <c r="Y30" s="181"/>
      <c r="Z30" s="181"/>
      <c r="AA30" s="181"/>
      <c r="AB30" s="181"/>
      <c r="AC30" s="181"/>
      <c r="AD30" s="181"/>
      <c r="AE30" s="181"/>
      <c r="AF30" s="181"/>
      <c r="AG30" s="181"/>
      <c r="AH30" s="181"/>
    </row>
    <row r="31" spans="1:34">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c r="AG31" s="181"/>
      <c r="AH31" s="181"/>
    </row>
    <row r="32" spans="1:34">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c r="AG32" s="181"/>
      <c r="AH32" s="181"/>
    </row>
    <row r="33" spans="7:34">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c r="AG33" s="181"/>
      <c r="AH33" s="181"/>
    </row>
    <row r="34" spans="7:34">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c r="AG34" s="181"/>
      <c r="AH34" s="181"/>
    </row>
    <row r="35" spans="7:34">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c r="AG35" s="181"/>
      <c r="AH35" s="181"/>
    </row>
    <row r="36" spans="7:34">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c r="AG36" s="181"/>
      <c r="AH36" s="181"/>
    </row>
    <row r="37" spans="7:34">
      <c r="G37" s="181"/>
      <c r="H37" s="181"/>
      <c r="I37" s="181"/>
      <c r="J37" s="181"/>
      <c r="K37" s="181"/>
      <c r="L37" s="181"/>
      <c r="O37" s="181"/>
      <c r="P37" s="181"/>
      <c r="Q37" s="181"/>
      <c r="R37" s="181"/>
      <c r="S37" s="181"/>
      <c r="T37" s="181"/>
      <c r="U37" s="181"/>
      <c r="V37" s="181"/>
      <c r="W37" s="181"/>
      <c r="X37" s="181"/>
      <c r="Y37" s="181"/>
      <c r="Z37" s="181"/>
      <c r="AA37" s="181"/>
      <c r="AB37" s="181"/>
      <c r="AC37" s="181"/>
      <c r="AD37" s="181"/>
      <c r="AE37" s="181"/>
      <c r="AF37" s="181"/>
      <c r="AG37" s="181"/>
      <c r="AH37" s="181"/>
    </row>
    <row r="38" spans="7:34">
      <c r="G38" s="181"/>
      <c r="H38" s="181"/>
      <c r="I38" s="181"/>
      <c r="J38" s="181"/>
      <c r="K38" s="181"/>
      <c r="L38" s="181"/>
      <c r="Q38" s="181"/>
      <c r="R38" s="181"/>
      <c r="S38" s="181"/>
      <c r="T38" s="181"/>
      <c r="U38" s="181"/>
      <c r="V38" s="181"/>
      <c r="W38" s="181"/>
      <c r="X38" s="181"/>
      <c r="Y38" s="181"/>
      <c r="Z38" s="181"/>
      <c r="AA38" s="181"/>
      <c r="AB38" s="181"/>
      <c r="AC38" s="181"/>
      <c r="AD38" s="181"/>
      <c r="AE38" s="181"/>
      <c r="AF38" s="181"/>
      <c r="AG38" s="181"/>
      <c r="AH38" s="181"/>
    </row>
  </sheetData>
  <pageMargins left="0.7" right="0.7" top="0.75" bottom="0.75" header="0.3" footer="0.3"/>
  <pageSetup paperSize="8"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76" customWidth="1"/>
    <col min="2" max="2" width="7" style="176" customWidth="1"/>
    <col min="3" max="3" width="14.7109375" style="176" customWidth="1"/>
    <col min="4" max="4" width="16.140625" style="176" customWidth="1"/>
    <col min="5" max="5" width="14" style="176" customWidth="1"/>
    <col min="6" max="6" width="12.5703125" style="176" customWidth="1"/>
    <col min="7" max="7" width="15.42578125" style="176" customWidth="1" collapsed="1"/>
    <col min="8" max="8" width="14.28515625" style="176" customWidth="1"/>
    <col min="9" max="9" width="3.5703125" style="176" customWidth="1"/>
    <col min="10" max="10" width="20.42578125" style="176" customWidth="1"/>
    <col min="11" max="11" width="11.5703125" style="176" customWidth="1"/>
    <col min="12" max="12" width="8.5703125" style="176" customWidth="1"/>
    <col min="13" max="13" width="10.7109375" style="176" customWidth="1"/>
    <col min="14" max="14" width="8.7109375" style="176" customWidth="1"/>
    <col min="15" max="15" width="6.7109375" style="176" customWidth="1"/>
    <col min="16" max="16" width="8.28515625" style="176" customWidth="1"/>
    <col min="17" max="28" width="9.140625" style="176" customWidth="1"/>
    <col min="29" max="29" width="9.28515625" style="176" customWidth="1"/>
    <col min="30" max="30" width="9.42578125" style="176" customWidth="1"/>
    <col min="31" max="31" width="10" style="176" customWidth="1"/>
    <col min="32" max="32" width="11.42578125" style="176" customWidth="1"/>
    <col min="33" max="33" width="9.42578125" style="176" bestFit="1" customWidth="1" collapsed="1"/>
    <col min="34" max="16384" width="9.140625" style="176"/>
  </cols>
  <sheetData>
    <row r="1" spans="1:32" s="175" customFormat="1" ht="15" customHeight="1">
      <c r="B1" s="17" t="s">
        <v>198</v>
      </c>
      <c r="C1" s="174"/>
      <c r="D1" s="174"/>
      <c r="E1" s="174"/>
      <c r="F1" s="174"/>
      <c r="G1" s="174"/>
      <c r="H1" s="174"/>
      <c r="I1" s="174"/>
      <c r="J1" s="174"/>
      <c r="K1" s="174"/>
      <c r="L1" s="174"/>
      <c r="M1" s="174"/>
      <c r="N1" s="174"/>
    </row>
    <row r="2" spans="1:32" ht="12" customHeight="1">
      <c r="C2" s="202"/>
    </row>
    <row r="3" spans="1:32" ht="12" customHeight="1">
      <c r="A3" s="178"/>
      <c r="B3" s="273"/>
      <c r="C3" s="232" t="s">
        <v>357</v>
      </c>
      <c r="D3" s="232" t="s">
        <v>369</v>
      </c>
      <c r="E3" s="232" t="s">
        <v>6</v>
      </c>
      <c r="F3" s="232" t="s">
        <v>205</v>
      </c>
      <c r="G3" s="232" t="s">
        <v>3</v>
      </c>
      <c r="H3" s="232" t="s">
        <v>358</v>
      </c>
      <c r="I3" s="162"/>
      <c r="J3" s="256" t="s">
        <v>216</v>
      </c>
      <c r="K3" s="268">
        <f>Beta!C14</f>
        <v>0.25169999999999998</v>
      </c>
      <c r="L3" s="162"/>
      <c r="M3" s="162"/>
      <c r="N3" s="427"/>
      <c r="O3" s="427"/>
      <c r="P3" s="427"/>
    </row>
    <row r="4" spans="1:32" ht="12" customHeight="1">
      <c r="A4" s="183"/>
      <c r="B4" s="261" t="s">
        <v>203</v>
      </c>
      <c r="C4" s="351">
        <f>'Industry &amp; Revenues'!C4+'Industry &amp; Revenues'!I4</f>
        <v>29695584</v>
      </c>
      <c r="D4" s="410">
        <f>'Industry &amp; Revenues'!E4+'Industry &amp; Revenues'!K4</f>
        <v>67503</v>
      </c>
      <c r="E4" s="257">
        <f>'EBIT &amp; Advertising Expense'!C4</f>
        <v>41053.65</v>
      </c>
      <c r="F4" s="275">
        <f>G4/E4</f>
        <v>8.9422840600044282E-2</v>
      </c>
      <c r="G4" s="264">
        <f>'FCFF &amp; FCFE'!G5</f>
        <v>3671.1340000000082</v>
      </c>
      <c r="H4" s="264">
        <f>G4*(1-$K$4)</f>
        <v>2935.4387464000065</v>
      </c>
      <c r="I4" s="67"/>
      <c r="J4" s="256" t="s">
        <v>353</v>
      </c>
      <c r="K4" s="268">
        <f>Beta!C15</f>
        <v>0.20039999999999999</v>
      </c>
      <c r="L4" s="246"/>
      <c r="M4" s="67"/>
      <c r="N4" s="48"/>
      <c r="O4" s="48"/>
      <c r="P4" s="67"/>
      <c r="Q4" s="180"/>
      <c r="R4" s="180"/>
      <c r="W4" s="180"/>
    </row>
    <row r="5" spans="1:32" ht="12" customHeight="1">
      <c r="A5" s="183"/>
      <c r="B5" s="255">
        <v>1</v>
      </c>
      <c r="C5" s="352">
        <f>'Industry &amp; Revenues'!C5+'Industry &amp; Revenues'!I5</f>
        <v>31958084.3136</v>
      </c>
      <c r="D5" s="307">
        <f ca="1">'Industry &amp; Revenues'!E5+'Industry &amp; Revenues'!K5</f>
        <v>95510.120840880001</v>
      </c>
      <c r="E5" s="259">
        <f ca="1">'Industry &amp; Revenues'!O5</f>
        <v>58036.15074823195</v>
      </c>
      <c r="F5" s="412">
        <f ca="1">AVERAGE(F4,F6)</f>
        <v>9.7880074890304536E-2</v>
      </c>
      <c r="G5" s="263">
        <f t="shared" ref="G5:G14" ca="1" si="0">E5*F5</f>
        <v>5680.5827815819466</v>
      </c>
      <c r="H5" s="263">
        <f ca="1">G5*(1-$K$4)</f>
        <v>4542.1939921529247</v>
      </c>
      <c r="I5" s="247"/>
      <c r="L5" s="249"/>
      <c r="M5" s="239"/>
      <c r="N5" s="119"/>
      <c r="O5" s="119"/>
      <c r="P5" s="186"/>
      <c r="Q5" s="181"/>
      <c r="R5" s="181"/>
      <c r="S5" s="181"/>
      <c r="T5" s="181"/>
      <c r="U5" s="181"/>
      <c r="V5" s="181"/>
      <c r="W5" s="181"/>
      <c r="X5" s="181"/>
      <c r="Y5" s="181"/>
      <c r="Z5" s="181"/>
      <c r="AA5" s="181"/>
      <c r="AB5" s="181"/>
    </row>
    <row r="6" spans="1:32" ht="12" customHeight="1">
      <c r="A6" s="183"/>
      <c r="B6" s="255">
        <f t="shared" ref="B6:B14" si="1">B5+1</f>
        <v>2</v>
      </c>
      <c r="C6" s="352">
        <f>'Industry &amp; Revenues'!C6+'Industry &amp; Revenues'!I6</f>
        <v>34397260.291957438</v>
      </c>
      <c r="D6" s="307">
        <f ca="1">'Industry &amp; Revenues'!E6+'Industry &amp; Revenues'!K6</f>
        <v>127462.12706127591</v>
      </c>
      <c r="E6" s="259">
        <f ca="1">'Industry &amp; Revenues'!O6</f>
        <v>77938.839973998925</v>
      </c>
      <c r="F6" s="412">
        <f ca="1">AVERAGE(F5,F7)</f>
        <v>0.1063373091805648</v>
      </c>
      <c r="G6" s="263">
        <f t="shared" ca="1" si="0"/>
        <v>8287.8065234896876</v>
      </c>
      <c r="H6" s="263">
        <f ca="1">G6*(1-($K$4+1%))</f>
        <v>6544.0520309474568</v>
      </c>
      <c r="I6" s="248"/>
      <c r="J6" s="119"/>
      <c r="K6" s="119"/>
      <c r="L6" s="242"/>
      <c r="M6" s="239"/>
      <c r="N6" s="119"/>
      <c r="O6" s="119"/>
      <c r="P6" s="186"/>
      <c r="Q6" s="181"/>
      <c r="R6" s="181"/>
      <c r="S6" s="181"/>
      <c r="T6" s="181"/>
      <c r="U6" s="181"/>
      <c r="V6" s="181"/>
      <c r="W6" s="181"/>
      <c r="X6" s="181"/>
      <c r="Y6" s="181"/>
      <c r="Z6" s="181"/>
      <c r="AA6" s="181"/>
      <c r="AB6" s="181"/>
    </row>
    <row r="7" spans="1:32" ht="12" customHeight="1">
      <c r="B7" s="255">
        <f t="shared" si="1"/>
        <v>3</v>
      </c>
      <c r="C7" s="352">
        <f>'Industry &amp; Revenues'!C7+'Industry &amp; Revenues'!I7</f>
        <v>37027182.883065842</v>
      </c>
      <c r="D7" s="307">
        <f ca="1">'Industry &amp; Revenues'!E7+'Industry &amp; Revenues'!K7</f>
        <v>163811.693102844</v>
      </c>
      <c r="E7" s="259">
        <f ca="1">'Industry &amp; Revenues'!O7</f>
        <v>100772.67369811982</v>
      </c>
      <c r="F7" s="412">
        <f ca="1">AVERAGE(F9,F5)</f>
        <v>0.11479454347082509</v>
      </c>
      <c r="G7" s="263">
        <f t="shared" ca="1" si="0"/>
        <v>11568.153071510087</v>
      </c>
      <c r="H7" s="263">
        <f ca="1">G7*(1-($K$4+2%))</f>
        <v>9018.5321345492648</v>
      </c>
      <c r="I7" s="248"/>
      <c r="J7" s="119"/>
      <c r="K7" s="119"/>
      <c r="L7" s="249"/>
      <c r="M7" s="239"/>
      <c r="N7" s="119"/>
      <c r="O7" s="119"/>
      <c r="P7" s="239"/>
      <c r="Q7" s="181"/>
      <c r="R7" s="181"/>
      <c r="S7" s="181"/>
      <c r="T7" s="181"/>
      <c r="U7" s="181"/>
      <c r="V7" s="181"/>
      <c r="W7" s="181"/>
      <c r="X7" s="181"/>
      <c r="Y7" s="181"/>
      <c r="Z7" s="181"/>
      <c r="AA7" s="181"/>
      <c r="AB7" s="181"/>
    </row>
    <row r="8" spans="1:32" ht="12" customHeight="1">
      <c r="A8" s="183"/>
      <c r="B8" s="255">
        <f t="shared" si="1"/>
        <v>4</v>
      </c>
      <c r="C8" s="352">
        <f>'Industry &amp; Revenues'!C8+'Industry &amp; Revenues'!I8</f>
        <v>39863060.806818575</v>
      </c>
      <c r="D8" s="307">
        <f ca="1">'Industry &amp; Revenues'!E8+'Industry &amp; Revenues'!K8</f>
        <v>205059.22058491749</v>
      </c>
      <c r="E8" s="259">
        <f ca="1">'Industry &amp; Revenues'!O8</f>
        <v>126892.08684919075</v>
      </c>
      <c r="F8" s="412">
        <f ca="1">AVERAGE(F7,F9)</f>
        <v>0.12325177776108537</v>
      </c>
      <c r="G8" s="263">
        <f t="shared" ca="1" si="0"/>
        <v>15639.675287976801</v>
      </c>
      <c r="H8" s="263">
        <f ca="1">G8*(1-($K$4+3%))</f>
        <v>12036.294101626947</v>
      </c>
      <c r="I8" s="248"/>
      <c r="J8" s="119"/>
      <c r="K8" s="119"/>
      <c r="L8" s="242"/>
      <c r="M8" s="239"/>
      <c r="N8" s="119"/>
      <c r="O8" s="119"/>
      <c r="P8" s="239"/>
      <c r="Q8" s="181"/>
      <c r="R8" s="181"/>
      <c r="S8" s="181"/>
      <c r="T8" s="181"/>
      <c r="U8" s="181"/>
      <c r="V8" s="181"/>
      <c r="W8" s="181"/>
      <c r="X8" s="181"/>
      <c r="Y8" s="181"/>
      <c r="Z8" s="181"/>
      <c r="AA8" s="181"/>
      <c r="AB8" s="181"/>
    </row>
    <row r="9" spans="1:32" ht="12" customHeight="1">
      <c r="A9" s="183"/>
      <c r="B9" s="255">
        <f t="shared" si="1"/>
        <v>5</v>
      </c>
      <c r="C9" s="352">
        <f>'Industry &amp; Revenues'!C9+'Industry &amp; Revenues'!I9</f>
        <v>42921333.601685233</v>
      </c>
      <c r="D9" s="307">
        <f>'Industry &amp; Revenues'!E9+'Industry &amp; Revenues'!K9</f>
        <v>251757.64793169202</v>
      </c>
      <c r="E9" s="259">
        <f>'Industry &amp; Revenues'!O9</f>
        <v>156690.71180114496</v>
      </c>
      <c r="F9" s="412">
        <f ca="1">AVERAGE(F14,F4)</f>
        <v>0.13170901205134564</v>
      </c>
      <c r="G9" s="263">
        <f t="shared" ca="1" si="0"/>
        <v>20637.578848950929</v>
      </c>
      <c r="H9" s="263">
        <f ca="1">G9*(1-($K$4+3.5%))</f>
        <v>15779.492787907879</v>
      </c>
      <c r="I9" s="248"/>
      <c r="J9" s="119"/>
      <c r="K9" s="119"/>
      <c r="L9" s="242"/>
      <c r="M9" s="239"/>
      <c r="N9" s="119"/>
      <c r="O9" s="119"/>
      <c r="P9" s="239"/>
      <c r="Q9" s="181"/>
      <c r="R9" s="181"/>
      <c r="S9" s="181"/>
      <c r="T9" s="181"/>
      <c r="U9" s="181"/>
      <c r="V9" s="181"/>
      <c r="W9" s="181"/>
      <c r="X9" s="181"/>
      <c r="Y9" s="181"/>
      <c r="Z9" s="181"/>
      <c r="AA9" s="181"/>
      <c r="AB9" s="181"/>
    </row>
    <row r="10" spans="1:32">
      <c r="A10" s="179"/>
      <c r="B10" s="255">
        <f t="shared" si="1"/>
        <v>6</v>
      </c>
      <c r="C10" s="352">
        <f>'Industry &amp; Revenues'!C10+'Industry &amp; Revenues'!I10</f>
        <v>45598937.590678371</v>
      </c>
      <c r="D10" s="307">
        <f>'Industry &amp; Revenues'!E10+'Industry &amp; Revenues'!K10</f>
        <v>308360.19496568287</v>
      </c>
      <c r="E10" s="259">
        <f>'Industry &amp; Revenues'!O10</f>
        <v>192568.1496836915</v>
      </c>
      <c r="F10" s="412">
        <f ca="1">AVERAGE(F11,F9)</f>
        <v>0.14228055491417096</v>
      </c>
      <c r="G10" s="263">
        <f t="shared" ca="1" si="0"/>
        <v>27398.703195790764</v>
      </c>
      <c r="H10" s="263">
        <f ca="1">G10*(1-($K$4+4%))</f>
        <v>20812.054947522665</v>
      </c>
      <c r="I10" s="248"/>
      <c r="J10" s="119"/>
      <c r="K10" s="119"/>
      <c r="L10" s="242"/>
      <c r="M10" s="239"/>
      <c r="N10" s="119"/>
      <c r="O10" s="119"/>
      <c r="P10" s="239"/>
      <c r="Q10" s="181"/>
      <c r="R10" s="181"/>
      <c r="S10" s="181"/>
      <c r="T10" s="181"/>
      <c r="U10" s="181"/>
      <c r="V10" s="181"/>
      <c r="W10" s="181"/>
      <c r="X10" s="181"/>
      <c r="Y10" s="181"/>
      <c r="Z10" s="181"/>
      <c r="AA10" s="181"/>
      <c r="AB10" s="181"/>
    </row>
    <row r="11" spans="1:32">
      <c r="A11" s="183"/>
      <c r="B11" s="255">
        <f t="shared" si="1"/>
        <v>7</v>
      </c>
      <c r="C11" s="352">
        <f>'Industry &amp; Revenues'!C11+'Industry &amp; Revenues'!I11</f>
        <v>48443911.458012722</v>
      </c>
      <c r="D11" s="307">
        <f>'Industry &amp; Revenues'!E11+'Industry &amp; Revenues'!K11</f>
        <v>371069.25779022183</v>
      </c>
      <c r="E11" s="259">
        <f>'Industry &amp; Revenues'!O11</f>
        <v>232504.09508485775</v>
      </c>
      <c r="F11" s="412">
        <f ca="1">AVERAGE(F9,F14)</f>
        <v>0.15285209777699632</v>
      </c>
      <c r="G11" s="263">
        <f t="shared" ca="1" si="0"/>
        <v>35538.73867546273</v>
      </c>
      <c r="H11" s="263">
        <f ca="1">G11*(1-($K$4+4.5%))</f>
        <v>26817.532204504172</v>
      </c>
      <c r="I11" s="248"/>
      <c r="J11" s="119"/>
      <c r="K11" s="119"/>
      <c r="L11" s="242"/>
      <c r="M11" s="239"/>
      <c r="N11" s="119"/>
      <c r="O11" s="119"/>
      <c r="P11" s="239"/>
      <c r="Q11" s="181"/>
      <c r="R11" s="181"/>
      <c r="S11" s="181"/>
      <c r="T11" s="181"/>
      <c r="U11" s="181"/>
      <c r="V11" s="181"/>
      <c r="W11" s="181"/>
      <c r="X11" s="181"/>
      <c r="Y11" s="181"/>
      <c r="Z11" s="181"/>
      <c r="AA11" s="181"/>
      <c r="AB11" s="181"/>
    </row>
    <row r="12" spans="1:32">
      <c r="B12" s="255">
        <f t="shared" si="1"/>
        <v>8</v>
      </c>
      <c r="C12" s="352">
        <f>'Industry &amp; Revenues'!C12+'Industry &amp; Revenues'!I12</f>
        <v>51466736.696177185</v>
      </c>
      <c r="D12" s="307">
        <f>'Industry &amp; Revenues'!E12+'Industry &amp; Revenues'!K12</f>
        <v>440428.79991310282</v>
      </c>
      <c r="E12" s="259">
        <f>'Industry &amp; Revenues'!O12</f>
        <v>276879.04801120993</v>
      </c>
      <c r="F12" s="412">
        <f ca="1">AVERAGE(F11,F14)</f>
        <v>0.16342364063982168</v>
      </c>
      <c r="G12" s="263">
        <f t="shared" ca="1" si="0"/>
        <v>45248.582042879905</v>
      </c>
      <c r="H12" s="263">
        <f ca="1">G12*(1-($K$4+5%))</f>
        <v>33918.337099342782</v>
      </c>
      <c r="I12" s="411"/>
      <c r="J12" s="119"/>
      <c r="K12" s="119"/>
      <c r="L12" s="242"/>
      <c r="M12" s="239"/>
      <c r="N12" s="119"/>
      <c r="O12" s="119"/>
      <c r="P12" s="239"/>
      <c r="Q12" s="181"/>
      <c r="R12" s="181"/>
      <c r="S12" s="181"/>
      <c r="T12" s="181"/>
      <c r="U12" s="181"/>
      <c r="V12" s="181"/>
      <c r="W12" s="181"/>
      <c r="X12" s="181"/>
      <c r="Y12" s="181"/>
      <c r="Z12" s="181"/>
      <c r="AA12" s="181"/>
      <c r="AB12" s="181"/>
    </row>
    <row r="13" spans="1:32">
      <c r="A13" s="183"/>
      <c r="B13" s="255">
        <f t="shared" si="1"/>
        <v>9</v>
      </c>
      <c r="C13" s="352">
        <f>'Industry &amp; Revenues'!C13+'Industry &amp; Revenues'!I13</f>
        <v>54678552.364851564</v>
      </c>
      <c r="D13" s="307">
        <f>'Industry &amp; Revenues'!E13+'Industry &amp; Revenues'!K13</f>
        <v>492527.83031884197</v>
      </c>
      <c r="E13" s="259">
        <f>'Industry &amp; Revenues'!O13</f>
        <v>310326.37227765756</v>
      </c>
      <c r="F13" s="412">
        <f ca="1">AVERAGE(F12,F14)</f>
        <v>0.16870941207123435</v>
      </c>
      <c r="G13" s="263">
        <f t="shared" ca="1" si="0"/>
        <v>52354.97981716261</v>
      </c>
      <c r="H13" s="263">
        <f ca="1">G13*(1-$K$3)</f>
        <v>39177.231397182783</v>
      </c>
      <c r="I13" s="244"/>
      <c r="J13" s="119"/>
      <c r="K13" s="119"/>
      <c r="L13" s="393"/>
      <c r="M13" s="239"/>
      <c r="N13" s="119"/>
      <c r="O13" s="119"/>
      <c r="P13" s="239"/>
      <c r="Q13" s="181"/>
      <c r="R13" s="181"/>
      <c r="S13" s="181"/>
      <c r="T13" s="181"/>
      <c r="U13" s="181"/>
      <c r="V13" s="181"/>
      <c r="W13" s="181"/>
      <c r="X13" s="181"/>
      <c r="Y13" s="181"/>
      <c r="Z13" s="181"/>
      <c r="AA13" s="181"/>
      <c r="AB13" s="181"/>
    </row>
    <row r="14" spans="1:32">
      <c r="B14" s="255">
        <f t="shared" si="1"/>
        <v>10</v>
      </c>
      <c r="C14" s="352">
        <f>'Industry &amp; Revenues'!C14+'Industry &amp; Revenues'!I14</f>
        <v>58091196.413197391</v>
      </c>
      <c r="D14" s="307">
        <f>'Industry &amp; Revenues'!E14+'Industry &amp; Revenues'!K14</f>
        <v>549430.51242122438</v>
      </c>
      <c r="E14" s="259">
        <f>'Industry &amp; Revenues'!O14</f>
        <v>346955.74116147228</v>
      </c>
      <c r="F14" s="413">
        <f ca="1">'Expected Growth Rate'!M22</f>
        <v>0.17399518350264701</v>
      </c>
      <c r="G14" s="263">
        <f t="shared" ca="1" si="0"/>
        <v>60368.62785068727</v>
      </c>
      <c r="H14" s="263">
        <f ca="1">G14*(1-$K$3)</f>
        <v>45173.844220669285</v>
      </c>
      <c r="I14" s="3"/>
      <c r="J14" s="119"/>
      <c r="K14" s="119"/>
      <c r="L14" s="242"/>
      <c r="M14" s="239"/>
      <c r="N14" s="119"/>
      <c r="O14" s="119"/>
      <c r="P14" s="244"/>
      <c r="Q14" s="181"/>
      <c r="R14" s="181"/>
      <c r="S14" s="181"/>
      <c r="T14" s="181"/>
      <c r="U14" s="181"/>
      <c r="V14" s="181"/>
      <c r="W14" s="181"/>
      <c r="X14" s="181"/>
      <c r="Y14" s="181"/>
      <c r="Z14" s="181"/>
      <c r="AA14" s="181"/>
      <c r="AB14" s="181"/>
    </row>
    <row r="15" spans="1:32">
      <c r="C15" s="251"/>
      <c r="E15" s="186"/>
      <c r="F15" s="119"/>
      <c r="G15" s="13"/>
      <c r="H15" s="14"/>
      <c r="I15" s="356"/>
      <c r="J15" s="119"/>
      <c r="K15" s="119"/>
      <c r="L15" s="393"/>
      <c r="M15" s="239"/>
      <c r="N15" s="239"/>
      <c r="Q15" s="181"/>
      <c r="R15" s="181"/>
      <c r="S15" s="181"/>
      <c r="T15" s="181"/>
      <c r="U15" s="181"/>
      <c r="V15" s="181"/>
      <c r="W15" s="181"/>
      <c r="X15" s="181"/>
      <c r="Y15" s="181"/>
      <c r="Z15" s="181"/>
      <c r="AA15" s="181"/>
      <c r="AB15" s="181"/>
      <c r="AC15" s="181"/>
      <c r="AD15" s="181"/>
      <c r="AE15" s="181"/>
      <c r="AF15" s="181"/>
    </row>
    <row r="16" spans="1:32">
      <c r="F16" s="119"/>
      <c r="G16" s="260"/>
      <c r="H16" s="162"/>
      <c r="I16" s="245"/>
      <c r="J16" s="119"/>
      <c r="K16" s="119"/>
      <c r="L16" s="242"/>
      <c r="M16" s="239"/>
      <c r="N16" s="239"/>
      <c r="O16" s="272"/>
      <c r="P16" s="181"/>
      <c r="Q16" s="181"/>
      <c r="R16" s="181"/>
      <c r="S16" s="181"/>
      <c r="T16" s="181"/>
      <c r="U16" s="181"/>
      <c r="V16" s="181"/>
      <c r="W16" s="181"/>
      <c r="X16" s="181"/>
      <c r="Y16" s="181"/>
      <c r="Z16" s="181"/>
      <c r="AA16" s="181"/>
      <c r="AB16" s="181"/>
      <c r="AC16" s="181"/>
      <c r="AD16" s="181"/>
      <c r="AE16" s="181"/>
      <c r="AF16" s="181"/>
    </row>
    <row r="17" spans="1:34">
      <c r="B17" s="273"/>
      <c r="C17" s="100" t="s">
        <v>206</v>
      </c>
      <c r="D17" s="100" t="s">
        <v>207</v>
      </c>
      <c r="E17" s="100" t="s">
        <v>167</v>
      </c>
      <c r="F17" s="100" t="s">
        <v>208</v>
      </c>
      <c r="G17" s="100" t="s">
        <v>209</v>
      </c>
      <c r="H17" s="100" t="s">
        <v>210</v>
      </c>
      <c r="I17" s="48"/>
      <c r="J17" s="119"/>
      <c r="K17" s="119"/>
      <c r="L17" s="242"/>
      <c r="M17" s="393"/>
      <c r="N17" s="427"/>
      <c r="O17" s="427"/>
      <c r="P17" s="427"/>
      <c r="Q17" s="181"/>
      <c r="R17" s="181"/>
      <c r="S17" s="181"/>
      <c r="T17" s="181"/>
      <c r="U17" s="181"/>
      <c r="V17" s="181"/>
      <c r="W17" s="181"/>
      <c r="X17" s="181"/>
      <c r="Y17" s="181"/>
      <c r="Z17" s="181"/>
      <c r="AA17" s="181"/>
      <c r="AB17" s="181"/>
      <c r="AC17" s="181"/>
      <c r="AD17" s="181"/>
      <c r="AE17" s="181"/>
      <c r="AF17" s="181"/>
    </row>
    <row r="18" spans="1:34">
      <c r="A18" s="183"/>
      <c r="B18" s="261" t="s">
        <v>203</v>
      </c>
      <c r="C18" s="253"/>
      <c r="D18" s="265"/>
      <c r="E18" s="262"/>
      <c r="F18" s="252">
        <f>'FCFF &amp; FCFE'!C3</f>
        <v>-2318.2727148714512</v>
      </c>
      <c r="G18" s="266">
        <f>'Expected Growth Rate'!C8</f>
        <v>16654.8</v>
      </c>
      <c r="H18" s="267">
        <f t="shared" ref="H18:H28" si="2">H4/G18</f>
        <v>0.17625181607704726</v>
      </c>
      <c r="I18" s="242"/>
      <c r="J18" s="119"/>
      <c r="K18" s="119"/>
      <c r="L18" s="242"/>
      <c r="M18" s="239"/>
      <c r="N18" s="394"/>
      <c r="O18" s="185"/>
      <c r="P18" s="185"/>
      <c r="Q18" s="181"/>
      <c r="R18" s="181"/>
      <c r="S18" s="181"/>
      <c r="T18" s="181"/>
      <c r="U18" s="181"/>
      <c r="V18" s="181"/>
      <c r="W18" s="181"/>
      <c r="X18" s="181"/>
      <c r="Y18" s="181"/>
      <c r="Z18" s="181"/>
      <c r="AA18" s="181"/>
      <c r="AB18" s="181"/>
      <c r="AC18" s="181"/>
      <c r="AD18" s="181"/>
      <c r="AE18" s="181"/>
      <c r="AF18" s="181"/>
    </row>
    <row r="19" spans="1:34">
      <c r="B19" s="255">
        <v>1</v>
      </c>
      <c r="C19" s="254">
        <f t="shared" ref="C19:C28" ca="1" si="3">E5-E4</f>
        <v>16982.500748231949</v>
      </c>
      <c r="D19" s="234">
        <f ca="1">'Expected Growth Rate'!$L$22</f>
        <v>1.562290904446066</v>
      </c>
      <c r="E19" s="254">
        <f t="shared" ref="E19:E28" ca="1" si="4">C19/D19</f>
        <v>10870.255148962384</v>
      </c>
      <c r="F19" s="254">
        <f t="shared" ref="F19:F28" ca="1" si="5">H5-E19</f>
        <v>-6328.0611568094591</v>
      </c>
      <c r="G19" s="73">
        <f t="shared" ref="G19:G28" ca="1" si="6">G18+E19</f>
        <v>27525.055148962383</v>
      </c>
      <c r="H19" s="75">
        <f t="shared" ca="1" si="2"/>
        <v>0.1650203411971784</v>
      </c>
      <c r="I19" s="120"/>
      <c r="J19" s="119"/>
      <c r="K19" s="119"/>
      <c r="L19" s="242"/>
      <c r="M19" s="239"/>
      <c r="N19" s="314"/>
      <c r="O19" s="300"/>
      <c r="P19" s="239"/>
      <c r="Q19" s="181"/>
      <c r="R19" s="181"/>
      <c r="S19" s="181"/>
      <c r="T19" s="181"/>
      <c r="U19" s="181"/>
      <c r="V19" s="181"/>
      <c r="W19" s="181"/>
      <c r="X19" s="181"/>
      <c r="Y19" s="181"/>
      <c r="Z19" s="181"/>
      <c r="AA19" s="181"/>
      <c r="AB19" s="181"/>
      <c r="AC19" s="181"/>
      <c r="AD19" s="181"/>
      <c r="AE19" s="181"/>
      <c r="AF19" s="181"/>
    </row>
    <row r="20" spans="1:34">
      <c r="A20" s="183"/>
      <c r="B20" s="255">
        <f t="shared" ref="B20:B28" si="7">B19+1</f>
        <v>2</v>
      </c>
      <c r="C20" s="254">
        <f t="shared" ca="1" si="3"/>
        <v>19902.689225766975</v>
      </c>
      <c r="D20" s="234">
        <f ca="1">'Expected Growth Rate'!$L$22</f>
        <v>1.562290904446066</v>
      </c>
      <c r="E20" s="254">
        <f t="shared" ca="1" si="4"/>
        <v>12739.425909173924</v>
      </c>
      <c r="F20" s="254">
        <f t="shared" ca="1" si="5"/>
        <v>-6195.3738782264672</v>
      </c>
      <c r="G20" s="73">
        <f t="shared" ca="1" si="6"/>
        <v>40264.481058136305</v>
      </c>
      <c r="H20" s="75">
        <f t="shared" ca="1" si="2"/>
        <v>0.16252667013139338</v>
      </c>
      <c r="I20" s="120"/>
      <c r="J20" s="119"/>
      <c r="K20" s="119"/>
      <c r="L20" s="242"/>
      <c r="M20" s="239"/>
      <c r="N20" s="314"/>
      <c r="O20" s="300"/>
      <c r="P20" s="243"/>
      <c r="Q20" s="181"/>
      <c r="R20" s="181"/>
      <c r="S20" s="181"/>
      <c r="T20" s="181"/>
      <c r="U20" s="181"/>
      <c r="V20" s="181"/>
      <c r="W20" s="181"/>
      <c r="X20" s="181"/>
      <c r="Y20" s="181"/>
      <c r="Z20" s="181"/>
      <c r="AA20" s="181"/>
      <c r="AB20" s="181"/>
      <c r="AC20" s="181"/>
      <c r="AD20" s="181"/>
      <c r="AE20" s="181"/>
      <c r="AF20" s="181"/>
    </row>
    <row r="21" spans="1:34">
      <c r="B21" s="255">
        <f t="shared" si="7"/>
        <v>3</v>
      </c>
      <c r="C21" s="254">
        <f t="shared" ca="1" si="3"/>
        <v>22833.833724120894</v>
      </c>
      <c r="D21" s="234">
        <f ca="1">'Expected Growth Rate'!$L$22</f>
        <v>1.562290904446066</v>
      </c>
      <c r="E21" s="254">
        <f t="shared" ca="1" si="4"/>
        <v>14615.609461169446</v>
      </c>
      <c r="F21" s="254">
        <f t="shared" ca="1" si="5"/>
        <v>-5597.0773266201813</v>
      </c>
      <c r="G21" s="73">
        <f t="shared" ca="1" si="6"/>
        <v>54880.090519305755</v>
      </c>
      <c r="H21" s="75">
        <f t="shared" ca="1" si="2"/>
        <v>0.16433158271444032</v>
      </c>
      <c r="I21" s="120"/>
      <c r="J21" s="119"/>
      <c r="K21" s="119"/>
      <c r="L21" s="242"/>
      <c r="M21" s="239"/>
      <c r="N21" s="239"/>
      <c r="O21" s="202"/>
      <c r="P21" s="396"/>
      <c r="Q21" s="181"/>
      <c r="R21" s="181"/>
      <c r="S21" s="181"/>
      <c r="T21" s="181"/>
      <c r="U21" s="181"/>
      <c r="V21" s="181"/>
      <c r="W21" s="181"/>
      <c r="X21" s="181"/>
      <c r="Y21" s="181"/>
      <c r="Z21" s="181"/>
      <c r="AA21" s="181"/>
      <c r="AB21" s="181"/>
      <c r="AC21" s="181"/>
      <c r="AD21" s="181"/>
      <c r="AE21" s="181"/>
      <c r="AF21" s="181"/>
    </row>
    <row r="22" spans="1:34">
      <c r="B22" s="255">
        <f t="shared" si="7"/>
        <v>4</v>
      </c>
      <c r="C22" s="254">
        <f t="shared" ca="1" si="3"/>
        <v>26119.413151070927</v>
      </c>
      <c r="D22" s="234">
        <f ca="1">'Expected Growth Rate'!$L$22</f>
        <v>1.562290904446066</v>
      </c>
      <c r="E22" s="254">
        <f t="shared" ca="1" si="4"/>
        <v>16718.661727299732</v>
      </c>
      <c r="F22" s="254">
        <f t="shared" ca="1" si="5"/>
        <v>-4682.3676256727849</v>
      </c>
      <c r="G22" s="73">
        <f t="shared" ca="1" si="6"/>
        <v>71598.752246605494</v>
      </c>
      <c r="H22" s="75">
        <f t="shared" ca="1" si="2"/>
        <v>0.16810759578841108</v>
      </c>
      <c r="I22" s="120"/>
      <c r="J22" s="119"/>
      <c r="K22" s="119"/>
      <c r="L22" s="242"/>
      <c r="M22" s="239"/>
      <c r="N22" s="239"/>
      <c r="O22" s="181"/>
      <c r="P22" s="181"/>
      <c r="Q22" s="181"/>
      <c r="R22" s="181"/>
      <c r="S22" s="181"/>
      <c r="T22" s="181"/>
      <c r="U22" s="181"/>
      <c r="V22" s="181"/>
      <c r="W22" s="181"/>
      <c r="X22" s="181"/>
      <c r="Y22" s="181"/>
      <c r="Z22" s="181"/>
      <c r="AA22" s="181"/>
      <c r="AB22" s="181"/>
      <c r="AC22" s="181"/>
      <c r="AD22" s="181"/>
      <c r="AE22" s="181"/>
      <c r="AF22" s="181"/>
      <c r="AG22" s="181"/>
    </row>
    <row r="23" spans="1:34">
      <c r="B23" s="255">
        <f t="shared" si="7"/>
        <v>5</v>
      </c>
      <c r="C23" s="254">
        <f t="shared" ca="1" si="3"/>
        <v>29798.624951954218</v>
      </c>
      <c r="D23" s="234">
        <f ca="1">'Expected Growth Rate'!$L$22</f>
        <v>1.562290904446066</v>
      </c>
      <c r="E23" s="254">
        <f t="shared" ca="1" si="4"/>
        <v>19073.672430116192</v>
      </c>
      <c r="F23" s="254">
        <f t="shared" ca="1" si="5"/>
        <v>-3294.1796422083135</v>
      </c>
      <c r="G23" s="73">
        <f t="shared" ca="1" si="6"/>
        <v>90672.424676721683</v>
      </c>
      <c r="H23" s="75">
        <f t="shared" ca="1" si="2"/>
        <v>0.1740274713526983</v>
      </c>
      <c r="I23" s="120"/>
      <c r="J23" s="119"/>
      <c r="K23" s="119"/>
      <c r="L23" s="242"/>
      <c r="M23" s="239"/>
      <c r="N23" s="239"/>
      <c r="O23" s="181"/>
      <c r="P23" s="181"/>
      <c r="Q23" s="181"/>
      <c r="R23" s="181"/>
      <c r="S23" s="181"/>
      <c r="T23" s="181"/>
      <c r="U23" s="181"/>
      <c r="V23" s="181"/>
      <c r="W23" s="181"/>
      <c r="X23" s="181"/>
      <c r="Y23" s="181"/>
      <c r="Z23" s="181"/>
      <c r="AA23" s="181"/>
      <c r="AB23" s="181"/>
      <c r="AC23" s="181"/>
      <c r="AD23" s="181"/>
      <c r="AE23" s="181"/>
      <c r="AF23" s="181"/>
      <c r="AG23" s="181"/>
      <c r="AH23" s="181"/>
    </row>
    <row r="24" spans="1:34">
      <c r="B24" s="255">
        <f t="shared" si="7"/>
        <v>6</v>
      </c>
      <c r="C24" s="254">
        <f t="shared" si="3"/>
        <v>35877.437882546539</v>
      </c>
      <c r="D24" s="234">
        <f ca="1">'Expected Growth Rate'!$L$22</f>
        <v>1.562290904446066</v>
      </c>
      <c r="E24" s="254">
        <f t="shared" ca="1" si="4"/>
        <v>22964.633398584261</v>
      </c>
      <c r="F24" s="254">
        <f t="shared" ca="1" si="5"/>
        <v>-2152.5784510615958</v>
      </c>
      <c r="G24" s="73">
        <f t="shared" ca="1" si="6"/>
        <v>113637.05807530595</v>
      </c>
      <c r="H24" s="75">
        <f t="shared" ca="1" si="2"/>
        <v>0.18314496432784066</v>
      </c>
      <c r="I24" s="120"/>
      <c r="J24" s="119"/>
      <c r="K24" s="119"/>
      <c r="L24" s="242"/>
      <c r="M24" s="239"/>
      <c r="N24" s="239"/>
      <c r="O24" s="181"/>
      <c r="P24" s="181"/>
      <c r="Q24" s="181"/>
      <c r="R24" s="181"/>
      <c r="S24" s="181"/>
      <c r="T24" s="181"/>
      <c r="U24" s="181"/>
      <c r="V24" s="181"/>
      <c r="W24" s="181"/>
      <c r="X24" s="181"/>
      <c r="Y24" s="181"/>
      <c r="Z24" s="181"/>
      <c r="AA24" s="181"/>
      <c r="AB24" s="181"/>
      <c r="AC24" s="181"/>
      <c r="AD24" s="181"/>
      <c r="AE24" s="181"/>
      <c r="AF24" s="181"/>
    </row>
    <row r="25" spans="1:34">
      <c r="B25" s="255">
        <f t="shared" si="7"/>
        <v>7</v>
      </c>
      <c r="C25" s="254">
        <f t="shared" si="3"/>
        <v>39935.945401166246</v>
      </c>
      <c r="D25" s="234">
        <f ca="1">'Expected Growth Rate'!$L$22</f>
        <v>1.562290904446066</v>
      </c>
      <c r="E25" s="254">
        <f t="shared" ca="1" si="4"/>
        <v>25562.425850085929</v>
      </c>
      <c r="F25" s="254">
        <f t="shared" ca="1" si="5"/>
        <v>1255.1063544182434</v>
      </c>
      <c r="G25" s="73">
        <f t="shared" ca="1" si="6"/>
        <v>139199.48392539186</v>
      </c>
      <c r="H25" s="75">
        <f t="shared" ca="1" si="2"/>
        <v>0.19265539963408077</v>
      </c>
      <c r="I25" s="120"/>
      <c r="J25" s="3"/>
      <c r="K25" s="3"/>
      <c r="L25" s="242"/>
      <c r="M25" s="242"/>
      <c r="N25" s="242"/>
      <c r="O25" s="181"/>
      <c r="P25" s="181"/>
      <c r="Q25" s="181"/>
      <c r="R25" s="181"/>
      <c r="S25" s="181"/>
      <c r="T25" s="181"/>
      <c r="U25" s="181"/>
      <c r="V25" s="181"/>
      <c r="W25" s="181"/>
      <c r="X25" s="181"/>
      <c r="Y25" s="181"/>
      <c r="Z25" s="181"/>
      <c r="AA25" s="181"/>
      <c r="AB25" s="181"/>
      <c r="AC25" s="181"/>
      <c r="AD25" s="181"/>
      <c r="AE25" s="181"/>
      <c r="AF25" s="181"/>
    </row>
    <row r="26" spans="1:34">
      <c r="B26" s="255">
        <f t="shared" si="7"/>
        <v>8</v>
      </c>
      <c r="C26" s="254">
        <f t="shared" si="3"/>
        <v>44374.952926352184</v>
      </c>
      <c r="D26" s="234">
        <f ca="1">'Expected Growth Rate'!$L$22</f>
        <v>1.562290904446066</v>
      </c>
      <c r="E26" s="254">
        <f t="shared" ca="1" si="4"/>
        <v>28403.770898279665</v>
      </c>
      <c r="F26" s="254">
        <f t="shared" ca="1" si="5"/>
        <v>5514.5662010631168</v>
      </c>
      <c r="G26" s="73">
        <f t="shared" ca="1" si="6"/>
        <v>167603.25482367154</v>
      </c>
      <c r="H26" s="75">
        <f t="shared" ca="1" si="2"/>
        <v>0.20237278288555233</v>
      </c>
      <c r="I26" s="120"/>
      <c r="J26" s="119"/>
      <c r="K26" s="181"/>
      <c r="L26" s="181"/>
      <c r="M26" s="186"/>
      <c r="N26" s="181"/>
      <c r="O26" s="181"/>
      <c r="P26" s="181"/>
      <c r="Q26" s="181"/>
      <c r="R26" s="181"/>
      <c r="S26" s="181"/>
      <c r="T26" s="181"/>
      <c r="U26" s="181"/>
      <c r="V26" s="181"/>
      <c r="W26" s="181"/>
      <c r="X26" s="181"/>
      <c r="Y26" s="181"/>
      <c r="Z26" s="181"/>
      <c r="AA26" s="181"/>
      <c r="AB26" s="181"/>
      <c r="AC26" s="181"/>
      <c r="AD26" s="181"/>
      <c r="AE26" s="181"/>
      <c r="AF26" s="181"/>
    </row>
    <row r="27" spans="1:34">
      <c r="B27" s="255">
        <f t="shared" si="7"/>
        <v>9</v>
      </c>
      <c r="C27" s="254">
        <f t="shared" si="3"/>
        <v>33447.324266447627</v>
      </c>
      <c r="D27" s="234">
        <f ca="1">'Expected Growth Rate'!$L$22</f>
        <v>1.562290904446066</v>
      </c>
      <c r="E27" s="254">
        <f t="shared" ca="1" si="4"/>
        <v>21409.152528035029</v>
      </c>
      <c r="F27" s="254">
        <f t="shared" ca="1" si="5"/>
        <v>17768.078869147754</v>
      </c>
      <c r="G27" s="73">
        <f t="shared" ca="1" si="6"/>
        <v>189012.40735170656</v>
      </c>
      <c r="H27" s="75">
        <f t="shared" ca="1" si="2"/>
        <v>0.20727333166167972</v>
      </c>
      <c r="I27" s="120"/>
      <c r="J27" s="119"/>
      <c r="K27" s="181"/>
      <c r="L27" s="181"/>
      <c r="O27" s="181"/>
      <c r="P27" s="181"/>
      <c r="Q27" s="181"/>
      <c r="R27" s="181"/>
      <c r="S27" s="181"/>
      <c r="T27" s="181"/>
      <c r="U27" s="181"/>
      <c r="V27" s="181"/>
      <c r="W27" s="181"/>
      <c r="X27" s="181"/>
      <c r="Y27" s="181"/>
      <c r="Z27" s="181"/>
      <c r="AA27" s="181"/>
      <c r="AB27" s="181"/>
      <c r="AC27" s="181"/>
      <c r="AD27" s="181"/>
      <c r="AE27" s="181"/>
      <c r="AF27" s="181"/>
      <c r="AG27" s="181"/>
      <c r="AH27" s="181"/>
    </row>
    <row r="28" spans="1:34">
      <c r="B28" s="255">
        <f t="shared" si="7"/>
        <v>10</v>
      </c>
      <c r="C28" s="254">
        <f t="shared" si="3"/>
        <v>36629.368883814721</v>
      </c>
      <c r="D28" s="234">
        <f ca="1">'Expected Growth Rate'!$L$22</f>
        <v>1.562290904446066</v>
      </c>
      <c r="E28" s="254">
        <f t="shared" ca="1" si="4"/>
        <v>23445.933647550883</v>
      </c>
      <c r="F28" s="254">
        <f t="shared" ca="1" si="5"/>
        <v>21727.910573118403</v>
      </c>
      <c r="G28" s="73">
        <f t="shared" ca="1" si="6"/>
        <v>212458.34099925743</v>
      </c>
      <c r="H28" s="75">
        <f t="shared" ca="1" si="2"/>
        <v>0.21262447973660481</v>
      </c>
      <c r="I28" s="120"/>
      <c r="J28" s="216"/>
      <c r="K28" s="181"/>
      <c r="L28" s="181"/>
      <c r="O28" s="181"/>
      <c r="P28" s="181"/>
      <c r="Q28" s="181"/>
      <c r="R28" s="181"/>
      <c r="S28" s="181"/>
      <c r="T28" s="181"/>
      <c r="U28" s="181"/>
      <c r="V28" s="181"/>
      <c r="W28" s="181"/>
      <c r="X28" s="181"/>
      <c r="Y28" s="181"/>
      <c r="Z28" s="181"/>
      <c r="AA28" s="181"/>
      <c r="AB28" s="181"/>
      <c r="AC28" s="181"/>
      <c r="AD28" s="181"/>
      <c r="AE28" s="181"/>
      <c r="AF28" s="181"/>
      <c r="AG28" s="181"/>
      <c r="AH28" s="181"/>
    </row>
    <row r="29" spans="1:34">
      <c r="E29" s="251"/>
      <c r="K29" s="181"/>
      <c r="L29" s="181"/>
      <c r="O29" s="181"/>
      <c r="P29" s="181"/>
      <c r="Q29" s="181"/>
      <c r="R29" s="181"/>
      <c r="S29" s="181"/>
      <c r="T29" s="181"/>
      <c r="U29" s="181"/>
      <c r="V29" s="181"/>
      <c r="W29" s="181"/>
      <c r="X29" s="181"/>
      <c r="Y29" s="181"/>
      <c r="Z29" s="181"/>
      <c r="AA29" s="181"/>
      <c r="AB29" s="181"/>
      <c r="AC29" s="181"/>
      <c r="AD29" s="181"/>
      <c r="AE29" s="181"/>
      <c r="AF29" s="181"/>
      <c r="AG29" s="181"/>
      <c r="AH29" s="181"/>
    </row>
    <row r="30" spans="1:34" ht="14.25" customHeight="1">
      <c r="J30" s="127"/>
      <c r="K30" s="181"/>
      <c r="L30" s="181"/>
      <c r="P30" s="181"/>
      <c r="Q30" s="181"/>
      <c r="R30" s="181"/>
      <c r="S30" s="181"/>
      <c r="T30" s="181"/>
      <c r="U30" s="181"/>
      <c r="V30" s="181"/>
      <c r="W30" s="181"/>
      <c r="X30" s="181"/>
      <c r="Y30" s="181"/>
      <c r="Z30" s="181"/>
      <c r="AA30" s="181"/>
      <c r="AB30" s="181"/>
      <c r="AC30" s="181"/>
      <c r="AD30" s="181"/>
      <c r="AE30" s="181"/>
      <c r="AF30" s="181"/>
      <c r="AG30" s="181"/>
      <c r="AH30" s="181"/>
    </row>
    <row r="31" spans="1:34">
      <c r="G31" s="181"/>
      <c r="H31" s="181"/>
      <c r="I31" s="181"/>
      <c r="J31" s="181"/>
      <c r="K31" s="181"/>
      <c r="L31" s="181"/>
      <c r="M31" s="181"/>
      <c r="N31" s="181"/>
      <c r="P31" s="181"/>
      <c r="Q31" s="181"/>
      <c r="R31" s="181"/>
      <c r="S31" s="181"/>
      <c r="T31" s="181"/>
      <c r="U31" s="181"/>
      <c r="V31" s="181"/>
      <c r="W31" s="181"/>
      <c r="X31" s="181"/>
      <c r="Y31" s="181"/>
      <c r="Z31" s="181"/>
      <c r="AA31" s="181"/>
      <c r="AB31" s="181"/>
      <c r="AC31" s="181"/>
      <c r="AD31" s="181"/>
      <c r="AE31" s="181"/>
      <c r="AF31" s="181"/>
      <c r="AG31" s="181"/>
      <c r="AH31" s="181"/>
    </row>
    <row r="32" spans="1:34">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c r="AG32" s="181"/>
      <c r="AH32" s="181"/>
    </row>
    <row r="33" spans="7:34">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c r="AG33" s="181"/>
      <c r="AH33" s="181"/>
    </row>
    <row r="34" spans="7:34">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c r="AG34" s="181"/>
      <c r="AH34" s="181"/>
    </row>
    <row r="35" spans="7:34">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c r="AG35" s="181"/>
      <c r="AH35" s="181"/>
    </row>
    <row r="36" spans="7:34">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c r="AG36" s="181"/>
      <c r="AH36" s="181"/>
    </row>
    <row r="37" spans="7:34">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row>
    <row r="38" spans="7:34">
      <c r="G38" s="181"/>
      <c r="H38" s="181"/>
      <c r="I38" s="181"/>
      <c r="J38" s="181"/>
      <c r="K38" s="181"/>
      <c r="L38" s="181"/>
      <c r="O38" s="181"/>
      <c r="P38" s="181"/>
      <c r="Q38" s="181"/>
      <c r="R38" s="181"/>
      <c r="S38" s="181"/>
      <c r="T38" s="181"/>
      <c r="U38" s="181"/>
      <c r="V38" s="181"/>
      <c r="W38" s="181"/>
      <c r="X38" s="181"/>
      <c r="Y38" s="181"/>
      <c r="Z38" s="181"/>
      <c r="AA38" s="181"/>
      <c r="AB38" s="181"/>
      <c r="AC38" s="181"/>
      <c r="AD38" s="181"/>
      <c r="AE38" s="181"/>
      <c r="AF38" s="181"/>
      <c r="AG38" s="181"/>
      <c r="AH38" s="181"/>
    </row>
  </sheetData>
  <mergeCells count="2">
    <mergeCell ref="N3:P3"/>
    <mergeCell ref="N17:P17"/>
  </mergeCell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6" customWidth="1"/>
    <col min="2" max="2" width="29.28515625" style="176" customWidth="1"/>
    <col min="3" max="3" width="13.85546875" style="176" customWidth="1"/>
    <col min="4" max="4" width="4.85546875" style="176" customWidth="1"/>
    <col min="5" max="5" width="5.140625" style="176" customWidth="1"/>
    <col min="6" max="6" width="24.28515625" style="176" customWidth="1"/>
    <col min="7" max="7" width="10.140625" style="176" customWidth="1" collapsed="1"/>
    <col min="8" max="9" width="10.42578125" style="176" customWidth="1"/>
    <col min="10" max="10" width="9.140625" style="176" customWidth="1"/>
    <col min="11" max="11" width="9" style="176" customWidth="1"/>
    <col min="12" max="12" width="9.85546875" style="176" customWidth="1"/>
    <col min="13" max="26" width="9.140625" style="176" customWidth="1"/>
    <col min="27" max="27" width="9.28515625" style="176" customWidth="1"/>
    <col min="28" max="28" width="9.42578125" style="176" customWidth="1"/>
    <col min="29" max="29" width="10" style="176" customWidth="1"/>
    <col min="30" max="30" width="11.42578125" style="176" customWidth="1"/>
    <col min="31" max="31" width="9.42578125" style="176" bestFit="1" customWidth="1" collapsed="1"/>
    <col min="32" max="16384" width="9.140625" style="176"/>
  </cols>
  <sheetData>
    <row r="1" spans="1:32" s="175" customFormat="1" ht="15" customHeight="1">
      <c r="B1" s="17" t="s">
        <v>199</v>
      </c>
      <c r="C1" s="174"/>
      <c r="D1" s="174"/>
      <c r="E1" s="174"/>
      <c r="F1" s="174"/>
      <c r="G1" s="174"/>
      <c r="H1" s="174"/>
      <c r="I1" s="174"/>
      <c r="J1" s="174"/>
      <c r="K1" s="174"/>
      <c r="L1" s="174"/>
    </row>
    <row r="2" spans="1:32" ht="12" customHeight="1">
      <c r="C2" s="202"/>
    </row>
    <row r="3" spans="1:32" ht="12" customHeight="1">
      <c r="A3" s="178"/>
      <c r="B3" s="205" t="s">
        <v>213</v>
      </c>
      <c r="C3" s="240">
        <v>0.04</v>
      </c>
      <c r="F3" s="428" t="s">
        <v>217</v>
      </c>
      <c r="G3" s="428"/>
      <c r="H3" s="428"/>
      <c r="I3" s="428"/>
      <c r="J3" s="428"/>
      <c r="K3" s="428"/>
      <c r="L3" s="217"/>
      <c r="M3" s="217"/>
      <c r="N3" s="217"/>
      <c r="O3" s="217"/>
      <c r="P3" s="217"/>
      <c r="Q3" s="217"/>
    </row>
    <row r="4" spans="1:32" ht="12" customHeight="1">
      <c r="A4" s="183"/>
      <c r="B4" s="193" t="s">
        <v>214</v>
      </c>
      <c r="C4" s="93">
        <f ca="1">'Future Cashflows (10 Yrs)'!H28</f>
        <v>0.21262447973660481</v>
      </c>
      <c r="F4" s="111" t="s">
        <v>126</v>
      </c>
      <c r="G4" s="93">
        <f>'Risk Free Rate'!C4</f>
        <v>5.4299999999999994E-2</v>
      </c>
      <c r="H4" s="189"/>
      <c r="I4" s="189"/>
      <c r="J4" s="189"/>
      <c r="K4" s="194"/>
      <c r="L4" s="289"/>
      <c r="M4" s="289"/>
      <c r="N4" s="289"/>
      <c r="O4" s="289"/>
      <c r="P4" s="289"/>
      <c r="Q4" s="177"/>
      <c r="S4" s="180"/>
      <c r="T4" s="180"/>
      <c r="U4" s="180"/>
      <c r="V4" s="180"/>
      <c r="AA4" s="180"/>
    </row>
    <row r="5" spans="1:32" ht="12" customHeight="1">
      <c r="A5" s="183"/>
      <c r="B5" s="197" t="s">
        <v>201</v>
      </c>
      <c r="C5" s="276">
        <f ca="1">C3/C4</f>
        <v>0.18812509288465395</v>
      </c>
      <c r="F5" s="111" t="s">
        <v>17</v>
      </c>
      <c r="G5" s="93">
        <f>'Equity Risk Premium'!F28</f>
        <v>3.9560996211483103E-2</v>
      </c>
      <c r="H5" s="189"/>
      <c r="I5" s="189"/>
      <c r="J5" s="189"/>
      <c r="K5" s="194"/>
      <c r="L5" s="47"/>
      <c r="M5" s="47"/>
      <c r="N5" s="47"/>
      <c r="O5" s="47"/>
      <c r="P5" s="47"/>
      <c r="Q5" s="47"/>
      <c r="S5" s="181"/>
      <c r="T5" s="181"/>
      <c r="U5" s="181"/>
      <c r="V5" s="181"/>
      <c r="W5" s="181"/>
      <c r="X5" s="181"/>
      <c r="Y5" s="181"/>
      <c r="Z5" s="181"/>
      <c r="AA5" s="181"/>
      <c r="AB5" s="181"/>
      <c r="AC5" s="181"/>
      <c r="AD5" s="181"/>
      <c r="AE5" s="181"/>
      <c r="AF5" s="181"/>
    </row>
    <row r="6" spans="1:32" ht="12" customHeight="1">
      <c r="A6" s="183"/>
      <c r="B6" s="189"/>
      <c r="C6" s="189"/>
      <c r="F6" s="111" t="s">
        <v>243</v>
      </c>
      <c r="G6" s="156">
        <v>0.6</v>
      </c>
      <c r="H6" s="279" t="s">
        <v>219</v>
      </c>
      <c r="I6" s="189"/>
      <c r="J6" s="189"/>
      <c r="K6" s="194"/>
      <c r="L6" s="210"/>
      <c r="M6" s="210"/>
      <c r="N6" s="210"/>
      <c r="O6" s="210"/>
      <c r="P6" s="210"/>
      <c r="Q6" s="210"/>
      <c r="S6" s="181"/>
      <c r="T6" s="181"/>
      <c r="U6" s="181"/>
      <c r="V6" s="181"/>
      <c r="W6" s="181"/>
      <c r="X6" s="181"/>
      <c r="Y6" s="181"/>
      <c r="Z6" s="181"/>
      <c r="AA6" s="181"/>
      <c r="AB6" s="181"/>
      <c r="AC6" s="181"/>
      <c r="AD6" s="181"/>
      <c r="AE6" s="181"/>
      <c r="AF6" s="181"/>
    </row>
    <row r="7" spans="1:32" ht="12" customHeight="1">
      <c r="B7" s="193" t="s">
        <v>215</v>
      </c>
      <c r="C7" s="166">
        <f ca="1">'Industry &amp; Revenues'!O15*'Future Cashflows (10 Yrs)'!F14</f>
        <v>64228.888792130245</v>
      </c>
      <c r="F7" s="19"/>
      <c r="G7" s="19"/>
      <c r="H7" s="189"/>
      <c r="I7" s="189"/>
      <c r="J7" s="189"/>
      <c r="K7" s="189"/>
      <c r="N7" s="181"/>
      <c r="O7" s="181"/>
      <c r="P7" s="202"/>
      <c r="Q7" s="210"/>
      <c r="S7" s="181"/>
      <c r="T7" s="181"/>
      <c r="U7" s="181"/>
      <c r="V7" s="181"/>
      <c r="W7" s="181"/>
      <c r="X7" s="181"/>
      <c r="Y7" s="181"/>
      <c r="Z7" s="181"/>
      <c r="AA7" s="181"/>
      <c r="AB7" s="181"/>
      <c r="AC7" s="181"/>
      <c r="AD7" s="181"/>
      <c r="AE7" s="181"/>
      <c r="AF7" s="181"/>
    </row>
    <row r="8" spans="1:32" ht="12" customHeight="1">
      <c r="A8" s="183"/>
      <c r="B8" s="193" t="s">
        <v>216</v>
      </c>
      <c r="C8" s="93">
        <f>'Future Cashflows (10 Yrs)'!K3</f>
        <v>0.25169999999999998</v>
      </c>
      <c r="F8" s="111" t="s">
        <v>14</v>
      </c>
      <c r="G8" s="55">
        <f>G4+G6*G5</f>
        <v>7.8036597726889853E-2</v>
      </c>
      <c r="H8" s="189"/>
      <c r="I8" s="189"/>
      <c r="J8" s="189"/>
      <c r="K8" s="280"/>
      <c r="O8" s="181"/>
      <c r="P8" s="181"/>
      <c r="Q8" s="181"/>
      <c r="R8" s="181"/>
      <c r="S8" s="181"/>
      <c r="T8" s="181"/>
      <c r="U8" s="181"/>
      <c r="V8" s="181"/>
      <c r="W8" s="181"/>
      <c r="X8" s="181"/>
      <c r="Y8" s="181"/>
      <c r="Z8" s="181"/>
      <c r="AA8" s="181"/>
      <c r="AB8" s="181"/>
      <c r="AC8" s="181"/>
      <c r="AD8" s="181"/>
      <c r="AE8" s="181"/>
      <c r="AF8" s="181"/>
    </row>
    <row r="9" spans="1:32" ht="12" customHeight="1">
      <c r="A9" s="183"/>
      <c r="B9" s="197" t="s">
        <v>164</v>
      </c>
      <c r="C9" s="198">
        <f ca="1">C7*(1-C8)</f>
        <v>48062.477483151059</v>
      </c>
      <c r="F9" s="189"/>
      <c r="G9" s="189"/>
      <c r="H9" s="189"/>
      <c r="I9" s="189"/>
      <c r="J9" s="189"/>
      <c r="K9" s="256"/>
      <c r="O9" s="181"/>
      <c r="P9" s="181"/>
      <c r="Q9" s="181"/>
      <c r="R9" s="181"/>
      <c r="S9" s="181"/>
      <c r="T9" s="181"/>
      <c r="U9" s="181"/>
      <c r="V9" s="181"/>
      <c r="W9" s="181"/>
      <c r="X9" s="181"/>
      <c r="Y9" s="181"/>
      <c r="Z9" s="181"/>
      <c r="AA9" s="181"/>
      <c r="AB9" s="181"/>
      <c r="AC9" s="181"/>
      <c r="AD9" s="181"/>
      <c r="AE9" s="181"/>
      <c r="AF9" s="181"/>
    </row>
    <row r="10" spans="1:32">
      <c r="A10" s="179"/>
      <c r="B10" s="193"/>
      <c r="C10" s="284"/>
      <c r="F10" s="111" t="s">
        <v>129</v>
      </c>
      <c r="G10" s="95">
        <v>3.2140000000000002E-2</v>
      </c>
      <c r="H10" s="189"/>
      <c r="I10" s="189"/>
      <c r="J10" s="209"/>
      <c r="K10" s="256"/>
      <c r="O10" s="181"/>
      <c r="P10" s="181"/>
      <c r="Q10" s="181"/>
      <c r="R10" s="181"/>
      <c r="S10" s="181"/>
      <c r="T10" s="181"/>
      <c r="U10" s="181"/>
      <c r="V10" s="181"/>
      <c r="W10" s="181"/>
      <c r="X10" s="181"/>
      <c r="Y10" s="181"/>
      <c r="Z10" s="181"/>
      <c r="AA10" s="181"/>
      <c r="AB10" s="181"/>
      <c r="AC10" s="181"/>
      <c r="AD10" s="181"/>
      <c r="AE10" s="181"/>
      <c r="AF10" s="181"/>
    </row>
    <row r="11" spans="1:32" ht="12.75" customHeight="1">
      <c r="A11" s="183"/>
      <c r="B11" s="193" t="s">
        <v>218</v>
      </c>
      <c r="C11" s="285">
        <f ca="1">C9*(1-C5)</f>
        <v>39020.719442366673</v>
      </c>
      <c r="F11" s="111" t="s">
        <v>128</v>
      </c>
      <c r="G11" s="156">
        <f>17.31/10.75</f>
        <v>1.6102325581395347</v>
      </c>
      <c r="H11" s="189"/>
      <c r="I11" s="189"/>
      <c r="J11" s="211"/>
      <c r="K11" s="256"/>
      <c r="O11" s="181"/>
      <c r="P11" s="181"/>
      <c r="Q11" s="181"/>
      <c r="R11" s="181"/>
      <c r="S11" s="181"/>
      <c r="T11" s="181"/>
      <c r="U11" s="181"/>
      <c r="V11" s="181"/>
      <c r="W11" s="181"/>
      <c r="X11" s="181"/>
      <c r="Y11" s="181"/>
      <c r="Z11" s="181"/>
      <c r="AA11" s="181"/>
      <c r="AB11" s="181"/>
      <c r="AC11" s="181"/>
      <c r="AD11" s="181"/>
      <c r="AE11" s="181"/>
      <c r="AF11" s="181"/>
    </row>
    <row r="12" spans="1:32">
      <c r="B12" s="256"/>
      <c r="C12" s="189"/>
      <c r="F12" s="111" t="s">
        <v>20</v>
      </c>
      <c r="G12" s="93">
        <f>'Risk Free Rate'!C8</f>
        <v>1.8700000000000001E-2</v>
      </c>
      <c r="H12" s="279"/>
      <c r="I12" s="189"/>
      <c r="J12" s="211"/>
      <c r="K12" s="256"/>
      <c r="L12" s="217"/>
      <c r="M12" s="217"/>
      <c r="N12" s="217"/>
      <c r="O12" s="217"/>
      <c r="P12" s="217"/>
      <c r="Q12" s="217"/>
      <c r="R12" s="181"/>
      <c r="S12" s="181"/>
      <c r="T12" s="181"/>
      <c r="U12" s="181"/>
      <c r="V12" s="181"/>
      <c r="W12" s="181"/>
      <c r="X12" s="181"/>
      <c r="Y12" s="181"/>
      <c r="Z12" s="181"/>
      <c r="AA12" s="181"/>
      <c r="AB12" s="181"/>
      <c r="AC12" s="181"/>
      <c r="AD12" s="181"/>
      <c r="AE12" s="181"/>
      <c r="AF12" s="181"/>
    </row>
    <row r="13" spans="1:32" ht="12" customHeight="1">
      <c r="A13" s="183"/>
      <c r="B13" s="51" t="s">
        <v>199</v>
      </c>
      <c r="C13" s="286">
        <f ca="1">C11/(G19-C3)</f>
        <v>1031782.011671853</v>
      </c>
      <c r="D13" s="2"/>
      <c r="E13" s="6"/>
      <c r="F13" s="51" t="s">
        <v>374</v>
      </c>
      <c r="G13" s="93">
        <v>6.7000000000000002E-3</v>
      </c>
      <c r="H13" s="279" t="s">
        <v>223</v>
      </c>
      <c r="I13" s="189"/>
      <c r="J13" s="211"/>
      <c r="K13" s="256"/>
      <c r="O13" s="181"/>
      <c r="P13" s="181"/>
      <c r="Q13" s="181"/>
      <c r="R13" s="181"/>
      <c r="S13" s="181"/>
      <c r="T13" s="181"/>
      <c r="U13" s="181"/>
      <c r="V13" s="181"/>
      <c r="W13" s="181"/>
      <c r="X13" s="181"/>
      <c r="Y13" s="181"/>
      <c r="Z13" s="181"/>
      <c r="AA13" s="181"/>
      <c r="AB13" s="181"/>
      <c r="AC13" s="181"/>
      <c r="AD13" s="181"/>
      <c r="AE13" s="181"/>
      <c r="AF13" s="181"/>
    </row>
    <row r="14" spans="1:32">
      <c r="D14" s="2"/>
      <c r="E14" s="6"/>
      <c r="F14" s="31"/>
      <c r="G14" s="19"/>
      <c r="H14" s="189"/>
      <c r="I14" s="189"/>
      <c r="J14" s="211"/>
      <c r="K14" s="256"/>
      <c r="O14" s="181"/>
      <c r="P14" s="181"/>
      <c r="Q14" s="181"/>
      <c r="R14" s="181"/>
      <c r="S14" s="181"/>
      <c r="T14" s="181"/>
      <c r="U14" s="181"/>
      <c r="V14" s="181"/>
      <c r="W14" s="181"/>
      <c r="X14" s="181"/>
      <c r="Y14" s="181"/>
      <c r="Z14" s="181"/>
      <c r="AA14" s="181"/>
      <c r="AB14" s="181"/>
      <c r="AC14" s="181"/>
      <c r="AD14" s="181"/>
      <c r="AE14" s="181"/>
      <c r="AF14" s="181"/>
    </row>
    <row r="15" spans="1:32">
      <c r="D15" s="6"/>
      <c r="E15" s="6"/>
      <c r="F15" s="111" t="s">
        <v>15</v>
      </c>
      <c r="G15" s="55">
        <f>G10+(G11*G12)+G13</f>
        <v>6.8951348837209298E-2</v>
      </c>
      <c r="H15" s="189"/>
      <c r="I15" s="189"/>
      <c r="J15" s="211"/>
      <c r="K15" s="256"/>
      <c r="O15" s="181"/>
      <c r="P15" s="181"/>
      <c r="Q15" s="181"/>
      <c r="R15" s="181"/>
      <c r="S15" s="181"/>
      <c r="T15" s="181"/>
      <c r="U15" s="181"/>
      <c r="V15" s="181"/>
      <c r="W15" s="181"/>
      <c r="X15" s="181"/>
      <c r="Y15" s="181"/>
      <c r="Z15" s="181"/>
      <c r="AA15" s="181"/>
      <c r="AB15" s="181"/>
      <c r="AC15" s="181"/>
      <c r="AD15" s="181"/>
      <c r="AE15" s="181"/>
      <c r="AF15" s="181"/>
    </row>
    <row r="16" spans="1:32">
      <c r="B16" s="24"/>
      <c r="C16" s="77"/>
      <c r="D16" s="25"/>
      <c r="E16" s="6"/>
      <c r="F16" s="189"/>
      <c r="G16" s="189"/>
      <c r="H16" s="189"/>
      <c r="I16" s="189"/>
      <c r="J16" s="211"/>
      <c r="K16" s="256"/>
      <c r="O16" s="181"/>
      <c r="P16" s="181"/>
      <c r="Q16" s="181"/>
      <c r="R16" s="181"/>
      <c r="S16" s="181"/>
      <c r="T16" s="181"/>
      <c r="U16" s="181"/>
      <c r="V16" s="181"/>
      <c r="W16" s="181"/>
      <c r="X16" s="181"/>
      <c r="Y16" s="181"/>
      <c r="Z16" s="181"/>
      <c r="AA16" s="181"/>
      <c r="AB16" s="181"/>
      <c r="AC16" s="181"/>
      <c r="AD16" s="181"/>
      <c r="AE16" s="181"/>
      <c r="AF16" s="181"/>
    </row>
    <row r="17" spans="1:32">
      <c r="B17" s="24"/>
      <c r="C17" s="277"/>
      <c r="D17" s="6"/>
      <c r="E17" s="25"/>
      <c r="F17" s="193" t="s">
        <v>220</v>
      </c>
      <c r="G17" s="21">
        <f>WACC!$C$9/(WACC!$C$6+WACC!$C$9)</f>
        <v>8.2387350361912484E-3</v>
      </c>
      <c r="H17" s="189"/>
      <c r="I17" s="189"/>
      <c r="J17" s="211"/>
      <c r="K17" s="256"/>
      <c r="L17" s="181"/>
      <c r="O17" s="181"/>
      <c r="P17" s="181"/>
      <c r="Q17" s="181"/>
      <c r="R17" s="181"/>
      <c r="S17" s="181"/>
      <c r="T17" s="181"/>
      <c r="U17" s="181"/>
      <c r="V17" s="181"/>
      <c r="W17" s="181"/>
      <c r="X17" s="181"/>
      <c r="Y17" s="181"/>
      <c r="Z17" s="181"/>
      <c r="AA17" s="181"/>
      <c r="AB17" s="181"/>
      <c r="AC17" s="181"/>
      <c r="AD17" s="181"/>
      <c r="AE17" s="181"/>
      <c r="AF17" s="181"/>
    </row>
    <row r="18" spans="1:32">
      <c r="A18" s="183"/>
      <c r="B18" s="3"/>
      <c r="C18" s="3"/>
      <c r="D18" s="6"/>
      <c r="E18" s="6"/>
      <c r="F18" s="193" t="s">
        <v>221</v>
      </c>
      <c r="G18" s="281">
        <f>1-G17</f>
        <v>0.99176126496380879</v>
      </c>
      <c r="H18" s="189"/>
      <c r="I18" s="189"/>
      <c r="J18" s="211"/>
      <c r="K18" s="256"/>
      <c r="L18" s="181"/>
      <c r="M18" s="181"/>
      <c r="N18" s="181"/>
      <c r="O18" s="181"/>
      <c r="P18" s="181"/>
      <c r="Q18" s="181"/>
      <c r="R18" s="181"/>
      <c r="S18" s="181"/>
      <c r="T18" s="181"/>
      <c r="U18" s="181"/>
      <c r="V18" s="181"/>
      <c r="W18" s="181"/>
      <c r="X18" s="181"/>
      <c r="Y18" s="181"/>
      <c r="Z18" s="181"/>
      <c r="AA18" s="181"/>
      <c r="AB18" s="181"/>
      <c r="AC18" s="181"/>
      <c r="AD18" s="181"/>
      <c r="AE18" s="181"/>
      <c r="AF18" s="181"/>
    </row>
    <row r="19" spans="1:32">
      <c r="B19" s="24"/>
      <c r="C19" s="58"/>
      <c r="D19" s="6"/>
      <c r="E19" s="6"/>
      <c r="F19" s="283" t="s">
        <v>222</v>
      </c>
      <c r="G19" s="282">
        <f>(G8*G18)+(G15*(1-C8)*G17)</f>
        <v>7.7818763072966604E-2</v>
      </c>
      <c r="J19" s="215"/>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1:32">
      <c r="A20" s="183"/>
      <c r="B20" s="3"/>
      <c r="C20" s="3"/>
      <c r="D20" s="6"/>
      <c r="E20" s="6"/>
      <c r="L20" s="181"/>
      <c r="M20" s="181"/>
      <c r="N20" s="181"/>
      <c r="O20" s="181"/>
      <c r="P20" s="181"/>
      <c r="Q20" s="181"/>
      <c r="R20" s="181"/>
      <c r="S20" s="181"/>
      <c r="T20" s="181"/>
      <c r="U20" s="181"/>
      <c r="V20" s="181"/>
      <c r="W20" s="181"/>
      <c r="X20" s="181"/>
      <c r="Y20" s="181"/>
      <c r="Z20" s="181"/>
      <c r="AA20" s="181"/>
      <c r="AB20" s="181"/>
      <c r="AC20" s="181"/>
      <c r="AD20" s="181"/>
      <c r="AE20" s="181"/>
      <c r="AF20" s="181"/>
    </row>
    <row r="21" spans="1:32">
      <c r="B21" s="53"/>
      <c r="C21" s="3"/>
      <c r="D21" s="6"/>
      <c r="E21" s="25"/>
      <c r="L21" s="181"/>
      <c r="M21" s="181"/>
      <c r="N21" s="181"/>
      <c r="O21" s="181"/>
      <c r="P21" s="181"/>
      <c r="Q21" s="181"/>
      <c r="R21" s="181"/>
      <c r="S21" s="181"/>
      <c r="T21" s="181"/>
      <c r="U21" s="181"/>
      <c r="V21" s="181"/>
      <c r="W21" s="181"/>
      <c r="X21" s="181"/>
      <c r="Y21" s="181"/>
      <c r="Z21" s="181"/>
      <c r="AA21" s="181"/>
      <c r="AB21" s="181"/>
      <c r="AC21" s="181"/>
      <c r="AD21" s="181"/>
      <c r="AE21" s="181"/>
      <c r="AF21" s="181"/>
    </row>
    <row r="22" spans="1:32">
      <c r="B22" s="2"/>
      <c r="C22" s="2"/>
      <c r="D22" s="2"/>
      <c r="E22" s="2"/>
      <c r="L22" s="181"/>
      <c r="M22" s="181"/>
      <c r="N22" s="181"/>
      <c r="O22" s="181"/>
      <c r="P22" s="181"/>
      <c r="Q22" s="181"/>
      <c r="R22" s="181"/>
      <c r="S22" s="181"/>
      <c r="T22" s="181"/>
      <c r="U22" s="181"/>
      <c r="V22" s="181"/>
      <c r="W22" s="181"/>
      <c r="X22" s="181"/>
      <c r="Y22" s="181"/>
      <c r="Z22" s="181"/>
      <c r="AA22" s="181"/>
      <c r="AB22" s="181"/>
      <c r="AC22" s="181"/>
      <c r="AD22" s="181"/>
      <c r="AE22" s="181"/>
      <c r="AF22" s="181"/>
    </row>
    <row r="23" spans="1:32" ht="12" customHeight="1">
      <c r="B23" s="17"/>
      <c r="C23" s="3"/>
      <c r="D23" s="6"/>
      <c r="E23" s="6"/>
      <c r="L23" s="181"/>
      <c r="M23" s="181"/>
      <c r="N23" s="181"/>
      <c r="O23" s="181"/>
      <c r="P23" s="181"/>
      <c r="Q23" s="181"/>
      <c r="R23" s="181"/>
      <c r="S23" s="181"/>
      <c r="T23" s="181"/>
      <c r="U23" s="181"/>
      <c r="V23" s="181"/>
      <c r="W23" s="181"/>
      <c r="X23" s="181"/>
      <c r="Y23" s="181"/>
      <c r="Z23" s="181"/>
      <c r="AA23" s="181"/>
      <c r="AB23" s="181"/>
      <c r="AC23" s="181"/>
      <c r="AD23" s="181"/>
      <c r="AE23" s="181"/>
      <c r="AF23" s="181"/>
    </row>
    <row r="24" spans="1:32">
      <c r="B24" s="3"/>
      <c r="C24" s="3"/>
      <c r="D24" s="6"/>
      <c r="E24" s="6"/>
      <c r="L24" s="181"/>
      <c r="M24" s="181"/>
      <c r="N24" s="181"/>
      <c r="O24" s="181"/>
      <c r="P24" s="181"/>
      <c r="Q24" s="181"/>
      <c r="R24" s="181"/>
      <c r="S24" s="181"/>
      <c r="T24" s="181"/>
      <c r="U24" s="181"/>
      <c r="V24" s="181"/>
      <c r="W24" s="181"/>
      <c r="X24" s="181"/>
      <c r="Y24" s="181"/>
      <c r="Z24" s="181"/>
      <c r="AA24" s="181"/>
      <c r="AB24" s="181"/>
      <c r="AC24" s="181"/>
      <c r="AD24" s="181"/>
      <c r="AE24" s="181"/>
      <c r="AF24" s="181"/>
    </row>
    <row r="25" spans="1:32">
      <c r="D25" s="6"/>
      <c r="E25" s="6"/>
      <c r="L25" s="181"/>
      <c r="M25" s="181"/>
      <c r="N25" s="181"/>
      <c r="O25" s="181"/>
      <c r="P25" s="181"/>
      <c r="Q25" s="181"/>
      <c r="R25" s="181"/>
      <c r="S25" s="181"/>
      <c r="T25" s="181"/>
      <c r="U25" s="181"/>
      <c r="V25" s="181"/>
      <c r="W25" s="181"/>
      <c r="X25" s="181"/>
      <c r="Y25" s="181"/>
      <c r="Z25" s="181"/>
      <c r="AA25" s="181"/>
      <c r="AB25" s="181"/>
      <c r="AC25" s="181"/>
      <c r="AD25" s="181"/>
      <c r="AE25" s="181"/>
      <c r="AF25" s="181"/>
    </row>
    <row r="26" spans="1:32">
      <c r="D26" s="6"/>
      <c r="E26" s="6"/>
      <c r="L26" s="181"/>
      <c r="M26" s="181"/>
      <c r="N26" s="181"/>
      <c r="O26" s="181"/>
      <c r="P26" s="181"/>
      <c r="Q26" s="181"/>
      <c r="R26" s="181"/>
      <c r="S26" s="181"/>
      <c r="T26" s="181"/>
      <c r="U26" s="181"/>
      <c r="V26" s="181"/>
      <c r="W26" s="181"/>
      <c r="X26" s="181"/>
      <c r="Y26" s="181"/>
      <c r="Z26" s="181"/>
      <c r="AA26" s="181"/>
      <c r="AB26" s="181"/>
      <c r="AC26" s="181"/>
      <c r="AD26" s="181"/>
      <c r="AE26" s="181"/>
      <c r="AF26" s="181"/>
    </row>
    <row r="27" spans="1:32">
      <c r="D27" s="25"/>
      <c r="E27" s="25"/>
      <c r="L27" s="181"/>
      <c r="M27" s="181"/>
      <c r="N27" s="181"/>
      <c r="O27" s="181"/>
      <c r="P27" s="181"/>
      <c r="Q27" s="181"/>
      <c r="R27" s="181"/>
      <c r="S27" s="181"/>
      <c r="T27" s="181"/>
      <c r="U27" s="181"/>
      <c r="V27" s="181"/>
      <c r="W27" s="181"/>
      <c r="X27" s="181"/>
      <c r="Y27" s="181"/>
      <c r="Z27" s="181"/>
      <c r="AA27" s="181"/>
      <c r="AB27" s="181"/>
      <c r="AC27" s="181"/>
      <c r="AD27" s="181"/>
      <c r="AE27" s="181"/>
      <c r="AF27" s="181"/>
    </row>
    <row r="28" spans="1:32">
      <c r="D28" s="6"/>
      <c r="E28" s="6"/>
      <c r="L28" s="181"/>
      <c r="M28" s="181"/>
      <c r="N28" s="181"/>
      <c r="O28" s="181"/>
      <c r="P28" s="181"/>
      <c r="Q28" s="181"/>
      <c r="R28" s="181"/>
      <c r="S28" s="181"/>
      <c r="T28" s="181"/>
      <c r="U28" s="181"/>
      <c r="V28" s="181"/>
      <c r="W28" s="181"/>
      <c r="X28" s="181"/>
      <c r="Y28" s="181"/>
      <c r="Z28" s="181"/>
      <c r="AA28" s="181"/>
      <c r="AB28" s="181"/>
      <c r="AC28" s="181"/>
      <c r="AD28" s="181"/>
      <c r="AE28" s="181"/>
      <c r="AF28" s="181"/>
    </row>
    <row r="29" spans="1:32">
      <c r="D29" s="6"/>
      <c r="E29" s="6"/>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1:32" ht="14.25" customHeight="1">
      <c r="D30" s="6"/>
      <c r="E30" s="6"/>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1:32">
      <c r="B31" s="111"/>
      <c r="C31" s="111"/>
      <c r="D31" s="25"/>
      <c r="E31" s="25"/>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1:32">
      <c r="B32" s="158"/>
      <c r="C32" s="19"/>
      <c r="D32" s="3"/>
      <c r="E32" s="3"/>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7:32">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7:32">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7:32">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7:32">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7:32">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7:32">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sheetData>
  <mergeCells count="1">
    <mergeCell ref="F3:K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6" t="s">
        <v>266</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6" customWidth="1"/>
    <col min="2" max="2" width="39.42578125" style="176" bestFit="1" customWidth="1"/>
    <col min="3" max="3" width="13" style="176" customWidth="1"/>
    <col min="4" max="4" width="4.28515625" style="176" customWidth="1"/>
    <col min="5" max="5" width="10.7109375" style="176" customWidth="1"/>
    <col min="6" max="6" width="16.85546875" style="176" customWidth="1"/>
    <col min="7" max="7" width="10.140625" style="176" customWidth="1" collapsed="1"/>
    <col min="8" max="9" width="10.42578125" style="176" customWidth="1"/>
    <col min="10" max="10" width="9.140625" style="176" customWidth="1"/>
    <col min="11" max="11" width="9" style="176" customWidth="1"/>
    <col min="12" max="12" width="9.85546875" style="176" customWidth="1"/>
    <col min="13" max="26" width="9.140625" style="176" customWidth="1"/>
    <col min="27" max="27" width="9.28515625" style="176" customWidth="1"/>
    <col min="28" max="28" width="9.42578125" style="176" customWidth="1"/>
    <col min="29" max="29" width="10" style="176" customWidth="1"/>
    <col min="30" max="30" width="11.42578125" style="176" customWidth="1"/>
    <col min="31" max="31" width="9.42578125" style="176" bestFit="1" customWidth="1" collapsed="1"/>
    <col min="32" max="16384" width="9.140625" style="176"/>
  </cols>
  <sheetData>
    <row r="1" spans="1:32" s="175" customFormat="1" ht="15" customHeight="1">
      <c r="B1" s="17" t="s">
        <v>230</v>
      </c>
      <c r="C1" s="174"/>
      <c r="D1" s="174"/>
      <c r="E1" s="174"/>
      <c r="F1" s="174"/>
      <c r="G1" s="174"/>
      <c r="H1" s="174"/>
      <c r="I1" s="174"/>
      <c r="J1" s="174"/>
      <c r="K1" s="174"/>
      <c r="L1" s="174"/>
    </row>
    <row r="2" spans="1:32" ht="12" customHeight="1">
      <c r="C2" s="202"/>
    </row>
    <row r="3" spans="1:32" ht="12" customHeight="1">
      <c r="A3" s="178"/>
      <c r="B3" s="189"/>
      <c r="C3" s="298" t="s">
        <v>343</v>
      </c>
      <c r="D3" s="288"/>
      <c r="E3" s="185"/>
      <c r="F3" s="177"/>
      <c r="G3" s="217"/>
      <c r="H3" s="217"/>
      <c r="I3" s="217"/>
      <c r="J3" s="217"/>
      <c r="K3" s="217"/>
      <c r="L3" s="217"/>
      <c r="M3" s="217"/>
      <c r="N3" s="217"/>
      <c r="O3" s="217"/>
      <c r="P3" s="217"/>
      <c r="Q3" s="217"/>
    </row>
    <row r="4" spans="1:32" ht="12" customHeight="1">
      <c r="A4" s="183"/>
      <c r="B4" s="193" t="s">
        <v>231</v>
      </c>
      <c r="C4" s="297">
        <v>658.9</v>
      </c>
      <c r="D4" s="293"/>
      <c r="E4" s="295"/>
      <c r="F4" s="294"/>
      <c r="G4" s="289"/>
      <c r="H4" s="289"/>
      <c r="I4" s="289"/>
      <c r="J4" s="289"/>
      <c r="K4" s="289"/>
      <c r="L4" s="289"/>
      <c r="M4" s="289"/>
      <c r="N4" s="289"/>
      <c r="O4" s="289"/>
      <c r="P4" s="289"/>
      <c r="Q4" s="177"/>
      <c r="S4" s="180"/>
      <c r="T4" s="180"/>
      <c r="U4" s="180"/>
      <c r="V4" s="180"/>
      <c r="AA4" s="180"/>
    </row>
    <row r="5" spans="1:32" ht="12" customHeight="1">
      <c r="A5" s="183"/>
      <c r="B5" s="193" t="s">
        <v>232</v>
      </c>
      <c r="C5" s="297">
        <v>2011.53</v>
      </c>
      <c r="D5" s="293"/>
      <c r="E5" s="293"/>
      <c r="F5" s="293"/>
      <c r="G5" s="47"/>
      <c r="H5" s="47"/>
      <c r="I5" s="47"/>
      <c r="J5" s="210"/>
      <c r="K5" s="47"/>
      <c r="L5" s="47"/>
      <c r="M5" s="47"/>
      <c r="N5" s="47"/>
      <c r="O5" s="47"/>
      <c r="P5" s="47"/>
      <c r="Q5" s="47"/>
      <c r="S5" s="181"/>
      <c r="T5" s="181"/>
      <c r="U5" s="181"/>
      <c r="V5" s="181"/>
      <c r="W5" s="181"/>
      <c r="X5" s="181"/>
      <c r="Y5" s="181"/>
      <c r="Z5" s="181"/>
      <c r="AA5" s="181"/>
      <c r="AB5" s="181"/>
      <c r="AC5" s="181"/>
      <c r="AD5" s="181"/>
      <c r="AE5" s="181"/>
      <c r="AF5" s="181"/>
    </row>
    <row r="6" spans="1:32" ht="12" customHeight="1">
      <c r="A6" s="183"/>
      <c r="B6" s="197" t="s">
        <v>375</v>
      </c>
      <c r="C6" s="198">
        <f>C4+C5</f>
        <v>2670.43</v>
      </c>
      <c r="D6" s="293"/>
      <c r="E6" s="293"/>
      <c r="F6" s="293"/>
      <c r="G6" s="210"/>
      <c r="H6" s="210"/>
      <c r="I6" s="210"/>
      <c r="J6" s="210"/>
      <c r="K6" s="210"/>
      <c r="L6" s="210"/>
      <c r="M6" s="210"/>
      <c r="N6" s="210"/>
      <c r="O6" s="210"/>
      <c r="P6" s="210"/>
      <c r="Q6" s="210"/>
      <c r="S6" s="181"/>
      <c r="T6" s="181"/>
      <c r="U6" s="181"/>
      <c r="V6" s="181"/>
      <c r="W6" s="181"/>
      <c r="X6" s="181"/>
      <c r="Y6" s="181"/>
      <c r="Z6" s="181"/>
      <c r="AA6" s="181"/>
      <c r="AB6" s="181"/>
      <c r="AC6" s="181"/>
      <c r="AD6" s="181"/>
      <c r="AE6" s="181"/>
      <c r="AF6" s="181"/>
    </row>
    <row r="7" spans="1:32" ht="12" customHeight="1">
      <c r="B7" s="193"/>
      <c r="C7" s="296"/>
      <c r="D7" s="293"/>
      <c r="E7" s="293"/>
      <c r="F7" s="293"/>
      <c r="G7" s="210"/>
      <c r="I7" s="179"/>
      <c r="J7" s="203"/>
      <c r="N7" s="181"/>
      <c r="O7" s="181"/>
      <c r="P7" s="202"/>
      <c r="Q7" s="210"/>
      <c r="S7" s="181"/>
      <c r="T7" s="181"/>
      <c r="U7" s="181"/>
      <c r="V7" s="181"/>
      <c r="W7" s="181"/>
      <c r="X7" s="181"/>
      <c r="Y7" s="181"/>
      <c r="Z7" s="181"/>
      <c r="AA7" s="181"/>
      <c r="AB7" s="181"/>
      <c r="AC7" s="181"/>
      <c r="AD7" s="181"/>
      <c r="AE7" s="181"/>
      <c r="AF7" s="181"/>
    </row>
    <row r="8" spans="1:32" ht="12" customHeight="1">
      <c r="A8" s="183"/>
      <c r="B8" s="193" t="s">
        <v>233</v>
      </c>
      <c r="C8" s="236">
        <f>'Expected Growth Rate'!C9</f>
        <v>0.17625181607704726</v>
      </c>
      <c r="D8" s="293"/>
      <c r="E8" s="293"/>
      <c r="F8" s="293"/>
      <c r="G8" s="274"/>
      <c r="H8" s="210"/>
      <c r="J8" s="270"/>
      <c r="K8" s="271"/>
      <c r="O8" s="181"/>
      <c r="P8" s="181"/>
      <c r="Q8" s="181"/>
      <c r="R8" s="181"/>
      <c r="S8" s="181"/>
      <c r="T8" s="181"/>
      <c r="U8" s="181"/>
      <c r="V8" s="181"/>
      <c r="W8" s="181"/>
      <c r="X8" s="181"/>
      <c r="Y8" s="181"/>
      <c r="Z8" s="181"/>
      <c r="AA8" s="181"/>
      <c r="AB8" s="181"/>
      <c r="AC8" s="181"/>
      <c r="AD8" s="181"/>
      <c r="AE8" s="181"/>
      <c r="AF8" s="181"/>
    </row>
    <row r="9" spans="1:32" ht="12" customHeight="1">
      <c r="A9" s="183"/>
      <c r="B9" s="193" t="s">
        <v>13</v>
      </c>
      <c r="C9" s="236">
        <f ca="1">WACC!C13</f>
        <v>8.9404266339487462E-2</v>
      </c>
      <c r="D9" s="293"/>
      <c r="E9" s="293"/>
      <c r="F9" s="293"/>
      <c r="G9" s="274"/>
      <c r="H9" s="210"/>
      <c r="J9" s="179"/>
      <c r="K9" s="203"/>
      <c r="O9" s="181"/>
      <c r="P9" s="181"/>
      <c r="Q9" s="181"/>
      <c r="R9" s="181"/>
      <c r="S9" s="181"/>
      <c r="T9" s="181"/>
      <c r="U9" s="181"/>
      <c r="V9" s="181"/>
      <c r="W9" s="181"/>
      <c r="X9" s="181"/>
      <c r="Y9" s="181"/>
      <c r="Z9" s="181"/>
      <c r="AA9" s="181"/>
      <c r="AB9" s="181"/>
      <c r="AC9" s="181"/>
      <c r="AD9" s="181"/>
      <c r="AE9" s="181"/>
      <c r="AF9" s="181"/>
    </row>
    <row r="10" spans="1:32">
      <c r="A10" s="179"/>
      <c r="B10" s="197" t="s">
        <v>376</v>
      </c>
      <c r="C10" s="299">
        <f ca="1">C8-C9</f>
        <v>8.6847549737559801E-2</v>
      </c>
      <c r="D10" s="293"/>
      <c r="E10" s="293"/>
      <c r="F10" s="293"/>
      <c r="G10" s="217"/>
      <c r="H10" s="217"/>
      <c r="I10" s="217"/>
      <c r="J10" s="217"/>
      <c r="K10" s="217"/>
      <c r="O10" s="181"/>
      <c r="P10" s="181"/>
      <c r="Q10" s="181"/>
      <c r="R10" s="181"/>
      <c r="S10" s="181"/>
      <c r="T10" s="181"/>
      <c r="U10" s="181"/>
      <c r="V10" s="181"/>
      <c r="W10" s="181"/>
      <c r="X10" s="181"/>
      <c r="Y10" s="181"/>
      <c r="Z10" s="181"/>
      <c r="AA10" s="181"/>
      <c r="AB10" s="181"/>
      <c r="AC10" s="181"/>
      <c r="AD10" s="181"/>
      <c r="AE10" s="181"/>
      <c r="AF10" s="181"/>
    </row>
    <row r="11" spans="1:32" ht="12.75" customHeight="1">
      <c r="A11" s="183"/>
      <c r="D11" s="293"/>
      <c r="E11" s="293"/>
      <c r="F11" s="293"/>
      <c r="G11" s="77"/>
      <c r="K11" s="203"/>
      <c r="O11" s="181"/>
      <c r="P11" s="181"/>
      <c r="Q11" s="181"/>
      <c r="R11" s="181"/>
      <c r="S11" s="181"/>
      <c r="T11" s="181"/>
      <c r="U11" s="181"/>
      <c r="V11" s="181"/>
      <c r="W11" s="181"/>
      <c r="X11" s="181"/>
      <c r="Y11" s="181"/>
      <c r="Z11" s="181"/>
      <c r="AA11" s="181"/>
      <c r="AB11" s="181"/>
      <c r="AC11" s="181"/>
      <c r="AD11" s="181"/>
      <c r="AE11" s="181"/>
      <c r="AF11" s="181"/>
    </row>
    <row r="12" spans="1:32">
      <c r="B12" s="193" t="s">
        <v>234</v>
      </c>
      <c r="C12" s="200">
        <f ca="1">C6*(1+C10)</f>
        <v>2902.3503022456716</v>
      </c>
      <c r="D12" s="293"/>
      <c r="E12" s="293"/>
      <c r="F12" s="293"/>
      <c r="G12" s="77"/>
      <c r="K12" s="203"/>
      <c r="L12" s="217"/>
      <c r="M12" s="217"/>
      <c r="N12" s="217"/>
      <c r="O12" s="217"/>
      <c r="P12" s="217"/>
      <c r="Q12" s="217"/>
      <c r="R12" s="181"/>
      <c r="S12" s="181"/>
      <c r="T12" s="181"/>
      <c r="U12" s="181"/>
      <c r="V12" s="181"/>
      <c r="W12" s="181"/>
      <c r="X12" s="181"/>
      <c r="Y12" s="181"/>
      <c r="Z12" s="181"/>
      <c r="AA12" s="181"/>
      <c r="AB12" s="181"/>
      <c r="AC12" s="181"/>
      <c r="AD12" s="181"/>
      <c r="AE12" s="181"/>
      <c r="AF12" s="181"/>
    </row>
    <row r="13" spans="1:32" ht="12" customHeight="1">
      <c r="A13" s="183"/>
      <c r="D13" s="293"/>
      <c r="E13" s="293"/>
      <c r="F13" s="293"/>
      <c r="G13" s="277"/>
      <c r="H13" s="184"/>
      <c r="K13" s="203"/>
      <c r="O13" s="181"/>
      <c r="P13" s="181"/>
      <c r="Q13" s="181"/>
      <c r="R13" s="181"/>
      <c r="S13" s="181"/>
      <c r="T13" s="181"/>
      <c r="U13" s="181"/>
      <c r="V13" s="181"/>
      <c r="W13" s="181"/>
      <c r="X13" s="181"/>
      <c r="Y13" s="181"/>
      <c r="Z13" s="181"/>
      <c r="AA13" s="181"/>
      <c r="AB13" s="181"/>
      <c r="AC13" s="181"/>
      <c r="AD13" s="181"/>
      <c r="AE13" s="181"/>
      <c r="AF13" s="181"/>
    </row>
    <row r="14" spans="1:32">
      <c r="D14" s="293"/>
      <c r="E14" s="293"/>
      <c r="F14" s="293"/>
      <c r="G14" s="3"/>
      <c r="O14" s="181"/>
      <c r="P14" s="181"/>
      <c r="Q14" s="181"/>
      <c r="R14" s="181"/>
      <c r="S14" s="181"/>
      <c r="T14" s="181"/>
      <c r="U14" s="181"/>
      <c r="V14" s="181"/>
      <c r="W14" s="181"/>
      <c r="X14" s="181"/>
      <c r="Y14" s="181"/>
      <c r="Z14" s="181"/>
      <c r="AA14" s="181"/>
      <c r="AB14" s="181"/>
      <c r="AC14" s="181"/>
      <c r="AD14" s="181"/>
      <c r="AE14" s="181"/>
      <c r="AF14" s="181"/>
    </row>
    <row r="15" spans="1:32">
      <c r="D15" s="293"/>
      <c r="E15" s="293"/>
      <c r="F15" s="293"/>
      <c r="G15" s="58"/>
      <c r="K15" s="272"/>
      <c r="O15" s="181"/>
      <c r="P15" s="181"/>
      <c r="Q15" s="181"/>
      <c r="R15" s="181"/>
      <c r="S15" s="181"/>
      <c r="T15" s="181"/>
      <c r="U15" s="181"/>
      <c r="V15" s="181"/>
      <c r="W15" s="181"/>
      <c r="X15" s="181"/>
      <c r="Y15" s="181"/>
      <c r="Z15" s="181"/>
      <c r="AA15" s="181"/>
      <c r="AB15" s="181"/>
      <c r="AC15" s="181"/>
      <c r="AD15" s="181"/>
      <c r="AE15" s="181"/>
      <c r="AF15" s="181"/>
    </row>
    <row r="16" spans="1:32">
      <c r="D16" s="293"/>
      <c r="E16" s="293"/>
      <c r="F16" s="293"/>
      <c r="K16" s="181"/>
      <c r="O16" s="181"/>
      <c r="P16" s="181"/>
      <c r="Q16" s="181"/>
      <c r="R16" s="181"/>
      <c r="S16" s="181"/>
      <c r="T16" s="181"/>
      <c r="U16" s="181"/>
      <c r="V16" s="181"/>
      <c r="W16" s="181"/>
      <c r="X16" s="181"/>
      <c r="Y16" s="181"/>
      <c r="Z16" s="181"/>
      <c r="AA16" s="181"/>
      <c r="AB16" s="181"/>
      <c r="AC16" s="181"/>
      <c r="AD16" s="181"/>
      <c r="AE16" s="181"/>
      <c r="AF16" s="181"/>
    </row>
    <row r="17" spans="1:32">
      <c r="D17" s="293"/>
      <c r="E17" s="293"/>
      <c r="F17" s="293"/>
      <c r="G17" s="84"/>
      <c r="J17" s="185"/>
      <c r="K17" s="181"/>
      <c r="L17" s="181"/>
      <c r="O17" s="181"/>
      <c r="P17" s="181"/>
      <c r="Q17" s="181"/>
      <c r="R17" s="181"/>
      <c r="S17" s="181"/>
      <c r="T17" s="181"/>
      <c r="U17" s="181"/>
      <c r="V17" s="181"/>
      <c r="W17" s="181"/>
      <c r="X17" s="181"/>
      <c r="Y17" s="181"/>
      <c r="Z17" s="181"/>
      <c r="AA17" s="181"/>
      <c r="AB17" s="181"/>
      <c r="AC17" s="181"/>
      <c r="AD17" s="181"/>
      <c r="AE17" s="181"/>
      <c r="AF17" s="181"/>
    </row>
    <row r="18" spans="1:32">
      <c r="A18" s="183"/>
      <c r="B18" s="179"/>
      <c r="C18" s="293"/>
      <c r="D18" s="293"/>
      <c r="E18" s="293"/>
      <c r="F18" s="293"/>
      <c r="G18" s="277"/>
      <c r="J18" s="210"/>
      <c r="K18" s="181"/>
      <c r="L18" s="181"/>
      <c r="M18" s="181"/>
      <c r="N18" s="181"/>
      <c r="O18" s="181"/>
      <c r="P18" s="181"/>
      <c r="Q18" s="181"/>
      <c r="R18" s="181"/>
      <c r="S18" s="181"/>
      <c r="T18" s="181"/>
      <c r="U18" s="181"/>
      <c r="V18" s="181"/>
      <c r="W18" s="181"/>
      <c r="X18" s="181"/>
      <c r="Y18" s="181"/>
      <c r="Z18" s="181"/>
      <c r="AA18" s="181"/>
      <c r="AB18" s="181"/>
      <c r="AC18" s="181"/>
      <c r="AD18" s="181"/>
      <c r="AE18" s="181"/>
      <c r="AF18" s="181"/>
    </row>
    <row r="19" spans="1:32">
      <c r="C19" s="293"/>
      <c r="D19" s="293"/>
      <c r="E19" s="293"/>
      <c r="F19" s="293"/>
      <c r="G19" s="77"/>
      <c r="H19" s="184"/>
      <c r="J19" s="210"/>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1:32">
      <c r="A20" s="183"/>
      <c r="C20" s="293"/>
      <c r="D20" s="293"/>
      <c r="E20" s="293"/>
      <c r="F20" s="293"/>
      <c r="G20" s="77"/>
      <c r="H20" s="184"/>
      <c r="J20" s="210"/>
      <c r="K20" s="181"/>
      <c r="L20" s="181"/>
      <c r="M20" s="181"/>
      <c r="N20" s="181"/>
      <c r="O20" s="181"/>
      <c r="P20" s="181"/>
      <c r="Q20" s="181"/>
      <c r="R20" s="181"/>
      <c r="S20" s="181"/>
      <c r="T20" s="181"/>
      <c r="U20" s="181"/>
      <c r="V20" s="181"/>
      <c r="W20" s="181"/>
      <c r="X20" s="181"/>
      <c r="Y20" s="181"/>
      <c r="Z20" s="181"/>
      <c r="AA20" s="181"/>
      <c r="AB20" s="181"/>
      <c r="AC20" s="181"/>
      <c r="AD20" s="181"/>
      <c r="AE20" s="181"/>
      <c r="AF20" s="181"/>
    </row>
    <row r="21" spans="1:32">
      <c r="C21" s="293"/>
      <c r="D21" s="293"/>
      <c r="E21" s="293"/>
      <c r="F21" s="293"/>
      <c r="G21" s="3"/>
      <c r="J21" s="210"/>
      <c r="K21" s="181"/>
      <c r="L21" s="181"/>
      <c r="M21" s="181"/>
      <c r="N21" s="181"/>
      <c r="O21" s="181"/>
      <c r="P21" s="181"/>
      <c r="Q21" s="181"/>
      <c r="R21" s="181"/>
      <c r="S21" s="181"/>
      <c r="T21" s="181"/>
      <c r="U21" s="181"/>
      <c r="V21" s="181"/>
      <c r="W21" s="181"/>
      <c r="X21" s="181"/>
      <c r="Y21" s="181"/>
      <c r="Z21" s="181"/>
      <c r="AA21" s="181"/>
      <c r="AB21" s="181"/>
      <c r="AC21" s="181"/>
      <c r="AD21" s="181"/>
      <c r="AE21" s="181"/>
      <c r="AF21" s="181"/>
    </row>
    <row r="22" spans="1:32">
      <c r="E22" s="3"/>
      <c r="F22" s="24"/>
      <c r="G22" s="58"/>
      <c r="J22" s="210"/>
      <c r="K22" s="181"/>
      <c r="L22" s="181"/>
      <c r="M22" s="181"/>
      <c r="N22" s="181"/>
      <c r="O22" s="181"/>
      <c r="P22" s="181"/>
      <c r="Q22" s="181"/>
      <c r="R22" s="181"/>
      <c r="S22" s="181"/>
      <c r="T22" s="181"/>
      <c r="U22" s="181"/>
      <c r="V22" s="181"/>
      <c r="W22" s="181"/>
      <c r="X22" s="181"/>
      <c r="Y22" s="181"/>
      <c r="Z22" s="181"/>
      <c r="AA22" s="181"/>
      <c r="AB22" s="181"/>
      <c r="AC22" s="181"/>
      <c r="AD22" s="181"/>
      <c r="AE22" s="181"/>
      <c r="AF22" s="181"/>
    </row>
    <row r="23" spans="1:32" ht="12" customHeight="1">
      <c r="E23" s="6"/>
      <c r="J23" s="210"/>
      <c r="K23" s="181"/>
      <c r="L23" s="181"/>
      <c r="M23" s="181"/>
      <c r="N23" s="181"/>
      <c r="O23" s="181"/>
      <c r="P23" s="181"/>
      <c r="Q23" s="181"/>
      <c r="R23" s="181"/>
      <c r="S23" s="181"/>
      <c r="T23" s="181"/>
      <c r="U23" s="181"/>
      <c r="V23" s="181"/>
      <c r="W23" s="181"/>
      <c r="X23" s="181"/>
      <c r="Y23" s="181"/>
      <c r="Z23" s="181"/>
      <c r="AA23" s="181"/>
      <c r="AB23" s="181"/>
      <c r="AC23" s="181"/>
      <c r="AD23" s="181"/>
      <c r="AE23" s="181"/>
      <c r="AF23" s="181"/>
    </row>
    <row r="24" spans="1:32">
      <c r="E24" s="6"/>
      <c r="F24" s="179"/>
      <c r="G24" s="20"/>
      <c r="J24" s="210"/>
      <c r="K24" s="181"/>
      <c r="L24" s="181"/>
      <c r="M24" s="181"/>
      <c r="N24" s="181"/>
      <c r="O24" s="181"/>
      <c r="P24" s="181"/>
      <c r="Q24" s="181"/>
      <c r="R24" s="181"/>
      <c r="S24" s="181"/>
      <c r="T24" s="181"/>
      <c r="U24" s="181"/>
      <c r="V24" s="181"/>
      <c r="W24" s="181"/>
      <c r="X24" s="181"/>
      <c r="Y24" s="181"/>
      <c r="Z24" s="181"/>
      <c r="AA24" s="181"/>
      <c r="AB24" s="181"/>
      <c r="AC24" s="181"/>
      <c r="AD24" s="181"/>
      <c r="AE24" s="181"/>
      <c r="AF24" s="181"/>
    </row>
    <row r="25" spans="1:32">
      <c r="E25" s="6"/>
      <c r="F25" s="179"/>
      <c r="G25" s="290"/>
      <c r="J25" s="210"/>
      <c r="K25" s="181"/>
      <c r="L25" s="181"/>
      <c r="M25" s="181"/>
      <c r="N25" s="181"/>
      <c r="O25" s="181"/>
      <c r="P25" s="181"/>
      <c r="Q25" s="181"/>
      <c r="R25" s="181"/>
      <c r="S25" s="181"/>
      <c r="T25" s="181"/>
      <c r="U25" s="181"/>
      <c r="V25" s="181"/>
      <c r="W25" s="181"/>
      <c r="X25" s="181"/>
      <c r="Y25" s="181"/>
      <c r="Z25" s="181"/>
      <c r="AA25" s="181"/>
      <c r="AB25" s="181"/>
      <c r="AC25" s="181"/>
      <c r="AD25" s="181"/>
      <c r="AE25" s="181"/>
      <c r="AF25" s="181"/>
    </row>
    <row r="26" spans="1:32">
      <c r="D26" s="6"/>
      <c r="E26" s="6"/>
      <c r="F26" s="179"/>
      <c r="G26" s="77"/>
      <c r="J26" s="215"/>
      <c r="K26" s="181"/>
      <c r="L26" s="181"/>
      <c r="M26" s="181"/>
      <c r="N26" s="181"/>
      <c r="O26" s="181"/>
      <c r="P26" s="181"/>
      <c r="Q26" s="181"/>
      <c r="R26" s="181"/>
      <c r="S26" s="181"/>
      <c r="T26" s="181"/>
      <c r="U26" s="181"/>
      <c r="V26" s="181"/>
      <c r="W26" s="181"/>
      <c r="X26" s="181"/>
      <c r="Y26" s="181"/>
      <c r="Z26" s="181"/>
      <c r="AA26" s="181"/>
      <c r="AB26" s="181"/>
      <c r="AC26" s="181"/>
      <c r="AD26" s="181"/>
      <c r="AE26" s="181"/>
      <c r="AF26" s="181"/>
    </row>
    <row r="27" spans="1:32">
      <c r="D27" s="25"/>
      <c r="E27" s="25"/>
      <c r="L27" s="181"/>
      <c r="M27" s="181"/>
      <c r="N27" s="181"/>
      <c r="O27" s="181"/>
      <c r="P27" s="181"/>
      <c r="Q27" s="181"/>
      <c r="R27" s="181"/>
      <c r="S27" s="181"/>
      <c r="T27" s="181"/>
      <c r="U27" s="181"/>
      <c r="V27" s="181"/>
      <c r="W27" s="181"/>
      <c r="X27" s="181"/>
      <c r="Y27" s="181"/>
      <c r="Z27" s="181"/>
      <c r="AA27" s="181"/>
      <c r="AB27" s="181"/>
      <c r="AC27" s="181"/>
      <c r="AD27" s="181"/>
      <c r="AE27" s="181"/>
      <c r="AF27" s="181"/>
    </row>
    <row r="28" spans="1:32">
      <c r="D28" s="6"/>
      <c r="E28" s="6"/>
      <c r="L28" s="181"/>
      <c r="M28" s="181"/>
      <c r="N28" s="181"/>
      <c r="O28" s="181"/>
      <c r="P28" s="181"/>
      <c r="Q28" s="181"/>
      <c r="R28" s="181"/>
      <c r="S28" s="181"/>
      <c r="T28" s="181"/>
      <c r="U28" s="181"/>
      <c r="V28" s="181"/>
      <c r="W28" s="181"/>
      <c r="X28" s="181"/>
      <c r="Y28" s="181"/>
      <c r="Z28" s="181"/>
      <c r="AA28" s="181"/>
      <c r="AB28" s="181"/>
      <c r="AC28" s="181"/>
      <c r="AD28" s="181"/>
      <c r="AE28" s="181"/>
      <c r="AF28" s="181"/>
    </row>
    <row r="29" spans="1:32">
      <c r="D29" s="6"/>
      <c r="E29" s="6"/>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1:32" ht="14.25" customHeight="1">
      <c r="D30" s="6"/>
      <c r="E30" s="6"/>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1:32">
      <c r="D31" s="25"/>
      <c r="E31" s="25"/>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1:32">
      <c r="D32" s="3"/>
      <c r="E32" s="3"/>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4:32">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4:32">
      <c r="D34" s="24"/>
      <c r="E34" s="24"/>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4:32">
      <c r="D35" s="53"/>
      <c r="E35" s="3"/>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4:32">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4:32">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4:32">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6" customWidth="1"/>
    <col min="2" max="2" width="36.85546875" style="176" customWidth="1"/>
    <col min="3" max="3" width="14.28515625" style="176" customWidth="1"/>
    <col min="4" max="4" width="12.140625" style="176" customWidth="1"/>
    <col min="5" max="5" width="24.85546875" style="176" customWidth="1"/>
    <col min="6" max="6" width="13.7109375" style="176" customWidth="1"/>
    <col min="7" max="7" width="10.140625" style="176" customWidth="1" collapsed="1"/>
    <col min="8" max="9" width="10.42578125" style="176" customWidth="1"/>
    <col min="10" max="10" width="9.140625" style="176" customWidth="1"/>
    <col min="11" max="11" width="9" style="176" customWidth="1"/>
    <col min="12" max="12" width="9.85546875" style="176" customWidth="1"/>
    <col min="13" max="26" width="9.140625" style="176" customWidth="1"/>
    <col min="27" max="27" width="9.28515625" style="176" customWidth="1"/>
    <col min="28" max="28" width="9.42578125" style="176" customWidth="1"/>
    <col min="29" max="29" width="10" style="176" customWidth="1"/>
    <col min="30" max="30" width="11.42578125" style="176" customWidth="1"/>
    <col min="31" max="31" width="9.42578125" style="176" bestFit="1" customWidth="1" collapsed="1"/>
    <col min="32" max="16384" width="9.140625" style="176"/>
  </cols>
  <sheetData>
    <row r="1" spans="1:32" s="175" customFormat="1" ht="15" customHeight="1">
      <c r="B1" s="17" t="s">
        <v>253</v>
      </c>
      <c r="C1" s="174"/>
      <c r="D1" s="174"/>
      <c r="E1" s="174"/>
      <c r="F1" s="174"/>
      <c r="G1" s="174"/>
      <c r="H1" s="174"/>
      <c r="I1" s="174"/>
      <c r="J1" s="174"/>
      <c r="K1" s="174"/>
      <c r="L1" s="174"/>
    </row>
    <row r="2" spans="1:32" ht="12" customHeight="1">
      <c r="C2" s="202"/>
    </row>
    <row r="3" spans="1:32" ht="12" customHeight="1">
      <c r="A3" s="178"/>
      <c r="B3" s="270"/>
      <c r="C3" s="288"/>
      <c r="F3" s="217"/>
      <c r="G3" s="217"/>
      <c r="H3" s="217"/>
      <c r="I3" s="217"/>
      <c r="J3" s="217"/>
      <c r="K3" s="217"/>
      <c r="L3" s="217"/>
      <c r="M3" s="217"/>
      <c r="N3" s="217"/>
      <c r="O3" s="217"/>
      <c r="P3" s="217"/>
      <c r="Q3" s="217"/>
    </row>
    <row r="4" spans="1:32" ht="12" customHeight="1">
      <c r="A4" s="183"/>
      <c r="B4" s="233" t="s">
        <v>224</v>
      </c>
      <c r="C4" s="292" t="s">
        <v>225</v>
      </c>
      <c r="D4" s="232" t="s">
        <v>226</v>
      </c>
      <c r="E4" s="232" t="s">
        <v>229</v>
      </c>
      <c r="F4" s="232" t="s">
        <v>252</v>
      </c>
      <c r="G4" s="289"/>
      <c r="H4" s="289"/>
      <c r="I4" s="289"/>
      <c r="J4" s="289"/>
      <c r="K4" s="289"/>
      <c r="L4" s="289"/>
      <c r="M4" s="289"/>
      <c r="N4" s="289"/>
      <c r="O4" s="289"/>
      <c r="P4" s="289"/>
      <c r="Q4" s="177"/>
      <c r="S4" s="180"/>
      <c r="T4" s="180"/>
      <c r="U4" s="180"/>
      <c r="V4" s="180"/>
      <c r="AA4" s="180"/>
    </row>
    <row r="5" spans="1:32" ht="12" customHeight="1">
      <c r="A5" s="183"/>
      <c r="B5" s="193" t="s">
        <v>379</v>
      </c>
      <c r="C5" s="95" t="s">
        <v>228</v>
      </c>
      <c r="D5" s="291">
        <v>1</v>
      </c>
      <c r="E5" s="190"/>
      <c r="F5" s="319">
        <v>0</v>
      </c>
      <c r="G5" s="47"/>
      <c r="H5" s="47"/>
      <c r="I5" s="47"/>
      <c r="J5" s="210"/>
      <c r="K5" s="47"/>
      <c r="L5" s="47"/>
      <c r="M5" s="47"/>
      <c r="N5" s="47"/>
      <c r="O5" s="47"/>
      <c r="P5" s="47"/>
      <c r="Q5" s="47"/>
      <c r="S5" s="181"/>
      <c r="T5" s="181"/>
      <c r="U5" s="181"/>
      <c r="V5" s="181"/>
      <c r="W5" s="181"/>
      <c r="X5" s="181"/>
      <c r="Y5" s="181"/>
      <c r="Z5" s="181"/>
      <c r="AA5" s="181"/>
      <c r="AB5" s="181"/>
      <c r="AC5" s="181"/>
      <c r="AD5" s="181"/>
      <c r="AE5" s="181"/>
      <c r="AF5" s="181"/>
    </row>
    <row r="6" spans="1:32" ht="12" customHeight="1">
      <c r="A6" s="183"/>
      <c r="B6" s="193" t="s">
        <v>380</v>
      </c>
      <c r="C6" s="95" t="s">
        <v>228</v>
      </c>
      <c r="D6" s="291">
        <v>1</v>
      </c>
      <c r="E6" s="190"/>
      <c r="F6" s="319">
        <v>0</v>
      </c>
      <c r="G6" s="210"/>
      <c r="H6" s="210"/>
      <c r="I6" s="210"/>
      <c r="J6" s="210"/>
      <c r="K6" s="210"/>
      <c r="L6" s="210"/>
      <c r="M6" s="210"/>
      <c r="N6" s="210"/>
      <c r="O6" s="210"/>
      <c r="P6" s="210"/>
      <c r="Q6" s="210"/>
      <c r="S6" s="181"/>
      <c r="T6" s="181"/>
      <c r="U6" s="181"/>
      <c r="V6" s="181"/>
      <c r="W6" s="181"/>
      <c r="X6" s="181"/>
      <c r="Y6" s="181"/>
      <c r="Z6" s="181"/>
      <c r="AA6" s="181"/>
      <c r="AB6" s="181"/>
      <c r="AC6" s="181"/>
      <c r="AD6" s="181"/>
      <c r="AE6" s="181"/>
      <c r="AF6" s="181"/>
    </row>
    <row r="7" spans="1:32" ht="12" customHeight="1">
      <c r="B7" s="193" t="s">
        <v>381</v>
      </c>
      <c r="C7" s="95" t="s">
        <v>228</v>
      </c>
      <c r="D7" s="291">
        <v>1</v>
      </c>
      <c r="E7" s="190"/>
      <c r="F7" s="319">
        <v>0</v>
      </c>
      <c r="G7" s="210"/>
      <c r="I7" s="179"/>
      <c r="J7" s="203"/>
      <c r="N7" s="181"/>
      <c r="O7" s="181"/>
      <c r="P7" s="202"/>
      <c r="Q7" s="210"/>
      <c r="S7" s="181"/>
      <c r="T7" s="181"/>
      <c r="U7" s="181"/>
      <c r="V7" s="181"/>
      <c r="W7" s="181"/>
      <c r="X7" s="181"/>
      <c r="Y7" s="181"/>
      <c r="Z7" s="181"/>
      <c r="AA7" s="181"/>
      <c r="AB7" s="181"/>
      <c r="AC7" s="181"/>
      <c r="AD7" s="181"/>
      <c r="AE7" s="181"/>
      <c r="AF7" s="181"/>
    </row>
    <row r="8" spans="1:32" ht="12" customHeight="1">
      <c r="A8" s="183"/>
      <c r="B8" s="193" t="s">
        <v>383</v>
      </c>
      <c r="C8" s="95" t="s">
        <v>228</v>
      </c>
      <c r="D8" s="291">
        <v>1</v>
      </c>
      <c r="E8" s="189"/>
      <c r="F8" s="319">
        <f>-'Nykaa KK Beauty Pvt Ltd'!C28*(1-'Value of Cross Holdings'!D8)</f>
        <v>0</v>
      </c>
      <c r="G8" s="274"/>
      <c r="H8" s="210"/>
      <c r="J8" s="270"/>
      <c r="K8" s="271"/>
      <c r="O8" s="181"/>
      <c r="P8" s="181"/>
      <c r="Q8" s="181"/>
      <c r="R8" s="181"/>
      <c r="S8" s="181"/>
      <c r="T8" s="181"/>
      <c r="U8" s="181"/>
      <c r="V8" s="181"/>
      <c r="W8" s="181"/>
      <c r="X8" s="181"/>
      <c r="Y8" s="181"/>
      <c r="Z8" s="181"/>
      <c r="AA8" s="181"/>
      <c r="AB8" s="181"/>
      <c r="AC8" s="181"/>
      <c r="AD8" s="181"/>
      <c r="AE8" s="181"/>
      <c r="AF8" s="181"/>
    </row>
    <row r="9" spans="1:32" ht="12" customHeight="1">
      <c r="A9" s="183"/>
      <c r="B9" s="193" t="s">
        <v>384</v>
      </c>
      <c r="C9" s="95" t="s">
        <v>228</v>
      </c>
      <c r="D9" s="291">
        <v>1</v>
      </c>
      <c r="E9" s="228"/>
      <c r="F9" s="319">
        <f ca="1">-'Nykaa KK Beauty Pvt Ltd'!C29*(1-'Value of Cross Holdings'!D9)</f>
        <v>0</v>
      </c>
      <c r="G9" s="274"/>
      <c r="H9" s="210"/>
      <c r="J9" s="179"/>
      <c r="K9" s="203"/>
      <c r="O9" s="181"/>
      <c r="P9" s="181"/>
      <c r="Q9" s="181"/>
      <c r="R9" s="181"/>
      <c r="S9" s="181"/>
      <c r="T9" s="181"/>
      <c r="U9" s="181"/>
      <c r="V9" s="181"/>
      <c r="W9" s="181"/>
      <c r="X9" s="181"/>
      <c r="Y9" s="181"/>
      <c r="Z9" s="181"/>
      <c r="AA9" s="181"/>
      <c r="AB9" s="181"/>
      <c r="AC9" s="181"/>
      <c r="AD9" s="181"/>
      <c r="AE9" s="181"/>
      <c r="AF9" s="181"/>
    </row>
    <row r="10" spans="1:32">
      <c r="A10" s="179"/>
      <c r="B10" s="193" t="s">
        <v>386</v>
      </c>
      <c r="C10" s="95" t="s">
        <v>228</v>
      </c>
      <c r="D10" s="291">
        <v>1</v>
      </c>
      <c r="E10" s="228"/>
      <c r="F10" s="319">
        <f>-'Nykaa KK Beauty Pvt Ltd'!C31*(1-'Value of Cross Holdings'!D10)</f>
        <v>0</v>
      </c>
      <c r="G10" s="217"/>
      <c r="H10" s="217"/>
      <c r="I10" s="217"/>
      <c r="J10" s="217"/>
      <c r="K10" s="217"/>
      <c r="O10" s="181"/>
      <c r="P10" s="181"/>
      <c r="Q10" s="181"/>
      <c r="R10" s="181"/>
      <c r="S10" s="181"/>
      <c r="T10" s="181"/>
      <c r="U10" s="181"/>
      <c r="V10" s="181"/>
      <c r="W10" s="181"/>
      <c r="X10" s="181"/>
      <c r="Y10" s="181"/>
      <c r="Z10" s="181"/>
      <c r="AA10" s="181"/>
      <c r="AB10" s="181"/>
      <c r="AC10" s="181"/>
      <c r="AD10" s="181"/>
      <c r="AE10" s="181"/>
      <c r="AF10" s="181"/>
    </row>
    <row r="11" spans="1:32" ht="12.75" customHeight="1">
      <c r="A11" s="183"/>
      <c r="B11" s="193" t="s">
        <v>387</v>
      </c>
      <c r="C11" s="95" t="s">
        <v>228</v>
      </c>
      <c r="D11" s="291">
        <v>1</v>
      </c>
      <c r="E11" s="18"/>
      <c r="F11" s="319">
        <f>-'Nykaa KK Beauty Pvt Ltd'!C32*(1-'Value of Cross Holdings'!D11)</f>
        <v>0</v>
      </c>
      <c r="G11" s="77"/>
      <c r="H11" s="320"/>
      <c r="K11" s="203"/>
      <c r="O11" s="181"/>
      <c r="P11" s="181"/>
      <c r="Q11" s="181"/>
      <c r="R11" s="181"/>
      <c r="S11" s="181"/>
      <c r="T11" s="181"/>
      <c r="U11" s="181"/>
      <c r="V11" s="181"/>
      <c r="W11" s="181"/>
      <c r="X11" s="181"/>
      <c r="Y11" s="181"/>
      <c r="Z11" s="181"/>
      <c r="AA11" s="181"/>
      <c r="AB11" s="181"/>
      <c r="AC11" s="181"/>
      <c r="AD11" s="181"/>
      <c r="AE11" s="181"/>
      <c r="AF11" s="181"/>
    </row>
    <row r="12" spans="1:32">
      <c r="B12" s="189"/>
      <c r="C12" s="189"/>
      <c r="D12" s="189"/>
      <c r="E12" s="189"/>
      <c r="F12" s="189"/>
      <c r="G12" s="77"/>
      <c r="K12" s="203"/>
      <c r="L12" s="217"/>
      <c r="M12" s="217"/>
      <c r="N12" s="217"/>
      <c r="O12" s="217"/>
      <c r="P12" s="217"/>
      <c r="Q12" s="217"/>
      <c r="R12" s="181"/>
      <c r="S12" s="181"/>
      <c r="T12" s="181"/>
      <c r="U12" s="181"/>
      <c r="V12" s="181"/>
      <c r="W12" s="181"/>
      <c r="X12" s="181"/>
      <c r="Y12" s="181"/>
      <c r="Z12" s="181"/>
      <c r="AA12" s="181"/>
      <c r="AB12" s="181"/>
      <c r="AC12" s="181"/>
      <c r="AD12" s="181"/>
      <c r="AE12" s="181"/>
      <c r="AF12" s="181"/>
    </row>
    <row r="13" spans="1:32" ht="12" customHeight="1">
      <c r="A13" s="183"/>
      <c r="B13" s="345" t="s">
        <v>382</v>
      </c>
      <c r="C13" s="346" t="s">
        <v>227</v>
      </c>
      <c r="D13" s="347">
        <v>0.51</v>
      </c>
      <c r="E13" s="421"/>
      <c r="F13" s="349">
        <f ca="1">-'Nykaa KK Beauty Pvt Ltd'!C29*(1-D13)</f>
        <v>-1537.9291381447399</v>
      </c>
      <c r="G13" s="277"/>
      <c r="H13" s="184"/>
      <c r="K13" s="203"/>
      <c r="O13" s="181"/>
      <c r="P13" s="181"/>
      <c r="Q13" s="181"/>
      <c r="R13" s="181"/>
      <c r="S13" s="181"/>
      <c r="T13" s="181"/>
      <c r="U13" s="181"/>
      <c r="V13" s="181"/>
      <c r="W13" s="181"/>
      <c r="X13" s="181"/>
      <c r="Y13" s="181"/>
      <c r="Z13" s="181"/>
      <c r="AA13" s="181"/>
      <c r="AB13" s="181"/>
      <c r="AC13" s="181"/>
      <c r="AD13" s="181"/>
      <c r="AE13" s="181"/>
      <c r="AF13" s="181"/>
    </row>
    <row r="14" spans="1:32">
      <c r="B14" s="345" t="s">
        <v>385</v>
      </c>
      <c r="C14" s="346" t="s">
        <v>227</v>
      </c>
      <c r="D14" s="347">
        <v>0.51</v>
      </c>
      <c r="E14" s="348"/>
      <c r="F14" s="349">
        <f>-'Dot &amp; Key Wellness Pvt Ltd'!C29*(1-D14)</f>
        <v>-2308.3274973154598</v>
      </c>
      <c r="G14" s="3"/>
      <c r="O14" s="181"/>
      <c r="P14" s="181"/>
      <c r="Q14" s="181"/>
      <c r="R14" s="181"/>
      <c r="S14" s="181"/>
      <c r="T14" s="181"/>
      <c r="U14" s="181"/>
      <c r="V14" s="181"/>
      <c r="W14" s="181"/>
      <c r="X14" s="181"/>
      <c r="Y14" s="181"/>
      <c r="Z14" s="181"/>
      <c r="AA14" s="181"/>
      <c r="AB14" s="181"/>
      <c r="AC14" s="181"/>
      <c r="AD14" s="181"/>
      <c r="AE14" s="181"/>
      <c r="AF14" s="181"/>
    </row>
    <row r="15" spans="1:32">
      <c r="B15" s="350"/>
      <c r="C15" s="350"/>
      <c r="D15" s="350"/>
      <c r="E15" s="350"/>
      <c r="F15" s="350"/>
      <c r="G15" s="58"/>
      <c r="K15" s="272"/>
      <c r="O15" s="181"/>
      <c r="P15" s="181"/>
      <c r="Q15" s="181"/>
      <c r="R15" s="181"/>
      <c r="S15" s="181"/>
      <c r="T15" s="181"/>
      <c r="U15" s="181"/>
      <c r="V15" s="181"/>
      <c r="W15" s="181"/>
      <c r="X15" s="181"/>
      <c r="Y15" s="181"/>
      <c r="Z15" s="181"/>
      <c r="AA15" s="181"/>
      <c r="AB15" s="181"/>
      <c r="AC15" s="181"/>
      <c r="AD15" s="181"/>
      <c r="AE15" s="181"/>
      <c r="AF15" s="181"/>
    </row>
    <row r="16" spans="1:32">
      <c r="E16" s="202" t="s">
        <v>253</v>
      </c>
      <c r="F16" s="422">
        <f ca="1">SUM(F13:F14)</f>
        <v>-3846.2566354601995</v>
      </c>
      <c r="K16" s="181"/>
      <c r="O16" s="181"/>
      <c r="P16" s="181"/>
      <c r="Q16" s="181"/>
      <c r="R16" s="181"/>
      <c r="S16" s="181"/>
      <c r="T16" s="181"/>
      <c r="U16" s="181"/>
      <c r="V16" s="181"/>
      <c r="W16" s="181"/>
      <c r="X16" s="181"/>
      <c r="Y16" s="181"/>
      <c r="Z16" s="181"/>
      <c r="AA16" s="181"/>
      <c r="AB16" s="181"/>
      <c r="AC16" s="181"/>
      <c r="AD16" s="181"/>
      <c r="AE16" s="181"/>
      <c r="AF16" s="181"/>
    </row>
    <row r="17" spans="1:32">
      <c r="B17" s="179"/>
      <c r="C17" s="84"/>
      <c r="D17" s="301"/>
      <c r="E17" s="6"/>
      <c r="F17" s="420"/>
      <c r="G17" s="84"/>
      <c r="J17" s="185"/>
      <c r="K17" s="181"/>
      <c r="L17" s="181"/>
      <c r="O17" s="181"/>
      <c r="P17" s="181"/>
      <c r="Q17" s="181"/>
      <c r="R17" s="181"/>
      <c r="S17" s="181"/>
      <c r="T17" s="181"/>
      <c r="U17" s="181"/>
      <c r="V17" s="181"/>
      <c r="W17" s="181"/>
      <c r="X17" s="181"/>
      <c r="Y17" s="181"/>
      <c r="Z17" s="181"/>
      <c r="AA17" s="181"/>
      <c r="AB17" s="181"/>
      <c r="AC17" s="181"/>
      <c r="AD17" s="181"/>
      <c r="AE17" s="181"/>
      <c r="AF17" s="181"/>
    </row>
    <row r="18" spans="1:32">
      <c r="A18" s="183"/>
      <c r="B18" s="179"/>
      <c r="C18" s="84"/>
      <c r="D18" s="301"/>
      <c r="E18" s="6"/>
      <c r="F18" s="420"/>
      <c r="G18" s="277"/>
      <c r="J18" s="210"/>
      <c r="K18" s="181"/>
      <c r="L18" s="181"/>
      <c r="M18" s="181"/>
      <c r="N18" s="181"/>
      <c r="O18" s="181"/>
      <c r="P18" s="181"/>
      <c r="Q18" s="181"/>
      <c r="R18" s="181"/>
      <c r="S18" s="181"/>
      <c r="T18" s="181"/>
      <c r="U18" s="181"/>
      <c r="V18" s="181"/>
      <c r="W18" s="181"/>
      <c r="X18" s="181"/>
      <c r="Y18" s="181"/>
      <c r="Z18" s="181"/>
      <c r="AA18" s="181"/>
      <c r="AB18" s="181"/>
      <c r="AC18" s="181"/>
      <c r="AD18" s="181"/>
      <c r="AE18" s="181"/>
      <c r="AF18" s="181"/>
    </row>
    <row r="19" spans="1:32">
      <c r="B19" s="179"/>
      <c r="C19" s="84"/>
      <c r="D19" s="301"/>
      <c r="E19" s="6"/>
      <c r="G19" s="77"/>
      <c r="H19" s="184"/>
      <c r="J19" s="210"/>
      <c r="K19" s="181"/>
      <c r="L19" s="181"/>
      <c r="M19" s="181"/>
      <c r="N19" s="181"/>
      <c r="O19" s="181"/>
      <c r="P19" s="181"/>
      <c r="Q19" s="181"/>
      <c r="R19" s="181"/>
      <c r="S19" s="181"/>
      <c r="T19" s="181"/>
      <c r="U19" s="181"/>
      <c r="V19" s="181"/>
      <c r="W19" s="181"/>
      <c r="X19" s="181"/>
      <c r="Y19" s="181"/>
      <c r="Z19" s="181"/>
      <c r="AA19" s="181"/>
      <c r="AB19" s="181"/>
      <c r="AC19" s="181"/>
      <c r="AD19" s="181"/>
      <c r="AE19" s="181"/>
      <c r="AF19" s="181"/>
    </row>
    <row r="20" spans="1:32">
      <c r="A20" s="183"/>
      <c r="E20" s="25"/>
      <c r="F20" s="3"/>
      <c r="G20" s="77"/>
      <c r="H20" s="184"/>
      <c r="J20" s="210"/>
      <c r="K20" s="181"/>
      <c r="L20" s="181"/>
      <c r="M20" s="181"/>
      <c r="N20" s="181"/>
      <c r="O20" s="181"/>
      <c r="P20" s="181"/>
      <c r="Q20" s="181"/>
      <c r="R20" s="181"/>
      <c r="S20" s="181"/>
      <c r="T20" s="181"/>
      <c r="U20" s="181"/>
      <c r="V20" s="181"/>
      <c r="W20" s="181"/>
      <c r="X20" s="181"/>
      <c r="Y20" s="181"/>
      <c r="Z20" s="181"/>
      <c r="AA20" s="181"/>
      <c r="AB20" s="181"/>
      <c r="AC20" s="181"/>
      <c r="AD20" s="181"/>
      <c r="AE20" s="181"/>
      <c r="AF20" s="181"/>
    </row>
    <row r="21" spans="1:32">
      <c r="E21" s="3"/>
      <c r="F21" s="24"/>
      <c r="G21" s="3"/>
      <c r="H21" s="344"/>
      <c r="J21" s="210"/>
      <c r="K21" s="181"/>
      <c r="L21" s="181"/>
      <c r="M21" s="181"/>
      <c r="N21" s="181"/>
      <c r="O21" s="181"/>
      <c r="P21" s="181"/>
      <c r="Q21" s="181"/>
      <c r="R21" s="181"/>
      <c r="S21" s="181"/>
      <c r="T21" s="181"/>
      <c r="U21" s="181"/>
      <c r="V21" s="181"/>
      <c r="W21" s="181"/>
      <c r="X21" s="181"/>
      <c r="Y21" s="181"/>
      <c r="Z21" s="181"/>
      <c r="AA21" s="181"/>
      <c r="AB21" s="181"/>
      <c r="AC21" s="181"/>
      <c r="AD21" s="181"/>
      <c r="AE21" s="181"/>
      <c r="AF21" s="181"/>
    </row>
    <row r="22" spans="1:32">
      <c r="E22" s="6"/>
      <c r="G22" s="58"/>
      <c r="J22" s="210"/>
      <c r="K22" s="181"/>
      <c r="L22" s="181"/>
      <c r="M22" s="181"/>
      <c r="N22" s="181"/>
      <c r="O22" s="181"/>
      <c r="P22" s="181"/>
      <c r="Q22" s="181"/>
      <c r="R22" s="181"/>
      <c r="S22" s="181"/>
      <c r="T22" s="181"/>
      <c r="U22" s="181"/>
      <c r="V22" s="181"/>
      <c r="W22" s="181"/>
      <c r="X22" s="181"/>
      <c r="Y22" s="181"/>
      <c r="Z22" s="181"/>
      <c r="AA22" s="181"/>
      <c r="AB22" s="181"/>
      <c r="AC22" s="181"/>
      <c r="AD22" s="181"/>
      <c r="AE22" s="181"/>
      <c r="AF22" s="181"/>
    </row>
    <row r="23" spans="1:32" ht="12" customHeight="1">
      <c r="E23" s="6"/>
      <c r="F23" s="179"/>
      <c r="J23" s="210"/>
      <c r="K23" s="181"/>
      <c r="L23" s="181"/>
      <c r="M23" s="181"/>
      <c r="N23" s="181"/>
      <c r="O23" s="181"/>
      <c r="P23" s="181"/>
      <c r="Q23" s="181"/>
      <c r="R23" s="181"/>
      <c r="S23" s="181"/>
      <c r="T23" s="181"/>
      <c r="U23" s="181"/>
      <c r="V23" s="181"/>
      <c r="W23" s="181"/>
      <c r="X23" s="181"/>
      <c r="Y23" s="181"/>
      <c r="Z23" s="181"/>
      <c r="AA23" s="181"/>
      <c r="AB23" s="181"/>
      <c r="AC23" s="181"/>
      <c r="AD23" s="181"/>
      <c r="AE23" s="181"/>
      <c r="AF23" s="181"/>
    </row>
    <row r="24" spans="1:32">
      <c r="E24" s="6"/>
      <c r="F24" s="179"/>
      <c r="G24" s="20"/>
      <c r="J24" s="210"/>
      <c r="K24" s="181"/>
      <c r="L24" s="181"/>
      <c r="M24" s="181"/>
      <c r="N24" s="181"/>
      <c r="O24" s="181"/>
      <c r="P24" s="181"/>
      <c r="Q24" s="181"/>
      <c r="R24" s="181"/>
      <c r="S24" s="181"/>
      <c r="T24" s="181"/>
      <c r="U24" s="181"/>
      <c r="V24" s="181"/>
      <c r="W24" s="181"/>
      <c r="X24" s="181"/>
      <c r="Y24" s="181"/>
      <c r="Z24" s="181"/>
      <c r="AA24" s="181"/>
      <c r="AB24" s="181"/>
      <c r="AC24" s="181"/>
      <c r="AD24" s="181"/>
      <c r="AE24" s="181"/>
      <c r="AF24" s="181"/>
    </row>
    <row r="25" spans="1:32">
      <c r="D25" s="6"/>
      <c r="E25" s="6"/>
      <c r="F25" s="179"/>
      <c r="G25" s="290"/>
      <c r="J25" s="210"/>
      <c r="K25" s="181"/>
      <c r="L25" s="181"/>
      <c r="M25" s="181"/>
      <c r="N25" s="181"/>
      <c r="O25" s="181"/>
      <c r="P25" s="181"/>
      <c r="Q25" s="181"/>
      <c r="R25" s="181"/>
      <c r="S25" s="181"/>
      <c r="T25" s="181"/>
      <c r="U25" s="181"/>
      <c r="V25" s="181"/>
      <c r="W25" s="181"/>
      <c r="X25" s="181"/>
      <c r="Y25" s="181"/>
      <c r="Z25" s="181"/>
      <c r="AA25" s="181"/>
      <c r="AB25" s="181"/>
      <c r="AC25" s="181"/>
      <c r="AD25" s="181"/>
      <c r="AE25" s="181"/>
      <c r="AF25" s="181"/>
    </row>
    <row r="26" spans="1:32">
      <c r="D26" s="25"/>
      <c r="E26" s="25"/>
      <c r="G26" s="77"/>
      <c r="J26" s="215"/>
      <c r="K26" s="181"/>
      <c r="L26" s="181"/>
      <c r="M26" s="181"/>
      <c r="N26" s="181"/>
      <c r="O26" s="181"/>
      <c r="P26" s="181"/>
      <c r="Q26" s="181"/>
      <c r="R26" s="181"/>
      <c r="S26" s="181"/>
      <c r="T26" s="181"/>
      <c r="U26" s="181"/>
      <c r="V26" s="181"/>
      <c r="W26" s="181"/>
      <c r="X26" s="181"/>
      <c r="Y26" s="181"/>
      <c r="Z26" s="181"/>
      <c r="AA26" s="181"/>
      <c r="AB26" s="181"/>
      <c r="AC26" s="181"/>
      <c r="AD26" s="181"/>
      <c r="AE26" s="181"/>
      <c r="AF26" s="181"/>
    </row>
    <row r="27" spans="1:32">
      <c r="D27" s="6"/>
      <c r="E27" s="6"/>
      <c r="L27" s="181"/>
      <c r="M27" s="181"/>
      <c r="N27" s="181"/>
      <c r="O27" s="181"/>
      <c r="P27" s="181"/>
      <c r="Q27" s="181"/>
      <c r="R27" s="181"/>
      <c r="S27" s="181"/>
      <c r="T27" s="181"/>
      <c r="U27" s="181"/>
      <c r="V27" s="181"/>
      <c r="W27" s="181"/>
      <c r="X27" s="181"/>
      <c r="Y27" s="181"/>
      <c r="Z27" s="181"/>
      <c r="AA27" s="181"/>
      <c r="AB27" s="181"/>
      <c r="AC27" s="181"/>
      <c r="AD27" s="181"/>
      <c r="AE27" s="181"/>
      <c r="AF27" s="181"/>
    </row>
    <row r="28" spans="1:32">
      <c r="D28" s="6"/>
      <c r="E28" s="6"/>
      <c r="L28" s="181"/>
      <c r="M28" s="181"/>
      <c r="N28" s="181"/>
      <c r="O28" s="181"/>
      <c r="P28" s="181"/>
      <c r="Q28" s="181"/>
      <c r="R28" s="181"/>
      <c r="S28" s="181"/>
      <c r="T28" s="181"/>
      <c r="U28" s="181"/>
      <c r="V28" s="181"/>
      <c r="W28" s="181"/>
      <c r="X28" s="181"/>
      <c r="Y28" s="181"/>
      <c r="Z28" s="181"/>
      <c r="AA28" s="181"/>
      <c r="AB28" s="181"/>
      <c r="AC28" s="181"/>
      <c r="AD28" s="181"/>
      <c r="AE28" s="181"/>
      <c r="AF28" s="181"/>
    </row>
    <row r="29" spans="1:32">
      <c r="D29" s="6"/>
      <c r="E29" s="6"/>
      <c r="K29" s="181"/>
      <c r="L29" s="181"/>
      <c r="M29" s="181"/>
      <c r="N29" s="181"/>
      <c r="O29" s="181"/>
      <c r="P29" s="181"/>
      <c r="Q29" s="181"/>
      <c r="R29" s="181"/>
      <c r="S29" s="181"/>
      <c r="T29" s="181"/>
      <c r="U29" s="181"/>
      <c r="V29" s="181"/>
      <c r="W29" s="181"/>
      <c r="X29" s="181"/>
      <c r="Y29" s="181"/>
      <c r="Z29" s="181"/>
      <c r="AA29" s="181"/>
      <c r="AB29" s="181"/>
      <c r="AC29" s="181"/>
      <c r="AD29" s="181"/>
      <c r="AE29" s="181"/>
      <c r="AF29" s="181"/>
    </row>
    <row r="30" spans="1:32" ht="14.25" customHeight="1">
      <c r="D30" s="25"/>
      <c r="E30" s="25"/>
      <c r="K30" s="181"/>
      <c r="L30" s="181"/>
      <c r="M30" s="181"/>
      <c r="N30" s="181"/>
      <c r="O30" s="181"/>
      <c r="P30" s="181"/>
      <c r="Q30" s="181"/>
      <c r="R30" s="181"/>
      <c r="S30" s="181"/>
      <c r="T30" s="181"/>
      <c r="U30" s="181"/>
      <c r="V30" s="181"/>
      <c r="W30" s="181"/>
      <c r="X30" s="181"/>
      <c r="Y30" s="181"/>
      <c r="Z30" s="181"/>
      <c r="AA30" s="181"/>
      <c r="AB30" s="181"/>
      <c r="AC30" s="181"/>
      <c r="AD30" s="181"/>
      <c r="AE30" s="181"/>
      <c r="AF30" s="181"/>
    </row>
    <row r="31" spans="1:32">
      <c r="D31" s="3"/>
      <c r="E31" s="3"/>
      <c r="G31" s="181"/>
      <c r="H31" s="181"/>
      <c r="I31" s="181"/>
      <c r="J31" s="181"/>
      <c r="K31" s="181"/>
      <c r="L31" s="181"/>
      <c r="M31" s="181"/>
      <c r="N31" s="181"/>
      <c r="O31" s="181"/>
      <c r="P31" s="181"/>
      <c r="Q31" s="181"/>
      <c r="R31" s="181"/>
      <c r="S31" s="181"/>
      <c r="T31" s="181"/>
      <c r="U31" s="181"/>
      <c r="V31" s="181"/>
      <c r="W31" s="181"/>
      <c r="X31" s="181"/>
      <c r="Y31" s="181"/>
      <c r="Z31" s="181"/>
      <c r="AA31" s="181"/>
      <c r="AB31" s="181"/>
      <c r="AC31" s="181"/>
      <c r="AD31" s="181"/>
      <c r="AE31" s="181"/>
      <c r="AF31" s="181"/>
    </row>
    <row r="32" spans="1:32">
      <c r="G32" s="181"/>
      <c r="H32" s="181"/>
      <c r="I32" s="181"/>
      <c r="J32" s="181"/>
      <c r="K32" s="181"/>
      <c r="L32" s="181"/>
      <c r="M32" s="181"/>
      <c r="N32" s="181"/>
      <c r="O32" s="181"/>
      <c r="P32" s="181"/>
      <c r="Q32" s="181"/>
      <c r="R32" s="181"/>
      <c r="S32" s="181"/>
      <c r="T32" s="181"/>
      <c r="U32" s="181"/>
      <c r="V32" s="181"/>
      <c r="W32" s="181"/>
      <c r="X32" s="181"/>
      <c r="Y32" s="181"/>
      <c r="Z32" s="181"/>
      <c r="AA32" s="181"/>
      <c r="AB32" s="181"/>
      <c r="AC32" s="181"/>
      <c r="AD32" s="181"/>
      <c r="AE32" s="181"/>
      <c r="AF32" s="181"/>
    </row>
    <row r="33" spans="4:32">
      <c r="D33" s="24"/>
      <c r="E33" s="24"/>
      <c r="G33" s="181"/>
      <c r="H33" s="181"/>
      <c r="I33" s="181"/>
      <c r="J33" s="181"/>
      <c r="K33" s="181"/>
      <c r="L33" s="181"/>
      <c r="M33" s="181"/>
      <c r="N33" s="181"/>
      <c r="O33" s="181"/>
      <c r="P33" s="181"/>
      <c r="Q33" s="181"/>
      <c r="R33" s="181"/>
      <c r="S33" s="181"/>
      <c r="T33" s="181"/>
      <c r="U33" s="181"/>
      <c r="V33" s="181"/>
      <c r="W33" s="181"/>
      <c r="X33" s="181"/>
      <c r="Y33" s="181"/>
      <c r="Z33" s="181"/>
      <c r="AA33" s="181"/>
      <c r="AB33" s="181"/>
      <c r="AC33" s="181"/>
      <c r="AD33" s="181"/>
      <c r="AE33" s="181"/>
      <c r="AF33" s="181"/>
    </row>
    <row r="34" spans="4:32">
      <c r="D34" s="53"/>
      <c r="E34" s="3"/>
      <c r="G34" s="181"/>
      <c r="H34" s="181"/>
      <c r="I34" s="181"/>
      <c r="J34" s="181"/>
      <c r="K34" s="181"/>
      <c r="L34" s="181"/>
      <c r="M34" s="181"/>
      <c r="N34" s="181"/>
      <c r="O34" s="181"/>
      <c r="P34" s="181"/>
      <c r="Q34" s="181"/>
      <c r="R34" s="181"/>
      <c r="S34" s="181"/>
      <c r="T34" s="181"/>
      <c r="U34" s="181"/>
      <c r="V34" s="181"/>
      <c r="W34" s="181"/>
      <c r="X34" s="181"/>
      <c r="Y34" s="181"/>
      <c r="Z34" s="181"/>
      <c r="AA34" s="181"/>
      <c r="AB34" s="181"/>
      <c r="AC34" s="181"/>
      <c r="AD34" s="181"/>
      <c r="AE34" s="181"/>
      <c r="AF34" s="181"/>
    </row>
    <row r="35" spans="4:32">
      <c r="G35" s="181"/>
      <c r="H35" s="181"/>
      <c r="I35" s="181"/>
      <c r="J35" s="181"/>
      <c r="K35" s="181"/>
      <c r="L35" s="181"/>
      <c r="M35" s="181"/>
      <c r="N35" s="181"/>
      <c r="O35" s="181"/>
      <c r="P35" s="181"/>
      <c r="Q35" s="181"/>
      <c r="R35" s="181"/>
      <c r="S35" s="181"/>
      <c r="T35" s="181"/>
      <c r="U35" s="181"/>
      <c r="V35" s="181"/>
      <c r="W35" s="181"/>
      <c r="X35" s="181"/>
      <c r="Y35" s="181"/>
      <c r="Z35" s="181"/>
      <c r="AA35" s="181"/>
      <c r="AB35" s="181"/>
      <c r="AC35" s="181"/>
      <c r="AD35" s="181"/>
      <c r="AE35" s="181"/>
      <c r="AF35" s="181"/>
    </row>
    <row r="36" spans="4:32">
      <c r="G36" s="181"/>
      <c r="H36" s="181"/>
      <c r="I36" s="181"/>
      <c r="J36" s="181"/>
      <c r="K36" s="181"/>
      <c r="L36" s="181"/>
      <c r="M36" s="181"/>
      <c r="N36" s="181"/>
      <c r="O36" s="181"/>
      <c r="P36" s="181"/>
      <c r="Q36" s="181"/>
      <c r="R36" s="181"/>
      <c r="S36" s="181"/>
      <c r="T36" s="181"/>
      <c r="U36" s="181"/>
      <c r="V36" s="181"/>
      <c r="W36" s="181"/>
      <c r="X36" s="181"/>
      <c r="Y36" s="181"/>
      <c r="Z36" s="181"/>
      <c r="AA36" s="181"/>
      <c r="AB36" s="181"/>
      <c r="AC36" s="181"/>
      <c r="AD36" s="181"/>
      <c r="AE36" s="181"/>
      <c r="AF36" s="181"/>
    </row>
    <row r="37" spans="4:32">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row>
    <row r="38" spans="4:32">
      <c r="G38" s="181"/>
      <c r="H38" s="181"/>
      <c r="I38" s="181"/>
      <c r="J38" s="181"/>
      <c r="K38" s="181"/>
      <c r="L38" s="181"/>
      <c r="M38" s="181"/>
      <c r="N38" s="181"/>
      <c r="O38" s="181"/>
      <c r="P38" s="181"/>
      <c r="Q38" s="181"/>
      <c r="R38" s="181"/>
      <c r="S38" s="181"/>
      <c r="T38" s="181"/>
      <c r="U38" s="181"/>
      <c r="V38" s="181"/>
      <c r="W38" s="181"/>
      <c r="X38" s="181"/>
      <c r="Y38" s="181"/>
      <c r="Z38" s="181"/>
      <c r="AA38" s="181"/>
      <c r="AB38" s="181"/>
      <c r="AC38" s="181"/>
      <c r="AD38" s="181"/>
      <c r="AE38" s="181"/>
      <c r="AF38" s="181"/>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9"/>
  <sheetViews>
    <sheetView workbookViewId="0"/>
  </sheetViews>
  <sheetFormatPr defaultRowHeight="12"/>
  <cols>
    <col min="1" max="1" width="2" style="176" customWidth="1"/>
    <col min="2" max="2" width="29.85546875" style="176" customWidth="1"/>
    <col min="3" max="3" width="14.28515625" style="176" customWidth="1"/>
    <col min="4" max="4" width="12.85546875" style="176" customWidth="1"/>
    <col min="5" max="5" width="8.42578125" style="176" bestFit="1" customWidth="1"/>
    <col min="6" max="6" width="12.85546875" style="176" customWidth="1" collapsed="1"/>
    <col min="7" max="7" width="12.42578125" style="176" customWidth="1"/>
    <col min="8" max="8" width="11.7109375" style="176" customWidth="1"/>
    <col min="9" max="9" width="12.42578125" style="176" customWidth="1"/>
    <col min="10" max="10" width="9.85546875" style="176" customWidth="1"/>
    <col min="11" max="11" width="12.140625" style="176" customWidth="1"/>
    <col min="12" max="12" width="15.85546875" style="176" customWidth="1"/>
    <col min="13" max="13" width="12.5703125" style="176" customWidth="1"/>
    <col min="14" max="14" width="13.28515625" style="176" customWidth="1"/>
    <col min="15" max="25" width="9.140625" style="176" customWidth="1"/>
    <col min="26" max="26" width="9.28515625" style="176" customWidth="1"/>
    <col min="27" max="27" width="9.42578125" style="176" customWidth="1"/>
    <col min="28" max="28" width="10" style="176" customWidth="1"/>
    <col min="29" max="29" width="11.42578125" style="176" customWidth="1"/>
    <col min="30" max="30" width="9.42578125" style="176" bestFit="1" customWidth="1" collapsed="1"/>
    <col min="31" max="16384" width="9.140625" style="176"/>
  </cols>
  <sheetData>
    <row r="1" spans="1:31" s="175" customFormat="1" ht="15" customHeight="1">
      <c r="B1" s="17" t="s">
        <v>378</v>
      </c>
      <c r="C1" s="174"/>
      <c r="D1" s="174"/>
      <c r="E1" s="174"/>
      <c r="F1" s="174"/>
      <c r="G1" s="174"/>
      <c r="H1" s="174"/>
      <c r="I1" s="174"/>
      <c r="J1" s="174"/>
      <c r="K1" s="174"/>
    </row>
    <row r="2" spans="1:31" ht="12" customHeight="1">
      <c r="C2" s="202"/>
    </row>
    <row r="3" spans="1:31" ht="12" customHeight="1">
      <c r="A3" s="178"/>
      <c r="B3" s="193" t="s">
        <v>16</v>
      </c>
      <c r="C3" s="95">
        <f>'Risk Free Rate'!C4</f>
        <v>5.4299999999999994E-2</v>
      </c>
      <c r="D3" s="300"/>
      <c r="E3" s="100"/>
      <c r="F3" s="100" t="s">
        <v>6</v>
      </c>
      <c r="G3" s="100" t="s">
        <v>204</v>
      </c>
      <c r="H3" s="232" t="s">
        <v>205</v>
      </c>
      <c r="I3" s="232" t="s">
        <v>3</v>
      </c>
      <c r="J3" s="232" t="s">
        <v>388</v>
      </c>
      <c r="K3" s="232" t="s">
        <v>237</v>
      </c>
      <c r="L3" s="232" t="s">
        <v>167</v>
      </c>
      <c r="M3" s="100" t="s">
        <v>208</v>
      </c>
      <c r="N3" s="217"/>
    </row>
    <row r="4" spans="1:31" ht="12" customHeight="1">
      <c r="A4" s="183"/>
      <c r="B4" s="193" t="s">
        <v>17</v>
      </c>
      <c r="C4" s="303">
        <f>'Equity Risk Premium'!F28</f>
        <v>3.9560996211483103E-2</v>
      </c>
      <c r="D4" s="300"/>
      <c r="E4" s="261" t="s">
        <v>203</v>
      </c>
      <c r="F4" s="257">
        <f>275.6</f>
        <v>275.60000000000002</v>
      </c>
      <c r="G4" s="257"/>
      <c r="H4" s="306">
        <f>I4/F4</f>
        <v>7.3838896952104494E-2</v>
      </c>
      <c r="I4" s="257">
        <f>C16</f>
        <v>20.350000000000001</v>
      </c>
      <c r="J4" s="257">
        <f>I4</f>
        <v>20.350000000000001</v>
      </c>
      <c r="K4" s="265">
        <f>$F$4/$F$17</f>
        <v>1.1951431049436256</v>
      </c>
      <c r="L4" s="257"/>
      <c r="M4" s="257"/>
      <c r="N4" s="177"/>
      <c r="P4" s="180"/>
      <c r="Q4" s="180"/>
      <c r="R4" s="180"/>
      <c r="S4" s="180"/>
      <c r="X4" s="180"/>
    </row>
    <row r="5" spans="1:31" ht="12" customHeight="1">
      <c r="A5" s="183"/>
      <c r="B5" s="193" t="s">
        <v>11</v>
      </c>
      <c r="C5" s="237">
        <f>Beta!C17*(1+(1-Beta!C14)*((80.36+3.02+79.76+2.72)/(68.11)))</f>
        <v>1.9291894860667071</v>
      </c>
      <c r="D5" s="300"/>
      <c r="E5" s="255">
        <v>1</v>
      </c>
      <c r="F5" s="259">
        <f>F4*(1+G5)</f>
        <v>826.80000000000007</v>
      </c>
      <c r="G5" s="211">
        <v>2</v>
      </c>
      <c r="H5" s="403">
        <f ca="1">AVERAGE(H4,H6)</f>
        <v>7.6455007256894039E-2</v>
      </c>
      <c r="I5" s="259">
        <f ca="1">F5*H5</f>
        <v>63.212999999999994</v>
      </c>
      <c r="J5" s="258">
        <f t="shared" ref="J5:J11" ca="1" si="0">I5*(1-$M$22)</f>
        <v>47.302287899999996</v>
      </c>
      <c r="K5" s="237">
        <f>'Expected Growth Rate'!$G$26</f>
        <v>1.4735330782324565</v>
      </c>
      <c r="L5" s="307">
        <f t="shared" ref="L5:L14" si="1">(F5-F4)/K5</f>
        <v>374.06693351002315</v>
      </c>
      <c r="M5" s="307">
        <f t="shared" ref="M5:M14" ca="1" si="2">J5-L5</f>
        <v>-326.76464561002314</v>
      </c>
      <c r="N5" s="47"/>
      <c r="P5" s="181"/>
      <c r="Q5" s="181"/>
      <c r="R5" s="181"/>
      <c r="S5" s="181"/>
      <c r="T5" s="181"/>
      <c r="U5" s="181"/>
      <c r="V5" s="181"/>
      <c r="W5" s="181"/>
      <c r="X5" s="181"/>
      <c r="Y5" s="181"/>
      <c r="Z5" s="181"/>
      <c r="AA5" s="181"/>
      <c r="AB5" s="181"/>
      <c r="AC5" s="181"/>
    </row>
    <row r="6" spans="1:31" ht="12" customHeight="1">
      <c r="A6" s="183"/>
      <c r="B6" s="197" t="s">
        <v>14</v>
      </c>
      <c r="C6" s="315">
        <f>C3+(C5*C4)</f>
        <v>0.13062065794951802</v>
      </c>
      <c r="D6" s="300"/>
      <c r="E6" s="255">
        <v>2</v>
      </c>
      <c r="F6" s="259">
        <f t="shared" ref="F6:F14" si="3">F5*(1+G6)</f>
        <v>1653.6000000000001</v>
      </c>
      <c r="G6" s="211">
        <v>1</v>
      </c>
      <c r="H6" s="403">
        <f ca="1">AVERAGE(H5,H7)</f>
        <v>7.9071117561683585E-2</v>
      </c>
      <c r="I6" s="259">
        <f t="shared" ref="I6:I13" ca="1" si="4">F6*H6</f>
        <v>130.75199999999998</v>
      </c>
      <c r="J6" s="258">
        <f t="shared" ca="1" si="0"/>
        <v>97.841721599999985</v>
      </c>
      <c r="K6" s="237">
        <f>'Expected Growth Rate'!$G$26</f>
        <v>1.4735330782324565</v>
      </c>
      <c r="L6" s="307">
        <f t="shared" si="1"/>
        <v>561.10040026503475</v>
      </c>
      <c r="M6" s="307">
        <f t="shared" ca="1" si="2"/>
        <v>-463.25867866503478</v>
      </c>
      <c r="N6" s="210"/>
      <c r="P6" s="181"/>
      <c r="Q6" s="181"/>
      <c r="R6" s="181"/>
      <c r="S6" s="181"/>
      <c r="T6" s="181"/>
      <c r="U6" s="181"/>
      <c r="V6" s="181"/>
      <c r="W6" s="181"/>
      <c r="X6" s="181"/>
      <c r="Y6" s="181"/>
      <c r="Z6" s="181"/>
      <c r="AA6" s="181"/>
      <c r="AB6" s="181"/>
      <c r="AC6" s="181"/>
    </row>
    <row r="7" spans="1:31" ht="12" customHeight="1">
      <c r="B7" s="111" t="s">
        <v>129</v>
      </c>
      <c r="C7" s="303">
        <f>'Cost of Equity &amp; Debt'!C15</f>
        <v>2.827E-2</v>
      </c>
      <c r="D7" s="300"/>
      <c r="E7" s="255">
        <v>3</v>
      </c>
      <c r="F7" s="259">
        <f t="shared" si="3"/>
        <v>3141.84</v>
      </c>
      <c r="G7" s="211">
        <v>0.9</v>
      </c>
      <c r="H7" s="403">
        <f ca="1">AVERAGE(H9,H5)</f>
        <v>8.1687227866473144E-2</v>
      </c>
      <c r="I7" s="259">
        <f t="shared" ca="1" si="4"/>
        <v>256.64819999999997</v>
      </c>
      <c r="J7" s="258">
        <f t="shared" ca="1" si="0"/>
        <v>192.04984805999996</v>
      </c>
      <c r="K7" s="237">
        <f>'Expected Growth Rate'!$G$26</f>
        <v>1.4735330782324565</v>
      </c>
      <c r="L7" s="307">
        <f t="shared" si="1"/>
        <v>1009.9807204770624</v>
      </c>
      <c r="M7" s="307">
        <f t="shared" ca="1" si="2"/>
        <v>-817.93087241706246</v>
      </c>
      <c r="N7" s="210"/>
      <c r="P7" s="181"/>
      <c r="Q7" s="181"/>
      <c r="R7" s="181"/>
      <c r="S7" s="181"/>
      <c r="T7" s="181"/>
      <c r="U7" s="181"/>
      <c r="V7" s="181"/>
      <c r="W7" s="181"/>
      <c r="X7" s="181"/>
      <c r="Y7" s="181"/>
      <c r="Z7" s="181"/>
      <c r="AA7" s="181"/>
      <c r="AB7" s="181"/>
      <c r="AC7" s="181"/>
    </row>
    <row r="8" spans="1:31" ht="12" customHeight="1">
      <c r="A8" s="183"/>
      <c r="B8" s="111" t="s">
        <v>128</v>
      </c>
      <c r="C8" s="304">
        <f>'Cost of Equity &amp; Debt'!C16</f>
        <v>1.6102325581395347</v>
      </c>
      <c r="E8" s="255">
        <v>4</v>
      </c>
      <c r="F8" s="259">
        <f t="shared" si="3"/>
        <v>5341.1279999999997</v>
      </c>
      <c r="G8" s="211">
        <v>0.7</v>
      </c>
      <c r="H8" s="403">
        <f ca="1">AVERAGE(H7,H9)</f>
        <v>8.4303338171262704E-2</v>
      </c>
      <c r="I8" s="259">
        <f t="shared" ca="1" si="4"/>
        <v>450.27492000000001</v>
      </c>
      <c r="J8" s="258">
        <f t="shared" ca="1" si="0"/>
        <v>336.94072263599998</v>
      </c>
      <c r="K8" s="237">
        <f>'Expected Growth Rate'!$G$26</f>
        <v>1.4735330782324565</v>
      </c>
      <c r="L8" s="307">
        <f>(F8-F7)/K8</f>
        <v>1492.527064704992</v>
      </c>
      <c r="M8" s="307">
        <f t="shared" ca="1" si="2"/>
        <v>-1155.5863420689921</v>
      </c>
      <c r="N8" s="181"/>
      <c r="O8" s="181"/>
      <c r="P8" s="181"/>
      <c r="Q8" s="181"/>
      <c r="R8" s="181"/>
      <c r="S8" s="181"/>
      <c r="T8" s="181"/>
      <c r="U8" s="181"/>
      <c r="V8" s="181"/>
      <c r="W8" s="181"/>
      <c r="X8" s="181"/>
      <c r="Y8" s="181"/>
      <c r="Z8" s="181"/>
      <c r="AA8" s="181"/>
      <c r="AB8" s="181"/>
      <c r="AC8" s="181"/>
    </row>
    <row r="9" spans="1:31" ht="12" customHeight="1">
      <c r="A9" s="183"/>
      <c r="B9" s="111" t="s">
        <v>20</v>
      </c>
      <c r="C9" s="303">
        <f>'Cost of Equity &amp; Debt'!C17</f>
        <v>1.8700000000000001E-2</v>
      </c>
      <c r="E9" s="255">
        <v>5</v>
      </c>
      <c r="F9" s="259">
        <f t="shared" si="3"/>
        <v>8011.6919999999991</v>
      </c>
      <c r="G9" s="211">
        <v>0.5</v>
      </c>
      <c r="H9" s="403">
        <f>AVERAGE(H14,H4)</f>
        <v>8.691944847605225E-2</v>
      </c>
      <c r="I9" s="259">
        <f t="shared" si="4"/>
        <v>696.37184999999988</v>
      </c>
      <c r="J9" s="258">
        <f t="shared" si="0"/>
        <v>521.09505535499989</v>
      </c>
      <c r="K9" s="237">
        <f>'Expected Growth Rate'!$G$26</f>
        <v>1.4735330782324565</v>
      </c>
      <c r="L9" s="307">
        <f t="shared" si="1"/>
        <v>1812.3542928560616</v>
      </c>
      <c r="M9" s="307">
        <f>J9-L9</f>
        <v>-1291.2592375010618</v>
      </c>
      <c r="N9" s="181"/>
      <c r="O9" s="181"/>
      <c r="P9" s="181"/>
      <c r="Q9" s="181"/>
      <c r="R9" s="181"/>
      <c r="S9" s="181"/>
      <c r="T9" s="181"/>
      <c r="U9" s="181"/>
      <c r="V9" s="181"/>
      <c r="W9" s="181"/>
      <c r="X9" s="181"/>
      <c r="Y9" s="181"/>
      <c r="Z9" s="181"/>
      <c r="AA9" s="181"/>
      <c r="AB9" s="181"/>
      <c r="AC9" s="181"/>
    </row>
    <row r="10" spans="1:31">
      <c r="A10" s="179"/>
      <c r="B10" s="51" t="s">
        <v>246</v>
      </c>
      <c r="C10" s="95">
        <v>8.7999999999999995E-2</v>
      </c>
      <c r="D10" s="300"/>
      <c r="E10" s="255">
        <v>6</v>
      </c>
      <c r="F10" s="259">
        <f t="shared" si="3"/>
        <v>10415.1996</v>
      </c>
      <c r="G10" s="211">
        <v>0.3</v>
      </c>
      <c r="H10" s="403">
        <f>AVERAGE(H11,H9)</f>
        <v>9.0189586357039192E-2</v>
      </c>
      <c r="I10" s="259">
        <f>F10*H10</f>
        <v>939.34254375</v>
      </c>
      <c r="J10" s="258">
        <f t="shared" si="0"/>
        <v>702.91002548812492</v>
      </c>
      <c r="K10" s="237">
        <f>'Expected Growth Rate'!$G$26</f>
        <v>1.4735330782324565</v>
      </c>
      <c r="L10" s="307">
        <f t="shared" si="1"/>
        <v>1631.1188635704564</v>
      </c>
      <c r="M10" s="307">
        <f t="shared" si="2"/>
        <v>-928.20883808233145</v>
      </c>
      <c r="N10" s="181"/>
      <c r="O10" s="181"/>
      <c r="P10" s="181"/>
      <c r="Q10" s="181"/>
      <c r="R10" s="181"/>
      <c r="S10" s="181"/>
      <c r="T10" s="181"/>
      <c r="U10" s="181"/>
      <c r="V10" s="181"/>
      <c r="W10" s="181"/>
      <c r="X10" s="181"/>
      <c r="Y10" s="181"/>
      <c r="Z10" s="181"/>
      <c r="AA10" s="181"/>
      <c r="AB10" s="181"/>
      <c r="AC10" s="181"/>
    </row>
    <row r="11" spans="1:31" ht="12.75" customHeight="1">
      <c r="A11" s="183"/>
      <c r="B11" s="276" t="s">
        <v>15</v>
      </c>
      <c r="C11" s="276">
        <f>C7+(C8*C9)+C10</f>
        <v>0.1463813488372093</v>
      </c>
      <c r="D11" s="300"/>
      <c r="E11" s="255">
        <v>7</v>
      </c>
      <c r="F11" s="259">
        <f t="shared" si="3"/>
        <v>12498.239519999999</v>
      </c>
      <c r="G11" s="211">
        <v>0.2</v>
      </c>
      <c r="H11" s="403">
        <f>AVERAGE(H9,H14)</f>
        <v>9.3459724238026121E-2</v>
      </c>
      <c r="I11" s="259">
        <f t="shared" si="4"/>
        <v>1168.0820189999999</v>
      </c>
      <c r="J11" s="258">
        <f t="shared" si="0"/>
        <v>874.07577481769988</v>
      </c>
      <c r="K11" s="237">
        <f>'Expected Growth Rate'!$G$26</f>
        <v>1.4735330782324565</v>
      </c>
      <c r="L11" s="307">
        <f t="shared" si="1"/>
        <v>1413.6363484277279</v>
      </c>
      <c r="M11" s="307">
        <f t="shared" si="2"/>
        <v>-539.56057361002797</v>
      </c>
      <c r="N11" s="181"/>
      <c r="O11" s="181"/>
      <c r="P11" s="181"/>
      <c r="Q11" s="181"/>
      <c r="R11" s="181"/>
      <c r="S11" s="181"/>
      <c r="T11" s="181"/>
      <c r="U11" s="181"/>
      <c r="V11" s="181"/>
      <c r="W11" s="181"/>
      <c r="X11" s="181"/>
      <c r="Y11" s="181"/>
      <c r="Z11" s="181"/>
      <c r="AA11" s="181"/>
      <c r="AB11" s="181"/>
      <c r="AC11" s="181"/>
    </row>
    <row r="12" spans="1:31">
      <c r="B12" s="111" t="s">
        <v>141</v>
      </c>
      <c r="C12" s="166">
        <f>80.36+3.02+79.76+2.72</f>
        <v>165.85999999999999</v>
      </c>
      <c r="E12" s="255">
        <v>8</v>
      </c>
      <c r="F12" s="259">
        <f t="shared" si="3"/>
        <v>14372.975447999997</v>
      </c>
      <c r="G12" s="211">
        <v>0.15</v>
      </c>
      <c r="H12" s="403">
        <f>AVERAGE(H11,H14)</f>
        <v>9.6729862119013063E-2</v>
      </c>
      <c r="I12" s="259">
        <f t="shared" si="4"/>
        <v>1390.2959333249999</v>
      </c>
      <c r="J12" s="258">
        <f>I12*(1-$M$22)</f>
        <v>1040.3584469070972</v>
      </c>
      <c r="K12" s="237">
        <f>'Expected Growth Rate'!$G$26</f>
        <v>1.4735330782324565</v>
      </c>
      <c r="L12" s="307">
        <f t="shared" si="1"/>
        <v>1272.2727135849543</v>
      </c>
      <c r="M12" s="307">
        <f t="shared" si="2"/>
        <v>-231.91426667785709</v>
      </c>
      <c r="N12" s="217"/>
      <c r="O12" s="181"/>
      <c r="P12" s="181"/>
      <c r="Q12" s="181"/>
      <c r="R12" s="181"/>
      <c r="S12" s="181"/>
      <c r="T12" s="181"/>
      <c r="U12" s="181"/>
      <c r="V12" s="181"/>
      <c r="W12" s="181"/>
      <c r="X12" s="181"/>
      <c r="Y12" s="181"/>
      <c r="Z12" s="181"/>
      <c r="AA12" s="181"/>
      <c r="AB12" s="181"/>
      <c r="AC12" s="181"/>
    </row>
    <row r="13" spans="1:31" ht="12" customHeight="1">
      <c r="A13" s="183"/>
      <c r="B13" s="111" t="s">
        <v>236</v>
      </c>
      <c r="C13" s="166">
        <f>68.11</f>
        <v>68.11</v>
      </c>
      <c r="D13" s="300"/>
      <c r="E13" s="255">
        <v>9</v>
      </c>
      <c r="F13" s="259">
        <f t="shared" si="3"/>
        <v>15379.083729359998</v>
      </c>
      <c r="G13" s="211">
        <v>7.0000000000000007E-2</v>
      </c>
      <c r="H13" s="403">
        <f>AVERAGE(H12,H14)</f>
        <v>9.8364931059506527E-2</v>
      </c>
      <c r="I13" s="259">
        <f t="shared" si="4"/>
        <v>1512.7625107968747</v>
      </c>
      <c r="J13" s="258">
        <f>I13*(1-$M$22)</f>
        <v>1132.0001868293014</v>
      </c>
      <c r="K13" s="237">
        <f>'Expected Growth Rate'!$G$26</f>
        <v>1.4735330782324565</v>
      </c>
      <c r="L13" s="307">
        <f t="shared" si="1"/>
        <v>682.78635629059318</v>
      </c>
      <c r="M13" s="307">
        <f t="shared" si="2"/>
        <v>449.21383053870818</v>
      </c>
      <c r="N13" s="181"/>
      <c r="O13" s="181"/>
      <c r="P13" s="181"/>
      <c r="Q13" s="181"/>
      <c r="R13" s="181"/>
      <c r="S13" s="181"/>
      <c r="T13" s="181"/>
      <c r="U13" s="181"/>
      <c r="V13" s="181"/>
      <c r="W13" s="181"/>
      <c r="X13" s="181"/>
      <c r="Y13" s="181"/>
      <c r="Z13" s="181"/>
      <c r="AA13" s="181"/>
      <c r="AB13" s="181"/>
      <c r="AC13" s="181"/>
    </row>
    <row r="14" spans="1:31">
      <c r="B14" s="111" t="s">
        <v>7</v>
      </c>
      <c r="C14" s="92">
        <f>(C6*(C13/(C12+C13))+(C11*(C12/(C12+C13)*(1-WACC!C11))))</f>
        <v>0.11567468873644263</v>
      </c>
      <c r="E14" s="255">
        <v>10</v>
      </c>
      <c r="F14" s="259">
        <f t="shared" si="3"/>
        <v>16194.175167016077</v>
      </c>
      <c r="G14" s="211">
        <v>5.2999999999999999E-2</v>
      </c>
      <c r="H14" s="223">
        <v>0.1</v>
      </c>
      <c r="I14" s="259">
        <f>F14*H14</f>
        <v>1619.4175167016078</v>
      </c>
      <c r="J14" s="258">
        <f>I14*(1-$M$22)</f>
        <v>1211.8101277478131</v>
      </c>
      <c r="K14" s="237">
        <f>'Expected Growth Rate'!$G$26</f>
        <v>1.4735330782324565</v>
      </c>
      <c r="L14" s="307">
        <f t="shared" si="1"/>
        <v>553.15448950342136</v>
      </c>
      <c r="M14" s="307">
        <f t="shared" si="2"/>
        <v>658.65563824439175</v>
      </c>
      <c r="N14" s="181"/>
      <c r="O14" s="181"/>
      <c r="P14" s="181"/>
      <c r="Q14" s="181"/>
      <c r="R14" s="181"/>
      <c r="S14" s="181"/>
      <c r="T14" s="181"/>
      <c r="U14" s="181"/>
      <c r="V14" s="181"/>
      <c r="W14" s="181"/>
      <c r="X14" s="181"/>
      <c r="Y14" s="181"/>
      <c r="Z14" s="181"/>
      <c r="AA14" s="181"/>
      <c r="AB14" s="181"/>
      <c r="AC14" s="181"/>
    </row>
    <row r="15" spans="1:31">
      <c r="B15" s="193" t="s">
        <v>130</v>
      </c>
      <c r="C15" s="317">
        <v>16.18</v>
      </c>
      <c r="D15" s="301"/>
      <c r="H15" s="271"/>
      <c r="J15" s="181"/>
      <c r="N15" s="181"/>
      <c r="O15" s="181"/>
      <c r="P15" s="181"/>
      <c r="Q15" s="181"/>
      <c r="R15" s="181"/>
      <c r="S15" s="181"/>
      <c r="T15" s="181"/>
      <c r="U15" s="181"/>
      <c r="V15" s="181"/>
      <c r="W15" s="181"/>
      <c r="X15" s="181"/>
      <c r="Y15" s="181"/>
      <c r="Z15" s="181"/>
      <c r="AA15" s="181"/>
      <c r="AB15" s="181"/>
      <c r="AC15" s="181"/>
      <c r="AD15" s="181"/>
      <c r="AE15" s="181"/>
    </row>
    <row r="16" spans="1:31">
      <c r="B16" s="193" t="s">
        <v>3</v>
      </c>
      <c r="C16" s="317">
        <f>4.17+16.18</f>
        <v>20.350000000000001</v>
      </c>
      <c r="E16" s="100"/>
      <c r="F16" s="100" t="s">
        <v>238</v>
      </c>
      <c r="G16" s="100" t="s">
        <v>210</v>
      </c>
      <c r="I16" s="428" t="s">
        <v>222</v>
      </c>
      <c r="J16" s="428"/>
      <c r="L16" s="428" t="s">
        <v>239</v>
      </c>
      <c r="M16" s="428"/>
      <c r="O16" s="181"/>
      <c r="P16" s="181"/>
      <c r="Q16" s="181"/>
      <c r="R16" s="181"/>
      <c r="S16" s="181"/>
      <c r="T16" s="181"/>
      <c r="U16" s="181"/>
      <c r="V16" s="181"/>
      <c r="W16" s="181"/>
      <c r="X16" s="181"/>
      <c r="Y16" s="181"/>
      <c r="Z16" s="181"/>
      <c r="AA16" s="181"/>
      <c r="AB16" s="181"/>
      <c r="AC16" s="181"/>
      <c r="AD16" s="181"/>
      <c r="AE16" s="181"/>
    </row>
    <row r="17" spans="1:31">
      <c r="A17" s="183"/>
      <c r="B17" s="197" t="s">
        <v>235</v>
      </c>
      <c r="C17" s="308">
        <f>C16/C15</f>
        <v>1.2577255871446231</v>
      </c>
      <c r="E17" s="261" t="s">
        <v>203</v>
      </c>
      <c r="F17" s="257">
        <f>C12+C13-(3.37)</f>
        <v>230.59999999999997</v>
      </c>
      <c r="G17" s="306">
        <f t="shared" ref="G17:G27" si="5">J4/F17</f>
        <v>8.8248048568950577E-2</v>
      </c>
      <c r="I17" s="256" t="s">
        <v>14</v>
      </c>
      <c r="J17" s="211">
        <f>C3 + (J23*C4)</f>
        <v>9.3860996211483097E-2</v>
      </c>
      <c r="K17" s="312"/>
      <c r="L17" s="205" t="s">
        <v>12</v>
      </c>
      <c r="M17" s="240">
        <v>0.04</v>
      </c>
      <c r="O17" s="181"/>
      <c r="P17" s="181"/>
      <c r="Q17" s="181"/>
      <c r="R17" s="181"/>
      <c r="S17" s="181"/>
      <c r="T17" s="181"/>
      <c r="U17" s="181"/>
      <c r="V17" s="181"/>
      <c r="W17" s="181"/>
      <c r="X17" s="181"/>
      <c r="Y17" s="181"/>
      <c r="Z17" s="181"/>
      <c r="AA17" s="181"/>
      <c r="AB17" s="181"/>
      <c r="AC17" s="181"/>
      <c r="AD17" s="181"/>
      <c r="AE17" s="181"/>
    </row>
    <row r="18" spans="1:31">
      <c r="B18" s="111" t="s">
        <v>141</v>
      </c>
      <c r="C18" s="166">
        <f>C12</f>
        <v>165.85999999999999</v>
      </c>
      <c r="E18" s="255">
        <v>1</v>
      </c>
      <c r="F18" s="307">
        <f t="shared" ref="F18:F27" si="6">F17+L5</f>
        <v>604.66693351002311</v>
      </c>
      <c r="G18" s="93">
        <f t="shared" ca="1" si="5"/>
        <v>7.8228666524586626E-2</v>
      </c>
      <c r="I18" s="256" t="s">
        <v>15</v>
      </c>
      <c r="J18" s="211">
        <f>C7+(C8*C9)+J24</f>
        <v>8.9881348837209302E-2</v>
      </c>
      <c r="K18" s="312"/>
      <c r="L18" s="193" t="s">
        <v>210</v>
      </c>
      <c r="M18" s="93">
        <f>G27</f>
        <v>0.10982909723810716</v>
      </c>
      <c r="O18" s="181"/>
      <c r="P18" s="181"/>
      <c r="Q18" s="181"/>
      <c r="R18" s="181"/>
      <c r="S18" s="181"/>
      <c r="T18" s="181"/>
      <c r="U18" s="181"/>
      <c r="V18" s="181"/>
      <c r="W18" s="181"/>
      <c r="X18" s="181"/>
      <c r="Y18" s="181"/>
      <c r="Z18" s="181"/>
      <c r="AA18" s="181"/>
      <c r="AB18" s="181"/>
      <c r="AC18" s="181"/>
      <c r="AD18" s="181"/>
      <c r="AE18" s="181"/>
    </row>
    <row r="19" spans="1:31">
      <c r="A19" s="183"/>
      <c r="B19" s="111" t="s">
        <v>142</v>
      </c>
      <c r="C19" s="166">
        <f>C15</f>
        <v>16.18</v>
      </c>
      <c r="E19" s="255">
        <v>2</v>
      </c>
      <c r="F19" s="307">
        <f t="shared" si="6"/>
        <v>1165.767333775058</v>
      </c>
      <c r="G19" s="93">
        <f t="shared" ca="1" si="5"/>
        <v>8.3929030060537924E-2</v>
      </c>
      <c r="I19" s="256"/>
      <c r="J19" s="256"/>
      <c r="K19" s="312"/>
      <c r="L19" s="197" t="s">
        <v>242</v>
      </c>
      <c r="M19" s="276">
        <f>M17/M18</f>
        <v>0.36420221057886731</v>
      </c>
      <c r="O19" s="181"/>
      <c r="P19" s="181"/>
      <c r="Q19" s="181"/>
      <c r="R19" s="181"/>
      <c r="S19" s="181"/>
      <c r="T19" s="181"/>
      <c r="U19" s="181"/>
      <c r="V19" s="181"/>
      <c r="W19" s="181"/>
      <c r="X19" s="181"/>
      <c r="Y19" s="181"/>
      <c r="Z19" s="181"/>
      <c r="AA19" s="181"/>
      <c r="AB19" s="181"/>
      <c r="AC19" s="181"/>
      <c r="AD19" s="181"/>
      <c r="AE19" s="181"/>
    </row>
    <row r="20" spans="1:31">
      <c r="B20" s="111" t="s">
        <v>15</v>
      </c>
      <c r="C20" s="93">
        <f>C11</f>
        <v>0.1463813488372093</v>
      </c>
      <c r="E20" s="255">
        <v>3</v>
      </c>
      <c r="F20" s="307">
        <f t="shared" si="6"/>
        <v>2175.7480542521203</v>
      </c>
      <c r="G20" s="93">
        <f t="shared" ca="1" si="5"/>
        <v>8.8268422294884741E-2</v>
      </c>
      <c r="I20" s="256" t="s">
        <v>244</v>
      </c>
      <c r="J20" s="309">
        <v>0.1</v>
      </c>
      <c r="K20" s="312"/>
      <c r="L20" s="189"/>
      <c r="M20" s="189"/>
      <c r="O20" s="181"/>
      <c r="P20" s="181"/>
      <c r="Q20" s="181"/>
      <c r="R20" s="181"/>
      <c r="S20" s="181"/>
      <c r="T20" s="181"/>
      <c r="U20" s="181"/>
      <c r="V20" s="181"/>
      <c r="W20" s="181"/>
      <c r="X20" s="181"/>
      <c r="Y20" s="181"/>
      <c r="Z20" s="181"/>
      <c r="AA20" s="181"/>
      <c r="AB20" s="181"/>
      <c r="AC20" s="181"/>
      <c r="AD20" s="181"/>
      <c r="AE20" s="181"/>
    </row>
    <row r="21" spans="1:31">
      <c r="B21" s="51" t="s">
        <v>144</v>
      </c>
      <c r="C21" s="169">
        <v>10</v>
      </c>
      <c r="E21" s="255">
        <v>4</v>
      </c>
      <c r="F21" s="307">
        <f t="shared" si="6"/>
        <v>3668.2751189571122</v>
      </c>
      <c r="G21" s="93">
        <f t="shared" ca="1" si="5"/>
        <v>9.1852631471052798E-2</v>
      </c>
      <c r="I21" s="256" t="s">
        <v>245</v>
      </c>
      <c r="J21" s="291">
        <v>0.9</v>
      </c>
      <c r="K21" s="312"/>
      <c r="L21" s="193" t="s">
        <v>215</v>
      </c>
      <c r="M21" s="166">
        <f>($F$14*(1+$M$17))*$H$14</f>
        <v>1684.1942173696721</v>
      </c>
      <c r="O21" s="181"/>
      <c r="P21" s="181"/>
      <c r="Q21" s="181"/>
      <c r="R21" s="181"/>
      <c r="S21" s="181"/>
      <c r="T21" s="181"/>
      <c r="U21" s="181"/>
      <c r="V21" s="181"/>
      <c r="W21" s="181"/>
      <c r="X21" s="181"/>
      <c r="Y21" s="181"/>
      <c r="Z21" s="181"/>
      <c r="AA21" s="181"/>
      <c r="AB21" s="181"/>
      <c r="AC21" s="181"/>
      <c r="AD21" s="181"/>
      <c r="AE21" s="181"/>
    </row>
    <row r="22" spans="1:31">
      <c r="B22" s="111" t="s">
        <v>143</v>
      </c>
      <c r="C22" s="297">
        <f>C19*((1-(1+C20)^(-C21))/C20)+C18/(1+C20)^5</f>
        <v>166.10775202474773</v>
      </c>
      <c r="E22" s="255">
        <v>5</v>
      </c>
      <c r="F22" s="307">
        <f t="shared" si="6"/>
        <v>5480.6294118131736</v>
      </c>
      <c r="G22" s="93">
        <f t="shared" si="5"/>
        <v>9.5079418110593325E-2</v>
      </c>
      <c r="I22" s="256"/>
      <c r="J22" s="256"/>
      <c r="K22" s="312"/>
      <c r="L22" s="193" t="s">
        <v>240</v>
      </c>
      <c r="M22" s="93">
        <f>WACC!$C$11</f>
        <v>0.25169999999999998</v>
      </c>
      <c r="O22" s="181"/>
      <c r="P22" s="181"/>
      <c r="Q22" s="181"/>
      <c r="R22" s="181"/>
      <c r="S22" s="181"/>
      <c r="T22" s="181"/>
      <c r="U22" s="181"/>
      <c r="V22" s="181"/>
      <c r="W22" s="181"/>
      <c r="X22" s="181"/>
      <c r="Y22" s="181"/>
      <c r="Z22" s="181"/>
      <c r="AA22" s="181"/>
      <c r="AB22" s="181"/>
      <c r="AC22" s="181"/>
      <c r="AD22" s="181"/>
      <c r="AE22" s="181"/>
    </row>
    <row r="23" spans="1:31" ht="12" customHeight="1">
      <c r="A23" s="183"/>
      <c r="B23" s="193" t="s">
        <v>247</v>
      </c>
      <c r="C23" s="194">
        <f ca="1">(M5/(1+$C$14)^E5)+(M6/(1+($C$14-0.245%))^E6)+(M7/(1+($C$14-0.49%))^E7)+(M8/(1+($C$14-0.735%))^E8)+(M9/(1+($C$14-0.98%))^E9)+(M10/(1+($C$14-1.225%))^E10)+(M11/(1+($C$14-1.47%))^E11)+(M12/(1+($C$14-1.715%))^E12)+(M13/(1+($C$14-1.96%))^E13)+(M14/(1+$J$26)^E14)</f>
        <v>-3236.9254226369753</v>
      </c>
      <c r="E23" s="255">
        <v>6</v>
      </c>
      <c r="F23" s="307">
        <f t="shared" si="6"/>
        <v>7111.7482753836302</v>
      </c>
      <c r="G23" s="93">
        <f t="shared" si="5"/>
        <v>9.883786634028574E-2</v>
      </c>
      <c r="I23" s="256" t="s">
        <v>243</v>
      </c>
      <c r="J23" s="193">
        <f>1</f>
        <v>1</v>
      </c>
      <c r="K23" s="312"/>
      <c r="L23" s="197" t="s">
        <v>241</v>
      </c>
      <c r="M23" s="198">
        <f>M21*(1-M22)</f>
        <v>1260.2825328577255</v>
      </c>
      <c r="O23" s="181"/>
      <c r="P23" s="181"/>
      <c r="Q23" s="181"/>
      <c r="R23" s="181"/>
      <c r="S23" s="181"/>
      <c r="T23" s="181"/>
      <c r="U23" s="181"/>
      <c r="V23" s="181"/>
      <c r="W23" s="181"/>
      <c r="X23" s="181"/>
      <c r="Y23" s="181"/>
      <c r="Z23" s="181"/>
      <c r="AA23" s="181"/>
      <c r="AB23" s="181"/>
      <c r="AC23" s="181"/>
      <c r="AD23" s="181"/>
      <c r="AE23" s="181"/>
    </row>
    <row r="24" spans="1:31">
      <c r="A24" s="183" t="s">
        <v>155</v>
      </c>
      <c r="B24" s="193" t="s">
        <v>248</v>
      </c>
      <c r="C24" s="194">
        <f>M27/(1+$J$26)^E14</f>
        <v>6538.2940688346616</v>
      </c>
      <c r="E24" s="255">
        <v>7</v>
      </c>
      <c r="F24" s="307">
        <f t="shared" si="6"/>
        <v>8525.3846238113583</v>
      </c>
      <c r="G24" s="93">
        <f t="shared" si="5"/>
        <v>0.10252625698275365</v>
      </c>
      <c r="I24" s="256" t="s">
        <v>246</v>
      </c>
      <c r="J24" s="93">
        <v>3.15E-2</v>
      </c>
      <c r="K24" s="312"/>
      <c r="L24" s="193"/>
      <c r="M24" s="284"/>
      <c r="O24" s="181"/>
      <c r="P24" s="181"/>
      <c r="Q24" s="181"/>
      <c r="R24" s="181"/>
      <c r="S24" s="181"/>
      <c r="T24" s="181"/>
      <c r="U24" s="181"/>
      <c r="V24" s="181"/>
      <c r="W24" s="181"/>
      <c r="X24" s="181"/>
      <c r="Y24" s="181"/>
      <c r="Z24" s="181"/>
      <c r="AA24" s="181"/>
      <c r="AB24" s="181"/>
      <c r="AC24" s="181"/>
      <c r="AD24" s="181"/>
      <c r="AE24" s="181"/>
    </row>
    <row r="25" spans="1:31">
      <c r="A25" s="183" t="s">
        <v>155</v>
      </c>
      <c r="B25" s="193" t="s">
        <v>230</v>
      </c>
      <c r="C25" s="194">
        <v>3.37</v>
      </c>
      <c r="E25" s="255">
        <v>8</v>
      </c>
      <c r="F25" s="307">
        <f t="shared" si="6"/>
        <v>9797.6573373963129</v>
      </c>
      <c r="G25" s="93">
        <f t="shared" si="5"/>
        <v>0.10618440828055824</v>
      </c>
      <c r="I25" s="189"/>
      <c r="J25" s="189"/>
      <c r="K25" s="312"/>
      <c r="L25" s="193" t="s">
        <v>218</v>
      </c>
      <c r="M25" s="285">
        <f>M23*(1-M19)</f>
        <v>801.28484843700789</v>
      </c>
      <c r="O25" s="181"/>
      <c r="P25" s="181"/>
      <c r="Q25" s="181"/>
      <c r="R25" s="181"/>
      <c r="S25" s="181"/>
      <c r="T25" s="181"/>
      <c r="U25" s="181"/>
      <c r="V25" s="181"/>
      <c r="W25" s="181"/>
      <c r="X25" s="181"/>
      <c r="Y25" s="181"/>
      <c r="Z25" s="181"/>
      <c r="AA25" s="181"/>
      <c r="AB25" s="181"/>
      <c r="AC25" s="181"/>
      <c r="AD25" s="181"/>
      <c r="AE25" s="181"/>
    </row>
    <row r="26" spans="1:31">
      <c r="A26" s="183" t="s">
        <v>155</v>
      </c>
      <c r="B26" s="193" t="s">
        <v>8</v>
      </c>
      <c r="C26" s="194">
        <v>0</v>
      </c>
      <c r="E26" s="255">
        <v>9</v>
      </c>
      <c r="F26" s="307">
        <f t="shared" si="6"/>
        <v>10480.443693686906</v>
      </c>
      <c r="G26" s="93">
        <f t="shared" si="5"/>
        <v>0.10801071213341694</v>
      </c>
      <c r="I26" s="310" t="s">
        <v>222</v>
      </c>
      <c r="J26" s="311">
        <f>(J17*J21)+(J18*J20*(1-M22))</f>
        <v>9.1200717923823157E-2</v>
      </c>
      <c r="K26" s="312"/>
      <c r="L26" s="256"/>
      <c r="M26" s="189"/>
      <c r="O26" s="181"/>
      <c r="P26" s="181"/>
      <c r="Q26" s="181"/>
      <c r="R26" s="181"/>
      <c r="S26" s="181"/>
      <c r="T26" s="181"/>
      <c r="U26" s="181"/>
      <c r="V26" s="181"/>
      <c r="W26" s="181"/>
      <c r="X26" s="181"/>
      <c r="Y26" s="181"/>
      <c r="Z26" s="181"/>
      <c r="AA26" s="181"/>
      <c r="AB26" s="181"/>
      <c r="AC26" s="181"/>
      <c r="AD26" s="181"/>
      <c r="AE26" s="181"/>
    </row>
    <row r="27" spans="1:31">
      <c r="B27" s="195" t="s">
        <v>251</v>
      </c>
      <c r="C27" s="196">
        <f ca="1">SUM(C23:C26)</f>
        <v>3304.7386461976862</v>
      </c>
      <c r="E27" s="255">
        <v>10</v>
      </c>
      <c r="F27" s="307">
        <f t="shared" si="6"/>
        <v>11033.598183190328</v>
      </c>
      <c r="G27" s="93">
        <f t="shared" si="5"/>
        <v>0.10982909723810716</v>
      </c>
      <c r="K27" s="312"/>
      <c r="L27" s="51" t="s">
        <v>199</v>
      </c>
      <c r="M27" s="286">
        <f>M25/(J26-M17)</f>
        <v>15649.875254272138</v>
      </c>
      <c r="O27" s="181"/>
      <c r="P27" s="181"/>
      <c r="Q27" s="181"/>
      <c r="R27" s="181"/>
      <c r="S27" s="181"/>
      <c r="T27" s="181"/>
      <c r="U27" s="181"/>
      <c r="V27" s="181"/>
      <c r="W27" s="181"/>
      <c r="X27" s="181"/>
      <c r="Y27" s="181"/>
      <c r="Z27" s="181"/>
      <c r="AA27" s="181"/>
      <c r="AB27" s="181"/>
      <c r="AC27" s="181"/>
      <c r="AD27" s="181"/>
      <c r="AE27" s="181"/>
    </row>
    <row r="28" spans="1:31">
      <c r="A28" s="183" t="s">
        <v>94</v>
      </c>
      <c r="B28" s="193" t="s">
        <v>10</v>
      </c>
      <c r="C28" s="194">
        <f>C22</f>
        <v>166.10775202474773</v>
      </c>
      <c r="O28" s="181"/>
      <c r="P28" s="181"/>
      <c r="Q28" s="181"/>
      <c r="R28" s="181"/>
      <c r="S28" s="181"/>
      <c r="T28" s="181"/>
      <c r="U28" s="181"/>
      <c r="V28" s="181"/>
      <c r="W28" s="181"/>
      <c r="X28" s="181"/>
      <c r="Y28" s="181"/>
      <c r="Z28" s="181"/>
      <c r="AA28" s="181"/>
      <c r="AB28" s="181"/>
      <c r="AC28" s="181"/>
      <c r="AD28" s="181"/>
      <c r="AE28" s="181"/>
    </row>
    <row r="29" spans="1:31">
      <c r="B29" s="193" t="s">
        <v>252</v>
      </c>
      <c r="C29" s="318">
        <f ca="1">C27-C28</f>
        <v>3138.6308941729385</v>
      </c>
      <c r="E29" s="314"/>
      <c r="O29" s="181"/>
      <c r="P29" s="181"/>
      <c r="Q29" s="181"/>
      <c r="R29" s="181"/>
      <c r="S29" s="181"/>
      <c r="T29" s="181"/>
      <c r="U29" s="181"/>
      <c r="V29" s="181"/>
      <c r="W29" s="181"/>
      <c r="X29" s="181"/>
      <c r="Y29" s="181"/>
      <c r="Z29" s="181"/>
      <c r="AA29" s="181"/>
      <c r="AB29" s="181"/>
      <c r="AC29" s="181"/>
      <c r="AD29" s="181"/>
      <c r="AE29" s="181"/>
    </row>
    <row r="30" spans="1:31" ht="12" customHeight="1">
      <c r="E30" s="314"/>
      <c r="F30" s="313"/>
      <c r="G30" s="313"/>
      <c r="H30" s="313"/>
      <c r="I30" s="313"/>
      <c r="J30" s="313"/>
      <c r="K30" s="313"/>
      <c r="L30" s="313"/>
      <c r="M30" s="313"/>
      <c r="N30" s="313"/>
      <c r="P30" s="181"/>
      <c r="Q30" s="181"/>
      <c r="R30" s="181"/>
      <c r="S30" s="181"/>
      <c r="T30" s="181"/>
      <c r="U30" s="181"/>
      <c r="V30" s="181"/>
      <c r="W30" s="181"/>
      <c r="X30" s="181"/>
      <c r="Y30" s="181"/>
      <c r="Z30" s="181"/>
      <c r="AA30" s="181"/>
      <c r="AB30" s="181"/>
      <c r="AC30" s="181"/>
      <c r="AD30" s="181"/>
      <c r="AE30" s="181"/>
    </row>
    <row r="31" spans="1:31">
      <c r="E31" s="314"/>
      <c r="F31" s="305"/>
      <c r="G31" s="305"/>
      <c r="H31" s="305"/>
      <c r="I31" s="312"/>
      <c r="J31" s="312"/>
      <c r="K31" s="305"/>
      <c r="L31" s="305"/>
      <c r="M31" s="305"/>
      <c r="N31" s="305"/>
      <c r="P31" s="181"/>
      <c r="Q31" s="181"/>
      <c r="R31" s="181"/>
      <c r="S31" s="181"/>
      <c r="T31" s="181"/>
      <c r="U31" s="181"/>
      <c r="V31" s="181"/>
      <c r="W31" s="181"/>
      <c r="X31" s="181"/>
      <c r="Y31" s="181"/>
      <c r="Z31" s="181"/>
      <c r="AA31" s="181"/>
      <c r="AB31" s="181"/>
      <c r="AC31" s="181"/>
      <c r="AD31" s="181"/>
      <c r="AE31" s="181"/>
    </row>
    <row r="32" spans="1:31">
      <c r="E32" s="314"/>
      <c r="F32" s="181"/>
      <c r="G32" s="181"/>
      <c r="H32" s="181"/>
      <c r="I32" s="181"/>
      <c r="L32" s="181"/>
      <c r="M32" s="181"/>
      <c r="N32" s="181"/>
      <c r="O32" s="181"/>
      <c r="P32" s="181"/>
      <c r="Q32" s="181"/>
      <c r="R32" s="181"/>
      <c r="S32" s="181"/>
      <c r="T32" s="181"/>
      <c r="U32" s="181"/>
      <c r="V32" s="181"/>
      <c r="W32" s="181"/>
      <c r="X32" s="181"/>
      <c r="Y32" s="181"/>
      <c r="Z32" s="181"/>
      <c r="AA32" s="181"/>
      <c r="AB32" s="181"/>
      <c r="AC32" s="181"/>
      <c r="AD32" s="181"/>
      <c r="AE32" s="181"/>
    </row>
    <row r="33" spans="5:31">
      <c r="E33" s="314"/>
      <c r="F33" s="181"/>
      <c r="G33" s="181"/>
      <c r="H33" s="181"/>
      <c r="I33" s="181"/>
      <c r="L33" s="181"/>
      <c r="M33" s="181"/>
      <c r="N33" s="181"/>
      <c r="O33" s="181"/>
      <c r="P33" s="181"/>
      <c r="Q33" s="181"/>
      <c r="R33" s="181"/>
      <c r="S33" s="181"/>
      <c r="T33" s="181"/>
      <c r="U33" s="181"/>
      <c r="V33" s="181"/>
      <c r="W33" s="181"/>
      <c r="X33" s="181"/>
      <c r="Y33" s="181"/>
      <c r="Z33" s="181"/>
      <c r="AA33" s="181"/>
      <c r="AB33" s="181"/>
      <c r="AC33" s="181"/>
      <c r="AD33" s="181"/>
      <c r="AE33" s="181"/>
    </row>
    <row r="34" spans="5:31">
      <c r="E34" s="314"/>
      <c r="F34" s="181"/>
      <c r="G34" s="181"/>
      <c r="H34" s="181"/>
      <c r="I34" s="181"/>
      <c r="L34" s="181"/>
      <c r="M34" s="181"/>
      <c r="N34" s="181"/>
      <c r="O34" s="181"/>
      <c r="P34" s="181"/>
      <c r="Q34" s="181"/>
      <c r="R34" s="181"/>
      <c r="S34" s="181"/>
      <c r="T34" s="181"/>
      <c r="U34" s="181"/>
      <c r="V34" s="181"/>
      <c r="W34" s="181"/>
      <c r="X34" s="181"/>
      <c r="Y34" s="181"/>
      <c r="Z34" s="181"/>
      <c r="AA34" s="181"/>
      <c r="AB34" s="181"/>
      <c r="AC34" s="181"/>
      <c r="AD34" s="181"/>
      <c r="AE34" s="181"/>
    </row>
    <row r="35" spans="5:31">
      <c r="E35" s="314"/>
      <c r="F35" s="181"/>
      <c r="G35" s="181"/>
      <c r="H35" s="181"/>
      <c r="I35" s="181"/>
      <c r="L35" s="181"/>
      <c r="M35" s="181"/>
      <c r="N35" s="181"/>
      <c r="O35" s="181"/>
      <c r="P35" s="181"/>
      <c r="Q35" s="181"/>
      <c r="R35" s="181"/>
      <c r="S35" s="181"/>
      <c r="T35" s="181"/>
      <c r="U35" s="181"/>
      <c r="V35" s="181"/>
      <c r="W35" s="181"/>
      <c r="X35" s="181"/>
      <c r="Y35" s="181"/>
      <c r="Z35" s="181"/>
      <c r="AA35" s="181"/>
      <c r="AB35" s="181"/>
      <c r="AC35" s="181"/>
      <c r="AD35" s="181"/>
      <c r="AE35" s="181"/>
    </row>
    <row r="36" spans="5:31">
      <c r="E36" s="314"/>
      <c r="F36" s="181"/>
      <c r="G36" s="181"/>
      <c r="H36" s="181"/>
      <c r="I36" s="181"/>
      <c r="L36" s="181"/>
      <c r="M36" s="181"/>
      <c r="N36" s="181"/>
      <c r="O36" s="181"/>
      <c r="P36" s="181"/>
      <c r="Q36" s="181"/>
      <c r="R36" s="181"/>
      <c r="S36" s="181"/>
      <c r="T36" s="181"/>
      <c r="U36" s="181"/>
      <c r="V36" s="181"/>
      <c r="W36" s="181"/>
      <c r="X36" s="181"/>
      <c r="Y36" s="181"/>
      <c r="Z36" s="181"/>
      <c r="AA36" s="181"/>
      <c r="AB36" s="181"/>
      <c r="AC36" s="181"/>
      <c r="AD36" s="181"/>
      <c r="AE36" s="181"/>
    </row>
    <row r="37" spans="5:31">
      <c r="E37" s="314"/>
      <c r="F37" s="181"/>
      <c r="G37" s="181"/>
      <c r="H37" s="181"/>
      <c r="I37" s="181"/>
      <c r="L37" s="181"/>
      <c r="M37" s="181"/>
      <c r="N37" s="181"/>
      <c r="O37" s="181"/>
      <c r="P37" s="181"/>
      <c r="Q37" s="181"/>
      <c r="R37" s="181"/>
      <c r="S37" s="181"/>
      <c r="T37" s="181"/>
      <c r="U37" s="181"/>
      <c r="V37" s="181"/>
      <c r="W37" s="181"/>
      <c r="X37" s="181"/>
      <c r="Y37" s="181"/>
      <c r="Z37" s="181"/>
      <c r="AA37" s="181"/>
      <c r="AB37" s="181"/>
      <c r="AC37" s="181"/>
      <c r="AD37" s="181"/>
      <c r="AE37" s="181"/>
    </row>
    <row r="38" spans="5:31">
      <c r="E38" s="314"/>
      <c r="F38" s="181"/>
      <c r="G38" s="181"/>
      <c r="H38" s="181"/>
      <c r="I38" s="181"/>
      <c r="L38" s="181"/>
      <c r="M38" s="181"/>
      <c r="N38" s="181"/>
      <c r="O38" s="181"/>
      <c r="P38" s="181"/>
      <c r="Q38" s="181"/>
      <c r="R38" s="181"/>
      <c r="S38" s="181"/>
      <c r="T38" s="181"/>
      <c r="U38" s="181"/>
      <c r="V38" s="181"/>
      <c r="W38" s="181"/>
      <c r="X38" s="181"/>
      <c r="Y38" s="181"/>
      <c r="Z38" s="181"/>
      <c r="AA38" s="181"/>
      <c r="AB38" s="181"/>
      <c r="AC38" s="181"/>
      <c r="AD38" s="181"/>
      <c r="AE38" s="181"/>
    </row>
    <row r="39" spans="5:31">
      <c r="E39" s="302"/>
    </row>
  </sheetData>
  <mergeCells count="2">
    <mergeCell ref="I16:J16"/>
    <mergeCell ref="L16:M16"/>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5"/>
  <sheetViews>
    <sheetView workbookViewId="0"/>
  </sheetViews>
  <sheetFormatPr defaultRowHeight="12"/>
  <cols>
    <col min="1" max="1" width="2" style="176" customWidth="1"/>
    <col min="2" max="2" width="29.42578125" style="176" customWidth="1"/>
    <col min="3" max="3" width="14.28515625" style="176" customWidth="1"/>
    <col min="4" max="4" width="12.85546875" style="176" customWidth="1"/>
    <col min="5" max="5" width="8.42578125" style="176" bestFit="1" customWidth="1"/>
    <col min="6" max="6" width="12.85546875" style="176" customWidth="1" collapsed="1"/>
    <col min="7" max="7" width="12.42578125" style="176" customWidth="1"/>
    <col min="8" max="8" width="11.7109375" style="176" customWidth="1"/>
    <col min="9" max="9" width="12.42578125" style="176" customWidth="1"/>
    <col min="10" max="10" width="10.7109375" style="176" customWidth="1"/>
    <col min="11" max="11" width="12" style="176" customWidth="1"/>
    <col min="12" max="12" width="15.5703125" style="176" customWidth="1"/>
    <col min="13" max="13" width="12.5703125" style="176" customWidth="1"/>
    <col min="14" max="14" width="13.28515625" style="176" customWidth="1"/>
    <col min="15" max="25" width="9.140625" style="176" customWidth="1"/>
    <col min="26" max="26" width="9.28515625" style="176" customWidth="1"/>
    <col min="27" max="27" width="9.42578125" style="176" customWidth="1"/>
    <col min="28" max="28" width="10" style="176" customWidth="1"/>
    <col min="29" max="29" width="11.42578125" style="176" customWidth="1"/>
    <col min="30" max="30" width="9.42578125" style="176" bestFit="1" customWidth="1" collapsed="1"/>
    <col min="31" max="16384" width="9.140625" style="176"/>
  </cols>
  <sheetData>
    <row r="1" spans="1:31" s="175" customFormat="1" ht="15" customHeight="1">
      <c r="B1" s="419" t="s">
        <v>377</v>
      </c>
      <c r="C1" s="174"/>
      <c r="D1" s="174"/>
      <c r="E1" s="174"/>
      <c r="F1" s="174"/>
      <c r="G1" s="174"/>
      <c r="H1" s="174"/>
      <c r="I1" s="174"/>
      <c r="J1" s="174"/>
      <c r="K1" s="174"/>
    </row>
    <row r="2" spans="1:31" ht="12" customHeight="1">
      <c r="C2" s="202"/>
    </row>
    <row r="3" spans="1:31" ht="12" customHeight="1">
      <c r="A3" s="178"/>
      <c r="B3" s="193" t="s">
        <v>16</v>
      </c>
      <c r="C3" s="95">
        <f>'Risk Free Rate'!C4</f>
        <v>5.4299999999999994E-2</v>
      </c>
      <c r="D3" s="300"/>
      <c r="E3" s="100"/>
      <c r="F3" s="100" t="s">
        <v>6</v>
      </c>
      <c r="G3" s="100" t="s">
        <v>204</v>
      </c>
      <c r="H3" s="232" t="s">
        <v>205</v>
      </c>
      <c r="I3" s="232" t="s">
        <v>3</v>
      </c>
      <c r="J3" s="232" t="s">
        <v>388</v>
      </c>
      <c r="K3" s="232" t="s">
        <v>237</v>
      </c>
      <c r="L3" s="232" t="s">
        <v>167</v>
      </c>
      <c r="M3" s="100" t="s">
        <v>208</v>
      </c>
      <c r="N3" s="217"/>
    </row>
    <row r="4" spans="1:31" ht="12" customHeight="1">
      <c r="A4" s="183"/>
      <c r="B4" s="193" t="s">
        <v>17</v>
      </c>
      <c r="C4" s="303">
        <f>'Equity Risk Premium'!F28</f>
        <v>3.9560996211483103E-2</v>
      </c>
      <c r="D4" s="300"/>
      <c r="E4" s="261" t="s">
        <v>203</v>
      </c>
      <c r="F4" s="257">
        <v>308.86568699999998</v>
      </c>
      <c r="G4" s="257"/>
      <c r="H4" s="306">
        <f>I4/F4</f>
        <v>-0.22925693911735817</v>
      </c>
      <c r="I4" s="257">
        <f>C16</f>
        <v>-70.809601999999998</v>
      </c>
      <c r="J4" s="258">
        <f>I4*(1-$M$22)</f>
        <v>-52.986825176599993</v>
      </c>
      <c r="K4" s="265">
        <f>$F$4/$F$17</f>
        <v>0.78665477606949252</v>
      </c>
      <c r="L4" s="257"/>
      <c r="M4" s="257"/>
      <c r="N4" s="177"/>
      <c r="P4" s="180"/>
      <c r="Q4" s="180"/>
      <c r="R4" s="180"/>
      <c r="S4" s="180"/>
      <c r="X4" s="180"/>
    </row>
    <row r="5" spans="1:31" ht="12" customHeight="1">
      <c r="A5" s="183"/>
      <c r="B5" s="193" t="s">
        <v>11</v>
      </c>
      <c r="C5" s="237">
        <f>Beta!C17*(1+(1-Beta!$C$14)*((4.624919+4.71926)/(457.848245)))</f>
        <v>0.69400520914318575</v>
      </c>
      <c r="D5" s="300"/>
      <c r="E5" s="255">
        <v>1</v>
      </c>
      <c r="F5" s="259">
        <f>F4*(1+G5)</f>
        <v>926.59706099999994</v>
      </c>
      <c r="G5" s="211">
        <v>2</v>
      </c>
      <c r="H5" s="403">
        <v>-0.04</v>
      </c>
      <c r="I5" s="259">
        <f>F5*H5</f>
        <v>-37.06388244</v>
      </c>
      <c r="J5" s="258">
        <f>I5*(1-$M$22)</f>
        <v>-27.734903229851998</v>
      </c>
      <c r="K5" s="237">
        <f>'Expected Growth Rate'!$G$26</f>
        <v>1.4735330782324565</v>
      </c>
      <c r="L5" s="307">
        <f t="shared" ref="L5:L14" si="0">(F5-F4)/K5</f>
        <v>419.2178534200167</v>
      </c>
      <c r="M5" s="307">
        <f t="shared" ref="M5:M14" si="1">J5-L5</f>
        <v>-446.95275664986872</v>
      </c>
      <c r="N5" s="47"/>
      <c r="P5" s="181"/>
      <c r="Q5" s="181"/>
      <c r="R5" s="181"/>
      <c r="S5" s="181"/>
      <c r="T5" s="181"/>
      <c r="U5" s="181"/>
      <c r="V5" s="181"/>
      <c r="W5" s="181"/>
      <c r="X5" s="181"/>
      <c r="Y5" s="181"/>
      <c r="Z5" s="181"/>
      <c r="AA5" s="181"/>
      <c r="AB5" s="181"/>
      <c r="AC5" s="181"/>
    </row>
    <row r="6" spans="1:31" ht="12" customHeight="1">
      <c r="A6" s="183"/>
      <c r="B6" s="197" t="s">
        <v>14</v>
      </c>
      <c r="C6" s="315">
        <f>C3+(C5*C4)</f>
        <v>8.1755537449663102E-2</v>
      </c>
      <c r="D6" s="300"/>
      <c r="E6" s="255">
        <v>2</v>
      </c>
      <c r="F6" s="259">
        <f t="shared" ref="F6:F14" si="2">F5*(1+G6)</f>
        <v>1853.1941219999999</v>
      </c>
      <c r="G6" s="211">
        <v>1</v>
      </c>
      <c r="H6" s="403">
        <v>0.02</v>
      </c>
      <c r="I6" s="259">
        <f t="shared" ref="I6:I13" si="3">F6*H6</f>
        <v>37.06388244</v>
      </c>
      <c r="J6" s="258">
        <f>I6*(1-$M$22)</f>
        <v>27.734903229851998</v>
      </c>
      <c r="K6" s="237">
        <f>'Expected Growth Rate'!$G$26</f>
        <v>1.4735330782324565</v>
      </c>
      <c r="L6" s="307">
        <f t="shared" si="0"/>
        <v>628.8267801300251</v>
      </c>
      <c r="M6" s="307">
        <f t="shared" si="1"/>
        <v>-601.09187690017313</v>
      </c>
      <c r="N6" s="210"/>
      <c r="P6" s="181"/>
      <c r="Q6" s="181"/>
      <c r="R6" s="181"/>
      <c r="S6" s="181"/>
      <c r="T6" s="181"/>
      <c r="U6" s="181"/>
      <c r="V6" s="181"/>
      <c r="W6" s="181"/>
      <c r="X6" s="181"/>
      <c r="Y6" s="181"/>
      <c r="Z6" s="181"/>
      <c r="AA6" s="181"/>
      <c r="AB6" s="181"/>
      <c r="AC6" s="181"/>
    </row>
    <row r="7" spans="1:31" ht="12" customHeight="1">
      <c r="B7" s="111" t="s">
        <v>129</v>
      </c>
      <c r="C7" s="303">
        <f>'Cost of Equity &amp; Debt'!C15</f>
        <v>2.827E-2</v>
      </c>
      <c r="D7" s="300"/>
      <c r="E7" s="255">
        <v>3</v>
      </c>
      <c r="F7" s="259">
        <f t="shared" si="2"/>
        <v>3521.0688317999998</v>
      </c>
      <c r="G7" s="211">
        <v>0.9</v>
      </c>
      <c r="H7" s="403">
        <v>2.5000000000000001E-2</v>
      </c>
      <c r="I7" s="259">
        <f t="shared" si="3"/>
        <v>88.026720795000003</v>
      </c>
      <c r="J7" s="258">
        <f t="shared" ref="J7:J11" si="4">I7*(1-$M$22)</f>
        <v>65.870395170898504</v>
      </c>
      <c r="K7" s="237">
        <f>'Expected Growth Rate'!$G$26</f>
        <v>1.4735330782324565</v>
      </c>
      <c r="L7" s="307">
        <f>(F7-F6)/K7</f>
        <v>1131.8882042340451</v>
      </c>
      <c r="M7" s="307">
        <f t="shared" si="1"/>
        <v>-1066.0178090631466</v>
      </c>
      <c r="N7" s="210"/>
      <c r="P7" s="181"/>
      <c r="Q7" s="181"/>
      <c r="R7" s="181"/>
      <c r="S7" s="181"/>
      <c r="T7" s="181"/>
      <c r="U7" s="181"/>
      <c r="V7" s="181"/>
      <c r="W7" s="181"/>
      <c r="X7" s="181"/>
      <c r="Y7" s="181"/>
      <c r="Z7" s="181"/>
      <c r="AA7" s="181"/>
      <c r="AB7" s="181"/>
      <c r="AC7" s="181"/>
    </row>
    <row r="8" spans="1:31" ht="12" customHeight="1">
      <c r="A8" s="183"/>
      <c r="B8" s="111" t="s">
        <v>128</v>
      </c>
      <c r="C8" s="304">
        <f>'Cost of Equity &amp; Debt'!C16</f>
        <v>1.6102325581395347</v>
      </c>
      <c r="E8" s="255">
        <v>4</v>
      </c>
      <c r="F8" s="259">
        <f t="shared" si="2"/>
        <v>5985.8170140599996</v>
      </c>
      <c r="G8" s="211">
        <v>0.7</v>
      </c>
      <c r="H8" s="403">
        <f>AVERAGE(H7,H9)</f>
        <v>2.7500000000000004E-2</v>
      </c>
      <c r="I8" s="259">
        <f t="shared" si="3"/>
        <v>164.60996788665</v>
      </c>
      <c r="J8" s="258">
        <f t="shared" si="4"/>
        <v>123.17763896958019</v>
      </c>
      <c r="K8" s="237">
        <f>'Expected Growth Rate'!$G$26</f>
        <v>1.4735330782324565</v>
      </c>
      <c r="L8" s="307">
        <f t="shared" si="0"/>
        <v>1672.6792351458666</v>
      </c>
      <c r="M8" s="307">
        <f t="shared" si="1"/>
        <v>-1549.5015961762865</v>
      </c>
      <c r="N8" s="181"/>
      <c r="O8" s="181"/>
      <c r="P8" s="181"/>
      <c r="Q8" s="181"/>
      <c r="R8" s="181"/>
      <c r="S8" s="181"/>
      <c r="T8" s="181"/>
      <c r="U8" s="181"/>
      <c r="V8" s="181"/>
      <c r="W8" s="181"/>
      <c r="X8" s="181"/>
      <c r="Y8" s="181"/>
      <c r="Z8" s="181"/>
      <c r="AA8" s="181"/>
      <c r="AB8" s="181"/>
      <c r="AC8" s="181"/>
    </row>
    <row r="9" spans="1:31" ht="12" customHeight="1">
      <c r="A9" s="183"/>
      <c r="B9" s="111" t="s">
        <v>20</v>
      </c>
      <c r="C9" s="303">
        <f>'Cost of Equity &amp; Debt'!C17</f>
        <v>1.8700000000000001E-2</v>
      </c>
      <c r="E9" s="255">
        <v>5</v>
      </c>
      <c r="F9" s="259">
        <f t="shared" si="2"/>
        <v>8978.7255210900003</v>
      </c>
      <c r="G9" s="211">
        <v>0.5</v>
      </c>
      <c r="H9" s="403">
        <f>AVERAGE(H14,H5)</f>
        <v>3.0000000000000002E-2</v>
      </c>
      <c r="I9" s="259">
        <f t="shared" si="3"/>
        <v>269.36176563270004</v>
      </c>
      <c r="J9" s="258">
        <f t="shared" si="4"/>
        <v>201.56340922294945</v>
      </c>
      <c r="K9" s="237">
        <f>'Expected Growth Rate'!$G$26</f>
        <v>1.4735330782324565</v>
      </c>
      <c r="L9" s="307">
        <f t="shared" si="0"/>
        <v>2031.1104998199814</v>
      </c>
      <c r="M9" s="307">
        <f t="shared" si="1"/>
        <v>-1829.5470905970319</v>
      </c>
      <c r="N9" s="181"/>
      <c r="O9" s="181"/>
      <c r="P9" s="181"/>
      <c r="Q9" s="181"/>
      <c r="R9" s="181"/>
      <c r="S9" s="181"/>
      <c r="T9" s="181"/>
      <c r="U9" s="181"/>
      <c r="V9" s="181"/>
      <c r="W9" s="181"/>
      <c r="X9" s="181"/>
      <c r="Y9" s="181"/>
      <c r="Z9" s="181"/>
      <c r="AA9" s="181"/>
      <c r="AB9" s="181"/>
      <c r="AC9" s="181"/>
    </row>
    <row r="10" spans="1:31">
      <c r="A10" s="179"/>
      <c r="B10" s="51" t="s">
        <v>246</v>
      </c>
      <c r="C10" s="95">
        <v>0.1434</v>
      </c>
      <c r="D10" s="300"/>
      <c r="E10" s="255">
        <v>6</v>
      </c>
      <c r="F10" s="259">
        <f t="shared" si="2"/>
        <v>11672.343177417</v>
      </c>
      <c r="G10" s="211">
        <v>0.3</v>
      </c>
      <c r="H10" s="403">
        <f>AVERAGE(H11,H9)</f>
        <v>4.7500000000000001E-2</v>
      </c>
      <c r="I10" s="259">
        <f>F10*H10</f>
        <v>554.43630092730757</v>
      </c>
      <c r="J10" s="258">
        <f t="shared" si="4"/>
        <v>414.88468398390421</v>
      </c>
      <c r="K10" s="237">
        <f>'Expected Growth Rate'!$G$26</f>
        <v>1.4735330782324565</v>
      </c>
      <c r="L10" s="307">
        <f t="shared" si="0"/>
        <v>1827.9994498379831</v>
      </c>
      <c r="M10" s="307">
        <f t="shared" si="1"/>
        <v>-1413.114765854079</v>
      </c>
      <c r="N10" s="181"/>
      <c r="O10" s="181"/>
      <c r="P10" s="181"/>
      <c r="Q10" s="181"/>
      <c r="R10" s="181"/>
      <c r="S10" s="181"/>
      <c r="T10" s="181"/>
      <c r="U10" s="181"/>
      <c r="V10" s="181"/>
      <c r="W10" s="181"/>
      <c r="X10" s="181"/>
      <c r="Y10" s="181"/>
      <c r="Z10" s="181"/>
      <c r="AA10" s="181"/>
      <c r="AB10" s="181"/>
      <c r="AC10" s="181"/>
    </row>
    <row r="11" spans="1:31" ht="12.75" customHeight="1">
      <c r="A11" s="183"/>
      <c r="B11" s="276" t="s">
        <v>15</v>
      </c>
      <c r="C11" s="276">
        <f>C7+(C8*C9)+C10</f>
        <v>0.2017813488372093</v>
      </c>
      <c r="D11" s="300"/>
      <c r="E11" s="255">
        <v>7</v>
      </c>
      <c r="F11" s="259">
        <f t="shared" si="2"/>
        <v>14006.8118129004</v>
      </c>
      <c r="G11" s="211">
        <v>0.2</v>
      </c>
      <c r="H11" s="403">
        <f>AVERAGE(H9,H14)</f>
        <v>6.5000000000000002E-2</v>
      </c>
      <c r="I11" s="259">
        <f t="shared" si="3"/>
        <v>910.44276783852604</v>
      </c>
      <c r="J11" s="258">
        <f t="shared" si="4"/>
        <v>681.28432317356896</v>
      </c>
      <c r="K11" s="237">
        <f>'Expected Growth Rate'!$G$26</f>
        <v>1.4735330782324565</v>
      </c>
      <c r="L11" s="307">
        <f t="shared" si="0"/>
        <v>1584.2661898595848</v>
      </c>
      <c r="M11" s="307">
        <f t="shared" si="1"/>
        <v>-902.98186668601579</v>
      </c>
      <c r="N11" s="181"/>
      <c r="O11" s="181"/>
      <c r="P11" s="181"/>
      <c r="Q11" s="181"/>
      <c r="R11" s="181"/>
      <c r="S11" s="181"/>
      <c r="T11" s="181"/>
      <c r="U11" s="181"/>
      <c r="V11" s="181"/>
      <c r="W11" s="181"/>
      <c r="X11" s="181"/>
      <c r="Y11" s="181"/>
      <c r="Z11" s="181"/>
      <c r="AA11" s="181"/>
      <c r="AB11" s="181"/>
      <c r="AC11" s="181"/>
    </row>
    <row r="12" spans="1:31">
      <c r="B12" s="111" t="s">
        <v>141</v>
      </c>
      <c r="C12" s="166">
        <f>4.624919+4.71926</f>
        <v>9.3441790000000005</v>
      </c>
      <c r="E12" s="255">
        <v>8</v>
      </c>
      <c r="F12" s="259">
        <f t="shared" si="2"/>
        <v>16107.833584835458</v>
      </c>
      <c r="G12" s="211">
        <v>0.15</v>
      </c>
      <c r="H12" s="403">
        <f>AVERAGE(H11,H14)</f>
        <v>8.2500000000000004E-2</v>
      </c>
      <c r="I12" s="259">
        <f t="shared" si="3"/>
        <v>1328.8962707489254</v>
      </c>
      <c r="J12" s="258">
        <f>I12*(1-$M$22)</f>
        <v>994.41307940142087</v>
      </c>
      <c r="K12" s="237">
        <f>'Expected Growth Rate'!$G$26</f>
        <v>1.4735330782324565</v>
      </c>
      <c r="L12" s="307">
        <f t="shared" si="0"/>
        <v>1425.8395708736257</v>
      </c>
      <c r="M12" s="307">
        <f t="shared" si="1"/>
        <v>-431.42649147220482</v>
      </c>
      <c r="N12" s="217"/>
      <c r="O12" s="181"/>
      <c r="P12" s="181"/>
      <c r="Q12" s="181"/>
      <c r="R12" s="181"/>
      <c r="S12" s="181"/>
      <c r="T12" s="181"/>
      <c r="U12" s="181"/>
      <c r="V12" s="181"/>
      <c r="W12" s="181"/>
      <c r="X12" s="181"/>
      <c r="Y12" s="181"/>
      <c r="Z12" s="181"/>
      <c r="AA12" s="181"/>
      <c r="AB12" s="181"/>
      <c r="AC12" s="181"/>
    </row>
    <row r="13" spans="1:31" ht="12" customHeight="1">
      <c r="A13" s="183"/>
      <c r="B13" s="111" t="s">
        <v>236</v>
      </c>
      <c r="C13" s="166">
        <f>457.848245</f>
        <v>457.84824500000002</v>
      </c>
      <c r="D13" s="300"/>
      <c r="E13" s="255">
        <v>9</v>
      </c>
      <c r="F13" s="259">
        <f t="shared" si="2"/>
        <v>17235.381935773941</v>
      </c>
      <c r="G13" s="211">
        <v>7.0000000000000007E-2</v>
      </c>
      <c r="H13" s="403">
        <f>AVERAGE(H12,H14)</f>
        <v>9.1249999999999998E-2</v>
      </c>
      <c r="I13" s="259">
        <f t="shared" si="3"/>
        <v>1572.7286016393721</v>
      </c>
      <c r="J13" s="258">
        <f>I13*(1-$M$22)</f>
        <v>1176.8728126067422</v>
      </c>
      <c r="K13" s="237">
        <f>'Expected Growth Rate'!$G$26</f>
        <v>1.4735330782324565</v>
      </c>
      <c r="L13" s="307">
        <f t="shared" si="0"/>
        <v>765.20056970218025</v>
      </c>
      <c r="M13" s="307">
        <f t="shared" si="1"/>
        <v>411.67224290456193</v>
      </c>
      <c r="N13" s="181"/>
      <c r="O13" s="181"/>
      <c r="P13" s="181"/>
      <c r="Q13" s="181"/>
      <c r="R13" s="181"/>
      <c r="S13" s="181"/>
      <c r="T13" s="181"/>
      <c r="U13" s="181"/>
      <c r="V13" s="181"/>
      <c r="W13" s="181"/>
      <c r="X13" s="181"/>
      <c r="Y13" s="181"/>
      <c r="Z13" s="181"/>
      <c r="AA13" s="181"/>
      <c r="AB13" s="181"/>
      <c r="AC13" s="181"/>
    </row>
    <row r="14" spans="1:31">
      <c r="B14" s="111" t="s">
        <v>7</v>
      </c>
      <c r="C14" s="92">
        <f>(C6*(C13/(C12+C13))+(C11*(C12/(C12+C13)*(1-$M$22))))</f>
        <v>8.3140335350098057E-2</v>
      </c>
      <c r="E14" s="255">
        <v>10</v>
      </c>
      <c r="F14" s="259">
        <f t="shared" si="2"/>
        <v>18148.857178369959</v>
      </c>
      <c r="G14" s="211">
        <v>5.2999999999999999E-2</v>
      </c>
      <c r="H14" s="223">
        <v>0.1</v>
      </c>
      <c r="I14" s="259">
        <f>F14*H14</f>
        <v>1814.885717836996</v>
      </c>
      <c r="J14" s="258">
        <f>I14*(1-$M$22)</f>
        <v>1358.0789826574241</v>
      </c>
      <c r="K14" s="237">
        <f>'Expected Growth Rate'!$G$26</f>
        <v>1.4735330782324565</v>
      </c>
      <c r="L14" s="307">
        <f t="shared" si="0"/>
        <v>619.9217758258651</v>
      </c>
      <c r="M14" s="307">
        <f t="shared" si="1"/>
        <v>738.15720683155905</v>
      </c>
      <c r="N14" s="181"/>
      <c r="O14" s="181"/>
      <c r="P14" s="181"/>
      <c r="Q14" s="181"/>
      <c r="R14" s="181"/>
      <c r="S14" s="181"/>
      <c r="T14" s="181"/>
      <c r="U14" s="181"/>
      <c r="V14" s="181"/>
      <c r="W14" s="181"/>
      <c r="X14" s="181"/>
      <c r="Y14" s="181"/>
      <c r="Z14" s="181"/>
      <c r="AA14" s="181"/>
      <c r="AB14" s="181"/>
      <c r="AC14" s="181"/>
    </row>
    <row r="15" spans="1:31">
      <c r="B15" s="193" t="s">
        <v>130</v>
      </c>
      <c r="C15" s="317">
        <f>3.059261</f>
        <v>3.0592609999999998</v>
      </c>
      <c r="D15" s="301"/>
      <c r="J15" s="181"/>
      <c r="N15" s="181"/>
      <c r="O15" s="181"/>
      <c r="P15" s="181"/>
      <c r="Q15" s="181"/>
      <c r="R15" s="181"/>
      <c r="S15" s="181"/>
      <c r="T15" s="181"/>
      <c r="U15" s="181"/>
      <c r="V15" s="181"/>
      <c r="W15" s="181"/>
      <c r="X15" s="181"/>
      <c r="Y15" s="181"/>
      <c r="Z15" s="181"/>
      <c r="AA15" s="181"/>
      <c r="AB15" s="181"/>
      <c r="AC15" s="181"/>
      <c r="AD15" s="181"/>
      <c r="AE15" s="181"/>
    </row>
    <row r="16" spans="1:31">
      <c r="B16" s="193" t="s">
        <v>3</v>
      </c>
      <c r="C16" s="317">
        <f>-73.868863+3.059261</f>
        <v>-70.809601999999998</v>
      </c>
      <c r="E16" s="100"/>
      <c r="F16" s="100" t="s">
        <v>238</v>
      </c>
      <c r="G16" s="100" t="s">
        <v>210</v>
      </c>
      <c r="I16" s="428" t="s">
        <v>222</v>
      </c>
      <c r="J16" s="428"/>
      <c r="L16" s="428" t="s">
        <v>239</v>
      </c>
      <c r="M16" s="428"/>
      <c r="O16" s="181"/>
      <c r="P16" s="181"/>
      <c r="Q16" s="181"/>
      <c r="R16" s="181"/>
      <c r="S16" s="181"/>
      <c r="T16" s="181"/>
      <c r="U16" s="181"/>
      <c r="V16" s="181"/>
      <c r="W16" s="181"/>
      <c r="X16" s="181"/>
      <c r="Y16" s="181"/>
      <c r="Z16" s="181"/>
      <c r="AA16" s="181"/>
      <c r="AB16" s="181"/>
      <c r="AC16" s="181"/>
      <c r="AD16" s="181"/>
      <c r="AE16" s="181"/>
    </row>
    <row r="17" spans="1:31">
      <c r="B17" s="197" t="s">
        <v>235</v>
      </c>
      <c r="C17" s="308">
        <f>C16/C15</f>
        <v>-23.145982640905761</v>
      </c>
      <c r="E17" s="261" t="s">
        <v>203</v>
      </c>
      <c r="F17" s="257">
        <f>C12+C13-(0.114146+74.44647)</f>
        <v>392.63180799999998</v>
      </c>
      <c r="G17" s="306">
        <f t="shared" ref="G17:G27" si="5">J4/F17</f>
        <v>-0.13495296126543063</v>
      </c>
      <c r="I17" s="256" t="s">
        <v>14</v>
      </c>
      <c r="J17" s="211">
        <f>C3 + (J23*C4)</f>
        <v>8.1755537449663102E-2</v>
      </c>
      <c r="K17" s="312"/>
      <c r="L17" s="205" t="s">
        <v>12</v>
      </c>
      <c r="M17" s="240">
        <v>0.04</v>
      </c>
      <c r="O17" s="181"/>
      <c r="P17" s="181"/>
      <c r="Q17" s="181"/>
      <c r="R17" s="181"/>
      <c r="S17" s="181"/>
      <c r="T17" s="181"/>
      <c r="U17" s="181"/>
      <c r="V17" s="181"/>
      <c r="W17" s="181"/>
      <c r="X17" s="181"/>
      <c r="Y17" s="181"/>
      <c r="Z17" s="181"/>
      <c r="AA17" s="181"/>
      <c r="AB17" s="181"/>
      <c r="AC17" s="181"/>
      <c r="AD17" s="181"/>
      <c r="AE17" s="181"/>
    </row>
    <row r="18" spans="1:31">
      <c r="A18" s="183"/>
      <c r="B18" s="111" t="s">
        <v>141</v>
      </c>
      <c r="C18" s="166">
        <f>C12</f>
        <v>9.3441790000000005</v>
      </c>
      <c r="E18" s="255">
        <v>1</v>
      </c>
      <c r="F18" s="307">
        <f t="shared" ref="F18:F27" si="6">F17+L5</f>
        <v>811.84966142001667</v>
      </c>
      <c r="G18" s="93">
        <f t="shared" si="5"/>
        <v>-3.4162609837565888E-2</v>
      </c>
      <c r="I18" s="256" t="s">
        <v>15</v>
      </c>
      <c r="J18" s="211">
        <f>C7+(C8*C9)+J24</f>
        <v>6.5081348837209299E-2</v>
      </c>
      <c r="K18" s="312"/>
      <c r="L18" s="193" t="s">
        <v>210</v>
      </c>
      <c r="M18" s="93">
        <f>G27</f>
        <v>0.10864995241590945</v>
      </c>
      <c r="O18" s="181"/>
      <c r="P18" s="181"/>
      <c r="Q18" s="181"/>
      <c r="R18" s="181"/>
      <c r="S18" s="181"/>
      <c r="T18" s="181"/>
      <c r="U18" s="181"/>
      <c r="V18" s="181"/>
      <c r="W18" s="181"/>
      <c r="X18" s="181"/>
      <c r="Y18" s="181"/>
      <c r="Z18" s="181"/>
      <c r="AA18" s="181"/>
      <c r="AB18" s="181"/>
      <c r="AC18" s="181"/>
      <c r="AD18" s="181"/>
      <c r="AE18" s="181"/>
    </row>
    <row r="19" spans="1:31">
      <c r="B19" s="111" t="s">
        <v>142</v>
      </c>
      <c r="C19" s="166">
        <f>C15</f>
        <v>3.0592609999999998</v>
      </c>
      <c r="E19" s="255">
        <v>2</v>
      </c>
      <c r="F19" s="307">
        <f t="shared" si="6"/>
        <v>1440.6764415500418</v>
      </c>
      <c r="G19" s="93">
        <f t="shared" si="5"/>
        <v>1.925130614339169E-2</v>
      </c>
      <c r="I19" s="256"/>
      <c r="J19" s="256"/>
      <c r="K19" s="312"/>
      <c r="L19" s="197" t="s">
        <v>242</v>
      </c>
      <c r="M19" s="276">
        <f>M17/M18</f>
        <v>0.36815478617865333</v>
      </c>
      <c r="O19" s="181"/>
      <c r="P19" s="181"/>
      <c r="Q19" s="181"/>
      <c r="R19" s="181"/>
      <c r="S19" s="181"/>
      <c r="T19" s="181"/>
      <c r="U19" s="181"/>
      <c r="V19" s="181"/>
      <c r="W19" s="181"/>
      <c r="X19" s="181"/>
      <c r="Y19" s="181"/>
      <c r="Z19" s="181"/>
      <c r="AA19" s="181"/>
      <c r="AB19" s="181"/>
      <c r="AC19" s="181"/>
      <c r="AD19" s="181"/>
      <c r="AE19" s="181"/>
    </row>
    <row r="20" spans="1:31">
      <c r="A20" s="183"/>
      <c r="B20" s="111" t="s">
        <v>15</v>
      </c>
      <c r="C20" s="93">
        <f>C11</f>
        <v>0.2017813488372093</v>
      </c>
      <c r="E20" s="255">
        <v>3</v>
      </c>
      <c r="F20" s="307">
        <f t="shared" si="6"/>
        <v>2572.5646457840867</v>
      </c>
      <c r="G20" s="93">
        <f t="shared" si="5"/>
        <v>2.5604952349340088E-2</v>
      </c>
      <c r="I20" s="256" t="s">
        <v>244</v>
      </c>
      <c r="J20" s="309">
        <f>1-J21</f>
        <v>1.0000000000000009E-2</v>
      </c>
      <c r="K20" s="312"/>
      <c r="L20" s="189"/>
      <c r="M20" s="189"/>
      <c r="O20" s="181"/>
      <c r="P20" s="181"/>
      <c r="Q20" s="181"/>
      <c r="R20" s="181"/>
      <c r="S20" s="181"/>
      <c r="T20" s="181"/>
      <c r="U20" s="181"/>
      <c r="V20" s="181"/>
      <c r="W20" s="181"/>
      <c r="X20" s="181"/>
      <c r="Y20" s="181"/>
      <c r="Z20" s="181"/>
      <c r="AA20" s="181"/>
      <c r="AB20" s="181"/>
      <c r="AC20" s="181"/>
      <c r="AD20" s="181"/>
      <c r="AE20" s="181"/>
    </row>
    <row r="21" spans="1:31">
      <c r="B21" s="51" t="s">
        <v>144</v>
      </c>
      <c r="C21" s="169">
        <v>10</v>
      </c>
      <c r="E21" s="255">
        <v>4</v>
      </c>
      <c r="F21" s="307">
        <f t="shared" si="6"/>
        <v>4245.2438809299529</v>
      </c>
      <c r="G21" s="93">
        <f t="shared" si="5"/>
        <v>2.9015444677490988E-2</v>
      </c>
      <c r="I21" s="256" t="s">
        <v>245</v>
      </c>
      <c r="J21" s="291">
        <v>0.99</v>
      </c>
      <c r="K21" s="312"/>
      <c r="L21" s="193" t="s">
        <v>215</v>
      </c>
      <c r="M21" s="166">
        <f>($F$14*(1+$M$17))*$H$14</f>
        <v>1887.4811465504758</v>
      </c>
      <c r="O21" s="181"/>
      <c r="P21" s="181"/>
      <c r="Q21" s="181"/>
      <c r="R21" s="181"/>
      <c r="S21" s="181"/>
      <c r="T21" s="181"/>
      <c r="U21" s="181"/>
      <c r="V21" s="181"/>
      <c r="W21" s="181"/>
      <c r="X21" s="181"/>
      <c r="Y21" s="181"/>
      <c r="Z21" s="181"/>
      <c r="AA21" s="181"/>
      <c r="AB21" s="181"/>
      <c r="AC21" s="181"/>
      <c r="AD21" s="181"/>
      <c r="AE21" s="181"/>
    </row>
    <row r="22" spans="1:31">
      <c r="B22" s="111" t="s">
        <v>143</v>
      </c>
      <c r="C22" s="297">
        <f>C19*((1-(1+C20)^(-C21))/C20)+C18/(1+C20)^5</f>
        <v>16.47615934663996</v>
      </c>
      <c r="E22" s="255">
        <v>5</v>
      </c>
      <c r="F22" s="307">
        <f t="shared" si="6"/>
        <v>6276.3543807499345</v>
      </c>
      <c r="G22" s="93">
        <f t="shared" si="5"/>
        <v>3.2114727275623575E-2</v>
      </c>
      <c r="I22" s="256"/>
      <c r="J22" s="256"/>
      <c r="K22" s="312"/>
      <c r="L22" s="193" t="s">
        <v>240</v>
      </c>
      <c r="M22" s="93">
        <f>WACC!$C$11</f>
        <v>0.25169999999999998</v>
      </c>
      <c r="O22" s="181"/>
      <c r="P22" s="181"/>
      <c r="Q22" s="181"/>
      <c r="R22" s="181"/>
      <c r="S22" s="181"/>
      <c r="T22" s="181"/>
      <c r="U22" s="181"/>
      <c r="V22" s="181"/>
      <c r="W22" s="181"/>
      <c r="X22" s="181"/>
      <c r="Y22" s="181"/>
      <c r="Z22" s="181"/>
      <c r="AA22" s="181"/>
      <c r="AB22" s="181"/>
      <c r="AC22" s="181"/>
      <c r="AD22" s="181"/>
      <c r="AE22" s="181"/>
    </row>
    <row r="23" spans="1:31" ht="12" customHeight="1">
      <c r="B23" s="193" t="s">
        <v>247</v>
      </c>
      <c r="C23" s="194">
        <f>(M5/(1+$C$14)^E5)+(M6/(1+($C$14))^E6)+(M7/(1+($C$14))^E7)+(M8/(1+($C$14))^E8)+(M9/(1+($C$14))^E9)+(M10/(1+($C$14))^E10)+(M11/(1+($C$14))^E11)+(M12/(1+($C$14))^E12)+(M13/(1+(J26))^E13)+(M14/(1+J26)^E14)</f>
        <v>-5195.091018945358</v>
      </c>
      <c r="E23" s="255">
        <v>6</v>
      </c>
      <c r="F23" s="307">
        <f t="shared" si="6"/>
        <v>8104.3538305879174</v>
      </c>
      <c r="G23" s="93">
        <f t="shared" si="5"/>
        <v>5.1192814708807828E-2</v>
      </c>
      <c r="I23" s="256" t="s">
        <v>243</v>
      </c>
      <c r="J23" s="237">
        <f>C5</f>
        <v>0.69400520914318575</v>
      </c>
      <c r="K23" s="312"/>
      <c r="L23" s="197" t="s">
        <v>241</v>
      </c>
      <c r="M23" s="198">
        <f>M21*(1-M22)</f>
        <v>1412.4021419637211</v>
      </c>
      <c r="O23" s="181"/>
      <c r="P23" s="181"/>
      <c r="Q23" s="181"/>
      <c r="R23" s="181"/>
      <c r="S23" s="181"/>
      <c r="T23" s="181"/>
      <c r="U23" s="181"/>
      <c r="V23" s="181"/>
      <c r="W23" s="181"/>
      <c r="X23" s="181"/>
      <c r="Y23" s="181"/>
      <c r="Z23" s="181"/>
      <c r="AA23" s="181"/>
      <c r="AB23" s="181"/>
      <c r="AC23" s="181"/>
      <c r="AD23" s="181"/>
      <c r="AE23" s="181"/>
    </row>
    <row r="24" spans="1:31">
      <c r="A24" s="183" t="s">
        <v>155</v>
      </c>
      <c r="B24" s="193" t="s">
        <v>248</v>
      </c>
      <c r="C24" s="194">
        <f>M27/(1+$J$26)^E14</f>
        <v>9847.8790057929364</v>
      </c>
      <c r="E24" s="255">
        <v>7</v>
      </c>
      <c r="F24" s="307">
        <f t="shared" si="6"/>
        <v>9688.6200204475026</v>
      </c>
      <c r="G24" s="93">
        <f t="shared" si="5"/>
        <v>7.0317993866592099E-2</v>
      </c>
      <c r="I24" s="256" t="s">
        <v>246</v>
      </c>
      <c r="J24" s="93">
        <v>6.7000000000000002E-3</v>
      </c>
      <c r="K24" s="312"/>
      <c r="L24" s="193"/>
      <c r="M24" s="284"/>
      <c r="O24" s="181"/>
      <c r="P24" s="181"/>
      <c r="Q24" s="181"/>
      <c r="R24" s="181"/>
      <c r="S24" s="181"/>
      <c r="T24" s="181"/>
      <c r="U24" s="181"/>
      <c r="V24" s="181"/>
      <c r="W24" s="181"/>
      <c r="X24" s="181"/>
      <c r="Y24" s="181"/>
      <c r="Z24" s="181"/>
      <c r="AA24" s="181"/>
      <c r="AB24" s="181"/>
      <c r="AC24" s="181"/>
      <c r="AD24" s="181"/>
      <c r="AE24" s="181"/>
    </row>
    <row r="25" spans="1:31">
      <c r="A25" s="183" t="s">
        <v>155</v>
      </c>
      <c r="B25" s="193" t="s">
        <v>230</v>
      </c>
      <c r="C25" s="194">
        <f>0.114146+74.44647</f>
        <v>74.56061600000001</v>
      </c>
      <c r="E25" s="255">
        <v>8</v>
      </c>
      <c r="F25" s="307">
        <f t="shared" si="6"/>
        <v>11114.459591321129</v>
      </c>
      <c r="G25" s="93">
        <f t="shared" si="5"/>
        <v>8.9470214114406546E-2</v>
      </c>
      <c r="I25" s="189"/>
      <c r="J25" s="189"/>
      <c r="K25" s="312"/>
      <c r="L25" s="193" t="s">
        <v>218</v>
      </c>
      <c r="M25" s="285">
        <f>M23*(1-M19)</f>
        <v>892.41953339079532</v>
      </c>
      <c r="O25" s="181"/>
      <c r="P25" s="181"/>
      <c r="Q25" s="181"/>
      <c r="R25" s="181"/>
      <c r="S25" s="181"/>
      <c r="T25" s="181"/>
      <c r="U25" s="181"/>
      <c r="V25" s="181"/>
      <c r="W25" s="181"/>
      <c r="X25" s="181"/>
      <c r="Y25" s="181"/>
      <c r="Z25" s="181"/>
      <c r="AA25" s="181"/>
      <c r="AB25" s="181"/>
      <c r="AC25" s="181"/>
      <c r="AD25" s="181"/>
      <c r="AE25" s="181"/>
    </row>
    <row r="26" spans="1:31">
      <c r="A26" s="183" t="s">
        <v>155</v>
      </c>
      <c r="B26" s="193" t="s">
        <v>8</v>
      </c>
      <c r="C26" s="194">
        <v>0</v>
      </c>
      <c r="E26" s="255">
        <v>9</v>
      </c>
      <c r="F26" s="307">
        <f t="shared" si="6"/>
        <v>11879.660161023308</v>
      </c>
      <c r="G26" s="93">
        <f t="shared" si="5"/>
        <v>9.9066201949784299E-2</v>
      </c>
      <c r="I26" s="310" t="s">
        <v>222</v>
      </c>
      <c r="J26" s="311">
        <f>(J17*J21)+(J18*J20*(1-M22))</f>
        <v>8.1424985808515316E-2</v>
      </c>
      <c r="K26" s="312"/>
      <c r="L26" s="256"/>
      <c r="M26" s="189"/>
      <c r="O26" s="181"/>
      <c r="P26" s="181"/>
      <c r="Q26" s="181"/>
      <c r="R26" s="181"/>
      <c r="S26" s="181"/>
      <c r="T26" s="181"/>
      <c r="U26" s="181"/>
      <c r="V26" s="181"/>
      <c r="W26" s="181"/>
      <c r="X26" s="181"/>
      <c r="Y26" s="181"/>
      <c r="Z26" s="181"/>
      <c r="AA26" s="181"/>
      <c r="AB26" s="181"/>
      <c r="AC26" s="181"/>
      <c r="AD26" s="181"/>
      <c r="AE26" s="181"/>
    </row>
    <row r="27" spans="1:31">
      <c r="B27" s="195" t="s">
        <v>251</v>
      </c>
      <c r="C27" s="196">
        <f>SUM(C23:C26)</f>
        <v>4727.3486028475781</v>
      </c>
      <c r="E27" s="255">
        <v>10</v>
      </c>
      <c r="F27" s="307">
        <f t="shared" si="6"/>
        <v>12499.581936849174</v>
      </c>
      <c r="G27" s="93">
        <f t="shared" si="5"/>
        <v>0.10864995241590945</v>
      </c>
      <c r="K27" s="312"/>
      <c r="L27" s="51" t="s">
        <v>199</v>
      </c>
      <c r="M27" s="286">
        <f>M25/(J26-M17)</f>
        <v>21543.025687828955</v>
      </c>
      <c r="O27" s="181"/>
      <c r="P27" s="181"/>
      <c r="Q27" s="181"/>
      <c r="R27" s="181"/>
      <c r="S27" s="181"/>
      <c r="T27" s="181"/>
      <c r="U27" s="181"/>
      <c r="V27" s="181"/>
      <c r="W27" s="181"/>
      <c r="X27" s="181"/>
      <c r="Y27" s="181"/>
      <c r="Z27" s="181"/>
      <c r="AA27" s="181"/>
      <c r="AB27" s="181"/>
      <c r="AC27" s="181"/>
      <c r="AD27" s="181"/>
      <c r="AE27" s="181"/>
    </row>
    <row r="28" spans="1:31">
      <c r="A28" s="183" t="s">
        <v>94</v>
      </c>
      <c r="B28" s="193" t="s">
        <v>10</v>
      </c>
      <c r="C28" s="194">
        <f>C22</f>
        <v>16.47615934663996</v>
      </c>
      <c r="O28" s="181"/>
      <c r="P28" s="181"/>
      <c r="Q28" s="181"/>
      <c r="R28" s="181"/>
      <c r="S28" s="181"/>
      <c r="T28" s="181"/>
      <c r="U28" s="181"/>
      <c r="V28" s="181"/>
      <c r="W28" s="181"/>
      <c r="X28" s="181"/>
      <c r="Y28" s="181"/>
      <c r="Z28" s="181"/>
      <c r="AA28" s="181"/>
      <c r="AB28" s="181"/>
      <c r="AC28" s="181"/>
      <c r="AD28" s="181"/>
      <c r="AE28" s="181"/>
    </row>
    <row r="29" spans="1:31">
      <c r="B29" s="193" t="s">
        <v>252</v>
      </c>
      <c r="C29" s="318">
        <f>C27-C28</f>
        <v>4710.8724435009381</v>
      </c>
      <c r="E29" s="314"/>
      <c r="O29" s="181"/>
      <c r="P29" s="181"/>
      <c r="Q29" s="181"/>
      <c r="R29" s="181"/>
      <c r="S29" s="181"/>
      <c r="T29" s="181"/>
      <c r="U29" s="181"/>
      <c r="V29" s="181"/>
      <c r="W29" s="181"/>
      <c r="X29" s="181"/>
      <c r="Y29" s="181"/>
      <c r="Z29" s="181"/>
      <c r="AA29" s="181"/>
      <c r="AB29" s="181"/>
      <c r="AC29" s="181"/>
      <c r="AD29" s="181"/>
      <c r="AE29" s="181"/>
    </row>
    <row r="30" spans="1:31" ht="12" customHeight="1">
      <c r="E30" s="314"/>
      <c r="F30" s="313"/>
      <c r="G30" s="313"/>
      <c r="H30" s="313"/>
      <c r="I30" s="313"/>
      <c r="J30" s="313"/>
      <c r="K30" s="313"/>
      <c r="L30" s="313"/>
      <c r="M30" s="313"/>
      <c r="N30" s="313"/>
      <c r="P30" s="181"/>
      <c r="Q30" s="181"/>
      <c r="R30" s="181"/>
      <c r="S30" s="181"/>
      <c r="T30" s="181"/>
      <c r="U30" s="181"/>
      <c r="V30" s="181"/>
      <c r="W30" s="181"/>
      <c r="X30" s="181"/>
      <c r="Y30" s="181"/>
      <c r="Z30" s="181"/>
      <c r="AA30" s="181"/>
      <c r="AB30" s="181"/>
      <c r="AC30" s="181"/>
      <c r="AD30" s="181"/>
      <c r="AE30" s="181"/>
    </row>
    <row r="31" spans="1:31">
      <c r="E31" s="314"/>
      <c r="F31" s="305"/>
      <c r="G31" s="305"/>
      <c r="H31" s="305"/>
      <c r="I31" s="312"/>
      <c r="J31" s="312"/>
      <c r="K31" s="305"/>
      <c r="L31" s="305"/>
      <c r="M31" s="305"/>
      <c r="N31" s="305"/>
      <c r="P31" s="181"/>
      <c r="Q31" s="181"/>
      <c r="R31" s="181"/>
      <c r="S31" s="181"/>
      <c r="T31" s="181"/>
      <c r="U31" s="181"/>
      <c r="V31" s="181"/>
      <c r="W31" s="181"/>
      <c r="X31" s="181"/>
      <c r="Y31" s="181"/>
      <c r="Z31" s="181"/>
      <c r="AA31" s="181"/>
      <c r="AB31" s="181"/>
      <c r="AC31" s="181"/>
      <c r="AD31" s="181"/>
      <c r="AE31" s="181"/>
    </row>
    <row r="32" spans="1:31">
      <c r="E32" s="314"/>
      <c r="F32" s="181"/>
      <c r="G32" s="181"/>
      <c r="H32" s="181"/>
      <c r="I32" s="181"/>
      <c r="L32" s="181"/>
      <c r="M32" s="181"/>
      <c r="N32" s="181"/>
      <c r="O32" s="181"/>
      <c r="P32" s="181"/>
      <c r="Q32" s="181"/>
      <c r="R32" s="181"/>
      <c r="S32" s="181"/>
      <c r="T32" s="181"/>
      <c r="U32" s="181"/>
      <c r="V32" s="181"/>
      <c r="W32" s="181"/>
      <c r="X32" s="181"/>
      <c r="Y32" s="181"/>
      <c r="Z32" s="181"/>
      <c r="AA32" s="181"/>
      <c r="AB32" s="181"/>
      <c r="AC32" s="181"/>
      <c r="AD32" s="181"/>
      <c r="AE32" s="181"/>
    </row>
    <row r="33" spans="5:31">
      <c r="E33" s="314"/>
      <c r="F33" s="181"/>
      <c r="G33" s="181"/>
      <c r="H33" s="181"/>
      <c r="I33" s="181"/>
      <c r="L33" s="181"/>
      <c r="M33" s="181"/>
      <c r="N33" s="181"/>
      <c r="O33" s="181"/>
      <c r="P33" s="181"/>
      <c r="Q33" s="181"/>
      <c r="R33" s="181"/>
      <c r="S33" s="181"/>
      <c r="T33" s="181"/>
      <c r="U33" s="181"/>
      <c r="V33" s="181"/>
      <c r="W33" s="181"/>
      <c r="X33" s="181"/>
      <c r="Y33" s="181"/>
      <c r="Z33" s="181"/>
      <c r="AA33" s="181"/>
      <c r="AB33" s="181"/>
      <c r="AC33" s="181"/>
      <c r="AD33" s="181"/>
      <c r="AE33" s="181"/>
    </row>
    <row r="34" spans="5:31">
      <c r="E34" s="314"/>
      <c r="F34" s="181"/>
      <c r="G34" s="181"/>
      <c r="H34" s="181"/>
      <c r="I34" s="181"/>
      <c r="L34" s="181"/>
      <c r="M34" s="181"/>
      <c r="N34" s="181"/>
      <c r="O34" s="181"/>
      <c r="P34" s="181"/>
      <c r="Q34" s="181"/>
      <c r="R34" s="181"/>
      <c r="S34" s="181"/>
      <c r="T34" s="181"/>
      <c r="U34" s="181"/>
      <c r="V34" s="181"/>
      <c r="W34" s="181"/>
      <c r="X34" s="181"/>
      <c r="Y34" s="181"/>
      <c r="Z34" s="181"/>
      <c r="AA34" s="181"/>
      <c r="AB34" s="181"/>
      <c r="AC34" s="181"/>
      <c r="AD34" s="181"/>
      <c r="AE34" s="181"/>
    </row>
    <row r="35" spans="5:31">
      <c r="E35" s="314"/>
      <c r="F35" s="181"/>
      <c r="G35" s="181"/>
      <c r="H35" s="181"/>
      <c r="I35" s="181"/>
      <c r="L35" s="181"/>
      <c r="M35" s="181"/>
      <c r="N35" s="181"/>
      <c r="O35" s="181"/>
      <c r="P35" s="181"/>
      <c r="Q35" s="181"/>
      <c r="R35" s="181"/>
      <c r="S35" s="181"/>
      <c r="T35" s="181"/>
      <c r="U35" s="181"/>
      <c r="V35" s="181"/>
      <c r="W35" s="181"/>
      <c r="X35" s="181"/>
      <c r="Y35" s="181"/>
      <c r="Z35" s="181"/>
      <c r="AA35" s="181"/>
      <c r="AB35" s="181"/>
      <c r="AC35" s="181"/>
      <c r="AD35" s="181"/>
      <c r="AE35" s="181"/>
    </row>
    <row r="36" spans="5:31">
      <c r="E36" s="314"/>
      <c r="F36" s="181"/>
      <c r="G36" s="181"/>
      <c r="H36" s="181"/>
      <c r="I36" s="181"/>
      <c r="L36" s="181"/>
      <c r="M36" s="181"/>
      <c r="N36" s="181"/>
      <c r="O36" s="181"/>
      <c r="P36" s="181"/>
      <c r="Q36" s="181"/>
      <c r="R36" s="181"/>
      <c r="S36" s="181"/>
      <c r="T36" s="181"/>
      <c r="U36" s="181"/>
      <c r="V36" s="181"/>
      <c r="W36" s="181"/>
      <c r="X36" s="181"/>
      <c r="Y36" s="181"/>
      <c r="Z36" s="181"/>
      <c r="AA36" s="181"/>
      <c r="AB36" s="181"/>
      <c r="AC36" s="181"/>
      <c r="AD36" s="181"/>
      <c r="AE36" s="181"/>
    </row>
    <row r="37" spans="5:31">
      <c r="E37" s="314"/>
      <c r="F37" s="181"/>
      <c r="G37" s="181"/>
      <c r="H37" s="181"/>
      <c r="I37" s="181"/>
      <c r="L37" s="181"/>
      <c r="M37" s="181"/>
      <c r="N37" s="181"/>
      <c r="O37" s="181"/>
      <c r="P37" s="181"/>
      <c r="Q37" s="181"/>
      <c r="R37" s="181"/>
      <c r="S37" s="181"/>
      <c r="T37" s="181"/>
      <c r="U37" s="181"/>
      <c r="V37" s="181"/>
      <c r="W37" s="181"/>
      <c r="X37" s="181"/>
      <c r="Y37" s="181"/>
      <c r="Z37" s="181"/>
      <c r="AA37" s="181"/>
      <c r="AB37" s="181"/>
      <c r="AC37" s="181"/>
      <c r="AD37" s="181"/>
      <c r="AE37" s="181"/>
    </row>
    <row r="38" spans="5:31">
      <c r="E38" s="314"/>
      <c r="F38" s="181"/>
      <c r="G38" s="181"/>
      <c r="H38" s="181"/>
      <c r="I38" s="181"/>
      <c r="L38" s="181"/>
      <c r="M38" s="181"/>
      <c r="N38" s="181"/>
      <c r="O38" s="181"/>
      <c r="P38" s="181"/>
      <c r="Q38" s="181"/>
      <c r="R38" s="181"/>
      <c r="S38" s="181"/>
      <c r="T38" s="181"/>
      <c r="U38" s="181"/>
      <c r="V38" s="181"/>
      <c r="W38" s="181"/>
      <c r="X38" s="181"/>
      <c r="Y38" s="181"/>
      <c r="Z38" s="181"/>
      <c r="AA38" s="181"/>
      <c r="AB38" s="181"/>
      <c r="AC38" s="181"/>
      <c r="AD38" s="181"/>
      <c r="AE38" s="181"/>
    </row>
    <row r="39" spans="5:31">
      <c r="E39" s="302"/>
    </row>
    <row r="45" spans="5:31">
      <c r="F45" s="47"/>
      <c r="G45" s="47"/>
      <c r="H45" s="47"/>
      <c r="I45" s="47"/>
    </row>
  </sheetData>
  <mergeCells count="2">
    <mergeCell ref="I16:J16"/>
    <mergeCell ref="L16:M16"/>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4.28515625" style="2" customWidth="1"/>
    <col min="4" max="4" width="11.42578125" style="2" customWidth="1"/>
    <col min="5" max="5" width="11.5703125" style="2" customWidth="1"/>
    <col min="6" max="6" width="11.42578125" style="2" customWidth="1"/>
    <col min="7" max="7" width="10.7109375" style="2" bestFit="1" customWidth="1"/>
    <col min="8" max="8" width="10.5703125" style="2" customWidth="1"/>
    <col min="9" max="9" width="10.7109375" style="2" bestFit="1" customWidth="1"/>
    <col min="10" max="10" width="10.28515625" style="2" customWidth="1"/>
    <col min="11" max="11" width="11.140625" style="2" bestFit="1" customWidth="1"/>
    <col min="12" max="12" width="11.42578125" style="2" customWidth="1"/>
    <col min="13" max="13" width="9.140625" style="2"/>
    <col min="14" max="14" width="18.42578125" style="2" customWidth="1"/>
    <col min="15" max="16384" width="9.140625" style="2"/>
  </cols>
  <sheetData>
    <row r="1" spans="1:20" ht="16.5" customHeight="1">
      <c r="B1" s="17" t="s">
        <v>255</v>
      </c>
    </row>
    <row r="3" spans="1:20" ht="12" customHeight="1">
      <c r="E3" s="44"/>
      <c r="F3" s="33"/>
      <c r="G3" s="322"/>
      <c r="H3" s="32"/>
      <c r="I3" s="3"/>
      <c r="J3" s="3"/>
      <c r="K3" s="3"/>
      <c r="L3" s="3"/>
      <c r="M3" s="3"/>
      <c r="N3" s="3"/>
      <c r="O3" s="3"/>
      <c r="P3" s="3"/>
      <c r="Q3" s="3"/>
      <c r="R3" s="3"/>
      <c r="S3" s="3"/>
      <c r="T3" s="3"/>
    </row>
    <row r="4" spans="1:20" ht="12" customHeight="1">
      <c r="B4" s="424" t="s">
        <v>259</v>
      </c>
      <c r="C4" s="424"/>
      <c r="D4" s="424"/>
      <c r="E4" s="424"/>
      <c r="F4" s="424"/>
      <c r="G4" s="424"/>
      <c r="H4" s="424"/>
      <c r="I4" s="424"/>
      <c r="J4" s="424"/>
      <c r="K4" s="424"/>
      <c r="L4" s="424"/>
      <c r="M4" s="3"/>
      <c r="N4" s="3"/>
      <c r="O4" s="3"/>
      <c r="P4" s="3"/>
      <c r="Q4" s="3"/>
      <c r="R4" s="3"/>
      <c r="S4" s="3"/>
      <c r="T4" s="3"/>
    </row>
    <row r="5" spans="1:20" ht="12" customHeight="1">
      <c r="B5" s="316"/>
      <c r="C5" s="324">
        <v>1</v>
      </c>
      <c r="D5" s="324">
        <v>2</v>
      </c>
      <c r="E5" s="325">
        <v>3</v>
      </c>
      <c r="F5" s="326">
        <v>4</v>
      </c>
      <c r="G5" s="327">
        <v>5</v>
      </c>
      <c r="H5" s="328">
        <v>6</v>
      </c>
      <c r="I5" s="324">
        <v>7</v>
      </c>
      <c r="J5" s="324">
        <v>8</v>
      </c>
      <c r="K5" s="324">
        <v>9</v>
      </c>
      <c r="L5" s="324">
        <v>10</v>
      </c>
      <c r="M5" s="3"/>
      <c r="N5" s="3"/>
      <c r="O5" s="3"/>
      <c r="P5" s="3"/>
      <c r="Q5" s="3"/>
      <c r="R5" s="3"/>
      <c r="S5" s="3"/>
      <c r="T5" s="3"/>
    </row>
    <row r="6" spans="1:20" ht="12" customHeight="1">
      <c r="B6" s="51" t="s">
        <v>257</v>
      </c>
      <c r="C6" s="323">
        <f ca="1">'Future Cashflows (10 Yrs)'!F19</f>
        <v>-6328.0611568094591</v>
      </c>
      <c r="D6" s="323">
        <f ca="1">'Future Cashflows (10 Yrs)'!F20</f>
        <v>-6195.3738782264672</v>
      </c>
      <c r="E6" s="285">
        <f ca="1">'Future Cashflows (10 Yrs)'!F21</f>
        <v>-5597.0773266201813</v>
      </c>
      <c r="F6" s="285">
        <f ca="1">'Future Cashflows (10 Yrs)'!F22</f>
        <v>-4682.3676256727849</v>
      </c>
      <c r="G6" s="285">
        <f ca="1">'Future Cashflows (10 Yrs)'!F23</f>
        <v>-3294.1796422083135</v>
      </c>
      <c r="H6" s="285">
        <f ca="1">'Future Cashflows (10 Yrs)'!F24</f>
        <v>-2152.5784510615958</v>
      </c>
      <c r="I6" s="323">
        <f ca="1">'Future Cashflows (10 Yrs)'!F25</f>
        <v>1255.1063544182434</v>
      </c>
      <c r="J6" s="323">
        <f ca="1">'Future Cashflows (10 Yrs)'!F26</f>
        <v>5514.5662010631168</v>
      </c>
      <c r="K6" s="323">
        <f ca="1">'Future Cashflows (10 Yrs)'!F27</f>
        <v>17768.078869147754</v>
      </c>
      <c r="L6" s="323">
        <f ca="1">'Future Cashflows (10 Yrs)'!F28</f>
        <v>21727.910573118403</v>
      </c>
      <c r="M6" s="3"/>
      <c r="N6" s="3"/>
      <c r="O6" s="3"/>
      <c r="P6" s="3"/>
      <c r="Q6" s="3"/>
      <c r="R6" s="3"/>
      <c r="S6" s="3"/>
      <c r="T6" s="3"/>
    </row>
    <row r="7" spans="1:20" ht="12" customHeight="1">
      <c r="B7" s="51" t="s">
        <v>258</v>
      </c>
      <c r="C7" s="145">
        <f ca="1">WACC!$C$13</f>
        <v>8.9404266339487462E-2</v>
      </c>
      <c r="D7" s="145">
        <f ca="1">C7</f>
        <v>8.9404266339487462E-2</v>
      </c>
      <c r="E7" s="145">
        <f ca="1">AVERAGE(F7,C7)</f>
        <v>8.7956078431172355E-2</v>
      </c>
      <c r="F7" s="92">
        <f ca="1">AVERAGE(C7,H7)</f>
        <v>8.6507890522857248E-2</v>
      </c>
      <c r="G7" s="92">
        <f ca="1">AVERAGE(F7,H7)</f>
        <v>8.505970261454214E-2</v>
      </c>
      <c r="H7" s="92">
        <f ca="1">AVERAGE(C7,L7)</f>
        <v>8.3611514706227033E-2</v>
      </c>
      <c r="I7" s="145">
        <f ca="1">AVERAGE(H7,J7)</f>
        <v>8.2163326797911926E-2</v>
      </c>
      <c r="J7" s="145">
        <f ca="1">AVERAGE(H7,L7)</f>
        <v>8.0715138889596819E-2</v>
      </c>
      <c r="K7" s="145">
        <f ca="1">AVERAGE(J7,L7)</f>
        <v>7.9266950981281711E-2</v>
      </c>
      <c r="L7" s="145">
        <f>'Terminal Value'!$G$19</f>
        <v>7.7818763072966604E-2</v>
      </c>
      <c r="M7" s="22"/>
      <c r="N7" s="3"/>
      <c r="O7" s="3"/>
      <c r="P7" s="3"/>
      <c r="Q7" s="3"/>
      <c r="R7" s="3"/>
      <c r="S7" s="3"/>
      <c r="T7" s="3"/>
    </row>
    <row r="8" spans="1:20" ht="12" customHeight="1">
      <c r="B8" s="113" t="s">
        <v>256</v>
      </c>
      <c r="C8" s="198">
        <f ca="1">C6/(1+C7)^C5</f>
        <v>-5808.7354275492316</v>
      </c>
      <c r="D8" s="198">
        <f t="shared" ref="D8:K8" ca="1" si="0">D6/(1+D7)^D5</f>
        <v>-5220.2268588164852</v>
      </c>
      <c r="E8" s="198">
        <f t="shared" ca="1" si="0"/>
        <v>-4346.3752416514217</v>
      </c>
      <c r="F8" s="198">
        <f t="shared" ca="1" si="0"/>
        <v>-3359.958937265877</v>
      </c>
      <c r="G8" s="198">
        <f t="shared" ca="1" si="0"/>
        <v>-2190.1764509857435</v>
      </c>
      <c r="H8" s="198">
        <f t="shared" ca="1" si="0"/>
        <v>-1329.5887156335414</v>
      </c>
      <c r="I8" s="198">
        <f t="shared" ca="1" si="0"/>
        <v>722.15569987008359</v>
      </c>
      <c r="J8" s="198">
        <f t="shared" ca="1" si="0"/>
        <v>2963.6128766376482</v>
      </c>
      <c r="K8" s="198">
        <f t="shared" ca="1" si="0"/>
        <v>8942.9451593374961</v>
      </c>
      <c r="L8" s="198">
        <f ca="1">L6/(1+L7)^L5</f>
        <v>10269.766475671195</v>
      </c>
      <c r="M8" s="3"/>
      <c r="N8" s="3"/>
      <c r="O8" s="3"/>
      <c r="P8" s="3"/>
      <c r="Q8" s="3"/>
      <c r="R8" s="3"/>
      <c r="S8" s="3"/>
      <c r="T8" s="3"/>
    </row>
    <row r="9" spans="1:20" ht="12" customHeight="1">
      <c r="M9" s="3"/>
      <c r="N9" s="3"/>
      <c r="O9" s="3"/>
      <c r="P9" s="3"/>
      <c r="Q9" s="3"/>
      <c r="R9" s="3"/>
      <c r="S9" s="3"/>
      <c r="T9" s="3"/>
    </row>
    <row r="10" spans="1:20" ht="12" customHeight="1">
      <c r="A10" s="3"/>
      <c r="E10" s="32"/>
      <c r="F10" s="32"/>
      <c r="G10" s="32"/>
      <c r="H10" s="32"/>
      <c r="M10" s="3"/>
      <c r="N10" s="3"/>
      <c r="O10" s="3"/>
      <c r="P10" s="3"/>
      <c r="Q10" s="3"/>
      <c r="R10" s="3"/>
      <c r="S10" s="3"/>
      <c r="T10" s="3"/>
    </row>
    <row r="11" spans="1:20" ht="12" customHeight="1">
      <c r="A11" s="3"/>
      <c r="E11" s="35"/>
      <c r="F11" s="35"/>
      <c r="G11" s="35"/>
      <c r="H11" s="35"/>
      <c r="L11" s="365"/>
      <c r="N11" s="3"/>
      <c r="O11" s="3"/>
      <c r="P11" s="3"/>
      <c r="Q11" s="3"/>
      <c r="R11" s="3"/>
      <c r="S11" s="3"/>
      <c r="T11" s="3"/>
    </row>
    <row r="12" spans="1:20" ht="12" customHeight="1">
      <c r="A12" s="3"/>
      <c r="B12" s="337" t="s">
        <v>254</v>
      </c>
      <c r="C12" s="285">
        <f ca="1">SUM(C8:L8)</f>
        <v>643.41857961412461</v>
      </c>
      <c r="G12" s="32"/>
      <c r="H12" s="32"/>
      <c r="I12" s="32"/>
      <c r="J12" s="32"/>
      <c r="K12" s="32"/>
      <c r="L12" s="3"/>
      <c r="M12" s="3"/>
      <c r="N12" s="3"/>
      <c r="O12" s="3"/>
      <c r="P12" s="3"/>
      <c r="Q12" s="3"/>
      <c r="R12" s="3"/>
      <c r="S12" s="3"/>
      <c r="T12" s="3"/>
    </row>
    <row r="13" spans="1:20" ht="12" customHeight="1">
      <c r="A13" s="3"/>
      <c r="B13" s="337" t="s">
        <v>199</v>
      </c>
      <c r="C13" s="285">
        <f ca="1">'Terminal Value'!$C$13</f>
        <v>1031782.011671853</v>
      </c>
      <c r="D13" s="32"/>
      <c r="E13" s="32"/>
      <c r="F13" s="32"/>
      <c r="G13" s="32"/>
      <c r="H13" s="32"/>
      <c r="I13" s="32"/>
      <c r="J13" s="32"/>
      <c r="K13" s="32"/>
      <c r="L13" s="3"/>
      <c r="M13" s="3"/>
      <c r="N13" s="3"/>
      <c r="O13" s="3"/>
      <c r="P13" s="3"/>
      <c r="Q13" s="3"/>
      <c r="R13" s="3"/>
      <c r="S13" s="3"/>
      <c r="T13" s="3"/>
    </row>
    <row r="14" spans="1:20" s="27" customFormat="1" ht="12" customHeight="1">
      <c r="A14" s="26"/>
      <c r="B14" s="337" t="s">
        <v>248</v>
      </c>
      <c r="C14" s="285">
        <f ca="1">C13/(1+L7)^'Fair Value of Share'!$L$5</f>
        <v>487675.07018266479</v>
      </c>
      <c r="D14" s="45"/>
      <c r="E14" s="105"/>
      <c r="F14" s="367"/>
      <c r="G14" s="45"/>
      <c r="H14" s="45"/>
      <c r="I14" s="45"/>
      <c r="J14" s="45"/>
      <c r="K14" s="45"/>
      <c r="L14" s="26"/>
      <c r="M14" s="26"/>
      <c r="N14" s="26"/>
      <c r="O14" s="26"/>
      <c r="P14" s="26"/>
      <c r="Q14" s="26"/>
      <c r="R14" s="26"/>
      <c r="S14" s="26"/>
      <c r="T14" s="26"/>
    </row>
    <row r="15" spans="1:20" ht="12" customHeight="1">
      <c r="A15" s="3"/>
      <c r="B15" s="338" t="s">
        <v>260</v>
      </c>
      <c r="C15" s="339">
        <f ca="1">C14+C12</f>
        <v>488318.48876227892</v>
      </c>
      <c r="E15" s="357"/>
      <c r="F15" s="355"/>
      <c r="I15" s="32"/>
      <c r="J15" s="32"/>
      <c r="K15" s="32"/>
      <c r="L15" s="3"/>
      <c r="N15" s="3"/>
      <c r="O15" s="3"/>
      <c r="P15" s="3"/>
      <c r="Q15" s="3"/>
      <c r="R15" s="3"/>
      <c r="S15" s="3"/>
      <c r="T15" s="3"/>
    </row>
    <row r="16" spans="1:20" ht="12" customHeight="1">
      <c r="A16" s="329" t="s">
        <v>155</v>
      </c>
      <c r="B16" s="340" t="s">
        <v>230</v>
      </c>
      <c r="C16" s="285">
        <f ca="1">'Cash &amp; Marketable Securities'!$C$12</f>
        <v>2902.3503022456716</v>
      </c>
      <c r="E16" s="357"/>
      <c r="F16" s="362"/>
      <c r="I16" s="32"/>
      <c r="J16" s="32"/>
      <c r="K16" s="32"/>
      <c r="L16" s="3"/>
      <c r="M16" s="3"/>
      <c r="N16" s="3"/>
      <c r="O16" s="3"/>
      <c r="P16" s="3"/>
      <c r="Q16" s="3"/>
      <c r="R16" s="3"/>
      <c r="S16" s="3"/>
      <c r="T16" s="3"/>
    </row>
    <row r="17" spans="1:20" ht="12" customHeight="1">
      <c r="A17" s="329" t="s">
        <v>155</v>
      </c>
      <c r="B17" s="341" t="s">
        <v>253</v>
      </c>
      <c r="C17" s="285">
        <f ca="1">'Value of Cross Holdings'!F16</f>
        <v>-3846.2566354601995</v>
      </c>
      <c r="E17" s="357"/>
      <c r="F17" s="363"/>
      <c r="I17" s="32"/>
      <c r="J17" s="32"/>
      <c r="K17" s="32"/>
      <c r="L17" s="3"/>
      <c r="M17" s="3"/>
      <c r="N17" s="3"/>
      <c r="O17" s="3"/>
      <c r="P17" s="3"/>
      <c r="Q17" s="3"/>
      <c r="R17" s="3"/>
      <c r="S17" s="3"/>
      <c r="T17" s="3"/>
    </row>
    <row r="18" spans="1:20" ht="12" customHeight="1">
      <c r="A18" s="329" t="s">
        <v>155</v>
      </c>
      <c r="B18" s="31" t="s">
        <v>261</v>
      </c>
      <c r="C18" s="323">
        <v>0</v>
      </c>
      <c r="D18" s="32"/>
      <c r="E18" s="357"/>
      <c r="F18" s="364"/>
      <c r="I18" s="32"/>
      <c r="J18" s="32"/>
      <c r="K18" s="32"/>
      <c r="L18" s="3"/>
      <c r="M18" s="3"/>
      <c r="N18" s="3"/>
      <c r="O18" s="3"/>
      <c r="P18" s="3"/>
      <c r="Q18" s="3"/>
      <c r="R18" s="3"/>
      <c r="S18" s="3"/>
      <c r="T18" s="3"/>
    </row>
    <row r="19" spans="1:20" ht="12" customHeight="1">
      <c r="A19" s="3"/>
      <c r="B19" s="338" t="s">
        <v>251</v>
      </c>
      <c r="C19" s="339">
        <f ca="1">SUM(C15:C18)</f>
        <v>487374.58242906444</v>
      </c>
      <c r="D19" s="32"/>
      <c r="E19" s="357"/>
      <c r="F19" s="363"/>
      <c r="I19" s="32"/>
      <c r="J19" s="32"/>
      <c r="K19" s="32"/>
      <c r="L19" s="3"/>
      <c r="M19" s="3"/>
      <c r="N19" s="3"/>
      <c r="O19" s="3"/>
      <c r="P19" s="3"/>
      <c r="Q19" s="3"/>
      <c r="R19" s="3"/>
      <c r="S19" s="3"/>
      <c r="T19" s="3"/>
    </row>
    <row r="20" spans="1:20" ht="12" customHeight="1">
      <c r="A20" s="8" t="s">
        <v>94</v>
      </c>
      <c r="B20" s="337" t="s">
        <v>250</v>
      </c>
      <c r="C20" s="342">
        <f>WACC!F22+771.59+387.16</f>
        <v>6751.3809272417893</v>
      </c>
      <c r="D20" s="32"/>
      <c r="E20" s="357"/>
      <c r="F20" s="32"/>
      <c r="I20" s="32"/>
      <c r="J20" s="32"/>
      <c r="K20" s="32"/>
      <c r="L20" s="3"/>
      <c r="M20" s="3"/>
      <c r="N20" s="3"/>
      <c r="O20" s="3"/>
      <c r="P20" s="3"/>
      <c r="Q20" s="3"/>
      <c r="R20" s="3"/>
      <c r="S20" s="3"/>
      <c r="T20" s="3"/>
    </row>
    <row r="21" spans="1:20" ht="12" customHeight="1">
      <c r="A21" s="8"/>
      <c r="B21" s="338" t="s">
        <v>252</v>
      </c>
      <c r="C21" s="196">
        <f ca="1">C19-C20</f>
        <v>480623.20150182262</v>
      </c>
      <c r="D21" s="34"/>
      <c r="E21" s="357"/>
      <c r="F21" s="32"/>
      <c r="I21" s="32"/>
      <c r="J21" s="32"/>
      <c r="K21" s="32"/>
      <c r="L21" s="3"/>
      <c r="M21" s="3"/>
      <c r="N21" s="3"/>
      <c r="O21" s="3"/>
      <c r="P21" s="3"/>
      <c r="Q21" s="3"/>
      <c r="R21" s="3"/>
      <c r="S21" s="3"/>
      <c r="T21" s="3"/>
    </row>
    <row r="22" spans="1:20" ht="12" customHeight="1">
      <c r="A22" s="336" t="s">
        <v>94</v>
      </c>
      <c r="B22" s="31" t="s">
        <v>262</v>
      </c>
      <c r="C22" s="323">
        <f>(580.82496*(0.174+4.41865))</f>
        <v>2667.5257525440006</v>
      </c>
      <c r="D22" s="32"/>
      <c r="E22" s="357"/>
      <c r="F22" s="35"/>
      <c r="I22" s="32"/>
      <c r="J22" s="32"/>
      <c r="K22" s="32"/>
      <c r="L22" s="3"/>
      <c r="M22" s="3"/>
      <c r="O22" s="3"/>
      <c r="P22" s="3"/>
      <c r="Q22" s="3"/>
      <c r="R22" s="3"/>
      <c r="S22" s="3"/>
      <c r="T22" s="3"/>
    </row>
    <row r="23" spans="1:20" s="30" customFormat="1" ht="12" customHeight="1">
      <c r="B23" s="338" t="s">
        <v>264</v>
      </c>
      <c r="C23" s="343">
        <f ca="1">C21-C22</f>
        <v>477955.67574927863</v>
      </c>
      <c r="D23" s="32"/>
      <c r="E23" s="357"/>
      <c r="F23" s="32"/>
      <c r="I23" s="35"/>
      <c r="J23" s="35"/>
      <c r="K23" s="35"/>
      <c r="L23" s="29"/>
      <c r="M23" s="29"/>
      <c r="N23" s="29"/>
      <c r="O23" s="29"/>
      <c r="P23" s="29"/>
      <c r="Q23" s="29"/>
      <c r="R23" s="29"/>
      <c r="S23" s="29"/>
      <c r="T23" s="29"/>
    </row>
    <row r="24" spans="1:20" ht="12" customHeight="1">
      <c r="B24" s="31" t="s">
        <v>146</v>
      </c>
      <c r="C24" s="366">
        <v>474.10487599999999</v>
      </c>
      <c r="D24" s="34"/>
      <c r="E24" s="26"/>
      <c r="F24" s="26"/>
      <c r="G24" s="3"/>
      <c r="H24" s="3"/>
      <c r="I24" s="3"/>
      <c r="J24" s="3"/>
      <c r="K24" s="3"/>
      <c r="L24" s="3"/>
      <c r="M24" s="3"/>
      <c r="N24" s="3"/>
      <c r="O24" s="3"/>
      <c r="P24" s="3"/>
      <c r="Q24" s="3"/>
      <c r="R24" s="3"/>
      <c r="S24" s="3"/>
      <c r="T24" s="3"/>
    </row>
    <row r="25" spans="1:20" ht="12" customHeight="1">
      <c r="B25" s="28" t="s">
        <v>263</v>
      </c>
      <c r="C25" s="225">
        <f ca="1">C23/C24</f>
        <v>1008.1222529955137</v>
      </c>
      <c r="D25" s="32"/>
      <c r="E25" s="3"/>
      <c r="G25" s="7"/>
      <c r="H25" s="15"/>
      <c r="I25" s="15"/>
      <c r="J25" s="15"/>
      <c r="K25" s="15"/>
      <c r="L25" s="3"/>
      <c r="M25" s="3"/>
      <c r="N25" s="3"/>
      <c r="O25" s="3"/>
      <c r="P25" s="3"/>
      <c r="Q25" s="3"/>
      <c r="R25" s="3"/>
      <c r="S25" s="3"/>
      <c r="T25" s="3"/>
    </row>
    <row r="26" spans="1:20" ht="12" customHeight="1">
      <c r="D26" s="35"/>
      <c r="E26" s="368"/>
      <c r="F26" s="368"/>
      <c r="G26" s="15"/>
      <c r="H26" s="6"/>
      <c r="I26" s="6"/>
      <c r="J26" s="6"/>
      <c r="K26" s="6"/>
      <c r="L26" s="3"/>
      <c r="M26" s="3"/>
      <c r="N26" s="3"/>
      <c r="O26" s="3"/>
      <c r="P26" s="3"/>
      <c r="Q26" s="3"/>
      <c r="R26" s="3"/>
      <c r="S26" s="3"/>
      <c r="T26" s="3"/>
    </row>
    <row r="27" spans="1:20" ht="12" customHeight="1">
      <c r="B27" s="3"/>
      <c r="C27" s="6"/>
      <c r="D27" s="3"/>
      <c r="E27" s="358"/>
      <c r="F27" s="359"/>
      <c r="G27" s="15"/>
      <c r="H27" s="6"/>
      <c r="I27" s="6"/>
      <c r="J27" s="6"/>
      <c r="K27" s="6"/>
      <c r="L27" s="3"/>
      <c r="M27" s="3"/>
      <c r="N27" s="3"/>
      <c r="O27" s="3"/>
      <c r="P27" s="3"/>
      <c r="Q27" s="3"/>
      <c r="R27" s="3"/>
      <c r="S27" s="3"/>
      <c r="T27" s="3"/>
    </row>
    <row r="28" spans="1:20" ht="12" customHeight="1">
      <c r="B28" s="3"/>
      <c r="C28" s="5"/>
      <c r="D28" s="3"/>
      <c r="E28" s="360"/>
      <c r="F28" s="361"/>
      <c r="G28" s="15"/>
      <c r="H28" s="6"/>
      <c r="I28" s="6"/>
      <c r="J28" s="6"/>
      <c r="K28" s="6"/>
      <c r="L28" s="3"/>
      <c r="M28" s="3"/>
      <c r="N28" s="3"/>
      <c r="O28" s="3"/>
      <c r="P28" s="3"/>
      <c r="Q28" s="3"/>
      <c r="R28" s="3"/>
      <c r="S28" s="3"/>
      <c r="T28" s="3"/>
    </row>
    <row r="29" spans="1:20" ht="12" customHeight="1">
      <c r="B29" s="3"/>
      <c r="C29" s="3"/>
      <c r="D29" s="3"/>
      <c r="E29" s="46"/>
      <c r="F29" s="239"/>
      <c r="G29" s="15"/>
      <c r="H29" s="6"/>
      <c r="I29" s="6"/>
      <c r="J29" s="6"/>
      <c r="K29" s="6"/>
      <c r="L29" s="3"/>
      <c r="M29" s="3"/>
      <c r="N29" s="3"/>
      <c r="O29" s="3"/>
      <c r="P29" s="3"/>
      <c r="Q29" s="3"/>
      <c r="R29" s="3"/>
      <c r="S29" s="3"/>
      <c r="T29" s="3"/>
    </row>
    <row r="30" spans="1:20" ht="12" customHeight="1">
      <c r="B30" s="3"/>
      <c r="C30" s="3"/>
      <c r="D30" s="3"/>
      <c r="E30" s="46"/>
      <c r="F30" s="210"/>
      <c r="G30" s="3"/>
      <c r="H30" s="3"/>
      <c r="I30" s="3"/>
      <c r="J30" s="3"/>
      <c r="K30" s="3"/>
      <c r="L30" s="3"/>
      <c r="M30" s="3"/>
      <c r="N30" s="3"/>
      <c r="O30" s="3"/>
      <c r="P30" s="3"/>
      <c r="Q30" s="3"/>
      <c r="R30" s="3"/>
      <c r="S30" s="3"/>
      <c r="T30" s="3"/>
    </row>
    <row r="31" spans="1:20" ht="12" customHeight="1">
      <c r="E31" s="34"/>
      <c r="F31" s="203"/>
      <c r="G31" s="3"/>
      <c r="H31" s="3"/>
      <c r="I31" s="3"/>
      <c r="J31" s="3"/>
      <c r="K31" s="3"/>
      <c r="L31" s="3"/>
      <c r="M31" s="3"/>
    </row>
    <row r="32" spans="1:20" ht="12" customHeight="1">
      <c r="C32" s="14"/>
      <c r="E32" s="3"/>
      <c r="F32" s="203"/>
      <c r="G32" s="3"/>
      <c r="H32" s="3"/>
      <c r="I32" s="3"/>
      <c r="J32" s="3"/>
      <c r="K32" s="3"/>
      <c r="L32" s="3"/>
      <c r="M32" s="3"/>
    </row>
    <row r="33" spans="2:13" ht="12" customHeight="1">
      <c r="E33" s="3"/>
      <c r="F33" s="354"/>
    </row>
    <row r="34" spans="2:13" ht="12" customHeight="1">
      <c r="B34" s="16"/>
      <c r="E34" s="3"/>
      <c r="F34" s="77"/>
      <c r="G34" s="9"/>
      <c r="K34" s="11"/>
    </row>
    <row r="35" spans="2:13" ht="12" customHeight="1">
      <c r="B35" s="9"/>
      <c r="E35" s="32"/>
      <c r="F35" s="353"/>
      <c r="G35" s="12"/>
      <c r="K35" s="9"/>
      <c r="M35" s="9"/>
    </row>
    <row r="36" spans="2:13" ht="12" customHeight="1">
      <c r="E36" s="32"/>
      <c r="M36" s="9"/>
    </row>
    <row r="37" spans="2:13" ht="12" customHeight="1">
      <c r="E37" s="32"/>
      <c r="F37" s="6"/>
      <c r="G37" s="16"/>
      <c r="K37" s="4"/>
    </row>
    <row r="40" spans="2:13" ht="12" customHeight="1">
      <c r="G40" s="13"/>
    </row>
    <row r="41" spans="2:13" ht="12" customHeight="1">
      <c r="G41" s="9"/>
    </row>
    <row r="42" spans="2:13" ht="12" customHeight="1">
      <c r="G42" s="13"/>
    </row>
    <row r="44" spans="2:13" ht="12" customHeight="1">
      <c r="G44" s="16"/>
    </row>
  </sheetData>
  <mergeCells count="1">
    <mergeCell ref="B4:L4"/>
  </mergeCells>
  <pageMargins left="0.7" right="0.7"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Cover</vt:lpstr>
      <vt:lpstr>About</vt:lpstr>
      <vt:lpstr>Narrative</vt:lpstr>
      <vt:lpstr>Index</vt:lpstr>
      <vt:lpstr>Risk Free Rate</vt:lpstr>
      <vt:lpstr>Equity Risk Premium</vt:lpstr>
      <vt:lpstr>Beta</vt:lpstr>
      <vt:lpstr>Cost of Equity &amp; Debt</vt:lpstr>
      <vt:lpstr>WACC</vt:lpstr>
      <vt:lpstr>Cash Flows</vt:lpstr>
      <vt:lpstr>EBIT &amp; Advertising Expense</vt:lpstr>
      <vt:lpstr>Net CapEx</vt:lpstr>
      <vt:lpstr>Working Capital Changes</vt:lpstr>
      <vt:lpstr>FCFF &amp; FCFE</vt:lpstr>
      <vt:lpstr>Growth Rate &amp; TV</vt:lpstr>
      <vt:lpstr>Expected Growth Rate</vt:lpstr>
      <vt:lpstr>Industry &amp; Revenues</vt:lpstr>
      <vt:lpstr>Future Cashflows (10 Yrs)</vt:lpstr>
      <vt:lpstr>Terminal Value</vt:lpstr>
      <vt:lpstr>Road to Fair Value of Share</vt:lpstr>
      <vt:lpstr>Cash &amp; Marketable Securities</vt:lpstr>
      <vt:lpstr>Value of Cross Holdings</vt:lpstr>
      <vt:lpstr>Nykaa KK Beauty Pvt Ltd</vt:lpstr>
      <vt:lpstr>Dot &amp; Key Wellness Pvt Ltd</vt:lpstr>
      <vt:lpstr>Fair Value of Share</vt:lpstr>
      <vt:lpstr>'Industry &amp; Revenues'!Print_Area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2022-08-14T13:25:23Z</dcterms:modified>
</cp:coreProperties>
</file>