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585" windowWidth="14805" windowHeight="7530"/>
  </bookViews>
  <sheets>
    <sheet name="Cover" sheetId="28" r:id="rId1"/>
    <sheet name="About" sheetId="29" r:id="rId2"/>
    <sheet name="Narrative" sheetId="49" r:id="rId3"/>
    <sheet name="Index" sheetId="4" r:id="rId4"/>
    <sheet name="Risk Free Rate" sheetId="24" r:id="rId5"/>
    <sheet name="Equity Risk Premium" sheetId="26" r:id="rId6"/>
    <sheet name="Beta" sheetId="30" r:id="rId7"/>
    <sheet name="Cost of Equity &amp; Debt" sheetId="23" r:id="rId8"/>
    <sheet name="WACC" sheetId="31" r:id="rId9"/>
    <sheet name="Cash Flows" sheetId="17" r:id="rId10"/>
    <sheet name="EBIT &amp; Advertising Expense" sheetId="50" r:id="rId11"/>
    <sheet name="EBIT &amp; Operating Lease" sheetId="51" r:id="rId12"/>
    <sheet name="Net CapEx" sheetId="32" r:id="rId13"/>
    <sheet name="Working Capital Changes" sheetId="34" r:id="rId14"/>
    <sheet name="FCFF &amp; FCFE" sheetId="35" r:id="rId15"/>
    <sheet name="Growth Rate &amp; TV" sheetId="36" r:id="rId16"/>
    <sheet name="Expected Growth Rate" sheetId="39" r:id="rId17"/>
    <sheet name="Amusement Park Industry TAM" sheetId="52" r:id="rId18"/>
    <sheet name="Future Cashflows (10 Yrs)" sheetId="37" r:id="rId19"/>
    <sheet name="Terminal Value" sheetId="40" r:id="rId20"/>
    <sheet name="Road to Fair Value of Share" sheetId="42" r:id="rId21"/>
    <sheet name="Cash &amp; Marketable Securities" sheetId="43" r:id="rId22"/>
    <sheet name="Future Value of Equity Options" sheetId="53" r:id="rId23"/>
    <sheet name="Fair Value of Share" sheetId="48" r:id="rId24"/>
  </sheets>
  <definedNames>
    <definedName name="_xlnm.Print_Area" localSheetId="17">'Amusement Park Industry TAM'!$A$26:$P$52</definedName>
    <definedName name="_xlnm.Print_Area" localSheetId="10">'EBIT &amp; Advertising Expense'!$A$9:$C$13,'EBIT &amp; Advertising Expense'!$F$11:$M$16</definedName>
    <definedName name="_xlnm.Print_Area" localSheetId="11">'EBIT &amp; Operating Lease'!$A$9:$C$9,'EBIT &amp; Operating Lease'!$F$11:$M$16</definedName>
    <definedName name="_xlnm.Print_Area" localSheetId="23">'Fair Value of Share'!$A$12:$H$25</definedName>
    <definedName name="_xlnm.Print_Area" localSheetId="18">'Future Cashflows (10 Yrs)'!$A$3:$J$28</definedName>
    <definedName name="_xlnm.Print_Area" localSheetId="22">'Future Value of Equity Options'!$B$3:$M$29</definedName>
  </definedNames>
  <calcPr calcId="162913" iterate="1"/>
</workbook>
</file>

<file path=xl/calcChain.xml><?xml version="1.0" encoding="utf-8"?>
<calcChain xmlns="http://schemas.openxmlformats.org/spreadsheetml/2006/main">
  <c r="B12" i="4" l="1"/>
  <c r="I10" i="37"/>
  <c r="G5" i="37"/>
  <c r="D20" i="53"/>
  <c r="D29" i="53"/>
  <c r="D19" i="53"/>
  <c r="C24" i="53" l="1"/>
  <c r="E20" i="53"/>
  <c r="M14" i="53"/>
  <c r="M13" i="53"/>
  <c r="L13" i="53"/>
  <c r="K13" i="53"/>
  <c r="J13" i="53"/>
  <c r="I13" i="53"/>
  <c r="H13" i="53"/>
  <c r="G13" i="53"/>
  <c r="F13" i="53"/>
  <c r="E13" i="53"/>
  <c r="D13" i="53"/>
  <c r="C13" i="53"/>
  <c r="D12" i="53"/>
  <c r="E12" i="53"/>
  <c r="F12" i="53"/>
  <c r="G12" i="53"/>
  <c r="H12" i="53"/>
  <c r="I12" i="53"/>
  <c r="J12" i="53"/>
  <c r="K12" i="53"/>
  <c r="L12" i="53"/>
  <c r="M12" i="53"/>
  <c r="C12" i="53"/>
  <c r="K14" i="53"/>
  <c r="E27" i="53" s="1"/>
  <c r="C22" i="48"/>
  <c r="D5" i="53"/>
  <c r="C5" i="53"/>
  <c r="G8" i="53"/>
  <c r="E7" i="53"/>
  <c r="F7" i="53"/>
  <c r="G7" i="53"/>
  <c r="D7" i="53"/>
  <c r="G5" i="53"/>
  <c r="F5" i="53"/>
  <c r="E5" i="53"/>
  <c r="C6" i="53"/>
  <c r="E6" i="53"/>
  <c r="F6" i="53"/>
  <c r="G6" i="53"/>
  <c r="D6" i="53"/>
  <c r="B22" i="53"/>
  <c r="B23" i="53" s="1"/>
  <c r="B24" i="53" s="1"/>
  <c r="B25" i="53" s="1"/>
  <c r="B26" i="53" s="1"/>
  <c r="B27" i="53" s="1"/>
  <c r="B28" i="53" s="1"/>
  <c r="B29" i="53" s="1"/>
  <c r="B21" i="53"/>
  <c r="L14" i="53"/>
  <c r="E28" i="53" s="1"/>
  <c r="J14" i="53"/>
  <c r="E26" i="53" s="1"/>
  <c r="H14" i="53"/>
  <c r="E24" i="53" s="1"/>
  <c r="D14" i="53"/>
  <c r="E29" i="53"/>
  <c r="I14" i="53"/>
  <c r="E25" i="53" s="1"/>
  <c r="C26" i="53" l="1"/>
  <c r="D26" i="53" s="1"/>
  <c r="D24" i="53"/>
  <c r="C25" i="53"/>
  <c r="D25" i="53" s="1"/>
  <c r="C27" i="53"/>
  <c r="C22" i="53"/>
  <c r="D22" i="53" s="1"/>
  <c r="C14" i="53"/>
  <c r="C28" i="53" l="1"/>
  <c r="D28" i="53" s="1"/>
  <c r="D27" i="53"/>
  <c r="C23" i="53"/>
  <c r="D23" i="53" s="1"/>
  <c r="C21" i="53"/>
  <c r="D21" i="53" s="1"/>
  <c r="C7" i="43"/>
  <c r="C6" i="43"/>
  <c r="C4" i="43"/>
  <c r="C5" i="43"/>
  <c r="D28" i="37"/>
  <c r="D20" i="37"/>
  <c r="D21" i="37"/>
  <c r="D22" i="37"/>
  <c r="D23" i="37"/>
  <c r="D24" i="37"/>
  <c r="D25" i="37"/>
  <c r="D26" i="37"/>
  <c r="D27" i="37"/>
  <c r="D19" i="37"/>
  <c r="M4" i="37"/>
  <c r="C4" i="37"/>
  <c r="H4" i="52"/>
  <c r="G5" i="52"/>
  <c r="G6" i="52" s="1"/>
  <c r="G7" i="52" s="1"/>
  <c r="G8" i="52" s="1"/>
  <c r="G9" i="52" s="1"/>
  <c r="G10" i="52" s="1"/>
  <c r="G11" i="52" s="1"/>
  <c r="G12" i="52" s="1"/>
  <c r="G13" i="52" s="1"/>
  <c r="G14" i="52" s="1"/>
  <c r="C18" i="52"/>
  <c r="G4" i="52"/>
  <c r="F5" i="52"/>
  <c r="F6" i="52" s="1"/>
  <c r="F4" i="52"/>
  <c r="C11" i="52"/>
  <c r="C13" i="52" s="1"/>
  <c r="E4" i="37"/>
  <c r="D4" i="37" s="1"/>
  <c r="C4" i="52"/>
  <c r="C6" i="52" s="1"/>
  <c r="C15" i="52" s="1"/>
  <c r="G11" i="39"/>
  <c r="F7" i="52" l="1"/>
  <c r="H6" i="52"/>
  <c r="H5" i="52"/>
  <c r="D9" i="37"/>
  <c r="I6" i="52" l="1"/>
  <c r="C6" i="37"/>
  <c r="C5" i="37"/>
  <c r="I5" i="52"/>
  <c r="H7" i="52"/>
  <c r="F8" i="52"/>
  <c r="D11" i="37"/>
  <c r="D10" i="37" s="1"/>
  <c r="D7" i="37"/>
  <c r="C3" i="32"/>
  <c r="G11" i="35"/>
  <c r="H14" i="34"/>
  <c r="H16" i="34" s="1"/>
  <c r="H9" i="34"/>
  <c r="F9" i="34"/>
  <c r="H11" i="34"/>
  <c r="F14" i="34"/>
  <c r="I11" i="34"/>
  <c r="J11" i="34"/>
  <c r="K11" i="34"/>
  <c r="C4" i="32"/>
  <c r="I12" i="51"/>
  <c r="J12" i="51"/>
  <c r="K12" i="51"/>
  <c r="L12" i="51"/>
  <c r="H12" i="51"/>
  <c r="I12" i="50"/>
  <c r="J12" i="50"/>
  <c r="K12" i="50"/>
  <c r="L12" i="50"/>
  <c r="H12" i="50"/>
  <c r="G13" i="51"/>
  <c r="C5" i="51"/>
  <c r="K14" i="51"/>
  <c r="J14" i="51"/>
  <c r="I14" i="51"/>
  <c r="H14" i="51"/>
  <c r="K13" i="51"/>
  <c r="K16" i="51" s="1"/>
  <c r="J13" i="51"/>
  <c r="J15" i="51" s="1"/>
  <c r="J7" i="51"/>
  <c r="I7" i="51"/>
  <c r="L13" i="51"/>
  <c r="I13" i="51"/>
  <c r="H13" i="51"/>
  <c r="H8" i="52" l="1"/>
  <c r="F9" i="52"/>
  <c r="I7" i="52"/>
  <c r="C7" i="37"/>
  <c r="D8" i="37"/>
  <c r="D6" i="37"/>
  <c r="E7" i="37"/>
  <c r="D12" i="37"/>
  <c r="F16" i="34"/>
  <c r="I15" i="51"/>
  <c r="I16" i="51"/>
  <c r="H15" i="51"/>
  <c r="H16" i="51"/>
  <c r="M16" i="51" s="1"/>
  <c r="C11" i="51" s="1"/>
  <c r="C7" i="51" s="1"/>
  <c r="C6" i="32" s="1"/>
  <c r="L16" i="51"/>
  <c r="L15" i="51"/>
  <c r="K15" i="51"/>
  <c r="G7" i="51"/>
  <c r="K8" i="51" s="1"/>
  <c r="G15" i="51" s="1"/>
  <c r="M15" i="51" s="1"/>
  <c r="C10" i="51" s="1"/>
  <c r="F7" i="31" s="1"/>
  <c r="F8" i="31" s="1"/>
  <c r="C8" i="39" s="1"/>
  <c r="K7" i="51"/>
  <c r="J16" i="51"/>
  <c r="H7" i="51"/>
  <c r="C8" i="37" l="1"/>
  <c r="I8" i="52"/>
  <c r="H9" i="52"/>
  <c r="F10" i="52"/>
  <c r="E8" i="37"/>
  <c r="G18" i="37"/>
  <c r="D18" i="37" s="1"/>
  <c r="F7" i="37"/>
  <c r="E6" i="37"/>
  <c r="C21" i="37" s="1"/>
  <c r="D5" i="37"/>
  <c r="E5" i="37" s="1"/>
  <c r="F8" i="37"/>
  <c r="D13" i="37"/>
  <c r="F21" i="34"/>
  <c r="I13" i="50"/>
  <c r="J13" i="50"/>
  <c r="K13" i="50"/>
  <c r="L13" i="50"/>
  <c r="H13" i="50"/>
  <c r="C9" i="50"/>
  <c r="K8" i="50"/>
  <c r="K7" i="50"/>
  <c r="J7" i="50"/>
  <c r="I7" i="50"/>
  <c r="H7" i="50"/>
  <c r="G7" i="50"/>
  <c r="I5" i="50"/>
  <c r="H5" i="50"/>
  <c r="G5" i="50"/>
  <c r="J5" i="50"/>
  <c r="K5" i="50"/>
  <c r="C9" i="37" l="1"/>
  <c r="E9" i="37" s="1"/>
  <c r="F9" i="37" s="1"/>
  <c r="I9" i="52"/>
  <c r="F5" i="37"/>
  <c r="C19" i="37"/>
  <c r="F11" i="52"/>
  <c r="H10" i="52"/>
  <c r="F6" i="37"/>
  <c r="G13" i="50"/>
  <c r="G15" i="50" s="1"/>
  <c r="M15" i="50" s="1"/>
  <c r="C6" i="50"/>
  <c r="C5" i="50"/>
  <c r="L16" i="50"/>
  <c r="K16" i="50"/>
  <c r="J16" i="50"/>
  <c r="I16" i="50"/>
  <c r="H16" i="50"/>
  <c r="L15" i="50"/>
  <c r="H15" i="50"/>
  <c r="K14" i="50"/>
  <c r="K15" i="50" s="1"/>
  <c r="J14" i="50"/>
  <c r="J15" i="50" s="1"/>
  <c r="I14" i="50"/>
  <c r="I15" i="50" s="1"/>
  <c r="H14" i="50"/>
  <c r="I10" i="52" l="1"/>
  <c r="C10" i="37"/>
  <c r="E10" i="37" s="1"/>
  <c r="F10" i="37" s="1"/>
  <c r="H11" i="52"/>
  <c r="F12" i="52"/>
  <c r="M16" i="50"/>
  <c r="C8" i="50"/>
  <c r="C10" i="50"/>
  <c r="C15" i="50"/>
  <c r="C14" i="50"/>
  <c r="I11" i="52" l="1"/>
  <c r="C11" i="37"/>
  <c r="E11" i="37" s="1"/>
  <c r="F11" i="37" s="1"/>
  <c r="H12" i="52"/>
  <c r="F13" i="52"/>
  <c r="C12" i="50"/>
  <c r="C4" i="51" s="1"/>
  <c r="C6" i="51" s="1"/>
  <c r="C8" i="51" s="1"/>
  <c r="G5" i="35" s="1"/>
  <c r="C11" i="50"/>
  <c r="C5" i="32" s="1"/>
  <c r="C7" i="32" s="1"/>
  <c r="G10" i="35" s="1"/>
  <c r="C21" i="23"/>
  <c r="F14" i="52" l="1"/>
  <c r="H14" i="52" s="1"/>
  <c r="H13" i="52"/>
  <c r="C12" i="37"/>
  <c r="E12" i="37" s="1"/>
  <c r="F12" i="37" s="1"/>
  <c r="I12" i="52"/>
  <c r="G8" i="35"/>
  <c r="H4" i="37"/>
  <c r="C19" i="53" s="1"/>
  <c r="G19" i="53" s="1"/>
  <c r="G4" i="37" s="1"/>
  <c r="F6" i="31"/>
  <c r="C7" i="30"/>
  <c r="I10" i="30"/>
  <c r="M10" i="30"/>
  <c r="L9" i="30"/>
  <c r="K9" i="30"/>
  <c r="L8" i="30"/>
  <c r="K8" i="30"/>
  <c r="L7" i="30"/>
  <c r="K7" i="30"/>
  <c r="L6" i="30"/>
  <c r="K6" i="30"/>
  <c r="L4" i="30"/>
  <c r="K4" i="30"/>
  <c r="C13" i="37" l="1"/>
  <c r="E13" i="37" s="1"/>
  <c r="F13" i="37" s="1"/>
  <c r="I13" i="52"/>
  <c r="I14" i="52"/>
  <c r="C14" i="37"/>
  <c r="E14" i="37" s="1"/>
  <c r="F14" i="37" s="1"/>
  <c r="I4" i="37"/>
  <c r="J4" i="37" s="1"/>
  <c r="C7" i="39"/>
  <c r="C9" i="39" s="1"/>
  <c r="C4" i="39"/>
  <c r="C9" i="43" l="1"/>
  <c r="G12" i="40" l="1"/>
  <c r="G15" i="40"/>
  <c r="G11" i="40"/>
  <c r="B20" i="37" l="1"/>
  <c r="B21" i="37" s="1"/>
  <c r="B22" i="37" s="1"/>
  <c r="B23" i="37" s="1"/>
  <c r="B24" i="37" s="1"/>
  <c r="B25" i="37" s="1"/>
  <c r="B26" i="37" s="1"/>
  <c r="B27" i="37" s="1"/>
  <c r="B28" i="37" s="1"/>
  <c r="M5" i="37"/>
  <c r="C8" i="40" s="1"/>
  <c r="B6" i="37"/>
  <c r="B7" i="37" s="1"/>
  <c r="B8" i="37" s="1"/>
  <c r="B9" i="37" s="1"/>
  <c r="B10" i="37" s="1"/>
  <c r="B11" i="37" s="1"/>
  <c r="B12" i="37" s="1"/>
  <c r="B13" i="37" s="1"/>
  <c r="B14" i="37" s="1"/>
  <c r="C25" i="37" l="1"/>
  <c r="E25" i="37" s="1"/>
  <c r="C22" i="37"/>
  <c r="E22" i="37" s="1"/>
  <c r="E19" i="37"/>
  <c r="C23" i="37"/>
  <c r="E23" i="37" s="1"/>
  <c r="E21" i="37"/>
  <c r="C24" i="37"/>
  <c r="E24" i="37" s="1"/>
  <c r="C20" i="37"/>
  <c r="E20" i="37" s="1"/>
  <c r="C8" i="34" l="1"/>
  <c r="C5" i="34"/>
  <c r="I9" i="34"/>
  <c r="K9" i="34"/>
  <c r="K14" i="34"/>
  <c r="G9" i="34"/>
  <c r="J9" i="34"/>
  <c r="G14" i="34"/>
  <c r="I14" i="34"/>
  <c r="J14" i="34"/>
  <c r="B5" i="35"/>
  <c r="B3" i="35"/>
  <c r="K16" i="34" l="1"/>
  <c r="K21" i="34" s="1"/>
  <c r="I16" i="34"/>
  <c r="I21" i="34" s="1"/>
  <c r="G16" i="34"/>
  <c r="J16" i="34"/>
  <c r="J11" i="35"/>
  <c r="K8" i="35"/>
  <c r="G21" i="34" l="1"/>
  <c r="H18" i="34"/>
  <c r="G18" i="34"/>
  <c r="J18" i="34"/>
  <c r="J21" i="34"/>
  <c r="H21" i="34"/>
  <c r="K22" i="34" s="1"/>
  <c r="I18" i="34"/>
  <c r="K18" i="34"/>
  <c r="C3" i="34" l="1"/>
  <c r="C9" i="34" s="1"/>
  <c r="C11" i="31"/>
  <c r="B11" i="31"/>
  <c r="B9" i="31"/>
  <c r="B8" i="31"/>
  <c r="B6" i="31"/>
  <c r="B5" i="31"/>
  <c r="F27" i="31"/>
  <c r="C6" i="31" s="1"/>
  <c r="C6" i="34" l="1"/>
  <c r="F15" i="31"/>
  <c r="F11" i="31"/>
  <c r="C8" i="30" s="1"/>
  <c r="G19" i="37"/>
  <c r="K5" i="35"/>
  <c r="C17" i="23"/>
  <c r="C16" i="23"/>
  <c r="L5" i="30"/>
  <c r="K5" i="30"/>
  <c r="C4" i="30"/>
  <c r="C3" i="30"/>
  <c r="K7" i="35" l="1"/>
  <c r="K9" i="35" s="1"/>
  <c r="G12" i="35"/>
  <c r="C3" i="39" s="1"/>
  <c r="C5" i="39" s="1"/>
  <c r="C11" i="39" s="1"/>
  <c r="C11" i="34"/>
  <c r="G20" i="37"/>
  <c r="H18" i="37"/>
  <c r="F17" i="31"/>
  <c r="J4" i="26"/>
  <c r="J5" i="26"/>
  <c r="J6" i="26"/>
  <c r="J7" i="26"/>
  <c r="J8" i="26"/>
  <c r="I14" i="26"/>
  <c r="J13" i="26"/>
  <c r="J12" i="26"/>
  <c r="J11" i="26"/>
  <c r="E21" i="26"/>
  <c r="M4" i="26"/>
  <c r="C11" i="26"/>
  <c r="J9" i="26"/>
  <c r="J10" i="26"/>
  <c r="C7" i="26"/>
  <c r="C6" i="26"/>
  <c r="C3" i="26"/>
  <c r="B6" i="4"/>
  <c r="B7" i="4" s="1"/>
  <c r="B8" i="4" s="1"/>
  <c r="B9" i="4" s="1"/>
  <c r="B10" i="4" s="1"/>
  <c r="B11" i="4" s="1"/>
  <c r="B13" i="4" s="1"/>
  <c r="B14" i="4" s="1"/>
  <c r="B15" i="4" s="1"/>
  <c r="B16" i="4" s="1"/>
  <c r="B17" i="4" s="1"/>
  <c r="B18" i="4" s="1"/>
  <c r="B19" i="4" s="1"/>
  <c r="B20" i="4" s="1"/>
  <c r="B21" i="4" s="1"/>
  <c r="B22" i="4" s="1"/>
  <c r="B23" i="4" s="1"/>
  <c r="B24" i="4" s="1"/>
  <c r="B25" i="4" s="1"/>
  <c r="K11" i="35" l="1"/>
  <c r="K13" i="35" s="1"/>
  <c r="C5" i="35" s="1"/>
  <c r="G14" i="35"/>
  <c r="C3" i="35" s="1"/>
  <c r="F18" i="37" s="1"/>
  <c r="G21" i="37"/>
  <c r="C8" i="31"/>
  <c r="F20" i="31"/>
  <c r="C20" i="48" s="1"/>
  <c r="M6" i="26"/>
  <c r="M7" i="26" s="1"/>
  <c r="J14" i="26"/>
  <c r="C4" i="26" s="1"/>
  <c r="C8" i="24"/>
  <c r="C4" i="24" s="1"/>
  <c r="C9" i="31" l="1"/>
  <c r="F27" i="26"/>
  <c r="G4" i="40"/>
  <c r="C5" i="23"/>
  <c r="G22" i="37"/>
  <c r="G17" i="40"/>
  <c r="G18" i="40" s="1"/>
  <c r="C26" i="37"/>
  <c r="E26" i="37" s="1"/>
  <c r="M5" i="26"/>
  <c r="M9" i="26" s="1"/>
  <c r="C13" i="26" s="1"/>
  <c r="F21" i="26"/>
  <c r="G23" i="37" l="1"/>
  <c r="C27" i="37"/>
  <c r="E27" i="37" s="1"/>
  <c r="G21" i="26"/>
  <c r="H21" i="26" s="1"/>
  <c r="G24" i="37" l="1"/>
  <c r="C28" i="37"/>
  <c r="E28" i="37" s="1"/>
  <c r="I21" i="26"/>
  <c r="J21" i="26" s="1"/>
  <c r="K21" i="26" s="1"/>
  <c r="G25" i="37" l="1"/>
  <c r="F24" i="26"/>
  <c r="F23" i="26"/>
  <c r="G26" i="37" l="1"/>
  <c r="F26" i="26"/>
  <c r="F28" i="26" s="1"/>
  <c r="G27" i="37" l="1"/>
  <c r="C6" i="23"/>
  <c r="G5" i="40"/>
  <c r="G8" i="40" s="1"/>
  <c r="G19" i="40" s="1"/>
  <c r="L7" i="48" l="1"/>
  <c r="G28" i="37"/>
  <c r="C7" i="23"/>
  <c r="C9" i="23" l="1"/>
  <c r="C5" i="31" s="1"/>
  <c r="C13" i="31" s="1"/>
  <c r="C7" i="48" l="1"/>
  <c r="D7" i="48" s="1"/>
  <c r="C10" i="43"/>
  <c r="H7" i="48"/>
  <c r="F7" i="48" s="1"/>
  <c r="C11" i="43" l="1"/>
  <c r="C13" i="43" s="1"/>
  <c r="C16" i="48" s="1"/>
  <c r="G7" i="48"/>
  <c r="E7" i="48"/>
  <c r="J7" i="48"/>
  <c r="I7" i="48" s="1"/>
  <c r="K7" i="48" l="1"/>
  <c r="E14" i="53" l="1"/>
  <c r="E21" i="53" s="1"/>
  <c r="G14" i="53"/>
  <c r="E23" i="53" s="1"/>
  <c r="F14" i="53"/>
  <c r="E22" i="53" s="1"/>
  <c r="F29" i="53"/>
  <c r="G29" i="53" s="1"/>
  <c r="G14" i="37" s="1"/>
  <c r="H14" i="37" s="1"/>
  <c r="I14" i="37" s="1"/>
  <c r="C7" i="40"/>
  <c r="C9" i="40" s="1"/>
  <c r="H5" i="37"/>
  <c r="I5" i="37" s="1"/>
  <c r="F20" i="53"/>
  <c r="G20" i="53" s="1"/>
  <c r="F24" i="53"/>
  <c r="G24" i="53" s="1"/>
  <c r="G9" i="37" s="1"/>
  <c r="F28" i="37" l="1"/>
  <c r="L6" i="48" s="1"/>
  <c r="L8" i="48" s="1"/>
  <c r="H28" i="37"/>
  <c r="C4" i="40" s="1"/>
  <c r="C5" i="40" s="1"/>
  <c r="C11" i="40" s="1"/>
  <c r="C13" i="40" s="1"/>
  <c r="C13" i="48" s="1"/>
  <c r="C14" i="48" s="1"/>
  <c r="F25" i="53"/>
  <c r="G25" i="53" s="1"/>
  <c r="G10" i="37" s="1"/>
  <c r="H10" i="37" s="1"/>
  <c r="F22" i="53"/>
  <c r="G22" i="53" s="1"/>
  <c r="G7" i="37" s="1"/>
  <c r="H7" i="37"/>
  <c r="I7" i="37" s="1"/>
  <c r="F19" i="37"/>
  <c r="C6" i="48" s="1"/>
  <c r="C8" i="48" s="1"/>
  <c r="H19" i="37"/>
  <c r="J5" i="37"/>
  <c r="H9" i="37"/>
  <c r="I9" i="37" s="1"/>
  <c r="F26" i="53"/>
  <c r="G26" i="53" s="1"/>
  <c r="G11" i="37" s="1"/>
  <c r="H11" i="37"/>
  <c r="I11" i="37" s="1"/>
  <c r="F23" i="37" l="1"/>
  <c r="G6" i="48" s="1"/>
  <c r="G8" i="48" s="1"/>
  <c r="H23" i="37"/>
  <c r="F21" i="53"/>
  <c r="G21" i="53" s="1"/>
  <c r="G6" i="37" s="1"/>
  <c r="H6" i="37" s="1"/>
  <c r="I6" i="37" s="1"/>
  <c r="J6" i="37" s="1"/>
  <c r="J7" i="37" s="1"/>
  <c r="J8" i="37" s="1"/>
  <c r="J9" i="37" s="1"/>
  <c r="F27" i="53"/>
  <c r="G27" i="53" s="1"/>
  <c r="G12" i="37" s="1"/>
  <c r="H12" i="37" s="1"/>
  <c r="I12" i="37" s="1"/>
  <c r="F21" i="37"/>
  <c r="E6" i="48" s="1"/>
  <c r="E8" i="48" s="1"/>
  <c r="H21" i="37"/>
  <c r="F23" i="53"/>
  <c r="G23" i="53" s="1"/>
  <c r="G8" i="37" s="1"/>
  <c r="H8" i="37" s="1"/>
  <c r="I8" i="37" s="1"/>
  <c r="F25" i="37"/>
  <c r="I6" i="48" s="1"/>
  <c r="I8" i="48" s="1"/>
  <c r="H25" i="37"/>
  <c r="H24" i="37" l="1"/>
  <c r="F24" i="37"/>
  <c r="H6" i="48" s="1"/>
  <c r="H8" i="48" s="1"/>
  <c r="H22" i="37"/>
  <c r="F22" i="37"/>
  <c r="F6" i="48" s="1"/>
  <c r="F8" i="48" s="1"/>
  <c r="H20" i="37"/>
  <c r="F20" i="37"/>
  <c r="D6" i="48" s="1"/>
  <c r="D8" i="48" s="1"/>
  <c r="H26" i="37"/>
  <c r="F26" i="37"/>
  <c r="J6" i="48" s="1"/>
  <c r="J8" i="48" s="1"/>
  <c r="F28" i="53"/>
  <c r="G28" i="53" s="1"/>
  <c r="G13" i="37" s="1"/>
  <c r="H13" i="37" s="1"/>
  <c r="I13" i="37" s="1"/>
  <c r="F27" i="37" l="1"/>
  <c r="K6" i="48" s="1"/>
  <c r="K8" i="48" s="1"/>
  <c r="C12" i="48" s="1"/>
  <c r="C15" i="48" s="1"/>
  <c r="C19" i="48" s="1"/>
  <c r="C21" i="48" s="1"/>
  <c r="C23" i="48" s="1"/>
  <c r="C25" i="48" s="1"/>
  <c r="H27" i="37"/>
</calcChain>
</file>

<file path=xl/sharedStrings.xml><?xml version="1.0" encoding="utf-8"?>
<sst xmlns="http://schemas.openxmlformats.org/spreadsheetml/2006/main" count="464" uniqueCount="321">
  <si>
    <t xml:space="preserve">#                </t>
  </si>
  <si>
    <t>Worksheet</t>
  </si>
  <si>
    <t>D&amp;A</t>
  </si>
  <si>
    <t>EBIT</t>
  </si>
  <si>
    <t>Inventory</t>
  </si>
  <si>
    <t>Total Equity</t>
  </si>
  <si>
    <t>Revenues</t>
  </si>
  <si>
    <t>WACC</t>
  </si>
  <si>
    <t>Loans</t>
  </si>
  <si>
    <t>Other Financial Assets</t>
  </si>
  <si>
    <t>Beta</t>
  </si>
  <si>
    <t>Cost of Capital</t>
  </si>
  <si>
    <t>Cost of Equity</t>
  </si>
  <si>
    <t>Cost of Debt</t>
  </si>
  <si>
    <t>Risk Free Rate</t>
  </si>
  <si>
    <t>Equity Risk Premium</t>
  </si>
  <si>
    <t>India 10-Year Government Bond Yield</t>
  </si>
  <si>
    <t>India Credit Rating (Fitch - 06/10/2022)</t>
  </si>
  <si>
    <t>India's Default Spread</t>
  </si>
  <si>
    <t>Cyprus</t>
  </si>
  <si>
    <t>Mexico</t>
  </si>
  <si>
    <t>Panama</t>
  </si>
  <si>
    <t>Romania</t>
  </si>
  <si>
    <t>Uruguay</t>
  </si>
  <si>
    <t>Croatia</t>
  </si>
  <si>
    <t>Kazakhstan</t>
  </si>
  <si>
    <t>Montserrat</t>
  </si>
  <si>
    <t>Trinidad and Tobago</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</si>
  <si>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</si>
  <si>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</si>
  <si>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</si>
  <si>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</si>
  <si>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</si>
  <si>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</si>
  <si>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</si>
  <si>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</si>
  <si>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</si>
  <si>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</si>
  <si>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</si>
  <si>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</si>
  <si>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</si>
  <si>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</si>
  <si>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</si>
  <si>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</si>
  <si>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</si>
  <si>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</si>
  <si>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</si>
  <si>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</si>
  <si>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</si>
  <si>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</si>
  <si>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Avg Default Spread (%)</t>
  </si>
  <si>
    <t>Countries credit rating same as India</t>
  </si>
  <si>
    <t>(Risk Free Rate = 10 Year Gov Bond - Default Spread)</t>
  </si>
  <si>
    <t>Year</t>
  </si>
  <si>
    <t>Dividends from Nifty50 in 2021</t>
  </si>
  <si>
    <t>Dividend Cf</t>
  </si>
  <si>
    <t>Avg Div Yield</t>
  </si>
  <si>
    <t>Adj Avg Div Yield (Last 10 Years)</t>
  </si>
  <si>
    <t>Dividend Yield (as on March 31, 2022)</t>
  </si>
  <si>
    <t>Weights</t>
  </si>
  <si>
    <t>Adj Avg Dividend Cash Flows in 2021</t>
  </si>
  <si>
    <t>Source:</t>
  </si>
  <si>
    <t>Nifty 50 Dividend Yield(DIV) on Trendlyne.com</t>
  </si>
  <si>
    <t>Nifty50 Dividend Points Index Ticker: NIFTYDIVID</t>
  </si>
  <si>
    <t>FY13</t>
  </si>
  <si>
    <t>FY14</t>
  </si>
  <si>
    <t>FY15</t>
  </si>
  <si>
    <t>FY16</t>
  </si>
  <si>
    <t>FY17</t>
  </si>
  <si>
    <t>FY18</t>
  </si>
  <si>
    <t>FY19</t>
  </si>
  <si>
    <t>FY20</t>
  </si>
  <si>
    <t>FY21</t>
  </si>
  <si>
    <t>FY22</t>
  </si>
  <si>
    <t>FY23</t>
  </si>
  <si>
    <t>FY24</t>
  </si>
  <si>
    <t>FY25</t>
  </si>
  <si>
    <t>FY26</t>
  </si>
  <si>
    <t>FY27</t>
  </si>
  <si>
    <t>EPS of Nifty50 (31st Mar 2012)</t>
  </si>
  <si>
    <t>EPS of Nifty50 (31st Mar 2022)</t>
  </si>
  <si>
    <t>Avg EPS growth Nifty50 (Last 10 Years)</t>
  </si>
  <si>
    <t>Exp Growth %</t>
  </si>
  <si>
    <t>Expected Growth % in Nifty50 (Next 5 Years)</t>
  </si>
  <si>
    <t>Nifty 50 Earnings Per share (EPS)</t>
  </si>
  <si>
    <t>India 10-Year Bond Yield</t>
  </si>
  <si>
    <t>Wght Div Cf</t>
  </si>
  <si>
    <t>Investment Outflow</t>
  </si>
  <si>
    <t>NPV @ 10%</t>
  </si>
  <si>
    <t>NPV @ 9%</t>
  </si>
  <si>
    <t>Exp Return on Stocks</t>
  </si>
  <si>
    <t>-</t>
  </si>
  <si>
    <t>Ticker</t>
  </si>
  <si>
    <t>Std Error</t>
  </si>
  <si>
    <t>Reg. Beta (5Y, Monthly)</t>
  </si>
  <si>
    <t>Beta Range</t>
  </si>
  <si>
    <t>Low Beta</t>
  </si>
  <si>
    <t>High Beta</t>
  </si>
  <si>
    <t>Regression Beta using Python (skLearn.LinearModel)</t>
  </si>
  <si>
    <t>D/E Ratio</t>
  </si>
  <si>
    <t>Yahoo Finance (yahoofinancials module)</t>
  </si>
  <si>
    <t>D/E is outlier!</t>
  </si>
  <si>
    <t>Bottom-Up Beta</t>
  </si>
  <si>
    <t>Marginal Corporate Tax Rate (%)</t>
  </si>
  <si>
    <t>India Corporate Tax Rate</t>
  </si>
  <si>
    <t>Unlevered Beta</t>
  </si>
  <si>
    <t>Levered Bottom-Up Beta</t>
  </si>
  <si>
    <t>Risk Free Rate - Rf</t>
  </si>
  <si>
    <t>(Cost of Equity = Risk Free Rate + Beta * Equity Risk Premium)</t>
  </si>
  <si>
    <t>Lambda (λ)</t>
  </si>
  <si>
    <t>US Risk Free Rate - Rf</t>
  </si>
  <si>
    <t>(Cost of Debt = Rf + λ* India's Default Spread + Co. Risk Premium)</t>
  </si>
  <si>
    <t>10 Year Bond Yield Historical Data (Investing.com)</t>
  </si>
  <si>
    <t>Standard Deviation with Python</t>
  </si>
  <si>
    <t>Cost of Equity &amp; Debt</t>
  </si>
  <si>
    <t>Pre-Tax Cost of Debt</t>
  </si>
  <si>
    <t>Market Value of Debt</t>
  </si>
  <si>
    <t>Book Value of Debt</t>
  </si>
  <si>
    <t>Interest Expense</t>
  </si>
  <si>
    <t>Est. Market Value of Debt</t>
  </si>
  <si>
    <t>Average Maturity of Debt (Yrs)</t>
  </si>
  <si>
    <t>Market Value of Equity</t>
  </si>
  <si>
    <t>Number of Shares Outstanding</t>
  </si>
  <si>
    <t>Market Capitalization</t>
  </si>
  <si>
    <t>Long Term Financial Lease</t>
  </si>
  <si>
    <t>Short Term Financial Lease</t>
  </si>
  <si>
    <t>Cash Flows</t>
  </si>
  <si>
    <t>Operating Lease</t>
  </si>
  <si>
    <t>Valuation Index</t>
  </si>
  <si>
    <t>Revenues (TTM)</t>
  </si>
  <si>
    <t>COGS</t>
  </si>
  <si>
    <t>Operating Expenses</t>
  </si>
  <si>
    <t>+</t>
  </si>
  <si>
    <t>EBIT &amp; Lease</t>
  </si>
  <si>
    <t>Adjusted EBIT</t>
  </si>
  <si>
    <t>EBIT &amp; Operating Lease</t>
  </si>
  <si>
    <t>Net CapEx</t>
  </si>
  <si>
    <t>Capital Expenditures (CapEx)</t>
  </si>
  <si>
    <t>Working Capital Changes</t>
  </si>
  <si>
    <t>Account Payables</t>
  </si>
  <si>
    <t>Non Cash Working Capital</t>
  </si>
  <si>
    <t>Industry Average</t>
  </si>
  <si>
    <t>Cash Flows - FCFF</t>
  </si>
  <si>
    <t>EBIT * (1 - Tax Rate)</t>
  </si>
  <si>
    <t>Free Cash Flow to Firm (FCFF)</t>
  </si>
  <si>
    <t>Reinvestment</t>
  </si>
  <si>
    <t>Cash Flows - FCFE</t>
  </si>
  <si>
    <t>Finance Cost</t>
  </si>
  <si>
    <t>Adjusted EBT</t>
  </si>
  <si>
    <t>Adjusted Net Income</t>
  </si>
  <si>
    <t>Free Cash Flow to Equity (FCFE)</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</si>
  <si>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</si>
  <si>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</si>
  <si>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</si>
  <si>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</si>
  <si>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</si>
  <si>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</si>
  <si>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Other Current Liabilities</t>
  </si>
  <si>
    <t>Other Current Assets</t>
  </si>
  <si>
    <t>Other Financial Liabilties</t>
  </si>
  <si>
    <t>Non Cash Current Assets</t>
  </si>
  <si>
    <t>Non Debt Current Liabilities</t>
  </si>
  <si>
    <t>Change in Non Cash Working Capital</t>
  </si>
  <si>
    <t>Average WC as % of revenues</t>
  </si>
  <si>
    <t>Revenues (2022)</t>
  </si>
  <si>
    <t>Non Cash Working Capital (2022)</t>
  </si>
  <si>
    <t>Non Cash Working Capital (2021)</t>
  </si>
  <si>
    <t>Revenues (2021)</t>
  </si>
  <si>
    <t>Adj Change in Non Cash WC</t>
  </si>
  <si>
    <t>Expected Growth Rate</t>
  </si>
  <si>
    <t>Future Cash Flows (10 Yrs)</t>
  </si>
  <si>
    <t>Terminal Value</t>
  </si>
  <si>
    <t>Growth &amp; TV</t>
  </si>
  <si>
    <t>Reinvestment Rate</t>
  </si>
  <si>
    <t>Return on Invested Capital (ROIC)</t>
  </si>
  <si>
    <t>LTM</t>
  </si>
  <si>
    <t>Rev. Growth</t>
  </si>
  <si>
    <t>EBIT*(1-t)</t>
  </si>
  <si>
    <t>Change in Sales</t>
  </si>
  <si>
    <t>Sales to Capital</t>
  </si>
  <si>
    <t>FCFF</t>
  </si>
  <si>
    <t>Invested Capital</t>
  </si>
  <si>
    <t>ROIC</t>
  </si>
  <si>
    <t>Growth Rate &amp; TV</t>
  </si>
  <si>
    <t>Sales to Capital Ratio</t>
  </si>
  <si>
    <t>Risk Free Rate - India</t>
  </si>
  <si>
    <t>Growth Rate in perpetuity</t>
  </si>
  <si>
    <t>ROIC in perpetuity</t>
  </si>
  <si>
    <t>EBIT (11th Year)</t>
  </si>
  <si>
    <t>Marginal Tax Rate (%)</t>
  </si>
  <si>
    <t>Mature Company Cost of Capital Estimation</t>
  </si>
  <si>
    <t>FCFF (11th Year)</t>
  </si>
  <si>
    <t>Mature Company's Beta</t>
  </si>
  <si>
    <t>% of Debt</t>
  </si>
  <si>
    <t>% of Equity</t>
  </si>
  <si>
    <t>Mature WACC</t>
  </si>
  <si>
    <t>Cash &amp; Marketable Securities</t>
  </si>
  <si>
    <t>Cash and cash equivalents</t>
  </si>
  <si>
    <t>Other Bank Balances</t>
  </si>
  <si>
    <t>Total Cash</t>
  </si>
  <si>
    <t>Return on Capital</t>
  </si>
  <si>
    <t>Adjusted Cash &amp; Marketable Securities</t>
  </si>
  <si>
    <t>Discount for Getting Bad Returns on Projects</t>
  </si>
  <si>
    <t>Marginal Tax Rate</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</si>
  <si>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</si>
  <si>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</si>
  <si>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</si>
  <si>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</si>
  <si>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</si>
  <si>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</si>
  <si>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</si>
  <si>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</si>
  <si>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</si>
  <si>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</si>
  <si>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</si>
  <si>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</si>
  <si>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</si>
  <si>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</si>
  <si>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</si>
  <si>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Fair value of share</t>
  </si>
  <si>
    <t>Value of Common Stock</t>
  </si>
  <si>
    <t>Fair Value of Share</t>
  </si>
  <si>
    <t>Road to Fair Value of Share</t>
  </si>
  <si>
    <t>Net Capital Expenditure</t>
  </si>
  <si>
    <t>Wonderla Company Analysis</t>
  </si>
  <si>
    <t>Wonderla Holidays</t>
  </si>
  <si>
    <t>Entertainment </t>
  </si>
  <si>
    <t>Amusement Parks</t>
  </si>
  <si>
    <t>Wonderla Narrative</t>
  </si>
  <si>
    <t>Industry - Amusement Parks</t>
  </si>
  <si>
    <t>Amusement Parks Co.</t>
  </si>
  <si>
    <t>Imagicaa Entertainment Ltd</t>
  </si>
  <si>
    <t>Nicco Parks &amp; Resorts Ltd</t>
  </si>
  <si>
    <t>IMAGICAA</t>
  </si>
  <si>
    <t>Sector of Wonderla</t>
  </si>
  <si>
    <t>Industry of Wonderla</t>
  </si>
  <si>
    <t>Cedar Fair Ent. Co.</t>
  </si>
  <si>
    <t>The Walt Disney Company</t>
  </si>
  <si>
    <t>SeaWorld Parks &amp; Entertainment</t>
  </si>
  <si>
    <t>Six Flags</t>
  </si>
  <si>
    <t>SIX</t>
  </si>
  <si>
    <t>SEAS</t>
  </si>
  <si>
    <t>FUN</t>
  </si>
  <si>
    <t>DIS</t>
  </si>
  <si>
    <t>Wonderla Risk Premium</t>
  </si>
  <si>
    <t>(in lakhs)</t>
  </si>
  <si>
    <t>Debt to Equity (Wonderla)</t>
  </si>
  <si>
    <t>Nifty50 (as on 29th July 2022)</t>
  </si>
  <si>
    <t>Wonderla ICRA Rating</t>
  </si>
  <si>
    <t>A+</t>
  </si>
  <si>
    <t>Stock Price (as on 07/29/2022)</t>
  </si>
  <si>
    <t>EBIT &amp; Advertising Expense</t>
  </si>
  <si>
    <t>Capitalizing Advertising Expense as Asset</t>
  </si>
  <si>
    <t xml:space="preserve">Current </t>
  </si>
  <si>
    <t>Advertising Expense</t>
  </si>
  <si>
    <t>Value of Advertising Asset</t>
  </si>
  <si>
    <t>Amortization (weights)</t>
  </si>
  <si>
    <t>Amortization (This Year)</t>
  </si>
  <si>
    <t>Amortized Value</t>
  </si>
  <si>
    <t>Amortization: Ad Expense</t>
  </si>
  <si>
    <t>Advertising Expense as a % of revenues</t>
  </si>
  <si>
    <t>Ads as % of revenues</t>
  </si>
  <si>
    <t>Median Ad Expenses as % of Revenues</t>
  </si>
  <si>
    <t>Expected Ad Expenses (This Year)</t>
  </si>
  <si>
    <t>Depreciation on OL</t>
  </si>
  <si>
    <t>Operating Lease as a % of revenues</t>
  </si>
  <si>
    <t>OL as % of revenues</t>
  </si>
  <si>
    <t>Median Operating Lease as % of Revenues</t>
  </si>
  <si>
    <t>Treating Operating Lease as Capital Expenditure</t>
  </si>
  <si>
    <t>Depreciation (weights)</t>
  </si>
  <si>
    <t>Depreciation Value</t>
  </si>
  <si>
    <t>Depreciation (This Year)</t>
  </si>
  <si>
    <t>Value of Operating Lease Liability</t>
  </si>
  <si>
    <t>Operating Lease*</t>
  </si>
  <si>
    <t>Amortization: Ad Expenses</t>
  </si>
  <si>
    <t>Depreciation: OL</t>
  </si>
  <si>
    <t>Median WC as % of Revenues</t>
  </si>
  <si>
    <t>Net Capex</t>
  </si>
  <si>
    <t>EBIT * (1 - Tax)</t>
  </si>
  <si>
    <t>Amusement Industry</t>
  </si>
  <si>
    <t>Urban Population in India</t>
  </si>
  <si>
    <t>in lakhs</t>
  </si>
  <si>
    <t>Average Household Size</t>
  </si>
  <si>
    <t>Urban Households</t>
  </si>
  <si>
    <t>Adults</t>
  </si>
  <si>
    <t>Child</t>
  </si>
  <si>
    <t>Ticket Price (Peak Season)</t>
  </si>
  <si>
    <t>Avg Ticket Price (Family)</t>
  </si>
  <si>
    <t>Avg Food Price (Family)</t>
  </si>
  <si>
    <t>Avg Amount Spent (Family)</t>
  </si>
  <si>
    <t>2021 Data</t>
  </si>
  <si>
    <t>Amusement Park Industry TAM</t>
  </si>
  <si>
    <t>Avg. Amt. Spent</t>
  </si>
  <si>
    <t>Amusement Park Market Size (2021)</t>
  </si>
  <si>
    <t>CAGR % (in Urban Population)</t>
  </si>
  <si>
    <t>CAGR % (in GDP Growth)</t>
  </si>
  <si>
    <t>CAGR %</t>
  </si>
  <si>
    <t>Market Share</t>
  </si>
  <si>
    <t>Loss Carry Forward (2021)</t>
  </si>
  <si>
    <t>Loss C/F</t>
  </si>
  <si>
    <t>ICRA Rating: AAA+</t>
  </si>
  <si>
    <t>Short Term Investments</t>
  </si>
  <si>
    <t>Future Value of Equity Options</t>
  </si>
  <si>
    <t>Estimating average option value as a % of revenues</t>
  </si>
  <si>
    <t>Options Value</t>
  </si>
  <si>
    <t>Options as a % Revenues</t>
  </si>
  <si>
    <t>Forecasting Future Option Value (Treating as OpEx)</t>
  </si>
  <si>
    <t>Adjusting Operating Margin with Expected Value of Options</t>
  </si>
  <si>
    <t>OPM</t>
  </si>
  <si>
    <t>OpEx</t>
  </si>
  <si>
    <t>Exp. Options</t>
  </si>
  <si>
    <t>Adj OpEx</t>
  </si>
  <si>
    <t>Adj OPM</t>
  </si>
  <si>
    <t>Median option as a % of revenues</t>
  </si>
  <si>
    <t>Adjusted OPM</t>
  </si>
  <si>
    <t>EBIT &amp; Advertising Expenses</t>
  </si>
  <si>
    <t>FY28</t>
  </si>
  <si>
    <t>FY29</t>
  </si>
  <si>
    <t>FY30</t>
  </si>
  <si>
    <t>FY31</t>
  </si>
  <si>
    <t>FY32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</si>
</sst>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1">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4009]\ #,##0.00"/>
    <numFmt numFmtId="185" formatCode="[$₹-4009]\ #,##0;[$₹-4009]\ \-#,##0"/>
    <numFmt numFmtId="186" formatCode="[$₹-4009]\ #,##0.00;[Red][$₹-4009]\ \-#,##0.00"/>
    <numFmt numFmtId="187" formatCode="[$₹-4009]\ #,##0.0;[$₹-4009]\ \-#,##0.0"/>
    <numFmt numFmtId="188" formatCode="[$₹-4009]\ #,##0.0;[Red][$₹-4009]\ \-#,##0.0"/>
    <numFmt numFmtId="189" formatCode="_ [$₹-4009]\ * #,##0.0_ ;_ [$₹-4009]\ * \-#,##0.0_ ;_ [$₹-4009]\ * &quot;-&quot;??_ ;_ @_ "/>
    <numFmt numFmtId="190" formatCode="0.0000"/>
    <numFmt numFmtId="191" formatCode="[$₹-4009]\ #,##0"/>
  </numFmts>
  <fonts count="75">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ont>
    <font>
      <sz val="10"/>
      <name val="Arial"/>
      <family val="2"/>
      <charset val="204"/>
    </font>
    <font>
      <b/>
      <sz val="40"/>
      <color theme="1" tint="4.9989318521683403E-2"/>
      <name val="Arial"/>
      <family val="2"/>
      <charset val="204"/>
    </font>
    <font>
      <sz val="10"/>
      <color rgb="FF002060"/>
      <name val="Arial"/>
      <family val="2"/>
      <charset val="204"/>
    </font>
    <font>
      <b/>
      <sz val="11"/>
      <color theme="1"/>
      <name val="Arial"/>
      <family val="2"/>
    </font>
  </fonts>
  <fills count="4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2"/>
        <bgColor indexed="64"/>
      </patternFill>
    </fill>
  </fills>
  <borders count="22">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s>
  <cellStyleXfs count="169">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4" borderId="3"/>
    <xf numFmtId="0" fontId="12" fillId="0" borderId="0"/>
    <xf numFmtId="0" fontId="9" fillId="0" borderId="0"/>
    <xf numFmtId="0" fontId="9" fillId="0" borderId="0"/>
    <xf numFmtId="0" fontId="12" fillId="0" borderId="0"/>
    <xf numFmtId="0" fontId="12" fillId="0" borderId="0"/>
    <xf numFmtId="0" fontId="13" fillId="0" borderId="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4" fillId="14" borderId="0" applyNumberFormat="0" applyBorder="0" applyAlignment="0" applyProtection="0"/>
    <xf numFmtId="0" fontId="15" fillId="15"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22" borderId="0" applyNumberFormat="0" applyBorder="0" applyAlignment="0" applyProtection="0"/>
    <xf numFmtId="0" fontId="9" fillId="0" borderId="0"/>
    <xf numFmtId="0" fontId="16" fillId="6" borderId="0" applyNumberFormat="0" applyBorder="0" applyAlignment="0" applyProtection="0"/>
    <xf numFmtId="0" fontId="17" fillId="23" borderId="4" applyNumberFormat="0" applyAlignment="0" applyProtection="0"/>
    <xf numFmtId="0" fontId="18" fillId="24"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38" fontId="10" fillId="25"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10" borderId="4" applyNumberFormat="0" applyAlignment="0" applyProtection="0"/>
    <xf numFmtId="10" fontId="10" fillId="4"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6" borderId="0" applyNumberFormat="0" applyBorder="0" applyAlignment="0" applyProtection="0"/>
    <xf numFmtId="173" fontId="29" fillId="0" borderId="0"/>
    <xf numFmtId="0" fontId="26" fillId="0" borderId="0"/>
    <xf numFmtId="0" fontId="14" fillId="27"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3"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8" borderId="0" applyNumberFormat="0" applyFont="0" applyBorder="0" applyAlignment="0" applyProtection="0"/>
    <xf numFmtId="3" fontId="42" fillId="29" borderId="0" applyFont="0" applyFill="0" applyBorder="0" applyAlignment="0" applyProtection="0"/>
    <xf numFmtId="4" fontId="33" fillId="30" borderId="12" applyNumberFormat="0" applyProtection="0">
      <alignment vertical="center"/>
    </xf>
    <xf numFmtId="4" fontId="34" fillId="30" borderId="12" applyNumberFormat="0" applyProtection="0">
      <alignment vertical="center"/>
    </xf>
    <xf numFmtId="4" fontId="33" fillId="30" borderId="12" applyNumberFormat="0" applyProtection="0">
      <alignment horizontal="left" vertical="center" indent="1"/>
    </xf>
    <xf numFmtId="4" fontId="33" fillId="30" borderId="12" applyNumberFormat="0" applyProtection="0">
      <alignment horizontal="left" vertical="center" indent="1"/>
    </xf>
    <xf numFmtId="0" fontId="9" fillId="31" borderId="12" applyNumberFormat="0" applyProtection="0">
      <alignment horizontal="left" vertical="center" indent="1"/>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3" fillId="40" borderId="12" applyNumberFormat="0" applyProtection="0">
      <alignment horizontal="right" vertical="center"/>
    </xf>
    <xf numFmtId="4" fontId="35" fillId="41" borderId="12" applyNumberFormat="0" applyProtection="0">
      <alignment horizontal="left" vertical="center" indent="1"/>
    </xf>
    <xf numFmtId="4" fontId="33" fillId="42" borderId="14" applyNumberFormat="0" applyProtection="0">
      <alignment horizontal="left" vertical="center" indent="1"/>
    </xf>
    <xf numFmtId="4" fontId="36" fillId="43" borderId="0" applyNumberFormat="0" applyProtection="0">
      <alignment horizontal="left" vertical="center" indent="1"/>
    </xf>
    <xf numFmtId="0" fontId="9" fillId="31" borderId="12" applyNumberFormat="0" applyProtection="0">
      <alignment horizontal="left" vertical="center" indent="1"/>
    </xf>
    <xf numFmtId="4" fontId="33" fillId="42" borderId="12" applyNumberFormat="0" applyProtection="0">
      <alignment horizontal="left" vertical="center" indent="1"/>
    </xf>
    <xf numFmtId="4" fontId="33" fillId="44"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45" borderId="12" applyNumberFormat="0" applyProtection="0">
      <alignment horizontal="left" vertical="center" indent="1"/>
    </xf>
    <xf numFmtId="0" fontId="9" fillId="45" borderId="12" applyNumberFormat="0" applyProtection="0">
      <alignment horizontal="left" vertical="center" indent="1"/>
    </xf>
    <xf numFmtId="0" fontId="9" fillId="25" borderId="12" applyNumberFormat="0" applyProtection="0">
      <alignment horizontal="left" vertical="center" indent="1"/>
    </xf>
    <xf numFmtId="0" fontId="9" fillId="25" borderId="12" applyNumberFormat="0" applyProtection="0">
      <alignment horizontal="left" vertical="center" indent="1"/>
    </xf>
    <xf numFmtId="0" fontId="9" fillId="31" borderId="12" applyNumberFormat="0" applyProtection="0">
      <alignment horizontal="left" vertical="center" indent="1"/>
    </xf>
    <xf numFmtId="0" fontId="9" fillId="31" borderId="12" applyNumberFormat="0" applyProtection="0">
      <alignment horizontal="left" vertical="center" indent="1"/>
    </xf>
    <xf numFmtId="4" fontId="33" fillId="4" borderId="12" applyNumberFormat="0" applyProtection="0">
      <alignment vertical="center"/>
    </xf>
    <xf numFmtId="4" fontId="34" fillId="4" borderId="12" applyNumberFormat="0" applyProtection="0">
      <alignment vertical="center"/>
    </xf>
    <xf numFmtId="4" fontId="33" fillId="4" borderId="12" applyNumberFormat="0" applyProtection="0">
      <alignment horizontal="left" vertical="center" indent="1"/>
    </xf>
    <xf numFmtId="4" fontId="33" fillId="4" borderId="12" applyNumberFormat="0" applyProtection="0">
      <alignment horizontal="left" vertical="center" indent="1"/>
    </xf>
    <xf numFmtId="4" fontId="33" fillId="42" borderId="12" applyNumberFormat="0" applyProtection="0">
      <alignment horizontal="right" vertical="center"/>
    </xf>
    <xf numFmtId="4" fontId="34" fillId="42" borderId="12" applyNumberFormat="0" applyProtection="0">
      <alignment horizontal="right" vertical="center"/>
    </xf>
    <xf numFmtId="0" fontId="9" fillId="31" borderId="12" applyNumberFormat="0" applyProtection="0">
      <alignment horizontal="left" vertical="center" indent="1"/>
    </xf>
    <xf numFmtId="0" fontId="9" fillId="31" borderId="12" applyNumberFormat="0" applyProtection="0">
      <alignment horizontal="left" vertical="center" indent="1"/>
    </xf>
    <xf numFmtId="0" fontId="37" fillId="0" borderId="0"/>
    <xf numFmtId="4" fontId="11" fillId="42"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cellStyleXfs>
  <cellXfs count="408">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5" fontId="1" fillId="47" borderId="0" xfId="0" applyNumberFormat="1" applyFont="1" applyFill="1" applyBorder="1"/>
    <xf numFmtId="164" fontId="1" fillId="47" borderId="0" xfId="0" applyNumberFormat="1" applyFont="1" applyFill="1" applyBorder="1"/>
    <xf numFmtId="10" fontId="6" fillId="2" borderId="0" xfId="2" applyNumberFormat="1" applyFont="1" applyFill="1" applyBorder="1"/>
    <xf numFmtId="10" fontId="6" fillId="47"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8" fillId="46" borderId="0" xfId="0" applyNumberFormat="1" applyFont="1" applyFill="1" applyBorder="1" applyAlignment="1">
      <alignment horizontal="lef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7" borderId="0" xfId="0" applyNumberFormat="1" applyFont="1" applyFill="1"/>
    <xf numFmtId="164" fontId="60" fillId="2" borderId="0" xfId="0" applyNumberFormat="1" applyFont="1" applyFill="1" applyBorder="1"/>
    <xf numFmtId="164" fontId="40" fillId="2" borderId="17" xfId="0" applyNumberFormat="1" applyFont="1" applyFill="1" applyBorder="1"/>
    <xf numFmtId="164" fontId="60" fillId="2" borderId="0" xfId="0" applyNumberFormat="1" applyFont="1" applyFill="1" applyBorder="1" applyAlignment="1">
      <alignment horizontal="right"/>
    </xf>
    <xf numFmtId="165" fontId="40" fillId="2" borderId="0" xfId="0" applyNumberFormat="1" applyFont="1" applyFill="1" applyBorder="1"/>
    <xf numFmtId="164" fontId="40" fillId="2" borderId="0" xfId="0" applyNumberFormat="1" applyFont="1" applyFill="1" applyBorder="1"/>
    <xf numFmtId="49" fontId="60" fillId="2" borderId="0" xfId="0" quotePrefix="1" applyNumberFormat="1" applyFont="1" applyFill="1" applyBorder="1"/>
    <xf numFmtId="49" fontId="60" fillId="2" borderId="0" xfId="0" applyNumberFormat="1" applyFont="1" applyFill="1" applyBorder="1"/>
    <xf numFmtId="164" fontId="60" fillId="2" borderId="0" xfId="0" applyNumberFormat="1" applyFont="1" applyFill="1" applyBorder="1" applyAlignment="1">
      <alignment horizontal="left" vertical="center"/>
    </xf>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6" borderId="0" xfId="0" applyFont="1" applyFill="1" applyAlignment="1">
      <alignment horizontal="left"/>
    </xf>
    <xf numFmtId="0" fontId="8" fillId="46" borderId="0" xfId="0" applyFont="1" applyFill="1"/>
    <xf numFmtId="165" fontId="2" fillId="47" borderId="0" xfId="0" applyNumberFormat="1" applyFont="1" applyFill="1" applyBorder="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2" fillId="47" borderId="2" xfId="0" applyNumberFormat="1" applyFont="1" applyFill="1" applyBorder="1"/>
    <xf numFmtId="165" fontId="2" fillId="47" borderId="0" xfId="0" applyNumberFormat="1" applyFont="1" applyFill="1" applyBorder="1" applyAlignment="1">
      <alignment horizontal="right"/>
    </xf>
    <xf numFmtId="164" fontId="2" fillId="47" borderId="0" xfId="0" applyNumberFormat="1" applyFont="1" applyFill="1"/>
    <xf numFmtId="164" fontId="64" fillId="47" borderId="0" xfId="0" applyNumberFormat="1" applyFont="1" applyFill="1"/>
    <xf numFmtId="164" fontId="65" fillId="2" borderId="0" xfId="0" applyNumberFormat="1" applyFont="1" applyFill="1" applyBorder="1"/>
    <xf numFmtId="10" fontId="1" fillId="47" borderId="0" xfId="2" applyNumberFormat="1" applyFont="1" applyFill="1" applyBorder="1"/>
    <xf numFmtId="10" fontId="8" fillId="46" borderId="0" xfId="2" applyNumberFormat="1" applyFont="1" applyFill="1" applyBorder="1"/>
    <xf numFmtId="166" fontId="1" fillId="47" borderId="0" xfId="2" applyNumberFormat="1" applyFont="1" applyFill="1" applyBorder="1"/>
    <xf numFmtId="164" fontId="1" fillId="47"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3"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0" fontId="1" fillId="47" borderId="0" xfId="2" applyNumberFormat="1" applyFont="1" applyFill="1" applyBorder="1" applyAlignment="1">
      <alignment horizontal="right" vertical="center"/>
    </xf>
    <xf numFmtId="0" fontId="8" fillId="46" borderId="0" xfId="0" applyNumberFormat="1" applyFont="1" applyFill="1" applyAlignment="1">
      <alignment horizontal="right" vertical="center"/>
    </xf>
    <xf numFmtId="164" fontId="8" fillId="46" borderId="0" xfId="0" applyNumberFormat="1" applyFont="1" applyFill="1" applyBorder="1" applyAlignment="1">
      <alignment horizontal="right" vertical="center"/>
    </xf>
    <xf numFmtId="182" fontId="1" fillId="47" borderId="0" xfId="0" applyNumberFormat="1" applyFont="1" applyFill="1" applyBorder="1" applyAlignment="1">
      <alignment horizontal="right" vertical="center"/>
    </xf>
    <xf numFmtId="164" fontId="8" fillId="46" borderId="0" xfId="0" applyNumberFormat="1" applyFont="1" applyFill="1" applyBorder="1" applyAlignment="1">
      <alignment horizontal="right"/>
    </xf>
    <xf numFmtId="10" fontId="64" fillId="47"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165" fontId="2" fillId="2" borderId="18" xfId="0" applyNumberFormat="1" applyFont="1" applyFill="1" applyBorder="1" applyAlignment="1">
      <alignment horizontal="right"/>
    </xf>
    <xf numFmtId="164" fontId="2" fillId="47" borderId="0" xfId="0" applyNumberFormat="1" applyFont="1" applyFill="1" applyBorder="1" applyAlignment="1">
      <alignment horizontal="right"/>
    </xf>
    <xf numFmtId="164" fontId="2" fillId="2" borderId="18" xfId="0"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0" fontId="1" fillId="47" borderId="0" xfId="2" applyNumberFormat="1" applyFont="1" applyFill="1" applyBorder="1" applyAlignment="1">
      <alignment horizontal="right"/>
    </xf>
    <xf numFmtId="10" fontId="1" fillId="47" borderId="0" xfId="2" applyNumberFormat="1" applyFont="1" applyFill="1" applyBorder="1" applyAlignment="1">
      <alignment horizontal="right"/>
    </xf>
    <xf numFmtId="0" fontId="8" fillId="46" borderId="0" xfId="0" applyNumberFormat="1" applyFont="1" applyFill="1" applyAlignment="1">
      <alignment horizontal="right"/>
    </xf>
    <xf numFmtId="10" fontId="1" fillId="2" borderId="18" xfId="2" applyNumberFormat="1" applyFont="1" applyFill="1" applyBorder="1" applyAlignment="1">
      <alignment horizontal="right"/>
    </xf>
    <xf numFmtId="164" fontId="64" fillId="2" borderId="0" xfId="165" applyNumberFormat="1" applyFont="1" applyFill="1" applyBorder="1"/>
    <xf numFmtId="182" fontId="2" fillId="47" borderId="0" xfId="0" applyNumberFormat="1" applyFont="1" applyFill="1" applyBorder="1"/>
    <xf numFmtId="10" fontId="40" fillId="47" borderId="0" xfId="2" applyNumberFormat="1" applyFont="1" applyFill="1" applyBorder="1"/>
    <xf numFmtId="10" fontId="2" fillId="47" borderId="0" xfId="2" applyNumberFormat="1" applyFont="1" applyFill="1" applyBorder="1"/>
    <xf numFmtId="182" fontId="2" fillId="47" borderId="0" xfId="0" applyNumberFormat="1" applyFont="1" applyFill="1" applyBorder="1" applyAlignment="1">
      <alignment horizontal="right"/>
    </xf>
    <xf numFmtId="10" fontId="2" fillId="47" borderId="0" xfId="2" applyNumberFormat="1" applyFont="1" applyFill="1" applyBorder="1" applyAlignment="1">
      <alignment horizontal="right"/>
    </xf>
    <xf numFmtId="182" fontId="8" fillId="46" borderId="0" xfId="0" applyNumberFormat="1" applyFont="1" applyFill="1" applyBorder="1"/>
    <xf numFmtId="182" fontId="1" fillId="47" borderId="0" xfId="0" applyNumberFormat="1" applyFont="1" applyFill="1" applyAlignment="1">
      <alignment horizontal="right"/>
    </xf>
    <xf numFmtId="164" fontId="1" fillId="47" borderId="0" xfId="0" applyNumberFormat="1" applyFont="1" applyFill="1" applyAlignment="1">
      <alignment horizontal="right"/>
    </xf>
    <xf numFmtId="178" fontId="8" fillId="46" borderId="0" xfId="0" applyNumberFormat="1" applyFont="1" applyFill="1" applyBorder="1" applyAlignment="1">
      <alignment horizontal="right"/>
    </xf>
    <xf numFmtId="165" fontId="8" fillId="46"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79" fontId="1" fillId="2" borderId="0" xfId="2" applyNumberFormat="1" applyFont="1" applyFill="1"/>
    <xf numFmtId="183" fontId="1" fillId="2" borderId="0" xfId="0" applyNumberFormat="1" applyFont="1" applyFill="1"/>
    <xf numFmtId="164" fontId="8" fillId="2" borderId="0" xfId="0" applyNumberFormat="1" applyFont="1" applyFill="1" applyBorder="1" applyAlignment="1">
      <alignment horizontal="right"/>
    </xf>
    <xf numFmtId="178" fontId="2" fillId="47" borderId="0" xfId="0" applyNumberFormat="1" applyFont="1" applyFill="1" applyBorder="1" applyAlignment="1">
      <alignment horizontal="right"/>
    </xf>
    <xf numFmtId="0" fontId="1" fillId="47" borderId="0" xfId="0" applyNumberFormat="1" applyFont="1" applyFill="1"/>
    <xf numFmtId="0" fontId="1" fillId="47" borderId="0" xfId="0" applyNumberFormat="1" applyFont="1" applyFill="1" applyBorder="1" applyAlignment="1">
      <alignment horizontal="right"/>
    </xf>
    <xf numFmtId="0" fontId="1" fillId="47" borderId="0" xfId="2" applyNumberFormat="1" applyFont="1" applyFill="1"/>
    <xf numFmtId="10" fontId="1" fillId="47" borderId="0" xfId="2" applyNumberFormat="1" applyFont="1" applyFill="1"/>
    <xf numFmtId="164" fontId="2" fillId="47" borderId="0" xfId="0" applyNumberFormat="1" applyFont="1" applyFill="1" applyBorder="1"/>
    <xf numFmtId="10" fontId="1" fillId="47" borderId="0" xfId="0" applyNumberFormat="1" applyFont="1" applyFill="1"/>
    <xf numFmtId="164" fontId="2" fillId="47" borderId="18" xfId="0" applyNumberFormat="1" applyFont="1" applyFill="1" applyBorder="1"/>
    <xf numFmtId="10" fontId="1" fillId="47" borderId="18" xfId="0" applyNumberFormat="1" applyFont="1" applyFill="1" applyBorder="1"/>
    <xf numFmtId="0" fontId="64" fillId="47" borderId="0" xfId="2" applyNumberFormat="1" applyFont="1" applyFill="1" applyBorder="1"/>
    <xf numFmtId="164" fontId="66" fillId="47" borderId="0" xfId="165" applyNumberFormat="1" applyFont="1" applyFill="1" applyBorder="1"/>
    <xf numFmtId="0" fontId="1" fillId="47" borderId="0" xfId="2"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182" fontId="40" fillId="2" borderId="0" xfId="0" applyNumberFormat="1" applyFont="1" applyFill="1" applyBorder="1"/>
    <xf numFmtId="0" fontId="64" fillId="2" borderId="0" xfId="2" applyNumberFormat="1" applyFont="1" applyFill="1" applyBorder="1" applyAlignment="1">
      <alignment horizontal="right"/>
    </xf>
    <xf numFmtId="165" fontId="6" fillId="2" borderId="0" xfId="0" applyNumberFormat="1" applyFont="1" applyFill="1" applyBorder="1" applyAlignment="1">
      <alignment horizontal="left"/>
    </xf>
    <xf numFmtId="165" fontId="6" fillId="2" borderId="0" xfId="0" applyNumberFormat="1" applyFont="1" applyFill="1" applyBorder="1" applyAlignment="1">
      <alignment horizontal="right"/>
    </xf>
    <xf numFmtId="183" fontId="64" fillId="2" borderId="0" xfId="0" applyNumberFormat="1" applyFont="1" applyFill="1"/>
    <xf numFmtId="0" fontId="40" fillId="47" borderId="0" xfId="0" applyNumberFormat="1" applyFont="1" applyFill="1" applyBorder="1" applyAlignment="1">
      <alignment horizontal="right"/>
    </xf>
    <xf numFmtId="164" fontId="40" fillId="47" borderId="0" xfId="0" applyNumberFormat="1" applyFont="1" applyFill="1" applyBorder="1" applyAlignment="1">
      <alignment horizontal="right"/>
    </xf>
    <xf numFmtId="164" fontId="64" fillId="2" borderId="0" xfId="0" applyNumberFormat="1" applyFont="1" applyFill="1" applyBorder="1" applyAlignment="1">
      <alignment horizontal="left"/>
    </xf>
    <xf numFmtId="2" fontId="64" fillId="47" borderId="0" xfId="2" applyNumberFormat="1" applyFont="1" applyFill="1" applyBorder="1" applyAlignment="1">
      <alignment horizontal="right"/>
    </xf>
    <xf numFmtId="2" fontId="64" fillId="47" borderId="0" xfId="0" applyNumberFormat="1" applyFont="1" applyFill="1"/>
    <xf numFmtId="2" fontId="64" fillId="2" borderId="18" xfId="2" applyNumberFormat="1" applyFont="1" applyFill="1" applyBorder="1" applyAlignment="1">
      <alignment horizontal="right"/>
    </xf>
    <xf numFmtId="182" fontId="64" fillId="2" borderId="0" xfId="0" applyNumberFormat="1" applyFont="1" applyFill="1" applyBorder="1" applyAlignment="1">
      <alignment horizontal="left" vertical="center"/>
    </xf>
    <xf numFmtId="2" fontId="64" fillId="3" borderId="0" xfId="0" applyNumberFormat="1" applyFont="1" applyFill="1"/>
    <xf numFmtId="165" fontId="65" fillId="2" borderId="0" xfId="0" applyNumberFormat="1" applyFont="1" applyFill="1" applyBorder="1" applyAlignment="1">
      <alignment horizontal="right"/>
    </xf>
    <xf numFmtId="164" fontId="65" fillId="2" borderId="0" xfId="0" applyNumberFormat="1" applyFont="1" applyFill="1" applyBorder="1" applyAlignment="1">
      <alignment horizontal="right"/>
    </xf>
    <xf numFmtId="178" fontId="64" fillId="2" borderId="18" xfId="0" applyNumberFormat="1" applyFont="1" applyFill="1" applyBorder="1" applyAlignment="1">
      <alignment horizontal="right"/>
    </xf>
    <xf numFmtId="10" fontId="2" fillId="47" borderId="0" xfId="2" applyNumberFormat="1" applyFont="1" applyFill="1"/>
    <xf numFmtId="164" fontId="40" fillId="46" borderId="0" xfId="0" applyNumberFormat="1" applyFont="1" applyFill="1" applyBorder="1" applyAlignment="1">
      <alignment horizontal="center"/>
    </xf>
    <xf numFmtId="178" fontId="8" fillId="46" borderId="0" xfId="0" applyNumberFormat="1" applyFont="1" applyFill="1" applyBorder="1"/>
    <xf numFmtId="2" fontId="40" fillId="47" borderId="0" xfId="0" applyNumberFormat="1" applyFont="1" applyFill="1" applyBorder="1" applyAlignment="1">
      <alignment horizontal="right"/>
    </xf>
    <xf numFmtId="178" fontId="2" fillId="47" borderId="0" xfId="0" applyNumberFormat="1" applyFont="1" applyFill="1" applyBorder="1"/>
    <xf numFmtId="164" fontId="63" fillId="47" borderId="0" xfId="0" applyNumberFormat="1" applyFont="1" applyFill="1"/>
    <xf numFmtId="164" fontId="65" fillId="47" borderId="0" xfId="0" applyNumberFormat="1" applyFont="1" applyFill="1" applyBorder="1"/>
    <xf numFmtId="182" fontId="66" fillId="2" borderId="0" xfId="165" applyNumberFormat="1" applyFont="1" applyFill="1" applyBorder="1" applyAlignment="1">
      <alignment horizontal="left" vertical="center"/>
    </xf>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180" fontId="2" fillId="47" borderId="0" xfId="2" applyNumberFormat="1" applyFont="1" applyFill="1" applyBorder="1"/>
    <xf numFmtId="180" fontId="2" fillId="47" borderId="18" xfId="2" applyNumberFormat="1" applyFont="1" applyFill="1" applyBorder="1"/>
    <xf numFmtId="164" fontId="64" fillId="47" borderId="0" xfId="0" applyNumberFormat="1" applyFont="1" applyFill="1" applyAlignment="1">
      <alignment horizontal="right"/>
    </xf>
    <xf numFmtId="0" fontId="2" fillId="47" borderId="0" xfId="2" applyNumberFormat="1" applyFont="1" applyFill="1" applyBorder="1"/>
    <xf numFmtId="186" fontId="8" fillId="46" borderId="0" xfId="2" applyNumberFormat="1" applyFont="1" applyFill="1" applyBorder="1" applyAlignment="1">
      <alignment horizontal="right"/>
    </xf>
    <xf numFmtId="187" fontId="2" fillId="47" borderId="0" xfId="0" applyNumberFormat="1" applyFont="1" applyFill="1"/>
    <xf numFmtId="188" fontId="8" fillId="46" borderId="0" xfId="2" applyNumberFormat="1" applyFont="1" applyFill="1" applyBorder="1" applyAlignment="1">
      <alignment horizontal="right"/>
    </xf>
    <xf numFmtId="10" fontId="8" fillId="46"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 fontId="64" fillId="2" borderId="0" xfId="0" applyNumberFormat="1" applyFont="1" applyFill="1" applyBorder="1"/>
    <xf numFmtId="179" fontId="1" fillId="2" borderId="0" xfId="0" applyNumberFormat="1" applyFont="1" applyFill="1" applyBorder="1"/>
    <xf numFmtId="0" fontId="1" fillId="47" borderId="0" xfId="0" applyFont="1" applyFill="1" applyBorder="1"/>
    <xf numFmtId="0" fontId="64" fillId="47" borderId="0" xfId="0" applyFont="1" applyFill="1" applyBorder="1" applyAlignment="1">
      <alignment horizontal="right"/>
    </xf>
    <xf numFmtId="0" fontId="40" fillId="47" borderId="0" xfId="0" applyFont="1" applyFill="1" applyBorder="1" applyAlignment="1">
      <alignment horizontal="left"/>
    </xf>
    <xf numFmtId="180" fontId="40" fillId="47" borderId="0" xfId="0" applyNumberFormat="1" applyFont="1" applyFill="1" applyBorder="1" applyAlignment="1">
      <alignment horizontal="right"/>
    </xf>
    <xf numFmtId="0" fontId="2" fillId="47" borderId="0" xfId="0" applyFont="1" applyFill="1" applyBorder="1"/>
    <xf numFmtId="180" fontId="2" fillId="47" borderId="0" xfId="0" applyNumberFormat="1" applyFont="1" applyFill="1" applyBorder="1"/>
    <xf numFmtId="0" fontId="2" fillId="47" borderId="19" xfId="0" applyFont="1" applyFill="1" applyBorder="1"/>
    <xf numFmtId="180" fontId="2" fillId="47" borderId="19" xfId="0" applyNumberFormat="1" applyFont="1" applyFill="1" applyBorder="1"/>
    <xf numFmtId="0" fontId="2" fillId="47" borderId="18" xfId="0" applyFont="1" applyFill="1" applyBorder="1"/>
    <xf numFmtId="180" fontId="2" fillId="47" borderId="18" xfId="0" applyNumberFormat="1" applyFont="1" applyFill="1" applyBorder="1"/>
    <xf numFmtId="0" fontId="74" fillId="47" borderId="0" xfId="0" applyFont="1" applyFill="1" applyBorder="1"/>
    <xf numFmtId="180" fontId="8" fillId="46" borderId="0" xfId="0" applyNumberFormat="1" applyFont="1" applyFill="1" applyBorder="1"/>
    <xf numFmtId="0" fontId="74" fillId="2"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1" fontId="2" fillId="2" borderId="0" xfId="2" applyNumberFormat="1" applyFont="1" applyFill="1" applyBorder="1"/>
    <xf numFmtId="0" fontId="2" fillId="47" borderId="0" xfId="0" applyFont="1" applyFill="1" applyBorder="1" applyAlignment="1">
      <alignment horizontal="left" vertical="center"/>
    </xf>
    <xf numFmtId="180" fontId="2" fillId="47" borderId="0" xfId="0" applyNumberFormat="1" applyFont="1" applyFill="1" applyBorder="1" applyAlignment="1">
      <alignment horizontal="right" vertical="center"/>
    </xf>
    <xf numFmtId="180" fontId="2" fillId="47" borderId="18" xfId="0" applyNumberFormat="1" applyFont="1" applyFill="1" applyBorder="1" applyAlignment="1">
      <alignment horizontal="right" vertical="center"/>
    </xf>
    <xf numFmtId="180" fontId="64" fillId="2" borderId="0" xfId="0" applyNumberFormat="1" applyFont="1" applyFill="1" applyBorder="1"/>
    <xf numFmtId="0" fontId="2" fillId="47" borderId="0" xfId="0" applyFont="1" applyFill="1" applyBorder="1" applyAlignment="1">
      <alignment horizontal="right"/>
    </xf>
    <xf numFmtId="180" fontId="64" fillId="47" borderId="0" xfId="0" applyNumberFormat="1" applyFont="1" applyFill="1" applyBorder="1"/>
    <xf numFmtId="10" fontId="64" fillId="2" borderId="0" xfId="2" applyNumberFormat="1" applyFont="1" applyFill="1" applyBorder="1"/>
    <xf numFmtId="10" fontId="64" fillId="47" borderId="0" xfId="2" applyNumberFormat="1" applyFont="1" applyFill="1" applyBorder="1"/>
    <xf numFmtId="181" fontId="2" fillId="47" borderId="0" xfId="0" applyNumberFormat="1" applyFont="1" applyFill="1" applyBorder="1"/>
    <xf numFmtId="181" fontId="40" fillId="47" borderId="0" xfId="0" applyNumberFormat="1" applyFont="1" applyFill="1" applyBorder="1" applyAlignment="1">
      <alignment horizontal="right"/>
    </xf>
    <xf numFmtId="181" fontId="2" fillId="47" borderId="0" xfId="0" applyNumberFormat="1" applyFont="1" applyFill="1" applyBorder="1" applyAlignment="1">
      <alignment horizontal="right" vertical="center"/>
    </xf>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0" fontId="65" fillId="47" borderId="0" xfId="0" applyNumberFormat="1" applyFont="1" applyFill="1" applyBorder="1" applyAlignment="1">
      <alignment horizontal="right"/>
    </xf>
    <xf numFmtId="180" fontId="1" fillId="2" borderId="0" xfId="0" applyNumberFormat="1" applyFont="1" applyFill="1" applyBorder="1"/>
    <xf numFmtId="180" fontId="40" fillId="47" borderId="18" xfId="2" applyNumberFormat="1" applyFont="1" applyFill="1" applyBorder="1"/>
    <xf numFmtId="10" fontId="2" fillId="47" borderId="0" xfId="2" applyNumberFormat="1" applyFont="1" applyFill="1" applyBorder="1" applyAlignment="1">
      <alignment horizontal="right" vertical="center"/>
    </xf>
    <xf numFmtId="0" fontId="2" fillId="47" borderId="0" xfId="0" applyFont="1" applyFill="1" applyBorder="1" applyAlignment="1">
      <alignment vertical="center"/>
    </xf>
    <xf numFmtId="180" fontId="8" fillId="46" borderId="0" xfId="0" applyNumberFormat="1" applyFont="1" applyFill="1" applyBorder="1" applyAlignment="1">
      <alignment horizontal="left" vertical="center"/>
    </xf>
    <xf numFmtId="180" fontId="8" fillId="46" borderId="0" xfId="0" applyNumberFormat="1" applyFont="1" applyFill="1" applyBorder="1" applyAlignment="1">
      <alignment vertical="center"/>
    </xf>
    <xf numFmtId="0" fontId="1" fillId="47" borderId="0" xfId="0" applyFont="1" applyFill="1" applyBorder="1" applyAlignment="1">
      <alignment horizontal="right"/>
    </xf>
    <xf numFmtId="179" fontId="1" fillId="47" borderId="0" xfId="0" applyNumberFormat="1" applyFont="1" applyFill="1" applyBorder="1" applyAlignment="1">
      <alignment horizontal="right"/>
    </xf>
    <xf numFmtId="0" fontId="2" fillId="47" borderId="18" xfId="0" applyFont="1" applyFill="1" applyBorder="1" applyAlignment="1">
      <alignment horizontal="right"/>
    </xf>
    <xf numFmtId="2" fontId="2" fillId="47" borderId="18" xfId="0" applyNumberFormat="1" applyFont="1" applyFill="1" applyBorder="1"/>
    <xf numFmtId="0" fontId="8" fillId="46" borderId="0" xfId="0" applyFont="1" applyFill="1" applyBorder="1" applyAlignment="1">
      <alignment horizontal="right"/>
    </xf>
    <xf numFmtId="0" fontId="8" fillId="46" borderId="0" xfId="0" applyFont="1" applyFill="1" applyBorder="1"/>
    <xf numFmtId="2" fontId="1" fillId="47" borderId="0" xfId="0" applyNumberFormat="1" applyFont="1" applyFill="1" applyBorder="1"/>
    <xf numFmtId="10" fontId="64" fillId="2" borderId="18" xfId="0" applyNumberFormat="1" applyFont="1" applyFill="1" applyBorder="1"/>
    <xf numFmtId="10" fontId="40" fillId="47" borderId="0" xfId="2" applyNumberFormat="1" applyFont="1" applyFill="1" applyBorder="1" applyAlignment="1">
      <alignment horizontal="right"/>
    </xf>
    <xf numFmtId="2" fontId="2" fillId="47" borderId="0" xfId="0" applyNumberFormat="1" applyFont="1" applyFill="1" applyBorder="1"/>
    <xf numFmtId="181" fontId="2" fillId="2" borderId="0" xfId="0" applyNumberFormat="1" applyFont="1" applyFill="1" applyBorder="1"/>
    <xf numFmtId="2" fontId="64" fillId="2" borderId="0" xfId="0" applyNumberFormat="1" applyFont="1" applyFill="1" applyBorder="1"/>
    <xf numFmtId="0" fontId="65" fillId="2" borderId="0" xfId="0" applyFont="1" applyFill="1" applyBorder="1" applyAlignment="1">
      <alignment horizontal="right"/>
    </xf>
    <xf numFmtId="10" fontId="40" fillId="47" borderId="0" xfId="2" applyNumberFormat="1" applyFont="1" applyFill="1" applyBorder="1" applyAlignment="1">
      <alignment horizontal="right" vertical="center"/>
    </xf>
    <xf numFmtId="164" fontId="40" fillId="2" borderId="0" xfId="0" applyNumberFormat="1" applyFont="1" applyFill="1" applyBorder="1" applyAlignment="1">
      <alignment horizont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0" fontId="40" fillId="2" borderId="0" xfId="0" applyNumberFormat="1" applyFont="1" applyFill="1" applyBorder="1" applyAlignment="1">
      <alignment horizontal="right"/>
    </xf>
    <xf numFmtId="2" fontId="64" fillId="2" borderId="0" xfId="0" applyNumberFormat="1" applyFont="1" applyFill="1"/>
    <xf numFmtId="2" fontId="64" fillId="2" borderId="0" xfId="2" applyNumberFormat="1" applyFont="1" applyFill="1" applyBorder="1" applyAlignment="1"/>
    <xf numFmtId="178" fontId="64" fillId="2" borderId="0" xfId="0" applyNumberFormat="1" applyFont="1" applyFill="1"/>
    <xf numFmtId="182" fontId="1" fillId="2" borderId="0" xfId="0" applyNumberFormat="1" applyFont="1" applyFill="1" applyBorder="1"/>
    <xf numFmtId="182" fontId="2" fillId="48" borderId="0" xfId="0" applyNumberFormat="1" applyFont="1" applyFill="1" applyBorder="1"/>
    <xf numFmtId="0" fontId="1" fillId="48" borderId="0" xfId="0" applyFont="1" applyFill="1" applyBorder="1"/>
    <xf numFmtId="182" fontId="1" fillId="47" borderId="0" xfId="0" applyNumberFormat="1" applyFont="1" applyFill="1" applyBorder="1"/>
    <xf numFmtId="0" fontId="2" fillId="47" borderId="0" xfId="0" applyNumberFormat="1" applyFont="1" applyFill="1" applyBorder="1" applyAlignment="1">
      <alignment horizontal="right" vertical="center"/>
    </xf>
    <xf numFmtId="0" fontId="64" fillId="47" borderId="0" xfId="0" applyFont="1" applyFill="1" applyBorder="1"/>
    <xf numFmtId="184" fontId="2" fillId="48" borderId="0" xfId="0" applyNumberFormat="1" applyFont="1" applyFill="1" applyBorder="1"/>
    <xf numFmtId="184" fontId="1" fillId="47" borderId="0" xfId="0" applyNumberFormat="1" applyFont="1" applyFill="1" applyBorder="1"/>
    <xf numFmtId="10" fontId="40" fillId="2" borderId="0" xfId="2" applyNumberFormat="1" applyFont="1" applyFill="1" applyBorder="1" applyAlignment="1"/>
    <xf numFmtId="0" fontId="2" fillId="48" borderId="0" xfId="0" applyNumberFormat="1" applyFont="1" applyFill="1" applyBorder="1" applyAlignment="1">
      <alignment horizontal="right"/>
    </xf>
    <xf numFmtId="10" fontId="64" fillId="47" borderId="0" xfId="0" applyNumberFormat="1" applyFont="1" applyFill="1" applyBorder="1"/>
    <xf numFmtId="180" fontId="1" fillId="48" borderId="0" xfId="0" applyNumberFormat="1" applyFont="1" applyFill="1" applyBorder="1"/>
    <xf numFmtId="180" fontId="1" fillId="47" borderId="0" xfId="0" applyNumberFormat="1" applyFont="1" applyFill="1" applyBorder="1"/>
    <xf numFmtId="180" fontId="2" fillId="48" borderId="0" xfId="0" applyNumberFormat="1" applyFont="1" applyFill="1" applyBorder="1"/>
    <xf numFmtId="2" fontId="2" fillId="48" borderId="0" xfId="0" applyNumberFormat="1" applyFont="1" applyFill="1" applyBorder="1"/>
    <xf numFmtId="182" fontId="2" fillId="48" borderId="0" xfId="0" applyNumberFormat="1" applyFont="1" applyFill="1" applyBorder="1" applyAlignment="1">
      <alignment horizontal="right" vertical="center"/>
    </xf>
    <xf numFmtId="10" fontId="65" fillId="48" borderId="0" xfId="2" applyNumberFormat="1" applyFont="1" applyFill="1" applyBorder="1" applyAlignment="1">
      <alignment horizontal="right"/>
    </xf>
    <xf numFmtId="10" fontId="67" fillId="46" borderId="0" xfId="0" applyNumberFormat="1" applyFont="1" applyFill="1" applyBorder="1"/>
    <xf numFmtId="164" fontId="63" fillId="2" borderId="0" xfId="0" applyNumberFormat="1" applyFont="1" applyFill="1" applyBorder="1"/>
    <xf numFmtId="180" fontId="64" fillId="2" borderId="0" xfId="0" applyNumberFormat="1" applyFont="1" applyFill="1" applyBorder="1" applyAlignment="1">
      <alignment vertical="center"/>
    </xf>
    <xf numFmtId="0" fontId="40" fillId="2" borderId="0" xfId="0" applyFont="1" applyFill="1" applyBorder="1" applyAlignment="1">
      <alignment horizontal="left"/>
    </xf>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6" borderId="0" xfId="0" applyFont="1" applyFill="1" applyBorder="1"/>
    <xf numFmtId="0" fontId="64" fillId="47" borderId="0" xfId="0" applyNumberFormat="1" applyFont="1" applyFill="1" applyBorder="1"/>
    <xf numFmtId="0" fontId="64" fillId="2" borderId="0" xfId="0" applyNumberFormat="1" applyFont="1" applyFill="1" applyBorder="1"/>
    <xf numFmtId="10" fontId="65" fillId="48" borderId="0" xfId="0" applyNumberFormat="1" applyFont="1" applyFill="1" applyBorder="1"/>
    <xf numFmtId="0" fontId="40" fillId="47" borderId="0" xfId="0" applyFont="1" applyFill="1" applyBorder="1"/>
    <xf numFmtId="0" fontId="2" fillId="47" borderId="0" xfId="0" applyNumberFormat="1" applyFont="1" applyFill="1" applyBorder="1" applyAlignment="1">
      <alignment horizontal="right"/>
    </xf>
    <xf numFmtId="10" fontId="2" fillId="47" borderId="18" xfId="2" applyNumberFormat="1" applyFont="1" applyFill="1" applyBorder="1"/>
    <xf numFmtId="178" fontId="2" fillId="2" borderId="0" xfId="0" applyNumberFormat="1" applyFont="1" applyFill="1" applyBorder="1"/>
    <xf numFmtId="0" fontId="6" fillId="47" borderId="0" xfId="0" applyFont="1" applyFill="1" applyBorder="1"/>
    <xf numFmtId="180" fontId="8" fillId="47" borderId="0" xfId="0" applyNumberFormat="1" applyFont="1" applyFill="1" applyBorder="1"/>
    <xf numFmtId="10" fontId="6" fillId="47"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7" borderId="0" xfId="0" applyNumberFormat="1" applyFont="1" applyFill="1" applyBorder="1"/>
    <xf numFmtId="180" fontId="40" fillId="47" borderId="0" xfId="0" applyNumberFormat="1" applyFont="1" applyFill="1" applyBorder="1"/>
    <xf numFmtId="180" fontId="8" fillId="46" borderId="0" xfId="2" applyNumberFormat="1" applyFont="1" applyFill="1"/>
    <xf numFmtId="2" fontId="64" fillId="2" borderId="0" xfId="2" quotePrefix="1" applyNumberFormat="1" applyFont="1" applyFill="1" applyBorder="1" applyAlignment="1">
      <alignment horizontal="right"/>
    </xf>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180" fontId="40" fillId="47" borderId="0" xfId="2" applyNumberFormat="1" applyFont="1" applyFill="1" applyBorder="1" applyAlignment="1">
      <alignment horizontal="right"/>
    </xf>
    <xf numFmtId="10" fontId="66" fillId="47" borderId="0" xfId="2" applyNumberFormat="1" applyFont="1" applyFill="1" applyBorder="1" applyAlignment="1">
      <alignment horizontal="right" vertical="center"/>
    </xf>
    <xf numFmtId="10" fontId="2" fillId="47" borderId="18" xfId="0" applyNumberFormat="1" applyFont="1" applyFill="1" applyBorder="1"/>
    <xf numFmtId="10" fontId="2" fillId="47" borderId="0" xfId="0" applyNumberFormat="1" applyFont="1" applyFill="1" applyBorder="1"/>
    <xf numFmtId="184" fontId="64" fillId="2" borderId="0" xfId="0" applyNumberFormat="1" applyFont="1" applyFill="1" applyBorder="1"/>
    <xf numFmtId="10" fontId="2" fillId="48" borderId="0" xfId="2" applyNumberFormat="1" applyFont="1" applyFill="1" applyBorder="1"/>
    <xf numFmtId="184" fontId="1" fillId="2" borderId="0" xfId="0" applyNumberFormat="1" applyFont="1" applyFill="1" applyBorder="1"/>
    <xf numFmtId="0" fontId="2" fillId="2" borderId="0" xfId="0" applyNumberFormat="1" applyFont="1" applyFill="1" applyBorder="1" applyAlignment="1">
      <alignment horizontal="right" vertical="center"/>
    </xf>
    <xf numFmtId="164" fontId="2" fillId="48" borderId="0" xfId="0" applyNumberFormat="1" applyFont="1" applyFill="1"/>
    <xf numFmtId="180" fontId="2" fillId="2" borderId="19" xfId="0" applyNumberFormat="1" applyFont="1" applyFill="1" applyBorder="1"/>
    <xf numFmtId="180" fontId="40" fillId="2" borderId="0" xfId="0" applyNumberFormat="1" applyFont="1" applyFill="1" applyBorder="1"/>
    <xf numFmtId="9" fontId="60" fillId="2" borderId="0" xfId="2" applyFont="1" applyFill="1" applyBorder="1"/>
    <xf numFmtId="180" fontId="2" fillId="47" borderId="0" xfId="0" applyNumberFormat="1" applyFont="1" applyFill="1"/>
    <xf numFmtId="0" fontId="2" fillId="48" borderId="0" xfId="0" applyNumberFormat="1" applyFont="1" applyFill="1"/>
    <xf numFmtId="0" fontId="40" fillId="48" borderId="0" xfId="2" applyNumberFormat="1" applyFont="1" applyFill="1" applyBorder="1" applyAlignment="1">
      <alignment horizontal="right"/>
    </xf>
    <xf numFmtId="0" fontId="40" fillId="48" borderId="0" xfId="0" applyNumberFormat="1" applyFont="1" applyFill="1" applyBorder="1" applyAlignment="1">
      <alignment horizontal="right"/>
    </xf>
    <xf numFmtId="0" fontId="40" fillId="48" borderId="0" xfId="2" applyNumberFormat="1" applyFont="1" applyFill="1" applyBorder="1"/>
    <xf numFmtId="0" fontId="40" fillId="48" borderId="0" xfId="0" applyNumberFormat="1" applyFont="1" applyFill="1" applyBorder="1"/>
    <xf numFmtId="164" fontId="1" fillId="2" borderId="0" xfId="0" applyNumberFormat="1" applyFont="1" applyFill="1" applyBorder="1" applyAlignment="1">
      <alignment horizontal="left"/>
    </xf>
    <xf numFmtId="180" fontId="40" fillId="2" borderId="17" xfId="0" applyNumberFormat="1" applyFont="1" applyFill="1" applyBorder="1"/>
    <xf numFmtId="189" fontId="40" fillId="2" borderId="0" xfId="0" applyNumberFormat="1" applyFont="1" applyFill="1" applyBorder="1"/>
    <xf numFmtId="180" fontId="2" fillId="2" borderId="0" xfId="0" applyNumberFormat="1" applyFont="1" applyFill="1"/>
    <xf numFmtId="180" fontId="40" fillId="2" borderId="0" xfId="0" applyNumberFormat="1" applyFont="1" applyFill="1"/>
    <xf numFmtId="180" fontId="2" fillId="2" borderId="19" xfId="0" applyNumberFormat="1" applyFont="1" applyFill="1" applyBorder="1" applyAlignment="1">
      <alignment horizontal="left" vertical="center"/>
    </xf>
    <xf numFmtId="9" fontId="64" fillId="2" borderId="0" xfId="2" applyFont="1" applyFill="1" applyBorder="1"/>
    <xf numFmtId="183" fontId="64" fillId="2" borderId="0" xfId="0" applyNumberFormat="1" applyFont="1" applyFill="1" applyBorder="1"/>
    <xf numFmtId="2" fontId="64" fillId="47" borderId="0" xfId="2" applyNumberFormat="1" applyFont="1" applyFill="1" applyBorder="1" applyAlignment="1"/>
    <xf numFmtId="0" fontId="1" fillId="47" borderId="0" xfId="0" applyNumberFormat="1" applyFont="1" applyFill="1" applyBorder="1" applyAlignment="1">
      <alignment horizontal="right" vertical="center"/>
    </xf>
    <xf numFmtId="182" fontId="40" fillId="47" borderId="0" xfId="0" applyNumberFormat="1" applyFont="1" applyFill="1" applyBorder="1" applyAlignment="1">
      <alignment horizontal="right"/>
    </xf>
    <xf numFmtId="0" fontId="8" fillId="2" borderId="0" xfId="2" applyNumberFormat="1" applyFont="1" applyFill="1" applyBorder="1" applyAlignment="1">
      <alignment horizontal="right"/>
    </xf>
    <xf numFmtId="185" fontId="64" fillId="2" borderId="0" xfId="0" applyNumberFormat="1" applyFont="1" applyFill="1" applyBorder="1" applyAlignment="1">
      <alignment horizontal="right" vertical="center"/>
    </xf>
    <xf numFmtId="178" fontId="64" fillId="2" borderId="0" xfId="2" applyNumberFormat="1" applyFont="1" applyFill="1" applyBorder="1" applyAlignment="1">
      <alignment horizontal="right"/>
    </xf>
    <xf numFmtId="178" fontId="8" fillId="2" borderId="0" xfId="0" applyNumberFormat="1" applyFont="1" applyFill="1" applyBorder="1"/>
    <xf numFmtId="183" fontId="8" fillId="2" borderId="0" xfId="0" applyNumberFormat="1" applyFont="1" applyFill="1" applyBorder="1" applyAlignment="1">
      <alignment horizontal="right"/>
    </xf>
    <xf numFmtId="183" fontId="8" fillId="2" borderId="0" xfId="0" applyNumberFormat="1" applyFont="1" applyFill="1" applyBorder="1"/>
    <xf numFmtId="183" fontId="7" fillId="2" borderId="0" xfId="0" applyNumberFormat="1" applyFont="1" applyFill="1" applyBorder="1"/>
    <xf numFmtId="165" fontId="64" fillId="2" borderId="0" xfId="0" applyNumberFormat="1" applyFont="1" applyFill="1" applyBorder="1"/>
    <xf numFmtId="9" fontId="1" fillId="2" borderId="0" xfId="2" applyNumberFormat="1" applyFont="1" applyFill="1" applyBorder="1"/>
    <xf numFmtId="0" fontId="1" fillId="2" borderId="0" xfId="0" applyNumberFormat="1" applyFont="1" applyFill="1" applyBorder="1" applyAlignment="1">
      <alignment horizontal="right" vertical="center"/>
    </xf>
    <xf numFmtId="2" fontId="40" fillId="2" borderId="0" xfId="0" applyNumberFormat="1" applyFont="1" applyFill="1" applyBorder="1" applyAlignment="1">
      <alignment horizontal="right"/>
    </xf>
    <xf numFmtId="190" fontId="8" fillId="46" borderId="0" xfId="2" applyNumberFormat="1" applyFont="1" applyFill="1" applyBorder="1"/>
    <xf numFmtId="179" fontId="2" fillId="47" borderId="0" xfId="2" applyNumberFormat="1" applyFont="1" applyFill="1" applyBorder="1"/>
    <xf numFmtId="164" fontId="64" fillId="2" borderId="0" xfId="0" applyNumberFormat="1" applyFont="1" applyFill="1" applyAlignment="1">
      <alignment horizontal="right"/>
    </xf>
    <xf numFmtId="0" fontId="2" fillId="48" borderId="0" xfId="0" applyFont="1" applyFill="1" applyBorder="1"/>
    <xf numFmtId="0" fontId="2" fillId="48" borderId="0" xfId="0" applyFont="1" applyFill="1" applyBorder="1" applyAlignment="1">
      <alignment horizontal="right"/>
    </xf>
    <xf numFmtId="0" fontId="2" fillId="48" borderId="0" xfId="0" applyFont="1" applyFill="1" applyBorder="1" applyAlignment="1"/>
    <xf numFmtId="180" fontId="1" fillId="47" borderId="0" xfId="0" applyNumberFormat="1" applyFont="1" applyFill="1" applyBorder="1" applyAlignment="1">
      <alignment horizontal="right"/>
    </xf>
    <xf numFmtId="0" fontId="40" fillId="47" borderId="0" xfId="0" applyFont="1" applyFill="1" applyBorder="1" applyAlignment="1"/>
    <xf numFmtId="0" fontId="1" fillId="47" borderId="0" xfId="0" applyNumberFormat="1" applyFont="1" applyFill="1" applyBorder="1"/>
    <xf numFmtId="0" fontId="40" fillId="47" borderId="2" xfId="0" applyFont="1" applyFill="1" applyBorder="1" applyAlignment="1"/>
    <xf numFmtId="180" fontId="2" fillId="47" borderId="20" xfId="0" applyNumberFormat="1" applyFont="1" applyFill="1" applyBorder="1"/>
    <xf numFmtId="0" fontId="2" fillId="47" borderId="20" xfId="0" applyFont="1" applyFill="1" applyBorder="1"/>
    <xf numFmtId="0" fontId="2" fillId="47" borderId="21" xfId="0" applyFont="1" applyFill="1" applyBorder="1"/>
    <xf numFmtId="180" fontId="2" fillId="47" borderId="21" xfId="0" applyNumberFormat="1" applyFont="1" applyFill="1" applyBorder="1"/>
    <xf numFmtId="0" fontId="8" fillId="2" borderId="0" xfId="0" applyFont="1" applyFill="1" applyBorder="1" applyAlignment="1">
      <alignment vertical="center"/>
    </xf>
    <xf numFmtId="0" fontId="40" fillId="2" borderId="0" xfId="0" applyFont="1" applyFill="1" applyBorder="1" applyAlignment="1"/>
    <xf numFmtId="4" fontId="1" fillId="47" borderId="0" xfId="0" applyNumberFormat="1" applyFont="1" applyFill="1" applyBorder="1"/>
    <xf numFmtId="10" fontId="64" fillId="2" borderId="20" xfId="2" applyNumberFormat="1" applyFont="1" applyFill="1" applyBorder="1"/>
    <xf numFmtId="180" fontId="64" fillId="2" borderId="0" xfId="0" applyNumberFormat="1" applyFont="1" applyFill="1" applyBorder="1" applyAlignment="1">
      <alignment horizontal="right"/>
    </xf>
    <xf numFmtId="164" fontId="64" fillId="2" borderId="0" xfId="0" applyNumberFormat="1" applyFont="1" applyFill="1" applyBorder="1" applyAlignment="1">
      <alignment horizontal="right"/>
    </xf>
    <xf numFmtId="4" fontId="1" fillId="47" borderId="0" xfId="2" applyNumberFormat="1" applyFont="1" applyFill="1" applyBorder="1"/>
    <xf numFmtId="4" fontId="1" fillId="47" borderId="0" xfId="0" applyNumberFormat="1" applyFont="1" applyFill="1" applyBorder="1" applyAlignment="1">
      <alignment horizontal="right"/>
    </xf>
    <xf numFmtId="0" fontId="2" fillId="47" borderId="20" xfId="0" applyFont="1" applyFill="1" applyBorder="1" applyAlignment="1">
      <alignment horizontal="left" vertical="center"/>
    </xf>
    <xf numFmtId="10" fontId="40" fillId="47" borderId="20" xfId="2" applyNumberFormat="1" applyFont="1" applyFill="1" applyBorder="1" applyAlignment="1">
      <alignment horizontal="right" vertical="center"/>
    </xf>
    <xf numFmtId="10" fontId="2" fillId="47" borderId="20" xfId="2" applyNumberFormat="1" applyFont="1" applyFill="1" applyBorder="1"/>
    <xf numFmtId="0" fontId="64" fillId="47" borderId="0" xfId="0" applyNumberFormat="1" applyFont="1" applyFill="1" applyBorder="1" applyAlignment="1">
      <alignment horizontal="right"/>
    </xf>
    <xf numFmtId="2" fontId="64" fillId="47" borderId="0" xfId="0" applyNumberFormat="1" applyFont="1" applyFill="1" applyBorder="1"/>
    <xf numFmtId="2" fontId="65" fillId="2" borderId="18" xfId="0" applyNumberFormat="1" applyFont="1" applyFill="1" applyBorder="1" applyAlignment="1"/>
    <xf numFmtId="9" fontId="67" fillId="2" borderId="0" xfId="0" applyNumberFormat="1" applyFont="1" applyFill="1" applyBorder="1"/>
    <xf numFmtId="9" fontId="67" fillId="2" borderId="0" xfId="0" applyNumberFormat="1" applyFont="1" applyFill="1" applyBorder="1" applyAlignment="1">
      <alignment horizontal="right"/>
    </xf>
    <xf numFmtId="9" fontId="67" fillId="2" borderId="0" xfId="2" applyFont="1" applyFill="1" applyBorder="1"/>
    <xf numFmtId="10" fontId="67" fillId="2" borderId="0" xfId="0" applyNumberFormat="1" applyFont="1" applyFill="1" applyBorder="1"/>
    <xf numFmtId="182" fontId="2" fillId="2" borderId="0" xfId="0" applyNumberFormat="1" applyFont="1" applyFill="1" applyBorder="1"/>
    <xf numFmtId="0" fontId="8" fillId="46" borderId="0" xfId="0" applyFont="1" applyFill="1" applyBorder="1" applyAlignment="1">
      <alignment horizontal="left"/>
    </xf>
    <xf numFmtId="2" fontId="8" fillId="46" borderId="0" xfId="0" applyNumberFormat="1" applyFont="1" applyFill="1" applyBorder="1" applyAlignment="1">
      <alignment horizontal="right"/>
    </xf>
    <xf numFmtId="191" fontId="8" fillId="46" borderId="0" xfId="0" applyNumberFormat="1" applyFont="1" applyFill="1" applyBorder="1"/>
    <xf numFmtId="191" fontId="2" fillId="48" borderId="0" xfId="0" applyNumberFormat="1" applyFont="1" applyFill="1" applyBorder="1"/>
    <xf numFmtId="191" fontId="2" fillId="47" borderId="0" xfId="0" applyNumberFormat="1" applyFont="1" applyFill="1" applyBorder="1"/>
    <xf numFmtId="0" fontId="8" fillId="2" borderId="0" xfId="0" applyFont="1" applyFill="1" applyBorder="1" applyAlignment="1">
      <alignment horizontal="right"/>
    </xf>
    <xf numFmtId="3" fontId="64" fillId="47" borderId="0" xfId="0" applyNumberFormat="1" applyFont="1" applyFill="1"/>
    <xf numFmtId="2" fontId="1" fillId="47" borderId="0" xfId="0" applyNumberFormat="1" applyFont="1" applyFill="1"/>
    <xf numFmtId="0" fontId="1" fillId="47" borderId="20" xfId="0" applyFont="1" applyFill="1" applyBorder="1"/>
    <xf numFmtId="2" fontId="64" fillId="47" borderId="20" xfId="0" applyNumberFormat="1" applyFont="1" applyFill="1" applyBorder="1"/>
    <xf numFmtId="191" fontId="64" fillId="47" borderId="0" xfId="0" applyNumberFormat="1" applyFont="1" applyFill="1"/>
    <xf numFmtId="191" fontId="64" fillId="47" borderId="0" xfId="0" applyNumberFormat="1" applyFont="1" applyFill="1" applyBorder="1"/>
    <xf numFmtId="182" fontId="1" fillId="47" borderId="20" xfId="0" applyNumberFormat="1" applyFont="1" applyFill="1" applyBorder="1"/>
    <xf numFmtId="191" fontId="64" fillId="47" borderId="20" xfId="0" applyNumberFormat="1" applyFont="1" applyFill="1" applyBorder="1"/>
    <xf numFmtId="185" fontId="2" fillId="48" borderId="0" xfId="0" applyNumberFormat="1" applyFont="1" applyFill="1" applyBorder="1"/>
    <xf numFmtId="185" fontId="1" fillId="47" borderId="0" xfId="0" applyNumberFormat="1" applyFont="1" applyFill="1" applyBorder="1"/>
    <xf numFmtId="10" fontId="65" fillId="48" borderId="0" xfId="2" applyNumberFormat="1" applyFont="1" applyFill="1" applyBorder="1"/>
    <xf numFmtId="0" fontId="40" fillId="2" borderId="0" xfId="2" applyNumberFormat="1" applyFont="1" applyFill="1" applyBorder="1" applyAlignment="1">
      <alignment horizontal="center"/>
    </xf>
    <xf numFmtId="180" fontId="8" fillId="46" borderId="0" xfId="2" applyNumberFormat="1" applyFont="1" applyFill="1" applyBorder="1"/>
    <xf numFmtId="180" fontId="64" fillId="2" borderId="0" xfId="2" applyNumberFormat="1" applyFont="1" applyFill="1"/>
    <xf numFmtId="43" fontId="40" fillId="2" borderId="0" xfId="0" applyNumberFormat="1" applyFont="1" applyFill="1" applyBorder="1" applyAlignment="1">
      <alignment horizontal="right"/>
    </xf>
    <xf numFmtId="180" fontId="65" fillId="48" borderId="0" xfId="0" applyNumberFormat="1" applyFont="1" applyFill="1" applyBorder="1"/>
    <xf numFmtId="164" fontId="1" fillId="2" borderId="0" xfId="0" applyNumberFormat="1" applyFont="1" applyFill="1" applyAlignment="1">
      <alignment horizontal="right"/>
    </xf>
    <xf numFmtId="179" fontId="2" fillId="2" borderId="0" xfId="0" applyNumberFormat="1" applyFont="1" applyFill="1"/>
    <xf numFmtId="10" fontId="2" fillId="2" borderId="20" xfId="2" applyNumberFormat="1" applyFont="1" applyFill="1" applyBorder="1"/>
    <xf numFmtId="0" fontId="40" fillId="48" borderId="0" xfId="0" applyFont="1" applyFill="1" applyBorder="1" applyAlignment="1"/>
    <xf numFmtId="0" fontId="40" fillId="48" borderId="0" xfId="0" applyFont="1" applyFill="1" applyBorder="1"/>
    <xf numFmtId="0" fontId="60" fillId="48" borderId="0" xfId="0" applyFont="1" applyFill="1" applyBorder="1"/>
    <xf numFmtId="0" fontId="40" fillId="48" borderId="0" xfId="0" applyFont="1" applyFill="1" applyBorder="1" applyAlignment="1">
      <alignment horizontal="right"/>
    </xf>
    <xf numFmtId="10" fontId="40" fillId="48" borderId="0" xfId="2" applyNumberFormat="1" applyFont="1" applyFill="1" applyBorder="1" applyAlignment="1">
      <alignment horizontal="right"/>
    </xf>
    <xf numFmtId="10" fontId="66" fillId="47" borderId="0" xfId="2" applyNumberFormat="1" applyFont="1" applyFill="1" applyBorder="1" applyAlignment="1">
      <alignment horizontal="right"/>
    </xf>
    <xf numFmtId="180" fontId="60" fillId="47" borderId="0" xfId="2" applyNumberFormat="1" applyFont="1" applyFill="1" applyBorder="1" applyAlignment="1">
      <alignment horizontal="right"/>
    </xf>
    <xf numFmtId="0" fontId="60" fillId="47" borderId="0" xfId="2" applyNumberFormat="1" applyFont="1" applyFill="1" applyBorder="1" applyAlignment="1">
      <alignment horizontal="right"/>
    </xf>
    <xf numFmtId="2" fontId="64" fillId="2" borderId="0" xfId="2" applyNumberFormat="1" applyFont="1" applyFill="1" applyBorder="1" applyAlignment="1">
      <alignment horizontal="center"/>
    </xf>
    <xf numFmtId="164" fontId="8" fillId="46" borderId="0" xfId="0" applyNumberFormat="1" applyFont="1" applyFill="1" applyBorder="1" applyAlignment="1">
      <alignment horizontal="center"/>
    </xf>
    <xf numFmtId="0" fontId="8" fillId="46" borderId="0" xfId="0" applyFont="1" applyFill="1" applyBorder="1" applyAlignment="1">
      <alignment horizontal="center" vertical="center"/>
    </xf>
    <xf numFmtId="0" fontId="8" fillId="46" borderId="0" xfId="0" applyFont="1" applyFill="1" applyBorder="1" applyAlignment="1">
      <alignment horizontal="center"/>
    </xf>
    <xf numFmtId="164" fontId="8" fillId="46" borderId="0" xfId="0" applyNumberFormat="1" applyFont="1" applyFill="1" applyAlignment="1">
      <alignment horizontal="center"/>
    </xf>
    <xf numFmtId="2" fontId="1" fillId="2" borderId="0" xfId="0" applyNumberFormat="1" applyFont="1" applyFill="1" applyBorder="1"/>
    <xf numFmtId="0" fontId="8" fillId="2" borderId="0" xfId="133" applyNumberFormat="1" applyFont="1" applyFill="1" applyBorder="1" applyAlignment="1">
      <alignment horizontal="right" vertical="center"/>
    </xf>
    <xf numFmtId="187" fontId="40" fillId="2" borderId="0" xfId="0" applyNumberFormat="1" applyFont="1" applyFill="1" applyBorder="1"/>
    <xf numFmtId="10" fontId="40" fillId="2" borderId="0" xfId="2" applyNumberFormat="1" applyFont="1" applyFill="1" applyBorder="1" applyAlignment="1">
      <alignment vertical="center"/>
    </xf>
    <xf numFmtId="187" fontId="2" fillId="2" borderId="0" xfId="0" applyNumberFormat="1" applyFont="1" applyFill="1" applyBorder="1"/>
  </cellXfs>
  <cellStyles count="169">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Amusement Park Industry TAM</a:t>
            </a:r>
          </a:p>
        </c:rich>
      </c:tx>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'Amusement Park Industry TAM'!$H$3</c:f>
              <c:strCache>
                <c:ptCount val="1"/>
                <c:pt idx="0">
                  <c:v>Amusement Industry</c:v>
                </c:pt>
              </c:strCache>
            </c:strRef>
          </c:tx>
          <c:spPr>
            <a:solidFill>
              <a:srgbClr val="FFC000"/>
            </a:solidFill>
            <a:ln>
              <a:noFill/>
            </a:ln>
            <a:effectLst/>
          </c:spPr>
          <c:invertIfNegative val="0"/>
          <c:cat>
            <c:strRef>
              <c:f>'Amusement Park Industry TAM'!$E$4:$E$14</c:f>
              <c:strCache>
                <c:ptCount val="11"/>
                <c:pt idx="0">
                  <c:v>FY22</c:v>
                </c:pt>
                <c:pt idx="1">
                  <c:v>FY23</c:v>
                </c:pt>
                <c:pt idx="2">
                  <c:v>FY24</c:v>
                </c:pt>
                <c:pt idx="3">
                  <c:v>FY25</c:v>
                </c:pt>
                <c:pt idx="4">
                  <c:v>FY26</c:v>
                </c:pt>
                <c:pt idx="5">
                  <c:v>FY27</c:v>
                </c:pt>
                <c:pt idx="6">
                  <c:v>FY28</c:v>
                </c:pt>
                <c:pt idx="7">
                  <c:v>FY29</c:v>
                </c:pt>
                <c:pt idx="8">
                  <c:v>FY30</c:v>
                </c:pt>
                <c:pt idx="9">
                  <c:v>FY31</c:v>
                </c:pt>
                <c:pt idx="10">
                  <c:v>FY32</c:v>
                </c:pt>
              </c:strCache>
            </c:strRef>
          </c:cat>
          <c:val>
            <c:numRef>
              <c:f>'Amusement Park Industry TAM'!$H$4:$H$14</c:f>
              <c:numCache>
                <c:formatCode>[$₹-4009]\ #,##0.00;[$₹-4009]\ \-#,##0.00</c:formatCode>
                <c:ptCount val="11"/>
                <c:pt idx="0">
                  <c:v>6065019.0848057242</c:v>
                </c:pt>
                <c:pt idx="1">
                  <c:v>6540345.9538725791</c:v>
                </c:pt>
                <c:pt idx="2">
                  <c:v>7052235.5742119737</c:v>
                </c:pt>
                <c:pt idx="3">
                  <c:v>7604188.974855843</c:v>
                </c:pt>
                <c:pt idx="4">
                  <c:v>8198540.1490075178</c:v>
                </c:pt>
                <c:pt idx="5">
                  <c:v>8839346.4177634381</c:v>
                </c:pt>
                <c:pt idx="6">
                  <c:v>9529306.8883311208</c:v>
                </c:pt>
                <c:pt idx="7">
                  <c:v>10273122.636025324</c:v>
                </c:pt>
                <c:pt idx="8">
                  <c:v>11073914.343299959</c:v>
                </c:pt>
                <c:pt idx="9">
                  <c:v>11937127.904295202</c:v>
                </c:pt>
                <c:pt idx="10">
                  <c:v>12866370.665597342</c:v>
                </c:pt>
              </c:numCache>
            </c:numRef>
          </c:val>
          <c:extLst>
            <c:ext xmlns:c16="http://schemas.microsoft.com/office/drawing/2014/chart" uri="{C3380CC4-5D6E-409C-BE32-E72D297353CC}">
              <c16:uniqueId val="{00000000-3246-4582-8CD8-FF1A5300B36C}"/>
            </c:ext>
          </c:extLst>
        </c:ser>
        <c:dLbls>
          <c:showLegendKey val="0"/>
          <c:showVal val="0"/>
          <c:showCatName val="0"/>
          <c:showSerName val="0"/>
          <c:showPercent val="0"/>
          <c:showBubbleSize val="0"/>
        </c:dLbls>
        <c:gapWidth val="269"/>
        <c:overlap val="-27"/>
        <c:axId val="1295622512"/>
        <c:axId val="1295626256"/>
      </c:barChart>
      <c:lineChart>
        <c:grouping val="standard"/>
        <c:varyColors val="0"/>
        <c:ser>
          <c:idx val="1"/>
          <c:order val="1"/>
          <c:tx>
            <c:strRef>
              <c:f>'Amusement Park Industry TAM'!$I$3</c:f>
              <c:strCache>
                <c:ptCount val="1"/>
                <c:pt idx="0">
                  <c:v>CAGR %</c:v>
                </c:pt>
              </c:strCache>
            </c:strRef>
          </c:tx>
          <c:spPr>
            <a:ln w="38100" cap="rnd">
              <a:solidFill>
                <a:srgbClr val="00B050"/>
              </a:solidFill>
              <a:round/>
            </a:ln>
            <a:effectLst/>
          </c:spPr>
          <c:marker>
            <c:symbol val="none"/>
          </c:marker>
          <c:val>
            <c:numRef>
              <c:f>'Amusement Park Industry TAM'!$I$4:$I$14</c:f>
              <c:numCache>
                <c:formatCode>0.00%</c:formatCode>
                <c:ptCount val="11"/>
                <c:pt idx="1">
                  <c:v>7.8371866999999831E-2</c:v>
                </c:pt>
                <c:pt idx="2">
                  <c:v>7.8266443999999963E-2</c:v>
                </c:pt>
                <c:pt idx="3">
                  <c:v>7.8266444000000004E-2</c:v>
                </c:pt>
                <c:pt idx="4">
                  <c:v>7.8161020999999845E-2</c:v>
                </c:pt>
                <c:pt idx="5">
                  <c:v>7.8161021000000067E-2</c:v>
                </c:pt>
                <c:pt idx="6">
                  <c:v>7.8055597999999976E-2</c:v>
                </c:pt>
                <c:pt idx="7">
                  <c:v>7.8055597999999865E-2</c:v>
                </c:pt>
                <c:pt idx="8">
                  <c:v>7.7950174999999913E-2</c:v>
                </c:pt>
                <c:pt idx="9">
                  <c:v>7.7950175000000149E-2</c:v>
                </c:pt>
                <c:pt idx="10">
                  <c:v>7.7844751999999989E-2</c:v>
                </c:pt>
              </c:numCache>
            </c:numRef>
          </c:val>
          <c:smooth val="0"/>
          <c:extLst>
            <c:ext xmlns:c16="http://schemas.microsoft.com/office/drawing/2014/chart" uri="{C3380CC4-5D6E-409C-BE32-E72D297353CC}">
              <c16:uniqueId val="{00000001-3246-4582-8CD8-FF1A5300B36C}"/>
            </c:ext>
          </c:extLst>
        </c:ser>
        <c:dLbls>
          <c:showLegendKey val="0"/>
          <c:showVal val="0"/>
          <c:showCatName val="0"/>
          <c:showSerName val="0"/>
          <c:showPercent val="0"/>
          <c:showBubbleSize val="0"/>
        </c:dLbls>
        <c:marker val="1"/>
        <c:smooth val="0"/>
        <c:axId val="1284750448"/>
        <c:axId val="1284749200"/>
      </c:lineChart>
      <c:catAx>
        <c:axId val="1295622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295626256"/>
        <c:crosses val="autoZero"/>
        <c:auto val="1"/>
        <c:lblAlgn val="ctr"/>
        <c:lblOffset val="100"/>
        <c:noMultiLvlLbl val="0"/>
      </c:catAx>
      <c:valAx>
        <c:axId val="129562625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4009]\ #,###\ \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622512"/>
        <c:crosses val="autoZero"/>
        <c:crossBetween val="between"/>
      </c:valAx>
      <c:valAx>
        <c:axId val="1284749200"/>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750448"/>
        <c:crosses val="max"/>
        <c:crossBetween val="between"/>
      </c:valAx>
      <c:catAx>
        <c:axId val="1284750448"/>
        <c:scaling>
          <c:orientation val="minMax"/>
        </c:scaling>
        <c:delete val="1"/>
        <c:axPos val="b"/>
        <c:majorTickMark val="out"/>
        <c:minorTickMark val="none"/>
        <c:tickLblPos val="nextTo"/>
        <c:crossAx val="1284749200"/>
        <c:auto val="1"/>
        <c:lblAlgn val="ctr"/>
        <c:lblOffset val="100"/>
        <c:noMultiLvlLbl val="0"/>
      </c:cat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276225</xdr:colOff>
      <xdr:row>1</xdr:row>
      <xdr:rowOff>161924</xdr:rowOff>
    </xdr:from>
    <xdr:to>
      <xdr:col>10</xdr:col>
      <xdr:colOff>161925</xdr:colOff>
      <xdr:row>18</xdr:row>
      <xdr:rowOff>28575</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8848" t="12244" r="15688" b="7458"/>
        <a:stretch/>
      </xdr:blipFill>
      <xdr:spPr>
        <a:xfrm>
          <a:off x="409575" y="800099"/>
          <a:ext cx="5524500" cy="26860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28576</xdr:colOff>
      <xdr:row>5</xdr:row>
      <xdr:rowOff>1</xdr:rowOff>
    </xdr:from>
    <xdr:to>
      <xdr:col>2</xdr:col>
      <xdr:colOff>619125</xdr:colOff>
      <xdr:row>10</xdr:row>
      <xdr:rowOff>38101</xdr:rowOff>
    </xdr:to>
    <xdr:sp macro="" textlink="">
      <xdr:nvSpPr>
        <xdr:cNvPr id="2" name="TextBox 1"/>
        <xdr:cNvSpPr txBox="1"/>
      </xdr:nvSpPr>
      <xdr:spPr>
        <a:xfrm>
          <a:off x="161926" y="809626"/>
          <a:ext cx="2114549"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Wonderla Holidays Ltd:</a:t>
          </a:r>
        </a:p>
        <a:p>
          <a:endParaRPr lang="en-US" sz="900" b="1">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Wonderla Holidays is engaged in the business of Amusement Parks and Resort.</a:t>
          </a:r>
        </a:p>
      </xdr:txBody>
    </xdr:sp>
    <xdr:clientData/>
  </xdr:twoCellAnchor>
  <xdr:twoCellAnchor>
    <xdr:from>
      <xdr:col>1</xdr:col>
      <xdr:colOff>28574</xdr:colOff>
      <xdr:row>11</xdr:row>
      <xdr:rowOff>19050</xdr:rowOff>
    </xdr:from>
    <xdr:to>
      <xdr:col>15</xdr:col>
      <xdr:colOff>142875</xdr:colOff>
      <xdr:row>29</xdr:row>
      <xdr:rowOff>28576</xdr:rowOff>
    </xdr:to>
    <xdr:sp macro="" textlink="">
      <xdr:nvSpPr>
        <xdr:cNvPr id="6" name="TextBox 5"/>
        <xdr:cNvSpPr txBox="1"/>
      </xdr:nvSpPr>
      <xdr:spPr>
        <a:xfrm>
          <a:off x="161924" y="1743075"/>
          <a:ext cx="11277601" cy="27527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Amusement Parks</a:t>
          </a:r>
        </a:p>
        <a:p>
          <a:r>
            <a:rPr lang="en-US" sz="900">
              <a:latin typeface="Arial" panose="020B0604020202020204" pitchFamily="34" charset="0"/>
              <a:cs typeface="Arial" panose="020B0604020202020204" pitchFamily="34" charset="0"/>
            </a:rPr>
            <a:t/>
          </a:r>
          <a:br>
            <a:rPr lang="en-US" sz="900">
              <a:latin typeface="Arial" panose="020B0604020202020204" pitchFamily="34" charset="0"/>
              <a:cs typeface="Arial" panose="020B0604020202020204" pitchFamily="34" charset="0"/>
            </a:rPr>
          </a:br>
          <a:r>
            <a:rPr lang="en-US" sz="900">
              <a:latin typeface="Arial" panose="020B0604020202020204" pitchFamily="34" charset="0"/>
              <a:cs typeface="Arial" panose="020B0604020202020204" pitchFamily="34" charset="0"/>
            </a:rPr>
            <a:t>Wonderla currently has three operational parks, one each in Kochi, Bengaluru and Hyderabad established in 2000, 2005 and 2016 respectively. The Bengaluru park also has a resort with 4 banquet halls and 84 rooms.</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Average revenues over the last 5 years (FY15 to FY20) have been ~79 cr. in the Kochi park and ~116 cr. in the Bangalore park. As Hyderabad park was operationalized only in FY17, revenues have grown from ~57 cr. in FY17 to ~74 cr. in FY20.</a:t>
          </a:r>
        </a:p>
        <a:p>
          <a:endParaRPr lang="en-US" sz="90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Upcoming Parks and expansions</a:t>
          </a:r>
          <a:r>
            <a:rPr lang="en-US" sz="900">
              <a:latin typeface="Arial" panose="020B0604020202020204" pitchFamily="34" charset="0"/>
              <a:cs typeface="Arial" panose="020B0604020202020204" pitchFamily="34" charset="0"/>
            </a:rPr>
            <a:t/>
          </a:r>
          <a:br>
            <a:rPr lang="en-US" sz="900">
              <a:latin typeface="Arial" panose="020B0604020202020204" pitchFamily="34" charset="0"/>
              <a:cs typeface="Arial" panose="020B0604020202020204" pitchFamily="34" charset="0"/>
            </a:rPr>
          </a:br>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A fourth park is being setup in Chennai at a cost of over 300 cr. The company is currently under discussion with the Chennai state government to resolve certain tax issues, after which construction activities will resume.</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The park has received exemption on entertainment tax for 5 years from the date of commencement of commercial operations or 01-10-2021 (whichever is earlier).</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Wonderla is also in discussion with the Odisha state government to setup a</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park in Bhubaneswar on an asset-light model, where land will be taken on lease and the total cost for setting up the park will be ~100 cr.</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Wonderla also plans to build a resort in Hyderabad similar to the one in Bangalore.</a:t>
          </a:r>
          <a:r>
            <a:rPr lang="en-US" sz="900" baseline="0">
              <a:latin typeface="Arial" panose="020B0604020202020204" pitchFamily="34" charset="0"/>
              <a:cs typeface="Arial" panose="020B0604020202020204" pitchFamily="34" charset="0"/>
            </a:rPr>
            <a:t> </a:t>
          </a:r>
        </a:p>
        <a:p>
          <a:endParaRPr lang="en-US" sz="90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Miscellaneous</a:t>
          </a:r>
        </a:p>
        <a:p>
          <a:r>
            <a:rPr lang="en-US" sz="900">
              <a:latin typeface="Arial" panose="020B0604020202020204" pitchFamily="34" charset="0"/>
              <a:cs typeface="Arial" panose="020B0604020202020204" pitchFamily="34" charset="0"/>
            </a:rPr>
            <a:t/>
          </a:r>
          <a:br>
            <a:rPr lang="en-US" sz="900">
              <a:latin typeface="Arial" panose="020B0604020202020204" pitchFamily="34" charset="0"/>
              <a:cs typeface="Arial" panose="020B0604020202020204" pitchFamily="34" charset="0"/>
            </a:rPr>
          </a:br>
          <a:r>
            <a:rPr lang="en-US" sz="900">
              <a:latin typeface="Arial" panose="020B0604020202020204" pitchFamily="34" charset="0"/>
              <a:cs typeface="Arial" panose="020B0604020202020204" pitchFamily="34" charset="0"/>
            </a:rPr>
            <a:t>- Wonderla manufactures and maintains their rides in-house lowering cost of construction compared to if they were imported.</a:t>
          </a:r>
          <a:br>
            <a:rPr lang="en-US" sz="900">
              <a:latin typeface="Arial" panose="020B0604020202020204" pitchFamily="34" charset="0"/>
              <a:cs typeface="Arial" panose="020B0604020202020204" pitchFamily="34" charset="0"/>
            </a:rPr>
          </a:br>
          <a:r>
            <a:rPr lang="en-US" sz="900">
              <a:latin typeface="Arial" panose="020B0604020202020204" pitchFamily="34" charset="0"/>
              <a:cs typeface="Arial" panose="020B0604020202020204" pitchFamily="34" charset="0"/>
            </a:rPr>
            <a:t>- Wonderla spends 8-10% of their revenues in advertisement and sales promotions</a:t>
          </a:r>
          <a:br>
            <a:rPr lang="en-US" sz="900">
              <a:latin typeface="Arial" panose="020B0604020202020204" pitchFamily="34" charset="0"/>
              <a:cs typeface="Arial" panose="020B0604020202020204" pitchFamily="34" charset="0"/>
            </a:rPr>
          </a:br>
          <a:r>
            <a:rPr lang="en-US" sz="900">
              <a:latin typeface="Arial" panose="020B0604020202020204" pitchFamily="34" charset="0"/>
              <a:cs typeface="Arial" panose="020B0604020202020204" pitchFamily="34" charset="0"/>
            </a:rPr>
            <a:t>- Wonderla's business is seasonal in nature with higher footfalls in June and December quarters corresponding to summer break and festive season respectively.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9523</xdr:colOff>
      <xdr:row>1</xdr:row>
      <xdr:rowOff>114298</xdr:rowOff>
    </xdr:from>
    <xdr:to>
      <xdr:col>16</xdr:col>
      <xdr:colOff>161924</xdr:colOff>
      <xdr:row>29</xdr:row>
      <xdr:rowOff>76199</xdr:rowOff>
    </xdr:to>
    <xdr:sp macro="" textlink="">
      <xdr:nvSpPr>
        <xdr:cNvPr id="3" name="TextBox 2"/>
        <xdr:cNvSpPr txBox="1"/>
      </xdr:nvSpPr>
      <xdr:spPr>
        <a:xfrm>
          <a:off x="142873" y="314323"/>
          <a:ext cx="11639551" cy="4229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Wonderla Products: </a:t>
          </a:r>
          <a:r>
            <a:rPr lang="en-US" sz="900">
              <a:solidFill>
                <a:schemeClr val="dk1"/>
              </a:solidFill>
              <a:effectLst/>
              <a:latin typeface="Arial" panose="020B0604020202020204" pitchFamily="34" charset="0"/>
              <a:ea typeface="+mn-ea"/>
              <a:cs typeface="Arial" panose="020B0604020202020204" pitchFamily="34" charset="0"/>
            </a:rPr>
            <a:t>Wonderla currently has three amusement parks, one each in Kochi, Bengaluru and Hyderabad established in 2000, 2005 and 2016.</a:t>
          </a:r>
        </a:p>
        <a:p>
          <a:endParaRPr lang="en-US" sz="900">
            <a:solidFill>
              <a:schemeClr val="dk1"/>
            </a:solidFill>
            <a:effectLst/>
            <a:latin typeface="Arial" panose="020B0604020202020204" pitchFamily="34" charset="0"/>
            <a:ea typeface="+mn-ea"/>
            <a:cs typeface="Arial" panose="020B0604020202020204" pitchFamily="34" charset="0"/>
          </a:endParaRPr>
        </a:p>
        <a:p>
          <a:r>
            <a:rPr lang="en-US" sz="900" b="1">
              <a:solidFill>
                <a:schemeClr val="dk1"/>
              </a:solidFill>
              <a:effectLst/>
              <a:latin typeface="Arial" panose="020B0604020202020204" pitchFamily="34" charset="0"/>
              <a:ea typeface="+mn-ea"/>
              <a:cs typeface="Arial" panose="020B0604020202020204" pitchFamily="34" charset="0"/>
            </a:rPr>
            <a:t>Market</a:t>
          </a:r>
          <a:r>
            <a:rPr lang="en-US" sz="900" b="1" baseline="0">
              <a:solidFill>
                <a:schemeClr val="dk1"/>
              </a:solidFill>
              <a:effectLst/>
              <a:latin typeface="Arial" panose="020B0604020202020204" pitchFamily="34" charset="0"/>
              <a:ea typeface="+mn-ea"/>
              <a:cs typeface="Arial" panose="020B0604020202020204" pitchFamily="34" charset="0"/>
            </a:rPr>
            <a:t> that Wonderla can grow in</a:t>
          </a:r>
          <a:r>
            <a:rPr lang="en-US" sz="900" b="1">
              <a:solidFill>
                <a:schemeClr val="dk1"/>
              </a:solidFill>
              <a:effectLst/>
              <a:latin typeface="Arial" panose="020B0604020202020204" pitchFamily="34" charset="0"/>
              <a:ea typeface="+mn-ea"/>
              <a:cs typeface="Arial" panose="020B0604020202020204" pitchFamily="34" charset="0"/>
            </a:rPr>
            <a:t>: </a:t>
          </a:r>
          <a:r>
            <a:rPr lang="en-US" sz="900" b="0">
              <a:solidFill>
                <a:schemeClr val="dk1"/>
              </a:solidFill>
              <a:effectLst/>
              <a:latin typeface="Arial" panose="020B0604020202020204" pitchFamily="34" charset="0"/>
              <a:ea typeface="+mn-ea"/>
              <a:cs typeface="Arial" panose="020B0604020202020204" pitchFamily="34" charset="0"/>
            </a:rPr>
            <a:t>Wonderla already</a:t>
          </a:r>
          <a:r>
            <a:rPr lang="en-US" sz="900" b="0" baseline="0">
              <a:solidFill>
                <a:schemeClr val="dk1"/>
              </a:solidFill>
              <a:effectLst/>
              <a:latin typeface="Arial" panose="020B0604020202020204" pitchFamily="34" charset="0"/>
              <a:ea typeface="+mn-ea"/>
              <a:cs typeface="Arial" panose="020B0604020202020204" pitchFamily="34" charset="0"/>
            </a:rPr>
            <a:t> has a big presence in amusement park industry, but I can see them increase their presence in Resorts Business. They can expand their target market from kids to grown ups by expanding into waterparks for business adults on weekends.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Competitive Advantages (First Mover Advantage) - </a:t>
          </a:r>
          <a:r>
            <a:rPr lang="en-US" sz="900" b="0" baseline="0">
              <a:solidFill>
                <a:schemeClr val="dk1"/>
              </a:solidFill>
              <a:effectLst/>
              <a:latin typeface="Arial" panose="020B0604020202020204" pitchFamily="34" charset="0"/>
              <a:ea typeface="+mn-ea"/>
              <a:cs typeface="Arial" panose="020B0604020202020204" pitchFamily="34" charset="0"/>
            </a:rPr>
            <a:t>Once Wonderla opens an amusement park in a city, no competitor will be willing to enter the same city as the customers will be divided and both parks will die due to high reinvestment cost. Although, I believe it's not a strong competitve advantage. In the entertainment industry, people want variety and will be willing to visit 2-3 different amusement parks. There is no strong entry barrier for competitors to step in.</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Problem in Amusement Park Industry: </a:t>
          </a:r>
          <a:r>
            <a:rPr lang="en-US" sz="900" b="0" baseline="0">
              <a:solidFill>
                <a:schemeClr val="dk1"/>
              </a:solidFill>
              <a:effectLst/>
              <a:latin typeface="Arial" panose="020B0604020202020204" pitchFamily="34" charset="0"/>
              <a:ea typeface="+mn-ea"/>
              <a:cs typeface="Arial" panose="020B0604020202020204" pitchFamily="34" charset="0"/>
            </a:rPr>
            <a:t>Amusement Park Industry is a cyclical industry. Most active time in amusement parks are during May and June (Summer Holidays). The kids acts as influencers and parents spend money to visit amusement parks. Parents want to avoid spending for a trip to tourist destinations. There is a cap to how much amusement parks can charge households.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Nature of Product/Service: </a:t>
          </a:r>
          <a:r>
            <a:rPr lang="en-US" sz="900" b="0" baseline="0">
              <a:solidFill>
                <a:schemeClr val="dk1"/>
              </a:solidFill>
              <a:effectLst/>
              <a:latin typeface="Arial" panose="020B0604020202020204" pitchFamily="34" charset="0"/>
              <a:ea typeface="+mn-ea"/>
              <a:cs typeface="Arial" panose="020B0604020202020204" pitchFamily="34" charset="0"/>
            </a:rPr>
            <a:t>Amusement Parks are entirely discretionary in nature. During recessions, the industry will hit worse.</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The Customers:</a:t>
          </a:r>
          <a:r>
            <a:rPr lang="en-US" sz="900" b="0" baseline="0">
              <a:solidFill>
                <a:schemeClr val="dk1"/>
              </a:solidFill>
              <a:effectLst/>
              <a:latin typeface="Arial" panose="020B0604020202020204" pitchFamily="34" charset="0"/>
              <a:ea typeface="+mn-ea"/>
              <a:cs typeface="Arial" panose="020B0604020202020204" pitchFamily="34" charset="0"/>
            </a:rPr>
            <a:t> The Target Audience is Urban Households with kids aged between 6 to 15.</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The Customers Pain Points: </a:t>
          </a:r>
          <a:r>
            <a:rPr lang="en-US" sz="900" b="0" baseline="0">
              <a:solidFill>
                <a:schemeClr val="dk1"/>
              </a:solidFill>
              <a:effectLst/>
              <a:latin typeface="Arial" panose="020B0604020202020204" pitchFamily="34" charset="0"/>
              <a:ea typeface="+mn-ea"/>
              <a:cs typeface="Arial" panose="020B0604020202020204" pitchFamily="34" charset="0"/>
            </a:rPr>
            <a:t> Parents want to avoid spending for a trip to tourist destinations.</a:t>
          </a:r>
          <a:endParaRPr lang="en-US" sz="900" b="0">
            <a:solidFill>
              <a:schemeClr val="dk1"/>
            </a:solidFill>
            <a:effectLst/>
            <a:latin typeface="Arial" panose="020B0604020202020204" pitchFamily="34" charset="0"/>
            <a:ea typeface="+mn-ea"/>
            <a:cs typeface="Arial" panose="020B0604020202020204" pitchFamily="34" charset="0"/>
          </a:endParaRPr>
        </a:p>
        <a:p>
          <a:endParaRPr lang="en-US" sz="900" b="1">
            <a:solidFill>
              <a:schemeClr val="dk1"/>
            </a:solidFill>
            <a:effectLst/>
            <a:latin typeface="Arial" panose="020B0604020202020204" pitchFamily="34" charset="0"/>
            <a:ea typeface="+mn-ea"/>
            <a:cs typeface="Arial" panose="020B0604020202020204" pitchFamily="34" charset="0"/>
          </a:endParaRPr>
        </a:p>
        <a:p>
          <a:r>
            <a:rPr lang="en-US" sz="900" b="1">
              <a:latin typeface="Arial" panose="020B0604020202020204" pitchFamily="34" charset="0"/>
              <a:cs typeface="Arial" panose="020B0604020202020204" pitchFamily="34" charset="0"/>
            </a:rPr>
            <a:t>Pricing: </a:t>
          </a:r>
          <a:r>
            <a:rPr lang="en-US" sz="900" b="0">
              <a:latin typeface="Arial" panose="020B0604020202020204" pitchFamily="34" charset="0"/>
              <a:cs typeface="Arial" panose="020B0604020202020204" pitchFamily="34" charset="0"/>
            </a:rPr>
            <a:t>A</a:t>
          </a:r>
          <a:r>
            <a:rPr lang="en-US" sz="900" b="0" baseline="0">
              <a:latin typeface="Arial" panose="020B0604020202020204" pitchFamily="34" charset="0"/>
              <a:cs typeface="Arial" panose="020B0604020202020204" pitchFamily="34" charset="0"/>
            </a:rPr>
            <a:t> family of four (parents and two kids) spends about 5000 to 6000 on amusement park experience.</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Revenues to Profits: </a:t>
          </a:r>
          <a:r>
            <a:rPr lang="en-US" sz="900" b="0" baseline="0">
              <a:latin typeface="Arial" panose="020B0604020202020204" pitchFamily="34" charset="0"/>
              <a:cs typeface="Arial" panose="020B0604020202020204" pitchFamily="34" charset="0"/>
            </a:rPr>
            <a:t>Wonderla Holidays biggest expenditure are employee benefit expenses (people handling the rides, sweepers, security guards etc), sub contractor charges, advertising and marketing expense, power and fuel, and repairs and maintainence. They make about 30% Operating Profit Margin.</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Strong Competition: </a:t>
          </a:r>
          <a:r>
            <a:rPr lang="en-US" sz="900" b="0" baseline="0">
              <a:latin typeface="Arial" panose="020B0604020202020204" pitchFamily="34" charset="0"/>
              <a:cs typeface="Arial" panose="020B0604020202020204" pitchFamily="34" charset="0"/>
            </a:rPr>
            <a:t>Competition comes from Nicco Parks and Imagica World which might contribute to reduction in market share of Wonderla</a:t>
          </a:r>
          <a:r>
            <a:rPr lang="en-US" sz="900" b="1" baseline="0">
              <a:latin typeface="Arial" panose="020B0604020202020204" pitchFamily="34" charset="0"/>
              <a:cs typeface="Arial" panose="020B0604020202020204" pitchFamily="34" charset="0"/>
            </a:rPr>
            <a:t>.</a:t>
          </a:r>
        </a:p>
        <a:p>
          <a:endParaRPr lang="en-US" sz="900" b="1"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How Much Capital Intensive?: </a:t>
          </a:r>
          <a:r>
            <a:rPr lang="en-US" sz="900" b="0" baseline="0">
              <a:latin typeface="Arial" panose="020B0604020202020204" pitchFamily="34" charset="0"/>
              <a:cs typeface="Arial" panose="020B0604020202020204" pitchFamily="34" charset="0"/>
            </a:rPr>
            <a:t>Amusement Parks usually requires very high capital expenditure upfront. Huge Land Cost plus Big Ride Purchases, which have to be imported from abroad including taxes. Maintainence of rides to avoid any mishaps and huge lawsuits. Once an amusement park is established, there would be less reinvestment. As the company matures, it can reduce it's reinvestment rate. Wonderla is trying to avoid big import cost by building their own rides.</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Strengths and Weakness: </a:t>
          </a:r>
          <a:r>
            <a:rPr lang="en-US" sz="900" b="0" baseline="0">
              <a:latin typeface="Arial" panose="020B0604020202020204" pitchFamily="34" charset="0"/>
              <a:cs typeface="Arial" panose="020B0604020202020204" pitchFamily="34" charset="0"/>
            </a:rPr>
            <a:t>Wonderla is a Debt Free Company. They are trying to implement low cost rides by manufacturing their own rides in-house. The weakness is the industry they operate in. They will start to be a cash machine once they crack themselves over all India.</a:t>
          </a:r>
        </a:p>
        <a:p>
          <a:endParaRPr lang="en-US" sz="900" b="1">
            <a:latin typeface="Arial" panose="020B0604020202020204" pitchFamily="34" charset="0"/>
            <a:cs typeface="Arial" panose="020B0604020202020204" pitchFamily="34" charset="0"/>
          </a:endParaRPr>
        </a:p>
        <a:p>
          <a:endParaRPr lang="en-US" sz="900" b="1">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209550</xdr:colOff>
      <xdr:row>31</xdr:row>
      <xdr:rowOff>95251</xdr:rowOff>
    </xdr:from>
    <xdr:to>
      <xdr:col>3</xdr:col>
      <xdr:colOff>666750</xdr:colOff>
      <xdr:row>35</xdr:row>
      <xdr:rowOff>133351</xdr:rowOff>
    </xdr:to>
    <xdr:sp macro="" textlink="">
      <xdr:nvSpPr>
        <xdr:cNvPr id="2" name="TextBox 1"/>
        <xdr:cNvSpPr txBox="1"/>
      </xdr:nvSpPr>
      <xdr:spPr>
        <a:xfrm>
          <a:off x="2667000" y="4867276"/>
          <a:ext cx="1066800"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Risk Free Rate:</a:t>
          </a:r>
        </a:p>
        <a:p>
          <a:r>
            <a:rPr lang="en-US" sz="2400" b="1"/>
            <a:t>5.42%</a:t>
          </a:r>
          <a:endParaRPr lang="en-US" sz="1100" b="1"/>
        </a:p>
      </xdr:txBody>
    </xdr:sp>
    <xdr:clientData/>
  </xdr:twoCellAnchor>
  <xdr:twoCellAnchor>
    <xdr:from>
      <xdr:col>4</xdr:col>
      <xdr:colOff>76199</xdr:colOff>
      <xdr:row>31</xdr:row>
      <xdr:rowOff>95251</xdr:rowOff>
    </xdr:from>
    <xdr:to>
      <xdr:col>5</xdr:col>
      <xdr:colOff>723899</xdr:colOff>
      <xdr:row>35</xdr:row>
      <xdr:rowOff>133351</xdr:rowOff>
    </xdr:to>
    <xdr:sp macro="" textlink="">
      <xdr:nvSpPr>
        <xdr:cNvPr id="3" name="TextBox 2"/>
        <xdr:cNvSpPr txBox="1"/>
      </xdr:nvSpPr>
      <xdr:spPr>
        <a:xfrm>
          <a:off x="3829049" y="4867276"/>
          <a:ext cx="141922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Equity Risk Premium:</a:t>
          </a:r>
        </a:p>
        <a:p>
          <a:r>
            <a:rPr lang="en-US" sz="2400" b="1"/>
            <a:t>4.02%</a:t>
          </a:r>
          <a:endParaRPr lang="en-US" sz="1100" b="1"/>
        </a:p>
      </xdr:txBody>
    </xdr:sp>
    <xdr:clientData/>
  </xdr:twoCellAnchor>
  <xdr:twoCellAnchor>
    <xdr:from>
      <xdr:col>5</xdr:col>
      <xdr:colOff>828674</xdr:colOff>
      <xdr:row>31</xdr:row>
      <xdr:rowOff>95251</xdr:rowOff>
    </xdr:from>
    <xdr:to>
      <xdr:col>7</xdr:col>
      <xdr:colOff>152400</xdr:colOff>
      <xdr:row>35</xdr:row>
      <xdr:rowOff>133351</xdr:rowOff>
    </xdr:to>
    <xdr:sp macro="" textlink="">
      <xdr:nvSpPr>
        <xdr:cNvPr id="4" name="TextBox 3"/>
        <xdr:cNvSpPr txBox="1"/>
      </xdr:nvSpPr>
      <xdr:spPr>
        <a:xfrm>
          <a:off x="5353049" y="4867276"/>
          <a:ext cx="76200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Beta:</a:t>
          </a:r>
        </a:p>
        <a:p>
          <a:r>
            <a:rPr lang="en-US" sz="2400" b="1"/>
            <a:t>1.17</a:t>
          </a:r>
          <a:endParaRPr lang="en-US" sz="1100" b="1"/>
        </a:p>
      </xdr:txBody>
    </xdr:sp>
    <xdr:clientData/>
  </xdr:twoCellAnchor>
  <xdr:twoCellAnchor>
    <xdr:from>
      <xdr:col>7</xdr:col>
      <xdr:colOff>247650</xdr:colOff>
      <xdr:row>31</xdr:row>
      <xdr:rowOff>95251</xdr:rowOff>
    </xdr:from>
    <xdr:to>
      <xdr:col>7</xdr:col>
      <xdr:colOff>1314450</xdr:colOff>
      <xdr:row>35</xdr:row>
      <xdr:rowOff>133351</xdr:rowOff>
    </xdr:to>
    <xdr:sp macro="" textlink="">
      <xdr:nvSpPr>
        <xdr:cNvPr id="5" name="TextBox 4"/>
        <xdr:cNvSpPr txBox="1"/>
      </xdr:nvSpPr>
      <xdr:spPr>
        <a:xfrm>
          <a:off x="6210300" y="4867276"/>
          <a:ext cx="1066800"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a:t>
          </a:r>
          <a:r>
            <a:rPr lang="en-US" sz="1100" baseline="0"/>
            <a:t> Risk Free</a:t>
          </a:r>
          <a:r>
            <a:rPr lang="en-US" sz="1100"/>
            <a:t>:</a:t>
          </a:r>
        </a:p>
        <a:p>
          <a:r>
            <a:rPr lang="en-US" sz="2400" b="1"/>
            <a:t>2.70%</a:t>
          </a:r>
          <a:endParaRPr lang="en-US" sz="1100" b="1"/>
        </a:p>
      </xdr:txBody>
    </xdr:sp>
    <xdr:clientData/>
  </xdr:twoCellAnchor>
  <xdr:twoCellAnchor>
    <xdr:from>
      <xdr:col>7</xdr:col>
      <xdr:colOff>1409699</xdr:colOff>
      <xdr:row>31</xdr:row>
      <xdr:rowOff>95251</xdr:rowOff>
    </xdr:from>
    <xdr:to>
      <xdr:col>9</xdr:col>
      <xdr:colOff>238125</xdr:colOff>
      <xdr:row>35</xdr:row>
      <xdr:rowOff>133351</xdr:rowOff>
    </xdr:to>
    <xdr:sp macro="" textlink="">
      <xdr:nvSpPr>
        <xdr:cNvPr id="6" name="TextBox 5"/>
        <xdr:cNvSpPr txBox="1"/>
      </xdr:nvSpPr>
      <xdr:spPr>
        <a:xfrm>
          <a:off x="7372349" y="4867276"/>
          <a:ext cx="146685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India's Default Spread:</a:t>
          </a:r>
        </a:p>
        <a:p>
          <a:r>
            <a:rPr lang="en-US" sz="2400" b="1"/>
            <a:t>3.01%</a:t>
          </a:r>
          <a:endParaRPr lang="en-US" sz="1100" b="1"/>
        </a:p>
      </xdr:txBody>
    </xdr:sp>
    <xdr:clientData/>
  </xdr:twoCellAnchor>
  <xdr:twoCellAnchor>
    <xdr:from>
      <xdr:col>9</xdr:col>
      <xdr:colOff>342899</xdr:colOff>
      <xdr:row>31</xdr:row>
      <xdr:rowOff>95251</xdr:rowOff>
    </xdr:from>
    <xdr:to>
      <xdr:col>12</xdr:col>
      <xdr:colOff>114300</xdr:colOff>
      <xdr:row>35</xdr:row>
      <xdr:rowOff>133351</xdr:rowOff>
    </xdr:to>
    <xdr:sp macro="" textlink="">
      <xdr:nvSpPr>
        <xdr:cNvPr id="7" name="TextBox 6"/>
        <xdr:cNvSpPr txBox="1"/>
      </xdr:nvSpPr>
      <xdr:spPr>
        <a:xfrm>
          <a:off x="8943974" y="4867276"/>
          <a:ext cx="160020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Wonderla Risk Premium:</a:t>
          </a:r>
        </a:p>
        <a:p>
          <a:r>
            <a:rPr lang="en-US" sz="2400" b="1"/>
            <a:t>1.03%</a:t>
          </a:r>
          <a:endParaRPr lang="en-US" sz="1100" b="1"/>
        </a:p>
      </xdr:txBody>
    </xdr:sp>
    <xdr:clientData/>
  </xdr:twoCellAnchor>
  <xdr:twoCellAnchor>
    <xdr:from>
      <xdr:col>4</xdr:col>
      <xdr:colOff>219074</xdr:colOff>
      <xdr:row>37</xdr:row>
      <xdr:rowOff>38101</xdr:rowOff>
    </xdr:from>
    <xdr:to>
      <xdr:col>5</xdr:col>
      <xdr:colOff>619124</xdr:colOff>
      <xdr:row>41</xdr:row>
      <xdr:rowOff>76201</xdr:rowOff>
    </xdr:to>
    <xdr:sp macro="" textlink="">
      <xdr:nvSpPr>
        <xdr:cNvPr id="8" name="TextBox 7"/>
        <xdr:cNvSpPr txBox="1"/>
      </xdr:nvSpPr>
      <xdr:spPr>
        <a:xfrm>
          <a:off x="3971924" y="5724526"/>
          <a:ext cx="117157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 of Equity:</a:t>
          </a:r>
        </a:p>
        <a:p>
          <a:r>
            <a:rPr lang="en-US" sz="2400" b="1"/>
            <a:t>10.11%</a:t>
          </a:r>
          <a:endParaRPr lang="en-US" sz="1100" b="1"/>
        </a:p>
      </xdr:txBody>
    </xdr:sp>
    <xdr:clientData/>
  </xdr:twoCellAnchor>
  <xdr:twoCellAnchor>
    <xdr:from>
      <xdr:col>7</xdr:col>
      <xdr:colOff>1847850</xdr:colOff>
      <xdr:row>37</xdr:row>
      <xdr:rowOff>38101</xdr:rowOff>
    </xdr:from>
    <xdr:to>
      <xdr:col>9</xdr:col>
      <xdr:colOff>247651</xdr:colOff>
      <xdr:row>41</xdr:row>
      <xdr:rowOff>76201</xdr:rowOff>
    </xdr:to>
    <xdr:sp macro="" textlink="">
      <xdr:nvSpPr>
        <xdr:cNvPr id="9" name="TextBox 8"/>
        <xdr:cNvSpPr txBox="1"/>
      </xdr:nvSpPr>
      <xdr:spPr>
        <a:xfrm>
          <a:off x="7810500" y="5724526"/>
          <a:ext cx="1038226"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 of Debt:</a:t>
          </a:r>
        </a:p>
        <a:p>
          <a:r>
            <a:rPr lang="en-US" sz="2400" b="1"/>
            <a:t>6.74%</a:t>
          </a:r>
          <a:endParaRPr lang="en-US" sz="1100" b="1"/>
        </a:p>
      </xdr:txBody>
    </xdr:sp>
    <xdr:clientData/>
  </xdr:twoCellAnchor>
  <xdr:twoCellAnchor>
    <xdr:from>
      <xdr:col>6</xdr:col>
      <xdr:colOff>47624</xdr:colOff>
      <xdr:row>37</xdr:row>
      <xdr:rowOff>38101</xdr:rowOff>
    </xdr:from>
    <xdr:to>
      <xdr:col>7</xdr:col>
      <xdr:colOff>1038224</xdr:colOff>
      <xdr:row>41</xdr:row>
      <xdr:rowOff>76201</xdr:rowOff>
    </xdr:to>
    <xdr:sp macro="" textlink="">
      <xdr:nvSpPr>
        <xdr:cNvPr id="10" name="TextBox 9"/>
        <xdr:cNvSpPr txBox="1"/>
      </xdr:nvSpPr>
      <xdr:spPr>
        <a:xfrm>
          <a:off x="5829299" y="5724526"/>
          <a:ext cx="1171575" cy="6477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WACC:</a:t>
          </a:r>
        </a:p>
        <a:p>
          <a:r>
            <a:rPr lang="en-US" sz="2400" b="1">
              <a:solidFill>
                <a:schemeClr val="bg1"/>
              </a:solidFill>
            </a:rPr>
            <a:t>10.10%</a:t>
          </a:r>
          <a:endParaRPr lang="en-US" sz="1100" b="1">
            <a:solidFill>
              <a:schemeClr val="bg1"/>
            </a:solidFill>
          </a:endParaRPr>
        </a:p>
      </xdr:txBody>
    </xdr:sp>
    <xdr:clientData/>
  </xdr:twoCellAnchor>
  <xdr:twoCellAnchor>
    <xdr:from>
      <xdr:col>3</xdr:col>
      <xdr:colOff>133350</xdr:colOff>
      <xdr:row>35</xdr:row>
      <xdr:rowOff>133351</xdr:rowOff>
    </xdr:from>
    <xdr:to>
      <xdr:col>4</xdr:col>
      <xdr:colOff>219074</xdr:colOff>
      <xdr:row>39</xdr:row>
      <xdr:rowOff>57151</xdr:rowOff>
    </xdr:to>
    <xdr:cxnSp macro="">
      <xdr:nvCxnSpPr>
        <xdr:cNvPr id="12" name="Straight Connector 11"/>
        <xdr:cNvCxnSpPr>
          <a:stCxn id="2" idx="2"/>
          <a:endCxn id="8" idx="1"/>
        </xdr:cNvCxnSpPr>
      </xdr:nvCxnSpPr>
      <xdr:spPr>
        <a:xfrm>
          <a:off x="3200400" y="5514976"/>
          <a:ext cx="771524" cy="5334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14287</xdr:colOff>
      <xdr:row>35</xdr:row>
      <xdr:rowOff>133351</xdr:rowOff>
    </xdr:from>
    <xdr:to>
      <xdr:col>5</xdr:col>
      <xdr:colOff>33337</xdr:colOff>
      <xdr:row>37</xdr:row>
      <xdr:rowOff>38101</xdr:rowOff>
    </xdr:to>
    <xdr:cxnSp macro="">
      <xdr:nvCxnSpPr>
        <xdr:cNvPr id="14" name="Straight Connector 13"/>
        <xdr:cNvCxnSpPr>
          <a:stCxn id="3" idx="2"/>
          <a:endCxn id="8" idx="0"/>
        </xdr:cNvCxnSpPr>
      </xdr:nvCxnSpPr>
      <xdr:spPr>
        <a:xfrm>
          <a:off x="4538662" y="5514976"/>
          <a:ext cx="19050" cy="2095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619124</xdr:colOff>
      <xdr:row>35</xdr:row>
      <xdr:rowOff>133351</xdr:rowOff>
    </xdr:from>
    <xdr:to>
      <xdr:col>5</xdr:col>
      <xdr:colOff>1209675</xdr:colOff>
      <xdr:row>39</xdr:row>
      <xdr:rowOff>57151</xdr:rowOff>
    </xdr:to>
    <xdr:cxnSp macro="">
      <xdr:nvCxnSpPr>
        <xdr:cNvPr id="16" name="Straight Connector 15"/>
        <xdr:cNvCxnSpPr>
          <a:stCxn id="4" idx="2"/>
          <a:endCxn id="8" idx="3"/>
        </xdr:cNvCxnSpPr>
      </xdr:nvCxnSpPr>
      <xdr:spPr>
        <a:xfrm flipH="1">
          <a:off x="5143499" y="5514976"/>
          <a:ext cx="590551" cy="5334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619124</xdr:colOff>
      <xdr:row>39</xdr:row>
      <xdr:rowOff>57151</xdr:rowOff>
    </xdr:from>
    <xdr:to>
      <xdr:col>6</xdr:col>
      <xdr:colOff>47624</xdr:colOff>
      <xdr:row>39</xdr:row>
      <xdr:rowOff>57151</xdr:rowOff>
    </xdr:to>
    <xdr:cxnSp macro="">
      <xdr:nvCxnSpPr>
        <xdr:cNvPr id="18" name="Straight Connector 17"/>
        <xdr:cNvCxnSpPr>
          <a:stCxn id="8" idx="3"/>
          <a:endCxn id="10" idx="1"/>
        </xdr:cNvCxnSpPr>
      </xdr:nvCxnSpPr>
      <xdr:spPr>
        <a:xfrm>
          <a:off x="5143499" y="6048376"/>
          <a:ext cx="6858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781050</xdr:colOff>
      <xdr:row>35</xdr:row>
      <xdr:rowOff>133351</xdr:rowOff>
    </xdr:from>
    <xdr:to>
      <xdr:col>7</xdr:col>
      <xdr:colOff>1847850</xdr:colOff>
      <xdr:row>39</xdr:row>
      <xdr:rowOff>57151</xdr:rowOff>
    </xdr:to>
    <xdr:cxnSp macro="">
      <xdr:nvCxnSpPr>
        <xdr:cNvPr id="20" name="Straight Connector 19"/>
        <xdr:cNvCxnSpPr>
          <a:stCxn id="5" idx="2"/>
          <a:endCxn id="9" idx="1"/>
        </xdr:cNvCxnSpPr>
      </xdr:nvCxnSpPr>
      <xdr:spPr>
        <a:xfrm>
          <a:off x="6743700" y="5514976"/>
          <a:ext cx="1066800" cy="5334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114300</xdr:colOff>
      <xdr:row>35</xdr:row>
      <xdr:rowOff>133351</xdr:rowOff>
    </xdr:from>
    <xdr:to>
      <xdr:col>8</xdr:col>
      <xdr:colOff>338138</xdr:colOff>
      <xdr:row>37</xdr:row>
      <xdr:rowOff>38101</xdr:rowOff>
    </xdr:to>
    <xdr:cxnSp macro="">
      <xdr:nvCxnSpPr>
        <xdr:cNvPr id="22" name="Straight Connector 21"/>
        <xdr:cNvCxnSpPr>
          <a:stCxn id="6" idx="2"/>
          <a:endCxn id="9" idx="0"/>
        </xdr:cNvCxnSpPr>
      </xdr:nvCxnSpPr>
      <xdr:spPr>
        <a:xfrm>
          <a:off x="8105775" y="5514976"/>
          <a:ext cx="223838" cy="2095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247651</xdr:colOff>
      <xdr:row>35</xdr:row>
      <xdr:rowOff>133351</xdr:rowOff>
    </xdr:from>
    <xdr:to>
      <xdr:col>10</xdr:col>
      <xdr:colOff>533400</xdr:colOff>
      <xdr:row>39</xdr:row>
      <xdr:rowOff>57151</xdr:rowOff>
    </xdr:to>
    <xdr:cxnSp macro="">
      <xdr:nvCxnSpPr>
        <xdr:cNvPr id="24" name="Straight Connector 23"/>
        <xdr:cNvCxnSpPr>
          <a:stCxn id="7" idx="2"/>
          <a:endCxn id="9" idx="3"/>
        </xdr:cNvCxnSpPr>
      </xdr:nvCxnSpPr>
      <xdr:spPr>
        <a:xfrm flipH="1">
          <a:off x="8848726" y="5514976"/>
          <a:ext cx="895349" cy="5334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1038224</xdr:colOff>
      <xdr:row>39</xdr:row>
      <xdr:rowOff>57151</xdr:rowOff>
    </xdr:from>
    <xdr:to>
      <xdr:col>7</xdr:col>
      <xdr:colOff>1847850</xdr:colOff>
      <xdr:row>39</xdr:row>
      <xdr:rowOff>57151</xdr:rowOff>
    </xdr:to>
    <xdr:cxnSp macro="">
      <xdr:nvCxnSpPr>
        <xdr:cNvPr id="26" name="Straight Connector 25"/>
        <xdr:cNvCxnSpPr>
          <a:stCxn id="9" idx="1"/>
          <a:endCxn id="10" idx="3"/>
        </xdr:cNvCxnSpPr>
      </xdr:nvCxnSpPr>
      <xdr:spPr>
        <a:xfrm flipH="1">
          <a:off x="7000874" y="6048376"/>
          <a:ext cx="809626"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352425</xdr:colOff>
      <xdr:row>0</xdr:row>
      <xdr:rowOff>133350</xdr:rowOff>
    </xdr:from>
    <xdr:to>
      <xdr:col>10</xdr:col>
      <xdr:colOff>484598</xdr:colOff>
      <xdr:row>13</xdr:row>
      <xdr:rowOff>129616</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1975" y="133350"/>
          <a:ext cx="3342098" cy="2120341"/>
        </a:xfrm>
        <a:prstGeom prst="rect">
          <a:avLst/>
        </a:prstGeom>
      </xdr:spPr>
    </xdr:pic>
    <xdr:clientData/>
  </xdr:twoCellAnchor>
  <xdr:twoCellAnchor editAs="oneCell">
    <xdr:from>
      <xdr:col>5</xdr:col>
      <xdr:colOff>361951</xdr:colOff>
      <xdr:row>14</xdr:row>
      <xdr:rowOff>104776</xdr:rowOff>
    </xdr:from>
    <xdr:to>
      <xdr:col>10</xdr:col>
      <xdr:colOff>485776</xdr:colOff>
      <xdr:row>28</xdr:row>
      <xdr:rowOff>149121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81501" y="2381251"/>
          <a:ext cx="3333750" cy="21779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9525</xdr:colOff>
      <xdr:row>19</xdr:row>
      <xdr:rowOff>47625</xdr:rowOff>
    </xdr:from>
    <xdr:to>
      <xdr:col>3</xdr:col>
      <xdr:colOff>152400</xdr:colOff>
      <xdr:row>23</xdr:row>
      <xdr:rowOff>57150</xdr:rowOff>
    </xdr:to>
    <xdr:sp macro="" textlink="">
      <xdr:nvSpPr>
        <xdr:cNvPr id="3" name="TextBox 2"/>
        <xdr:cNvSpPr txBox="1"/>
      </xdr:nvSpPr>
      <xdr:spPr>
        <a:xfrm>
          <a:off x="142875" y="2981325"/>
          <a:ext cx="3105150"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Assumption:</a:t>
          </a:r>
          <a:r>
            <a:rPr lang="en-US" sz="1100" baseline="0"/>
            <a:t> Every household visits an amusement park ONCE per year. And they visit in the peak season.</a:t>
          </a:r>
          <a:endParaRPr lang="en-US" sz="1100"/>
        </a:p>
      </xdr:txBody>
    </xdr:sp>
    <xdr:clientData/>
  </xdr:twoCellAnchor>
  <xdr:twoCellAnchor>
    <xdr:from>
      <xdr:col>0</xdr:col>
      <xdr:colOff>123825</xdr:colOff>
      <xdr:row>24</xdr:row>
      <xdr:rowOff>47624</xdr:rowOff>
    </xdr:from>
    <xdr:to>
      <xdr:col>15</xdr:col>
      <xdr:colOff>114300</xdr:colOff>
      <xdr:row>49</xdr:row>
      <xdr:rowOff>28574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trendlyne.com/equity/EPS/NIFTY50/1887/nifty-50-earnings-per-share/" TargetMode="External"/><Relationship Id="rId2" Type="http://schemas.openxmlformats.org/officeDocument/2006/relationships/hyperlink" Target="https://trendlyne.com/equity/DIV/NIFTY50/1887/nifty-50-dividend-yield/" TargetMode="External"/><Relationship Id="rId1" Type="http://schemas.openxmlformats.org/officeDocument/2006/relationships/hyperlink" Target="https://www.google.co.in/search?ie=UTF-8&amp;oe=UTF-8&amp;sourceid=navclient&amp;gfns=1&amp;q=Nifty50+Dividend+Points&amp;gws_rd=ssl" TargetMode="External"/><Relationship Id="rId5" Type="http://schemas.openxmlformats.org/officeDocument/2006/relationships/printerSettings" Target="../printerSettings/printerSettings6.bin"/><Relationship Id="rId4" Type="http://schemas.openxmlformats.org/officeDocument/2006/relationships/hyperlink" Target="https://in.investing.com/rates-bonds/india-10-year-bond-yield-historical-data"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tradingeconomics.com/india/corporate-tax-rate"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O15"/>
  <sheetViews>
    <sheetView tabSelected="1" workbookViewId="0"/>
  </sheetViews>
  <sheetFormatPr defaultColWidth="9.140625" defaultRowHeight="12.75"/>
  <cols>
    <col min="1" max="1" width="2" style="62" customWidth="1"/>
    <col min="2" max="8" width="9.140625" style="62"/>
    <col min="9" max="9" width="11.42578125" style="62" customWidth="1"/>
    <col min="10" max="16384" width="9.140625" style="62"/>
  </cols>
  <sheetData>
    <row r="1" spans="2:15" ht="50.25">
      <c r="B1" s="63" t="s">
        <v>224</v>
      </c>
    </row>
    <row r="3" spans="2:15" ht="13.5" customHeight="1">
      <c r="F3" s="63"/>
      <c r="H3" s="63"/>
    </row>
    <row r="9" spans="2:15">
      <c r="C9" s="64"/>
    </row>
    <row r="10" spans="2:15">
      <c r="C10" s="64"/>
    </row>
    <row r="12" spans="2:15" ht="15">
      <c r="J12"/>
    </row>
    <row r="13" spans="2:15">
      <c r="O13" s="65"/>
    </row>
    <row r="15" spans="2:15" ht="15">
      <c r="J1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7" style="2" customWidth="1"/>
    <col min="4" max="4" width="2.855468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225</v>
      </c>
      <c r="E1" s="3"/>
      <c r="F1" s="68"/>
      <c r="G1" s="3"/>
      <c r="H1" s="3"/>
      <c r="I1" s="3"/>
      <c r="J1" s="3"/>
      <c r="K1" s="3"/>
      <c r="L1" s="3"/>
      <c r="M1" s="3"/>
      <c r="N1" s="3"/>
    </row>
    <row r="2" spans="2:14">
      <c r="E2" s="3"/>
      <c r="F2" s="68"/>
      <c r="G2" s="3"/>
      <c r="H2" s="3"/>
      <c r="I2" s="3"/>
      <c r="J2" s="3"/>
      <c r="K2" s="3"/>
      <c r="L2" s="3"/>
      <c r="M2" s="3"/>
      <c r="N2" s="3"/>
    </row>
    <row r="3" spans="2:14">
      <c r="B3" s="3" t="s">
        <v>234</v>
      </c>
      <c r="C3" s="86" t="s">
        <v>226</v>
      </c>
      <c r="D3" s="22"/>
      <c r="E3" s="51"/>
      <c r="F3" s="125"/>
      <c r="G3" s="121"/>
      <c r="H3" s="108"/>
      <c r="I3" s="108"/>
      <c r="J3" s="108"/>
      <c r="K3" s="3"/>
      <c r="L3" s="126"/>
      <c r="M3" s="108"/>
      <c r="N3" s="3"/>
    </row>
    <row r="4" spans="2:14">
      <c r="B4" s="2" t="s">
        <v>235</v>
      </c>
      <c r="C4" s="132" t="s">
        <v>227</v>
      </c>
      <c r="D4" s="6"/>
      <c r="E4" s="3"/>
      <c r="F4" s="72"/>
      <c r="G4" s="122"/>
      <c r="H4" s="123"/>
      <c r="I4" s="51"/>
      <c r="J4" s="70"/>
      <c r="K4" s="3"/>
      <c r="L4" s="71"/>
      <c r="M4" s="88"/>
      <c r="N4" s="3"/>
    </row>
    <row r="5" spans="2:14">
      <c r="D5" s="6"/>
      <c r="E5" s="3"/>
      <c r="F5" s="72"/>
      <c r="G5" s="122"/>
      <c r="H5" s="123"/>
      <c r="I5" s="51"/>
      <c r="J5" s="70"/>
      <c r="K5" s="3"/>
      <c r="L5" s="71"/>
      <c r="M5" s="88"/>
      <c r="N5" s="3"/>
    </row>
    <row r="6" spans="2:14">
      <c r="C6" s="79"/>
      <c r="D6" s="24"/>
      <c r="E6" s="3"/>
      <c r="F6" s="72"/>
      <c r="G6" s="122"/>
      <c r="H6" s="123"/>
      <c r="I6" s="51"/>
      <c r="J6" s="70"/>
      <c r="K6" s="3"/>
      <c r="L6" s="71"/>
      <c r="M6" s="88"/>
      <c r="N6" s="3"/>
    </row>
    <row r="7" spans="2:14">
      <c r="C7" s="80"/>
      <c r="D7" s="6"/>
      <c r="E7" s="3"/>
      <c r="F7" s="72"/>
      <c r="G7" s="122"/>
      <c r="H7" s="123"/>
      <c r="I7" s="51"/>
      <c r="J7" s="70"/>
      <c r="K7" s="3"/>
      <c r="L7" s="71"/>
      <c r="M7" s="88"/>
      <c r="N7" s="3"/>
    </row>
    <row r="8" spans="2:14">
      <c r="C8" s="50"/>
      <c r="D8" s="6"/>
      <c r="E8" s="3"/>
      <c r="F8" s="72"/>
      <c r="G8" s="122"/>
      <c r="H8" s="123"/>
      <c r="I8" s="51"/>
      <c r="J8" s="70"/>
      <c r="K8" s="3"/>
      <c r="L8" s="71"/>
      <c r="M8" s="88"/>
      <c r="N8" s="3"/>
    </row>
    <row r="9" spans="2:14">
      <c r="B9" s="3"/>
      <c r="C9" s="86"/>
      <c r="D9" s="6"/>
      <c r="E9" s="3"/>
      <c r="F9" s="72"/>
      <c r="G9" s="122"/>
      <c r="H9" s="123"/>
      <c r="I9" s="51"/>
      <c r="J9" s="70"/>
      <c r="K9" s="3"/>
      <c r="L9" s="71"/>
      <c r="M9" s="88"/>
      <c r="N9" s="3"/>
    </row>
    <row r="10" spans="2:14">
      <c r="B10" s="3"/>
      <c r="C10" s="86"/>
      <c r="D10" s="6"/>
      <c r="E10" s="3"/>
      <c r="F10" s="72"/>
      <c r="G10" s="122"/>
      <c r="H10" s="123"/>
      <c r="I10" s="51"/>
      <c r="J10" s="70"/>
      <c r="K10" s="3"/>
      <c r="L10" s="69"/>
      <c r="M10" s="3"/>
      <c r="N10" s="3"/>
    </row>
    <row r="11" spans="2:14">
      <c r="B11" s="3"/>
      <c r="C11" s="87"/>
      <c r="D11" s="6"/>
      <c r="E11" s="3"/>
      <c r="F11" s="72"/>
      <c r="G11" s="122"/>
      <c r="H11" s="123"/>
      <c r="I11" s="51"/>
      <c r="J11" s="70"/>
      <c r="K11" s="3"/>
      <c r="L11" s="84"/>
      <c r="M11" s="93"/>
      <c r="N11" s="3"/>
    </row>
    <row r="12" spans="2:14">
      <c r="B12" s="3"/>
      <c r="C12" s="3"/>
      <c r="D12" s="6"/>
      <c r="E12" s="3"/>
      <c r="F12" s="72"/>
      <c r="G12" s="122"/>
      <c r="H12" s="123"/>
      <c r="I12" s="51"/>
      <c r="J12" s="70"/>
      <c r="K12" s="3"/>
      <c r="L12" s="67"/>
      <c r="M12" s="93"/>
      <c r="N12" s="3"/>
    </row>
    <row r="13" spans="2:14">
      <c r="B13" s="3"/>
      <c r="C13" s="61"/>
      <c r="D13" s="6"/>
      <c r="E13" s="3"/>
      <c r="F13" s="72"/>
      <c r="G13" s="122"/>
      <c r="H13" s="123"/>
      <c r="I13" s="51"/>
      <c r="J13" s="70"/>
      <c r="K13" s="3"/>
      <c r="L13" s="3"/>
      <c r="M13" s="3"/>
      <c r="N13" s="3"/>
    </row>
    <row r="14" spans="2:14">
      <c r="B14" s="23"/>
      <c r="C14" s="23"/>
      <c r="D14" s="24"/>
      <c r="E14" s="3"/>
      <c r="F14" s="71"/>
      <c r="G14" s="7"/>
      <c r="H14" s="3"/>
      <c r="I14" s="51"/>
      <c r="J14" s="23"/>
      <c r="K14" s="3"/>
      <c r="L14" s="3"/>
      <c r="M14" s="3"/>
      <c r="N14" s="3"/>
    </row>
    <row r="15" spans="2:14">
      <c r="B15" s="3"/>
      <c r="C15" s="131"/>
      <c r="D15" s="6"/>
      <c r="E15" s="51"/>
      <c r="F15" s="67"/>
      <c r="G15" s="3"/>
      <c r="H15" s="3"/>
      <c r="I15" s="3"/>
      <c r="J15" s="3"/>
      <c r="K15" s="3"/>
      <c r="L15" s="3"/>
      <c r="M15" s="3"/>
      <c r="N15" s="3"/>
    </row>
    <row r="16" spans="2:14">
      <c r="B16" s="3"/>
      <c r="C16" s="3"/>
      <c r="D16" s="6"/>
      <c r="E16" s="51"/>
      <c r="F16" s="84"/>
      <c r="G16" s="85"/>
      <c r="H16" s="49"/>
      <c r="I16" s="3"/>
      <c r="J16" s="3"/>
      <c r="K16" s="3"/>
      <c r="L16" s="3"/>
      <c r="M16" s="3"/>
      <c r="N16" s="3"/>
    </row>
    <row r="17" spans="2:14">
      <c r="B17" s="3"/>
      <c r="C17" s="80"/>
      <c r="D17" s="6"/>
      <c r="E17" s="51"/>
      <c r="F17" s="67"/>
      <c r="G17" s="85"/>
      <c r="H17" s="3"/>
      <c r="I17" s="3"/>
      <c r="J17" s="3"/>
      <c r="K17" s="3"/>
      <c r="L17" s="3"/>
      <c r="M17" s="3"/>
      <c r="N17" s="3"/>
    </row>
    <row r="18" spans="2:14">
      <c r="B18" s="3"/>
      <c r="C18" s="3"/>
      <c r="D18" s="24"/>
      <c r="E18" s="51"/>
      <c r="F18" s="67"/>
      <c r="G18" s="3"/>
      <c r="H18" s="3"/>
      <c r="I18" s="3"/>
      <c r="J18" s="3"/>
      <c r="K18" s="3"/>
      <c r="L18" s="3"/>
      <c r="M18" s="3"/>
      <c r="N18" s="3"/>
    </row>
    <row r="19" spans="2:14">
      <c r="B19" s="23"/>
      <c r="C19" s="23"/>
      <c r="D19" s="6"/>
      <c r="E19" s="51"/>
      <c r="F19" s="67"/>
      <c r="G19" s="3"/>
      <c r="H19" s="3"/>
      <c r="I19" s="3"/>
      <c r="J19" s="3"/>
      <c r="K19" s="3"/>
      <c r="L19" s="3"/>
      <c r="M19" s="3"/>
      <c r="N19" s="3"/>
    </row>
    <row r="20" spans="2:14">
      <c r="B20" s="3"/>
      <c r="C20" s="3"/>
      <c r="D20" s="6"/>
      <c r="E20" s="124"/>
      <c r="F20" s="126"/>
      <c r="G20" s="126"/>
      <c r="H20" s="126"/>
      <c r="I20" s="126"/>
      <c r="J20" s="126"/>
      <c r="K20" s="126"/>
      <c r="L20" s="3"/>
      <c r="M20" s="3"/>
      <c r="N20" s="3"/>
    </row>
    <row r="21" spans="2:14">
      <c r="B21" s="3"/>
      <c r="C21" s="3"/>
      <c r="D21" s="6"/>
      <c r="E21" s="104"/>
      <c r="F21" s="127"/>
      <c r="G21" s="7"/>
      <c r="H21" s="7"/>
      <c r="I21" s="7"/>
      <c r="J21" s="7"/>
      <c r="K21" s="7"/>
      <c r="L21" s="3"/>
      <c r="M21" s="3"/>
      <c r="N21" s="3"/>
    </row>
    <row r="22" spans="2:14">
      <c r="B22" s="3"/>
      <c r="C22" s="3"/>
      <c r="D22" s="6"/>
      <c r="E22" s="51"/>
      <c r="F22" s="68"/>
      <c r="G22" s="68"/>
      <c r="H22" s="68"/>
      <c r="I22" s="105"/>
      <c r="J22" s="67"/>
      <c r="K22" s="68"/>
      <c r="L22" s="3"/>
      <c r="M22" s="3"/>
      <c r="N22" s="3"/>
    </row>
    <row r="23" spans="2:14">
      <c r="B23" s="23"/>
      <c r="C23" s="23"/>
      <c r="D23" s="24"/>
      <c r="E23" s="51"/>
      <c r="F23" s="3"/>
      <c r="G23" s="3"/>
      <c r="H23" s="3"/>
      <c r="I23" s="3"/>
      <c r="J23" s="3"/>
      <c r="K23" s="3"/>
      <c r="L23" s="128"/>
      <c r="M23" s="3"/>
      <c r="N23" s="3"/>
    </row>
    <row r="24" spans="2:14">
      <c r="B24" s="3"/>
      <c r="C24" s="3"/>
      <c r="D24" s="6"/>
      <c r="E24" s="51"/>
      <c r="F24" s="3"/>
      <c r="G24" s="3"/>
      <c r="H24" s="3"/>
      <c r="I24" s="3"/>
      <c r="J24" s="3"/>
      <c r="K24" s="3"/>
      <c r="L24" s="3"/>
      <c r="M24" s="3"/>
      <c r="N24" s="3"/>
    </row>
    <row r="25" spans="2:14">
      <c r="B25" s="3"/>
      <c r="C25" s="3"/>
      <c r="D25" s="6"/>
      <c r="E25" s="6"/>
      <c r="F25" s="68"/>
      <c r="G25" s="3"/>
      <c r="H25" s="84"/>
      <c r="I25" s="85"/>
      <c r="J25" s="3"/>
      <c r="K25" s="3"/>
      <c r="L25" s="3"/>
      <c r="M25" s="3"/>
      <c r="N25" s="3"/>
    </row>
    <row r="26" spans="2:14">
      <c r="B26" s="3"/>
      <c r="C26" s="3"/>
      <c r="D26" s="6"/>
      <c r="E26" s="24"/>
      <c r="F26" s="50"/>
      <c r="G26" s="3"/>
      <c r="H26" s="67"/>
      <c r="I26" s="85"/>
      <c r="J26" s="3"/>
      <c r="K26" s="3"/>
      <c r="L26" s="129"/>
      <c r="M26" s="3"/>
      <c r="N26" s="3"/>
    </row>
    <row r="27" spans="2:14">
      <c r="B27" s="3"/>
      <c r="C27" s="3"/>
      <c r="D27" s="24"/>
      <c r="E27" s="23"/>
      <c r="F27" s="130"/>
      <c r="G27" s="3"/>
      <c r="H27" s="3"/>
      <c r="I27" s="3"/>
      <c r="J27" s="3"/>
      <c r="K27" s="3"/>
      <c r="L27" s="3"/>
      <c r="M27" s="3"/>
      <c r="N27" s="3"/>
    </row>
    <row r="28" spans="2:14">
      <c r="B28" s="3"/>
      <c r="C28" s="3"/>
      <c r="D28" s="7" t="s">
        <v>91</v>
      </c>
      <c r="E28" s="23"/>
      <c r="F28" s="130"/>
      <c r="G28" s="3"/>
      <c r="H28" s="3"/>
      <c r="I28" s="3"/>
      <c r="J28" s="3"/>
      <c r="K28" s="3"/>
      <c r="L28" s="3"/>
      <c r="M28" s="3"/>
      <c r="N28" s="3"/>
    </row>
    <row r="29" spans="2:14">
      <c r="B29" s="3"/>
      <c r="C29" s="3"/>
      <c r="D29" s="3"/>
      <c r="E29" s="3"/>
      <c r="F29" s="68"/>
      <c r="G29" s="3"/>
      <c r="H29" s="3"/>
      <c r="I29" s="3"/>
      <c r="J29" s="3"/>
      <c r="K29" s="3"/>
      <c r="L29" s="3"/>
      <c r="M29" s="3"/>
      <c r="N29" s="3"/>
    </row>
    <row r="30" spans="2:14">
      <c r="B30" s="3"/>
      <c r="C30" s="3"/>
      <c r="D30" s="3"/>
      <c r="E30" s="3"/>
      <c r="F30" s="68"/>
    </row>
    <row r="31" spans="2:14">
      <c r="D31" s="3"/>
      <c r="E31" s="3"/>
      <c r="F31" s="68"/>
    </row>
    <row r="32" spans="2:14">
      <c r="D32" s="3"/>
      <c r="E32" s="3"/>
      <c r="F32" s="68"/>
    </row>
    <row r="33" spans="4:6">
      <c r="D33" s="3"/>
      <c r="E33" s="3"/>
      <c r="F33" s="68"/>
    </row>
    <row r="34" spans="4:6">
      <c r="D34" s="3"/>
      <c r="E34" s="3"/>
      <c r="F34" s="68"/>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228</v>
      </c>
      <c r="E1" s="3"/>
      <c r="F1" s="68"/>
      <c r="G1" s="3"/>
      <c r="H1" s="3"/>
      <c r="I1" s="3"/>
      <c r="J1" s="3"/>
      <c r="K1" s="3"/>
      <c r="L1" s="3"/>
      <c r="M1" s="3"/>
      <c r="N1" s="3"/>
    </row>
    <row r="2" spans="2:14">
      <c r="E2" s="3"/>
      <c r="F2" s="68"/>
      <c r="G2" s="3"/>
      <c r="H2" s="3"/>
      <c r="I2" s="3"/>
      <c r="J2" s="3"/>
      <c r="K2" s="3"/>
      <c r="L2" s="3"/>
      <c r="M2" s="3"/>
      <c r="N2" s="3"/>
    </row>
    <row r="3" spans="2:14">
      <c r="B3" s="3"/>
      <c r="C3" s="86"/>
      <c r="D3" s="22"/>
      <c r="E3" s="51"/>
      <c r="F3" s="125"/>
      <c r="G3" s="121"/>
      <c r="H3" s="108"/>
      <c r="I3" s="108"/>
      <c r="J3" s="108"/>
      <c r="K3" s="3"/>
      <c r="L3" s="126"/>
      <c r="M3" s="108"/>
      <c r="N3" s="3"/>
    </row>
    <row r="4" spans="2:14">
      <c r="C4" s="132"/>
      <c r="D4" s="6"/>
      <c r="E4" s="3"/>
      <c r="F4" s="72"/>
      <c r="G4" s="122"/>
      <c r="H4" s="123"/>
      <c r="I4" s="51"/>
      <c r="J4" s="70"/>
      <c r="K4" s="3"/>
      <c r="L4" s="71"/>
      <c r="M4" s="88"/>
      <c r="N4" s="3"/>
    </row>
    <row r="5" spans="2:14">
      <c r="D5" s="6"/>
      <c r="E5" s="3"/>
      <c r="F5" s="72"/>
      <c r="G5" s="122"/>
      <c r="H5" s="123"/>
      <c r="I5" s="51"/>
      <c r="J5" s="70"/>
      <c r="K5" s="3"/>
      <c r="L5" s="71"/>
      <c r="M5" s="88"/>
      <c r="N5" s="3"/>
    </row>
    <row r="6" spans="2:14">
      <c r="C6" s="79"/>
      <c r="D6" s="24"/>
      <c r="E6" s="3"/>
      <c r="F6" s="72"/>
      <c r="G6" s="122"/>
      <c r="H6" s="123"/>
      <c r="I6" s="51"/>
      <c r="J6" s="70"/>
      <c r="K6" s="3"/>
      <c r="L6" s="71"/>
      <c r="M6" s="88"/>
      <c r="N6" s="3"/>
    </row>
    <row r="7" spans="2:14">
      <c r="C7" s="80"/>
      <c r="D7" s="6"/>
      <c r="E7" s="3"/>
      <c r="F7" s="72"/>
      <c r="G7" s="122"/>
      <c r="H7" s="123"/>
      <c r="I7" s="51"/>
      <c r="J7" s="70"/>
      <c r="K7" s="3"/>
      <c r="L7" s="71"/>
      <c r="M7" s="88"/>
      <c r="N7" s="3"/>
    </row>
    <row r="8" spans="2:14">
      <c r="C8" s="50"/>
      <c r="D8" s="6"/>
      <c r="E8" s="3"/>
      <c r="F8" s="72"/>
      <c r="G8" s="122"/>
      <c r="H8" s="123"/>
      <c r="I8" s="51"/>
      <c r="J8" s="70"/>
      <c r="K8" s="3"/>
      <c r="L8" s="71"/>
      <c r="M8" s="88"/>
      <c r="N8" s="3"/>
    </row>
    <row r="9" spans="2:14">
      <c r="B9" s="3"/>
      <c r="C9" s="86"/>
      <c r="D9" s="6"/>
      <c r="E9" s="3"/>
      <c r="F9" s="72"/>
      <c r="G9" s="122"/>
      <c r="H9" s="123"/>
      <c r="I9" s="51"/>
      <c r="J9" s="70"/>
      <c r="K9" s="3"/>
      <c r="L9" s="71"/>
      <c r="M9" s="88"/>
      <c r="N9" s="3"/>
    </row>
    <row r="10" spans="2:14">
      <c r="B10" s="3"/>
      <c r="C10" s="86"/>
      <c r="D10" s="6"/>
      <c r="E10" s="3"/>
      <c r="F10" s="72"/>
      <c r="G10" s="122"/>
      <c r="H10" s="123"/>
      <c r="I10" s="51"/>
      <c r="J10" s="70"/>
      <c r="K10" s="3"/>
      <c r="L10" s="69"/>
      <c r="M10" s="3"/>
      <c r="N10" s="3"/>
    </row>
    <row r="11" spans="2:14">
      <c r="B11" s="3"/>
      <c r="C11" s="87"/>
      <c r="D11" s="6"/>
      <c r="E11" s="3"/>
      <c r="F11" s="72"/>
      <c r="G11" s="122"/>
      <c r="H11" s="123"/>
      <c r="I11" s="51"/>
      <c r="J11" s="70"/>
      <c r="K11" s="3"/>
      <c r="L11" s="84"/>
      <c r="M11" s="93"/>
      <c r="N11" s="3"/>
    </row>
    <row r="12" spans="2:14">
      <c r="B12" s="3"/>
      <c r="C12" s="3"/>
      <c r="D12" s="6"/>
      <c r="E12" s="3"/>
      <c r="F12" s="72"/>
      <c r="G12" s="122"/>
      <c r="H12" s="123"/>
      <c r="I12" s="51"/>
      <c r="J12" s="70"/>
      <c r="K12" s="3"/>
      <c r="L12" s="67"/>
      <c r="M12" s="93"/>
      <c r="N12" s="3"/>
    </row>
    <row r="13" spans="2:14">
      <c r="B13" s="3"/>
      <c r="C13" s="61"/>
      <c r="D13" s="6"/>
      <c r="E13" s="3"/>
      <c r="F13" s="72"/>
      <c r="G13" s="122"/>
      <c r="H13" s="123"/>
      <c r="I13" s="51"/>
      <c r="J13" s="70"/>
      <c r="K13" s="3"/>
      <c r="L13" s="3"/>
      <c r="M13" s="3"/>
      <c r="N13" s="3"/>
    </row>
    <row r="14" spans="2:14">
      <c r="B14" s="23"/>
      <c r="C14" s="23"/>
      <c r="D14" s="24"/>
      <c r="E14" s="3"/>
      <c r="F14" s="71"/>
      <c r="G14" s="7"/>
      <c r="H14" s="3"/>
      <c r="I14" s="51"/>
      <c r="J14" s="23"/>
      <c r="K14" s="3"/>
      <c r="L14" s="3"/>
      <c r="M14" s="3"/>
      <c r="N14" s="3"/>
    </row>
    <row r="15" spans="2:14">
      <c r="B15" s="3"/>
      <c r="C15" s="131"/>
      <c r="D15" s="6"/>
      <c r="E15" s="51"/>
      <c r="F15" s="67"/>
      <c r="G15" s="3"/>
      <c r="H15" s="3"/>
      <c r="I15" s="3"/>
      <c r="J15" s="3"/>
      <c r="K15" s="3"/>
      <c r="L15" s="3"/>
      <c r="M15" s="3"/>
      <c r="N15" s="3"/>
    </row>
    <row r="16" spans="2:14">
      <c r="B16" s="3"/>
      <c r="C16" s="3"/>
      <c r="D16" s="6"/>
      <c r="E16" s="51"/>
      <c r="F16" s="84"/>
      <c r="G16" s="85"/>
      <c r="H16" s="49"/>
      <c r="I16" s="3"/>
      <c r="J16" s="3"/>
      <c r="K16" s="3"/>
      <c r="L16" s="3"/>
      <c r="M16" s="3"/>
      <c r="N16" s="3"/>
    </row>
    <row r="17" spans="2:14">
      <c r="B17" s="3"/>
      <c r="C17" s="80"/>
      <c r="D17" s="6"/>
      <c r="E17" s="51"/>
      <c r="F17" s="67"/>
      <c r="G17" s="85"/>
      <c r="H17" s="3"/>
      <c r="I17" s="3"/>
      <c r="J17" s="3"/>
      <c r="K17" s="3"/>
      <c r="L17" s="3"/>
      <c r="M17" s="3"/>
      <c r="N17" s="3"/>
    </row>
    <row r="18" spans="2:14">
      <c r="B18" s="3"/>
      <c r="C18" s="3"/>
      <c r="D18" s="24"/>
      <c r="E18" s="51"/>
      <c r="F18" s="67"/>
      <c r="G18" s="3"/>
      <c r="H18" s="3"/>
      <c r="I18" s="3"/>
      <c r="J18" s="3"/>
      <c r="K18" s="3"/>
      <c r="L18" s="3"/>
      <c r="M18" s="3"/>
      <c r="N18" s="3"/>
    </row>
    <row r="19" spans="2:14">
      <c r="B19" s="23"/>
      <c r="C19" s="23"/>
      <c r="D19" s="6"/>
      <c r="E19" s="51"/>
      <c r="F19" s="67"/>
      <c r="G19" s="3"/>
      <c r="H19" s="3"/>
      <c r="I19" s="3"/>
      <c r="J19" s="3"/>
      <c r="K19" s="3"/>
      <c r="L19" s="3"/>
      <c r="M19" s="3"/>
      <c r="N19" s="3"/>
    </row>
    <row r="20" spans="2:14">
      <c r="B20" s="3"/>
      <c r="C20" s="3"/>
      <c r="D20" s="6"/>
      <c r="E20" s="124"/>
      <c r="F20" s="126"/>
      <c r="G20" s="126"/>
      <c r="H20" s="126"/>
      <c r="I20" s="126"/>
      <c r="J20" s="126"/>
      <c r="K20" s="126"/>
      <c r="L20" s="3"/>
      <c r="M20" s="3"/>
      <c r="N20" s="3"/>
    </row>
    <row r="21" spans="2:14">
      <c r="B21" s="3"/>
      <c r="C21" s="3"/>
      <c r="D21" s="6"/>
      <c r="E21" s="104"/>
      <c r="F21" s="127"/>
      <c r="G21" s="7"/>
      <c r="H21" s="7"/>
      <c r="I21" s="7"/>
      <c r="J21" s="7"/>
      <c r="K21" s="7"/>
      <c r="L21" s="3"/>
      <c r="M21" s="3"/>
      <c r="N21" s="3"/>
    </row>
    <row r="22" spans="2:14">
      <c r="B22" s="3"/>
      <c r="C22" s="3"/>
      <c r="D22" s="6"/>
      <c r="E22" s="51"/>
      <c r="F22" s="68"/>
      <c r="G22" s="68"/>
      <c r="H22" s="68"/>
      <c r="I22" s="105"/>
      <c r="J22" s="67"/>
      <c r="K22" s="68"/>
      <c r="L22" s="3"/>
      <c r="M22" s="3"/>
      <c r="N22" s="3"/>
    </row>
    <row r="23" spans="2:14">
      <c r="B23" s="23"/>
      <c r="C23" s="23"/>
      <c r="D23" s="24"/>
      <c r="E23" s="51"/>
      <c r="F23" s="3"/>
      <c r="G23" s="3"/>
      <c r="H23" s="3"/>
      <c r="I23" s="3"/>
      <c r="J23" s="3"/>
      <c r="K23" s="3"/>
      <c r="L23" s="128"/>
      <c r="M23" s="3"/>
      <c r="N23" s="3"/>
    </row>
    <row r="24" spans="2:14">
      <c r="B24" s="3"/>
      <c r="C24" s="3"/>
      <c r="D24" s="6"/>
      <c r="E24" s="51"/>
      <c r="F24" s="3"/>
      <c r="G24" s="3"/>
      <c r="H24" s="3"/>
      <c r="I24" s="3"/>
      <c r="J24" s="3"/>
      <c r="K24" s="3"/>
      <c r="L24" s="3"/>
      <c r="M24" s="3"/>
      <c r="N24" s="3"/>
    </row>
    <row r="25" spans="2:14">
      <c r="B25" s="3"/>
      <c r="C25" s="3"/>
      <c r="D25" s="6"/>
      <c r="E25" s="6"/>
      <c r="F25" s="68"/>
      <c r="G25" s="3"/>
      <c r="H25" s="84"/>
      <c r="I25" s="85"/>
      <c r="J25" s="3"/>
      <c r="K25" s="3"/>
      <c r="L25" s="3"/>
      <c r="M25" s="3"/>
      <c r="N25" s="3"/>
    </row>
    <row r="26" spans="2:14">
      <c r="B26" s="3"/>
      <c r="C26" s="3"/>
      <c r="D26" s="6"/>
      <c r="E26" s="24"/>
      <c r="F26" s="50"/>
      <c r="G26" s="3"/>
      <c r="H26" s="67"/>
      <c r="I26" s="85"/>
      <c r="J26" s="3"/>
      <c r="K26" s="3"/>
      <c r="L26" s="129"/>
      <c r="M26" s="3"/>
      <c r="N26" s="3"/>
    </row>
    <row r="27" spans="2:14">
      <c r="B27" s="3"/>
      <c r="C27" s="3"/>
      <c r="D27" s="24"/>
      <c r="E27" s="23"/>
      <c r="F27" s="130"/>
      <c r="G27" s="3"/>
      <c r="H27" s="3"/>
      <c r="I27" s="3"/>
      <c r="J27" s="3"/>
      <c r="K27" s="3"/>
      <c r="L27" s="3"/>
      <c r="M27" s="3"/>
      <c r="N27" s="3"/>
    </row>
    <row r="28" spans="2:14">
      <c r="B28" s="3"/>
      <c r="C28" s="3"/>
      <c r="D28" s="7" t="s">
        <v>91</v>
      </c>
      <c r="E28" s="23"/>
      <c r="F28" s="130"/>
      <c r="G28" s="3"/>
      <c r="H28" s="3"/>
      <c r="I28" s="3"/>
      <c r="J28" s="3"/>
      <c r="K28" s="3"/>
      <c r="L28" s="3"/>
      <c r="M28" s="3"/>
      <c r="N28" s="3"/>
    </row>
    <row r="29" spans="2:14">
      <c r="B29" s="3"/>
      <c r="C29" s="3"/>
      <c r="D29" s="3"/>
      <c r="E29" s="3"/>
      <c r="F29" s="68"/>
      <c r="G29" s="3"/>
      <c r="H29" s="3"/>
      <c r="I29" s="3"/>
      <c r="J29" s="3"/>
      <c r="K29" s="3"/>
      <c r="L29" s="3"/>
      <c r="M29" s="3"/>
      <c r="N29" s="3"/>
    </row>
    <row r="30" spans="2:14">
      <c r="B30" s="3"/>
      <c r="C30" s="3"/>
      <c r="D30" s="3"/>
      <c r="E30" s="3"/>
      <c r="F30" s="68"/>
    </row>
    <row r="31" spans="2:14">
      <c r="D31" s="3"/>
      <c r="E31" s="3"/>
      <c r="F31" s="68"/>
    </row>
    <row r="32" spans="2:14">
      <c r="D32" s="3"/>
      <c r="E32" s="3"/>
      <c r="F32" s="68"/>
    </row>
    <row r="33" spans="4:6">
      <c r="D33" s="3"/>
      <c r="E33" s="3"/>
      <c r="F33" s="68"/>
    </row>
    <row r="34" spans="4:6">
      <c r="D34" s="3"/>
      <c r="E34" s="3"/>
      <c r="F34" s="68"/>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9"/>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10" style="1" customWidth="1"/>
    <col min="3" max="3" width="28.140625" style="1" customWidth="1"/>
    <col min="4" max="16384" width="9.140625" style="1"/>
  </cols>
  <sheetData>
    <row r="1" spans="2:3" ht="15.75">
      <c r="B1" s="40" t="s">
        <v>128</v>
      </c>
      <c r="C1" s="9"/>
    </row>
    <row r="2" spans="2:3">
      <c r="B2" s="41"/>
      <c r="C2" s="9"/>
    </row>
    <row r="3" spans="2:3">
      <c r="B3" s="9"/>
      <c r="C3" s="9"/>
    </row>
    <row r="4" spans="2:3">
      <c r="B4" s="66" t="s">
        <v>0</v>
      </c>
      <c r="C4" s="66" t="s">
        <v>1</v>
      </c>
    </row>
    <row r="5" spans="2:3">
      <c r="B5" s="44">
        <v>1</v>
      </c>
      <c r="C5" s="45" t="s">
        <v>11</v>
      </c>
    </row>
    <row r="6" spans="2:3">
      <c r="B6" s="42">
        <f>B5+1</f>
        <v>2</v>
      </c>
      <c r="C6" s="43" t="s">
        <v>14</v>
      </c>
    </row>
    <row r="7" spans="2:3">
      <c r="B7" s="42">
        <f t="shared" ref="B7:B11" si="0">B6+1</f>
        <v>3</v>
      </c>
      <c r="C7" s="43" t="s">
        <v>15</v>
      </c>
    </row>
    <row r="8" spans="2:3">
      <c r="B8" s="42">
        <f t="shared" si="0"/>
        <v>4</v>
      </c>
      <c r="C8" s="43" t="s">
        <v>10</v>
      </c>
    </row>
    <row r="9" spans="2:3">
      <c r="B9" s="42">
        <f t="shared" si="0"/>
        <v>5</v>
      </c>
      <c r="C9" s="43" t="s">
        <v>114</v>
      </c>
    </row>
    <row r="10" spans="2:3">
      <c r="B10" s="42">
        <f t="shared" si="0"/>
        <v>6</v>
      </c>
      <c r="C10" s="43" t="s">
        <v>7</v>
      </c>
    </row>
    <row r="11" spans="2:3">
      <c r="B11" s="42">
        <f t="shared" si="0"/>
        <v>7</v>
      </c>
      <c r="C11" s="45" t="s">
        <v>126</v>
      </c>
    </row>
    <row r="12" spans="2:3">
      <c r="B12" s="42">
        <f>B10+1</f>
        <v>7</v>
      </c>
      <c r="C12" s="43" t="s">
        <v>315</v>
      </c>
    </row>
    <row r="13" spans="2:3">
      <c r="B13" s="42">
        <f>B11+1</f>
        <v>8</v>
      </c>
      <c r="C13" s="43" t="s">
        <v>135</v>
      </c>
    </row>
    <row r="14" spans="2:3">
      <c r="B14" s="42">
        <f t="shared" ref="B14:B25" si="1">B13+1</f>
        <v>9</v>
      </c>
      <c r="C14" s="43" t="s">
        <v>223</v>
      </c>
    </row>
    <row r="15" spans="2:3">
      <c r="B15" s="42">
        <f t="shared" si="1"/>
        <v>10</v>
      </c>
      <c r="C15" s="43" t="s">
        <v>138</v>
      </c>
    </row>
    <row r="16" spans="2:3">
      <c r="B16" s="42">
        <f t="shared" si="1"/>
        <v>11</v>
      </c>
      <c r="C16" s="43" t="s">
        <v>153</v>
      </c>
    </row>
    <row r="17" spans="2:3">
      <c r="B17" s="42">
        <f t="shared" si="1"/>
        <v>12</v>
      </c>
      <c r="C17" s="45" t="s">
        <v>172</v>
      </c>
    </row>
    <row r="18" spans="2:3">
      <c r="B18" s="42">
        <f t="shared" si="1"/>
        <v>13</v>
      </c>
      <c r="C18" s="43" t="s">
        <v>169</v>
      </c>
    </row>
    <row r="19" spans="2:3">
      <c r="B19" s="42">
        <f t="shared" si="1"/>
        <v>14</v>
      </c>
      <c r="C19" s="43" t="s">
        <v>291</v>
      </c>
    </row>
    <row r="20" spans="2:3">
      <c r="B20" s="42">
        <f t="shared" si="1"/>
        <v>15</v>
      </c>
      <c r="C20" s="43" t="s">
        <v>170</v>
      </c>
    </row>
    <row r="21" spans="2:3">
      <c r="B21" s="42">
        <f t="shared" si="1"/>
        <v>16</v>
      </c>
      <c r="C21" s="43" t="s">
        <v>171</v>
      </c>
    </row>
    <row r="22" spans="2:3">
      <c r="B22" s="42">
        <f t="shared" si="1"/>
        <v>17</v>
      </c>
      <c r="C22" s="45" t="s">
        <v>222</v>
      </c>
    </row>
    <row r="23" spans="2:3">
      <c r="B23" s="42">
        <f t="shared" si="1"/>
        <v>18</v>
      </c>
      <c r="C23" s="43" t="s">
        <v>205</v>
      </c>
    </row>
    <row r="24" spans="2:3">
      <c r="B24" s="42">
        <f t="shared" si="1"/>
        <v>19</v>
      </c>
      <c r="C24" s="43" t="s">
        <v>302</v>
      </c>
    </row>
    <row r="25" spans="2:3">
      <c r="B25" s="42">
        <f t="shared" si="1"/>
        <v>20</v>
      </c>
      <c r="C25" s="43" t="s">
        <v>221</v>
      </c>
    </row>
    <row r="27" spans="2:3">
      <c r="B27" s="42"/>
      <c r="C27" s="43"/>
    </row>
    <row r="28" spans="2:3">
      <c r="B28" s="42"/>
      <c r="C28" s="43"/>
    </row>
    <row r="29" spans="2:3">
      <c r="B29" s="9"/>
      <c r="C29" s="9"/>
    </row>
  </sheetData>
  <hyperlinks>
    <hyperlink ref="C18" location="'Expected Growth Rate'!A1" display="Expected Growth Rate"/>
    <hyperlink ref="C20" location="'Future Cashflows (10 Yrs)'!A1" display="Future Cash Flows (10 Yrs)"/>
    <hyperlink ref="C21" location="'Terminal Value'!A1" display="Terminal Value"/>
    <hyperlink ref="C23" location="'Cash &amp; Marketable Securities'!A1" display="Cash and Marketable Securities"/>
    <hyperlink ref="C7" location="'Equity Risk Premium'!A1" display="Equity Risk Premium"/>
    <hyperlink ref="C8" location="'BS assumptions'!A1" display="BS assumptions"/>
    <hyperlink ref="C10" location="WACC!A1" display="WACC"/>
    <hyperlink ref="C9" location="'Cost of Equity &amp; Debt'!A1" display="Cost of Equity &amp; Debt"/>
    <hyperlink ref="C6" location="'Risk Free Rate'!A1" display="Risk Free Rate"/>
    <hyperlink ref="C25" location="'Fair Value of Share'!A1" display="Fair Value of Share"/>
    <hyperlink ref="C13" location="'EBIT &amp; Operating Lease'!A1" display="EBIT &amp; Operating Lease"/>
    <hyperlink ref="C14" location="'Net CapEx'!A1" display="Reinvestment (Net CapEx)"/>
    <hyperlink ref="C15" location="'Working Capital Changes'!A1" display="Working Capital Changes"/>
    <hyperlink ref="C16" location="'FCFF &amp; FCFE'!A1" display="FCFE &amp; FCFF"/>
    <hyperlink ref="C19" location="'Amusement Park Industry TAM'!A1" display="Amusement Park Industry TAM"/>
    <hyperlink ref="C24" location="'Future Value of Equity Options'!A1" display="Future Value of Equity Options"/>
    <hyperlink ref="C12" location="'EBIT &amp; Advertising Expense'!A1" display="EBIT &amp; Advertising Expenses"/>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16.5703125" style="2" customWidth="1"/>
    <col min="3" max="3" width="9.140625" style="2"/>
    <col min="4" max="4" width="10.28515625" style="2" customWidth="1"/>
    <col min="5" max="5" width="11.5703125" style="2" bestFit="1" customWidth="1"/>
    <col min="6" max="6" width="18.85546875" style="2" customWidth="1"/>
    <col min="7" max="7" width="2.7109375" style="2" customWidth="1"/>
    <col min="8" max="8" width="30.42578125" style="2" customWidth="1"/>
    <col min="9" max="16384" width="9.140625" style="2"/>
  </cols>
  <sheetData>
    <row r="1" spans="2:13" ht="15.75">
      <c r="B1" s="16" t="s">
        <v>185</v>
      </c>
    </row>
    <row r="3" spans="2:13">
      <c r="B3" s="23"/>
      <c r="C3" s="23"/>
      <c r="D3" s="22"/>
      <c r="E3" s="53" t="s">
        <v>49</v>
      </c>
      <c r="F3" s="54" t="s">
        <v>50</v>
      </c>
      <c r="H3" s="52" t="s">
        <v>51</v>
      </c>
      <c r="I3" s="3"/>
      <c r="J3" s="3"/>
      <c r="K3" s="3"/>
    </row>
    <row r="4" spans="2:13">
      <c r="B4" s="18" t="s">
        <v>14</v>
      </c>
      <c r="C4" s="58">
        <f>C6-C8</f>
        <v>5.4229999999999993E-2</v>
      </c>
      <c r="D4" s="6"/>
      <c r="E4" s="53" t="s">
        <v>34</v>
      </c>
      <c r="F4" s="12">
        <v>0</v>
      </c>
      <c r="H4" s="55" t="s">
        <v>19</v>
      </c>
      <c r="I4" s="3"/>
      <c r="J4" s="3"/>
      <c r="K4" s="3"/>
    </row>
    <row r="5" spans="2:13">
      <c r="B5" s="3"/>
      <c r="C5" s="3"/>
      <c r="D5" s="6"/>
      <c r="E5" s="53" t="s">
        <v>35</v>
      </c>
      <c r="F5" s="12">
        <v>3.3999999999999998E-3</v>
      </c>
      <c r="H5" s="55" t="s">
        <v>20</v>
      </c>
      <c r="I5" s="3"/>
      <c r="J5" s="3"/>
      <c r="K5" s="3"/>
      <c r="M5" s="3"/>
    </row>
    <row r="6" spans="2:13">
      <c r="B6" s="18" t="s">
        <v>16</v>
      </c>
      <c r="C6" s="59">
        <v>7.2929999999999995E-2</v>
      </c>
      <c r="D6" s="24"/>
      <c r="E6" s="53" t="s">
        <v>28</v>
      </c>
      <c r="F6" s="12">
        <v>4.1999999999999997E-3</v>
      </c>
      <c r="H6" s="55" t="s">
        <v>21</v>
      </c>
      <c r="I6" s="3"/>
      <c r="J6" s="3"/>
      <c r="K6" s="3"/>
    </row>
    <row r="7" spans="2:13">
      <c r="B7" s="18" t="s">
        <v>17</v>
      </c>
      <c r="C7" s="60" t="s">
        <v>47</v>
      </c>
      <c r="D7" s="6"/>
      <c r="E7" s="53" t="s">
        <v>39</v>
      </c>
      <c r="F7" s="12">
        <v>5.1000000000000004E-3</v>
      </c>
      <c r="H7" s="55" t="s">
        <v>22</v>
      </c>
      <c r="I7" s="3"/>
      <c r="J7" s="3"/>
      <c r="K7" s="3"/>
    </row>
    <row r="8" spans="2:13">
      <c r="B8" s="18" t="s">
        <v>18</v>
      </c>
      <c r="C8" s="57">
        <f>VLOOKUP(C7,$E$3:$F$24,2,0)</f>
        <v>1.8700000000000001E-2</v>
      </c>
      <c r="D8" s="6"/>
      <c r="E8" s="53" t="s">
        <v>44</v>
      </c>
      <c r="F8" s="50">
        <v>6.0000000000000001E-3</v>
      </c>
      <c r="H8" s="55" t="s">
        <v>23</v>
      </c>
      <c r="I8" s="3"/>
      <c r="J8" s="3"/>
      <c r="K8" s="3"/>
    </row>
    <row r="9" spans="2:13">
      <c r="B9" s="3"/>
      <c r="C9" s="3"/>
      <c r="D9" s="6"/>
      <c r="E9" s="53" t="s">
        <v>41</v>
      </c>
      <c r="F9" s="12">
        <v>7.1999999999999998E-3</v>
      </c>
      <c r="H9" s="55" t="s">
        <v>24</v>
      </c>
      <c r="I9" s="3"/>
      <c r="J9" s="3"/>
      <c r="K9" s="3"/>
    </row>
    <row r="10" spans="2:13">
      <c r="B10" s="56" t="s">
        <v>52</v>
      </c>
      <c r="C10" s="23"/>
      <c r="D10" s="6"/>
      <c r="E10" s="53" t="s">
        <v>42</v>
      </c>
      <c r="F10" s="12">
        <v>1.0200000000000001E-2</v>
      </c>
      <c r="H10" s="55" t="s">
        <v>25</v>
      </c>
      <c r="I10" s="3"/>
      <c r="J10" s="3"/>
      <c r="K10" s="3"/>
    </row>
    <row r="11" spans="2:13">
      <c r="B11" s="3"/>
      <c r="C11" s="3"/>
      <c r="D11" s="6"/>
      <c r="E11" s="53" t="s">
        <v>43</v>
      </c>
      <c r="F11" s="12">
        <v>1.3599999999999999E-2</v>
      </c>
      <c r="H11" s="55" t="s">
        <v>26</v>
      </c>
      <c r="I11" s="3"/>
      <c r="J11" s="3"/>
      <c r="K11" s="3"/>
    </row>
    <row r="12" spans="2:13">
      <c r="B12" s="3"/>
      <c r="C12" s="3"/>
      <c r="D12" s="6"/>
      <c r="E12" s="53" t="s">
        <v>30</v>
      </c>
      <c r="F12" s="12">
        <v>1.6199999999999999E-2</v>
      </c>
      <c r="H12" s="55" t="s">
        <v>27</v>
      </c>
      <c r="I12" s="3"/>
      <c r="J12" s="3"/>
      <c r="K12" s="3"/>
    </row>
    <row r="13" spans="2:13">
      <c r="B13" s="3"/>
      <c r="C13" s="3"/>
      <c r="D13" s="6"/>
      <c r="E13" s="53" t="s">
        <v>47</v>
      </c>
      <c r="F13" s="12">
        <v>1.8700000000000001E-2</v>
      </c>
    </row>
    <row r="14" spans="2:13">
      <c r="B14" s="23"/>
      <c r="C14" s="23"/>
      <c r="D14" s="24"/>
      <c r="E14" s="53" t="s">
        <v>46</v>
      </c>
      <c r="F14" s="12">
        <v>2.1299999999999999E-2</v>
      </c>
    </row>
    <row r="15" spans="2:13">
      <c r="B15" s="3"/>
      <c r="C15" s="3"/>
      <c r="D15" s="6"/>
      <c r="E15" s="53" t="s">
        <v>36</v>
      </c>
      <c r="F15" s="12">
        <v>2.5600000000000001E-2</v>
      </c>
    </row>
    <row r="16" spans="2:13">
      <c r="B16" s="3"/>
      <c r="C16" s="3"/>
      <c r="D16" s="6"/>
      <c r="E16" s="53" t="s">
        <v>33</v>
      </c>
      <c r="F16" s="12">
        <v>3.0599999999999999E-2</v>
      </c>
    </row>
    <row r="17" spans="2:9">
      <c r="B17" s="3"/>
      <c r="C17" s="3"/>
      <c r="D17" s="6"/>
      <c r="E17" s="53" t="s">
        <v>29</v>
      </c>
      <c r="F17" s="12">
        <v>3.8300000000000001E-2</v>
      </c>
    </row>
    <row r="18" spans="2:9">
      <c r="B18" s="3"/>
      <c r="C18" s="3"/>
      <c r="D18" s="24"/>
      <c r="E18" s="53" t="s">
        <v>37</v>
      </c>
      <c r="F18" s="12">
        <v>4.6800000000000001E-2</v>
      </c>
    </row>
    <row r="19" spans="2:9">
      <c r="B19" s="23"/>
      <c r="C19" s="23"/>
      <c r="D19" s="6"/>
      <c r="E19" s="53" t="s">
        <v>31</v>
      </c>
      <c r="F19" s="12">
        <v>5.5300000000000002E-2</v>
      </c>
    </row>
    <row r="20" spans="2:9">
      <c r="B20" s="3"/>
      <c r="C20" s="3"/>
      <c r="D20" s="6"/>
      <c r="E20" s="53" t="s">
        <v>38</v>
      </c>
      <c r="F20" s="12">
        <v>6.3799999999999996E-2</v>
      </c>
    </row>
    <row r="21" spans="2:9">
      <c r="B21" s="3"/>
      <c r="C21" s="3"/>
      <c r="D21" s="6"/>
      <c r="E21" s="53" t="s">
        <v>45</v>
      </c>
      <c r="F21" s="12">
        <v>7.6600000000000001E-2</v>
      </c>
    </row>
    <row r="22" spans="2:9">
      <c r="B22" s="3"/>
      <c r="C22" s="3"/>
      <c r="D22" s="6"/>
      <c r="E22" s="53" t="s">
        <v>40</v>
      </c>
      <c r="F22" s="12">
        <v>8.5099999999999995E-2</v>
      </c>
    </row>
    <row r="23" spans="2:9">
      <c r="B23" s="23"/>
      <c r="C23" s="23"/>
      <c r="D23" s="24"/>
      <c r="E23" s="53" t="s">
        <v>32</v>
      </c>
      <c r="F23" s="12">
        <v>0.1021</v>
      </c>
      <c r="I23" s="4"/>
    </row>
    <row r="24" spans="2:9">
      <c r="B24" s="3"/>
      <c r="C24" s="3"/>
      <c r="D24" s="6"/>
      <c r="E24" s="53" t="s">
        <v>48</v>
      </c>
      <c r="F24" s="12">
        <v>0.17499999999999999</v>
      </c>
    </row>
    <row r="25" spans="2:9">
      <c r="B25" s="3"/>
      <c r="C25" s="3"/>
      <c r="D25" s="6"/>
      <c r="E25" s="6"/>
    </row>
    <row r="26" spans="2:9">
      <c r="B26" s="3"/>
      <c r="C26" s="3"/>
      <c r="D26" s="6"/>
      <c r="E26" s="6"/>
    </row>
    <row r="27" spans="2:9">
      <c r="B27" s="3"/>
      <c r="C27" s="3"/>
      <c r="D27" s="24"/>
      <c r="E27" s="24"/>
      <c r="F27" s="24"/>
    </row>
    <row r="28" spans="2:9">
      <c r="B28" s="3"/>
      <c r="C28" s="3"/>
      <c r="D28" s="3"/>
      <c r="E28" s="3"/>
      <c r="F28" s="3"/>
    </row>
    <row r="29" spans="2:9">
      <c r="B29" s="3"/>
      <c r="C29" s="3"/>
      <c r="D29" s="3"/>
      <c r="E29" s="3"/>
      <c r="F29" s="3"/>
    </row>
    <row r="30" spans="2:9">
      <c r="B30" s="3"/>
      <c r="C30" s="3"/>
      <c r="D30" s="3"/>
      <c r="E30" s="3"/>
      <c r="F30" s="3"/>
    </row>
    <row r="31" spans="2:9">
      <c r="D31" s="3"/>
      <c r="E31" s="3"/>
      <c r="F31" s="3"/>
    </row>
    <row r="32" spans="2:9">
      <c r="D32" s="3"/>
      <c r="E32" s="3"/>
      <c r="F32" s="3"/>
    </row>
    <row r="33" spans="4:6">
      <c r="D33" s="3"/>
      <c r="E33" s="3"/>
      <c r="F33" s="3"/>
    </row>
    <row r="34" spans="4:6">
      <c r="D34" s="3"/>
      <c r="E34" s="3"/>
      <c r="F34" s="3"/>
    </row>
  </sheetData>
  <sortState ref="E4:F24">
    <sortCondition ref="F6"/>
  </sortState>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6.42578125" style="2" customWidth="1"/>
    <col min="3" max="3" width="10" style="2" bestFit="1" customWidth="1"/>
    <col min="4" max="4" width="2.85546875" style="2" customWidth="1"/>
    <col min="5" max="5" width="18.5703125" style="2" customWidth="1"/>
    <col min="6" max="6" width="10" style="13"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3" ht="15.75">
      <c r="B1" s="16" t="s">
        <v>15</v>
      </c>
    </row>
    <row r="3" spans="2:13">
      <c r="B3" s="18" t="s">
        <v>54</v>
      </c>
      <c r="C3" s="94">
        <f>G13</f>
        <v>189.17</v>
      </c>
      <c r="D3" s="22"/>
      <c r="E3" s="51"/>
      <c r="F3" s="74" t="s">
        <v>53</v>
      </c>
      <c r="G3" s="75" t="s">
        <v>55</v>
      </c>
      <c r="H3" s="77" t="s">
        <v>56</v>
      </c>
      <c r="I3" s="77" t="s">
        <v>59</v>
      </c>
      <c r="J3" s="77" t="s">
        <v>86</v>
      </c>
      <c r="K3" s="3"/>
      <c r="L3" s="91" t="s">
        <v>53</v>
      </c>
      <c r="M3" s="77" t="s">
        <v>82</v>
      </c>
    </row>
    <row r="4" spans="2:13">
      <c r="B4" s="30" t="s">
        <v>60</v>
      </c>
      <c r="C4" s="99">
        <f>J14/I14</f>
        <v>138.95218181818183</v>
      </c>
      <c r="D4" s="6"/>
      <c r="F4" s="73" t="s">
        <v>64</v>
      </c>
      <c r="G4" s="76">
        <v>77.72</v>
      </c>
      <c r="H4" s="78">
        <v>1.47E-2</v>
      </c>
      <c r="I4" s="53">
        <v>1</v>
      </c>
      <c r="J4" s="82">
        <f t="shared" ref="J4:J13" si="0">G4*I4</f>
        <v>77.72</v>
      </c>
      <c r="K4" s="3"/>
      <c r="L4" s="89" t="s">
        <v>74</v>
      </c>
      <c r="M4" s="90">
        <f>C11</f>
        <v>0.172634108417556</v>
      </c>
    </row>
    <row r="5" spans="2:13">
      <c r="D5" s="6"/>
      <c r="F5" s="73" t="s">
        <v>65</v>
      </c>
      <c r="G5" s="76">
        <v>97.24</v>
      </c>
      <c r="H5" s="78">
        <v>1.37E-2</v>
      </c>
      <c r="I5" s="53">
        <v>2</v>
      </c>
      <c r="J5" s="82">
        <f t="shared" si="0"/>
        <v>194.48</v>
      </c>
      <c r="K5" s="3"/>
      <c r="L5" s="89" t="s">
        <v>75</v>
      </c>
      <c r="M5" s="90">
        <f>(M4+M6)/2</f>
        <v>0.146583081313167</v>
      </c>
    </row>
    <row r="6" spans="2:13">
      <c r="B6" s="30" t="s">
        <v>58</v>
      </c>
      <c r="C6" s="95">
        <f>H13</f>
        <v>1.11E-2</v>
      </c>
      <c r="D6" s="24"/>
      <c r="F6" s="73" t="s">
        <v>66</v>
      </c>
      <c r="G6" s="76">
        <v>122.26</v>
      </c>
      <c r="H6" s="78">
        <v>1.2800000000000001E-2</v>
      </c>
      <c r="I6" s="53">
        <v>3</v>
      </c>
      <c r="J6" s="82">
        <f t="shared" si="0"/>
        <v>366.78000000000003</v>
      </c>
      <c r="K6" s="3"/>
      <c r="L6" s="89" t="s">
        <v>76</v>
      </c>
      <c r="M6" s="90">
        <f>(M4+M8)/2</f>
        <v>0.12053205420877799</v>
      </c>
    </row>
    <row r="7" spans="2:13">
      <c r="B7" s="30" t="s">
        <v>57</v>
      </c>
      <c r="C7" s="96">
        <f>AVERAGE(H4:H13)</f>
        <v>1.315E-2</v>
      </c>
      <c r="D7" s="6"/>
      <c r="F7" s="73" t="s">
        <v>67</v>
      </c>
      <c r="G7" s="76">
        <v>121.01</v>
      </c>
      <c r="H7" s="78">
        <v>1.49E-2</v>
      </c>
      <c r="I7" s="53">
        <v>4</v>
      </c>
      <c r="J7" s="82">
        <f t="shared" si="0"/>
        <v>484.04</v>
      </c>
      <c r="K7" s="3"/>
      <c r="L7" s="89" t="s">
        <v>77</v>
      </c>
      <c r="M7" s="90">
        <f>(M6+M8)/2</f>
        <v>9.4481027104388993E-2</v>
      </c>
    </row>
    <row r="8" spans="2:13">
      <c r="C8" s="50"/>
      <c r="D8" s="6"/>
      <c r="F8" s="73" t="s">
        <v>68</v>
      </c>
      <c r="G8" s="76">
        <v>112.54</v>
      </c>
      <c r="H8" s="78">
        <v>1.23E-2</v>
      </c>
      <c r="I8" s="53">
        <v>5</v>
      </c>
      <c r="J8" s="82">
        <f t="shared" si="0"/>
        <v>562.70000000000005</v>
      </c>
      <c r="K8" s="3"/>
      <c r="L8" s="89" t="s">
        <v>78</v>
      </c>
      <c r="M8" s="90">
        <v>6.8430000000000005E-2</v>
      </c>
    </row>
    <row r="9" spans="2:13">
      <c r="B9" s="18" t="s">
        <v>79</v>
      </c>
      <c r="C9" s="97">
        <v>282.98</v>
      </c>
      <c r="D9" s="6"/>
      <c r="F9" s="73" t="s">
        <v>69</v>
      </c>
      <c r="G9" s="76">
        <v>137.75</v>
      </c>
      <c r="H9" s="78">
        <v>1.2500000000000001E-2</v>
      </c>
      <c r="I9" s="53">
        <v>6</v>
      </c>
      <c r="J9" s="82">
        <f t="shared" si="0"/>
        <v>826.5</v>
      </c>
      <c r="K9" s="3"/>
      <c r="L9" s="71"/>
      <c r="M9" s="92">
        <f>AVERAGE(M4:M8)</f>
        <v>0.12053205420877799</v>
      </c>
    </row>
    <row r="10" spans="2:13">
      <c r="B10" s="18" t="s">
        <v>80</v>
      </c>
      <c r="C10" s="97">
        <v>771.5</v>
      </c>
      <c r="D10" s="6"/>
      <c r="F10" s="73" t="s">
        <v>70</v>
      </c>
      <c r="G10" s="76">
        <v>142.54</v>
      </c>
      <c r="H10" s="78">
        <v>1.1299999999999999E-2</v>
      </c>
      <c r="I10" s="53">
        <v>7</v>
      </c>
      <c r="J10" s="82">
        <f t="shared" si="0"/>
        <v>997.78</v>
      </c>
      <c r="K10" s="3"/>
      <c r="L10" s="69"/>
    </row>
    <row r="11" spans="2:13">
      <c r="B11" s="18" t="s">
        <v>81</v>
      </c>
      <c r="C11" s="98">
        <f>((C10-C9)/C9)/10</f>
        <v>0.172634108417556</v>
      </c>
      <c r="D11" s="6"/>
      <c r="F11" s="73" t="s">
        <v>71</v>
      </c>
      <c r="G11" s="76">
        <v>149.1</v>
      </c>
      <c r="H11" s="78">
        <v>1.83E-2</v>
      </c>
      <c r="I11" s="53">
        <v>8</v>
      </c>
      <c r="J11" s="82">
        <f t="shared" si="0"/>
        <v>1192.8</v>
      </c>
      <c r="K11" s="3"/>
      <c r="L11" s="84" t="s">
        <v>61</v>
      </c>
      <c r="M11" s="93" t="s">
        <v>84</v>
      </c>
    </row>
    <row r="12" spans="2:13">
      <c r="B12" s="3"/>
      <c r="C12" s="3"/>
      <c r="D12" s="6"/>
      <c r="F12" s="73" t="s">
        <v>72</v>
      </c>
      <c r="G12" s="76">
        <v>116.43</v>
      </c>
      <c r="H12" s="78">
        <v>9.9000000000000008E-3</v>
      </c>
      <c r="I12" s="53">
        <v>9</v>
      </c>
      <c r="J12" s="82">
        <f t="shared" si="0"/>
        <v>1047.8700000000001</v>
      </c>
      <c r="K12" s="3"/>
      <c r="L12" s="67"/>
      <c r="M12" s="93" t="s">
        <v>85</v>
      </c>
    </row>
    <row r="13" spans="2:13">
      <c r="B13" s="18" t="s">
        <v>83</v>
      </c>
      <c r="C13" s="58">
        <f>M9</f>
        <v>0.12053205420877799</v>
      </c>
      <c r="D13" s="6"/>
      <c r="F13" s="73" t="s">
        <v>73</v>
      </c>
      <c r="G13" s="76">
        <v>189.17</v>
      </c>
      <c r="H13" s="78">
        <v>1.11E-2</v>
      </c>
      <c r="I13" s="53">
        <v>10</v>
      </c>
      <c r="J13" s="82">
        <f t="shared" si="0"/>
        <v>1891.6999999999998</v>
      </c>
    </row>
    <row r="14" spans="2:13">
      <c r="B14" s="23"/>
      <c r="C14" s="23"/>
      <c r="D14" s="24"/>
      <c r="F14" s="71"/>
      <c r="G14" s="7"/>
      <c r="I14" s="81">
        <f>SUM(I4:I13)</f>
        <v>55</v>
      </c>
      <c r="J14" s="83">
        <f>SUM(J4:J13)</f>
        <v>7642.37</v>
      </c>
    </row>
    <row r="15" spans="2:13">
      <c r="B15" s="18" t="s">
        <v>247</v>
      </c>
      <c r="C15" s="102">
        <v>17115.95</v>
      </c>
      <c r="D15" s="6"/>
      <c r="E15" s="51"/>
      <c r="F15" s="67"/>
      <c r="G15" s="3"/>
      <c r="H15" s="3"/>
    </row>
    <row r="16" spans="2:13">
      <c r="B16" s="3"/>
      <c r="C16" s="3"/>
      <c r="D16" s="6"/>
      <c r="E16" s="51"/>
      <c r="F16" s="84" t="s">
        <v>61</v>
      </c>
      <c r="G16" s="85" t="s">
        <v>63</v>
      </c>
      <c r="H16" s="49"/>
    </row>
    <row r="17" spans="2:12">
      <c r="B17" s="3"/>
      <c r="C17" s="80"/>
      <c r="D17" s="6"/>
      <c r="E17" s="51"/>
      <c r="F17" s="67"/>
      <c r="G17" s="85" t="s">
        <v>62</v>
      </c>
    </row>
    <row r="18" spans="2:12">
      <c r="B18" s="3"/>
      <c r="C18" s="3"/>
      <c r="D18" s="24"/>
      <c r="E18" s="51"/>
      <c r="F18" s="67"/>
      <c r="G18" s="3"/>
      <c r="H18" s="3"/>
    </row>
    <row r="19" spans="2:12">
      <c r="B19" s="23"/>
      <c r="C19" s="23"/>
      <c r="D19" s="6"/>
      <c r="E19" s="51"/>
      <c r="F19" s="67"/>
      <c r="G19" s="3"/>
      <c r="H19" s="3"/>
    </row>
    <row r="20" spans="2:12">
      <c r="B20" s="3"/>
      <c r="C20" s="3"/>
      <c r="D20" s="6"/>
      <c r="E20" s="103" t="s">
        <v>87</v>
      </c>
      <c r="F20" s="91" t="s">
        <v>73</v>
      </c>
      <c r="G20" s="91" t="s">
        <v>74</v>
      </c>
      <c r="H20" s="91" t="s">
        <v>75</v>
      </c>
      <c r="I20" s="91" t="s">
        <v>76</v>
      </c>
      <c r="J20" s="91" t="s">
        <v>77</v>
      </c>
      <c r="K20" s="91" t="s">
        <v>78</v>
      </c>
    </row>
    <row r="21" spans="2:12">
      <c r="B21" s="3"/>
      <c r="C21" s="3"/>
      <c r="D21" s="6"/>
      <c r="E21" s="109">
        <f>-C15</f>
        <v>-17115.95</v>
      </c>
      <c r="F21" s="100">
        <f>$C$4</f>
        <v>138.95218181818183</v>
      </c>
      <c r="G21" s="101">
        <f>F21*(1+$C$13)</f>
        <v>155.7003737295189</v>
      </c>
      <c r="H21" s="101">
        <f>G21*(1+$C$13)</f>
        <v>174.46725961621226</v>
      </c>
      <c r="I21" s="101">
        <f t="shared" ref="I21:K21" si="1">H21*(1+$C$13)</f>
        <v>195.49615680993051</v>
      </c>
      <c r="J21" s="101">
        <f t="shared" si="1"/>
        <v>219.05971018015282</v>
      </c>
      <c r="K21" s="101">
        <f t="shared" si="1"/>
        <v>245.46342704254619</v>
      </c>
    </row>
    <row r="22" spans="2:12">
      <c r="B22" s="3"/>
      <c r="C22" s="3"/>
      <c r="D22" s="6"/>
      <c r="E22" s="53"/>
      <c r="F22" s="110"/>
      <c r="G22" s="110"/>
      <c r="H22" s="110"/>
      <c r="I22" s="111"/>
      <c r="J22" s="112"/>
      <c r="K22" s="110"/>
    </row>
    <row r="23" spans="2:12">
      <c r="B23" s="23"/>
      <c r="C23" s="23"/>
      <c r="D23" s="24"/>
      <c r="E23" s="53" t="s">
        <v>88</v>
      </c>
      <c r="F23" s="30">
        <f>NPV(10%,$G$21:$K$21)+($K$21*(1+$M$8))/(10%-$M$8)*((1+10%)^5)+$E$21</f>
        <v>-3002.362870675448</v>
      </c>
      <c r="G23" s="30"/>
      <c r="H23" s="30"/>
      <c r="I23" s="30"/>
      <c r="J23" s="30"/>
      <c r="K23" s="30"/>
      <c r="L23" s="106"/>
    </row>
    <row r="24" spans="2:12">
      <c r="B24" s="3"/>
      <c r="C24" s="3"/>
      <c r="D24" s="6"/>
      <c r="E24" s="53" t="s">
        <v>89</v>
      </c>
      <c r="F24" s="30">
        <f>NPV(9%,$G$21:$K$21)+($K$21*(1+$M$8))/(9%-$M$8)*((1+9%)^5)+$E$21</f>
        <v>2346.8973412469713</v>
      </c>
      <c r="G24" s="30"/>
      <c r="H24" s="30"/>
      <c r="I24" s="30"/>
      <c r="J24" s="30"/>
      <c r="K24" s="30"/>
    </row>
    <row r="25" spans="2:12">
      <c r="B25" s="3"/>
      <c r="C25" s="3"/>
      <c r="D25" s="6"/>
      <c r="E25" s="17"/>
      <c r="F25" s="110"/>
      <c r="G25" s="30"/>
      <c r="H25" s="118"/>
      <c r="I25" s="119"/>
      <c r="J25" s="30"/>
      <c r="K25" s="30"/>
    </row>
    <row r="26" spans="2:12">
      <c r="B26" s="3"/>
      <c r="C26" s="3"/>
      <c r="D26" s="6"/>
      <c r="E26" s="46" t="s">
        <v>90</v>
      </c>
      <c r="F26" s="113">
        <f>9%+($F$24/($F$24-$F$23)*(10%-9%))</f>
        <v>9.4387330674279429E-2</v>
      </c>
      <c r="G26" s="30"/>
      <c r="H26" s="120"/>
      <c r="I26" s="119"/>
      <c r="J26" s="30"/>
      <c r="K26" s="30"/>
      <c r="L26" s="107"/>
    </row>
    <row r="27" spans="2:12">
      <c r="B27" s="3"/>
      <c r="C27" s="3"/>
      <c r="D27" s="7" t="s">
        <v>91</v>
      </c>
      <c r="E27" s="114" t="s">
        <v>14</v>
      </c>
      <c r="F27" s="115">
        <f>'Risk Free Rate'!C4</f>
        <v>5.4229999999999993E-2</v>
      </c>
      <c r="G27" s="30"/>
      <c r="H27" s="30"/>
      <c r="I27" s="30"/>
      <c r="J27" s="30"/>
      <c r="K27" s="30"/>
    </row>
    <row r="28" spans="2:12">
      <c r="B28" s="3"/>
      <c r="C28" s="3"/>
      <c r="E28" s="116" t="s">
        <v>15</v>
      </c>
      <c r="F28" s="117">
        <f>F26-F27</f>
        <v>4.0157330674279436E-2</v>
      </c>
      <c r="G28" s="30"/>
      <c r="H28" s="30"/>
      <c r="I28" s="30"/>
      <c r="J28" s="30"/>
      <c r="K28" s="30"/>
    </row>
    <row r="29" spans="2:12">
      <c r="B29" s="3"/>
      <c r="C29" s="3"/>
      <c r="D29" s="3"/>
    </row>
    <row r="30" spans="2:12">
      <c r="B30" s="3"/>
      <c r="C30" s="3"/>
      <c r="D30" s="3"/>
      <c r="E30" s="3"/>
      <c r="F30" s="68"/>
    </row>
    <row r="31" spans="2:12">
      <c r="D31" s="3"/>
      <c r="E31" s="3"/>
      <c r="F31" s="68"/>
    </row>
    <row r="32" spans="2:12">
      <c r="D32" s="3"/>
      <c r="E32" s="3"/>
      <c r="F32" s="68"/>
    </row>
    <row r="33" spans="4:6">
      <c r="D33" s="3"/>
      <c r="E33" s="3"/>
      <c r="F33" s="68"/>
    </row>
    <row r="34" spans="4:6">
      <c r="D34" s="3"/>
      <c r="E34" s="3"/>
      <c r="F34" s="68"/>
    </row>
  </sheetData>
  <hyperlinks>
    <hyperlink ref="G16" r:id="rId1"/>
    <hyperlink ref="G17" r:id="rId2"/>
    <hyperlink ref="M11" r:id="rId3"/>
    <hyperlink ref="M12" r:id="rId4"/>
  </hyperlinks>
  <pageMargins left="0.7" right="0.7" top="0.75" bottom="0.75" header="0.3" footer="0.3"/>
  <pageSetup orientation="portrait"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33"/>
  <sheetViews>
    <sheetView zoomScaleNormal="100" workbookViewId="0"/>
  </sheetViews>
  <sheetFormatPr defaultRowHeight="12"/>
  <cols>
    <col min="1" max="1" width="2" style="2" customWidth="1"/>
    <col min="2" max="2" width="27" style="2" customWidth="1"/>
    <col min="3" max="3" width="16.140625" style="2" customWidth="1"/>
    <col min="4" max="4" width="9.140625" style="2" customWidth="1"/>
    <col min="5" max="5" width="3.28515625" style="2" customWidth="1"/>
    <col min="6" max="6" width="3" style="13" customWidth="1"/>
    <col min="7" max="7" width="27" style="2" customWidth="1"/>
    <col min="8" max="8" width="14.42578125" style="2" customWidth="1"/>
    <col min="9" max="9" width="19.85546875" style="13" customWidth="1"/>
    <col min="10" max="10" width="10.85546875" style="2" customWidth="1"/>
    <col min="11" max="14" width="9.42578125" style="2" customWidth="1"/>
    <col min="15" max="15" width="7.85546875" style="2" customWidth="1"/>
    <col min="16" max="16" width="6.28515625" style="2" customWidth="1"/>
    <col min="17" max="16384" width="9.140625" style="2"/>
  </cols>
  <sheetData>
    <row r="1" spans="2:17" ht="15.75">
      <c r="B1" s="16" t="s">
        <v>102</v>
      </c>
      <c r="E1" s="3"/>
      <c r="F1" s="68"/>
      <c r="G1" s="3"/>
      <c r="H1" s="3"/>
      <c r="I1" s="68"/>
      <c r="J1" s="3"/>
      <c r="K1" s="3"/>
      <c r="L1" s="3"/>
      <c r="M1" s="3"/>
      <c r="N1" s="3"/>
      <c r="O1" s="3"/>
      <c r="P1" s="3"/>
      <c r="Q1" s="3"/>
    </row>
    <row r="2" spans="2:17">
      <c r="E2" s="3"/>
      <c r="F2" s="68"/>
      <c r="G2" s="399" t="s">
        <v>229</v>
      </c>
      <c r="H2" s="399"/>
      <c r="I2" s="399"/>
      <c r="J2" s="399"/>
      <c r="K2" s="399" t="s">
        <v>95</v>
      </c>
      <c r="L2" s="399"/>
      <c r="M2" s="149"/>
      <c r="N2" s="236"/>
      <c r="O2" s="3"/>
      <c r="P2" s="3"/>
      <c r="Q2" s="3"/>
    </row>
    <row r="3" spans="2:17">
      <c r="B3" s="18" t="s">
        <v>234</v>
      </c>
      <c r="C3" s="97" t="str">
        <f>About!C3</f>
        <v>Entertainment </v>
      </c>
      <c r="D3" s="22"/>
      <c r="F3" s="125"/>
      <c r="G3" s="53" t="s">
        <v>230</v>
      </c>
      <c r="H3" s="53" t="s">
        <v>92</v>
      </c>
      <c r="I3" s="137" t="s">
        <v>94</v>
      </c>
      <c r="J3" s="138" t="s">
        <v>93</v>
      </c>
      <c r="K3" s="138" t="s">
        <v>96</v>
      </c>
      <c r="L3" s="82" t="s">
        <v>97</v>
      </c>
      <c r="M3" s="82" t="s">
        <v>99</v>
      </c>
      <c r="N3" s="70"/>
      <c r="O3" s="126"/>
      <c r="P3" s="108"/>
      <c r="Q3" s="3"/>
    </row>
    <row r="4" spans="2:17">
      <c r="B4" s="30" t="s">
        <v>235</v>
      </c>
      <c r="C4" s="320" t="str">
        <f>About!C4</f>
        <v>Amusement Parks</v>
      </c>
      <c r="D4" s="6"/>
      <c r="E4" s="3"/>
      <c r="F4" s="72"/>
      <c r="G4" s="76" t="s">
        <v>231</v>
      </c>
      <c r="H4" s="76" t="s">
        <v>233</v>
      </c>
      <c r="I4" s="318">
        <v>1.19</v>
      </c>
      <c r="J4" s="141">
        <v>0.45800000000000002</v>
      </c>
      <c r="K4" s="141">
        <f>I4-(2*J4)</f>
        <v>0.27399999999999991</v>
      </c>
      <c r="L4" s="141">
        <f>I4+(2*J4)</f>
        <v>2.1059999999999999</v>
      </c>
      <c r="M4" s="144">
        <v>12.25</v>
      </c>
      <c r="N4" s="134" t="s">
        <v>101</v>
      </c>
      <c r="P4" s="88"/>
      <c r="Q4" s="3"/>
    </row>
    <row r="5" spans="2:17">
      <c r="D5" s="6"/>
      <c r="E5" s="3"/>
      <c r="F5" s="72"/>
      <c r="G5" s="76" t="s">
        <v>232</v>
      </c>
      <c r="H5" s="319">
        <v>526721</v>
      </c>
      <c r="I5" s="140">
        <v>0.41880000000000001</v>
      </c>
      <c r="J5" s="141">
        <v>0.45800000000000002</v>
      </c>
      <c r="K5" s="141">
        <f>I5-(2*J5)</f>
        <v>-0.49720000000000003</v>
      </c>
      <c r="L5" s="141">
        <f>I5+(2*J5)</f>
        <v>1.3348</v>
      </c>
      <c r="M5" s="141">
        <v>0.06</v>
      </c>
      <c r="N5" s="233"/>
      <c r="O5" s="135"/>
      <c r="P5" s="88"/>
      <c r="Q5" s="3"/>
    </row>
    <row r="6" spans="2:17">
      <c r="B6" s="30" t="s">
        <v>103</v>
      </c>
      <c r="C6" s="148">
        <v>0.25169999999999998</v>
      </c>
      <c r="D6" s="316"/>
      <c r="E6" s="3"/>
      <c r="F6" s="72"/>
      <c r="G6" s="76" t="s">
        <v>236</v>
      </c>
      <c r="H6" s="319" t="s">
        <v>242</v>
      </c>
      <c r="I6" s="140">
        <v>1.8717999999999999</v>
      </c>
      <c r="J6" s="141">
        <v>0.32200000000000001</v>
      </c>
      <c r="K6" s="141">
        <f t="shared" ref="K6:K9" si="0">I6-(2*J6)</f>
        <v>1.2277999999999998</v>
      </c>
      <c r="L6" s="141">
        <f t="shared" ref="L6:L9" si="1">I6+(2*J6)</f>
        <v>2.5158</v>
      </c>
      <c r="M6" s="141">
        <v>0.51</v>
      </c>
      <c r="N6" s="239"/>
      <c r="O6" s="134"/>
      <c r="P6" s="88"/>
      <c r="Q6" s="3"/>
    </row>
    <row r="7" spans="2:17">
      <c r="B7" s="18" t="s">
        <v>105</v>
      </c>
      <c r="C7" s="151">
        <f>I10/(1+(M10*(1-C6)))</f>
        <v>1.1627732979478336</v>
      </c>
      <c r="D7" s="316"/>
      <c r="E7" s="3"/>
      <c r="F7" s="72"/>
      <c r="G7" s="76" t="s">
        <v>237</v>
      </c>
      <c r="H7" s="319" t="s">
        <v>243</v>
      </c>
      <c r="I7" s="140">
        <v>1.238</v>
      </c>
      <c r="J7" s="141">
        <v>0.16800000000000001</v>
      </c>
      <c r="K7" s="141">
        <f t="shared" si="0"/>
        <v>0.90199999999999991</v>
      </c>
      <c r="L7" s="141">
        <f t="shared" si="1"/>
        <v>1.5740000000000001</v>
      </c>
      <c r="M7" s="141">
        <v>0.51</v>
      </c>
      <c r="N7" s="233"/>
      <c r="O7" s="71"/>
      <c r="P7" s="88"/>
      <c r="Q7" s="3"/>
    </row>
    <row r="8" spans="2:17">
      <c r="B8" s="114" t="s">
        <v>106</v>
      </c>
      <c r="C8" s="150">
        <f>C7*(1+(1-C6)*WACC!F11)</f>
        <v>1.1680054670002022</v>
      </c>
      <c r="D8" s="316"/>
      <c r="E8" s="3"/>
      <c r="F8" s="72"/>
      <c r="G8" s="76" t="s">
        <v>238</v>
      </c>
      <c r="H8" s="319" t="s">
        <v>241</v>
      </c>
      <c r="I8" s="140">
        <v>2.1488</v>
      </c>
      <c r="J8" s="141">
        <v>0.41299999999999998</v>
      </c>
      <c r="K8" s="141">
        <f t="shared" si="0"/>
        <v>1.3228</v>
      </c>
      <c r="L8" s="141">
        <f t="shared" si="1"/>
        <v>2.9748000000000001</v>
      </c>
      <c r="M8" s="141">
        <v>0.51</v>
      </c>
      <c r="N8" s="233"/>
      <c r="P8" s="88"/>
      <c r="Q8" s="3"/>
    </row>
    <row r="9" spans="2:17">
      <c r="D9" s="6"/>
      <c r="E9" s="3"/>
      <c r="F9" s="72"/>
      <c r="G9" s="76" t="s">
        <v>239</v>
      </c>
      <c r="H9" s="319" t="s">
        <v>240</v>
      </c>
      <c r="I9" s="140">
        <v>2.3018999999999998</v>
      </c>
      <c r="J9" s="141">
        <v>0.32800000000000001</v>
      </c>
      <c r="K9" s="141">
        <f t="shared" si="0"/>
        <v>1.6458999999999997</v>
      </c>
      <c r="L9" s="141">
        <f t="shared" si="1"/>
        <v>2.9579</v>
      </c>
      <c r="M9" s="141">
        <v>0.51</v>
      </c>
      <c r="N9" s="233"/>
      <c r="O9" s="71"/>
      <c r="P9" s="88"/>
      <c r="Q9" s="3"/>
    </row>
    <row r="10" spans="2:17">
      <c r="B10" s="139" t="s">
        <v>61</v>
      </c>
      <c r="D10" s="6"/>
      <c r="E10" s="3"/>
      <c r="F10" s="72"/>
      <c r="G10" s="122"/>
      <c r="H10" s="122"/>
      <c r="I10" s="142">
        <f>AVERAGE(I4:I9)</f>
        <v>1.5282166666666666</v>
      </c>
      <c r="J10" s="145"/>
      <c r="K10" s="146"/>
      <c r="L10" s="49"/>
      <c r="M10" s="147">
        <f>AVERAGE(M5:M9)</f>
        <v>0.42000000000000004</v>
      </c>
      <c r="N10" s="233"/>
      <c r="O10" s="134"/>
      <c r="P10" s="3"/>
      <c r="Q10" s="3"/>
    </row>
    <row r="11" spans="2:17">
      <c r="B11" s="139" t="s">
        <v>98</v>
      </c>
      <c r="D11" s="6"/>
      <c r="E11" s="3"/>
      <c r="F11" s="72"/>
      <c r="G11" s="122"/>
      <c r="H11" s="330"/>
      <c r="I11" s="237"/>
      <c r="J11" s="242"/>
      <c r="K11" s="242"/>
      <c r="L11" s="242"/>
      <c r="M11" s="242"/>
      <c r="N11" s="233"/>
      <c r="O11" s="84"/>
      <c r="P11" s="93"/>
      <c r="Q11" s="3"/>
    </row>
    <row r="12" spans="2:17">
      <c r="B12" s="143" t="s">
        <v>100</v>
      </c>
      <c r="C12" s="331"/>
      <c r="D12" s="6"/>
      <c r="E12" s="3"/>
      <c r="F12" s="72"/>
      <c r="O12" s="67"/>
      <c r="P12" s="93"/>
      <c r="Q12" s="3"/>
    </row>
    <row r="13" spans="2:17">
      <c r="B13" s="85" t="s">
        <v>104</v>
      </c>
      <c r="C13" s="3"/>
      <c r="D13" s="6"/>
      <c r="E13" s="3"/>
      <c r="F13" s="72"/>
      <c r="G13" s="122"/>
      <c r="H13" s="122"/>
      <c r="I13" s="133"/>
      <c r="J13" s="51"/>
      <c r="K13" s="70"/>
      <c r="L13" s="3"/>
      <c r="M13" s="3"/>
      <c r="N13" s="3"/>
      <c r="O13" s="3"/>
      <c r="P13" s="3"/>
      <c r="Q13" s="3"/>
    </row>
    <row r="14" spans="2:17">
      <c r="B14" s="49"/>
      <c r="D14" s="24"/>
      <c r="E14" s="51"/>
      <c r="F14" s="67"/>
      <c r="Q14" s="3"/>
    </row>
    <row r="15" spans="2:17">
      <c r="C15" s="143"/>
      <c r="D15" s="6"/>
      <c r="E15" s="51"/>
      <c r="F15" s="84"/>
      <c r="G15" s="108"/>
      <c r="H15" s="108"/>
      <c r="I15" s="321"/>
      <c r="J15" s="325"/>
      <c r="K15" s="325"/>
      <c r="L15" s="326"/>
      <c r="M15" s="327"/>
      <c r="N15" s="327"/>
      <c r="O15" s="3"/>
      <c r="P15" s="3"/>
      <c r="Q15" s="3"/>
    </row>
    <row r="16" spans="2:17">
      <c r="C16" s="143"/>
      <c r="D16" s="6"/>
      <c r="E16" s="51"/>
      <c r="F16" s="67"/>
      <c r="G16" s="122"/>
      <c r="H16" s="322"/>
      <c r="I16" s="323"/>
      <c r="J16" s="328"/>
      <c r="K16" s="329"/>
      <c r="L16" s="11"/>
      <c r="M16" s="129"/>
      <c r="N16" s="129"/>
      <c r="O16" s="126"/>
      <c r="P16" s="108"/>
      <c r="Q16" s="3"/>
    </row>
    <row r="17" spans="2:17">
      <c r="C17" s="49"/>
      <c r="D17" s="6"/>
      <c r="E17" s="51"/>
      <c r="F17" s="67"/>
      <c r="G17" s="3"/>
      <c r="H17" s="49"/>
      <c r="I17" s="68"/>
      <c r="J17" s="49"/>
      <c r="K17" s="316"/>
      <c r="L17" s="324"/>
      <c r="M17" s="3"/>
      <c r="N17" s="3"/>
      <c r="O17" s="134"/>
      <c r="P17" s="88"/>
      <c r="Q17" s="3"/>
    </row>
    <row r="18" spans="2:17">
      <c r="C18" s="85"/>
      <c r="D18" s="6"/>
      <c r="E18" s="51"/>
      <c r="F18" s="67"/>
      <c r="G18" s="3"/>
      <c r="H18" s="3"/>
      <c r="I18" s="68"/>
      <c r="J18" s="3"/>
      <c r="K18" s="3"/>
      <c r="L18" s="3"/>
      <c r="M18" s="3"/>
      <c r="N18" s="3"/>
      <c r="O18" s="134"/>
      <c r="P18" s="88"/>
      <c r="Q18" s="3"/>
    </row>
    <row r="19" spans="2:17">
      <c r="C19" s="3"/>
      <c r="D19" s="24"/>
      <c r="E19" s="124"/>
      <c r="F19" s="126"/>
      <c r="G19" s="122"/>
      <c r="H19" s="122"/>
      <c r="I19" s="237"/>
      <c r="J19" s="233"/>
      <c r="K19" s="233"/>
      <c r="L19" s="233"/>
      <c r="M19" s="233"/>
      <c r="N19" s="233"/>
      <c r="O19" s="134"/>
      <c r="P19" s="88"/>
      <c r="Q19" s="3"/>
    </row>
    <row r="20" spans="2:17">
      <c r="C20" s="3"/>
      <c r="D20" s="6"/>
      <c r="E20" s="104"/>
      <c r="F20" s="127"/>
      <c r="G20" s="122"/>
      <c r="H20" s="122"/>
      <c r="I20" s="398"/>
      <c r="J20" s="398"/>
      <c r="K20" s="398"/>
      <c r="L20" s="398"/>
      <c r="M20" s="239"/>
      <c r="N20" s="238"/>
      <c r="O20" s="134"/>
      <c r="P20" s="88"/>
      <c r="Q20" s="3"/>
    </row>
    <row r="21" spans="2:17">
      <c r="C21" s="3"/>
      <c r="D21" s="6"/>
      <c r="E21" s="51"/>
      <c r="F21" s="68"/>
      <c r="G21" s="122"/>
      <c r="H21" s="122"/>
      <c r="I21" s="237"/>
      <c r="J21" s="317"/>
      <c r="K21" s="317"/>
      <c r="L21" s="317"/>
      <c r="M21" s="238"/>
      <c r="N21" s="238"/>
      <c r="O21" s="71"/>
      <c r="P21" s="88"/>
      <c r="Q21" s="3"/>
    </row>
    <row r="22" spans="2:17">
      <c r="D22" s="6"/>
      <c r="E22" s="51"/>
      <c r="F22" s="3"/>
      <c r="G22" s="122"/>
      <c r="H22" s="122"/>
      <c r="I22" s="133"/>
      <c r="J22" s="136"/>
      <c r="K22" s="107"/>
      <c r="L22" s="107"/>
      <c r="M22" s="107"/>
      <c r="N22" s="107"/>
      <c r="O22" s="71"/>
      <c r="P22" s="88"/>
      <c r="Q22" s="3"/>
    </row>
    <row r="23" spans="2:17">
      <c r="D23" s="24"/>
      <c r="E23" s="51"/>
      <c r="F23" s="3"/>
      <c r="O23" s="69"/>
      <c r="P23" s="3"/>
      <c r="Q23" s="3"/>
    </row>
    <row r="24" spans="2:17">
      <c r="E24" s="6"/>
      <c r="F24" s="68"/>
      <c r="O24" s="84"/>
      <c r="P24" s="93"/>
      <c r="Q24" s="3"/>
    </row>
    <row r="25" spans="2:17">
      <c r="E25" s="24"/>
      <c r="F25" s="50"/>
      <c r="O25" s="67"/>
      <c r="P25" s="93"/>
      <c r="Q25" s="3"/>
    </row>
    <row r="26" spans="2:17">
      <c r="E26" s="23"/>
      <c r="F26" s="130"/>
      <c r="O26" s="3"/>
      <c r="P26" s="3"/>
      <c r="Q26" s="3"/>
    </row>
    <row r="27" spans="2:17">
      <c r="C27" s="3"/>
      <c r="D27" s="7"/>
      <c r="E27" s="23"/>
      <c r="F27" s="130"/>
      <c r="O27" s="3"/>
      <c r="P27" s="3"/>
      <c r="Q27" s="3"/>
    </row>
    <row r="28" spans="2:17">
      <c r="C28" s="3"/>
      <c r="D28" s="3"/>
      <c r="E28" s="3"/>
      <c r="F28" s="68"/>
      <c r="G28" s="3"/>
      <c r="H28" s="3"/>
      <c r="I28" s="68"/>
      <c r="J28" s="3"/>
      <c r="K28" s="3"/>
      <c r="L28" s="3"/>
      <c r="M28" s="3"/>
      <c r="N28" s="3"/>
      <c r="O28" s="3"/>
      <c r="P28" s="3"/>
      <c r="Q28" s="3"/>
    </row>
    <row r="29" spans="2:17">
      <c r="B29" s="3"/>
      <c r="C29" s="3"/>
      <c r="D29" s="3"/>
      <c r="E29" s="3"/>
      <c r="F29" s="68"/>
    </row>
    <row r="30" spans="2:17">
      <c r="D30" s="3"/>
      <c r="E30" s="3"/>
      <c r="F30" s="68"/>
    </row>
    <row r="31" spans="2:17">
      <c r="D31" s="3"/>
      <c r="E31" s="3"/>
      <c r="F31" s="68"/>
    </row>
    <row r="32" spans="2:17">
      <c r="D32" s="3"/>
      <c r="E32" s="3"/>
      <c r="F32" s="68"/>
    </row>
    <row r="33" spans="4:6">
      <c r="D33" s="3"/>
      <c r="E33" s="3"/>
      <c r="F33" s="68"/>
    </row>
  </sheetData>
  <mergeCells count="3">
    <mergeCell ref="I20:L20"/>
    <mergeCell ref="K2:L2"/>
    <mergeCell ref="G2:J2"/>
  </mergeCells>
  <hyperlinks>
    <hyperlink ref="B13"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7.28515625" style="2" customWidth="1"/>
    <col min="3" max="3" width="9.140625" style="2"/>
    <col min="4" max="4" width="10.28515625" style="2" customWidth="1"/>
    <col min="5" max="5" width="11.5703125" style="2" customWidth="1"/>
    <col min="6" max="6" width="11.5703125" style="2" bestFit="1" customWidth="1"/>
    <col min="7" max="16384" width="9.140625" style="2"/>
  </cols>
  <sheetData>
    <row r="1" spans="2:13" ht="15.75">
      <c r="B1" s="16" t="s">
        <v>114</v>
      </c>
    </row>
    <row r="3" spans="2:13" ht="15.75">
      <c r="B3" s="153" t="s">
        <v>12</v>
      </c>
      <c r="C3" s="30"/>
      <c r="D3" s="30"/>
      <c r="E3" s="17"/>
      <c r="F3" s="6"/>
      <c r="J3" s="8"/>
      <c r="K3" s="8"/>
      <c r="L3" s="8"/>
      <c r="M3" s="8"/>
    </row>
    <row r="4" spans="2:13">
      <c r="B4" s="30"/>
      <c r="C4" s="30"/>
      <c r="D4" s="30"/>
      <c r="E4" s="17"/>
      <c r="F4" s="24"/>
      <c r="G4" s="3"/>
    </row>
    <row r="5" spans="2:13">
      <c r="B5" s="114" t="s">
        <v>107</v>
      </c>
      <c r="C5" s="96">
        <f>'Risk Free Rate'!C4</f>
        <v>5.4229999999999993E-2</v>
      </c>
      <c r="D5" s="17"/>
      <c r="E5" s="17"/>
      <c r="F5" s="6"/>
    </row>
    <row r="6" spans="2:13">
      <c r="B6" s="114" t="s">
        <v>15</v>
      </c>
      <c r="C6" s="96">
        <f>'Equity Risk Premium'!F28</f>
        <v>4.0157330674279436E-2</v>
      </c>
      <c r="D6" s="46"/>
      <c r="E6" s="17"/>
      <c r="F6" s="6"/>
    </row>
    <row r="7" spans="2:13">
      <c r="B7" s="114" t="s">
        <v>10</v>
      </c>
      <c r="C7" s="152">
        <f>Beta!C8</f>
        <v>1.1680054670002022</v>
      </c>
      <c r="D7" s="17"/>
      <c r="E7" s="46"/>
      <c r="F7" s="6"/>
    </row>
    <row r="8" spans="2:13">
      <c r="B8" s="18"/>
      <c r="C8" s="18"/>
      <c r="D8" s="17"/>
      <c r="E8" s="17"/>
      <c r="F8" s="6"/>
    </row>
    <row r="9" spans="2:13">
      <c r="B9" s="114" t="s">
        <v>12</v>
      </c>
      <c r="C9" s="58">
        <f>C5+C7*C6</f>
        <v>0.1011339817676933</v>
      </c>
      <c r="D9" s="17"/>
      <c r="E9" s="17"/>
      <c r="F9" s="6"/>
    </row>
    <row r="10" spans="2:13">
      <c r="B10" s="18"/>
      <c r="C10" s="18"/>
      <c r="D10" s="17"/>
      <c r="E10" s="17"/>
      <c r="F10" s="6"/>
    </row>
    <row r="11" spans="2:13">
      <c r="B11" s="154" t="s">
        <v>108</v>
      </c>
      <c r="C11" s="18"/>
      <c r="D11" s="17"/>
      <c r="E11" s="46"/>
      <c r="F11" s="6"/>
    </row>
    <row r="12" spans="2:13">
      <c r="F12" s="24"/>
    </row>
    <row r="13" spans="2:13" ht="15.75">
      <c r="B13" s="153" t="s">
        <v>115</v>
      </c>
      <c r="C13" s="18"/>
      <c r="D13" s="17"/>
      <c r="E13" s="17"/>
      <c r="F13" s="6"/>
    </row>
    <row r="14" spans="2:13">
      <c r="B14" s="18"/>
      <c r="C14" s="18"/>
      <c r="D14" s="17"/>
      <c r="E14" s="17"/>
      <c r="F14" s="6"/>
    </row>
    <row r="15" spans="2:13">
      <c r="B15" s="114" t="s">
        <v>110</v>
      </c>
      <c r="C15" s="98">
        <v>2.6970000000000001E-2</v>
      </c>
      <c r="D15" s="17"/>
      <c r="E15" s="17"/>
      <c r="F15" s="6"/>
    </row>
    <row r="16" spans="2:13">
      <c r="B16" s="114" t="s">
        <v>109</v>
      </c>
      <c r="C16" s="152">
        <f>17.31/10.75</f>
        <v>1.6102325581395347</v>
      </c>
      <c r="D16" s="17"/>
      <c r="E16" s="17"/>
      <c r="F16" s="24"/>
    </row>
    <row r="17" spans="2:12">
      <c r="B17" s="114" t="s">
        <v>18</v>
      </c>
      <c r="C17" s="96">
        <f>'Risk Free Rate'!C8</f>
        <v>1.8700000000000001E-2</v>
      </c>
      <c r="D17" s="46"/>
      <c r="E17" s="46"/>
      <c r="F17" s="6"/>
    </row>
    <row r="18" spans="2:12">
      <c r="B18" s="54" t="s">
        <v>248</v>
      </c>
      <c r="C18" s="98" t="s">
        <v>249</v>
      </c>
      <c r="D18" s="30"/>
      <c r="E18" s="30"/>
      <c r="F18" s="6"/>
    </row>
    <row r="19" spans="2:12">
      <c r="B19" s="54" t="s">
        <v>244</v>
      </c>
      <c r="C19" s="96">
        <v>1.03E-2</v>
      </c>
      <c r="D19" s="17"/>
      <c r="E19" s="17"/>
      <c r="F19" s="6"/>
    </row>
    <row r="20" spans="2:12">
      <c r="B20" s="30"/>
      <c r="C20" s="18"/>
      <c r="D20" s="17"/>
      <c r="E20" s="17"/>
      <c r="F20" s="6"/>
    </row>
    <row r="21" spans="2:12">
      <c r="B21" s="114" t="s">
        <v>13</v>
      </c>
      <c r="C21" s="58">
        <f>C15+(C16*C17)+C19</f>
        <v>6.7381348837209309E-2</v>
      </c>
      <c r="D21" s="17"/>
      <c r="E21" s="17"/>
      <c r="F21" s="24"/>
    </row>
    <row r="22" spans="2:12">
      <c r="B22" s="114"/>
      <c r="C22" s="114"/>
      <c r="D22" s="46"/>
      <c r="E22" s="46"/>
      <c r="F22" s="6"/>
      <c r="G22" s="156"/>
      <c r="H22" s="156"/>
      <c r="I22" s="156"/>
      <c r="J22" s="156"/>
      <c r="K22" s="156"/>
      <c r="L22" s="156"/>
    </row>
    <row r="23" spans="2:12">
      <c r="B23" s="154" t="s">
        <v>111</v>
      </c>
      <c r="C23" s="18"/>
      <c r="D23" s="18"/>
      <c r="E23" s="18"/>
      <c r="F23" s="6"/>
      <c r="G23" s="3"/>
      <c r="H23" s="69"/>
      <c r="I23" s="69"/>
      <c r="J23" s="69"/>
      <c r="K23" s="69"/>
      <c r="L23" s="69"/>
    </row>
    <row r="24" spans="2:12">
      <c r="F24" s="6"/>
      <c r="G24" s="56"/>
      <c r="H24" s="49"/>
      <c r="I24" s="49"/>
      <c r="J24" s="49"/>
      <c r="K24" s="49"/>
      <c r="L24" s="49"/>
    </row>
    <row r="25" spans="2:12">
      <c r="B25" s="139" t="s">
        <v>61</v>
      </c>
      <c r="F25" s="24"/>
      <c r="G25" s="56"/>
      <c r="H25" s="49"/>
      <c r="I25" s="49"/>
      <c r="J25" s="49"/>
      <c r="K25" s="49"/>
      <c r="L25" s="49"/>
    </row>
    <row r="26" spans="2:12">
      <c r="B26" s="139" t="s">
        <v>112</v>
      </c>
      <c r="F26" s="3"/>
      <c r="G26" s="56"/>
      <c r="H26" s="49"/>
      <c r="I26" s="49"/>
      <c r="J26" s="49"/>
      <c r="K26" s="49"/>
      <c r="L26" s="49"/>
    </row>
    <row r="27" spans="2:12">
      <c r="B27" s="143" t="s">
        <v>113</v>
      </c>
      <c r="F27" s="3"/>
      <c r="G27" s="157"/>
      <c r="H27" s="157"/>
      <c r="I27" s="157"/>
      <c r="J27" s="157"/>
      <c r="K27" s="157"/>
      <c r="L27" s="23"/>
    </row>
    <row r="28" spans="2:12">
      <c r="C28" s="3"/>
      <c r="D28" s="3"/>
      <c r="E28" s="3"/>
      <c r="F28" s="3"/>
    </row>
    <row r="29" spans="2:12">
      <c r="B29" s="85"/>
      <c r="C29" s="3"/>
      <c r="D29" s="3"/>
      <c r="E29" s="3"/>
      <c r="F29" s="3"/>
    </row>
    <row r="30" spans="2:12">
      <c r="B30" s="3"/>
      <c r="C30" s="3"/>
      <c r="D30" s="3"/>
      <c r="E30" s="3"/>
      <c r="F30" s="3"/>
    </row>
    <row r="31" spans="2:12">
      <c r="B31" s="3"/>
      <c r="C31" s="3"/>
      <c r="D31" s="3"/>
      <c r="E31" s="3"/>
      <c r="F31" s="3"/>
    </row>
    <row r="32" spans="2:12">
      <c r="B32" s="3"/>
      <c r="C32" s="3"/>
      <c r="D32" s="3"/>
      <c r="E32" s="3"/>
      <c r="F32" s="3"/>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3"/>
  <sheetViews>
    <sheetView zoomScaleNormal="100" workbookViewId="0"/>
  </sheetViews>
  <sheetFormatPr defaultRowHeight="12"/>
  <cols>
    <col min="1" max="1" width="2" style="2" customWidth="1"/>
    <col min="2" max="2" width="28.7109375" style="2" customWidth="1"/>
    <col min="3" max="3" width="11.140625" style="2" bestFit="1" customWidth="1"/>
    <col min="4" max="4" width="3.7109375" style="2" customWidth="1"/>
    <col min="5" max="5" width="30.28515625" style="2" customWidth="1"/>
    <col min="6" max="6" width="11.5703125" style="2" bestFit="1" customWidth="1"/>
    <col min="7" max="7" width="4" style="2" customWidth="1"/>
    <col min="8" max="16384" width="9.140625" style="2"/>
  </cols>
  <sheetData>
    <row r="1" spans="2:13" ht="15.75">
      <c r="B1" s="16" t="s">
        <v>7</v>
      </c>
    </row>
    <row r="3" spans="2:13" ht="15.75">
      <c r="B3" s="153" t="s">
        <v>11</v>
      </c>
      <c r="C3" s="161"/>
      <c r="E3" s="153" t="s">
        <v>117</v>
      </c>
      <c r="F3" s="161" t="s">
        <v>245</v>
      </c>
      <c r="J3" s="8"/>
      <c r="K3" s="8"/>
      <c r="L3" s="8"/>
      <c r="M3" s="8"/>
    </row>
    <row r="4" spans="2:13" ht="8.25" customHeight="1">
      <c r="B4" s="30"/>
      <c r="C4" s="30"/>
      <c r="E4" s="30"/>
      <c r="F4" s="30"/>
      <c r="G4" s="3"/>
    </row>
    <row r="5" spans="2:13">
      <c r="B5" s="54" t="str">
        <f>'Cost of Equity &amp; Debt'!B9</f>
        <v>Cost of Equity</v>
      </c>
      <c r="C5" s="148">
        <f>'Cost of Equity &amp; Debt'!C9</f>
        <v>0.1011339817676933</v>
      </c>
      <c r="D5" s="6"/>
      <c r="E5" s="114" t="s">
        <v>124</v>
      </c>
      <c r="F5" s="159">
        <v>99.88</v>
      </c>
    </row>
    <row r="6" spans="2:13">
      <c r="B6" s="54" t="str">
        <f>E23</f>
        <v>Market Value of Equity</v>
      </c>
      <c r="C6" s="164">
        <f>F27</f>
        <v>137515.15543499999</v>
      </c>
      <c r="D6" s="24"/>
      <c r="E6" s="114" t="s">
        <v>125</v>
      </c>
      <c r="F6" s="159">
        <f>163.68</f>
        <v>163.68</v>
      </c>
    </row>
    <row r="7" spans="2:13">
      <c r="B7" s="54"/>
      <c r="C7" s="54"/>
      <c r="D7" s="6"/>
      <c r="E7" s="114" t="s">
        <v>273</v>
      </c>
      <c r="F7" s="159">
        <f>'EBIT &amp; Operating Lease'!C10</f>
        <v>217.90117825849001</v>
      </c>
    </row>
    <row r="8" spans="2:13">
      <c r="B8" s="54" t="str">
        <f>'Cost of Equity &amp; Debt'!B21</f>
        <v>Cost of Debt</v>
      </c>
      <c r="C8" s="148">
        <f>'Cost of Equity &amp; Debt'!C21</f>
        <v>6.7381348837209309E-2</v>
      </c>
      <c r="D8" s="6"/>
      <c r="E8" s="116" t="s">
        <v>117</v>
      </c>
      <c r="F8" s="160">
        <f>SUM($F$5:$F$7)</f>
        <v>481.46117825849001</v>
      </c>
    </row>
    <row r="9" spans="2:13">
      <c r="B9" s="54" t="str">
        <f>E13</f>
        <v>Market Value of Debt</v>
      </c>
      <c r="C9" s="164">
        <f>F20</f>
        <v>477.20198937680675</v>
      </c>
      <c r="D9" s="6"/>
      <c r="E9" s="114" t="s">
        <v>5</v>
      </c>
      <c r="F9" s="159">
        <v>80066.399999999994</v>
      </c>
    </row>
    <row r="10" spans="2:13">
      <c r="B10" s="54"/>
      <c r="C10" s="54"/>
      <c r="D10" s="6"/>
      <c r="E10" s="30"/>
      <c r="F10" s="30"/>
    </row>
    <row r="11" spans="2:13">
      <c r="B11" s="54" t="str">
        <f>Beta!B6</f>
        <v>Marginal Corporate Tax Rate (%)</v>
      </c>
      <c r="C11" s="148">
        <f>Beta!C6</f>
        <v>0.25169999999999998</v>
      </c>
      <c r="D11" s="6"/>
      <c r="E11" s="114" t="s">
        <v>246</v>
      </c>
      <c r="F11" s="332">
        <f>F8/F9</f>
        <v>6.0132737110509529E-3</v>
      </c>
    </row>
    <row r="12" spans="2:13">
      <c r="D12" s="6"/>
    </row>
    <row r="13" spans="2:13" ht="15.75">
      <c r="B13" s="54" t="s">
        <v>7</v>
      </c>
      <c r="C13" s="166">
        <f>C5*(C6/(C6+C9))+C8*(1-C11)*(C9/(C6+C9))</f>
        <v>0.10095860890549906</v>
      </c>
      <c r="E13" s="153" t="s">
        <v>116</v>
      </c>
      <c r="F13" s="161" t="s">
        <v>245</v>
      </c>
    </row>
    <row r="14" spans="2:13" ht="12.75" customHeight="1">
      <c r="D14" s="6"/>
      <c r="E14" s="30"/>
      <c r="F14" s="161"/>
    </row>
    <row r="15" spans="2:13">
      <c r="B15" s="139"/>
      <c r="D15" s="6"/>
      <c r="E15" s="114" t="s">
        <v>117</v>
      </c>
      <c r="F15" s="159">
        <f>F8</f>
        <v>481.46117825849001</v>
      </c>
    </row>
    <row r="16" spans="2:13" ht="12" customHeight="1">
      <c r="B16" s="139"/>
      <c r="D16" s="6"/>
      <c r="E16" s="114" t="s">
        <v>118</v>
      </c>
      <c r="F16" s="159">
        <v>31.41</v>
      </c>
    </row>
    <row r="17" spans="2:12">
      <c r="D17" s="6"/>
      <c r="E17" s="114" t="s">
        <v>13</v>
      </c>
      <c r="F17" s="96">
        <f>'Cost of Equity &amp; Debt'!C21</f>
        <v>6.7381348837209309E-2</v>
      </c>
    </row>
    <row r="18" spans="2:12">
      <c r="D18" s="24"/>
      <c r="E18" s="54" t="s">
        <v>120</v>
      </c>
      <c r="F18" s="162">
        <v>5</v>
      </c>
    </row>
    <row r="19" spans="2:12">
      <c r="D19" s="6"/>
      <c r="E19" s="30"/>
      <c r="F19" s="18"/>
    </row>
    <row r="20" spans="2:12">
      <c r="D20" s="6"/>
      <c r="E20" s="114" t="s">
        <v>119</v>
      </c>
      <c r="F20" s="163">
        <f>F16*((1-(1+F17)^(-F18))/F17)+F15/(1+F17)^5</f>
        <v>477.20198937680675</v>
      </c>
    </row>
    <row r="21" spans="2:12">
      <c r="D21" s="6"/>
      <c r="E21" s="23"/>
      <c r="F21" s="23"/>
    </row>
    <row r="22" spans="2:12">
      <c r="D22" s="24"/>
    </row>
    <row r="23" spans="2:12" ht="15.75">
      <c r="D23" s="3"/>
      <c r="E23" s="153" t="s">
        <v>121</v>
      </c>
      <c r="F23" s="161" t="s">
        <v>245</v>
      </c>
      <c r="G23" s="156"/>
      <c r="H23" s="156"/>
      <c r="J23" s="156"/>
      <c r="K23" s="156"/>
      <c r="L23" s="156"/>
    </row>
    <row r="24" spans="2:12">
      <c r="E24" s="30"/>
      <c r="F24" s="30"/>
      <c r="G24" s="3"/>
      <c r="H24" s="69"/>
      <c r="J24" s="69"/>
      <c r="K24" s="69"/>
      <c r="L24" s="69"/>
    </row>
    <row r="25" spans="2:12">
      <c r="E25" s="54" t="s">
        <v>250</v>
      </c>
      <c r="F25" s="159">
        <v>243.25</v>
      </c>
      <c r="G25" s="56"/>
      <c r="H25" s="49"/>
      <c r="I25" s="49"/>
      <c r="J25" s="49"/>
      <c r="K25" s="49"/>
      <c r="L25" s="49"/>
    </row>
    <row r="26" spans="2:12" ht="12.75" customHeight="1">
      <c r="B26" s="155"/>
      <c r="E26" s="54" t="s">
        <v>122</v>
      </c>
      <c r="F26" s="333">
        <v>565.32438000000002</v>
      </c>
      <c r="G26" s="56"/>
      <c r="H26" s="49"/>
      <c r="I26" s="49"/>
      <c r="J26" s="49"/>
      <c r="K26" s="49"/>
      <c r="L26" s="49"/>
    </row>
    <row r="27" spans="2:12">
      <c r="E27" s="54" t="s">
        <v>123</v>
      </c>
      <c r="F27" s="165">
        <f>F25*F26</f>
        <v>137515.15543499999</v>
      </c>
      <c r="G27" s="56"/>
      <c r="H27" s="49"/>
      <c r="I27" s="49"/>
      <c r="J27" s="49"/>
      <c r="K27" s="49"/>
      <c r="L27" s="49"/>
    </row>
    <row r="28" spans="2:12">
      <c r="D28" s="3"/>
      <c r="G28" s="56"/>
      <c r="H28" s="49"/>
      <c r="I28" s="49"/>
      <c r="J28" s="49"/>
      <c r="K28" s="49"/>
      <c r="L28" s="49"/>
    </row>
    <row r="29" spans="2:12">
      <c r="D29" s="3"/>
      <c r="G29" s="157"/>
      <c r="H29" s="157"/>
      <c r="I29" s="157"/>
      <c r="J29" s="157"/>
      <c r="K29" s="157"/>
      <c r="L29" s="23"/>
    </row>
    <row r="30" spans="2:12">
      <c r="B30" s="85"/>
      <c r="C30" s="3"/>
      <c r="D30" s="3"/>
      <c r="E30" s="3"/>
      <c r="F30" s="3"/>
    </row>
    <row r="31" spans="2:12">
      <c r="B31" s="3"/>
      <c r="C31" s="3"/>
      <c r="D31" s="3"/>
      <c r="E31" s="3"/>
      <c r="F31" s="3"/>
    </row>
    <row r="32" spans="2:12">
      <c r="B32" s="3"/>
      <c r="C32" s="3"/>
      <c r="D32" s="3"/>
      <c r="E32" s="3"/>
      <c r="F32" s="3"/>
    </row>
    <row r="33" spans="2:6">
      <c r="B33" s="3"/>
      <c r="C33" s="3"/>
      <c r="D33" s="3"/>
      <c r="E33" s="3"/>
      <c r="F33" s="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9" t="s">
        <v>126</v>
      </c>
    </row>
    <row r="3" spans="2:2">
      <c r="B3" s="175" t="s">
        <v>152</v>
      </c>
    </row>
    <row r="4" spans="2:2">
      <c r="B4" s="175" t="s">
        <v>151</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69" customWidth="1"/>
    <col min="2" max="2" width="29.140625" style="169" customWidth="1"/>
    <col min="3" max="3" width="12.7109375" style="169" bestFit="1" customWidth="1"/>
    <col min="4" max="4" width="9.7109375" style="169" customWidth="1"/>
    <col min="5" max="5" width="9.28515625" style="169" customWidth="1"/>
    <col min="6" max="6" width="22.42578125" style="169" customWidth="1"/>
    <col min="7" max="7" width="11.140625" style="169" bestFit="1" customWidth="1" collapsed="1"/>
    <col min="8" max="12" width="11.7109375" style="169" bestFit="1" customWidth="1"/>
    <col min="13" max="13" width="12.140625" style="169" bestFit="1" customWidth="1"/>
    <col min="14" max="26" width="9.140625" style="169" customWidth="1"/>
    <col min="27" max="27" width="9.28515625" style="169" customWidth="1"/>
    <col min="28" max="28" width="9.42578125" style="169" customWidth="1"/>
    <col min="29" max="29" width="10" style="169" customWidth="1"/>
    <col min="30" max="30" width="11.42578125" style="169" customWidth="1"/>
    <col min="31" max="31" width="9.42578125" style="169" bestFit="1" customWidth="1" collapsed="1"/>
    <col min="32" max="16384" width="9.140625" style="169"/>
  </cols>
  <sheetData>
    <row r="1" spans="1:32" s="168" customFormat="1" ht="15" customHeight="1">
      <c r="B1" s="16" t="s">
        <v>251</v>
      </c>
      <c r="C1" s="167"/>
      <c r="D1" s="167"/>
      <c r="E1" s="167"/>
      <c r="F1" s="167"/>
      <c r="G1" s="167"/>
      <c r="H1" s="167"/>
      <c r="I1" s="167"/>
      <c r="J1" s="167"/>
      <c r="K1" s="167"/>
      <c r="L1" s="167"/>
    </row>
    <row r="2" spans="1:32" ht="12" customHeight="1">
      <c r="B2" s="194"/>
    </row>
    <row r="3" spans="1:32" s="171" customFormat="1" ht="12" customHeight="1">
      <c r="B3" s="169"/>
      <c r="C3" s="334" t="s">
        <v>245</v>
      </c>
      <c r="D3" s="170"/>
      <c r="E3" s="170"/>
      <c r="F3" s="400" t="s">
        <v>260</v>
      </c>
      <c r="G3" s="400"/>
      <c r="H3" s="400"/>
      <c r="I3" s="400"/>
      <c r="J3" s="400"/>
      <c r="K3" s="400"/>
      <c r="L3" s="346"/>
      <c r="M3" s="346"/>
      <c r="N3" s="170"/>
      <c r="O3" s="170"/>
      <c r="P3" s="170"/>
      <c r="Q3" s="170"/>
      <c r="R3" s="170"/>
      <c r="S3" s="170"/>
      <c r="T3" s="170"/>
      <c r="U3" s="170"/>
      <c r="V3" s="170"/>
      <c r="W3" s="170"/>
      <c r="X3" s="170"/>
      <c r="Y3" s="170"/>
      <c r="Z3" s="170"/>
      <c r="AA3" s="170"/>
    </row>
    <row r="4" spans="1:32" ht="12" customHeight="1">
      <c r="B4" s="184" t="s">
        <v>129</v>
      </c>
      <c r="C4" s="185">
        <v>13329.92</v>
      </c>
      <c r="F4" s="335" t="s">
        <v>53</v>
      </c>
      <c r="G4" s="336" t="s">
        <v>72</v>
      </c>
      <c r="H4" s="336" t="s">
        <v>71</v>
      </c>
      <c r="I4" s="336" t="s">
        <v>70</v>
      </c>
      <c r="J4" s="336" t="s">
        <v>69</v>
      </c>
      <c r="K4" s="336" t="s">
        <v>68</v>
      </c>
      <c r="L4" s="213"/>
    </row>
    <row r="5" spans="1:32" ht="12" customHeight="1">
      <c r="A5" s="176" t="s">
        <v>91</v>
      </c>
      <c r="B5" s="186" t="s">
        <v>130</v>
      </c>
      <c r="C5" s="187">
        <f>-(659.2+739.34-28.88)</f>
        <v>-1369.6599999999999</v>
      </c>
      <c r="F5" s="250" t="s">
        <v>254</v>
      </c>
      <c r="G5" s="257">
        <f>357.63+70.35</f>
        <v>427.98</v>
      </c>
      <c r="H5" s="338">
        <f>1395.03+742.61</f>
        <v>2137.64</v>
      </c>
      <c r="I5" s="257">
        <f>1559.32+631.99</f>
        <v>2191.31</v>
      </c>
      <c r="J5" s="257">
        <f>1888.53+450.33</f>
        <v>2338.86</v>
      </c>
      <c r="K5" s="257">
        <f>2215.61+600.29</f>
        <v>2815.9</v>
      </c>
      <c r="L5" s="347"/>
    </row>
    <row r="6" spans="1:32" ht="12" customHeight="1">
      <c r="A6" s="176" t="s">
        <v>91</v>
      </c>
      <c r="B6" s="186" t="s">
        <v>131</v>
      </c>
      <c r="C6" s="187">
        <f>-(3252.29+6111.33)</f>
        <v>-9363.619999999999</v>
      </c>
      <c r="F6" s="250" t="s">
        <v>6</v>
      </c>
      <c r="G6" s="257">
        <v>4470.8500000000004</v>
      </c>
      <c r="H6" s="257">
        <v>28288</v>
      </c>
      <c r="I6" s="257">
        <v>29165.7</v>
      </c>
      <c r="J6" s="257">
        <v>27834.06</v>
      </c>
      <c r="K6" s="257">
        <v>27498.55</v>
      </c>
      <c r="L6" s="347"/>
      <c r="M6" s="173"/>
      <c r="N6" s="173"/>
      <c r="P6" s="173"/>
      <c r="Q6" s="173"/>
      <c r="R6" s="173"/>
      <c r="S6" s="173"/>
      <c r="T6" s="173"/>
      <c r="U6" s="173"/>
      <c r="Z6" s="173"/>
    </row>
    <row r="7" spans="1:32" ht="12" customHeight="1">
      <c r="A7" s="176" t="s">
        <v>91</v>
      </c>
      <c r="B7" s="186" t="s">
        <v>2</v>
      </c>
      <c r="C7" s="187">
        <v>-3840.63</v>
      </c>
      <c r="F7" s="250" t="s">
        <v>261</v>
      </c>
      <c r="G7" s="57">
        <f>G5/G6</f>
        <v>9.5726763367144946E-2</v>
      </c>
      <c r="H7" s="57">
        <f t="shared" ref="H7:K7" si="0">H5/H6</f>
        <v>7.5567024886877818E-2</v>
      </c>
      <c r="I7" s="57">
        <f t="shared" si="0"/>
        <v>7.5133118697648257E-2</v>
      </c>
      <c r="J7" s="57">
        <f t="shared" si="0"/>
        <v>8.4028704400292309E-2</v>
      </c>
      <c r="K7" s="57">
        <f t="shared" si="0"/>
        <v>0.1024017630020492</v>
      </c>
      <c r="L7" s="196"/>
      <c r="M7" s="174"/>
      <c r="N7" s="233"/>
      <c r="O7" s="174"/>
      <c r="P7" s="174"/>
      <c r="Q7" s="174"/>
      <c r="R7" s="174"/>
      <c r="S7" s="174"/>
      <c r="T7" s="174"/>
      <c r="U7" s="174"/>
      <c r="V7" s="174"/>
      <c r="W7" s="174"/>
      <c r="X7" s="174"/>
      <c r="Y7" s="174"/>
      <c r="Z7" s="174"/>
      <c r="AA7" s="174"/>
      <c r="AB7" s="174"/>
      <c r="AC7" s="174"/>
      <c r="AD7" s="174"/>
      <c r="AE7" s="174"/>
    </row>
    <row r="8" spans="1:32" ht="12" customHeight="1">
      <c r="A8" s="172"/>
      <c r="B8" s="344" t="s">
        <v>3</v>
      </c>
      <c r="C8" s="345">
        <f>SUM(C4:C7)</f>
        <v>-1243.9899999999989</v>
      </c>
      <c r="D8" s="177"/>
      <c r="F8" s="174"/>
      <c r="G8" s="201"/>
      <c r="H8" s="201"/>
      <c r="I8" s="201"/>
      <c r="J8" s="350" t="s">
        <v>262</v>
      </c>
      <c r="K8" s="349">
        <f>MEDIAN(G7:K7)</f>
        <v>8.4028704400292309E-2</v>
      </c>
      <c r="L8" s="196"/>
      <c r="M8" s="174"/>
      <c r="N8" s="174"/>
      <c r="O8" s="174"/>
      <c r="P8" s="174"/>
      <c r="Q8" s="174"/>
      <c r="R8" s="174"/>
      <c r="S8" s="174"/>
      <c r="T8" s="174"/>
      <c r="U8" s="174"/>
      <c r="V8" s="174"/>
      <c r="W8" s="174"/>
      <c r="X8" s="174"/>
      <c r="Y8" s="174"/>
      <c r="Z8" s="174"/>
      <c r="AA8" s="174"/>
      <c r="AB8" s="174"/>
      <c r="AC8" s="174"/>
      <c r="AD8" s="174"/>
      <c r="AE8" s="174"/>
    </row>
    <row r="9" spans="1:32" ht="12" customHeight="1">
      <c r="A9" s="176" t="s">
        <v>132</v>
      </c>
      <c r="B9" s="186" t="s">
        <v>263</v>
      </c>
      <c r="C9" s="187">
        <f>C4*K8</f>
        <v>1120.0959073595445</v>
      </c>
      <c r="H9" s="174"/>
      <c r="I9" s="174"/>
      <c r="J9" s="174"/>
      <c r="K9" s="174"/>
      <c r="L9" s="174"/>
      <c r="M9" s="174"/>
      <c r="N9" s="174"/>
      <c r="O9" s="174"/>
      <c r="P9" s="174"/>
      <c r="Q9" s="174"/>
      <c r="R9" s="174"/>
      <c r="S9" s="174"/>
      <c r="T9" s="174"/>
      <c r="U9" s="174"/>
      <c r="V9" s="174"/>
      <c r="W9" s="174"/>
      <c r="X9" s="174"/>
      <c r="Y9" s="174"/>
      <c r="Z9" s="174"/>
      <c r="AA9" s="174"/>
      <c r="AB9" s="174"/>
      <c r="AC9" s="174"/>
      <c r="AD9" s="174"/>
      <c r="AE9" s="174"/>
      <c r="AF9" s="174"/>
    </row>
    <row r="10" spans="1:32">
      <c r="B10" s="344" t="s">
        <v>251</v>
      </c>
      <c r="C10" s="345">
        <f>C8+C9</f>
        <v>-123.89409264045435</v>
      </c>
      <c r="H10" s="174"/>
      <c r="I10" s="174"/>
      <c r="J10" s="174"/>
      <c r="K10" s="174"/>
      <c r="L10" s="174"/>
      <c r="M10" s="174"/>
      <c r="N10" s="204"/>
      <c r="O10" s="174"/>
      <c r="P10" s="174"/>
      <c r="Q10" s="174"/>
      <c r="R10" s="174"/>
      <c r="S10" s="174"/>
      <c r="T10" s="174"/>
      <c r="U10" s="174"/>
      <c r="V10" s="174"/>
      <c r="W10" s="174"/>
      <c r="X10" s="174"/>
      <c r="Y10" s="174"/>
      <c r="Z10" s="174"/>
      <c r="AA10" s="174"/>
      <c r="AB10" s="174"/>
      <c r="AC10" s="174"/>
      <c r="AD10" s="174"/>
      <c r="AE10" s="174"/>
      <c r="AF10" s="174"/>
    </row>
    <row r="11" spans="1:32">
      <c r="A11" s="176" t="s">
        <v>91</v>
      </c>
      <c r="B11" s="186" t="s">
        <v>259</v>
      </c>
      <c r="C11" s="187">
        <f>C15</f>
        <v>1982.338</v>
      </c>
      <c r="F11" s="400" t="s">
        <v>252</v>
      </c>
      <c r="G11" s="400"/>
      <c r="H11" s="400"/>
      <c r="I11" s="400"/>
      <c r="J11" s="400"/>
      <c r="K11" s="400"/>
      <c r="L11" s="400"/>
      <c r="M11" s="400"/>
      <c r="N11" s="174"/>
      <c r="O11" s="174"/>
      <c r="P11" s="174"/>
      <c r="Q11" s="174"/>
      <c r="R11" s="174"/>
      <c r="S11" s="174"/>
      <c r="T11" s="174"/>
      <c r="U11" s="174"/>
      <c r="V11" s="174"/>
      <c r="W11" s="174"/>
      <c r="X11" s="174"/>
      <c r="Y11" s="174"/>
      <c r="Z11" s="174"/>
      <c r="AA11" s="174"/>
      <c r="AB11" s="174"/>
      <c r="AC11" s="174"/>
      <c r="AD11" s="174"/>
      <c r="AE11" s="174"/>
      <c r="AF11" s="174"/>
    </row>
    <row r="12" spans="1:32">
      <c r="A12" s="176"/>
      <c r="B12" s="343" t="s">
        <v>134</v>
      </c>
      <c r="C12" s="342">
        <f>C10-C11</f>
        <v>-2106.2320926404545</v>
      </c>
      <c r="F12" s="335" t="s">
        <v>53</v>
      </c>
      <c r="G12" s="336" t="s">
        <v>253</v>
      </c>
      <c r="H12" s="336" t="str">
        <f>G4</f>
        <v>FY21</v>
      </c>
      <c r="I12" s="336" t="str">
        <f t="shared" ref="I12:L12" si="1">H4</f>
        <v>FY20</v>
      </c>
      <c r="J12" s="336" t="str">
        <f t="shared" si="1"/>
        <v>FY19</v>
      </c>
      <c r="K12" s="336" t="str">
        <f t="shared" si="1"/>
        <v>FY18</v>
      </c>
      <c r="L12" s="336" t="str">
        <f t="shared" si="1"/>
        <v>FY17</v>
      </c>
      <c r="M12" s="337"/>
      <c r="N12" s="174"/>
      <c r="O12" s="174"/>
      <c r="P12" s="174"/>
      <c r="Q12" s="174"/>
      <c r="R12" s="174"/>
      <c r="S12" s="174"/>
      <c r="T12" s="174"/>
      <c r="U12" s="174"/>
      <c r="V12" s="174"/>
      <c r="W12" s="174"/>
      <c r="X12" s="174"/>
      <c r="Y12" s="174"/>
      <c r="Z12" s="174"/>
      <c r="AA12" s="174"/>
      <c r="AB12" s="174"/>
      <c r="AC12" s="174"/>
      <c r="AD12" s="174"/>
      <c r="AE12" s="174"/>
      <c r="AF12" s="174"/>
    </row>
    <row r="13" spans="1:32">
      <c r="A13" s="171"/>
      <c r="F13" s="250" t="s">
        <v>254</v>
      </c>
      <c r="G13" s="257">
        <f>C9</f>
        <v>1120.0959073595445</v>
      </c>
      <c r="H13" s="257">
        <f>G5</f>
        <v>427.98</v>
      </c>
      <c r="I13" s="257">
        <f>H5</f>
        <v>2137.64</v>
      </c>
      <c r="J13" s="257">
        <f>I5</f>
        <v>2191.31</v>
      </c>
      <c r="K13" s="257">
        <f>J5</f>
        <v>2338.86</v>
      </c>
      <c r="L13" s="257">
        <f>K5</f>
        <v>2815.9</v>
      </c>
      <c r="M13" s="339"/>
      <c r="N13" s="174"/>
      <c r="O13" s="174"/>
      <c r="P13" s="174"/>
      <c r="Q13" s="174"/>
      <c r="R13" s="174"/>
      <c r="S13" s="174"/>
      <c r="T13" s="174"/>
      <c r="U13" s="174"/>
      <c r="V13" s="174"/>
      <c r="W13" s="174"/>
      <c r="X13" s="174"/>
      <c r="Y13" s="174"/>
      <c r="Z13" s="174"/>
      <c r="AA13" s="174"/>
      <c r="AB13" s="174"/>
      <c r="AC13" s="174"/>
      <c r="AD13" s="174"/>
      <c r="AE13" s="174"/>
      <c r="AF13" s="174"/>
    </row>
    <row r="14" spans="1:32">
      <c r="B14" s="186" t="s">
        <v>255</v>
      </c>
      <c r="C14" s="187">
        <f>M15</f>
        <v>4089.3599073595442</v>
      </c>
      <c r="F14" s="250" t="s">
        <v>256</v>
      </c>
      <c r="G14" s="340">
        <v>1</v>
      </c>
      <c r="H14" s="340">
        <f>4/5</f>
        <v>0.8</v>
      </c>
      <c r="I14" s="340">
        <f>3/5</f>
        <v>0.6</v>
      </c>
      <c r="J14" s="340">
        <f>2/5</f>
        <v>0.4</v>
      </c>
      <c r="K14" s="340">
        <f>1/5</f>
        <v>0.2</v>
      </c>
      <c r="L14" s="340">
        <v>0</v>
      </c>
      <c r="M14" s="341"/>
      <c r="N14" s="174"/>
      <c r="O14" s="174"/>
      <c r="P14" s="174"/>
      <c r="Q14" s="174"/>
      <c r="R14" s="174"/>
      <c r="S14" s="174"/>
      <c r="T14" s="174"/>
      <c r="U14" s="174"/>
      <c r="V14" s="174"/>
      <c r="W14" s="174"/>
      <c r="X14" s="174"/>
      <c r="Y14" s="174"/>
      <c r="Z14" s="174"/>
      <c r="AA14" s="174"/>
      <c r="AB14" s="174"/>
      <c r="AC14" s="174"/>
      <c r="AD14" s="174"/>
      <c r="AE14" s="174"/>
      <c r="AF14" s="174"/>
    </row>
    <row r="15" spans="1:32">
      <c r="A15" s="176"/>
      <c r="B15" s="186" t="s">
        <v>257</v>
      </c>
      <c r="C15" s="187">
        <f>M16</f>
        <v>1982.338</v>
      </c>
      <c r="F15" s="250" t="s">
        <v>258</v>
      </c>
      <c r="G15" s="257">
        <f>G13*G14</f>
        <v>1120.0959073595445</v>
      </c>
      <c r="H15" s="257">
        <f t="shared" ref="H15:L15" si="2">H13*H14</f>
        <v>342.38400000000001</v>
      </c>
      <c r="I15" s="257">
        <f t="shared" si="2"/>
        <v>1282.5839999999998</v>
      </c>
      <c r="J15" s="257">
        <f t="shared" si="2"/>
        <v>876.524</v>
      </c>
      <c r="K15" s="257">
        <f t="shared" si="2"/>
        <v>467.77200000000005</v>
      </c>
      <c r="L15" s="257">
        <f t="shared" si="2"/>
        <v>0</v>
      </c>
      <c r="M15" s="342">
        <f>SUM(G15:L15)</f>
        <v>4089.3599073595442</v>
      </c>
      <c r="N15" s="174"/>
      <c r="O15" s="174"/>
      <c r="P15" s="174"/>
      <c r="Q15" s="174"/>
      <c r="R15" s="174"/>
      <c r="S15" s="174"/>
      <c r="T15" s="174"/>
      <c r="U15" s="174"/>
      <c r="V15" s="174"/>
      <c r="W15" s="174"/>
      <c r="X15" s="174"/>
      <c r="Y15" s="174"/>
      <c r="Z15" s="174"/>
      <c r="AA15" s="174"/>
      <c r="AB15" s="174"/>
      <c r="AC15" s="174"/>
      <c r="AD15" s="174"/>
      <c r="AE15" s="174"/>
      <c r="AF15" s="174"/>
    </row>
    <row r="16" spans="1:32">
      <c r="D16" s="174"/>
      <c r="E16" s="174"/>
      <c r="F16" s="250" t="s">
        <v>257</v>
      </c>
      <c r="G16" s="257">
        <v>0</v>
      </c>
      <c r="H16" s="203">
        <f>H13/5</f>
        <v>85.596000000000004</v>
      </c>
      <c r="I16" s="203">
        <f t="shared" ref="I16:K16" si="3">I13/5</f>
        <v>427.52799999999996</v>
      </c>
      <c r="J16" s="203">
        <f t="shared" si="3"/>
        <v>438.262</v>
      </c>
      <c r="K16" s="203">
        <f t="shared" si="3"/>
        <v>467.77200000000005</v>
      </c>
      <c r="L16" s="203">
        <f>L13/5</f>
        <v>563.18000000000006</v>
      </c>
      <c r="M16" s="342">
        <f>SUM(H16:L16)</f>
        <v>1982.338</v>
      </c>
      <c r="O16" s="174"/>
      <c r="P16" s="174"/>
      <c r="Q16" s="174"/>
      <c r="R16" s="174"/>
      <c r="S16" s="174"/>
      <c r="T16" s="174"/>
      <c r="U16" s="174"/>
      <c r="V16" s="174"/>
      <c r="W16" s="174"/>
      <c r="X16" s="174"/>
      <c r="Y16" s="174"/>
      <c r="Z16" s="174"/>
      <c r="AA16" s="174"/>
      <c r="AB16" s="174"/>
      <c r="AC16" s="174"/>
      <c r="AD16" s="174"/>
      <c r="AE16" s="174"/>
      <c r="AF16" s="174"/>
    </row>
    <row r="17" spans="2:32">
      <c r="C17" s="216"/>
      <c r="D17" s="179"/>
      <c r="E17" s="179"/>
      <c r="O17" s="174"/>
      <c r="P17" s="174"/>
      <c r="Q17" s="174"/>
      <c r="R17" s="174"/>
      <c r="S17" s="174"/>
      <c r="T17" s="174"/>
      <c r="U17" s="174"/>
      <c r="V17" s="174"/>
      <c r="W17" s="174"/>
      <c r="X17" s="174"/>
      <c r="Y17" s="174"/>
      <c r="Z17" s="174"/>
      <c r="AA17" s="174"/>
      <c r="AB17" s="174"/>
      <c r="AC17" s="174"/>
      <c r="AD17" s="174"/>
      <c r="AE17" s="174"/>
      <c r="AF17" s="174"/>
    </row>
    <row r="18" spans="2:32">
      <c r="D18" s="84"/>
      <c r="E18" s="84"/>
      <c r="N18" s="174"/>
      <c r="O18" s="174"/>
      <c r="P18" s="174"/>
      <c r="Q18" s="174"/>
      <c r="R18" s="174"/>
      <c r="S18" s="174"/>
      <c r="T18" s="174"/>
      <c r="U18" s="174"/>
      <c r="V18" s="174"/>
      <c r="W18" s="174"/>
      <c r="X18" s="174"/>
      <c r="Y18" s="174"/>
      <c r="Z18" s="174"/>
      <c r="AA18" s="174"/>
      <c r="AB18" s="174"/>
      <c r="AC18" s="174"/>
      <c r="AD18" s="174"/>
      <c r="AE18" s="174"/>
      <c r="AF18" s="174"/>
    </row>
    <row r="19" spans="2:32">
      <c r="D19" s="84"/>
      <c r="E19" s="84"/>
      <c r="N19" s="174"/>
      <c r="O19" s="174"/>
      <c r="P19" s="174"/>
      <c r="Q19" s="174"/>
      <c r="R19" s="174"/>
      <c r="S19" s="174"/>
      <c r="T19" s="174"/>
      <c r="U19" s="174"/>
      <c r="V19" s="174"/>
      <c r="W19" s="174"/>
      <c r="X19" s="174"/>
      <c r="Y19" s="174"/>
      <c r="Z19" s="174"/>
      <c r="AA19" s="174"/>
      <c r="AB19" s="174"/>
      <c r="AC19" s="174"/>
      <c r="AD19" s="174"/>
      <c r="AE19" s="174"/>
      <c r="AF19" s="174"/>
    </row>
    <row r="20" spans="2:32">
      <c r="D20" s="181"/>
      <c r="E20" s="181"/>
      <c r="N20" s="174"/>
      <c r="O20" s="174"/>
      <c r="P20" s="174"/>
      <c r="Q20" s="174"/>
      <c r="R20" s="174"/>
      <c r="S20" s="174"/>
      <c r="T20" s="174"/>
      <c r="U20" s="174"/>
      <c r="V20" s="174"/>
      <c r="W20" s="174"/>
      <c r="X20" s="174"/>
      <c r="Y20" s="174"/>
      <c r="Z20" s="174"/>
      <c r="AA20" s="174"/>
      <c r="AB20" s="174"/>
      <c r="AC20" s="174"/>
      <c r="AD20" s="174"/>
      <c r="AE20" s="174"/>
      <c r="AF20" s="174"/>
    </row>
    <row r="21" spans="2:32">
      <c r="N21" s="174"/>
      <c r="O21" s="174"/>
      <c r="P21" s="174"/>
      <c r="Q21" s="174"/>
      <c r="R21" s="174"/>
      <c r="S21" s="174"/>
      <c r="T21" s="174"/>
      <c r="U21" s="174"/>
      <c r="V21" s="174"/>
      <c r="W21" s="174"/>
      <c r="X21" s="174"/>
      <c r="Y21" s="174"/>
      <c r="Z21" s="174"/>
      <c r="AA21" s="174"/>
      <c r="AB21" s="174"/>
      <c r="AC21" s="174"/>
      <c r="AD21" s="174"/>
      <c r="AE21" s="174"/>
      <c r="AF21" s="174"/>
    </row>
    <row r="22" spans="2:32">
      <c r="N22" s="174"/>
      <c r="O22" s="174"/>
      <c r="P22" s="174"/>
      <c r="Q22" s="174"/>
      <c r="R22" s="174"/>
      <c r="S22" s="174"/>
      <c r="T22" s="174"/>
      <c r="U22" s="174"/>
      <c r="V22" s="174"/>
      <c r="W22" s="174"/>
      <c r="X22" s="174"/>
      <c r="Y22" s="174"/>
      <c r="Z22" s="174"/>
      <c r="AA22" s="174"/>
      <c r="AB22" s="174"/>
      <c r="AC22" s="174"/>
      <c r="AD22" s="174"/>
      <c r="AE22" s="174"/>
      <c r="AF22" s="174"/>
    </row>
    <row r="23" spans="2:32">
      <c r="G23" s="174"/>
      <c r="H23" s="174"/>
      <c r="I23" s="174"/>
      <c r="J23" s="174"/>
      <c r="K23" s="174"/>
      <c r="L23" s="174"/>
      <c r="M23" s="174"/>
      <c r="N23" s="174"/>
      <c r="O23" s="174"/>
      <c r="P23" s="174"/>
      <c r="Q23" s="174"/>
      <c r="R23" s="174"/>
      <c r="S23" s="174"/>
      <c r="T23" s="174"/>
      <c r="U23" s="174"/>
      <c r="V23" s="174"/>
      <c r="W23" s="174"/>
      <c r="X23" s="174"/>
      <c r="Y23" s="174"/>
      <c r="Z23" s="174"/>
      <c r="AA23" s="174"/>
      <c r="AB23" s="174"/>
      <c r="AC23" s="174"/>
      <c r="AD23" s="174"/>
      <c r="AE23" s="174"/>
      <c r="AF23" s="174"/>
    </row>
    <row r="24" spans="2:32">
      <c r="G24" s="174"/>
      <c r="H24" s="174"/>
      <c r="I24" s="174"/>
      <c r="J24" s="174"/>
      <c r="K24" s="174"/>
      <c r="L24" s="174"/>
      <c r="M24" s="174"/>
      <c r="N24" s="174"/>
      <c r="O24" s="174"/>
      <c r="P24" s="174"/>
      <c r="Q24" s="174"/>
      <c r="R24" s="174"/>
      <c r="S24" s="174"/>
      <c r="T24" s="174"/>
      <c r="U24" s="174"/>
      <c r="V24" s="174"/>
      <c r="W24" s="174"/>
      <c r="X24" s="174"/>
      <c r="Y24" s="174"/>
      <c r="Z24" s="174"/>
      <c r="AA24" s="174"/>
      <c r="AB24" s="174"/>
      <c r="AC24" s="174"/>
      <c r="AD24" s="174"/>
      <c r="AE24" s="174"/>
      <c r="AF24" s="174"/>
    </row>
    <row r="25" spans="2:32">
      <c r="B25" s="172"/>
      <c r="C25" s="196"/>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row>
    <row r="26" spans="2:32">
      <c r="B26" s="172"/>
      <c r="C26" s="196"/>
      <c r="G26" s="174"/>
      <c r="H26" s="174"/>
      <c r="I26" s="174"/>
      <c r="J26" s="174"/>
      <c r="K26" s="174"/>
      <c r="L26" s="174"/>
      <c r="M26" s="174"/>
      <c r="N26" s="174"/>
      <c r="O26" s="174"/>
      <c r="P26" s="174"/>
      <c r="Q26" s="174"/>
      <c r="R26" s="174"/>
      <c r="S26" s="174"/>
      <c r="T26" s="174"/>
      <c r="U26" s="174"/>
      <c r="V26" s="174"/>
      <c r="W26" s="174"/>
      <c r="X26" s="174"/>
      <c r="Y26" s="174"/>
      <c r="Z26" s="174"/>
      <c r="AA26" s="174"/>
      <c r="AB26" s="174"/>
      <c r="AC26" s="174"/>
      <c r="AD26" s="174"/>
      <c r="AE26" s="174"/>
      <c r="AF26" s="174"/>
    </row>
    <row r="27" spans="2:32">
      <c r="B27" s="172"/>
      <c r="C27" s="172"/>
      <c r="G27" s="174"/>
      <c r="H27" s="174"/>
      <c r="I27" s="174"/>
      <c r="J27" s="174"/>
      <c r="K27" s="174"/>
      <c r="L27" s="174"/>
      <c r="M27" s="174"/>
      <c r="N27" s="174"/>
      <c r="O27" s="174"/>
      <c r="P27" s="174"/>
      <c r="Q27" s="174"/>
      <c r="R27" s="174"/>
      <c r="S27" s="174"/>
      <c r="T27" s="174"/>
      <c r="U27" s="174"/>
      <c r="V27" s="174"/>
      <c r="W27" s="174"/>
      <c r="X27" s="174"/>
      <c r="Y27" s="174"/>
      <c r="Z27" s="174"/>
      <c r="AA27" s="174"/>
      <c r="AB27" s="174"/>
      <c r="AC27" s="174"/>
      <c r="AD27" s="174"/>
      <c r="AE27" s="174"/>
      <c r="AF27" s="174"/>
    </row>
    <row r="28" spans="2:32">
      <c r="B28" s="172"/>
      <c r="C28" s="196"/>
      <c r="G28" s="174"/>
      <c r="H28" s="174"/>
      <c r="I28" s="174"/>
      <c r="J28" s="174"/>
      <c r="K28" s="174"/>
      <c r="L28" s="174"/>
      <c r="M28" s="174"/>
      <c r="N28" s="174"/>
      <c r="O28" s="174"/>
      <c r="P28" s="174"/>
      <c r="Q28" s="174"/>
      <c r="R28" s="174"/>
      <c r="S28" s="174"/>
      <c r="T28" s="174"/>
      <c r="U28" s="174"/>
      <c r="V28" s="174"/>
      <c r="W28" s="174"/>
      <c r="X28" s="174"/>
      <c r="Y28" s="174"/>
      <c r="Z28" s="174"/>
      <c r="AA28" s="174"/>
      <c r="AB28" s="174"/>
      <c r="AC28" s="174"/>
      <c r="AD28" s="174"/>
      <c r="AE28" s="174"/>
      <c r="AF28" s="174"/>
    </row>
    <row r="29" spans="2:32">
      <c r="G29" s="174"/>
      <c r="H29" s="174"/>
      <c r="I29" s="174"/>
      <c r="J29" s="174"/>
      <c r="K29" s="174"/>
      <c r="L29" s="174"/>
      <c r="M29" s="174"/>
      <c r="N29" s="174"/>
      <c r="O29" s="174"/>
      <c r="P29" s="174"/>
      <c r="Q29" s="174"/>
      <c r="R29" s="174"/>
      <c r="S29" s="174"/>
      <c r="T29" s="174"/>
      <c r="U29" s="174"/>
      <c r="V29" s="174"/>
      <c r="W29" s="174"/>
      <c r="X29" s="174"/>
      <c r="Y29" s="174"/>
      <c r="Z29" s="174"/>
      <c r="AA29" s="174"/>
      <c r="AB29" s="174"/>
      <c r="AC29" s="174"/>
      <c r="AD29" s="174"/>
      <c r="AE29" s="174"/>
      <c r="AF29" s="174"/>
    </row>
    <row r="30" spans="2:32">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row>
    <row r="31" spans="2:32">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row>
    <row r="32" spans="2:32">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74"/>
      <c r="AE32" s="174"/>
      <c r="AF32" s="174"/>
    </row>
    <row r="33" spans="7:32" ht="14.25" customHeight="1">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174"/>
    </row>
    <row r="34" spans="7:32">
      <c r="G34" s="174"/>
      <c r="H34" s="174"/>
      <c r="I34" s="174"/>
      <c r="J34" s="174"/>
      <c r="K34" s="174"/>
      <c r="L34" s="174"/>
      <c r="M34" s="174"/>
      <c r="N34" s="174"/>
      <c r="O34" s="174"/>
      <c r="P34" s="174"/>
      <c r="Q34" s="174"/>
      <c r="R34" s="174"/>
      <c r="S34" s="174"/>
      <c r="T34" s="174"/>
      <c r="U34" s="174"/>
      <c r="V34" s="174"/>
      <c r="W34" s="174"/>
      <c r="X34" s="174"/>
      <c r="Y34" s="174"/>
      <c r="Z34" s="174"/>
      <c r="AA34" s="174"/>
      <c r="AB34" s="174"/>
      <c r="AC34" s="174"/>
      <c r="AD34" s="174"/>
      <c r="AE34" s="174"/>
      <c r="AF34" s="174"/>
    </row>
    <row r="35" spans="7:32">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row>
    <row r="36" spans="7:32">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row>
    <row r="37" spans="7:32">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row>
    <row r="38" spans="7:32">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row>
    <row r="39" spans="7:32">
      <c r="G39" s="174"/>
      <c r="H39" s="174"/>
      <c r="I39" s="174"/>
      <c r="J39" s="174"/>
      <c r="K39" s="174"/>
      <c r="L39" s="174"/>
      <c r="M39" s="174"/>
      <c r="N39" s="174"/>
      <c r="O39" s="174"/>
      <c r="P39" s="174"/>
      <c r="Q39" s="174"/>
      <c r="R39" s="174"/>
      <c r="S39" s="174"/>
      <c r="T39" s="174"/>
      <c r="U39" s="174"/>
      <c r="V39" s="174"/>
      <c r="W39" s="174"/>
      <c r="X39" s="174"/>
      <c r="Y39" s="174"/>
      <c r="Z39" s="174"/>
      <c r="AA39" s="174"/>
      <c r="AB39" s="174"/>
      <c r="AC39" s="174"/>
      <c r="AD39" s="174"/>
      <c r="AE39" s="174"/>
      <c r="AF39" s="174"/>
    </row>
    <row r="40" spans="7:32">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row>
    <row r="41" spans="7:32">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row>
  </sheetData>
  <mergeCells count="2">
    <mergeCell ref="F11:M11"/>
    <mergeCell ref="F3:K3"/>
  </mergeCells>
  <pageMargins left="0.7" right="0.7" top="0.75" bottom="0.75" header="0.3" footer="0.3"/>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69" customWidth="1"/>
    <col min="2" max="2" width="29.140625" style="169" customWidth="1"/>
    <col min="3" max="3" width="12.7109375" style="169" bestFit="1" customWidth="1"/>
    <col min="4" max="4" width="9.7109375" style="169" customWidth="1"/>
    <col min="5" max="5" width="9.28515625" style="169" customWidth="1"/>
    <col min="6" max="6" width="22.42578125" style="169" customWidth="1"/>
    <col min="7" max="7" width="11.140625" style="169" bestFit="1" customWidth="1" collapsed="1"/>
    <col min="8" max="12" width="11.7109375" style="169" bestFit="1" customWidth="1"/>
    <col min="13" max="13" width="12.140625" style="169" bestFit="1" customWidth="1"/>
    <col min="14" max="26" width="9.140625" style="169" customWidth="1"/>
    <col min="27" max="27" width="9.28515625" style="169" customWidth="1"/>
    <col min="28" max="28" width="9.42578125" style="169" customWidth="1"/>
    <col min="29" max="29" width="10" style="169" customWidth="1"/>
    <col min="30" max="30" width="11.42578125" style="169" customWidth="1"/>
    <col min="31" max="31" width="9.42578125" style="169" bestFit="1" customWidth="1" collapsed="1"/>
    <col min="32" max="16384" width="9.140625" style="169"/>
  </cols>
  <sheetData>
    <row r="1" spans="1:32" s="168" customFormat="1" ht="15" customHeight="1">
      <c r="B1" s="16" t="s">
        <v>135</v>
      </c>
      <c r="C1" s="167"/>
      <c r="D1" s="167"/>
      <c r="E1" s="167"/>
      <c r="F1" s="167"/>
      <c r="G1" s="167"/>
      <c r="H1" s="167"/>
      <c r="I1" s="167"/>
      <c r="J1" s="167"/>
      <c r="K1" s="167"/>
      <c r="L1" s="167"/>
    </row>
    <row r="2" spans="1:32" ht="12" customHeight="1">
      <c r="B2" s="194"/>
    </row>
    <row r="3" spans="1:32" s="171" customFormat="1" ht="12" customHeight="1">
      <c r="C3" s="334" t="s">
        <v>245</v>
      </c>
      <c r="D3" s="170"/>
      <c r="E3" s="170"/>
      <c r="F3" s="400" t="s">
        <v>265</v>
      </c>
      <c r="G3" s="400"/>
      <c r="H3" s="400"/>
      <c r="I3" s="400"/>
      <c r="J3" s="400"/>
      <c r="K3" s="400"/>
      <c r="L3" s="346"/>
      <c r="M3" s="346"/>
      <c r="N3" s="170"/>
      <c r="O3" s="170"/>
      <c r="P3" s="170"/>
      <c r="Q3" s="170"/>
      <c r="R3" s="170"/>
      <c r="S3" s="170"/>
      <c r="T3" s="170"/>
      <c r="U3" s="170"/>
      <c r="V3" s="170"/>
      <c r="W3" s="170"/>
      <c r="X3" s="170"/>
      <c r="Y3" s="170"/>
      <c r="Z3" s="170"/>
      <c r="AA3" s="170"/>
    </row>
    <row r="4" spans="1:32" ht="12" customHeight="1">
      <c r="B4" s="186" t="s">
        <v>3</v>
      </c>
      <c r="C4" s="187">
        <f>'EBIT &amp; Advertising Expense'!C12</f>
        <v>-2106.2320926404545</v>
      </c>
      <c r="F4" s="335" t="s">
        <v>53</v>
      </c>
      <c r="G4" s="336" t="s">
        <v>72</v>
      </c>
      <c r="H4" s="336" t="s">
        <v>71</v>
      </c>
      <c r="I4" s="336" t="s">
        <v>70</v>
      </c>
      <c r="J4" s="336" t="s">
        <v>69</v>
      </c>
      <c r="K4" s="336" t="s">
        <v>68</v>
      </c>
      <c r="L4" s="213"/>
    </row>
    <row r="5" spans="1:32" ht="12" customHeight="1">
      <c r="A5" s="176" t="s">
        <v>132</v>
      </c>
      <c r="B5" s="186" t="s">
        <v>127</v>
      </c>
      <c r="C5" s="187">
        <f>'EBIT &amp; Advertising Expense'!C4*'EBIT &amp; Operating Lease'!K8</f>
        <v>74.089178258489994</v>
      </c>
      <c r="F5" s="250" t="s">
        <v>127</v>
      </c>
      <c r="G5" s="257">
        <v>0.7</v>
      </c>
      <c r="H5" s="338">
        <v>0</v>
      </c>
      <c r="I5" s="257">
        <v>248.76</v>
      </c>
      <c r="J5" s="257">
        <v>218.74</v>
      </c>
      <c r="K5" s="257">
        <v>152.84</v>
      </c>
      <c r="L5" s="347"/>
    </row>
    <row r="6" spans="1:32" ht="12" customHeight="1">
      <c r="A6" s="176"/>
      <c r="B6" s="344" t="s">
        <v>133</v>
      </c>
      <c r="C6" s="345">
        <f>C4+C5</f>
        <v>-2032.1429143819646</v>
      </c>
      <c r="F6" s="250" t="s">
        <v>6</v>
      </c>
      <c r="G6" s="257">
        <v>4470.8500000000004</v>
      </c>
      <c r="H6" s="257">
        <v>28288</v>
      </c>
      <c r="I6" s="257">
        <v>29165.7</v>
      </c>
      <c r="J6" s="257">
        <v>27834.06</v>
      </c>
      <c r="K6" s="257">
        <v>27498.55</v>
      </c>
      <c r="L6" s="347"/>
      <c r="M6" s="173"/>
      <c r="N6" s="173"/>
      <c r="P6" s="173"/>
      <c r="Q6" s="173"/>
      <c r="R6" s="173"/>
      <c r="S6" s="173"/>
      <c r="T6" s="173"/>
      <c r="U6" s="173"/>
      <c r="Z6" s="173"/>
    </row>
    <row r="7" spans="1:32" ht="12" customHeight="1">
      <c r="A7" s="176" t="s">
        <v>91</v>
      </c>
      <c r="B7" s="186" t="s">
        <v>264</v>
      </c>
      <c r="C7" s="187">
        <f>C11</f>
        <v>124.208</v>
      </c>
      <c r="F7" s="250" t="s">
        <v>266</v>
      </c>
      <c r="G7" s="57">
        <f>G5/G6</f>
        <v>1.5656977979578826E-4</v>
      </c>
      <c r="H7" s="57">
        <f t="shared" ref="H7:K7" si="0">H5/H6</f>
        <v>0</v>
      </c>
      <c r="I7" s="57">
        <f t="shared" si="0"/>
        <v>8.5291969676709288E-3</v>
      </c>
      <c r="J7" s="57">
        <f t="shared" si="0"/>
        <v>7.8587169819997506E-3</v>
      </c>
      <c r="K7" s="57">
        <f t="shared" si="0"/>
        <v>5.5581112458656916E-3</v>
      </c>
      <c r="L7" s="196"/>
      <c r="M7" s="174"/>
      <c r="N7" s="233"/>
      <c r="O7" s="174"/>
      <c r="P7" s="174"/>
      <c r="Q7" s="174"/>
      <c r="R7" s="174"/>
      <c r="S7" s="174"/>
      <c r="T7" s="174"/>
      <c r="U7" s="174"/>
      <c r="V7" s="174"/>
      <c r="W7" s="174"/>
      <c r="X7" s="174"/>
      <c r="Y7" s="174"/>
      <c r="Z7" s="174"/>
      <c r="AA7" s="174"/>
      <c r="AB7" s="174"/>
      <c r="AC7" s="174"/>
      <c r="AD7" s="174"/>
      <c r="AE7" s="174"/>
    </row>
    <row r="8" spans="1:32" ht="12" customHeight="1">
      <c r="A8" s="172"/>
      <c r="B8" s="343" t="s">
        <v>134</v>
      </c>
      <c r="C8" s="342">
        <f>C6-C7</f>
        <v>-2156.3509143819647</v>
      </c>
      <c r="D8" s="177"/>
      <c r="F8" s="174"/>
      <c r="G8" s="201"/>
      <c r="H8" s="201"/>
      <c r="I8" s="201"/>
      <c r="J8" s="350" t="s">
        <v>267</v>
      </c>
      <c r="K8" s="349">
        <f>MEDIAN(G7:K7)</f>
        <v>5.5581112458656916E-3</v>
      </c>
      <c r="L8" s="196"/>
      <c r="M8" s="174"/>
      <c r="N8" s="174"/>
      <c r="O8" s="174"/>
      <c r="P8" s="174"/>
      <c r="Q8" s="174"/>
      <c r="R8" s="174"/>
      <c r="S8" s="174"/>
      <c r="T8" s="174"/>
      <c r="U8" s="174"/>
      <c r="V8" s="174"/>
      <c r="W8" s="174"/>
      <c r="X8" s="174"/>
      <c r="Y8" s="174"/>
      <c r="Z8" s="174"/>
      <c r="AA8" s="174"/>
      <c r="AB8" s="174"/>
      <c r="AC8" s="174"/>
      <c r="AD8" s="174"/>
      <c r="AE8" s="174"/>
    </row>
    <row r="9" spans="1:32" ht="12" customHeight="1">
      <c r="A9" s="176"/>
      <c r="B9" s="172"/>
      <c r="C9" s="196"/>
      <c r="H9" s="174"/>
      <c r="I9" s="174"/>
      <c r="J9" s="174"/>
      <c r="K9" s="174"/>
      <c r="L9" s="174"/>
      <c r="M9" s="174"/>
      <c r="N9" s="174"/>
      <c r="O9" s="174"/>
      <c r="P9" s="174"/>
      <c r="Q9" s="174"/>
      <c r="R9" s="174"/>
      <c r="S9" s="174"/>
      <c r="T9" s="174"/>
      <c r="U9" s="174"/>
      <c r="V9" s="174"/>
      <c r="W9" s="174"/>
      <c r="X9" s="174"/>
      <c r="Y9" s="174"/>
      <c r="Z9" s="174"/>
      <c r="AA9" s="174"/>
      <c r="AB9" s="174"/>
      <c r="AC9" s="174"/>
      <c r="AD9" s="174"/>
      <c r="AE9" s="174"/>
      <c r="AF9" s="174"/>
    </row>
    <row r="10" spans="1:32">
      <c r="B10" s="186" t="s">
        <v>272</v>
      </c>
      <c r="C10" s="187">
        <f>M15</f>
        <v>217.90117825849001</v>
      </c>
      <c r="H10" s="174"/>
      <c r="I10" s="174"/>
      <c r="J10" s="174"/>
      <c r="K10" s="174"/>
      <c r="L10" s="174"/>
      <c r="M10" s="174"/>
      <c r="N10" s="204"/>
      <c r="O10" s="174"/>
      <c r="P10" s="174"/>
      <c r="Q10" s="174"/>
      <c r="R10" s="174"/>
      <c r="S10" s="174"/>
      <c r="T10" s="174"/>
      <c r="U10" s="174"/>
      <c r="V10" s="174"/>
      <c r="W10" s="174"/>
      <c r="X10" s="174"/>
      <c r="Y10" s="174"/>
      <c r="Z10" s="174"/>
      <c r="AA10" s="174"/>
      <c r="AB10" s="174"/>
      <c r="AC10" s="174"/>
      <c r="AD10" s="174"/>
      <c r="AE10" s="174"/>
      <c r="AF10" s="174"/>
    </row>
    <row r="11" spans="1:32">
      <c r="A11" s="176"/>
      <c r="B11" s="186" t="s">
        <v>271</v>
      </c>
      <c r="C11" s="187">
        <f>M16</f>
        <v>124.208</v>
      </c>
      <c r="F11" s="400" t="s">
        <v>268</v>
      </c>
      <c r="G11" s="400"/>
      <c r="H11" s="400"/>
      <c r="I11" s="400"/>
      <c r="J11" s="400"/>
      <c r="K11" s="400"/>
      <c r="L11" s="400"/>
      <c r="M11" s="400"/>
      <c r="N11" s="174"/>
      <c r="O11" s="174"/>
      <c r="P11" s="174"/>
      <c r="Q11" s="174"/>
      <c r="R11" s="174"/>
      <c r="S11" s="174"/>
      <c r="T11" s="174"/>
      <c r="U11" s="174"/>
      <c r="V11" s="174"/>
      <c r="W11" s="174"/>
      <c r="X11" s="174"/>
      <c r="Y11" s="174"/>
      <c r="Z11" s="174"/>
      <c r="AA11" s="174"/>
      <c r="AB11" s="174"/>
      <c r="AC11" s="174"/>
      <c r="AD11" s="174"/>
      <c r="AE11" s="174"/>
      <c r="AF11" s="174"/>
    </row>
    <row r="12" spans="1:32">
      <c r="F12" s="335" t="s">
        <v>53</v>
      </c>
      <c r="G12" s="336" t="s">
        <v>253</v>
      </c>
      <c r="H12" s="336" t="str">
        <f>G4</f>
        <v>FY21</v>
      </c>
      <c r="I12" s="336" t="str">
        <f t="shared" ref="I12:L12" si="1">H4</f>
        <v>FY20</v>
      </c>
      <c r="J12" s="336" t="str">
        <f t="shared" si="1"/>
        <v>FY19</v>
      </c>
      <c r="K12" s="336" t="str">
        <f t="shared" si="1"/>
        <v>FY18</v>
      </c>
      <c r="L12" s="336" t="str">
        <f t="shared" si="1"/>
        <v>FY17</v>
      </c>
      <c r="M12" s="337"/>
      <c r="N12" s="174"/>
      <c r="O12" s="174"/>
      <c r="P12" s="174"/>
      <c r="Q12" s="174"/>
      <c r="R12" s="174"/>
      <c r="S12" s="174"/>
      <c r="T12" s="174"/>
      <c r="U12" s="174"/>
      <c r="V12" s="174"/>
      <c r="W12" s="174"/>
      <c r="X12" s="174"/>
      <c r="Y12" s="174"/>
      <c r="Z12" s="174"/>
      <c r="AA12" s="174"/>
      <c r="AB12" s="174"/>
      <c r="AC12" s="174"/>
      <c r="AD12" s="174"/>
      <c r="AE12" s="174"/>
      <c r="AF12" s="174"/>
    </row>
    <row r="13" spans="1:32" ht="15">
      <c r="B13" s="194"/>
      <c r="F13" s="250" t="s">
        <v>127</v>
      </c>
      <c r="G13" s="257">
        <f>C5</f>
        <v>74.089178258489994</v>
      </c>
      <c r="H13" s="257">
        <f>G5</f>
        <v>0.7</v>
      </c>
      <c r="I13" s="257">
        <f>H5</f>
        <v>0</v>
      </c>
      <c r="J13" s="257">
        <f>I5</f>
        <v>248.76</v>
      </c>
      <c r="K13" s="257">
        <f>J5</f>
        <v>218.74</v>
      </c>
      <c r="L13" s="257">
        <f>K5</f>
        <v>152.84</v>
      </c>
      <c r="M13" s="339"/>
      <c r="N13" s="174"/>
      <c r="O13" s="174"/>
      <c r="P13" s="174"/>
      <c r="Q13" s="174"/>
      <c r="R13" s="174"/>
      <c r="S13" s="174"/>
      <c r="T13" s="174"/>
      <c r="U13" s="174"/>
      <c r="V13" s="174"/>
      <c r="W13" s="174"/>
      <c r="X13" s="174"/>
      <c r="Y13" s="174"/>
      <c r="Z13" s="174"/>
      <c r="AA13" s="174"/>
      <c r="AB13" s="174"/>
      <c r="AC13" s="174"/>
      <c r="AD13" s="174"/>
      <c r="AE13" s="174"/>
      <c r="AF13" s="174"/>
    </row>
    <row r="14" spans="1:32">
      <c r="B14" s="170"/>
      <c r="C14" s="351"/>
      <c r="F14" s="250" t="s">
        <v>269</v>
      </c>
      <c r="G14" s="340">
        <v>1</v>
      </c>
      <c r="H14" s="340">
        <f>4/5</f>
        <v>0.8</v>
      </c>
      <c r="I14" s="340">
        <f>3/5</f>
        <v>0.6</v>
      </c>
      <c r="J14" s="340">
        <f>2/5</f>
        <v>0.4</v>
      </c>
      <c r="K14" s="340">
        <f>1/5</f>
        <v>0.2</v>
      </c>
      <c r="L14" s="340">
        <v>0</v>
      </c>
      <c r="M14" s="341"/>
      <c r="N14" s="174"/>
      <c r="O14" s="174"/>
      <c r="P14" s="174"/>
      <c r="Q14" s="174"/>
      <c r="R14" s="174"/>
      <c r="S14" s="174"/>
      <c r="T14" s="174"/>
      <c r="U14" s="174"/>
      <c r="V14" s="174"/>
      <c r="W14" s="174"/>
      <c r="X14" s="174"/>
      <c r="Y14" s="174"/>
      <c r="Z14" s="174"/>
      <c r="AA14" s="174"/>
      <c r="AB14" s="174"/>
      <c r="AC14" s="174"/>
      <c r="AD14" s="174"/>
      <c r="AE14" s="174"/>
      <c r="AF14" s="174"/>
    </row>
    <row r="15" spans="1:32">
      <c r="B15" s="172"/>
      <c r="C15" s="196"/>
      <c r="F15" s="250" t="s">
        <v>270</v>
      </c>
      <c r="G15" s="257">
        <f>G13*G14</f>
        <v>74.089178258489994</v>
      </c>
      <c r="H15" s="257">
        <f t="shared" ref="H15:L15" si="2">H13*H14</f>
        <v>0.55999999999999994</v>
      </c>
      <c r="I15" s="257">
        <f t="shared" si="2"/>
        <v>0</v>
      </c>
      <c r="J15" s="257">
        <f t="shared" si="2"/>
        <v>99.504000000000005</v>
      </c>
      <c r="K15" s="257">
        <f t="shared" si="2"/>
        <v>43.748000000000005</v>
      </c>
      <c r="L15" s="257">
        <f t="shared" si="2"/>
        <v>0</v>
      </c>
      <c r="M15" s="342">
        <f>SUM(G15:L15)</f>
        <v>217.90117825849001</v>
      </c>
      <c r="N15" s="174"/>
      <c r="O15" s="174"/>
      <c r="P15" s="174"/>
      <c r="Q15" s="174"/>
      <c r="R15" s="174"/>
      <c r="S15" s="174"/>
      <c r="T15" s="174"/>
      <c r="U15" s="174"/>
      <c r="V15" s="174"/>
      <c r="W15" s="174"/>
      <c r="X15" s="174"/>
      <c r="Y15" s="174"/>
      <c r="Z15" s="174"/>
      <c r="AA15" s="174"/>
      <c r="AB15" s="174"/>
      <c r="AC15" s="174"/>
      <c r="AD15" s="174"/>
      <c r="AE15" s="174"/>
      <c r="AF15" s="174"/>
    </row>
    <row r="16" spans="1:32">
      <c r="B16" s="172"/>
      <c r="C16" s="197"/>
      <c r="D16" s="174"/>
      <c r="E16" s="174"/>
      <c r="F16" s="250" t="s">
        <v>271</v>
      </c>
      <c r="G16" s="257">
        <v>0</v>
      </c>
      <c r="H16" s="203">
        <f>H13/5</f>
        <v>0.13999999999999999</v>
      </c>
      <c r="I16" s="203">
        <f t="shared" ref="I16:K16" si="3">I13/5</f>
        <v>0</v>
      </c>
      <c r="J16" s="203">
        <f t="shared" si="3"/>
        <v>49.751999999999995</v>
      </c>
      <c r="K16" s="203">
        <f t="shared" si="3"/>
        <v>43.748000000000005</v>
      </c>
      <c r="L16" s="203">
        <f>L13/5</f>
        <v>30.568000000000001</v>
      </c>
      <c r="M16" s="342">
        <f>SUM(H16:L16)</f>
        <v>124.208</v>
      </c>
      <c r="O16" s="174"/>
      <c r="P16" s="174"/>
      <c r="Q16" s="174"/>
      <c r="R16" s="174"/>
      <c r="S16" s="174"/>
      <c r="T16" s="174"/>
      <c r="U16" s="174"/>
      <c r="V16" s="174"/>
      <c r="W16" s="174"/>
      <c r="X16" s="174"/>
      <c r="Y16" s="174"/>
      <c r="Z16" s="174"/>
      <c r="AA16" s="174"/>
      <c r="AB16" s="174"/>
      <c r="AC16" s="174"/>
      <c r="AD16" s="174"/>
      <c r="AE16" s="174"/>
      <c r="AF16" s="174"/>
    </row>
    <row r="17" spans="2:32">
      <c r="B17" s="172"/>
      <c r="C17" s="196"/>
      <c r="D17" s="179"/>
      <c r="E17" s="179"/>
      <c r="O17" s="174"/>
      <c r="P17" s="174"/>
      <c r="Q17" s="174"/>
      <c r="R17" s="174"/>
      <c r="S17" s="174"/>
      <c r="T17" s="174"/>
      <c r="U17" s="174"/>
      <c r="V17" s="174"/>
      <c r="W17" s="174"/>
      <c r="X17" s="174"/>
      <c r="Y17" s="174"/>
      <c r="Z17" s="174"/>
      <c r="AA17" s="174"/>
      <c r="AB17" s="174"/>
      <c r="AC17" s="174"/>
      <c r="AD17" s="174"/>
      <c r="AE17" s="174"/>
      <c r="AF17" s="174"/>
    </row>
    <row r="18" spans="2:32">
      <c r="D18" s="84"/>
      <c r="E18" s="84"/>
      <c r="N18" s="174"/>
      <c r="O18" s="174"/>
      <c r="P18" s="174"/>
      <c r="Q18" s="174"/>
      <c r="R18" s="174"/>
      <c r="S18" s="174"/>
      <c r="T18" s="174"/>
      <c r="U18" s="174"/>
      <c r="V18" s="174"/>
      <c r="W18" s="174"/>
      <c r="X18" s="174"/>
      <c r="Y18" s="174"/>
      <c r="Z18" s="174"/>
      <c r="AA18" s="174"/>
      <c r="AB18" s="174"/>
      <c r="AC18" s="174"/>
      <c r="AD18" s="174"/>
      <c r="AE18" s="174"/>
      <c r="AF18" s="174"/>
    </row>
    <row r="19" spans="2:32">
      <c r="D19" s="84"/>
      <c r="E19" s="84"/>
      <c r="N19" s="174"/>
      <c r="O19" s="174"/>
      <c r="P19" s="174"/>
      <c r="Q19" s="174"/>
      <c r="R19" s="174"/>
      <c r="S19" s="174"/>
      <c r="T19" s="174"/>
      <c r="U19" s="174"/>
      <c r="V19" s="174"/>
      <c r="W19" s="174"/>
      <c r="X19" s="174"/>
      <c r="Y19" s="174"/>
      <c r="Z19" s="174"/>
      <c r="AA19" s="174"/>
      <c r="AB19" s="174"/>
      <c r="AC19" s="174"/>
      <c r="AD19" s="174"/>
      <c r="AE19" s="174"/>
      <c r="AF19" s="174"/>
    </row>
    <row r="20" spans="2:32">
      <c r="D20" s="181"/>
      <c r="E20" s="181"/>
      <c r="N20" s="174"/>
      <c r="O20" s="174"/>
      <c r="P20" s="174"/>
      <c r="Q20" s="174"/>
      <c r="R20" s="174"/>
      <c r="S20" s="174"/>
      <c r="T20" s="174"/>
      <c r="U20" s="174"/>
      <c r="V20" s="174"/>
      <c r="W20" s="174"/>
      <c r="X20" s="174"/>
      <c r="Y20" s="174"/>
      <c r="Z20" s="174"/>
      <c r="AA20" s="174"/>
      <c r="AB20" s="174"/>
      <c r="AC20" s="174"/>
      <c r="AD20" s="174"/>
      <c r="AE20" s="174"/>
      <c r="AF20" s="174"/>
    </row>
    <row r="21" spans="2:32">
      <c r="N21" s="174"/>
      <c r="O21" s="174"/>
      <c r="P21" s="174"/>
      <c r="Q21" s="174"/>
      <c r="R21" s="174"/>
      <c r="S21" s="174"/>
      <c r="T21" s="174"/>
      <c r="U21" s="174"/>
      <c r="V21" s="174"/>
      <c r="W21" s="174"/>
      <c r="X21" s="174"/>
      <c r="Y21" s="174"/>
      <c r="Z21" s="174"/>
      <c r="AA21" s="174"/>
      <c r="AB21" s="174"/>
      <c r="AC21" s="174"/>
      <c r="AD21" s="174"/>
      <c r="AE21" s="174"/>
      <c r="AF21" s="174"/>
    </row>
    <row r="22" spans="2:32">
      <c r="N22" s="174"/>
      <c r="O22" s="174"/>
      <c r="P22" s="174"/>
      <c r="Q22" s="174"/>
      <c r="R22" s="174"/>
      <c r="S22" s="174"/>
      <c r="T22" s="174"/>
      <c r="U22" s="174"/>
      <c r="V22" s="174"/>
      <c r="W22" s="174"/>
      <c r="X22" s="174"/>
      <c r="Y22" s="174"/>
      <c r="Z22" s="174"/>
      <c r="AA22" s="174"/>
      <c r="AB22" s="174"/>
      <c r="AC22" s="174"/>
      <c r="AD22" s="174"/>
      <c r="AE22" s="174"/>
      <c r="AF22" s="174"/>
    </row>
    <row r="23" spans="2:32">
      <c r="G23" s="174"/>
      <c r="H23" s="174"/>
      <c r="I23" s="174"/>
      <c r="J23" s="174"/>
      <c r="K23" s="174"/>
      <c r="L23" s="174"/>
      <c r="M23" s="174"/>
      <c r="N23" s="174"/>
      <c r="O23" s="174"/>
      <c r="P23" s="174"/>
      <c r="Q23" s="174"/>
      <c r="R23" s="174"/>
      <c r="S23" s="174"/>
      <c r="T23" s="174"/>
      <c r="U23" s="174"/>
      <c r="V23" s="174"/>
      <c r="W23" s="174"/>
      <c r="X23" s="174"/>
      <c r="Y23" s="174"/>
      <c r="Z23" s="174"/>
      <c r="AA23" s="174"/>
      <c r="AB23" s="174"/>
      <c r="AC23" s="174"/>
      <c r="AD23" s="174"/>
      <c r="AE23" s="174"/>
      <c r="AF23" s="174"/>
    </row>
    <row r="24" spans="2:32">
      <c r="G24" s="174"/>
      <c r="H24" s="174"/>
      <c r="I24" s="174"/>
      <c r="J24" s="174"/>
      <c r="K24" s="174"/>
      <c r="L24" s="174"/>
      <c r="M24" s="174"/>
      <c r="N24" s="174"/>
      <c r="O24" s="174"/>
      <c r="P24" s="174"/>
      <c r="Q24" s="174"/>
      <c r="R24" s="174"/>
      <c r="S24" s="174"/>
      <c r="T24" s="174"/>
      <c r="U24" s="174"/>
      <c r="V24" s="174"/>
      <c r="W24" s="174"/>
      <c r="X24" s="174"/>
      <c r="Y24" s="174"/>
      <c r="Z24" s="174"/>
      <c r="AA24" s="174"/>
      <c r="AB24" s="174"/>
      <c r="AC24" s="174"/>
      <c r="AD24" s="174"/>
      <c r="AE24" s="174"/>
      <c r="AF24" s="174"/>
    </row>
    <row r="25" spans="2:32">
      <c r="B25" s="172"/>
      <c r="C25" s="196"/>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row>
    <row r="26" spans="2:32">
      <c r="B26" s="172"/>
      <c r="C26" s="196"/>
      <c r="G26" s="174"/>
      <c r="H26" s="174"/>
      <c r="I26" s="174"/>
      <c r="J26" s="174"/>
      <c r="K26" s="174"/>
      <c r="L26" s="174"/>
      <c r="M26" s="174"/>
      <c r="N26" s="174"/>
      <c r="O26" s="174"/>
      <c r="P26" s="174"/>
      <c r="Q26" s="174"/>
      <c r="R26" s="174"/>
      <c r="S26" s="174"/>
      <c r="T26" s="174"/>
      <c r="U26" s="174"/>
      <c r="V26" s="174"/>
      <c r="W26" s="174"/>
      <c r="X26" s="174"/>
      <c r="Y26" s="174"/>
      <c r="Z26" s="174"/>
      <c r="AA26" s="174"/>
      <c r="AB26" s="174"/>
      <c r="AC26" s="174"/>
      <c r="AD26" s="174"/>
      <c r="AE26" s="174"/>
      <c r="AF26" s="174"/>
    </row>
    <row r="27" spans="2:32">
      <c r="B27" s="172"/>
      <c r="C27" s="172"/>
      <c r="G27" s="174"/>
      <c r="H27" s="174"/>
      <c r="I27" s="174"/>
      <c r="J27" s="174"/>
      <c r="K27" s="174"/>
      <c r="L27" s="174"/>
      <c r="M27" s="174"/>
      <c r="N27" s="174"/>
      <c r="O27" s="174"/>
      <c r="P27" s="174"/>
      <c r="Q27" s="174"/>
      <c r="R27" s="174"/>
      <c r="S27" s="174"/>
      <c r="T27" s="174"/>
      <c r="U27" s="174"/>
      <c r="V27" s="174"/>
      <c r="W27" s="174"/>
      <c r="X27" s="174"/>
      <c r="Y27" s="174"/>
      <c r="Z27" s="174"/>
      <c r="AA27" s="174"/>
      <c r="AB27" s="174"/>
      <c r="AC27" s="174"/>
      <c r="AD27" s="174"/>
      <c r="AE27" s="174"/>
      <c r="AF27" s="174"/>
    </row>
    <row r="28" spans="2:32">
      <c r="B28" s="172"/>
      <c r="C28" s="196"/>
      <c r="G28" s="174"/>
      <c r="H28" s="174"/>
      <c r="I28" s="174"/>
      <c r="J28" s="174"/>
      <c r="K28" s="174"/>
      <c r="L28" s="174"/>
      <c r="M28" s="174"/>
      <c r="N28" s="174"/>
      <c r="O28" s="174"/>
      <c r="P28" s="174"/>
      <c r="Q28" s="174"/>
      <c r="R28" s="174"/>
      <c r="S28" s="174"/>
      <c r="T28" s="174"/>
      <c r="U28" s="174"/>
      <c r="V28" s="174"/>
      <c r="W28" s="174"/>
      <c r="X28" s="174"/>
      <c r="Y28" s="174"/>
      <c r="Z28" s="174"/>
      <c r="AA28" s="174"/>
      <c r="AB28" s="174"/>
      <c r="AC28" s="174"/>
      <c r="AD28" s="174"/>
      <c r="AE28" s="174"/>
      <c r="AF28" s="174"/>
    </row>
    <row r="29" spans="2:32">
      <c r="G29" s="174"/>
      <c r="H29" s="174"/>
      <c r="I29" s="174"/>
      <c r="J29" s="174"/>
      <c r="K29" s="174"/>
      <c r="L29" s="174"/>
      <c r="M29" s="174"/>
      <c r="N29" s="174"/>
      <c r="O29" s="174"/>
      <c r="P29" s="174"/>
      <c r="Q29" s="174"/>
      <c r="R29" s="174"/>
      <c r="S29" s="174"/>
      <c r="T29" s="174"/>
      <c r="U29" s="174"/>
      <c r="V29" s="174"/>
      <c r="W29" s="174"/>
      <c r="X29" s="174"/>
      <c r="Y29" s="174"/>
      <c r="Z29" s="174"/>
      <c r="AA29" s="174"/>
      <c r="AB29" s="174"/>
      <c r="AC29" s="174"/>
      <c r="AD29" s="174"/>
      <c r="AE29" s="174"/>
      <c r="AF29" s="174"/>
    </row>
    <row r="30" spans="2:32">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row>
    <row r="31" spans="2:32">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row>
    <row r="32" spans="2:32">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74"/>
      <c r="AE32" s="174"/>
      <c r="AF32" s="174"/>
    </row>
    <row r="33" spans="7:32" ht="14.25" customHeight="1">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174"/>
    </row>
    <row r="34" spans="7:32">
      <c r="G34" s="174"/>
      <c r="H34" s="174"/>
      <c r="I34" s="174"/>
      <c r="J34" s="174"/>
      <c r="K34" s="174"/>
      <c r="L34" s="174"/>
      <c r="M34" s="174"/>
      <c r="N34" s="174"/>
      <c r="O34" s="174"/>
      <c r="P34" s="174"/>
      <c r="Q34" s="174"/>
      <c r="R34" s="174"/>
      <c r="S34" s="174"/>
      <c r="T34" s="174"/>
      <c r="U34" s="174"/>
      <c r="V34" s="174"/>
      <c r="W34" s="174"/>
      <c r="X34" s="174"/>
      <c r="Y34" s="174"/>
      <c r="Z34" s="174"/>
      <c r="AA34" s="174"/>
      <c r="AB34" s="174"/>
      <c r="AC34" s="174"/>
      <c r="AD34" s="174"/>
      <c r="AE34" s="174"/>
      <c r="AF34" s="174"/>
    </row>
    <row r="35" spans="7:32">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row>
    <row r="36" spans="7:32">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row>
    <row r="37" spans="7:32">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row>
    <row r="38" spans="7:32">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row>
    <row r="39" spans="7:32">
      <c r="G39" s="174"/>
      <c r="H39" s="174"/>
      <c r="I39" s="174"/>
      <c r="J39" s="174"/>
      <c r="K39" s="174"/>
      <c r="L39" s="174"/>
      <c r="M39" s="174"/>
      <c r="N39" s="174"/>
      <c r="O39" s="174"/>
      <c r="P39" s="174"/>
      <c r="Q39" s="174"/>
      <c r="R39" s="174"/>
      <c r="S39" s="174"/>
      <c r="T39" s="174"/>
      <c r="U39" s="174"/>
      <c r="V39" s="174"/>
      <c r="W39" s="174"/>
      <c r="X39" s="174"/>
      <c r="Y39" s="174"/>
      <c r="Z39" s="174"/>
      <c r="AA39" s="174"/>
      <c r="AB39" s="174"/>
      <c r="AC39" s="174"/>
      <c r="AD39" s="174"/>
      <c r="AE39" s="174"/>
      <c r="AF39" s="174"/>
    </row>
    <row r="40" spans="7:32">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row>
    <row r="41" spans="7:32">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row>
  </sheetData>
  <mergeCells count="2">
    <mergeCell ref="F3:K3"/>
    <mergeCell ref="F11:M11"/>
  </mergeCell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69" customWidth="1"/>
    <col min="2" max="2" width="40" style="169" customWidth="1"/>
    <col min="3" max="3" width="10.5703125" style="169" customWidth="1"/>
    <col min="4" max="4" width="4" style="169" customWidth="1"/>
    <col min="5" max="5" width="9.28515625" style="169" customWidth="1"/>
    <col min="6" max="6" width="9.85546875" style="169" customWidth="1"/>
    <col min="7" max="7" width="10.140625" style="169" bestFit="1" customWidth="1" collapsed="1"/>
    <col min="8" max="11" width="9" style="169" customWidth="1"/>
    <col min="12" max="12" width="9.28515625" style="169" customWidth="1"/>
    <col min="13" max="26" width="9.140625" style="169" customWidth="1"/>
    <col min="27" max="27" width="9.28515625" style="169" customWidth="1"/>
    <col min="28" max="28" width="9.42578125" style="169" customWidth="1"/>
    <col min="29" max="29" width="10" style="169" customWidth="1"/>
    <col min="30" max="30" width="11.42578125" style="169" customWidth="1"/>
    <col min="31" max="31" width="9.42578125" style="169" bestFit="1" customWidth="1" collapsed="1"/>
    <col min="32" max="16384" width="9.140625" style="169"/>
  </cols>
  <sheetData>
    <row r="1" spans="1:32" s="168" customFormat="1" ht="15" customHeight="1">
      <c r="B1" s="16" t="s">
        <v>136</v>
      </c>
      <c r="C1" s="167"/>
      <c r="D1" s="167"/>
      <c r="E1" s="167"/>
      <c r="F1" s="167"/>
      <c r="G1" s="167"/>
      <c r="H1" s="167"/>
      <c r="I1" s="167"/>
      <c r="J1" s="167"/>
      <c r="K1" s="167"/>
      <c r="L1" s="167"/>
    </row>
    <row r="2" spans="1:32" ht="12.75" customHeight="1">
      <c r="C2" s="195" t="s">
        <v>245</v>
      </c>
    </row>
    <row r="3" spans="1:32">
      <c r="A3" s="171"/>
      <c r="B3" s="186" t="s">
        <v>137</v>
      </c>
      <c r="C3" s="199">
        <f>1059.77</f>
        <v>1059.77</v>
      </c>
    </row>
    <row r="4" spans="1:32">
      <c r="A4" s="176" t="s">
        <v>91</v>
      </c>
      <c r="B4" s="184" t="s">
        <v>2</v>
      </c>
      <c r="C4" s="185">
        <f>'EBIT &amp; Advertising Expense'!C7</f>
        <v>-3840.63</v>
      </c>
      <c r="L4" s="173"/>
      <c r="N4" s="173"/>
      <c r="O4" s="173"/>
      <c r="Q4" s="173"/>
      <c r="R4" s="173"/>
      <c r="S4" s="173"/>
      <c r="T4" s="173"/>
      <c r="U4" s="173"/>
      <c r="V4" s="173"/>
      <c r="AA4" s="173"/>
    </row>
    <row r="5" spans="1:32">
      <c r="A5" s="176" t="s">
        <v>91</v>
      </c>
      <c r="B5" s="184" t="s">
        <v>274</v>
      </c>
      <c r="C5" s="185">
        <f>'EBIT &amp; Advertising Expense'!C9-'EBIT &amp; Advertising Expense'!C11</f>
        <v>-862.24209264045544</v>
      </c>
      <c r="H5" s="174"/>
      <c r="I5" s="174"/>
      <c r="J5" s="174"/>
      <c r="K5" s="174"/>
      <c r="L5" s="174"/>
      <c r="M5" s="174"/>
      <c r="N5" s="174"/>
      <c r="O5" s="174"/>
      <c r="P5" s="174"/>
      <c r="Q5" s="174"/>
      <c r="R5" s="174"/>
      <c r="S5" s="174"/>
      <c r="T5" s="174"/>
      <c r="U5" s="174"/>
      <c r="V5" s="174"/>
      <c r="W5" s="174"/>
      <c r="X5" s="174"/>
      <c r="Y5" s="174"/>
      <c r="Z5" s="174"/>
      <c r="AA5" s="174"/>
      <c r="AB5" s="174"/>
      <c r="AC5" s="174"/>
      <c r="AD5" s="174"/>
      <c r="AE5" s="174"/>
      <c r="AF5" s="174"/>
    </row>
    <row r="6" spans="1:32">
      <c r="A6" s="176" t="s">
        <v>91</v>
      </c>
      <c r="B6" s="184" t="s">
        <v>275</v>
      </c>
      <c r="C6" s="185">
        <f>'EBIT &amp; Operating Lease'!C5-'EBIT &amp; Operating Lease'!C7</f>
        <v>-50.118821741510004</v>
      </c>
      <c r="D6" s="177"/>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row>
    <row r="7" spans="1:32">
      <c r="A7" s="176"/>
      <c r="B7" s="343" t="s">
        <v>136</v>
      </c>
      <c r="C7" s="342">
        <f>SUM(C3:C6)</f>
        <v>-3693.2209143819655</v>
      </c>
      <c r="H7" s="174"/>
      <c r="I7" s="174"/>
      <c r="J7" s="174"/>
      <c r="K7" s="174"/>
      <c r="L7" s="174"/>
      <c r="M7" s="174"/>
      <c r="N7" s="174"/>
      <c r="O7" s="174"/>
      <c r="P7" s="174"/>
      <c r="Q7" s="174"/>
      <c r="R7" s="174"/>
      <c r="S7" s="174"/>
      <c r="T7" s="174"/>
      <c r="U7" s="174"/>
      <c r="V7" s="174"/>
      <c r="W7" s="174"/>
      <c r="X7" s="174"/>
      <c r="Y7" s="174"/>
      <c r="Z7" s="174"/>
      <c r="AA7" s="174"/>
      <c r="AB7" s="174"/>
      <c r="AC7" s="174"/>
      <c r="AD7" s="174"/>
      <c r="AE7" s="174"/>
      <c r="AF7" s="174"/>
    </row>
    <row r="8" spans="1:32">
      <c r="A8" s="176"/>
      <c r="B8" s="172"/>
      <c r="C8" s="196"/>
      <c r="H8" s="174"/>
      <c r="I8" s="174"/>
      <c r="J8" s="174"/>
      <c r="K8" s="174"/>
      <c r="L8" s="174"/>
      <c r="M8" s="174"/>
      <c r="N8" s="174"/>
      <c r="O8" s="174"/>
      <c r="P8" s="174"/>
      <c r="Q8" s="174"/>
      <c r="R8" s="174"/>
      <c r="S8" s="174"/>
      <c r="T8" s="174"/>
      <c r="U8" s="174"/>
      <c r="V8" s="174"/>
      <c r="W8" s="174"/>
      <c r="X8" s="174"/>
      <c r="Y8" s="174"/>
      <c r="Z8" s="174"/>
      <c r="AA8" s="174"/>
      <c r="AB8" s="174"/>
      <c r="AC8" s="174"/>
      <c r="AD8" s="174"/>
      <c r="AE8" s="174"/>
      <c r="AF8" s="174"/>
    </row>
    <row r="9" spans="1:32">
      <c r="H9" s="174"/>
      <c r="I9" s="174"/>
      <c r="J9" s="174"/>
      <c r="K9" s="174"/>
      <c r="L9" s="174"/>
      <c r="M9" s="174"/>
      <c r="N9" s="174"/>
      <c r="O9" s="174"/>
      <c r="P9" s="174"/>
      <c r="Q9" s="174"/>
      <c r="R9" s="174"/>
      <c r="S9" s="174"/>
      <c r="T9" s="174"/>
      <c r="U9" s="174"/>
      <c r="V9" s="174"/>
      <c r="W9" s="174"/>
      <c r="X9" s="174"/>
      <c r="Y9" s="174"/>
      <c r="Z9" s="174"/>
      <c r="AA9" s="174"/>
      <c r="AB9" s="174"/>
      <c r="AC9" s="174"/>
      <c r="AD9" s="174"/>
      <c r="AE9" s="174"/>
      <c r="AF9" s="174"/>
    </row>
    <row r="10" spans="1:32">
      <c r="A10" s="172"/>
      <c r="B10" s="172"/>
      <c r="C10" s="196"/>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row>
    <row r="11" spans="1:32">
      <c r="A11" s="176"/>
      <c r="B11" s="172"/>
      <c r="C11" s="196"/>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row>
    <row r="12" spans="1:32">
      <c r="B12" s="172"/>
      <c r="C12" s="196"/>
      <c r="G12" s="174"/>
      <c r="H12" s="174"/>
      <c r="I12" s="174"/>
      <c r="J12" s="174"/>
      <c r="K12" s="174"/>
      <c r="L12" s="174"/>
      <c r="M12" s="174"/>
      <c r="N12" s="174"/>
      <c r="O12" s="174"/>
      <c r="P12" s="174"/>
      <c r="Q12" s="174"/>
      <c r="R12" s="174"/>
      <c r="S12" s="174"/>
      <c r="T12" s="174"/>
      <c r="U12" s="174"/>
      <c r="V12" s="174"/>
      <c r="W12" s="174"/>
      <c r="X12" s="174"/>
      <c r="Y12" s="174"/>
      <c r="Z12" s="174"/>
      <c r="AA12" s="174"/>
      <c r="AB12" s="174"/>
      <c r="AC12" s="174"/>
      <c r="AD12" s="174"/>
      <c r="AE12" s="174"/>
      <c r="AF12" s="174"/>
    </row>
    <row r="13" spans="1:32">
      <c r="A13" s="176"/>
      <c r="B13" s="172"/>
      <c r="C13" s="196"/>
      <c r="G13" s="174"/>
      <c r="H13" s="174"/>
      <c r="I13" s="174"/>
      <c r="J13" s="174"/>
      <c r="K13" s="174"/>
      <c r="L13" s="174"/>
      <c r="M13" s="174"/>
      <c r="N13" s="174"/>
      <c r="O13" s="174"/>
      <c r="P13" s="174"/>
      <c r="Q13" s="174"/>
      <c r="R13" s="174"/>
      <c r="S13" s="174"/>
      <c r="T13" s="174"/>
      <c r="U13" s="174"/>
      <c r="V13" s="174"/>
      <c r="W13" s="174"/>
      <c r="X13" s="174"/>
      <c r="Y13" s="174"/>
      <c r="Z13" s="174"/>
      <c r="AA13" s="174"/>
      <c r="AB13" s="174"/>
      <c r="AC13" s="174"/>
      <c r="AD13" s="174"/>
      <c r="AE13" s="174"/>
      <c r="AF13" s="174"/>
    </row>
    <row r="14" spans="1:32">
      <c r="B14" s="172"/>
      <c r="C14" s="196"/>
      <c r="D14" s="174"/>
      <c r="E14" s="174"/>
      <c r="F14" s="174"/>
      <c r="G14" s="174"/>
      <c r="H14" s="174"/>
      <c r="I14" s="174"/>
      <c r="O14" s="174"/>
      <c r="P14" s="174"/>
      <c r="Q14" s="174"/>
      <c r="R14" s="174"/>
      <c r="S14" s="174"/>
      <c r="T14" s="174"/>
      <c r="U14" s="174"/>
      <c r="V14" s="174"/>
      <c r="W14" s="174"/>
      <c r="X14" s="174"/>
      <c r="Y14" s="174"/>
      <c r="Z14" s="174"/>
      <c r="AA14" s="174"/>
      <c r="AB14" s="174"/>
      <c r="AC14" s="174"/>
      <c r="AD14" s="174"/>
      <c r="AE14" s="174"/>
      <c r="AF14" s="174"/>
    </row>
    <row r="15" spans="1:32">
      <c r="D15" s="179"/>
      <c r="E15" s="179"/>
      <c r="F15" s="179"/>
      <c r="G15" s="179"/>
      <c r="H15" s="179"/>
      <c r="I15" s="180"/>
      <c r="O15" s="174"/>
      <c r="P15" s="174"/>
      <c r="Q15" s="174"/>
      <c r="R15" s="174"/>
      <c r="S15" s="174"/>
      <c r="T15" s="174"/>
      <c r="U15" s="174"/>
      <c r="V15" s="174"/>
      <c r="W15" s="174"/>
      <c r="X15" s="174"/>
      <c r="Y15" s="174"/>
      <c r="Z15" s="174"/>
      <c r="AA15" s="174"/>
      <c r="AB15" s="174"/>
      <c r="AC15" s="174"/>
      <c r="AD15" s="174"/>
      <c r="AE15" s="174"/>
      <c r="AF15" s="174"/>
    </row>
    <row r="16" spans="1:32">
      <c r="D16" s="84"/>
      <c r="E16" s="84"/>
      <c r="F16" s="84"/>
      <c r="G16" s="84"/>
      <c r="H16" s="84"/>
      <c r="I16" s="8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row>
    <row r="17" spans="2:32" ht="15">
      <c r="B17" s="194"/>
      <c r="D17" s="181"/>
      <c r="E17" s="181"/>
      <c r="F17" s="181"/>
      <c r="G17" s="181"/>
      <c r="H17" s="181"/>
      <c r="I17" s="179"/>
      <c r="J17" s="174"/>
      <c r="K17" s="174"/>
      <c r="L17" s="174"/>
      <c r="M17" s="174"/>
      <c r="N17" s="174"/>
      <c r="O17" s="174"/>
      <c r="P17" s="174"/>
      <c r="Q17" s="174"/>
      <c r="R17" s="174"/>
      <c r="S17" s="174"/>
      <c r="T17" s="174"/>
      <c r="U17" s="174"/>
      <c r="V17" s="174"/>
      <c r="W17" s="174"/>
      <c r="X17" s="174"/>
      <c r="Y17" s="174"/>
      <c r="Z17" s="174"/>
      <c r="AA17" s="174"/>
      <c r="AB17" s="174"/>
      <c r="AC17" s="174"/>
      <c r="AD17" s="174"/>
      <c r="AE17" s="174"/>
      <c r="AF17" s="174"/>
    </row>
    <row r="18" spans="2:32">
      <c r="B18" s="170"/>
      <c r="C18" s="195"/>
      <c r="G18" s="174"/>
      <c r="H18" s="179"/>
      <c r="I18" s="174"/>
      <c r="J18" s="174"/>
      <c r="K18" s="174"/>
      <c r="L18" s="174"/>
      <c r="M18" s="174"/>
      <c r="N18" s="174"/>
      <c r="O18" s="174"/>
      <c r="P18" s="174"/>
      <c r="Q18" s="174"/>
      <c r="R18" s="174"/>
      <c r="S18" s="174"/>
      <c r="T18" s="174"/>
      <c r="U18" s="174"/>
      <c r="V18" s="174"/>
      <c r="W18" s="174"/>
      <c r="X18" s="174"/>
      <c r="Y18" s="174"/>
      <c r="Z18" s="174"/>
      <c r="AA18" s="174"/>
      <c r="AB18" s="174"/>
      <c r="AC18" s="174"/>
      <c r="AD18" s="174"/>
      <c r="AE18" s="174"/>
      <c r="AF18" s="174"/>
    </row>
    <row r="19" spans="2:32">
      <c r="B19" s="172"/>
      <c r="C19" s="196"/>
      <c r="G19" s="174"/>
      <c r="H19" s="174"/>
      <c r="I19" s="174"/>
      <c r="J19" s="174"/>
      <c r="K19" s="174"/>
      <c r="L19" s="174"/>
      <c r="M19" s="174"/>
      <c r="N19" s="174"/>
      <c r="O19" s="174"/>
      <c r="P19" s="174"/>
      <c r="Q19" s="174"/>
      <c r="R19" s="174"/>
      <c r="S19" s="174"/>
      <c r="T19" s="174"/>
      <c r="U19" s="174"/>
      <c r="V19" s="174"/>
      <c r="W19" s="174"/>
      <c r="X19" s="174"/>
      <c r="Y19" s="174"/>
      <c r="Z19" s="174"/>
      <c r="AA19" s="174"/>
      <c r="AB19" s="174"/>
      <c r="AC19" s="174"/>
      <c r="AD19" s="174"/>
      <c r="AE19" s="174"/>
      <c r="AF19" s="174"/>
    </row>
    <row r="20" spans="2:32">
      <c r="B20" s="172"/>
      <c r="C20" s="196"/>
      <c r="G20" s="174"/>
      <c r="H20" s="174"/>
      <c r="I20" s="174"/>
      <c r="J20" s="174"/>
      <c r="K20" s="174"/>
      <c r="L20" s="174"/>
      <c r="M20" s="174"/>
      <c r="N20" s="174"/>
      <c r="O20" s="174"/>
      <c r="P20" s="174"/>
      <c r="Q20" s="174"/>
      <c r="R20" s="174"/>
      <c r="S20" s="174"/>
      <c r="T20" s="174"/>
      <c r="U20" s="174"/>
      <c r="V20" s="174"/>
      <c r="W20" s="174"/>
      <c r="X20" s="174"/>
      <c r="Y20" s="174"/>
      <c r="Z20" s="174"/>
      <c r="AA20" s="174"/>
      <c r="AB20" s="174"/>
      <c r="AC20" s="174"/>
      <c r="AD20" s="174"/>
      <c r="AE20" s="174"/>
      <c r="AF20" s="174"/>
    </row>
    <row r="21" spans="2:32">
      <c r="B21" s="172"/>
      <c r="C21" s="197"/>
      <c r="G21" s="174"/>
      <c r="H21" s="174"/>
      <c r="I21" s="174"/>
      <c r="J21" s="174"/>
      <c r="K21" s="174"/>
      <c r="L21" s="174"/>
      <c r="M21" s="174"/>
      <c r="N21" s="174"/>
      <c r="O21" s="174"/>
      <c r="P21" s="174"/>
      <c r="Q21" s="174"/>
      <c r="R21" s="174"/>
      <c r="S21" s="174"/>
      <c r="T21" s="174"/>
      <c r="U21" s="174"/>
      <c r="V21" s="174"/>
      <c r="W21" s="174"/>
      <c r="X21" s="174"/>
      <c r="Y21" s="174"/>
      <c r="Z21" s="174"/>
      <c r="AA21" s="174"/>
      <c r="AB21" s="174"/>
      <c r="AC21" s="174"/>
      <c r="AD21" s="174"/>
      <c r="AE21" s="174"/>
      <c r="AF21" s="174"/>
    </row>
    <row r="22" spans="2:32">
      <c r="B22" s="172"/>
      <c r="C22" s="172"/>
      <c r="G22" s="174"/>
      <c r="H22" s="174"/>
      <c r="I22" s="174"/>
      <c r="J22" s="174"/>
      <c r="K22" s="174"/>
      <c r="L22" s="174"/>
      <c r="M22" s="174"/>
      <c r="N22" s="174"/>
      <c r="O22" s="174"/>
      <c r="P22" s="174"/>
      <c r="Q22" s="174"/>
      <c r="R22" s="174"/>
      <c r="S22" s="174"/>
      <c r="T22" s="174"/>
      <c r="U22" s="174"/>
      <c r="V22" s="174"/>
      <c r="W22" s="174"/>
      <c r="X22" s="174"/>
      <c r="Y22" s="174"/>
      <c r="Z22" s="174"/>
      <c r="AA22" s="174"/>
      <c r="AB22" s="174"/>
      <c r="AC22" s="174"/>
      <c r="AD22" s="174"/>
      <c r="AE22" s="174"/>
      <c r="AF22" s="174"/>
    </row>
    <row r="23" spans="2:32">
      <c r="B23" s="172"/>
      <c r="C23" s="196"/>
      <c r="G23" s="174"/>
      <c r="H23" s="174"/>
      <c r="I23" s="174"/>
      <c r="J23" s="174"/>
      <c r="K23" s="174"/>
      <c r="L23" s="174"/>
      <c r="M23" s="174"/>
      <c r="N23" s="174"/>
      <c r="O23" s="174"/>
      <c r="P23" s="174"/>
      <c r="Q23" s="174"/>
      <c r="R23" s="174"/>
      <c r="S23" s="174"/>
      <c r="T23" s="174"/>
      <c r="U23" s="174"/>
      <c r="V23" s="174"/>
      <c r="W23" s="174"/>
      <c r="X23" s="174"/>
      <c r="Y23" s="174"/>
      <c r="Z23" s="174"/>
      <c r="AA23" s="174"/>
      <c r="AB23" s="174"/>
      <c r="AC23" s="174"/>
      <c r="AD23" s="174"/>
      <c r="AE23" s="174"/>
      <c r="AF23" s="174"/>
    </row>
    <row r="24" spans="2:32">
      <c r="B24" s="172"/>
      <c r="C24" s="196"/>
      <c r="G24" s="174"/>
      <c r="H24" s="174"/>
      <c r="I24" s="174"/>
      <c r="J24" s="174"/>
      <c r="K24" s="174"/>
      <c r="L24" s="174"/>
      <c r="M24" s="174"/>
      <c r="N24" s="174"/>
      <c r="O24" s="174"/>
      <c r="P24" s="174"/>
      <c r="Q24" s="174"/>
      <c r="R24" s="174"/>
      <c r="S24" s="174"/>
      <c r="T24" s="174"/>
      <c r="U24" s="174"/>
      <c r="V24" s="174"/>
      <c r="W24" s="174"/>
      <c r="X24" s="174"/>
      <c r="Y24" s="174"/>
      <c r="Z24" s="174"/>
      <c r="AA24" s="174"/>
      <c r="AB24" s="174"/>
      <c r="AC24" s="174"/>
      <c r="AD24" s="174"/>
      <c r="AE24" s="174"/>
      <c r="AF24" s="174"/>
    </row>
    <row r="25" spans="2:32">
      <c r="B25" s="172"/>
      <c r="C25" s="172"/>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row>
    <row r="26" spans="2:32">
      <c r="B26" s="172"/>
      <c r="C26" s="196"/>
      <c r="G26" s="174"/>
      <c r="H26" s="174"/>
      <c r="I26" s="174"/>
      <c r="J26" s="174"/>
      <c r="K26" s="174"/>
      <c r="L26" s="174"/>
      <c r="M26" s="174"/>
      <c r="N26" s="174"/>
      <c r="O26" s="174"/>
      <c r="P26" s="174"/>
      <c r="Q26" s="174"/>
      <c r="R26" s="174"/>
      <c r="S26" s="174"/>
      <c r="T26" s="174"/>
      <c r="U26" s="174"/>
      <c r="V26" s="174"/>
      <c r="W26" s="174"/>
      <c r="X26" s="174"/>
      <c r="Y26" s="174"/>
      <c r="Z26" s="174"/>
      <c r="AA26" s="174"/>
      <c r="AB26" s="174"/>
      <c r="AC26" s="174"/>
      <c r="AD26" s="174"/>
      <c r="AE26" s="174"/>
      <c r="AF26" s="174"/>
    </row>
    <row r="27" spans="2:32">
      <c r="G27" s="174"/>
      <c r="H27" s="174"/>
      <c r="I27" s="174"/>
      <c r="J27" s="174"/>
      <c r="K27" s="174"/>
      <c r="L27" s="174"/>
      <c r="M27" s="174"/>
      <c r="N27" s="174"/>
      <c r="O27" s="174"/>
      <c r="P27" s="174"/>
      <c r="Q27" s="174"/>
      <c r="R27" s="174"/>
      <c r="S27" s="174"/>
      <c r="T27" s="174"/>
      <c r="U27" s="174"/>
      <c r="V27" s="174"/>
      <c r="W27" s="174"/>
      <c r="X27" s="174"/>
      <c r="Y27" s="174"/>
      <c r="Z27" s="174"/>
      <c r="AA27" s="174"/>
      <c r="AB27" s="174"/>
      <c r="AC27" s="174"/>
      <c r="AD27" s="174"/>
      <c r="AE27" s="174"/>
      <c r="AF27" s="174"/>
    </row>
    <row r="28" spans="2:32">
      <c r="G28" s="174"/>
      <c r="H28" s="174"/>
      <c r="I28" s="174"/>
      <c r="J28" s="174"/>
      <c r="K28" s="174"/>
      <c r="L28" s="174"/>
      <c r="M28" s="174"/>
      <c r="N28" s="174"/>
      <c r="O28" s="174"/>
      <c r="P28" s="174"/>
      <c r="Q28" s="174"/>
      <c r="R28" s="174"/>
      <c r="S28" s="174"/>
      <c r="T28" s="174"/>
      <c r="U28" s="174"/>
      <c r="V28" s="174"/>
      <c r="W28" s="174"/>
      <c r="X28" s="174"/>
      <c r="Y28" s="174"/>
      <c r="Z28" s="174"/>
      <c r="AA28" s="174"/>
      <c r="AB28" s="174"/>
      <c r="AC28" s="174"/>
      <c r="AD28" s="174"/>
      <c r="AE28" s="174"/>
      <c r="AF28" s="174"/>
    </row>
    <row r="29" spans="2:32">
      <c r="G29" s="174"/>
      <c r="H29" s="174"/>
      <c r="I29" s="174"/>
      <c r="J29" s="174"/>
      <c r="K29" s="174"/>
      <c r="L29" s="174"/>
      <c r="M29" s="174"/>
      <c r="N29" s="174"/>
      <c r="O29" s="174"/>
      <c r="P29" s="174"/>
      <c r="Q29" s="174"/>
      <c r="R29" s="174"/>
      <c r="S29" s="174"/>
      <c r="T29" s="174"/>
      <c r="U29" s="174"/>
      <c r="V29" s="174"/>
      <c r="W29" s="174"/>
      <c r="X29" s="174"/>
      <c r="Y29" s="174"/>
      <c r="Z29" s="174"/>
      <c r="AA29" s="174"/>
      <c r="AB29" s="174"/>
      <c r="AC29" s="174"/>
      <c r="AD29" s="174"/>
      <c r="AE29" s="174"/>
      <c r="AF29" s="174"/>
    </row>
    <row r="30" spans="2:32" ht="14.25" customHeight="1">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row>
    <row r="31" spans="2:32">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row>
    <row r="32" spans="2:32">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74"/>
      <c r="AE32" s="174"/>
      <c r="AF32" s="174"/>
    </row>
    <row r="33" spans="7:32">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174"/>
    </row>
    <row r="34" spans="7:32">
      <c r="G34" s="174"/>
      <c r="H34" s="174"/>
      <c r="I34" s="174"/>
      <c r="J34" s="174"/>
      <c r="K34" s="174"/>
      <c r="L34" s="174"/>
      <c r="M34" s="174"/>
      <c r="N34" s="174"/>
      <c r="O34" s="174"/>
      <c r="P34" s="174"/>
      <c r="Q34" s="174"/>
      <c r="R34" s="174"/>
      <c r="S34" s="174"/>
      <c r="T34" s="174"/>
      <c r="U34" s="174"/>
      <c r="V34" s="174"/>
      <c r="W34" s="174"/>
      <c r="X34" s="174"/>
      <c r="Y34" s="174"/>
      <c r="Z34" s="174"/>
      <c r="AA34" s="174"/>
      <c r="AB34" s="174"/>
      <c r="AC34" s="174"/>
      <c r="AD34" s="174"/>
      <c r="AE34" s="174"/>
      <c r="AF34" s="174"/>
    </row>
    <row r="35" spans="7:32">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row>
    <row r="36" spans="7:32">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row>
    <row r="37" spans="7:32">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row>
    <row r="38" spans="7:32">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69" customWidth="1"/>
    <col min="2" max="2" width="30.5703125" style="169" customWidth="1"/>
    <col min="3" max="3" width="11.7109375" style="169" customWidth="1"/>
    <col min="4" max="4" width="5" style="169" customWidth="1"/>
    <col min="5" max="5" width="32.85546875" style="169" customWidth="1"/>
    <col min="6" max="6" width="9.85546875" style="169" customWidth="1"/>
    <col min="7" max="7" width="10.140625" style="169" customWidth="1" collapsed="1"/>
    <col min="8" max="9" width="10.5703125" style="169" customWidth="1"/>
    <col min="10" max="10" width="9.28515625" style="169" customWidth="1"/>
    <col min="11" max="11" width="10" style="169" customWidth="1"/>
    <col min="12" max="12" width="9.42578125" style="169" customWidth="1"/>
    <col min="13" max="26" width="9.140625" style="169" customWidth="1"/>
    <col min="27" max="27" width="9.28515625" style="169" customWidth="1"/>
    <col min="28" max="28" width="9.42578125" style="169" customWidth="1"/>
    <col min="29" max="29" width="10" style="169" customWidth="1"/>
    <col min="30" max="30" width="11.42578125" style="169" customWidth="1"/>
    <col min="31" max="31" width="9.42578125" style="169" bestFit="1" customWidth="1" collapsed="1"/>
    <col min="32" max="16384" width="9.140625" style="169"/>
  </cols>
  <sheetData>
    <row r="1" spans="1:31" s="168" customFormat="1" ht="15" customHeight="1">
      <c r="B1" s="16" t="s">
        <v>138</v>
      </c>
      <c r="C1" s="167"/>
      <c r="D1" s="167"/>
      <c r="E1" s="167"/>
      <c r="F1" s="167"/>
      <c r="G1" s="167"/>
      <c r="H1" s="167"/>
      <c r="I1" s="167"/>
      <c r="J1" s="167"/>
      <c r="K1" s="167"/>
      <c r="L1" s="167"/>
    </row>
    <row r="2" spans="1:31" ht="12.75" customHeight="1">
      <c r="C2" s="195"/>
    </row>
    <row r="3" spans="1:31">
      <c r="A3" s="171"/>
      <c r="B3" s="184" t="s">
        <v>163</v>
      </c>
      <c r="C3" s="230">
        <f>K22</f>
        <v>3.6296980867573977E-2</v>
      </c>
      <c r="E3" s="226" t="s">
        <v>225</v>
      </c>
      <c r="F3" s="227">
        <v>2017</v>
      </c>
      <c r="G3" s="227">
        <v>2018</v>
      </c>
      <c r="H3" s="227">
        <v>2019</v>
      </c>
      <c r="I3" s="227">
        <v>2020</v>
      </c>
      <c r="J3" s="227">
        <v>2021</v>
      </c>
      <c r="K3" s="227">
        <v>2022</v>
      </c>
    </row>
    <row r="4" spans="1:31">
      <c r="A4" s="176"/>
      <c r="B4" s="182"/>
      <c r="C4" s="182"/>
      <c r="E4" s="222" t="s">
        <v>4</v>
      </c>
      <c r="F4" s="182">
        <v>895.13</v>
      </c>
      <c r="G4" s="182">
        <v>712.69</v>
      </c>
      <c r="H4" s="182">
        <v>623.61</v>
      </c>
      <c r="I4" s="182">
        <v>696.06</v>
      </c>
      <c r="J4" s="182">
        <v>716.48</v>
      </c>
      <c r="K4" s="182">
        <v>756.05</v>
      </c>
      <c r="N4" s="173"/>
      <c r="P4" s="173"/>
      <c r="Q4" s="173"/>
      <c r="R4" s="173"/>
      <c r="S4" s="173"/>
      <c r="T4" s="173"/>
      <c r="U4" s="173"/>
      <c r="Z4" s="173"/>
    </row>
    <row r="5" spans="1:31">
      <c r="A5" s="176"/>
      <c r="B5" s="186" t="s">
        <v>164</v>
      </c>
      <c r="C5" s="187">
        <f>K20</f>
        <v>13329.92</v>
      </c>
      <c r="E5" s="222" t="s">
        <v>155</v>
      </c>
      <c r="F5" s="182">
        <v>94.5</v>
      </c>
      <c r="G5" s="182">
        <v>117.09</v>
      </c>
      <c r="H5" s="182">
        <v>147.9</v>
      </c>
      <c r="I5" s="182">
        <v>37.97</v>
      </c>
      <c r="J5" s="182">
        <v>48.2</v>
      </c>
      <c r="K5" s="182">
        <v>123.34</v>
      </c>
      <c r="N5" s="174"/>
      <c r="O5" s="174"/>
      <c r="P5" s="174"/>
      <c r="Q5" s="174"/>
      <c r="R5" s="174"/>
      <c r="S5" s="174"/>
      <c r="T5" s="174"/>
      <c r="U5" s="174"/>
      <c r="V5" s="174"/>
      <c r="W5" s="174"/>
      <c r="X5" s="174"/>
      <c r="Y5" s="174"/>
      <c r="Z5" s="174"/>
      <c r="AA5" s="174"/>
      <c r="AB5" s="174"/>
      <c r="AC5" s="174"/>
      <c r="AD5" s="174"/>
      <c r="AE5" s="174"/>
    </row>
    <row r="6" spans="1:31">
      <c r="A6" s="176"/>
      <c r="B6" s="190" t="s">
        <v>165</v>
      </c>
      <c r="C6" s="200">
        <f>C5*C3</f>
        <v>483.83585120629169</v>
      </c>
      <c r="D6" s="177"/>
      <c r="E6" s="222" t="s">
        <v>8</v>
      </c>
      <c r="F6" s="182">
        <v>49.41</v>
      </c>
      <c r="G6" s="182">
        <v>45.36</v>
      </c>
      <c r="H6" s="182">
        <v>63.59</v>
      </c>
      <c r="I6" s="182">
        <v>68.37</v>
      </c>
      <c r="J6" s="182">
        <v>66.650000000000006</v>
      </c>
      <c r="K6" s="182">
        <v>77.510000000000005</v>
      </c>
      <c r="N6" s="174"/>
      <c r="O6" s="174"/>
      <c r="P6" s="174"/>
      <c r="Q6" s="174"/>
      <c r="R6" s="174"/>
      <c r="S6" s="174"/>
      <c r="T6" s="174"/>
      <c r="U6" s="174"/>
      <c r="V6" s="174"/>
      <c r="W6" s="174"/>
      <c r="X6" s="174"/>
      <c r="Y6" s="174"/>
      <c r="Z6" s="174"/>
      <c r="AA6" s="174"/>
      <c r="AB6" s="174"/>
      <c r="AC6" s="174"/>
      <c r="AD6" s="174"/>
      <c r="AE6" s="174"/>
    </row>
    <row r="7" spans="1:31">
      <c r="B7" s="182"/>
      <c r="C7" s="182"/>
      <c r="E7" s="222" t="s">
        <v>9</v>
      </c>
      <c r="F7" s="182">
        <v>31.8</v>
      </c>
      <c r="G7" s="182">
        <v>30.51</v>
      </c>
      <c r="H7" s="182">
        <v>36.85</v>
      </c>
      <c r="I7" s="182">
        <v>155.44999999999999</v>
      </c>
      <c r="J7" s="182">
        <v>94.57</v>
      </c>
      <c r="K7" s="182">
        <v>159.85</v>
      </c>
      <c r="N7" s="174"/>
      <c r="O7" s="174"/>
      <c r="P7" s="174"/>
      <c r="Q7" s="174"/>
      <c r="R7" s="174"/>
      <c r="S7" s="174"/>
      <c r="T7" s="174"/>
      <c r="U7" s="174"/>
      <c r="V7" s="174"/>
      <c r="W7" s="174"/>
      <c r="X7" s="174"/>
      <c r="Y7" s="174"/>
      <c r="Z7" s="174"/>
      <c r="AA7" s="174"/>
      <c r="AB7" s="174"/>
      <c r="AC7" s="174"/>
      <c r="AD7" s="174"/>
      <c r="AE7" s="174"/>
    </row>
    <row r="8" spans="1:31">
      <c r="A8" s="176"/>
      <c r="B8" s="186" t="s">
        <v>167</v>
      </c>
      <c r="C8" s="206">
        <f>J20</f>
        <v>4470.8500000000004</v>
      </c>
      <c r="E8" s="222" t="s">
        <v>158</v>
      </c>
      <c r="F8" s="348">
        <v>1186.2</v>
      </c>
      <c r="G8" s="348">
        <v>2729.26</v>
      </c>
      <c r="H8" s="348">
        <v>2848.72</v>
      </c>
      <c r="I8" s="348">
        <v>1661.93</v>
      </c>
      <c r="J8" s="182">
        <v>1450.86</v>
      </c>
      <c r="K8" s="182">
        <v>1482.62</v>
      </c>
      <c r="N8" s="174"/>
      <c r="O8" s="174"/>
      <c r="P8" s="174"/>
      <c r="Q8" s="174"/>
      <c r="R8" s="174"/>
      <c r="S8" s="174"/>
      <c r="T8" s="174"/>
      <c r="U8" s="174"/>
      <c r="V8" s="174"/>
      <c r="W8" s="174"/>
      <c r="X8" s="174"/>
      <c r="Y8" s="174"/>
      <c r="Z8" s="174"/>
      <c r="AA8" s="174"/>
      <c r="AB8" s="174"/>
      <c r="AC8" s="174"/>
      <c r="AD8" s="174"/>
      <c r="AE8" s="174"/>
    </row>
    <row r="9" spans="1:31">
      <c r="A9" s="176"/>
      <c r="B9" s="190" t="s">
        <v>166</v>
      </c>
      <c r="C9" s="191">
        <f>C8*C3</f>
        <v>162.27835691179314</v>
      </c>
      <c r="E9" s="224" t="s">
        <v>160</v>
      </c>
      <c r="F9" s="190">
        <f t="shared" ref="F9:K9" si="0">SUM(F4:F8)</f>
        <v>2257.04</v>
      </c>
      <c r="G9" s="190">
        <f t="shared" si="0"/>
        <v>3634.9100000000003</v>
      </c>
      <c r="H9" s="190">
        <f t="shared" si="0"/>
        <v>3720.67</v>
      </c>
      <c r="I9" s="190">
        <f t="shared" si="0"/>
        <v>2619.7799999999997</v>
      </c>
      <c r="J9" s="190">
        <f t="shared" si="0"/>
        <v>2376.7600000000002</v>
      </c>
      <c r="K9" s="190">
        <f t="shared" si="0"/>
        <v>2599.37</v>
      </c>
      <c r="N9" s="174"/>
      <c r="O9" s="174"/>
      <c r="P9" s="174"/>
      <c r="Q9" s="174"/>
      <c r="R9" s="174"/>
      <c r="S9" s="174"/>
      <c r="T9" s="174"/>
      <c r="U9" s="174"/>
      <c r="V9" s="174"/>
      <c r="W9" s="174"/>
      <c r="X9" s="174"/>
      <c r="Y9" s="174"/>
      <c r="Z9" s="174"/>
      <c r="AA9" s="174"/>
      <c r="AB9" s="174"/>
      <c r="AC9" s="174"/>
      <c r="AD9" s="174"/>
      <c r="AE9" s="174"/>
    </row>
    <row r="10" spans="1:31">
      <c r="A10" s="172"/>
      <c r="B10" s="182"/>
      <c r="C10" s="182"/>
      <c r="N10" s="174"/>
      <c r="O10" s="174"/>
      <c r="P10" s="174"/>
      <c r="Q10" s="174"/>
      <c r="R10" s="174"/>
      <c r="S10" s="174"/>
      <c r="T10" s="174"/>
      <c r="U10" s="174"/>
      <c r="V10" s="174"/>
      <c r="W10" s="174"/>
      <c r="X10" s="174"/>
      <c r="Y10" s="174"/>
      <c r="Z10" s="174"/>
      <c r="AA10" s="174"/>
      <c r="AB10" s="174"/>
      <c r="AC10" s="174"/>
      <c r="AD10" s="174"/>
      <c r="AE10" s="174"/>
    </row>
    <row r="11" spans="1:31">
      <c r="A11" s="176"/>
      <c r="B11" s="186" t="s">
        <v>168</v>
      </c>
      <c r="C11" s="193">
        <f>C6-C9</f>
        <v>321.55749429449855</v>
      </c>
      <c r="E11" s="223" t="s">
        <v>139</v>
      </c>
      <c r="F11" s="352">
        <v>1239.17</v>
      </c>
      <c r="G11" s="120">
        <v>993.83</v>
      </c>
      <c r="H11" s="182">
        <f>43.69+1245.71</f>
        <v>1289.4000000000001</v>
      </c>
      <c r="I11" s="182">
        <f>30.78+890.8</f>
        <v>921.57999999999993</v>
      </c>
      <c r="J11" s="182">
        <f>186.05+1285.93</f>
        <v>1471.98</v>
      </c>
      <c r="K11" s="182">
        <f>226.16+1674.08</f>
        <v>1900.24</v>
      </c>
      <c r="N11" s="174"/>
      <c r="O11" s="174"/>
      <c r="P11" s="174"/>
      <c r="Q11" s="174"/>
      <c r="R11" s="174"/>
      <c r="S11" s="174"/>
      <c r="T11" s="174"/>
      <c r="U11" s="174"/>
      <c r="V11" s="174"/>
      <c r="W11" s="174"/>
      <c r="X11" s="174"/>
      <c r="Y11" s="174"/>
      <c r="Z11" s="174"/>
      <c r="AA11" s="174"/>
      <c r="AB11" s="174"/>
      <c r="AC11" s="174"/>
      <c r="AD11" s="174"/>
      <c r="AE11" s="174"/>
    </row>
    <row r="12" spans="1:31">
      <c r="B12" s="172"/>
      <c r="C12" s="232"/>
      <c r="E12" s="222" t="s">
        <v>159</v>
      </c>
      <c r="F12" s="353">
        <v>1380.96</v>
      </c>
      <c r="G12" s="353">
        <v>1146.81</v>
      </c>
      <c r="H12" s="222">
        <v>812.97</v>
      </c>
      <c r="I12" s="222">
        <v>691.03</v>
      </c>
      <c r="J12" s="222">
        <v>73.06</v>
      </c>
      <c r="K12" s="222">
        <v>52.59</v>
      </c>
      <c r="N12" s="174"/>
      <c r="O12" s="174"/>
      <c r="P12" s="174"/>
      <c r="Q12" s="174"/>
      <c r="R12" s="174"/>
      <c r="S12" s="174"/>
      <c r="T12" s="174"/>
      <c r="U12" s="174"/>
      <c r="V12" s="174"/>
      <c r="W12" s="174"/>
      <c r="X12" s="174"/>
      <c r="Y12" s="174"/>
      <c r="Z12" s="174"/>
      <c r="AA12" s="174"/>
      <c r="AB12" s="174"/>
      <c r="AC12" s="174"/>
      <c r="AD12" s="174"/>
      <c r="AE12" s="174"/>
    </row>
    <row r="13" spans="1:31">
      <c r="A13" s="176"/>
      <c r="E13" s="222" t="s">
        <v>157</v>
      </c>
      <c r="F13" s="182">
        <v>330.35</v>
      </c>
      <c r="G13" s="182">
        <v>260.08999999999997</v>
      </c>
      <c r="H13" s="182">
        <v>323.64999999999998</v>
      </c>
      <c r="I13" s="182">
        <v>207.94</v>
      </c>
      <c r="J13" s="182">
        <v>145.80000000000001</v>
      </c>
      <c r="K13" s="182">
        <v>521.04999999999995</v>
      </c>
      <c r="N13" s="174"/>
      <c r="O13" s="174"/>
      <c r="P13" s="174"/>
      <c r="Q13" s="174"/>
      <c r="R13" s="174"/>
      <c r="S13" s="174"/>
      <c r="T13" s="174"/>
      <c r="U13" s="174"/>
      <c r="V13" s="174"/>
      <c r="W13" s="174"/>
      <c r="X13" s="174"/>
      <c r="Y13" s="174"/>
      <c r="Z13" s="174"/>
      <c r="AA13" s="174"/>
      <c r="AB13" s="174"/>
      <c r="AC13" s="174"/>
      <c r="AD13" s="174"/>
      <c r="AE13" s="174"/>
    </row>
    <row r="14" spans="1:31">
      <c r="E14" s="224" t="s">
        <v>161</v>
      </c>
      <c r="F14" s="190">
        <f t="shared" ref="F14" si="1">SUM(F11:F13)</f>
        <v>2950.48</v>
      </c>
      <c r="G14" s="190">
        <f>SUM(G11:G13)</f>
        <v>2400.73</v>
      </c>
      <c r="H14" s="190">
        <f>SUM(H11:H13)</f>
        <v>2426.02</v>
      </c>
      <c r="I14" s="190">
        <f>SUM(I11:I13)</f>
        <v>1820.55</v>
      </c>
      <c r="J14" s="190">
        <f>SUM(J11:J13)</f>
        <v>1690.84</v>
      </c>
      <c r="K14" s="190">
        <f>SUM(K11:K13)</f>
        <v>2473.88</v>
      </c>
      <c r="N14" s="174"/>
      <c r="O14" s="174"/>
      <c r="P14" s="174"/>
      <c r="Q14" s="174"/>
      <c r="R14" s="174"/>
      <c r="S14" s="174"/>
      <c r="T14" s="174"/>
      <c r="U14" s="174"/>
      <c r="V14" s="174"/>
      <c r="W14" s="174"/>
      <c r="X14" s="174"/>
      <c r="Y14" s="174"/>
      <c r="Z14" s="174"/>
      <c r="AA14" s="174"/>
      <c r="AB14" s="174"/>
      <c r="AC14" s="174"/>
      <c r="AD14" s="174"/>
      <c r="AE14" s="174"/>
    </row>
    <row r="15" spans="1:31">
      <c r="B15" s="212"/>
      <c r="C15" s="212"/>
      <c r="D15" s="212"/>
      <c r="N15" s="174"/>
      <c r="O15" s="174"/>
      <c r="P15" s="174"/>
      <c r="Q15" s="174"/>
      <c r="R15" s="174"/>
      <c r="S15" s="174"/>
      <c r="T15" s="174"/>
      <c r="U15" s="174"/>
      <c r="V15" s="174"/>
      <c r="W15" s="174"/>
      <c r="X15" s="174"/>
      <c r="Y15" s="174"/>
      <c r="Z15" s="174"/>
      <c r="AA15" s="174"/>
      <c r="AB15" s="174"/>
      <c r="AC15" s="174"/>
      <c r="AD15" s="174"/>
      <c r="AE15" s="174"/>
    </row>
    <row r="16" spans="1:31">
      <c r="B16" s="51"/>
      <c r="C16" s="178"/>
      <c r="D16" s="178"/>
      <c r="E16" s="224" t="s">
        <v>140</v>
      </c>
      <c r="F16" s="225">
        <f t="shared" ref="F16" si="2">F9-F14</f>
        <v>-693.44</v>
      </c>
      <c r="G16" s="225">
        <f>G9-G14</f>
        <v>1234.1800000000003</v>
      </c>
      <c r="H16" s="225">
        <f>H9-H14</f>
        <v>1294.6500000000001</v>
      </c>
      <c r="I16" s="225">
        <f>I9-I14</f>
        <v>799.22999999999979</v>
      </c>
      <c r="J16" s="225">
        <f>J9-J14</f>
        <v>685.9200000000003</v>
      </c>
      <c r="K16" s="225">
        <f>K9-K14</f>
        <v>125.48999999999978</v>
      </c>
      <c r="N16" s="174"/>
      <c r="O16" s="174"/>
      <c r="P16" s="174"/>
      <c r="Q16" s="174"/>
      <c r="R16" s="174"/>
      <c r="S16" s="174"/>
      <c r="T16" s="174"/>
      <c r="U16" s="174"/>
      <c r="V16" s="174"/>
      <c r="W16" s="174"/>
      <c r="X16" s="174"/>
      <c r="Y16" s="174"/>
      <c r="Z16" s="174"/>
      <c r="AA16" s="174"/>
      <c r="AB16" s="174"/>
      <c r="AC16" s="174"/>
      <c r="AD16" s="174"/>
      <c r="AE16" s="174"/>
    </row>
    <row r="17" spans="2:32">
      <c r="B17" s="122"/>
      <c r="C17" s="201"/>
      <c r="D17" s="204"/>
      <c r="E17" s="182"/>
      <c r="F17" s="182"/>
      <c r="G17" s="182"/>
      <c r="H17" s="182"/>
      <c r="I17" s="182"/>
      <c r="J17" s="182"/>
      <c r="K17" s="182"/>
      <c r="N17" s="174"/>
      <c r="O17" s="174"/>
      <c r="P17" s="174"/>
      <c r="Q17" s="174"/>
      <c r="R17" s="174"/>
      <c r="S17" s="174"/>
      <c r="T17" s="174"/>
      <c r="U17" s="174"/>
      <c r="V17" s="174"/>
      <c r="W17" s="174"/>
      <c r="X17" s="174"/>
      <c r="Y17" s="174"/>
      <c r="Z17" s="174"/>
      <c r="AA17" s="174"/>
      <c r="AB17" s="174"/>
      <c r="AC17" s="174"/>
      <c r="AD17" s="174"/>
      <c r="AE17" s="174"/>
    </row>
    <row r="18" spans="2:32">
      <c r="B18" s="122"/>
      <c r="C18" s="201"/>
      <c r="D18" s="204"/>
      <c r="E18" s="202" t="s">
        <v>162</v>
      </c>
      <c r="F18" s="228"/>
      <c r="G18" s="231">
        <f t="shared" ref="G18:J18" si="3">G16-F16</f>
        <v>1927.6200000000003</v>
      </c>
      <c r="H18" s="231">
        <f>H16-G16</f>
        <v>60.4699999999998</v>
      </c>
      <c r="I18" s="231">
        <f t="shared" si="3"/>
        <v>-495.4200000000003</v>
      </c>
      <c r="J18" s="231">
        <f t="shared" si="3"/>
        <v>-113.30999999999949</v>
      </c>
      <c r="K18" s="231">
        <f>K16-J16</f>
        <v>-560.43000000000052</v>
      </c>
      <c r="N18" s="174"/>
      <c r="O18" s="174"/>
      <c r="P18" s="174"/>
      <c r="Q18" s="174"/>
      <c r="R18" s="174"/>
      <c r="S18" s="174"/>
      <c r="T18" s="174"/>
      <c r="U18" s="174"/>
      <c r="V18" s="174"/>
      <c r="W18" s="174"/>
      <c r="X18" s="174"/>
      <c r="Y18" s="174"/>
      <c r="Z18" s="174"/>
      <c r="AA18" s="174"/>
      <c r="AB18" s="174"/>
      <c r="AC18" s="174"/>
      <c r="AD18" s="174"/>
      <c r="AE18" s="174"/>
    </row>
    <row r="19" spans="2:32">
      <c r="B19" s="122"/>
      <c r="C19" s="201"/>
      <c r="D19" s="204"/>
      <c r="E19" s="182"/>
      <c r="F19" s="182"/>
      <c r="G19" s="182"/>
      <c r="H19" s="182"/>
      <c r="I19" s="182"/>
      <c r="J19" s="182"/>
      <c r="K19" s="182"/>
      <c r="N19" s="174"/>
      <c r="O19" s="174"/>
      <c r="P19" s="174"/>
      <c r="Q19" s="174"/>
      <c r="R19" s="174"/>
      <c r="S19" s="174"/>
      <c r="T19" s="174"/>
      <c r="U19" s="174"/>
      <c r="V19" s="174"/>
      <c r="W19" s="174"/>
      <c r="X19" s="174"/>
      <c r="Y19" s="174"/>
      <c r="Z19" s="174"/>
      <c r="AA19" s="174"/>
      <c r="AB19" s="174"/>
      <c r="AC19" s="174"/>
      <c r="AD19" s="174"/>
      <c r="AE19" s="174"/>
    </row>
    <row r="20" spans="2:32">
      <c r="B20" s="122"/>
      <c r="C20" s="201"/>
      <c r="D20" s="204"/>
      <c r="E20" s="222" t="s">
        <v>6</v>
      </c>
      <c r="F20" s="348">
        <v>27498.55</v>
      </c>
      <c r="G20" s="348">
        <v>27834.06</v>
      </c>
      <c r="H20" s="348">
        <v>29165.7</v>
      </c>
      <c r="I20" s="348">
        <v>28288</v>
      </c>
      <c r="J20" s="348">
        <v>4470.8500000000004</v>
      </c>
      <c r="K20" s="348">
        <v>13329.92</v>
      </c>
      <c r="N20" s="174"/>
      <c r="O20" s="174"/>
      <c r="P20" s="174"/>
      <c r="Q20" s="174"/>
      <c r="R20" s="174"/>
      <c r="S20" s="174"/>
      <c r="T20" s="174"/>
      <c r="U20" s="174"/>
      <c r="V20" s="174"/>
      <c r="W20" s="174"/>
      <c r="X20" s="174"/>
      <c r="Y20" s="174"/>
      <c r="Z20" s="174"/>
      <c r="AA20" s="174"/>
      <c r="AB20" s="174"/>
      <c r="AC20" s="174"/>
      <c r="AD20" s="174"/>
      <c r="AE20" s="174"/>
    </row>
    <row r="21" spans="2:32">
      <c r="B21" s="122"/>
      <c r="C21" s="201"/>
      <c r="D21" s="204"/>
      <c r="E21" s="183" t="s">
        <v>156</v>
      </c>
      <c r="F21" s="205">
        <f t="shared" ref="F21" si="4">F16/F20</f>
        <v>-2.5217329641017437E-2</v>
      </c>
      <c r="G21" s="205">
        <f>G16/G20</f>
        <v>4.4340638771347057E-2</v>
      </c>
      <c r="H21" s="205">
        <f>H16/H20</f>
        <v>4.4389471193902429E-2</v>
      </c>
      <c r="I21" s="205">
        <f>I16/I20</f>
        <v>2.8253322963800898E-2</v>
      </c>
      <c r="J21" s="205">
        <f>J16/J20</f>
        <v>0.15342049051075304</v>
      </c>
      <c r="K21" s="205">
        <f>K16/K20</f>
        <v>9.4141600249663757E-3</v>
      </c>
      <c r="N21" s="174"/>
      <c r="O21" s="174"/>
      <c r="P21" s="174"/>
      <c r="Q21" s="174"/>
      <c r="R21" s="174"/>
      <c r="S21" s="174"/>
      <c r="T21" s="174"/>
      <c r="U21" s="174"/>
      <c r="V21" s="174"/>
      <c r="W21" s="174"/>
      <c r="X21" s="174"/>
      <c r="Y21" s="174"/>
      <c r="Z21" s="174"/>
      <c r="AA21" s="174"/>
      <c r="AB21" s="174"/>
      <c r="AC21" s="174"/>
      <c r="AD21" s="174"/>
      <c r="AE21" s="174"/>
    </row>
    <row r="22" spans="2:32">
      <c r="B22" s="122"/>
      <c r="C22" s="201"/>
      <c r="D22" s="204"/>
      <c r="J22" s="195" t="s">
        <v>276</v>
      </c>
      <c r="K22" s="229">
        <f>MEDIAN(F21:K21)</f>
        <v>3.6296980867573977E-2</v>
      </c>
      <c r="O22" s="174"/>
      <c r="P22" s="174"/>
      <c r="Q22" s="174"/>
      <c r="R22" s="174"/>
      <c r="S22" s="174"/>
      <c r="T22" s="174"/>
      <c r="U22" s="174"/>
      <c r="V22" s="174"/>
      <c r="W22" s="174"/>
      <c r="X22" s="174"/>
      <c r="Y22" s="174"/>
      <c r="Z22" s="174"/>
      <c r="AA22" s="174"/>
      <c r="AB22" s="174"/>
      <c r="AC22" s="174"/>
      <c r="AD22" s="174"/>
      <c r="AE22" s="174"/>
      <c r="AF22" s="174"/>
    </row>
    <row r="23" spans="2:32">
      <c r="B23" s="122"/>
      <c r="C23" s="201"/>
      <c r="D23" s="204"/>
      <c r="M23" s="174"/>
      <c r="N23" s="174"/>
      <c r="O23" s="174"/>
      <c r="P23" s="174"/>
      <c r="Q23" s="174"/>
      <c r="R23" s="174"/>
      <c r="S23" s="174"/>
      <c r="T23" s="174"/>
      <c r="U23" s="174"/>
      <c r="V23" s="174"/>
      <c r="W23" s="174"/>
      <c r="X23" s="174"/>
      <c r="Y23" s="174"/>
      <c r="Z23" s="174"/>
      <c r="AA23" s="174"/>
      <c r="AB23" s="174"/>
      <c r="AC23" s="174"/>
      <c r="AD23" s="174"/>
      <c r="AE23" s="174"/>
      <c r="AF23" s="174"/>
    </row>
    <row r="24" spans="2:32">
      <c r="B24" s="122"/>
      <c r="C24" s="201"/>
      <c r="D24" s="204"/>
      <c r="M24" s="174"/>
      <c r="N24" s="174"/>
      <c r="O24" s="174"/>
      <c r="P24" s="174"/>
      <c r="Q24" s="174"/>
      <c r="R24" s="174"/>
      <c r="S24" s="174"/>
      <c r="T24" s="174"/>
      <c r="U24" s="174"/>
      <c r="V24" s="174"/>
      <c r="W24" s="174"/>
      <c r="X24" s="174"/>
      <c r="Y24" s="174"/>
      <c r="Z24" s="174"/>
      <c r="AA24" s="174"/>
      <c r="AB24" s="174"/>
      <c r="AC24" s="174"/>
      <c r="AD24" s="174"/>
      <c r="AE24" s="174"/>
      <c r="AF24" s="174"/>
    </row>
    <row r="25" spans="2:32">
      <c r="B25" s="211"/>
      <c r="C25" s="211"/>
      <c r="D25" s="210"/>
      <c r="M25" s="174"/>
      <c r="N25" s="174"/>
      <c r="O25" s="174"/>
      <c r="P25" s="174"/>
      <c r="Q25" s="174"/>
      <c r="R25" s="174"/>
      <c r="S25" s="174"/>
      <c r="T25" s="174"/>
      <c r="U25" s="174"/>
      <c r="V25" s="174"/>
      <c r="W25" s="174"/>
      <c r="X25" s="174"/>
      <c r="Y25" s="174"/>
      <c r="Z25" s="174"/>
      <c r="AA25" s="174"/>
      <c r="AB25" s="174"/>
      <c r="AC25" s="174"/>
      <c r="AD25" s="174"/>
      <c r="AE25" s="174"/>
      <c r="AF25" s="174"/>
    </row>
    <row r="26" spans="2:32">
      <c r="M26" s="174"/>
      <c r="N26" s="174"/>
      <c r="O26" s="174"/>
      <c r="P26" s="174"/>
      <c r="Q26" s="174"/>
      <c r="R26" s="174"/>
      <c r="S26" s="174"/>
      <c r="T26" s="174"/>
      <c r="U26" s="174"/>
      <c r="V26" s="174"/>
      <c r="W26" s="174"/>
      <c r="X26" s="174"/>
      <c r="Y26" s="174"/>
      <c r="Z26" s="174"/>
      <c r="AA26" s="174"/>
      <c r="AB26" s="174"/>
      <c r="AC26" s="174"/>
      <c r="AD26" s="174"/>
      <c r="AE26" s="174"/>
      <c r="AF26" s="174"/>
    </row>
    <row r="27" spans="2:32">
      <c r="K27" s="174"/>
      <c r="L27" s="174"/>
      <c r="M27" s="174"/>
      <c r="N27" s="174"/>
      <c r="O27" s="174"/>
      <c r="P27" s="174"/>
      <c r="Q27" s="174"/>
      <c r="R27" s="174"/>
      <c r="S27" s="174"/>
      <c r="T27" s="174"/>
      <c r="U27" s="174"/>
      <c r="V27" s="174"/>
      <c r="W27" s="174"/>
      <c r="X27" s="174"/>
      <c r="Y27" s="174"/>
      <c r="Z27" s="174"/>
      <c r="AA27" s="174"/>
      <c r="AB27" s="174"/>
      <c r="AC27" s="174"/>
      <c r="AD27" s="174"/>
      <c r="AE27" s="174"/>
      <c r="AF27" s="174"/>
    </row>
    <row r="28" spans="2:32">
      <c r="K28" s="174"/>
      <c r="L28" s="174"/>
      <c r="M28" s="174"/>
      <c r="N28" s="174"/>
      <c r="O28" s="174"/>
      <c r="P28" s="174"/>
      <c r="Q28" s="174"/>
      <c r="R28" s="174"/>
      <c r="S28" s="174"/>
      <c r="T28" s="174"/>
      <c r="U28" s="174"/>
      <c r="V28" s="174"/>
      <c r="W28" s="174"/>
      <c r="X28" s="174"/>
      <c r="Y28" s="174"/>
      <c r="Z28" s="174"/>
      <c r="AA28" s="174"/>
      <c r="AB28" s="174"/>
      <c r="AC28" s="174"/>
      <c r="AD28" s="174"/>
      <c r="AE28" s="174"/>
      <c r="AF28" s="174"/>
    </row>
    <row r="29" spans="2:32">
      <c r="K29" s="174"/>
      <c r="L29" s="174"/>
      <c r="M29" s="174"/>
      <c r="N29" s="174"/>
      <c r="O29" s="174"/>
      <c r="P29" s="174"/>
      <c r="Q29" s="174"/>
      <c r="R29" s="174"/>
      <c r="S29" s="174"/>
      <c r="T29" s="174"/>
      <c r="U29" s="174"/>
      <c r="V29" s="174"/>
      <c r="W29" s="174"/>
      <c r="X29" s="174"/>
      <c r="Y29" s="174"/>
      <c r="Z29" s="174"/>
      <c r="AA29" s="174"/>
      <c r="AB29" s="174"/>
      <c r="AC29" s="174"/>
      <c r="AD29" s="174"/>
      <c r="AE29" s="174"/>
      <c r="AF29" s="174"/>
    </row>
    <row r="30" spans="2:32" ht="14.25" customHeight="1">
      <c r="K30" s="174"/>
      <c r="L30" s="174"/>
      <c r="M30" s="174"/>
      <c r="N30" s="174"/>
      <c r="O30" s="174"/>
      <c r="P30" s="174"/>
      <c r="Q30" s="174"/>
      <c r="R30" s="174"/>
      <c r="S30" s="174"/>
      <c r="T30" s="174"/>
      <c r="U30" s="174"/>
      <c r="V30" s="174"/>
      <c r="W30" s="174"/>
      <c r="X30" s="174"/>
      <c r="Y30" s="174"/>
      <c r="Z30" s="174"/>
      <c r="AA30" s="174"/>
      <c r="AB30" s="174"/>
      <c r="AC30" s="174"/>
      <c r="AD30" s="174"/>
      <c r="AE30" s="174"/>
      <c r="AF30" s="174"/>
    </row>
    <row r="31" spans="2:32">
      <c r="K31" s="174"/>
      <c r="L31" s="174"/>
      <c r="M31" s="174"/>
      <c r="N31" s="174"/>
      <c r="O31" s="174"/>
      <c r="P31" s="174"/>
      <c r="Q31" s="174"/>
      <c r="R31" s="174"/>
      <c r="S31" s="174"/>
      <c r="T31" s="174"/>
      <c r="U31" s="174"/>
      <c r="V31" s="174"/>
      <c r="W31" s="174"/>
      <c r="X31" s="174"/>
      <c r="Y31" s="174"/>
      <c r="Z31" s="174"/>
      <c r="AA31" s="174"/>
      <c r="AB31" s="174"/>
      <c r="AC31" s="174"/>
      <c r="AD31" s="174"/>
      <c r="AE31" s="174"/>
      <c r="AF31" s="174"/>
    </row>
    <row r="32" spans="2:32">
      <c r="K32" s="174"/>
      <c r="L32" s="174"/>
      <c r="M32" s="174"/>
      <c r="N32" s="174"/>
      <c r="O32" s="174"/>
      <c r="P32" s="174"/>
      <c r="Q32" s="174"/>
      <c r="R32" s="174"/>
      <c r="S32" s="174"/>
      <c r="T32" s="174"/>
      <c r="U32" s="174"/>
      <c r="V32" s="174"/>
      <c r="W32" s="174"/>
      <c r="X32" s="174"/>
      <c r="Y32" s="174"/>
      <c r="Z32" s="174"/>
      <c r="AA32" s="174"/>
      <c r="AB32" s="174"/>
      <c r="AC32" s="174"/>
      <c r="AD32" s="174"/>
      <c r="AE32" s="174"/>
      <c r="AF32" s="174"/>
    </row>
    <row r="33" spans="7:32">
      <c r="K33" s="174"/>
      <c r="L33" s="174"/>
      <c r="M33" s="174"/>
      <c r="N33" s="174"/>
      <c r="O33" s="174"/>
      <c r="P33" s="174"/>
      <c r="Q33" s="174"/>
      <c r="R33" s="174"/>
      <c r="S33" s="174"/>
      <c r="T33" s="174"/>
      <c r="U33" s="174"/>
      <c r="V33" s="174"/>
      <c r="W33" s="174"/>
      <c r="X33" s="174"/>
      <c r="Y33" s="174"/>
      <c r="Z33" s="174"/>
      <c r="AA33" s="174"/>
      <c r="AB33" s="174"/>
      <c r="AC33" s="174"/>
      <c r="AD33" s="174"/>
      <c r="AE33" s="174"/>
      <c r="AF33" s="174"/>
    </row>
    <row r="34" spans="7:32">
      <c r="K34" s="174"/>
      <c r="L34" s="174"/>
      <c r="M34" s="174"/>
      <c r="N34" s="174"/>
      <c r="O34" s="174"/>
      <c r="P34" s="174"/>
      <c r="Q34" s="174"/>
      <c r="R34" s="174"/>
      <c r="S34" s="174"/>
      <c r="T34" s="174"/>
      <c r="U34" s="174"/>
      <c r="V34" s="174"/>
      <c r="W34" s="174"/>
      <c r="X34" s="174"/>
      <c r="Y34" s="174"/>
      <c r="Z34" s="174"/>
      <c r="AA34" s="174"/>
      <c r="AB34" s="174"/>
      <c r="AC34" s="174"/>
      <c r="AD34" s="174"/>
      <c r="AE34" s="174"/>
      <c r="AF34" s="174"/>
    </row>
    <row r="35" spans="7:32">
      <c r="K35" s="174"/>
      <c r="L35" s="174"/>
      <c r="M35" s="174"/>
      <c r="N35" s="174"/>
      <c r="O35" s="174"/>
      <c r="P35" s="174"/>
      <c r="Q35" s="174"/>
      <c r="R35" s="174"/>
      <c r="S35" s="174"/>
      <c r="T35" s="174"/>
      <c r="U35" s="174"/>
      <c r="V35" s="174"/>
      <c r="W35" s="174"/>
      <c r="X35" s="174"/>
      <c r="Y35" s="174"/>
      <c r="Z35" s="174"/>
      <c r="AA35" s="174"/>
      <c r="AB35" s="174"/>
      <c r="AC35" s="174"/>
      <c r="AD35" s="174"/>
      <c r="AE35" s="174"/>
      <c r="AF35" s="174"/>
    </row>
    <row r="36" spans="7:32">
      <c r="K36" s="174"/>
      <c r="L36" s="174"/>
      <c r="M36" s="174"/>
      <c r="N36" s="174"/>
      <c r="O36" s="174"/>
      <c r="P36" s="174"/>
      <c r="Q36" s="174"/>
      <c r="R36" s="174"/>
      <c r="S36" s="174"/>
      <c r="T36" s="174"/>
      <c r="U36" s="174"/>
      <c r="V36" s="174"/>
      <c r="W36" s="174"/>
      <c r="X36" s="174"/>
      <c r="Y36" s="174"/>
      <c r="Z36" s="174"/>
      <c r="AA36" s="174"/>
      <c r="AB36" s="174"/>
      <c r="AC36" s="174"/>
      <c r="AD36" s="174"/>
      <c r="AE36" s="174"/>
      <c r="AF36" s="174"/>
    </row>
    <row r="37" spans="7:32">
      <c r="K37" s="174"/>
      <c r="L37" s="174"/>
      <c r="M37" s="174"/>
      <c r="N37" s="174"/>
      <c r="O37" s="174"/>
      <c r="P37" s="174"/>
      <c r="Q37" s="174"/>
      <c r="R37" s="174"/>
      <c r="S37" s="174"/>
      <c r="T37" s="174"/>
      <c r="U37" s="174"/>
      <c r="V37" s="174"/>
      <c r="W37" s="174"/>
      <c r="X37" s="174"/>
      <c r="Y37" s="174"/>
      <c r="Z37" s="174"/>
      <c r="AA37" s="174"/>
      <c r="AB37" s="174"/>
      <c r="AC37" s="174"/>
      <c r="AD37" s="174"/>
      <c r="AE37" s="174"/>
      <c r="AF37" s="174"/>
    </row>
    <row r="38" spans="7:32">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69" customWidth="1"/>
    <col min="2" max="2" width="29.28515625" style="169" customWidth="1"/>
    <col min="3" max="3" width="11.7109375" style="169" customWidth="1"/>
    <col min="4" max="4" width="4.85546875" style="169" customWidth="1"/>
    <col min="5" max="5" width="10.140625" style="169" customWidth="1"/>
    <col min="6" max="6" width="32.42578125" style="169" customWidth="1"/>
    <col min="7" max="7" width="10.7109375" style="169" bestFit="1" customWidth="1" collapsed="1"/>
    <col min="8" max="8" width="5.42578125" style="169" customWidth="1"/>
    <col min="9" max="9" width="5" style="169" customWidth="1"/>
    <col min="10" max="10" width="31.5703125" style="169" customWidth="1"/>
    <col min="11" max="11" width="10.7109375" style="169" bestFit="1" customWidth="1"/>
    <col min="12" max="12" width="9.85546875" style="169" customWidth="1"/>
    <col min="13" max="26" width="9.140625" style="169" customWidth="1"/>
    <col min="27" max="27" width="9.28515625" style="169" customWidth="1"/>
    <col min="28" max="28" width="9.42578125" style="169" customWidth="1"/>
    <col min="29" max="29" width="10" style="169" customWidth="1"/>
    <col min="30" max="30" width="11.42578125" style="169" customWidth="1"/>
    <col min="31" max="31" width="9.42578125" style="169" bestFit="1" customWidth="1" collapsed="1"/>
    <col min="32" max="16384" width="9.140625" style="169"/>
  </cols>
  <sheetData>
    <row r="1" spans="1:32" s="168" customFormat="1" ht="15" customHeight="1">
      <c r="B1" s="16" t="s">
        <v>154</v>
      </c>
      <c r="C1" s="167"/>
      <c r="D1" s="167"/>
      <c r="E1" s="167"/>
      <c r="F1" s="167"/>
      <c r="G1" s="167"/>
      <c r="H1" s="167"/>
      <c r="I1" s="167"/>
      <c r="J1" s="167"/>
      <c r="K1" s="167"/>
      <c r="L1" s="167"/>
    </row>
    <row r="2" spans="1:32" ht="12.75" customHeight="1">
      <c r="C2" s="195"/>
    </row>
    <row r="3" spans="1:32" ht="15.75">
      <c r="A3" s="171"/>
      <c r="B3" s="198" t="str">
        <f>F14</f>
        <v>Free Cash Flow to Firm (FCFF)</v>
      </c>
      <c r="C3" s="220">
        <f>G14</f>
        <v>1758.0660308554427</v>
      </c>
      <c r="F3" s="153" t="s">
        <v>142</v>
      </c>
      <c r="G3" s="182"/>
      <c r="J3" s="153" t="s">
        <v>146</v>
      </c>
      <c r="K3" s="182"/>
      <c r="L3" s="179"/>
    </row>
    <row r="4" spans="1:32" ht="15">
      <c r="A4" s="176"/>
      <c r="F4" s="192"/>
      <c r="G4" s="161" t="s">
        <v>245</v>
      </c>
      <c r="J4" s="192"/>
      <c r="K4" s="161" t="s">
        <v>245</v>
      </c>
      <c r="L4" s="84"/>
      <c r="O4" s="173"/>
      <c r="Q4" s="173"/>
      <c r="R4" s="173"/>
      <c r="S4" s="173"/>
      <c r="T4" s="173"/>
      <c r="U4" s="173"/>
      <c r="V4" s="173"/>
      <c r="AA4" s="173"/>
    </row>
    <row r="5" spans="1:32">
      <c r="A5" s="176"/>
      <c r="B5" s="219" t="str">
        <f>J13</f>
        <v>Free Cash Flow to Equity (FCFE)</v>
      </c>
      <c r="C5" s="221">
        <f>K13</f>
        <v>1734.5619278554429</v>
      </c>
      <c r="F5" s="186" t="s">
        <v>134</v>
      </c>
      <c r="G5" s="199">
        <f>'EBIT &amp; Operating Lease'!C8</f>
        <v>-2156.3509143819647</v>
      </c>
      <c r="J5" s="186" t="s">
        <v>134</v>
      </c>
      <c r="K5" s="187">
        <f>G5</f>
        <v>-2156.3509143819647</v>
      </c>
      <c r="L5" s="181"/>
      <c r="O5" s="174"/>
      <c r="P5" s="174"/>
      <c r="Q5" s="174"/>
      <c r="R5" s="174"/>
      <c r="S5" s="174"/>
      <c r="T5" s="174"/>
      <c r="U5" s="174"/>
      <c r="V5" s="174"/>
      <c r="W5" s="174"/>
      <c r="X5" s="174"/>
      <c r="Y5" s="174"/>
      <c r="Z5" s="174"/>
      <c r="AA5" s="174"/>
      <c r="AB5" s="174"/>
      <c r="AC5" s="174"/>
      <c r="AD5" s="174"/>
      <c r="AE5" s="174"/>
      <c r="AF5" s="174"/>
    </row>
    <row r="6" spans="1:32">
      <c r="A6" s="176"/>
      <c r="F6" s="186" t="s">
        <v>103</v>
      </c>
      <c r="G6" s="215">
        <v>0.25169999999999998</v>
      </c>
      <c r="J6" s="184" t="s">
        <v>147</v>
      </c>
      <c r="K6" s="187">
        <v>31.41</v>
      </c>
      <c r="O6" s="174"/>
      <c r="P6" s="174"/>
      <c r="Q6" s="174"/>
      <c r="R6" s="174"/>
      <c r="S6" s="174"/>
      <c r="T6" s="174"/>
      <c r="U6" s="174"/>
      <c r="V6" s="174"/>
      <c r="W6" s="174"/>
      <c r="X6" s="174"/>
      <c r="Y6" s="174"/>
      <c r="Z6" s="174"/>
      <c r="AA6" s="174"/>
      <c r="AB6" s="174"/>
      <c r="AC6" s="174"/>
      <c r="AD6" s="174"/>
      <c r="AE6" s="174"/>
      <c r="AF6" s="174"/>
    </row>
    <row r="7" spans="1:32">
      <c r="F7" s="184"/>
      <c r="G7" s="207"/>
      <c r="J7" s="188" t="s">
        <v>148</v>
      </c>
      <c r="K7" s="189">
        <f>K5-K6</f>
        <v>-2187.7609143819645</v>
      </c>
      <c r="O7" s="174"/>
      <c r="P7" s="174"/>
      <c r="Q7" s="174"/>
      <c r="R7" s="174"/>
      <c r="S7" s="174"/>
      <c r="T7" s="174"/>
      <c r="U7" s="174"/>
      <c r="V7" s="174"/>
      <c r="W7" s="174"/>
      <c r="X7" s="174"/>
      <c r="Y7" s="174"/>
      <c r="Z7" s="174"/>
      <c r="AA7" s="174"/>
      <c r="AB7" s="174"/>
      <c r="AC7" s="174"/>
      <c r="AD7" s="174"/>
      <c r="AE7" s="174"/>
      <c r="AF7" s="174"/>
    </row>
    <row r="8" spans="1:32">
      <c r="A8" s="176"/>
      <c r="F8" s="186" t="s">
        <v>143</v>
      </c>
      <c r="G8" s="187">
        <f>G5*(1-G6)</f>
        <v>-1613.5973892320242</v>
      </c>
      <c r="H8" s="177"/>
      <c r="J8" s="198" t="s">
        <v>189</v>
      </c>
      <c r="K8" s="218">
        <f>'FCFF &amp; FCFE'!G6</f>
        <v>0.25169999999999998</v>
      </c>
      <c r="O8" s="174"/>
      <c r="P8" s="174"/>
      <c r="Q8" s="174"/>
      <c r="R8" s="174"/>
      <c r="S8" s="174"/>
      <c r="T8" s="174"/>
      <c r="U8" s="174"/>
      <c r="V8" s="174"/>
      <c r="W8" s="174"/>
      <c r="X8" s="174"/>
      <c r="Y8" s="174"/>
      <c r="Z8" s="174"/>
      <c r="AA8" s="174"/>
      <c r="AB8" s="174"/>
      <c r="AC8" s="174"/>
      <c r="AD8" s="174"/>
      <c r="AE8" s="174"/>
      <c r="AF8" s="174"/>
    </row>
    <row r="9" spans="1:32">
      <c r="A9" s="176"/>
      <c r="F9" s="198"/>
      <c r="G9" s="208"/>
      <c r="J9" s="190" t="s">
        <v>149</v>
      </c>
      <c r="K9" s="191">
        <f>K7*(1-K8)</f>
        <v>-1637.1014922320239</v>
      </c>
      <c r="O9" s="174"/>
      <c r="P9" s="174"/>
      <c r="Q9" s="174"/>
      <c r="R9" s="174"/>
      <c r="S9" s="174"/>
      <c r="T9" s="174"/>
      <c r="U9" s="174"/>
      <c r="V9" s="174"/>
      <c r="W9" s="174"/>
      <c r="X9" s="174"/>
      <c r="Y9" s="174"/>
      <c r="Z9" s="174"/>
      <c r="AA9" s="174"/>
      <c r="AB9" s="174"/>
      <c r="AC9" s="174"/>
      <c r="AD9" s="174"/>
      <c r="AE9" s="174"/>
      <c r="AF9" s="174"/>
    </row>
    <row r="10" spans="1:32">
      <c r="A10" s="172"/>
      <c r="F10" s="186" t="s">
        <v>277</v>
      </c>
      <c r="G10" s="187">
        <f>'Net CapEx'!C7</f>
        <v>-3693.2209143819655</v>
      </c>
      <c r="J10" s="182"/>
      <c r="K10" s="182"/>
      <c r="O10" s="174"/>
      <c r="P10" s="174"/>
      <c r="Q10" s="174"/>
      <c r="R10" s="174"/>
      <c r="S10" s="174"/>
      <c r="T10" s="174"/>
      <c r="U10" s="174"/>
      <c r="V10" s="174"/>
      <c r="W10" s="174"/>
      <c r="X10" s="174"/>
      <c r="Y10" s="174"/>
      <c r="Z10" s="174"/>
      <c r="AA10" s="174"/>
      <c r="AB10" s="174"/>
      <c r="AC10" s="174"/>
      <c r="AD10" s="174"/>
      <c r="AE10" s="174"/>
      <c r="AF10" s="174"/>
    </row>
    <row r="11" spans="1:32">
      <c r="A11" s="176"/>
      <c r="F11" s="186" t="s">
        <v>168</v>
      </c>
      <c r="G11" s="187">
        <f>'Working Capital Changes'!C11</f>
        <v>321.55749429449855</v>
      </c>
      <c r="J11" s="186" t="str">
        <f>F12</f>
        <v>Reinvestment</v>
      </c>
      <c r="K11" s="187">
        <f>G12</f>
        <v>-3371.6634200874669</v>
      </c>
      <c r="O11" s="174"/>
      <c r="P11" s="174"/>
      <c r="Q11" s="174"/>
      <c r="R11" s="174"/>
      <c r="S11" s="174"/>
      <c r="T11" s="174"/>
      <c r="U11" s="174"/>
      <c r="V11" s="174"/>
      <c r="W11" s="174"/>
      <c r="X11" s="174"/>
      <c r="Y11" s="174"/>
      <c r="Z11" s="174"/>
      <c r="AA11" s="174"/>
      <c r="AB11" s="174"/>
      <c r="AC11" s="174"/>
      <c r="AD11" s="174"/>
      <c r="AE11" s="174"/>
      <c r="AF11" s="174"/>
    </row>
    <row r="12" spans="1:32">
      <c r="F12" s="190" t="s">
        <v>145</v>
      </c>
      <c r="G12" s="217">
        <f>G10+G11</f>
        <v>-3371.6634200874669</v>
      </c>
      <c r="J12" s="186"/>
      <c r="K12" s="159"/>
      <c r="O12" s="174"/>
      <c r="P12" s="174"/>
      <c r="Q12" s="174"/>
      <c r="R12" s="174"/>
      <c r="S12" s="174"/>
      <c r="T12" s="174"/>
      <c r="U12" s="174"/>
      <c r="V12" s="174"/>
      <c r="W12" s="174"/>
      <c r="X12" s="174"/>
      <c r="Y12" s="174"/>
      <c r="Z12" s="174"/>
      <c r="AA12" s="174"/>
      <c r="AB12" s="174"/>
      <c r="AC12" s="174"/>
      <c r="AD12" s="174"/>
      <c r="AE12" s="174"/>
      <c r="AF12" s="174"/>
    </row>
    <row r="13" spans="1:32">
      <c r="A13" s="176"/>
      <c r="B13" s="172"/>
      <c r="C13" s="214"/>
      <c r="F13" s="182"/>
      <c r="G13" s="182"/>
      <c r="J13" s="186" t="s">
        <v>150</v>
      </c>
      <c r="K13" s="193">
        <f>K9-K11+K15</f>
        <v>1734.5619278554429</v>
      </c>
      <c r="O13" s="174"/>
      <c r="P13" s="174"/>
      <c r="Q13" s="174"/>
      <c r="R13" s="174"/>
      <c r="S13" s="174"/>
      <c r="T13" s="174"/>
      <c r="U13" s="174"/>
      <c r="V13" s="174"/>
      <c r="W13" s="174"/>
      <c r="X13" s="174"/>
      <c r="Y13" s="174"/>
      <c r="Z13" s="174"/>
      <c r="AA13" s="174"/>
      <c r="AB13" s="174"/>
      <c r="AC13" s="174"/>
      <c r="AD13" s="174"/>
      <c r="AE13" s="174"/>
      <c r="AF13" s="174"/>
    </row>
    <row r="14" spans="1:32">
      <c r="D14" s="174"/>
      <c r="E14" s="174"/>
      <c r="F14" s="186" t="s">
        <v>144</v>
      </c>
      <c r="G14" s="193">
        <f>G8-G12</f>
        <v>1758.0660308554427</v>
      </c>
      <c r="H14" s="174"/>
      <c r="O14" s="174"/>
      <c r="P14" s="174"/>
      <c r="Q14" s="174"/>
      <c r="R14" s="174"/>
      <c r="S14" s="174"/>
      <c r="T14" s="174"/>
      <c r="U14" s="174"/>
      <c r="V14" s="174"/>
      <c r="W14" s="174"/>
      <c r="X14" s="174"/>
      <c r="Y14" s="174"/>
      <c r="Z14" s="174"/>
      <c r="AA14" s="174"/>
      <c r="AB14" s="174"/>
      <c r="AC14" s="174"/>
      <c r="AD14" s="174"/>
      <c r="AE14" s="174"/>
      <c r="AF14" s="174"/>
    </row>
    <row r="15" spans="1:32">
      <c r="E15" s="179"/>
      <c r="F15" s="179"/>
      <c r="J15" s="172"/>
      <c r="K15" s="196"/>
      <c r="O15" s="174"/>
      <c r="P15" s="174"/>
      <c r="Q15" s="174"/>
      <c r="R15" s="174"/>
      <c r="S15" s="174"/>
      <c r="T15" s="174"/>
      <c r="U15" s="174"/>
      <c r="V15" s="174"/>
      <c r="W15" s="174"/>
      <c r="X15" s="174"/>
      <c r="Y15" s="174"/>
      <c r="Z15" s="174"/>
      <c r="AA15" s="174"/>
      <c r="AB15" s="174"/>
      <c r="AC15" s="174"/>
      <c r="AD15" s="174"/>
      <c r="AE15" s="174"/>
      <c r="AF15" s="174"/>
    </row>
    <row r="16" spans="1:32">
      <c r="E16" s="84"/>
      <c r="F16" s="84"/>
      <c r="O16" s="174"/>
      <c r="P16" s="174"/>
      <c r="Q16" s="174"/>
      <c r="R16" s="174"/>
      <c r="S16" s="174"/>
      <c r="T16" s="174"/>
      <c r="U16" s="174"/>
      <c r="V16" s="174"/>
      <c r="W16" s="174"/>
      <c r="X16" s="174"/>
      <c r="Y16" s="174"/>
      <c r="Z16" s="174"/>
      <c r="AA16" s="174"/>
      <c r="AB16" s="174"/>
      <c r="AC16" s="174"/>
      <c r="AD16" s="174"/>
      <c r="AE16" s="174"/>
      <c r="AF16" s="174"/>
    </row>
    <row r="17" spans="1:32">
      <c r="E17" s="181"/>
      <c r="F17" s="181"/>
      <c r="L17" s="174"/>
      <c r="O17" s="174"/>
      <c r="P17" s="174"/>
      <c r="Q17" s="174"/>
      <c r="R17" s="174"/>
      <c r="S17" s="174"/>
      <c r="T17" s="174"/>
      <c r="U17" s="174"/>
      <c r="V17" s="174"/>
      <c r="W17" s="174"/>
      <c r="X17" s="174"/>
      <c r="Y17" s="174"/>
      <c r="Z17" s="174"/>
      <c r="AA17" s="174"/>
      <c r="AB17" s="174"/>
      <c r="AC17" s="174"/>
      <c r="AD17" s="174"/>
      <c r="AE17" s="174"/>
      <c r="AF17" s="174"/>
    </row>
    <row r="18" spans="1:32">
      <c r="A18" s="176"/>
      <c r="G18" s="212"/>
      <c r="H18" s="213"/>
      <c r="I18" s="213"/>
      <c r="J18" s="213"/>
      <c r="K18" s="174"/>
      <c r="L18" s="174"/>
      <c r="M18" s="174"/>
      <c r="N18" s="174"/>
      <c r="O18" s="174"/>
      <c r="P18" s="174"/>
      <c r="Q18" s="174"/>
      <c r="R18" s="174"/>
      <c r="S18" s="174"/>
      <c r="T18" s="174"/>
      <c r="U18" s="174"/>
      <c r="V18" s="174"/>
      <c r="W18" s="174"/>
      <c r="X18" s="174"/>
      <c r="Y18" s="174"/>
      <c r="Z18" s="174"/>
      <c r="AA18" s="174"/>
      <c r="AB18" s="174"/>
      <c r="AC18" s="174"/>
      <c r="AD18" s="174"/>
      <c r="AE18" s="174"/>
      <c r="AF18" s="174"/>
    </row>
    <row r="19" spans="1:32">
      <c r="G19" s="51"/>
      <c r="H19" s="51"/>
      <c r="I19" s="178"/>
      <c r="J19" s="178"/>
      <c r="K19" s="174"/>
      <c r="L19" s="174"/>
      <c r="M19" s="174"/>
      <c r="N19" s="174"/>
      <c r="O19" s="174"/>
      <c r="P19" s="174"/>
      <c r="Q19" s="174"/>
      <c r="R19" s="174"/>
      <c r="S19" s="174"/>
      <c r="T19" s="174"/>
      <c r="U19" s="174"/>
      <c r="V19" s="174"/>
      <c r="W19" s="174"/>
      <c r="X19" s="174"/>
      <c r="Y19" s="174"/>
      <c r="Z19" s="174"/>
      <c r="AA19" s="174"/>
      <c r="AB19" s="174"/>
      <c r="AC19" s="174"/>
      <c r="AD19" s="174"/>
      <c r="AE19" s="174"/>
      <c r="AF19" s="174"/>
    </row>
    <row r="20" spans="1:32">
      <c r="A20" s="176"/>
      <c r="G20" s="122"/>
      <c r="H20" s="122"/>
      <c r="I20" s="201"/>
      <c r="J20" s="204"/>
      <c r="K20" s="174"/>
      <c r="L20" s="174"/>
      <c r="M20" s="174"/>
      <c r="N20" s="174"/>
      <c r="O20" s="174"/>
      <c r="P20" s="174"/>
      <c r="Q20" s="174"/>
      <c r="R20" s="174"/>
      <c r="S20" s="174"/>
      <c r="T20" s="174"/>
      <c r="U20" s="174"/>
      <c r="V20" s="174"/>
      <c r="W20" s="174"/>
      <c r="X20" s="174"/>
      <c r="Y20" s="174"/>
      <c r="Z20" s="174"/>
      <c r="AA20" s="174"/>
      <c r="AB20" s="174"/>
      <c r="AC20" s="174"/>
      <c r="AD20" s="174"/>
      <c r="AE20" s="174"/>
      <c r="AF20" s="174"/>
    </row>
    <row r="21" spans="1:32">
      <c r="G21" s="122"/>
      <c r="H21" s="122"/>
      <c r="I21" s="201"/>
      <c r="J21" s="204"/>
      <c r="K21" s="174"/>
      <c r="L21" s="174"/>
      <c r="M21" s="174"/>
      <c r="N21" s="174"/>
      <c r="O21" s="174"/>
      <c r="P21" s="174"/>
      <c r="Q21" s="174"/>
      <c r="R21" s="174"/>
      <c r="S21" s="174"/>
      <c r="T21" s="174"/>
      <c r="U21" s="174"/>
      <c r="V21" s="174"/>
      <c r="W21" s="174"/>
      <c r="X21" s="174"/>
      <c r="Y21" s="174"/>
      <c r="Z21" s="174"/>
      <c r="AA21" s="174"/>
      <c r="AB21" s="174"/>
      <c r="AC21" s="174"/>
      <c r="AD21" s="174"/>
      <c r="AE21" s="174"/>
      <c r="AF21" s="174"/>
    </row>
    <row r="22" spans="1:32">
      <c r="E22" s="209"/>
      <c r="G22" s="122"/>
      <c r="H22" s="122"/>
      <c r="I22" s="201"/>
      <c r="J22" s="204"/>
      <c r="K22" s="174"/>
      <c r="L22" s="174"/>
      <c r="M22" s="174"/>
      <c r="N22" s="174"/>
      <c r="O22" s="174"/>
      <c r="P22" s="174"/>
      <c r="Q22" s="174"/>
      <c r="R22" s="174"/>
      <c r="S22" s="174"/>
      <c r="T22" s="174"/>
      <c r="U22" s="174"/>
      <c r="V22" s="174"/>
      <c r="W22" s="174"/>
      <c r="X22" s="174"/>
      <c r="Y22" s="174"/>
      <c r="Z22" s="174"/>
      <c r="AA22" s="174"/>
      <c r="AB22" s="174"/>
      <c r="AC22" s="174"/>
      <c r="AD22" s="174"/>
      <c r="AE22" s="174"/>
      <c r="AF22" s="174"/>
    </row>
    <row r="23" spans="1:32">
      <c r="F23" s="216"/>
      <c r="G23" s="122"/>
      <c r="H23" s="122"/>
      <c r="I23" s="201"/>
      <c r="J23" s="204"/>
      <c r="K23" s="174"/>
      <c r="L23" s="174"/>
      <c r="M23" s="174"/>
      <c r="N23" s="174"/>
      <c r="O23" s="174"/>
      <c r="P23" s="174"/>
      <c r="Q23" s="174"/>
      <c r="R23" s="174"/>
      <c r="S23" s="174"/>
      <c r="T23" s="174"/>
      <c r="U23" s="174"/>
      <c r="V23" s="174"/>
      <c r="W23" s="174"/>
      <c r="X23" s="174"/>
      <c r="Y23" s="174"/>
      <c r="Z23" s="174"/>
      <c r="AA23" s="174"/>
      <c r="AB23" s="174"/>
      <c r="AC23" s="174"/>
      <c r="AD23" s="174"/>
      <c r="AE23" s="174"/>
      <c r="AF23" s="174"/>
    </row>
    <row r="24" spans="1:32">
      <c r="G24" s="122"/>
      <c r="H24" s="122"/>
      <c r="I24" s="201"/>
      <c r="J24" s="204"/>
      <c r="K24" s="174"/>
      <c r="L24" s="174"/>
      <c r="M24" s="174"/>
      <c r="N24" s="174"/>
      <c r="O24" s="174"/>
      <c r="P24" s="174"/>
      <c r="Q24" s="174"/>
      <c r="R24" s="174"/>
      <c r="S24" s="174"/>
      <c r="T24" s="174"/>
      <c r="U24" s="174"/>
      <c r="V24" s="174"/>
      <c r="W24" s="174"/>
      <c r="X24" s="174"/>
      <c r="Y24" s="174"/>
      <c r="Z24" s="174"/>
      <c r="AA24" s="174"/>
      <c r="AB24" s="174"/>
      <c r="AC24" s="174"/>
      <c r="AD24" s="174"/>
      <c r="AE24" s="174"/>
      <c r="AF24" s="174"/>
    </row>
    <row r="25" spans="1:32">
      <c r="G25" s="122"/>
      <c r="H25" s="122"/>
      <c r="I25" s="201"/>
      <c r="J25" s="204"/>
      <c r="K25" s="174"/>
      <c r="L25" s="174"/>
      <c r="M25" s="174"/>
      <c r="N25" s="174"/>
      <c r="O25" s="174"/>
      <c r="P25" s="174"/>
      <c r="Q25" s="174"/>
      <c r="R25" s="174"/>
      <c r="S25" s="174"/>
      <c r="T25" s="174"/>
      <c r="U25" s="174"/>
      <c r="V25" s="174"/>
      <c r="W25" s="174"/>
      <c r="X25" s="174"/>
      <c r="Y25" s="174"/>
      <c r="Z25" s="174"/>
      <c r="AA25" s="174"/>
      <c r="AB25" s="174"/>
      <c r="AC25" s="174"/>
      <c r="AD25" s="174"/>
      <c r="AE25" s="174"/>
      <c r="AF25" s="174"/>
    </row>
    <row r="26" spans="1:32">
      <c r="G26" s="122"/>
      <c r="H26" s="122"/>
      <c r="I26" s="201"/>
      <c r="J26" s="204"/>
      <c r="K26" s="174"/>
      <c r="L26" s="174"/>
      <c r="M26" s="174"/>
      <c r="N26" s="174"/>
      <c r="O26" s="174"/>
      <c r="P26" s="174"/>
      <c r="Q26" s="174"/>
      <c r="R26" s="174"/>
      <c r="S26" s="174"/>
      <c r="T26" s="174"/>
      <c r="U26" s="174"/>
      <c r="V26" s="174"/>
      <c r="W26" s="174"/>
      <c r="X26" s="174"/>
      <c r="Y26" s="174"/>
      <c r="Z26" s="174"/>
      <c r="AA26" s="174"/>
      <c r="AB26" s="174"/>
      <c r="AC26" s="174"/>
      <c r="AD26" s="174"/>
      <c r="AE26" s="174"/>
      <c r="AF26" s="174"/>
    </row>
    <row r="27" spans="1:32">
      <c r="G27" s="122"/>
      <c r="H27" s="122"/>
      <c r="I27" s="201"/>
      <c r="J27" s="204"/>
      <c r="K27" s="174"/>
      <c r="L27" s="174"/>
      <c r="M27" s="174"/>
      <c r="N27" s="174"/>
      <c r="O27" s="174"/>
      <c r="P27" s="174"/>
      <c r="Q27" s="174"/>
      <c r="R27" s="174"/>
      <c r="S27" s="174"/>
      <c r="T27" s="174"/>
      <c r="U27" s="174"/>
      <c r="V27" s="174"/>
      <c r="W27" s="174"/>
      <c r="X27" s="174"/>
      <c r="Y27" s="174"/>
      <c r="Z27" s="174"/>
      <c r="AA27" s="174"/>
      <c r="AB27" s="174"/>
      <c r="AC27" s="174"/>
      <c r="AD27" s="174"/>
      <c r="AE27" s="174"/>
      <c r="AF27" s="174"/>
    </row>
    <row r="28" spans="1:32">
      <c r="G28" s="211"/>
      <c r="H28" s="211"/>
      <c r="I28" s="211"/>
      <c r="J28" s="210"/>
      <c r="K28" s="174"/>
      <c r="L28" s="174"/>
      <c r="M28" s="174"/>
      <c r="N28" s="174"/>
      <c r="O28" s="174"/>
      <c r="P28" s="174"/>
      <c r="Q28" s="174"/>
      <c r="R28" s="174"/>
      <c r="S28" s="174"/>
      <c r="T28" s="174"/>
      <c r="U28" s="174"/>
      <c r="V28" s="174"/>
      <c r="W28" s="174"/>
      <c r="X28" s="174"/>
      <c r="Y28" s="174"/>
      <c r="Z28" s="174"/>
      <c r="AA28" s="174"/>
      <c r="AB28" s="174"/>
      <c r="AC28" s="174"/>
      <c r="AD28" s="174"/>
      <c r="AE28" s="174"/>
      <c r="AF28" s="174"/>
    </row>
    <row r="29" spans="1:32">
      <c r="K29" s="174"/>
      <c r="L29" s="174"/>
      <c r="M29" s="174"/>
      <c r="N29" s="174"/>
      <c r="O29" s="174"/>
      <c r="P29" s="174"/>
      <c r="Q29" s="174"/>
      <c r="R29" s="174"/>
      <c r="S29" s="174"/>
      <c r="T29" s="174"/>
      <c r="U29" s="174"/>
      <c r="V29" s="174"/>
      <c r="W29" s="174"/>
      <c r="X29" s="174"/>
      <c r="Y29" s="174"/>
      <c r="Z29" s="174"/>
      <c r="AA29" s="174"/>
      <c r="AB29" s="174"/>
      <c r="AC29" s="174"/>
      <c r="AD29" s="174"/>
      <c r="AE29" s="174"/>
      <c r="AF29" s="174"/>
    </row>
    <row r="30" spans="1:32" ht="14.25" customHeight="1">
      <c r="K30" s="174"/>
      <c r="L30" s="174"/>
      <c r="M30" s="174"/>
      <c r="N30" s="174"/>
      <c r="O30" s="174"/>
      <c r="P30" s="174"/>
      <c r="Q30" s="174"/>
      <c r="R30" s="174"/>
      <c r="S30" s="174"/>
      <c r="T30" s="174"/>
      <c r="U30" s="174"/>
      <c r="V30" s="174"/>
      <c r="W30" s="174"/>
      <c r="X30" s="174"/>
      <c r="Y30" s="174"/>
      <c r="Z30" s="174"/>
      <c r="AA30" s="174"/>
      <c r="AB30" s="174"/>
      <c r="AC30" s="174"/>
      <c r="AD30" s="174"/>
      <c r="AE30" s="174"/>
      <c r="AF30" s="174"/>
    </row>
    <row r="31" spans="1:32">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row>
    <row r="32" spans="1:32">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74"/>
      <c r="AE32" s="174"/>
      <c r="AF32" s="174"/>
    </row>
    <row r="33" spans="7:32">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174"/>
    </row>
    <row r="34" spans="7:32">
      <c r="G34" s="174"/>
      <c r="H34" s="174"/>
      <c r="I34" s="174"/>
      <c r="J34" s="174"/>
      <c r="K34" s="174"/>
      <c r="L34" s="174"/>
      <c r="M34" s="174"/>
      <c r="N34" s="174"/>
      <c r="O34" s="174"/>
      <c r="P34" s="174"/>
      <c r="Q34" s="174"/>
      <c r="R34" s="174"/>
      <c r="S34" s="174"/>
      <c r="T34" s="174"/>
      <c r="U34" s="174"/>
      <c r="V34" s="174"/>
      <c r="W34" s="174"/>
      <c r="X34" s="174"/>
      <c r="Y34" s="174"/>
      <c r="Z34" s="174"/>
      <c r="AA34" s="174"/>
      <c r="AB34" s="174"/>
      <c r="AC34" s="174"/>
      <c r="AD34" s="174"/>
      <c r="AE34" s="174"/>
      <c r="AF34" s="174"/>
    </row>
    <row r="35" spans="7:32">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row>
    <row r="36" spans="7:32">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row>
    <row r="37" spans="7:32">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row>
    <row r="38" spans="7:32">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9" t="s">
        <v>183</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69" customWidth="1"/>
    <col min="2" max="2" width="29.28515625" style="169" customWidth="1"/>
    <col min="3" max="3" width="11.7109375" style="169" customWidth="1"/>
    <col min="4" max="4" width="4.85546875" style="169" customWidth="1"/>
    <col min="5" max="5" width="10.140625" style="169" customWidth="1"/>
    <col min="6" max="6" width="29.5703125" style="169" customWidth="1"/>
    <col min="7" max="7" width="20.7109375" style="169" customWidth="1" collapsed="1"/>
    <col min="8" max="9" width="10.42578125" style="169" customWidth="1"/>
    <col min="10" max="10" width="9.140625" style="169" customWidth="1"/>
    <col min="11" max="11" width="9" style="169" customWidth="1"/>
    <col min="12" max="12" width="9.85546875" style="169" customWidth="1"/>
    <col min="13" max="26" width="9.140625" style="169" customWidth="1"/>
    <col min="27" max="27" width="9.28515625" style="169" customWidth="1"/>
    <col min="28" max="28" width="9.42578125" style="169" customWidth="1"/>
    <col min="29" max="29" width="10" style="169" customWidth="1"/>
    <col min="30" max="30" width="11.42578125" style="169" customWidth="1"/>
    <col min="31" max="31" width="9.42578125" style="169" bestFit="1" customWidth="1" collapsed="1"/>
    <col min="32" max="16384" width="9.140625" style="169"/>
  </cols>
  <sheetData>
    <row r="1" spans="1:32" s="168" customFormat="1" ht="15" customHeight="1">
      <c r="B1" s="16" t="s">
        <v>169</v>
      </c>
      <c r="C1" s="167"/>
      <c r="D1" s="167"/>
      <c r="E1" s="167"/>
      <c r="F1" s="167"/>
      <c r="G1" s="167"/>
      <c r="H1" s="167"/>
      <c r="I1" s="167"/>
      <c r="J1" s="167"/>
      <c r="K1" s="167"/>
      <c r="L1" s="167"/>
    </row>
    <row r="2" spans="1:32" ht="12" customHeight="1">
      <c r="C2" s="195"/>
    </row>
    <row r="3" spans="1:32" ht="12" customHeight="1">
      <c r="A3" s="171"/>
      <c r="B3" s="198" t="s">
        <v>145</v>
      </c>
      <c r="C3" s="187">
        <f>'FCFF &amp; FCFE'!G12</f>
        <v>-3371.6634200874669</v>
      </c>
      <c r="F3" s="401" t="s">
        <v>141</v>
      </c>
      <c r="G3" s="401"/>
      <c r="H3" s="212"/>
      <c r="J3" s="263"/>
      <c r="L3" s="179"/>
    </row>
    <row r="4" spans="1:32" ht="12" customHeight="1">
      <c r="A4" s="176"/>
      <c r="B4" s="186" t="s">
        <v>278</v>
      </c>
      <c r="C4" s="187">
        <f>'FCFF &amp; FCFE'!G8</f>
        <v>-1613.5973892320242</v>
      </c>
      <c r="F4" s="53" t="s">
        <v>230</v>
      </c>
      <c r="G4" s="202" t="s">
        <v>184</v>
      </c>
      <c r="H4" s="178"/>
      <c r="J4" s="194"/>
      <c r="K4" s="264"/>
      <c r="L4" s="84"/>
      <c r="O4" s="173"/>
      <c r="Q4" s="173"/>
      <c r="R4" s="173"/>
      <c r="S4" s="173"/>
      <c r="T4" s="173"/>
      <c r="U4" s="173"/>
      <c r="V4" s="173"/>
      <c r="AA4" s="173"/>
    </row>
    <row r="5" spans="1:32" ht="12" customHeight="1">
      <c r="A5" s="176"/>
      <c r="B5" s="354" t="s">
        <v>173</v>
      </c>
      <c r="C5" s="355">
        <f>C3/C4</f>
        <v>2.0895320248951177</v>
      </c>
      <c r="F5" s="76" t="s">
        <v>231</v>
      </c>
      <c r="G5" s="270">
        <v>0.75</v>
      </c>
      <c r="H5" s="204"/>
      <c r="J5" s="172"/>
      <c r="K5" s="196"/>
      <c r="L5" s="181"/>
      <c r="O5" s="174"/>
      <c r="P5" s="174"/>
      <c r="Q5" s="174"/>
      <c r="R5" s="174"/>
      <c r="S5" s="174"/>
      <c r="T5" s="174"/>
      <c r="U5" s="174"/>
      <c r="V5" s="174"/>
      <c r="W5" s="174"/>
      <c r="X5" s="174"/>
      <c r="Y5" s="174"/>
      <c r="Z5" s="174"/>
      <c r="AA5" s="174"/>
      <c r="AB5" s="174"/>
      <c r="AC5" s="174"/>
      <c r="AD5" s="174"/>
      <c r="AE5" s="174"/>
      <c r="AF5" s="174"/>
    </row>
    <row r="6" spans="1:32" ht="12" customHeight="1">
      <c r="A6" s="176"/>
      <c r="F6" s="76" t="s">
        <v>232</v>
      </c>
      <c r="G6" s="358">
        <v>1.008</v>
      </c>
      <c r="H6" s="204"/>
      <c r="J6" s="265"/>
      <c r="K6" s="196"/>
      <c r="O6" s="174"/>
      <c r="P6" s="174"/>
      <c r="Q6" s="174"/>
      <c r="R6" s="174"/>
      <c r="S6" s="174"/>
      <c r="T6" s="174"/>
      <c r="U6" s="174"/>
      <c r="V6" s="174"/>
      <c r="W6" s="174"/>
      <c r="X6" s="174"/>
      <c r="Y6" s="174"/>
      <c r="Z6" s="174"/>
      <c r="AA6" s="174"/>
      <c r="AB6" s="174"/>
      <c r="AC6" s="174"/>
      <c r="AD6" s="174"/>
      <c r="AE6" s="174"/>
      <c r="AF6" s="174"/>
    </row>
    <row r="7" spans="1:32" ht="12" customHeight="1">
      <c r="B7" s="186" t="s">
        <v>278</v>
      </c>
      <c r="C7" s="187">
        <f>'FCFF &amp; FCFE'!G8</f>
        <v>-1613.5973892320242</v>
      </c>
      <c r="F7" s="76" t="s">
        <v>236</v>
      </c>
      <c r="G7" s="357">
        <v>0.81</v>
      </c>
      <c r="H7" s="204"/>
      <c r="J7" s="172"/>
      <c r="K7" s="196"/>
      <c r="O7" s="174"/>
      <c r="P7" s="174"/>
      <c r="Q7" s="174"/>
      <c r="R7" s="174"/>
      <c r="S7" s="174"/>
      <c r="T7" s="174"/>
      <c r="U7" s="174"/>
      <c r="V7" s="174"/>
      <c r="W7" s="174"/>
      <c r="X7" s="174"/>
      <c r="Y7" s="174"/>
      <c r="Z7" s="174"/>
      <c r="AA7" s="174"/>
      <c r="AB7" s="174"/>
      <c r="AC7" s="174"/>
      <c r="AD7" s="174"/>
      <c r="AE7" s="174"/>
      <c r="AF7" s="174"/>
    </row>
    <row r="8" spans="1:32" ht="12" customHeight="1">
      <c r="A8" s="176"/>
      <c r="B8" s="186" t="s">
        <v>181</v>
      </c>
      <c r="C8" s="187">
        <f>WACC!F8+WACC!F9-6506.81-512.91-3508.36</f>
        <v>70019.781178258476</v>
      </c>
      <c r="F8" s="76" t="s">
        <v>237</v>
      </c>
      <c r="G8" s="358">
        <v>0.60189999999999999</v>
      </c>
      <c r="H8" s="204"/>
      <c r="J8" s="266"/>
      <c r="K8" s="267"/>
      <c r="O8" s="174"/>
      <c r="P8" s="174"/>
      <c r="Q8" s="174"/>
      <c r="R8" s="174"/>
      <c r="S8" s="174"/>
      <c r="T8" s="174"/>
      <c r="U8" s="174"/>
      <c r="V8" s="174"/>
      <c r="W8" s="174"/>
      <c r="X8" s="174"/>
      <c r="Y8" s="174"/>
      <c r="Z8" s="174"/>
      <c r="AA8" s="174"/>
      <c r="AB8" s="174"/>
      <c r="AC8" s="174"/>
      <c r="AD8" s="174"/>
      <c r="AE8" s="174"/>
      <c r="AF8" s="174"/>
    </row>
    <row r="9" spans="1:32" ht="12" customHeight="1">
      <c r="A9" s="176"/>
      <c r="B9" s="343" t="s">
        <v>174</v>
      </c>
      <c r="C9" s="356">
        <f>C7/C8</f>
        <v>-2.3044879062447784E-2</v>
      </c>
      <c r="F9" s="76" t="s">
        <v>238</v>
      </c>
      <c r="G9" s="358">
        <v>0.9758</v>
      </c>
      <c r="H9" s="204"/>
      <c r="J9" s="172"/>
      <c r="K9" s="196"/>
      <c r="O9" s="174"/>
      <c r="P9" s="174"/>
      <c r="Q9" s="174"/>
      <c r="R9" s="174"/>
      <c r="S9" s="174"/>
      <c r="T9" s="174"/>
      <c r="U9" s="174"/>
      <c r="V9" s="174"/>
      <c r="W9" s="174"/>
      <c r="X9" s="174"/>
      <c r="Y9" s="174"/>
      <c r="Z9" s="174"/>
      <c r="AA9" s="174"/>
      <c r="AB9" s="174"/>
      <c r="AC9" s="174"/>
      <c r="AD9" s="174"/>
      <c r="AE9" s="174"/>
      <c r="AF9" s="174"/>
    </row>
    <row r="10" spans="1:32">
      <c r="A10" s="172"/>
      <c r="F10" s="76" t="s">
        <v>239</v>
      </c>
      <c r="G10" s="358">
        <v>1.1812</v>
      </c>
      <c r="H10" s="204"/>
      <c r="O10" s="174"/>
      <c r="P10" s="174"/>
      <c r="Q10" s="174"/>
      <c r="R10" s="174"/>
      <c r="S10" s="174"/>
      <c r="T10" s="174"/>
      <c r="U10" s="174"/>
      <c r="V10" s="174"/>
      <c r="W10" s="174"/>
      <c r="X10" s="174"/>
      <c r="Y10" s="174"/>
      <c r="Z10" s="174"/>
      <c r="AA10" s="174"/>
      <c r="AB10" s="174"/>
      <c r="AC10" s="174"/>
      <c r="AD10" s="174"/>
      <c r="AE10" s="174"/>
      <c r="AF10" s="174"/>
    </row>
    <row r="11" spans="1:32">
      <c r="A11" s="176"/>
      <c r="B11" s="186" t="s">
        <v>169</v>
      </c>
      <c r="C11" s="58">
        <f>C5*C9</f>
        <v>-4.8153012810819622E-2</v>
      </c>
      <c r="F11" s="234" t="s">
        <v>141</v>
      </c>
      <c r="G11" s="359">
        <f>MEDIAN(G5:G10)</f>
        <v>0.89290000000000003</v>
      </c>
      <c r="H11" s="204"/>
      <c r="J11" s="172"/>
      <c r="K11" s="196"/>
      <c r="O11" s="174"/>
      <c r="P11" s="174"/>
      <c r="Q11" s="174"/>
      <c r="R11" s="174"/>
      <c r="S11" s="174"/>
      <c r="T11" s="174"/>
      <c r="U11" s="174"/>
      <c r="V11" s="174"/>
      <c r="W11" s="174"/>
      <c r="X11" s="174"/>
      <c r="Y11" s="174"/>
      <c r="Z11" s="174"/>
      <c r="AA11" s="174"/>
      <c r="AB11" s="174"/>
      <c r="AC11" s="174"/>
      <c r="AD11" s="174"/>
      <c r="AE11" s="174"/>
      <c r="AF11" s="174"/>
    </row>
    <row r="12" spans="1:32">
      <c r="B12" s="174"/>
      <c r="F12" s="122"/>
      <c r="G12" s="271"/>
      <c r="H12" s="204"/>
      <c r="J12" s="172"/>
      <c r="K12" s="158"/>
      <c r="O12" s="174"/>
      <c r="P12" s="174"/>
      <c r="Q12" s="174"/>
      <c r="R12" s="174"/>
      <c r="S12" s="174"/>
      <c r="T12" s="174"/>
      <c r="U12" s="174"/>
      <c r="V12" s="174"/>
      <c r="W12" s="174"/>
      <c r="X12" s="174"/>
      <c r="Y12" s="174"/>
      <c r="Z12" s="174"/>
      <c r="AA12" s="174"/>
      <c r="AB12" s="174"/>
      <c r="AC12" s="174"/>
      <c r="AD12" s="174"/>
      <c r="AE12" s="174"/>
      <c r="AF12" s="174"/>
    </row>
    <row r="13" spans="1:32">
      <c r="A13" s="176"/>
      <c r="B13" s="172"/>
      <c r="C13" s="214"/>
      <c r="H13" s="210"/>
      <c r="J13" s="172"/>
      <c r="K13" s="196"/>
      <c r="O13" s="174"/>
      <c r="P13" s="174"/>
      <c r="Q13" s="174"/>
      <c r="R13" s="174"/>
      <c r="S13" s="174"/>
      <c r="T13" s="174"/>
      <c r="U13" s="174"/>
      <c r="V13" s="174"/>
      <c r="W13" s="174"/>
      <c r="X13" s="174"/>
      <c r="Y13" s="174"/>
      <c r="Z13" s="174"/>
      <c r="AA13" s="174"/>
      <c r="AB13" s="174"/>
      <c r="AC13" s="174"/>
      <c r="AD13" s="174"/>
      <c r="AE13" s="174"/>
      <c r="AF13" s="174"/>
    </row>
    <row r="14" spans="1:32">
      <c r="D14" s="174"/>
      <c r="E14" s="174"/>
      <c r="F14" s="172"/>
      <c r="G14" s="268"/>
      <c r="H14" s="174"/>
      <c r="J14" s="172"/>
      <c r="K14" s="196"/>
      <c r="O14" s="174"/>
      <c r="P14" s="174"/>
      <c r="Q14" s="174"/>
      <c r="R14" s="174"/>
      <c r="S14" s="174"/>
      <c r="T14" s="174"/>
      <c r="U14" s="174"/>
      <c r="V14" s="174"/>
      <c r="W14" s="174"/>
      <c r="X14" s="174"/>
      <c r="Y14" s="174"/>
      <c r="Z14" s="174"/>
      <c r="AA14" s="174"/>
      <c r="AB14" s="174"/>
      <c r="AC14" s="174"/>
      <c r="AD14" s="174"/>
      <c r="AE14" s="174"/>
      <c r="AF14" s="174"/>
    </row>
    <row r="15" spans="1:32">
      <c r="E15" s="179"/>
      <c r="F15" s="179"/>
      <c r="J15" s="172"/>
      <c r="K15" s="196"/>
      <c r="O15" s="174"/>
      <c r="P15" s="174"/>
      <c r="Q15" s="174"/>
      <c r="R15" s="174"/>
      <c r="S15" s="174"/>
      <c r="T15" s="174"/>
      <c r="U15" s="174"/>
      <c r="V15" s="174"/>
      <c r="W15" s="174"/>
      <c r="X15" s="174"/>
      <c r="Y15" s="174"/>
      <c r="Z15" s="174"/>
      <c r="AA15" s="174"/>
      <c r="AB15" s="174"/>
      <c r="AC15" s="174"/>
      <c r="AD15" s="174"/>
      <c r="AE15" s="174"/>
      <c r="AF15" s="174"/>
    </row>
    <row r="16" spans="1:32">
      <c r="E16" s="84"/>
      <c r="F16" s="84"/>
      <c r="O16" s="174"/>
      <c r="P16" s="174"/>
      <c r="Q16" s="174"/>
      <c r="R16" s="174"/>
      <c r="S16" s="174"/>
      <c r="T16" s="174"/>
      <c r="U16" s="174"/>
      <c r="V16" s="174"/>
      <c r="W16" s="174"/>
      <c r="X16" s="174"/>
      <c r="Y16" s="174"/>
      <c r="Z16" s="174"/>
      <c r="AA16" s="174"/>
      <c r="AB16" s="174"/>
      <c r="AC16" s="174"/>
      <c r="AD16" s="174"/>
      <c r="AE16" s="174"/>
      <c r="AF16" s="174"/>
    </row>
    <row r="17" spans="1:32">
      <c r="E17" s="181"/>
      <c r="F17" s="181"/>
      <c r="J17" s="172"/>
      <c r="K17" s="268"/>
      <c r="L17" s="174"/>
      <c r="O17" s="174"/>
      <c r="P17" s="174"/>
      <c r="Q17" s="174"/>
      <c r="R17" s="174"/>
      <c r="S17" s="174"/>
      <c r="T17" s="174"/>
      <c r="U17" s="174"/>
      <c r="V17" s="174"/>
      <c r="W17" s="174"/>
      <c r="X17" s="174"/>
      <c r="Y17" s="174"/>
      <c r="Z17" s="174"/>
      <c r="AA17" s="174"/>
      <c r="AB17" s="174"/>
      <c r="AC17" s="174"/>
      <c r="AD17" s="174"/>
      <c r="AE17" s="174"/>
      <c r="AF17" s="174"/>
    </row>
    <row r="18" spans="1:32">
      <c r="A18" s="176"/>
      <c r="G18" s="212"/>
      <c r="H18" s="213"/>
      <c r="I18" s="213"/>
      <c r="J18" s="213"/>
      <c r="K18" s="174"/>
      <c r="L18" s="174"/>
      <c r="M18" s="174"/>
      <c r="N18" s="174"/>
      <c r="O18" s="174"/>
      <c r="P18" s="174"/>
      <c r="Q18" s="174"/>
      <c r="R18" s="174"/>
      <c r="S18" s="174"/>
      <c r="T18" s="174"/>
      <c r="U18" s="174"/>
      <c r="V18" s="174"/>
      <c r="W18" s="174"/>
      <c r="X18" s="174"/>
      <c r="Y18" s="174"/>
      <c r="Z18" s="174"/>
      <c r="AA18" s="174"/>
      <c r="AB18" s="174"/>
      <c r="AC18" s="174"/>
      <c r="AD18" s="174"/>
      <c r="AE18" s="174"/>
      <c r="AF18" s="174"/>
    </row>
    <row r="19" spans="1:32">
      <c r="G19" s="51"/>
      <c r="H19" s="51"/>
      <c r="I19" s="178"/>
      <c r="J19" s="178"/>
      <c r="K19" s="174"/>
      <c r="L19" s="174"/>
      <c r="M19" s="174"/>
      <c r="N19" s="174"/>
      <c r="O19" s="174"/>
      <c r="P19" s="174"/>
      <c r="Q19" s="174"/>
      <c r="R19" s="174"/>
      <c r="S19" s="174"/>
      <c r="T19" s="174"/>
      <c r="U19" s="174"/>
      <c r="V19" s="174"/>
      <c r="W19" s="174"/>
      <c r="X19" s="174"/>
      <c r="Y19" s="174"/>
      <c r="Z19" s="174"/>
      <c r="AA19" s="174"/>
      <c r="AB19" s="174"/>
      <c r="AC19" s="174"/>
      <c r="AD19" s="174"/>
      <c r="AE19" s="174"/>
      <c r="AF19" s="174"/>
    </row>
    <row r="20" spans="1:32">
      <c r="A20" s="176"/>
      <c r="G20" s="122"/>
      <c r="H20" s="122"/>
      <c r="I20" s="201"/>
      <c r="J20" s="204"/>
      <c r="K20" s="174"/>
      <c r="L20" s="174"/>
      <c r="M20" s="174"/>
      <c r="N20" s="174"/>
      <c r="O20" s="174"/>
      <c r="P20" s="174"/>
      <c r="Q20" s="174"/>
      <c r="R20" s="174"/>
      <c r="S20" s="174"/>
      <c r="T20" s="174"/>
      <c r="U20" s="174"/>
      <c r="V20" s="174"/>
      <c r="W20" s="174"/>
      <c r="X20" s="174"/>
      <c r="Y20" s="174"/>
      <c r="Z20" s="174"/>
      <c r="AA20" s="174"/>
      <c r="AB20" s="174"/>
      <c r="AC20" s="174"/>
      <c r="AD20" s="174"/>
      <c r="AE20" s="174"/>
      <c r="AF20" s="174"/>
    </row>
    <row r="21" spans="1:32">
      <c r="G21" s="122"/>
      <c r="H21" s="122"/>
      <c r="I21" s="201"/>
      <c r="J21" s="204"/>
      <c r="K21" s="174"/>
      <c r="L21" s="174"/>
      <c r="M21" s="174"/>
      <c r="N21" s="174"/>
      <c r="O21" s="174"/>
      <c r="P21" s="174"/>
      <c r="Q21" s="174"/>
      <c r="R21" s="174"/>
      <c r="S21" s="174"/>
      <c r="T21" s="174"/>
      <c r="U21" s="174"/>
      <c r="V21" s="174"/>
      <c r="W21" s="174"/>
      <c r="X21" s="174"/>
      <c r="Y21" s="174"/>
      <c r="Z21" s="174"/>
      <c r="AA21" s="174"/>
      <c r="AB21" s="174"/>
      <c r="AC21" s="174"/>
      <c r="AD21" s="174"/>
      <c r="AE21" s="174"/>
      <c r="AF21" s="174"/>
    </row>
    <row r="22" spans="1:32">
      <c r="E22" s="209"/>
      <c r="G22" s="122"/>
      <c r="H22" s="122"/>
      <c r="I22" s="201"/>
      <c r="J22" s="204"/>
      <c r="K22" s="174"/>
      <c r="L22" s="174"/>
      <c r="M22" s="174"/>
      <c r="N22" s="174"/>
      <c r="O22" s="174"/>
      <c r="P22" s="174"/>
      <c r="Q22" s="174"/>
      <c r="R22" s="174"/>
      <c r="S22" s="174"/>
      <c r="T22" s="174"/>
      <c r="U22" s="174"/>
      <c r="V22" s="174"/>
      <c r="W22" s="174"/>
      <c r="X22" s="174"/>
      <c r="Y22" s="174"/>
      <c r="Z22" s="174"/>
      <c r="AA22" s="174"/>
      <c r="AB22" s="174"/>
      <c r="AC22" s="174"/>
      <c r="AD22" s="174"/>
      <c r="AE22" s="174"/>
      <c r="AF22" s="174"/>
    </row>
    <row r="23" spans="1:32">
      <c r="F23" s="216"/>
      <c r="G23" s="122"/>
      <c r="H23" s="122"/>
      <c r="I23" s="201"/>
      <c r="J23" s="204"/>
      <c r="K23" s="174"/>
      <c r="L23" s="174"/>
      <c r="M23" s="174"/>
      <c r="N23" s="174"/>
      <c r="O23" s="174"/>
      <c r="P23" s="174"/>
      <c r="Q23" s="174"/>
      <c r="R23" s="174"/>
      <c r="S23" s="174"/>
      <c r="T23" s="174"/>
      <c r="U23" s="174"/>
      <c r="V23" s="174"/>
      <c r="W23" s="174"/>
      <c r="X23" s="174"/>
      <c r="Y23" s="174"/>
      <c r="Z23" s="174"/>
      <c r="AA23" s="174"/>
      <c r="AB23" s="174"/>
      <c r="AC23" s="174"/>
      <c r="AD23" s="174"/>
      <c r="AE23" s="174"/>
      <c r="AF23" s="174"/>
    </row>
    <row r="24" spans="1:32">
      <c r="G24" s="122"/>
      <c r="H24" s="122"/>
      <c r="I24" s="201"/>
      <c r="J24" s="204"/>
      <c r="K24" s="174"/>
      <c r="L24" s="174"/>
      <c r="M24" s="174"/>
      <c r="N24" s="174"/>
      <c r="O24" s="174"/>
      <c r="P24" s="174"/>
      <c r="Q24" s="174"/>
      <c r="R24" s="174"/>
      <c r="S24" s="174"/>
      <c r="T24" s="174"/>
      <c r="U24" s="174"/>
      <c r="V24" s="174"/>
      <c r="W24" s="174"/>
      <c r="X24" s="174"/>
      <c r="Y24" s="174"/>
      <c r="Z24" s="174"/>
      <c r="AA24" s="174"/>
      <c r="AB24" s="174"/>
      <c r="AC24" s="174"/>
      <c r="AD24" s="174"/>
      <c r="AE24" s="174"/>
      <c r="AF24" s="174"/>
    </row>
    <row r="25" spans="1:32">
      <c r="G25" s="122"/>
      <c r="H25" s="122"/>
      <c r="I25" s="201"/>
      <c r="J25" s="204"/>
      <c r="K25" s="174"/>
      <c r="L25" s="174"/>
      <c r="M25" s="174"/>
      <c r="N25" s="174"/>
      <c r="O25" s="174"/>
      <c r="P25" s="174"/>
      <c r="Q25" s="174"/>
      <c r="R25" s="174"/>
      <c r="S25" s="174"/>
      <c r="T25" s="174"/>
      <c r="U25" s="174"/>
      <c r="V25" s="174"/>
      <c r="W25" s="174"/>
      <c r="X25" s="174"/>
      <c r="Y25" s="174"/>
      <c r="Z25" s="174"/>
      <c r="AA25" s="174"/>
      <c r="AB25" s="174"/>
      <c r="AC25" s="174"/>
      <c r="AD25" s="174"/>
      <c r="AE25" s="174"/>
      <c r="AF25" s="174"/>
    </row>
    <row r="26" spans="1:32">
      <c r="G26" s="122"/>
      <c r="H26" s="122"/>
      <c r="I26" s="201"/>
      <c r="J26" s="204"/>
      <c r="K26" s="174"/>
      <c r="L26" s="174"/>
      <c r="M26" s="174"/>
      <c r="N26" s="174"/>
      <c r="O26" s="174"/>
      <c r="P26" s="174"/>
      <c r="Q26" s="174"/>
      <c r="R26" s="174"/>
      <c r="S26" s="174"/>
      <c r="T26" s="174"/>
      <c r="U26" s="174"/>
      <c r="V26" s="174"/>
      <c r="W26" s="174"/>
      <c r="X26" s="174"/>
      <c r="Y26" s="174"/>
      <c r="Z26" s="174"/>
      <c r="AA26" s="174"/>
      <c r="AB26" s="174"/>
      <c r="AC26" s="174"/>
      <c r="AD26" s="174"/>
      <c r="AE26" s="174"/>
      <c r="AF26" s="174"/>
    </row>
    <row r="27" spans="1:32">
      <c r="G27" s="122"/>
      <c r="H27" s="122"/>
      <c r="I27" s="201"/>
      <c r="J27" s="204"/>
      <c r="K27" s="174"/>
      <c r="L27" s="174"/>
      <c r="M27" s="174"/>
      <c r="N27" s="174"/>
      <c r="O27" s="174"/>
      <c r="P27" s="174"/>
      <c r="Q27" s="174"/>
      <c r="R27" s="174"/>
      <c r="S27" s="174"/>
      <c r="T27" s="174"/>
      <c r="U27" s="174"/>
      <c r="V27" s="174"/>
      <c r="W27" s="174"/>
      <c r="X27" s="174"/>
      <c r="Y27" s="174"/>
      <c r="Z27" s="174"/>
      <c r="AA27" s="174"/>
      <c r="AB27" s="174"/>
      <c r="AC27" s="174"/>
      <c r="AD27" s="174"/>
      <c r="AE27" s="174"/>
      <c r="AF27" s="174"/>
    </row>
    <row r="28" spans="1:32">
      <c r="G28" s="211"/>
      <c r="H28" s="211"/>
      <c r="I28" s="211"/>
      <c r="J28" s="210"/>
      <c r="K28" s="174"/>
      <c r="L28" s="174"/>
      <c r="M28" s="174"/>
      <c r="N28" s="174"/>
      <c r="O28" s="174"/>
      <c r="P28" s="174"/>
      <c r="Q28" s="174"/>
      <c r="R28" s="174"/>
      <c r="S28" s="174"/>
      <c r="T28" s="174"/>
      <c r="U28" s="174"/>
      <c r="V28" s="174"/>
      <c r="W28" s="174"/>
      <c r="X28" s="174"/>
      <c r="Y28" s="174"/>
      <c r="Z28" s="174"/>
      <c r="AA28" s="174"/>
      <c r="AB28" s="174"/>
      <c r="AC28" s="174"/>
      <c r="AD28" s="174"/>
      <c r="AE28" s="174"/>
      <c r="AF28" s="174"/>
    </row>
    <row r="29" spans="1:32">
      <c r="K29" s="174"/>
      <c r="L29" s="174"/>
      <c r="M29" s="174"/>
      <c r="N29" s="174"/>
      <c r="O29" s="174"/>
      <c r="P29" s="174"/>
      <c r="Q29" s="174"/>
      <c r="R29" s="174"/>
      <c r="S29" s="174"/>
      <c r="T29" s="174"/>
      <c r="U29" s="174"/>
      <c r="V29" s="174"/>
      <c r="W29" s="174"/>
      <c r="X29" s="174"/>
      <c r="Y29" s="174"/>
      <c r="Z29" s="174"/>
      <c r="AA29" s="174"/>
      <c r="AB29" s="174"/>
      <c r="AC29" s="174"/>
      <c r="AD29" s="174"/>
      <c r="AE29" s="174"/>
      <c r="AF29" s="174"/>
    </row>
    <row r="30" spans="1:32" ht="14.25" customHeight="1">
      <c r="K30" s="174"/>
      <c r="L30" s="174"/>
      <c r="M30" s="174"/>
      <c r="N30" s="174"/>
      <c r="O30" s="174"/>
      <c r="P30" s="174"/>
      <c r="Q30" s="174"/>
      <c r="R30" s="174"/>
      <c r="S30" s="174"/>
      <c r="T30" s="174"/>
      <c r="U30" s="174"/>
      <c r="V30" s="174"/>
      <c r="W30" s="174"/>
      <c r="X30" s="174"/>
      <c r="Y30" s="174"/>
      <c r="Z30" s="174"/>
      <c r="AA30" s="174"/>
      <c r="AB30" s="174"/>
      <c r="AC30" s="174"/>
      <c r="AD30" s="174"/>
      <c r="AE30" s="174"/>
      <c r="AF30" s="174"/>
    </row>
    <row r="31" spans="1:32">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row>
    <row r="32" spans="1:32">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74"/>
      <c r="AE32" s="174"/>
      <c r="AF32" s="174"/>
    </row>
    <row r="33" spans="7:32">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174"/>
    </row>
    <row r="34" spans="7:32">
      <c r="G34" s="174"/>
      <c r="H34" s="174"/>
      <c r="I34" s="174"/>
      <c r="J34" s="174"/>
      <c r="K34" s="174"/>
      <c r="L34" s="174"/>
      <c r="M34" s="174"/>
      <c r="N34" s="174"/>
      <c r="O34" s="174"/>
      <c r="P34" s="174"/>
      <c r="Q34" s="174"/>
      <c r="R34" s="174"/>
      <c r="S34" s="174"/>
      <c r="T34" s="174"/>
      <c r="U34" s="174"/>
      <c r="V34" s="174"/>
      <c r="W34" s="174"/>
      <c r="X34" s="174"/>
      <c r="Y34" s="174"/>
      <c r="Z34" s="174"/>
      <c r="AA34" s="174"/>
      <c r="AB34" s="174"/>
      <c r="AC34" s="174"/>
      <c r="AD34" s="174"/>
      <c r="AE34" s="174"/>
      <c r="AF34" s="174"/>
    </row>
    <row r="35" spans="7:32">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row>
    <row r="36" spans="7:32">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row>
    <row r="37" spans="7:32">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row>
    <row r="38" spans="7:32">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row>
  </sheetData>
  <mergeCells count="1">
    <mergeCell ref="F3:G3"/>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69" customWidth="1"/>
    <col min="2" max="2" width="32" style="169" customWidth="1"/>
    <col min="3" max="3" width="12.42578125" style="169" customWidth="1"/>
    <col min="4" max="4" width="4.140625" style="169" customWidth="1"/>
    <col min="5" max="5" width="9.5703125" style="169" customWidth="1"/>
    <col min="6" max="6" width="18.28515625" style="169" customWidth="1"/>
    <col min="7" max="7" width="16.7109375" style="169" customWidth="1"/>
    <col min="8" max="8" width="21.140625" style="169" customWidth="1"/>
    <col min="9" max="9" width="10.7109375" style="169" customWidth="1"/>
    <col min="10" max="10" width="11.140625" style="169" customWidth="1"/>
    <col min="11" max="11" width="8.7109375" style="169" customWidth="1"/>
    <col min="12" max="12" width="6.7109375" style="169" customWidth="1"/>
    <col min="13" max="13" width="8.28515625" style="169" customWidth="1"/>
    <col min="14" max="25" width="9.140625" style="169" customWidth="1"/>
    <col min="26" max="26" width="9.28515625" style="169" customWidth="1"/>
    <col min="27" max="27" width="9.42578125" style="169" customWidth="1"/>
    <col min="28" max="28" width="10" style="169" customWidth="1"/>
    <col min="29" max="29" width="11.42578125" style="169" customWidth="1"/>
    <col min="30" max="30" width="9.42578125" style="169" bestFit="1" customWidth="1" collapsed="1"/>
    <col min="31" max="16384" width="9.140625" style="169"/>
  </cols>
  <sheetData>
    <row r="1" spans="1:29" s="168" customFormat="1" ht="15" customHeight="1">
      <c r="B1" s="16" t="s">
        <v>291</v>
      </c>
      <c r="C1" s="167"/>
      <c r="D1" s="167"/>
      <c r="E1" s="167"/>
      <c r="F1" s="167"/>
      <c r="G1" s="167"/>
      <c r="H1" s="167"/>
      <c r="I1" s="167"/>
      <c r="J1" s="167"/>
      <c r="K1" s="167"/>
    </row>
    <row r="2" spans="1:29" ht="12" customHeight="1">
      <c r="C2" s="195"/>
    </row>
    <row r="3" spans="1:29" ht="12" customHeight="1">
      <c r="A3" s="171"/>
      <c r="B3" s="365" t="s">
        <v>290</v>
      </c>
      <c r="C3" s="366" t="s">
        <v>281</v>
      </c>
      <c r="E3" s="269"/>
      <c r="F3" s="226" t="s">
        <v>283</v>
      </c>
      <c r="G3" s="226" t="s">
        <v>292</v>
      </c>
      <c r="H3" s="103" t="s">
        <v>279</v>
      </c>
      <c r="I3" s="226" t="s">
        <v>296</v>
      </c>
      <c r="J3" s="370"/>
      <c r="K3" s="370"/>
    </row>
    <row r="4" spans="1:29" ht="12" customHeight="1">
      <c r="A4" s="176"/>
      <c r="B4" s="182" t="s">
        <v>280</v>
      </c>
      <c r="C4" s="371">
        <f>4931.69259</f>
        <v>4931.6925899999997</v>
      </c>
      <c r="E4" s="254" t="s">
        <v>73</v>
      </c>
      <c r="F4" s="251">
        <f>C6*(1+2.29%)</f>
        <v>1146.5064432524998</v>
      </c>
      <c r="G4" s="368">
        <f>$C$13</f>
        <v>5290</v>
      </c>
      <c r="H4" s="246">
        <f>F4*G4</f>
        <v>6065019.0848057242</v>
      </c>
      <c r="I4" s="297"/>
      <c r="K4" s="196"/>
      <c r="L4" s="173"/>
      <c r="N4" s="173"/>
      <c r="O4" s="173"/>
      <c r="P4" s="403"/>
      <c r="Q4" s="173"/>
      <c r="R4" s="173"/>
      <c r="S4" s="403"/>
      <c r="X4" s="173"/>
    </row>
    <row r="5" spans="1:29" ht="12" customHeight="1">
      <c r="A5" s="176"/>
      <c r="B5" s="372" t="s">
        <v>282</v>
      </c>
      <c r="C5" s="358">
        <v>4.4000000000000004</v>
      </c>
      <c r="E5" s="274" t="s">
        <v>74</v>
      </c>
      <c r="F5" s="252">
        <f>F4*(1+2.29%)</f>
        <v>1172.761440802982</v>
      </c>
      <c r="G5" s="369">
        <f>G4*(1+$C$18)</f>
        <v>5576.8766999999998</v>
      </c>
      <c r="H5" s="94">
        <f t="shared" ref="H5:H14" si="0">F5*G5</f>
        <v>6540345.9538725791</v>
      </c>
      <c r="I5" s="96">
        <f>(H5-H4)/H4</f>
        <v>7.8371866999999831E-2</v>
      </c>
      <c r="K5" s="216"/>
      <c r="L5" s="174"/>
      <c r="M5" s="174"/>
      <c r="N5" s="174"/>
      <c r="O5" s="174"/>
      <c r="P5" s="233"/>
      <c r="Q5" s="174"/>
      <c r="R5" s="174"/>
      <c r="S5" s="233"/>
      <c r="T5" s="174"/>
      <c r="U5" s="174"/>
      <c r="V5" s="174"/>
      <c r="W5" s="174"/>
      <c r="X5" s="174"/>
      <c r="Y5" s="174"/>
      <c r="Z5" s="174"/>
      <c r="AA5" s="174"/>
      <c r="AB5" s="174"/>
      <c r="AC5" s="174"/>
    </row>
    <row r="6" spans="1:29" ht="12" customHeight="1">
      <c r="A6" s="176"/>
      <c r="B6" s="373" t="s">
        <v>283</v>
      </c>
      <c r="C6" s="374">
        <f>C4/C5</f>
        <v>1120.8392249999999</v>
      </c>
      <c r="E6" s="274" t="s">
        <v>75</v>
      </c>
      <c r="F6" s="252">
        <f>F5*(1+2.28%)</f>
        <v>1199.5004016532898</v>
      </c>
      <c r="G6" s="369">
        <f t="shared" ref="G6:G14" si="1">G5*(1+$C$18)</f>
        <v>5879.3107234409999</v>
      </c>
      <c r="H6" s="94">
        <f t="shared" si="0"/>
        <v>7052235.5742119737</v>
      </c>
      <c r="I6" s="96">
        <f t="shared" ref="I6:I14" si="2">(H6-H5)/H5</f>
        <v>7.8266443999999963E-2</v>
      </c>
      <c r="K6" s="216"/>
      <c r="L6" s="174"/>
      <c r="M6" s="174"/>
      <c r="N6" s="174"/>
      <c r="O6" s="174"/>
      <c r="P6" s="233"/>
      <c r="Q6" s="174"/>
      <c r="R6" s="174"/>
      <c r="S6" s="233"/>
      <c r="T6" s="174"/>
      <c r="U6" s="174"/>
      <c r="V6" s="174"/>
      <c r="W6" s="174"/>
      <c r="X6" s="174"/>
      <c r="Y6" s="174"/>
      <c r="Z6" s="174"/>
      <c r="AA6" s="174"/>
      <c r="AB6" s="174"/>
      <c r="AC6" s="174"/>
    </row>
    <row r="7" spans="1:29" ht="12" customHeight="1">
      <c r="E7" s="274" t="s">
        <v>76</v>
      </c>
      <c r="F7" s="252">
        <f>F6*(1+2.28%)</f>
        <v>1226.8490108109847</v>
      </c>
      <c r="G7" s="369">
        <f t="shared" si="1"/>
        <v>6198.1457439732058</v>
      </c>
      <c r="H7" s="94">
        <f t="shared" si="0"/>
        <v>7604188.974855843</v>
      </c>
      <c r="I7" s="96">
        <f t="shared" si="2"/>
        <v>7.8266444000000004E-2</v>
      </c>
      <c r="K7" s="216"/>
      <c r="L7" s="174"/>
      <c r="M7" s="174"/>
      <c r="N7" s="174"/>
      <c r="O7" s="174"/>
      <c r="P7" s="174"/>
      <c r="Q7" s="174"/>
      <c r="R7" s="174"/>
      <c r="S7" s="174"/>
      <c r="T7" s="174"/>
      <c r="U7" s="174"/>
      <c r="V7" s="174"/>
      <c r="W7" s="174"/>
      <c r="X7" s="174"/>
      <c r="Y7" s="174"/>
      <c r="Z7" s="174"/>
      <c r="AA7" s="174"/>
      <c r="AB7" s="174"/>
      <c r="AC7" s="174"/>
    </row>
    <row r="8" spans="1:29" ht="12" customHeight="1">
      <c r="A8" s="176"/>
      <c r="B8" s="227" t="s">
        <v>286</v>
      </c>
      <c r="C8" s="269"/>
      <c r="E8" s="274" t="s">
        <v>77</v>
      </c>
      <c r="F8" s="252">
        <f>F7*(1+2.27%)</f>
        <v>1254.698483356394</v>
      </c>
      <c r="G8" s="369">
        <f t="shared" si="1"/>
        <v>6534.2711876688727</v>
      </c>
      <c r="H8" s="94">
        <f t="shared" si="0"/>
        <v>8198540.1490075178</v>
      </c>
      <c r="I8" s="96">
        <f t="shared" si="2"/>
        <v>7.8161020999999845E-2</v>
      </c>
      <c r="K8" s="216"/>
      <c r="L8" s="174"/>
      <c r="M8" s="174"/>
      <c r="N8" s="174"/>
      <c r="O8" s="174"/>
      <c r="P8" s="174"/>
      <c r="Q8" s="174"/>
      <c r="R8" s="174"/>
      <c r="S8" s="174"/>
      <c r="T8" s="174"/>
      <c r="U8" s="174"/>
      <c r="V8" s="174"/>
      <c r="W8" s="174"/>
      <c r="X8" s="174"/>
      <c r="Y8" s="174"/>
      <c r="Z8" s="174"/>
      <c r="AA8" s="174"/>
      <c r="AB8" s="174"/>
      <c r="AC8" s="174"/>
    </row>
    <row r="9" spans="1:29" ht="12" customHeight="1">
      <c r="A9" s="176"/>
      <c r="B9" s="248" t="s">
        <v>284</v>
      </c>
      <c r="C9" s="375">
        <v>1185</v>
      </c>
      <c r="E9" s="274" t="s">
        <v>78</v>
      </c>
      <c r="F9" s="252">
        <f>F8*(1+2.27%)</f>
        <v>1283.180138928584</v>
      </c>
      <c r="G9" s="369">
        <f t="shared" si="1"/>
        <v>6888.624714176156</v>
      </c>
      <c r="H9" s="94">
        <f t="shared" si="0"/>
        <v>8839346.4177634381</v>
      </c>
      <c r="I9" s="96">
        <f t="shared" si="2"/>
        <v>7.8161021000000067E-2</v>
      </c>
      <c r="K9" s="216"/>
      <c r="L9" s="174"/>
      <c r="M9" s="174"/>
      <c r="N9" s="174"/>
      <c r="O9" s="174"/>
      <c r="P9" s="174"/>
      <c r="Q9" s="174"/>
      <c r="R9" s="174"/>
      <c r="S9" s="174"/>
      <c r="T9" s="174"/>
      <c r="U9" s="174"/>
      <c r="V9" s="174"/>
      <c r="W9" s="174"/>
      <c r="X9" s="174"/>
      <c r="Y9" s="174"/>
      <c r="Z9" s="174"/>
      <c r="AA9" s="174"/>
      <c r="AB9" s="174"/>
      <c r="AC9" s="174"/>
    </row>
    <row r="10" spans="1:29">
      <c r="A10" s="172"/>
      <c r="B10" s="248" t="s">
        <v>285</v>
      </c>
      <c r="C10" s="376">
        <v>960</v>
      </c>
      <c r="E10" s="274" t="s">
        <v>316</v>
      </c>
      <c r="F10" s="252">
        <f>F9*(1+2.26%)</f>
        <v>1312.1800100683699</v>
      </c>
      <c r="G10" s="369">
        <f t="shared" si="1"/>
        <v>7262.1948324259292</v>
      </c>
      <c r="H10" s="94">
        <f t="shared" si="0"/>
        <v>9529306.8883311208</v>
      </c>
      <c r="I10" s="96">
        <f t="shared" si="2"/>
        <v>7.8055597999999976E-2</v>
      </c>
      <c r="K10" s="216"/>
      <c r="L10" s="174"/>
      <c r="M10" s="174"/>
      <c r="N10" s="174"/>
      <c r="O10" s="174"/>
      <c r="P10" s="174"/>
      <c r="Q10" s="174"/>
      <c r="R10" s="174"/>
      <c r="S10" s="174"/>
      <c r="T10" s="174"/>
      <c r="U10" s="174"/>
      <c r="V10" s="174"/>
      <c r="W10" s="174"/>
      <c r="X10" s="174"/>
      <c r="Y10" s="174"/>
      <c r="Z10" s="174"/>
      <c r="AA10" s="174"/>
      <c r="AB10" s="174"/>
      <c r="AC10" s="174"/>
    </row>
    <row r="11" spans="1:29">
      <c r="A11" s="176"/>
      <c r="B11" s="182" t="s">
        <v>287</v>
      </c>
      <c r="C11" s="376">
        <f>(C9*2)+(C10*2)</f>
        <v>4290</v>
      </c>
      <c r="E11" s="274" t="s">
        <v>317</v>
      </c>
      <c r="F11" s="252">
        <f>F10*(1+2.26%)</f>
        <v>1341.835278295915</v>
      </c>
      <c r="G11" s="369">
        <f t="shared" si="1"/>
        <v>7656.0236581883873</v>
      </c>
      <c r="H11" s="94">
        <f t="shared" si="0"/>
        <v>10273122.636025324</v>
      </c>
      <c r="I11" s="96">
        <f t="shared" si="2"/>
        <v>7.8055597999999865E-2</v>
      </c>
      <c r="K11" s="216"/>
      <c r="L11" s="174"/>
      <c r="M11" s="174"/>
      <c r="N11" s="174"/>
      <c r="O11" s="174"/>
      <c r="P11" s="174"/>
      <c r="Q11" s="174"/>
      <c r="R11" s="174"/>
      <c r="S11" s="174"/>
      <c r="T11" s="174"/>
      <c r="U11" s="174"/>
      <c r="V11" s="174"/>
      <c r="W11" s="174"/>
      <c r="X11" s="174"/>
      <c r="Y11" s="174"/>
      <c r="Z11" s="174"/>
      <c r="AA11" s="174"/>
      <c r="AB11" s="174"/>
      <c r="AC11" s="174"/>
    </row>
    <row r="12" spans="1:29">
      <c r="B12" s="248" t="s">
        <v>288</v>
      </c>
      <c r="C12" s="376">
        <v>1000</v>
      </c>
      <c r="E12" s="274" t="s">
        <v>318</v>
      </c>
      <c r="F12" s="252">
        <f>F11*(1+2.25%)</f>
        <v>1372.026572057573</v>
      </c>
      <c r="G12" s="369">
        <f t="shared" si="1"/>
        <v>8071.209821171944</v>
      </c>
      <c r="H12" s="94">
        <f t="shared" si="0"/>
        <v>11073914.343299959</v>
      </c>
      <c r="I12" s="96">
        <f t="shared" si="2"/>
        <v>7.7950174999999913E-2</v>
      </c>
      <c r="K12" s="216"/>
      <c r="L12" s="174"/>
      <c r="M12" s="174"/>
      <c r="N12" s="174"/>
      <c r="O12" s="174"/>
      <c r="P12" s="174"/>
      <c r="Q12" s="174"/>
      <c r="R12" s="174"/>
      <c r="S12" s="174"/>
      <c r="T12" s="174"/>
      <c r="U12" s="174"/>
      <c r="V12" s="174"/>
      <c r="W12" s="174"/>
      <c r="X12" s="174"/>
      <c r="Y12" s="174"/>
      <c r="Z12" s="174"/>
      <c r="AA12" s="174"/>
      <c r="AB12" s="174"/>
      <c r="AC12" s="174"/>
    </row>
    <row r="13" spans="1:29">
      <c r="A13" s="176"/>
      <c r="B13" s="377" t="s">
        <v>289</v>
      </c>
      <c r="C13" s="378">
        <f>SUM(C11:C12)</f>
        <v>5290</v>
      </c>
      <c r="E13" s="274" t="s">
        <v>319</v>
      </c>
      <c r="F13" s="252">
        <f>F12*(1+2.25%)</f>
        <v>1402.8971699288684</v>
      </c>
      <c r="G13" s="369">
        <f t="shared" si="1"/>
        <v>8508.9115297740991</v>
      </c>
      <c r="H13" s="94">
        <f t="shared" si="0"/>
        <v>11937127.904295202</v>
      </c>
      <c r="I13" s="96">
        <f t="shared" si="2"/>
        <v>7.7950175000000149E-2</v>
      </c>
      <c r="K13" s="216"/>
      <c r="L13" s="174"/>
      <c r="M13" s="174"/>
      <c r="N13" s="174"/>
      <c r="O13" s="174"/>
      <c r="P13" s="174"/>
      <c r="Q13" s="174"/>
      <c r="R13" s="174"/>
      <c r="S13" s="174"/>
      <c r="T13" s="174"/>
      <c r="U13" s="174"/>
      <c r="V13" s="174"/>
      <c r="W13" s="174"/>
      <c r="X13" s="174"/>
      <c r="Y13" s="174"/>
      <c r="Z13" s="174"/>
      <c r="AA13" s="174"/>
      <c r="AB13" s="174"/>
      <c r="AC13" s="174"/>
    </row>
    <row r="14" spans="1:29">
      <c r="E14" s="274" t="s">
        <v>320</v>
      </c>
      <c r="F14" s="252">
        <f>F13*(1+2.24%)</f>
        <v>1434.3220665352751</v>
      </c>
      <c r="G14" s="369">
        <f t="shared" si="1"/>
        <v>8970.3498020337483</v>
      </c>
      <c r="H14" s="94">
        <f t="shared" si="0"/>
        <v>12866370.665597342</v>
      </c>
      <c r="I14" s="96">
        <f t="shared" si="2"/>
        <v>7.7844751999999989E-2</v>
      </c>
      <c r="J14" s="80"/>
      <c r="K14" s="216"/>
      <c r="L14" s="174"/>
      <c r="M14" s="174"/>
      <c r="N14" s="174"/>
      <c r="O14" s="174"/>
      <c r="P14" s="174"/>
      <c r="Q14" s="174"/>
      <c r="R14" s="174"/>
      <c r="S14" s="174"/>
      <c r="T14" s="174"/>
      <c r="U14" s="174"/>
      <c r="V14" s="174"/>
      <c r="W14" s="174"/>
      <c r="X14" s="174"/>
      <c r="Y14" s="174"/>
      <c r="Z14" s="174"/>
      <c r="AA14" s="174"/>
      <c r="AB14" s="174"/>
      <c r="AC14" s="174"/>
    </row>
    <row r="15" spans="1:29">
      <c r="B15" s="273" t="s">
        <v>293</v>
      </c>
      <c r="C15" s="367">
        <f>C6*C13</f>
        <v>5929239.5002499996</v>
      </c>
      <c r="E15" s="179"/>
      <c r="F15" s="122"/>
      <c r="G15" s="13"/>
      <c r="H15" s="2"/>
      <c r="I15" s="2"/>
      <c r="J15" s="2"/>
      <c r="L15" s="174"/>
      <c r="M15" s="174"/>
      <c r="N15" s="174"/>
      <c r="O15" s="174"/>
      <c r="P15" s="174"/>
      <c r="Q15" s="174"/>
      <c r="R15" s="174"/>
      <c r="S15" s="174"/>
      <c r="T15" s="174"/>
      <c r="U15" s="174"/>
      <c r="V15" s="174"/>
      <c r="W15" s="174"/>
      <c r="X15" s="174"/>
      <c r="Y15" s="174"/>
      <c r="Z15" s="174"/>
      <c r="AA15" s="174"/>
      <c r="AB15" s="174"/>
      <c r="AC15" s="174"/>
    </row>
    <row r="16" spans="1:29">
      <c r="F16" s="122"/>
      <c r="G16" s="240"/>
      <c r="H16" s="240"/>
      <c r="I16" s="240"/>
      <c r="J16" s="240"/>
      <c r="L16" s="174"/>
      <c r="M16" s="174"/>
      <c r="N16" s="174"/>
      <c r="O16" s="174"/>
      <c r="P16" s="174"/>
      <c r="Q16" s="174"/>
      <c r="R16" s="174"/>
      <c r="S16" s="174"/>
      <c r="T16" s="174"/>
      <c r="U16" s="174"/>
      <c r="V16" s="174"/>
      <c r="W16" s="174"/>
      <c r="X16" s="174"/>
      <c r="Y16" s="174"/>
      <c r="Z16" s="174"/>
      <c r="AA16" s="174"/>
      <c r="AB16" s="174"/>
      <c r="AC16" s="174"/>
    </row>
    <row r="17" spans="1:31">
      <c r="B17" s="273" t="s">
        <v>294</v>
      </c>
      <c r="C17" s="230">
        <v>2.2599999999999999E-2</v>
      </c>
      <c r="D17" s="124"/>
      <c r="E17" s="124"/>
      <c r="F17" s="124"/>
      <c r="G17" s="241"/>
      <c r="H17" s="70"/>
      <c r="I17" s="70"/>
      <c r="J17" s="70"/>
      <c r="K17" s="70"/>
      <c r="L17" s="174"/>
      <c r="M17" s="174"/>
      <c r="N17" s="174"/>
      <c r="O17" s="174"/>
      <c r="P17" s="174"/>
      <c r="Q17" s="174"/>
      <c r="R17" s="174"/>
      <c r="S17" s="174"/>
      <c r="T17" s="174"/>
      <c r="U17" s="174"/>
      <c r="V17" s="174"/>
      <c r="W17" s="174"/>
      <c r="X17" s="174"/>
      <c r="Y17" s="174"/>
      <c r="Z17" s="174"/>
      <c r="AA17" s="174"/>
      <c r="AB17" s="174"/>
      <c r="AC17" s="174"/>
    </row>
    <row r="18" spans="1:31">
      <c r="A18" s="176"/>
      <c r="B18" s="273" t="s">
        <v>295</v>
      </c>
      <c r="C18" s="295">
        <f>'Risk Free Rate'!C4</f>
        <v>5.4229999999999993E-2</v>
      </c>
      <c r="E18" s="216"/>
      <c r="F18" s="364"/>
      <c r="G18" s="285"/>
      <c r="H18" s="242"/>
      <c r="I18" s="242"/>
      <c r="J18" s="242"/>
      <c r="K18" s="242"/>
      <c r="L18" s="174"/>
      <c r="M18" s="174"/>
      <c r="N18" s="174"/>
      <c r="O18" s="174"/>
      <c r="P18" s="174"/>
      <c r="Q18" s="174"/>
      <c r="R18" s="174"/>
      <c r="S18" s="174"/>
      <c r="T18" s="174"/>
      <c r="U18" s="174"/>
      <c r="V18" s="174"/>
      <c r="W18" s="174"/>
      <c r="X18" s="174"/>
      <c r="Y18" s="174"/>
      <c r="Z18" s="174"/>
      <c r="AA18" s="174"/>
      <c r="AB18" s="174"/>
      <c r="AC18" s="174"/>
    </row>
    <row r="19" spans="1:31">
      <c r="B19" s="299"/>
      <c r="E19" s="245"/>
      <c r="F19" s="245"/>
      <c r="G19" s="237"/>
      <c r="H19" s="242"/>
      <c r="I19" s="242"/>
      <c r="J19" s="242"/>
      <c r="K19" s="242"/>
      <c r="L19" s="174"/>
      <c r="M19" s="174"/>
      <c r="N19" s="174"/>
      <c r="O19" s="174"/>
      <c r="P19" s="174"/>
      <c r="Q19" s="174"/>
      <c r="R19" s="174"/>
      <c r="S19" s="174"/>
      <c r="T19" s="174"/>
      <c r="U19" s="174"/>
      <c r="V19" s="174"/>
      <c r="W19" s="174"/>
      <c r="X19" s="174"/>
      <c r="Y19" s="174"/>
      <c r="Z19" s="174"/>
      <c r="AA19" s="174"/>
      <c r="AB19" s="174"/>
      <c r="AC19" s="174"/>
    </row>
    <row r="20" spans="1:31">
      <c r="A20" s="176"/>
      <c r="B20" s="299"/>
      <c r="E20" s="245"/>
      <c r="F20" s="245"/>
      <c r="G20" s="237"/>
      <c r="H20" s="242"/>
      <c r="I20" s="242"/>
      <c r="J20" s="242"/>
      <c r="K20" s="242"/>
      <c r="L20" s="174"/>
      <c r="M20" s="174"/>
      <c r="N20" s="174"/>
      <c r="O20" s="174"/>
      <c r="P20" s="174"/>
      <c r="Q20" s="174"/>
      <c r="R20" s="174"/>
      <c r="S20" s="174"/>
      <c r="T20" s="174"/>
      <c r="U20" s="174"/>
      <c r="V20" s="174"/>
      <c r="W20" s="174"/>
      <c r="X20" s="174"/>
      <c r="Y20" s="174"/>
      <c r="Z20" s="174"/>
      <c r="AA20" s="174"/>
      <c r="AB20" s="174"/>
      <c r="AC20" s="174"/>
    </row>
    <row r="21" spans="1:31">
      <c r="B21" s="299"/>
      <c r="E21" s="245"/>
      <c r="F21" s="245"/>
      <c r="G21" s="243"/>
      <c r="H21" s="244"/>
      <c r="I21" s="244"/>
      <c r="J21" s="244"/>
      <c r="K21" s="244"/>
      <c r="L21" s="174"/>
      <c r="M21" s="174"/>
      <c r="N21" s="174"/>
      <c r="O21" s="174"/>
      <c r="P21" s="174"/>
      <c r="Q21" s="174"/>
      <c r="R21" s="174"/>
      <c r="S21" s="174"/>
      <c r="T21" s="174"/>
      <c r="U21" s="174"/>
      <c r="V21" s="174"/>
      <c r="W21" s="174"/>
      <c r="X21" s="174"/>
      <c r="Y21" s="174"/>
      <c r="Z21" s="174"/>
      <c r="AA21" s="174"/>
      <c r="AB21" s="174"/>
      <c r="AC21" s="174"/>
    </row>
    <row r="22" spans="1:31">
      <c r="B22" s="299"/>
      <c r="E22" s="245"/>
      <c r="F22" s="245"/>
      <c r="G22" s="237"/>
      <c r="H22" s="238"/>
      <c r="I22" s="238"/>
      <c r="J22" s="238"/>
      <c r="K22" s="238"/>
      <c r="L22" s="174"/>
      <c r="M22" s="174"/>
      <c r="N22" s="174"/>
      <c r="O22" s="174"/>
      <c r="P22" s="174"/>
      <c r="Q22" s="174"/>
      <c r="R22" s="174"/>
      <c r="S22" s="174"/>
      <c r="T22" s="174"/>
      <c r="U22" s="174"/>
      <c r="V22" s="174"/>
      <c r="W22" s="174"/>
      <c r="X22" s="174"/>
      <c r="Y22" s="174"/>
      <c r="Z22" s="174"/>
      <c r="AA22" s="174"/>
      <c r="AB22" s="174"/>
      <c r="AC22" s="174"/>
      <c r="AD22" s="174"/>
    </row>
    <row r="23" spans="1:31">
      <c r="B23" s="299"/>
      <c r="E23" s="245"/>
      <c r="F23" s="245"/>
      <c r="G23" s="122"/>
      <c r="H23" s="174"/>
      <c r="I23" s="174"/>
      <c r="J23" s="174"/>
      <c r="K23" s="174"/>
      <c r="L23" s="174"/>
      <c r="M23" s="174"/>
      <c r="N23" s="174"/>
      <c r="O23" s="174"/>
      <c r="P23" s="174"/>
      <c r="Q23" s="174"/>
      <c r="R23" s="174"/>
      <c r="S23" s="174"/>
      <c r="T23" s="174"/>
      <c r="U23" s="174"/>
      <c r="V23" s="174"/>
      <c r="W23" s="174"/>
      <c r="X23" s="174"/>
      <c r="Y23" s="174"/>
      <c r="Z23" s="174"/>
      <c r="AA23" s="174"/>
      <c r="AB23" s="174"/>
      <c r="AC23" s="174"/>
      <c r="AD23" s="174"/>
      <c r="AE23" s="174"/>
    </row>
    <row r="24" spans="1:31">
      <c r="B24" s="299"/>
      <c r="E24" s="245"/>
      <c r="F24" s="245"/>
      <c r="G24" s="122"/>
      <c r="H24" s="174"/>
      <c r="I24" s="174"/>
      <c r="J24" s="174"/>
      <c r="K24" s="360"/>
      <c r="L24" s="84"/>
      <c r="M24" s="174"/>
      <c r="N24" s="174"/>
      <c r="O24" s="174"/>
      <c r="P24" s="174"/>
      <c r="Q24" s="174"/>
      <c r="R24" s="174"/>
      <c r="S24" s="174"/>
      <c r="T24" s="174"/>
      <c r="U24" s="174"/>
      <c r="V24" s="174"/>
      <c r="W24" s="174"/>
      <c r="X24" s="174"/>
      <c r="Y24" s="174"/>
      <c r="Z24" s="174"/>
      <c r="AA24" s="174"/>
      <c r="AB24" s="174"/>
      <c r="AC24" s="174"/>
      <c r="AD24" s="174"/>
      <c r="AE24" s="174"/>
    </row>
    <row r="25" spans="1:31">
      <c r="B25" s="299"/>
      <c r="E25" s="245"/>
      <c r="F25" s="245"/>
      <c r="G25" s="122"/>
      <c r="H25" s="174"/>
      <c r="I25" s="174"/>
      <c r="J25" s="174"/>
      <c r="K25" s="361"/>
      <c r="L25" s="179"/>
      <c r="M25" s="174"/>
      <c r="N25" s="174"/>
      <c r="O25" s="174"/>
      <c r="P25" s="174"/>
      <c r="Q25" s="174"/>
      <c r="R25" s="174"/>
      <c r="S25" s="174"/>
      <c r="T25" s="174"/>
      <c r="U25" s="174"/>
      <c r="V25" s="174"/>
      <c r="W25" s="174"/>
      <c r="X25" s="174"/>
      <c r="Y25" s="174"/>
      <c r="Z25" s="174"/>
      <c r="AA25" s="174"/>
      <c r="AB25" s="174"/>
      <c r="AC25" s="174"/>
      <c r="AD25" s="174"/>
      <c r="AE25" s="174"/>
    </row>
    <row r="26" spans="1:31">
      <c r="B26" s="299"/>
      <c r="E26" s="245"/>
      <c r="F26" s="245"/>
      <c r="G26" s="122"/>
      <c r="H26" s="174"/>
      <c r="I26" s="174"/>
      <c r="J26" s="174"/>
      <c r="K26" s="362"/>
      <c r="L26" s="179"/>
      <c r="M26" s="174"/>
      <c r="N26" s="174"/>
      <c r="O26" s="174"/>
      <c r="P26" s="174"/>
      <c r="Q26" s="174"/>
      <c r="R26" s="174"/>
      <c r="S26" s="174"/>
      <c r="T26" s="174"/>
      <c r="U26" s="174"/>
      <c r="V26" s="174"/>
      <c r="W26" s="174"/>
      <c r="X26" s="174"/>
      <c r="Y26" s="174"/>
      <c r="Z26" s="174"/>
      <c r="AA26" s="174"/>
      <c r="AB26" s="174"/>
      <c r="AC26" s="174"/>
      <c r="AD26" s="174"/>
      <c r="AE26" s="174"/>
    </row>
    <row r="27" spans="1:31">
      <c r="B27" s="299"/>
      <c r="E27" s="245"/>
      <c r="F27" s="245"/>
      <c r="G27" s="122"/>
      <c r="H27" s="174"/>
      <c r="I27" s="174"/>
      <c r="J27" s="174"/>
      <c r="K27" s="362"/>
      <c r="L27" s="174"/>
      <c r="M27" s="174"/>
      <c r="N27" s="174"/>
      <c r="O27" s="174"/>
      <c r="P27" s="174"/>
      <c r="Q27" s="174"/>
      <c r="R27" s="174"/>
      <c r="S27" s="174"/>
      <c r="T27" s="174"/>
      <c r="U27" s="174"/>
      <c r="V27" s="174"/>
      <c r="W27" s="174"/>
      <c r="X27" s="174"/>
      <c r="Y27" s="174"/>
      <c r="Z27" s="174"/>
      <c r="AA27" s="174"/>
      <c r="AB27" s="174"/>
      <c r="AC27" s="174"/>
      <c r="AD27" s="174"/>
      <c r="AE27" s="174"/>
    </row>
    <row r="28" spans="1:31">
      <c r="B28" s="299"/>
      <c r="E28" s="245"/>
      <c r="F28" s="245"/>
      <c r="G28" s="211"/>
      <c r="H28" s="174"/>
      <c r="I28" s="174"/>
      <c r="J28" s="174"/>
      <c r="K28" s="363"/>
      <c r="L28" s="174"/>
      <c r="M28" s="174"/>
      <c r="N28" s="174"/>
      <c r="O28" s="174"/>
      <c r="P28" s="174"/>
      <c r="Q28" s="174"/>
      <c r="R28" s="174"/>
      <c r="S28" s="174"/>
      <c r="T28" s="174"/>
      <c r="U28" s="174"/>
      <c r="V28" s="174"/>
      <c r="W28" s="174"/>
      <c r="X28" s="174"/>
      <c r="Y28" s="174"/>
      <c r="Z28" s="174"/>
      <c r="AA28" s="174"/>
      <c r="AB28" s="174"/>
      <c r="AC28" s="174"/>
      <c r="AD28" s="174"/>
      <c r="AE28" s="174"/>
    </row>
    <row r="29" spans="1:31">
      <c r="H29" s="174"/>
      <c r="I29" s="174"/>
      <c r="J29" s="174"/>
      <c r="K29" s="363"/>
      <c r="L29" s="174"/>
      <c r="M29" s="174"/>
      <c r="N29" s="174"/>
      <c r="O29" s="174"/>
      <c r="P29" s="174"/>
      <c r="Q29" s="174"/>
      <c r="R29" s="174"/>
      <c r="S29" s="174"/>
      <c r="T29" s="174"/>
      <c r="U29" s="174"/>
      <c r="V29" s="174"/>
      <c r="W29" s="174"/>
      <c r="X29" s="174"/>
      <c r="Y29" s="174"/>
      <c r="Z29" s="174"/>
      <c r="AA29" s="174"/>
      <c r="AB29" s="174"/>
      <c r="AC29" s="174"/>
      <c r="AD29" s="174"/>
      <c r="AE29" s="174"/>
    </row>
    <row r="30" spans="1:31" ht="14.25" customHeight="1">
      <c r="E30" s="298"/>
      <c r="G30" s="130"/>
      <c r="H30" s="174"/>
      <c r="I30" s="174"/>
      <c r="M30" s="174"/>
      <c r="N30" s="174"/>
      <c r="O30" s="174"/>
      <c r="P30" s="174"/>
      <c r="Q30" s="174"/>
      <c r="R30" s="174"/>
      <c r="S30" s="174"/>
      <c r="T30" s="174"/>
      <c r="U30" s="174"/>
      <c r="V30" s="174"/>
      <c r="W30" s="174"/>
      <c r="X30" s="174"/>
      <c r="Y30" s="174"/>
      <c r="Z30" s="174"/>
      <c r="AA30" s="174"/>
      <c r="AB30" s="174"/>
      <c r="AC30" s="174"/>
      <c r="AD30" s="174"/>
      <c r="AE30" s="174"/>
    </row>
    <row r="31" spans="1:31">
      <c r="G31" s="174"/>
      <c r="H31" s="174"/>
      <c r="I31" s="174"/>
      <c r="M31" s="174"/>
      <c r="N31" s="174"/>
      <c r="O31" s="174"/>
      <c r="P31" s="174"/>
      <c r="Q31" s="174"/>
      <c r="R31" s="174"/>
      <c r="S31" s="174"/>
      <c r="T31" s="174"/>
      <c r="U31" s="174"/>
      <c r="V31" s="174"/>
      <c r="W31" s="174"/>
      <c r="X31" s="174"/>
      <c r="Y31" s="174"/>
      <c r="Z31" s="174"/>
      <c r="AA31" s="174"/>
      <c r="AB31" s="174"/>
      <c r="AC31" s="174"/>
      <c r="AD31" s="174"/>
      <c r="AE31" s="174"/>
    </row>
    <row r="32" spans="1:31">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74"/>
      <c r="AE32" s="174"/>
    </row>
    <row r="33" spans="7:31">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row>
    <row r="34" spans="7:31">
      <c r="G34" s="174"/>
      <c r="H34" s="174"/>
      <c r="I34" s="174"/>
      <c r="J34" s="174"/>
      <c r="K34" s="174"/>
      <c r="L34" s="174"/>
      <c r="M34" s="174"/>
      <c r="N34" s="174"/>
      <c r="O34" s="174"/>
      <c r="P34" s="174"/>
      <c r="Q34" s="174"/>
      <c r="R34" s="174"/>
      <c r="S34" s="174"/>
      <c r="T34" s="174"/>
      <c r="U34" s="174"/>
      <c r="V34" s="174"/>
      <c r="W34" s="174"/>
      <c r="X34" s="174"/>
      <c r="Y34" s="174"/>
      <c r="Z34" s="174"/>
      <c r="AA34" s="174"/>
      <c r="AB34" s="174"/>
      <c r="AC34" s="174"/>
      <c r="AD34" s="174"/>
      <c r="AE34" s="174"/>
    </row>
    <row r="35" spans="7:31">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row>
    <row r="36" spans="7:31">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row>
    <row r="37" spans="7:31">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row>
    <row r="38" spans="7:31">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row>
  </sheetData>
  <pageMargins left="0.7" right="0.7" top="0.75" bottom="0.75" header="0.3" footer="0.3"/>
  <pageSetup paperSize="8"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workbookViewId="0"/>
  </sheetViews>
  <sheetFormatPr defaultRowHeight="12"/>
  <cols>
    <col min="1" max="1" width="2" style="169" customWidth="1"/>
    <col min="2" max="2" width="7" style="169" customWidth="1"/>
    <col min="3" max="3" width="19.5703125" style="169" customWidth="1"/>
    <col min="4" max="4" width="15.140625" style="169" customWidth="1"/>
    <col min="5" max="5" width="14" style="169" customWidth="1"/>
    <col min="6" max="6" width="13.28515625" style="169" customWidth="1"/>
    <col min="7" max="7" width="15.85546875" style="169" customWidth="1" collapsed="1"/>
    <col min="8" max="8" width="12.7109375" style="169" customWidth="1"/>
    <col min="9" max="9" width="13.42578125" style="169" customWidth="1"/>
    <col min="10" max="10" width="14" style="169" customWidth="1"/>
    <col min="11" max="11" width="5.7109375" style="169" customWidth="1"/>
    <col min="12" max="12" width="24.42578125" style="169" customWidth="1"/>
    <col min="13" max="13" width="13.85546875" style="169" customWidth="1"/>
    <col min="14" max="14" width="14.28515625" style="169" bestFit="1" customWidth="1"/>
    <col min="15" max="15" width="9.140625" style="169" customWidth="1"/>
    <col min="16" max="16" width="8.28515625" style="169" customWidth="1"/>
    <col min="17" max="28" width="9.140625" style="169" customWidth="1"/>
    <col min="29" max="29" width="9.28515625" style="169" customWidth="1"/>
    <col min="30" max="30" width="9.42578125" style="169" customWidth="1"/>
    <col min="31" max="31" width="10" style="169" customWidth="1"/>
    <col min="32" max="32" width="11.42578125" style="169" customWidth="1"/>
    <col min="33" max="33" width="9.42578125" style="169" bestFit="1" customWidth="1" collapsed="1"/>
    <col min="34" max="16384" width="9.140625" style="169"/>
  </cols>
  <sheetData>
    <row r="1" spans="1:32" s="168" customFormat="1" ht="15" customHeight="1">
      <c r="B1" s="16" t="s">
        <v>170</v>
      </c>
      <c r="C1" s="167"/>
      <c r="D1" s="167"/>
      <c r="E1" s="167"/>
      <c r="F1" s="167"/>
      <c r="G1" s="167"/>
      <c r="H1" s="167"/>
      <c r="I1" s="167"/>
      <c r="J1" s="167"/>
      <c r="K1" s="167"/>
      <c r="L1" s="167"/>
      <c r="M1" s="167"/>
      <c r="N1" s="167"/>
    </row>
    <row r="2" spans="1:32" ht="12" customHeight="1">
      <c r="C2" s="195"/>
    </row>
    <row r="3" spans="1:32" ht="12" customHeight="1">
      <c r="A3" s="171"/>
      <c r="B3" s="269"/>
      <c r="C3" s="103" t="s">
        <v>279</v>
      </c>
      <c r="D3" s="226" t="s">
        <v>297</v>
      </c>
      <c r="E3" s="226" t="s">
        <v>6</v>
      </c>
      <c r="F3" s="226" t="s">
        <v>176</v>
      </c>
      <c r="G3" s="226" t="s">
        <v>314</v>
      </c>
      <c r="H3" s="226" t="s">
        <v>3</v>
      </c>
      <c r="I3" s="226" t="s">
        <v>177</v>
      </c>
      <c r="J3" s="226" t="s">
        <v>299</v>
      </c>
      <c r="K3" s="382"/>
    </row>
    <row r="4" spans="1:32" ht="12" customHeight="1">
      <c r="A4" s="176"/>
      <c r="B4" s="254" t="s">
        <v>175</v>
      </c>
      <c r="C4" s="379">
        <f>'Amusement Park Industry TAM'!H4</f>
        <v>6065019.0848057242</v>
      </c>
      <c r="D4" s="381">
        <f>E4/C4</f>
        <v>2.1978364476040206E-3</v>
      </c>
      <c r="E4" s="251">
        <f>'EBIT &amp; Advertising Expense'!C4</f>
        <v>13329.92</v>
      </c>
      <c r="F4" s="247"/>
      <c r="G4" s="272">
        <f>'Future Value of Equity Options'!G19</f>
        <v>-0.16176773111781351</v>
      </c>
      <c r="H4" s="258">
        <f>'FCFF &amp; FCFE'!G5</f>
        <v>-2156.3509143819647</v>
      </c>
      <c r="I4" s="258">
        <f t="shared" ref="I4:I9" si="0">H4</f>
        <v>-2156.3509143819647</v>
      </c>
      <c r="J4" s="386">
        <f>$M$4+I4</f>
        <v>-8751.0009143819643</v>
      </c>
      <c r="K4" s="384"/>
      <c r="L4" s="250" t="s">
        <v>298</v>
      </c>
      <c r="M4" s="383">
        <f>-6594.65</f>
        <v>-6594.65</v>
      </c>
      <c r="N4" s="173"/>
      <c r="O4" s="173"/>
      <c r="P4" s="173"/>
      <c r="Q4" s="173"/>
      <c r="R4" s="173"/>
      <c r="S4" s="173"/>
      <c r="X4" s="173"/>
    </row>
    <row r="5" spans="1:32" ht="12" customHeight="1">
      <c r="A5" s="176"/>
      <c r="B5" s="249">
        <v>1</v>
      </c>
      <c r="C5" s="380">
        <f>'Amusement Park Industry TAM'!H5</f>
        <v>6540345.9538725791</v>
      </c>
      <c r="D5" s="205">
        <f>AVERAGE(D4,D6)</f>
        <v>2.6854716696287691E-3</v>
      </c>
      <c r="E5" s="252">
        <f>C5*D5</f>
        <v>17563.913768695958</v>
      </c>
      <c r="F5" s="205">
        <f>(E5-E4)/E4</f>
        <v>0.31763084614881099</v>
      </c>
      <c r="G5" s="255">
        <f>'Future Value of Equity Options'!G20</f>
        <v>-8.3228981878553432E-2</v>
      </c>
      <c r="H5" s="257">
        <f t="shared" ref="H5:H14" si="1">E5*G5</f>
        <v>-1461.826660771271</v>
      </c>
      <c r="I5" s="257">
        <f t="shared" si="0"/>
        <v>-1461.826660771271</v>
      </c>
      <c r="J5" s="203">
        <f>J4+I5</f>
        <v>-10212.827575153235</v>
      </c>
      <c r="K5" s="384"/>
      <c r="L5" s="250" t="s">
        <v>203</v>
      </c>
      <c r="M5" s="262">
        <f>Beta!C6</f>
        <v>0.25169999999999998</v>
      </c>
      <c r="N5" s="174"/>
      <c r="O5" s="174"/>
      <c r="P5" s="174"/>
      <c r="Q5" s="174"/>
      <c r="R5" s="174"/>
      <c r="S5" s="174"/>
      <c r="T5" s="174"/>
      <c r="U5" s="174"/>
      <c r="V5" s="174"/>
      <c r="W5" s="174"/>
      <c r="X5" s="174"/>
      <c r="Y5" s="174"/>
      <c r="Z5" s="174"/>
      <c r="AA5" s="174"/>
      <c r="AB5" s="174"/>
      <c r="AC5" s="174"/>
    </row>
    <row r="6" spans="1:32" ht="12" customHeight="1">
      <c r="A6" s="176"/>
      <c r="B6" s="249">
        <f t="shared" ref="B6:B14" si="2">B5+1</f>
        <v>2</v>
      </c>
      <c r="C6" s="380">
        <f>'Amusement Park Industry TAM'!H6</f>
        <v>7052235.5742119737</v>
      </c>
      <c r="D6" s="205">
        <f>AVERAGE(D4,D7)</f>
        <v>3.1731068916535181E-3</v>
      </c>
      <c r="E6" s="252">
        <f t="shared" ref="E6:E14" si="3">C6*D6</f>
        <v>22377.497302096119</v>
      </c>
      <c r="F6" s="205">
        <f t="shared" ref="F6:F14" si="4">(E6-E5)/E5</f>
        <v>0.27406098645162885</v>
      </c>
      <c r="G6" s="255">
        <f>'Future Value of Equity Options'!G21</f>
        <v>-4.1978981878553423E-2</v>
      </c>
      <c r="H6" s="257">
        <f t="shared" si="1"/>
        <v>-939.38455373207114</v>
      </c>
      <c r="I6" s="257">
        <f t="shared" si="0"/>
        <v>-939.38455373207114</v>
      </c>
      <c r="J6" s="203">
        <f>J5+I6</f>
        <v>-11152.212128885305</v>
      </c>
      <c r="K6" s="384"/>
      <c r="L6" s="174"/>
      <c r="M6" s="174"/>
      <c r="N6" s="174"/>
      <c r="O6" s="174"/>
      <c r="P6" s="174"/>
      <c r="Q6" s="174"/>
      <c r="R6" s="174"/>
      <c r="S6" s="174"/>
      <c r="T6" s="174"/>
      <c r="U6" s="174"/>
      <c r="V6" s="174"/>
      <c r="W6" s="174"/>
      <c r="X6" s="174"/>
      <c r="Y6" s="174"/>
      <c r="Z6" s="174"/>
      <c r="AA6" s="174"/>
      <c r="AB6" s="174"/>
      <c r="AC6" s="174"/>
    </row>
    <row r="7" spans="1:32" ht="12" customHeight="1">
      <c r="B7" s="249">
        <f t="shared" si="2"/>
        <v>3</v>
      </c>
      <c r="C7" s="380">
        <f>'Amusement Park Industry TAM'!H7</f>
        <v>7604188.974855843</v>
      </c>
      <c r="D7" s="205">
        <f>AVERAGE(D4,D9)</f>
        <v>4.1483773357030157E-3</v>
      </c>
      <c r="E7" s="252">
        <f t="shared" si="3"/>
        <v>31545.045199694727</v>
      </c>
      <c r="F7" s="205">
        <f t="shared" si="4"/>
        <v>0.40967708648723089</v>
      </c>
      <c r="G7" s="255">
        <f>'Future Value of Equity Options'!G22</f>
        <v>-7.2898187855341412E-4</v>
      </c>
      <c r="H7" s="257">
        <f t="shared" si="1"/>
        <v>-22.99576630872582</v>
      </c>
      <c r="I7" s="257">
        <f t="shared" si="0"/>
        <v>-22.99576630872582</v>
      </c>
      <c r="J7" s="203">
        <f>J6+H7</f>
        <v>-11175.207895194031</v>
      </c>
      <c r="K7" s="384"/>
      <c r="L7" s="174"/>
      <c r="M7" s="174"/>
      <c r="N7" s="174"/>
      <c r="O7" s="174"/>
      <c r="P7" s="174"/>
      <c r="Q7" s="174"/>
      <c r="R7" s="174"/>
      <c r="S7" s="174"/>
      <c r="T7" s="174"/>
      <c r="U7" s="174"/>
      <c r="V7" s="174"/>
      <c r="W7" s="174"/>
      <c r="X7" s="174"/>
      <c r="Y7" s="174"/>
      <c r="Z7" s="174"/>
      <c r="AA7" s="174"/>
      <c r="AB7" s="174"/>
      <c r="AC7" s="174"/>
    </row>
    <row r="8" spans="1:32" ht="12" customHeight="1">
      <c r="A8" s="176"/>
      <c r="B8" s="249">
        <f t="shared" si="2"/>
        <v>4</v>
      </c>
      <c r="C8" s="380">
        <f>'Amusement Park Industry TAM'!H8</f>
        <v>8198540.1490075178</v>
      </c>
      <c r="D8" s="205">
        <f>AVERAGE(D7,D9)</f>
        <v>5.1236477797525128E-3</v>
      </c>
      <c r="E8" s="252">
        <f t="shared" si="3"/>
        <v>42006.432031674201</v>
      </c>
      <c r="F8" s="205">
        <f t="shared" si="4"/>
        <v>0.33163328078162696</v>
      </c>
      <c r="G8" s="255">
        <f>'Future Value of Equity Options'!G23</f>
        <v>4.0521018121446595E-2</v>
      </c>
      <c r="H8" s="257">
        <f t="shared" si="1"/>
        <v>1702.143393572785</v>
      </c>
      <c r="I8" s="257">
        <f t="shared" si="0"/>
        <v>1702.143393572785</v>
      </c>
      <c r="J8" s="203">
        <f t="shared" ref="J8:J9" si="5">J7+H8</f>
        <v>-9473.0645016212457</v>
      </c>
      <c r="K8" s="384"/>
      <c r="L8" s="174"/>
      <c r="M8" s="174"/>
      <c r="N8" s="174"/>
      <c r="O8" s="174"/>
      <c r="P8" s="174"/>
      <c r="Q8" s="174"/>
      <c r="R8" s="174"/>
      <c r="S8" s="174"/>
      <c r="T8" s="174"/>
      <c r="U8" s="174"/>
      <c r="V8" s="174"/>
      <c r="W8" s="174"/>
      <c r="X8" s="174"/>
      <c r="Y8" s="174"/>
      <c r="Z8" s="174"/>
      <c r="AA8" s="174"/>
      <c r="AB8" s="174"/>
      <c r="AC8" s="174"/>
    </row>
    <row r="9" spans="1:32" ht="12" customHeight="1">
      <c r="A9" s="176"/>
      <c r="B9" s="249">
        <f t="shared" si="2"/>
        <v>5</v>
      </c>
      <c r="C9" s="380">
        <f>'Amusement Park Industry TAM'!H9</f>
        <v>8839346.4177634381</v>
      </c>
      <c r="D9" s="205">
        <f>AVERAGE(D4,D14)</f>
        <v>6.09891822380201E-3</v>
      </c>
      <c r="E9" s="252">
        <f t="shared" si="3"/>
        <v>53910.450953796448</v>
      </c>
      <c r="F9" s="205">
        <f t="shared" si="4"/>
        <v>0.28338562325755812</v>
      </c>
      <c r="G9" s="255">
        <f>'Future Value of Equity Options'!G24</f>
        <v>8.1771018121446604E-2</v>
      </c>
      <c r="H9" s="257">
        <f t="shared" si="1"/>
        <v>4408.3124618782476</v>
      </c>
      <c r="I9" s="257">
        <f t="shared" si="0"/>
        <v>4408.3124618782476</v>
      </c>
      <c r="J9" s="203">
        <f t="shared" si="5"/>
        <v>-5064.752039742998</v>
      </c>
      <c r="K9" s="384"/>
      <c r="L9" s="174"/>
      <c r="M9" s="174"/>
      <c r="N9" s="174"/>
      <c r="O9" s="174"/>
      <c r="P9" s="174"/>
      <c r="Q9" s="174"/>
      <c r="R9" s="174"/>
      <c r="S9" s="174"/>
      <c r="T9" s="174"/>
      <c r="U9" s="174"/>
      <c r="V9" s="174"/>
      <c r="W9" s="174"/>
      <c r="X9" s="174"/>
      <c r="Y9" s="174"/>
      <c r="Z9" s="174"/>
      <c r="AA9" s="174"/>
      <c r="AB9" s="174"/>
      <c r="AC9" s="174"/>
    </row>
    <row r="10" spans="1:32">
      <c r="A10" s="172"/>
      <c r="B10" s="249">
        <f t="shared" si="2"/>
        <v>6</v>
      </c>
      <c r="C10" s="380">
        <f>'Amusement Park Industry TAM'!H10</f>
        <v>9529306.8883311208</v>
      </c>
      <c r="D10" s="205">
        <f>AVERAGE(D9,D11)</f>
        <v>7.0741886678515071E-3</v>
      </c>
      <c r="E10" s="252">
        <f t="shared" si="3"/>
        <v>67412.114801911317</v>
      </c>
      <c r="F10" s="205">
        <f t="shared" si="4"/>
        <v>0.25044613074534233</v>
      </c>
      <c r="G10" s="255">
        <f>'Future Value of Equity Options'!G25</f>
        <v>0.12302101812144661</v>
      </c>
      <c r="H10" s="257">
        <f t="shared" si="1"/>
        <v>8293.1069966509713</v>
      </c>
      <c r="I10" s="257">
        <f>H10-((H10-J9)*$M$5)</f>
        <v>4930.9338771906096</v>
      </c>
      <c r="J10" s="203">
        <v>0</v>
      </c>
      <c r="K10" s="384"/>
      <c r="L10" s="174"/>
      <c r="M10" s="174"/>
      <c r="N10" s="174"/>
      <c r="O10" s="174"/>
      <c r="P10" s="174"/>
      <c r="Q10" s="174"/>
      <c r="R10" s="174"/>
      <c r="S10" s="174"/>
      <c r="T10" s="174"/>
      <c r="U10" s="174"/>
      <c r="V10" s="174"/>
      <c r="W10" s="174"/>
      <c r="X10" s="174"/>
      <c r="Y10" s="174"/>
      <c r="Z10" s="174"/>
      <c r="AA10" s="174"/>
      <c r="AB10" s="174"/>
      <c r="AC10" s="174"/>
    </row>
    <row r="11" spans="1:32">
      <c r="A11" s="176"/>
      <c r="B11" s="249">
        <f t="shared" si="2"/>
        <v>7</v>
      </c>
      <c r="C11" s="380">
        <f>'Amusement Park Industry TAM'!H11</f>
        <v>10273122.636025324</v>
      </c>
      <c r="D11" s="205">
        <f>AVERAGE(D9,D14)</f>
        <v>8.0494591119010042E-3</v>
      </c>
      <c r="E11" s="252">
        <f t="shared" si="3"/>
        <v>82693.080610230507</v>
      </c>
      <c r="F11" s="205">
        <f t="shared" si="4"/>
        <v>0.2266798164279803</v>
      </c>
      <c r="G11" s="255">
        <f>'Future Value of Equity Options'!G26</f>
        <v>0.16427101812144662</v>
      </c>
      <c r="H11" s="257">
        <f t="shared" si="1"/>
        <v>13584.076543441422</v>
      </c>
      <c r="I11" s="257">
        <f>H11*(1-$M$5)</f>
        <v>10164.964477457215</v>
      </c>
      <c r="J11" s="203">
        <v>0</v>
      </c>
      <c r="K11" s="384"/>
      <c r="L11" s="296"/>
      <c r="M11" s="174"/>
      <c r="N11" s="174"/>
      <c r="O11" s="174"/>
      <c r="P11" s="174"/>
      <c r="Q11" s="174"/>
      <c r="R11" s="174"/>
      <c r="S11" s="174"/>
      <c r="T11" s="174"/>
      <c r="U11" s="174"/>
      <c r="V11" s="174"/>
      <c r="W11" s="174"/>
      <c r="X11" s="174"/>
      <c r="Y11" s="174"/>
      <c r="Z11" s="174"/>
      <c r="AA11" s="174"/>
      <c r="AB11" s="174"/>
      <c r="AC11" s="174"/>
    </row>
    <row r="12" spans="1:32">
      <c r="B12" s="249">
        <f t="shared" si="2"/>
        <v>8</v>
      </c>
      <c r="C12" s="380">
        <f>'Amusement Park Industry TAM'!H12</f>
        <v>11073914.343299959</v>
      </c>
      <c r="D12" s="205">
        <f>AVERAGE(D11,D14)</f>
        <v>9.0247295559505031E-3</v>
      </c>
      <c r="E12" s="252">
        <f t="shared" si="3"/>
        <v>99939.082074043341</v>
      </c>
      <c r="F12" s="205">
        <f t="shared" si="4"/>
        <v>0.20855434743205367</v>
      </c>
      <c r="G12" s="255">
        <f>'Future Value of Equity Options'!G27</f>
        <v>0.20552101812144663</v>
      </c>
      <c r="H12" s="257">
        <f t="shared" si="1"/>
        <v>20539.581897980202</v>
      </c>
      <c r="I12" s="257">
        <f>H12*(1-$M$5)</f>
        <v>15369.769134258584</v>
      </c>
      <c r="J12" s="203">
        <v>0</v>
      </c>
      <c r="K12" s="384"/>
      <c r="L12" s="174"/>
      <c r="M12" s="174"/>
      <c r="N12" s="174"/>
      <c r="O12" s="174"/>
      <c r="P12" s="174"/>
      <c r="Q12" s="174"/>
      <c r="R12" s="174"/>
      <c r="S12" s="174"/>
      <c r="T12" s="174"/>
      <c r="U12" s="174"/>
      <c r="V12" s="174"/>
      <c r="W12" s="174"/>
      <c r="X12" s="174"/>
      <c r="Y12" s="174"/>
      <c r="Z12" s="174"/>
      <c r="AA12" s="174"/>
      <c r="AB12" s="174"/>
      <c r="AC12" s="174"/>
    </row>
    <row r="13" spans="1:32">
      <c r="A13" s="176"/>
      <c r="B13" s="249">
        <f t="shared" si="2"/>
        <v>9</v>
      </c>
      <c r="C13" s="380">
        <f>'Amusement Park Industry TAM'!H13</f>
        <v>11937127.904295202</v>
      </c>
      <c r="D13" s="205">
        <f>AVERAGE(D12,D14)</f>
        <v>9.5123647779752525E-3</v>
      </c>
      <c r="E13" s="252">
        <f t="shared" si="3"/>
        <v>113550.31502700322</v>
      </c>
      <c r="F13" s="205">
        <f t="shared" si="4"/>
        <v>0.13619529687970841</v>
      </c>
      <c r="G13" s="255">
        <f>'Future Value of Equity Options'!G28</f>
        <v>0.22614601812144663</v>
      </c>
      <c r="H13" s="257">
        <f t="shared" si="1"/>
        <v>25678.951599792643</v>
      </c>
      <c r="I13" s="257">
        <f>H13*(1-$M$5)</f>
        <v>19215.559482124834</v>
      </c>
      <c r="J13" s="203">
        <v>0</v>
      </c>
      <c r="K13" s="384"/>
      <c r="L13" s="174"/>
      <c r="M13" s="174"/>
      <c r="N13" s="174"/>
      <c r="O13" s="174"/>
      <c r="P13" s="174"/>
      <c r="Q13" s="174"/>
      <c r="R13" s="174"/>
      <c r="S13" s="174"/>
      <c r="T13" s="174"/>
      <c r="U13" s="174"/>
      <c r="V13" s="174"/>
      <c r="W13" s="174"/>
      <c r="X13" s="174"/>
      <c r="Y13" s="174"/>
      <c r="Z13" s="174"/>
      <c r="AA13" s="174"/>
      <c r="AB13" s="174"/>
      <c r="AC13" s="174"/>
    </row>
    <row r="14" spans="1:32">
      <c r="B14" s="249">
        <f t="shared" si="2"/>
        <v>10</v>
      </c>
      <c r="C14" s="380">
        <f>'Amusement Park Industry TAM'!H14</f>
        <v>12866370.665597342</v>
      </c>
      <c r="D14" s="205">
        <v>0.01</v>
      </c>
      <c r="E14" s="252">
        <f t="shared" si="3"/>
        <v>128663.70665597342</v>
      </c>
      <c r="F14" s="205">
        <f t="shared" si="4"/>
        <v>0.13309863231445998</v>
      </c>
      <c r="G14" s="255">
        <f>'Future Value of Equity Options'!G29</f>
        <v>0.24677101812144664</v>
      </c>
      <c r="H14" s="257">
        <f t="shared" si="1"/>
        <v>31750.473886773711</v>
      </c>
      <c r="I14" s="257">
        <f>H14*(1-$M$5)</f>
        <v>23758.879609472766</v>
      </c>
      <c r="J14" s="203">
        <v>0</v>
      </c>
      <c r="K14" s="384"/>
      <c r="M14" s="174"/>
      <c r="O14" s="174"/>
      <c r="P14" s="174"/>
      <c r="Q14" s="174"/>
      <c r="R14" s="174"/>
      <c r="S14" s="174"/>
      <c r="T14" s="174"/>
      <c r="U14" s="174"/>
      <c r="V14" s="174"/>
      <c r="W14" s="174"/>
      <c r="X14" s="174"/>
      <c r="Y14" s="174"/>
      <c r="Z14" s="174"/>
      <c r="AA14" s="174"/>
      <c r="AB14" s="174"/>
      <c r="AC14" s="174"/>
    </row>
    <row r="15" spans="1:32">
      <c r="C15" s="245"/>
      <c r="E15" s="179"/>
      <c r="F15" s="122"/>
      <c r="G15" s="2"/>
      <c r="H15" s="13"/>
      <c r="I15" s="13"/>
      <c r="J15" s="13"/>
      <c r="L15" s="130"/>
      <c r="M15" s="12"/>
      <c r="N15" s="12"/>
      <c r="O15" s="12"/>
      <c r="P15" s="174"/>
      <c r="Q15" s="174"/>
      <c r="R15" s="174"/>
      <c r="S15" s="174"/>
      <c r="T15" s="174"/>
      <c r="U15" s="174"/>
      <c r="V15" s="174"/>
      <c r="W15" s="174"/>
      <c r="X15" s="174"/>
      <c r="Y15" s="174"/>
      <c r="Z15" s="174"/>
      <c r="AA15" s="174"/>
      <c r="AB15" s="174"/>
      <c r="AC15" s="174"/>
      <c r="AD15" s="174"/>
      <c r="AE15" s="174"/>
      <c r="AF15" s="174"/>
    </row>
    <row r="16" spans="1:32">
      <c r="F16" s="122"/>
      <c r="G16" s="253"/>
      <c r="H16" s="156"/>
      <c r="I16" s="240"/>
      <c r="J16" s="236"/>
      <c r="K16" s="240"/>
      <c r="L16" s="240"/>
      <c r="M16" s="240"/>
      <c r="O16" s="204"/>
      <c r="P16" s="174"/>
      <c r="Q16" s="174"/>
      <c r="R16" s="174"/>
      <c r="S16" s="174"/>
      <c r="T16" s="174"/>
      <c r="U16" s="174"/>
      <c r="V16" s="174"/>
      <c r="W16" s="174"/>
      <c r="X16" s="174"/>
      <c r="Y16" s="174"/>
      <c r="Z16" s="174"/>
      <c r="AA16" s="174"/>
      <c r="AB16" s="174"/>
      <c r="AC16" s="174"/>
      <c r="AD16" s="174"/>
      <c r="AE16" s="174"/>
      <c r="AF16" s="174"/>
    </row>
    <row r="17" spans="1:34">
      <c r="B17" s="269"/>
      <c r="C17" s="103" t="s">
        <v>178</v>
      </c>
      <c r="D17" s="103" t="s">
        <v>179</v>
      </c>
      <c r="E17" s="103" t="s">
        <v>145</v>
      </c>
      <c r="F17" s="103" t="s">
        <v>180</v>
      </c>
      <c r="G17" s="103" t="s">
        <v>181</v>
      </c>
      <c r="H17" s="103" t="s">
        <v>182</v>
      </c>
      <c r="I17" s="51"/>
      <c r="J17" s="385"/>
      <c r="K17" s="70"/>
      <c r="L17" s="70"/>
      <c r="M17" s="70"/>
      <c r="N17" s="70"/>
      <c r="O17" s="174"/>
      <c r="P17" s="174"/>
      <c r="Q17" s="174"/>
      <c r="R17" s="174"/>
      <c r="S17" s="174"/>
      <c r="T17" s="174"/>
      <c r="U17" s="174"/>
      <c r="V17" s="174"/>
      <c r="W17" s="174"/>
      <c r="X17" s="174"/>
      <c r="Y17" s="174"/>
      <c r="Z17" s="174"/>
      <c r="AA17" s="174"/>
      <c r="AB17" s="174"/>
      <c r="AC17" s="174"/>
      <c r="AD17" s="174"/>
      <c r="AE17" s="174"/>
      <c r="AF17" s="174"/>
    </row>
    <row r="18" spans="1:34">
      <c r="A18" s="176"/>
      <c r="B18" s="254" t="s">
        <v>175</v>
      </c>
      <c r="C18" s="247"/>
      <c r="D18" s="259">
        <f>E4/G18</f>
        <v>0.19037363121807374</v>
      </c>
      <c r="E18" s="256"/>
      <c r="F18" s="246">
        <f>'FCFF &amp; FCFE'!C3</f>
        <v>1758.0660308554427</v>
      </c>
      <c r="G18" s="260">
        <f>'Expected Growth Rate'!C8</f>
        <v>70019.781178258476</v>
      </c>
      <c r="H18" s="261">
        <f>I4/G18</f>
        <v>-3.0796310386807142E-2</v>
      </c>
      <c r="I18" s="237"/>
      <c r="J18" s="298"/>
      <c r="K18" s="242"/>
      <c r="L18" s="242"/>
      <c r="M18" s="242"/>
      <c r="N18" s="242"/>
      <c r="O18" s="174"/>
      <c r="P18" s="174"/>
      <c r="Q18" s="174"/>
      <c r="R18" s="174"/>
      <c r="S18" s="174"/>
      <c r="T18" s="174"/>
      <c r="U18" s="174"/>
      <c r="V18" s="174"/>
      <c r="W18" s="174"/>
      <c r="X18" s="174"/>
      <c r="Y18" s="174"/>
      <c r="Z18" s="174"/>
      <c r="AA18" s="174"/>
      <c r="AB18" s="174"/>
      <c r="AC18" s="174"/>
      <c r="AD18" s="174"/>
      <c r="AE18" s="174"/>
      <c r="AF18" s="174"/>
    </row>
    <row r="19" spans="1:34">
      <c r="B19" s="249">
        <v>1</v>
      </c>
      <c r="C19" s="248">
        <f t="shared" ref="C19:C28" si="6">E5-E4</f>
        <v>4233.9937686959584</v>
      </c>
      <c r="D19" s="228">
        <f>'Expected Growth Rate'!$G$11</f>
        <v>0.89290000000000003</v>
      </c>
      <c r="E19" s="248">
        <f>C19/D19</f>
        <v>4741.8454123596803</v>
      </c>
      <c r="F19" s="248">
        <f t="shared" ref="F19:F28" si="7">I5-E19</f>
        <v>-6203.6720731309515</v>
      </c>
      <c r="G19" s="76">
        <f>G18+E19</f>
        <v>74761.626590618151</v>
      </c>
      <c r="H19" s="78">
        <f>I5/G19</f>
        <v>-1.9553168215239392E-2</v>
      </c>
      <c r="I19" s="237"/>
      <c r="J19" s="237"/>
      <c r="K19" s="242"/>
      <c r="L19" s="242"/>
      <c r="M19" s="242"/>
      <c r="N19" s="242"/>
      <c r="O19" s="174"/>
      <c r="P19" s="174"/>
      <c r="Q19" s="174"/>
      <c r="R19" s="174"/>
      <c r="S19" s="174"/>
      <c r="T19" s="174"/>
      <c r="U19" s="174"/>
      <c r="V19" s="174"/>
      <c r="W19" s="174"/>
      <c r="X19" s="174"/>
      <c r="Y19" s="174"/>
      <c r="Z19" s="174"/>
      <c r="AA19" s="174"/>
      <c r="AB19" s="174"/>
      <c r="AC19" s="174"/>
      <c r="AD19" s="174"/>
      <c r="AE19" s="174"/>
      <c r="AF19" s="174"/>
    </row>
    <row r="20" spans="1:34">
      <c r="A20" s="176"/>
      <c r="B20" s="249">
        <f t="shared" ref="B20:B28" si="8">B19+1</f>
        <v>2</v>
      </c>
      <c r="C20" s="248">
        <f t="shared" si="6"/>
        <v>4813.5835334001604</v>
      </c>
      <c r="D20" s="228">
        <f>'Expected Growth Rate'!$G$11</f>
        <v>0.89290000000000003</v>
      </c>
      <c r="E20" s="248">
        <f t="shared" ref="E20:E28" si="9">C20/D20</f>
        <v>5390.9547915781841</v>
      </c>
      <c r="F20" s="248">
        <f t="shared" si="7"/>
        <v>-6330.3393453102553</v>
      </c>
      <c r="G20" s="76">
        <f t="shared" ref="G20:G28" si="10">G19+E20</f>
        <v>80152.581382196338</v>
      </c>
      <c r="H20" s="78">
        <f>I6/G20</f>
        <v>-1.1719953837203916E-2</v>
      </c>
      <c r="I20" s="237"/>
      <c r="J20" s="237"/>
      <c r="K20" s="242"/>
      <c r="L20" s="242"/>
      <c r="M20" s="242"/>
      <c r="N20" s="242"/>
      <c r="O20" s="174"/>
      <c r="P20" s="174"/>
      <c r="Q20" s="174"/>
      <c r="R20" s="174"/>
      <c r="S20" s="174"/>
      <c r="T20" s="174"/>
      <c r="U20" s="174"/>
      <c r="V20" s="174"/>
      <c r="W20" s="174"/>
      <c r="X20" s="174"/>
      <c r="Y20" s="174"/>
      <c r="Z20" s="174"/>
      <c r="AA20" s="174"/>
      <c r="AB20" s="174"/>
      <c r="AC20" s="174"/>
      <c r="AD20" s="174"/>
      <c r="AE20" s="174"/>
      <c r="AF20" s="174"/>
    </row>
    <row r="21" spans="1:34">
      <c r="B21" s="249">
        <f t="shared" si="8"/>
        <v>3</v>
      </c>
      <c r="C21" s="248">
        <f t="shared" si="6"/>
        <v>9167.547897598608</v>
      </c>
      <c r="D21" s="228">
        <f>'Expected Growth Rate'!$G$11</f>
        <v>0.89290000000000003</v>
      </c>
      <c r="E21" s="248">
        <f t="shared" si="9"/>
        <v>10267.160821591004</v>
      </c>
      <c r="F21" s="248">
        <f t="shared" si="7"/>
        <v>-10290.15658789973</v>
      </c>
      <c r="G21" s="76">
        <f t="shared" si="10"/>
        <v>90419.742203787348</v>
      </c>
      <c r="H21" s="78">
        <f>I7/G21</f>
        <v>-2.5432240513247793E-4</v>
      </c>
      <c r="I21" s="243"/>
      <c r="J21" s="243"/>
      <c r="K21" s="244"/>
      <c r="L21" s="244"/>
      <c r="M21" s="244"/>
      <c r="N21" s="244"/>
      <c r="O21" s="174"/>
      <c r="P21" s="174"/>
      <c r="Q21" s="174"/>
      <c r="R21" s="174"/>
      <c r="S21" s="174"/>
      <c r="T21" s="174"/>
      <c r="U21" s="174"/>
      <c r="V21" s="174"/>
      <c r="W21" s="174"/>
      <c r="X21" s="174"/>
      <c r="Y21" s="174"/>
      <c r="Z21" s="174"/>
      <c r="AA21" s="174"/>
      <c r="AB21" s="174"/>
      <c r="AC21" s="174"/>
      <c r="AD21" s="174"/>
      <c r="AE21" s="174"/>
      <c r="AF21" s="174"/>
    </row>
    <row r="22" spans="1:34">
      <c r="B22" s="249">
        <f t="shared" si="8"/>
        <v>4</v>
      </c>
      <c r="C22" s="248">
        <f t="shared" si="6"/>
        <v>10461.386831979475</v>
      </c>
      <c r="D22" s="228">
        <f>'Expected Growth Rate'!$G$11</f>
        <v>0.89290000000000003</v>
      </c>
      <c r="E22" s="248">
        <f t="shared" si="9"/>
        <v>11716.190874655027</v>
      </c>
      <c r="F22" s="248">
        <f t="shared" si="7"/>
        <v>-10014.047481082242</v>
      </c>
      <c r="G22" s="76">
        <f t="shared" si="10"/>
        <v>102135.93307844238</v>
      </c>
      <c r="H22" s="78">
        <f>I8/G22</f>
        <v>1.6665470635740958E-2</v>
      </c>
      <c r="I22" s="237"/>
      <c r="J22" s="237"/>
      <c r="K22" s="238"/>
      <c r="L22" s="238"/>
      <c r="M22" s="238"/>
      <c r="N22" s="238"/>
      <c r="O22" s="174"/>
      <c r="P22" s="174"/>
      <c r="Q22" s="174"/>
      <c r="R22" s="174"/>
      <c r="S22" s="174"/>
      <c r="T22" s="174"/>
      <c r="U22" s="174"/>
      <c r="V22" s="174"/>
      <c r="W22" s="174"/>
      <c r="X22" s="174"/>
      <c r="Y22" s="174"/>
      <c r="Z22" s="174"/>
      <c r="AA22" s="174"/>
      <c r="AB22" s="174"/>
      <c r="AC22" s="174"/>
      <c r="AD22" s="174"/>
      <c r="AE22" s="174"/>
      <c r="AF22" s="174"/>
      <c r="AG22" s="174"/>
    </row>
    <row r="23" spans="1:34">
      <c r="B23" s="249">
        <f t="shared" si="8"/>
        <v>5</v>
      </c>
      <c r="C23" s="248">
        <f t="shared" si="6"/>
        <v>11904.018922122246</v>
      </c>
      <c r="D23" s="228">
        <f>'Expected Growth Rate'!$G$11</f>
        <v>0.89290000000000003</v>
      </c>
      <c r="E23" s="248">
        <f t="shared" si="9"/>
        <v>13331.861263436271</v>
      </c>
      <c r="F23" s="248">
        <f t="shared" si="7"/>
        <v>-8923.5488015580231</v>
      </c>
      <c r="G23" s="76">
        <f t="shared" si="10"/>
        <v>115467.79434187865</v>
      </c>
      <c r="H23" s="78">
        <f t="shared" ref="H23:H28" si="11">I9/G23</f>
        <v>3.8177852855022544E-2</v>
      </c>
      <c r="I23" s="122"/>
      <c r="J23" s="122"/>
      <c r="K23" s="174"/>
      <c r="L23" s="174"/>
      <c r="M23" s="174"/>
      <c r="N23" s="174"/>
      <c r="O23" s="174"/>
      <c r="P23" s="174"/>
      <c r="Q23" s="174"/>
      <c r="R23" s="174"/>
      <c r="S23" s="174"/>
      <c r="T23" s="174"/>
      <c r="U23" s="174"/>
      <c r="V23" s="174"/>
      <c r="W23" s="174"/>
      <c r="X23" s="174"/>
      <c r="Y23" s="174"/>
      <c r="Z23" s="174"/>
      <c r="AA23" s="174"/>
      <c r="AB23" s="174"/>
      <c r="AC23" s="174"/>
      <c r="AD23" s="174"/>
      <c r="AE23" s="174"/>
      <c r="AF23" s="174"/>
      <c r="AG23" s="174"/>
      <c r="AH23" s="174"/>
    </row>
    <row r="24" spans="1:34">
      <c r="B24" s="249">
        <f t="shared" si="8"/>
        <v>6</v>
      </c>
      <c r="C24" s="248">
        <f t="shared" si="6"/>
        <v>13501.663848114869</v>
      </c>
      <c r="D24" s="228">
        <f>'Expected Growth Rate'!$G$11</f>
        <v>0.89290000000000003</v>
      </c>
      <c r="E24" s="248">
        <f t="shared" si="9"/>
        <v>15121.13769527928</v>
      </c>
      <c r="F24" s="248">
        <f t="shared" si="7"/>
        <v>-10190.20381808867</v>
      </c>
      <c r="G24" s="76">
        <f t="shared" si="10"/>
        <v>130588.93203715792</v>
      </c>
      <c r="H24" s="78">
        <f t="shared" si="11"/>
        <v>3.7759202102882319E-2</v>
      </c>
      <c r="I24" s="122"/>
      <c r="J24" s="122"/>
      <c r="K24" s="174"/>
      <c r="L24" s="174"/>
      <c r="M24" s="174"/>
      <c r="N24" s="360"/>
      <c r="O24" s="84"/>
      <c r="P24" s="174"/>
      <c r="Q24" s="174"/>
      <c r="R24" s="174"/>
      <c r="S24" s="174"/>
      <c r="T24" s="174"/>
      <c r="U24" s="174"/>
      <c r="V24" s="174"/>
      <c r="W24" s="174"/>
      <c r="X24" s="174"/>
      <c r="Y24" s="174"/>
      <c r="Z24" s="174"/>
      <c r="AA24" s="174"/>
      <c r="AB24" s="174"/>
      <c r="AC24" s="174"/>
      <c r="AD24" s="174"/>
      <c r="AE24" s="174"/>
      <c r="AF24" s="174"/>
      <c r="AG24" s="174"/>
      <c r="AH24" s="174"/>
    </row>
    <row r="25" spans="1:34">
      <c r="B25" s="249">
        <f t="shared" si="8"/>
        <v>7</v>
      </c>
      <c r="C25" s="248">
        <f t="shared" si="6"/>
        <v>15280.96580831919</v>
      </c>
      <c r="D25" s="228">
        <f>'Expected Growth Rate'!$G$11</f>
        <v>0.89290000000000003</v>
      </c>
      <c r="E25" s="248">
        <f t="shared" si="9"/>
        <v>17113.86024002597</v>
      </c>
      <c r="F25" s="248">
        <f t="shared" si="7"/>
        <v>-6948.8957625687544</v>
      </c>
      <c r="G25" s="76">
        <f t="shared" si="10"/>
        <v>147702.79227718391</v>
      </c>
      <c r="H25" s="78">
        <f t="shared" si="11"/>
        <v>6.8820394799180978E-2</v>
      </c>
      <c r="I25" s="122"/>
      <c r="J25" s="122"/>
      <c r="K25" s="174"/>
      <c r="L25" s="174"/>
      <c r="M25" s="174"/>
      <c r="N25" s="361"/>
      <c r="O25" s="179"/>
      <c r="P25" s="174"/>
      <c r="Q25" s="174"/>
      <c r="R25" s="174"/>
      <c r="S25" s="174"/>
      <c r="T25" s="174"/>
      <c r="U25" s="174"/>
      <c r="V25" s="174"/>
      <c r="W25" s="174"/>
      <c r="X25" s="174"/>
      <c r="Y25" s="174"/>
      <c r="Z25" s="174"/>
      <c r="AA25" s="174"/>
      <c r="AB25" s="174"/>
      <c r="AC25" s="174"/>
      <c r="AD25" s="174"/>
      <c r="AE25" s="174"/>
      <c r="AF25" s="174"/>
      <c r="AG25" s="174"/>
      <c r="AH25" s="174"/>
    </row>
    <row r="26" spans="1:34">
      <c r="B26" s="249">
        <f t="shared" si="8"/>
        <v>8</v>
      </c>
      <c r="C26" s="248">
        <f t="shared" si="6"/>
        <v>17246.001463812834</v>
      </c>
      <c r="D26" s="228">
        <f>'Expected Growth Rate'!$G$11</f>
        <v>0.89290000000000003</v>
      </c>
      <c r="E26" s="248">
        <f t="shared" si="9"/>
        <v>19314.594538932506</v>
      </c>
      <c r="F26" s="248">
        <f t="shared" si="7"/>
        <v>-3944.8254046739221</v>
      </c>
      <c r="G26" s="76">
        <f t="shared" si="10"/>
        <v>167017.3868161164</v>
      </c>
      <c r="H26" s="78">
        <f t="shared" si="11"/>
        <v>9.2024964749211804E-2</v>
      </c>
      <c r="I26" s="122"/>
      <c r="J26" s="122"/>
      <c r="K26" s="174"/>
      <c r="L26" s="174"/>
      <c r="O26" s="179"/>
      <c r="P26" s="174"/>
      <c r="Q26" s="174"/>
      <c r="R26" s="174"/>
      <c r="S26" s="174"/>
      <c r="T26" s="174"/>
      <c r="U26" s="174"/>
      <c r="V26" s="174"/>
      <c r="W26" s="174"/>
      <c r="X26" s="174"/>
      <c r="Y26" s="174"/>
      <c r="Z26" s="174"/>
      <c r="AA26" s="174"/>
      <c r="AB26" s="174"/>
      <c r="AC26" s="174"/>
      <c r="AD26" s="174"/>
      <c r="AE26" s="174"/>
      <c r="AF26" s="174"/>
      <c r="AG26" s="174"/>
      <c r="AH26" s="174"/>
    </row>
    <row r="27" spans="1:34">
      <c r="B27" s="249">
        <f t="shared" si="8"/>
        <v>9</v>
      </c>
      <c r="C27" s="248">
        <f t="shared" si="6"/>
        <v>13611.232952959879</v>
      </c>
      <c r="D27" s="228">
        <f>'Expected Growth Rate'!$G$11</f>
        <v>0.89290000000000003</v>
      </c>
      <c r="E27" s="248">
        <f t="shared" si="9"/>
        <v>15243.849202553341</v>
      </c>
      <c r="F27" s="248">
        <f t="shared" si="7"/>
        <v>3971.7102795714927</v>
      </c>
      <c r="G27" s="76">
        <f t="shared" si="10"/>
        <v>182261.23601866973</v>
      </c>
      <c r="H27" s="78">
        <f t="shared" si="11"/>
        <v>0.10542866877165537</v>
      </c>
      <c r="I27" s="122"/>
      <c r="J27" s="122"/>
      <c r="K27" s="174"/>
      <c r="L27" s="174"/>
      <c r="O27" s="174"/>
      <c r="P27" s="174"/>
      <c r="Q27" s="174"/>
      <c r="R27" s="174"/>
      <c r="S27" s="174"/>
      <c r="T27" s="174"/>
      <c r="U27" s="174"/>
      <c r="V27" s="174"/>
      <c r="W27" s="174"/>
      <c r="X27" s="174"/>
      <c r="Y27" s="174"/>
      <c r="Z27" s="174"/>
      <c r="AA27" s="174"/>
      <c r="AB27" s="174"/>
      <c r="AC27" s="174"/>
      <c r="AD27" s="174"/>
      <c r="AE27" s="174"/>
      <c r="AF27" s="174"/>
      <c r="AG27" s="174"/>
      <c r="AH27" s="174"/>
    </row>
    <row r="28" spans="1:34">
      <c r="B28" s="249">
        <f t="shared" si="8"/>
        <v>10</v>
      </c>
      <c r="C28" s="248">
        <f t="shared" si="6"/>
        <v>15113.391628970203</v>
      </c>
      <c r="D28" s="228">
        <f>'Expected Growth Rate'!$G$11</f>
        <v>0.89290000000000003</v>
      </c>
      <c r="E28" s="248">
        <f t="shared" si="9"/>
        <v>16926.186167510587</v>
      </c>
      <c r="F28" s="248">
        <f t="shared" si="7"/>
        <v>6832.6934419621793</v>
      </c>
      <c r="G28" s="76">
        <f t="shared" si="10"/>
        <v>199187.42218618031</v>
      </c>
      <c r="H28" s="78">
        <f t="shared" si="11"/>
        <v>0.11927901545543053</v>
      </c>
      <c r="I28" s="211"/>
      <c r="J28" s="211"/>
      <c r="K28" s="174"/>
      <c r="L28" s="174"/>
      <c r="O28" s="174"/>
      <c r="P28" s="174"/>
      <c r="Q28" s="174"/>
      <c r="R28" s="174"/>
      <c r="S28" s="174"/>
      <c r="T28" s="174"/>
      <c r="U28" s="174"/>
      <c r="V28" s="174"/>
      <c r="W28" s="174"/>
      <c r="X28" s="174"/>
      <c r="Y28" s="174"/>
      <c r="Z28" s="174"/>
      <c r="AA28" s="174"/>
      <c r="AB28" s="174"/>
      <c r="AC28" s="174"/>
      <c r="AD28" s="174"/>
      <c r="AE28" s="174"/>
      <c r="AF28" s="174"/>
      <c r="AG28" s="174"/>
      <c r="AH28" s="174"/>
    </row>
    <row r="29" spans="1:34">
      <c r="K29" s="174"/>
      <c r="L29" s="174"/>
      <c r="M29" s="174"/>
      <c r="N29" s="363"/>
      <c r="O29" s="174"/>
      <c r="P29" s="174"/>
      <c r="Q29" s="174"/>
      <c r="R29" s="174"/>
      <c r="S29" s="174"/>
      <c r="T29" s="174"/>
      <c r="U29" s="174"/>
      <c r="V29" s="174"/>
      <c r="W29" s="174"/>
      <c r="X29" s="174"/>
      <c r="Y29" s="174"/>
      <c r="Z29" s="174"/>
      <c r="AA29" s="174"/>
      <c r="AB29" s="174"/>
      <c r="AC29" s="174"/>
      <c r="AD29" s="174"/>
      <c r="AE29" s="174"/>
      <c r="AF29" s="174"/>
      <c r="AG29" s="174"/>
      <c r="AH29" s="174"/>
    </row>
    <row r="30" spans="1:34" ht="14.25" customHeight="1">
      <c r="J30" s="130"/>
      <c r="K30" s="174"/>
      <c r="L30" s="174"/>
      <c r="P30" s="174"/>
      <c r="Q30" s="174"/>
      <c r="R30" s="174"/>
      <c r="S30" s="174"/>
      <c r="T30" s="174"/>
      <c r="U30" s="174"/>
      <c r="V30" s="174"/>
      <c r="W30" s="174"/>
      <c r="X30" s="174"/>
      <c r="Y30" s="174"/>
      <c r="Z30" s="174"/>
      <c r="AA30" s="174"/>
      <c r="AB30" s="174"/>
      <c r="AC30" s="174"/>
      <c r="AD30" s="174"/>
      <c r="AE30" s="174"/>
      <c r="AF30" s="174"/>
      <c r="AG30" s="174"/>
      <c r="AH30" s="174"/>
    </row>
    <row r="31" spans="1:34">
      <c r="G31" s="174"/>
      <c r="H31" s="174"/>
      <c r="I31" s="174"/>
      <c r="J31" s="174"/>
      <c r="K31" s="174"/>
      <c r="L31" s="174"/>
      <c r="P31" s="174"/>
      <c r="Q31" s="174"/>
      <c r="R31" s="174"/>
      <c r="S31" s="174"/>
      <c r="T31" s="174"/>
      <c r="U31" s="174"/>
      <c r="V31" s="174"/>
      <c r="W31" s="174"/>
      <c r="X31" s="174"/>
      <c r="Y31" s="174"/>
      <c r="Z31" s="174"/>
      <c r="AA31" s="174"/>
      <c r="AB31" s="174"/>
      <c r="AC31" s="174"/>
      <c r="AD31" s="174"/>
      <c r="AE31" s="174"/>
      <c r="AF31" s="174"/>
      <c r="AG31" s="174"/>
      <c r="AH31" s="174"/>
    </row>
    <row r="32" spans="1:34">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74"/>
      <c r="AE32" s="174"/>
      <c r="AF32" s="174"/>
      <c r="AG32" s="174"/>
      <c r="AH32" s="174"/>
    </row>
    <row r="33" spans="7:34">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174"/>
      <c r="AG33" s="174"/>
      <c r="AH33" s="174"/>
    </row>
    <row r="34" spans="7:34">
      <c r="G34" s="174"/>
      <c r="H34" s="174"/>
      <c r="I34" s="174"/>
      <c r="J34" s="174"/>
      <c r="K34" s="174"/>
      <c r="L34" s="174"/>
      <c r="M34" s="174"/>
      <c r="N34" s="174"/>
      <c r="O34" s="174"/>
      <c r="P34" s="174"/>
      <c r="Q34" s="174"/>
      <c r="R34" s="174"/>
      <c r="S34" s="174"/>
      <c r="T34" s="174"/>
      <c r="U34" s="174"/>
      <c r="V34" s="174"/>
      <c r="W34" s="174"/>
      <c r="X34" s="174"/>
      <c r="Y34" s="174"/>
      <c r="Z34" s="174"/>
      <c r="AA34" s="174"/>
      <c r="AB34" s="174"/>
      <c r="AC34" s="174"/>
      <c r="AD34" s="174"/>
      <c r="AE34" s="174"/>
      <c r="AF34" s="174"/>
      <c r="AG34" s="174"/>
      <c r="AH34" s="174"/>
    </row>
    <row r="35" spans="7:3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4"/>
    </row>
    <row r="36" spans="7:3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4"/>
    </row>
    <row r="37" spans="7:34">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c r="AG37" s="174"/>
      <c r="AH37" s="174"/>
    </row>
    <row r="38" spans="7:34">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c r="AG38" s="174"/>
      <c r="AH38" s="174"/>
    </row>
  </sheetData>
  <pageMargins left="0.7" right="0.7" top="0.75" bottom="0.75" header="0.3" footer="0.3"/>
  <pageSetup paperSize="9"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69" customWidth="1"/>
    <col min="2" max="2" width="29.28515625" style="169" customWidth="1"/>
    <col min="3" max="3" width="13.7109375" style="169" customWidth="1"/>
    <col min="4" max="4" width="4.85546875" style="169" customWidth="1"/>
    <col min="5" max="5" width="4.42578125" style="169" customWidth="1"/>
    <col min="6" max="6" width="24.28515625" style="169" customWidth="1"/>
    <col min="7" max="7" width="10.140625" style="169" customWidth="1" collapsed="1"/>
    <col min="8" max="9" width="10.42578125" style="169" customWidth="1"/>
    <col min="10" max="10" width="9.140625" style="169" customWidth="1"/>
    <col min="11" max="11" width="9" style="169" customWidth="1"/>
    <col min="12" max="12" width="9.85546875" style="169" customWidth="1"/>
    <col min="13" max="26" width="9.140625" style="169" customWidth="1"/>
    <col min="27" max="27" width="9.28515625" style="169" customWidth="1"/>
    <col min="28" max="28" width="9.42578125" style="169" customWidth="1"/>
    <col min="29" max="29" width="10" style="169" customWidth="1"/>
    <col min="30" max="30" width="11.42578125" style="169" customWidth="1"/>
    <col min="31" max="31" width="9.42578125" style="169" bestFit="1" customWidth="1" collapsed="1"/>
    <col min="32" max="16384" width="9.140625" style="169"/>
  </cols>
  <sheetData>
    <row r="1" spans="1:32" s="168" customFormat="1" ht="15" customHeight="1">
      <c r="B1" s="16" t="s">
        <v>171</v>
      </c>
      <c r="C1" s="167"/>
      <c r="D1" s="167"/>
      <c r="E1" s="167"/>
      <c r="F1" s="167"/>
      <c r="G1" s="167"/>
      <c r="H1" s="167"/>
      <c r="I1" s="167"/>
      <c r="J1" s="167"/>
      <c r="K1" s="167"/>
      <c r="L1" s="167"/>
    </row>
    <row r="2" spans="1:32" ht="12" customHeight="1">
      <c r="C2" s="195"/>
    </row>
    <row r="3" spans="1:32" ht="12" customHeight="1">
      <c r="A3" s="171"/>
      <c r="B3" s="198" t="s">
        <v>186</v>
      </c>
      <c r="C3" s="235">
        <v>0.04</v>
      </c>
      <c r="F3" s="401" t="s">
        <v>190</v>
      </c>
      <c r="G3" s="401"/>
      <c r="H3" s="401"/>
      <c r="I3" s="401"/>
      <c r="J3" s="401"/>
      <c r="K3" s="401"/>
      <c r="L3" s="212"/>
      <c r="M3" s="212"/>
      <c r="N3" s="212"/>
      <c r="O3" s="212"/>
      <c r="P3" s="212"/>
      <c r="Q3" s="212"/>
    </row>
    <row r="4" spans="1:32" ht="12" customHeight="1">
      <c r="A4" s="176"/>
      <c r="B4" s="186" t="s">
        <v>187</v>
      </c>
      <c r="C4" s="96">
        <f>'Future Cashflows (10 Yrs)'!H28</f>
        <v>0.11927901545543053</v>
      </c>
      <c r="F4" s="114" t="s">
        <v>107</v>
      </c>
      <c r="G4" s="96">
        <f>'Risk Free Rate'!C4</f>
        <v>5.4229999999999993E-2</v>
      </c>
      <c r="H4" s="182"/>
      <c r="I4" s="182"/>
      <c r="J4" s="182"/>
      <c r="K4" s="187"/>
      <c r="L4" s="287"/>
      <c r="M4" s="287"/>
      <c r="N4" s="287"/>
      <c r="O4" s="287"/>
      <c r="P4" s="287"/>
      <c r="Q4" s="170"/>
      <c r="S4" s="173"/>
      <c r="T4" s="173"/>
      <c r="U4" s="173"/>
      <c r="V4" s="173"/>
      <c r="AA4" s="173"/>
    </row>
    <row r="5" spans="1:32" ht="12" customHeight="1">
      <c r="A5" s="176"/>
      <c r="B5" s="190" t="s">
        <v>173</v>
      </c>
      <c r="C5" s="275">
        <f>C3/C4</f>
        <v>0.33534817375271087</v>
      </c>
      <c r="F5" s="114" t="s">
        <v>15</v>
      </c>
      <c r="G5" s="96">
        <f>'Equity Risk Premium'!F28</f>
        <v>4.0157330674279436E-2</v>
      </c>
      <c r="H5" s="182"/>
      <c r="I5" s="182"/>
      <c r="J5" s="182"/>
      <c r="K5" s="187"/>
      <c r="L5" s="50"/>
      <c r="M5" s="50"/>
      <c r="N5" s="50"/>
      <c r="O5" s="50"/>
      <c r="P5" s="50"/>
      <c r="Q5" s="50"/>
      <c r="S5" s="174"/>
      <c r="T5" s="174"/>
      <c r="U5" s="174"/>
      <c r="V5" s="174"/>
      <c r="W5" s="174"/>
      <c r="X5" s="174"/>
      <c r="Y5" s="174"/>
      <c r="Z5" s="174"/>
      <c r="AA5" s="174"/>
      <c r="AB5" s="174"/>
      <c r="AC5" s="174"/>
      <c r="AD5" s="174"/>
      <c r="AE5" s="174"/>
      <c r="AF5" s="174"/>
    </row>
    <row r="6" spans="1:32" ht="12" customHeight="1">
      <c r="A6" s="176"/>
      <c r="B6" s="182"/>
      <c r="C6" s="182"/>
      <c r="F6" s="114" t="s">
        <v>10</v>
      </c>
      <c r="G6" s="152">
        <v>1</v>
      </c>
      <c r="H6" s="277" t="s">
        <v>192</v>
      </c>
      <c r="I6" s="182"/>
      <c r="J6" s="182"/>
      <c r="K6" s="187"/>
      <c r="L6" s="204"/>
      <c r="M6" s="204"/>
      <c r="N6" s="204"/>
      <c r="O6" s="204"/>
      <c r="P6" s="204"/>
      <c r="Q6" s="204"/>
      <c r="S6" s="174"/>
      <c r="T6" s="174"/>
      <c r="U6" s="174"/>
      <c r="V6" s="174"/>
      <c r="W6" s="174"/>
      <c r="X6" s="174"/>
      <c r="Y6" s="174"/>
      <c r="Z6" s="174"/>
      <c r="AA6" s="174"/>
      <c r="AB6" s="174"/>
      <c r="AC6" s="174"/>
      <c r="AD6" s="174"/>
      <c r="AE6" s="174"/>
      <c r="AF6" s="174"/>
    </row>
    <row r="7" spans="1:32" ht="12" customHeight="1">
      <c r="B7" s="186" t="s">
        <v>188</v>
      </c>
      <c r="C7" s="159">
        <f>('Future Cashflows (10 Yrs)'!$E$14*(1+'Future Cashflows (10 Yrs)'!$F$14))*'Future Cashflows (10 Yrs)'!$G$14</f>
        <v>35976.418536439269</v>
      </c>
      <c r="F7" s="18"/>
      <c r="G7" s="18"/>
      <c r="H7" s="182"/>
      <c r="I7" s="182"/>
      <c r="J7" s="182"/>
      <c r="K7" s="182"/>
      <c r="N7" s="174"/>
      <c r="O7" s="174"/>
      <c r="P7" s="195"/>
      <c r="Q7" s="204"/>
      <c r="S7" s="174"/>
      <c r="T7" s="174"/>
      <c r="U7" s="174"/>
      <c r="V7" s="174"/>
      <c r="W7" s="174"/>
      <c r="X7" s="174"/>
      <c r="Y7" s="174"/>
      <c r="Z7" s="174"/>
      <c r="AA7" s="174"/>
      <c r="AB7" s="174"/>
      <c r="AC7" s="174"/>
      <c r="AD7" s="174"/>
      <c r="AE7" s="174"/>
      <c r="AF7" s="174"/>
    </row>
    <row r="8" spans="1:32" ht="12" customHeight="1">
      <c r="A8" s="176"/>
      <c r="B8" s="186" t="s">
        <v>189</v>
      </c>
      <c r="C8" s="96">
        <f>'Future Cashflows (10 Yrs)'!M5</f>
        <v>0.25169999999999998</v>
      </c>
      <c r="F8" s="114" t="s">
        <v>12</v>
      </c>
      <c r="G8" s="58">
        <f>G4+G6*G5</f>
        <v>9.4387330674279429E-2</v>
      </c>
      <c r="H8" s="182"/>
      <c r="I8" s="182"/>
      <c r="J8" s="182"/>
      <c r="K8" s="278"/>
      <c r="O8" s="174"/>
      <c r="P8" s="174"/>
      <c r="Q8" s="174"/>
      <c r="R8" s="174"/>
      <c r="S8" s="174"/>
      <c r="T8" s="174"/>
      <c r="U8" s="174"/>
      <c r="V8" s="174"/>
      <c r="W8" s="174"/>
      <c r="X8" s="174"/>
      <c r="Y8" s="174"/>
      <c r="Z8" s="174"/>
      <c r="AA8" s="174"/>
      <c r="AB8" s="174"/>
      <c r="AC8" s="174"/>
      <c r="AD8" s="174"/>
      <c r="AE8" s="174"/>
      <c r="AF8" s="174"/>
    </row>
    <row r="9" spans="1:32" ht="12" customHeight="1">
      <c r="A9" s="176"/>
      <c r="B9" s="190" t="s">
        <v>143</v>
      </c>
      <c r="C9" s="191">
        <f>C7*(1-C8)</f>
        <v>26921.153990817504</v>
      </c>
      <c r="F9" s="182"/>
      <c r="G9" s="182"/>
      <c r="H9" s="182"/>
      <c r="I9" s="182"/>
      <c r="J9" s="182"/>
      <c r="K9" s="250"/>
      <c r="O9" s="174"/>
      <c r="P9" s="174"/>
      <c r="Q9" s="174"/>
      <c r="R9" s="174"/>
      <c r="S9" s="174"/>
      <c r="T9" s="174"/>
      <c r="U9" s="174"/>
      <c r="V9" s="174"/>
      <c r="W9" s="174"/>
      <c r="X9" s="174"/>
      <c r="Y9" s="174"/>
      <c r="Z9" s="174"/>
      <c r="AA9" s="174"/>
      <c r="AB9" s="174"/>
      <c r="AC9" s="174"/>
      <c r="AD9" s="174"/>
      <c r="AE9" s="174"/>
      <c r="AF9" s="174"/>
    </row>
    <row r="10" spans="1:32">
      <c r="A10" s="172"/>
      <c r="B10" s="186"/>
      <c r="C10" s="282"/>
      <c r="F10" s="114" t="s">
        <v>110</v>
      </c>
      <c r="G10" s="98">
        <v>3.2140000000000002E-2</v>
      </c>
      <c r="H10" s="182"/>
      <c r="I10" s="182"/>
      <c r="J10" s="202"/>
      <c r="K10" s="250"/>
      <c r="O10" s="174"/>
      <c r="P10" s="174"/>
      <c r="Q10" s="174"/>
      <c r="R10" s="174"/>
      <c r="S10" s="174"/>
      <c r="T10" s="174"/>
      <c r="U10" s="174"/>
      <c r="V10" s="174"/>
      <c r="W10" s="174"/>
      <c r="X10" s="174"/>
      <c r="Y10" s="174"/>
      <c r="Z10" s="174"/>
      <c r="AA10" s="174"/>
      <c r="AB10" s="174"/>
      <c r="AC10" s="174"/>
      <c r="AD10" s="174"/>
      <c r="AE10" s="174"/>
      <c r="AF10" s="174"/>
    </row>
    <row r="11" spans="1:32" ht="12.75" customHeight="1">
      <c r="A11" s="176"/>
      <c r="B11" s="186" t="s">
        <v>191</v>
      </c>
      <c r="C11" s="283">
        <f>C9*(1-C5)</f>
        <v>17893.19416468135</v>
      </c>
      <c r="F11" s="114" t="s">
        <v>109</v>
      </c>
      <c r="G11" s="152">
        <f>17.31/10.75</f>
        <v>1.6102325581395347</v>
      </c>
      <c r="H11" s="182"/>
      <c r="I11" s="182"/>
      <c r="J11" s="205"/>
      <c r="K11" s="250"/>
      <c r="O11" s="174"/>
      <c r="P11" s="174"/>
      <c r="Q11" s="174"/>
      <c r="R11" s="174"/>
      <c r="S11" s="174"/>
      <c r="T11" s="174"/>
      <c r="U11" s="174"/>
      <c r="V11" s="174"/>
      <c r="W11" s="174"/>
      <c r="X11" s="174"/>
      <c r="Y11" s="174"/>
      <c r="Z11" s="174"/>
      <c r="AA11" s="174"/>
      <c r="AB11" s="174"/>
      <c r="AC11" s="174"/>
      <c r="AD11" s="174"/>
      <c r="AE11" s="174"/>
      <c r="AF11" s="174"/>
    </row>
    <row r="12" spans="1:32">
      <c r="B12" s="250"/>
      <c r="C12" s="182"/>
      <c r="F12" s="114" t="s">
        <v>18</v>
      </c>
      <c r="G12" s="96">
        <f>'Risk Free Rate'!C8</f>
        <v>1.8700000000000001E-2</v>
      </c>
      <c r="H12" s="277"/>
      <c r="I12" s="182"/>
      <c r="J12" s="205"/>
      <c r="K12" s="250"/>
      <c r="L12" s="212"/>
      <c r="M12" s="212"/>
      <c r="N12" s="212"/>
      <c r="O12" s="212"/>
      <c r="P12" s="212"/>
      <c r="Q12" s="212"/>
      <c r="R12" s="174"/>
      <c r="S12" s="174"/>
      <c r="T12" s="174"/>
      <c r="U12" s="174"/>
      <c r="V12" s="174"/>
      <c r="W12" s="174"/>
      <c r="X12" s="174"/>
      <c r="Y12" s="174"/>
      <c r="Z12" s="174"/>
      <c r="AA12" s="174"/>
      <c r="AB12" s="174"/>
      <c r="AC12" s="174"/>
      <c r="AD12" s="174"/>
      <c r="AE12" s="174"/>
      <c r="AF12" s="174"/>
    </row>
    <row r="13" spans="1:32" ht="12" customHeight="1">
      <c r="A13" s="176"/>
      <c r="B13" s="54" t="s">
        <v>171</v>
      </c>
      <c r="C13" s="284">
        <f>C11/(G19-C3)</f>
        <v>329893.21598142374</v>
      </c>
      <c r="D13" s="2"/>
      <c r="E13" s="6"/>
      <c r="F13" s="54" t="s">
        <v>244</v>
      </c>
      <c r="G13" s="96">
        <v>6.7000000000000002E-3</v>
      </c>
      <c r="H13" s="277" t="s">
        <v>300</v>
      </c>
      <c r="I13" s="182"/>
      <c r="J13" s="205"/>
      <c r="K13" s="250"/>
      <c r="O13" s="174"/>
      <c r="P13" s="174"/>
      <c r="Q13" s="174"/>
      <c r="R13" s="174"/>
      <c r="S13" s="174"/>
      <c r="T13" s="174"/>
      <c r="U13" s="174"/>
      <c r="V13" s="174"/>
      <c r="W13" s="174"/>
      <c r="X13" s="174"/>
      <c r="Y13" s="174"/>
      <c r="Z13" s="174"/>
      <c r="AA13" s="174"/>
      <c r="AB13" s="174"/>
      <c r="AC13" s="174"/>
      <c r="AD13" s="174"/>
      <c r="AE13" s="174"/>
      <c r="AF13" s="174"/>
    </row>
    <row r="14" spans="1:32">
      <c r="D14" s="2"/>
      <c r="E14" s="6"/>
      <c r="F14" s="30"/>
      <c r="G14" s="18"/>
      <c r="H14" s="182"/>
      <c r="I14" s="182"/>
      <c r="J14" s="205"/>
      <c r="K14" s="250"/>
      <c r="O14" s="174"/>
      <c r="P14" s="174"/>
      <c r="Q14" s="174"/>
      <c r="R14" s="174"/>
      <c r="S14" s="174"/>
      <c r="T14" s="174"/>
      <c r="U14" s="174"/>
      <c r="V14" s="174"/>
      <c r="W14" s="174"/>
      <c r="X14" s="174"/>
      <c r="Y14" s="174"/>
      <c r="Z14" s="174"/>
      <c r="AA14" s="174"/>
      <c r="AB14" s="174"/>
      <c r="AC14" s="174"/>
      <c r="AD14" s="174"/>
      <c r="AE14" s="174"/>
      <c r="AF14" s="174"/>
    </row>
    <row r="15" spans="1:32">
      <c r="D15" s="6"/>
      <c r="E15" s="6"/>
      <c r="F15" s="114" t="s">
        <v>13</v>
      </c>
      <c r="G15" s="58">
        <f>G10+(G11*G12)+G13</f>
        <v>6.8951348837209298E-2</v>
      </c>
      <c r="H15" s="182"/>
      <c r="I15" s="182"/>
      <c r="J15" s="205"/>
      <c r="K15" s="250"/>
      <c r="O15" s="174"/>
      <c r="P15" s="174"/>
      <c r="Q15" s="174"/>
      <c r="R15" s="174"/>
      <c r="S15" s="174"/>
      <c r="T15" s="174"/>
      <c r="U15" s="174"/>
      <c r="V15" s="174"/>
      <c r="W15" s="174"/>
      <c r="X15" s="174"/>
      <c r="Y15" s="174"/>
      <c r="Z15" s="174"/>
      <c r="AA15" s="174"/>
      <c r="AB15" s="174"/>
      <c r="AC15" s="174"/>
      <c r="AD15" s="174"/>
      <c r="AE15" s="174"/>
      <c r="AF15" s="174"/>
    </row>
    <row r="16" spans="1:32">
      <c r="B16" s="23"/>
      <c r="C16" s="80"/>
      <c r="D16" s="24"/>
      <c r="E16" s="6"/>
      <c r="F16" s="182"/>
      <c r="G16" s="182"/>
      <c r="H16" s="182"/>
      <c r="I16" s="182"/>
      <c r="J16" s="205"/>
      <c r="K16" s="250"/>
      <c r="O16" s="174"/>
      <c r="P16" s="174"/>
      <c r="Q16" s="174"/>
      <c r="R16" s="174"/>
      <c r="S16" s="174"/>
      <c r="T16" s="174"/>
      <c r="U16" s="174"/>
      <c r="V16" s="174"/>
      <c r="W16" s="174"/>
      <c r="X16" s="174"/>
      <c r="Y16" s="174"/>
      <c r="Z16" s="174"/>
      <c r="AA16" s="174"/>
      <c r="AB16" s="174"/>
      <c r="AC16" s="174"/>
      <c r="AD16" s="174"/>
      <c r="AE16" s="174"/>
      <c r="AF16" s="174"/>
    </row>
    <row r="17" spans="1:32">
      <c r="B17" s="23"/>
      <c r="C17" s="276"/>
      <c r="D17" s="6"/>
      <c r="E17" s="24"/>
      <c r="F17" s="186" t="s">
        <v>193</v>
      </c>
      <c r="G17" s="20">
        <f>WACC!$C$9/(WACC!$C$6+WACC!$C$9)</f>
        <v>3.4581769475046848E-3</v>
      </c>
      <c r="H17" s="182"/>
      <c r="I17" s="182"/>
      <c r="J17" s="205"/>
      <c r="K17" s="250"/>
      <c r="L17" s="174"/>
      <c r="O17" s="174"/>
      <c r="P17" s="174"/>
      <c r="Q17" s="174"/>
      <c r="R17" s="174"/>
      <c r="S17" s="174"/>
      <c r="T17" s="174"/>
      <c r="U17" s="174"/>
      <c r="V17" s="174"/>
      <c r="W17" s="174"/>
      <c r="X17" s="174"/>
      <c r="Y17" s="174"/>
      <c r="Z17" s="174"/>
      <c r="AA17" s="174"/>
      <c r="AB17" s="174"/>
      <c r="AC17" s="174"/>
      <c r="AD17" s="174"/>
      <c r="AE17" s="174"/>
      <c r="AF17" s="174"/>
    </row>
    <row r="18" spans="1:32">
      <c r="A18" s="176"/>
      <c r="B18" s="3"/>
      <c r="C18" s="3"/>
      <c r="D18" s="6"/>
      <c r="E18" s="6"/>
      <c r="F18" s="186" t="s">
        <v>194</v>
      </c>
      <c r="G18" s="279">
        <f>1-G17</f>
        <v>0.99654182305249528</v>
      </c>
      <c r="H18" s="182"/>
      <c r="I18" s="182"/>
      <c r="J18" s="205"/>
      <c r="K18" s="250"/>
      <c r="L18" s="174"/>
      <c r="M18" s="174"/>
      <c r="N18" s="174"/>
      <c r="O18" s="174"/>
      <c r="P18" s="174"/>
      <c r="Q18" s="174"/>
      <c r="R18" s="174"/>
      <c r="S18" s="174"/>
      <c r="T18" s="174"/>
      <c r="U18" s="174"/>
      <c r="V18" s="174"/>
      <c r="W18" s="174"/>
      <c r="X18" s="174"/>
      <c r="Y18" s="174"/>
      <c r="Z18" s="174"/>
      <c r="AA18" s="174"/>
      <c r="AB18" s="174"/>
      <c r="AC18" s="174"/>
      <c r="AD18" s="174"/>
      <c r="AE18" s="174"/>
      <c r="AF18" s="174"/>
    </row>
    <row r="19" spans="1:32">
      <c r="B19" s="23"/>
      <c r="C19" s="61"/>
      <c r="D19" s="6"/>
      <c r="E19" s="6"/>
      <c r="F19" s="281" t="s">
        <v>195</v>
      </c>
      <c r="G19" s="280">
        <f>(G8*G18)+(G15*(1-C8)*G17)</f>
        <v>9.4239351698850685E-2</v>
      </c>
      <c r="J19" s="210"/>
      <c r="K19" s="174"/>
      <c r="L19" s="174"/>
      <c r="M19" s="174"/>
      <c r="N19" s="174"/>
      <c r="O19" s="174"/>
      <c r="P19" s="174"/>
      <c r="Q19" s="174"/>
      <c r="R19" s="174"/>
      <c r="S19" s="174"/>
      <c r="T19" s="174"/>
      <c r="U19" s="174"/>
      <c r="V19" s="174"/>
      <c r="W19" s="174"/>
      <c r="X19" s="174"/>
      <c r="Y19" s="174"/>
      <c r="Z19" s="174"/>
      <c r="AA19" s="174"/>
      <c r="AB19" s="174"/>
      <c r="AC19" s="174"/>
      <c r="AD19" s="174"/>
      <c r="AE19" s="174"/>
      <c r="AF19" s="174"/>
    </row>
    <row r="20" spans="1:32">
      <c r="A20" s="176"/>
      <c r="B20" s="3"/>
      <c r="C20" s="3"/>
      <c r="D20" s="6"/>
      <c r="E20" s="6"/>
      <c r="L20" s="174"/>
      <c r="M20" s="174"/>
      <c r="N20" s="174"/>
      <c r="O20" s="174"/>
      <c r="P20" s="174"/>
      <c r="Q20" s="174"/>
      <c r="R20" s="174"/>
      <c r="S20" s="174"/>
      <c r="T20" s="174"/>
      <c r="U20" s="174"/>
      <c r="V20" s="174"/>
      <c r="W20" s="174"/>
      <c r="X20" s="174"/>
      <c r="Y20" s="174"/>
      <c r="Z20" s="174"/>
      <c r="AA20" s="174"/>
      <c r="AB20" s="174"/>
      <c r="AC20" s="174"/>
      <c r="AD20" s="174"/>
      <c r="AE20" s="174"/>
      <c r="AF20" s="174"/>
    </row>
    <row r="21" spans="1:32">
      <c r="B21" s="56"/>
      <c r="C21" s="3"/>
      <c r="D21" s="6"/>
      <c r="E21" s="24"/>
      <c r="L21" s="174"/>
      <c r="M21" s="174"/>
      <c r="N21" s="174"/>
      <c r="O21" s="174"/>
      <c r="P21" s="174"/>
      <c r="Q21" s="174"/>
      <c r="R21" s="174"/>
      <c r="S21" s="174"/>
      <c r="T21" s="174"/>
      <c r="U21" s="174"/>
      <c r="V21" s="174"/>
      <c r="W21" s="174"/>
      <c r="X21" s="174"/>
      <c r="Y21" s="174"/>
      <c r="Z21" s="174"/>
      <c r="AA21" s="174"/>
      <c r="AB21" s="174"/>
      <c r="AC21" s="174"/>
      <c r="AD21" s="174"/>
      <c r="AE21" s="174"/>
      <c r="AF21" s="174"/>
    </row>
    <row r="22" spans="1:32">
      <c r="B22" s="2"/>
      <c r="C22" s="2"/>
      <c r="D22" s="2"/>
      <c r="E22" s="2"/>
      <c r="L22" s="174"/>
      <c r="M22" s="174"/>
      <c r="N22" s="174"/>
      <c r="O22" s="174"/>
      <c r="P22" s="174"/>
      <c r="Q22" s="174"/>
      <c r="R22" s="174"/>
      <c r="S22" s="174"/>
      <c r="T22" s="174"/>
      <c r="U22" s="174"/>
      <c r="V22" s="174"/>
      <c r="W22" s="174"/>
      <c r="X22" s="174"/>
      <c r="Y22" s="174"/>
      <c r="Z22" s="174"/>
      <c r="AA22" s="174"/>
      <c r="AB22" s="174"/>
      <c r="AC22" s="174"/>
      <c r="AD22" s="174"/>
      <c r="AE22" s="174"/>
      <c r="AF22" s="174"/>
    </row>
    <row r="23" spans="1:32" ht="12" customHeight="1">
      <c r="B23" s="16"/>
      <c r="C23" s="3"/>
      <c r="D23" s="6"/>
      <c r="E23" s="6"/>
      <c r="L23" s="174"/>
      <c r="M23" s="174"/>
      <c r="N23" s="174"/>
      <c r="O23" s="174"/>
      <c r="P23" s="174"/>
      <c r="Q23" s="174"/>
      <c r="R23" s="174"/>
      <c r="S23" s="174"/>
      <c r="T23" s="174"/>
      <c r="U23" s="174"/>
      <c r="V23" s="174"/>
      <c r="W23" s="174"/>
      <c r="X23" s="174"/>
      <c r="Y23" s="174"/>
      <c r="Z23" s="174"/>
      <c r="AA23" s="174"/>
      <c r="AB23" s="174"/>
      <c r="AC23" s="174"/>
      <c r="AD23" s="174"/>
      <c r="AE23" s="174"/>
      <c r="AF23" s="174"/>
    </row>
    <row r="24" spans="1:32">
      <c r="B24" s="3"/>
      <c r="C24" s="3"/>
      <c r="D24" s="6"/>
      <c r="E24" s="6"/>
      <c r="L24" s="174"/>
      <c r="M24" s="174"/>
      <c r="N24" s="174"/>
      <c r="O24" s="174"/>
      <c r="P24" s="174"/>
      <c r="Q24" s="174"/>
      <c r="R24" s="174"/>
      <c r="S24" s="174"/>
      <c r="T24" s="174"/>
      <c r="U24" s="174"/>
      <c r="V24" s="174"/>
      <c r="W24" s="174"/>
      <c r="X24" s="174"/>
      <c r="Y24" s="174"/>
      <c r="Z24" s="174"/>
      <c r="AA24" s="174"/>
      <c r="AB24" s="174"/>
      <c r="AC24" s="174"/>
      <c r="AD24" s="174"/>
      <c r="AE24" s="174"/>
      <c r="AF24" s="174"/>
    </row>
    <row r="25" spans="1:32">
      <c r="D25" s="6"/>
      <c r="E25" s="6"/>
      <c r="L25" s="174"/>
      <c r="M25" s="174"/>
      <c r="N25" s="174"/>
      <c r="O25" s="174"/>
      <c r="P25" s="174"/>
      <c r="Q25" s="174"/>
      <c r="R25" s="174"/>
      <c r="S25" s="174"/>
      <c r="T25" s="174"/>
      <c r="U25" s="174"/>
      <c r="V25" s="174"/>
      <c r="W25" s="174"/>
      <c r="X25" s="174"/>
      <c r="Y25" s="174"/>
      <c r="Z25" s="174"/>
      <c r="AA25" s="174"/>
      <c r="AB25" s="174"/>
      <c r="AC25" s="174"/>
      <c r="AD25" s="174"/>
      <c r="AE25" s="174"/>
      <c r="AF25" s="174"/>
    </row>
    <row r="26" spans="1:32">
      <c r="D26" s="6"/>
      <c r="E26" s="6"/>
      <c r="L26" s="174"/>
      <c r="M26" s="174"/>
      <c r="N26" s="174"/>
      <c r="O26" s="174"/>
      <c r="P26" s="174"/>
      <c r="Q26" s="174"/>
      <c r="R26" s="174"/>
      <c r="S26" s="174"/>
      <c r="T26" s="174"/>
      <c r="U26" s="174"/>
      <c r="V26" s="174"/>
      <c r="W26" s="174"/>
      <c r="X26" s="174"/>
      <c r="Y26" s="174"/>
      <c r="Z26" s="174"/>
      <c r="AA26" s="174"/>
      <c r="AB26" s="174"/>
      <c r="AC26" s="174"/>
      <c r="AD26" s="174"/>
      <c r="AE26" s="174"/>
      <c r="AF26" s="174"/>
    </row>
    <row r="27" spans="1:32">
      <c r="D27" s="24"/>
      <c r="E27" s="24"/>
      <c r="L27" s="174"/>
      <c r="M27" s="174"/>
      <c r="N27" s="174"/>
      <c r="O27" s="174"/>
      <c r="P27" s="174"/>
      <c r="Q27" s="174"/>
      <c r="R27" s="174"/>
      <c r="S27" s="174"/>
      <c r="T27" s="174"/>
      <c r="U27" s="174"/>
      <c r="V27" s="174"/>
      <c r="W27" s="174"/>
      <c r="X27" s="174"/>
      <c r="Y27" s="174"/>
      <c r="Z27" s="174"/>
      <c r="AA27" s="174"/>
      <c r="AB27" s="174"/>
      <c r="AC27" s="174"/>
      <c r="AD27" s="174"/>
      <c r="AE27" s="174"/>
      <c r="AF27" s="174"/>
    </row>
    <row r="28" spans="1:32">
      <c r="D28" s="6"/>
      <c r="E28" s="6"/>
      <c r="L28" s="174"/>
      <c r="M28" s="174"/>
      <c r="N28" s="174"/>
      <c r="O28" s="174"/>
      <c r="P28" s="174"/>
      <c r="Q28" s="174"/>
      <c r="R28" s="174"/>
      <c r="S28" s="174"/>
      <c r="T28" s="174"/>
      <c r="U28" s="174"/>
      <c r="V28" s="174"/>
      <c r="W28" s="174"/>
      <c r="X28" s="174"/>
      <c r="Y28" s="174"/>
      <c r="Z28" s="174"/>
      <c r="AA28" s="174"/>
      <c r="AB28" s="174"/>
      <c r="AC28" s="174"/>
      <c r="AD28" s="174"/>
      <c r="AE28" s="174"/>
      <c r="AF28" s="174"/>
    </row>
    <row r="29" spans="1:32">
      <c r="D29" s="6"/>
      <c r="E29" s="6"/>
      <c r="K29" s="174"/>
      <c r="L29" s="174"/>
      <c r="M29" s="174"/>
      <c r="N29" s="174"/>
      <c r="O29" s="174"/>
      <c r="P29" s="174"/>
      <c r="Q29" s="174"/>
      <c r="R29" s="174"/>
      <c r="S29" s="174"/>
      <c r="T29" s="174"/>
      <c r="U29" s="174"/>
      <c r="V29" s="174"/>
      <c r="W29" s="174"/>
      <c r="X29" s="174"/>
      <c r="Y29" s="174"/>
      <c r="Z29" s="174"/>
      <c r="AA29" s="174"/>
      <c r="AB29" s="174"/>
      <c r="AC29" s="174"/>
      <c r="AD29" s="174"/>
      <c r="AE29" s="174"/>
      <c r="AF29" s="174"/>
    </row>
    <row r="30" spans="1:32" ht="14.25" customHeight="1">
      <c r="D30" s="6"/>
      <c r="E30" s="6"/>
      <c r="K30" s="174"/>
      <c r="L30" s="174"/>
      <c r="M30" s="174"/>
      <c r="N30" s="174"/>
      <c r="O30" s="174"/>
      <c r="P30" s="174"/>
      <c r="Q30" s="174"/>
      <c r="R30" s="174"/>
      <c r="S30" s="174"/>
      <c r="T30" s="174"/>
      <c r="U30" s="174"/>
      <c r="V30" s="174"/>
      <c r="W30" s="174"/>
      <c r="X30" s="174"/>
      <c r="Y30" s="174"/>
      <c r="Z30" s="174"/>
      <c r="AA30" s="174"/>
      <c r="AB30" s="174"/>
      <c r="AC30" s="174"/>
      <c r="AD30" s="174"/>
      <c r="AE30" s="174"/>
      <c r="AF30" s="174"/>
    </row>
    <row r="31" spans="1:32">
      <c r="B31" s="114"/>
      <c r="C31" s="114"/>
      <c r="D31" s="24"/>
      <c r="E31" s="2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row>
    <row r="32" spans="1:32">
      <c r="B32" s="154"/>
      <c r="C32" s="18"/>
      <c r="D32" s="3"/>
      <c r="E32" s="3"/>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74"/>
      <c r="AE32" s="174"/>
      <c r="AF32" s="174"/>
    </row>
    <row r="33" spans="7:32">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174"/>
    </row>
    <row r="34" spans="7:32">
      <c r="G34" s="174"/>
      <c r="H34" s="174"/>
      <c r="I34" s="174"/>
      <c r="J34" s="174"/>
      <c r="K34" s="174"/>
      <c r="L34" s="174"/>
      <c r="M34" s="174"/>
      <c r="N34" s="174"/>
      <c r="O34" s="174"/>
      <c r="P34" s="174"/>
      <c r="Q34" s="174"/>
      <c r="R34" s="174"/>
      <c r="S34" s="174"/>
      <c r="T34" s="174"/>
      <c r="U34" s="174"/>
      <c r="V34" s="174"/>
      <c r="W34" s="174"/>
      <c r="X34" s="174"/>
      <c r="Y34" s="174"/>
      <c r="Z34" s="174"/>
      <c r="AA34" s="174"/>
      <c r="AB34" s="174"/>
      <c r="AC34" s="174"/>
      <c r="AD34" s="174"/>
      <c r="AE34" s="174"/>
      <c r="AF34" s="174"/>
    </row>
    <row r="35" spans="7:32">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row>
    <row r="36" spans="7:32">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row>
    <row r="37" spans="7:32">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row>
    <row r="38" spans="7:32">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row>
  </sheetData>
  <mergeCells count="1">
    <mergeCell ref="F3:K3"/>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9" t="s">
        <v>222</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69" customWidth="1"/>
    <col min="2" max="2" width="38.42578125" style="169" customWidth="1"/>
    <col min="3" max="3" width="13" style="169" customWidth="1"/>
    <col min="4" max="4" width="4.28515625" style="169" customWidth="1"/>
    <col min="5" max="5" width="10.7109375" style="169" customWidth="1"/>
    <col min="6" max="6" width="16.85546875" style="169" customWidth="1"/>
    <col min="7" max="7" width="10.140625" style="169" customWidth="1" collapsed="1"/>
    <col min="8" max="9" width="10.42578125" style="169" customWidth="1"/>
    <col min="10" max="10" width="9.140625" style="169" customWidth="1"/>
    <col min="11" max="11" width="9" style="169" customWidth="1"/>
    <col min="12" max="12" width="9.85546875" style="169" customWidth="1"/>
    <col min="13" max="26" width="9.140625" style="169" customWidth="1"/>
    <col min="27" max="27" width="9.28515625" style="169" customWidth="1"/>
    <col min="28" max="28" width="9.42578125" style="169" customWidth="1"/>
    <col min="29" max="29" width="10" style="169" customWidth="1"/>
    <col min="30" max="30" width="11.42578125" style="169" customWidth="1"/>
    <col min="31" max="31" width="9.42578125" style="169" bestFit="1" customWidth="1" collapsed="1"/>
    <col min="32" max="16384" width="9.140625" style="169"/>
  </cols>
  <sheetData>
    <row r="1" spans="1:32" s="168" customFormat="1" ht="15" customHeight="1">
      <c r="B1" s="16" t="s">
        <v>196</v>
      </c>
      <c r="C1" s="167"/>
      <c r="D1" s="167"/>
      <c r="E1" s="167"/>
      <c r="F1" s="167"/>
      <c r="G1" s="167"/>
      <c r="H1" s="167"/>
      <c r="I1" s="167"/>
      <c r="J1" s="167"/>
      <c r="K1" s="167"/>
      <c r="L1" s="167"/>
    </row>
    <row r="2" spans="1:32" ht="12" customHeight="1">
      <c r="C2" s="195"/>
    </row>
    <row r="3" spans="1:32" ht="12" customHeight="1">
      <c r="A3" s="171"/>
      <c r="B3" s="182"/>
      <c r="C3" s="293" t="s">
        <v>245</v>
      </c>
      <c r="D3" s="286"/>
      <c r="E3" s="178"/>
      <c r="F3" s="170"/>
      <c r="G3" s="212"/>
      <c r="H3" s="212"/>
      <c r="I3" s="212"/>
      <c r="J3" s="212"/>
      <c r="K3" s="212"/>
      <c r="L3" s="212"/>
      <c r="M3" s="212"/>
      <c r="N3" s="212"/>
      <c r="O3" s="212"/>
      <c r="P3" s="212"/>
      <c r="Q3" s="212"/>
    </row>
    <row r="4" spans="1:32" ht="12" customHeight="1">
      <c r="A4" s="176"/>
      <c r="B4" s="186" t="s">
        <v>197</v>
      </c>
      <c r="C4" s="292">
        <f>512.91</f>
        <v>512.91</v>
      </c>
      <c r="D4" s="289"/>
      <c r="E4" s="291"/>
      <c r="F4" s="290"/>
      <c r="G4" s="287"/>
      <c r="H4" s="287"/>
      <c r="I4" s="287"/>
      <c r="J4" s="287"/>
      <c r="K4" s="287"/>
      <c r="L4" s="287"/>
      <c r="M4" s="287"/>
      <c r="N4" s="287"/>
      <c r="O4" s="287"/>
      <c r="P4" s="287"/>
      <c r="Q4" s="170"/>
      <c r="S4" s="173"/>
      <c r="T4" s="173"/>
      <c r="U4" s="173"/>
      <c r="V4" s="173"/>
      <c r="AA4" s="173"/>
    </row>
    <row r="5" spans="1:32" ht="12" customHeight="1">
      <c r="A5" s="176"/>
      <c r="B5" s="186" t="s">
        <v>198</v>
      </c>
      <c r="C5" s="292">
        <f>3508.36</f>
        <v>3508.36</v>
      </c>
      <c r="D5" s="289"/>
      <c r="E5" s="289"/>
      <c r="F5" s="289"/>
      <c r="G5" s="50"/>
      <c r="H5" s="50"/>
      <c r="I5" s="50"/>
      <c r="J5" s="204"/>
      <c r="K5" s="50"/>
      <c r="L5" s="50"/>
      <c r="M5" s="50"/>
      <c r="N5" s="50"/>
      <c r="O5" s="50"/>
      <c r="P5" s="50"/>
      <c r="Q5" s="50"/>
      <c r="S5" s="174"/>
      <c r="T5" s="174"/>
      <c r="U5" s="174"/>
      <c r="V5" s="174"/>
      <c r="W5" s="174"/>
      <c r="X5" s="174"/>
      <c r="Y5" s="174"/>
      <c r="Z5" s="174"/>
      <c r="AA5" s="174"/>
      <c r="AB5" s="174"/>
      <c r="AC5" s="174"/>
      <c r="AD5" s="174"/>
      <c r="AE5" s="174"/>
      <c r="AF5" s="174"/>
    </row>
    <row r="6" spans="1:32" ht="12" customHeight="1">
      <c r="A6" s="176"/>
      <c r="B6" s="186" t="s">
        <v>301</v>
      </c>
      <c r="C6" s="292">
        <f>6506.81</f>
        <v>6506.81</v>
      </c>
      <c r="D6" s="289"/>
      <c r="E6" s="289"/>
      <c r="F6" s="289"/>
      <c r="G6" s="204"/>
      <c r="H6" s="204"/>
      <c r="I6" s="204"/>
      <c r="J6" s="204"/>
      <c r="K6" s="204"/>
      <c r="L6" s="204"/>
      <c r="M6" s="204"/>
      <c r="N6" s="204"/>
      <c r="O6" s="204"/>
      <c r="P6" s="204"/>
      <c r="Q6" s="204"/>
      <c r="S6" s="174"/>
      <c r="T6" s="174"/>
      <c r="U6" s="174"/>
      <c r="V6" s="174"/>
      <c r="W6" s="174"/>
      <c r="X6" s="174"/>
      <c r="Y6" s="174"/>
      <c r="Z6" s="174"/>
      <c r="AA6" s="174"/>
      <c r="AB6" s="174"/>
      <c r="AC6" s="174"/>
      <c r="AD6" s="174"/>
      <c r="AE6" s="174"/>
      <c r="AF6" s="174"/>
    </row>
    <row r="7" spans="1:32" ht="12" customHeight="1">
      <c r="B7" s="190" t="s">
        <v>199</v>
      </c>
      <c r="C7" s="191">
        <f>SUM(C4:C6)</f>
        <v>10528.08</v>
      </c>
      <c r="D7" s="289"/>
      <c r="E7" s="289"/>
      <c r="F7" s="289"/>
      <c r="G7" s="204"/>
      <c r="I7" s="172"/>
      <c r="J7" s="196"/>
      <c r="N7" s="174"/>
      <c r="O7" s="174"/>
      <c r="P7" s="195"/>
      <c r="Q7" s="204"/>
      <c r="S7" s="174"/>
      <c r="T7" s="174"/>
      <c r="U7" s="174"/>
      <c r="V7" s="174"/>
      <c r="W7" s="174"/>
      <c r="X7" s="174"/>
      <c r="Y7" s="174"/>
      <c r="Z7" s="174"/>
      <c r="AA7" s="174"/>
      <c r="AB7" s="174"/>
      <c r="AC7" s="174"/>
      <c r="AD7" s="174"/>
      <c r="AE7" s="174"/>
      <c r="AF7" s="174"/>
    </row>
    <row r="8" spans="1:32" ht="12" customHeight="1">
      <c r="A8" s="176"/>
      <c r="D8" s="289"/>
      <c r="E8" s="289"/>
      <c r="F8" s="289"/>
      <c r="G8" s="271"/>
      <c r="H8" s="204"/>
      <c r="J8" s="266"/>
      <c r="K8" s="267"/>
      <c r="O8" s="174"/>
      <c r="P8" s="174"/>
      <c r="Q8" s="174"/>
      <c r="R8" s="174"/>
      <c r="S8" s="174"/>
      <c r="T8" s="174"/>
      <c r="U8" s="174"/>
      <c r="V8" s="174"/>
      <c r="W8" s="174"/>
      <c r="X8" s="174"/>
      <c r="Y8" s="174"/>
      <c r="Z8" s="174"/>
      <c r="AA8" s="174"/>
      <c r="AB8" s="174"/>
      <c r="AC8" s="174"/>
      <c r="AD8" s="174"/>
      <c r="AE8" s="174"/>
      <c r="AF8" s="174"/>
    </row>
    <row r="9" spans="1:32" ht="12" customHeight="1">
      <c r="A9" s="176"/>
      <c r="B9" s="186" t="s">
        <v>200</v>
      </c>
      <c r="C9" s="230">
        <f>'Expected Growth Rate'!C9</f>
        <v>-2.3044879062447784E-2</v>
      </c>
      <c r="D9" s="289"/>
      <c r="E9" s="289"/>
      <c r="F9" s="289"/>
      <c r="G9" s="271"/>
      <c r="H9" s="204"/>
      <c r="J9" s="172"/>
      <c r="K9" s="196"/>
      <c r="O9" s="174"/>
      <c r="P9" s="174"/>
      <c r="Q9" s="174"/>
      <c r="R9" s="174"/>
      <c r="S9" s="174"/>
      <c r="T9" s="174"/>
      <c r="U9" s="174"/>
      <c r="V9" s="174"/>
      <c r="W9" s="174"/>
      <c r="X9" s="174"/>
      <c r="Y9" s="174"/>
      <c r="Z9" s="174"/>
      <c r="AA9" s="174"/>
      <c r="AB9" s="174"/>
      <c r="AC9" s="174"/>
      <c r="AD9" s="174"/>
      <c r="AE9" s="174"/>
      <c r="AF9" s="174"/>
    </row>
    <row r="10" spans="1:32">
      <c r="A10" s="172"/>
      <c r="B10" s="186" t="s">
        <v>11</v>
      </c>
      <c r="C10" s="230">
        <f>WACC!C13</f>
        <v>0.10095860890549906</v>
      </c>
      <c r="D10" s="289"/>
      <c r="E10" s="289"/>
      <c r="F10" s="289"/>
      <c r="G10" s="212"/>
      <c r="H10" s="212"/>
      <c r="I10" s="212"/>
      <c r="J10" s="212"/>
      <c r="K10" s="212"/>
      <c r="O10" s="174"/>
      <c r="P10" s="174"/>
      <c r="Q10" s="174"/>
      <c r="R10" s="174"/>
      <c r="S10" s="174"/>
      <c r="T10" s="174"/>
      <c r="U10" s="174"/>
      <c r="V10" s="174"/>
      <c r="W10" s="174"/>
      <c r="X10" s="174"/>
      <c r="Y10" s="174"/>
      <c r="Z10" s="174"/>
      <c r="AA10" s="174"/>
      <c r="AB10" s="174"/>
      <c r="AC10" s="174"/>
      <c r="AD10" s="174"/>
      <c r="AE10" s="174"/>
      <c r="AF10" s="174"/>
    </row>
    <row r="11" spans="1:32" ht="12.75" customHeight="1">
      <c r="A11" s="176"/>
      <c r="B11" s="190" t="s">
        <v>202</v>
      </c>
      <c r="C11" s="294">
        <f>C10-C9</f>
        <v>0.12400348796794684</v>
      </c>
      <c r="D11" s="289"/>
      <c r="E11" s="289"/>
      <c r="F11" s="289"/>
      <c r="G11" s="80"/>
      <c r="K11" s="196"/>
      <c r="O11" s="174"/>
      <c r="P11" s="174"/>
      <c r="Q11" s="174"/>
      <c r="R11" s="174"/>
      <c r="S11" s="174"/>
      <c r="T11" s="174"/>
      <c r="U11" s="174"/>
      <c r="V11" s="174"/>
      <c r="W11" s="174"/>
      <c r="X11" s="174"/>
      <c r="Y11" s="174"/>
      <c r="Z11" s="174"/>
      <c r="AA11" s="174"/>
      <c r="AB11" s="174"/>
      <c r="AC11" s="174"/>
      <c r="AD11" s="174"/>
      <c r="AE11" s="174"/>
      <c r="AF11" s="174"/>
    </row>
    <row r="12" spans="1:32">
      <c r="D12" s="289"/>
      <c r="E12" s="289"/>
      <c r="F12" s="289"/>
      <c r="G12" s="80"/>
      <c r="K12" s="196"/>
      <c r="L12" s="212"/>
      <c r="M12" s="212"/>
      <c r="N12" s="212"/>
      <c r="O12" s="212"/>
      <c r="P12" s="212"/>
      <c r="Q12" s="212"/>
      <c r="R12" s="174"/>
      <c r="S12" s="174"/>
      <c r="T12" s="174"/>
      <c r="U12" s="174"/>
      <c r="V12" s="174"/>
      <c r="W12" s="174"/>
      <c r="X12" s="174"/>
      <c r="Y12" s="174"/>
      <c r="Z12" s="174"/>
      <c r="AA12" s="174"/>
      <c r="AB12" s="174"/>
      <c r="AC12" s="174"/>
      <c r="AD12" s="174"/>
      <c r="AE12" s="174"/>
      <c r="AF12" s="174"/>
    </row>
    <row r="13" spans="1:32" ht="12" customHeight="1">
      <c r="A13" s="176"/>
      <c r="B13" s="186" t="s">
        <v>201</v>
      </c>
      <c r="C13" s="193">
        <f>C7*(1-C11)</f>
        <v>9222.5613583944178</v>
      </c>
      <c r="D13" s="289"/>
      <c r="E13" s="289"/>
      <c r="F13" s="289"/>
      <c r="G13" s="276"/>
      <c r="H13" s="177"/>
      <c r="K13" s="196"/>
      <c r="O13" s="174"/>
      <c r="P13" s="174"/>
      <c r="Q13" s="174"/>
      <c r="R13" s="174"/>
      <c r="S13" s="174"/>
      <c r="T13" s="174"/>
      <c r="U13" s="174"/>
      <c r="V13" s="174"/>
      <c r="W13" s="174"/>
      <c r="X13" s="174"/>
      <c r="Y13" s="174"/>
      <c r="Z13" s="174"/>
      <c r="AA13" s="174"/>
      <c r="AB13" s="174"/>
      <c r="AC13" s="174"/>
      <c r="AD13" s="174"/>
      <c r="AE13" s="174"/>
      <c r="AF13" s="174"/>
    </row>
    <row r="14" spans="1:32">
      <c r="D14" s="289"/>
      <c r="E14" s="289"/>
      <c r="F14" s="289"/>
      <c r="G14" s="3"/>
      <c r="O14" s="174"/>
      <c r="P14" s="174"/>
      <c r="Q14" s="174"/>
      <c r="R14" s="174"/>
      <c r="S14" s="174"/>
      <c r="T14" s="174"/>
      <c r="U14" s="174"/>
      <c r="V14" s="174"/>
      <c r="W14" s="174"/>
      <c r="X14" s="174"/>
      <c r="Y14" s="174"/>
      <c r="Z14" s="174"/>
      <c r="AA14" s="174"/>
      <c r="AB14" s="174"/>
      <c r="AC14" s="174"/>
      <c r="AD14" s="174"/>
      <c r="AE14" s="174"/>
      <c r="AF14" s="174"/>
    </row>
    <row r="15" spans="1:32">
      <c r="D15" s="289"/>
      <c r="E15" s="289"/>
      <c r="F15" s="289"/>
      <c r="G15" s="61"/>
      <c r="K15" s="268"/>
      <c r="O15" s="174"/>
      <c r="P15" s="174"/>
      <c r="Q15" s="174"/>
      <c r="R15" s="174"/>
      <c r="S15" s="174"/>
      <c r="T15" s="174"/>
      <c r="U15" s="174"/>
      <c r="V15" s="174"/>
      <c r="W15" s="174"/>
      <c r="X15" s="174"/>
      <c r="Y15" s="174"/>
      <c r="Z15" s="174"/>
      <c r="AA15" s="174"/>
      <c r="AB15" s="174"/>
      <c r="AC15" s="174"/>
      <c r="AD15" s="174"/>
      <c r="AE15" s="174"/>
      <c r="AF15" s="174"/>
    </row>
    <row r="16" spans="1:32">
      <c r="D16" s="289"/>
      <c r="E16" s="289"/>
      <c r="F16" s="289"/>
      <c r="K16" s="174"/>
      <c r="O16" s="174"/>
      <c r="P16" s="174"/>
      <c r="Q16" s="174"/>
      <c r="R16" s="174"/>
      <c r="S16" s="174"/>
      <c r="T16" s="174"/>
      <c r="U16" s="174"/>
      <c r="V16" s="174"/>
      <c r="W16" s="174"/>
      <c r="X16" s="174"/>
      <c r="Y16" s="174"/>
      <c r="Z16" s="174"/>
      <c r="AA16" s="174"/>
      <c r="AB16" s="174"/>
      <c r="AC16" s="174"/>
      <c r="AD16" s="174"/>
      <c r="AE16" s="174"/>
      <c r="AF16" s="174"/>
    </row>
    <row r="17" spans="1:32">
      <c r="D17" s="289"/>
      <c r="E17" s="289"/>
      <c r="F17" s="289"/>
      <c r="G17" s="87"/>
      <c r="J17" s="178"/>
      <c r="K17" s="174"/>
      <c r="L17" s="174"/>
      <c r="O17" s="174"/>
      <c r="P17" s="174"/>
      <c r="Q17" s="174"/>
      <c r="R17" s="174"/>
      <c r="S17" s="174"/>
      <c r="T17" s="174"/>
      <c r="U17" s="174"/>
      <c r="V17" s="174"/>
      <c r="W17" s="174"/>
      <c r="X17" s="174"/>
      <c r="Y17" s="174"/>
      <c r="Z17" s="174"/>
      <c r="AA17" s="174"/>
      <c r="AB17" s="174"/>
      <c r="AC17" s="174"/>
      <c r="AD17" s="174"/>
      <c r="AE17" s="174"/>
      <c r="AF17" s="174"/>
    </row>
    <row r="18" spans="1:32">
      <c r="A18" s="176"/>
      <c r="B18" s="172"/>
      <c r="C18" s="289"/>
      <c r="D18" s="289"/>
      <c r="E18" s="289"/>
      <c r="F18" s="289"/>
      <c r="G18" s="276"/>
      <c r="J18" s="204"/>
      <c r="K18" s="174"/>
      <c r="L18" s="174"/>
      <c r="M18" s="174"/>
      <c r="N18" s="174"/>
      <c r="O18" s="174"/>
      <c r="P18" s="174"/>
      <c r="Q18" s="174"/>
      <c r="R18" s="174"/>
      <c r="S18" s="174"/>
      <c r="T18" s="174"/>
      <c r="U18" s="174"/>
      <c r="V18" s="174"/>
      <c r="W18" s="174"/>
      <c r="X18" s="174"/>
      <c r="Y18" s="174"/>
      <c r="Z18" s="174"/>
      <c r="AA18" s="174"/>
      <c r="AB18" s="174"/>
      <c r="AC18" s="174"/>
      <c r="AD18" s="174"/>
      <c r="AE18" s="174"/>
      <c r="AF18" s="174"/>
    </row>
    <row r="19" spans="1:32">
      <c r="C19" s="289"/>
      <c r="D19" s="289"/>
      <c r="E19" s="289"/>
      <c r="F19" s="289"/>
      <c r="G19" s="80"/>
      <c r="H19" s="177"/>
      <c r="J19" s="204"/>
      <c r="K19" s="174"/>
      <c r="L19" s="174"/>
      <c r="M19" s="174"/>
      <c r="N19" s="174"/>
      <c r="O19" s="174"/>
      <c r="P19" s="174"/>
      <c r="Q19" s="174"/>
      <c r="R19" s="174"/>
      <c r="S19" s="174"/>
      <c r="T19" s="174"/>
      <c r="U19" s="174"/>
      <c r="V19" s="174"/>
      <c r="W19" s="174"/>
      <c r="X19" s="174"/>
      <c r="Y19" s="174"/>
      <c r="Z19" s="174"/>
      <c r="AA19" s="174"/>
      <c r="AB19" s="174"/>
      <c r="AC19" s="174"/>
      <c r="AD19" s="174"/>
      <c r="AE19" s="174"/>
      <c r="AF19" s="174"/>
    </row>
    <row r="20" spans="1:32">
      <c r="A20" s="176"/>
      <c r="C20" s="289"/>
      <c r="D20" s="289"/>
      <c r="E20" s="289"/>
      <c r="F20" s="289"/>
      <c r="G20" s="80"/>
      <c r="H20" s="177"/>
      <c r="J20" s="204"/>
      <c r="K20" s="174"/>
      <c r="L20" s="174"/>
      <c r="M20" s="174"/>
      <c r="N20" s="174"/>
      <c r="O20" s="174"/>
      <c r="P20" s="174"/>
      <c r="Q20" s="174"/>
      <c r="R20" s="174"/>
      <c r="S20" s="174"/>
      <c r="T20" s="174"/>
      <c r="U20" s="174"/>
      <c r="V20" s="174"/>
      <c r="W20" s="174"/>
      <c r="X20" s="174"/>
      <c r="Y20" s="174"/>
      <c r="Z20" s="174"/>
      <c r="AA20" s="174"/>
      <c r="AB20" s="174"/>
      <c r="AC20" s="174"/>
      <c r="AD20" s="174"/>
      <c r="AE20" s="174"/>
      <c r="AF20" s="174"/>
    </row>
    <row r="21" spans="1:32">
      <c r="C21" s="289"/>
      <c r="D21" s="289"/>
      <c r="E21" s="289"/>
      <c r="F21" s="289"/>
      <c r="G21" s="3"/>
      <c r="J21" s="204"/>
      <c r="K21" s="174"/>
      <c r="L21" s="174"/>
      <c r="M21" s="174"/>
      <c r="N21" s="174"/>
      <c r="O21" s="174"/>
      <c r="P21" s="174"/>
      <c r="Q21" s="174"/>
      <c r="R21" s="174"/>
      <c r="S21" s="174"/>
      <c r="T21" s="174"/>
      <c r="U21" s="174"/>
      <c r="V21" s="174"/>
      <c r="W21" s="174"/>
      <c r="X21" s="174"/>
      <c r="Y21" s="174"/>
      <c r="Z21" s="174"/>
      <c r="AA21" s="174"/>
      <c r="AB21" s="174"/>
      <c r="AC21" s="174"/>
      <c r="AD21" s="174"/>
      <c r="AE21" s="174"/>
      <c r="AF21" s="174"/>
    </row>
    <row r="22" spans="1:32">
      <c r="E22" s="3"/>
      <c r="F22" s="23"/>
      <c r="G22" s="61"/>
      <c r="J22" s="204"/>
      <c r="K22" s="174"/>
      <c r="L22" s="174"/>
      <c r="M22" s="174"/>
      <c r="N22" s="174"/>
      <c r="O22" s="174"/>
      <c r="P22" s="174"/>
      <c r="Q22" s="174"/>
      <c r="R22" s="174"/>
      <c r="S22" s="174"/>
      <c r="T22" s="174"/>
      <c r="U22" s="174"/>
      <c r="V22" s="174"/>
      <c r="W22" s="174"/>
      <c r="X22" s="174"/>
      <c r="Y22" s="174"/>
      <c r="Z22" s="174"/>
      <c r="AA22" s="174"/>
      <c r="AB22" s="174"/>
      <c r="AC22" s="174"/>
      <c r="AD22" s="174"/>
      <c r="AE22" s="174"/>
      <c r="AF22" s="174"/>
    </row>
    <row r="23" spans="1:32" ht="12" customHeight="1">
      <c r="E23" s="6"/>
      <c r="J23" s="204"/>
      <c r="K23" s="174"/>
      <c r="L23" s="174"/>
      <c r="M23" s="174"/>
      <c r="N23" s="174"/>
      <c r="O23" s="174"/>
      <c r="P23" s="174"/>
      <c r="Q23" s="174"/>
      <c r="R23" s="174"/>
      <c r="S23" s="174"/>
      <c r="T23" s="174"/>
      <c r="U23" s="174"/>
      <c r="V23" s="174"/>
      <c r="W23" s="174"/>
      <c r="X23" s="174"/>
      <c r="Y23" s="174"/>
      <c r="Z23" s="174"/>
      <c r="AA23" s="174"/>
      <c r="AB23" s="174"/>
      <c r="AC23" s="174"/>
      <c r="AD23" s="174"/>
      <c r="AE23" s="174"/>
      <c r="AF23" s="174"/>
    </row>
    <row r="24" spans="1:32">
      <c r="E24" s="6"/>
      <c r="F24" s="172"/>
      <c r="G24" s="19"/>
      <c r="J24" s="204"/>
      <c r="K24" s="174"/>
      <c r="L24" s="174"/>
      <c r="M24" s="174"/>
      <c r="N24" s="174"/>
      <c r="O24" s="174"/>
      <c r="P24" s="174"/>
      <c r="Q24" s="174"/>
      <c r="R24" s="174"/>
      <c r="S24" s="174"/>
      <c r="T24" s="174"/>
      <c r="U24" s="174"/>
      <c r="V24" s="174"/>
      <c r="W24" s="174"/>
      <c r="X24" s="174"/>
      <c r="Y24" s="174"/>
      <c r="Z24" s="174"/>
      <c r="AA24" s="174"/>
      <c r="AB24" s="174"/>
      <c r="AC24" s="174"/>
      <c r="AD24" s="174"/>
      <c r="AE24" s="174"/>
      <c r="AF24" s="174"/>
    </row>
    <row r="25" spans="1:32">
      <c r="E25" s="6"/>
      <c r="F25" s="172"/>
      <c r="G25" s="288"/>
      <c r="J25" s="204"/>
      <c r="K25" s="174"/>
      <c r="L25" s="174"/>
      <c r="M25" s="174"/>
      <c r="N25" s="174"/>
      <c r="O25" s="174"/>
      <c r="P25" s="174"/>
      <c r="Q25" s="174"/>
      <c r="R25" s="174"/>
      <c r="S25" s="174"/>
      <c r="T25" s="174"/>
      <c r="U25" s="174"/>
      <c r="V25" s="174"/>
      <c r="W25" s="174"/>
      <c r="X25" s="174"/>
      <c r="Y25" s="174"/>
      <c r="Z25" s="174"/>
      <c r="AA25" s="174"/>
      <c r="AB25" s="174"/>
      <c r="AC25" s="174"/>
      <c r="AD25" s="174"/>
      <c r="AE25" s="174"/>
      <c r="AF25" s="174"/>
    </row>
    <row r="26" spans="1:32">
      <c r="D26" s="6"/>
      <c r="E26" s="6"/>
      <c r="F26" s="172"/>
      <c r="G26" s="80"/>
      <c r="J26" s="210"/>
      <c r="K26" s="174"/>
      <c r="L26" s="174"/>
      <c r="M26" s="174"/>
      <c r="N26" s="174"/>
      <c r="O26" s="174"/>
      <c r="P26" s="174"/>
      <c r="Q26" s="174"/>
      <c r="R26" s="174"/>
      <c r="S26" s="174"/>
      <c r="T26" s="174"/>
      <c r="U26" s="174"/>
      <c r="V26" s="174"/>
      <c r="W26" s="174"/>
      <c r="X26" s="174"/>
      <c r="Y26" s="174"/>
      <c r="Z26" s="174"/>
      <c r="AA26" s="174"/>
      <c r="AB26" s="174"/>
      <c r="AC26" s="174"/>
      <c r="AD26" s="174"/>
      <c r="AE26" s="174"/>
      <c r="AF26" s="174"/>
    </row>
    <row r="27" spans="1:32">
      <c r="D27" s="24"/>
      <c r="E27" s="24"/>
      <c r="L27" s="174"/>
      <c r="M27" s="174"/>
      <c r="N27" s="174"/>
      <c r="O27" s="174"/>
      <c r="P27" s="174"/>
      <c r="Q27" s="174"/>
      <c r="R27" s="174"/>
      <c r="S27" s="174"/>
      <c r="T27" s="174"/>
      <c r="U27" s="174"/>
      <c r="V27" s="174"/>
      <c r="W27" s="174"/>
      <c r="X27" s="174"/>
      <c r="Y27" s="174"/>
      <c r="Z27" s="174"/>
      <c r="AA27" s="174"/>
      <c r="AB27" s="174"/>
      <c r="AC27" s="174"/>
      <c r="AD27" s="174"/>
      <c r="AE27" s="174"/>
      <c r="AF27" s="174"/>
    </row>
    <row r="28" spans="1:32">
      <c r="D28" s="6"/>
      <c r="E28" s="6"/>
      <c r="L28" s="174"/>
      <c r="M28" s="174"/>
      <c r="N28" s="174"/>
      <c r="O28" s="174"/>
      <c r="P28" s="174"/>
      <c r="Q28" s="174"/>
      <c r="R28" s="174"/>
      <c r="S28" s="174"/>
      <c r="T28" s="174"/>
      <c r="U28" s="174"/>
      <c r="V28" s="174"/>
      <c r="W28" s="174"/>
      <c r="X28" s="174"/>
      <c r="Y28" s="174"/>
      <c r="Z28" s="174"/>
      <c r="AA28" s="174"/>
      <c r="AB28" s="174"/>
      <c r="AC28" s="174"/>
      <c r="AD28" s="174"/>
      <c r="AE28" s="174"/>
      <c r="AF28" s="174"/>
    </row>
    <row r="29" spans="1:32">
      <c r="D29" s="6"/>
      <c r="E29" s="6"/>
      <c r="K29" s="174"/>
      <c r="L29" s="174"/>
      <c r="M29" s="174"/>
      <c r="N29" s="174"/>
      <c r="O29" s="174"/>
      <c r="P29" s="174"/>
      <c r="Q29" s="174"/>
      <c r="R29" s="174"/>
      <c r="S29" s="174"/>
      <c r="T29" s="174"/>
      <c r="U29" s="174"/>
      <c r="V29" s="174"/>
      <c r="W29" s="174"/>
      <c r="X29" s="174"/>
      <c r="Y29" s="174"/>
      <c r="Z29" s="174"/>
      <c r="AA29" s="174"/>
      <c r="AB29" s="174"/>
      <c r="AC29" s="174"/>
      <c r="AD29" s="174"/>
      <c r="AE29" s="174"/>
      <c r="AF29" s="174"/>
    </row>
    <row r="30" spans="1:32" ht="14.25" customHeight="1">
      <c r="D30" s="6"/>
      <c r="E30" s="6"/>
      <c r="K30" s="174"/>
      <c r="L30" s="174"/>
      <c r="M30" s="174"/>
      <c r="N30" s="174"/>
      <c r="O30" s="174"/>
      <c r="P30" s="174"/>
      <c r="Q30" s="174"/>
      <c r="R30" s="174"/>
      <c r="S30" s="174"/>
      <c r="T30" s="174"/>
      <c r="U30" s="174"/>
      <c r="V30" s="174"/>
      <c r="W30" s="174"/>
      <c r="X30" s="174"/>
      <c r="Y30" s="174"/>
      <c r="Z30" s="174"/>
      <c r="AA30" s="174"/>
      <c r="AB30" s="174"/>
      <c r="AC30" s="174"/>
      <c r="AD30" s="174"/>
      <c r="AE30" s="174"/>
      <c r="AF30" s="174"/>
    </row>
    <row r="31" spans="1:32">
      <c r="D31" s="24"/>
      <c r="E31" s="2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row>
    <row r="32" spans="1:32">
      <c r="D32" s="3"/>
      <c r="E32" s="3"/>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74"/>
      <c r="AE32" s="174"/>
      <c r="AF32" s="174"/>
    </row>
    <row r="33" spans="4:32">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174"/>
    </row>
    <row r="34" spans="4:32">
      <c r="D34" s="23"/>
      <c r="E34" s="23"/>
      <c r="G34" s="174"/>
      <c r="H34" s="174"/>
      <c r="I34" s="174"/>
      <c r="J34" s="174"/>
      <c r="K34" s="174"/>
      <c r="L34" s="174"/>
      <c r="M34" s="174"/>
      <c r="N34" s="174"/>
      <c r="O34" s="174"/>
      <c r="P34" s="174"/>
      <c r="Q34" s="174"/>
      <c r="R34" s="174"/>
      <c r="S34" s="174"/>
      <c r="T34" s="174"/>
      <c r="U34" s="174"/>
      <c r="V34" s="174"/>
      <c r="W34" s="174"/>
      <c r="X34" s="174"/>
      <c r="Y34" s="174"/>
      <c r="Z34" s="174"/>
      <c r="AA34" s="174"/>
      <c r="AB34" s="174"/>
      <c r="AC34" s="174"/>
      <c r="AD34" s="174"/>
      <c r="AE34" s="174"/>
      <c r="AF34" s="174"/>
    </row>
    <row r="35" spans="4:32">
      <c r="D35" s="56"/>
      <c r="E35" s="3"/>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row>
    <row r="36" spans="4:32">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row>
    <row r="37" spans="4:32">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row>
    <row r="38" spans="4:32">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69" customWidth="1"/>
    <col min="2" max="2" width="22" style="169" customWidth="1"/>
    <col min="3" max="3" width="13" style="169" customWidth="1"/>
    <col min="4" max="4" width="13.140625" style="169" customWidth="1"/>
    <col min="5" max="5" width="13.5703125" style="169" customWidth="1"/>
    <col min="6" max="6" width="12" style="169" customWidth="1"/>
    <col min="7" max="7" width="13.42578125" style="169" customWidth="1" collapsed="1"/>
    <col min="8" max="10" width="12.140625" style="169" bestFit="1" customWidth="1"/>
    <col min="11" max="13" width="13.7109375" style="169" bestFit="1" customWidth="1"/>
    <col min="14" max="26" width="9.140625" style="169" customWidth="1"/>
    <col min="27" max="27" width="9.28515625" style="169" customWidth="1"/>
    <col min="28" max="28" width="9.42578125" style="169" customWidth="1"/>
    <col min="29" max="29" width="10" style="169" customWidth="1"/>
    <col min="30" max="30" width="11.42578125" style="169" customWidth="1"/>
    <col min="31" max="31" width="9.42578125" style="169" bestFit="1" customWidth="1" collapsed="1"/>
    <col min="32" max="16384" width="9.140625" style="169"/>
  </cols>
  <sheetData>
    <row r="1" spans="1:32" s="168" customFormat="1" ht="15" customHeight="1">
      <c r="B1" s="16" t="s">
        <v>302</v>
      </c>
      <c r="C1" s="167"/>
      <c r="D1" s="167"/>
      <c r="E1" s="167"/>
      <c r="F1" s="167"/>
      <c r="G1" s="167"/>
      <c r="H1" s="167"/>
      <c r="I1" s="167"/>
      <c r="J1" s="167"/>
      <c r="K1" s="167"/>
      <c r="L1" s="167"/>
    </row>
    <row r="2" spans="1:32" ht="12" customHeight="1">
      <c r="C2" s="195"/>
    </row>
    <row r="3" spans="1:32" ht="12" customHeight="1">
      <c r="A3" s="171"/>
      <c r="B3" s="401" t="s">
        <v>303</v>
      </c>
      <c r="C3" s="401"/>
      <c r="D3" s="401"/>
      <c r="E3" s="401"/>
      <c r="F3" s="401"/>
      <c r="G3" s="401"/>
      <c r="H3" s="212"/>
      <c r="I3" s="213"/>
      <c r="J3" s="212"/>
      <c r="K3" s="212"/>
      <c r="L3" s="212"/>
      <c r="M3" s="212"/>
      <c r="N3" s="212"/>
      <c r="O3" s="212"/>
      <c r="P3" s="212"/>
      <c r="Q3" s="212"/>
    </row>
    <row r="4" spans="1:32" ht="12" customHeight="1">
      <c r="A4" s="176"/>
      <c r="B4" s="335" t="s">
        <v>53</v>
      </c>
      <c r="C4" s="336" t="s">
        <v>253</v>
      </c>
      <c r="D4" s="335">
        <v>-1</v>
      </c>
      <c r="E4" s="336">
        <v>-2</v>
      </c>
      <c r="F4" s="336">
        <v>-3</v>
      </c>
      <c r="G4" s="336">
        <v>-4</v>
      </c>
      <c r="H4" s="178"/>
      <c r="I4" s="347"/>
      <c r="J4" s="287"/>
      <c r="K4" s="287"/>
      <c r="L4" s="287"/>
      <c r="M4" s="287"/>
      <c r="N4" s="287"/>
      <c r="O4" s="287"/>
      <c r="P4" s="287"/>
      <c r="Q4" s="170"/>
      <c r="S4" s="173"/>
      <c r="T4" s="173"/>
      <c r="U4" s="173"/>
      <c r="V4" s="173"/>
      <c r="AA4" s="173"/>
    </row>
    <row r="5" spans="1:32" ht="12" customHeight="1">
      <c r="A5" s="176"/>
      <c r="B5" s="250" t="s">
        <v>304</v>
      </c>
      <c r="C5" s="257">
        <f>C6*C7</f>
        <v>42.655744000000006</v>
      </c>
      <c r="D5" s="257">
        <f>(0.10506*66.655144)+(0.28797*227.999095)</f>
        <v>72.659688815790005</v>
      </c>
      <c r="E5" s="257">
        <f>(0.42848*227.999095)+(0.10506*66.655144)</f>
        <v>104.69584165424001</v>
      </c>
      <c r="F5" s="257">
        <f>(0.31811*227.999095)+(0.11819*66.655144)</f>
        <v>80.406763579810004</v>
      </c>
      <c r="G5" s="257">
        <f>(0.1975*227.999095)+(0.20018*66.655144)</f>
        <v>58.372847988420006</v>
      </c>
      <c r="H5" s="216"/>
      <c r="I5" s="347"/>
      <c r="J5" s="204"/>
      <c r="K5" s="50"/>
      <c r="L5" s="50"/>
      <c r="M5" s="50"/>
      <c r="N5" s="50"/>
      <c r="O5" s="50"/>
      <c r="P5" s="50"/>
      <c r="Q5" s="50"/>
      <c r="S5" s="174"/>
      <c r="T5" s="174"/>
      <c r="U5" s="174"/>
      <c r="V5" s="174"/>
      <c r="W5" s="174"/>
      <c r="X5" s="174"/>
      <c r="Y5" s="174"/>
      <c r="Z5" s="174"/>
      <c r="AA5" s="174"/>
      <c r="AB5" s="174"/>
      <c r="AC5" s="174"/>
      <c r="AD5" s="174"/>
      <c r="AE5" s="174"/>
      <c r="AF5" s="174"/>
    </row>
    <row r="6" spans="1:32" ht="12" customHeight="1">
      <c r="A6" s="176"/>
      <c r="B6" s="250" t="s">
        <v>6</v>
      </c>
      <c r="C6" s="182">
        <f>'Future Cashflows (10 Yrs)'!E4</f>
        <v>13329.92</v>
      </c>
      <c r="D6" s="257">
        <f>'EBIT &amp; Advertising Expense'!G6</f>
        <v>4470.8500000000004</v>
      </c>
      <c r="E6" s="257">
        <f>'EBIT &amp; Advertising Expense'!H6</f>
        <v>28288</v>
      </c>
      <c r="F6" s="257">
        <f>'EBIT &amp; Advertising Expense'!I6</f>
        <v>29165.7</v>
      </c>
      <c r="G6" s="257">
        <f>'EBIT &amp; Advertising Expense'!J6</f>
        <v>27834.06</v>
      </c>
      <c r="H6" s="216"/>
      <c r="J6" s="204"/>
      <c r="K6" s="204"/>
      <c r="L6" s="204"/>
      <c r="M6" s="204"/>
      <c r="N6" s="204"/>
      <c r="O6" s="204"/>
      <c r="P6" s="204"/>
      <c r="Q6" s="204"/>
      <c r="S6" s="174"/>
      <c r="T6" s="174"/>
      <c r="U6" s="174"/>
      <c r="V6" s="174"/>
      <c r="W6" s="174"/>
      <c r="X6" s="174"/>
      <c r="Y6" s="174"/>
      <c r="Z6" s="174"/>
      <c r="AA6" s="174"/>
      <c r="AB6" s="174"/>
      <c r="AC6" s="174"/>
      <c r="AD6" s="174"/>
      <c r="AE6" s="174"/>
      <c r="AF6" s="174"/>
    </row>
    <row r="7" spans="1:32" ht="12" customHeight="1">
      <c r="B7" s="250" t="s">
        <v>305</v>
      </c>
      <c r="C7" s="205">
        <v>3.2000000000000002E-3</v>
      </c>
      <c r="D7" s="205">
        <f>D5/D6</f>
        <v>1.6251873539883915E-2</v>
      </c>
      <c r="E7" s="205">
        <f t="shared" ref="E7:G7" si="0">E5/E6</f>
        <v>3.7010690630033941E-3</v>
      </c>
      <c r="F7" s="205">
        <f t="shared" si="0"/>
        <v>2.7568946941033475E-3</v>
      </c>
      <c r="G7" s="205">
        <f t="shared" si="0"/>
        <v>2.0971733188913152E-3</v>
      </c>
      <c r="H7" s="204"/>
      <c r="I7" s="196"/>
      <c r="J7" s="196"/>
      <c r="N7" s="174"/>
      <c r="O7" s="174"/>
      <c r="P7" s="195"/>
      <c r="Q7" s="204"/>
      <c r="S7" s="174"/>
      <c r="T7" s="174"/>
      <c r="U7" s="174"/>
      <c r="V7" s="174"/>
      <c r="W7" s="174"/>
      <c r="X7" s="174"/>
      <c r="Y7" s="174"/>
      <c r="Z7" s="174"/>
      <c r="AA7" s="174"/>
      <c r="AB7" s="174"/>
      <c r="AC7" s="174"/>
      <c r="AD7" s="174"/>
      <c r="AE7" s="174"/>
      <c r="AF7" s="174"/>
    </row>
    <row r="8" spans="1:32" ht="12" customHeight="1">
      <c r="A8" s="176"/>
      <c r="B8" s="174"/>
      <c r="C8" s="216"/>
      <c r="D8" s="201"/>
      <c r="E8" s="201"/>
      <c r="F8" s="350" t="s">
        <v>313</v>
      </c>
      <c r="G8" s="389">
        <f>MEDIAN(D7:G7)</f>
        <v>3.2289818785533708E-3</v>
      </c>
      <c r="J8" s="266"/>
      <c r="K8" s="267"/>
      <c r="O8" s="174"/>
      <c r="P8" s="174"/>
      <c r="Q8" s="174"/>
      <c r="R8" s="174"/>
      <c r="S8" s="174"/>
      <c r="T8" s="174"/>
      <c r="U8" s="174"/>
      <c r="V8" s="174"/>
      <c r="W8" s="174"/>
      <c r="X8" s="174"/>
      <c r="Y8" s="174"/>
      <c r="Z8" s="174"/>
      <c r="AA8" s="174"/>
      <c r="AB8" s="174"/>
      <c r="AC8" s="174"/>
      <c r="AD8" s="174"/>
      <c r="AE8" s="174"/>
      <c r="AF8" s="174"/>
    </row>
    <row r="9" spans="1:32" ht="12" customHeight="1">
      <c r="A9" s="176"/>
      <c r="J9" s="172"/>
      <c r="K9" s="196"/>
      <c r="O9" s="174"/>
      <c r="P9" s="174"/>
      <c r="Q9" s="174"/>
      <c r="R9" s="174"/>
      <c r="S9" s="174"/>
      <c r="T9" s="174"/>
      <c r="U9" s="174"/>
      <c r="V9" s="174"/>
      <c r="W9" s="174"/>
      <c r="X9" s="174"/>
      <c r="Y9" s="174"/>
      <c r="Z9" s="174"/>
      <c r="AA9" s="174"/>
      <c r="AB9" s="174"/>
      <c r="AC9" s="174"/>
      <c r="AD9" s="174"/>
      <c r="AE9" s="174"/>
      <c r="AF9" s="174"/>
    </row>
    <row r="10" spans="1:32">
      <c r="A10" s="172"/>
      <c r="B10" s="401" t="s">
        <v>306</v>
      </c>
      <c r="C10" s="401"/>
      <c r="D10" s="401"/>
      <c r="E10" s="401"/>
      <c r="F10" s="401"/>
      <c r="G10" s="401"/>
      <c r="H10" s="401"/>
      <c r="I10" s="401"/>
      <c r="J10" s="401"/>
      <c r="K10" s="401"/>
      <c r="L10" s="401"/>
      <c r="M10" s="401"/>
      <c r="O10" s="174"/>
      <c r="P10" s="174"/>
      <c r="Q10" s="174"/>
      <c r="R10" s="174"/>
      <c r="S10" s="174"/>
      <c r="T10" s="174"/>
      <c r="U10" s="174"/>
      <c r="V10" s="174"/>
      <c r="W10" s="174"/>
      <c r="X10" s="174"/>
      <c r="Y10" s="174"/>
      <c r="Z10" s="174"/>
      <c r="AA10" s="174"/>
      <c r="AB10" s="174"/>
      <c r="AC10" s="174"/>
      <c r="AD10" s="174"/>
      <c r="AE10" s="174"/>
      <c r="AF10" s="174"/>
    </row>
    <row r="11" spans="1:32" ht="12.75" customHeight="1">
      <c r="A11" s="176"/>
      <c r="B11" s="335" t="s">
        <v>53</v>
      </c>
      <c r="C11" s="336" t="s">
        <v>253</v>
      </c>
      <c r="D11" s="335">
        <v>1</v>
      </c>
      <c r="E11" s="336">
        <v>2</v>
      </c>
      <c r="F11" s="336">
        <v>3</v>
      </c>
      <c r="G11" s="336">
        <v>4</v>
      </c>
      <c r="H11" s="336">
        <v>5</v>
      </c>
      <c r="I11" s="390">
        <v>6</v>
      </c>
      <c r="J11" s="390">
        <v>7</v>
      </c>
      <c r="K11" s="391">
        <v>8</v>
      </c>
      <c r="L11" s="391">
        <v>9</v>
      </c>
      <c r="M11" s="391">
        <v>10</v>
      </c>
      <c r="N11" s="216"/>
      <c r="O11" s="174"/>
      <c r="P11" s="174"/>
      <c r="Q11" s="174"/>
      <c r="R11" s="174"/>
      <c r="S11" s="174"/>
      <c r="T11" s="174"/>
      <c r="U11" s="174"/>
      <c r="V11" s="174"/>
      <c r="W11" s="174"/>
      <c r="X11" s="174"/>
      <c r="Y11" s="174"/>
      <c r="Z11" s="174"/>
      <c r="AA11" s="174"/>
      <c r="AB11" s="174"/>
      <c r="AC11" s="174"/>
      <c r="AD11" s="174"/>
      <c r="AE11" s="174"/>
      <c r="AF11" s="174"/>
    </row>
    <row r="12" spans="1:32">
      <c r="B12" s="250" t="s">
        <v>305</v>
      </c>
      <c r="C12" s="205">
        <f>$G$8</f>
        <v>3.2289818785533708E-3</v>
      </c>
      <c r="D12" s="205">
        <f t="shared" ref="D12:M12" si="1">$G$8</f>
        <v>3.2289818785533708E-3</v>
      </c>
      <c r="E12" s="205">
        <f t="shared" si="1"/>
        <v>3.2289818785533708E-3</v>
      </c>
      <c r="F12" s="205">
        <f t="shared" si="1"/>
        <v>3.2289818785533708E-3</v>
      </c>
      <c r="G12" s="205">
        <f t="shared" si="1"/>
        <v>3.2289818785533708E-3</v>
      </c>
      <c r="H12" s="205">
        <f t="shared" si="1"/>
        <v>3.2289818785533708E-3</v>
      </c>
      <c r="I12" s="205">
        <f t="shared" si="1"/>
        <v>3.2289818785533708E-3</v>
      </c>
      <c r="J12" s="205">
        <f t="shared" si="1"/>
        <v>3.2289818785533708E-3</v>
      </c>
      <c r="K12" s="205">
        <f t="shared" si="1"/>
        <v>3.2289818785533708E-3</v>
      </c>
      <c r="L12" s="205">
        <f t="shared" si="1"/>
        <v>3.2289818785533708E-3</v>
      </c>
      <c r="M12" s="205">
        <f t="shared" si="1"/>
        <v>3.2289818785533708E-3</v>
      </c>
      <c r="N12" s="216"/>
      <c r="O12" s="212"/>
      <c r="P12" s="212"/>
      <c r="Q12" s="212"/>
      <c r="R12" s="174"/>
      <c r="S12" s="174"/>
      <c r="T12" s="174"/>
      <c r="U12" s="174"/>
      <c r="V12" s="174"/>
      <c r="W12" s="174"/>
      <c r="X12" s="174"/>
      <c r="Y12" s="174"/>
      <c r="Z12" s="174"/>
      <c r="AA12" s="174"/>
      <c r="AB12" s="174"/>
      <c r="AC12" s="174"/>
      <c r="AD12" s="174"/>
      <c r="AE12" s="174"/>
      <c r="AF12" s="174"/>
    </row>
    <row r="13" spans="1:32" ht="12" customHeight="1">
      <c r="A13" s="176"/>
      <c r="B13" s="250" t="s">
        <v>6</v>
      </c>
      <c r="C13" s="257">
        <f>C6</f>
        <v>13329.92</v>
      </c>
      <c r="D13" s="257">
        <f>'Future Cashflows (10 Yrs)'!E5</f>
        <v>17563.913768695958</v>
      </c>
      <c r="E13" s="257">
        <f>'Future Cashflows (10 Yrs)'!E6</f>
        <v>22377.497302096119</v>
      </c>
      <c r="F13" s="257">
        <f>'Future Cashflows (10 Yrs)'!E7</f>
        <v>31545.045199694727</v>
      </c>
      <c r="G13" s="257">
        <f>'Future Cashflows (10 Yrs)'!E8</f>
        <v>42006.432031674201</v>
      </c>
      <c r="H13" s="257">
        <f>'Future Cashflows (10 Yrs)'!E9</f>
        <v>53910.450953796448</v>
      </c>
      <c r="I13" s="257">
        <f>'Future Cashflows (10 Yrs)'!E10</f>
        <v>67412.114801911317</v>
      </c>
      <c r="J13" s="257">
        <f>'Future Cashflows (10 Yrs)'!E11</f>
        <v>82693.080610230507</v>
      </c>
      <c r="K13" s="257">
        <f>'Future Cashflows (10 Yrs)'!E12</f>
        <v>99939.082074043341</v>
      </c>
      <c r="L13" s="257">
        <f>'Future Cashflows (10 Yrs)'!E13</f>
        <v>113550.31502700322</v>
      </c>
      <c r="M13" s="257">
        <f>'Future Cashflows (10 Yrs)'!E14</f>
        <v>128663.70665597342</v>
      </c>
      <c r="O13" s="174"/>
      <c r="P13" s="174"/>
      <c r="Q13" s="174"/>
      <c r="R13" s="174"/>
      <c r="S13" s="174"/>
      <c r="T13" s="174"/>
      <c r="U13" s="174"/>
      <c r="V13" s="174"/>
      <c r="W13" s="174"/>
      <c r="X13" s="174"/>
      <c r="Y13" s="174"/>
      <c r="Z13" s="174"/>
      <c r="AA13" s="174"/>
      <c r="AB13" s="174"/>
      <c r="AC13" s="174"/>
      <c r="AD13" s="174"/>
      <c r="AE13" s="174"/>
      <c r="AF13" s="174"/>
    </row>
    <row r="14" spans="1:32">
      <c r="B14" s="250" t="s">
        <v>304</v>
      </c>
      <c r="C14" s="257">
        <f>C13*C12</f>
        <v>43.042070122566152</v>
      </c>
      <c r="D14" s="257">
        <f t="shared" ref="D14:L14" si="2">D13*D12</f>
        <v>56.71355927559329</v>
      </c>
      <c r="E14" s="257">
        <f t="shared" si="2"/>
        <v>72.256533275845314</v>
      </c>
      <c r="F14" s="257">
        <f t="shared" si="2"/>
        <v>101.85837930796127</v>
      </c>
      <c r="G14" s="257">
        <f t="shared" si="2"/>
        <v>135.63800781295984</v>
      </c>
      <c r="H14" s="257">
        <f t="shared" si="2"/>
        <v>174.07586919444901</v>
      </c>
      <c r="I14" s="257">
        <f t="shared" si="2"/>
        <v>217.67249709033109</v>
      </c>
      <c r="J14" s="257">
        <f t="shared" si="2"/>
        <v>267.01445877218742</v>
      </c>
      <c r="K14" s="257">
        <f t="shared" si="2"/>
        <v>322.70148497634398</v>
      </c>
      <c r="L14" s="257">
        <f t="shared" si="2"/>
        <v>366.65190952621992</v>
      </c>
      <c r="M14" s="257">
        <f>M13*M12</f>
        <v>415.45277721964493</v>
      </c>
      <c r="O14" s="174"/>
      <c r="P14" s="174"/>
      <c r="Q14" s="174"/>
      <c r="R14" s="174"/>
      <c r="S14" s="174"/>
      <c r="T14" s="174"/>
      <c r="U14" s="174"/>
      <c r="V14" s="174"/>
      <c r="W14" s="174"/>
      <c r="X14" s="174"/>
      <c r="Y14" s="174"/>
      <c r="Z14" s="174"/>
      <c r="AA14" s="174"/>
      <c r="AB14" s="174"/>
      <c r="AC14" s="174"/>
      <c r="AD14" s="174"/>
      <c r="AE14" s="174"/>
      <c r="AF14" s="174"/>
    </row>
    <row r="15" spans="1:32">
      <c r="D15" s="289"/>
      <c r="F15" s="289"/>
      <c r="G15" s="61"/>
      <c r="K15" s="268"/>
      <c r="O15" s="174"/>
      <c r="P15" s="174"/>
      <c r="Q15" s="174"/>
      <c r="R15" s="174"/>
      <c r="S15" s="174"/>
      <c r="T15" s="174"/>
      <c r="U15" s="174"/>
      <c r="V15" s="174"/>
      <c r="W15" s="174"/>
      <c r="X15" s="174"/>
      <c r="Y15" s="174"/>
      <c r="Z15" s="174"/>
      <c r="AA15" s="174"/>
      <c r="AB15" s="174"/>
      <c r="AC15" s="174"/>
      <c r="AD15" s="174"/>
      <c r="AE15" s="174"/>
      <c r="AF15" s="174"/>
    </row>
    <row r="16" spans="1:32">
      <c r="D16" s="289"/>
      <c r="F16" s="289"/>
      <c r="K16" s="174"/>
      <c r="O16" s="174"/>
      <c r="P16" s="174"/>
      <c r="Q16" s="174"/>
      <c r="R16" s="174"/>
      <c r="S16" s="174"/>
      <c r="T16" s="174"/>
      <c r="U16" s="174"/>
      <c r="V16" s="174"/>
      <c r="W16" s="174"/>
      <c r="X16" s="174"/>
      <c r="Y16" s="174"/>
      <c r="Z16" s="174"/>
      <c r="AA16" s="174"/>
      <c r="AB16" s="174"/>
      <c r="AC16" s="174"/>
      <c r="AD16" s="174"/>
      <c r="AE16" s="174"/>
      <c r="AF16" s="174"/>
    </row>
    <row r="17" spans="1:32">
      <c r="B17" s="401" t="s">
        <v>307</v>
      </c>
      <c r="C17" s="401"/>
      <c r="D17" s="401"/>
      <c r="E17" s="401"/>
      <c r="F17" s="401"/>
      <c r="G17" s="401"/>
      <c r="J17" s="178"/>
      <c r="K17" s="174"/>
      <c r="L17" s="174"/>
      <c r="O17" s="174"/>
      <c r="P17" s="174"/>
      <c r="Q17" s="174"/>
      <c r="R17" s="174"/>
      <c r="S17" s="174"/>
      <c r="T17" s="174"/>
      <c r="U17" s="174"/>
      <c r="V17" s="174"/>
      <c r="W17" s="174"/>
      <c r="X17" s="174"/>
      <c r="Y17" s="174"/>
      <c r="Z17" s="174"/>
      <c r="AA17" s="174"/>
      <c r="AB17" s="174"/>
      <c r="AC17" s="174"/>
      <c r="AD17" s="174"/>
      <c r="AE17" s="174"/>
      <c r="AF17" s="174"/>
    </row>
    <row r="18" spans="1:32">
      <c r="A18" s="176"/>
      <c r="B18" s="392"/>
      <c r="C18" s="393" t="s">
        <v>308</v>
      </c>
      <c r="D18" s="306" t="s">
        <v>309</v>
      </c>
      <c r="E18" s="393" t="s">
        <v>310</v>
      </c>
      <c r="F18" s="306" t="s">
        <v>311</v>
      </c>
      <c r="G18" s="394" t="s">
        <v>312</v>
      </c>
      <c r="J18" s="204"/>
      <c r="K18" s="174"/>
      <c r="L18" s="174"/>
      <c r="M18" s="174"/>
      <c r="N18" s="174"/>
      <c r="O18" s="174"/>
      <c r="P18" s="174"/>
      <c r="Q18" s="174"/>
      <c r="R18" s="174"/>
      <c r="S18" s="174"/>
      <c r="T18" s="174"/>
      <c r="U18" s="174"/>
      <c r="V18" s="174"/>
      <c r="W18" s="174"/>
      <c r="X18" s="174"/>
      <c r="Y18" s="174"/>
      <c r="Z18" s="174"/>
      <c r="AA18" s="174"/>
      <c r="AB18" s="174"/>
      <c r="AC18" s="174"/>
      <c r="AD18" s="174"/>
      <c r="AE18" s="174"/>
      <c r="AF18" s="174"/>
    </row>
    <row r="19" spans="1:32">
      <c r="B19" s="274" t="s">
        <v>175</v>
      </c>
      <c r="C19" s="395">
        <f>'Future Cashflows (10 Yrs)'!H4/'Future Cashflows (10 Yrs)'!E4</f>
        <v>-0.16176773111781351</v>
      </c>
      <c r="D19" s="396">
        <f>'Future Cashflows (10 Yrs)'!E4*(1-C19)</f>
        <v>15486.270914381967</v>
      </c>
      <c r="E19" s="182"/>
      <c r="F19" s="397"/>
      <c r="G19" s="205">
        <f>C19</f>
        <v>-0.16176773111781351</v>
      </c>
      <c r="J19" s="204"/>
      <c r="K19" s="174"/>
      <c r="L19" s="174"/>
      <c r="M19" s="174"/>
      <c r="N19" s="174"/>
      <c r="O19" s="174"/>
      <c r="P19" s="174"/>
      <c r="Q19" s="174"/>
      <c r="R19" s="174"/>
      <c r="S19" s="174"/>
      <c r="T19" s="174"/>
      <c r="U19" s="174"/>
      <c r="V19" s="174"/>
      <c r="W19" s="174"/>
      <c r="X19" s="174"/>
      <c r="Y19" s="174"/>
      <c r="Z19" s="174"/>
      <c r="AA19" s="174"/>
      <c r="AB19" s="174"/>
      <c r="AC19" s="174"/>
      <c r="AD19" s="174"/>
      <c r="AE19" s="174"/>
      <c r="AF19" s="174"/>
    </row>
    <row r="20" spans="1:32">
      <c r="A20" s="176"/>
      <c r="B20" s="249">
        <v>1</v>
      </c>
      <c r="C20" s="255">
        <v>-0.08</v>
      </c>
      <c r="D20" s="396">
        <f>'Future Cashflows (10 Yrs)'!E5*(1-C20)</f>
        <v>18969.026870191636</v>
      </c>
      <c r="E20" s="257">
        <f>D14</f>
        <v>56.71355927559329</v>
      </c>
      <c r="F20" s="396">
        <f>D20+E20</f>
        <v>19025.740429467231</v>
      </c>
      <c r="G20" s="205">
        <f>1-(F20/'Future Cashflows (10 Yrs)'!E5)</f>
        <v>-8.3228981878553432E-2</v>
      </c>
      <c r="J20" s="204"/>
      <c r="K20" s="174"/>
      <c r="L20" s="174"/>
      <c r="M20" s="174"/>
      <c r="N20" s="174"/>
      <c r="O20" s="174"/>
      <c r="P20" s="174"/>
      <c r="Q20" s="174"/>
      <c r="R20" s="174"/>
      <c r="S20" s="174"/>
      <c r="T20" s="174"/>
      <c r="U20" s="174"/>
      <c r="V20" s="174"/>
      <c r="W20" s="174"/>
      <c r="X20" s="174"/>
      <c r="Y20" s="174"/>
      <c r="Z20" s="174"/>
      <c r="AA20" s="174"/>
      <c r="AB20" s="174"/>
      <c r="AC20" s="174"/>
      <c r="AD20" s="174"/>
      <c r="AE20" s="174"/>
      <c r="AF20" s="174"/>
    </row>
    <row r="21" spans="1:32">
      <c r="B21" s="249">
        <f t="shared" ref="B21:B29" si="3">B20+1</f>
        <v>2</v>
      </c>
      <c r="C21" s="255">
        <f>AVERAGE(C20,C22)</f>
        <v>-3.8750000000000007E-2</v>
      </c>
      <c r="D21" s="396">
        <f>'Future Cashflows (10 Yrs)'!E6*(1-C21)</f>
        <v>23244.625322552343</v>
      </c>
      <c r="E21" s="257">
        <f>E14</f>
        <v>72.256533275845314</v>
      </c>
      <c r="F21" s="396">
        <f t="shared" ref="F21:F27" si="4">D21+E21</f>
        <v>23316.881855828189</v>
      </c>
      <c r="G21" s="205">
        <f>1-(F21/'Future Cashflows (10 Yrs)'!E6)</f>
        <v>-4.1978981878553423E-2</v>
      </c>
      <c r="J21" s="204"/>
      <c r="K21" s="174"/>
      <c r="L21" s="174"/>
      <c r="M21" s="174"/>
      <c r="N21" s="174"/>
      <c r="O21" s="174"/>
      <c r="P21" s="174"/>
      <c r="Q21" s="174"/>
      <c r="R21" s="174"/>
      <c r="S21" s="174"/>
      <c r="T21" s="174"/>
      <c r="U21" s="174"/>
      <c r="V21" s="174"/>
      <c r="W21" s="174"/>
      <c r="X21" s="174"/>
      <c r="Y21" s="174"/>
      <c r="Z21" s="174"/>
      <c r="AA21" s="174"/>
      <c r="AB21" s="174"/>
      <c r="AC21" s="174"/>
      <c r="AD21" s="174"/>
      <c r="AE21" s="174"/>
      <c r="AF21" s="174"/>
    </row>
    <row r="22" spans="1:32">
      <c r="B22" s="249">
        <f t="shared" si="3"/>
        <v>3</v>
      </c>
      <c r="C22" s="255">
        <f>AVERAGE(C20,C24)</f>
        <v>2.4999999999999953E-3</v>
      </c>
      <c r="D22" s="396">
        <f>'Future Cashflows (10 Yrs)'!E7*(1-C22)</f>
        <v>31466.182586695493</v>
      </c>
      <c r="E22" s="257">
        <f>F14</f>
        <v>101.85837930796127</v>
      </c>
      <c r="F22" s="396">
        <f t="shared" si="4"/>
        <v>31568.040966003453</v>
      </c>
      <c r="G22" s="205">
        <f>1-(F22/'Future Cashflows (10 Yrs)'!E7)</f>
        <v>-7.2898187855341412E-4</v>
      </c>
      <c r="J22" s="204"/>
      <c r="K22" s="174"/>
      <c r="L22" s="174"/>
      <c r="M22" s="174"/>
      <c r="N22" s="174"/>
      <c r="O22" s="174"/>
      <c r="P22" s="174"/>
      <c r="Q22" s="174"/>
      <c r="R22" s="174"/>
      <c r="S22" s="174"/>
      <c r="T22" s="174"/>
      <c r="U22" s="174"/>
      <c r="V22" s="174"/>
      <c r="W22" s="174"/>
      <c r="X22" s="174"/>
      <c r="Y22" s="174"/>
      <c r="Z22" s="174"/>
      <c r="AA22" s="174"/>
      <c r="AB22" s="174"/>
      <c r="AC22" s="174"/>
      <c r="AD22" s="174"/>
      <c r="AE22" s="174"/>
      <c r="AF22" s="174"/>
    </row>
    <row r="23" spans="1:32" ht="12" customHeight="1">
      <c r="B23" s="249">
        <f t="shared" si="3"/>
        <v>4</v>
      </c>
      <c r="C23" s="255">
        <f>AVERAGE(C22,C24)</f>
        <v>4.3749999999999997E-2</v>
      </c>
      <c r="D23" s="396">
        <f>'Future Cashflows (10 Yrs)'!E8*(1-C23)</f>
        <v>40168.650630288459</v>
      </c>
      <c r="E23" s="257">
        <f>G14</f>
        <v>135.63800781295984</v>
      </c>
      <c r="F23" s="396">
        <f t="shared" si="4"/>
        <v>40304.288638101418</v>
      </c>
      <c r="G23" s="205">
        <f>1-(F23/'Future Cashflows (10 Yrs)'!E8)</f>
        <v>4.0521018121446595E-2</v>
      </c>
      <c r="J23" s="204"/>
      <c r="K23" s="174"/>
      <c r="L23" s="174"/>
      <c r="M23" s="174"/>
      <c r="N23" s="174"/>
      <c r="O23" s="174"/>
      <c r="P23" s="174"/>
      <c r="Q23" s="174"/>
      <c r="R23" s="174"/>
      <c r="S23" s="174"/>
      <c r="T23" s="174"/>
      <c r="U23" s="174"/>
      <c r="V23" s="174"/>
      <c r="W23" s="174"/>
      <c r="X23" s="174"/>
      <c r="Y23" s="174"/>
      <c r="Z23" s="174"/>
      <c r="AA23" s="174"/>
      <c r="AB23" s="174"/>
      <c r="AC23" s="174"/>
      <c r="AD23" s="174"/>
      <c r="AE23" s="174"/>
      <c r="AF23" s="174"/>
    </row>
    <row r="24" spans="1:32">
      <c r="B24" s="249">
        <f t="shared" si="3"/>
        <v>5</v>
      </c>
      <c r="C24" s="255">
        <f>AVERAGE(C20,C29)</f>
        <v>8.4999999999999992E-2</v>
      </c>
      <c r="D24" s="396">
        <f>'Future Cashflows (10 Yrs)'!E9*(1-C24)</f>
        <v>49328.062622723752</v>
      </c>
      <c r="E24" s="257">
        <f>H14</f>
        <v>174.07586919444901</v>
      </c>
      <c r="F24" s="396">
        <f t="shared" si="4"/>
        <v>49502.138491918202</v>
      </c>
      <c r="G24" s="205">
        <f>1-(F24/'Future Cashflows (10 Yrs)'!E9)</f>
        <v>8.1771018121446604E-2</v>
      </c>
      <c r="J24" s="204"/>
      <c r="K24" s="174"/>
      <c r="L24" s="174"/>
      <c r="M24" s="174"/>
      <c r="N24" s="174"/>
      <c r="O24" s="174"/>
      <c r="P24" s="174"/>
      <c r="Q24" s="174"/>
      <c r="R24" s="174"/>
      <c r="S24" s="174"/>
      <c r="T24" s="174"/>
      <c r="U24" s="174"/>
      <c r="V24" s="174"/>
      <c r="W24" s="174"/>
      <c r="X24" s="174"/>
      <c r="Y24" s="174"/>
      <c r="Z24" s="174"/>
      <c r="AA24" s="174"/>
      <c r="AB24" s="174"/>
      <c r="AC24" s="174"/>
      <c r="AD24" s="174"/>
      <c r="AE24" s="174"/>
      <c r="AF24" s="174"/>
    </row>
    <row r="25" spans="1:32">
      <c r="B25" s="249">
        <f t="shared" si="3"/>
        <v>6</v>
      </c>
      <c r="C25" s="255">
        <f>AVERAGE(C24,C26)</f>
        <v>0.12624999999999997</v>
      </c>
      <c r="D25" s="396">
        <f>'Future Cashflows (10 Yrs)'!E10*(1-C25)</f>
        <v>58901.335308170012</v>
      </c>
      <c r="E25" s="257">
        <f>I14</f>
        <v>217.67249709033109</v>
      </c>
      <c r="F25" s="396">
        <f>D25+E25</f>
        <v>59119.007805260342</v>
      </c>
      <c r="G25" s="205">
        <f>1-(F25/'Future Cashflows (10 Yrs)'!E10)</f>
        <v>0.12302101812144661</v>
      </c>
      <c r="J25" s="204"/>
      <c r="K25" s="174"/>
      <c r="L25" s="174"/>
      <c r="M25" s="174"/>
      <c r="N25" s="174"/>
      <c r="O25" s="174"/>
      <c r="P25" s="174"/>
      <c r="Q25" s="174"/>
      <c r="R25" s="174"/>
      <c r="S25" s="174"/>
      <c r="T25" s="174"/>
      <c r="U25" s="174"/>
      <c r="V25" s="174"/>
      <c r="W25" s="174"/>
      <c r="X25" s="174"/>
      <c r="Y25" s="174"/>
      <c r="Z25" s="174"/>
      <c r="AA25" s="174"/>
      <c r="AB25" s="174"/>
      <c r="AC25" s="174"/>
      <c r="AD25" s="174"/>
      <c r="AE25" s="174"/>
      <c r="AF25" s="174"/>
    </row>
    <row r="26" spans="1:32">
      <c r="B26" s="249">
        <f t="shared" si="3"/>
        <v>7</v>
      </c>
      <c r="C26" s="255">
        <f>AVERAGE(C24,C29)</f>
        <v>0.16749999999999998</v>
      </c>
      <c r="D26" s="396">
        <f>'Future Cashflows (10 Yrs)'!E11*(1-C26)</f>
        <v>68841.989608016898</v>
      </c>
      <c r="E26" s="257">
        <f>J14</f>
        <v>267.01445877218742</v>
      </c>
      <c r="F26" s="396">
        <f t="shared" si="4"/>
        <v>69109.004066789086</v>
      </c>
      <c r="G26" s="205">
        <f>1-(F26/'Future Cashflows (10 Yrs)'!E11)</f>
        <v>0.16427101812144662</v>
      </c>
      <c r="J26" s="210"/>
      <c r="K26" s="174"/>
      <c r="L26" s="174"/>
      <c r="M26" s="174"/>
      <c r="N26" s="174"/>
      <c r="O26" s="174"/>
      <c r="P26" s="174"/>
      <c r="Q26" s="174"/>
      <c r="R26" s="174"/>
      <c r="S26" s="174"/>
      <c r="T26" s="174"/>
      <c r="U26" s="174"/>
      <c r="V26" s="174"/>
      <c r="W26" s="174"/>
      <c r="X26" s="174"/>
      <c r="Y26" s="174"/>
      <c r="Z26" s="174"/>
      <c r="AA26" s="174"/>
      <c r="AB26" s="174"/>
      <c r="AC26" s="174"/>
      <c r="AD26" s="174"/>
      <c r="AE26" s="174"/>
      <c r="AF26" s="174"/>
    </row>
    <row r="27" spans="1:32">
      <c r="B27" s="249">
        <f t="shared" si="3"/>
        <v>8</v>
      </c>
      <c r="C27" s="255">
        <f>AVERAGE(C26,C29)</f>
        <v>0.20874999999999999</v>
      </c>
      <c r="D27" s="396">
        <f>'Future Cashflows (10 Yrs)'!E12*(1-C27)</f>
        <v>79076.798691086791</v>
      </c>
      <c r="E27" s="257">
        <f>K14</f>
        <v>322.70148497634398</v>
      </c>
      <c r="F27" s="396">
        <f t="shared" si="4"/>
        <v>79399.500176063142</v>
      </c>
      <c r="G27" s="205">
        <f>1-(F27/'Future Cashflows (10 Yrs)'!E12)</f>
        <v>0.20552101812144663</v>
      </c>
      <c r="L27" s="174"/>
      <c r="M27" s="174"/>
      <c r="N27" s="174"/>
      <c r="O27" s="174"/>
      <c r="P27" s="174"/>
      <c r="Q27" s="174"/>
      <c r="R27" s="174"/>
      <c r="S27" s="174"/>
      <c r="T27" s="174"/>
      <c r="U27" s="174"/>
      <c r="V27" s="174"/>
      <c r="W27" s="174"/>
      <c r="X27" s="174"/>
      <c r="Y27" s="174"/>
      <c r="Z27" s="174"/>
      <c r="AA27" s="174"/>
      <c r="AB27" s="174"/>
      <c r="AC27" s="174"/>
      <c r="AD27" s="174"/>
      <c r="AE27" s="174"/>
      <c r="AF27" s="174"/>
    </row>
    <row r="28" spans="1:32">
      <c r="B28" s="249">
        <f t="shared" si="3"/>
        <v>9</v>
      </c>
      <c r="C28" s="255">
        <f>AVERAGE(C27,C29)</f>
        <v>0.229375</v>
      </c>
      <c r="D28" s="396">
        <f>'Future Cashflows (10 Yrs)'!E13*(1-C28)</f>
        <v>87504.711517684351</v>
      </c>
      <c r="E28" s="257">
        <f>L14</f>
        <v>366.65190952621992</v>
      </c>
      <c r="F28" s="396">
        <f>D28+E28</f>
        <v>87871.36342721057</v>
      </c>
      <c r="G28" s="205">
        <f>1-(F28/'Future Cashflows (10 Yrs)'!E13)</f>
        <v>0.22614601812144663</v>
      </c>
      <c r="L28" s="174"/>
      <c r="M28" s="174"/>
      <c r="N28" s="174"/>
      <c r="O28" s="174"/>
      <c r="P28" s="174"/>
      <c r="Q28" s="174"/>
      <c r="R28" s="174"/>
      <c r="S28" s="174"/>
      <c r="T28" s="174"/>
      <c r="U28" s="174"/>
      <c r="V28" s="174"/>
      <c r="W28" s="174"/>
      <c r="X28" s="174"/>
      <c r="Y28" s="174"/>
      <c r="Z28" s="174"/>
      <c r="AA28" s="174"/>
      <c r="AB28" s="174"/>
      <c r="AC28" s="174"/>
      <c r="AD28" s="174"/>
      <c r="AE28" s="174"/>
      <c r="AF28" s="174"/>
    </row>
    <row r="29" spans="1:32">
      <c r="B29" s="249">
        <f t="shared" si="3"/>
        <v>10</v>
      </c>
      <c r="C29" s="255">
        <v>0.25</v>
      </c>
      <c r="D29" s="396">
        <f>'Future Cashflows (10 Yrs)'!E14*(1-C29)</f>
        <v>96497.77999198006</v>
      </c>
      <c r="E29" s="257">
        <f>M14</f>
        <v>415.45277721964493</v>
      </c>
      <c r="F29" s="396">
        <f>D29+E29</f>
        <v>96913.232769199705</v>
      </c>
      <c r="G29" s="205">
        <f>1-(F29/'Future Cashflows (10 Yrs)'!E14)</f>
        <v>0.24677101812144664</v>
      </c>
      <c r="K29" s="174"/>
      <c r="L29" s="174"/>
      <c r="M29" s="174"/>
      <c r="N29" s="174"/>
      <c r="O29" s="174"/>
      <c r="P29" s="174"/>
      <c r="Q29" s="174"/>
      <c r="R29" s="174"/>
      <c r="S29" s="174"/>
      <c r="T29" s="174"/>
      <c r="U29" s="174"/>
      <c r="V29" s="174"/>
      <c r="W29" s="174"/>
      <c r="X29" s="174"/>
      <c r="Y29" s="174"/>
      <c r="Z29" s="174"/>
      <c r="AA29" s="174"/>
      <c r="AB29" s="174"/>
      <c r="AC29" s="174"/>
      <c r="AD29" s="174"/>
      <c r="AE29" s="174"/>
      <c r="AF29" s="174"/>
    </row>
    <row r="30" spans="1:32" ht="14.25" customHeight="1">
      <c r="D30" s="6"/>
      <c r="E30" s="6"/>
      <c r="K30" s="174"/>
      <c r="L30" s="174"/>
      <c r="M30" s="174"/>
      <c r="N30" s="174"/>
      <c r="O30" s="174"/>
      <c r="P30" s="174"/>
      <c r="Q30" s="174"/>
      <c r="R30" s="174"/>
      <c r="S30" s="174"/>
      <c r="T30" s="174"/>
      <c r="U30" s="174"/>
      <c r="V30" s="174"/>
      <c r="W30" s="174"/>
      <c r="X30" s="174"/>
      <c r="Y30" s="174"/>
      <c r="Z30" s="174"/>
      <c r="AA30" s="174"/>
      <c r="AB30" s="174"/>
      <c r="AC30" s="174"/>
      <c r="AD30" s="174"/>
      <c r="AE30" s="174"/>
      <c r="AF30" s="174"/>
    </row>
    <row r="31" spans="1:32">
      <c r="D31" s="24"/>
      <c r="E31" s="2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row>
    <row r="32" spans="1:32">
      <c r="D32" s="3"/>
      <c r="E32" s="3"/>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74"/>
      <c r="AE32" s="174"/>
      <c r="AF32" s="174"/>
    </row>
    <row r="33" spans="4:32">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174"/>
    </row>
    <row r="34" spans="4:32">
      <c r="D34" s="23"/>
      <c r="E34" s="23"/>
      <c r="G34" s="174"/>
      <c r="H34" s="174"/>
      <c r="I34" s="174"/>
      <c r="J34" s="174"/>
      <c r="K34" s="174"/>
      <c r="L34" s="174"/>
      <c r="M34" s="174"/>
      <c r="N34" s="174"/>
      <c r="O34" s="174"/>
      <c r="P34" s="174"/>
      <c r="Q34" s="174"/>
      <c r="R34" s="174"/>
      <c r="S34" s="174"/>
      <c r="T34" s="174"/>
      <c r="U34" s="174"/>
      <c r="V34" s="174"/>
      <c r="W34" s="174"/>
      <c r="X34" s="174"/>
      <c r="Y34" s="174"/>
      <c r="Z34" s="174"/>
      <c r="AA34" s="174"/>
      <c r="AB34" s="174"/>
      <c r="AC34" s="174"/>
      <c r="AD34" s="174"/>
      <c r="AE34" s="174"/>
      <c r="AF34" s="174"/>
    </row>
    <row r="35" spans="4:32">
      <c r="D35" s="56"/>
      <c r="E35" s="3"/>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row>
    <row r="36" spans="4:32">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row>
    <row r="37" spans="4:32">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row>
    <row r="38" spans="4:32">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row>
  </sheetData>
  <mergeCells count="3">
    <mergeCell ref="B10:M10"/>
    <mergeCell ref="B17:G17"/>
    <mergeCell ref="B3:G3"/>
  </mergeCells>
  <pageMargins left="0.7" right="0.7" top="0.75" bottom="0.75" header="0.3" footer="0.3"/>
  <pageSetup paperSize="8"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2.140625" style="2" customWidth="1"/>
    <col min="4" max="5" width="12.42578125" style="2" customWidth="1"/>
    <col min="6" max="6" width="11.42578125" style="2" customWidth="1"/>
    <col min="7" max="7" width="11.7109375" style="2" customWidth="1"/>
    <col min="8" max="8" width="13.5703125" style="2" customWidth="1"/>
    <col min="9" max="9" width="12.28515625" style="2" customWidth="1"/>
    <col min="10" max="10" width="12.140625" style="2" customWidth="1"/>
    <col min="11" max="11" width="11.42578125" style="2" customWidth="1"/>
    <col min="12" max="12" width="12.140625" style="2" customWidth="1"/>
    <col min="13" max="13" width="9.140625" style="2"/>
    <col min="14" max="14" width="18.42578125" style="2" customWidth="1"/>
    <col min="15" max="16384" width="9.140625" style="2"/>
  </cols>
  <sheetData>
    <row r="1" spans="1:20" ht="16.5" customHeight="1">
      <c r="B1" s="16" t="s">
        <v>211</v>
      </c>
    </row>
    <row r="3" spans="1:20" ht="12" customHeight="1">
      <c r="E3" s="47"/>
      <c r="F3" s="33"/>
      <c r="G3" s="303"/>
      <c r="H3" s="31"/>
      <c r="I3" s="3"/>
      <c r="J3" s="3"/>
      <c r="K3" s="3"/>
      <c r="L3" s="3"/>
      <c r="M3" s="3"/>
      <c r="N3" s="3"/>
      <c r="O3" s="3"/>
      <c r="P3" s="3"/>
      <c r="Q3" s="3"/>
      <c r="R3" s="3"/>
      <c r="S3" s="3"/>
      <c r="T3" s="3"/>
    </row>
    <row r="4" spans="1:20" ht="12" customHeight="1">
      <c r="B4" s="402" t="s">
        <v>215</v>
      </c>
      <c r="C4" s="402"/>
      <c r="D4" s="402"/>
      <c r="E4" s="402"/>
      <c r="F4" s="402"/>
      <c r="G4" s="402"/>
      <c r="H4" s="402"/>
      <c r="I4" s="402"/>
      <c r="J4" s="402"/>
      <c r="K4" s="402"/>
      <c r="L4" s="402"/>
      <c r="M4" s="3"/>
      <c r="N4" s="3"/>
      <c r="O4" s="3"/>
      <c r="P4" s="3"/>
      <c r="Q4" s="3"/>
      <c r="R4" s="3"/>
      <c r="S4" s="3"/>
      <c r="T4" s="3"/>
    </row>
    <row r="5" spans="1:20" ht="12" customHeight="1">
      <c r="B5" s="300"/>
      <c r="C5" s="305">
        <v>1</v>
      </c>
      <c r="D5" s="305">
        <v>2</v>
      </c>
      <c r="E5" s="306">
        <v>3</v>
      </c>
      <c r="F5" s="307">
        <v>4</v>
      </c>
      <c r="G5" s="308">
        <v>5</v>
      </c>
      <c r="H5" s="309">
        <v>6</v>
      </c>
      <c r="I5" s="305">
        <v>7</v>
      </c>
      <c r="J5" s="305">
        <v>8</v>
      </c>
      <c r="K5" s="305">
        <v>9</v>
      </c>
      <c r="L5" s="305">
        <v>10</v>
      </c>
      <c r="M5" s="3"/>
      <c r="N5" s="3"/>
      <c r="O5" s="3"/>
      <c r="P5" s="3"/>
      <c r="Q5" s="3"/>
      <c r="R5" s="3"/>
      <c r="S5" s="3"/>
      <c r="T5" s="3"/>
    </row>
    <row r="6" spans="1:20" ht="12" customHeight="1">
      <c r="B6" s="54" t="s">
        <v>213</v>
      </c>
      <c r="C6" s="304">
        <f>'Future Cashflows (10 Yrs)'!F19</f>
        <v>-6203.6720731309515</v>
      </c>
      <c r="D6" s="304">
        <f>'Future Cashflows (10 Yrs)'!F20</f>
        <v>-6330.3393453102553</v>
      </c>
      <c r="E6" s="283">
        <f>'Future Cashflows (10 Yrs)'!F21</f>
        <v>-10290.15658789973</v>
      </c>
      <c r="F6" s="283">
        <f>'Future Cashflows (10 Yrs)'!F22</f>
        <v>-10014.047481082242</v>
      </c>
      <c r="G6" s="283">
        <f>'Future Cashflows (10 Yrs)'!F23</f>
        <v>-8923.5488015580231</v>
      </c>
      <c r="H6" s="283">
        <f>'Future Cashflows (10 Yrs)'!F24</f>
        <v>-10190.20381808867</v>
      </c>
      <c r="I6" s="304">
        <f>'Future Cashflows (10 Yrs)'!F25</f>
        <v>-6948.8957625687544</v>
      </c>
      <c r="J6" s="304">
        <f>'Future Cashflows (10 Yrs)'!F26</f>
        <v>-3944.8254046739221</v>
      </c>
      <c r="K6" s="304">
        <f>'Future Cashflows (10 Yrs)'!F27</f>
        <v>3971.7102795714927</v>
      </c>
      <c r="L6" s="304">
        <f>'Future Cashflows (10 Yrs)'!F28</f>
        <v>6832.6934419621793</v>
      </c>
      <c r="M6" s="3"/>
      <c r="N6" s="3"/>
      <c r="O6" s="3"/>
      <c r="P6" s="3"/>
      <c r="Q6" s="3"/>
      <c r="R6" s="3"/>
      <c r="S6" s="3"/>
      <c r="T6" s="3"/>
    </row>
    <row r="7" spans="1:20" ht="12" customHeight="1">
      <c r="B7" s="54" t="s">
        <v>214</v>
      </c>
      <c r="C7" s="148">
        <f>WACC!$C$13</f>
        <v>0.10095860890549906</v>
      </c>
      <c r="D7" s="148">
        <f>C7</f>
        <v>0.10095860890549906</v>
      </c>
      <c r="E7" s="148">
        <f>AVERAGE(F7,C7)</f>
        <v>0.100118701754668</v>
      </c>
      <c r="F7" s="95">
        <f>AVERAGE(C7,H7)</f>
        <v>9.9278794603836956E-2</v>
      </c>
      <c r="G7" s="95">
        <f>AVERAGE(F7,H7)</f>
        <v>9.8438887453005913E-2</v>
      </c>
      <c r="H7" s="95">
        <f>AVERAGE(C7,L7)</f>
        <v>9.759898030217487E-2</v>
      </c>
      <c r="I7" s="148">
        <f>AVERAGE(H7,J7)</f>
        <v>9.6759073151343827E-2</v>
      </c>
      <c r="J7" s="148">
        <f>AVERAGE(H7,L7)</f>
        <v>9.5919166000512784E-2</v>
      </c>
      <c r="K7" s="148">
        <f>AVERAGE(J7,L7)</f>
        <v>9.5079258849681741E-2</v>
      </c>
      <c r="L7" s="148">
        <f>'Terminal Value'!$G$19</f>
        <v>9.4239351698850685E-2</v>
      </c>
      <c r="M7" s="21"/>
      <c r="N7" s="3"/>
      <c r="O7" s="3"/>
      <c r="P7" s="3"/>
      <c r="Q7" s="3"/>
      <c r="R7" s="3"/>
      <c r="S7" s="3"/>
      <c r="T7" s="3"/>
    </row>
    <row r="8" spans="1:20" ht="12" customHeight="1">
      <c r="B8" s="116" t="s">
        <v>212</v>
      </c>
      <c r="C8" s="191">
        <f>C6/(1+C7)^C5</f>
        <v>-5634.7913744897605</v>
      </c>
      <c r="D8" s="191">
        <f t="shared" ref="D8:L8" si="0">D6/(1+D7)^D5</f>
        <v>-5222.5788783067219</v>
      </c>
      <c r="E8" s="191">
        <f t="shared" si="0"/>
        <v>-7728.6446680352428</v>
      </c>
      <c r="F8" s="191">
        <f t="shared" si="0"/>
        <v>-6857.6962473391859</v>
      </c>
      <c r="G8" s="191">
        <f t="shared" si="0"/>
        <v>-5580.3071647449315</v>
      </c>
      <c r="H8" s="191">
        <f t="shared" si="0"/>
        <v>-5828.0155415039562</v>
      </c>
      <c r="I8" s="191">
        <f t="shared" si="0"/>
        <v>-3640.2997506159481</v>
      </c>
      <c r="J8" s="191">
        <f t="shared" si="0"/>
        <v>-1895.8309504341414</v>
      </c>
      <c r="K8" s="191">
        <f t="shared" si="0"/>
        <v>1753.7495825289925</v>
      </c>
      <c r="L8" s="191">
        <f t="shared" si="0"/>
        <v>2776.3143964795163</v>
      </c>
      <c r="M8" s="3"/>
      <c r="N8" s="3"/>
      <c r="O8" s="3"/>
      <c r="P8" s="3"/>
      <c r="Q8" s="3"/>
      <c r="R8" s="3"/>
      <c r="S8" s="3"/>
      <c r="T8" s="3"/>
    </row>
    <row r="9" spans="1:20" ht="12" customHeight="1">
      <c r="E9" s="34"/>
      <c r="F9" s="35"/>
      <c r="G9" s="31"/>
      <c r="H9" s="31"/>
      <c r="M9" s="3"/>
      <c r="N9" s="3"/>
      <c r="O9" s="3"/>
      <c r="P9" s="3"/>
      <c r="Q9" s="3"/>
      <c r="R9" s="3"/>
      <c r="S9" s="3"/>
      <c r="T9" s="3"/>
    </row>
    <row r="10" spans="1:20" ht="12" customHeight="1">
      <c r="A10" s="3"/>
      <c r="E10" s="31"/>
      <c r="F10" s="31"/>
      <c r="G10" s="31"/>
      <c r="H10" s="31"/>
      <c r="M10" s="3"/>
      <c r="N10" s="3"/>
      <c r="O10" s="3"/>
      <c r="P10" s="3"/>
      <c r="Q10" s="3"/>
      <c r="R10" s="3"/>
      <c r="S10" s="3"/>
      <c r="T10" s="3"/>
    </row>
    <row r="11" spans="1:20" ht="12" customHeight="1">
      <c r="A11" s="3"/>
      <c r="E11" s="38"/>
      <c r="F11" s="38"/>
      <c r="G11" s="38"/>
      <c r="H11" s="38"/>
      <c r="N11" s="3"/>
      <c r="O11" s="3"/>
      <c r="P11" s="3"/>
      <c r="Q11" s="3"/>
      <c r="R11" s="3"/>
      <c r="S11" s="3"/>
      <c r="T11" s="3"/>
    </row>
    <row r="12" spans="1:20" ht="12" customHeight="1">
      <c r="A12" s="3"/>
      <c r="B12" s="31" t="s">
        <v>210</v>
      </c>
      <c r="C12" s="302">
        <f>SUM(C8:L8)</f>
        <v>-37858.100596461387</v>
      </c>
      <c r="E12" s="108"/>
      <c r="F12" s="108"/>
      <c r="G12" s="404"/>
      <c r="H12" s="108"/>
      <c r="I12" s="31"/>
      <c r="J12" s="31"/>
      <c r="K12" s="31"/>
      <c r="L12" s="3"/>
      <c r="M12" s="3"/>
      <c r="N12" s="3"/>
      <c r="O12" s="3"/>
      <c r="P12" s="3"/>
      <c r="Q12" s="3"/>
      <c r="R12" s="3"/>
      <c r="S12" s="3"/>
      <c r="T12" s="3"/>
    </row>
    <row r="13" spans="1:20" ht="12" customHeight="1">
      <c r="A13" s="3"/>
      <c r="B13" s="31" t="s">
        <v>171</v>
      </c>
      <c r="C13" s="312">
        <f>'Terminal Value'!$C$13</f>
        <v>329893.21598142374</v>
      </c>
      <c r="D13" s="31"/>
      <c r="E13" s="24"/>
      <c r="F13" s="405"/>
      <c r="G13" s="406"/>
      <c r="H13" s="407"/>
      <c r="I13" s="31"/>
      <c r="J13" s="31"/>
      <c r="K13" s="31"/>
      <c r="L13" s="3"/>
      <c r="M13" s="3"/>
      <c r="N13" s="3"/>
      <c r="O13" s="3"/>
      <c r="P13" s="3"/>
      <c r="Q13" s="3"/>
      <c r="R13" s="3"/>
      <c r="S13" s="3"/>
      <c r="T13" s="3"/>
    </row>
    <row r="14" spans="1:20" s="26" customFormat="1" ht="12" customHeight="1">
      <c r="A14" s="25"/>
      <c r="B14" s="31" t="s">
        <v>204</v>
      </c>
      <c r="C14" s="302">
        <f>C13/(1+L7)^'Fair Value of Share'!$L$5</f>
        <v>134044.8378973568</v>
      </c>
      <c r="D14" s="48"/>
      <c r="E14" s="34"/>
      <c r="F14" s="405"/>
      <c r="G14" s="406"/>
      <c r="H14" s="407"/>
      <c r="I14" s="48"/>
      <c r="J14" s="48"/>
      <c r="K14" s="48"/>
      <c r="L14" s="25"/>
      <c r="M14" s="25"/>
      <c r="N14" s="25"/>
      <c r="O14" s="25"/>
      <c r="P14" s="25"/>
      <c r="Q14" s="25"/>
      <c r="R14" s="25"/>
      <c r="S14" s="25"/>
      <c r="T14" s="25"/>
    </row>
    <row r="15" spans="1:20" ht="12" customHeight="1">
      <c r="A15" s="3"/>
      <c r="B15" s="32" t="s">
        <v>216</v>
      </c>
      <c r="C15" s="311">
        <f>C14+C12</f>
        <v>96186.737300895416</v>
      </c>
      <c r="E15" s="34"/>
      <c r="F15" s="405"/>
      <c r="G15" s="406"/>
      <c r="H15" s="407"/>
      <c r="I15" s="31"/>
      <c r="J15" s="31"/>
      <c r="K15" s="31"/>
      <c r="L15" s="3"/>
      <c r="N15" s="3"/>
      <c r="O15" s="3"/>
      <c r="P15" s="3"/>
      <c r="Q15" s="3"/>
      <c r="R15" s="3"/>
      <c r="S15" s="3"/>
      <c r="T15" s="3"/>
    </row>
    <row r="16" spans="1:20" ht="12" customHeight="1">
      <c r="A16" s="310" t="s">
        <v>132</v>
      </c>
      <c r="B16" s="36" t="s">
        <v>196</v>
      </c>
      <c r="C16" s="302">
        <f>'Cash &amp; Marketable Securities'!$C$13</f>
        <v>9222.5613583944178</v>
      </c>
      <c r="E16" s="34"/>
      <c r="F16" s="405"/>
      <c r="G16" s="406"/>
      <c r="H16" s="405"/>
      <c r="I16" s="31"/>
      <c r="J16" s="31"/>
      <c r="K16" s="31"/>
      <c r="L16" s="3"/>
      <c r="M16" s="3"/>
      <c r="N16" s="3"/>
      <c r="O16" s="3"/>
      <c r="P16" s="3"/>
      <c r="Q16" s="3"/>
      <c r="R16" s="3"/>
      <c r="S16" s="3"/>
      <c r="T16" s="3"/>
    </row>
    <row r="17" spans="1:20" ht="12" customHeight="1">
      <c r="A17" s="310" t="s">
        <v>132</v>
      </c>
      <c r="B17" s="37" t="s">
        <v>209</v>
      </c>
      <c r="C17" s="302">
        <v>0</v>
      </c>
      <c r="E17" s="34"/>
      <c r="F17" s="405"/>
      <c r="G17" s="406"/>
      <c r="H17" s="405"/>
      <c r="I17" s="31"/>
      <c r="J17" s="31"/>
      <c r="K17" s="31"/>
      <c r="L17" s="3"/>
      <c r="M17" s="3"/>
      <c r="N17" s="3"/>
      <c r="O17" s="3"/>
      <c r="P17" s="3"/>
      <c r="Q17" s="3"/>
      <c r="R17" s="3"/>
      <c r="S17" s="3"/>
      <c r="T17" s="3"/>
    </row>
    <row r="18" spans="1:20" ht="12" customHeight="1">
      <c r="A18" s="310" t="s">
        <v>132</v>
      </c>
      <c r="B18" s="2" t="s">
        <v>217</v>
      </c>
      <c r="C18" s="313">
        <v>0</v>
      </c>
      <c r="D18" s="31"/>
      <c r="E18" s="34"/>
      <c r="F18" s="405"/>
      <c r="G18" s="406"/>
      <c r="H18" s="405"/>
      <c r="I18" s="31"/>
      <c r="J18" s="31"/>
      <c r="K18" s="31"/>
      <c r="L18" s="3"/>
      <c r="M18" s="3"/>
      <c r="N18" s="3"/>
      <c r="O18" s="3"/>
      <c r="P18" s="3"/>
      <c r="Q18" s="3"/>
      <c r="R18" s="3"/>
      <c r="S18" s="3"/>
      <c r="T18" s="3"/>
    </row>
    <row r="19" spans="1:20" ht="12" customHeight="1">
      <c r="A19" s="3"/>
      <c r="B19" s="32" t="s">
        <v>207</v>
      </c>
      <c r="C19" s="311">
        <f>SUM(C15:C17)</f>
        <v>105409.29865928984</v>
      </c>
      <c r="D19" s="31"/>
      <c r="E19" s="24"/>
      <c r="F19" s="407"/>
      <c r="G19" s="406"/>
      <c r="H19" s="407"/>
      <c r="I19" s="31"/>
      <c r="J19" s="31"/>
      <c r="K19" s="31"/>
      <c r="L19" s="3"/>
      <c r="M19" s="3"/>
      <c r="N19" s="3"/>
      <c r="O19" s="3"/>
      <c r="P19" s="3"/>
      <c r="Q19" s="3"/>
      <c r="R19" s="3"/>
      <c r="S19" s="3"/>
      <c r="T19" s="3"/>
    </row>
    <row r="20" spans="1:20" ht="12" customHeight="1">
      <c r="A20" s="7" t="s">
        <v>91</v>
      </c>
      <c r="B20" s="31" t="s">
        <v>206</v>
      </c>
      <c r="C20" s="314">
        <f>WACC!F20+937.5+503.75</f>
        <v>1918.4519893768068</v>
      </c>
      <c r="D20" s="31"/>
      <c r="E20" s="24"/>
      <c r="F20" s="407"/>
      <c r="G20" s="406"/>
      <c r="H20" s="407"/>
      <c r="I20" s="31"/>
      <c r="J20" s="31"/>
      <c r="K20" s="31"/>
      <c r="L20" s="3"/>
      <c r="M20" s="3"/>
      <c r="N20" s="3"/>
      <c r="O20" s="3"/>
      <c r="P20" s="3"/>
      <c r="Q20" s="3"/>
      <c r="R20" s="3"/>
      <c r="S20" s="3"/>
      <c r="T20" s="3"/>
    </row>
    <row r="21" spans="1:20" ht="12" customHeight="1">
      <c r="A21" s="7"/>
      <c r="B21" s="32" t="s">
        <v>208</v>
      </c>
      <c r="C21" s="301">
        <f>C19-C20</f>
        <v>103490.84666991304</v>
      </c>
      <c r="D21" s="35"/>
      <c r="E21" s="24"/>
      <c r="F21" s="407"/>
      <c r="G21" s="406"/>
      <c r="H21" s="407"/>
      <c r="I21" s="31"/>
      <c r="J21" s="31"/>
      <c r="K21" s="31"/>
      <c r="L21" s="3"/>
      <c r="M21" s="3"/>
      <c r="N21" s="3"/>
      <c r="O21" s="3"/>
      <c r="P21" s="3"/>
      <c r="Q21" s="3"/>
      <c r="R21" s="3"/>
      <c r="S21" s="3"/>
      <c r="T21" s="3"/>
    </row>
    <row r="22" spans="1:20" ht="12" customHeight="1">
      <c r="A22" s="387" t="s">
        <v>91</v>
      </c>
      <c r="B22" s="2" t="s">
        <v>218</v>
      </c>
      <c r="C22" s="313">
        <f>'Future Value of Equity Options'!C5</f>
        <v>42.655744000000006</v>
      </c>
      <c r="D22" s="31"/>
      <c r="E22" s="24"/>
      <c r="F22" s="407"/>
      <c r="G22" s="406"/>
      <c r="H22" s="407"/>
      <c r="I22" s="31"/>
      <c r="J22" s="31"/>
      <c r="K22" s="31"/>
      <c r="L22" s="3"/>
      <c r="M22" s="3"/>
      <c r="O22" s="3"/>
      <c r="P22" s="3"/>
      <c r="Q22" s="3"/>
      <c r="R22" s="3"/>
      <c r="S22" s="3"/>
      <c r="T22" s="3"/>
    </row>
    <row r="23" spans="1:20" s="29" customFormat="1" ht="12" customHeight="1">
      <c r="B23" s="32" t="s">
        <v>220</v>
      </c>
      <c r="C23" s="315">
        <f>C21-C22</f>
        <v>103448.19092591303</v>
      </c>
      <c r="D23" s="31"/>
      <c r="E23" s="28"/>
      <c r="F23" s="28"/>
      <c r="G23" s="28"/>
      <c r="H23" s="407"/>
      <c r="I23" s="38"/>
      <c r="J23" s="38"/>
      <c r="K23" s="38"/>
      <c r="L23" s="28"/>
      <c r="M23" s="28"/>
      <c r="N23" s="28"/>
      <c r="O23" s="28"/>
      <c r="P23" s="28"/>
      <c r="Q23" s="28"/>
      <c r="R23" s="28"/>
      <c r="S23" s="28"/>
      <c r="T23" s="28"/>
    </row>
    <row r="24" spans="1:20" ht="12" customHeight="1">
      <c r="B24" s="2" t="s">
        <v>122</v>
      </c>
      <c r="C24" s="388">
        <v>565.32438000000002</v>
      </c>
      <c r="D24" s="35"/>
      <c r="I24" s="3"/>
      <c r="J24" s="3"/>
      <c r="K24" s="3"/>
      <c r="L24" s="3"/>
      <c r="M24" s="3"/>
      <c r="N24" s="3"/>
      <c r="O24" s="3"/>
      <c r="P24" s="3"/>
      <c r="Q24" s="3"/>
      <c r="R24" s="3"/>
      <c r="S24" s="3"/>
      <c r="T24" s="3"/>
    </row>
    <row r="25" spans="1:20" ht="12" customHeight="1">
      <c r="B25" s="27" t="s">
        <v>219</v>
      </c>
      <c r="C25" s="220">
        <f>C23/C24</f>
        <v>182.98908482580043</v>
      </c>
      <c r="D25" s="31"/>
      <c r="I25" s="14"/>
      <c r="J25" s="14"/>
      <c r="K25" s="14"/>
      <c r="L25" s="3"/>
      <c r="M25" s="3"/>
      <c r="N25" s="3"/>
      <c r="O25" s="3"/>
      <c r="P25" s="3"/>
      <c r="Q25" s="3"/>
      <c r="R25" s="3"/>
      <c r="S25" s="3"/>
      <c r="T25" s="3"/>
    </row>
    <row r="26" spans="1:20" ht="12" customHeight="1">
      <c r="D26" s="38"/>
      <c r="I26" s="6"/>
      <c r="J26" s="6"/>
      <c r="K26" s="6"/>
      <c r="L26" s="3"/>
      <c r="M26" s="3"/>
      <c r="N26" s="3"/>
      <c r="O26" s="3"/>
      <c r="P26" s="3"/>
      <c r="Q26" s="3"/>
      <c r="R26" s="3"/>
      <c r="S26" s="3"/>
      <c r="T26" s="3"/>
    </row>
    <row r="27" spans="1:20" ht="12" customHeight="1">
      <c r="B27" s="3"/>
      <c r="C27" s="6"/>
      <c r="D27" s="3"/>
      <c r="I27" s="6"/>
      <c r="J27" s="6"/>
      <c r="K27" s="6"/>
      <c r="L27" s="3"/>
      <c r="M27" s="3"/>
      <c r="N27" s="3"/>
      <c r="O27" s="3"/>
      <c r="P27" s="3"/>
      <c r="Q27" s="3"/>
      <c r="R27" s="3"/>
      <c r="S27" s="3"/>
      <c r="T27" s="3"/>
    </row>
    <row r="28" spans="1:20" ht="12" customHeight="1">
      <c r="B28" s="3"/>
      <c r="C28" s="5"/>
      <c r="D28" s="3"/>
      <c r="E28" s="3"/>
      <c r="F28" s="3"/>
      <c r="G28" s="14"/>
      <c r="H28" s="6"/>
      <c r="I28" s="6"/>
      <c r="J28" s="6"/>
      <c r="K28" s="6"/>
      <c r="L28" s="3"/>
      <c r="M28" s="3"/>
      <c r="N28" s="3"/>
      <c r="O28" s="3"/>
      <c r="P28" s="3"/>
      <c r="Q28" s="3"/>
      <c r="R28" s="3"/>
      <c r="S28" s="3"/>
      <c r="T28" s="3"/>
    </row>
    <row r="29" spans="1:20" ht="12" customHeight="1">
      <c r="B29" s="3"/>
      <c r="C29" s="3"/>
      <c r="D29" s="3"/>
      <c r="E29" s="3"/>
      <c r="F29" s="3"/>
      <c r="G29" s="14"/>
      <c r="H29" s="6"/>
      <c r="I29" s="6"/>
      <c r="J29" s="6"/>
      <c r="K29" s="6"/>
      <c r="L29" s="3"/>
      <c r="M29" s="3"/>
      <c r="N29" s="3"/>
      <c r="O29" s="3"/>
      <c r="P29" s="3"/>
      <c r="Q29" s="3"/>
      <c r="R29" s="3"/>
      <c r="S29" s="3"/>
      <c r="T29" s="3"/>
    </row>
    <row r="30" spans="1:20" ht="12" customHeight="1">
      <c r="B30" s="3"/>
      <c r="C30" s="3"/>
      <c r="D30" s="3"/>
      <c r="E30" s="3"/>
      <c r="F30" s="3"/>
      <c r="G30" s="3"/>
      <c r="H30" s="3"/>
      <c r="I30" s="3"/>
      <c r="J30" s="3"/>
      <c r="K30" s="3"/>
      <c r="L30" s="3"/>
      <c r="M30" s="3"/>
      <c r="N30" s="3"/>
      <c r="O30" s="3"/>
      <c r="P30" s="3"/>
      <c r="Q30" s="3"/>
      <c r="R30" s="3"/>
      <c r="S30" s="3"/>
      <c r="T30" s="3"/>
    </row>
    <row r="31" spans="1:20" ht="12" customHeight="1">
      <c r="G31" s="3"/>
      <c r="H31" s="3"/>
      <c r="I31" s="3"/>
      <c r="J31" s="3"/>
      <c r="K31" s="3"/>
      <c r="L31" s="3"/>
      <c r="M31" s="3"/>
    </row>
    <row r="32" spans="1:20" ht="12" customHeight="1">
      <c r="C32" s="13"/>
      <c r="G32" s="3"/>
      <c r="H32" s="3"/>
      <c r="I32" s="3"/>
      <c r="J32" s="3"/>
      <c r="K32" s="3"/>
      <c r="L32" s="3"/>
      <c r="M32" s="3"/>
    </row>
    <row r="34" spans="2:13" ht="12" customHeight="1">
      <c r="B34" s="15"/>
      <c r="G34" s="8"/>
      <c r="K34" s="10"/>
    </row>
    <row r="35" spans="2:13" ht="12" customHeight="1">
      <c r="B35" s="8"/>
      <c r="G35" s="11"/>
      <c r="K35" s="8"/>
      <c r="M35" s="8"/>
    </row>
    <row r="36" spans="2:13" ht="12" customHeight="1">
      <c r="M36" s="8"/>
    </row>
    <row r="37" spans="2:13" ht="12" customHeight="1">
      <c r="G37" s="15"/>
      <c r="K37" s="4"/>
    </row>
    <row r="40" spans="2:13" ht="12" customHeight="1">
      <c r="G40" s="12"/>
    </row>
    <row r="41" spans="2:13" ht="12" customHeight="1">
      <c r="G41" s="8"/>
    </row>
    <row r="42" spans="2:13" ht="12" customHeight="1">
      <c r="G42" s="12"/>
    </row>
    <row r="44" spans="2:13" ht="12" customHeight="1">
      <c r="G44" s="15"/>
    </row>
  </sheetData>
  <mergeCells count="1">
    <mergeCell ref="B4:L4"/>
  </mergeCells>
  <pageMargins left="0.7" right="0.7" top="0.75" bottom="0.75" header="0.3" footer="0.3"/>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CAEAFB-A84D-4366-A126-A087BCC258E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vt:i4>
      </vt:variant>
    </vt:vector>
  </HeadingPairs>
  <TitlesOfParts>
    <vt:vector size="30" baseType="lpstr">
      <vt:lpstr>Cover</vt:lpstr>
      <vt:lpstr>About</vt:lpstr>
      <vt:lpstr>Narrative</vt:lpstr>
      <vt:lpstr>Index</vt:lpstr>
      <vt:lpstr>Risk Free Rate</vt:lpstr>
      <vt:lpstr>Equity Risk Premium</vt:lpstr>
      <vt:lpstr>Beta</vt:lpstr>
      <vt:lpstr>Cost of Equity &amp; Debt</vt:lpstr>
      <vt:lpstr>WACC</vt:lpstr>
      <vt:lpstr>Cash Flows</vt:lpstr>
      <vt:lpstr>EBIT &amp; Advertising Expense</vt:lpstr>
      <vt:lpstr>EBIT &amp; Operating Lease</vt:lpstr>
      <vt:lpstr>Net CapEx</vt:lpstr>
      <vt:lpstr>Working Capital Changes</vt:lpstr>
      <vt:lpstr>FCFF &amp; FCFE</vt:lpstr>
      <vt:lpstr>Growth Rate &amp; TV</vt:lpstr>
      <vt:lpstr>Expected Growth Rate</vt:lpstr>
      <vt:lpstr>Amusement Park Industry TAM</vt:lpstr>
      <vt:lpstr>Future Cashflows (10 Yrs)</vt:lpstr>
      <vt:lpstr>Terminal Value</vt:lpstr>
      <vt:lpstr>Road to Fair Value of Share</vt:lpstr>
      <vt:lpstr>Cash &amp; Marketable Securities</vt:lpstr>
      <vt:lpstr>Future Value of Equity Options</vt:lpstr>
      <vt:lpstr>Fair Value of Share</vt:lpstr>
      <vt:lpstr>'Amusement Park Industry TAM'!Print_Area</vt:lpstr>
      <vt:lpstr>'EBIT &amp; Advertising Expense'!Print_Area</vt:lpstr>
      <vt:lpstr>'EBIT &amp; Operating Lease'!Print_Area</vt:lpstr>
      <vt:lpstr>'Fair Value of Share'!Print_Area</vt:lpstr>
      <vt:lpstr>'Future Cashflows (10 Yrs)'!Print_Area</vt:lpstr>
      <vt:lpstr>'Future Value of Equity Options'!Print_Area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2022-07-30T08:35:24Z</dcterms:modified>
</cp:coreProperties>
</file>